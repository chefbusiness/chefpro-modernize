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4">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name val="Calibri"/>
      <color rgb="006B6B6B"/>
      <sz val="10"/>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7" fillId="0" borderId="0" pivotButton="0" quotePrefix="0" xfId="0"/>
    <xf numFmtId="0" fontId="8" fillId="0" borderId="0" applyAlignment="1" pivotButton="0" quotePrefix="0" xfId="0">
      <alignment horizontal="left" vertical="center" wrapText="1"/>
    </xf>
    <xf numFmtId="0" fontId="5" fillId="0" borderId="0" pivotButton="0" quotePrefix="0" xfId="0"/>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9"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1" fillId="0" borderId="3" pivotButton="0" quotePrefix="0" xfId="0"/>
    <xf numFmtId="164" fontId="11" fillId="0" borderId="3" pivotButton="0" quotePrefix="0" xfId="0"/>
    <xf numFmtId="165" fontId="11" fillId="0" borderId="3" pivotButton="0" quotePrefix="0" xfId="0"/>
    <xf numFmtId="0" fontId="10" fillId="0" borderId="3" pivotButton="0" quotePrefix="0" xfId="0"/>
    <xf numFmtId="164" fontId="10" fillId="4" borderId="3" applyProtection="1" pivotButton="0" quotePrefix="0" xfId="0">
      <protection locked="0" hidden="0"/>
    </xf>
    <xf numFmtId="165" fontId="10" fillId="0" borderId="3" pivotButton="0" quotePrefix="0" xfId="0"/>
    <xf numFmtId="0" fontId="10" fillId="4" borderId="3" applyProtection="1" pivotButton="0" quotePrefix="0" xfId="0">
      <protection locked="0" hidden="0"/>
    </xf>
    <xf numFmtId="164" fontId="10" fillId="0" borderId="3" pivotButton="0" quotePrefix="0" xfId="0"/>
    <xf numFmtId="0" fontId="13" fillId="0" borderId="0" pivotButton="0" quotePrefix="0" xfId="0"/>
    <xf numFmtId="164" fontId="0" fillId="0" borderId="0" pivotButton="0" quotePrefix="0" xfId="0"/>
    <xf numFmtId="164" fontId="12" fillId="0" borderId="0" pivotButton="0" quotePrefix="0" xfId="0"/>
    <xf numFmtId="165"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1" fillId="0" borderId="3" applyAlignment="1" pivotButton="0" quotePrefix="0" xfId="0">
      <alignment horizontal="general" vertical="top" wrapText="1"/>
    </xf>
    <xf numFmtId="3" fontId="10" fillId="0" borderId="3" pivotButton="0" quotePrefix="0" xfId="0"/>
    <xf numFmtId="166" fontId="10" fillId="0" borderId="3" pivotButton="0" quotePrefix="0" xfId="0"/>
    <xf numFmtId="3" fontId="0" fillId="0" borderId="0" pivotButton="0" quotePrefix="0" xfId="0"/>
    <xf numFmtId="165" fontId="13" fillId="4" borderId="0" applyProtection="1" pivotButton="0" quotePrefix="0" xfId="0">
      <protection locked="0" hidden="0"/>
    </xf>
    <xf numFmtId="167" fontId="10" fillId="0" borderId="3" pivotButton="0" quotePrefix="0" xfId="0"/>
    <xf numFmtId="167" fontId="11" fillId="0" borderId="3" pivotButton="0" quotePrefix="0" xfId="0"/>
    <xf numFmtId="167" fontId="10" fillId="4" borderId="3" applyProtection="1" pivotButton="0" quotePrefix="0" xfId="0">
      <protection locked="0" hidden="0"/>
    </xf>
    <xf numFmtId="0" fontId="10" fillId="0" borderId="3" applyAlignment="1" pivotButton="0" quotePrefix="0" xfId="0">
      <alignment horizontal="general" vertical="top" wrapText="1"/>
    </xf>
    <xf numFmtId="166" fontId="11" fillId="0" borderId="3" pivotButton="0" quotePrefix="0" xfId="0"/>
    <xf numFmtId="167" fontId="0" fillId="0" borderId="0" pivotButton="0" quotePrefix="0" xfId="0"/>
    <xf numFmtId="3" fontId="10" fillId="4" borderId="3" applyProtection="1" pivotButton="0" quotePrefix="0" xfId="0">
      <protection locked="0" hidden="0"/>
    </xf>
    <xf numFmtId="166" fontId="10" fillId="4" borderId="3" applyProtection="1" pivotButton="0" quotePrefix="0" xfId="0">
      <protection locked="0" hidden="0"/>
    </xf>
    <xf numFmtId="9" fontId="10" fillId="4" borderId="3" applyProtection="1" pivotButton="0" quotePrefix="0" xfId="0">
      <protection locked="0" hidden="0"/>
    </xf>
    <xf numFmtId="3" fontId="12" fillId="0" borderId="0" pivotButton="0" quotePrefix="0" xfId="0"/>
    <xf numFmtId="4" fontId="12" fillId="0" borderId="0" pivotButton="0" quotePrefix="0" xfId="0"/>
    <xf numFmtId="166" fontId="12" fillId="0" borderId="0" pivotButton="0" quotePrefix="0" xfId="0"/>
    <xf numFmtId="164" fontId="13" fillId="4" borderId="0" applyProtection="1" pivotButton="0" quotePrefix="0" xfId="0">
      <protection locked="0" hidden="0"/>
    </xf>
    <xf numFmtId="3" fontId="13" fillId="4" borderId="0" applyProtection="1" pivotButton="0" quotePrefix="0" xfId="0">
      <protection locked="0" hidden="0"/>
    </xf>
    <xf numFmtId="167" fontId="13"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5" fontId="10" fillId="4" borderId="3" applyProtection="1" pivotButton="0" quotePrefix="0" xfId="0">
      <protection locked="0" hidden="0"/>
    </xf>
    <xf numFmtId="4" fontId="10" fillId="0" borderId="3" pivotButton="0" quotePrefix="0" xfId="0"/>
    <xf numFmtId="4" fontId="11"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9" t="inlineStr">
        <is>
          <t>SUPUESTOS — aquí se teclean las TASAS y los DRIVERS del modelo</t>
        </is>
      </c>
    </row>
    <row r="2" ht="45" customHeight="1">
      <c r="A2" s="20" t="inlineStr">
        <is>
          <t>Cambia las celdas VERDES: el resto del libro se recalcula solo. Las partidas de gasto se teclean en su hoja (también en verde) y no se repiten aquí.</t>
        </is>
      </c>
    </row>
    <row r="3">
      <c r="A3" s="19" t="inlineStr">
        <is>
          <t>ACTIVIDAD</t>
        </is>
      </c>
    </row>
    <row r="4">
      <c r="A4" t="inlineStr">
        <is>
          <t>Clientes/día (media del año 1)</t>
        </is>
      </c>
      <c r="B4" s="21" t="n">
        <v>100</v>
      </c>
      <c r="C4" t="inlineStr">
        <is>
          <t>Clientes servidos al día de media del año, contando el café de barra y el brunch de mesa. Dentro del rango de 80 a 150 que este mismo libro publica para una cafetería urbana en la tabla de referencias del sector; la rotación que implica sobre el aforo la calcula la celda «Rotaciones al día implícitas» de esta misma hoja</t>
        </is>
      </c>
    </row>
    <row r="5">
      <c r="A5" t="inlineStr">
        <is>
          <t>Ticket medio SIN IVA (€)</t>
        </is>
      </c>
      <c r="B5" s="22" t="n">
        <v>9.800000000000001</v>
      </c>
      <c r="C5" t="inlineStr">
        <is>
          <t>SIN IVA. El PVP equivalente lo calcula la celda «PVP equivalente con IVA» de esta misma hoja; compáralo con el «Ticket medio combinado» de la tabla de referencias del sector, más abajo en la hoja de Instrucciones</t>
        </is>
      </c>
    </row>
    <row r="6">
      <c r="A6" t="inlineStr">
        <is>
          <t>Días de apertura al año</t>
        </is>
      </c>
      <c r="B6" s="21" t="n">
        <v>300</v>
      </c>
      <c r="C6" t="inlineStr">
        <is>
          <t>El MISMO dato lo usan la cuenta de resultados («PyG 3 Años»), el punto de equilibrio y los escenarios: el fichero v1.1 tenía DOS calendarios distintos (Punto Equilibrio: 30 días/mes; Escenarios: 300-310 días/año)</t>
        </is>
      </c>
    </row>
    <row r="7">
      <c r="A7" t="inlineStr">
        <is>
          <t>Crecimiento de volumen del año 2</t>
        </is>
      </c>
      <c r="B7" s="23" t="n">
        <v>0.07000000000000001</v>
      </c>
      <c r="C7" t="inlineStr">
        <is>
          <t>Segundo año con la clientela de barrio ya fidelizada. Es ocupación en hora punta, no clientela nueva: el año 1 ya arranca con 100 clientes al día</t>
        </is>
      </c>
    </row>
    <row r="8">
      <c r="A8" t="inlineStr">
        <is>
          <t>Crecimiento de volumen del año 3</t>
        </is>
      </c>
      <c r="B8" s="23" t="n">
        <v>0.05</v>
      </c>
      <c r="C8" t="inlineStr">
        <is>
          <t>Tercer año, cerca del techo de aforo en las horas punta</t>
        </is>
      </c>
    </row>
    <row r="9">
      <c r="A9" t="inlineStr">
        <is>
          <t>PVP equivalente con IVA (calculado)</t>
        </is>
      </c>
      <c r="B9" s="24">
        <f>IFERROR(IF($B$5="","",$B$5*(1+SUMPRODUCT('PyG 3 Años'!$E$10:$E$11,'PyG 3 Años'!$G$10:$G$11))),"")</f>
        <v>10.780000000000001</v>
      </c>
      <c r="C9" t="str">
        <f>IFERROR("Ticket sin IVA más el IVA medio ponderado de tus líneas de venta: "&amp;TEXT(SUMPRODUCT('PyG 3 Años'!$E$10:$E$11,'PyG 3 Años'!$G$10:$G$11)*100,"0")&amp;"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19" t="inlineStr">
        <is>
          <t>MIX Y COSTE DE MERCANCÍA</t>
        </is>
      </c>
    </row>
    <row r="11">
      <c r="A11" t="inlineStr">
        <is>
          <t>Ventas de COMIDA sobre el total</t>
        </is>
      </c>
      <c r="B11" s="23" t="n">
        <v>0.41</v>
      </c>
      <c r="C11" t="inlineStr">
        <is>
          <t>Peso de la COMIDA sobre el total de ventas. Es un INPUT: cámbialo aquí y el P&amp;L, la tesorería y el IVA repercutido se recalculan solos</t>
        </is>
      </c>
    </row>
    <row r="12">
      <c r="A12" t="inlineStr">
        <is>
          <t>Ventas de BEBIDA sobre el total</t>
        </is>
      </c>
      <c r="B12" s="25">
        <f>IFERROR(IF(COUNT(B11)=0,"",1-B11),"")</f>
        <v>0.5900000000000001</v>
      </c>
      <c r="C12" t="inlineStr">
        <is>
          <t>Se calcula como el resto: comida + bebida = 100 %</t>
        </is>
      </c>
    </row>
    <row r="13">
      <c r="A13" t="inlineStr">
        <is>
          <t>Coste de mercancía sobre las ventas de COMIDA</t>
        </is>
      </c>
      <c r="B13" s="23" t="n">
        <v>0.32</v>
      </c>
      <c r="C13" t="inlineStr">
        <is>
          <t>Food cost de la comida (brunch, bollería, tostas): dentro del 30-35 % que declara la tabla de referencias del sector de este mismo libro</t>
        </is>
      </c>
    </row>
    <row r="14">
      <c r="A14" t="inlineStr">
        <is>
          <t>Coste de mercancía sobre las ventas de BEBIDA</t>
        </is>
      </c>
      <c r="B14" s="23" t="n">
        <v>0.28</v>
      </c>
      <c r="C14" t="inlineStr">
        <is>
          <t>Coste del café y de las bebidas (calientes y frías) sobre sus propias ventas: media ponderada entre el 25-30 % del café y el 28-32 % de las bebidas frías que publica este mismo libro</t>
        </is>
      </c>
    </row>
    <row r="15">
      <c r="A15" t="inlineStr">
        <is>
          <t>Consumibles sobre ventas</t>
        </is>
      </c>
      <c r="B15" s="23" t="n">
        <v>0.015</v>
      </c>
      <c r="C15" t="inlineStr">
        <is>
          <t>Servilletas, papel, vasos de llevar y productos de limpieza de barra</t>
        </is>
      </c>
    </row>
    <row r="16">
      <c r="A16" t="inlineStr">
        <is>
          <t>Ventas por delivery sobre el total</t>
        </is>
      </c>
      <c r="B16" s="23" t="n">
        <v>0</v>
      </c>
      <c r="C16" t="inlineStr">
        <is>
          <t>A CERO por defecto: el checklist de esta apertura lo marca como tarea del mes 2-3 («Implementar delivery si hay demanda»), no del día 1. Súbelo al peso real del canal cuando lo actives</t>
        </is>
      </c>
    </row>
    <row r="17">
      <c r="A17" t="inlineStr">
        <is>
          <t>Comisión de la plataforma de delivery</t>
        </is>
      </c>
      <c r="B17" s="23" t="n">
        <v>0.3</v>
      </c>
      <c r="C17" t="inlineStr">
        <is>
          <t>Comisión típica de Glovo/Uber Eats sobre el pedido servido por ese canal; confírmala en tu contrato antes de proyectar</t>
        </is>
      </c>
    </row>
    <row r="18">
      <c r="A18" t="inlineStr">
        <is>
          <t>Comisión de los medios de pago</t>
        </is>
      </c>
      <c r="B18" s="23" t="n">
        <v>0.008</v>
      </c>
      <c r="C18" t="inlineStr">
        <is>
          <t>Tarjeta y bizum sobre el total facturado; una cafetería de barra cobra en tarjeta la mayoría de los tickets</t>
        </is>
      </c>
    </row>
    <row r="19">
      <c r="A19" s="19" t="inlineStr">
        <is>
          <t>PERSONAL</t>
        </is>
      </c>
    </row>
    <row r="20">
      <c r="A20" t="inlineStr">
        <is>
          <t>Seguridad Social a cargo de la empresa</t>
        </is>
      </c>
      <c r="B20" s="23" t="n">
        <v>0.33</v>
      </c>
      <c r="C20" t="inlineStr">
        <is>
          <t>Contingencias comunes + AT/EP + desempleo + FOGASA + FP; ajusta a tu convenio y bonificaciones</t>
        </is>
      </c>
    </row>
    <row r="21">
      <c r="A21" t="inlineStr">
        <is>
          <t>Número de pagas anuales</t>
        </is>
      </c>
      <c r="B21" s="21" t="n">
        <v>14</v>
      </c>
      <c r="C21" t="inlineStr">
        <is>
          <t>Salario bruto anual = bruto mensual × pagas</t>
        </is>
      </c>
    </row>
    <row r="22">
      <c r="A22" t="inlineStr">
        <is>
          <t>SMI anual de referencia (€)</t>
        </is>
      </c>
      <c r="B22" s="26" t="n">
        <v>17094</v>
      </c>
      <c r="C22" t="inlineStr">
        <is>
          <t>SMI 2026: 17.094 € al año (1.221 €/mes en 14 pagas), suelo legal por jornada completa. Comprueba el importe vigente si presentas el plan en otro ejercicio</t>
        </is>
      </c>
    </row>
    <row r="23">
      <c r="A23" s="19" t="inlineStr">
        <is>
          <t>LOCAL Y FIJOS</t>
        </is>
      </c>
    </row>
    <row r="24">
      <c r="A24" t="inlineStr">
        <is>
          <t>Alquiler mensual del local (€)</t>
        </is>
      </c>
      <c r="B24" s="26" t="n">
        <v>2000</v>
      </c>
      <c r="C24" t="inlineStr">
        <is>
          <t>Local de cafetería/brunch de 30-40 plazas interiores más terraza. Con el caso base recalibrado se queda dentro del 8-12 % sobre ventas que fija la tabla de referencias del sector de este mismo libro</t>
        </is>
      </c>
    </row>
    <row r="25">
      <c r="A25" t="inlineStr">
        <is>
          <t>Fianza del alquiler (meses)</t>
        </is>
      </c>
      <c r="B25" s="21" t="n">
        <v>3</v>
      </c>
      <c r="C25" t="inlineStr">
        <is>
          <t>Tres meses de renta, como en el contrato tipo de local de negocio</t>
        </is>
      </c>
    </row>
    <row r="26">
      <c r="A26" t="inlineStr">
        <is>
          <t>Suministros mensuales de luz, agua y gas (€)</t>
        </is>
      </c>
      <c r="B26" s="26" t="n">
        <v>600</v>
      </c>
      <c r="C26" t="inlineStr">
        <is>
          <t>Luz, agua y gas de una barra de café con horno de brunch: pide el histórico del local antes de firmar</t>
        </is>
      </c>
    </row>
    <row r="27">
      <c r="A27" t="inlineStr">
        <is>
          <t>Seguros (€/año)</t>
        </is>
      </c>
      <c r="B27" s="26" t="n">
        <v>1800</v>
      </c>
      <c r="C27" t="inlineStr">
        <is>
          <t>Responsabilidad civil (el checklist pide un mínimo de 300.000 € de cobertura) y multirriesgo del local</t>
        </is>
      </c>
    </row>
    <row r="28">
      <c r="A28" t="inlineStr">
        <is>
          <t>Varios e imprevistos sobre ventas</t>
        </is>
      </c>
      <c r="B28" s="23" t="n">
        <v>0.02</v>
      </c>
      <c r="C28" t="inlineStr">
        <is>
          <t>Colchón de gasto corriente no presupuestado</t>
        </is>
      </c>
    </row>
    <row r="29">
      <c r="A29" s="19" t="inlineStr">
        <is>
          <t>FINANCIACIÓN</t>
        </is>
      </c>
    </row>
    <row r="30">
      <c r="A30" t="inlineStr">
        <is>
          <t>Recursos propios aportados (€)</t>
        </is>
      </c>
      <c r="B30" s="26" t="n">
        <v>40000</v>
      </c>
      <c r="C30" t="inlineStr">
        <is>
          <t>Aportación de los socios. Con menos, el banco no entra: pide un 25-30 % de fondos propios sobre la necesidad de caja que calcula la hoja de Inversión</t>
        </is>
      </c>
    </row>
    <row r="31">
      <c r="A31" t="inlineStr">
        <is>
          <t>Préstamo bancario solicitado (€)</t>
        </is>
      </c>
      <c r="B31" s="26" t="n">
        <v>112000</v>
      </c>
      <c r="C31" t="inlineStr">
        <is>
          <t>Principal solicitado. La hoja de Financiación comprueba que el origen y los usos cuadran con la necesidad de caja calculada en la hoja de Inversión, y trae una celda que calcula el importe exacto que los ajusta</t>
        </is>
      </c>
    </row>
    <row r="32">
      <c r="A32" t="inlineStr">
        <is>
          <t>Tipo de interés nominal anual</t>
        </is>
      </c>
      <c r="B32" s="23" t="n">
        <v>0.06</v>
      </c>
      <c r="C32" t="inlineStr">
        <is>
          <t>Tipo nominal anual; pide oferta a dos entidades y a una línea ICO antes de fijarlo</t>
        </is>
      </c>
    </row>
    <row r="33">
      <c r="A33" t="inlineStr">
        <is>
          <t>Plazo del préstamo (años)</t>
        </is>
      </c>
      <c r="B33" s="21" t="n">
        <v>7</v>
      </c>
      <c r="C33" t="inlineStr">
        <is>
          <t>Años totales, carencia incluida</t>
        </is>
      </c>
    </row>
    <row r="34">
      <c r="A34" t="inlineStr">
        <is>
          <t>Carencia de principal (años)</t>
        </is>
      </c>
      <c r="B34" s="21" t="n">
        <v>1</v>
      </c>
      <c r="C34" t="inlineStr">
        <is>
          <t>Primer año sólo intereses, que es cuando la caja está más tensa</t>
        </is>
      </c>
    </row>
    <row r="35">
      <c r="A35" t="inlineStr">
        <is>
          <t>Fondo de maniobra (meses de costes fijos)</t>
        </is>
      </c>
      <c r="B35" s="21" t="n">
        <v>3</v>
      </c>
      <c r="C35" t="inlineStr">
        <is>
          <t>Mínimo que exige este mismo libro: un colchón por debajo de 3 meses no cubre un bache de temporada baja</t>
        </is>
      </c>
    </row>
    <row r="36">
      <c r="A36" s="19" t="inlineStr">
        <is>
          <t>FISCAL</t>
        </is>
      </c>
    </row>
    <row r="37">
      <c r="A37" t="inlineStr">
        <is>
          <t>Impuesto de Sociedades, nueva creación</t>
        </is>
      </c>
      <c r="B37" s="2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3" t="n">
        <v>0.1</v>
      </c>
      <c r="C39" t="inlineStr">
        <is>
          <t>Tipo reducido de hostelería</t>
        </is>
      </c>
    </row>
    <row r="40">
      <c r="A40" t="inlineStr">
        <is>
          <t>IVA repercutido/soportado general</t>
        </is>
      </c>
      <c r="B40" s="23"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3" t="n">
        <v>0.21</v>
      </c>
      <c r="C41" t="inlineStr">
        <is>
          <t>Recuperable vía modelo 303, pero hay que adelantarlo</t>
        </is>
      </c>
    </row>
    <row r="42">
      <c r="A42" t="inlineStr">
        <is>
          <t>Bases negativas de ejercicios anteriores (€)</t>
        </is>
      </c>
      <c r="B42" s="26" t="n">
        <v>0</v>
      </c>
      <c r="C42" t="inlineStr">
        <is>
          <t>Pérdidas pendientes de compensar al empezar (art. 26 LIS)</t>
        </is>
      </c>
    </row>
    <row r="43">
      <c r="A43" s="19" t="inlineStr">
        <is>
          <t>AMORTIZACIÓN</t>
        </is>
      </c>
    </row>
    <row r="44">
      <c r="A44" t="inlineStr">
        <is>
          <t>Vida útil de obra e instalaciones (años)</t>
        </is>
      </c>
      <c r="B44" s="21" t="n">
        <v>10</v>
      </c>
      <c r="C44" t="inlineStr">
        <is>
          <t>Obra, instalaciones y decoración de una cafetería. Coeficientes de la tabla del art. 12.1 LIS: confírmalo con tu asesor</t>
        </is>
      </c>
    </row>
    <row r="45">
      <c r="A45" t="inlineStr">
        <is>
          <t>Vida útil de maquinaria y mobiliario (años)</t>
        </is>
      </c>
      <c r="B45" s="21" t="n">
        <v>8</v>
      </c>
      <c r="C45" t="inlineStr">
        <is>
          <t>Máquina de café, molinillo, horno, vitrinas y mobiliario. Coeficiente lineal máximo del art. 12.1 LIS: 12 % maquinaria, 10 % mobiliario — por debajo de 8-10 años el exceso no es deducible. Confírmalo con tu asesor</t>
        </is>
      </c>
    </row>
    <row r="46"/>
    <row r="47">
      <c r="A47" s="19" t="inlineStr">
        <is>
          <t>CRECIMIENTO Y ACTUALIZACIÓN DE COSTES</t>
        </is>
      </c>
    </row>
    <row r="48">
      <c r="A48" t="inlineStr">
        <is>
          <t>Subida anual de los costes fijos</t>
        </is>
      </c>
      <c r="B48" s="23" t="n">
        <v>0</v>
      </c>
      <c r="C48" t="inlineStr">
        <is>
          <t>A CERO: las tres columnas están en euros del año 1 (términos reales). Súbela si quieres proyectar en euros corrientes</t>
        </is>
      </c>
    </row>
    <row r="49">
      <c r="A49" s="19" t="inlineStr">
        <is>
          <t>ARRANQUE Y AFORO</t>
        </is>
      </c>
    </row>
    <row r="50">
      <c r="A50" t="inlineStr">
        <is>
          <t>Rotaciones al día implícitas (calculado)</t>
        </is>
      </c>
      <c r="B50" s="27">
        <f>IFERROR($B$4/$B$51,"")</f>
        <v>2.2222222222222223</v>
      </c>
      <c r="C50" t="str">
        <f>IFERROR("Son "&amp;TEXT(INT(ROUND(B50,1)),"0")&amp;","&amp;TEXT(ROUND(MOD(ROUND(B50,1),1)*10,0),"0")&amp;" servicios por plaza y día sobre las "&amp;TEXT($B$51,"0")&amp;" plazas de la celda de arriba. Este libro publica una rotación de mesa de 2-3 turnos en el brunch de fin de semana: compara esta media con tu horario real antes de darla por buena.","")</f>
        <v>Son 2,2 servicios por plaza y día sobre las 45 plazas de la celda de arriba. Este libro publica una rotación de mesa de 2-3 turnos en el brunch de fin de semana: compara esta media con tu horario real antes de darla por buena.</v>
      </c>
    </row>
    <row r="51">
      <c r="A51" t="inlineStr">
        <is>
          <t>Aforo del local (plazas sentadas + barra)</t>
        </is>
      </c>
      <c r="B51" s="21" t="n">
        <v>45</v>
      </c>
      <c r="C51" t="inlineStr">
        <is>
          <t>Plazas interiores (30-40 según la hoja de Inversión) más las de la terraza (8-10 mesas). De aquí sale la rotación implícita: clientes/día ÷ aforo</t>
        </is>
      </c>
    </row>
    <row r="52">
      <c r="A52" t="inlineStr">
        <is>
          <t>Actividad del mes 1 sobre la de crucero</t>
        </is>
      </c>
      <c r="B52" s="23"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21" t="n">
        <v>6</v>
      </c>
      <c r="C53" t="inlineStr">
        <is>
          <t>La rampa sube en línea recta desde el porcentaje de arriba hasta el 100 % en este número de meses</t>
        </is>
      </c>
    </row>
    <row r="54">
      <c r="A54" t="inlineStr">
        <is>
          <t>Meses de alquiler ANTES de abrir (obra y licencias)</t>
        </is>
      </c>
      <c r="B54" s="21" t="n">
        <v>1</v>
      </c>
      <c r="C54" t="inlineStr">
        <is>
          <t>El local se paga desde que se firma. Estos meses son inversión: NO se solapan con el P&amp;L, que arranca el día de la apertura</t>
        </is>
      </c>
    </row>
    <row r="55">
      <c r="A55" t="inlineStr">
        <is>
          <t>Imprevistos sobre las partidas de OBRA del bloque de local (%)</t>
        </is>
      </c>
      <c r="B55" s="23" t="n">
        <v>0.1</v>
      </c>
      <c r="C55" t="inlineStr">
        <is>
          <t>Colchón sobre la partida de obra y acondicionamiento. Un banco no financia una reforma sin él</t>
        </is>
      </c>
    </row>
    <row r="56"/>
    <row r="57">
      <c r="A57" s="19" t="inlineStr">
        <is>
          <t>COBROS, PAGOS Y DESGLOSE DEL IVA</t>
        </is>
      </c>
    </row>
    <row r="58">
      <c r="A58" t="inlineStr">
        <is>
          <t>Días medios de cobro</t>
        </is>
      </c>
      <c r="B58" s="21" t="n">
        <v>0</v>
      </c>
      <c r="C58" t="inlineStr">
        <is>
          <t>En barra y sala se cobra al contado (0 días). Súbelo si trabajas con plataformas de reserva o de reparto, que liquidan a D+1/D+30</t>
        </is>
      </c>
    </row>
    <row r="59">
      <c r="A59" t="inlineStr">
        <is>
          <t>Días medios de pago a proveedor</t>
        </is>
      </c>
      <c r="B59" s="21" t="n">
        <v>30</v>
      </c>
      <c r="C59" t="inlineStr">
        <is>
          <t>Lo que te financian tus proveedores. Es lo primero que se pierde si te retrasas en un pago</t>
        </is>
      </c>
    </row>
    <row r="60">
      <c r="A60" t="inlineStr">
        <is>
          <t>Mes de la paga extra de verano</t>
        </is>
      </c>
      <c r="B60" s="21" t="n">
        <v>7</v>
      </c>
      <c r="C60" t="inlineStr">
        <is>
          <t>Mes del año (1-12) en el que sale de caja la primera paga extra</t>
        </is>
      </c>
    </row>
    <row r="61">
      <c r="A61" t="inlineStr">
        <is>
          <t>Mes de la paga extra de Navidad</t>
        </is>
      </c>
      <c r="B61" s="21" t="n">
        <v>12</v>
      </c>
      <c r="C61" t="inlineStr">
        <is>
          <t>Mes del año (1-12) en el que sale de caja la segunda paga extra</t>
        </is>
      </c>
    </row>
    <row r="62">
      <c r="A62" t="inlineStr">
        <is>
          <t>Bebida ALCOHÓLICA sobre el total de bebida</t>
        </is>
      </c>
      <c r="B62" s="23" t="n">
        <v>0.03</v>
      </c>
      <c r="C62" t="inlineStr">
        <is>
          <t>Bebida ALCOHÓLICA sobre el total de bebida: mínima en una cafetería/brunch (algún mimosa o cava de celebración). El resto —café, zumos, smoothies, refrescos— va al IVA reducido de hostelería</t>
        </is>
      </c>
    </row>
    <row r="63">
      <c r="A63" t="inlineStr">
        <is>
          <t>IVA de la bebida ALCOHÓLICA servida en sala</t>
        </is>
      </c>
      <c r="B63" s="23" t="n">
        <v>0.1</v>
      </c>
      <c r="C63" t="inlineStr">
        <is>
          <t>10 %, igual que el resto del consumo en sala: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19" t="inlineStr">
        <is>
          <t>UMBRALES Y SUELOS DE CONTROL</t>
        </is>
      </c>
    </row>
    <row r="65">
      <c r="A65" t="inlineStr">
        <is>
          <t>DSCR mínimo aceptable</t>
        </is>
      </c>
      <c r="B65" s="28" t="n">
        <v>1</v>
      </c>
      <c r="C65" t="inlineStr">
        <is>
          <t>Por debajo de 1 el negocio no genera para pagar el préstamo. Ponlo en el covenant que te exija tu banco</t>
        </is>
      </c>
    </row>
    <row r="66">
      <c r="A66" t="inlineStr">
        <is>
          <t>DSCR objetivo (verde)</t>
        </is>
      </c>
      <c r="B66" s="28" t="n">
        <v>1.25</v>
      </c>
      <c r="C66" t="inlineStr">
        <is>
          <t>Lo que suele pedir una entidad para dar el préstamo sin garantías adicionales</t>
        </is>
      </c>
    </row>
    <row r="67">
      <c r="A67" t="inlineStr">
        <is>
          <t>Holgura mínima sobre el punto de equilibrio</t>
        </is>
      </c>
      <c r="B67" s="23"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6" t="n">
        <v>0</v>
      </c>
      <c r="C68" t="inlineStr">
        <is>
          <t>El convenio PROVINCIAL de hostelería, no el SMI, es el suelo real del sector: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42"/>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CAFETERÍA / BRUNCH</t>
        </is>
      </c>
    </row>
    <row r="2">
      <c r="A2" s="2" t="inlineStr">
        <is>
          <t>Inversión Inicial Estimada — España 2026</t>
        </is>
      </c>
    </row>
    <row r="3">
      <c r="A3" s="3" t="inlineStr">
        <is>
          <t>Ajusta las cifras a tu proyecto. Los rangos reflejan mercado español actual.</t>
        </is>
      </c>
    </row>
    <row r="4"/>
    <row r="5">
      <c r="A5" s="29" t="inlineStr">
        <is>
          <t>Concepto</t>
        </is>
      </c>
      <c r="B5" s="29" t="inlineStr">
        <is>
          <t>Importe</t>
        </is>
      </c>
      <c r="C5" s="29" t="inlineStr">
        <is>
          <t>% s/inversión</t>
        </is>
      </c>
      <c r="D5" s="29" t="inlineStr">
        <is>
          <t>Notas</t>
        </is>
      </c>
      <c r="E5" s="29" t="inlineStr">
        <is>
          <t>¿Lleva IVA?</t>
        </is>
      </c>
    </row>
    <row r="6">
      <c r="A6" s="29" t="inlineStr">
        <is>
          <t>INVERSIÓN</t>
        </is>
      </c>
      <c r="B6" s="30">
        <f>IFERROR(IF(COUNT(B7:B32)=0,"",SUM(B7:B32)),"")</f>
        <v>91650.0</v>
      </c>
      <c r="C6" s="31">
        <f>IFERROR(B6/$B$35,"")</f>
        <v>0.7040488570728967</v>
      </c>
      <c r="D6" s="32" t="n"/>
      <c r="E6" s="32" t="n"/>
    </row>
    <row r="7">
      <c r="A7" s="32" t="inlineStr">
        <is>
          <t>Constitución SL + notaría + registro</t>
        </is>
      </c>
      <c r="B7" s="33" t="n">
        <v>800</v>
      </c>
      <c r="C7" s="34">
        <f>IFERROR(B7/$B$35,"")</f>
        <v>0.006145543760592661</v>
      </c>
      <c r="D7" s="32" t="inlineStr">
        <is>
          <t>SL unipersonal express 3-5 días</t>
        </is>
      </c>
      <c r="E7" s="35" t="inlineStr">
        <is>
          <t>No</t>
        </is>
      </c>
    </row>
    <row r="8">
      <c r="A8" s="32" t="inlineStr">
        <is>
          <t>Licencia de actividad (inocua)</t>
        </is>
      </c>
      <c r="B8" s="33" t="n">
        <v>600</v>
      </c>
      <c r="C8" s="34">
        <f>IFERROR(B8/$B$35,"")</f>
        <v>0.004609157820444495</v>
      </c>
      <c r="D8" s="32" t="inlineStr">
        <is>
          <t>Cafetería sin cocina elaborada = inocua en muchos municipios</t>
        </is>
      </c>
      <c r="E8" s="35" t="inlineStr">
        <is>
          <t>No</t>
        </is>
      </c>
    </row>
    <row r="9">
      <c r="A9" s="32" t="inlineStr">
        <is>
          <t>Proyecto técnico + certificación</t>
        </is>
      </c>
      <c r="B9" s="33" t="n">
        <v>2500</v>
      </c>
      <c r="C9" s="34">
        <f>IFERROR(B9/$B$35,"")</f>
        <v>0.019204824251852066</v>
      </c>
      <c r="D9" s="32" t="inlineStr">
        <is>
          <t>Obligatorio si superas los 100 m² o cambias el uso del local. Incluye planos, memoria técnica e instalaciones</t>
        </is>
      </c>
      <c r="E9" s="35" t="inlineStr">
        <is>
          <t>Sí</t>
        </is>
      </c>
    </row>
    <row r="10">
      <c r="A10" s="32" t="inlineStr">
        <is>
          <t>Obra civil y adecuación local</t>
        </is>
      </c>
      <c r="B10" s="33" t="n">
        <v>18000</v>
      </c>
      <c r="C10" s="34">
        <f>IFERROR(B10/$B$35,"")</f>
        <v>0.13827473461333487</v>
      </c>
      <c r="D10" s="32" t="inlineStr">
        <is>
          <t>Suelo, pintura, instalaciones y baño accesible</t>
        </is>
      </c>
      <c r="E10" s="35" t="inlineStr">
        <is>
          <t>Sí</t>
        </is>
      </c>
    </row>
    <row r="11">
      <c r="A11" s="32" t="inlineStr">
        <is>
          <t>Instalación eléctrica + climatización</t>
        </is>
      </c>
      <c r="B11" s="33" t="n">
        <v>5000</v>
      </c>
      <c r="C11" s="34">
        <f>IFERROR(B11/$B$35,"")</f>
        <v>0.03840964850370413</v>
      </c>
      <c r="D11" s="32" t="inlineStr">
        <is>
          <t>Potencia mínima 15-20 kW para equipamiento</t>
        </is>
      </c>
      <c r="E11" s="35" t="inlineStr">
        <is>
          <t>Sí</t>
        </is>
      </c>
    </row>
    <row r="12">
      <c r="A12" s="32" t="inlineStr">
        <is>
          <t>Fontanería + evacuación</t>
        </is>
      </c>
      <c r="B12" s="33" t="n">
        <v>2500</v>
      </c>
      <c r="C12" s="34">
        <f>IFERROR(B12/$B$35,"")</f>
        <v>0.019204824251852066</v>
      </c>
      <c r="D12" s="32" t="inlineStr">
        <is>
          <t>Toma de agua, desagüe y trampa de grasas si hay cocina</t>
        </is>
      </c>
      <c r="E12" s="35" t="inlineStr">
        <is>
          <t>Sí</t>
        </is>
      </c>
    </row>
    <row r="13">
      <c r="A13" s="32" t="inlineStr">
        <is>
          <t>Molinillo de café profesional</t>
        </is>
      </c>
      <c r="B13" s="33" t="n">
        <v>1200</v>
      </c>
      <c r="C13" s="34">
        <f>IFERROR(B13/$B$35,"")</f>
        <v>0.00921831564088899</v>
      </c>
      <c r="D13" s="32" t="inlineStr">
        <is>
          <t>Molinillo on-demand, fundamental para specialty coffee</t>
        </is>
      </c>
      <c r="E13" s="35" t="inlineStr">
        <is>
          <t>Sí</t>
        </is>
      </c>
    </row>
    <row r="14">
      <c r="A14" s="32" t="inlineStr">
        <is>
          <t>Horno combinado / horno convección</t>
        </is>
      </c>
      <c r="B14" s="33" t="n">
        <v>4500</v>
      </c>
      <c r="C14" s="34">
        <f>IFERROR(B14/$B$35,"")</f>
        <v>0.034568683653333716</v>
      </c>
      <c r="D14" s="32" t="inlineStr">
        <is>
          <t>Para bollería, brunch, tostas calientes</t>
        </is>
      </c>
      <c r="E14" s="35" t="inlineStr">
        <is>
          <t>Sí</t>
        </is>
      </c>
    </row>
    <row r="15">
      <c r="A15" s="32" t="inlineStr">
        <is>
          <t>Vitrina refrigerada exposición</t>
        </is>
      </c>
      <c r="B15" s="33" t="n">
        <v>2500</v>
      </c>
      <c r="C15" s="34">
        <f>IFERROR(B15/$B$35,"")</f>
        <v>0.019204824251852066</v>
      </c>
      <c r="D15" s="32" t="inlineStr">
        <is>
          <t>Para sándwiches, tartas y bollería</t>
        </is>
      </c>
      <c r="E15" s="35" t="inlineStr">
        <is>
          <t>Sí</t>
        </is>
      </c>
    </row>
    <row r="16">
      <c r="A16" s="32" t="inlineStr">
        <is>
          <t>Neveras bajo barra + almacén</t>
        </is>
      </c>
      <c r="B16" s="33" t="n">
        <v>3000</v>
      </c>
      <c r="C16" s="34">
        <f>IFERROR(B16/$B$35,"")</f>
        <v>0.023045789102222478</v>
      </c>
      <c r="D16" s="32" t="inlineStr">
        <is>
          <t>2-3 unidades bajo barra + 1 armario frigorífico</t>
        </is>
      </c>
      <c r="E16" s="35" t="inlineStr">
        <is>
          <t>Sí</t>
        </is>
      </c>
    </row>
    <row r="17">
      <c r="A17" s="32" t="inlineStr">
        <is>
          <t>Plancha / sandwichera industrial</t>
        </is>
      </c>
      <c r="B17" s="33" t="n">
        <v>1500</v>
      </c>
      <c r="C17" s="34">
        <f>IFERROR(B17/$B$35,"")</f>
        <v>0.011522894551111239</v>
      </c>
      <c r="D17" s="32" t="inlineStr">
        <is>
          <t>Para tostas, paninis, huevos brunch</t>
        </is>
      </c>
      <c r="E17" s="35" t="inlineStr">
        <is>
          <t>Sí</t>
        </is>
      </c>
    </row>
    <row r="18">
      <c r="A18" s="32" t="inlineStr">
        <is>
          <t>Batidora, exprimidor, tostadora</t>
        </is>
      </c>
      <c r="B18" s="33" t="n">
        <v>800</v>
      </c>
      <c r="C18" s="34">
        <f>IFERROR(B18/$B$35,"")</f>
        <v>0.006145543760592661</v>
      </c>
      <c r="D18" s="32" t="inlineStr">
        <is>
          <t>Zumos naturales, smoothies, tostadas</t>
        </is>
      </c>
      <c r="E18" s="35" t="inlineStr">
        <is>
          <t>Sí</t>
        </is>
      </c>
    </row>
    <row r="19">
      <c r="A19" s="32" t="inlineStr">
        <is>
          <t>Lavavajillas industrial</t>
        </is>
      </c>
      <c r="B19" s="33" t="n">
        <v>2500</v>
      </c>
      <c r="C19" s="34">
        <f>IFERROR(B19/$B$35,"")</f>
        <v>0.019204824251852066</v>
      </c>
      <c r="D19" s="32" t="inlineStr">
        <is>
          <t>Ciclo corto 2-3 min, imprescindible en volumen</t>
        </is>
      </c>
      <c r="E19" s="35" t="inlineStr">
        <is>
          <t>Sí</t>
        </is>
      </c>
    </row>
    <row r="20">
      <c r="A20" s="32" t="inlineStr">
        <is>
          <t>Mobiliario sala (mesas + sillas)</t>
        </is>
      </c>
      <c r="B20" s="33" t="n">
        <v>6000</v>
      </c>
      <c r="C20" s="34">
        <f>IFERROR(B20/$B$35,"")</f>
        <v>0.046091578204444955</v>
      </c>
      <c r="D20" s="32" t="inlineStr">
        <is>
          <t>12-15 mesas, 30-40 plazas interior</t>
        </is>
      </c>
      <c r="E20" s="35" t="inlineStr">
        <is>
          <t>Sí</t>
        </is>
      </c>
    </row>
    <row r="21">
      <c r="A21" s="32" t="inlineStr">
        <is>
          <t>Barra y mostrador expositor</t>
        </is>
      </c>
      <c r="B21" s="33" t="n">
        <v>5000</v>
      </c>
      <c r="C21" s="34">
        <f>IFERROR(B21/$B$35,"")</f>
        <v>0.03840964850370413</v>
      </c>
      <c r="D21" s="32" t="inlineStr">
        <is>
          <t>Barra en L o recta, mostrador pasteles/bocadillos</t>
        </is>
      </c>
      <c r="E21" s="35" t="inlineStr">
        <is>
          <t>Sí</t>
        </is>
      </c>
    </row>
    <row r="22">
      <c r="A22" s="32" t="inlineStr">
        <is>
          <t>Terraza (mobiliario + toldo)</t>
        </is>
      </c>
      <c r="B22" s="33" t="n">
        <v>4000</v>
      </c>
      <c r="C22" s="34">
        <f>IFERROR(B22/$B$35,"")</f>
        <v>0.030727718802963305</v>
      </c>
      <c r="D22" s="32" t="inlineStr">
        <is>
          <t>8-10 mesas exterior si hay licencia</t>
        </is>
      </c>
      <c r="E22" s="35" t="inlineStr">
        <is>
          <t>Sí</t>
        </is>
      </c>
    </row>
    <row r="23">
      <c r="A23" s="32" t="inlineStr">
        <is>
          <t>Vajilla, cristalería, cubertería</t>
        </is>
      </c>
      <c r="B23" s="33" t="n">
        <v>2000</v>
      </c>
      <c r="C23" s="34">
        <f>IFERROR(B23/$B$35,"")</f>
        <v>0.015363859401481652</v>
      </c>
      <c r="D23" s="32" t="inlineStr">
        <is>
          <t>Tazas specialty, platos brunch, clientes</t>
        </is>
      </c>
      <c r="E23" s="35" t="inlineStr">
        <is>
          <t>Sí</t>
        </is>
      </c>
    </row>
    <row r="24">
      <c r="A24" s="32" t="inlineStr">
        <is>
          <t>Decoración + iluminación</t>
        </is>
      </c>
      <c r="B24" s="33" t="n">
        <v>3000</v>
      </c>
      <c r="C24" s="34">
        <f>IFERROR(B24/$B$35,"")</f>
        <v>0.023045789102222478</v>
      </c>
      <c r="D24" s="32" t="inlineStr">
        <is>
          <t>Iluminación cálida, plantas y un estilo cuidado para las fotos</t>
        </is>
      </c>
      <c r="E24" s="35" t="inlineStr">
        <is>
          <t>Sí</t>
        </is>
      </c>
    </row>
    <row r="25">
      <c r="A25" s="32" t="inlineStr">
        <is>
          <t>Rotulación + imagen exterior</t>
        </is>
      </c>
      <c r="B25" s="33" t="n">
        <v>1500</v>
      </c>
      <c r="C25" s="34">
        <f>IFERROR(B25/$B$35,"")</f>
        <v>0.011522894551111239</v>
      </c>
      <c r="D25" s="32" t="inlineStr">
        <is>
          <t>Rótulo, pizarra y vinilo de escaparate</t>
        </is>
      </c>
      <c r="E25" s="35" t="inlineStr">
        <is>
          <t>Sí</t>
        </is>
      </c>
    </row>
    <row r="26">
      <c r="A26" s="32" t="inlineStr">
        <is>
          <t>Marketing lanzamiento (web + RRSS + Google)</t>
        </is>
      </c>
      <c r="B26" s="33" t="n">
        <v>2000</v>
      </c>
      <c r="C26" s="34">
        <f>IFERROR(B26/$B$35,"")</f>
        <v>0.015363859401481652</v>
      </c>
      <c r="D26" s="32" t="inlineStr">
        <is>
          <t>Web, ficha Google, RRSS, flyers zona</t>
        </is>
      </c>
      <c r="E26" s="35" t="inlineStr">
        <is>
          <t>Sí</t>
        </is>
      </c>
    </row>
    <row r="27">
      <c r="A27" s="32" t="inlineStr">
        <is>
          <t>Stock inicial (café, leche, bollería, etc.)</t>
        </is>
      </c>
      <c r="B27" s="33" t="n">
        <v>2000</v>
      </c>
      <c r="C27" s="34">
        <f>IFERROR(B27/$B$35,"")</f>
        <v>0.015363859401481652</v>
      </c>
      <c r="D27" s="32" t="inlineStr">
        <is>
          <t>Café specialty, leches vegetales, ingredientes brunch</t>
        </is>
      </c>
      <c r="E27" s="35" t="inlineStr">
        <is>
          <t>Sí</t>
        </is>
      </c>
    </row>
    <row r="28">
      <c r="A28" s="32" t="inlineStr">
        <is>
          <t>Máquina de café espresso profesional</t>
        </is>
      </c>
      <c r="B28" s="33" t="n">
        <v>8000</v>
      </c>
      <c r="C28" s="34">
        <f>IFERROR(B28/$B$35,"")</f>
        <v>0.06145543760592661</v>
      </c>
      <c r="D28" s="32" t="inlineStr">
        <is>
          <t>2 grupos, molinillo integrado o separado</t>
        </is>
      </c>
      <c r="E28" s="35" t="inlineStr">
        <is>
          <t>Sí</t>
        </is>
      </c>
    </row>
    <row r="29">
      <c r="A29" s="32" t="inlineStr">
        <is>
          <t>TPV + software gestión</t>
        </is>
      </c>
      <c r="B29" s="33" t="n">
        <v>1500</v>
      </c>
      <c r="C29" s="34">
        <f>IFERROR(B29/$B$35,"")</f>
        <v>0.011522894551111239</v>
      </c>
      <c r="D29" s="32" t="inlineStr">
        <is>
          <t>TPV táctil con software de control de caja y stock</t>
        </is>
      </c>
      <c r="E29" s="35" t="inlineStr">
        <is>
          <t>Sí</t>
        </is>
      </c>
    </row>
    <row r="30">
      <c r="A30" s="32" t="inlineStr">
        <is>
          <t>Fianza del alquiler</t>
        </is>
      </c>
      <c r="B30" s="36">
        <f>IFERROR(IF('0. Supuestos'!$B$24="","",'0. Supuestos'!$B$24*'0. Supuestos'!$B$25),"")</f>
        <v>6000.0</v>
      </c>
      <c r="C30" s="34">
        <f>IFERROR(B30/$B$35,"")</f>
        <v>0.046091578204444955</v>
      </c>
      <c r="D30" s="32" t="str">
        <f>IFERROR(""&amp;TEXT('0. Supuestos'!$B$25,"0")&amp;" meses de renta, al tipo de la hoja de Supuestos. Es un activo recuperable al cerrar: ni se amortiza ni lleva IVA","")</f>
        <v>3 meses de renta, al tipo de la hoja de Supuestos. Es un activo recuperable al cerrar: ni se amortiza ni lleva IVA</v>
      </c>
      <c r="E30" s="32" t="inlineStr">
        <is>
          <t>No</t>
        </is>
      </c>
    </row>
    <row r="31">
      <c r="A31" s="32" t="inlineStr">
        <is>
          <t>Alquiler de los meses previos a la apertura</t>
        </is>
      </c>
      <c r="B31" s="36">
        <f>IFERROR(IF('0. Supuestos'!$B$24="","",'0. Supuestos'!$B$24*'0. Supuestos'!$B$54),"")</f>
        <v>2000.0</v>
      </c>
      <c r="C31" s="34">
        <f>IFERROR(B31/$B$35,"")</f>
        <v>0.015363859401481652</v>
      </c>
      <c r="D31" s="32"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31" s="32" t="inlineStr">
        <is>
          <t>Sí</t>
        </is>
      </c>
    </row>
    <row r="32">
      <c r="A32" s="37" t="inlineStr">
        <is>
          <t>Imprevistos de obra y acondicionamiento</t>
        </is>
      </c>
      <c r="B32" s="38">
        <f>IFERROR(IF(COUNT(B9,B10,B11,B12,B24,B25)=0,"",ROUND((B9+B10+B11+B12+B24+B25)*'0. Supuestos'!$B$55,0)),"")</f>
        <v>3250.0</v>
      </c>
      <c r="C32" s="25">
        <f>IFERROR(B32/$B$35,"")</f>
        <v>0.024966271527407685</v>
      </c>
      <c r="D32" t="str">
        <f>IFERROR("Al "&amp;TEXT('0. Supuestos'!$B$55,"0%")&amp;" de las partidas de OBRA Y ACONDICIONAMIENTO de este bloque (Proyecto técnico + certificación, Obra civil y adecuación local, Instalación eléctrica + climatización, Fontanería + evacuación, Decoración + iluminación y Rotulación + imagen "&amp;"exterior), no del bloque entero: el resto de partidas del bloque quedan fuera. Un banco no financia una reforma sin colchón: el porcentaje está en la hoja de Supuestos","")</f>
        <v>Al 10% de las partidas de OBRA Y ACONDICIONAMIENTO de este bloque (Proyecto técnico + certificación, Obra civil y adecuación local, Instalación eléctrica + climatización, Fontanería + evacuación, Decoración + iluminación y Rotulación + imagen exterior), no del bloque entero: el resto de partidas del bloque quedan fuera. Un banco no financia una reforma sin colchón: el porcentaje está en la hoja de Supuestos</v>
      </c>
      <c r="E32" s="37" t="inlineStr">
        <is>
          <t>Sí</t>
        </is>
      </c>
    </row>
    <row r="33">
      <c r="A33" s="19" t="inlineStr">
        <is>
          <t>FONDO DE MANIOBRA</t>
        </is>
      </c>
      <c r="B33" s="39">
        <f>IFERROR(IF(B34="","",B34),"")</f>
        <v>38525.625</v>
      </c>
      <c r="C33" s="40">
        <f>IFERROR(B33/$B$35,"")</f>
        <v>0.2959511429271033</v>
      </c>
    </row>
    <row r="34">
      <c r="A34" s="37" t="inlineStr">
        <is>
          <t>Colchón operativo hasta alcanzar el equilibrio</t>
        </is>
      </c>
      <c r="B34" s="38">
        <f>IFERROR(IF('0. Supuestos'!$B$35*('PyG 3 Años'!$B$37-'PyG 3 Años'!$B$35)=0,"",'0. Supuestos'!$B$35*('PyG 3 Años'!$B$37-'PyG 3 Años'!$B$35)/12),"")</f>
        <v>38525.625</v>
      </c>
      <c r="C34" s="25">
        <f>IFERROR(B34/$B$35,"")</f>
        <v>0.2959511429271033</v>
      </c>
      <c r="D34"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4" s="37" t="inlineStr">
        <is>
          <t>No</t>
        </is>
      </c>
    </row>
    <row r="35">
      <c r="A35" s="19" t="inlineStr">
        <is>
          <t>INVERSIÓN TOTAL (suma de los bloques)</t>
        </is>
      </c>
      <c r="B35" s="39">
        <f>IFERROR(B6+B33,"")</f>
        <v>130175.625</v>
      </c>
      <c r="D35" s="41" t="str">
        <f>IFERROR("Los porcentajes de la columna C se leen sobre esta cifra, que incluye el fondo de maniobra ("&amp;TEXT(C33,"0%")&amp;" del total). Para comparar el desglose con otro plan, usa la fila de CAPEX de abajo.","")</f>
        <v>Los porcentajes de la columna C se leen sobre esta cifra, que incluye el fondo de maniobra (30% del total). Para comparar el desglose con otro plan, usa la fila de CAPEX de abajo.</v>
      </c>
    </row>
    <row r="36">
      <c r="A36" s="19" t="inlineStr">
        <is>
          <t>CAPEX (inversión sin el fondo de maniobra)</t>
        </is>
      </c>
      <c r="B36" s="39">
        <f>IFERROR(B35-B33,"")</f>
        <v>91650.0</v>
      </c>
      <c r="D36" s="19" t="inlineStr">
        <is>
          <t>Es lo que se compra: obra, equipamiento, lanzamiento y gastos de constitución. El colchón de caja no es inversión, es circulante</t>
        </is>
      </c>
    </row>
    <row r="37">
      <c r="A37" s="37" t="inlineStr">
        <is>
          <t>IVA soportado sobre la inversión (recuperable)</t>
        </is>
      </c>
      <c r="B37" s="38">
        <f>IFERROR(IF(B35="","",SUMIF($E$7:$E$32,"Sí",$B$7:$B$32)*'0. Supuestos'!$B$41),"")</f>
        <v>17692.5</v>
      </c>
      <c r="D37"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38">
      <c r="A38" s="19" t="inlineStr">
        <is>
          <t>NECESIDAD TOTAL DE CAJA AL ARRANQUE</t>
        </is>
      </c>
      <c r="B38" s="39">
        <f>IFERROR(B35+B37,"")</f>
        <v>147868.125</v>
      </c>
      <c r="D38" s="19" t="inlineStr">
        <is>
          <t>Es la cifra que tiene que cubrir la hoja de Financiación</t>
        </is>
      </c>
    </row>
    <row r="39">
      <c r="A39" s="19" t="inlineStr">
        <is>
          <t>BASES DE AMORTIZACIÓN (no suman a la inversión)</t>
        </is>
      </c>
    </row>
    <row r="40">
      <c r="A40" s="37" t="inlineStr">
        <is>
          <t>Obra, instalaciones y acondicionamiento</t>
        </is>
      </c>
      <c r="B40" s="38">
        <f>IFERROR(IF(B9="","",B9+B10+B11+B12+B24+B25+B32),"")</f>
        <v>35750.0</v>
      </c>
      <c r="D40" t="str">
        <f>IFERROR("Se amortiza en "&amp;TEXT('0. Supuestos'!$B$44,"0")&amp;" años","")</f>
        <v>Se amortiza en 10 años</v>
      </c>
    </row>
    <row r="41">
      <c r="A41" s="37" t="inlineStr">
        <is>
          <t>Maquinaria, mobiliario y equipos</t>
        </is>
      </c>
      <c r="B41" s="38">
        <f>IFERROR(IF(B13="","",B13+B14+B15+B16+B17+B18+B19+B20+B21+B22+B23+B28+B29),"")</f>
        <v>42500.0</v>
      </c>
      <c r="D41" t="str">
        <f>IFERROR("Se amortiza en "&amp;TEXT('0. Supuestos'!$B$45,"0")&amp;" años","")</f>
        <v>Se amortiza en 8 años</v>
      </c>
    </row>
    <row r="42">
      <c r="A42" s="19" t="inlineStr">
        <is>
          <t>Amortización anual del inmovilizado</t>
        </is>
      </c>
      <c r="B42" s="39">
        <f>IFERROR(B40/MAX(1,'0. Supuestos'!$B$44)+B41/MAX(1,'0. Supuestos'!$B$45),"")</f>
        <v>8887.5</v>
      </c>
      <c r="D42" s="41" t="str">
        <f>IFERROR("No se amortizan, por no ser inmovilizado, Constitución SL + notaría + registro, Licencia de actividad (inocua), Marketing lanzamiento (web + RRSS + Google), Stock inicial (café, leche, bollería, etc.), Fianza del alquiler, Alquiler de los "&amp;"meses previos a la apertura ni Colchón operativo hasta alcanzar el equilibrio. Suman "&amp;TEXT(B35-B40-B41,"0")&amp;" € de los "&amp;TEXT(B35,"0")&amp;" € de inversión.","")</f>
        <v>No se amortizan, por no ser inmovilizado, Constitución SL + notaría + registro, Licencia de actividad (inocua), Marketing lanzamiento (web + RRSS + Google), Stock inicial (café, leche, bollería, etc.), Fianza del alquiler, Alquiler de los meses previos a la apertura ni Colchón operativo hasta alcanzar el equilibrio. Suman 51926 € de los 130176 €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8">
    <cfRule type="expression" priority="1" dxfId="0" stopIfTrue="1">
      <formula>AND(ISNUMBER(B38),B38&gt;0)</formula>
    </cfRule>
  </conditionalFormatting>
  <dataValidations count="2">
    <dataValidation sqref="E7:E29"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B26 B27 B28 B2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42" t="inlineStr">
        <is>
          <t>CUENTA DE RESULTADOS PREVISIONAL — 3 AÑOS</t>
        </is>
      </c>
    </row>
    <row r="2">
      <c r="A2" s="3" t="inlineStr">
        <is>
          <t>Escenario realista — Cafetería/Brunch 35-40 plazas</t>
        </is>
      </c>
    </row>
    <row r="3"/>
    <row r="4">
      <c r="A4" s="43" t="inlineStr">
        <is>
          <t>Concepto</t>
        </is>
      </c>
      <c r="B4" s="43" t="inlineStr">
        <is>
          <t>Año 1</t>
        </is>
      </c>
      <c r="C4" s="43" t="inlineStr">
        <is>
          <t>Año 2</t>
        </is>
      </c>
      <c r="D4" s="43" t="inlineStr">
        <is>
          <t>Año 3</t>
        </is>
      </c>
      <c r="E4" s="43" t="inlineStr">
        <is>
          <t>% s/ventas (año 1)</t>
        </is>
      </c>
      <c r="F4" s="43" t="inlineStr">
        <is>
          <t>Notas</t>
        </is>
      </c>
      <c r="G4" s="43" t="inlineStr">
        <is>
          <t>Tipo de IVA de la línea (%)</t>
        </is>
      </c>
      <c r="H4" s="32" t="n"/>
    </row>
    <row r="5">
      <c r="A5" s="29" t="inlineStr">
        <is>
          <t>INGRESOS</t>
        </is>
      </c>
      <c r="B5" s="32" t="n"/>
      <c r="C5" s="32" t="n"/>
      <c r="D5" s="32" t="n"/>
      <c r="E5" s="32" t="n"/>
      <c r="F5" s="32" t="n"/>
      <c r="G5" s="32" t="n"/>
      <c r="H5" s="32" t="n"/>
    </row>
    <row r="6">
      <c r="A6" s="32" t="inlineStr">
        <is>
          <t>Clientes/día (media)</t>
        </is>
      </c>
      <c r="B6" s="44">
        <f>IFERROR(IF('0. Supuestos'!$B$4="","",'0. Supuestos'!$B$4),"")</f>
        <v>100.0</v>
      </c>
      <c r="C6" s="44">
        <f>IFERROR(B6*(1+'0. Supuestos'!$B$7),"")</f>
        <v>107.0</v>
      </c>
      <c r="D6" s="44">
        <f>IFERROR(C6*(1+'0. Supuestos'!$B$8),"")</f>
        <v>112.35000000000001</v>
      </c>
      <c r="E6" s="32" t="n"/>
      <c r="F6" s="32" t="inlineStr">
        <is>
          <t>El crecimiento de los años 2 y 3 está en la hoja de Supuestos</t>
        </is>
      </c>
      <c r="G6" s="32" t="n"/>
      <c r="H6" s="32" t="n"/>
    </row>
    <row r="7">
      <c r="A7" s="32" t="inlineStr">
        <is>
          <t>Ticket medio sin IVA</t>
        </is>
      </c>
      <c r="B7" s="45">
        <f>IFERROR(IF('0. Supuestos'!$B$5="","",'0. Supuestos'!$B$5),"")</f>
        <v>9.8</v>
      </c>
      <c r="C7" s="45">
        <f>IFERROR(IF(B7="","",B7),"")</f>
        <v>9.8</v>
      </c>
      <c r="D7" s="45">
        <f>IFERROR(IF(C7="","",C7),"")</f>
        <v>9.8</v>
      </c>
      <c r="E7" s="32" t="n"/>
      <c r="F7" s="32" t="inlineStr">
        <is>
          <t>Constante en euros del año 1: una subida de precios es una decisión aparte</t>
        </is>
      </c>
      <c r="G7" s="32" t="n"/>
      <c r="H7" s="32" t="n"/>
    </row>
    <row r="8">
      <c r="A8" s="32" t="inlineStr">
        <is>
          <t>Días de apertura al año</t>
        </is>
      </c>
      <c r="B8" s="44">
        <f>IFERROR(IF('0. Supuestos'!$B$6="","",'0. Supuestos'!$B$6),"")</f>
        <v>300.0</v>
      </c>
      <c r="C8" s="44">
        <f>IFERROR(IF(B8="","",B8),"")</f>
        <v>300.0</v>
      </c>
      <c r="D8" s="44">
        <f>IFERROR(IF(C8="","",C8),"")</f>
        <v>300.0</v>
      </c>
      <c r="E8" s="32" t="n"/>
      <c r="F8" s="32" t="n"/>
      <c r="G8" s="32" t="n"/>
      <c r="H8" s="32" t="n"/>
    </row>
    <row r="9">
      <c r="A9" s="29" t="inlineStr">
        <is>
          <t>INGRESOS TOTALES (sin IVA)</t>
        </is>
      </c>
      <c r="B9" s="30">
        <f>IFERROR(IF(B6*B7*B8=0,"",B6*B7*B8),"")</f>
        <v>294000.00000000006</v>
      </c>
      <c r="C9" s="30">
        <f>IFERROR(IF(C6*C7*C8=0,"",C6*C7*C8),"")</f>
        <v>314580.00000000006</v>
      </c>
      <c r="D9" s="30">
        <f>IFERROR(IF(D6*D7*D8=0,"",D6*D7*D8),"")</f>
        <v>330309.00000000006</v>
      </c>
      <c r="E9" s="31">
        <f>IFERROR(IF(B9="","",1),"")</f>
        <v>1.0</v>
      </c>
      <c r="F9" s="32" t="n"/>
      <c r="G9" s="32" t="n"/>
      <c r="H9" s="32" t="n"/>
    </row>
    <row r="10">
      <c r="A10" s="32" t="inlineStr">
        <is>
          <t>Ventas de comida (brunch, bollería, tostas y otros)</t>
        </is>
      </c>
      <c r="B10" s="36">
        <f>IFERROR(IF(B9="","",B9*$E$10),"")</f>
        <v>120540.00000000001</v>
      </c>
      <c r="C10" s="36">
        <f>IFERROR(IF(C9="","",C9*$E$10),"")</f>
        <v>128977.80000000002</v>
      </c>
      <c r="D10" s="36">
        <f>IFERROR(IF(D9="","",D9*$E$10),"")</f>
        <v>135426.69</v>
      </c>
      <c r="E10" s="34">
        <f>IFERROR(IF('0. Supuestos'!$B$11="","",'0. Supuestos'!$B$11),"")</f>
        <v>0.41</v>
      </c>
      <c r="F10" s="32" t="inlineStr">
        <is>
          <t>Brunch de fin de semana, bollería y tostas del servicio de mañana, más ventas menores de temporada (take-away extra, catering mini, merchandising)</t>
        </is>
      </c>
      <c r="G10" s="34">
        <f>IFERROR(IF(B9="","",'0. Supuestos'!$B$39),"")</f>
        <v>0.1</v>
      </c>
      <c r="H10" s="32" t="n"/>
    </row>
    <row r="11">
      <c r="A11" s="32" t="inlineStr">
        <is>
          <t>Ventas de bebida (café, bebidas calientes y frías)</t>
        </is>
      </c>
      <c r="B11" s="36">
        <f>IFERROR(IF(B9="","",B9*$E$11),"")</f>
        <v>173460.00000000006</v>
      </c>
      <c r="C11" s="36">
        <f>IFERROR(IF(C9="","",C9*$E$11),"")</f>
        <v>185602.20000000007</v>
      </c>
      <c r="D11" s="36">
        <f>IFERROR(IF(D9="","",D9*$E$11),"")</f>
        <v>194882.31000000006</v>
      </c>
      <c r="E11" s="34">
        <f>IFERROR(IF('0. Supuestos'!$B$12="","",'0. Supuestos'!$B$12),"")</f>
        <v>0.5900000000000001</v>
      </c>
      <c r="F11" s="32" t="inlineStr">
        <is>
          <t>Espresso, cafés con leche, tés e infusiones de barra, más zumos naturales y smoothies, que son los de coste más alto por trabajar con producto fresco</t>
        </is>
      </c>
      <c r="G11" s="34">
        <f>IFERROR(IF(B9="","",('0. Supuestos'!$B$62*((1-'0. Supuestos'!$B$16)*'0. Supuestos'!$B$63+'0. Supuestos'!$B$16*'0. Supuestos'!$B$40)+(1-'0. Supuestos'!$B$62)*'0. Supuestos'!$B$39)),"")</f>
        <v>0.1</v>
      </c>
      <c r="H11" s="32" t="n"/>
    </row>
    <row r="12">
      <c r="A12" s="29" t="inlineStr">
        <is>
          <t>COSTES VARIABLES</t>
        </is>
      </c>
      <c r="B12" s="32" t="n"/>
      <c r="C12" s="32" t="n"/>
      <c r="D12" s="32" t="n"/>
      <c r="E12" s="32" t="n"/>
      <c r="F12" s="32" t="n"/>
      <c r="G12" s="32" t="n"/>
      <c r="H12" s="32" t="n"/>
    </row>
    <row r="13">
      <c r="A13" s="32" t="inlineStr">
        <is>
          <t>Coste de mercancía — comida</t>
        </is>
      </c>
      <c r="B13" s="36">
        <f>IFERROR(IF(B9="","",B9*'0. Supuestos'!$B$11*'0. Supuestos'!$B$13),"")</f>
        <v>38572.8</v>
      </c>
      <c r="C13" s="36">
        <f>IFERROR(IF(C9="","",C9*'0. Supuestos'!$B$11*'0. Supuestos'!$B$13),"")</f>
        <v>41272.89600000001</v>
      </c>
      <c r="D13" s="36">
        <f>IFERROR(IF(D9="","",D9*'0. Supuestos'!$B$11*'0. Supuestos'!$B$13),"")</f>
        <v>43336.5408</v>
      </c>
      <c r="E13" s="34">
        <f>IFERROR(B13/$B$9,"")</f>
        <v>0.13119999999999998</v>
      </c>
      <c r="F13" s="32" t="str">
        <f>IFERROR("Al "&amp;TEXT('0. Supuestos'!$B$13,"0%")&amp;" de las ventas de COMIDA, no del total: la bebida tiene su propia línea","")</f>
        <v>Al 32% de las ventas de COMIDA, no del total: la bebida tiene su propia línea</v>
      </c>
      <c r="G13" s="34">
        <f>IFERROR(IF(B9="","",'0. Supuestos'!$B$39),"")</f>
        <v>0.1</v>
      </c>
      <c r="H13" s="32" t="n"/>
    </row>
    <row r="14">
      <c r="A14" s="32" t="inlineStr">
        <is>
          <t>Coste de mercancía — bebida</t>
        </is>
      </c>
      <c r="B14" s="36">
        <f>IFERROR(IF(B9="","",B9*'0. Supuestos'!$B$12*'0. Supuestos'!$B$14),"")</f>
        <v>48568.80000000002</v>
      </c>
      <c r="C14" s="36">
        <f>IFERROR(IF(C9="","",C9*'0. Supuestos'!$B$12*'0. Supuestos'!$B$14),"")</f>
        <v>51968.61600000002</v>
      </c>
      <c r="D14" s="36">
        <f>IFERROR(IF(D9="","",D9*'0. Supuestos'!$B$12*'0. Supuestos'!$B$14),"")</f>
        <v>54567.04680000002</v>
      </c>
      <c r="E14" s="34">
        <f>IFERROR(B14/$B$9,"")</f>
        <v>0.1652</v>
      </c>
      <c r="F14" s="32" t="str">
        <f>IFERROR("Al "&amp;TEXT('0. Supuestos'!$B$14,"0%")&amp;" de las ventas de BEBIDA","")</f>
        <v>Al 28% de las ventas de BEBIDA</v>
      </c>
      <c r="G14" s="34">
        <f>IFERROR(IF(B9="","",('0. Supuestos'!$B$62*'0. Supuestos'!$B$40+(1-'0. Supuestos'!$B$62)*'0. Supuestos'!$B$39)),"")</f>
        <v>0.1033</v>
      </c>
      <c r="H14" s="32" t="n"/>
    </row>
    <row r="15">
      <c r="A15" s="32" t="inlineStr">
        <is>
          <t>Consumibles y envases</t>
        </is>
      </c>
      <c r="B15" s="36">
        <f>IFERROR(IF(B9="","",B9*'0. Supuestos'!$B$15),"")</f>
        <v>4410.000000000001</v>
      </c>
      <c r="C15" s="36">
        <f>IFERROR(IF(C9="","",C9*'0. Supuestos'!$B$15),"")</f>
        <v>4718.700000000001</v>
      </c>
      <c r="D15" s="36">
        <f>IFERROR(IF(D9="","",D9*'0. Supuestos'!$B$15),"")</f>
        <v>4954.635000000001</v>
      </c>
      <c r="E15" s="34">
        <f>IFERROR(B15/$B$9,"")</f>
        <v>0.015</v>
      </c>
      <c r="F15" s="32" t="n"/>
      <c r="G15" s="34">
        <f>IFERROR(IF(B9="","",'0. Supuestos'!$B$41),"")</f>
        <v>0.21</v>
      </c>
      <c r="H15" s="32" t="n"/>
    </row>
    <row r="16">
      <c r="A16" s="32" t="inlineStr">
        <is>
          <t>Comisiones de delivery</t>
        </is>
      </c>
      <c r="B16" s="36">
        <f>IFERROR(IF(B9="","",B9*'0. Supuestos'!$B$16*'0. Supuestos'!$B$17),"")</f>
        <v>0.0</v>
      </c>
      <c r="C16" s="36">
        <f>IFERROR(IF(C9="","",C9*'0. Supuestos'!$B$16*'0. Supuestos'!$B$17),"")</f>
        <v>0.0</v>
      </c>
      <c r="D16" s="36">
        <f>IFERROR(IF(D9="","",D9*'0. Supuestos'!$B$16*'0. Supuestos'!$B$17),"")</f>
        <v>0.0</v>
      </c>
      <c r="E16" s="34">
        <f>IFERROR(B16/$B$9,"")</f>
        <v>0.0</v>
      </c>
      <c r="F16" s="32" t="inlineStr">
        <is>
          <t>Sobre las ventas DEL CANAL. Con 0 % de delivery en Supuestos, esta línea vale cero</t>
        </is>
      </c>
      <c r="G16" s="34">
        <f>IFERROR(IF(B9="","",'0. Supuestos'!$B$41),"")</f>
        <v>0.21</v>
      </c>
      <c r="H16" s="32" t="n"/>
    </row>
    <row r="17">
      <c r="A17" s="32" t="inlineStr">
        <is>
          <t>Comisiones de los medios de pago</t>
        </is>
      </c>
      <c r="B17" s="36">
        <f>IFERROR(IF(B9="","",B9*'0. Supuestos'!$B$18),"")</f>
        <v>2352.0000000000005</v>
      </c>
      <c r="C17" s="36">
        <f>IFERROR(IF(C9="","",C9*'0. Supuestos'!$B$18),"")</f>
        <v>2516.6400000000003</v>
      </c>
      <c r="D17" s="36">
        <f>IFERROR(IF(D9="","",D9*'0. Supuestos'!$B$18),"")</f>
        <v>2642.4720000000007</v>
      </c>
      <c r="E17" s="34">
        <f>IFERROR(B17/$B$9,"")</f>
        <v>0.008</v>
      </c>
      <c r="F17" s="32" t="inlineStr">
        <is>
          <t>Las comisiones de los medios de pago están EXENTAS de IVA (art. 20.Uno.18 LIVA): no se deduce nada por ellas</t>
        </is>
      </c>
      <c r="G17" s="34" t="n">
        <v>0</v>
      </c>
      <c r="H17" s="32" t="n"/>
    </row>
    <row r="18">
      <c r="A18" s="32" t="inlineStr">
        <is>
          <t>Varios e imprevistos</t>
        </is>
      </c>
      <c r="B18" s="36">
        <f>IFERROR(IF(B9="","",B9*'0. Supuestos'!$B$28),"")</f>
        <v>5880.000000000001</v>
      </c>
      <c r="C18" s="36">
        <f>IFERROR(IF(C9="","",C9*'0. Supuestos'!$B$28),"")</f>
        <v>6291.600000000001</v>
      </c>
      <c r="D18" s="36">
        <f>IFERROR(IF(D9="","",D9*'0. Supuestos'!$B$28),"")</f>
        <v>6606.180000000001</v>
      </c>
      <c r="E18" s="34">
        <f>IFERROR(B18/$B$9,"")</f>
        <v>0.02</v>
      </c>
      <c r="F18" s="32"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34">
        <f>IFERROR(IF(B9="","",'0. Supuestos'!$B$41),"")</f>
        <v>0.21</v>
      </c>
      <c r="H18" s="32" t="n"/>
    </row>
    <row r="19">
      <c r="A19" s="29" t="inlineStr">
        <is>
          <t>TOTAL COSTES VARIABLES</t>
        </is>
      </c>
      <c r="B19" s="30">
        <f>IFERROR(IF(B9="","",SUM(B13:B18)),"")</f>
        <v>99783.60000000002</v>
      </c>
      <c r="C19" s="30">
        <f>IFERROR(IF(C9="","",SUM(C13:C18)),"")</f>
        <v>106768.45200000003</v>
      </c>
      <c r="D19" s="30">
        <f>IFERROR(IF(D9="","",SUM(D13:D18)),"")</f>
        <v>112106.87460000002</v>
      </c>
      <c r="E19" s="31">
        <f>IFERROR(B19/$B$9,"")</f>
        <v>0.3394</v>
      </c>
      <c r="F19" s="32" t="n"/>
      <c r="G19" s="32" t="n"/>
      <c r="H19" s="32" t="n"/>
    </row>
    <row r="20">
      <c r="A20" s="29" t="inlineStr">
        <is>
          <t>MARGEN BRUTO</t>
        </is>
      </c>
      <c r="B20" s="30">
        <f>IFERROR(IF(B9="","",B9-B19),"")</f>
        <v>194216.40000000002</v>
      </c>
      <c r="C20" s="30">
        <f>IFERROR(IF(C9="","",C9-C19),"")</f>
        <v>207811.548</v>
      </c>
      <c r="D20" s="30">
        <f>IFERROR(IF(D9="","",D9-D19),"")</f>
        <v>218202.12540000002</v>
      </c>
      <c r="E20" s="31">
        <f>IFERROR(B20/$B$9,"")</f>
        <v>0.6606</v>
      </c>
      <c r="F20" s="32" t="n"/>
      <c r="G20" s="32" t="n"/>
      <c r="H20" s="32" t="n"/>
    </row>
    <row r="21">
      <c r="A21" s="29" t="inlineStr">
        <is>
          <t>COSTES FIJOS</t>
        </is>
      </c>
      <c r="B21" s="32" t="n"/>
      <c r="C21" s="32" t="n"/>
      <c r="D21" s="32" t="n"/>
      <c r="E21" s="32" t="n"/>
      <c r="F21" s="32" t="n"/>
      <c r="G21" s="32" t="n"/>
      <c r="H21" s="32" t="n"/>
    </row>
    <row r="22">
      <c r="A22" s="32" t="inlineStr">
        <is>
          <t>Alquiler del local</t>
        </is>
      </c>
      <c r="B22" s="36">
        <f>IFERROR(IF(B9="","",'0. Supuestos'!$B$24*12),"")</f>
        <v>24000.0</v>
      </c>
      <c r="C22" s="36">
        <f>IFERROR(IF(C9="","",B22*(1+'0. Supuestos'!$B$48)),"")</f>
        <v>24000.0</v>
      </c>
      <c r="D22" s="36">
        <f>IFERROR(IF(D9="","",C22*(1+'0. Supuestos'!$B$48)),"")</f>
        <v>24000.0</v>
      </c>
      <c r="E22" s="34">
        <f>IFERROR(B22/$B$9,"")</f>
        <v>0.08163265306122447</v>
      </c>
      <c r="F22" s="32" t="inlineStr">
        <is>
          <t>El importe mensual está en la hoja de Supuestos; aquí se multiplica por doce. La renta de los meses de obra, que es anterior a la apertura, está en la hoja de Inversión y NO se cuenta dos veces</t>
        </is>
      </c>
      <c r="G22" s="34">
        <f>IFERROR(IF(B9="","",'0. Supuestos'!$B$41),"")</f>
        <v>0.21</v>
      </c>
      <c r="H22" s="32" t="n"/>
    </row>
    <row r="23">
      <c r="A23" s="32" t="inlineStr">
        <is>
          <t>Personal (nóminas + Seguridad Social)</t>
        </is>
      </c>
      <c r="B23" s="36">
        <f>IFERROR(IF(B9="","",'Personal'!$G$11),"")</f>
        <v>100082.50000000001</v>
      </c>
      <c r="C23" s="36">
        <f>IFERROR(IF(C9="","",'Personal'!$B$15),"")</f>
        <v>106082.50000000001</v>
      </c>
      <c r="D23" s="36">
        <f>IFERROR(IF(D9="","",'Personal'!$B$16),"")</f>
        <v>112082.50000000001</v>
      </c>
      <c r="E23" s="34">
        <f>IFERROR(B23/$B$9,"")</f>
        <v>0.34041666666666665</v>
      </c>
      <c r="F23" s="32" t="inlineStr">
        <is>
          <t>Sale de la hoja de Personal: es el MISMO número, no una estimación aparte. Los años 2 y 3 suman las INCORPORACIONES declaradas en esa hoja, no un porcentaje de volumen</t>
        </is>
      </c>
      <c r="G23" s="34" t="n">
        <v>0</v>
      </c>
      <c r="H23" s="32" t="n"/>
    </row>
    <row r="24">
      <c r="A24" s="32" t="inlineStr">
        <is>
          <t>Suministros (luz, agua, gas)</t>
        </is>
      </c>
      <c r="B24" s="36">
        <f>IFERROR(IF(B9="","",'0. Supuestos'!$B$26*12),"")</f>
        <v>7200.0</v>
      </c>
      <c r="C24" s="36">
        <f>IFERROR(IF(C9="","",B24*(1+'0. Supuestos'!$B$48)),"")</f>
        <v>7200.0</v>
      </c>
      <c r="D24" s="36">
        <f>IFERROR(IF(D9="","",C24*(1+'0. Supuestos'!$B$48)),"")</f>
        <v>7200.0</v>
      </c>
      <c r="E24" s="34">
        <f>IFERROR(B24/$B$9,"")</f>
        <v>0.024489795918367342</v>
      </c>
      <c r="F24" s="32" t="inlineStr">
        <is>
          <t>Luz y gas van al 21 %; la factura del agua, al 10 %. El libro aplica a toda esta partida el tipo de la columna de al lado (21 %): si el agua pesa mucho en tu local, sepárala en su línea</t>
        </is>
      </c>
      <c r="G24" s="34">
        <f>IFERROR(IF(B9="","",'0. Supuestos'!$B$41),"")</f>
        <v>0.21</v>
      </c>
      <c r="H24" s="32" t="n"/>
    </row>
    <row r="25">
      <c r="A25" s="32" t="inlineStr">
        <is>
          <t>Seguros (RC + multirriesgo)</t>
        </is>
      </c>
      <c r="B25" s="36">
        <f>IFERROR(IF(B9="","",'0. Supuestos'!$B$27),"")</f>
        <v>1800.0</v>
      </c>
      <c r="C25" s="36">
        <f>IFERROR(IF(C9="","",B25*(1+'0. Supuestos'!$B$48)),"")</f>
        <v>1800.0</v>
      </c>
      <c r="D25" s="36">
        <f>IFERROR(IF(D9="","",C25*(1+'0. Supuestos'!$B$48)),"")</f>
        <v>1800.0</v>
      </c>
      <c r="E25" s="34">
        <f>IFERROR(B25/$B$9,"")</f>
        <v>0.0061224489795918356</v>
      </c>
      <c r="F25" s="32" t="inlineStr">
        <is>
          <t>Las operaciones de seguro están EXENTAS de IVA (art. 20.Uno.16 LIVA): la prima no lleva IVA deducible</t>
        </is>
      </c>
      <c r="G25" s="34" t="n">
        <v>0</v>
      </c>
      <c r="H25" s="32" t="n"/>
    </row>
    <row r="26">
      <c r="A26" s="32" t="inlineStr">
        <is>
          <t>Gestoría + contabilidad</t>
        </is>
      </c>
      <c r="B26" s="33" t="n">
        <v>2400</v>
      </c>
      <c r="C26" s="36">
        <f>IFERROR(IF(C9="","",B26*(1+'0. Supuestos'!$B$48)),"")</f>
        <v>2400.0</v>
      </c>
      <c r="D26" s="36">
        <f>IFERROR(IF(D9="","",C26*(1+'0. Supuestos'!$B$48)),"")</f>
        <v>2400.0</v>
      </c>
      <c r="E26" s="34">
        <f>IFERROR(B26/$B$9,"")</f>
        <v>0.008163265306122448</v>
      </c>
      <c r="F26" s="32" t="n"/>
      <c r="G26" s="34">
        <f>IFERROR(IF(B9="","",'0. Supuestos'!$B$41),"")</f>
        <v>0.21</v>
      </c>
      <c r="H26" s="32" t="n"/>
    </row>
    <row r="27">
      <c r="A27" s="32" t="inlineStr">
        <is>
          <t>Mantenimiento maquinaria</t>
        </is>
      </c>
      <c r="B27" s="33" t="n">
        <v>1500</v>
      </c>
      <c r="C27" s="36">
        <f>IFERROR(IF(C9="","",B27*(1+'0. Supuestos'!$B$48)),"")</f>
        <v>1500.0</v>
      </c>
      <c r="D27" s="36">
        <f>IFERROR(IF(D9="","",C27*(1+'0. Supuestos'!$B$48)),"")</f>
        <v>1500.0</v>
      </c>
      <c r="E27" s="34">
        <f>IFERROR(B27/$B$9,"")</f>
        <v>0.005102040816326529</v>
      </c>
      <c r="F27" s="32" t="n"/>
      <c r="G27" s="34">
        <f>IFERROR(IF(B9="","",'0. Supuestos'!$B$41),"")</f>
        <v>0.21</v>
      </c>
      <c r="H27" s="32" t="n"/>
    </row>
    <row r="28">
      <c r="A28" s="32" t="inlineStr">
        <is>
          <t>Marketing y publicidad</t>
        </is>
      </c>
      <c r="B28" s="33" t="n">
        <v>4800</v>
      </c>
      <c r="C28" s="36">
        <f>IFERROR(IF(C9="","",B28*(1+'0. Supuestos'!$B$48)),"")</f>
        <v>4800.0</v>
      </c>
      <c r="D28" s="36">
        <f>IFERROR(IF(D9="","",C28*(1+'0. Supuestos'!$B$48)),"")</f>
        <v>4800.0</v>
      </c>
      <c r="E28" s="34">
        <f>IFERROR(B28/$B$9,"")</f>
        <v>0.016326530612244896</v>
      </c>
      <c r="F28" s="32" t="n"/>
      <c r="G28" s="34">
        <f>IFERROR(IF(B9="","",'0. Supuestos'!$B$41),"")</f>
        <v>0.21</v>
      </c>
      <c r="H28" s="32" t="n"/>
    </row>
    <row r="29">
      <c r="A29" s="32" t="inlineStr">
        <is>
          <t>Software (TPV, web, delivery)</t>
        </is>
      </c>
      <c r="B29" s="33" t="n">
        <v>1200</v>
      </c>
      <c r="C29" s="36">
        <f>IFERROR(IF(C9="","",B29*(1+'0. Supuestos'!$B$48)),"")</f>
        <v>1200.0</v>
      </c>
      <c r="D29" s="36">
        <f>IFERROR(IF(D9="","",C29*(1+'0. Supuestos'!$B$48)),"")</f>
        <v>1200.0</v>
      </c>
      <c r="E29" s="34">
        <f>IFERROR(B29/$B$9,"")</f>
        <v>0.004081632653061224</v>
      </c>
      <c r="F29" s="32" t="n"/>
      <c r="G29" s="34">
        <f>IFERROR(IF(B9="","",'0. Supuestos'!$B$41),"")</f>
        <v>0.21</v>
      </c>
      <c r="H29" s="32" t="n"/>
    </row>
    <row r="30">
      <c r="A30" s="32" t="inlineStr">
        <is>
          <t>Limpieza y productos</t>
        </is>
      </c>
      <c r="B30" s="33" t="n">
        <v>1800</v>
      </c>
      <c r="C30" s="36">
        <f>IFERROR(IF(C9="","",B30*(1+'0. Supuestos'!$B$48)),"")</f>
        <v>1800.0</v>
      </c>
      <c r="D30" s="36">
        <f>IFERROR(IF(D9="","",C30*(1+'0. Supuestos'!$B$48)),"")</f>
        <v>1800.0</v>
      </c>
      <c r="E30" s="34">
        <f>IFERROR(B30/$B$9,"")</f>
        <v>0.0061224489795918356</v>
      </c>
      <c r="F30" s="32" t="n"/>
      <c r="G30" s="34">
        <f>IFERROR(IF(B9="","",'0. Supuestos'!$B$41),"")</f>
        <v>0.21</v>
      </c>
      <c r="H30" s="32" t="n"/>
    </row>
    <row r="31">
      <c r="A31" s="32" t="inlineStr">
        <is>
          <t>Gestión de residuos (orgánico, cartón y aceite si fríes)</t>
        </is>
      </c>
      <c r="B31" s="33" t="n">
        <v>700</v>
      </c>
      <c r="C31" s="36">
        <f>IFERROR(IF(C9="","",B31*(1+'0. Supuestos'!$B$48)),"")</f>
        <v>700.0</v>
      </c>
      <c r="D31" s="36">
        <f>IFERROR(IF(D9="","",C31*(1+'0. Supuestos'!$B$48)),"")</f>
        <v>700.0</v>
      </c>
      <c r="E31" s="34">
        <f>IFERROR(B31/$B$9,"")</f>
        <v>0.0023809523809523803</v>
      </c>
      <c r="F31" s="32" t="inlineStr">
        <is>
          <t>Gestor autorizado; el checklist lo pide antes de abrir. Esta cafetería NO lleva cocina de frituras (licencia «inocua»), así que el volumen es menor que en un restaurante — pide presupuesto en tu zona</t>
        </is>
      </c>
      <c r="G31" s="34">
        <f>IFERROR(IF(B9="","",'0. Supuestos'!$B$41),"")</f>
        <v>0.21</v>
      </c>
      <c r="H31" s="32" t="n"/>
    </row>
    <row r="32">
      <c r="A32" s="32" t="inlineStr">
        <is>
          <t>Desinsectación, desratización y desinfección (DDD)</t>
        </is>
      </c>
      <c r="B32" s="33" t="n">
        <v>700</v>
      </c>
      <c r="C32" s="36">
        <f>IFERROR(IF(C9="","",B32*(1+'0. Supuestos'!$B$48)),"")</f>
        <v>700.0</v>
      </c>
      <c r="D32" s="36">
        <f>IFERROR(IF(D9="","",C32*(1+'0. Supuestos'!$B$48)),"")</f>
        <v>700.0</v>
      </c>
      <c r="E32" s="34">
        <f>IFERROR(B32/$B$9,"")</f>
        <v>0.0023809523809523803</v>
      </c>
      <c r="F32" s="32" t="inlineStr">
        <is>
          <t>Empresa inscrita en el ROESB; forma parte del plan APPCC que el checklist ya exige</t>
        </is>
      </c>
      <c r="G32" s="34">
        <f>IFERROR(IF(B9="","",'0. Supuestos'!$B$41),"")</f>
        <v>0.21</v>
      </c>
      <c r="H32" s="32" t="n"/>
    </row>
    <row r="33">
      <c r="A33" s="32" t="inlineStr">
        <is>
          <t>Derechos de autor por música ambiental</t>
        </is>
      </c>
      <c r="B33" s="33" t="n">
        <v>700</v>
      </c>
      <c r="C33" s="36">
        <f>IFERROR(IF(C9="","",B33*(1+'0. Supuestos'!$B$48)),"")</f>
        <v>700.0</v>
      </c>
      <c r="D33" s="36">
        <f>IFERROR(IF(D9="","",C33*(1+'0. Supuestos'!$B$48)),"")</f>
        <v>700.0</v>
      </c>
      <c r="E33" s="34">
        <f>IFERROR(B33/$B$9,"")</f>
        <v>0.0023809523809523803</v>
      </c>
      <c r="F33" s="32" t="inlineStr">
        <is>
          <t>SGAE y AGEDI-AIE son dos licencias distintas; el importe depende de los metros y del aforo de tu local</t>
        </is>
      </c>
      <c r="G33" s="34">
        <f>IFERROR(IF(B9="","",'0. Supuestos'!$B$41),"")</f>
        <v>0.21</v>
      </c>
      <c r="H33" s="32" t="n"/>
    </row>
    <row r="34">
      <c r="A34" s="32" t="inlineStr">
        <is>
          <t>Prevención de riesgos laborales y vigilancia de la salud</t>
        </is>
      </c>
      <c r="B34" s="33" t="n">
        <v>500</v>
      </c>
      <c r="C34" s="36">
        <f>IFERROR(IF(C9="","",B34*(1+'0. Supuestos'!$B$48)),"")</f>
        <v>500.0</v>
      </c>
      <c r="D34" s="36">
        <f>IFERROR(IF(D9="","",C34*(1+'0. Supuestos'!$B$48)),"")</f>
        <v>500.0</v>
      </c>
      <c r="E34" s="34">
        <f>IFERROR(B34/$B$9,"")</f>
        <v>0.0017006802721088433</v>
      </c>
      <c r="F34" s="32" t="inlineStr">
        <is>
          <t>El plan de prevención es obligatorio; el proveedor externo, no (art. 30.5 de la Ley 31/1995) — el checklist lo corrige</t>
        </is>
      </c>
      <c r="G34" s="34">
        <f>IFERROR(IF(B9="","",'0. Supuestos'!$B$41),"")</f>
        <v>0.21</v>
      </c>
      <c r="H34" s="32" t="n"/>
    </row>
    <row r="35">
      <c r="A35" s="32" t="inlineStr">
        <is>
          <t>Amortización del inmovilizado</t>
        </is>
      </c>
      <c r="B35" s="36">
        <f>IFERROR(IF(B9="","",'Inversión Inicial'!$B$42),"")</f>
        <v>8887.5</v>
      </c>
      <c r="C35" s="36">
        <f>IFERROR(IF(C9="","",B35),"")</f>
        <v>8887.5</v>
      </c>
      <c r="D35" s="36">
        <f>IFERROR(IF(D9="","",B35),"")</f>
        <v>8887.5</v>
      </c>
      <c r="E35" s="34">
        <f>IFERROR(B35/$B$9,"")</f>
        <v>0.03022959183673469</v>
      </c>
      <c r="F35" s="32" t="inlineStr">
        <is>
          <t>Sale de las bases de amortización de la hoja de Inversión: sólo inmovilizado real. NO sube con el IPC: es una cuota sobre el coste HISTÓRICO del inmovilizado</t>
        </is>
      </c>
      <c r="G35" s="34" t="n">
        <v>0</v>
      </c>
      <c r="H35" s="32" t="n"/>
    </row>
    <row r="36">
      <c r="A36" s="32" t="inlineStr">
        <is>
          <t>Gastos financieros (intereses del préstamo)</t>
        </is>
      </c>
      <c r="B36" s="36">
        <f>IFERROR(IF(B9="","",'Financiación'!$B$44),"")</f>
        <v>6720.0</v>
      </c>
      <c r="C36" s="36">
        <f>IFERROR(IF(C9="","",'Financiación'!$B$46),"")</f>
        <v>6720.0</v>
      </c>
      <c r="D36" s="36">
        <f>IFERROR(IF(D9="","",'Financiación'!$B$48),"")</f>
        <v>5756.603136648703</v>
      </c>
      <c r="E36" s="34">
        <f>IFERROR(B36/$B$9,"")</f>
        <v>0.022857142857142854</v>
      </c>
      <c r="F36" s="32" t="inlineStr">
        <is>
          <t>Sólo los INTERESES son gasto. La devolución del principal va en la hoja de Tesorería</t>
        </is>
      </c>
      <c r="G36" s="34" t="n">
        <v>0</v>
      </c>
      <c r="H36" s="32" t="n"/>
    </row>
    <row r="37">
      <c r="A37" s="29" t="inlineStr">
        <is>
          <t>TOTAL COSTES FIJOS</t>
        </is>
      </c>
      <c r="B37" s="30">
        <f>IFERROR(IF(B9="","",SUM(B22:B36)),"")</f>
        <v>162990.0</v>
      </c>
      <c r="C37" s="30">
        <f>IFERROR(IF(C9="","",SUM(C22:C36)),"")</f>
        <v>168990.0</v>
      </c>
      <c r="D37" s="30">
        <f>IFERROR(IF(D9="","",SUM(D22:D36)),"")</f>
        <v>174026.60313664872</v>
      </c>
      <c r="E37" s="31">
        <f>IFERROR(B37/$B$9,"")</f>
        <v>0.5543877551020407</v>
      </c>
      <c r="F37" s="32" t="n"/>
      <c r="G37" s="32" t="n"/>
      <c r="H37" s="32" t="n"/>
    </row>
    <row r="38">
      <c r="A38" s="32" t="inlineStr">
        <is>
          <t>IVA soportado de los costes variables</t>
        </is>
      </c>
      <c r="B38" s="36">
        <f>IFERROR(IF(B9="","",SUMPRODUCT(B13:B18,G13:G18)),"")</f>
        <v>11035.337040000002</v>
      </c>
      <c r="C38" s="36">
        <f>IFERROR(IF(C9="","",SUMPRODUCT(C13:C18,G13:G18)),"")</f>
        <v>11807.810632800003</v>
      </c>
      <c r="D38" s="36">
        <f>IFERROR(IF(D9="","",SUMPRODUCT(D13:D18,G13:G18)),"")</f>
        <v>12398.201164440003</v>
      </c>
      <c r="E38" s="32" t="n"/>
      <c r="F38" s="32" t="inlineStr">
        <is>
          <t>Cada línea a SU tipo, leído de la columna de al lado. Es lo que la hoja de Tesorería paga de más a los proveedores y luego se deduce</t>
        </is>
      </c>
      <c r="G38" s="32" t="n"/>
      <c r="H38" s="32" t="n"/>
    </row>
    <row r="39">
      <c r="A39" s="37" t="inlineStr">
        <is>
          <t>IVA soportado de los costes fijos</t>
        </is>
      </c>
      <c r="B39" s="38">
        <f>IFERROR(IF(B9="","",SUMPRODUCT(B22:B36,G22:G36)),"")</f>
        <v>9555.0</v>
      </c>
      <c r="C39" s="38">
        <f>IFERROR(IF(C9="","",SUMPRODUCT(C22:C36,G22:G36)),"")</f>
        <v>9555.0</v>
      </c>
      <c r="D39" s="38">
        <f>IFERROR(IF(D9="","",SUMPRODUCT(D22:D36,G22:G36)),"")</f>
        <v>9555.0</v>
      </c>
    </row>
    <row r="40">
      <c r="A40" s="19" t="inlineStr">
        <is>
          <t>RESULTADO ANTES DE IMPUESTOS</t>
        </is>
      </c>
      <c r="B40" s="39">
        <f>IFERROR(IF(B9="","",B20-B37),"")</f>
        <v>31226.400000000023</v>
      </c>
      <c r="C40" s="39">
        <f>IFERROR(IF(C9="","",C20-C37),"")</f>
        <v>38821.54800000001</v>
      </c>
      <c r="D40" s="39">
        <f>IFERROR(IF(D9="","",D20-D37),"")</f>
        <v>44175.522263351304</v>
      </c>
      <c r="E40" s="40">
        <f>IFERROR(B40/$B$9,"")</f>
        <v>0.10621224489795925</v>
      </c>
    </row>
    <row r="41">
      <c r="A41" s="37" t="inlineStr">
        <is>
          <t>Bases negativas pendientes al inicio</t>
        </is>
      </c>
      <c r="B41" s="38">
        <f>IFERROR(IF(B9="","",'0. Supuestos'!$B$42),"")</f>
        <v>0.0</v>
      </c>
      <c r="C41" s="38">
        <f>IFERROR(IF(C9="","",B46),"")</f>
        <v>0.0</v>
      </c>
      <c r="D41" s="38">
        <f>IFERROR(IF(D9="","",C46),"")</f>
        <v>0.0</v>
      </c>
      <c r="F41" s="37" t="inlineStr">
        <is>
          <t>Art. 26 LIS: las pérdidas de un ejercicio se compensan con los beneficios de los siguientes</t>
        </is>
      </c>
    </row>
    <row r="42">
      <c r="A42" s="37" t="inlineStr">
        <is>
          <t>Base imponible (después de compensar)</t>
        </is>
      </c>
      <c r="B42" s="38">
        <f>IFERROR(IF(B9="","",MAX(0,B40-B41)),"")</f>
        <v>31226.400000000023</v>
      </c>
      <c r="C42" s="38">
        <f>IFERROR(IF(C9="","",MAX(0,C40-C41)),"")</f>
        <v>38821.54800000001</v>
      </c>
      <c r="D42" s="38">
        <f>IFERROR(IF(D9="","",MAX(0,D40-D41)),"")</f>
        <v>44175.522263351304</v>
      </c>
    </row>
    <row r="43">
      <c r="A43" s="37" t="inlineStr">
        <is>
          <t>Ejercicios con base positiva (acumulado)</t>
        </is>
      </c>
      <c r="B43" s="46">
        <f>IFERROR(IF(B9="","",IF(B42&gt;0,1,0)),"")</f>
        <v>1.0</v>
      </c>
      <c r="C43" s="46">
        <f>IFERROR(IF(C9="","",B43+IF(C42&gt;0,1,0)),"")</f>
        <v>2.0</v>
      </c>
      <c r="D43" s="46">
        <f>IFERROR(IF(D9="","",C43+IF(D42&gt;0,1,0)),"")</f>
        <v>3.0</v>
      </c>
    </row>
    <row r="44">
      <c r="A44" s="37" t="inlineStr">
        <is>
          <t>Tipo de Impuesto de Sociedades aplicado</t>
        </is>
      </c>
      <c r="B44" s="25">
        <f>IFERROR(IF(B9="","",IF(B42&lt;=0,"",IF(B43&lt;=2,'0. Supuestos'!$B$37,'0. Supuestos'!$B$38))),"")</f>
        <v>0.15</v>
      </c>
      <c r="C44" s="25">
        <f>IFERROR(IF(C9="","",IF(C42&lt;=0,"",IF(C43&lt;=2,'0. Supuestos'!$B$37,'0. Supuestos'!$B$38))),"")</f>
        <v>0.15</v>
      </c>
      <c r="D44" s="25">
        <f>IFERROR(IF(D9="","",IF(D42&lt;=0,"",IF(D43&lt;=2,'0. Supuestos'!$B$37,'0. Supuestos'!$B$38))),"")</f>
        <v>0.25</v>
      </c>
      <c r="F44" s="37" t="inlineStr">
        <is>
          <t>Art. 29.1 LIS: el 15 % de entidad de nueva creación se aplica al PRIMER ejercicio con base positiva y al SIGUIENTE, no al primer año de vida. El libro lo aproxima contando los dos primeros ejercicios con base positiva</t>
        </is>
      </c>
    </row>
    <row r="45">
      <c r="A45" s="37" t="inlineStr">
        <is>
          <t>Impuesto de Sociedades</t>
        </is>
      </c>
      <c r="B45" s="38">
        <f>IFERROR(IF(B9="","",IF(B44="",0,B42*B44)),"")</f>
        <v>4683.960000000004</v>
      </c>
      <c r="C45" s="38">
        <f>IFERROR(IF(C9="","",IF(C44="",0,C42*C44)),"")</f>
        <v>5823.232200000001</v>
      </c>
      <c r="D45" s="38">
        <f>IFERROR(IF(D9="","",IF(D44="",0,D42*D44)),"")</f>
        <v>11043.880565837826</v>
      </c>
    </row>
    <row r="46">
      <c r="A46" s="37" t="inlineStr">
        <is>
          <t>Bases negativas pendientes al cierre</t>
        </is>
      </c>
      <c r="B46" s="38">
        <f>IFERROR(IF(B9="","",MAX(0,B41-B40)),"")</f>
        <v>0.0</v>
      </c>
      <c r="C46" s="38">
        <f>IFERROR(IF(C9="","",MAX(0,C41-C40)),"")</f>
        <v>0.0</v>
      </c>
      <c r="D46" s="38">
        <f>IFERROR(IF(D9="","",MAX(0,D41-D40)),"")</f>
        <v>0.0</v>
      </c>
    </row>
    <row r="47">
      <c r="A47" s="19" t="inlineStr">
        <is>
          <t>RESULTADO NETO</t>
        </is>
      </c>
      <c r="B47" s="39">
        <f>IFERROR(IF(B9="","",B40-B45),"")</f>
        <v>26542.44000000002</v>
      </c>
      <c r="C47" s="39">
        <f>IFERROR(IF(C9="","",C40-C45),"")</f>
        <v>32998.31580000001</v>
      </c>
      <c r="D47" s="39">
        <f>IFERROR(IF(D9="","",D40-D45),"")</f>
        <v>33131.64169751348</v>
      </c>
      <c r="E47" s="40">
        <f>IFERROR(B47/$B$9,"")</f>
        <v>0.09028040816326535</v>
      </c>
    </row>
    <row r="48">
      <c r="A48" s="19" t="inlineStr">
        <is>
          <t>RATIOS CLAVE</t>
        </is>
      </c>
    </row>
    <row r="49">
      <c r="A49" s="19" t="inlineStr">
        <is>
          <t>Ratio</t>
        </is>
      </c>
      <c r="B49" s="19" t="inlineStr">
        <is>
          <t>Año 1</t>
        </is>
      </c>
      <c r="C49" s="19" t="inlineStr">
        <is>
          <t>Año 2</t>
        </is>
      </c>
      <c r="D49" s="19" t="inlineStr">
        <is>
          <t>Año 3</t>
        </is>
      </c>
      <c r="E49" s="19" t="inlineStr">
        <is>
          <t>Umbral</t>
        </is>
      </c>
      <c r="F49" s="19" t="inlineStr">
        <is>
          <t>Comentario</t>
        </is>
      </c>
    </row>
    <row r="50">
      <c r="A50" s="37" t="inlineStr">
        <is>
          <t>Margen bruto / Ventas</t>
        </is>
      </c>
      <c r="B50" s="25">
        <f>IFERROR(IF(B9="","",B20/B9),"")</f>
        <v>0.6606</v>
      </c>
      <c r="C50" s="25">
        <f>IFERROR(IF(C9="","",C20/C9),"")</f>
        <v>0.6605999999999999</v>
      </c>
      <c r="D50" s="25">
        <f>IFERROR(IF(D9="","",D20/D9),"")</f>
        <v>0.6606</v>
      </c>
      <c r="E50" s="47" t="n">
        <v>0.65</v>
      </c>
      <c r="F50" s="37" t="inlineStr">
        <is>
          <t>Suelo del propio libro: «Margen bruto objetivo: &gt; 65 %» en la tabla de referencias del sector</t>
        </is>
      </c>
    </row>
    <row r="51">
      <c r="A51" s="37" t="inlineStr">
        <is>
          <t>Coste de mercancía (comida + bebida)</t>
        </is>
      </c>
      <c r="B51" s="38">
        <f>IFERROR(IF(B9="","",B13+B14),"")</f>
        <v>87141.60000000002</v>
      </c>
      <c r="C51" s="38">
        <f>IFERROR(IF(C9="","",C13+C14),"")</f>
        <v>93241.51200000003</v>
      </c>
      <c r="D51" s="38">
        <f>IFERROR(IF(D9="","",D13+D14),"")</f>
        <v>97903.58760000003</v>
      </c>
    </row>
    <row r="52">
      <c r="A52" s="37" t="inlineStr">
        <is>
          <t>Coste de mercancía / Ventas</t>
        </is>
      </c>
      <c r="B52" s="25">
        <f>IFERROR(IF(B9="","",B51/B9),"")</f>
        <v>0.2964</v>
      </c>
      <c r="C52" s="25">
        <f>IFERROR(IF(C9="","",C51/C9),"")</f>
        <v>0.29640000000000005</v>
      </c>
      <c r="D52" s="25">
        <f>IFERROR(IF(D9="","",D51/D9),"")</f>
        <v>0.29640000000000005</v>
      </c>
      <c r="E52" s="47" t="n">
        <v>0.32</v>
      </c>
      <c r="F52" s="37" t="inlineStr">
        <is>
          <t>Techo de la franja alta que publica este producto: «Food cost comida brunch: 30-35 %», mezclado con el café (25-30 %) y las bebidas frías (28-32 %)</t>
        </is>
      </c>
    </row>
    <row r="53">
      <c r="A53" s="37" t="inlineStr">
        <is>
          <t>Coste de personal / Ventas</t>
        </is>
      </c>
      <c r="B53" s="25">
        <f>IFERROR(IF(B9="","",B23/B9),"")</f>
        <v>0.34041666666666665</v>
      </c>
      <c r="C53" s="25">
        <f>IFERROR(IF(C9="","",C23/C9),"")</f>
        <v>0.33721946722614277</v>
      </c>
      <c r="D53" s="25">
        <f>IFERROR(IF(D9="","",D23/D9),"")</f>
        <v>0.33932620667314545</v>
      </c>
      <c r="E53" s="47" t="n">
        <v>0.35</v>
      </c>
      <c r="F53" s="37" t="inlineStr">
        <is>
          <t>Techo MÁS ESTRICTO del rango que publica este producto: «Coste de personal sobre ventas: 35-40 %»</t>
        </is>
      </c>
    </row>
    <row r="54">
      <c r="A54" s="37" t="inlineStr">
        <is>
          <t>Alquiler / Ventas</t>
        </is>
      </c>
      <c r="B54" s="25">
        <f>IFERROR(IF(B9="","",B22/B9),"")</f>
        <v>0.08163265306122447</v>
      </c>
      <c r="C54" s="25">
        <f>IFERROR(IF(C9="","",C22/C9),"")</f>
        <v>0.0762921991226397</v>
      </c>
      <c r="D54" s="25">
        <f>IFERROR(IF(D9="","",D22/D9),"")</f>
        <v>0.07265923725965685</v>
      </c>
      <c r="E54" s="47" t="n">
        <v>0.12</v>
      </c>
      <c r="F54" s="37" t="inlineStr">
        <is>
          <t>Techo del propio libro: «Alquiler sobre ventas: 8-12 %, no superar el 12 % para ser viable»</t>
        </is>
      </c>
    </row>
    <row r="55">
      <c r="A55" s="37" t="inlineStr">
        <is>
          <t>Resultado neto / Ventas</t>
        </is>
      </c>
      <c r="B55" s="25">
        <f>IFERROR(IF(B9="","",B47/B9),"")</f>
        <v>0.09028040816326535</v>
      </c>
      <c r="C55" s="25">
        <f>IFERROR(IF(C9="","",C47/C9),"")</f>
        <v>0.10489641998855619</v>
      </c>
      <c r="D55" s="25">
        <f>IFERROR(IF(D9="","",D47/D9),"")</f>
        <v>0.1003049922875655</v>
      </c>
      <c r="E55" s="47" t="n">
        <v>0.05</v>
      </c>
      <c r="F55" s="37" t="inlineStr">
        <is>
          <t>Derivado del suelo de EBITDA que declara este producto para el año 2 («EBITDA objetivo: 8-15 %, el primer año puede ser negativo»): descontando amortización, intereses e Impuesto de Sociedades, un EBITDA en la franja baja deja un resultado neto en torno al 5 %</t>
        </is>
      </c>
    </row>
    <row r="56">
      <c r="A56" s="37" t="inlineStr">
        <is>
          <t>Punto de equilibrio alcanzado</t>
        </is>
      </c>
      <c r="B56" t="str">
        <f>IFERROR(IF(B9="","",IF(B9&gt;='Punto Equilibrio'!$B$16,"Sí","No")),"")</f>
        <v>Sí</v>
      </c>
      <c r="C56" t="str">
        <f>IFERROR(IF(C9="","",IF(C9&gt;='Punto Equilibrio'!$C$16,"Sí","No")),"")</f>
        <v>Sí</v>
      </c>
      <c r="D56" t="str">
        <f>IFERROR(IF(D9="","",IF(D9&gt;='Punto Equilibrio'!$D$16,"Sí","No")),"")</f>
        <v>Sí</v>
      </c>
      <c r="F56" s="37" t="inlineStr">
        <is>
          <t>Compara las ventas de CADA año con el umbral de ese mismo año, que calcula la hoja de Punto de Equilibrio con los costes fijos del año</t>
        </is>
      </c>
    </row>
    <row r="57"/>
    <row r="58" ht="165" customHeight="1">
      <c r="A58" s="20"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Break-even mensual y diario — Cafetería / Brunch</t>
        </is>
      </c>
    </row>
    <row r="3"/>
    <row r="4">
      <c r="A4" s="29" t="inlineStr">
        <is>
          <t>Variable</t>
        </is>
      </c>
      <c r="B4" s="29" t="inlineStr">
        <is>
          <t>Año 1</t>
        </is>
      </c>
      <c r="C4" s="29" t="inlineStr">
        <is>
          <t>Año 2</t>
        </is>
      </c>
      <c r="D4" s="29" t="inlineStr">
        <is>
          <t>Año 3</t>
        </is>
      </c>
      <c r="E4" s="29" t="inlineStr">
        <is>
          <t>Notas</t>
        </is>
      </c>
      <c r="F4" s="32" t="n"/>
    </row>
    <row r="5">
      <c r="A5" s="29" t="inlineStr">
        <is>
          <t>DATOS BASE POR AÑO</t>
        </is>
      </c>
      <c r="B5" s="32" t="n"/>
      <c r="C5" s="32" t="n"/>
      <c r="D5" s="32" t="n"/>
      <c r="E5" s="32" t="n"/>
      <c r="F5" s="32" t="n"/>
    </row>
    <row r="6">
      <c r="A6" s="32" t="inlineStr">
        <is>
          <t>Costes fijos anuales</t>
        </is>
      </c>
      <c r="B6" s="45">
        <f>IFERROR(IF('PyG 3 Años'!$B$9="","",'PyG 3 Años'!$B$37),"")</f>
        <v>162990.0</v>
      </c>
      <c r="C6" s="45">
        <f>IFERROR(IF('PyG 3 Años'!$C$9="","",'PyG 3 Años'!$C$37),"")</f>
        <v>168990.0</v>
      </c>
      <c r="D6" s="45">
        <f>IFERROR(IF('PyG 3 Años'!$D$9="","",'PyG 3 Años'!$D$37),"")</f>
        <v>174026.60313664872</v>
      </c>
      <c r="E6" s="32" t="inlineStr">
        <is>
          <t>Los MISMOS costes fijos del P&amp;L. Cada año tiene los suyos: por eso el umbral no puede ser uno solo para los tres</t>
        </is>
      </c>
      <c r="F6" s="32" t="n"/>
    </row>
    <row r="7">
      <c r="A7" s="32" t="inlineStr">
        <is>
          <t>Costes fijos mensuales</t>
        </is>
      </c>
      <c r="B7" s="45">
        <f>IFERROR(IF('PyG 3 Años'!$B$9="","",B6/12),"")</f>
        <v>13582.5</v>
      </c>
      <c r="C7" s="45">
        <f>IFERROR(IF('PyG 3 Años'!$C$9="","",C6/12),"")</f>
        <v>14082.5</v>
      </c>
      <c r="D7" s="45">
        <f>IFERROR(IF('PyG 3 Años'!$D$9="","",D6/12),"")</f>
        <v>14502.21692805406</v>
      </c>
      <c r="E7" s="32" t="n"/>
      <c r="F7" s="32" t="n"/>
    </row>
    <row r="8">
      <c r="A8" s="32" t="inlineStr">
        <is>
          <t>Ticket medio sin IVA</t>
        </is>
      </c>
      <c r="B8" s="45">
        <f>IFERROR(IF('PyG 3 Años'!$B$9="","",'PyG 3 Años'!$B$7),"")</f>
        <v>9.8</v>
      </c>
      <c r="C8" s="45">
        <f>IFERROR(IF('PyG 3 Años'!$C$9="","",'PyG 3 Años'!$C$7),"")</f>
        <v>9.8</v>
      </c>
      <c r="D8" s="45">
        <f>IFERROR(IF('PyG 3 Años'!$D$9="","",'PyG 3 Años'!$D$7),"")</f>
        <v>9.8</v>
      </c>
      <c r="E8" s="32" t="n"/>
      <c r="F8" s="32" t="n"/>
    </row>
    <row r="9">
      <c r="A9" s="32" t="inlineStr">
        <is>
          <t>Coste variable por cliente</t>
        </is>
      </c>
      <c r="B9" s="45">
        <f>IFERROR(IF('PyG 3 Años'!$B$9="","",'PyG 3 Años'!$B$19/('PyG 3 Años'!$B$6*'PyG 3 Años'!$B$8)),"")</f>
        <v>3.326120000000001</v>
      </c>
      <c r="C9" s="45">
        <f>IFERROR(IF('PyG 3 Años'!$C$9="","",'PyG 3 Años'!$C$19/('PyG 3 Años'!$C$6*'PyG 3 Años'!$C$8)),"")</f>
        <v>3.326120000000001</v>
      </c>
      <c r="D9" s="45">
        <f>IFERROR(IF('PyG 3 Años'!$D$9="","",'PyG 3 Años'!$D$19/('PyG 3 Años'!$D$6*'PyG 3 Años'!$D$8)),"")</f>
        <v>3.326120000000001</v>
      </c>
      <c r="E9" s="32" t="inlineStr">
        <is>
          <t>Sale del total de costes variables del P&amp;L, no de una estimación aparte. Incluye los varios e imprevistos, que son un porcentaje de las ventas</t>
        </is>
      </c>
      <c r="F9" s="32" t="n"/>
    </row>
    <row r="10">
      <c r="A10" s="32" t="inlineStr">
        <is>
          <t>Margen de contribución por cliente</t>
        </is>
      </c>
      <c r="B10" s="45">
        <f>IFERROR(IF('PyG 3 Años'!$B$9="","",B8-B9),"")</f>
        <v>6.473879999999999</v>
      </c>
      <c r="C10" s="45">
        <f>IFERROR(IF('PyG 3 Años'!$C$9="","",C8-C9),"")</f>
        <v>6.473879999999999</v>
      </c>
      <c r="D10" s="45">
        <f>IFERROR(IF('PyG 3 Años'!$D$9="","",D8-D9),"")</f>
        <v>6.473879999999999</v>
      </c>
      <c r="E10" s="32" t="inlineStr">
        <is>
          <t>Ticket menos coste variable unitario</t>
        </is>
      </c>
      <c r="F10" s="32" t="n"/>
    </row>
    <row r="11">
      <c r="A11" s="32" t="inlineStr">
        <is>
          <t>Días de apertura al año</t>
        </is>
      </c>
      <c r="B11" s="44">
        <f>IFERROR(IF('PyG 3 Años'!$B$9="","",'PyG 3 Años'!$B$8),"")</f>
        <v>300.0</v>
      </c>
      <c r="C11" s="44">
        <f>IFERROR(IF('PyG 3 Años'!$C$9="","",'PyG 3 Años'!$C$8),"")</f>
        <v>300.0</v>
      </c>
      <c r="D11" s="44">
        <f>IFERROR(IF('PyG 3 Años'!$D$9="","",'PyG 3 Años'!$D$8),"")</f>
        <v>300.0</v>
      </c>
      <c r="E11" s="32" t="inlineStr">
        <is>
          <t>El mismo calendario que el P&amp;L y que los escenarios</t>
        </is>
      </c>
      <c r="F11" s="32" t="n"/>
    </row>
    <row r="12">
      <c r="A12" s="32" t="inlineStr">
        <is>
          <t>Devolución de principal del año (cuota)</t>
        </is>
      </c>
      <c r="B12" s="45">
        <f>IFERROR(IF('PyG 3 Años'!$B$9="","",'Financiación'!$B$45),"")</f>
        <v>0.0</v>
      </c>
      <c r="C12" s="45">
        <f>IFERROR(IF('PyG 3 Años'!$C$9="","",'Financiación'!$B$47),"")</f>
        <v>16056.614389188278</v>
      </c>
      <c r="D12" s="45">
        <f>IFERROR(IF('PyG 3 Años'!$D$9="","",'Financiación'!$B$49),"")</f>
        <v>17020.011252539574</v>
      </c>
      <c r="E12" s="32" t="inlineStr">
        <is>
          <t>El principal NO es gasto del P&amp;L, pero sale de la caja. Sin él, el umbral de equilibrio se publica por debajo del real</t>
        </is>
      </c>
      <c r="F12" s="32" t="n"/>
    </row>
    <row r="13">
      <c r="A13" s="29" t="inlineStr">
        <is>
          <t>PUNTO DE EQUILIBRIO CONTABLE (incluye amortización)</t>
        </is>
      </c>
      <c r="B13" s="32" t="n"/>
      <c r="C13" s="32" t="n"/>
      <c r="D13" s="32" t="n"/>
      <c r="E13" s="32" t="n"/>
      <c r="F13" s="32" t="n"/>
    </row>
    <row r="14">
      <c r="A14" s="32" t="inlineStr">
        <is>
          <t>Clientes necesarios al año</t>
        </is>
      </c>
      <c r="B14" s="44">
        <f>IFERROR(IF('PyG 3 Años'!$B$9="","",IF(B10&lt;=0,"",B6/B10)),"")</f>
        <v>25176.555635878332</v>
      </c>
      <c r="C14" s="44">
        <f>IFERROR(IF('PyG 3 Años'!$C$9="","",IF(C10&lt;=0,"",C6/C10)),"")</f>
        <v>26103.356874084788</v>
      </c>
      <c r="D14" s="44">
        <f>IFERROR(IF('PyG 3 Años'!$D$9="","",IF(D10&lt;=0,"",D6/D10)),"")</f>
        <v>26881.34521131821</v>
      </c>
      <c r="E14" s="32" t="n"/>
      <c r="F14" s="32" t="n"/>
    </row>
    <row r="15">
      <c r="A15" s="32" t="inlineStr">
        <is>
          <t>Clientes necesarios al día</t>
        </is>
      </c>
      <c r="B15" s="48">
        <f>IFERROR(IF('PyG 3 Años'!$B$9="","",B14/B11),"")</f>
        <v>83.92185211959445</v>
      </c>
      <c r="C15" s="48">
        <f>IFERROR(IF('PyG 3 Años'!$C$9="","",C14/C11),"")</f>
        <v>87.01118958028263</v>
      </c>
      <c r="D15" s="48">
        <f>IFERROR(IF('PyG 3 Años'!$D$9="","",D14/D11),"")</f>
        <v>89.60448403772737</v>
      </c>
      <c r="E15" s="32" t="n"/>
      <c r="F15" s="32" t="n"/>
    </row>
    <row r="16">
      <c r="A16" s="29" t="inlineStr">
        <is>
          <t>Ingresos necesarios al año</t>
        </is>
      </c>
      <c r="B16" s="30">
        <f>IFERROR(IF('PyG 3 Años'!$B$9="","",B14*B8),"")</f>
        <v>246730.24523160767</v>
      </c>
      <c r="C16" s="30">
        <f>IFERROR(IF('PyG 3 Años'!$C$9="","",C14*C8),"")</f>
        <v>255812.89736603093</v>
      </c>
      <c r="D16" s="30">
        <f>IFERROR(IF('PyG 3 Años'!$D$9="","",D14*D8),"")</f>
        <v>263437.1830709185</v>
      </c>
      <c r="E16" s="32" t="n"/>
      <c r="F16" s="32" t="n"/>
    </row>
    <row r="17">
      <c r="A17" s="29" t="inlineStr">
        <is>
          <t>PUNTO DE EQUILIBRIO DE CAJA (incluye la cuota del préstamo)</t>
        </is>
      </c>
      <c r="B17" s="32" t="n"/>
      <c r="C17" s="32" t="n"/>
      <c r="D17" s="32" t="n"/>
      <c r="E17" s="32" t="n"/>
      <c r="F17" s="32" t="n"/>
    </row>
    <row r="18">
      <c r="A18" s="32" t="inlineStr">
        <is>
          <t>Costes fijos de caja + principal del año</t>
        </is>
      </c>
      <c r="B18" s="45">
        <f>IFERROR(IF('PyG 3 Años'!$B$9="","",B6-'PyG 3 Años'!$B$35+B12),"")</f>
        <v>154102.5</v>
      </c>
      <c r="C18" s="45">
        <f>IFERROR(IF('PyG 3 Años'!$C$9="","",C6-'PyG 3 Años'!$C$35+C12),"")</f>
        <v>176159.11438918827</v>
      </c>
      <c r="D18" s="45">
        <f>IFERROR(IF('PyG 3 Años'!$D$9="","",D6-'PyG 3 Años'!$D$35+D12),"")</f>
        <v>182159.1143891883</v>
      </c>
      <c r="E18" s="32" t="inlineStr">
        <is>
          <t>Los fijos del P&amp;L sin la amortización (que no se paga) y CON la devolución de principal (que sí). Es el umbral que decide si la caja aguanta</t>
        </is>
      </c>
      <c r="F18" s="32" t="n"/>
    </row>
    <row r="19">
      <c r="A19" s="32" t="inlineStr">
        <is>
          <t>Clientes necesarios al año (caja)</t>
        </is>
      </c>
      <c r="B19" s="44">
        <f>IFERROR(IF('PyG 3 Años'!$B$9="","",IF(B10&lt;=0,"",B18/B10)),"")</f>
        <v>23803.73130178502</v>
      </c>
      <c r="C19" s="44">
        <f>IFERROR(IF('PyG 3 Años'!$C$9="","",IF(C10&lt;=0,"",C18/C10)),"")</f>
        <v>27210.747556208684</v>
      </c>
      <c r="D19" s="44">
        <f>IFERROR(IF('PyG 3 Años'!$D$9="","",IF(D10&lt;=0,"",D18/D10)),"")</f>
        <v>28137.548794415143</v>
      </c>
      <c r="E19" s="32" t="n"/>
      <c r="F19" s="32" t="n"/>
    </row>
    <row r="20">
      <c r="A20" s="29" t="inlineStr">
        <is>
          <t>Clientes necesarios al día (caja)</t>
        </is>
      </c>
      <c r="B20" s="49">
        <f>IFERROR(IF('PyG 3 Años'!$B$9="","",B19/B11),"")</f>
        <v>79.34577100595007</v>
      </c>
      <c r="C20" s="49">
        <f>IFERROR(IF('PyG 3 Años'!$C$9="","",C19/C11),"")</f>
        <v>90.70249185402895</v>
      </c>
      <c r="D20" s="49">
        <f>IFERROR(IF('PyG 3 Años'!$D$9="","",D19/D11),"")</f>
        <v>93.79182931471715</v>
      </c>
      <c r="E20" s="32" t="n"/>
      <c r="F20" s="32" t="n"/>
    </row>
    <row r="21">
      <c r="A21" s="32" t="inlineStr">
        <is>
          <t>Ingresos necesarios al año (caja)</t>
        </is>
      </c>
      <c r="B21" s="36">
        <f>IFERROR(IF('PyG 3 Años'!$B$9="","",B19*B8),"")</f>
        <v>233276.56675749322</v>
      </c>
      <c r="C21" s="36">
        <f>IFERROR(IF('PyG 3 Años'!$C$9="","",C19*C8),"")</f>
        <v>266665.32605084515</v>
      </c>
      <c r="D21" s="36">
        <f>IFERROR(IF('PyG 3 Años'!$D$9="","",D19*D8),"")</f>
        <v>275747.9781852684</v>
      </c>
      <c r="E21" s="32" t="n"/>
      <c r="F21" s="32" t="n"/>
    </row>
    <row r="22">
      <c r="A22" s="29" t="inlineStr">
        <is>
          <t>CONTRASTE CON EL PLAN</t>
        </is>
      </c>
      <c r="B22" s="32" t="n"/>
      <c r="C22" s="32" t="n"/>
      <c r="D22" s="32" t="n"/>
      <c r="E22" s="32" t="n"/>
      <c r="F22" s="32" t="n"/>
    </row>
    <row r="23">
      <c r="A23" s="32" t="inlineStr">
        <is>
          <t>Clientes/día previstos en el plan</t>
        </is>
      </c>
      <c r="B23" s="44">
        <f>IFERROR(IF('PyG 3 Años'!$B$9="","",'PyG 3 Años'!$B$6),"")</f>
        <v>100.0</v>
      </c>
      <c r="C23" s="44">
        <f>IFERROR(IF('PyG 3 Años'!$C$9="","",'PyG 3 Años'!$C$6),"")</f>
        <v>107.0</v>
      </c>
      <c r="D23" s="44">
        <f>IFERROR(IF('PyG 3 Años'!$D$9="","",'PyG 3 Años'!$D$6),"")</f>
        <v>112.35000000000001</v>
      </c>
      <c r="E23" s="32" t="n"/>
      <c r="F23" s="32" t="n"/>
    </row>
    <row r="24">
      <c r="A24" s="32" t="inlineStr">
        <is>
          <t>Holgura sobre el equilibrio de CAJA (%)</t>
        </is>
      </c>
      <c r="B24" s="34">
        <f>IFERROR(IF('PyG 3 Años'!$B$9="","",B23/B20-1),"")</f>
        <v>0.2603066141042487</v>
      </c>
      <c r="C24" s="34">
        <f>IFERROR(IF('PyG 3 Años'!$C$9="","",C23/C20-1),"")</f>
        <v>0.17968093062094992</v>
      </c>
      <c r="D24" s="34">
        <f>IFERROR(IF('PyG 3 Años'!$D$9="","",D23/D20-1),"")</f>
        <v>0.19786553712489363</v>
      </c>
      <c r="E24" s="32" t="inlineStr">
        <is>
          <t>Cuánto superan tus ventas previstas a las del equilibrio de caja. La caída que aguantas antes de no poder pagar los costes fijos y la cuota es algo menor: con un 25 % de holgura, un 20 %. El mínimo exigible está en la hoja de Supuestos</t>
        </is>
      </c>
      <c r="F24" s="32" t="n"/>
    </row>
    <row r="25">
      <c r="A25" s="32" t="inlineStr">
        <is>
          <t>Rotaciones al día que da el local como máximo</t>
        </is>
      </c>
      <c r="B25" s="50" t="n">
        <v>3</v>
      </c>
      <c r="C25" s="32" t="n"/>
      <c r="D25" s="32" t="n"/>
      <c r="E25" s="32" t="inlineStr">
        <is>
          <t>Servicios completos por plaza y día que puedes llegar a hacer con tu horario. Es el techo físico del local, no un objetivo</t>
        </is>
      </c>
      <c r="F25" s="32" t="n"/>
    </row>
    <row r="26">
      <c r="A26" s="32" t="inlineStr">
        <is>
          <t>Rotaciones al día que exige el equilibrio de caja</t>
        </is>
      </c>
      <c r="B26" s="48">
        <f>IFERROR(IF('PyG 3 Años'!$B$9="","",B20/'0. Supuestos'!$B$51),"")</f>
        <v>1.7632393556877792</v>
      </c>
      <c r="C26" s="48">
        <f>IFERROR(IF('PyG 3 Años'!$C$9="","",C20/'0. Supuestos'!$B$51),"")</f>
        <v>2.015610930089532</v>
      </c>
      <c r="D26" s="48">
        <f>IFERROR(IF('PyG 3 Años'!$D$9="","",D20/'0. Supuestos'!$B$51),"")</f>
        <v>2.084262873660381</v>
      </c>
      <c r="E26" s="32" t="inlineStr">
        <is>
          <t>Clientes de equilibrio entre las plazas que declara la hoja de Supuestos. Por encima del techo de arriba, el punto de equilibrio está fuera del alcance del local</t>
        </is>
      </c>
      <c r="F26" s="32" t="n"/>
    </row>
    <row r="27">
      <c r="A27" s="29" t="inlineStr">
        <is>
          <t>INTERPRETACIÓN</t>
        </is>
      </c>
      <c r="B27" s="32" t="n"/>
      <c r="C27" s="32" t="n"/>
      <c r="D27" s="32" t="n"/>
      <c r="E27" s="32" t="n"/>
      <c r="F27" s="32" t="n"/>
    </row>
    <row r="28" ht="46" customHeight="1">
      <c r="A28" s="32" t="str">
        <f>IFERROR("Con el ticket medio sin IVA de la fila de arriba necesitas "&amp;TEXT(ROUNDUP(B15,0),"0")&amp;" clientes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84 clientes al día durante los 300 días que abres para no perder dinero (equilibrio contable, con la amortización dentro), y 80 para que la caja aguante (equilibrio de caja: sin la amortización, que no se paga, y con la cuota del préstamo del año; este año sólo intereses, porque el préstamo está en carencia). En las filas «Ingresos necesarios al año» tienes esas mismas cifras en euros.</v>
      </c>
      <c r="B28" s="32" t="n"/>
      <c r="C28" s="32" t="n"/>
      <c r="D28" s="32" t="n"/>
      <c r="E28" s="32" t="n"/>
      <c r="F28" s="32" t="n"/>
    </row>
    <row r="29">
      <c r="A29" s="32" t="n"/>
      <c r="B29" s="32" t="n"/>
      <c r="C29" s="32" t="n"/>
      <c r="D29" s="32" t="n"/>
      <c r="E29" s="32" t="n"/>
      <c r="F29" s="32" t="n"/>
    </row>
    <row r="30">
      <c r="A30" s="29" t="inlineStr">
        <is>
          <t>SENSIBILIDAD DEL PUNTO DE EQUILIBRIO</t>
        </is>
      </c>
      <c r="B30" s="32" t="n"/>
      <c r="C30" s="32" t="n"/>
      <c r="D30" s="32" t="n"/>
      <c r="E30" s="32" t="n"/>
      <c r="F30" s="32" t="n"/>
    </row>
    <row r="31" ht="75" customHeight="1">
      <c r="A31" s="51" t="inlineStr">
        <is>
          <t>Clientes/día necesarios para cubrir costes según el ticket medio (columnas) y el coste variable por cliente (filas). En verde, los que están por debajo de los clientes que prevé el plan.</t>
        </is>
      </c>
      <c r="B31" s="32" t="n"/>
      <c r="C31" s="32" t="n"/>
      <c r="D31" s="32" t="n"/>
      <c r="E31" s="32" t="n"/>
      <c r="F31" s="32" t="n"/>
    </row>
    <row r="32">
      <c r="A32" s="32" t="n"/>
      <c r="B32" s="32" t="n"/>
      <c r="C32" s="32" t="n"/>
      <c r="D32" s="32" t="n"/>
      <c r="E32" s="32" t="n"/>
      <c r="F32" s="32" t="n"/>
    </row>
    <row r="33" ht="45" customHeight="1">
      <c r="A33" s="43" t="inlineStr">
        <is>
          <t>Clientes/día necesarios: ticket medio sin IVA (columnas) × coste variable por cliente (filas)</t>
        </is>
      </c>
      <c r="B33" s="52">
        <f>IFERROR($B$8-2,"")</f>
        <v>7.800000000000001</v>
      </c>
      <c r="C33" s="52">
        <f>IFERROR(IF($B$8="","",$B$8),"")</f>
        <v>9.8</v>
      </c>
      <c r="D33" s="52">
        <f>IFERROR($B$8+2,"")</f>
        <v>11.8</v>
      </c>
      <c r="E33" s="52">
        <f>IFERROR($B$8+4,"")</f>
        <v>13.8</v>
      </c>
      <c r="F33" s="32" t="n"/>
    </row>
    <row r="34">
      <c r="A34" s="45">
        <f>IFERROR($B$9*0.85,"")</f>
        <v>2.8272020000000007</v>
      </c>
      <c r="B34" s="48">
        <f>IFERROR(IF($B$33-$A34&lt;=0,"",$B$6/($B$33-$A34)/$B$11),"")</f>
        <v>109.25438757013659</v>
      </c>
      <c r="C34" s="48">
        <f>IFERROR(IF($C$33-$A34&lt;=0,"",$B$6/($C$33-$A34)/$B$11),"")</f>
        <v>77.91707145395578</v>
      </c>
      <c r="D34" s="48">
        <f>IFERROR(IF($D$33-$A34&lt;=0,"",$B$6/($D$33-$A34)/$B$11),"")</f>
        <v>60.54967469456015</v>
      </c>
      <c r="E34" s="48">
        <f>IFERROR(IF($E$33-$A34&lt;=0,"",$B$6/($E$33-$A34)/$B$11),"")</f>
        <v>49.51335110698292</v>
      </c>
      <c r="F34" s="32" t="n"/>
    </row>
    <row r="35">
      <c r="A35" s="45">
        <f>IFERROR($B$9*0.925,"")</f>
        <v>3.076661000000001</v>
      </c>
      <c r="B35" s="48">
        <f>IFERROR(IF($B$33-$A35&lt;=0,"",$B$6/($B$33-$A35)/$B$11),"")</f>
        <v>115.02456207356704</v>
      </c>
      <c r="C35" s="48">
        <f>IFERROR(IF($C$33-$A35&lt;=0,"",$B$6/($C$33-$A35)/$B$11),"")</f>
        <v>80.80806277952072</v>
      </c>
      <c r="D35" s="48">
        <f>IFERROR(IF($D$33-$A35&lt;=0,"",$B$6/($D$33-$A35)/$B$11),"")</f>
        <v>62.281197601056206</v>
      </c>
      <c r="E35" s="48">
        <f>IFERROR(IF($E$33-$A35&lt;=0,"",$B$6/($E$33-$A35)/$B$11),"")</f>
        <v>50.66518926614183</v>
      </c>
      <c r="F35" s="32" t="n"/>
    </row>
    <row r="36">
      <c r="A36" s="45">
        <f>IFERROR($B$9*1.0,"")</f>
        <v>3.326120000000001</v>
      </c>
      <c r="B36" s="48">
        <f>IFERROR(IF($B$33-$A36&lt;=0,"",$B$6/($B$33-$A36)/$B$11),"")</f>
        <v>121.43821470401531</v>
      </c>
      <c r="C36" s="48">
        <f>IFERROR(IF($C$33-$A36&lt;=0,"",$B$6/($C$33-$A36)/$B$11),"")</f>
        <v>83.92185211959445</v>
      </c>
      <c r="D36" s="48">
        <f>IFERROR(IF($D$33-$A36&lt;=0,"",$B$6/($D$33-$A36)/$B$11),"")</f>
        <v>64.11466766109504</v>
      </c>
      <c r="E36" s="48">
        <f>IFERROR(IF($E$33-$A36&lt;=0,"",$B$6/($E$33-$A36)/$B$11),"")</f>
        <v>51.8718946560396</v>
      </c>
      <c r="F36" s="32" t="n"/>
    </row>
    <row r="37">
      <c r="A37" s="24">
        <f>IFERROR($B$9*1.075,"")</f>
        <v>3.5755790000000007</v>
      </c>
      <c r="B37" s="53">
        <f>IFERROR(IF($B$33-$A37&lt;=0,"",$B$6/($B$33-$A37)/$B$11),"")</f>
        <v>128.60934078303276</v>
      </c>
      <c r="C37" s="53">
        <f>IFERROR(IF($C$33-$A37&lt;=0,"",$B$6/($C$33-$A37)/$B$11),"")</f>
        <v>87.28522701147627</v>
      </c>
      <c r="D37" s="53">
        <f>IFERROR(IF($D$33-$A37&lt;=0,"",$B$6/($D$33-$A37)/$B$11),"")</f>
        <v>66.05936150398915</v>
      </c>
      <c r="E37" s="53">
        <f>IFERROR(IF($E$33-$A37&lt;=0,"",$B$6/($E$33-$A37)/$B$11),"")</f>
        <v>53.137483286339645</v>
      </c>
    </row>
    <row r="38">
      <c r="A38" s="24">
        <f>IFERROR($B$9*1.15,"")</f>
        <v>3.8250380000000006</v>
      </c>
      <c r="B38" s="53">
        <f>IFERROR(IF($B$33-$A38&lt;=0,"",$B$6/($B$33-$A38)/$B$11),"")</f>
        <v>136.68055191471012</v>
      </c>
      <c r="C38" s="53">
        <f>IFERROR(IF($C$33-$A38&lt;=0,"",$B$6/($C$33-$A38)/$B$11),"")</f>
        <v>90.92944858896173</v>
      </c>
      <c r="D38" s="53">
        <f>IFERROR(IF($D$33-$A38&lt;=0,"",$B$6/($D$33-$A38)/$B$11),"")</f>
        <v>68.12571646109411</v>
      </c>
      <c r="E38" s="53">
        <f>IFERROR(IF($E$33-$A38&lt;=0,"",$B$6/($E$33-$A38)/$B$11),"")</f>
        <v>54.466372904478234</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9" t="inlineStr">
        <is>
          <t>Métrica</t>
        </is>
      </c>
      <c r="B4" s="29" t="inlineStr">
        <is>
          <t>Pesimista</t>
        </is>
      </c>
      <c r="C4" s="29" t="inlineStr">
        <is>
          <t>Realista</t>
        </is>
      </c>
      <c r="D4" s="29" t="inlineStr">
        <is>
          <t>Optimista</t>
        </is>
      </c>
      <c r="E4" s="29" t="inlineStr">
        <is>
          <t>Notas</t>
        </is>
      </c>
      <c r="F4" s="32" t="n"/>
    </row>
    <row r="5">
      <c r="A5" s="32" t="inlineStr">
        <is>
          <t>Clientes/día</t>
        </is>
      </c>
      <c r="B5" s="54" t="n">
        <v>80</v>
      </c>
      <c r="C5" s="44">
        <f>IFERROR(IF('PyG 3 Años'!$B$6="","",'PyG 3 Años'!$B$6),"")</f>
        <v>100.0</v>
      </c>
      <c r="D5" s="54" t="n">
        <v>115</v>
      </c>
      <c r="E5" s="32" t="n"/>
      <c r="F5" s="32" t="n"/>
    </row>
    <row r="6">
      <c r="A6" s="32" t="inlineStr">
        <is>
          <t>Ticket medio sin IVA</t>
        </is>
      </c>
      <c r="B6" s="55" t="n">
        <v>9.199999999999999</v>
      </c>
      <c r="C6" s="45">
        <f>IFERROR(IF('PyG 3 Años'!$B$7="","",'PyG 3 Años'!$B$7),"")</f>
        <v>9.8</v>
      </c>
      <c r="D6" s="55" t="n">
        <v>10.4</v>
      </c>
      <c r="E6" s="32" t="n"/>
      <c r="F6" s="32" t="n"/>
    </row>
    <row r="7">
      <c r="A7" s="32" t="inlineStr">
        <is>
          <t>Días de apertura al año</t>
        </is>
      </c>
      <c r="B7" s="54" t="n">
        <v>290</v>
      </c>
      <c r="C7" s="44">
        <f>IFERROR(IF('PyG 3 Años'!$B$8="","",'PyG 3 Años'!$B$8),"")</f>
        <v>300.0</v>
      </c>
      <c r="D7" s="54" t="n">
        <v>310</v>
      </c>
      <c r="E7" s="32" t="n"/>
      <c r="F7" s="32" t="n"/>
    </row>
    <row r="8">
      <c r="A8" s="29" t="inlineStr">
        <is>
          <t>INGRESOS ANUALES (sin IVA)</t>
        </is>
      </c>
      <c r="B8" s="30">
        <f>IFERROR(IF(B5*B6*B7=0,"",B5*B6*B7),"")</f>
        <v>213440.0</v>
      </c>
      <c r="C8" s="30">
        <f>IFERROR(IF(C5*C6*C7=0,"",C5*C6*C7),"")</f>
        <v>294000.00000000006</v>
      </c>
      <c r="D8" s="30">
        <f>IFERROR(IF(D5*D6*D7=0,"",D5*D6*D7),"")</f>
        <v>370760.0</v>
      </c>
      <c r="E8" s="32" t="n"/>
      <c r="F8" s="32" t="n"/>
    </row>
    <row r="9">
      <c r="A9" s="32" t="inlineStr">
        <is>
          <t>Coste de mercancía — comida</t>
        </is>
      </c>
      <c r="B9" s="36">
        <f>IFERROR(IF(B8="","",B8*'0. Supuestos'!$B$11*'0. Supuestos'!$B$13),"")</f>
        <v>28003.327999999998</v>
      </c>
      <c r="C9" s="36">
        <f>IFERROR(IF(C8="","",C8*'0. Supuestos'!$B$11*'0. Supuestos'!$B$13),"")</f>
        <v>38572.8</v>
      </c>
      <c r="D9" s="36">
        <f>IFERROR(IF(D8="","",D8*'0. Supuestos'!$B$11*'0. Supuestos'!$B$13),"")</f>
        <v>48643.71199999999</v>
      </c>
      <c r="E9" s="32" t="n"/>
      <c r="F9" s="32" t="n"/>
    </row>
    <row r="10">
      <c r="A10" s="32" t="inlineStr">
        <is>
          <t>Coste de mercancía — bebida</t>
        </is>
      </c>
      <c r="B10" s="36">
        <f>IFERROR(IF(B8="","",B8*'0. Supuestos'!$B$12*'0. Supuestos'!$B$14),"")</f>
        <v>35260.28800000001</v>
      </c>
      <c r="C10" s="36">
        <f>IFERROR(IF(C8="","",C8*'0. Supuestos'!$B$12*'0. Supuestos'!$B$14),"")</f>
        <v>48568.80000000002</v>
      </c>
      <c r="D10" s="36">
        <f>IFERROR(IF(D8="","",D8*'0. Supuestos'!$B$12*'0. Supuestos'!$B$14),"")</f>
        <v>61249.55200000001</v>
      </c>
      <c r="E10" s="32" t="n"/>
      <c r="F10" s="32" t="n"/>
    </row>
    <row r="11">
      <c r="A11" s="32" t="inlineStr">
        <is>
          <t>Consumibles y envases</t>
        </is>
      </c>
      <c r="B11" s="36">
        <f>IFERROR(IF(B8="","",B8*'0. Supuestos'!$B$15),"")</f>
        <v>3201.6</v>
      </c>
      <c r="C11" s="36">
        <f>IFERROR(IF(C8="","",C8*'0. Supuestos'!$B$15),"")</f>
        <v>4410.000000000001</v>
      </c>
      <c r="D11" s="36">
        <f>IFERROR(IF(D8="","",D8*'0. Supuestos'!$B$15),"")</f>
        <v>5561.4</v>
      </c>
      <c r="E11" s="32" t="n"/>
      <c r="F11" s="32" t="n"/>
    </row>
    <row r="12">
      <c r="A12" s="32" t="inlineStr">
        <is>
          <t>Comisiones de delivery</t>
        </is>
      </c>
      <c r="B12" s="36">
        <f>IFERROR(IF(B8="","",B8*'0. Supuestos'!$B$16*'0. Supuestos'!$B$17),"")</f>
        <v>0.0</v>
      </c>
      <c r="C12" s="36">
        <f>IFERROR(IF(C8="","",C8*'0. Supuestos'!$B$16*'0. Supuestos'!$B$17),"")</f>
        <v>0.0</v>
      </c>
      <c r="D12" s="36">
        <f>IFERROR(IF(D8="","",D8*'0. Supuestos'!$B$16*'0. Supuestos'!$B$17),"")</f>
        <v>0.0</v>
      </c>
      <c r="E12" s="32" t="n"/>
      <c r="F12" s="32" t="n"/>
    </row>
    <row r="13">
      <c r="A13" s="32" t="inlineStr">
        <is>
          <t>Comisiones de los medios de pago</t>
        </is>
      </c>
      <c r="B13" s="36">
        <f>IFERROR(IF(B8="","",B8*'0. Supuestos'!$B$18),"")</f>
        <v>1707.52</v>
      </c>
      <c r="C13" s="36">
        <f>IFERROR(IF(C8="","",C8*'0. Supuestos'!$B$18),"")</f>
        <v>2352.0000000000005</v>
      </c>
      <c r="D13" s="36">
        <f>IFERROR(IF(D8="","",D8*'0. Supuestos'!$B$18),"")</f>
        <v>2966.08</v>
      </c>
      <c r="E13" s="32" t="n"/>
      <c r="F13" s="32" t="n"/>
    </row>
    <row r="14">
      <c r="A14" s="32" t="inlineStr">
        <is>
          <t>Varios e imprevistos</t>
        </is>
      </c>
      <c r="B14" s="36">
        <f>IFERROR(IF(B8="","",B8*'0. Supuestos'!$B$28),"")</f>
        <v>4268.8</v>
      </c>
      <c r="C14" s="36">
        <f>IFERROR(IF(C8="","",C8*'0. Supuestos'!$B$28),"")</f>
        <v>5880.000000000001</v>
      </c>
      <c r="D14" s="36">
        <f>IFERROR(IF(D8="","",D8*'0. Supuestos'!$B$28),"")</f>
        <v>7415.2</v>
      </c>
      <c r="E14" s="32" t="n"/>
      <c r="F14" s="32" t="n"/>
    </row>
    <row r="15">
      <c r="A15" s="32" t="inlineStr">
        <is>
          <t>TOTAL COSTES VARIABLES</t>
        </is>
      </c>
      <c r="B15" s="36">
        <f>IFERROR(IF(B8="","",SUM(B9:B14)),"")</f>
        <v>72441.53600000002</v>
      </c>
      <c r="C15" s="36">
        <f>IFERROR(IF(C8="","",SUM(C9:C14)),"")</f>
        <v>99783.60000000002</v>
      </c>
      <c r="D15" s="36">
        <f>IFERROR(IF(D8="","",SUM(D9:D14)),"")</f>
        <v>125835.94399999999</v>
      </c>
      <c r="E15" s="32" t="n"/>
      <c r="F15" s="32" t="n"/>
    </row>
    <row r="16">
      <c r="A16" s="32" t="inlineStr">
        <is>
          <t>MARGEN BRUTO</t>
        </is>
      </c>
      <c r="B16" s="36">
        <f>IFERROR(IF(B8="","",B8-B15),"")</f>
        <v>140998.46399999998</v>
      </c>
      <c r="C16" s="36">
        <f>IFERROR(IF(C8="","",C8-C15),"")</f>
        <v>194216.40000000002</v>
      </c>
      <c r="D16" s="36">
        <f>IFERROR(IF(D8="","",D8-D15),"")</f>
        <v>244924.056</v>
      </c>
      <c r="E16" s="32" t="n"/>
      <c r="F16" s="32" t="n"/>
    </row>
    <row r="17">
      <c r="A17" s="37" t="inlineStr">
        <is>
          <t>COSTES FIJOS (los del P&amp;L)</t>
        </is>
      </c>
      <c r="B17" s="38">
        <f>IFERROR(IF(B8="","",'PyG 3 Años'!$B$37),"")</f>
        <v>162990.0</v>
      </c>
      <c r="C17" s="38">
        <f>IFERROR(IF(C8="","",'PyG 3 Años'!$B$37),"")</f>
        <v>162990.0</v>
      </c>
      <c r="D17" s="38">
        <f>IFERROR(IF(D8="","",'PyG 3 Años'!$B$37),"")</f>
        <v>162990.0</v>
      </c>
      <c r="E17" s="37" t="inlineStr">
        <is>
          <t>Los costes fijos no cambian con el escenario: por eso son fijos</t>
        </is>
      </c>
    </row>
    <row r="18">
      <c r="A18" s="19" t="inlineStr">
        <is>
          <t>RESULTADO ANTES DE IMPUESTOS</t>
        </is>
      </c>
      <c r="B18" s="39">
        <f>IFERROR(IF(B8="","",B16-B17),"")</f>
        <v>-21991.536000000022</v>
      </c>
      <c r="C18" s="39">
        <f>IFERROR(IF(C8="","",C16-C17),"")</f>
        <v>31226.400000000023</v>
      </c>
      <c r="D18" s="39">
        <f>IFERROR(IF(D8="","",D16-D17),"")</f>
        <v>81934.05600000001</v>
      </c>
    </row>
    <row r="19">
      <c r="A19" s="37" t="inlineStr">
        <is>
          <t>Impuesto de Sociedades</t>
        </is>
      </c>
      <c r="B19" s="38">
        <f>IFERROR(IF(B8="","",MAX(0,B18-'0. Supuestos'!$B$42)*'0. Supuestos'!$B$37),"")</f>
        <v>0.0</v>
      </c>
      <c r="C19" s="38">
        <f>IFERROR(IF(C8="","",MAX(0,C18-'0. Supuestos'!$B$42)*'0. Supuestos'!$B$37),"")</f>
        <v>4683.960000000004</v>
      </c>
      <c r="D19" s="38">
        <f>IFERROR(IF(D8="","",MAX(0,D18-'0. Supuestos'!$B$42)*'0. Supuestos'!$B$37),"")</f>
        <v>12290.108400000001</v>
      </c>
      <c r="E19" s="37" t="inlineStr">
        <is>
          <t>Al tipo de entidad de nueva creación, compensando las bases negativas anteriores</t>
        </is>
      </c>
    </row>
    <row r="20">
      <c r="A20" s="19" t="inlineStr">
        <is>
          <t>RESULTADO NETO</t>
        </is>
      </c>
      <c r="B20" s="39">
        <f>IFERROR(IF(B8="","",B18-B19),"")</f>
        <v>-21991.536000000022</v>
      </c>
      <c r="C20" s="39">
        <f>IFERROR(IF(C8="","",C18-C19),"")</f>
        <v>26542.44000000002</v>
      </c>
      <c r="D20" s="39">
        <f>IFERROR(IF(D8="","",D18-D19),"")</f>
        <v>69643.94760000001</v>
      </c>
    </row>
    <row r="21">
      <c r="A21" s="37" t="inlineStr">
        <is>
          <t>Clientes/día para el equilibrio</t>
        </is>
      </c>
      <c r="B21" s="53">
        <f>IFERROR(IF(B8="","",IF(B6-B15/(B5*B7)&lt;=0,"",B17/(B6-B15/(B5*B7))/B7)),"")</f>
        <v>92.47760316027275</v>
      </c>
      <c r="C21" s="53">
        <f>IFERROR(IF(C8="","",IF(C6-C15/(C5*C7)&lt;=0,"",C17/(C6-C15/(C5*C7))/C7)),"")</f>
        <v>83.92185211959445</v>
      </c>
      <c r="D21" s="53">
        <f>IFERROR(IF(D8="","",IF(D6-D15/(D5*D7)&lt;=0,"",D17/(D6-D15/(D5*D7))/D7)),"")</f>
        <v>76.52923239193785</v>
      </c>
    </row>
    <row r="22">
      <c r="A22" s="19" t="inlineStr">
        <is>
          <t>LO QUE CADA ESCENARIO EXIGE</t>
        </is>
      </c>
    </row>
    <row r="23">
      <c r="A23" s="37" t="inlineStr">
        <is>
          <t>Coste de personal / Ventas</t>
        </is>
      </c>
      <c r="B23" s="25">
        <f>IFERROR(IF(B8="","",'PyG 3 Años'!$B$23/B8),"")</f>
        <v>0.46890226761619197</v>
      </c>
      <c r="C23" s="25">
        <f>IFERROR(IF(C8="","",'PyG 3 Años'!$B$23/C8),"")</f>
        <v>0.34041666666666665</v>
      </c>
      <c r="D23" s="25">
        <f>IFERROR(IF(D8="","",'PyG 3 Años'!$B$23/D8),"")</f>
        <v>0.26993877440932146</v>
      </c>
      <c r="E23" s="37" t="inlineStr">
        <is>
          <t>La MISMA plantilla en los tres escenarios. Si en el pesimista se dispara, el ajuste hay que hacerlo en la hoja de Personal, no aquí</t>
        </is>
      </c>
    </row>
    <row r="24">
      <c r="A24" s="37" t="inlineStr">
        <is>
          <t>Clientes al año por jornada equivalente</t>
        </is>
      </c>
      <c r="B24" s="46">
        <f>IFERROR(IF(B8="","",B5*B7/'Personal'!$C$11),"")</f>
        <v>5458.823529411765</v>
      </c>
      <c r="C24" s="46">
        <f>IFERROR(IF(C8="","",C5*C7/'Personal'!$C$11),"")</f>
        <v>7058.823529411765</v>
      </c>
      <c r="D24" s="46">
        <f>IFERROR(IF(D8="","",D5*D7/'Personal'!$C$11),"")</f>
        <v>8388.235294117647</v>
      </c>
      <c r="E24" s="37" t="inlineStr">
        <is>
          <t>Clientes que tendría que sacar cada jornada completa del cuadro de Personal. En el optimista dice si hace falta contratar</t>
        </is>
      </c>
    </row>
    <row r="25">
      <c r="A25" s="19" t="inlineStr">
        <is>
          <t>Saldo de caja al cierre del año 1 (estimado, el mismo método en los tres escenarios)</t>
        </is>
      </c>
      <c r="B25" s="39">
        <f>IFERROR(IF(B8="","",'Inversión Inicial'!$B$34+B20+'PyG 3 Años'!$B$35-'Financiación'!$B$45),"")</f>
        <v>25421.588999999978</v>
      </c>
      <c r="C25" s="39">
        <f>IFERROR(IF(C8="","",'Inversión Inicial'!$B$34+C20+'PyG 3 Años'!$B$35-'Financiación'!$B$45),"")</f>
        <v>73955.56500000002</v>
      </c>
      <c r="D25" s="39">
        <f>IFERROR(IF(D8="","",'Inversión Inicial'!$B$34+D20+'PyG 3 Años'!$B$35-'Financiación'!$B$45),"")</f>
        <v>117057.07260000001</v>
      </c>
      <c r="E25" s="19"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7" t="inlineStr">
        <is>
          <t>Saldo real del mes 12 de la hoja de Tesorería (sólo realista)</t>
        </is>
      </c>
      <c r="C26" s="38">
        <f>IFERROR(IF(C8="","",'Tesorería 12 meses'!$M$22),"")</f>
        <v>100737.12809994358</v>
      </c>
      <c r="E26" s="37"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20" t="inlineStr">
        <is>
          <t>La columna «Realista» lee sus tres datos de la hoja de Supuestos, así que reproduce EXACTAMENTE el año 1 del P&amp;L. Los otros dos escenarios usan las mismas tasas de coste: lo único que cambia son los clientes,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7"/>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3" t="inlineStr">
        <is>
          <t>Puesto</t>
        </is>
      </c>
      <c r="B4" s="43" t="inlineStr">
        <is>
          <t>Personas</t>
        </is>
      </c>
      <c r="C4" s="43" t="inlineStr">
        <is>
          <t>Jornada</t>
        </is>
      </c>
      <c r="D4" s="43" t="inlineStr">
        <is>
          <t>Bruto mes (€, total del puesto)</t>
        </is>
      </c>
      <c r="E4" s="43" t="inlineStr">
        <is>
          <t>Seg. Social a cargo de la empresa (€)</t>
        </is>
      </c>
      <c r="F4" s="43" t="inlineStr">
        <is>
          <t>Coste mes (€, total del puesto)</t>
        </is>
      </c>
      <c r="G4" s="43" t="inlineStr">
        <is>
          <t>Coste año (€)</t>
        </is>
      </c>
      <c r="H4" s="43" t="inlineStr">
        <is>
          <t>Horas/semana por persona</t>
        </is>
      </c>
      <c r="I4" s="43" t="inlineStr">
        <is>
          <t>Horas/año del puesto</t>
        </is>
      </c>
      <c r="J4" s="43" t="inlineStr">
        <is>
          <t>Notas</t>
        </is>
      </c>
    </row>
    <row r="5">
      <c r="A5" s="32" t="inlineStr">
        <is>
          <t>Propietario/a y barista principal</t>
        </is>
      </c>
      <c r="B5" s="54" t="n">
        <v>1</v>
      </c>
      <c r="C5" s="56" t="n">
        <v>1</v>
      </c>
      <c r="D5" s="55" t="n">
        <v>1350</v>
      </c>
      <c r="E5" s="45">
        <f>IFERROR(IF(D5="","",D5*'0. Supuestos'!$B$20),"")</f>
        <v>445.5</v>
      </c>
      <c r="F5" s="45">
        <f>IFERROR(IF(D5="","",D5+E5),"")</f>
        <v>1795.5</v>
      </c>
      <c r="G5" s="45">
        <f>IFERROR(IF(D5="","",F5*MAX(12,'0. Supuestos'!$B$21)),"")</f>
        <v>25137.0</v>
      </c>
      <c r="H5" s="48">
        <f>IFERROR(IF(D5="","",C5*$B$18),"")</f>
        <v>40.0</v>
      </c>
      <c r="I5" s="44">
        <f>IFERROR(IF(D5="","",H5*B5*$B$19),"")</f>
        <v>1840.0</v>
      </c>
      <c r="J5" s="32" t="inlineStr">
        <is>
          <t>Trabaja en barra en el turno fuerte de mañana: compras, caja, proveedores y redes sociales</t>
        </is>
      </c>
    </row>
    <row r="6">
      <c r="A6" s="32" t="inlineStr">
        <is>
          <t>Barista / camarero de sala (turno de mañana)</t>
        </is>
      </c>
      <c r="B6" s="54" t="n">
        <v>1</v>
      </c>
      <c r="C6" s="56" t="n">
        <v>1</v>
      </c>
      <c r="D6" s="55" t="n">
        <v>1250</v>
      </c>
      <c r="E6" s="45">
        <f>IFERROR(IF(D6="","",D6*'0. Supuestos'!$B$20),"")</f>
        <v>412.5</v>
      </c>
      <c r="F6" s="45">
        <f>IFERROR(IF(D6="","",D6+E6),"")</f>
        <v>1662.5</v>
      </c>
      <c r="G6" s="45">
        <f>IFERROR(IF(D6="","",F6*MAX(12,'0. Supuestos'!$B$21)),"")</f>
        <v>23275.0</v>
      </c>
      <c r="H6" s="48">
        <f>IFERROR(IF(D6="","",C6*$B$18),"")</f>
        <v>40.0</v>
      </c>
      <c r="I6" s="44">
        <f>IFERROR(IF(D6="","",H6*B6*$B$19),"")</f>
        <v>1840.0</v>
      </c>
      <c r="J6" s="32" t="inlineStr">
        <is>
          <t>Especialista en café y latte art. La mañana es el turno más fuerte de una cafetería: café de barra, desayunos y bollería</t>
        </is>
      </c>
    </row>
    <row r="7">
      <c r="A7" s="32" t="inlineStr">
        <is>
          <t>Camarero/a de barra y sala (turno de tarde)</t>
        </is>
      </c>
      <c r="B7" s="54" t="n">
        <v>1</v>
      </c>
      <c r="C7" s="56" t="n">
        <v>1</v>
      </c>
      <c r="D7" s="55" t="n">
        <v>1230</v>
      </c>
      <c r="E7" s="45">
        <f>IFERROR(IF(D7="","",D7*'0. Supuestos'!$B$20),"")</f>
        <v>405.90000000000003</v>
      </c>
      <c r="F7" s="45">
        <f>IFERROR(IF(D7="","",D7+E7),"")</f>
        <v>1635.9</v>
      </c>
      <c r="G7" s="45">
        <f>IFERROR(IF(D7="","",F7*MAX(12,'0. Supuestos'!$B$21)),"")</f>
        <v>22902.600000000002</v>
      </c>
      <c r="H7" s="48">
        <f>IFERROR(IF(D7="","",C7*$B$18),"")</f>
        <v>40.0</v>
      </c>
      <c r="I7" s="44">
        <f>IFERROR(IF(D7="","",H7*B7*$B$19),"")</f>
        <v>1840.0</v>
      </c>
      <c r="J7" s="32" t="inlineStr">
        <is>
          <t>Cierra el servicio de tarde y prepara la mise en place del día siguiente. Sin este puesto el local no puede abrir las 13 horas que declara este mismo libro</t>
        </is>
      </c>
    </row>
    <row r="8">
      <c r="A8" s="32" t="inlineStr">
        <is>
          <t>Ayudante de brunch de fin de semana</t>
        </is>
      </c>
      <c r="B8" s="54" t="n">
        <v>1</v>
      </c>
      <c r="C8" s="56" t="n">
        <v>0.55</v>
      </c>
      <c r="D8" s="55" t="n">
        <v>680</v>
      </c>
      <c r="E8" s="45">
        <f>IFERROR(IF(D8="","",D8*'0. Supuestos'!$B$20),"")</f>
        <v>224.4</v>
      </c>
      <c r="F8" s="45">
        <f>IFERROR(IF(D8="","",D8+E8),"")</f>
        <v>904.4</v>
      </c>
      <c r="G8" s="45">
        <f>IFERROR(IF(D8="","",F8*MAX(12,'0. Supuestos'!$B$21)),"")</f>
        <v>12661.6</v>
      </c>
      <c r="H8" s="48">
        <f>IFERROR(IF(D8="","",C8*$B$18),"")</f>
        <v>22.0</v>
      </c>
      <c r="I8" s="44">
        <f>IFERROR(IF(D8="","",H8*B8*$B$19),"")</f>
        <v>1012.0</v>
      </c>
      <c r="J8" s="32" t="inlineStr">
        <is>
          <t>Cocina ligera del brunch: sábado y domingo, el servicio con más demanda, con dos o tres turnos de mesa</t>
        </is>
      </c>
    </row>
    <row r="9">
      <c r="A9" s="32" t="inlineStr">
        <is>
          <t>Extra de fin de semana (barra y sala)</t>
        </is>
      </c>
      <c r="B9" s="54" t="n">
        <v>1</v>
      </c>
      <c r="C9" s="56" t="n">
        <v>0.45</v>
      </c>
      <c r="D9" s="55" t="n">
        <v>555</v>
      </c>
      <c r="E9" s="45">
        <f>IFERROR(IF(D9="","",D9*'0. Supuestos'!$B$20),"")</f>
        <v>183.15</v>
      </c>
      <c r="F9" s="45">
        <f>IFERROR(IF(D9="","",D9+E9),"")</f>
        <v>738.15</v>
      </c>
      <c r="G9" s="45">
        <f>IFERROR(IF(D9="","",F9*MAX(12,'0. Supuestos'!$B$21)),"")</f>
        <v>10334.1</v>
      </c>
      <c r="H9" s="48">
        <f>IFERROR(IF(D9="","",C9*$B$18),"")</f>
        <v>18.0</v>
      </c>
      <c r="I9" s="44">
        <f>IFERROR(IF(D9="","",H9*B9*$B$19),"")</f>
        <v>828.0</v>
      </c>
      <c r="J9" s="32" t="inlineStr">
        <is>
          <t>Refuerzo de los picos de sábado y domingo, cuando la ocupación sube al 70-90 % según las referencias de este mismo libro</t>
        </is>
      </c>
    </row>
    <row r="10">
      <c r="A10" s="32" t="inlineStr">
        <is>
          <t>Suplencias de vacaciones y descansos</t>
        </is>
      </c>
      <c r="B10" s="54" t="n">
        <v>1</v>
      </c>
      <c r="C10" s="56" t="n">
        <v>0.25</v>
      </c>
      <c r="D10" s="55" t="n">
        <v>310</v>
      </c>
      <c r="E10" s="45">
        <f>IFERROR(IF(D10="","",D10*'0. Supuestos'!$B$20),"")</f>
        <v>102.30000000000001</v>
      </c>
      <c r="F10" s="45">
        <f>IFERROR(IF(D10="","",D10+E10),"")</f>
        <v>412.3</v>
      </c>
      <c r="G10" s="45">
        <f>IFERROR(IF(D10="","",F10*MAX(12,'0. Supuestos'!$B$21)),"")</f>
        <v>5772.2</v>
      </c>
      <c r="H10" s="48">
        <f>IFERROR(IF(D10="","",C10*$B$18),"")</f>
        <v>10.0</v>
      </c>
      <c r="I10" s="44">
        <f>IFERROR(IF(D10="","",H10*B10*$B$19),"")</f>
        <v>460.0</v>
      </c>
      <c r="J10" s="32" t="inlineStr">
        <is>
          <t>Cobertura de los 30 días de vacaciones (art. 38 ET) y del descanso semanal del equipo</t>
        </is>
      </c>
    </row>
    <row r="11">
      <c r="A11" s="19" t="inlineStr">
        <is>
          <t>TOTAL PLANTILLA</t>
        </is>
      </c>
      <c r="B11" s="57">
        <f>IFERROR(IF(COUNT(D5:D10)=0,"",SUM(B5:B10)),"")</f>
        <v>6.0</v>
      </c>
      <c r="C11" s="58">
        <f>IFERROR(IF(COUNT(D5:D10)=0,"",SUM(C5:C10)),"")</f>
        <v>4.25</v>
      </c>
      <c r="D11" s="59">
        <f>IFERROR(IF(COUNT(D5:D10)=0,"",SUM(D5:D10)),"")</f>
        <v>5375.0</v>
      </c>
      <c r="E11" s="59">
        <f>IFERROR(IF(COUNT(D5:D10)=0,"",SUM(E5:E10)),"")</f>
        <v>1773.7500000000002</v>
      </c>
      <c r="F11" s="59">
        <f>IFERROR(IF(COUNT(D5:D10)=0,"",SUM(F5:F10)),"")</f>
        <v>7148.749999999999</v>
      </c>
      <c r="G11" s="59">
        <f>IFERROR(IF(COUNT(D5:D10)=0,"",SUM(G5:G10)),"")</f>
        <v>100082.50000000001</v>
      </c>
      <c r="I11" s="57">
        <f>IFERROR(IF(COUNT(D5:D10)=0,"",SUM(I5:I10)),"")</f>
        <v>7820.0</v>
      </c>
    </row>
    <row r="12">
      <c r="A12" s="19" t="inlineStr">
        <is>
          <t>CRECIMIENTO DE LA PLANTILLA (coste escalonado)</t>
        </is>
      </c>
    </row>
    <row r="13">
      <c r="A13" s="37" t="inlineStr">
        <is>
          <t>Coste anual de las incorporaciones del año 2 (€)</t>
        </is>
      </c>
      <c r="B13" s="60" t="n">
        <v>6000</v>
      </c>
      <c r="J13" s="37" t="inlineStr">
        <is>
          <t>Coste ANUAL completo (bruto + Seguridad Social × pagas) de lo que se contrate ese año. El P&amp;L lo suma al coste del año anterior: la plantilla no crece con un porcentaje, crece con personas</t>
        </is>
      </c>
    </row>
    <row r="14">
      <c r="A14" s="37" t="inlineStr">
        <is>
          <t>Coste anual de las incorporaciones del año 3 (€)</t>
        </is>
      </c>
      <c r="B14" s="60" t="n">
        <v>6000</v>
      </c>
      <c r="J14" s="37" t="inlineStr">
        <is>
          <t>Coste ANUAL completo (bruto + Seguridad Social × pagas) de lo que se contrate ese año. El P&amp;L lo suma al coste del año anterior: la plantilla no crece con un porcentaje, crece con personas</t>
        </is>
      </c>
    </row>
    <row r="15">
      <c r="A15" s="37" t="inlineStr">
        <is>
          <t>Coste de personal del año 2</t>
        </is>
      </c>
      <c r="B15" s="38">
        <f>IFERROR(IF(G11="","",G11*(1+'0. Supuestos'!$B$48)+B13),"")</f>
        <v>106082.50000000001</v>
      </c>
    </row>
    <row r="16">
      <c r="A16" s="37" t="inlineStr">
        <is>
          <t>Coste de personal del año 3</t>
        </is>
      </c>
      <c r="B16" s="38">
        <f>IFERROR(IF(B15="","",B15*(1+'0. Supuestos'!$B$48)+B14),"")</f>
        <v>112082.50000000001</v>
      </c>
    </row>
    <row r="17">
      <c r="A17" s="19" t="inlineStr">
        <is>
          <t>COBERTURA POR HORAS DE SERVICIO</t>
        </is>
      </c>
    </row>
    <row r="18">
      <c r="A18" s="37" t="inlineStr">
        <is>
          <t>Jornada completa del convenio (horas/semana)</t>
        </is>
      </c>
      <c r="B18" s="61" t="n">
        <v>40</v>
      </c>
      <c r="J18" s="37" t="inlineStr">
        <is>
          <t>Art. 34.1 del Estatuto de los Trabajadores; tu convenio provincial puede fijar menos</t>
        </is>
      </c>
    </row>
    <row r="19">
      <c r="A19" s="37" t="inlineStr">
        <is>
          <t>Semanas trabajadas al año por persona</t>
        </is>
      </c>
      <c r="B19" s="61" t="n">
        <v>46</v>
      </c>
      <c r="J19" s="37" t="inlineStr">
        <is>
          <t>46 semanas: 52 menos las vacaciones (30 días naturales, art. 38 ET), los festivos y las ausencias medias</t>
        </is>
      </c>
    </row>
    <row r="20">
      <c r="A20" s="37" t="inlineStr">
        <is>
          <t>Horas de servicio al día que hay que cubrir</t>
        </is>
      </c>
      <c r="B20" s="62" t="n">
        <v>13</v>
      </c>
      <c r="J20" s="37" t="inlineStr">
        <is>
          <t>De la apertura al cierre, barra incluida. Cuéntalas sobre tu horario real</t>
        </is>
      </c>
    </row>
    <row r="21">
      <c r="A21" s="37" t="inlineStr">
        <is>
          <t>Personas necesarias a la vez en cada franja</t>
        </is>
      </c>
      <c r="B21" s="62" t="n">
        <v>2</v>
      </c>
      <c r="J21" s="37" t="inlineStr">
        <is>
          <t>Media de presencia simultánea entre cocina, barra y sala. En los dos servicios fuertes hará falta más y a media tarde menos</t>
        </is>
      </c>
    </row>
    <row r="22">
      <c r="A22" s="37" t="inlineStr">
        <is>
          <t>Horas de servicio a cubrir al año</t>
        </is>
      </c>
      <c r="B22" s="46">
        <f>IFERROR(IF(OR(B20="",B21="",'0. Supuestos'!$B$6=""),"",B20*B21*'0. Supuestos'!$B$6),"")</f>
        <v>7800.0</v>
      </c>
    </row>
    <row r="23">
      <c r="A23" s="37" t="inlineStr">
        <is>
          <t>Horas contratadas al año</t>
        </is>
      </c>
      <c r="B23" s="46">
        <f>IFERROR(IF(I11="","",I11),"")</f>
        <v>7820.0</v>
      </c>
    </row>
    <row r="24">
      <c r="A24" s="19" t="inlineStr">
        <is>
          <t>Cobertura (contratadas / necesarias)</t>
        </is>
      </c>
      <c r="B24" s="40">
        <f>IFERROR(B23/B22,"")</f>
        <v>1.0025641025641026</v>
      </c>
      <c r="J24" s="19" t="inlineStr">
        <is>
          <t>Por debajo del 100 % la plantilla no llega a cubrir el horario que declara el plan: o se contrata más o se recorta el horario</t>
        </is>
      </c>
    </row>
    <row r="25"/>
    <row r="26" ht="150" customHeight="1">
      <c r="A26" s="20"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27" ht="150" customHeight="1">
      <c r="A27" s="20"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4">
    <cfRule type="expression" priority="1" dxfId="1" stopIfTrue="1">
      <formula>AND(ISNUMBER(B24),B24&lt;0.9)</formula>
    </cfRule>
    <cfRule type="expression" priority="2" dxfId="2" stopIfTrue="1">
      <formula>AND(ISNUMBER(B24),B24&gt;=0.9)</formula>
    </cfRule>
    <cfRule type="expression" priority="3" dxfId="0" stopIfTrue="1">
      <formula>AND(ISNUMBER(B24),B24&gt;=1)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D5 D6 D7 D8 D9 D10" showDropDown="0" showInputMessage="0" showErrorMessage="1" allowBlank="1" errorTitle="Importe no válido" error="Escribe un número mayor o igual que 0." type="decimal" operator="greaterThanOrEqual">
      <formula1>0</formula1>
    </dataValidation>
    <dataValidation sqref="B21"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5"/>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9" t="inlineStr">
        <is>
          <t>INSTRUCCIONES DE USO — Plan financiero Cafetería / Brunch</t>
        </is>
      </c>
      <c r="B1" s="32" t="n"/>
      <c r="C1" s="32" t="n"/>
      <c r="D1" s="32" t="n"/>
      <c r="E1" s="32" t="n"/>
    </row>
    <row r="2">
      <c r="A2" s="32" t="n"/>
      <c r="B2" s="32" t="n"/>
      <c r="C2" s="32" t="n"/>
      <c r="D2" s="32" t="n"/>
      <c r="E2" s="32" t="n"/>
    </row>
    <row r="3">
      <c r="A3" s="43" t="inlineStr">
        <is>
          <t>CÓMO SE USA ESTE LIBRO</t>
        </is>
      </c>
      <c r="B3" s="32" t="n"/>
      <c r="C3" s="32" t="n"/>
      <c r="D3" s="32" t="n"/>
      <c r="E3" s="32" t="n"/>
    </row>
    <row r="4" ht="30" customHeight="1">
      <c r="A4" s="51" t="inlineStr">
        <is>
          <t>Este plan financiero es un MODELO: sólo se teclea en las celdas VERDES y el resto se recalcula solo.</t>
        </is>
      </c>
      <c r="B4" s="32" t="n"/>
      <c r="C4" s="32" t="n"/>
      <c r="D4" s="32" t="n"/>
      <c r="E4" s="32" t="n"/>
    </row>
    <row r="5" ht="45" customHeight="1">
      <c r="A5" s="51" t="inlineStr">
        <is>
          <t>1. «0. Supuestos» es la hoja de mando: clientes, ticket sin IVA, días de apertura, mezcla de comida y bebida, coste de mercancía, alquiler, financiación e impuestos.</t>
        </is>
      </c>
      <c r="B5" s="32" t="n"/>
      <c r="C5" s="32" t="n"/>
      <c r="D5" s="32" t="n"/>
      <c r="E5" s="32" t="n"/>
    </row>
    <row r="6" ht="45" customHeight="1">
      <c r="A6" s="51" t="inlineStr">
        <is>
          <t>2. Las partidas de la inversión, los costes fijos y la plantilla se teclean en su propia hoja, también en verde. Ningún número se escribe dos veces.</t>
        </is>
      </c>
      <c r="B6" s="32" t="n"/>
      <c r="C6" s="32" t="n"/>
      <c r="D6" s="32" t="n"/>
      <c r="E6" s="32" t="n"/>
    </row>
    <row r="7" ht="105" customHeight="1">
      <c r="A7" s="51"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32" t="n"/>
      <c r="C7" s="32" t="n"/>
      <c r="D7" s="32" t="n"/>
      <c r="E7" s="32" t="n"/>
    </row>
    <row r="8" ht="210" customHeight="1">
      <c r="A8" s="51"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32" t="n"/>
      <c r="C8" s="32" t="n"/>
      <c r="D8" s="32" t="n"/>
      <c r="E8" s="32" t="n"/>
    </row>
    <row r="9" ht="30" customHeight="1">
      <c r="A9" s="51" t="inlineStr">
        <is>
          <t>5. Si cambias la plantilla, el P&amp;L la lee sola: el coste de personal sale de la hoja «Personal», no de una estimación aparte.</t>
        </is>
      </c>
      <c r="B9" s="32" t="n"/>
      <c r="C9" s="32" t="n"/>
      <c r="D9" s="32" t="n"/>
      <c r="E9" s="32" t="n"/>
    </row>
    <row r="10" ht="45" customHeight="1">
      <c r="A10" s="51" t="inlineStr">
        <is>
          <t>6. La hoja «Tesorería 12 meses» responde la pregunta que decide una operación bancaria: en qué mes se agota la caja. El saldo mínimo del año nunca puede salir en rojo.</t>
        </is>
      </c>
      <c r="B10" s="32" t="n"/>
      <c r="C10" s="32" t="n"/>
      <c r="D10" s="32" t="n"/>
      <c r="E10" s="32" t="n"/>
    </row>
    <row r="11" ht="45" customHeight="1">
      <c r="A11" s="51" t="inlineStr">
        <is>
          <t>7. La hoja «Financiación» cuadra lo que hace falta con lo que se aporta y monta el cuadro de amortización del préstamo. Si la diferencia sale en rojo, el plan no está financiado.</t>
        </is>
      </c>
      <c r="B11" s="32" t="n"/>
      <c r="C11" s="32" t="n"/>
      <c r="D11" s="32" t="n"/>
      <c r="E11" s="32" t="n"/>
    </row>
    <row r="12" ht="45" customHeight="1">
      <c r="A12" s="51" t="inlineStr">
        <is>
          <t>8. En este libro llamamos «el P&amp;L» a la hoja «PyG 3 Años»: es la misma cuenta de resultados, con una columna por cada uno de los tres años.</t>
        </is>
      </c>
      <c r="B12" s="32" t="n"/>
      <c r="C12" s="32" t="n"/>
      <c r="D12" s="32" t="n"/>
      <c r="E12" s="32" t="n"/>
    </row>
    <row r="13" ht="45" customHeight="1">
      <c r="A13" s="51" t="inlineStr">
        <is>
          <t>9. El documento de Word que acompaña a este plan financiero es todavía el de la versión 1.1: las cifras válidas son las de este Excel.</t>
        </is>
      </c>
      <c r="B13" s="32" t="n"/>
      <c r="C13" s="32" t="n"/>
      <c r="D13" s="32" t="n"/>
      <c r="E13" s="32" t="n"/>
    </row>
    <row r="14">
      <c r="A14" s="32" t="n"/>
      <c r="B14" s="32" t="n"/>
      <c r="C14" s="32" t="n"/>
      <c r="D14" s="32" t="n"/>
      <c r="E14" s="32" t="n"/>
    </row>
    <row r="15">
      <c r="A15" s="29" t="inlineStr">
        <is>
          <t>RATIOS QUE AUDITA EL LIBRO</t>
        </is>
      </c>
      <c r="B15" s="32" t="n"/>
      <c r="C15" s="32" t="n"/>
      <c r="D15" s="32" t="n"/>
      <c r="E15" s="32" t="n"/>
    </row>
    <row r="16" ht="30" customHeight="1">
      <c r="A16" s="51" t="inlineStr">
        <is>
          <t>Los umbrales viven en la columna «Umbral» del bloque RATIOS CLAVE del P&amp;L: cámbialos ahí y el semáforo cambia con ellos.</t>
        </is>
      </c>
      <c r="B16" s="32" t="n"/>
      <c r="C16" s="32" t="n"/>
      <c r="D16" s="32" t="n"/>
      <c r="E16" s="32" t="n"/>
    </row>
    <row r="17">
      <c r="A17" s="32" t="n"/>
      <c r="B17" s="32" t="n"/>
      <c r="C17" s="32" t="n"/>
      <c r="D17" s="32" t="n"/>
      <c r="E17" s="32" t="n"/>
    </row>
    <row r="18">
      <c r="A18" s="29" t="inlineStr">
        <is>
          <t>Ratio</t>
        </is>
      </c>
      <c r="B18" s="29" t="inlineStr">
        <is>
          <t>Valor del año 1</t>
        </is>
      </c>
      <c r="C18" s="29" t="inlineStr">
        <is>
          <t>Umbral</t>
        </is>
      </c>
      <c r="D18" s="29" t="inlineStr">
        <is>
          <t>Estado</t>
        </is>
      </c>
      <c r="E18" s="32" t="n"/>
    </row>
    <row r="19">
      <c r="A19" s="32" t="inlineStr">
        <is>
          <t>Coste de mercancía / Ventas</t>
        </is>
      </c>
      <c r="B19" s="34">
        <f>IFERROR(IF('PyG 3 Años'!$B$52="","",'PyG 3 Años'!$B$52),"")</f>
        <v>0.2964</v>
      </c>
      <c r="C19" s="34">
        <f>IFERROR(IF('PyG 3 Años'!$E$52="","",'PyG 3 Años'!$E$52),"")</f>
        <v>0.32</v>
      </c>
      <c r="D19" s="32" t="str">
        <f>IFERROR(IF(OR(B19="",C19=""),"",IF(B19&lt;=C19,"CUMPLE","REVISAR")),"")</f>
        <v>CUMPLE</v>
      </c>
      <c r="E19" s="32" t="n"/>
    </row>
    <row r="20">
      <c r="A20" s="32" t="inlineStr">
        <is>
          <t>Coste de personal / Ventas</t>
        </is>
      </c>
      <c r="B20" s="34">
        <f>IFERROR(IF('PyG 3 Años'!$B$53="","",'PyG 3 Años'!$B$53),"")</f>
        <v>0.34041666666666665</v>
      </c>
      <c r="C20" s="34">
        <f>IFERROR(IF('PyG 3 Años'!$E$53="","",'PyG 3 Años'!$E$53),"")</f>
        <v>0.35</v>
      </c>
      <c r="D20" s="32" t="str">
        <f>IFERROR(IF(OR(B20="",C20=""),"",IF(B20&lt;=C20,"CUMPLE","REVISAR")),"")</f>
        <v>CUMPLE</v>
      </c>
      <c r="E20" s="32" t="n"/>
    </row>
    <row r="21">
      <c r="A21" s="32" t="inlineStr">
        <is>
          <t>Alquiler / Ventas</t>
        </is>
      </c>
      <c r="B21" s="34">
        <f>IFERROR(IF('PyG 3 Años'!$B$54="","",'PyG 3 Años'!$B$54),"")</f>
        <v>0.08163265306122447</v>
      </c>
      <c r="C21" s="34">
        <f>IFERROR(IF('PyG 3 Años'!$E$54="","",'PyG 3 Años'!$E$54),"")</f>
        <v>0.12</v>
      </c>
      <c r="D21" s="32" t="str">
        <f>IFERROR(IF(OR(B21="",C21=""),"",IF(B21&lt;=C21,"CUMPLE","REVISAR")),"")</f>
        <v>CUMPLE</v>
      </c>
      <c r="E21" s="32" t="n"/>
    </row>
    <row r="22">
      <c r="A22" s="32" t="inlineStr">
        <is>
          <t>Resultado neto / Ventas</t>
        </is>
      </c>
      <c r="B22" s="34">
        <f>IFERROR(IF('PyG 3 Años'!$B$55="","",'PyG 3 Años'!$B$55),"")</f>
        <v>0.09028040816326535</v>
      </c>
      <c r="C22" s="34">
        <f>IFERROR(IF('PyG 3 Años'!$E$55="","",'PyG 3 Años'!$E$55),"")</f>
        <v>0.05</v>
      </c>
      <c r="D22" s="32" t="str">
        <f>IFERROR(IF(OR(B22="",C22=""),"",IF(B22&gt;=C22,"CUMPLE","REVISAR")),"")</f>
        <v>CUMPLE</v>
      </c>
      <c r="E22" s="32" t="n"/>
    </row>
    <row r="23">
      <c r="A23" s="32" t="inlineStr">
        <is>
          <t>Margen bruto / Ventas</t>
        </is>
      </c>
      <c r="B23" s="34">
        <f>IFERROR(IF('PyG 3 Años'!$B$50="","",'PyG 3 Años'!$B$50),"")</f>
        <v>0.6606</v>
      </c>
      <c r="C23" s="34">
        <f>IFERROR(IF('PyG 3 Años'!$E$50="","",'PyG 3 Años'!$E$50),"")</f>
        <v>0.65</v>
      </c>
      <c r="D23" s="32" t="str">
        <f>IFERROR(IF(OR(B23="",C23=""),"",IF(B23&gt;=C23,"CUMPLE","REVISAR")),"")</f>
        <v>CUMPLE</v>
      </c>
      <c r="E23" s="32" t="n"/>
    </row>
    <row r="24">
      <c r="A24" s="32" t="n"/>
      <c r="B24" s="32" t="n"/>
      <c r="C24" s="32" t="n"/>
      <c r="D24" s="32" t="n"/>
      <c r="E24" s="32" t="n"/>
    </row>
    <row r="25">
      <c r="A25" s="29" t="inlineStr">
        <is>
          <t>CIFRAS DE ESTE PLAN</t>
        </is>
      </c>
      <c r="B25" s="32" t="n"/>
      <c r="C25" s="32" t="n"/>
      <c r="D25" s="32" t="n"/>
      <c r="E25" s="32" t="n"/>
    </row>
    <row r="26">
      <c r="A26" s="32" t="inlineStr">
        <is>
          <t>Inversión total (suma de los bloques)</t>
        </is>
      </c>
      <c r="B26" s="36">
        <f>IFERROR(IF('Inversión Inicial'!$B$35="","",'Inversión Inicial'!$B$35),"")</f>
        <v>130175.625</v>
      </c>
      <c r="C26" s="32" t="n"/>
      <c r="D26" s="32" t="n"/>
      <c r="E26" s="32" t="n"/>
    </row>
    <row r="27">
      <c r="A27" s="32" t="inlineStr">
        <is>
          <t>Necesidad total de caja al arranque</t>
        </is>
      </c>
      <c r="B27" s="36">
        <f>IFERROR(IF('Inversión Inicial'!$B$38="","",'Inversión Inicial'!$B$38),"")</f>
        <v>147868.125</v>
      </c>
      <c r="C27" s="32" t="n"/>
      <c r="D27" s="32" t="n"/>
      <c r="E27" s="32" t="n"/>
    </row>
    <row r="28">
      <c r="A28" s="32" t="inlineStr">
        <is>
          <t>Fondo de maniobra dotado</t>
        </is>
      </c>
      <c r="B28" s="36">
        <f>IFERROR(IF('Inversión Inicial'!$B$34="","",'Inversión Inicial'!$B$34),"")</f>
        <v>38525.625</v>
      </c>
      <c r="C28" s="32" t="n"/>
      <c r="D28" s="32" t="n"/>
      <c r="E28" s="32" t="n"/>
    </row>
    <row r="29">
      <c r="A29" s="32" t="inlineStr">
        <is>
          <t>Facturación prevista del año 1</t>
        </is>
      </c>
      <c r="B29" s="36">
        <f>IFERROR(IF('PyG 3 Años'!$B$9="","",'PyG 3 Años'!$B$9),"")</f>
        <v>294000.00000000006</v>
      </c>
      <c r="C29" s="32" t="n"/>
      <c r="D29" s="32" t="n"/>
      <c r="E29" s="32" t="n"/>
    </row>
    <row r="30">
      <c r="A30" s="32" t="inlineStr">
        <is>
          <t>Resultado neto del año 1</t>
        </is>
      </c>
      <c r="B30" s="36">
        <f>IFERROR(IF('PyG 3 Años'!$B$47="","",'PyG 3 Años'!$B$47),"")</f>
        <v>26542.44000000002</v>
      </c>
      <c r="C30" s="32" t="n"/>
      <c r="D30" s="32" t="n"/>
      <c r="E30" s="32" t="n"/>
    </row>
    <row r="31">
      <c r="A31" t="inlineStr">
        <is>
          <t>Clientes/día para el punto de equilibrio CONTABLE (con la amortización dentro)</t>
        </is>
      </c>
      <c r="B31" s="53">
        <f>IFERROR(IF('Punto Equilibrio'!$B$15="","",'Punto Equilibrio'!$B$15),"")</f>
        <v>83.92185211959445</v>
      </c>
    </row>
    <row r="32">
      <c r="A32" t="inlineStr">
        <is>
          <t>Payback del proyecto (años), antes de la deuda</t>
        </is>
      </c>
      <c r="B32">
        <f>IFERROR(IF('Tesorería 12 meses'!$B$31="","",'Tesorería 12 meses'!$B$31),"")</f>
        <v>2.8</v>
      </c>
    </row>
    <row r="33"/>
    <row r="34">
      <c r="A34" s="19" t="inlineStr">
        <is>
          <t>QUÉ HA CAMBIADO RESPECTO DE LA VERSIÓN 1.1</t>
        </is>
      </c>
    </row>
    <row r="35">
      <c r="A35" s="19" t="inlineStr">
        <is>
          <t>Concepto</t>
        </is>
      </c>
      <c r="B35" s="19" t="inlineStr">
        <is>
          <t>v1.1</t>
        </is>
      </c>
      <c r="C35" s="19" t="inlineStr">
        <is>
          <t>v2.2</t>
        </is>
      </c>
      <c r="D35" s="19" t="inlineStr">
        <is>
          <t>Por qué</t>
        </is>
      </c>
    </row>
    <row r="36" ht="60" customHeight="1">
      <c r="A36" s="63" t="inlineStr">
        <is>
          <t>Coste de personal en la cuenta de resultados</t>
        </is>
      </c>
      <c r="B36" s="63" t="inlineStr">
        <is>
          <t>72.000 € tecleados</t>
        </is>
      </c>
      <c r="C36" s="63" t="inlineStr">
        <is>
          <t>El que suma la hoja de Personal, por fórmula</t>
        </is>
      </c>
      <c r="D36" s="20" t="inlineStr">
        <is>
          <t>La cuenta de resultados usaba una cifra distinta de la de su propia hoja de personal, que sumaba 137.270 €. Ahora las dos dicen lo mismo, y si cambias un sueldo el resultado cambia solo.</t>
        </is>
      </c>
    </row>
    <row r="37" ht="60" customHeight="1">
      <c r="A37" s="63" t="inlineStr">
        <is>
          <t>Plantilla</t>
        </is>
      </c>
      <c r="B37" s="63" t="inlineStr">
        <is>
          <t>5 puestos · 137.270 € al año</t>
        </is>
      </c>
      <c r="C37" s="63" t="inlineStr">
        <is>
          <t>6 puestos (tres a jornada parcial) · 100.083 € al año</t>
        </is>
      </c>
      <c r="D37" s="20" t="inlineStr">
        <is>
          <t>Dimensionada por las horas de servicio que declara este mismo libro. Con la anterior, el personal se comía el 72 % de las ventas; con ésta se queda en el 34 %, por debajo del techo del 35 % que publica este producto.</t>
        </is>
      </c>
    </row>
    <row r="38" ht="60" customHeight="1">
      <c r="A38" s="63" t="inlineStr">
        <is>
          <t>Sueldos de la plantilla de ejemplo</t>
        </is>
      </c>
      <c r="B38" s="63" t="inlineStr">
        <is>
          <t>Sin ninguna comprobación frente al salario mínimo</t>
        </is>
      </c>
      <c r="C38" s="63" t="inlineStr">
        <is>
          <t>Todos igualan o superan el SMI de 2026 (17.094 € al año) en proporción a su jornada</t>
        </is>
      </c>
      <c r="D38" s="20" t="inlineStr">
        <is>
          <t>La hoja de Personal lo comprueba fila a fila y avisa en rojo si bajas de ese suelo. Un libro que propone sueldos por debajo del mínimo legal no se puede enseñar en el banco.</t>
        </is>
      </c>
    </row>
    <row r="39" ht="45" customHeight="1">
      <c r="A39" s="63" t="inlineStr">
        <is>
          <t>Cobertura del horario</t>
        </is>
      </c>
      <c r="B39" s="63" t="inlineStr">
        <is>
          <t>La hoja no relacionaba la plantilla con las horas de apertura</t>
        </is>
      </c>
      <c r="C39" s="63" t="inlineStr">
        <is>
          <t>La plantilla cubre el 100 % de las horas de servicio declaradas</t>
        </is>
      </c>
      <c r="D39" s="20" t="inlineStr">
        <is>
          <t>Con 13 horas de apertura y dos personas a la vez hacen falta 7.800 horas al año. Ahora el libro las cuenta y avisa en rojo si la plantilla no llega a cubrirlas.</t>
        </is>
      </c>
    </row>
    <row r="40" ht="60" customHeight="1">
      <c r="A40" s="63" t="inlineStr">
        <is>
          <t>Clientes al día</t>
        </is>
      </c>
      <c r="B40" s="63" t="inlineStr">
        <is>
          <t>67 (deducidos de la facturación objetivo)</t>
        </is>
      </c>
      <c r="C40" s="63" t="inlineStr">
        <is>
          <t>100</t>
        </is>
      </c>
      <c r="D40" s="20" t="inlineStr">
        <is>
          <t>Está dentro del rango de 80 a 150 clientes al día que este mismo libro publica para una cafetería urbana, y son 2,2 servicios por plaza y día sobre las 45 plazas del local.</t>
        </is>
      </c>
    </row>
    <row r="41" ht="60" customHeight="1">
      <c r="A41" s="63" t="inlineStr">
        <is>
          <t>Ticket medio</t>
        </is>
      </c>
      <c r="B41" s="63" t="inlineStr">
        <is>
          <t>9,50 € (sin decir si llevaba IVA)</t>
        </is>
      </c>
      <c r="C41" s="63" t="inlineStr">
        <is>
          <t>9,80 € SIN IVA, que son 10,78 € de PVP</t>
        </is>
      </c>
      <c r="D41" s="20" t="inlineStr">
        <is>
          <t>Ahora se declara sin IVA y la hoja de Supuestos calcula el precio de carta equivalente. Sigue dentro del rango de 8 a 12 € de ticket medio combinado que publica este producto.</t>
        </is>
      </c>
    </row>
    <row r="42" ht="45" customHeight="1">
      <c r="A42" s="63" t="inlineStr">
        <is>
          <t>Alquiler</t>
        </is>
      </c>
      <c r="B42" s="63" t="inlineStr">
        <is>
          <t>2.000 € al mes</t>
        </is>
      </c>
      <c r="C42" s="63" t="inlineStr">
        <is>
          <t>2.000 € al mes (sin cambio)</t>
        </is>
      </c>
      <c r="D42" s="20" t="inlineStr">
        <is>
          <t>Con el caso base recalibrado son el 8,2 % de las ventas, en la parte baja del 8-12 % que este mismo libro fija como límite de viabilidad.</t>
        </is>
      </c>
    </row>
    <row r="43" ht="45" customHeight="1">
      <c r="A43" s="63" t="inlineStr">
        <is>
          <t>Calendario de apertura</t>
        </is>
      </c>
      <c r="B43" s="63" t="inlineStr">
        <is>
          <t>Dos calendarios distintos en el mismo libro: 30 días al mes en el punto de equilibrio y 300-310 días al año en los escenarios</t>
        </is>
      </c>
      <c r="C43" s="63" t="inlineStr">
        <is>
          <t>300 días al año, un único dato en la hoja de Supuestos</t>
        </is>
      </c>
      <c r="D43" s="20" t="inlineStr">
        <is>
          <t>El punto de equilibrio diario salía casi un 20 % por debajo del que corresponde a los días que el propio libro declaraba abrir.</t>
        </is>
      </c>
    </row>
    <row r="44" ht="45" customHeight="1">
      <c r="A44" s="63" t="inlineStr">
        <is>
          <t>Fondo de maniobra</t>
        </is>
      </c>
      <c r="B44" s="63" t="inlineStr">
        <is>
          <t>9.000 € etiquetados «3 meses»</t>
        </is>
      </c>
      <c r="C44" s="63" t="inlineStr">
        <is>
          <t>3 meses de costes fijos de caja, por fórmula (38.526 €)</t>
        </is>
      </c>
      <c r="D44" s="20" t="inlineStr">
        <is>
          <t>Los 9.000 € cubrían menos de un mes de costes fijos, no tres. Ahora se recalcula solo cuando cambias cualquier gasto.</t>
        </is>
      </c>
    </row>
    <row r="45" ht="90" customHeight="1">
      <c r="A45" s="63" t="inlineStr">
        <is>
          <t>Amortización</t>
        </is>
      </c>
      <c r="B45" s="63" t="inlineStr">
        <is>
          <t>9.490 € al año, a 10 años planos sobre TODA la inversión (fondo de maniobra y stock incluidos)</t>
        </is>
      </c>
      <c r="C45" s="63" t="inlineStr">
        <is>
          <t>Sólo sobre la obra y la maquinaria, cada una con su vida útil</t>
        </is>
      </c>
      <c r="D45" s="20" t="inlineStr">
        <is>
          <t>El colchón de caja, las existencias, la fianza, la renta de los meses de obra y los gastos de constitución, licencias y lanzamiento no son inmovilizado: amortizarlos inflaba el gasto y falseaba el impuesto. Los imprevistos de obra sí se amortizan, porque forman parte del coste de la reforma.</t>
        </is>
      </c>
    </row>
    <row r="46" ht="45" customHeight="1">
      <c r="A46" s="63" t="inlineStr">
        <is>
          <t>Imprevistos de obra</t>
        </is>
      </c>
      <c r="B46" s="63" t="inlineStr">
        <is>
          <t>7.000 € (un 8 % escrito dentro del rótulo)</t>
        </is>
      </c>
      <c r="C46" s="63" t="inlineStr">
        <is>
          <t>Por fórmula sobre las partidas de obra, con el porcentaje en Supuestos</t>
        </is>
      </c>
      <c r="D46" s="20" t="inlineStr">
        <is>
          <t>Un porcentaje escondido en un rótulo deja de ser verdad al cambiar una sola partida, y aquí ya no cuadraba: eran el 6,7 %.</t>
        </is>
      </c>
    </row>
    <row r="47" ht="30" customHeight="1">
      <c r="A47" s="63" t="inlineStr">
        <is>
          <t>Impuesto de Sociedades</t>
        </is>
      </c>
      <c r="B47" s="63" t="inlineStr">
        <is>
          <t>25 % en los años 2 y 3, sin compensar las pérdidas del año 1</t>
        </is>
      </c>
      <c r="C47" s="63" t="inlineStr">
        <is>
          <t>15 % en los dos primeros ejercicios con beneficio y compensación de las pérdidas anteriores</t>
        </is>
      </c>
      <c r="D47" s="20" t="inlineStr">
        <is>
          <t>Es el tipo de entidad de nueva creación de los artículos 26 y 29.1 de la Ley del Impuesto sobre Sociedades.</t>
        </is>
      </c>
    </row>
    <row r="48" ht="45" customHeight="1">
      <c r="A48" s="63" t="inlineStr">
        <is>
          <t>Plan de financiación</t>
        </is>
      </c>
      <c r="B48" s="63" t="inlineStr">
        <is>
          <t>No existía</t>
        </is>
      </c>
      <c r="C48" s="63" t="inlineStr">
        <is>
          <t>Hoja «Financiación»: origen de fondos, usos y cuadro de amortización francés</t>
        </is>
      </c>
      <c r="D48" s="20" t="inlineStr">
        <is>
          <t>La ficha del producto lo prometía y ningún fichero lo traía. Ahora el libro comprueba solo si el dinero que entra cubre lo que hay que poner sobre la mesa.</t>
        </is>
      </c>
    </row>
    <row r="49" ht="30" customHeight="1">
      <c r="A49" s="63" t="inlineStr">
        <is>
          <t>Tesorería mes a mes</t>
        </is>
      </c>
      <c r="B49" s="63" t="inlineStr">
        <is>
          <t>No existía</t>
        </is>
      </c>
      <c r="C49" s="63" t="inlineStr">
        <is>
          <t>Hoja «Tesorería 12 meses»: cobros, pagos, IVA trimestral y saldo acumulado</t>
        </is>
      </c>
      <c r="D49" s="20" t="inlineStr">
        <is>
          <t>Es la hoja que responde a la pregunta que decide una operación bancaria: en qué mes se agota la caja.</t>
        </is>
      </c>
    </row>
    <row r="50" ht="90" customHeight="1">
      <c r="A50" s="63" t="inlineStr">
        <is>
          <t>Financiación solicitada</t>
        </is>
      </c>
      <c r="B50" s="63" t="inlineStr">
        <is>
          <t>(no había hoja que la cuadrara)</t>
        </is>
      </c>
      <c r="C50" s="63" t="inlineStr">
        <is>
          <t>40.000 € de recursos propios y 112.000 € de préstamo</t>
        </is>
      </c>
      <c r="D50" s="20" t="inlineStr">
        <is>
          <t>Cubren los 147.868 € de necesidad de caja que calcula este mismo libro, con 4.132 € de margen: un 2,8 %, por debajo del 5 % que el propio libro admite como exceso sano. Pedir más es pagar intereses por un dinero que no se usa, y la hoja de Financiación calcula el importe exacto que pondría esa diferencia a cero.</t>
        </is>
      </c>
    </row>
    <row r="51"/>
    <row r="52">
      <c r="A52" s="19" t="inlineStr">
        <is>
          <t>DATOS DE REFERENCIA DEL SECTOR</t>
        </is>
      </c>
    </row>
    <row r="53">
      <c r="A53" s="19" t="inlineStr">
        <is>
          <t>Referencia</t>
        </is>
      </c>
      <c r="B53" s="19" t="inlineStr">
        <is>
          <t>Valor</t>
        </is>
      </c>
      <c r="C53" s="19" t="inlineStr">
        <is>
          <t>Fuente</t>
        </is>
      </c>
      <c r="D53" s="19" t="inlineStr">
        <is>
          <t>Nota</t>
        </is>
      </c>
    </row>
    <row r="54" ht="30" customHeight="1">
      <c r="A54" t="inlineStr">
        <is>
          <t>Food cost café</t>
        </is>
      </c>
      <c r="B54" t="inlineStr">
        <is>
          <t>25-30 %</t>
        </is>
      </c>
      <c r="C54" t="inlineStr">
        <is>
          <t>Fichero v1.1</t>
        </is>
      </c>
      <c r="D54" s="20" t="inlineStr">
        <is>
          <t>El café specialty puede llegar al 20 % con un buen proveedor</t>
        </is>
      </c>
    </row>
    <row r="55" ht="15" customHeight="1">
      <c r="A55" t="inlineStr">
        <is>
          <t>Food cost comida brunch</t>
        </is>
      </c>
      <c r="B55" t="inlineStr">
        <is>
          <t>30-35 %</t>
        </is>
      </c>
      <c r="C55" t="inlineStr">
        <is>
          <t>Fichero v1.1</t>
        </is>
      </c>
      <c r="D55" s="20" t="inlineStr">
        <is>
          <t>El control de porciones y de mermas es lo que lo decide</t>
        </is>
      </c>
    </row>
    <row r="56" ht="30" customHeight="1">
      <c r="A56" t="inlineStr">
        <is>
          <t>Food cost bebidas frías</t>
        </is>
      </c>
      <c r="B56" t="inlineStr">
        <is>
          <t>28-32 %</t>
        </is>
      </c>
      <c r="C56" t="inlineStr">
        <is>
          <t>Fichero v1.1</t>
        </is>
      </c>
      <c r="D56" s="20" t="inlineStr">
        <is>
          <t>Zumos y smoothies: coste alto por trabajar con producto fresco</t>
        </is>
      </c>
    </row>
    <row r="57" ht="30" customHeight="1">
      <c r="A57" t="inlineStr">
        <is>
          <t>Coste de personal sobre ventas</t>
        </is>
      </c>
      <c r="B57" t="inlineStr">
        <is>
          <t>35-40 %</t>
        </is>
      </c>
      <c r="C57" t="inlineStr">
        <is>
          <t>Fichero v1.1</t>
        </is>
      </c>
      <c r="D57" s="20" t="inlineStr">
        <is>
          <t>Se aplica el más estricto de los dos extremos que publica este producto</t>
        </is>
      </c>
    </row>
    <row r="58">
      <c r="A58" t="inlineStr">
        <is>
          <t>Alquiler sobre ventas</t>
        </is>
      </c>
      <c r="B58" t="inlineStr">
        <is>
          <t>8-12 %</t>
        </is>
      </c>
      <c r="C58" t="inlineStr">
        <is>
          <t>Fichero v1.1</t>
        </is>
      </c>
      <c r="D58" s="20" t="inlineStr">
        <is>
          <t>No superar el 12 % para ser viable</t>
        </is>
      </c>
    </row>
    <row r="59">
      <c r="A59" t="inlineStr">
        <is>
          <t>Ticket medio café/desayuno</t>
        </is>
      </c>
      <c r="B59" t="inlineStr">
        <is>
          <t>4-6 €</t>
        </is>
      </c>
      <c r="C59" t="inlineStr">
        <is>
          <t>Fichero v1.1</t>
        </is>
      </c>
      <c r="D59" s="20" t="inlineStr">
        <is>
          <t>Sólo café y bollería básica</t>
        </is>
      </c>
    </row>
    <row r="60">
      <c r="A60" t="inlineStr">
        <is>
          <t>Ticket medio brunch completo</t>
        </is>
      </c>
      <c r="B60" t="inlineStr">
        <is>
          <t>14-20 €</t>
        </is>
      </c>
      <c r="C60" t="inlineStr">
        <is>
          <t>Fichero v1.1</t>
        </is>
      </c>
      <c r="D60" s="20" t="inlineStr">
        <is>
          <t>Plato principal, bebida y postre o café</t>
        </is>
      </c>
    </row>
    <row r="61" ht="45" customHeight="1">
      <c r="A61" t="inlineStr">
        <is>
          <t>Ticket medio combinado</t>
        </is>
      </c>
      <c r="B61" t="inlineStr">
        <is>
          <t>8-12 €</t>
        </is>
      </c>
      <c r="C61" t="inlineStr">
        <is>
          <t>Fichero v1.1</t>
        </is>
      </c>
      <c r="D61" s="20" t="inlineStr">
        <is>
          <t>Media ponderada de todos los servicios. El ticket SIN IVA de esta previsión y su PVP equivalente los calcula la hoja 0. Supuestos</t>
        </is>
      </c>
    </row>
    <row r="62" ht="15" customHeight="1">
      <c r="A62" t="inlineStr">
        <is>
          <t>Clientes/día (cafetería urbana)</t>
        </is>
      </c>
      <c r="B62" t="inlineStr">
        <is>
          <t>80-150</t>
        </is>
      </c>
      <c r="C62" t="inlineStr">
        <is>
          <t>Fichero v1.1</t>
        </is>
      </c>
      <c r="D62" s="20" t="inlineStr">
        <is>
          <t>Depende mucho de la ubicación y del paso de gente</t>
        </is>
      </c>
    </row>
    <row r="63" ht="15" customHeight="1">
      <c r="A63" t="inlineStr">
        <is>
          <t>Ocupación media entre semana</t>
        </is>
      </c>
      <c r="B63" t="inlineStr">
        <is>
          <t>40-60 %</t>
        </is>
      </c>
      <c r="C63" t="inlineStr">
        <is>
          <t>Fichero v1.1</t>
        </is>
      </c>
      <c r="D63" s="20" t="inlineStr">
        <is>
          <t>La mañana es el pico; la tarde, el turno más flojo</t>
        </is>
      </c>
    </row>
    <row r="64" ht="30" customHeight="1">
      <c r="A64" t="inlineStr">
        <is>
          <t>Ocupación media el fin de semana</t>
        </is>
      </c>
      <c r="B64" t="inlineStr">
        <is>
          <t>70-90 %</t>
        </is>
      </c>
      <c r="C64" t="inlineStr">
        <is>
          <t>Fichero v1.1</t>
        </is>
      </c>
      <c r="D64" s="20" t="inlineStr">
        <is>
          <t>Es lo que justifica el refuerzo de sábado y domingo de la hoja de Personal</t>
        </is>
      </c>
    </row>
    <row r="65" ht="30" customHeight="1">
      <c r="A65" t="inlineStr">
        <is>
          <t>Rotación de mesa en el brunch de fin de semana</t>
        </is>
      </c>
      <c r="B65" t="inlineStr">
        <is>
          <t>2-3 turnos</t>
        </is>
      </c>
      <c r="C65" t="inlineStr">
        <is>
          <t>Fichero v1.1</t>
        </is>
      </c>
      <c r="D65" s="20" t="inlineStr">
        <is>
          <t>Con 45 plazas es la referencia que sostiene los clientes/día del caso base</t>
        </is>
      </c>
    </row>
    <row r="66">
      <c r="A66" t="inlineStr">
        <is>
          <t>Margen bruto objetivo</t>
        </is>
      </c>
      <c r="B66" t="inlineStr">
        <is>
          <t>&gt; 65 %</t>
        </is>
      </c>
      <c r="C66" t="inlineStr">
        <is>
          <t>Fichero v1.1</t>
        </is>
      </c>
      <c r="D66" s="20" t="n"/>
    </row>
    <row r="67" ht="105" customHeight="1">
      <c r="A67" t="inlineStr">
        <is>
          <t>EBITDA objetivo (año 2)</t>
        </is>
      </c>
      <c r="B67" t="inlineStr">
        <is>
          <t>8-15 %</t>
        </is>
      </c>
      <c r="C67" t="inlineStr">
        <is>
          <t>Fichero v1.1</t>
        </is>
      </c>
      <c r="D67" s="20" t="inlineStr">
        <is>
          <t>El primer año puede ser negativo: es normal en hostelería. Este caso base queda POR ENCIMA del techo del rango los tres años, porque el coste de personal se ha ajustado justo por debajo de su techo y el propietario sólo cobra su nómina. Lo calculas restando al margen bruto los costes fijos sin la amortización ni los intereses; si añades retribución del socio o más plantilla, vuelve al rango</t>
        </is>
      </c>
    </row>
    <row r="68" ht="105" customHeight="1">
      <c r="A68" t="inlineStr">
        <is>
          <t>Retorno de la inversión</t>
        </is>
      </c>
      <c r="B68" t="inlineStr">
        <is>
          <t>24-36 meses</t>
        </is>
      </c>
      <c r="C68" t="inlineStr">
        <is>
          <t>Fichero v1.1</t>
        </is>
      </c>
      <c r="D68" s="20" t="inlineStr">
        <is>
          <t>Es una referencia del sector medida sobre lo que pone el emprendedor. La hoja de Tesorería publica el payback del PROYECTO: antes de pagar al banco y sobre la inversión sin el IVA, que se recupera con el modelo 303. Compara esa celda con este rango. Si quieres el retorno de TU dinero, divide los recursos propios entre el flujo de caja libre de esa misma hoja</t>
        </is>
      </c>
    </row>
    <row r="69" ht="30" customHeight="1">
      <c r="A69" t="inlineStr">
        <is>
          <t>Convenio colectivo aplicable</t>
        </is>
      </c>
      <c r="B69" t="inlineStr">
        <is>
          <t>PROVINCIAL de hostelería</t>
        </is>
      </c>
      <c r="C69" t="inlineStr">
        <is>
          <t>Fichero v1.1 y checklist de apertura</t>
        </is>
      </c>
      <c r="D69" s="20" t="inlineStr">
        <is>
          <t>No existe una tabla salarial estatal única: copia la tabla de tu provincia en la celda de Supuestos</t>
        </is>
      </c>
    </row>
    <row r="70" ht="75" customHeight="1">
      <c r="A70" t="inlineStr">
        <is>
          <t>Salario mínimo interprofesional 2026</t>
        </is>
      </c>
      <c r="B70" t="inlineStr">
        <is>
          <t>17.094 €/año</t>
        </is>
      </c>
      <c r="C70" t="inlineStr">
        <is>
          <t>BOE (comprueba el Real Decreto vigente)</t>
        </is>
      </c>
      <c r="D70" s="20" t="inlineStr">
        <is>
          <t>Suelo legal a jornada completa en 14 pagas. Las jornadas parciales lo llevan en proporción; el semáforo de la hoja de Personal lo comprueba fila a fila. Si presentas el plan en otro ejercicio, actualiza el importe con el Real Decreto en vigor</t>
        </is>
      </c>
    </row>
    <row r="71"/>
    <row r="72">
      <c r="A72" s="64" t="inlineStr">
        <is>
          <t>Para editar una celda que no esté en verde: Revisar → Desproteger hoja (no tiene contraseña).</t>
        </is>
      </c>
    </row>
    <row r="73">
      <c r="A73" s="64" t="inlineStr">
        <is>
          <t>Más plantillas y kits del catálogo en aichef.pro/productos-digitales</t>
        </is>
      </c>
    </row>
    <row r="74">
      <c r="A74" s="64" t="inlineStr">
        <is>
          <t>Diseñado por John Guerrero — chef y consultor gastronómico desde 2010, en cocina desde los 17 años · johnguerrero.es</t>
        </is>
      </c>
    </row>
    <row r="75">
      <c r="A75" s="64" t="inlineStr">
        <is>
          <t>Versión 2.2 · septiembre 2026 · aichef.pro/plan-negocio-cafeteria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9:D23">
    <cfRule type="containsText" priority="1" operator="containsText" dxfId="0" stopIfTrue="1" text="CUMPLE">
      <formula>NOT(ISERROR(SEARCH("CUMPLE",D19)))</formula>
    </cfRule>
    <cfRule type="containsText" priority="2" operator="containsText" dxfId="1" stopIfTrue="1" text="REVISAR">
      <formula>NOT(ISERROR(SEARCH("REVISAR",D19)))</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9" t="inlineStr">
        <is>
          <t>PREVISIÓN DE TESORERÍA — AÑO 1</t>
        </is>
      </c>
      <c r="B1" s="32" t="n"/>
      <c r="C1" s="32" t="n"/>
      <c r="D1" s="32" t="n"/>
      <c r="E1" s="32" t="n"/>
      <c r="F1" s="32" t="n"/>
      <c r="G1" s="32" t="n"/>
      <c r="H1" s="32" t="n"/>
      <c r="I1" s="32" t="n"/>
      <c r="J1" s="32" t="n"/>
      <c r="K1" s="32" t="n"/>
      <c r="L1" s="32" t="n"/>
      <c r="M1" s="32" t="n"/>
      <c r="N1" s="32" t="n"/>
      <c r="O1" s="32" t="n"/>
    </row>
    <row r="2" ht="45" customHeight="1">
      <c r="A2" s="51" t="inlineStr">
        <is>
          <t>El P&amp;L dice si el negocio gana dinero; esta hoja dice si le queda caja para llegar a fin de mes. Es la primera que mira un banco.</t>
        </is>
      </c>
      <c r="B2" s="32" t="n"/>
      <c r="C2" s="32" t="n"/>
      <c r="D2" s="32" t="n"/>
      <c r="E2" s="32" t="n"/>
      <c r="F2" s="32" t="n"/>
      <c r="G2" s="32" t="n"/>
      <c r="H2" s="32" t="n"/>
      <c r="I2" s="32" t="n"/>
      <c r="J2" s="32" t="n"/>
      <c r="K2" s="32" t="n"/>
      <c r="L2" s="32" t="n"/>
      <c r="M2" s="32" t="n"/>
      <c r="N2" s="32" t="n"/>
      <c r="O2" s="32" t="n"/>
    </row>
    <row r="3">
      <c r="A3" s="32" t="n"/>
      <c r="B3" s="32" t="n"/>
      <c r="C3" s="32" t="n"/>
      <c r="D3" s="32" t="n"/>
      <c r="E3" s="32" t="n"/>
      <c r="F3" s="32" t="n"/>
      <c r="G3" s="32" t="n"/>
      <c r="H3" s="32" t="n"/>
      <c r="I3" s="32" t="n"/>
      <c r="J3" s="32" t="n"/>
      <c r="K3" s="32" t="n"/>
      <c r="L3" s="32" t="n"/>
      <c r="M3" s="32" t="n"/>
      <c r="N3" s="32" t="n"/>
      <c r="O3" s="32" t="n"/>
    </row>
    <row r="4">
      <c r="A4" s="29" t="inlineStr">
        <is>
          <t>Concepto</t>
        </is>
      </c>
      <c r="B4" s="29" t="inlineStr">
        <is>
          <t>Mes 1 (€)</t>
        </is>
      </c>
      <c r="C4" s="29" t="inlineStr">
        <is>
          <t>Mes 2 (€)</t>
        </is>
      </c>
      <c r="D4" s="29" t="inlineStr">
        <is>
          <t>Mes 3 (€)</t>
        </is>
      </c>
      <c r="E4" s="29" t="inlineStr">
        <is>
          <t>Mes 4 (€)</t>
        </is>
      </c>
      <c r="F4" s="29" t="inlineStr">
        <is>
          <t>Mes 5 (€)</t>
        </is>
      </c>
      <c r="G4" s="29" t="inlineStr">
        <is>
          <t>Mes 6 (€)</t>
        </is>
      </c>
      <c r="H4" s="29" t="inlineStr">
        <is>
          <t>Mes 7 (€)</t>
        </is>
      </c>
      <c r="I4" s="29" t="inlineStr">
        <is>
          <t>Mes 8 (€)</t>
        </is>
      </c>
      <c r="J4" s="29" t="inlineStr">
        <is>
          <t>Mes 9 (€)</t>
        </is>
      </c>
      <c r="K4" s="29" t="inlineStr">
        <is>
          <t>Mes 10 (€)</t>
        </is>
      </c>
      <c r="L4" s="29" t="inlineStr">
        <is>
          <t>Mes 11 (€)</t>
        </is>
      </c>
      <c r="M4" s="29" t="inlineStr">
        <is>
          <t>Mes 12 (€)</t>
        </is>
      </c>
      <c r="N4" s="29" t="inlineStr">
        <is>
          <t>Año (€)</t>
        </is>
      </c>
      <c r="O4" s="32" t="n"/>
    </row>
    <row r="5">
      <c r="A5" s="32" t="inlineStr">
        <is>
          <t>Estacionalidad del mes (suma 100 %)</t>
        </is>
      </c>
      <c r="B5" s="65" t="n">
        <v>0.075</v>
      </c>
      <c r="C5" s="65" t="n">
        <v>0.075</v>
      </c>
      <c r="D5" s="65" t="n">
        <v>0.08500000000000001</v>
      </c>
      <c r="E5" s="65" t="n">
        <v>0.08799999999999999</v>
      </c>
      <c r="F5" s="65" t="n">
        <v>0.09</v>
      </c>
      <c r="G5" s="65" t="n">
        <v>0.08500000000000001</v>
      </c>
      <c r="H5" s="65" t="n">
        <v>0.075</v>
      </c>
      <c r="I5" s="65" t="n">
        <v>0.06</v>
      </c>
      <c r="J5" s="65" t="n">
        <v>0.08500000000000001</v>
      </c>
      <c r="K5" s="65" t="n">
        <v>0.09</v>
      </c>
      <c r="L5" s="65" t="n">
        <v>0.08500000000000001</v>
      </c>
      <c r="M5" s="65" t="n">
        <v>0.107</v>
      </c>
      <c r="N5" s="34">
        <f>IFERROR(IF('PyG 3 Años'!$B$9="","",SUM(B5:M5)),"")</f>
        <v>0.9999999999999999</v>
      </c>
      <c r="O5" s="32" t="inlineStr">
        <is>
          <t>Perfil de tu zona: agosto flojo en ciudad y fuerte en costa. Tiene que sumar 100 %</t>
        </is>
      </c>
    </row>
    <row r="6">
      <c r="A6" s="32" t="inlineStr">
        <is>
          <t>Rampa de arranque (% de la actividad de crucero)</t>
        </is>
      </c>
      <c r="B6" s="34">
        <f>IFERROR(IF('PyG 3 Años'!$B$9="","",MIN(1,'0. Supuestos'!$B$52+(1-'0. Supuestos'!$B$52)*0/MAX(1,'0. Supuestos'!$B$53-1))),"")</f>
        <v>0.55</v>
      </c>
      <c r="C6" s="34">
        <f>IFERROR(IF('PyG 3 Años'!$B$9="","",MIN(1,'0. Supuestos'!$B$52+(1-'0. Supuestos'!$B$52)*1/MAX(1,'0. Supuestos'!$B$53-1))),"")</f>
        <v>0.64</v>
      </c>
      <c r="D6" s="34">
        <f>IFERROR(IF('PyG 3 Años'!$B$9="","",MIN(1,'0. Supuestos'!$B$52+(1-'0. Supuestos'!$B$52)*2/MAX(1,'0. Supuestos'!$B$53-1))),"")</f>
        <v>0.73</v>
      </c>
      <c r="E6" s="34">
        <f>IFERROR(IF('PyG 3 Años'!$B$9="","",MIN(1,'0. Supuestos'!$B$52+(1-'0. Supuestos'!$B$52)*3/MAX(1,'0. Supuestos'!$B$53-1))),"")</f>
        <v>0.8200000000000001</v>
      </c>
      <c r="F6" s="34">
        <f>IFERROR(IF('PyG 3 Años'!$B$9="","",MIN(1,'0. Supuestos'!$B$52+(1-'0. Supuestos'!$B$52)*4/MAX(1,'0. Supuestos'!$B$53-1))),"")</f>
        <v>0.91</v>
      </c>
      <c r="G6" s="34">
        <f>IFERROR(IF('PyG 3 Años'!$B$9="","",MIN(1,'0. Supuestos'!$B$52+(1-'0. Supuestos'!$B$52)*5/MAX(1,'0. Supuestos'!$B$53-1))),"")</f>
        <v>1.0</v>
      </c>
      <c r="H6" s="34">
        <f>IFERROR(IF('PyG 3 Años'!$B$9="","",MIN(1,'0. Supuestos'!$B$52+(1-'0. Supuestos'!$B$52)*6/MAX(1,'0. Supuestos'!$B$53-1))),"")</f>
        <v>1.0</v>
      </c>
      <c r="I6" s="34">
        <f>IFERROR(IF('PyG 3 Años'!$B$9="","",MIN(1,'0. Supuestos'!$B$52+(1-'0. Supuestos'!$B$52)*7/MAX(1,'0. Supuestos'!$B$53-1))),"")</f>
        <v>1.0</v>
      </c>
      <c r="J6" s="34">
        <f>IFERROR(IF('PyG 3 Años'!$B$9="","",MIN(1,'0. Supuestos'!$B$52+(1-'0. Supuestos'!$B$52)*8/MAX(1,'0. Supuestos'!$B$53-1))),"")</f>
        <v>1.0</v>
      </c>
      <c r="K6" s="34">
        <f>IFERROR(IF('PyG 3 Años'!$B$9="","",MIN(1,'0. Supuestos'!$B$52+(1-'0. Supuestos'!$B$52)*9/MAX(1,'0. Supuestos'!$B$53-1))),"")</f>
        <v>1.0</v>
      </c>
      <c r="L6" s="34">
        <f>IFERROR(IF('PyG 3 Años'!$B$9="","",MIN(1,'0. Supuestos'!$B$52+(1-'0. Supuestos'!$B$52)*10/MAX(1,'0. Supuestos'!$B$53-1))),"")</f>
        <v>1.0</v>
      </c>
      <c r="M6" s="34">
        <f>IFERROR(IF('PyG 3 Años'!$B$9="","",MIN(1,'0. Supuestos'!$B$52+(1-'0. Supuestos'!$B$52)*11/MAX(1,'0. Supuestos'!$B$53-1))),"")</f>
        <v>1.0</v>
      </c>
      <c r="N6" s="32" t="n"/>
      <c r="O6" s="32" t="inlineStr">
        <is>
          <t>Sube en línea recta desde el porcentaje del mes 1 hasta el 100 % en los meses que digas en Supuestos. Con el mes 1 al 100 % la rampa desaparece</t>
        </is>
      </c>
    </row>
    <row r="7">
      <c r="A7" s="32" t="inlineStr">
        <is>
          <t>Reparto de la actividad por mes (calculado)</t>
        </is>
      </c>
      <c r="B7" s="34">
        <f>IFERROR(IF('PyG 3 Años'!$B$9="","",B5*B6/SUMPRODUCT($B$5:$M$5,$B$6:$M$6)),"")</f>
        <v>0.0462257384911919</v>
      </c>
      <c r="C7" s="34">
        <f>IFERROR(IF('PyG 3 Años'!$B$9="","",C5*C6/SUMPRODUCT($B$5:$M$5,$B$6:$M$6)),"")</f>
        <v>0.05378995024429603</v>
      </c>
      <c r="D7" s="34">
        <f>IFERROR(IF('PyG 3 Años'!$B$9="","",D5*D6/SUMPRODUCT($B$5:$M$5,$B$6:$M$6)),"")</f>
        <v>0.06953471693038685</v>
      </c>
      <c r="E7" s="34">
        <f>IFERROR(IF('PyG 3 Años'!$B$9="","",E5*E6/SUMPRODUCT($B$5:$M$5,$B$6:$M$6)),"")</f>
        <v>0.0808642252005917</v>
      </c>
      <c r="F7" s="34">
        <f>IFERROR(IF('PyG 3 Años'!$B$9="","",F5*F6/SUMPRODUCT($B$5:$M$5,$B$6:$M$6)),"")</f>
        <v>0.0917791026043301</v>
      </c>
      <c r="G7" s="34">
        <f>IFERROR(IF('PyG 3 Años'!$B$9="","",G5*G6/SUMPRODUCT($B$5:$M$5,$B$6:$M$6)),"")</f>
        <v>0.09525303689094089</v>
      </c>
      <c r="H7" s="34">
        <f>IFERROR(IF('PyG 3 Años'!$B$9="","",H5*H6/SUMPRODUCT($B$5:$M$5,$B$6:$M$6)),"")</f>
        <v>0.08404679725671255</v>
      </c>
      <c r="I7" s="34">
        <f>IFERROR(IF('PyG 3 Años'!$B$9="","",I5*I6/SUMPRODUCT($B$5:$M$5,$B$6:$M$6)),"")</f>
        <v>0.06723743780537003</v>
      </c>
      <c r="J7" s="34">
        <f>IFERROR(IF('PyG 3 Años'!$B$9="","",J5*J6/SUMPRODUCT($B$5:$M$5,$B$6:$M$6)),"")</f>
        <v>0.09525303689094089</v>
      </c>
      <c r="K7" s="34">
        <f>IFERROR(IF('PyG 3 Años'!$B$9="","",K5*K6/SUMPRODUCT($B$5:$M$5,$B$6:$M$6)),"")</f>
        <v>0.10085615670805505</v>
      </c>
      <c r="L7" s="34">
        <f>IFERROR(IF('PyG 3 Años'!$B$9="","",L5*L6/SUMPRODUCT($B$5:$M$5,$B$6:$M$6)),"")</f>
        <v>0.09525303689094089</v>
      </c>
      <c r="M7" s="34">
        <f>IFERROR(IF('PyG 3 Años'!$B$9="","",M5*M6/SUMPRODUCT($B$5:$M$5,$B$6:$M$6)),"")</f>
        <v>0.11990676408624323</v>
      </c>
      <c r="N7" s="34">
        <f>IFERROR(IF('PyG 3 Años'!$B$9="","",SUM(B7:M7)),"")</f>
        <v>1.0</v>
      </c>
      <c r="O7" s="32" t="inlineStr">
        <is>
          <t>Estacionalidad × rampa, normalizado a 100 %: el AÑO factura lo que dice el P&amp;L, pero repartido como lo reparte un local que acaba de abrir</t>
        </is>
      </c>
    </row>
    <row r="8">
      <c r="A8" s="29" t="inlineStr">
        <is>
          <t>COBROS</t>
        </is>
      </c>
      <c r="B8" s="32" t="n"/>
      <c r="C8" s="32" t="n"/>
      <c r="D8" s="32" t="n"/>
      <c r="E8" s="32" t="n"/>
      <c r="F8" s="32" t="n"/>
      <c r="G8" s="32" t="n"/>
      <c r="H8" s="32" t="n"/>
      <c r="I8" s="32" t="n"/>
      <c r="J8" s="32" t="n"/>
      <c r="K8" s="32" t="n"/>
      <c r="L8" s="32" t="n"/>
      <c r="M8" s="32" t="n"/>
      <c r="N8" s="32" t="n"/>
      <c r="O8" s="32" t="n"/>
    </row>
    <row r="9">
      <c r="A9" s="32" t="inlineStr">
        <is>
          <t>Ventas cobradas (con IVA repercutido)</t>
        </is>
      </c>
      <c r="B9" s="36">
        <f>IFERROR(IF('PyG 3 Años'!$B$9="","",('PyG 3 Años'!$B$9+'PyG 3 Años'!$B$9*SUMPRODUCT('PyG 3 Años'!$E$10:$E$11,'PyG 3 Años'!$G$10:$G$11))*B7*(1-MIN(30,'0. Supuestos'!$B$58)/30)),"")</f>
        <v>14949.403828051463</v>
      </c>
      <c r="C9" s="36">
        <f>IFERROR(IF('PyG 3 Años'!$B$9="","",('PyG 3 Años'!$B$9+'PyG 3 Años'!$B$9*SUMPRODUCT('PyG 3 Años'!$E$10:$E$11,'PyG 3 Años'!$G$10:$G$11))*(C7*(1-MIN(30,'0. Supuestos'!$B$58)/30)+B7*MIN(30,'0. Supuestos'!$B$58)/30)),"")</f>
        <v>17395.66990900534</v>
      </c>
      <c r="D9" s="36">
        <f>IFERROR(IF('PyG 3 Años'!$B$9="","",('PyG 3 Años'!$B$9+'PyG 3 Años'!$B$9*SUMPRODUCT('PyG 3 Años'!$E$10:$E$11,'PyG 3 Años'!$G$10:$G$11))*(D7*(1-MIN(30,'0. Supuestos'!$B$58)/30)+C7*MIN(30,'0. Supuestos'!$B$58)/30)),"")</f>
        <v>22487.52745528711</v>
      </c>
      <c r="E9" s="36">
        <f>IFERROR(IF('PyG 3 Años'!$B$9="","",('PyG 3 Años'!$B$9+'PyG 3 Años'!$B$9*SUMPRODUCT('PyG 3 Años'!$E$10:$E$11,'PyG 3 Años'!$G$10:$G$11))*(E7*(1-MIN(30,'0. Supuestos'!$B$58)/30)+D7*MIN(30,'0. Supuestos'!$B$58)/30)),"")</f>
        <v>26151.49042987136</v>
      </c>
      <c r="F9" s="36">
        <f>IFERROR(IF('PyG 3 Años'!$B$9="","",('PyG 3 Años'!$B$9+'PyG 3 Años'!$B$9*SUMPRODUCT('PyG 3 Años'!$E$10:$E$11,'PyG 3 Años'!$G$10:$G$11))*(F7*(1-MIN(30,'0. Supuestos'!$B$58)/30)+E7*MIN(30,'0. Supuestos'!$B$58)/30)),"")</f>
        <v>29681.36178224036</v>
      </c>
      <c r="G9" s="36">
        <f>IFERROR(IF('PyG 3 Años'!$B$9="","",('PyG 3 Años'!$B$9+'PyG 3 Años'!$B$9*SUMPRODUCT('PyG 3 Años'!$E$10:$E$11,'PyG 3 Años'!$G$10:$G$11))*(G7*(1-MIN(30,'0. Supuestos'!$B$58)/30)+F7*MIN(30,'0. Supuestos'!$B$58)/30)),"")</f>
        <v>30804.83213053029</v>
      </c>
      <c r="H9" s="36">
        <f>IFERROR(IF('PyG 3 Años'!$B$9="","",('PyG 3 Años'!$B$9+'PyG 3 Años'!$B$9*SUMPRODUCT('PyG 3 Años'!$E$10:$E$11,'PyG 3 Años'!$G$10:$G$11))*(H7*(1-MIN(30,'0. Supuestos'!$B$58)/30)+G7*MIN(30,'0. Supuestos'!$B$58)/30)),"")</f>
        <v>27180.734232820843</v>
      </c>
      <c r="I9" s="36">
        <f>IFERROR(IF('PyG 3 Años'!$B$9="","",('PyG 3 Años'!$B$9+'PyG 3 Años'!$B$9*SUMPRODUCT('PyG 3 Años'!$E$10:$E$11,'PyG 3 Años'!$G$10:$G$11))*(I7*(1-MIN(30,'0. Supuestos'!$B$58)/30)+H7*MIN(30,'0. Supuestos'!$B$58)/30)),"")</f>
        <v>21744.587386256673</v>
      </c>
      <c r="J9" s="36">
        <f>IFERROR(IF('PyG 3 Años'!$B$9="","",('PyG 3 Años'!$B$9+'PyG 3 Años'!$B$9*SUMPRODUCT('PyG 3 Años'!$E$10:$E$11,'PyG 3 Años'!$G$10:$G$11))*(J7*(1-MIN(30,'0. Supuestos'!$B$58)/30)+I7*MIN(30,'0. Supuestos'!$B$58)/30)),"")</f>
        <v>30804.83213053029</v>
      </c>
      <c r="K9" s="36">
        <f>IFERROR(IF('PyG 3 Años'!$B$9="","",('PyG 3 Años'!$B$9+'PyG 3 Años'!$B$9*SUMPRODUCT('PyG 3 Años'!$E$10:$E$11,'PyG 3 Años'!$G$10:$G$11))*(K7*(1-MIN(30,'0. Supuestos'!$B$58)/30)+J7*MIN(30,'0. Supuestos'!$B$58)/30)),"")</f>
        <v>32616.88107938501</v>
      </c>
      <c r="L9" s="36">
        <f>IFERROR(IF('PyG 3 Años'!$B$9="","",('PyG 3 Años'!$B$9+'PyG 3 Años'!$B$9*SUMPRODUCT('PyG 3 Años'!$E$10:$E$11,'PyG 3 Años'!$G$10:$G$11))*(L7*(1-MIN(30,'0. Supuestos'!$B$58)/30)+K7*MIN(30,'0. Supuestos'!$B$58)/30)),"")</f>
        <v>30804.83213053029</v>
      </c>
      <c r="M9" s="36">
        <f>IFERROR(IF('PyG 3 Años'!$B$9="","",('PyG 3 Años'!$B$9+'PyG 3 Años'!$B$9*SUMPRODUCT('PyG 3 Años'!$E$10:$E$11,'PyG 3 Años'!$G$10:$G$11))*(M7*(1-MIN(30,'0. Supuestos'!$B$58)/30)+L7*MIN(30,'0. Supuestos'!$B$58)/30)),"")</f>
        <v>38777.84750549107</v>
      </c>
      <c r="N9" s="36">
        <f>IFERROR(IF('PyG 3 Años'!$B$9="","",SUM(B9:M9)),"")</f>
        <v>323400.00000000006</v>
      </c>
      <c r="O9" s="32" t="inlineStr">
        <is>
          <t>Ventas del mes con el IVA repercutido, corregidas por los días medios de cobro de la hoja de Supuestos</t>
        </is>
      </c>
    </row>
    <row r="10">
      <c r="A10" s="29" t="inlineStr">
        <is>
          <t>PAGOS</t>
        </is>
      </c>
      <c r="B10" s="32" t="n"/>
      <c r="C10" s="32" t="n"/>
      <c r="D10" s="32" t="n"/>
      <c r="E10" s="32" t="n"/>
      <c r="F10" s="32" t="n"/>
      <c r="G10" s="32" t="n"/>
      <c r="H10" s="32" t="n"/>
      <c r="I10" s="32" t="n"/>
      <c r="J10" s="32" t="n"/>
      <c r="K10" s="32" t="n"/>
      <c r="L10" s="32" t="n"/>
      <c r="M10" s="32" t="n"/>
      <c r="N10" s="32" t="n"/>
      <c r="O10" s="32" t="n"/>
    </row>
    <row r="11">
      <c r="A11" s="32" t="inlineStr">
        <is>
          <t>Compras y costes variables (IVA incluido)</t>
        </is>
      </c>
      <c r="B11" s="36">
        <f>IFERROR(IF('PyG 3 Años'!$B$9="","",-('PyG 3 Años'!$B$13*(1+'PyG 3 Años'!$G$13)+'PyG 3 Años'!$B$14*(1+'PyG 3 Años'!$G$14)+'PyG 3 Años'!$B$15*(1+'PyG 3 Años'!$G$15)+'PyG 3 Años'!$B$16*(1+'PyG 3 Años'!$G$16)+'PyG 3 Años'!$B$17*(1+'PyG 3 Años'!$G$17)+'PyG 3 Años'!$B$18*(1+'PyG 3 Años'!$G$18))*B7*(1-MIN(30,'0. Supuestos'!$B$59)/30)),"")</f>
        <v>-0.0</v>
      </c>
      <c r="C11" s="36">
        <f>IFERROR(IF('PyG 3 Años'!$B$9="","",-('PyG 3 Años'!$B$13*(1+'PyG 3 Años'!$G$13)+'PyG 3 Años'!$B$14*(1+'PyG 3 Años'!$G$14)+'PyG 3 Años'!$B$15*(1+'PyG 3 Años'!$G$15)+'PyG 3 Años'!$B$16*(1+'PyG 3 Años'!$G$16)+'PyG 3 Años'!$B$17*(1+'PyG 3 Años'!$G$17)+'PyG 3 Años'!$B$18*(1+'PyG 3 Años'!$G$18))*(C7*(1-MIN(30,'0. Supuestos'!$B$59)/30)+B7*MIN(30,'0. Supuestos'!$B$59)/30)),"")</f>
        <v>-5122.687203482901</v>
      </c>
      <c r="D11" s="36">
        <f>IFERROR(IF('PyG 3 Años'!$B$9="","",-('PyG 3 Años'!$B$13*(1+'PyG 3 Años'!$G$13)+'PyG 3 Años'!$B$14*(1+'PyG 3 Años'!$G$14)+'PyG 3 Años'!$B$15*(1+'PyG 3 Años'!$G$15)+'PyG 3 Años'!$B$16*(1+'PyG 3 Años'!$G$16)+'PyG 3 Años'!$B$17*(1+'PyG 3 Años'!$G$17)+'PyG 3 Años'!$B$18*(1+'PyG 3 Años'!$G$18))*(D7*(1-MIN(30,'0. Supuestos'!$B$59)/30)+C7*MIN(30,'0. Supuestos'!$B$59)/30)),"")</f>
        <v>-5960.945109507376</v>
      </c>
      <c r="E11" s="36">
        <f>IFERROR(IF('PyG 3 Años'!$B$9="","",-('PyG 3 Años'!$B$13*(1+'PyG 3 Años'!$G$13)+'PyG 3 Años'!$B$14*(1+'PyG 3 Años'!$G$14)+'PyG 3 Años'!$B$15*(1+'PyG 3 Años'!$G$15)+'PyG 3 Años'!$B$16*(1+'PyG 3 Años'!$G$16)+'PyG 3 Años'!$B$17*(1+'PyG 3 Años'!$G$17)+'PyG 3 Años'!$B$18*(1+'PyG 3 Años'!$G$18))*(E7*(1-MIN(30,'0. Supuestos'!$B$59)/30)+D7*MIN(30,'0. Supuestos'!$B$59)/30)),"")</f>
        <v>-7705.763417602764</v>
      </c>
      <c r="F11" s="36">
        <f>IFERROR(IF('PyG 3 Años'!$B$9="","",-('PyG 3 Años'!$B$13*(1+'PyG 3 Años'!$G$13)+'PyG 3 Años'!$B$14*(1+'PyG 3 Años'!$G$14)+'PyG 3 Años'!$B$15*(1+'PyG 3 Años'!$G$15)+'PyG 3 Años'!$B$16*(1+'PyG 3 Años'!$G$16)+'PyG 3 Años'!$B$17*(1+'PyG 3 Años'!$G$17)+'PyG 3 Años'!$B$18*(1+'PyG 3 Años'!$G$18))*(F7*(1-MIN(30,'0. Supuestos'!$B$59)/30)+E7*MIN(30,'0. Supuestos'!$B$59)/30)),"")</f>
        <v>-8961.287481292755</v>
      </c>
      <c r="G11" s="36">
        <f>IFERROR(IF('PyG 3 Años'!$B$9="","",-('PyG 3 Años'!$B$13*(1+'PyG 3 Años'!$G$13)+'PyG 3 Años'!$B$14*(1+'PyG 3 Años'!$G$14)+'PyG 3 Años'!$B$15*(1+'PyG 3 Años'!$G$15)+'PyG 3 Años'!$B$16*(1+'PyG 3 Años'!$G$16)+'PyG 3 Años'!$B$17*(1+'PyG 3 Años'!$G$17)+'PyG 3 Años'!$B$18*(1+'PyG 3 Años'!$G$18))*(G7*(1-MIN(30,'0. Supuestos'!$B$59)/30)+F7*MIN(30,'0. Supuestos'!$B$59)/30)),"")</f>
        <v>-10170.862593096961</v>
      </c>
      <c r="H11" s="36">
        <f>IFERROR(IF('PyG 3 Años'!$B$9="","",-('PyG 3 Años'!$B$13*(1+'PyG 3 Años'!$G$13)+'PyG 3 Años'!$B$14*(1+'PyG 3 Años'!$G$14)+'PyG 3 Años'!$B$15*(1+'PyG 3 Años'!$G$15)+'PyG 3 Años'!$B$16*(1+'PyG 3 Años'!$G$16)+'PyG 3 Años'!$B$17*(1+'PyG 3 Años'!$G$17)+'PyG 3 Años'!$B$18*(1+'PyG 3 Años'!$G$18))*(H7*(1-MIN(30,'0. Supuestos'!$B$59)/30)+G7*MIN(30,'0. Supuestos'!$B$59)/30)),"")</f>
        <v>-10555.840298085977</v>
      </c>
      <c r="I11" s="36">
        <f>IFERROR(IF('PyG 3 Años'!$B$9="","",-('PyG 3 Años'!$B$13*(1+'PyG 3 Años'!$G$13)+'PyG 3 Años'!$B$14*(1+'PyG 3 Años'!$G$14)+'PyG 3 Años'!$B$15*(1+'PyG 3 Años'!$G$15)+'PyG 3 Años'!$B$16*(1+'PyG 3 Años'!$G$16)+'PyG 3 Años'!$B$17*(1+'PyG 3 Años'!$G$17)+'PyG 3 Años'!$B$18*(1+'PyG 3 Años'!$G$18))*(I7*(1-MIN(30,'0. Supuestos'!$B$59)/30)+H7*MIN(30,'0. Supuestos'!$B$59)/30)),"")</f>
        <v>-9313.976733605276</v>
      </c>
      <c r="J11" s="36">
        <f>IFERROR(IF('PyG 3 Años'!$B$9="","",-('PyG 3 Años'!$B$13*(1+'PyG 3 Años'!$G$13)+'PyG 3 Años'!$B$14*(1+'PyG 3 Años'!$G$14)+'PyG 3 Años'!$B$15*(1+'PyG 3 Años'!$G$15)+'PyG 3 Años'!$B$16*(1+'PyG 3 Años'!$G$16)+'PyG 3 Años'!$B$17*(1+'PyG 3 Años'!$G$17)+'PyG 3 Años'!$B$18*(1+'PyG 3 Años'!$G$18))*(J7*(1-MIN(30,'0. Supuestos'!$B$59)/30)+I7*MIN(30,'0. Supuestos'!$B$59)/30)),"")</f>
        <v>-7451.181386884219</v>
      </c>
      <c r="K11" s="36">
        <f>IFERROR(IF('PyG 3 Años'!$B$9="","",-('PyG 3 Años'!$B$13*(1+'PyG 3 Años'!$G$13)+'PyG 3 Años'!$B$14*(1+'PyG 3 Años'!$G$14)+'PyG 3 Años'!$B$15*(1+'PyG 3 Años'!$G$15)+'PyG 3 Años'!$B$16*(1+'PyG 3 Años'!$G$16)+'PyG 3 Años'!$B$17*(1+'PyG 3 Años'!$G$17)+'PyG 3 Años'!$B$18*(1+'PyG 3 Años'!$G$18))*(K7*(1-MIN(30,'0. Supuestos'!$B$59)/30)+J7*MIN(30,'0. Supuestos'!$B$59)/30)),"")</f>
        <v>-10555.840298085977</v>
      </c>
      <c r="L11" s="36">
        <f>IFERROR(IF('PyG 3 Años'!$B$9="","",-('PyG 3 Años'!$B$13*(1+'PyG 3 Años'!$G$13)+'PyG 3 Años'!$B$14*(1+'PyG 3 Años'!$G$14)+'PyG 3 Años'!$B$15*(1+'PyG 3 Años'!$G$15)+'PyG 3 Años'!$B$16*(1+'PyG 3 Años'!$G$16)+'PyG 3 Años'!$B$17*(1+'PyG 3 Años'!$G$17)+'PyG 3 Años'!$B$18*(1+'PyG 3 Años'!$G$18))*(L7*(1-MIN(30,'0. Supuestos'!$B$59)/30)+K7*MIN(30,'0. Supuestos'!$B$59)/30)),"")</f>
        <v>-11176.77208032633</v>
      </c>
      <c r="M11" s="36">
        <f>IFERROR(IF('PyG 3 Años'!$B$9="","",-('PyG 3 Años'!$B$13*(1+'PyG 3 Años'!$G$13)+'PyG 3 Años'!$B$14*(1+'PyG 3 Años'!$G$14)+'PyG 3 Años'!$B$15*(1+'PyG 3 Años'!$G$15)+'PyG 3 Años'!$B$16*(1+'PyG 3 Años'!$G$16)+'PyG 3 Años'!$B$17*(1+'PyG 3 Años'!$G$17)+'PyG 3 Años'!$B$18*(1+'PyG 3 Años'!$G$18))*(M7*(1-MIN(30,'0. Supuestos'!$B$59)/30)+L7*MIN(30,'0. Supuestos'!$B$59)/30)),"")</f>
        <v>-10555.840298085977</v>
      </c>
      <c r="N11" s="36">
        <f>IFERROR(IF('PyG 3 Años'!$B$9="","",SUM(B11:M11)),"")</f>
        <v>-97530.99690005653</v>
      </c>
      <c r="O11" s="32"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32" t="inlineStr">
        <is>
          <t>Costes fijos de explotación (IVA incluido)</t>
        </is>
      </c>
      <c r="B12" s="36">
        <f>IFERROR(IF('PyG 3 Años'!$B$9="","",-('PyG 3 Años'!$B$37-'PyG 3 Años'!$B$23-'PyG 3 Años'!$B$35-'PyG 3 Años'!$B$36+'PyG 3 Años'!$B$39)/12),"")</f>
        <v>-4737.916666666665</v>
      </c>
      <c r="C12" s="36">
        <f>IFERROR(IF('PyG 3 Años'!$B$9="","",-('PyG 3 Años'!$B$37-'PyG 3 Años'!$B$23-'PyG 3 Años'!$B$35-'PyG 3 Años'!$B$36+'PyG 3 Años'!$B$39)/12),"")</f>
        <v>-4737.916666666665</v>
      </c>
      <c r="D12" s="36">
        <f>IFERROR(IF('PyG 3 Años'!$B$9="","",-('PyG 3 Años'!$B$37-'PyG 3 Años'!$B$23-'PyG 3 Años'!$B$35-'PyG 3 Años'!$B$36+'PyG 3 Años'!$B$39)/12),"")</f>
        <v>-4737.916666666665</v>
      </c>
      <c r="E12" s="36">
        <f>IFERROR(IF('PyG 3 Años'!$B$9="","",-('PyG 3 Años'!$B$37-'PyG 3 Años'!$B$23-'PyG 3 Años'!$B$35-'PyG 3 Años'!$B$36+'PyG 3 Años'!$B$39)/12),"")</f>
        <v>-4737.916666666665</v>
      </c>
      <c r="F12" s="36">
        <f>IFERROR(IF('PyG 3 Años'!$B$9="","",-('PyG 3 Años'!$B$37-'PyG 3 Años'!$B$23-'PyG 3 Años'!$B$35-'PyG 3 Años'!$B$36+'PyG 3 Años'!$B$39)/12),"")</f>
        <v>-4737.916666666665</v>
      </c>
      <c r="G12" s="36">
        <f>IFERROR(IF('PyG 3 Años'!$B$9="","",-('PyG 3 Años'!$B$37-'PyG 3 Años'!$B$23-'PyG 3 Años'!$B$35-'PyG 3 Años'!$B$36+'PyG 3 Años'!$B$39)/12),"")</f>
        <v>-4737.916666666665</v>
      </c>
      <c r="H12" s="36">
        <f>IFERROR(IF('PyG 3 Años'!$B$9="","",-('PyG 3 Años'!$B$37-'PyG 3 Años'!$B$23-'PyG 3 Años'!$B$35-'PyG 3 Años'!$B$36+'PyG 3 Años'!$B$39)/12),"")</f>
        <v>-4737.916666666665</v>
      </c>
      <c r="I12" s="36">
        <f>IFERROR(IF('PyG 3 Años'!$B$9="","",-('PyG 3 Años'!$B$37-'PyG 3 Años'!$B$23-'PyG 3 Años'!$B$35-'PyG 3 Años'!$B$36+'PyG 3 Años'!$B$39)/12),"")</f>
        <v>-4737.916666666665</v>
      </c>
      <c r="J12" s="36">
        <f>IFERROR(IF('PyG 3 Años'!$B$9="","",-('PyG 3 Años'!$B$37-'PyG 3 Años'!$B$23-'PyG 3 Años'!$B$35-'PyG 3 Años'!$B$36+'PyG 3 Años'!$B$39)/12),"")</f>
        <v>-4737.916666666665</v>
      </c>
      <c r="K12" s="36">
        <f>IFERROR(IF('PyG 3 Años'!$B$9="","",-('PyG 3 Años'!$B$37-'PyG 3 Años'!$B$23-'PyG 3 Años'!$B$35-'PyG 3 Años'!$B$36+'PyG 3 Años'!$B$39)/12),"")</f>
        <v>-4737.916666666665</v>
      </c>
      <c r="L12" s="36">
        <f>IFERROR(IF('PyG 3 Años'!$B$9="","",-('PyG 3 Años'!$B$37-'PyG 3 Años'!$B$23-'PyG 3 Años'!$B$35-'PyG 3 Años'!$B$36+'PyG 3 Años'!$B$39)/12),"")</f>
        <v>-4737.916666666665</v>
      </c>
      <c r="M12" s="36">
        <f>IFERROR(IF('PyG 3 Años'!$B$9="","",-('PyG 3 Años'!$B$37-'PyG 3 Años'!$B$23-'PyG 3 Años'!$B$35-'PyG 3 Años'!$B$36+'PyG 3 Años'!$B$39)/12),"")</f>
        <v>-4737.916666666665</v>
      </c>
      <c r="N12" s="36">
        <f>IFERROR(IF('PyG 3 Años'!$B$9="","",SUM(B12:M12)),"")</f>
        <v>-56854.99999999998</v>
      </c>
      <c r="O12" s="32" t="inlineStr">
        <is>
          <t>Los fijos que salen de caja, cada uno con su tipo de IVA: los seguros están exentos y no llevan</t>
        </is>
      </c>
    </row>
    <row r="13">
      <c r="A13" s="32" t="inlineStr">
        <is>
          <t>Nóminas y Seguridad Social</t>
        </is>
      </c>
      <c r="B13" s="36">
        <f>IFERROR(IF('PyG 3 Años'!$B$9="","",-'PyG 3 Años'!$B$23/MAX(12,'0. Supuestos'!$B$21)*(1+IF(1='0. Supuestos'!$B$60,(MAX(12,'0. Supuestos'!$B$21)-12)/2,0)+IF(1='0. Supuestos'!$B$61,(MAX(12,'0. Supuestos'!$B$21)-12)/2,0))),"")</f>
        <v>-7148.750000000001</v>
      </c>
      <c r="C13" s="36">
        <f>IFERROR(IF('PyG 3 Años'!$B$9="","",-'PyG 3 Años'!$B$23/MAX(12,'0. Supuestos'!$B$21)*(1+IF(2='0. Supuestos'!$B$60,(MAX(12,'0. Supuestos'!$B$21)-12)/2,0)+IF(2='0. Supuestos'!$B$61,(MAX(12,'0. Supuestos'!$B$21)-12)/2,0))),"")</f>
        <v>-7148.750000000001</v>
      </c>
      <c r="D13" s="36">
        <f>IFERROR(IF('PyG 3 Años'!$B$9="","",-'PyG 3 Años'!$B$23/MAX(12,'0. Supuestos'!$B$21)*(1+IF(3='0. Supuestos'!$B$60,(MAX(12,'0. Supuestos'!$B$21)-12)/2,0)+IF(3='0. Supuestos'!$B$61,(MAX(12,'0. Supuestos'!$B$21)-12)/2,0))),"")</f>
        <v>-7148.750000000001</v>
      </c>
      <c r="E13" s="36">
        <f>IFERROR(IF('PyG 3 Años'!$B$9="","",-'PyG 3 Años'!$B$23/MAX(12,'0. Supuestos'!$B$21)*(1+IF(4='0. Supuestos'!$B$60,(MAX(12,'0. Supuestos'!$B$21)-12)/2,0)+IF(4='0. Supuestos'!$B$61,(MAX(12,'0. Supuestos'!$B$21)-12)/2,0))),"")</f>
        <v>-7148.750000000001</v>
      </c>
      <c r="F13" s="36">
        <f>IFERROR(IF('PyG 3 Años'!$B$9="","",-'PyG 3 Años'!$B$23/MAX(12,'0. Supuestos'!$B$21)*(1+IF(5='0. Supuestos'!$B$60,(MAX(12,'0. Supuestos'!$B$21)-12)/2,0)+IF(5='0. Supuestos'!$B$61,(MAX(12,'0. Supuestos'!$B$21)-12)/2,0))),"")</f>
        <v>-7148.750000000001</v>
      </c>
      <c r="G13" s="36">
        <f>IFERROR(IF('PyG 3 Años'!$B$9="","",-'PyG 3 Años'!$B$23/MAX(12,'0. Supuestos'!$B$21)*(1+IF(6='0. Supuestos'!$B$60,(MAX(12,'0. Supuestos'!$B$21)-12)/2,0)+IF(6='0. Supuestos'!$B$61,(MAX(12,'0. Supuestos'!$B$21)-12)/2,0))),"")</f>
        <v>-7148.750000000001</v>
      </c>
      <c r="H13" s="36">
        <f>IFERROR(IF('PyG 3 Años'!$B$9="","",-'PyG 3 Años'!$B$23/MAX(12,'0. Supuestos'!$B$21)*(1+IF(7='0. Supuestos'!$B$60,(MAX(12,'0. Supuestos'!$B$21)-12)/2,0)+IF(7='0. Supuestos'!$B$61,(MAX(12,'0. Supuestos'!$B$21)-12)/2,0))),"")</f>
        <v>-14297.500000000002</v>
      </c>
      <c r="I13" s="36">
        <f>IFERROR(IF('PyG 3 Años'!$B$9="","",-'PyG 3 Años'!$B$23/MAX(12,'0. Supuestos'!$B$21)*(1+IF(8='0. Supuestos'!$B$60,(MAX(12,'0. Supuestos'!$B$21)-12)/2,0)+IF(8='0. Supuestos'!$B$61,(MAX(12,'0. Supuestos'!$B$21)-12)/2,0))),"")</f>
        <v>-7148.750000000001</v>
      </c>
      <c r="J13" s="36">
        <f>IFERROR(IF('PyG 3 Años'!$B$9="","",-'PyG 3 Años'!$B$23/MAX(12,'0. Supuestos'!$B$21)*(1+IF(9='0. Supuestos'!$B$60,(MAX(12,'0. Supuestos'!$B$21)-12)/2,0)+IF(9='0. Supuestos'!$B$61,(MAX(12,'0. Supuestos'!$B$21)-12)/2,0))),"")</f>
        <v>-7148.750000000001</v>
      </c>
      <c r="K13" s="36">
        <f>IFERROR(IF('PyG 3 Años'!$B$9="","",-'PyG 3 Años'!$B$23/MAX(12,'0. Supuestos'!$B$21)*(1+IF(10='0. Supuestos'!$B$60,(MAX(12,'0. Supuestos'!$B$21)-12)/2,0)+IF(10='0. Supuestos'!$B$61,(MAX(12,'0. Supuestos'!$B$21)-12)/2,0))),"")</f>
        <v>-7148.750000000001</v>
      </c>
      <c r="L13" s="36">
        <f>IFERROR(IF('PyG 3 Años'!$B$9="","",-'PyG 3 Años'!$B$23/MAX(12,'0. Supuestos'!$B$21)*(1+IF(11='0. Supuestos'!$B$60,(MAX(12,'0. Supuestos'!$B$21)-12)/2,0)+IF(11='0. Supuestos'!$B$61,(MAX(12,'0. Supuestos'!$B$21)-12)/2,0))),"")</f>
        <v>-7148.750000000001</v>
      </c>
      <c r="M13" s="36">
        <f>IFERROR(IF('PyG 3 Años'!$B$9="","",-'PyG 3 Años'!$B$23/MAX(12,'0. Supuestos'!$B$21)*(1+IF(12='0. Supuestos'!$B$60,(MAX(12,'0. Supuestos'!$B$21)-12)/2,0)+IF(12='0. Supuestos'!$B$61,(MAX(12,'0. Supuestos'!$B$21)-12)/2,0))),"")</f>
        <v>-14297.500000000002</v>
      </c>
      <c r="N13" s="36">
        <f>IFERROR(IF('PyG 3 Años'!$B$9="","",SUM(B13:M13)),"")</f>
        <v>-100082.50000000001</v>
      </c>
      <c r="O13" s="32" t="inlineStr">
        <is>
          <t>Doce mensualidades más las pagas extra en los meses que digas en Supuestos. La suma del año es la misma que la del P&amp;L</t>
        </is>
      </c>
    </row>
    <row r="14">
      <c r="A14" s="32" t="inlineStr">
        <is>
          <t>Intereses del préstamo</t>
        </is>
      </c>
      <c r="B14" s="36">
        <f>IFERROR(IF('PyG 3 Años'!$B$9="","",-'Financiación'!$B$44/12),"")</f>
        <v>-560.0</v>
      </c>
      <c r="C14" s="36">
        <f>IFERROR(IF('PyG 3 Años'!$B$9="","",-'Financiación'!$B$44/12),"")</f>
        <v>-560.0</v>
      </c>
      <c r="D14" s="36">
        <f>IFERROR(IF('PyG 3 Años'!$B$9="","",-'Financiación'!$B$44/12),"")</f>
        <v>-560.0</v>
      </c>
      <c r="E14" s="36">
        <f>IFERROR(IF('PyG 3 Años'!$B$9="","",-'Financiación'!$B$44/12),"")</f>
        <v>-560.0</v>
      </c>
      <c r="F14" s="36">
        <f>IFERROR(IF('PyG 3 Años'!$B$9="","",-'Financiación'!$B$44/12),"")</f>
        <v>-560.0</v>
      </c>
      <c r="G14" s="36">
        <f>IFERROR(IF('PyG 3 Años'!$B$9="","",-'Financiación'!$B$44/12),"")</f>
        <v>-560.0</v>
      </c>
      <c r="H14" s="36">
        <f>IFERROR(IF('PyG 3 Años'!$B$9="","",-'Financiación'!$B$44/12),"")</f>
        <v>-560.0</v>
      </c>
      <c r="I14" s="36">
        <f>IFERROR(IF('PyG 3 Años'!$B$9="","",-'Financiación'!$B$44/12),"")</f>
        <v>-560.0</v>
      </c>
      <c r="J14" s="36">
        <f>IFERROR(IF('PyG 3 Años'!$B$9="","",-'Financiación'!$B$44/12),"")</f>
        <v>-560.0</v>
      </c>
      <c r="K14" s="36">
        <f>IFERROR(IF('PyG 3 Años'!$B$9="","",-'Financiación'!$B$44/12),"")</f>
        <v>-560.0</v>
      </c>
      <c r="L14" s="36">
        <f>IFERROR(IF('PyG 3 Años'!$B$9="","",-'Financiación'!$B$44/12),"")</f>
        <v>-560.0</v>
      </c>
      <c r="M14" s="36">
        <f>IFERROR(IF('PyG 3 Años'!$B$9="","",-'Financiación'!$B$44/12),"")</f>
        <v>-560.0</v>
      </c>
      <c r="N14" s="36">
        <f>IFERROR(IF('PyG 3 Años'!$B$9="","",SUM(B14:M14)),"")</f>
        <v>-6720.0</v>
      </c>
      <c r="O14" s="32" t="n"/>
    </row>
    <row r="15">
      <c r="A15" s="32" t="inlineStr">
        <is>
          <t>Devolución de principal del préstamo</t>
        </is>
      </c>
      <c r="B15" s="36">
        <f>IFERROR(IF('PyG 3 Años'!$B$9="","",-'Financiación'!$B$45/12),"")</f>
        <v>0.0</v>
      </c>
      <c r="C15" s="36">
        <f>IFERROR(IF('PyG 3 Años'!$B$9="","",-'Financiación'!$B$45/12),"")</f>
        <v>0.0</v>
      </c>
      <c r="D15" s="36">
        <f>IFERROR(IF('PyG 3 Años'!$B$9="","",-'Financiación'!$B$45/12),"")</f>
        <v>0.0</v>
      </c>
      <c r="E15" s="36">
        <f>IFERROR(IF('PyG 3 Años'!$B$9="","",-'Financiación'!$B$45/12),"")</f>
        <v>0.0</v>
      </c>
      <c r="F15" s="36">
        <f>IFERROR(IF('PyG 3 Años'!$B$9="","",-'Financiación'!$B$45/12),"")</f>
        <v>0.0</v>
      </c>
      <c r="G15" s="36">
        <f>IFERROR(IF('PyG 3 Años'!$B$9="","",-'Financiación'!$B$45/12),"")</f>
        <v>0.0</v>
      </c>
      <c r="H15" s="36">
        <f>IFERROR(IF('PyG 3 Años'!$B$9="","",-'Financiación'!$B$45/12),"")</f>
        <v>0.0</v>
      </c>
      <c r="I15" s="36">
        <f>IFERROR(IF('PyG 3 Años'!$B$9="","",-'Financiación'!$B$45/12),"")</f>
        <v>0.0</v>
      </c>
      <c r="J15" s="36">
        <f>IFERROR(IF('PyG 3 Años'!$B$9="","",-'Financiación'!$B$45/12),"")</f>
        <v>0.0</v>
      </c>
      <c r="K15" s="36">
        <f>IFERROR(IF('PyG 3 Años'!$B$9="","",-'Financiación'!$B$45/12),"")</f>
        <v>0.0</v>
      </c>
      <c r="L15" s="36">
        <f>IFERROR(IF('PyG 3 Años'!$B$9="","",-'Financiación'!$B$45/12),"")</f>
        <v>0.0</v>
      </c>
      <c r="M15" s="36">
        <f>IFERROR(IF('PyG 3 Años'!$B$9="","",-'Financiación'!$B$45/12),"")</f>
        <v>0.0</v>
      </c>
      <c r="N15" s="36">
        <f>IFERROR(IF('PyG 3 Años'!$B$9="","",SUM(B15:M15)),"")</f>
        <v>0.0</v>
      </c>
      <c r="O15" s="32" t="n"/>
    </row>
    <row r="16">
      <c r="A16" s="32" t="inlineStr">
        <is>
          <t>IVA repercutido del mes (memoria)</t>
        </is>
      </c>
      <c r="B16" s="36">
        <f>IFERROR(IF('PyG 3 Años'!$B$9="","",'PyG 3 Años'!$B$9*B7*SUMPRODUCT('PyG 3 Años'!$E$10:$E$11,'PyG 3 Años'!$G$10:$G$11)),"")</f>
        <v>1359.0367116410423</v>
      </c>
      <c r="C16" s="36">
        <f>IFERROR(IF('PyG 3 Años'!$B$9="","",'PyG 3 Años'!$B$9*C7*SUMPRODUCT('PyG 3 Años'!$E$10:$E$11,'PyG 3 Años'!$G$10:$G$11)),"")</f>
        <v>1581.4245371823035</v>
      </c>
      <c r="D16" s="36">
        <f>IFERROR(IF('PyG 3 Años'!$B$9="","",'PyG 3 Años'!$B$9*D7*SUMPRODUCT('PyG 3 Años'!$E$10:$E$11,'PyG 3 Años'!$G$10:$G$11)),"")</f>
        <v>2044.320677753374</v>
      </c>
      <c r="E16" s="36">
        <f>IFERROR(IF('PyG 3 Años'!$B$9="","",'PyG 3 Años'!$B$9*E7*SUMPRODUCT('PyG 3 Años'!$E$10:$E$11,'PyG 3 Años'!$G$10:$G$11)),"")</f>
        <v>2377.4082208973964</v>
      </c>
      <c r="F16" s="36">
        <f>IFERROR(IF('PyG 3 Años'!$B$9="","",'PyG 3 Años'!$B$9*F7*SUMPRODUCT('PyG 3 Años'!$E$10:$E$11,'PyG 3 Años'!$G$10:$G$11)),"")</f>
        <v>2698.3056165673056</v>
      </c>
      <c r="G16" s="36">
        <f>IFERROR(IF('PyG 3 Años'!$B$9="","",'PyG 3 Años'!$B$9*G7*SUMPRODUCT('PyG 3 Años'!$E$10:$E$11,'PyG 3 Años'!$G$10:$G$11)),"")</f>
        <v>2800.439284593663</v>
      </c>
      <c r="H16" s="36">
        <f>IFERROR(IF('PyG 3 Años'!$B$9="","",'PyG 3 Años'!$B$9*H7*SUMPRODUCT('PyG 3 Años'!$E$10:$E$11,'PyG 3 Años'!$G$10:$G$11)),"")</f>
        <v>2470.9758393473494</v>
      </c>
      <c r="I16" s="36">
        <f>IFERROR(IF('PyG 3 Años'!$B$9="","",'PyG 3 Años'!$B$9*I7*SUMPRODUCT('PyG 3 Años'!$E$10:$E$11,'PyG 3 Años'!$G$10:$G$11)),"")</f>
        <v>1976.7806714778792</v>
      </c>
      <c r="J16" s="36">
        <f>IFERROR(IF('PyG 3 Años'!$B$9="","",'PyG 3 Años'!$B$9*J7*SUMPRODUCT('PyG 3 Años'!$E$10:$E$11,'PyG 3 Años'!$G$10:$G$11)),"")</f>
        <v>2800.439284593663</v>
      </c>
      <c r="K16" s="36">
        <f>IFERROR(IF('PyG 3 Años'!$B$9="","",'PyG 3 Años'!$B$9*K7*SUMPRODUCT('PyG 3 Años'!$E$10:$E$11,'PyG 3 Años'!$G$10:$G$11)),"")</f>
        <v>2965.171007216819</v>
      </c>
      <c r="L16" s="36">
        <f>IFERROR(IF('PyG 3 Años'!$B$9="","",'PyG 3 Años'!$B$9*L7*SUMPRODUCT('PyG 3 Años'!$E$10:$E$11,'PyG 3 Años'!$G$10:$G$11)),"")</f>
        <v>2800.439284593663</v>
      </c>
      <c r="M16" s="36">
        <f>IFERROR(IF('PyG 3 Años'!$B$9="","",'PyG 3 Años'!$B$9*M7*SUMPRODUCT('PyG 3 Años'!$E$10:$E$11,'PyG 3 Años'!$G$10:$G$11)),"")</f>
        <v>3525.2588641355524</v>
      </c>
      <c r="N16" s="36">
        <f>IFERROR(IF('PyG 3 Años'!$B$9="","",SUM(B16:M16)),"")</f>
        <v>29400.000000000015</v>
      </c>
      <c r="O16" s="32"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32" t="inlineStr">
        <is>
          <t>IVA soportado del mes (memoria)</t>
        </is>
      </c>
      <c r="B17" s="36">
        <f>IFERROR(IF('PyG 3 Años'!$B$9="","",'PyG 3 Años'!$B$38*B7+'PyG 3 Años'!$B$39/12),"")</f>
        <v>1306.3666041732038</v>
      </c>
      <c r="C17" s="36">
        <f>IFERROR(IF('PyG 3 Años'!$B$9="","",'PyG 3 Años'!$B$38*C7+'PyG 3 Años'!$B$39/12),"")</f>
        <v>1389.8402303106373</v>
      </c>
      <c r="D17" s="36">
        <f>IFERROR(IF('PyG 3 Años'!$B$9="","",'PyG 3 Años'!$B$38*D7+'PyG 3 Años'!$B$39/12),"")</f>
        <v>1563.5890373078132</v>
      </c>
      <c r="E17" s="36">
        <f>IFERROR(IF('PyG 3 Años'!$B$9="","",'PyG 3 Años'!$B$38*E7+'PyG 3 Años'!$B$39/12),"")</f>
        <v>1688.613979566991</v>
      </c>
      <c r="F17" s="36">
        <f>IFERROR(IF('PyG 3 Años'!$B$9="","",'PyG 3 Años'!$B$38*F7+'PyG 3 Años'!$B$39/12),"")</f>
        <v>1809.0633304675248</v>
      </c>
      <c r="G17" s="36">
        <f>IFERROR(IF('PyG 3 Años'!$B$9="","",'PyG 3 Años'!$B$38*G7+'PyG 3 Años'!$B$39/12),"")</f>
        <v>1847.3993661750867</v>
      </c>
      <c r="H17" s="36">
        <f>IFERROR(IF('PyG 3 Años'!$B$9="","",'PyG 3 Años'!$B$38*H7+'PyG 3 Años'!$B$39/12),"")</f>
        <v>1723.7347348603705</v>
      </c>
      <c r="I17" s="36">
        <f>IFERROR(IF('PyG 3 Años'!$B$9="","",'PyG 3 Años'!$B$38*I7+'PyG 3 Años'!$B$39/12),"")</f>
        <v>1538.2377878882962</v>
      </c>
      <c r="J17" s="36">
        <f>IFERROR(IF('PyG 3 Años'!$B$9="","",'PyG 3 Años'!$B$38*J7+'PyG 3 Años'!$B$39/12),"")</f>
        <v>1847.3993661750867</v>
      </c>
      <c r="K17" s="36">
        <f>IFERROR(IF('PyG 3 Años'!$B$9="","",'PyG 3 Años'!$B$38*K7+'PyG 3 Años'!$B$39/12),"")</f>
        <v>1909.2316818324446</v>
      </c>
      <c r="L17" s="36">
        <f>IFERROR(IF('PyG 3 Años'!$B$9="","",'PyG 3 Años'!$B$38*L7+'PyG 3 Años'!$B$39/12),"")</f>
        <v>1847.3993661750867</v>
      </c>
      <c r="M17" s="36">
        <f>IFERROR(IF('PyG 3 Años'!$B$9="","",'PyG 3 Años'!$B$38*M7+'PyG 3 Años'!$B$39/12),"")</f>
        <v>2119.4615550674616</v>
      </c>
      <c r="N17" s="36">
        <f>IFERROR(IF('PyG 3 Años'!$B$9="","",SUM(B17:M17)),"")</f>
        <v>20590.337040000002</v>
      </c>
      <c r="O17" s="32" t="inlineStr">
        <is>
          <t>Cada partida a su tipo, leído de la columna de IVA del P&amp;L: los seguros y las comisiones de los medios de pago están exentos</t>
        </is>
      </c>
    </row>
    <row r="18">
      <c r="A18" s="32" t="inlineStr">
        <is>
          <t>IVA a compensar arrastrado (inversión incluida)</t>
        </is>
      </c>
      <c r="B18" s="32" t="n"/>
      <c r="C18" s="32" t="n"/>
      <c r="D18" s="32" t="n"/>
      <c r="E18" s="36">
        <f>IFERROR(IF('PyG 3 Años'!$B$9="","",'Inversión Inicial'!$B$37),"")</f>
        <v>17692.5</v>
      </c>
      <c r="F18" s="32" t="n"/>
      <c r="G18" s="32" t="n"/>
      <c r="H18" s="36">
        <f>IFERROR(IF('PyG 3 Años'!$B$9="","",MAX(0,-E19)),"")</f>
        <v>16967.513945214934</v>
      </c>
      <c r="I18" s="32" t="n"/>
      <c r="J18" s="32" t="n"/>
      <c r="K18" s="36">
        <f>IFERROR(IF('PyG 3 Años'!$B$9="","",MAX(0,-H19)),"")</f>
        <v>14436.437499366171</v>
      </c>
      <c r="L18" s="32" t="n"/>
      <c r="M18" s="32" t="n"/>
      <c r="N18" s="32" t="n"/>
      <c r="O18" s="32" t="inlineStr">
        <is>
          <t>El IVA soportado de la INVERSIÓN entra aquí: se compensa contra el repercutido de los trimestres siguientes hasta agotarlo (modelo 303)</t>
        </is>
      </c>
    </row>
    <row r="19">
      <c r="A19" s="32" t="inlineStr">
        <is>
          <t>Resultado de la liquidación trimestral</t>
        </is>
      </c>
      <c r="B19" s="32" t="n"/>
      <c r="C19" s="32" t="n"/>
      <c r="D19" s="32" t="n"/>
      <c r="E19" s="36">
        <f>IFERROR(IF('PyG 3 Años'!$B$9="","",SUM(B16:D16)-SUM(B17:D17)-E18),"")</f>
        <v>-16967.513945214934</v>
      </c>
      <c r="F19" s="32" t="n"/>
      <c r="G19" s="32" t="n"/>
      <c r="H19" s="36">
        <f>IFERROR(IF('PyG 3 Años'!$B$9="","",SUM(E16:G16)-SUM(E17:G17)-H18),"")</f>
        <v>-14436.437499366171</v>
      </c>
      <c r="I19" s="32" t="n"/>
      <c r="J19" s="32" t="n"/>
      <c r="K19" s="36">
        <f>IFERROR(IF('PyG 3 Años'!$B$9="","",SUM(H16:J16)-SUM(H17:J17)-K18),"")</f>
        <v>-12297.613592871034</v>
      </c>
      <c r="L19" s="32" t="n"/>
      <c r="M19" s="32" t="n"/>
      <c r="N19" s="32" t="n"/>
      <c r="O19" s="32" t="inlineStr">
        <is>
          <t>Repercutido menos soportado del trimestre menos lo que venía arrastrado. En negativo NO se paga: se compensa en el trimestre siguiente</t>
        </is>
      </c>
    </row>
    <row r="20">
      <c r="A20" s="32" t="inlineStr">
        <is>
          <t>Pago del IVA (modelo 303)</t>
        </is>
      </c>
      <c r="B20" s="32" t="n"/>
      <c r="C20" s="32" t="n"/>
      <c r="D20" s="32" t="n"/>
      <c r="E20" s="36">
        <f>IFERROR(IF('PyG 3 Años'!$B$9="","",IF(E19&lt;=0,"",-E19)),"")</f>
        <v/>
      </c>
      <c r="F20" s="32" t="n"/>
      <c r="G20" s="32" t="n"/>
      <c r="H20" s="36">
        <f>IFERROR(IF('PyG 3 Años'!$B$9="","",IF(H19&lt;=0,"",-H19)),"")</f>
        <v/>
      </c>
      <c r="I20" s="32" t="n"/>
      <c r="J20" s="32" t="n"/>
      <c r="K20" s="36">
        <f>IFERROR(IF('PyG 3 Años'!$B$9="","",IF(K19&lt;=0,"",-K19)),"")</f>
        <v/>
      </c>
      <c r="L20" s="32" t="n"/>
      <c r="M20" s="32" t="n"/>
      <c r="N20" s="36">
        <f>IFERROR(IF('PyG 3 Años'!$B$9="","",SUM(B20:M20)),"")</f>
        <v>0.0</v>
      </c>
      <c r="O20" s="32" t="inlineStr">
        <is>
          <t>Sólo sale caja cuando el resultado del trimestre es positivo. Los meses sin liquidación van en blanco, no a cero. La celda se pinta en ROJO cuando el pago del 303 se lleva más caja de la que queda ese mes</t>
        </is>
      </c>
    </row>
    <row r="21">
      <c r="A21" s="29" t="inlineStr">
        <is>
          <t>FLUJO DEL MES</t>
        </is>
      </c>
      <c r="B21" s="30">
        <f>IFERROR(IF('PyG 3 Años'!$B$9="","",SUM(B9:B15)+IF(B20="",0,B20)),"")</f>
        <v>2502.7371613847963</v>
      </c>
      <c r="C21" s="30">
        <f>IFERROR(IF('PyG 3 Años'!$B$9="","",SUM(C9:C15)+IF(C20="",0,C20)),"")</f>
        <v>-173.6839611442265</v>
      </c>
      <c r="D21" s="30">
        <f>IFERROR(IF('PyG 3 Años'!$B$9="","",SUM(D9:D15)+IF(D20="",0,D20)),"")</f>
        <v>4079.9156791130654</v>
      </c>
      <c r="E21" s="30">
        <f>IFERROR(IF('PyG 3 Años'!$B$9="","",SUM(E9:E15)+IF(E20="",0,E20)),"")</f>
        <v>5999.06034560193</v>
      </c>
      <c r="F21" s="30">
        <f>IFERROR(IF('PyG 3 Años'!$B$9="","",SUM(F9:F15)+IF(F20="",0,F20)),"")</f>
        <v>8273.407634280942</v>
      </c>
      <c r="G21" s="30">
        <f>IFERROR(IF('PyG 3 Años'!$B$9="","",SUM(G9:G15)+IF(G20="",0,G20)),"")</f>
        <v>8187.302870766664</v>
      </c>
      <c r="H21" s="30">
        <f>IFERROR(IF('PyG 3 Años'!$B$9="","",SUM(H9:H15)+IF(H20="",0,H20)),"")</f>
        <v>-2970.522731931802</v>
      </c>
      <c r="I21" s="30">
        <f>IFERROR(IF('PyG 3 Años'!$B$9="","",SUM(I9:I15)+IF(I20="",0,I20)),"")</f>
        <v>-16.056014015268374</v>
      </c>
      <c r="J21" s="30">
        <f>IFERROR(IF('PyG 3 Años'!$B$9="","",SUM(J9:J15)+IF(J20="",0,J20)),"")</f>
        <v>10906.984076979406</v>
      </c>
      <c r="K21" s="30">
        <f>IFERROR(IF('PyG 3 Años'!$B$9="","",SUM(K9:K15)+IF(K20="",0,K20)),"")</f>
        <v>9614.374114632366</v>
      </c>
      <c r="L21" s="30">
        <f>IFERROR(IF('PyG 3 Años'!$B$9="","",SUM(L9:L15)+IF(L20="",0,L20)),"")</f>
        <v>7181.3933835372945</v>
      </c>
      <c r="M21" s="30">
        <f>IFERROR(IF('PyG 3 Años'!$B$9="","",SUM(M9:M15)+IF(M20="",0,M20)),"")</f>
        <v>8626.590540738425</v>
      </c>
      <c r="N21" s="30">
        <f>IFERROR(IF('PyG 3 Años'!$B$9="","",SUM(B21:M21)),"")</f>
        <v>62211.5030999436</v>
      </c>
      <c r="O21" s="32" t="n"/>
    </row>
    <row r="22">
      <c r="A22" s="29" t="inlineStr">
        <is>
          <t>SALDO ACUMULADO DE CAJA</t>
        </is>
      </c>
      <c r="B22" s="30">
        <f>IFERROR(IF('PyG 3 Años'!$B$9="","",'Inversión Inicial'!$B$34+B21),"")</f>
        <v>41028.36216138479</v>
      </c>
      <c r="C22" s="30">
        <f>IFERROR(IF('PyG 3 Años'!$B$9="","",B22+C21),"")</f>
        <v>40854.67820024057</v>
      </c>
      <c r="D22" s="30">
        <f>IFERROR(IF('PyG 3 Años'!$B$9="","",C22+D21),"")</f>
        <v>44934.59387935363</v>
      </c>
      <c r="E22" s="30">
        <f>IFERROR(IF('PyG 3 Años'!$B$9="","",D22+E21),"")</f>
        <v>50933.654224955564</v>
      </c>
      <c r="F22" s="30">
        <f>IFERROR(IF('PyG 3 Años'!$B$9="","",E22+F21),"")</f>
        <v>59207.061859236506</v>
      </c>
      <c r="G22" s="30">
        <f>IFERROR(IF('PyG 3 Años'!$B$9="","",F22+G21),"")</f>
        <v>67394.36473000317</v>
      </c>
      <c r="H22" s="30">
        <f>IFERROR(IF('PyG 3 Años'!$B$9="","",G22+H21),"")</f>
        <v>64423.84199807137</v>
      </c>
      <c r="I22" s="30">
        <f>IFERROR(IF('PyG 3 Años'!$B$9="","",H22+I21),"")</f>
        <v>64407.78598405611</v>
      </c>
      <c r="J22" s="30">
        <f>IFERROR(IF('PyG 3 Años'!$B$9="","",I22+J21),"")</f>
        <v>75314.77006103551</v>
      </c>
      <c r="K22" s="30">
        <f>IFERROR(IF('PyG 3 Años'!$B$9="","",J22+K21),"")</f>
        <v>84929.14417566787</v>
      </c>
      <c r="L22" s="30">
        <f>IFERROR(IF('PyG 3 Años'!$B$9="","",K22+L21),"")</f>
        <v>92110.53755920516</v>
      </c>
      <c r="M22" s="30">
        <f>IFERROR(IF('PyG 3 Años'!$B$9="","",L22+M21),"")</f>
        <v>100737.12809994358</v>
      </c>
      <c r="N22" s="32" t="n"/>
      <c r="O22" s="32" t="n"/>
    </row>
    <row r="23">
      <c r="A23" s="32" t="inlineStr">
        <is>
          <t>Saldo mínimo del año</t>
        </is>
      </c>
      <c r="B23" s="36">
        <f>IFERROR(IF('PyG 3 Años'!$B$9="","",IF(COUNT(B22:M22)=0,"",MIN(B22:M22))),"")</f>
        <v>40854.67820024057</v>
      </c>
      <c r="C23" s="32" t="n"/>
      <c r="D23" s="32" t="inlineStr">
        <is>
          <t>Si es negativo, sube el fondo de maniobra o el préstamo: te quedas sin caja</t>
        </is>
      </c>
      <c r="E23" s="32" t="n"/>
      <c r="F23" s="32" t="n"/>
      <c r="G23" s="32" t="n"/>
      <c r="H23" s="32" t="n"/>
      <c r="I23" s="32" t="n"/>
      <c r="J23" s="32" t="n"/>
      <c r="K23" s="32" t="n"/>
      <c r="L23" s="32" t="n"/>
      <c r="M23" s="32" t="n"/>
      <c r="N23" s="32" t="n"/>
      <c r="O23" s="32" t="n"/>
    </row>
    <row r="24">
      <c r="A24" s="32" t="inlineStr">
        <is>
          <t>Mes en el que la caja toca fondo</t>
        </is>
      </c>
      <c r="B24" s="44">
        <f>IFERROR(IF('PyG 3 Años'!$B$9="","",IF(COUNT(B22:M22)=0,"",MATCH(MIN(B22:M22),B22:M22,0))),"")</f>
        <v>2.0</v>
      </c>
      <c r="C24" s="32" t="n"/>
      <c r="D24" s="32" t="inlineStr">
        <is>
          <t>Es la respuesta a la pregunta que decide una operación bancaria: en qué mes se agota la caja</t>
        </is>
      </c>
      <c r="E24" s="32" t="n"/>
      <c r="F24" s="32" t="n"/>
      <c r="G24" s="32" t="n"/>
      <c r="H24" s="32" t="n"/>
      <c r="I24" s="32" t="n"/>
      <c r="J24" s="32" t="n"/>
      <c r="K24" s="32" t="n"/>
      <c r="L24" s="32" t="n"/>
      <c r="M24" s="32" t="n"/>
      <c r="N24" s="32" t="n"/>
      <c r="O24" s="32" t="n"/>
    </row>
    <row r="25">
      <c r="A25" s="29" t="inlineStr">
        <is>
          <t>RETORNO DE LA INVERSIÓN</t>
        </is>
      </c>
      <c r="B25" s="32" t="n"/>
      <c r="C25" s="32" t="n"/>
      <c r="D25" s="32" t="n"/>
      <c r="E25" s="32" t="n"/>
      <c r="F25" s="32" t="n"/>
      <c r="G25" s="32" t="n"/>
      <c r="H25" s="32" t="n"/>
      <c r="I25" s="32" t="n"/>
      <c r="J25" s="32" t="n"/>
      <c r="K25" s="32" t="n"/>
      <c r="L25" s="32" t="n"/>
      <c r="M25" s="32" t="n"/>
      <c r="N25" s="32" t="n"/>
      <c r="O25" s="32" t="n"/>
    </row>
    <row r="26">
      <c r="A26" s="32" t="inlineStr">
        <is>
          <t>Flujo de caja libre antes de la deuda, año 1</t>
        </is>
      </c>
      <c r="B26" s="36">
        <f>IFERROR(IF('PyG 3 Años'!$B$9="","",'PyG 3 Años'!$B$47+'PyG 3 Años'!$B$35+'Financiación'!$B$44),"")</f>
        <v>42149.94000000002</v>
      </c>
      <c r="C26" s="32" t="n"/>
      <c r="D26" s="32" t="inlineStr">
        <is>
          <t>Resultado neto más amortización (que no se paga) más los intereses de ese año: el principal no se resta porque este flujo es ANTES de la deuda. La MISMA base que los años 2 y 3, para que el payback compare peras con peras</t>
        </is>
      </c>
      <c r="E26" s="32" t="n"/>
      <c r="F26" s="32" t="n"/>
      <c r="G26" s="32" t="n"/>
      <c r="H26" s="32" t="n"/>
      <c r="I26" s="32" t="n"/>
      <c r="J26" s="32" t="n"/>
      <c r="K26" s="32" t="n"/>
      <c r="L26" s="32" t="n"/>
      <c r="M26" s="32" t="n"/>
      <c r="N26" s="32" t="n"/>
      <c r="O26" s="32" t="n"/>
    </row>
    <row r="27">
      <c r="A27" s="32" t="inlineStr">
        <is>
          <t>Flujo de caja libre antes de la deuda, año 2</t>
        </is>
      </c>
      <c r="B27" s="36">
        <f>IFERROR(IF('PyG 3 Años'!$B$9="","",'PyG 3 Años'!$C$47+'PyG 3 Años'!$C$35+'Financiación'!$B$46),"")</f>
        <v>48605.81580000001</v>
      </c>
      <c r="C27" s="32" t="n"/>
      <c r="D27" s="32" t="inlineStr">
        <is>
          <t>Resultado neto más amortización (que no se paga) más los intereses de ese año: el principal no se resta porque este flujo es ANTES de la deuda. Sin tabla mensual, es una estimación</t>
        </is>
      </c>
      <c r="E27" s="32" t="n"/>
      <c r="F27" s="32" t="n"/>
      <c r="G27" s="32" t="n"/>
      <c r="H27" s="32" t="n"/>
      <c r="I27" s="32" t="n"/>
      <c r="J27" s="32" t="n"/>
      <c r="K27" s="32" t="n"/>
      <c r="L27" s="32" t="n"/>
      <c r="M27" s="32" t="n"/>
      <c r="N27" s="32" t="n"/>
      <c r="O27" s="32" t="n"/>
    </row>
    <row r="28">
      <c r="A28" s="32" t="inlineStr">
        <is>
          <t>Flujo de caja libre antes de la deuda, año 3</t>
        </is>
      </c>
      <c r="B28" s="36">
        <f>IFERROR(IF('PyG 3 Años'!$B$9="","",'PyG 3 Años'!$D$47+'PyG 3 Años'!$D$35+'Financiación'!$B$48),"")</f>
        <v>47775.74483416218</v>
      </c>
      <c r="C28" s="32" t="n"/>
      <c r="D28" s="32" t="inlineStr">
        <is>
          <t>Resultado neto más amortización (que no se paga) más los intereses de ese año: el principal no se resta porque este flujo es ANTES de la deuda. Sin tabla mensual, es una estimación</t>
        </is>
      </c>
      <c r="E28" s="32" t="n"/>
      <c r="F28" s="32" t="n"/>
      <c r="G28" s="32" t="n"/>
      <c r="H28" s="32" t="n"/>
      <c r="I28" s="32" t="n"/>
      <c r="J28" s="32" t="n"/>
      <c r="K28" s="32" t="n"/>
      <c r="L28" s="32" t="n"/>
      <c r="M28" s="32" t="n"/>
      <c r="N28" s="32" t="n"/>
      <c r="O28" s="32" t="n"/>
    </row>
    <row r="29">
      <c r="A29" s="32" t="inlineStr">
        <is>
          <t>Informativo: flujo REAL de caja del año 1 (tabla mensual, antes de la deuda)</t>
        </is>
      </c>
      <c r="B29" s="36">
        <f>IFERROR(IF('PyG 3 Años'!$B$9="","",N21+'Financiación'!$B$44+'Financiación'!$B$45),"")</f>
        <v>68931.5030999436</v>
      </c>
      <c r="C29" s="32" t="n"/>
      <c r="D29" s="32"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32" t="n"/>
      <c r="F29" s="32" t="n"/>
      <c r="G29" s="32" t="n"/>
      <c r="H29" s="32" t="n"/>
      <c r="I29" s="32" t="n"/>
      <c r="J29" s="32" t="n"/>
      <c r="K29" s="32" t="n"/>
      <c r="L29" s="32" t="n"/>
      <c r="M29" s="32" t="n"/>
      <c r="N29" s="32" t="n"/>
      <c r="O29" s="32" t="n"/>
    </row>
    <row r="30">
      <c r="A30" s="32" t="inlineStr">
        <is>
          <t>Inversión a recuperar (sin el IVA, que se recupera por el 303)</t>
        </is>
      </c>
      <c r="B30" s="36">
        <f>IFERROR(IF('PyG 3 Años'!$B$9="","",'Inversión Inicial'!$B$38-'Inversión Inicial'!$B$37),"")</f>
        <v>130175.625</v>
      </c>
      <c r="C30" s="32" t="n"/>
      <c r="D30" s="32"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32" t="n"/>
      <c r="F30" s="32" t="n"/>
      <c r="G30" s="32" t="n"/>
      <c r="H30" s="32" t="n"/>
      <c r="I30" s="32" t="n"/>
      <c r="J30" s="32" t="n"/>
      <c r="K30" s="32" t="n"/>
      <c r="L30" s="32" t="n"/>
      <c r="M30" s="32" t="n"/>
      <c r="N30" s="32" t="n"/>
      <c r="O30" s="32" t="n"/>
    </row>
    <row r="31">
      <c r="A31" s="29" t="inlineStr">
        <is>
          <t>Payback del proyecto (años), antes de la deuda</t>
        </is>
      </c>
      <c r="B31" s="29">
        <f>IFERROR(IF('PyG 3 Años'!$B$9="","",IF(B26&gt;=B30,ROUND(B30/B26,1),IF(B26+B27&gt;=B30,ROUND(1+(B30-B26)/B27,1),IF(B26+B27+B28&gt;=B30,ROUND(2+(B30-B26-B27)/B28,1),"Más de 3 años")))),"")</f>
        <v>2.8</v>
      </c>
      <c r="C31" s="32" t="n"/>
      <c r="D31" s="29"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32" t="n"/>
      <c r="F31" s="32" t="n"/>
      <c r="G31" s="32" t="n"/>
      <c r="H31" s="32" t="n"/>
      <c r="I31" s="32" t="n"/>
      <c r="J31" s="32" t="n"/>
      <c r="K31" s="32" t="n"/>
      <c r="L31" s="32" t="n"/>
      <c r="M31" s="32" t="n"/>
      <c r="N31" s="32" t="n"/>
      <c r="O31" s="32" t="n"/>
    </row>
    <row r="32">
      <c r="A32" s="32" t="inlineStr">
        <is>
          <t>Payback sobre el CAPEX, sin fondo de maniobra (años)</t>
        </is>
      </c>
      <c r="B32" s="32">
        <f>IFERROR(IF('PyG 3 Años'!$B$9="","",IF(B26&gt;='Inversión Inicial'!$B$36,ROUND('Inversión Inicial'!$B$36/B26,1),IF(B26+B27&gt;='Inversión Inicial'!$B$36,ROUND(1+('Inversión Inicial'!$B$36-B26)/B27,1),IF(B26+B27+B28&gt;='Inversión Inicial'!$B$36,ROUND(2+('Inversión Inicial'!$B$36-B26-B27)/B28,1),"Más de 3 años")))),"")</f>
        <v>2.0</v>
      </c>
      <c r="C32" s="32" t="n"/>
      <c r="D32" s="32" t="inlineStr">
        <is>
          <t>El mismo cálculo sobre lo que se COMPRA (obra, equipamiento, lanzamiento y constitución), sin el fondo de maniobra: ese dinero no se gasta, se inmoviliza y vuelve al cerrar el negocio. Informativo: el payback que se publica es el de arriba</t>
        </is>
      </c>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ht="120" customHeight="1">
      <c r="A34" s="51"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9" t="inlineStr">
        <is>
          <t>PLAN DE FINANCIACIÓN</t>
        </is>
      </c>
      <c r="B1" s="32" t="n"/>
      <c r="C1" s="32" t="n"/>
      <c r="D1" s="32" t="n"/>
      <c r="E1" s="32" t="n"/>
      <c r="F1" s="32" t="n"/>
      <c r="G1" s="32" t="n"/>
      <c r="H1" s="32" t="n"/>
    </row>
    <row r="2" ht="45" customHeight="1">
      <c r="A2" s="51" t="inlineStr">
        <is>
          <t>Qué hace falta, de dónde sale y cuánto cuesta devolverlo. Es la hoja que el banco pide junto con el P&amp;L.</t>
        </is>
      </c>
      <c r="B2" s="32" t="n"/>
      <c r="C2" s="32" t="n"/>
      <c r="D2" s="32" t="n"/>
      <c r="E2" s="32" t="n"/>
      <c r="F2" s="32" t="n"/>
      <c r="G2" s="32" t="n"/>
      <c r="H2" s="32" t="n"/>
    </row>
    <row r="3">
      <c r="A3" s="32" t="n"/>
      <c r="B3" s="32" t="n"/>
      <c r="C3" s="32" t="n"/>
      <c r="D3" s="32" t="n"/>
      <c r="E3" s="32" t="n"/>
      <c r="F3" s="32" t="n"/>
      <c r="G3" s="32" t="n"/>
      <c r="H3" s="32" t="n"/>
    </row>
    <row r="4">
      <c r="A4" s="29" t="inlineStr">
        <is>
          <t>Concepto</t>
        </is>
      </c>
      <c r="B4" s="29" t="inlineStr">
        <is>
          <t>Importe</t>
        </is>
      </c>
      <c r="C4" s="29" t="inlineStr">
        <is>
          <t>Notas</t>
        </is>
      </c>
      <c r="D4" s="32" t="n"/>
      <c r="E4" s="32" t="n"/>
      <c r="F4" s="32" t="n"/>
      <c r="G4" s="32" t="n"/>
      <c r="H4" s="32" t="n"/>
    </row>
    <row r="5">
      <c r="A5" s="29" t="inlineStr">
        <is>
          <t>ORIGEN DE FONDOS</t>
        </is>
      </c>
      <c r="B5" s="32" t="n"/>
      <c r="C5" s="32" t="n"/>
      <c r="D5" s="32" t="n"/>
      <c r="E5" s="32" t="n"/>
      <c r="F5" s="32" t="n"/>
      <c r="G5" s="32" t="n"/>
      <c r="H5" s="32" t="n"/>
    </row>
    <row r="6">
      <c r="A6" s="32" t="inlineStr">
        <is>
          <t>Recursos propios de los socios</t>
        </is>
      </c>
      <c r="B6" s="36">
        <f>IFERROR(IF('0. Supuestos'!$B$30="","",'0. Supuestos'!$B$30),"")</f>
        <v>40000.0</v>
      </c>
      <c r="C6" s="32" t="n"/>
      <c r="D6" s="32" t="n"/>
      <c r="E6" s="32" t="n"/>
      <c r="F6" s="32" t="n"/>
      <c r="G6" s="32" t="n"/>
      <c r="H6" s="32" t="n"/>
    </row>
    <row r="7">
      <c r="A7" s="32" t="inlineStr">
        <is>
          <t>Préstamo bancario</t>
        </is>
      </c>
      <c r="B7" s="36">
        <f>IFERROR(IF('0. Supuestos'!$B$31="","",'0. Supuestos'!$B$31),"")</f>
        <v>112000.0</v>
      </c>
      <c r="C7" s="32" t="n"/>
      <c r="D7" s="32" t="n"/>
      <c r="E7" s="32" t="n"/>
      <c r="F7" s="32" t="n"/>
      <c r="G7" s="32" t="n"/>
      <c r="H7" s="32" t="n"/>
    </row>
    <row r="8">
      <c r="A8" s="32" t="inlineStr">
        <is>
          <t>Línea ICO (avalada por el ICO, la concede tu banco)</t>
        </is>
      </c>
      <c r="B8" s="33" t="n">
        <v>0</v>
      </c>
      <c r="C8" s="32" t="inlineStr">
        <is>
          <t>Consulta las líneas del ejercicio en curso en ico.es</t>
        </is>
      </c>
      <c r="D8" s="32" t="n"/>
      <c r="E8" s="32" t="n"/>
      <c r="F8" s="32" t="n"/>
      <c r="G8" s="32" t="n"/>
      <c r="H8" s="32" t="n"/>
    </row>
    <row r="9">
      <c r="A9" s="32" t="inlineStr">
        <is>
          <t>Préstamo participativo ENISA</t>
        </is>
      </c>
      <c r="B9" s="33" t="n">
        <v>0</v>
      </c>
      <c r="C9" s="32" t="inlineStr">
        <is>
          <t>Para sociedades; sin garantías personales</t>
        </is>
      </c>
      <c r="D9" s="32" t="n"/>
      <c r="E9" s="32" t="n"/>
      <c r="F9" s="32" t="n"/>
      <c r="G9" s="32" t="n"/>
      <c r="H9" s="32" t="n"/>
    </row>
    <row r="10">
      <c r="A10" s="32" t="inlineStr">
        <is>
          <t>Business angels o socios inversores</t>
        </is>
      </c>
      <c r="B10" s="33" t="n">
        <v>0</v>
      </c>
      <c r="C10" s="32" t="inlineStr">
        <is>
          <t>Entra en el capital: diluye, no se devuelve</t>
        </is>
      </c>
      <c r="D10" s="32" t="n"/>
      <c r="E10" s="32" t="n"/>
      <c r="F10" s="32" t="n"/>
      <c r="G10" s="32" t="n"/>
      <c r="H10" s="32" t="n"/>
    </row>
    <row r="11">
      <c r="A11" s="32" t="inlineStr">
        <is>
          <t>Subvenciones autonómicas o locales</t>
        </is>
      </c>
      <c r="B11" s="33" t="n">
        <v>0</v>
      </c>
      <c r="C11" s="32" t="inlineStr">
        <is>
          <t>Suelen cobrarse DESPUÉS de justificar el gasto</t>
        </is>
      </c>
      <c r="D11" s="32" t="n"/>
      <c r="E11" s="32" t="n"/>
      <c r="F11" s="32" t="n"/>
      <c r="G11" s="32" t="n"/>
      <c r="H11" s="32" t="n"/>
    </row>
    <row r="12">
      <c r="A12" s="29" t="inlineStr">
        <is>
          <t>TOTAL ORIGEN DE FONDOS</t>
        </is>
      </c>
      <c r="B12" s="30">
        <f>IFERROR(IF(COUNT(B6:B11)=0,"",SUM(B6:B11)),"")</f>
        <v>152000.0</v>
      </c>
      <c r="C12" s="32" t="n"/>
      <c r="D12" s="32" t="n"/>
      <c r="E12" s="32" t="n"/>
      <c r="F12" s="32" t="n"/>
      <c r="G12" s="32" t="n"/>
      <c r="H12" s="32" t="n"/>
    </row>
    <row r="13">
      <c r="A13" s="29" t="inlineStr">
        <is>
          <t>USOS</t>
        </is>
      </c>
      <c r="B13" s="32" t="n"/>
      <c r="C13" s="32" t="n"/>
      <c r="D13" s="32" t="n"/>
      <c r="E13" s="32" t="n"/>
      <c r="F13" s="32" t="n"/>
      <c r="G13" s="32" t="n"/>
      <c r="H13" s="32" t="n"/>
    </row>
    <row r="14">
      <c r="A14" s="32" t="inlineStr">
        <is>
          <t>Necesidad total de caja al arranque</t>
        </is>
      </c>
      <c r="B14" s="36">
        <f>IFERROR(IF('Inversión Inicial'!$B$38="","",'Inversión Inicial'!$B$38),"")</f>
        <v>147868.125</v>
      </c>
      <c r="C14" s="32" t="inlineStr">
        <is>
          <t>Inversión más el IVA que hay que adelantar</t>
        </is>
      </c>
      <c r="D14" s="32" t="n"/>
      <c r="E14" s="32" t="n"/>
      <c r="F14" s="32" t="n"/>
      <c r="G14" s="32" t="n"/>
      <c r="H14" s="32" t="n"/>
    </row>
    <row r="15">
      <c r="A15" s="29" t="inlineStr">
        <is>
          <t>Diferencia (origen - usos)</t>
        </is>
      </c>
      <c r="B15" s="30">
        <f>IFERROR(B12-B14,"")</f>
        <v>4131.875</v>
      </c>
      <c r="C15" s="29" t="inlineStr">
        <is>
          <t>En rojo (negativa) el plan NO está financiado. Muy por encima de cero tampoco es gratis: se pagan intereses por un dinero que no se usa</t>
        </is>
      </c>
      <c r="D15" s="32" t="n"/>
      <c r="E15" s="32" t="n"/>
      <c r="F15" s="32" t="n"/>
      <c r="G15" s="32" t="n"/>
      <c r="H15" s="32" t="n"/>
    </row>
    <row r="16">
      <c r="A16" s="32" t="inlineStr">
        <is>
          <t>Diferencia sobre los usos (%)</t>
        </is>
      </c>
      <c r="B16" s="34">
        <f>IFERROR(B15/B14,"")</f>
        <v>0.027942972834747178</v>
      </c>
      <c r="C16" s="32" t="inlineStr">
        <is>
          <t>Ámbar por encima del margen que fijes: es deuda que pagas sin necesitarla</t>
        </is>
      </c>
      <c r="D16" s="32" t="n"/>
      <c r="E16" s="32" t="n"/>
      <c r="F16" s="32" t="n"/>
      <c r="G16" s="32" t="n"/>
      <c r="H16" s="32" t="n"/>
    </row>
    <row r="17">
      <c r="A17" s="32" t="inlineStr">
        <is>
          <t>Exceso de financiación admisible (%)</t>
        </is>
      </c>
      <c r="B17" s="65" t="n">
        <v>0.05</v>
      </c>
      <c r="C17" s="32" t="inlineStr">
        <is>
          <t>Un pequeño colchón sobre la necesidad es sano; un 20 % de más son intereses tirados</t>
        </is>
      </c>
      <c r="D17" s="32" t="n"/>
      <c r="E17" s="32" t="n"/>
      <c r="F17" s="32" t="n"/>
      <c r="G17" s="32" t="n"/>
      <c r="H17" s="32" t="n"/>
    </row>
    <row r="18">
      <c r="A18" s="32" t="inlineStr">
        <is>
          <t>Préstamo que ajustaría el origen a la necesidad</t>
        </is>
      </c>
      <c r="B18" s="36">
        <f>IFERROR(MAX(0,B14-B12+B7),"")</f>
        <v>107868.125</v>
      </c>
      <c r="C18" s="32" t="inlineStr">
        <is>
          <t>Cópialo en «Préstamo bancario solicitado» de la hoja de Supuestos y la diferencia se pone a cero</t>
        </is>
      </c>
      <c r="D18" s="32" t="n"/>
      <c r="E18" s="32" t="n"/>
      <c r="F18" s="32" t="n"/>
      <c r="G18" s="32" t="n"/>
      <c r="H18" s="32" t="n"/>
    </row>
    <row r="19">
      <c r="A19" s="29" t="inlineStr">
        <is>
          <t>CONDICIONES DEL PRÉSTAMO</t>
        </is>
      </c>
      <c r="B19" s="32" t="n"/>
      <c r="C19" s="32" t="n"/>
      <c r="D19" s="32" t="n"/>
      <c r="E19" s="32" t="n"/>
      <c r="F19" s="32" t="n"/>
      <c r="G19" s="32" t="n"/>
      <c r="H19" s="32" t="n"/>
    </row>
    <row r="20">
      <c r="A20" s="32" t="inlineStr">
        <is>
          <t>Importe del principal</t>
        </is>
      </c>
      <c r="B20" s="36">
        <f>IFERROR(IF('0. Supuestos'!$B$31=0,"",'0. Supuestos'!$B$31),"")</f>
        <v>112000.0</v>
      </c>
      <c r="C20" s="32" t="n"/>
      <c r="D20" s="32" t="n"/>
      <c r="E20" s="32" t="n"/>
      <c r="F20" s="32" t="n"/>
      <c r="G20" s="32" t="n"/>
      <c r="H20" s="32" t="n"/>
    </row>
    <row r="21">
      <c r="A21" s="32" t="inlineStr">
        <is>
          <t>Tipo de interés nominal anual</t>
        </is>
      </c>
      <c r="B21" s="34">
        <f>IFERROR(IF('0. Supuestos'!$B$32="","",'0. Supuestos'!$B$32),"")</f>
        <v>0.06</v>
      </c>
      <c r="C21" s="32" t="n"/>
      <c r="D21" s="32" t="n"/>
      <c r="E21" s="32" t="n"/>
      <c r="F21" s="32" t="n"/>
      <c r="G21" s="32" t="n"/>
      <c r="H21" s="32" t="n"/>
    </row>
    <row r="22">
      <c r="A22" s="32" t="inlineStr">
        <is>
          <t>Plazo total (años)</t>
        </is>
      </c>
      <c r="B22" s="44">
        <f>IFERROR(IF('0. Supuestos'!$B$33="","",'0. Supuestos'!$B$33),"")</f>
        <v>7.0</v>
      </c>
      <c r="C22" s="32" t="n"/>
      <c r="D22" s="32" t="n"/>
      <c r="E22" s="32" t="n"/>
      <c r="F22" s="32" t="n"/>
      <c r="G22" s="32" t="n"/>
      <c r="H22" s="32" t="n"/>
    </row>
    <row r="23">
      <c r="A23" s="32" t="inlineStr">
        <is>
          <t>Carencia de principal aplicada (años)</t>
        </is>
      </c>
      <c r="B23" s="44">
        <f>IFERROR(IF(OR('0. Supuestos'!$B$34="",'0. Supuestos'!$B$33=""),"",IF('0. Supuestos'!$B$34&gt;='0. Supuestos'!$B$33,0,'0. Supuestos'!$B$34)),"")</f>
        <v>1.0</v>
      </c>
      <c r="C23" s="32" t="inlineStr">
        <is>
          <t>Una carencia igual o mayor que el plazo no existe: la hoja la anula en origen</t>
        </is>
      </c>
      <c r="D23" s="32" t="n"/>
      <c r="E23" s="32" t="n"/>
      <c r="F23" s="32" t="n"/>
      <c r="G23" s="32" t="n"/>
      <c r="H23" s="32" t="n"/>
    </row>
    <row r="24">
      <c r="A24" s="29" t="inlineStr">
        <is>
          <t>Cuota anual durante la amortización</t>
        </is>
      </c>
      <c r="B24" s="52">
        <f>IFERROR(IF(B22-B23&lt;=0,"",IF(B21=0,B20/(B22-B23),B20*B21/(1-(1+B21)^-(B22-B23)))),"")</f>
        <v>22776.61438918828</v>
      </c>
      <c r="C24" s="29" t="inlineStr">
        <is>
          <t>Sistema francés, anualidad algebraica. Con el tipo al 0 % es el principal entre los años de amortización: sin esa rama el cuadro se apagaba entero</t>
        </is>
      </c>
      <c r="D24" s="32" t="n"/>
      <c r="E24" s="32" t="n"/>
      <c r="F24" s="32" t="n"/>
      <c r="G24" s="32" t="n"/>
      <c r="H24" s="32" t="n"/>
    </row>
    <row r="25">
      <c r="A25" s="29" t="inlineStr">
        <is>
          <t>CUADRO DE AMORTIZACIÓN</t>
        </is>
      </c>
      <c r="B25" s="32" t="n"/>
      <c r="C25" s="32" t="n"/>
      <c r="D25" s="32" t="n"/>
      <c r="E25" s="32" t="n"/>
      <c r="F25" s="32" t="n"/>
      <c r="G25" s="32" t="n"/>
      <c r="H25" s="32" t="n"/>
    </row>
    <row r="26">
      <c r="A26" s="29" t="inlineStr">
        <is>
          <t>Año</t>
        </is>
      </c>
      <c r="B26" s="29" t="inlineStr">
        <is>
          <t>Capital pendiente</t>
        </is>
      </c>
      <c r="C26" s="29" t="inlineStr">
        <is>
          <t>Intereses</t>
        </is>
      </c>
      <c r="D26" s="29" t="inlineStr">
        <is>
          <t>Amortización de principal</t>
        </is>
      </c>
      <c r="E26" s="29" t="inlineStr">
        <is>
          <t>Cuota total</t>
        </is>
      </c>
      <c r="F26" s="29" t="inlineStr">
        <is>
          <t>Capital al cierre</t>
        </is>
      </c>
      <c r="G26" s="29" t="inlineStr">
        <is>
          <t>Flujo disponible para la deuda (después de impuestos; del año 4 en adelante, el del año 3 mantenido)</t>
        </is>
      </c>
      <c r="H26" s="29" t="inlineStr">
        <is>
          <t>DSCR del año</t>
        </is>
      </c>
    </row>
    <row r="27">
      <c r="A27" s="44" t="n">
        <v>1</v>
      </c>
      <c r="B27" s="45">
        <f>IFERROR(IF(B20="","",B20),"")</f>
        <v>112000.0</v>
      </c>
      <c r="C27" s="45">
        <f>IFERROR(IF(OR(1&gt;B22,B27=""),"",B27*B21),"")</f>
        <v>6720.0</v>
      </c>
      <c r="D27" s="45">
        <f>IFERROR(IF(OR(1&gt;B22,B27=""),"",IF(1&lt;=B23,0,MIN(B27,B24-C27))),"")</f>
        <v>0.0</v>
      </c>
      <c r="E27" s="45">
        <f>IFERROR(IF(C27="","",C27+D27),"")</f>
        <v>6720.0</v>
      </c>
      <c r="F27" s="45">
        <f>IFERROR(IF(D27="","",B27-D27),"")</f>
        <v>112000.0</v>
      </c>
      <c r="G27" s="45">
        <f>IFERROR(IF(E27="","",'PyG 3 Años'!$B$40-'PyG 3 Años'!$B$45+'PyG 3 Años'!$B$35+'PyG 3 Años'!$B$36),"")</f>
        <v>42149.94000000002</v>
      </c>
      <c r="H27" s="66">
        <f>IFERROR(IF(OR(E27="",E27=0),"",G27/E27),"")</f>
        <v>6.272312500000003</v>
      </c>
    </row>
    <row r="28">
      <c r="A28" s="44" t="n">
        <v>2</v>
      </c>
      <c r="B28" s="45">
        <f>IFERROR(IF(OR(2&gt;B22,F27=""),"",F27),"")</f>
        <v>112000.0</v>
      </c>
      <c r="C28" s="45">
        <f>IFERROR(IF(OR(2&gt;B22,B28=""),"",B28*B21),"")</f>
        <v>6720.0</v>
      </c>
      <c r="D28" s="45">
        <f>IFERROR(IF(OR(2&gt;B22,B28=""),"",IF(2&lt;=B23,0,MIN(B28,B24-C28))),"")</f>
        <v>16056.614389188278</v>
      </c>
      <c r="E28" s="45">
        <f>IFERROR(IF(C28="","",C28+D28),"")</f>
        <v>22776.61438918828</v>
      </c>
      <c r="F28" s="45">
        <f>IFERROR(IF(D28="","",B28-D28),"")</f>
        <v>95943.38561081172</v>
      </c>
      <c r="G28" s="45">
        <f>IFERROR(IF(E28="","",'PyG 3 Años'!$C$40-'PyG 3 Años'!$C$45+'PyG 3 Años'!$C$35+'PyG 3 Años'!$C$36),"")</f>
        <v>48605.81580000001</v>
      </c>
      <c r="H28" s="66">
        <f>IFERROR(IF(OR(E28="",E28=0),"",G28/E28),"")</f>
        <v>2.134022860881048</v>
      </c>
    </row>
    <row r="29">
      <c r="A29" s="44" t="n">
        <v>3</v>
      </c>
      <c r="B29" s="45">
        <f>IFERROR(IF(OR(3&gt;B22,F28=""),"",F28),"")</f>
        <v>95943.38561081172</v>
      </c>
      <c r="C29" s="45">
        <f>IFERROR(IF(OR(3&gt;B22,B29=""),"",B29*B21),"")</f>
        <v>5756.603136648703</v>
      </c>
      <c r="D29" s="45">
        <f>IFERROR(IF(OR(3&gt;B22,B29=""),"",IF(3&lt;=B23,0,MIN(B29,B24-C29))),"")</f>
        <v>17020.011252539574</v>
      </c>
      <c r="E29" s="45">
        <f>IFERROR(IF(C29="","",C29+D29),"")</f>
        <v>22776.61438918828</v>
      </c>
      <c r="F29" s="45">
        <f>IFERROR(IF(D29="","",B29-D29),"")</f>
        <v>78923.37435827215</v>
      </c>
      <c r="G29" s="45">
        <f>IFERROR(IF(E29="","",'PyG 3 Años'!$D$40-'PyG 3 Años'!$D$45+'PyG 3 Años'!$D$35+'PyG 3 Años'!$D$36),"")</f>
        <v>47775.74483416218</v>
      </c>
      <c r="H29" s="66">
        <f>IFERROR(IF(OR(E29="",E29=0),"",G29/E29),"")</f>
        <v>2.097578859518323</v>
      </c>
    </row>
    <row r="30">
      <c r="A30" s="44" t="n">
        <v>4</v>
      </c>
      <c r="B30" s="45">
        <f>IFERROR(IF(OR(4&gt;B22,F29=""),"",F29),"")</f>
        <v>78923.37435827215</v>
      </c>
      <c r="C30" s="45">
        <f>IFERROR(IF(OR(4&gt;B22,B30=""),"",B30*B21),"")</f>
        <v>4735.402461496329</v>
      </c>
      <c r="D30" s="45">
        <f>IFERROR(IF(OR(4&gt;B22,B30=""),"",IF(4&lt;=B23,0,MIN(B30,B24-C30))),"")</f>
        <v>18041.211927691947</v>
      </c>
      <c r="E30" s="45">
        <f>IFERROR(IF(C30="","",C30+D30),"")</f>
        <v>22776.614389188275</v>
      </c>
      <c r="F30" s="45">
        <f>IFERROR(IF(D30="","",B30-D30),"")</f>
        <v>60882.1624305802</v>
      </c>
      <c r="G30" s="45">
        <f>IFERROR(IF(E30="","",'PyG 3 Años'!$D$40-'PyG 3 Años'!$D$45+'PyG 3 Años'!$D$35+'PyG 3 Años'!$D$36),"")</f>
        <v>47775.74483416218</v>
      </c>
      <c r="H30" s="66">
        <f>IFERROR(IF(OR(E30="",E30=0),"",G30/E30),"")</f>
        <v>2.0975788595183236</v>
      </c>
    </row>
    <row r="31">
      <c r="A31" s="44" t="n">
        <v>5</v>
      </c>
      <c r="B31" s="45">
        <f>IFERROR(IF(OR(5&gt;B22,F30=""),"",F30),"")</f>
        <v>60882.1624305802</v>
      </c>
      <c r="C31" s="45">
        <f>IFERROR(IF(OR(5&gt;B22,B31=""),"",B31*B21),"")</f>
        <v>3652.929745834812</v>
      </c>
      <c r="D31" s="45">
        <f>IFERROR(IF(OR(5&gt;B22,B31=""),"",IF(5&lt;=B23,0,MIN(B31,B24-C31))),"")</f>
        <v>19123.684643353467</v>
      </c>
      <c r="E31" s="45">
        <f>IFERROR(IF(C31="","",C31+D31),"")</f>
        <v>22776.61438918828</v>
      </c>
      <c r="F31" s="45">
        <f>IFERROR(IF(D31="","",B31-D31),"")</f>
        <v>41758.47778722674</v>
      </c>
      <c r="G31" s="45">
        <f>IFERROR(IF(E31="","",'PyG 3 Años'!$D$40-'PyG 3 Años'!$D$45+'PyG 3 Años'!$D$35+'PyG 3 Años'!$D$36),"")</f>
        <v>47775.74483416218</v>
      </c>
      <c r="H31" s="66">
        <f>IFERROR(IF(OR(E31="",E31=0),"",G31/E31),"")</f>
        <v>2.097578859518323</v>
      </c>
    </row>
    <row r="32">
      <c r="A32" s="44" t="n">
        <v>6</v>
      </c>
      <c r="B32" s="45">
        <f>IFERROR(IF(OR(6&gt;B22,F31=""),"",F31),"")</f>
        <v>41758.47778722674</v>
      </c>
      <c r="C32" s="45">
        <f>IFERROR(IF(OR(6&gt;B22,B32=""),"",B32*B21),"")</f>
        <v>2505.5086672336042</v>
      </c>
      <c r="D32" s="45">
        <f>IFERROR(IF(OR(6&gt;B22,B32=""),"",IF(6&lt;=B23,0,MIN(B32,B24-C32))),"")</f>
        <v>20271.105721954675</v>
      </c>
      <c r="E32" s="45">
        <f>IFERROR(IF(C32="","",C32+D32),"")</f>
        <v>22776.61438918828</v>
      </c>
      <c r="F32" s="45">
        <f>IFERROR(IF(D32="","",B32-D32),"")</f>
        <v>21487.372065272062</v>
      </c>
      <c r="G32" s="45">
        <f>IFERROR(IF(E32="","",'PyG 3 Años'!$D$40-'PyG 3 Años'!$D$45+'PyG 3 Años'!$D$35+'PyG 3 Años'!$D$36),"")</f>
        <v>47775.74483416218</v>
      </c>
      <c r="H32" s="66">
        <f>IFERROR(IF(OR(E32="",E32=0),"",G32/E32),"")</f>
        <v>2.097578859518323</v>
      </c>
    </row>
    <row r="33">
      <c r="A33" s="44" t="n">
        <v>7</v>
      </c>
      <c r="B33" s="45">
        <f>IFERROR(IF(OR(7&gt;B22,F32=""),"",F32),"")</f>
        <v>21487.372065272062</v>
      </c>
      <c r="C33" s="45">
        <f>IFERROR(IF(OR(7&gt;B22,B33=""),"",B33*B21),"")</f>
        <v>1289.2423239163236</v>
      </c>
      <c r="D33" s="45">
        <f>IFERROR(IF(OR(7&gt;B22,B33=""),"",IF(7&lt;=B23,0,MIN(B33,B24-C33))),"")</f>
        <v>21487.372065271957</v>
      </c>
      <c r="E33" s="45">
        <f>IFERROR(IF(C33="","",C33+D33),"")</f>
        <v>22776.614389188282</v>
      </c>
      <c r="F33" s="45">
        <f>IFERROR(IF(D33="","",B33-D33),"")</f>
        <v>1.0550138540565968e-10</v>
      </c>
      <c r="G33" s="45">
        <f>IFERROR(IF(E33="","",'PyG 3 Años'!$D$40-'PyG 3 Años'!$D$45+'PyG 3 Años'!$D$35+'PyG 3 Años'!$D$36),"")</f>
        <v>47775.74483416218</v>
      </c>
      <c r="H33" s="66">
        <f>IFERROR(IF(OR(E33="",E33=0),"",G33/E33),"")</f>
        <v>2.0975788595183227</v>
      </c>
    </row>
    <row r="34">
      <c r="A34" s="44" t="n">
        <v>8</v>
      </c>
      <c r="B34" s="45">
        <f>IFERROR(IF(OR(8&gt;B22,F33=""),"",F33),"")</f>
        <v/>
      </c>
      <c r="C34" s="45">
        <f>IFERROR(IF(OR(8&gt;B22,B34=""),"",B34*B21),"")</f>
        <v/>
      </c>
      <c r="D34" s="45">
        <f>IFERROR(IF(OR(8&gt;B22,B34=""),"",IF(8&lt;=B23,0,MIN(B34,B24-C34))),"")</f>
        <v/>
      </c>
      <c r="E34" s="45">
        <f>IFERROR(IF(C34="","",C34+D34),"")</f>
        <v/>
      </c>
      <c r="F34" s="45">
        <f>IFERROR(IF(D34="","",B34-D34),"")</f>
        <v/>
      </c>
      <c r="G34" s="45">
        <f>IFERROR(IF(E34="","",'PyG 3 Años'!$D$40-'PyG 3 Años'!$D$45+'PyG 3 Años'!$D$35+'PyG 3 Años'!$D$36),"")</f>
        <v/>
      </c>
      <c r="H34" s="66">
        <f>IFERROR(IF(OR(E34="",E34=0),"",G34/E34),"")</f>
        <v/>
      </c>
    </row>
    <row r="35">
      <c r="A35" s="44" t="n">
        <v>9</v>
      </c>
      <c r="B35" s="45">
        <f>IFERROR(IF(OR(9&gt;B22,F34=""),"",F34),"")</f>
        <v/>
      </c>
      <c r="C35" s="45">
        <f>IFERROR(IF(OR(9&gt;B22,B35=""),"",B35*B21),"")</f>
        <v/>
      </c>
      <c r="D35" s="45">
        <f>IFERROR(IF(OR(9&gt;B22,B35=""),"",IF(9&lt;=B23,0,MIN(B35,B24-C35))),"")</f>
        <v/>
      </c>
      <c r="E35" s="45">
        <f>IFERROR(IF(C35="","",C35+D35),"")</f>
        <v/>
      </c>
      <c r="F35" s="45">
        <f>IFERROR(IF(D35="","",B35-D35),"")</f>
        <v/>
      </c>
      <c r="G35" s="45">
        <f>IFERROR(IF(E35="","",'PyG 3 Años'!$D$40-'PyG 3 Años'!$D$45+'PyG 3 Años'!$D$35+'PyG 3 Años'!$D$36),"")</f>
        <v/>
      </c>
      <c r="H35" s="66">
        <f>IFERROR(IF(OR(E35="",E35=0),"",G35/E35),"")</f>
        <v/>
      </c>
    </row>
    <row r="36">
      <c r="A36" s="44" t="n">
        <v>10</v>
      </c>
      <c r="B36" s="45">
        <f>IFERROR(IF(OR(10&gt;B22,F35=""),"",F35),"")</f>
        <v/>
      </c>
      <c r="C36" s="45">
        <f>IFERROR(IF(OR(10&gt;B22,B36=""),"",B36*B21),"")</f>
        <v/>
      </c>
      <c r="D36" s="45">
        <f>IFERROR(IF(OR(10&gt;B22,B36=""),"",IF(10&lt;=B23,0,MIN(B36,B24-C36))),"")</f>
        <v/>
      </c>
      <c r="E36" s="45">
        <f>IFERROR(IF(C36="","",C36+D36),"")</f>
        <v/>
      </c>
      <c r="F36" s="45">
        <f>IFERROR(IF(D36="","",B36-D36),"")</f>
        <v/>
      </c>
      <c r="G36" s="45">
        <f>IFERROR(IF(E36="","",'PyG 3 Años'!$D$40-'PyG 3 Años'!$D$45+'PyG 3 Años'!$D$35+'PyG 3 Años'!$D$36),"")</f>
        <v/>
      </c>
      <c r="H36" s="66">
        <f>IFERROR(IF(OR(E36="",E36=0),"",G36/E36),"")</f>
        <v/>
      </c>
    </row>
    <row r="37">
      <c r="A37" s="44" t="n">
        <v>11</v>
      </c>
      <c r="B37" s="45">
        <f>IFERROR(IF(OR(11&gt;B22,F36=""),"",F36),"")</f>
        <v/>
      </c>
      <c r="C37" s="45">
        <f>IFERROR(IF(OR(11&gt;B22,B37=""),"",B37*B21),"")</f>
        <v/>
      </c>
      <c r="D37" s="45">
        <f>IFERROR(IF(OR(11&gt;B22,B37=""),"",IF(11&lt;=B23,0,MIN(B37,B24-C37))),"")</f>
        <v/>
      </c>
      <c r="E37" s="45">
        <f>IFERROR(IF(C37="","",C37+D37),"")</f>
        <v/>
      </c>
      <c r="F37" s="45">
        <f>IFERROR(IF(D37="","",B37-D37),"")</f>
        <v/>
      </c>
      <c r="G37" s="45">
        <f>IFERROR(IF(E37="","",'PyG 3 Años'!$D$40-'PyG 3 Años'!$D$45+'PyG 3 Años'!$D$35+'PyG 3 Años'!$D$36),"")</f>
        <v/>
      </c>
      <c r="H37" s="66">
        <f>IFERROR(IF(OR(E37="",E37=0),"",G37/E37),"")</f>
        <v/>
      </c>
    </row>
    <row r="38">
      <c r="A38" s="44" t="n">
        <v>12</v>
      </c>
      <c r="B38" s="45">
        <f>IFERROR(IF(OR(12&gt;B22,F37=""),"",F37),"")</f>
        <v/>
      </c>
      <c r="C38" s="45">
        <f>IFERROR(IF(OR(12&gt;B22,B38=""),"",B38*B21),"")</f>
        <v/>
      </c>
      <c r="D38" s="45">
        <f>IFERROR(IF(OR(12&gt;B22,B38=""),"",IF(12&lt;=B23,0,MIN(B38,B24-C38))),"")</f>
        <v/>
      </c>
      <c r="E38" s="45">
        <f>IFERROR(IF(C38="","",C38+D38),"")</f>
        <v/>
      </c>
      <c r="F38" s="45">
        <f>IFERROR(IF(D38="","",B38-D38),"")</f>
        <v/>
      </c>
      <c r="G38" s="45">
        <f>IFERROR(IF(E38="","",'PyG 3 Años'!$D$40-'PyG 3 Años'!$D$45+'PyG 3 Años'!$D$35+'PyG 3 Años'!$D$36),"")</f>
        <v/>
      </c>
      <c r="H38" s="66">
        <f>IFERROR(IF(OR(E38="",E38=0),"",G38/E38),"")</f>
        <v/>
      </c>
    </row>
    <row r="39">
      <c r="A39" s="44" t="n">
        <v>13</v>
      </c>
      <c r="B39" s="45">
        <f>IFERROR(IF(OR(13&gt;B22,F38=""),"",F38),"")</f>
        <v/>
      </c>
      <c r="C39" s="45">
        <f>IFERROR(IF(OR(13&gt;B22,B39=""),"",B39*B21),"")</f>
        <v/>
      </c>
      <c r="D39" s="45">
        <f>IFERROR(IF(OR(13&gt;B22,B39=""),"",IF(13&lt;=B23,0,MIN(B39,B24-C39))),"")</f>
        <v/>
      </c>
      <c r="E39" s="45">
        <f>IFERROR(IF(C39="","",C39+D39),"")</f>
        <v/>
      </c>
      <c r="F39" s="45">
        <f>IFERROR(IF(D39="","",B39-D39),"")</f>
        <v/>
      </c>
      <c r="G39" s="45">
        <f>IFERROR(IF(E39="","",'PyG 3 Años'!$D$40-'PyG 3 Años'!$D$45+'PyG 3 Años'!$D$35+'PyG 3 Años'!$D$36),"")</f>
        <v/>
      </c>
      <c r="H39" s="66">
        <f>IFERROR(IF(OR(E39="",E39=0),"",G39/E39),"")</f>
        <v/>
      </c>
    </row>
    <row r="40">
      <c r="A40" s="44" t="n">
        <v>14</v>
      </c>
      <c r="B40" s="45">
        <f>IFERROR(IF(OR(14&gt;B22,F39=""),"",F39),"")</f>
        <v/>
      </c>
      <c r="C40" s="45">
        <f>IFERROR(IF(OR(14&gt;B22,B40=""),"",B40*B21),"")</f>
        <v/>
      </c>
      <c r="D40" s="45">
        <f>IFERROR(IF(OR(14&gt;B22,B40=""),"",IF(14&lt;=B23,0,MIN(B40,B24-C40))),"")</f>
        <v/>
      </c>
      <c r="E40" s="45">
        <f>IFERROR(IF(C40="","",C40+D40),"")</f>
        <v/>
      </c>
      <c r="F40" s="45">
        <f>IFERROR(IF(D40="","",B40-D40),"")</f>
        <v/>
      </c>
      <c r="G40" s="45">
        <f>IFERROR(IF(E40="","",'PyG 3 Años'!$D$40-'PyG 3 Años'!$D$45+'PyG 3 Años'!$D$35+'PyG 3 Años'!$D$36),"")</f>
        <v/>
      </c>
      <c r="H40" s="66">
        <f>IFERROR(IF(OR(E40="",E40=0),"",G40/E40),"")</f>
        <v/>
      </c>
    </row>
    <row r="41">
      <c r="A41" s="44" t="n">
        <v>15</v>
      </c>
      <c r="B41" s="45">
        <f>IFERROR(IF(OR(15&gt;B22,F40=""),"",F40),"")</f>
        <v/>
      </c>
      <c r="C41" s="45">
        <f>IFERROR(IF(OR(15&gt;B22,B41=""),"",B41*B21),"")</f>
        <v/>
      </c>
      <c r="D41" s="45">
        <f>IFERROR(IF(OR(15&gt;B22,B41=""),"",IF(15&lt;=B23,0,MIN(B41,B24-C41))),"")</f>
        <v/>
      </c>
      <c r="E41" s="45">
        <f>IFERROR(IF(C41="","",C41+D41),"")</f>
        <v/>
      </c>
      <c r="F41" s="45">
        <f>IFERROR(IF(D41="","",B41-D41),"")</f>
        <v/>
      </c>
      <c r="G41" s="45">
        <f>IFERROR(IF(E41="","",'PyG 3 Años'!$D$40-'PyG 3 Años'!$D$45+'PyG 3 Años'!$D$35+'PyG 3 Años'!$D$36),"")</f>
        <v/>
      </c>
      <c r="H41" s="66">
        <f>IFERROR(IF(OR(E41="",E41=0),"",G41/E41),"")</f>
        <v/>
      </c>
    </row>
    <row r="42">
      <c r="A42" s="32" t="inlineStr">
        <is>
          <t>Tolerancia de cierre del cuadro (€)</t>
        </is>
      </c>
      <c r="B42" s="55" t="n">
        <v>0.01</v>
      </c>
      <c r="C42" s="32" t="inlineStr">
        <is>
          <t>Margen por redondeo. Por encima, el cuadro no cierra y hay capital sin devolver</t>
        </is>
      </c>
      <c r="D42" s="32" t="n"/>
      <c r="E42" s="32" t="n"/>
      <c r="F42" s="32" t="n"/>
      <c r="G42" s="32" t="n"/>
      <c r="H42" s="32" t="n"/>
    </row>
    <row r="43">
      <c r="A43" s="32" t="inlineStr">
        <is>
          <t>Capital pendiente al vencimiento</t>
        </is>
      </c>
      <c r="B43" s="45">
        <f>IFERROR(IF(B20="","",ROUND(B20-SUM(D27:D41),2)),"")</f>
        <v>0.0</v>
      </c>
      <c r="C43" s="32" t="inlineStr">
        <is>
          <t>Tiene que ser cero: el principal devuelto en el cuadro tiene que ser el prestado. Si sale positivo, el plazo no llega</t>
        </is>
      </c>
      <c r="D43" s="32" t="n"/>
      <c r="E43" s="32" t="n"/>
      <c r="F43" s="32" t="n"/>
      <c r="G43" s="32" t="n"/>
      <c r="H43" s="32" t="n"/>
    </row>
    <row r="44">
      <c r="A44" s="32" t="inlineStr">
        <is>
          <t>Intereses del año 1</t>
        </is>
      </c>
      <c r="B44" s="36">
        <f>IFERROR(IF(B20="","",IF(C27="",0,C27)),"")</f>
        <v>6720.0</v>
      </c>
      <c r="C44" s="32" t="n"/>
      <c r="D44" s="32" t="n"/>
      <c r="E44" s="32" t="n"/>
      <c r="F44" s="32" t="n"/>
      <c r="G44" s="32" t="n"/>
      <c r="H44" s="32" t="n"/>
    </row>
    <row r="45">
      <c r="A45" s="32" t="inlineStr">
        <is>
          <t>Devolución de principal del año 1</t>
        </is>
      </c>
      <c r="B45" s="36">
        <f>IFERROR(IF(B20="","",IF(D27="",0,D27)),"")</f>
        <v>0.0</v>
      </c>
      <c r="C45" s="32" t="n"/>
      <c r="D45" s="32" t="n"/>
      <c r="E45" s="32" t="n"/>
      <c r="F45" s="32" t="n"/>
      <c r="G45" s="32" t="n"/>
      <c r="H45" s="32" t="n"/>
    </row>
    <row r="46">
      <c r="A46" s="32" t="inlineStr">
        <is>
          <t>Intereses del año 2</t>
        </is>
      </c>
      <c r="B46" s="36">
        <f>IFERROR(IF(B20="","",IF(C28="",0,C28)),"")</f>
        <v>6720.0</v>
      </c>
      <c r="C46" s="32" t="n"/>
      <c r="D46" s="32" t="n"/>
      <c r="E46" s="32" t="n"/>
      <c r="F46" s="32" t="n"/>
      <c r="G46" s="32" t="n"/>
      <c r="H46" s="32" t="n"/>
    </row>
    <row r="47">
      <c r="A47" s="32" t="inlineStr">
        <is>
          <t>Devolución de principal del año 2</t>
        </is>
      </c>
      <c r="B47" s="36">
        <f>IFERROR(IF(B20="","",IF(D28="",0,D28)),"")</f>
        <v>16056.614389188278</v>
      </c>
      <c r="C47" s="32" t="n"/>
      <c r="D47" s="32" t="n"/>
      <c r="E47" s="32" t="n"/>
      <c r="F47" s="32" t="n"/>
      <c r="G47" s="32" t="n"/>
      <c r="H47" s="32" t="n"/>
    </row>
    <row r="48">
      <c r="A48" s="32" t="inlineStr">
        <is>
          <t>Intereses del año 3</t>
        </is>
      </c>
      <c r="B48" s="36">
        <f>IFERROR(IF(B20="","",IF(C29="",0,C29)),"")</f>
        <v>5756.603136648703</v>
      </c>
      <c r="C48" s="32" t="n"/>
      <c r="D48" s="32" t="n"/>
      <c r="E48" s="32" t="n"/>
      <c r="F48" s="32" t="n"/>
      <c r="G48" s="32" t="n"/>
      <c r="H48" s="32" t="n"/>
    </row>
    <row r="49">
      <c r="A49" s="32" t="inlineStr">
        <is>
          <t>Devolución de principal del año 3</t>
        </is>
      </c>
      <c r="B49" s="36">
        <f>IFERROR(IF(B20="","",IF(D29="",0,D29)),"")</f>
        <v>17020.011252539574</v>
      </c>
      <c r="C49" s="32" t="n"/>
      <c r="D49" s="32" t="n"/>
      <c r="E49" s="32" t="n"/>
      <c r="F49" s="32" t="n"/>
      <c r="G49" s="32" t="n"/>
      <c r="H49" s="32" t="n"/>
    </row>
    <row r="50">
      <c r="A50" s="29" t="inlineStr">
        <is>
          <t>COBERTURA DEL SERVICIO DE LA DEUDA (DSCR)</t>
        </is>
      </c>
      <c r="B50" s="32" t="n"/>
      <c r="C50" s="32" t="n"/>
      <c r="D50" s="32" t="n"/>
      <c r="E50" s="32" t="n"/>
      <c r="F50" s="32" t="n"/>
      <c r="G50" s="32" t="n"/>
      <c r="H50" s="32" t="n"/>
    </row>
    <row r="51">
      <c r="A51" s="32" t="inlineStr">
        <is>
          <t>DSCR del año 1</t>
        </is>
      </c>
      <c r="B51" s="66">
        <f>IFERROR(('PyG 3 Años'!$B$40-'PyG 3 Años'!$B$45+'PyG 3 Años'!$B$35+B44)/(B44+B45),"")</f>
        <v>6.272312500000003</v>
      </c>
      <c r="C51" s="32" t="inlineStr">
        <is>
          <t>Año de CARENCIA si la hay: con sólo intereses en el denominador el ratio se dispara y no mide el negocio</t>
        </is>
      </c>
      <c r="D51" s="32" t="n"/>
      <c r="E51" s="32" t="n"/>
      <c r="F51" s="32" t="n"/>
      <c r="G51" s="32" t="n"/>
      <c r="H51" s="32" t="n"/>
    </row>
    <row r="52">
      <c r="A52" s="32" t="inlineStr">
        <is>
          <t>DSCR del año 2</t>
        </is>
      </c>
      <c r="B52" s="66">
        <f>IFERROR(('PyG 3 Años'!$C$40-'PyG 3 Años'!$C$45+'PyG 3 Años'!$C$35+B46)/(B46+B47),"")</f>
        <v>2.134022860881048</v>
      </c>
      <c r="C52" s="32" t="n"/>
      <c r="D52" s="32" t="n"/>
      <c r="E52" s="32" t="n"/>
      <c r="F52" s="32" t="n"/>
      <c r="G52" s="32" t="n"/>
      <c r="H52" s="32" t="n"/>
    </row>
    <row r="53">
      <c r="A53" s="32" t="inlineStr">
        <is>
          <t>DSCR del año 3</t>
        </is>
      </c>
      <c r="B53" s="66">
        <f>IFERROR(('PyG 3 Años'!$D$40-'PyG 3 Años'!$D$45+'PyG 3 Años'!$D$35+B48)/(B48+B49),"")</f>
        <v>2.097578859518323</v>
      </c>
      <c r="C53" s="32" t="n"/>
      <c r="D53" s="32" t="n"/>
      <c r="E53" s="32" t="n"/>
      <c r="F53" s="32" t="n"/>
      <c r="G53" s="32" t="n"/>
      <c r="H53" s="32" t="n"/>
    </row>
    <row r="54">
      <c r="A54" s="29" t="inlineStr">
        <is>
          <t>DSCR mínimo de todo el cuadro</t>
        </is>
      </c>
      <c r="B54" s="67">
        <f>IFERROR(IF(COUNT(H27:H41)=0,"",MIN(H27:H41)),"")</f>
        <v>2.0975788595183227</v>
      </c>
      <c r="C54" s="29"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32" t="n"/>
      <c r="E54" s="32" t="n"/>
      <c r="F54" s="32" t="n"/>
      <c r="G54" s="32" t="n"/>
      <c r="H54" s="32" t="n"/>
    </row>
    <row r="55">
      <c r="A55" s="32" t="n"/>
      <c r="B55" s="32" t="n"/>
      <c r="C55" s="32" t="n"/>
      <c r="D55" s="32" t="n"/>
      <c r="E55" s="32" t="n"/>
      <c r="F55" s="32" t="n"/>
      <c r="G55" s="32" t="n"/>
      <c r="H55" s="32" t="n"/>
    </row>
    <row r="56" ht="165" customHeight="1">
      <c r="A56" s="51"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32" t="n"/>
      <c r="C56" s="32" t="n"/>
      <c r="D56" s="32" t="n"/>
      <c r="E56" s="32" t="n"/>
      <c r="F56" s="32" t="n"/>
      <c r="G56" s="32" t="n"/>
      <c r="H56" s="32" t="n"/>
    </row>
    <row r="57">
      <c r="A57" s="32" t="n"/>
      <c r="B57" s="32" t="n"/>
      <c r="C57" s="32" t="n"/>
      <c r="D57" s="32" t="n"/>
      <c r="E57" s="32" t="n"/>
      <c r="F57" s="32" t="n"/>
      <c r="G57" s="32" t="n"/>
      <c r="H57" s="32" t="n"/>
    </row>
    <row r="58">
      <c r="A58" s="32" t="n"/>
      <c r="B58" s="32" t="n"/>
      <c r="C58" s="32" t="n"/>
      <c r="D58" s="32" t="n"/>
      <c r="E58" s="32" t="n"/>
      <c r="F58" s="32" t="n"/>
      <c r="G58" s="32" t="n"/>
      <c r="H58" s="32" t="n"/>
    </row>
    <row r="59">
      <c r="A59" s="32" t="n"/>
      <c r="B59" s="32" t="n"/>
      <c r="C59" s="32" t="n"/>
      <c r="D59" s="32" t="n"/>
      <c r="E59" s="32" t="n"/>
      <c r="F59" s="32" t="n"/>
      <c r="G59" s="32" t="n"/>
      <c r="H59" s="32" t="n"/>
    </row>
    <row r="60">
      <c r="A60" s="32" t="n"/>
      <c r="B60" s="32" t="n"/>
      <c r="C60" s="32" t="n"/>
      <c r="D60" s="32" t="n"/>
      <c r="E60" s="32" t="n"/>
      <c r="F60" s="32" t="n"/>
      <c r="G60" s="32" t="n"/>
      <c r="H60" s="32" t="n"/>
    </row>
    <row r="61">
      <c r="A61" s="32" t="n"/>
      <c r="B61" s="32" t="n"/>
      <c r="C61" s="32" t="n"/>
      <c r="D61" s="32" t="n"/>
      <c r="E61" s="32" t="n"/>
      <c r="F61" s="32" t="n"/>
      <c r="G61" s="32" t="n"/>
      <c r="H61" s="32" t="n"/>
    </row>
    <row r="62">
      <c r="A62" s="32" t="n"/>
      <c r="B62" s="32" t="n"/>
      <c r="C62" s="32" t="n"/>
      <c r="D62" s="32" t="n"/>
      <c r="E62" s="32" t="n"/>
      <c r="F62" s="32" t="n"/>
      <c r="G62" s="32" t="n"/>
      <c r="H62" s="32" t="n"/>
    </row>
    <row r="63">
      <c r="A63" s="32" t="n"/>
      <c r="B63" s="32" t="n"/>
      <c r="C63" s="32" t="n"/>
      <c r="D63" s="32" t="n"/>
      <c r="E63" s="32" t="n"/>
      <c r="F63" s="32" t="n"/>
      <c r="G63" s="32" t="n"/>
      <c r="H63" s="32" t="n"/>
    </row>
    <row r="64">
      <c r="A64" s="32" t="n"/>
      <c r="B64" s="32" t="n"/>
      <c r="C64" s="32" t="n"/>
      <c r="D64" s="32" t="n"/>
      <c r="E64" s="32" t="n"/>
      <c r="F64" s="32" t="n"/>
      <c r="G64" s="32" t="n"/>
      <c r="H64" s="32" t="n"/>
    </row>
    <row r="65">
      <c r="A65" s="32" t="n"/>
      <c r="B65" s="32" t="n"/>
      <c r="C65" s="32" t="n"/>
      <c r="D65" s="32" t="n"/>
      <c r="E65" s="32" t="n"/>
      <c r="F65" s="32" t="n"/>
      <c r="G65" s="32" t="n"/>
      <c r="H65" s="32" t="n"/>
    </row>
    <row r="66">
      <c r="A66" s="32" t="n"/>
      <c r="B66" s="32" t="n"/>
      <c r="C66" s="32" t="n"/>
      <c r="D66" s="32" t="n"/>
      <c r="E66" s="32" t="n"/>
      <c r="F66" s="32" t="n"/>
      <c r="G66" s="32" t="n"/>
      <c r="H66" s="32" t="n"/>
    </row>
    <row r="67">
      <c r="A67" s="32" t="n"/>
      <c r="B67" s="32" t="n"/>
      <c r="C67" s="32" t="n"/>
      <c r="D67" s="32" t="n"/>
      <c r="E67" s="32" t="n"/>
      <c r="F67" s="32" t="n"/>
      <c r="G67" s="32" t="n"/>
      <c r="H67" s="32" t="n"/>
    </row>
    <row r="68">
      <c r="A68" s="32" t="n"/>
      <c r="B68" s="32" t="n"/>
      <c r="C68" s="32" t="n"/>
      <c r="D68" s="32" t="n"/>
      <c r="E68" s="32" t="n"/>
      <c r="F68" s="32" t="n"/>
      <c r="G68" s="32" t="n"/>
      <c r="H68" s="32" t="n"/>
    </row>
    <row r="69">
      <c r="A69" s="32" t="n"/>
      <c r="B69" s="32" t="n"/>
      <c r="C69" s="32" t="n"/>
      <c r="D69" s="32" t="n"/>
      <c r="E69" s="32" t="n"/>
      <c r="F69" s="32" t="n"/>
      <c r="G69" s="32" t="n"/>
      <c r="H69" s="32" t="n"/>
    </row>
    <row r="70">
      <c r="A70" s="32" t="n"/>
      <c r="B70" s="32" t="n"/>
      <c r="C70" s="32" t="n"/>
      <c r="D70" s="32" t="n"/>
      <c r="E70" s="32" t="n"/>
      <c r="F70" s="32" t="n"/>
      <c r="G70" s="32" t="n"/>
      <c r="H70" s="32" t="n"/>
    </row>
    <row r="71">
      <c r="A71" s="32" t="n"/>
      <c r="B71" s="32" t="n"/>
      <c r="C71" s="32" t="n"/>
      <c r="D71" s="32" t="n"/>
      <c r="E71" s="32" t="n"/>
      <c r="F71" s="32" t="n"/>
      <c r="G71" s="32" t="n"/>
      <c r="H71" s="32" t="n"/>
    </row>
    <row r="72">
      <c r="A72" s="32" t="n"/>
      <c r="B72" s="32" t="n"/>
      <c r="C72" s="32" t="n"/>
      <c r="D72" s="32" t="n"/>
      <c r="E72" s="32" t="n"/>
      <c r="F72" s="32" t="n"/>
      <c r="G72" s="32" t="n"/>
      <c r="H72" s="32" t="n"/>
    </row>
    <row r="73">
      <c r="A73" s="32" t="n"/>
      <c r="B73" s="32" t="n"/>
      <c r="C73" s="32" t="n"/>
      <c r="D73" s="32" t="n"/>
      <c r="E73" s="32" t="n"/>
      <c r="F73" s="32" t="n"/>
      <c r="G73" s="32" t="n"/>
      <c r="H73" s="32" t="n"/>
    </row>
    <row r="74">
      <c r="A74" s="32" t="n"/>
      <c r="B74" s="32" t="n"/>
      <c r="C74" s="32" t="n"/>
      <c r="D74" s="32" t="n"/>
      <c r="E74" s="32" t="n"/>
      <c r="F74" s="32" t="n"/>
      <c r="G74" s="32" t="n"/>
      <c r="H74" s="32" t="n"/>
    </row>
    <row r="75">
      <c r="A75" s="32" t="n"/>
      <c r="B75" s="32" t="n"/>
      <c r="C75" s="32" t="n"/>
      <c r="D75" s="32" t="n"/>
      <c r="E75" s="32" t="n"/>
      <c r="F75" s="32" t="n"/>
      <c r="G75" s="32" t="n"/>
      <c r="H75" s="32" t="n"/>
    </row>
    <row r="76">
      <c r="A76" s="32" t="n"/>
      <c r="B76" s="32" t="n"/>
      <c r="C76" s="32" t="n"/>
      <c r="D76" s="32" t="n"/>
      <c r="E76" s="32" t="n"/>
      <c r="F76" s="32" t="n"/>
      <c r="G76" s="32" t="n"/>
      <c r="H76" s="32" t="n"/>
    </row>
    <row r="77">
      <c r="A77" s="32" t="n"/>
      <c r="B77" s="32" t="n"/>
      <c r="C77" s="32" t="n"/>
      <c r="D77" s="32" t="n"/>
      <c r="E77" s="32" t="n"/>
      <c r="F77" s="32" t="n"/>
      <c r="G77" s="32" t="n"/>
      <c r="H77" s="32" t="n"/>
    </row>
    <row r="78">
      <c r="A78" s="32" t="n"/>
      <c r="B78" s="32" t="n"/>
      <c r="C78" s="32" t="n"/>
      <c r="D78" s="32" t="n"/>
      <c r="E78" s="32" t="n"/>
      <c r="F78" s="32" t="n"/>
      <c r="G78" s="32" t="n"/>
      <c r="H78" s="32" t="n"/>
    </row>
    <row r="79">
      <c r="A79" s="32" t="n"/>
      <c r="B79" s="32" t="n"/>
      <c r="C79" s="32" t="n"/>
      <c r="D79" s="32" t="n"/>
      <c r="E79" s="32" t="n"/>
      <c r="F79" s="32" t="n"/>
      <c r="G79" s="32" t="n"/>
      <c r="H79" s="32" t="n"/>
    </row>
    <row r="80">
      <c r="A80" s="32" t="n"/>
      <c r="B80" s="32" t="n"/>
      <c r="C80" s="32" t="n"/>
      <c r="D80" s="32" t="n"/>
      <c r="E80" s="32" t="n"/>
      <c r="F80" s="32" t="n"/>
      <c r="G80" s="32" t="n"/>
      <c r="H80" s="32"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Cafetería / Brunch · v2.2</dc:title>
  <dc:description xmlns:dc="http://purl.org/dc/elements/1.1/">aichef.pro/plan-negocio-cafeteria</dc:description>
  <dc:subject xmlns:dc="http://purl.org/dc/elements/1.1/">Plan financiero — Cafetería / Brunch · v2.2</dc:subject>
  <dcterms:created xmlns:dcterms="http://purl.org/dc/terms/" xmlns:xsi="http://www.w3.org/2001/XMLSchema-instance" xsi:type="dcterms:W3CDTF">2026-03-26T10:59:03Z</dcterms:created>
  <dcterms:modified xmlns:dcterms="http://purl.org/dc/terms/" xmlns:xsi="http://www.w3.org/2001/XMLSchema-instance" xsi:type="dcterms:W3CDTF">2026-09-05T15:29:01Z</dcterms:modified>
  <cp:lastModifiedBy>AI Chef Pro</cp:lastModifiedBy>
  <cp:category>AI Chef Pro · Productos digitales</cp:category>
  <cp:keywords>plan negocio cafeteria, AI Chef Pro</cp:keywords>
</cp:coreProperties>
</file>