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PEX por Bloque" sheetId="3" state="visible" r:id="rId3"/>
    <sheet xmlns:r="http://schemas.openxmlformats.org/officeDocument/2006/relationships" name="Variante del Formato" sheetId="4" state="visible" r:id="rId4"/>
    <sheet xmlns:r="http://schemas.openxmlformats.org/officeDocument/2006/relationships" name="Traspaso vs Obra Nueva" sheetId="5" state="visible" r:id="rId5"/>
    <sheet xmlns:r="http://schemas.openxmlformats.org/officeDocument/2006/relationships" name="IVA y Tesorería" sheetId="6" state="visible" r:id="rId6"/>
    <sheet xmlns:r="http://schemas.openxmlformats.org/officeDocument/2006/relationships" name="Resumen" sheetId="7" state="visible" r:id="rId7"/>
  </sheets>
  <definedNames>
    <definedName name="_xlnm.Print_Titles" localSheetId="1">'Parámetros'!$5:$5</definedName>
    <definedName name="_xlnm.Print_Titles" localSheetId="2">'CAPEX por Bloque'!$5:$5</definedName>
    <definedName name="_xlnm.Print_Titles" localSheetId="3">'Variante del Formato'!$14:$14</definedName>
    <definedName name="_xlnm.Print_Titles" localSheetId="4">'Traspaso vs Obra Nueva'!$25:$25</definedName>
    <definedName name="_xlnm.Print_Titles" localSheetId="5">'IVA y Tesorería'!$5:$5</definedName>
    <definedName name="_xlnm.Print_Titles" localSheetId="6">'Resumen'!$5:$5</definedName>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
  </numFmts>
  <fonts count="8">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165" fontId="0" fillId="0" borderId="0" pivotButton="0" quotePrefix="0" xfId="0"/>
    <xf numFmtId="166" fontId="0" fillId="2" borderId="0" applyProtection="1" pivotButton="0" quotePrefix="0" xfId="0">
      <protection locked="0" hidden="0"/>
    </xf>
    <xf numFmtId="3" fontId="0" fillId="2" borderId="0" applyProtection="1" pivotButton="0" quotePrefix="0" xfId="0">
      <protection locked="0" hidden="0"/>
    </xf>
    <xf numFmtId="0" fontId="3" fillId="0" borderId="0" pivotButton="0" quotePrefix="0" xfId="0"/>
    <xf numFmtId="3" fontId="0" fillId="0" borderId="0" pivotButton="0" quotePrefix="0" xfId="0"/>
    <xf numFmtId="166" fontId="0" fillId="0" borderId="0" pivotButton="0" quotePrefix="0" xfId="0"/>
    <xf numFmtId="165" fontId="6" fillId="4" borderId="0" pivotButton="0" quotePrefix="0" xfId="0"/>
    <xf numFmtId="165" fontId="3" fillId="0" borderId="0" pivotButton="0" quotePrefix="0" xfId="0"/>
    <xf numFmtId="4" fontId="0" fillId="2" borderId="0" applyProtection="1" pivotButton="0" quotePrefix="0" xfId="0">
      <protection locked="0" hidden="0"/>
    </xf>
    <xf numFmtId="0" fontId="7" fillId="0" borderId="0" applyAlignment="1" pivotButton="0" quotePrefix="0" xfId="0">
      <alignment horizontal="general" vertical="top" wrapText="1"/>
    </xf>
    <xf numFmtId="165" fontId="7" fillId="0" borderId="0" pivotButton="0" quotePrefix="0" xfId="0"/>
    <xf numFmtId="0" fontId="3" fillId="0" borderId="0" applyAlignment="1" pivotButton="0" quotePrefix="0" xfId="0">
      <alignment horizontal="general" vertical="top" wrapText="1"/>
    </xf>
    <xf numFmtId="0" fontId="6" fillId="4" borderId="0" pivotButton="0" quotePrefix="0" xfId="0"/>
    <xf numFmtId="164" fontId="0"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14" authorId="0" shapeId="0">
      <text>
        <t>Verificado el 10-09-2026 · Ley 37/1992 del IVA, arts. 91.Uno.1.1.º y 91.Dos.1.1.º (texto consolidado, última modificación 28-02-2026) · https://www.boe.es/buscar/act.php?id=BOE-A-1992-28740</t>
      </text>
    </comment>
  </commentList>
</comments>
</file>

<file path=xl/comments/comment2.xml><?xml version="1.0" encoding="utf-8"?>
<comments xmlns="http://schemas.openxmlformats.org/spreadsheetml/2006/main">
  <authors>
    <author>AI Chef Pro</author>
  </authors>
  <commentList>
    <comment ref="O11" authorId="0" shapeId="0">
      <text>
        <t>Verificado el 10-09-2026 · RD 1021/2022, art. 5 (texto consolidado) · https://www.boe.es/buscar/act.php?id=BOE-A-2022-21681</t>
      </text>
    </comment>
    <comment ref="O17" authorId="0" shapeId="0">
      <text>
        <t>Verificado el 10-09-2026 · RD 1027/2007 (RITE), IT 1.1.4.2.5 «Aire de extracción» (texto consolidado, última modificación 02-08-2022) · https://www.boe.es/buscar/act.php?id=BOE-A-2007-15820</t>
      </text>
    </comment>
    <comment ref="O25" authorId="0" shapeId="0">
      <text>
        <t>Verificado el 10-09-2026 · RD 1007/2023, disposición final cuarta y arts. 3.1 y 3.2 del Reglamento (texto consolidado, última modificación 03-12-2025 por el RD-ley 15/2025) · https://www.boe.es/buscar/act.php?id=BOE-A-2023-24840</t>
      </text>
    </comment>
    <comment ref="O32" authorId="0" shapeId="0">
      <text>
        <t>Verificado el 10-09-2026 · DECRETO 26/2026, de 25 de marzo, del Consejo de Gobierno (Comunidad de Madrid), arts. 6, 8.1, 9.1, D.T. única y D.F. segunda. BOCM núm. 73 · https://www.bocm.es/boletin/CM_Orden_BOCM/2026/03/27/BOCM-20260327-1.PDF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46" customWidth="1" min="1" max="1"/>
    <col width="46" customWidth="1" min="2" max="2"/>
    <col width="46" customWidth="1" min="3" max="3"/>
  </cols>
  <sheetData>
    <row r="1" ht="30" customHeight="1">
      <c r="A1" s="1" t="inlineStr">
        <is>
          <t>Calculadora de inversión inicial (CAPEX)</t>
        </is>
      </c>
    </row>
    <row r="2">
      <c r="A2" t="inlineStr">
        <is>
          <t>AI Chef Pro · aichef.pro — Cómo Montar una Pastelería</t>
        </is>
      </c>
    </row>
    <row r="3">
      <c r="A3" s="2" t="inlineStr">
        <is>
          <t>Para qué sirve: saber cuánto dinero necesitas de verdad para abrir, y si sale mejor un traspaso o una obra nueva.</t>
        </is>
      </c>
    </row>
    <row r="4"/>
    <row r="5">
      <c r="A5" s="3" t="inlineStr">
        <is>
          <t>Instrucciones de uso</t>
        </is>
      </c>
    </row>
    <row r="6" ht="62" customHeight="1">
      <c r="A6" s="4" t="inlineStr">
        <is>
          <t>1. Hoja «Parámetros»: los metros del local, los tres precios por m2 de obra, el escenario que eliges, los meses de colchón y los tipos de IVA. Todo lo que calcula el libro sale de aquí.</t>
        </is>
      </c>
    </row>
    <row r="7" ht="62" customHeight="1">
      <c r="A7" s="4" t="inlineStr">
        <is>
          <t>2. Hoja «CAPEX por Bloque»: una fila por partida. Escribe el mínimo y el máximo que te hayan presupuestado y el importe con el que trabajas, di si ESE importe lleva IVA y a qué tipo, y marca «No» en lo que no vayas a comprar. La hoja lleva todo a base imponible antes de sumar, que es la única forma de que el total signifique algo.</t>
        </is>
      </c>
    </row>
    <row r="8" ht="62" customHeight="1">
      <c r="A8" s="4" t="inlineStr">
        <is>
          <t>3. Hoja «Variante del Formato»: tu pastelería puede no ser la del ejemplo. Diez formatos con un coeficiente editable por bloque sobre el caso central, y al lado el rango de inversión que publica el sector, para que veas si tu cuenta y la suya se parecen.</t>
        </is>
      </c>
    </row>
    <row r="9" ht="62" customHeight="1">
      <c r="A9" s="4" t="inlineStr">
        <is>
          <t>4. Hoja «Traspaso vs Obra Nueva»: el precio del traspaso no es lo que cuesta el traspaso. Mete la renta de los dos casos, los meses que estarás parado en cada uno y los años del contrato, y compara el coste completo. Abajo, quince traspasos reales para que veas la horquilla.</t>
        </is>
      </c>
    </row>
    <row r="10" ht="62" customHeight="1">
      <c r="A10" s="4" t="inlineStr">
        <is>
          <t>5. Hoja «IVA y Tesorería»: cuánto IVA adelantas, cuándo vuelve y cuánta caja tienes que tener el día que abres. Es la hoja que más sorprende: el IVA de la inversión es dinero que sale de tu bolsillo meses antes de volver.</t>
        </is>
      </c>
    </row>
    <row r="11" ht="62" customHeight="1">
      <c r="A11" s="4" t="inlineStr">
        <is>
          <t>6. Hoja «Resumen»: las quince cifras que hay que llevar al banco, todas calculadas desde las hojas anteriores.</t>
        </is>
      </c>
    </row>
    <row r="12"/>
    <row r="13">
      <c r="A13" s="5" t="inlineStr">
        <is>
          <t>Celdas verdes = campos editables</t>
        </is>
      </c>
    </row>
    <row r="14"/>
    <row r="15">
      <c r="A15" s="3" t="inlineStr">
        <is>
          <t>Lo que conviene saber antes de empezar</t>
        </is>
      </c>
    </row>
    <row r="16" ht="68" customHeight="1">
      <c r="A16" s="4" t="inlineStr">
        <is>
          <t>LA COLUMNA «¿EL PRECIO LLEVA IVA?» ES LA QUE HACE QUE LA SUMA SIRVA. Unos distribuidores publican con IVA y otros sin él, y hay fichas que no lo dicen. Sumar los dos tipos de precio desvía la inversión un 21 % y no lo ve nadie, porque el total sale «razonable». Aquí cada línea declara su base y la hoja las lleva todas a base imponible antes de sumar.</t>
        </is>
      </c>
    </row>
    <row r="17" ht="68" customHeight="1">
      <c r="A17" s="4" t="inlineStr">
        <is>
          <t>LO QUE NO TIENE PRECIO PUBLICADO VIENE MARCADO «SUPUESTO». Fermentación, frío de conservación, mobiliario, TPV, packaging, fianza y fondo de maniobra no se venden por catálogo: se presupuestan. La celda trae un valor por defecto para que el libro funcione desde el primer minuto, y la columna «horquilla publicada» te dice si existe algún rango de referencia y de dónde sale. Pide tres presupuestos y sustitúyelo.</t>
        </is>
      </c>
    </row>
    <row r="18" ht="68" customHeight="1">
      <c r="A18" s="4" t="inlineStr">
        <is>
          <t>EL PRECIO DE UN TRASPASO NO ES LO QUE CUESTA UN TRASPASO. Los quince de la tabla son precios PEDIDOS en anuncios leídos el 10-09-2026, no precios pagados, y ninguno viene con su cuenta de resultados. Sirven para ver la horquilla y para negociar, nunca para valorar un negocio.</t>
        </is>
      </c>
    </row>
    <row r="19" ht="68" customHeight="1">
      <c r="A19" s="4" t="inlineStr">
        <is>
          <t>EL FONDO DE MANIOBRA ES PARTE DE LA INVERSIÓN. Cuatro meses de gastos fijos en caja el día que abres no son prudencia: son la diferencia entre aguantar la rampa de arranque y cerrar en el mes ocho con el negocio funcionando. Va dentro del CAPEX, y por eso el total de este libro es más alto que cualquier presupuesto de obra y maquinaria.</t>
        </is>
      </c>
    </row>
    <row r="20" ht="68" customHeight="1">
      <c r="A20" s="4" t="inlineStr">
        <is>
          <t>LA FIANZA NO ES UN GASTO Y EL PACKAGING TAMPOCO ES INVERSIÓN. La primera es un depósito que vuelve; el segundo son existencias. Los dos hay que tenerlos el día de la firma, así que están en el CAPEX, pero salen de la comparación con los presupuestos de obra y equipamiento que publica el sector: si no, estarías comparando dos cosas distintas.</t>
        </is>
      </c>
    </row>
    <row r="21"/>
    <row r="22">
      <c r="A22" s="3" t="inlineStr">
        <is>
          <t>Dónde acaba este libro y dónde sigue otro</t>
        </is>
      </c>
    </row>
    <row r="23" ht="26" customHeight="1">
      <c r="A23" s="6" t="inlineStr">
        <is>
          <t>Lo que necesitas</t>
        </is>
      </c>
      <c r="B23" s="6" t="inlineStr">
        <is>
          <t>Dónde está</t>
        </is>
      </c>
      <c r="C23" s="6" t="inlineStr">
        <is>
          <t>Por qué no está aquí</t>
        </is>
      </c>
    </row>
    <row r="24" ht="56" customHeight="1">
      <c r="A24" s="4" t="inlineStr">
        <is>
          <t>A quién compras cada máquina, a qué precio negociado y con qué plazo de entrega</t>
        </is>
      </c>
      <c r="B24" s="4" t="inlineStr">
        <is>
          <t>Libro 7: checklist-equipamiento-y-proveedores.xlsx</t>
        </is>
      </c>
      <c r="C24" s="4" t="inlineStr">
        <is>
          <t>Aquí la máquina entra sólo por su importe. El plazo de entrega no cambia el CAPEX; cambia la fecha de apertura, y eso es el libro 6.</t>
        </is>
      </c>
    </row>
    <row r="25" ht="56" customHeight="1">
      <c r="A25" s="4" t="inlineStr">
        <is>
          <t>El P&amp;L a tres años, la tesorería mes a mes y el cuadro de la deuda</t>
        </is>
      </c>
      <c r="B25" s="4" t="inlineStr">
        <is>
          <t>Libro 5: plan-financiero-3-anos-pasteleria.xlsx</t>
        </is>
      </c>
      <c r="C25" s="4" t="inlineStr">
        <is>
          <t>De ese libro sale el gasto fijo mensual de verdad. Aquí entra como un parámetro con valor por defecto, sólo para calcular el fondo de maniobra.</t>
        </is>
      </c>
    </row>
    <row r="26" ht="56" customHeight="1">
      <c r="A26" s="4" t="inlineStr">
        <is>
          <t>Si ese local sirve y cuántas piezas al día aguanta el equipo</t>
        </is>
      </c>
      <c r="B26" s="4" t="inlineStr">
        <is>
          <t>Libro 1: capacidad-obrador-y-local.xlsx</t>
        </is>
      </c>
      <c r="C26" s="4" t="inlineStr">
        <is>
          <t>Comprar bien empieza por saber qué necesitas, no cuánto cuesta. Los dos libros comparten los mismos 90 m2 y la misma columna de IVA.</t>
        </is>
      </c>
    </row>
    <row r="27" ht="56" customHeight="1">
      <c r="A27" s="4" t="inlineStr">
        <is>
          <t>Qué papeles te tocan, en qué orden y cuándo abres</t>
        </is>
      </c>
      <c r="B27" s="4" t="inlineStr">
        <is>
          <t>Libro 6: checklist-legal-y-licencias.xlsx</t>
        </is>
      </c>
      <c r="C27" s="4" t="inlineStr">
        <is>
          <t>Las tasas y el proyecto técnico están aquí como importe; el procedimiento y el calendario, allí.</t>
        </is>
      </c>
    </row>
    <row r="28" ht="56" customHeight="1">
      <c r="A28" s="7" t="inlineStr">
        <is>
          <t>Es COPIA declarada, no vínculo: en toda la guía no hay ni una fórmula que apunte a otro fichero. Donde una celda verde traería un dato de otro libro o del Kit de Tareas Pastelería, viene con un valor por defecto propio, declarado como supuesto, y su nota te dice qué lo sustituye.</t>
        </is>
      </c>
    </row>
    <row r="29"/>
    <row r="30">
      <c r="A30" s="3" t="inlineStr">
        <is>
          <t>Cada cuánto se usa este libro</t>
        </is>
      </c>
    </row>
    <row r="31" ht="44" customHeight="1">
      <c r="A31" s="4" t="inlineStr">
        <is>
          <t>Cadencia: se rellena UNA VEZ al preparar el plan y se revisa cada vez que entra un presupuesto nuevo, hasta la firma. Después de abrir sólo se vuelve a él para comparar lo presupuestado con lo gastado de verdad, que es lo que enseña a presupuestar el siguiente.</t>
        </is>
      </c>
    </row>
    <row r="32"/>
    <row r="33">
      <c r="A33" s="4" t="inlineStr">
        <is>
          <t>Para editar la estructura o una celda que no esté en verde: Revisar &gt; Desproteger hoja (no tiene contraseña).</t>
        </is>
      </c>
    </row>
    <row r="34"/>
    <row r="35">
      <c r="A35" s="4" t="inlineStr">
        <is>
          <t>Diseñado por John Guerrero — chef y consultor gastronómico desde 2010, en cocina desde los 17 años.</t>
        </is>
      </c>
    </row>
    <row r="36">
      <c r="A36" s="4"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28:C28"/>
    <mergeCell ref="A16:C16"/>
    <mergeCell ref="A35:C35"/>
    <mergeCell ref="A9:C9"/>
    <mergeCell ref="A7:C7"/>
    <mergeCell ref="A18:C18"/>
    <mergeCell ref="A19:C19"/>
    <mergeCell ref="A31:C31"/>
    <mergeCell ref="A36:C36"/>
    <mergeCell ref="A8:C8"/>
    <mergeCell ref="A11:C11"/>
    <mergeCell ref="A33:C33"/>
    <mergeCell ref="A20:C20"/>
    <mergeCell ref="A17:C1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selection activeCell="A1" sqref="A1"/>
    </sheetView>
  </sheetViews>
  <sheetFormatPr baseColWidth="8" defaultRowHeight="15"/>
  <cols>
    <col width="46" customWidth="1" min="1" max="1"/>
    <col width="16" customWidth="1" min="2" max="2"/>
    <col width="18" customWidth="1" min="3" max="3"/>
    <col width="20" customWidth="1" min="4" max="4"/>
    <col width="80" customWidth="1" min="5" max="5"/>
  </cols>
  <sheetData>
    <row r="1" ht="28" customHeight="1">
      <c r="A1" s="1" t="inlineStr">
        <is>
          <t>Parámetros</t>
        </is>
      </c>
    </row>
    <row r="2">
      <c r="A2" t="inlineStr">
        <is>
          <t>AI Chef Pro · aichef.pro — Cómo Montar una Pastelería</t>
        </is>
      </c>
    </row>
    <row r="3" ht="26" customHeight="1">
      <c r="A3" s="7" t="inlineStr">
        <is>
          <t>Cambia el escenario de obra y se recalcula el libro entero.</t>
        </is>
      </c>
    </row>
    <row r="4"/>
    <row r="5" ht="30" customHeight="1">
      <c r="A5" s="6" t="inlineStr">
        <is>
          <t>Parámetro</t>
        </is>
      </c>
      <c r="B5" s="6" t="inlineStr">
        <is>
          <t>Valor</t>
        </is>
      </c>
      <c r="C5" s="6" t="inlineStr">
        <is>
          <t>Unidad</t>
        </is>
      </c>
      <c r="D5" s="6" t="inlineStr">
        <is>
          <t>Procedencia</t>
        </is>
      </c>
      <c r="E5" s="6" t="inlineStr">
        <is>
          <t>Qué es y de dónde sale</t>
        </is>
      </c>
    </row>
    <row r="6" ht="46" customHeight="1">
      <c r="A6" s="4" t="inlineStr">
        <is>
          <t>Superficie total del local</t>
        </is>
      </c>
      <c r="B6" s="8" t="n">
        <v>90</v>
      </c>
      <c r="C6" t="inlineStr">
        <is>
          <t>m2</t>
        </is>
      </c>
      <c r="D6" t="inlineStr">
        <is>
          <t>D22 + PS-85a + PS-85b + PS-85c</t>
        </is>
      </c>
      <c r="E6" s="4" t="inlineStr">
        <is>
          <t>Los mismos 90 m2 del libro 1. Es la superficie del caso publicado sobre la que casan los tres escenarios de obra: con 110 m2 el escenario medio se iría a 99.000 € y toda la comparación cambiaría.</t>
        </is>
      </c>
    </row>
    <row r="7" ht="46" customHeight="1">
      <c r="A7" s="4" t="inlineStr">
        <is>
          <t>Obra civil, escenario bajo</t>
        </is>
      </c>
      <c r="B7" s="9" t="n">
        <v>600</v>
      </c>
      <c r="C7" t="inlineStr">
        <is>
          <t>€/m2</t>
        </is>
      </c>
      <c r="D7" t="inlineStr">
        <is>
          <t>PS-85a</t>
        </is>
      </c>
      <c r="E7" s="4" t="inlineStr">
        <is>
          <t>Local que ya venía de un uso alimentario y sólo hay que adecuar.</t>
        </is>
      </c>
    </row>
    <row r="8" ht="46" customHeight="1">
      <c r="A8" s="4" t="inlineStr">
        <is>
          <t>Obra civil, escenario medio</t>
        </is>
      </c>
      <c r="B8" s="9" t="n">
        <v>900</v>
      </c>
      <c r="C8" t="inlineStr">
        <is>
          <t>€/m2</t>
        </is>
      </c>
      <c r="D8" t="inlineStr">
        <is>
          <t>PS-85b</t>
        </is>
      </c>
      <c r="E8" s="4" t="inlineStr">
        <is>
          <t>Local diáfano en bruto: instalaciones nuevas, sin sorpresas estructurales. Es el escenario de referencia.</t>
        </is>
      </c>
    </row>
    <row r="9" ht="46" customHeight="1">
      <c r="A9" s="4" t="inlineStr">
        <is>
          <t>Obra civil, escenario alto</t>
        </is>
      </c>
      <c r="B9" s="9" t="n">
        <v>1200</v>
      </c>
      <c r="C9" t="inlineStr">
        <is>
          <t>€/m2</t>
        </is>
      </c>
      <c r="D9" t="inlineStr">
        <is>
          <t>PS-85c</t>
        </is>
      </c>
      <c r="E9" s="4" t="inlineStr">
        <is>
          <t>Local con refuerzos, acometidas nuevas, patinillo de humos que hay que abrir o protección del edificio.</t>
        </is>
      </c>
    </row>
    <row r="10" ht="46" customHeight="1">
      <c r="A10" s="4" t="inlineStr">
        <is>
          <t>Escenario de obra elegido</t>
        </is>
      </c>
      <c r="B10" s="5" t="inlineStr">
        <is>
          <t>Medio</t>
        </is>
      </c>
      <c r="C10" t="inlineStr">
        <is>
          <t>Bajo, Medio o Alto</t>
        </is>
      </c>
      <c r="D10" t="inlineStr">
        <is>
          <t>supuesto</t>
        </is>
      </c>
      <c r="E10" s="4" t="inlineStr">
        <is>
          <t>Cámbialo y se recalculan la obra civil, el CAPEX, la comparación con el traspaso y el IVA soportado.</t>
        </is>
      </c>
    </row>
    <row r="11" ht="46" customHeight="1">
      <c r="A11" s="4" t="inlineStr">
        <is>
          <t>Precio por m2 aplicado</t>
        </is>
      </c>
      <c r="B11" s="10">
        <f>IF(B10="","",IF(B10="Bajo",B7,IF(B10="Alto",B9,IF(B10="Medio",B8,""))))</f>
        <v>900.0</v>
      </c>
      <c r="C11" t="inlineStr">
        <is>
          <t>€/m2</t>
        </is>
      </c>
      <c r="D11" t="inlineStr">
        <is>
          <t>Se calcula</t>
        </is>
      </c>
      <c r="E11" s="4" t="inlineStr">
        <is>
          <t>El del escenario que hayas elegido arriba.</t>
        </is>
      </c>
    </row>
    <row r="12" ht="46" customHeight="1">
      <c r="A12" s="4" t="inlineStr">
        <is>
          <t>Obra civil calculada</t>
        </is>
      </c>
      <c r="B12" s="10">
        <f>IFERROR(B6*B11,"")</f>
        <v>81000.0</v>
      </c>
      <c r="C12" t="inlineStr">
        <is>
          <t>€</t>
        </is>
      </c>
      <c r="D12" t="inlineStr">
        <is>
          <t>Se calcula</t>
        </is>
      </c>
      <c r="E12" s="4" t="inlineStr">
        <is>
          <t>Superficie × precio por m2. Es la única partida del CAPEX que no se teclea: sale del escenario.</t>
        </is>
      </c>
    </row>
    <row r="13" ht="46" customHeight="1">
      <c r="A13" s="4" t="inlineStr">
        <is>
          <t>IVA general</t>
        </is>
      </c>
      <c r="B13" s="11" t="n">
        <v>0.21</v>
      </c>
      <c r="C13" t="inlineStr">
        <is>
          <t>%</t>
        </is>
      </c>
      <c r="D13" t="inlineStr">
        <is>
          <t>art. 90.Uno de la Ley 37/1992</t>
        </is>
      </c>
      <c r="E13" s="4" t="inlineStr">
        <is>
          <t>Tipo general: obra, equipamiento, mobiliario, proyecto y marketing. Es el valor por defecto de la columna «tipo de IVA» de cada línea, pero cada línea tiene el suyo.</t>
        </is>
      </c>
    </row>
    <row r="14" ht="46" customHeight="1">
      <c r="A14" s="4" t="inlineStr">
        <is>
          <t>IVA de la pastelería que vas a vender</t>
        </is>
      </c>
      <c r="B14" s="11" t="n">
        <v>0.1</v>
      </c>
      <c r="C14" t="inlineStr">
        <is>
          <t>%</t>
        </is>
      </c>
      <c r="D14" t="inlineStr">
        <is>
          <t>PA-36</t>
        </is>
      </c>
      <c r="E14" s="4" t="inlineStr">
        <is>
          <t>No entra en el CAPEX: está aquí porque es el IVA que repercutirás y contra el que se compensa el que adelantas ahora. Bollería, pastelería, confitería y repostería van al 10 % por la regla general de alimentos.</t>
        </is>
      </c>
    </row>
    <row r="15" ht="46" customHeight="1">
      <c r="A15" s="4" t="inlineStr">
        <is>
          <t>IVA de tasas y trámites</t>
        </is>
      </c>
      <c r="B15" s="11" t="n">
        <v>0</v>
      </c>
      <c r="C15" t="inlineStr">
        <is>
          <t>%</t>
        </is>
      </c>
      <c r="D15" t="inlineStr">
        <is>
          <t>supuesto</t>
        </is>
      </c>
      <c r="E15" s="4" t="inlineStr">
        <is>
          <t>Las tasas municipales y la comunicación al registro autonómico no llevan IVA. Se declara como parámetro para que la columna de la hoja de CAPEX no tenga que hacer una excepción escondida.</t>
        </is>
      </c>
    </row>
    <row r="16" ht="46" customHeight="1">
      <c r="A16" s="4" t="inlineStr">
        <is>
          <t>Meses de colchón de tesorería</t>
        </is>
      </c>
      <c r="B16" s="12" t="n">
        <v>4</v>
      </c>
      <c r="C16" t="inlineStr">
        <is>
          <t>meses</t>
        </is>
      </c>
      <c r="D16" t="inlineStr">
        <is>
          <t>supuesto</t>
        </is>
      </c>
      <c r="E16" s="4" t="inlineStr">
        <is>
          <t>Meses de gastos fijos que tienes que tener en caja el día que abres. Es una partida del CAPEX, no una propina: sin ella, el negocio depende de facturar desde el primer día, que es justo lo que no pasa.</t>
        </is>
      </c>
    </row>
    <row r="17" ht="46" customHeight="1">
      <c r="A17" s="4" t="inlineStr">
        <is>
          <t>Colchón mínimo aceptable antes de avisar (meses)</t>
        </is>
      </c>
      <c r="B17" s="12" t="n">
        <v>3</v>
      </c>
      <c r="C17" t="inlineStr">
        <is>
          <t>meses</t>
        </is>
      </c>
      <c r="D17" t="inlineStr">
        <is>
          <t>supuesto</t>
        </is>
      </c>
      <c r="E17" s="4" t="inlineStr">
        <is>
          <t>Umbral del veredicto de caja de más abajo. Si tu banco exige más, súbelo aquí; no lo cambies confundiéndolo con los meses que de verdad dotas arriba.</t>
        </is>
      </c>
    </row>
    <row r="18" ht="46" customHeight="1">
      <c r="A18" s="4" t="inlineStr">
        <is>
          <t>Gastos fijos mensuales estimados</t>
        </is>
      </c>
      <c r="B18" s="9" t="n">
        <v>15562.21</v>
      </c>
      <c r="C18" t="inlineStr">
        <is>
          <t>€/mes</t>
        </is>
      </c>
      <c r="D18" t="inlineStr">
        <is>
          <t>supuesto</t>
        </is>
      </c>
      <c r="E18" s="4" t="inlineStr">
        <is>
          <t>Personal con Seguridad Social, retribución del propietario, alquiler, suministros, seguros, gestoría, amortización e intereses DEL AÑO 1 (la carga máxima, antes de que corra la carencia). Es un valor por defecto para que el fondo de maniobra tenga un número: el cálculo bueno, mes a mes -con el interés del año de crucero, más bajo-, es el libro 5 (plan-financiero-3-anos-pasteleria.xlsx). Por eso el CAPEX y el fondo de maniobra de este libro difieren en unos 134 € de los del libro 5: para citar la INVERSIÓN TOTAL, usa siempre el libro 5, no éste.</t>
        </is>
      </c>
    </row>
    <row r="19" ht="46" customHeight="1">
      <c r="A19" s="4" t="inlineStr">
        <is>
          <t>Fondo de maniobra calculado</t>
        </is>
      </c>
      <c r="B19" s="10">
        <f>IFERROR(B16*B18,"")</f>
        <v>62248.84</v>
      </c>
      <c r="C19" t="inlineStr">
        <is>
          <t>€</t>
        </is>
      </c>
      <c r="D19" t="inlineStr">
        <is>
          <t>Se calcula</t>
        </is>
      </c>
      <c r="E19" s="4" t="inlineStr">
        <is>
          <t>Meses de colchón × gastos fijos mensuales.</t>
        </is>
      </c>
    </row>
    <row r="20" ht="46" customHeight="1">
      <c r="A20" s="4" t="inlineStr">
        <is>
          <t>Renta mensual del local</t>
        </is>
      </c>
      <c r="B20" s="9" t="n">
        <v>1200</v>
      </c>
      <c r="C20" t="inlineStr">
        <is>
          <t>€/mes</t>
        </is>
      </c>
      <c r="D20" t="inlineStr">
        <is>
          <t>supuesto</t>
        </is>
      </c>
      <c r="E20" s="4" t="inlineStr">
        <is>
          <t>Supuesto para una ciudad media. Los cinco traspasos de Barcelona de PS-69 se mueven entre 850 y 1.300 €/mes para 63-85 m²; aquí se toma la parte baja porque Barcelona no es una ciudad media.</t>
        </is>
      </c>
    </row>
    <row r="21" ht="46" customHeight="1">
      <c r="A21" s="4" t="inlineStr">
        <is>
          <t>Meses de fianza</t>
        </is>
      </c>
      <c r="B21" s="12" t="n">
        <v>2</v>
      </c>
      <c r="C21" t="inlineStr">
        <is>
          <t>meses</t>
        </is>
      </c>
      <c r="D21" t="inlineStr">
        <is>
          <t>supuesto</t>
        </is>
      </c>
      <c r="E21" s="4" t="inlineStr">
        <is>
          <t>La fianza no es un gasto: es un depósito que se recupera. Va en el CAPEX porque hay que tenerla el día de la firma.</t>
        </is>
      </c>
    </row>
    <row r="22" ht="46" customHeight="1">
      <c r="A22" s="4" t="inlineStr">
        <is>
          <t>Horizonte de comparación</t>
        </is>
      </c>
      <c r="B22" s="12" t="n">
        <v>5</v>
      </c>
      <c r="C22" t="inlineStr">
        <is>
          <t>años</t>
        </is>
      </c>
      <c r="D22" t="inlineStr">
        <is>
          <t>supuesto</t>
        </is>
      </c>
      <c r="E22" s="4" t="inlineStr">
        <is>
          <t>Años sobre los que se compara el traspaso con la obra nueva. Cinco es lo habitual de un contrato con obligado cumplimiento; ponle los del tuyo.</t>
        </is>
      </c>
    </row>
    <row r="23" ht="46" customHeight="1">
      <c r="A23" s="4" t="inlineStr">
        <is>
          <t>Periodicidad de la declaración de IVA</t>
        </is>
      </c>
      <c r="B23" s="12" t="n">
        <v>3</v>
      </c>
      <c r="C23" t="inlineStr">
        <is>
          <t>meses</t>
        </is>
      </c>
      <c r="D23" t="inlineStr">
        <is>
          <t>supuesto</t>
        </is>
      </c>
      <c r="E23" s="4" t="inlineStr">
        <is>
          <t>Trimestral en el régimen general de una pastelería que arranca. Si te inscribes en el registro de devolución mensual, esto es 1 y el IVA de la inversión vuelve mucho antes.</t>
        </is>
      </c>
    </row>
    <row r="24" ht="46" customHeight="1">
      <c r="A24" s="4" t="inlineStr">
        <is>
          <t>Meses hasta recuperar el IVA de la inversión</t>
        </is>
      </c>
      <c r="B24" s="12" t="n">
        <v>4</v>
      </c>
      <c r="C24" t="inlineStr">
        <is>
          <t>meses</t>
        </is>
      </c>
      <c r="D24" t="inlineStr">
        <is>
          <t>supuesto</t>
        </is>
      </c>
      <c r="E24" s="4" t="inlineStr">
        <is>
          <t>El trimestre en el que compras más el plazo de presentación. Y ojo: en régimen general lo normal no es que te lo devuelvan, es que lo compenses contra el IVA que repercutes, así que tarda lo que tardes en facturar.</t>
        </is>
      </c>
    </row>
    <row r="25" ht="46" customHeight="1">
      <c r="A25" s="4" t="inlineStr">
        <is>
          <t>Financiación bancaria disponible</t>
        </is>
      </c>
      <c r="B25" s="9" t="n">
        <v>60000</v>
      </c>
      <c r="C25" t="inlineStr">
        <is>
          <t>€</t>
        </is>
      </c>
      <c r="D25" t="inlineStr">
        <is>
          <t>supuesto</t>
        </is>
      </c>
      <c r="E25" s="4" t="inlineStr">
        <is>
          <t>Todo supuesto: las condiciones las pone tu banco y dependen de la garantía. La carencia de 6 meses es la que hace que el préstamo no se coma la caja justo en la rampa de arranque, y es lo primero que hay que negociar. Durante la carencia sólo se pagan intereses.</t>
        </is>
      </c>
    </row>
    <row r="26"/>
    <row r="27">
      <c r="A27" s="3" t="inlineStr">
        <is>
          <t>Listas de validación (no las borres: las usan los desplegables)</t>
        </is>
      </c>
    </row>
    <row r="28">
      <c r="A28" s="13" t="inlineStr">
        <is>
          <t>Escenario de obra</t>
        </is>
      </c>
    </row>
    <row r="29">
      <c r="A29" t="inlineStr">
        <is>
          <t>Bajo</t>
        </is>
      </c>
    </row>
    <row r="30">
      <c r="A30" t="inlineStr">
        <is>
          <t>Medio</t>
        </is>
      </c>
    </row>
    <row r="31">
      <c r="A31" t="inlineStr">
        <is>
          <t>Alto</t>
        </is>
      </c>
    </row>
    <row r="32"/>
    <row r="33" ht="44" customHeight="1">
      <c r="A33" s="7" t="inlineStr">
        <is>
          <t>Los tres precios por m2 son los del caso publicado de un escenario de 90 m2, así que casan con esta superficie sin retoques. Si cambias los metros, cambia la obra pero NO cambian los €/m2: pídelos otra vez, porque un local pequeño sale más caro por metro que uno grande.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3:E33"/>
  </mergeCells>
  <dataValidations count="1">
    <dataValidation sqref="B10" showDropDown="0" showInputMessage="0" showErrorMessage="1" allowBlank="0" errorTitle="Escenario de obra" error="Elige «Bajo», «Medio» o «Alto»." type="list">
      <formula1>=$A$29:$A$31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O61"/>
  <sheetViews>
    <sheetView workbookViewId="0">
      <selection activeCell="A1" sqref="A1"/>
    </sheetView>
  </sheetViews>
  <sheetFormatPr baseColWidth="8" defaultRowHeight="15"/>
  <cols>
    <col width="5" customWidth="1" min="1" max="1"/>
    <col width="27" customWidth="1" min="2" max="2"/>
    <col width="46" customWidth="1" min="3" max="3"/>
    <col width="12" customWidth="1" min="4" max="4"/>
    <col width="16" customWidth="1" min="5" max="5"/>
    <col width="13" customWidth="1" min="6" max="6"/>
    <col width="11" customWidth="1" min="7" max="7"/>
    <col width="14" customWidth="1" min="8" max="8"/>
    <col width="14" customWidth="1" min="9" max="9"/>
    <col width="14" customWidth="1" min="10" max="10"/>
    <col width="14" customWidth="1" min="11" max="11"/>
    <col width="14" customWidth="1" min="12" max="12"/>
    <col width="14" customWidth="1" min="13" max="13"/>
    <col width="34" customWidth="1" min="14" max="14"/>
    <col width="78" customWidth="1" min="15" max="15"/>
  </cols>
  <sheetData>
    <row r="1" ht="28" customHeight="1">
      <c r="A1" s="1" t="inlineStr">
        <is>
          <t>CAPEX Por Bloque</t>
        </is>
      </c>
    </row>
    <row r="2">
      <c r="A2" t="inlineStr">
        <is>
          <t>AI Chef Pro · aichef.pro — Cómo Montar una Pastelería</t>
        </is>
      </c>
    </row>
    <row r="3" ht="26" customHeight="1">
      <c r="A3" s="7" t="inlineStr">
        <is>
          <t>Todas las líneas se llevan a base imponible antes de sumar. Sin la columna de IVA, el total se desvía un 21 %.</t>
        </is>
      </c>
    </row>
    <row r="4"/>
    <row r="5" ht="48" customHeight="1">
      <c r="A5" s="6" t="inlineStr">
        <is>
          <t>Nº</t>
        </is>
      </c>
      <c r="B5" s="6" t="inlineStr">
        <is>
          <t>Bloque</t>
        </is>
      </c>
      <c r="C5" s="6" t="inlineStr">
        <is>
          <t>Partida</t>
        </is>
      </c>
      <c r="D5" s="6" t="inlineStr">
        <is>
          <t>¿La compras?</t>
        </is>
      </c>
      <c r="E5" s="6" t="inlineStr">
        <is>
          <t>Procedencia</t>
        </is>
      </c>
      <c r="F5" s="6" t="inlineStr">
        <is>
          <t>¿El precio lleva IVA?</t>
        </is>
      </c>
      <c r="G5" s="6" t="inlineStr">
        <is>
          <t>Tipo de IVA</t>
        </is>
      </c>
      <c r="H5" s="6" t="inlineStr">
        <is>
          <t>Mínimo</t>
        </is>
      </c>
      <c r="I5" s="6" t="inlineStr">
        <is>
          <t>Máximo</t>
        </is>
      </c>
      <c r="J5" s="6" t="inlineStr">
        <is>
          <t>Tu importe</t>
        </is>
      </c>
      <c r="K5" s="6" t="inlineStr">
        <is>
          <t>Base sin IVA</t>
        </is>
      </c>
      <c r="L5" s="6" t="inlineStr">
        <is>
          <t>IVA soportado</t>
        </is>
      </c>
      <c r="M5" s="6" t="inlineStr">
        <is>
          <t>Total con IVA</t>
        </is>
      </c>
      <c r="N5" s="6" t="inlineStr">
        <is>
          <t>Horquilla publicada</t>
        </is>
      </c>
      <c r="O5" s="6" t="inlineStr">
        <is>
          <t>Nota</t>
        </is>
      </c>
    </row>
    <row r="6" ht="48" customHeight="1">
      <c r="A6" s="14" t="n">
        <v>1</v>
      </c>
      <c r="B6" s="4" t="inlineStr">
        <is>
          <t>Obra civil e instalaciones</t>
        </is>
      </c>
      <c r="C6" s="4" t="inlineStr">
        <is>
          <t>Obra civil del escenario elegido</t>
        </is>
      </c>
      <c r="D6" s="5" t="inlineStr">
        <is>
          <t>Sí</t>
        </is>
      </c>
      <c r="E6" t="inlineStr">
        <is>
          <t>PS-85a/b/c</t>
        </is>
      </c>
      <c r="F6" s="5" t="inlineStr">
        <is>
          <t>No</t>
        </is>
      </c>
      <c r="G6" s="15">
        <f>'Parámetros'!$B$13</f>
        <v>0.21</v>
      </c>
      <c r="H6" s="10">
        <f>'Parámetros'!B12</f>
        <v>81000.0</v>
      </c>
      <c r="I6" s="10">
        <f>'Parámetros'!B12</f>
        <v>81000.0</v>
      </c>
      <c r="J6" s="10">
        <f>'Parámetros'!B12</f>
        <v>81000.0</v>
      </c>
      <c r="K6" s="10">
        <f>IF(D6="No","",IFERROR(IF(F6="Sí",J6/(1+G6),J6),""))</f>
        <v>81000.0</v>
      </c>
      <c r="L6" s="10">
        <f>IF(K6="","",IFERROR(K6*G6,""))</f>
        <v>17010.0</v>
      </c>
      <c r="M6" s="10">
        <f>IF(K6="","",IFERROR(K6+L6,""))</f>
        <v>98010.0</v>
      </c>
      <c r="N6" s="4" t="inlineStr">
        <is>
          <t>600, 900 o 1.200 €/m2 sobre 90 m2 (PS-85a/b/c)</t>
        </is>
      </c>
      <c r="O6" s="4" t="inlineStr">
        <is>
          <t>La calcula la hoja «Parámetros» con los metros y el escenario. Es la partida que más se desvía en la ejecución: lo que no está en el proyecto se paga aparte.</t>
        </is>
      </c>
    </row>
    <row r="7" ht="48" customHeight="1">
      <c r="A7" s="14" t="n">
        <v>2</v>
      </c>
      <c r="B7" s="4" t="inlineStr">
        <is>
          <t>Equipamiento de obrador</t>
        </is>
      </c>
      <c r="C7" s="4" t="inlineStr">
        <is>
          <t>Horno de convección, 6 bandejas — UNOX XB693 Bakerlux</t>
        </is>
      </c>
      <c r="D7" s="5" t="inlineStr">
        <is>
          <t>Sí</t>
        </is>
      </c>
      <c r="E7" t="inlineStr">
        <is>
          <t>PS-72</t>
        </is>
      </c>
      <c r="F7" s="5" t="inlineStr">
        <is>
          <t>Sí</t>
        </is>
      </c>
      <c r="G7" s="15">
        <f>'Parámetros'!$B$13</f>
        <v>0.21</v>
      </c>
      <c r="H7" s="9" t="n">
        <v>3354.12</v>
      </c>
      <c r="I7" s="9" t="n">
        <v>3354.12</v>
      </c>
      <c r="J7" s="9" t="n">
        <v>3354.12</v>
      </c>
      <c r="K7" s="10">
        <f>IF(D7="No","",IFERROR(IF(F7="Sí",J7/(1+G7),J7),""))</f>
        <v>2772.0</v>
      </c>
      <c r="L7" s="10">
        <f>IF(K7="","",IFERROR(K7*G7,""))</f>
        <v>582.12</v>
      </c>
      <c r="M7" s="10">
        <f>IF(K7="","",IFERROR(K7+L7,""))</f>
        <v>3354.12</v>
      </c>
      <c r="N7" s="4" t="inlineStr">
        <is>
          <t>Precio de ficha de distribuidor (PS-72)</t>
        </is>
      </c>
      <c r="O7" s="4" t="inlineStr">
        <is>
          <t>Precio publicado CON IVA en la ficha del distribuidor.</t>
        </is>
      </c>
    </row>
    <row r="8" ht="48" customHeight="1">
      <c r="A8" s="14" t="n">
        <v>3</v>
      </c>
      <c r="B8" s="4" t="inlineStr">
        <is>
          <t>Equipamiento de obrador</t>
        </is>
      </c>
      <c r="C8" s="4" t="inlineStr">
        <is>
          <t>Horno de convección, 4 bandejas — SMEG ALFA420E1HDS</t>
        </is>
      </c>
      <c r="D8" s="5" t="inlineStr">
        <is>
          <t>Sí</t>
        </is>
      </c>
      <c r="E8" t="inlineStr">
        <is>
          <t>PS-72</t>
        </is>
      </c>
      <c r="F8" s="5" t="inlineStr">
        <is>
          <t>Sí</t>
        </is>
      </c>
      <c r="G8" s="15">
        <f>'Parámetros'!$B$13</f>
        <v>0.21</v>
      </c>
      <c r="H8" s="9" t="n">
        <v>2513.41</v>
      </c>
      <c r="I8" s="9" t="n">
        <v>2513.41</v>
      </c>
      <c r="J8" s="9" t="n">
        <v>2513.41</v>
      </c>
      <c r="K8" s="10">
        <f>IF(D8="No","",IFERROR(IF(F8="Sí",J8/(1+G8),J8),""))</f>
        <v>2077.198347107438</v>
      </c>
      <c r="L8" s="10">
        <f>IF(K8="","",IFERROR(K8*G8,""))</f>
        <v>436.211652892562</v>
      </c>
      <c r="M8" s="10">
        <f>IF(K8="","",IFERROR(K8+L8,""))</f>
        <v>2513.4100000000003</v>
      </c>
      <c r="N8" s="4" t="inlineStr">
        <is>
          <t>Precio de ficha de distribuidor (PS-72)</t>
        </is>
      </c>
      <c r="O8" s="4" t="inlineStr">
        <is>
          <t>Segundo horno: sin él no hay dos cocciones a distinta temperatura a la vez.</t>
        </is>
      </c>
    </row>
    <row r="9" ht="48" customHeight="1">
      <c r="A9" s="14" t="n">
        <v>4</v>
      </c>
      <c r="B9" s="4" t="inlineStr">
        <is>
          <t>Tienda y vitrina</t>
        </is>
      </c>
      <c r="C9" s="4" t="inlineStr">
        <is>
          <t>Vitrina expositora pastelera refrigerada curva — Docriluc VEPD-9-15-C</t>
        </is>
      </c>
      <c r="D9" s="5" t="inlineStr">
        <is>
          <t>Sí</t>
        </is>
      </c>
      <c r="E9" t="inlineStr">
        <is>
          <t>PS-76</t>
        </is>
      </c>
      <c r="F9" s="5" t="inlineStr">
        <is>
          <t>No</t>
        </is>
      </c>
      <c r="G9" s="15">
        <f>'Parámetros'!$B$13</f>
        <v>0.21</v>
      </c>
      <c r="H9" s="9" t="n">
        <v>2284.1</v>
      </c>
      <c r="I9" s="9" t="n">
        <v>2284.1</v>
      </c>
      <c r="J9" s="9" t="n">
        <v>2284.1</v>
      </c>
      <c r="K9" s="10">
        <f>IF(D9="No","",IFERROR(IF(F9="Sí",J9/(1+G9),J9),""))</f>
        <v>2284.1</v>
      </c>
      <c r="L9" s="10">
        <f>IF(K9="","",IFERROR(K9*G9,""))</f>
        <v>479.66099999999994</v>
      </c>
      <c r="M9" s="10">
        <f>IF(K9="","",IFERROR(K9+L9,""))</f>
        <v>2763.761</v>
      </c>
      <c r="N9" s="4" t="inlineStr">
        <is>
          <t>Precio de ficha de distribuidor (PS-76)</t>
        </is>
      </c>
      <c r="O9" s="4" t="inlineStr">
        <is>
          <t>1505x900x1305 mm, 452 L, 0,93 m² de exposición, R-290. El precio lleva un descuento de campaña del 30 % sobre un PVP de 3.263,00 €: es un precio FECHADO el 10-09-2026 y puede caducar. Si lo reutilizas, vuelve a mirarlo (D17). Una sola vitrina, contada una sola vez.</t>
        </is>
      </c>
    </row>
    <row r="10" ht="48" customHeight="1">
      <c r="A10" s="14" t="n">
        <v>5</v>
      </c>
      <c r="B10" s="4" t="inlineStr">
        <is>
          <t>Tienda y vitrina</t>
        </is>
      </c>
      <c r="C10" s="4" t="inlineStr">
        <is>
          <t>Puertas correderas traseras para la vitrina — Docriluc accesorio VEPD-9-15</t>
        </is>
      </c>
      <c r="D10" s="5" t="inlineStr">
        <is>
          <t>No</t>
        </is>
      </c>
      <c r="E10" t="inlineStr">
        <is>
          <t>PS-77</t>
        </is>
      </c>
      <c r="F10" s="5" t="inlineStr">
        <is>
          <t>No</t>
        </is>
      </c>
      <c r="G10" s="15">
        <f>'Parámetros'!$B$13</f>
        <v>0.21</v>
      </c>
      <c r="H10" s="9" t="n">
        <v>120.4</v>
      </c>
      <c r="I10" s="9" t="n">
        <v>120.4</v>
      </c>
      <c r="J10" s="9" t="n">
        <v>120.4</v>
      </c>
      <c r="K10" s="10">
        <f>IF(D10="No","",IFERROR(IF(F10="Sí",J10/(1+G10),J10),""))</f>
        <v/>
      </c>
      <c r="L10" s="10">
        <f>IF(K10="","",IFERROR(K10*G10,""))</f>
        <v/>
      </c>
      <c r="M10" s="10">
        <f>IF(K10="","",IFERROR(K10+L10,""))</f>
        <v/>
      </c>
      <c r="N10" s="4" t="inlineStr">
        <is>
          <t>Precio de ficha de distribuidor (PS-77)</t>
        </is>
      </c>
      <c r="O10" s="4" t="inlineStr">
        <is>
          <t>OPCIONAL: viene con «¿la compras?» en No. Accesorio: no entra en el subtotal comparable de la dotación tipo.</t>
        </is>
      </c>
    </row>
    <row r="11" ht="48" customHeight="1">
      <c r="A11" s="14" t="n">
        <v>6</v>
      </c>
      <c r="B11" s="4" t="inlineStr">
        <is>
          <t>Equipamiento de obrador</t>
        </is>
      </c>
      <c r="C11" s="4" t="inlineStr">
        <is>
          <t>Abatidor de temperatura, 4 bandejas — Irinox gama Multifresh</t>
        </is>
      </c>
      <c r="D11" s="5" t="inlineStr">
        <is>
          <t>Sí</t>
        </is>
      </c>
      <c r="E11" t="inlineStr">
        <is>
          <t>PS-78</t>
        </is>
      </c>
      <c r="F11" s="5" t="inlineStr">
        <is>
          <t>No</t>
        </is>
      </c>
      <c r="G11" s="15">
        <f>'Parámetros'!$B$13</f>
        <v>0.21</v>
      </c>
      <c r="H11" s="9" t="n">
        <v>10037</v>
      </c>
      <c r="I11" s="9" t="n">
        <v>10037</v>
      </c>
      <c r="J11" s="9" t="n">
        <v>10037</v>
      </c>
      <c r="K11" s="10">
        <f>IF(D11="No","",IFERROR(IF(F11="Sí",J11/(1+G11),J11),""))</f>
        <v>10037.0</v>
      </c>
      <c r="L11" s="10">
        <f>IF(K11="","",IFERROR(K11*G11,""))</f>
        <v>2107.77</v>
      </c>
      <c r="M11" s="10">
        <f>IF(K11="","",IFERROR(K11+L11,""))</f>
        <v>12144.77</v>
      </c>
      <c r="N11" s="4" t="inlineStr">
        <is>
          <t>Precio de ficha de distribuidor (PS-78)</t>
        </is>
      </c>
      <c r="O11" s="4" t="inlineStr">
        <is>
          <t>La compra más cara y la que más se discute (decisión 2 del bonus 2). Ciclos de +85 °C a -40 °C. Un arcón doméstico NO vale como abatidor: el art. 5 del RD 1021/2022 exige potencia suficiente para llegar a -18 °C en el centro con un descenso ininterrumpido (PA-13).</t>
        </is>
      </c>
    </row>
    <row r="12" ht="48" customHeight="1">
      <c r="A12" s="14" t="n">
        <v>7</v>
      </c>
      <c r="B12" s="4" t="inlineStr">
        <is>
          <t>Equipamiento de obrador</t>
        </is>
      </c>
      <c r="C12" s="4" t="inlineStr">
        <is>
          <t>Laminadora automática de masa, hasta 40 cm — Sammic DF-40</t>
        </is>
      </c>
      <c r="D12" s="5" t="inlineStr">
        <is>
          <t>Sí</t>
        </is>
      </c>
      <c r="E12" t="inlineStr">
        <is>
          <t>PS-79</t>
        </is>
      </c>
      <c r="F12" s="5" t="inlineStr">
        <is>
          <t>No</t>
        </is>
      </c>
      <c r="G12" s="15">
        <f>'Parámetros'!$B$13</f>
        <v>0.21</v>
      </c>
      <c r="H12" s="9" t="n">
        <v>1215</v>
      </c>
      <c r="I12" s="9" t="n">
        <v>1215</v>
      </c>
      <c r="J12" s="9" t="n">
        <v>1215</v>
      </c>
      <c r="K12" s="10">
        <f>IF(D12="No","",IFERROR(IF(F12="Sí",J12/(1+G12),J12),""))</f>
        <v>1215.0</v>
      </c>
      <c r="L12" s="10">
        <f>IF(K12="","",IFERROR(K12*G12,""))</f>
        <v>255.14999999999998</v>
      </c>
      <c r="M12" s="10">
        <f>IF(K12="","",IFERROR(K12+L12,""))</f>
        <v>1470.15</v>
      </c>
      <c r="N12" s="4" t="inlineStr">
        <is>
          <t>Precio de ficha de distribuidor (PS-79)</t>
        </is>
      </c>
      <c r="O12" s="4" t="inlineStr">
        <is>
          <t>1.215,00 € sin IVA / 1.470,15 € con IVA, según la propia ficha.</t>
        </is>
      </c>
    </row>
    <row r="13" ht="48" customHeight="1">
      <c r="A13" s="14" t="n">
        <v>8</v>
      </c>
      <c r="B13" s="4" t="inlineStr">
        <is>
          <t>Equipamiento de obrador</t>
        </is>
      </c>
      <c r="C13" s="4" t="inlineStr">
        <is>
          <t>Batidora planetaria, 20 L — Sammic BP-20</t>
        </is>
      </c>
      <c r="D13" s="5" t="inlineStr">
        <is>
          <t>Sí</t>
        </is>
      </c>
      <c r="E13" t="inlineStr">
        <is>
          <t>PS-81</t>
        </is>
      </c>
      <c r="F13" s="5" t="inlineStr">
        <is>
          <t>No</t>
        </is>
      </c>
      <c r="G13" s="15">
        <f>'Parámetros'!$B$13</f>
        <v>0.21</v>
      </c>
      <c r="H13" s="9" t="n">
        <v>595.04</v>
      </c>
      <c r="I13" s="9" t="n">
        <v>595.04</v>
      </c>
      <c r="J13" s="9" t="n">
        <v>595.04</v>
      </c>
      <c r="K13" s="10">
        <f>IF(D13="No","",IFERROR(IF(F13="Sí",J13/(1+G13),J13),""))</f>
        <v>595.04</v>
      </c>
      <c r="L13" s="10">
        <f>IF(K13="","",IFERROR(K13*G13,""))</f>
        <v>124.95839999999998</v>
      </c>
      <c r="M13" s="10">
        <f>IF(K13="","",IFERROR(K13+L13,""))</f>
        <v>719.9984</v>
      </c>
      <c r="N13" s="4" t="inlineStr">
        <is>
          <t>Precio de ficha de distribuidor (PS-81)</t>
        </is>
      </c>
      <c r="O13" s="4" t="inlineStr">
        <is>
          <t>La ficha NO declara si el precio lleva IVA: se trata como base imponible y se marca. 900 W, 95-392 rpm, temporizador 0-99 min. La ficha NO declara si el precio lleva IVA: se trata como base imponible y se marca. Es exactamente el caso que obliga a tener la columna.</t>
        </is>
      </c>
    </row>
    <row r="14" ht="48" customHeight="1">
      <c r="A14" s="14" t="n">
        <v>9</v>
      </c>
      <c r="B14" s="4" t="inlineStr">
        <is>
          <t>Equipamiento de obrador</t>
        </is>
      </c>
      <c r="C14" s="4" t="inlineStr">
        <is>
          <t>Atemperadora de chocolate, 12 kg — Selmi One</t>
        </is>
      </c>
      <c r="D14" s="5" t="inlineStr">
        <is>
          <t>No</t>
        </is>
      </c>
      <c r="E14" t="inlineStr">
        <is>
          <t>PS-82</t>
        </is>
      </c>
      <c r="F14" s="5" t="inlineStr">
        <is>
          <t>No</t>
        </is>
      </c>
      <c r="G14" s="15">
        <f>'Parámetros'!$B$13</f>
        <v>0.21</v>
      </c>
      <c r="H14" s="9" t="n">
        <v>7400</v>
      </c>
      <c r="I14" s="9" t="n">
        <v>7400</v>
      </c>
      <c r="J14" s="9" t="n">
        <v>7400</v>
      </c>
      <c r="K14" s="10">
        <f>IF(D14="No","",IFERROR(IF(F14="Sí",J14/(1+G14),J14),""))</f>
        <v/>
      </c>
      <c r="L14" s="10">
        <f>IF(K14="","",IFERROR(K14*G14,""))</f>
        <v/>
      </c>
      <c r="M14" s="10">
        <f>IF(K14="","",IFERROR(K14+L14,""))</f>
        <v/>
      </c>
      <c r="N14" s="4" t="inlineStr">
        <is>
          <t>Precio de ficha de distribuidor (PS-82)</t>
        </is>
      </c>
      <c r="O14" s="4" t="inlineStr">
        <is>
          <t>OPCIONAL: viene con «¿la compras?» en No. OPCIONAL según el concepto: sólo si abres línea de bombonería o chocolatería. Por eso queda FUERA del subtotal comparable de la dotación tipo (D17): con ella dentro, un solo equipo era el 25 % del subtotal.</t>
        </is>
      </c>
    </row>
    <row r="15" ht="48" customHeight="1">
      <c r="A15" s="14" t="n">
        <v>10</v>
      </c>
      <c r="B15" s="4" t="inlineStr">
        <is>
          <t>Equipamiento de obrador</t>
        </is>
      </c>
      <c r="C15" s="4" t="inlineStr">
        <is>
          <t>Horno de pisos modular (deck) — Salva gama modular de 1 a 5 módulos</t>
        </is>
      </c>
      <c r="D15" s="5" t="inlineStr">
        <is>
          <t>No</t>
        </is>
      </c>
      <c r="E15" t="inlineStr">
        <is>
          <t>PS-73 + supuesto</t>
        </is>
      </c>
      <c r="F15" s="5" t="inlineStr">
        <is>
          <t>No</t>
        </is>
      </c>
      <c r="G15" s="15">
        <f>'Parámetros'!$B$13</f>
        <v>0.21</v>
      </c>
      <c r="H15" s="9" t="n">
        <v>12000</v>
      </c>
      <c r="I15" s="9" t="n">
        <v>12000</v>
      </c>
      <c r="J15" s="9" t="n">
        <v>12000</v>
      </c>
      <c r="K15" s="10">
        <f>IF(D15="No","",IFERROR(IF(F15="Sí",J15/(1+G15),J15),""))</f>
        <v/>
      </c>
      <c r="L15" s="10">
        <f>IF(K15="","",IFERROR(K15*G15,""))</f>
        <v/>
      </c>
      <c r="M15" s="10">
        <f>IF(K15="","",IFERROR(K15+L15,""))</f>
        <v/>
      </c>
      <c r="N15" s="4" t="inlineStr">
        <is>
          <t>Sin precio publicado: Salva vende por presupuesto (PS-73)</t>
        </is>
      </c>
      <c r="O15" s="4" t="inlineStr">
        <is>
          <t>OPCIONAL: viene con «¿la compras?» en No. SUPUESTO, no precio de ficha. Salva vende por distribuidor y presupuesto: no hay precio publicado. Bongard, Wiesheu, Miwe y Sveba Dahlen, igual. El valor por defecto es un SUPUESTO para que la celda no quede vacía: pide tres presupuestos.</t>
        </is>
      </c>
    </row>
    <row r="16" ht="48" customHeight="1">
      <c r="A16" s="14" t="n">
        <v>11</v>
      </c>
      <c r="B16" s="4" t="inlineStr">
        <is>
          <t>Equipamiento de obrador</t>
        </is>
      </c>
      <c r="C16" s="4" t="inlineStr">
        <is>
          <t>Cámara de fermentación controlada (roll-in)</t>
        </is>
      </c>
      <c r="D16" s="5" t="inlineStr">
        <is>
          <t>Sí</t>
        </is>
      </c>
      <c r="E16" t="inlineStr">
        <is>
          <t>PS-83 + supuesto</t>
        </is>
      </c>
      <c r="F16" s="5" t="inlineStr">
        <is>
          <t>No</t>
        </is>
      </c>
      <c r="G16" s="15">
        <f>'Parámetros'!$B$13</f>
        <v>0.21</v>
      </c>
      <c r="H16" s="9" t="n">
        <v>8500</v>
      </c>
      <c r="I16" s="9" t="n">
        <v>8500</v>
      </c>
      <c r="J16" s="9" t="n">
        <v>8500</v>
      </c>
      <c r="K16" s="10">
        <f>IF(D16="No","",IFERROR(IF(F16="Sí",J16/(1+G16),J16),""))</f>
        <v>8500.0</v>
      </c>
      <c r="L16" s="10">
        <f>IF(K16="","",IFERROR(K16*G16,""))</f>
        <v>1785.0</v>
      </c>
      <c r="M16" s="10">
        <f>IF(K16="","",IFERROR(K16+L16,""))</f>
        <v>10285.0</v>
      </c>
      <c r="N16" s="4" t="inlineStr">
        <is>
          <t>Hasta 19.438 € en la gama alta de la categoría (PS-83)</t>
        </is>
      </c>
      <c r="O16" s="4" t="inlineStr">
        <is>
          <t>SUPUESTO, no precio de ficha. PS-83 da un RANGO de categoría (hasta 19.438 € en la gama alta), no una ficha de producto: no es un precio. El valor por defecto es supuesto. Es lo que permite que la bollería esté horneada a las 7:00 sin entrar a las 3.</t>
        </is>
      </c>
    </row>
    <row r="17" ht="48" customHeight="1">
      <c r="A17" s="14" t="n">
        <v>12</v>
      </c>
      <c r="B17" s="4" t="inlineStr">
        <is>
          <t>Equipamiento de obrador</t>
        </is>
      </c>
      <c r="C17" s="4" t="inlineStr">
        <is>
          <t>Conducto de extracción de humos en acero inoxidable</t>
        </is>
      </c>
      <c r="D17" s="5" t="inlineStr">
        <is>
          <t>Sí</t>
        </is>
      </c>
      <c r="E17" t="inlineStr">
        <is>
          <t>PS-84 + supuesto</t>
        </is>
      </c>
      <c r="F17" s="5" t="inlineStr">
        <is>
          <t>No</t>
        </is>
      </c>
      <c r="G17" s="15">
        <f>'Parámetros'!$B$13</f>
        <v>0.21</v>
      </c>
      <c r="H17" s="9" t="n">
        <v>6500</v>
      </c>
      <c r="I17" s="9" t="n">
        <v>6500</v>
      </c>
      <c r="J17" s="9" t="n">
        <v>6500</v>
      </c>
      <c r="K17" s="10">
        <f>IF(D17="No","",IFERROR(IF(F17="Sí",J17/(1+G17),J17),""))</f>
        <v>6500.0</v>
      </c>
      <c r="L17" s="10">
        <f>IF(K17="","",IFERROR(K17*G17,""))</f>
        <v>1365.0</v>
      </c>
      <c r="M17" s="10">
        <f>IF(K17="","",IFERROR(K17+L17,""))</f>
        <v>7865.0</v>
      </c>
      <c r="N17" s="4" t="inlineStr">
        <is>
          <t>«Puede superar los 6.000 €» (PS-84)</t>
        </is>
      </c>
      <c r="O17" s="4" t="inlineStr">
        <is>
          <t>SUPUESTO, no precio de ficha. PS-84 dice «puede superar los 6.000 €»: es una frase, no un presupuesto. La partida que más locales tumba, y la que hay que resolver ANTES de firmar (cap. 06). El aire de la campana es categoría AE4 del RITE y no puede compartir conducto con el del despacho (PA-07b).</t>
        </is>
      </c>
    </row>
    <row r="18" ht="48" customHeight="1">
      <c r="A18" s="14" t="n">
        <v>13</v>
      </c>
      <c r="B18" s="4" t="inlineStr">
        <is>
          <t>Equipamiento de obrador</t>
        </is>
      </c>
      <c r="C18" s="4" t="inlineStr">
        <is>
          <t>Amasadora de espiral, 25 kg</t>
        </is>
      </c>
      <c r="D18" s="5" t="inlineStr">
        <is>
          <t>Sí</t>
        </is>
      </c>
      <c r="E18" t="inlineStr">
        <is>
          <t>supuesto</t>
        </is>
      </c>
      <c r="F18" s="5" t="inlineStr">
        <is>
          <t>No</t>
        </is>
      </c>
      <c r="G18" s="15">
        <f>'Parámetros'!$B$13</f>
        <v>0.21</v>
      </c>
      <c r="H18" s="9" t="n">
        <v>5200</v>
      </c>
      <c r="I18" s="9" t="n">
        <v>5200</v>
      </c>
      <c r="J18" s="9" t="n">
        <v>5200</v>
      </c>
      <c r="K18" s="10">
        <f>IF(D18="No","",IFERROR(IF(F18="Sí",J18/(1+G18),J18),""))</f>
        <v>5200.0</v>
      </c>
      <c r="L18" s="10">
        <f>IF(K18="","",IFERROR(K18*G18,""))</f>
        <v>1092.0</v>
      </c>
      <c r="M18" s="10">
        <f>IF(K18="","",IFERROR(K18+L18,""))</f>
        <v>6292.0</v>
      </c>
      <c r="N18" s="4" t="inlineStr">
        <is>
          <t>4.000-8.000 € para «amasadora industrial», sin marca (PS-75)</t>
        </is>
      </c>
      <c r="O18" s="4" t="inlineStr">
        <is>
          <t>SUPUESTO, no precio de ficha. PS-75 da 4.000-8.000 € para «amasadora industrial», pero es un rango sin marca ni modelo: se usa como orden de magnitud, no como precio.</t>
        </is>
      </c>
    </row>
    <row r="19" ht="48" customHeight="1">
      <c r="A19" s="14" t="n">
        <v>14</v>
      </c>
      <c r="B19" s="4" t="inlineStr">
        <is>
          <t>Equipamiento de obrador</t>
        </is>
      </c>
      <c r="C19" s="4" t="inlineStr">
        <is>
          <t>Cámara frigorífica modular de conservación (8 m³)</t>
        </is>
      </c>
      <c r="D19" s="5" t="inlineStr">
        <is>
          <t>Sí</t>
        </is>
      </c>
      <c r="E19" t="inlineStr">
        <is>
          <t>supuesto</t>
        </is>
      </c>
      <c r="F19" s="5" t="inlineStr">
        <is>
          <t>No</t>
        </is>
      </c>
      <c r="G19" s="15">
        <f>'Parámetros'!$B$13</f>
        <v>0.21</v>
      </c>
      <c r="H19" s="9" t="n">
        <v>4800</v>
      </c>
      <c r="I19" s="9" t="n">
        <v>4800</v>
      </c>
      <c r="J19" s="9" t="n">
        <v>4800</v>
      </c>
      <c r="K19" s="10">
        <f>IF(D19="No","",IFERROR(IF(F19="Sí",J19/(1+G19),J19),""))</f>
        <v>4800.0</v>
      </c>
      <c r="L19" s="10">
        <f>IF(K19="","",IFERROR(K19*G19,""))</f>
        <v>1008.0</v>
      </c>
      <c r="M19" s="10">
        <f>IF(K19="","",IFERROR(K19+L19,""))</f>
        <v>5808.0</v>
      </c>
      <c r="N19" s="4" t="inlineStr">
        <is>
          <t>7.000-15.000 € para «vitrinas refrigeradas», sin marca (PS-75)</t>
        </is>
      </c>
      <c r="O19" s="4" t="inlineStr">
        <is>
          <t>SUPUESTO, no precio de ficha. Es la que sostiene los 4 °C de la fila 9 del art. 4.1 (PA-12).</t>
        </is>
      </c>
    </row>
    <row r="20" ht="48" customHeight="1">
      <c r="A20" s="14" t="n">
        <v>15</v>
      </c>
      <c r="B20" s="4" t="inlineStr">
        <is>
          <t>Equipamiento de obrador</t>
        </is>
      </c>
      <c r="C20" s="4" t="inlineStr">
        <is>
          <t>Armario de congelación -18 °C</t>
        </is>
      </c>
      <c r="D20" s="5" t="inlineStr">
        <is>
          <t>Sí</t>
        </is>
      </c>
      <c r="E20" t="inlineStr">
        <is>
          <t>supuesto</t>
        </is>
      </c>
      <c r="F20" s="5" t="inlineStr">
        <is>
          <t>No</t>
        </is>
      </c>
      <c r="G20" s="15">
        <f>'Parámetros'!$B$13</f>
        <v>0.21</v>
      </c>
      <c r="H20" s="9" t="n">
        <v>1900</v>
      </c>
      <c r="I20" s="9" t="n">
        <v>1900</v>
      </c>
      <c r="J20" s="9" t="n">
        <v>1900</v>
      </c>
      <c r="K20" s="10">
        <f>IF(D20="No","",IFERROR(IF(F20="Sí",J20/(1+G20),J20),""))</f>
        <v>1900.0</v>
      </c>
      <c r="L20" s="10">
        <f>IF(K20="","",IFERROR(K20*G20,""))</f>
        <v>399.0</v>
      </c>
      <c r="M20" s="10">
        <f>IF(K20="","",IFERROR(K20+L20,""))</f>
        <v>2299.0</v>
      </c>
      <c r="N20" s="4" t="inlineStr">
        <is>
          <t>Sin precio publicado: valor por defecto SUPUESTO</t>
        </is>
      </c>
      <c r="O20" s="4" t="inlineStr">
        <is>
          <t>SUPUESTO, no precio de ficha. CONSERVA congelado; no congela. No sustituye al abatidor (art. 5 del RD 1021/2022, PA-13).</t>
        </is>
      </c>
    </row>
    <row r="21" ht="48" customHeight="1">
      <c r="A21" s="14" t="n">
        <v>16</v>
      </c>
      <c r="B21" s="4" t="inlineStr">
        <is>
          <t>Equipamiento de obrador</t>
        </is>
      </c>
      <c r="C21" s="4" t="inlineStr">
        <is>
          <t>Mesa de trabajo refrigerada con cajones (2 m)</t>
        </is>
      </c>
      <c r="D21" s="5" t="inlineStr">
        <is>
          <t>Sí</t>
        </is>
      </c>
      <c r="E21" t="inlineStr">
        <is>
          <t>supuesto</t>
        </is>
      </c>
      <c r="F21" s="5" t="inlineStr">
        <is>
          <t>No</t>
        </is>
      </c>
      <c r="G21" s="15">
        <f>'Parámetros'!$B$13</f>
        <v>0.21</v>
      </c>
      <c r="H21" s="9" t="n">
        <v>2400</v>
      </c>
      <c r="I21" s="9" t="n">
        <v>2400</v>
      </c>
      <c r="J21" s="9" t="n">
        <v>2400</v>
      </c>
      <c r="K21" s="10">
        <f>IF(D21="No","",IFERROR(IF(F21="Sí",J21/(1+G21),J21),""))</f>
        <v>2400.0</v>
      </c>
      <c r="L21" s="10">
        <f>IF(K21="","",IFERROR(K21*G21,""))</f>
        <v>504.0</v>
      </c>
      <c r="M21" s="10">
        <f>IF(K21="","",IFERROR(K21+L21,""))</f>
        <v>2904.0</v>
      </c>
      <c r="N21" s="4" t="inlineStr">
        <is>
          <t>Sin precio publicado: valor por defecto SUPUESTO</t>
        </is>
      </c>
      <c r="O21" s="4" t="inlineStr">
        <is>
          <t>SUPUESTO, no precio de ficha.</t>
        </is>
      </c>
    </row>
    <row r="22" ht="48" customHeight="1">
      <c r="A22" s="14" t="n">
        <v>17</v>
      </c>
      <c r="B22" s="4" t="inlineStr">
        <is>
          <t>Equipamiento de obrador</t>
        </is>
      </c>
      <c r="C22" s="4" t="inlineStr">
        <is>
          <t>Mesas de acero inoxidable y estanterías (lote)</t>
        </is>
      </c>
      <c r="D22" s="5" t="inlineStr">
        <is>
          <t>Sí</t>
        </is>
      </c>
      <c r="E22" t="inlineStr">
        <is>
          <t>supuesto</t>
        </is>
      </c>
      <c r="F22" s="5" t="inlineStr">
        <is>
          <t>No</t>
        </is>
      </c>
      <c r="G22" s="15">
        <f>'Parámetros'!$B$13</f>
        <v>0.21</v>
      </c>
      <c r="H22" s="9" t="n">
        <v>2800</v>
      </c>
      <c r="I22" s="9" t="n">
        <v>2800</v>
      </c>
      <c r="J22" s="9" t="n">
        <v>2800</v>
      </c>
      <c r="K22" s="10">
        <f>IF(D22="No","",IFERROR(IF(F22="Sí",J22/(1+G22),J22),""))</f>
        <v>2800.0</v>
      </c>
      <c r="L22" s="10">
        <f>IF(K22="","",IFERROR(K22*G22,""))</f>
        <v>588.0</v>
      </c>
      <c r="M22" s="10">
        <f>IF(K22="","",IFERROR(K22+L22,""))</f>
        <v>3388.0</v>
      </c>
      <c r="N22" s="4" t="inlineStr">
        <is>
          <t>Sin precio publicado: valor por defecto SUPUESTO</t>
        </is>
      </c>
      <c r="O22" s="4" t="inlineStr">
        <is>
          <t>SUPUESTO, no precio de ficha.</t>
        </is>
      </c>
    </row>
    <row r="23" ht="48" customHeight="1">
      <c r="A23" s="14" t="n">
        <v>18</v>
      </c>
      <c r="B23" s="4" t="inlineStr">
        <is>
          <t>Equipamiento de obrador</t>
        </is>
      </c>
      <c r="C23" s="4" t="inlineStr">
        <is>
          <t>Fregadero doble y lavamanos no manual de pedal</t>
        </is>
      </c>
      <c r="D23" s="5" t="inlineStr">
        <is>
          <t>Sí</t>
        </is>
      </c>
      <c r="E23" t="inlineStr">
        <is>
          <t>PS-86e + supuesto</t>
        </is>
      </c>
      <c r="F23" s="5" t="inlineStr">
        <is>
          <t>No</t>
        </is>
      </c>
      <c r="G23" s="15">
        <f>'Parámetros'!$B$13</f>
        <v>0.21</v>
      </c>
      <c r="H23" s="9" t="n">
        <v>1400</v>
      </c>
      <c r="I23" s="9" t="n">
        <v>1400</v>
      </c>
      <c r="J23" s="9" t="n">
        <v>1400</v>
      </c>
      <c r="K23" s="10">
        <f>IF(D23="No","",IFERROR(IF(F23="Sí",J23/(1+G23),J23),""))</f>
        <v>1400.0</v>
      </c>
      <c r="L23" s="10">
        <f>IF(K23="","",IFERROR(K23*G23,""))</f>
        <v>294.0</v>
      </c>
      <c r="M23" s="10">
        <f>IF(K23="","",IFERROR(K23+L23,""))</f>
        <v>1694.0</v>
      </c>
      <c r="N23" s="4" t="inlineStr">
        <is>
          <t>Sin precio publicado: valor por defecto SUPUESTO</t>
        </is>
      </c>
      <c r="O23" s="4" t="inlineStr">
        <is>
          <t>SUPUESTO, no precio de ficha. PS-86e: lavamanos NO manual por zona. No es un extra, es un requisito.</t>
        </is>
      </c>
    </row>
    <row r="24" ht="48" customHeight="1">
      <c r="A24" s="14" t="n">
        <v>19</v>
      </c>
      <c r="B24" s="4" t="inlineStr">
        <is>
          <t>Tienda y vitrina</t>
        </is>
      </c>
      <c r="C24" s="4" t="inlineStr">
        <is>
          <t>Mobiliario de despacho (mostrador, estanterías, rótulo interior)</t>
        </is>
      </c>
      <c r="D24" s="5" t="inlineStr">
        <is>
          <t>Sí</t>
        </is>
      </c>
      <c r="E24" t="inlineStr">
        <is>
          <t>supuesto</t>
        </is>
      </c>
      <c r="F24" s="5" t="inlineStr">
        <is>
          <t>No</t>
        </is>
      </c>
      <c r="G24" s="15">
        <f>'Parámetros'!$B$13</f>
        <v>0.21</v>
      </c>
      <c r="H24" s="9" t="n">
        <v>7500</v>
      </c>
      <c r="I24" s="9" t="n">
        <v>7500</v>
      </c>
      <c r="J24" s="9" t="n">
        <v>7500</v>
      </c>
      <c r="K24" s="10">
        <f>IF(D24="No","",IFERROR(IF(F24="Sí",J24/(1+G24),J24),""))</f>
        <v>7500.0</v>
      </c>
      <c r="L24" s="10">
        <f>IF(K24="","",IFERROR(K24*G24,""))</f>
        <v>1575.0</v>
      </c>
      <c r="M24" s="10">
        <f>IF(K24="","",IFERROR(K24+L24,""))</f>
        <v>9075.0</v>
      </c>
      <c r="N24" s="4" t="inlineStr">
        <is>
          <t>Sin precio publicado: valor por defecto SUPUESTO</t>
        </is>
      </c>
      <c r="O24" s="4" t="inlineStr">
        <is>
          <t>SUPUESTO, no precio de ficha.</t>
        </is>
      </c>
    </row>
    <row r="25" ht="48" customHeight="1">
      <c r="A25" s="14" t="n">
        <v>20</v>
      </c>
      <c r="B25" s="4" t="inlineStr">
        <is>
          <t>Tienda y vitrina</t>
        </is>
      </c>
      <c r="C25" s="4" t="inlineStr">
        <is>
          <t>TPV con software adaptado a Verifactu</t>
        </is>
      </c>
      <c r="D25" s="5" t="inlineStr">
        <is>
          <t>Sí</t>
        </is>
      </c>
      <c r="E25" t="inlineStr">
        <is>
          <t>PA-37 + supuesto</t>
        </is>
      </c>
      <c r="F25" s="5" t="inlineStr">
        <is>
          <t>No</t>
        </is>
      </c>
      <c r="G25" s="15">
        <f>'Parámetros'!$B$13</f>
        <v>0.21</v>
      </c>
      <c r="H25" s="9" t="n">
        <v>1300</v>
      </c>
      <c r="I25" s="9" t="n">
        <v>1300</v>
      </c>
      <c r="J25" s="9" t="n">
        <v>1300</v>
      </c>
      <c r="K25" s="10">
        <f>IF(D25="No","",IFERROR(IF(F25="Sí",J25/(1+G25),J25),""))</f>
        <v>1300.0</v>
      </c>
      <c r="L25" s="10">
        <f>IF(K25="","",IFERROR(K25*G25,""))</f>
        <v>273.0</v>
      </c>
      <c r="M25" s="10">
        <f>IF(K25="","",IFERROR(K25+L25,""))</f>
        <v>1573.0</v>
      </c>
      <c r="N25" s="4" t="inlineStr">
        <is>
          <t>Sin precio publicado: valor por defecto SUPUESTO</t>
        </is>
      </c>
      <c r="O25" s="4" t="inlineStr">
        <is>
          <t>SUPUESTO, no precio de ficha. El software que compres HOY ya tiene que estar adaptado: la obligación del fabricante es anterior a la tuya (PA-37). Y el TPV es el que separa el 10 %, el 4 % y el 21 % de la venta para llevar (PA-36d).</t>
        </is>
      </c>
    </row>
    <row r="26" ht="48" customHeight="1">
      <c r="A26" s="14" t="n">
        <v>21</v>
      </c>
      <c r="B26" s="4" t="inlineStr">
        <is>
          <t>Tienda y vitrina</t>
        </is>
      </c>
      <c r="C26" s="4" t="inlineStr">
        <is>
          <t>Vitrina o armario expositor de temperatura ambiente</t>
        </is>
      </c>
      <c r="D26" s="5" t="inlineStr">
        <is>
          <t>Sí</t>
        </is>
      </c>
      <c r="E26" t="inlineStr">
        <is>
          <t>supuesto</t>
        </is>
      </c>
      <c r="F26" s="5" t="inlineStr">
        <is>
          <t>No</t>
        </is>
      </c>
      <c r="G26" s="15">
        <f>'Parámetros'!$B$13</f>
        <v>0.21</v>
      </c>
      <c r="H26" s="9" t="n">
        <v>1600</v>
      </c>
      <c r="I26" s="9" t="n">
        <v>1600</v>
      </c>
      <c r="J26" s="9" t="n">
        <v>1600</v>
      </c>
      <c r="K26" s="10">
        <f>IF(D26="No","",IFERROR(IF(F26="Sí",J26/(1+G26),J26),""))</f>
        <v>1600.0</v>
      </c>
      <c r="L26" s="10">
        <f>IF(K26="","",IFERROR(K26*G26,""))</f>
        <v>336.0</v>
      </c>
      <c r="M26" s="10">
        <f>IF(K26="","",IFERROR(K26+L26,""))</f>
        <v>1936.0</v>
      </c>
      <c r="N26" s="4" t="inlineStr">
        <is>
          <t>Sin precio publicado: valor por defecto SUPUESTO</t>
        </is>
      </c>
      <c r="O26" s="4" t="inlineStr">
        <is>
          <t>SUPUESTO, no precio de ficha. Para lo estable a temperatura ambiente: palmeras, Sacher, huesos de santo, turrón y panes. Cuántos metros necesitas de este mueble y cuántos del refrigerado lo decide la hoja de huevo y temperatura del libro 4, no el gusto.</t>
        </is>
      </c>
    </row>
    <row r="27" ht="48" customHeight="1">
      <c r="A27" s="14" t="n">
        <v>22</v>
      </c>
      <c r="B27" s="4" t="inlineStr">
        <is>
          <t>Equipamiento de obrador</t>
        </is>
      </c>
      <c r="C27" s="4" t="inlineStr">
        <is>
          <t>Envasadora, selladora y utillaje de obrador (lote)</t>
        </is>
      </c>
      <c r="D27" s="5" t="inlineStr">
        <is>
          <t>Sí</t>
        </is>
      </c>
      <c r="E27" t="inlineStr">
        <is>
          <t>supuesto</t>
        </is>
      </c>
      <c r="F27" s="5" t="inlineStr">
        <is>
          <t>No</t>
        </is>
      </c>
      <c r="G27" s="15">
        <f>'Parámetros'!$B$13</f>
        <v>0.21</v>
      </c>
      <c r="H27" s="9" t="n">
        <v>3200</v>
      </c>
      <c r="I27" s="9" t="n">
        <v>3200</v>
      </c>
      <c r="J27" s="9" t="n">
        <v>3200</v>
      </c>
      <c r="K27" s="10">
        <f>IF(D27="No","",IFERROR(IF(F27="Sí",J27/(1+G27),J27),""))</f>
        <v>3200.0</v>
      </c>
      <c r="L27" s="10">
        <f>IF(K27="","",IFERROR(K27*G27,""))</f>
        <v>672.0</v>
      </c>
      <c r="M27" s="10">
        <f>IF(K27="","",IFERROR(K27+L27,""))</f>
        <v>3872.0</v>
      </c>
      <c r="N27" s="4" t="inlineStr">
        <is>
          <t>Sin precio publicado: valor por defecto SUPUESTO</t>
        </is>
      </c>
      <c r="O27" s="4" t="inlineStr">
        <is>
          <t>SUPUESTO, no precio de ficha.</t>
        </is>
      </c>
    </row>
    <row r="28" ht="48" customHeight="1">
      <c r="A28" s="14" t="n">
        <v>23</v>
      </c>
      <c r="B28" s="4" t="inlineStr">
        <is>
          <t>Equipamiento de obrador</t>
        </is>
      </c>
      <c r="C28" s="4" t="inlineStr">
        <is>
          <t>Termómetros sonda, básculas y registradores de temperatura</t>
        </is>
      </c>
      <c r="D28" s="5" t="inlineStr">
        <is>
          <t>Sí</t>
        </is>
      </c>
      <c r="E28" t="inlineStr">
        <is>
          <t>supuesto</t>
        </is>
      </c>
      <c r="F28" s="5" t="inlineStr">
        <is>
          <t>No</t>
        </is>
      </c>
      <c r="G28" s="15">
        <f>'Parámetros'!$B$13</f>
        <v>0.21</v>
      </c>
      <c r="H28" s="9" t="n">
        <v>900</v>
      </c>
      <c r="I28" s="9" t="n">
        <v>900</v>
      </c>
      <c r="J28" s="9" t="n">
        <v>900</v>
      </c>
      <c r="K28" s="10">
        <f>IF(D28="No","",IFERROR(IF(F28="Sí",J28/(1+G28),J28),""))</f>
        <v>900.0</v>
      </c>
      <c r="L28" s="10">
        <f>IF(K28="","",IFERROR(K28*G28,""))</f>
        <v>189.0</v>
      </c>
      <c r="M28" s="10">
        <f>IF(K28="","",IFERROR(K28+L28,""))</f>
        <v>1089.0</v>
      </c>
      <c r="N28" s="4" t="inlineStr">
        <is>
          <t>Sin precio publicado: valor por defecto SUPUESTO</t>
        </is>
      </c>
      <c r="O28" s="4" t="inlineStr">
        <is>
          <t>SUPUESTO, no precio de ficha. Sin sonda no puedes demostrar los 70 °C/2 s del art. 9.1.a) y la vía se te cae al ovoproducto. Es la compra más barata con más consecuencias.</t>
        </is>
      </c>
    </row>
    <row r="29" ht="48" customHeight="1">
      <c r="A29" s="14" t="n">
        <v>24</v>
      </c>
      <c r="B29" s="4" t="inlineStr">
        <is>
          <t>Licencias y proyecto técnico</t>
        </is>
      </c>
      <c r="C29" s="4" t="inlineStr">
        <is>
          <t>Proyecto técnico visado</t>
        </is>
      </c>
      <c r="D29" s="5" t="inlineStr">
        <is>
          <t>Sí</t>
        </is>
      </c>
      <c r="E29" t="inlineStr">
        <is>
          <t>PS-85e</t>
        </is>
      </c>
      <c r="F29" s="5" t="inlineStr">
        <is>
          <t>No</t>
        </is>
      </c>
      <c r="G29" s="15">
        <f>'Parámetros'!$B$13</f>
        <v>0.21</v>
      </c>
      <c r="H29" s="9" t="n">
        <v>5000</v>
      </c>
      <c r="I29" s="9" t="n">
        <v>5000</v>
      </c>
      <c r="J29" s="9" t="n">
        <v>5000</v>
      </c>
      <c r="K29" s="10">
        <f>IF(D29="No","",IFERROR(IF(F29="Sí",J29/(1+G29),J29),""))</f>
        <v>5000.0</v>
      </c>
      <c r="L29" s="10">
        <f>IF(K29="","",IFERROR(K29*G29,""))</f>
        <v>1050.0</v>
      </c>
      <c r="M29" s="10">
        <f>IF(K29="","",IFERROR(K29+L29,""))</f>
        <v>6050.0</v>
      </c>
      <c r="N29" s="4" t="inlineStr">
        <is>
          <t>Importe publicado (PS-85e)</t>
        </is>
      </c>
      <c r="O29" s="4" t="inlineStr"/>
    </row>
    <row r="30" ht="48" customHeight="1">
      <c r="A30" s="14" t="n">
        <v>25</v>
      </c>
      <c r="B30" s="4" t="inlineStr">
        <is>
          <t>Licencias y proyecto técnico</t>
        </is>
      </c>
      <c r="C30" s="4" t="inlineStr">
        <is>
          <t>Asesoramiento profesional</t>
        </is>
      </c>
      <c r="D30" s="5" t="inlineStr">
        <is>
          <t>Sí</t>
        </is>
      </c>
      <c r="E30" t="inlineStr">
        <is>
          <t>PS-85f</t>
        </is>
      </c>
      <c r="F30" s="5" t="inlineStr">
        <is>
          <t>No</t>
        </is>
      </c>
      <c r="G30" s="15">
        <f>'Parámetros'!$B$13</f>
        <v>0.21</v>
      </c>
      <c r="H30" s="9" t="n">
        <v>1000</v>
      </c>
      <c r="I30" s="9" t="n">
        <v>1000</v>
      </c>
      <c r="J30" s="9" t="n">
        <v>1000</v>
      </c>
      <c r="K30" s="10">
        <f>IF(D30="No","",IFERROR(IF(F30="Sí",J30/(1+G30),J30),""))</f>
        <v>1000.0</v>
      </c>
      <c r="L30" s="10">
        <f>IF(K30="","",IFERROR(K30*G30,""))</f>
        <v>210.0</v>
      </c>
      <c r="M30" s="10">
        <f>IF(K30="","",IFERROR(K30+L30,""))</f>
        <v>1210.0</v>
      </c>
      <c r="N30" s="4" t="inlineStr">
        <is>
          <t>Importe publicado (PS-85f)</t>
        </is>
      </c>
      <c r="O30" s="4" t="inlineStr"/>
    </row>
    <row r="31" ht="48" customHeight="1">
      <c r="A31" s="14" t="n">
        <v>26</v>
      </c>
      <c r="B31" s="4" t="inlineStr">
        <is>
          <t>Licencias y proyecto técnico</t>
        </is>
      </c>
      <c r="C31" s="4" t="inlineStr">
        <is>
          <t>Tasas municipales de licencia de actividad</t>
        </is>
      </c>
      <c r="D31" s="5" t="inlineStr">
        <is>
          <t>Sí</t>
        </is>
      </c>
      <c r="E31" t="inlineStr">
        <is>
          <t>supuesto</t>
        </is>
      </c>
      <c r="F31" s="5" t="inlineStr">
        <is>
          <t>No</t>
        </is>
      </c>
      <c r="G31" s="15">
        <f>'Parámetros'!$B$15</f>
        <v>0.0</v>
      </c>
      <c r="H31" s="9" t="n">
        <v>1800</v>
      </c>
      <c r="I31" s="9" t="n">
        <v>1800</v>
      </c>
      <c r="J31" s="9" t="n">
        <v>1800</v>
      </c>
      <c r="K31" s="10">
        <f>IF(D31="No","",IFERROR(IF(F31="Sí",J31/(1+G31),J31),""))</f>
        <v>1800.0</v>
      </c>
      <c r="L31" s="10">
        <f>IF(K31="","",IFERROR(K31*G31,""))</f>
        <v>0.0</v>
      </c>
      <c r="M31" s="10">
        <f>IF(K31="","",IFERROR(K31+L31,""))</f>
        <v>1800.0</v>
      </c>
      <c r="N31" s="4" t="inlineStr">
        <is>
          <t>SUPUESTO: el importe cambia en cada ayuntamiento</t>
        </is>
      </c>
      <c r="O31" s="4" t="inlineStr">
        <is>
          <t>Las tasas municipales no llevan IVA, y su importe cambia en cada ayuntamiento: es el número que hay que ir a buscar, no copiar (PA-05).</t>
        </is>
      </c>
    </row>
    <row r="32" ht="48" customHeight="1">
      <c r="A32" s="14" t="n">
        <v>27</v>
      </c>
      <c r="B32" s="4" t="inlineStr">
        <is>
          <t>Licencias y proyecto técnico</t>
        </is>
      </c>
      <c r="C32" s="4" t="inlineStr">
        <is>
          <t>Comunicación o declaración responsable al registro autonómico</t>
        </is>
      </c>
      <c r="D32" s="5" t="inlineStr">
        <is>
          <t>Sí</t>
        </is>
      </c>
      <c r="E32" t="inlineStr">
        <is>
          <t>PA-04 + supuesto</t>
        </is>
      </c>
      <c r="F32" s="5" t="inlineStr">
        <is>
          <t>No</t>
        </is>
      </c>
      <c r="G32" s="15">
        <f>'Parámetros'!$B$15</f>
        <v>0.0</v>
      </c>
      <c r="H32" s="9" t="n">
        <v>120</v>
      </c>
      <c r="I32" s="9" t="n">
        <v>120</v>
      </c>
      <c r="J32" s="9" t="n">
        <v>120</v>
      </c>
      <c r="K32" s="10">
        <f>IF(D32="No","",IFERROR(IF(F32="Sí",J32/(1+G32),J32),""))</f>
        <v>120.0</v>
      </c>
      <c r="L32" s="10">
        <f>IF(K32="","",IFERROR(K32*G32,""))</f>
        <v>0.0</v>
      </c>
      <c r="M32" s="10">
        <f>IF(K32="","",IFERROR(K32+L32,""))</f>
        <v>120.0</v>
      </c>
      <c r="N32" s="4" t="inlineStr">
        <is>
          <t>SUPUESTO: el importe cambia en cada ayuntamiento</t>
        </is>
      </c>
      <c r="O32" s="4" t="inlineStr">
        <is>
          <t>No es una licencia y NO habilita para abrir: es un trámite de información que se presenta al iniciar la actividad (PA-04). El importe es supuesto y en varias CCAA es gratuito.</t>
        </is>
      </c>
    </row>
    <row r="33" ht="48" customHeight="1">
      <c r="A33" s="14" t="n">
        <v>28</v>
      </c>
      <c r="B33" s="4" t="inlineStr">
        <is>
          <t>Fianza y garantías</t>
        </is>
      </c>
      <c r="C33" s="4" t="inlineStr">
        <is>
          <t>Fianza de arrendamiento (2 meses)</t>
        </is>
      </c>
      <c r="D33" s="5" t="inlineStr">
        <is>
          <t>Sí</t>
        </is>
      </c>
      <c r="E33" t="inlineStr">
        <is>
          <t>supuesto</t>
        </is>
      </c>
      <c r="F33" s="5" t="inlineStr">
        <is>
          <t>No</t>
        </is>
      </c>
      <c r="G33" s="15">
        <f>'Parámetros'!$B$15</f>
        <v>0.0</v>
      </c>
      <c r="H33" s="10">
        <f>IFERROR('Parámetros'!B20*'Parámetros'!B21,"")</f>
        <v>2400.0</v>
      </c>
      <c r="I33" s="10">
        <f>IFERROR('Parámetros'!B20*'Parámetros'!B21,"")</f>
        <v>2400.0</v>
      </c>
      <c r="J33" s="10">
        <f>IFERROR('Parámetros'!B20*'Parámetros'!B21,"")</f>
        <v>2400.0</v>
      </c>
      <c r="K33" s="10">
        <f>IF(D33="No","",IFERROR(IF(F33="Sí",J33/(1+G33),J33),""))</f>
        <v>2400.0</v>
      </c>
      <c r="L33" s="10">
        <f>IF(K33="","",IFERROR(K33*G33,""))</f>
        <v>0.0</v>
      </c>
      <c r="M33" s="10">
        <f>IF(K33="","",IFERROR(K33+L33,""))</f>
        <v>2400.0</v>
      </c>
      <c r="N33" s="4" t="inlineStr">
        <is>
          <t>Renta mensual × meses de fianza</t>
        </is>
      </c>
      <c r="O33" s="4" t="inlineStr">
        <is>
          <t>La fianza no es un gasto: es un depósito que se recupera. Va en el CAPEX porque hay que tenerla el día de la firma.</t>
        </is>
      </c>
    </row>
    <row r="34" ht="48" customHeight="1">
      <c r="A34" s="14" t="n">
        <v>29</v>
      </c>
      <c r="B34" s="4" t="inlineStr">
        <is>
          <t>Packaging inicial</t>
        </is>
      </c>
      <c r="C34" s="4" t="inlineStr">
        <is>
          <t>Primer pedido de packaging, bolsas, cajas y etiquetas</t>
        </is>
      </c>
      <c r="D34" s="5" t="inlineStr">
        <is>
          <t>Sí</t>
        </is>
      </c>
      <c r="E34" t="inlineStr">
        <is>
          <t>supuesto</t>
        </is>
      </c>
      <c r="F34" s="5" t="inlineStr">
        <is>
          <t>No</t>
        </is>
      </c>
      <c r="G34" s="15">
        <f>'Parámetros'!$B$13</f>
        <v>0.21</v>
      </c>
      <c r="H34" s="9" t="n">
        <v>2500</v>
      </c>
      <c r="I34" s="9" t="n">
        <v>2500</v>
      </c>
      <c r="J34" s="9" t="n">
        <v>2500</v>
      </c>
      <c r="K34" s="10">
        <f>IF(D34="No","",IFERROR(IF(F34="Sí",J34/(1+G34),J34),""))</f>
        <v>2500.0</v>
      </c>
      <c r="L34" s="10">
        <f>IF(K34="","",IFERROR(K34*G34,""))</f>
        <v>525.0</v>
      </c>
      <c r="M34" s="10">
        <f>IF(K34="","",IFERROR(K34+L34,""))</f>
        <v>3025.0</v>
      </c>
      <c r="N34" s="4" t="inlineStr">
        <is>
          <t>SUPUESTO: el importe cambia en cada ayuntamiento</t>
        </is>
      </c>
      <c r="O34" s="4" t="inlineStr">
        <is>
          <t>Empieza con el mínimo del proveedor: el packaging personalizado obliga a pedidos grandes y es dinero parado en el almacén.</t>
        </is>
      </c>
    </row>
    <row r="35" ht="48" customHeight="1">
      <c r="A35" s="14" t="n">
        <v>30</v>
      </c>
      <c r="B35" s="4" t="inlineStr">
        <is>
          <t>Marketing de apertura</t>
        </is>
      </c>
      <c r="C35" s="4" t="inlineStr">
        <is>
          <t>Marketing de apertura</t>
        </is>
      </c>
      <c r="D35" s="5" t="inlineStr">
        <is>
          <t>Sí</t>
        </is>
      </c>
      <c r="E35" t="inlineStr">
        <is>
          <t>PS-85g</t>
        </is>
      </c>
      <c r="F35" s="5" t="inlineStr">
        <is>
          <t>No</t>
        </is>
      </c>
      <c r="G35" s="15">
        <f>'Parámetros'!$B$13</f>
        <v>0.21</v>
      </c>
      <c r="H35" s="9" t="n">
        <v>5000</v>
      </c>
      <c r="I35" s="9" t="n">
        <v>5000</v>
      </c>
      <c r="J35" s="9" t="n">
        <v>5000</v>
      </c>
      <c r="K35" s="10">
        <f>IF(D35="No","",IFERROR(IF(F35="Sí",J35/(1+G35),J35),""))</f>
        <v>5000.0</v>
      </c>
      <c r="L35" s="10">
        <f>IF(K35="","",IFERROR(K35*G35,""))</f>
        <v>1050.0</v>
      </c>
      <c r="M35" s="10">
        <f>IF(K35="","",IFERROR(K35+L35,""))</f>
        <v>6050.0</v>
      </c>
      <c r="N35" s="4" t="inlineStr">
        <is>
          <t>Importe publicado (PS-85g)</t>
        </is>
      </c>
      <c r="O35" s="4" t="inlineStr"/>
    </row>
    <row r="36" ht="48" customHeight="1">
      <c r="A36" s="14" t="n">
        <v>31</v>
      </c>
      <c r="B36" s="4" t="inlineStr">
        <is>
          <t>Fondo de maniobra</t>
        </is>
      </c>
      <c r="C36" s="4" t="inlineStr">
        <is>
          <t>Colchón de tesorería (meses de gastos fijos)</t>
        </is>
      </c>
      <c r="D36" s="5" t="inlineStr">
        <is>
          <t>Sí</t>
        </is>
      </c>
      <c r="E36" t="inlineStr">
        <is>
          <t>supuesto</t>
        </is>
      </c>
      <c r="F36" s="5" t="inlineStr">
        <is>
          <t>No</t>
        </is>
      </c>
      <c r="G36" s="15">
        <f>'Parámetros'!$B$15</f>
        <v>0.0</v>
      </c>
      <c r="H36" s="10">
        <f>'Parámetros'!B19</f>
        <v>62248.84</v>
      </c>
      <c r="I36" s="10">
        <f>'Parámetros'!B19</f>
        <v>62248.84</v>
      </c>
      <c r="J36" s="10">
        <f>'Parámetros'!B19</f>
        <v>62248.84</v>
      </c>
      <c r="K36" s="10">
        <f>IF(D36="No","",IFERROR(IF(F36="Sí",J36/(1+G36),J36),""))</f>
        <v>62248.84</v>
      </c>
      <c r="L36" s="10">
        <f>IF(K36="","",IFERROR(K36*G36,""))</f>
        <v>0.0</v>
      </c>
      <c r="M36" s="10">
        <f>IF(K36="","",IFERROR(K36+L36,""))</f>
        <v>62248.84</v>
      </c>
      <c r="N36" s="4" t="inlineStr">
        <is>
          <t>Meses de colchón × gastos fijos mensuales</t>
        </is>
      </c>
      <c r="O36" s="4" t="inlineStr">
        <is>
          <t>Se calcula: `meses_colchon_fondo_maniobra` × gastos fijos mensuales.</t>
        </is>
      </c>
    </row>
    <row r="37"/>
    <row r="38">
      <c r="B38" s="3" t="inlineStr">
        <is>
          <t>Resumen por bloque</t>
        </is>
      </c>
    </row>
    <row r="39">
      <c r="C39" t="inlineStr">
        <is>
          <t>Obra civil e instalaciones</t>
        </is>
      </c>
      <c r="K39" s="10">
        <f>SUMIF($B$6:$B$36,C39,K$6:K$36)</f>
        <v>81000.0</v>
      </c>
      <c r="L39" s="10">
        <f>SUMIF($B$6:$B$36,C39,L$6:L$36)</f>
        <v>17010.0</v>
      </c>
      <c r="M39" s="10">
        <f>SUMIF($B$6:$B$36,C39,M$6:M$36)</f>
        <v>98010.0</v>
      </c>
      <c r="N39" s="15">
        <f>IFERROR(K39/$K$47,"")</f>
        <v>0.35518654610854206</v>
      </c>
    </row>
    <row r="40">
      <c r="C40" t="inlineStr">
        <is>
          <t>Equipamiento de obrador</t>
        </is>
      </c>
      <c r="K40" s="10">
        <f>SUMIF($B$6:$B$36,C40,K$6:K$36)</f>
        <v>54296.23834710744</v>
      </c>
      <c r="L40" s="10">
        <f>SUMIF($B$6:$B$36,C40,L$6:L$36)</f>
        <v>11402.210052892562</v>
      </c>
      <c r="M40" s="10">
        <f>SUMIF($B$6:$B$36,C40,M$6:M$36)</f>
        <v>65698.44840000001</v>
      </c>
      <c r="N40" s="15">
        <f>IFERROR(K40/$K$47,"")</f>
        <v>0.23809004154562058</v>
      </c>
    </row>
    <row r="41">
      <c r="C41" t="inlineStr">
        <is>
          <t>Tienda y vitrina</t>
        </is>
      </c>
      <c r="K41" s="10">
        <f>SUMIF($B$6:$B$36,C41,K$6:K$36)</f>
        <v>12684.1</v>
      </c>
      <c r="L41" s="10">
        <f>SUMIF($B$6:$B$36,C41,L$6:L$36)</f>
        <v>2663.661</v>
      </c>
      <c r="M41" s="10">
        <f>SUMIF($B$6:$B$36,C41,M$6:M$36)</f>
        <v>15347.761</v>
      </c>
      <c r="N41" s="15">
        <f>IFERROR(K41/$K$47,"")</f>
        <v>0.055620020611053804</v>
      </c>
    </row>
    <row r="42">
      <c r="C42" t="inlineStr">
        <is>
          <t>Licencias y proyecto técnico</t>
        </is>
      </c>
      <c r="K42" s="10">
        <f>SUMIF($B$6:$B$36,C42,K$6:K$36)</f>
        <v>7920.0</v>
      </c>
      <c r="L42" s="10">
        <f>SUMIF($B$6:$B$36,C42,L$6:L$36)</f>
        <v>1260.0</v>
      </c>
      <c r="M42" s="10">
        <f>SUMIF($B$6:$B$36,C42,M$6:M$36)</f>
        <v>9180.0</v>
      </c>
      <c r="N42" s="15">
        <f>IFERROR(K42/$K$47,"")</f>
        <v>0.034729351175057446</v>
      </c>
    </row>
    <row r="43">
      <c r="C43" t="inlineStr">
        <is>
          <t>Fianza y garantías</t>
        </is>
      </c>
      <c r="K43" s="10">
        <f>SUMIF($B$6:$B$36,C43,K$6:K$36)</f>
        <v>2400.0</v>
      </c>
      <c r="L43" s="10">
        <f>SUMIF($B$6:$B$36,C43,L$6:L$36)</f>
        <v>0.0</v>
      </c>
      <c r="M43" s="10">
        <f>SUMIF($B$6:$B$36,C43,M$6:M$36)</f>
        <v>2400.0</v>
      </c>
      <c r="N43" s="15">
        <f>IFERROR(K43/$K$47,"")</f>
        <v>0.010524045810623469</v>
      </c>
    </row>
    <row r="44">
      <c r="C44" t="inlineStr">
        <is>
          <t>Packaging inicial</t>
        </is>
      </c>
      <c r="K44" s="10">
        <f>SUMIF($B$6:$B$36,C44,K$6:K$36)</f>
        <v>2500.0</v>
      </c>
      <c r="L44" s="10">
        <f>SUMIF($B$6:$B$36,C44,L$6:L$36)</f>
        <v>525.0</v>
      </c>
      <c r="M44" s="10">
        <f>SUMIF($B$6:$B$36,C44,M$6:M$36)</f>
        <v>3025.0</v>
      </c>
      <c r="N44" s="15">
        <f>IFERROR(K44/$K$47,"")</f>
        <v>0.010962547719399446</v>
      </c>
    </row>
    <row r="45">
      <c r="C45" t="inlineStr">
        <is>
          <t>Marketing de apertura</t>
        </is>
      </c>
      <c r="K45" s="10">
        <f>SUMIF($B$6:$B$36,C45,K$6:K$36)</f>
        <v>5000.0</v>
      </c>
      <c r="L45" s="10">
        <f>SUMIF($B$6:$B$36,C45,L$6:L$36)</f>
        <v>1050.0</v>
      </c>
      <c r="M45" s="10">
        <f>SUMIF($B$6:$B$36,C45,M$6:M$36)</f>
        <v>6050.0</v>
      </c>
      <c r="N45" s="15">
        <f>IFERROR(K45/$K$47,"")</f>
        <v>0.02192509543879889</v>
      </c>
    </row>
    <row r="46">
      <c r="C46" t="inlineStr">
        <is>
          <t>Fondo de maniobra</t>
        </is>
      </c>
      <c r="K46" s="10">
        <f>SUMIF($B$6:$B$36,C46,K$6:K$36)</f>
        <v>62248.84</v>
      </c>
      <c r="L46" s="10">
        <f>SUMIF($B$6:$B$36,C46,L$6:L$36)</f>
        <v>0.0</v>
      </c>
      <c r="M46" s="10">
        <f>SUMIF($B$6:$B$36,C46,M$6:M$36)</f>
        <v>62248.84</v>
      </c>
      <c r="N46" s="15">
        <f>IFERROR(K46/$K$47,"")</f>
        <v>0.2729623515909044</v>
      </c>
    </row>
    <row r="47">
      <c r="C47" s="13" t="inlineStr">
        <is>
          <t>CAPEX TOTAL</t>
        </is>
      </c>
      <c r="K47" s="16">
        <f>SUM(K39:K46)</f>
        <v>228049.17834710743</v>
      </c>
      <c r="L47" s="16">
        <f>SUM(L39:L46)</f>
        <v>33910.87105289256</v>
      </c>
      <c r="M47" s="16">
        <f>SUM(M39:M46)</f>
        <v>261960.0494</v>
      </c>
    </row>
    <row r="48">
      <c r="C48" t="inlineStr">
        <is>
          <t>Del cual, IVA que hay que adelantar</t>
        </is>
      </c>
      <c r="K48" s="10">
        <f>L47</f>
        <v>33910.87105289256</v>
      </c>
    </row>
    <row r="49">
      <c r="C49" t="inlineStr">
        <is>
          <t>Desembolso total con IVA</t>
        </is>
      </c>
      <c r="K49" s="17">
        <f>M47</f>
        <v>261960.0494</v>
      </c>
    </row>
    <row r="50"/>
    <row r="51">
      <c r="C51" s="4" t="inlineStr">
        <is>
          <t>Subtotal comparable (obra, equipamiento, tienda, licencias y marketing)</t>
        </is>
      </c>
      <c r="K51" s="17">
        <f>K39+K40+K41+K42+K45</f>
        <v>160900.33834710743</v>
      </c>
    </row>
    <row r="52">
      <c r="C52" t="inlineStr">
        <is>
          <t>Escenario publicado del sector para 90 m2 (PS-85h)</t>
        </is>
      </c>
      <c r="K52" s="10" t="n">
        <v>137000</v>
      </c>
    </row>
    <row r="53" ht="62" customHeight="1">
      <c r="C53" t="inlineStr">
        <is>
          <t>Desviación sobre el escenario publicado</t>
        </is>
      </c>
      <c r="K53" s="15">
        <f>IFERROR(K51/K52-1,"")</f>
        <v>0.17445502443144112</v>
      </c>
      <c r="O53" s="4" t="inlineStr">
        <is>
          <t>Son dos fuentes independientes: este presupuesto, línea a línea y en una sola base fiscal, y un escenario publicado de 90 m2 (proyecto 5.000 € + obra media 81.000 € + equipamiento de nivel alto 46.000 € + marketing 5.000 €). Que estén en el mismo orden de magnitud es la comprobación; que coincidan al euro sería sospechoso. La desviación se lee y se explica, no se maquilla. El semáforo salta si te vas más de un 50 %.</t>
        </is>
      </c>
    </row>
    <row r="54"/>
    <row r="55"/>
    <row r="56">
      <c r="C56" s="3" t="inlineStr">
        <is>
          <t>Listas de validación (no las borres: las usan los desplegables)</t>
        </is>
      </c>
    </row>
    <row r="57">
      <c r="C57" s="13" t="inlineStr">
        <is>
          <t>¿La compras?</t>
        </is>
      </c>
      <c r="D57" s="13" t="inlineStr">
        <is>
          <t>¿Lleva IVA?</t>
        </is>
      </c>
    </row>
    <row r="58">
      <c r="C58" t="inlineStr">
        <is>
          <t>Sí</t>
        </is>
      </c>
      <c r="D58" t="inlineStr">
        <is>
          <t>Sí</t>
        </is>
      </c>
    </row>
    <row r="59">
      <c r="C59" t="inlineStr">
        <is>
          <t>No</t>
        </is>
      </c>
      <c r="D59" t="inlineStr">
        <is>
          <t>No</t>
        </is>
      </c>
    </row>
    <row r="60"/>
    <row r="61" ht="44" customHeight="1">
      <c r="C61" s="7" t="inlineStr">
        <is>
          <t>Mínimo y máximo son para TUS presupuestos: vienen sembrados con el mismo valor de partida para que el libro funcione desde el primer minuto, y en cuanto tengas dos ofertas de verdad se ve de un vistazo cuánto se mueve cada partida. El total sólo usa «tu importe».</t>
        </is>
      </c>
    </row>
  </sheetData>
  <sheetProtection selectLockedCells="0" selectUnlockedCells="0" sheet="1" objects="0" insertRows="0" insertHyperlinks="1" autoFilter="1" scenarios="0" formatColumns="0" deleteColumns="1" insertColumns="1" pivotTables="1" deleteRows="1" formatCells="1" formatRows="0" sort="0"/>
  <mergeCells count="2">
    <mergeCell ref="C61:O61"/>
    <mergeCell ref="A3:O3"/>
  </mergeCells>
  <conditionalFormatting sqref="K53">
    <cfRule type="expression" priority="1" dxfId="0" stopIfTrue="1">
      <formula>=AND(ISNUMBER($K$53),ABS($K$53)&gt;0.5)</formula>
    </cfRule>
  </conditionalFormatting>
  <dataValidations count="2">
    <dataValidation sqref="D6 D7 D8 D9 D10 D11 D12 D13 D14 D15 D16 D17 D18 D19 D20 D21 D22 D23 D24 D25 D26 D27 D28 D29 D30 D31 D32 D33 D34 D35 D36" showDropDown="0" showInputMessage="0" showErrorMessage="1" allowBlank="0" errorTitle="¿La compras?" error="Elige «Sí» o «No» de la lista." type="list">
      <formula1>=$C$58:$C$59</formula1>
    </dataValidation>
    <dataValidation sqref="F6 F7 F8 F9 F10 F11 F12 F13 F14 F15 F16 F17 F18 F19 F20 F21 F22 F23 F24 F25 F26 F27 F28 F29 F30 F31 F32 F33 F34 F35 F36" showDropDown="0" showInputMessage="0" showErrorMessage="1" allowBlank="0" errorTitle="¿El precio lleva IVA?" error="Elige «Sí» o «No» de la lista." type="list">
      <formula1>=$D$58:$D$59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O31"/>
  <sheetViews>
    <sheetView workbookViewId="0">
      <selection activeCell="A1" sqref="A1"/>
    </sheetView>
  </sheetViews>
  <sheetFormatPr baseColWidth="8" defaultRowHeight="15"/>
  <cols>
    <col width="5" customWidth="1" min="1" max="1"/>
    <col width="44" customWidth="1" min="2" max="2"/>
    <col width="16" customWidth="1" min="3" max="3"/>
    <col width="11" customWidth="1" min="4" max="4"/>
    <col width="12" customWidth="1" min="5" max="5"/>
    <col width="11" customWidth="1" min="6" max="6"/>
    <col width="12" customWidth="1" min="7" max="7"/>
    <col width="11" customWidth="1" min="8" max="8"/>
    <col width="16" customWidth="1" min="9" max="9"/>
    <col width="16" customWidth="1" min="10" max="10"/>
    <col width="14" customWidth="1" min="11" max="11"/>
    <col width="14" customWidth="1" min="12" max="12"/>
    <col width="14" customWidth="1" min="13" max="13"/>
    <col width="80" customWidth="1" min="14" max="14"/>
    <col width="34" customWidth="1" min="15" max="15"/>
  </cols>
  <sheetData>
    <row r="1" ht="28" customHeight="1">
      <c r="A1" s="1" t="inlineStr">
        <is>
          <t>Variante del Formato</t>
        </is>
      </c>
    </row>
    <row r="2">
      <c r="A2" t="inlineStr">
        <is>
          <t>AI Chef Pro · aichef.pro — Cómo Montar una Pastelería</t>
        </is>
      </c>
    </row>
    <row r="3" ht="26" customHeight="1">
      <c r="A3" s="7" t="inlineStr">
        <is>
          <t>Tu pastelería puede no ser la del ejemplo. Los coeficientes son supuestos editables sobre el caso central; los rangos de la derecha son cifras publicadas. «Inversión de apertura» es el CAPEX sin el fondo de maniobra, que es como publica sus cifras el sector.</t>
        </is>
      </c>
    </row>
    <row r="4"/>
    <row r="5">
      <c r="B5" s="3" t="inlineStr">
        <is>
          <t>Bases del caso central (vienen de «CAPEX por Bloque»)</t>
        </is>
      </c>
    </row>
    <row r="6">
      <c r="B6" t="inlineStr">
        <is>
          <t>Obra civil e instalaciones</t>
        </is>
      </c>
      <c r="C6" s="10">
        <f>'CAPEX por Bloque'!K39</f>
        <v>81000.0</v>
      </c>
    </row>
    <row r="7">
      <c r="B7" t="inlineStr">
        <is>
          <t>Equipamiento de obrador</t>
        </is>
      </c>
      <c r="C7" s="10">
        <f>'CAPEX por Bloque'!K40</f>
        <v>54296.23834710744</v>
      </c>
    </row>
    <row r="8">
      <c r="B8" t="inlineStr">
        <is>
          <t>Tienda y vitrina</t>
        </is>
      </c>
      <c r="C8" s="10">
        <f>'CAPEX por Bloque'!K41</f>
        <v>12684.1</v>
      </c>
    </row>
    <row r="9">
      <c r="B9" t="inlineStr">
        <is>
          <t>Licencias y proyecto técnico</t>
        </is>
      </c>
      <c r="C9" s="10">
        <f>'CAPEX por Bloque'!K42</f>
        <v>7920.0</v>
      </c>
    </row>
    <row r="10">
      <c r="B10" t="inlineStr">
        <is>
          <t>Otros de apertura (fianza, packaging y marketing)</t>
        </is>
      </c>
      <c r="C10" s="10">
        <f>'CAPEX por Bloque'!K43+'CAPEX por Bloque'!K44+'CAPEX por Bloque'!K45</f>
        <v>9900.0</v>
      </c>
    </row>
    <row r="11">
      <c r="B11" t="inlineStr">
        <is>
          <t>Fondo de maniobra</t>
        </is>
      </c>
      <c r="C11" s="10">
        <f>'CAPEX por Bloque'!K46</f>
        <v>62248.84</v>
      </c>
    </row>
    <row r="12"/>
    <row r="13"/>
    <row r="14" ht="48" customHeight="1">
      <c r="A14" s="6" t="inlineStr">
        <is>
          <t>Nº</t>
        </is>
      </c>
      <c r="B14" s="6" t="inlineStr">
        <is>
          <t>Variante</t>
        </is>
      </c>
      <c r="C14" s="6" t="inlineStr">
        <is>
          <t>Id del research</t>
        </is>
      </c>
      <c r="D14" s="6" t="inlineStr">
        <is>
          <t>Coef. obra</t>
        </is>
      </c>
      <c r="E14" s="6" t="inlineStr">
        <is>
          <t>Coef. equipamiento</t>
        </is>
      </c>
      <c r="F14" s="6" t="inlineStr">
        <is>
          <t>Coef. tienda</t>
        </is>
      </c>
      <c r="G14" s="6" t="inlineStr">
        <is>
          <t>Coef. licencias</t>
        </is>
      </c>
      <c r="H14" s="6" t="inlineStr">
        <is>
          <t>Coef. otros</t>
        </is>
      </c>
      <c r="I14" s="6" t="inlineStr">
        <is>
          <t>Inversión de apertura</t>
        </is>
      </c>
      <c r="J14" s="6" t="inlineStr">
        <is>
          <t>Con fondo de maniobra</t>
        </is>
      </c>
      <c r="K14" s="6" t="inlineStr">
        <is>
          <t>Publicado mínimo</t>
        </is>
      </c>
      <c r="L14" s="6" t="inlineStr">
        <is>
          <t>Publicado máximo</t>
        </is>
      </c>
      <c r="M14" s="6" t="inlineStr">
        <is>
          <t>Desviación sobre el punto medio</t>
        </is>
      </c>
      <c r="N14" s="6" t="inlineStr">
        <is>
          <t>Qué cambia además</t>
        </is>
      </c>
      <c r="O14" s="6" t="inlineStr">
        <is>
          <t>¿Cuadra con el rango publicado?</t>
        </is>
      </c>
    </row>
    <row r="15" ht="68" customHeight="1">
      <c r="A15" s="14" t="n">
        <v>1</v>
      </c>
      <c r="B15" s="4" t="inlineStr">
        <is>
          <t>Pastelería mediana: obrador propio y despacho a calle (el caso de este libro)</t>
        </is>
      </c>
      <c r="C15" t="inlineStr">
        <is>
          <t>PS-05</t>
        </is>
      </c>
      <c r="D15" s="18" t="n">
        <v>1</v>
      </c>
      <c r="E15" s="18" t="n">
        <v>1</v>
      </c>
      <c r="F15" s="18" t="n">
        <v>1</v>
      </c>
      <c r="G15" s="18" t="n">
        <v>1</v>
      </c>
      <c r="H15" s="18" t="n">
        <v>1</v>
      </c>
      <c r="I15" s="10">
        <f>IFERROR($C$6*D15+$C$7*E15+$C$8*F15+$C$9*G15+$C$10*H15,"")</f>
        <v>165800.33834710743</v>
      </c>
      <c r="J15" s="10">
        <f>IFERROR(I15+$C$11*H15,"")</f>
        <v>228049.17834710743</v>
      </c>
      <c r="K15" s="10" t="n">
        <v>100000</v>
      </c>
      <c r="L15" s="10" t="n">
        <v>150000</v>
      </c>
      <c r="M15" s="15">
        <f>IF(OR(K15="",L15=""),"",IFERROR(I15/((K15+L15)/2)-1,""))</f>
        <v>0.32640270677685956</v>
      </c>
      <c r="N15" s="4" t="inlineStr">
        <is>
          <t>Es el caso central: todos los coeficientes valen 1,00, así que la inversión de apertura es exactamente el CAPEX total de la hoja anterior menos el fondo de maniobra, y la columna de la derecha se lo suma otra vez para devolver el total.</t>
        </is>
      </c>
      <c r="O15" t="str">
        <f>IF(M15="","",IF(ABS(M15)&gt;1,"Se van a más del doble: mira el rango antes que la cuenta","En el mismo orden de magnitud"))</f>
        <v>En el mismo orden de magnitud</v>
      </c>
    </row>
    <row r="16" ht="68" customHeight="1">
      <c r="A16" s="14" t="n">
        <v>2</v>
      </c>
      <c r="B16" s="4" t="inlineStr">
        <is>
          <t>Obrador en casa, venta directa al consumidor final</t>
        </is>
      </c>
      <c r="C16" t="inlineStr">
        <is>
          <t>PS-01</t>
        </is>
      </c>
      <c r="D16" s="18" t="n">
        <v>0.05</v>
      </c>
      <c r="E16" s="18" t="n">
        <v>0.15</v>
      </c>
      <c r="F16" s="18" t="n">
        <v>0</v>
      </c>
      <c r="G16" s="18" t="n">
        <v>0.1</v>
      </c>
      <c r="H16" s="18" t="n">
        <v>0.2</v>
      </c>
      <c r="I16" s="10">
        <f>IFERROR($C$6*D16+$C$7*E16+$C$8*F16+$C$9*G16+$C$10*H16,"")</f>
        <v>14966.435752066116</v>
      </c>
      <c r="J16" s="10">
        <f>IFERROR(I16+$C$11*H16,"")</f>
        <v>27416.203752066118</v>
      </c>
      <c r="K16" s="10" t="n">
        <v>3000</v>
      </c>
      <c r="L16" s="10" t="n">
        <v>30000</v>
      </c>
      <c r="M16" s="15">
        <f>IF(OR(K16="",L16=""),"",IFERROR(I16/((K16+L16)/2)-1,""))</f>
        <v>-0.09294328775356875</v>
      </c>
      <c r="N16" s="4" t="inlineStr">
        <is>
          <t>No es un local: es tu vivienda, con la lista cerrada del art. 13.8 del RD 1021/2022 y el matiz autonómico de la letra e). Comunicación al registro autonómico, NO inscripción en el RGSEAA. Sin obra, sin tienda y sin fianza; la hoja «Ruta Doméstica» del libro 6 es la que manda.</t>
        </is>
      </c>
      <c r="O16" t="str">
        <f>IF(M16="","",IF(ABS(M16)&gt;1,"Se van a más del doble: mira el rango antes que la cuenta","En el mismo orden de magnitud"))</f>
        <v>En el mismo orden de magnitud</v>
      </c>
    </row>
    <row r="17" ht="68" customHeight="1">
      <c r="A17" s="14" t="n">
        <v>3</v>
      </c>
      <c r="B17" s="4" t="inlineStr">
        <is>
          <t>Obrador a puerta cerrada, sólo producción</t>
        </is>
      </c>
      <c r="C17" t="inlineStr">
        <is>
          <t>PS-02</t>
        </is>
      </c>
      <c r="D17" s="18" t="n">
        <v>0.45</v>
      </c>
      <c r="E17" s="18" t="n">
        <v>0.45</v>
      </c>
      <c r="F17" s="18" t="n">
        <v>0</v>
      </c>
      <c r="G17" s="18" t="n">
        <v>0.6</v>
      </c>
      <c r="H17" s="18" t="n">
        <v>0.5</v>
      </c>
      <c r="I17" s="10">
        <f>IFERROR($C$6*D17+$C$7*E17+$C$8*F17+$C$9*G17+$C$10*H17,"")</f>
        <v>70585.30725619834</v>
      </c>
      <c r="J17" s="10">
        <f>IFERROR(I17+$C$11*H17,"")</f>
        <v>101709.72725619834</v>
      </c>
      <c r="K17" s="10" t="n">
        <v>8000</v>
      </c>
      <c r="L17" s="10" t="n">
        <v>20000</v>
      </c>
      <c r="M17" s="15">
        <f>IF(OR(K17="",L17=""),"",IFERROR(I17/((K17+L17)/2)-1,""))</f>
        <v>4.041807661157025</v>
      </c>
      <c r="N17" s="4" t="inlineStr">
        <is>
          <t>Sin escaparate ni mobiliario de venta, pero con el umbral del art. 3 encima en cuanto suministres a otros minoristas de distinta titularidad. El árbol del art. 3 está en el libro 6.</t>
        </is>
      </c>
      <c r="O17" t="str">
        <f>IF(M17="","",IF(ABS(M17)&gt;1,"Se van a más del doble: mira el rango antes que la cuenta","En el mismo orden de magnitud"))</f>
        <v>Se van a más del doble: mira el rango antes que la cuenta</v>
      </c>
    </row>
    <row r="18" ht="68" customHeight="1">
      <c r="A18" s="14" t="n">
        <v>4</v>
      </c>
      <c r="B18" s="4" t="inlineStr">
        <is>
          <t>Local con venta o despacho, sin obrador propio</t>
        </is>
      </c>
      <c r="C18" t="inlineStr">
        <is>
          <t>PS-03</t>
        </is>
      </c>
      <c r="D18" s="18" t="n">
        <v>0.35</v>
      </c>
      <c r="E18" s="18" t="n">
        <v>0.1</v>
      </c>
      <c r="F18" s="18" t="n">
        <v>1</v>
      </c>
      <c r="G18" s="18" t="n">
        <v>0.7</v>
      </c>
      <c r="H18" s="18" t="n">
        <v>0.6</v>
      </c>
      <c r="I18" s="10">
        <f>IFERROR($C$6*D18+$C$7*E18+$C$8*F18+$C$9*G18+$C$10*H18,"")</f>
        <v>57947.72383471074</v>
      </c>
      <c r="J18" s="10">
        <f>IFERROR(I18+$C$11*H18,"")</f>
        <v>95297.02783471074</v>
      </c>
      <c r="K18" s="10" t="n">
        <v>15000</v>
      </c>
      <c r="L18" s="10" t="n">
        <v>50000</v>
      </c>
      <c r="M18" s="15">
        <f>IF(OR(K18="",L18=""),"",IFERROR(I18/((K18+L18)/2)-1,""))</f>
        <v>0.783006887221869</v>
      </c>
      <c r="N18" s="4" t="inlineStr">
        <is>
          <t>Compras elaborado o semielaborado: casi todo el equipamiento de obrador desaparece y la vitrina se queda entera. Si no fabricas, no puedes usar la mención «elaboración propia» (art. 11 del RD 1021/2022).</t>
        </is>
      </c>
      <c r="O18" t="str">
        <f>IF(M18="","",IF(ABS(M18)&gt;1,"Se van a más del doble: mira el rango antes que la cuenta","En el mismo orden de magnitud"))</f>
        <v>En el mismo orden de magnitud</v>
      </c>
    </row>
    <row r="19" ht="68" customHeight="1">
      <c r="A19" s="14" t="n">
        <v>5</v>
      </c>
      <c r="B19" s="4" t="inlineStr">
        <is>
          <t>Cafetería-pastelería con obrador</t>
        </is>
      </c>
      <c r="C19" t="inlineStr">
        <is>
          <t>PS-04</t>
        </is>
      </c>
      <c r="D19" s="18" t="n">
        <v>1.25</v>
      </c>
      <c r="E19" s="18" t="n">
        <v>1.05</v>
      </c>
      <c r="F19" s="18" t="n">
        <v>1.6</v>
      </c>
      <c r="G19" s="18" t="n">
        <v>1.3</v>
      </c>
      <c r="H19" s="18" t="n">
        <v>1.2</v>
      </c>
      <c r="I19" s="10">
        <f>IFERROR($C$6*D19+$C$7*E19+$C$8*F19+$C$9*G19+$C$10*H19,"")</f>
        <v>200731.61026446283</v>
      </c>
      <c r="J19" s="10">
        <f>IFERROR(I19+$C$11*H19,"")</f>
        <v>275430.21826446283</v>
      </c>
      <c r="K19" s="10" t="n">
        <v>60000</v>
      </c>
      <c r="L19" s="10" t="n">
        <v>100000</v>
      </c>
      <c r="M19" s="15">
        <f>IF(OR(K19="",L19=""),"",IFERROR(I19/((K19+L19)/2)-1,""))</f>
        <v>1.5091451283057853</v>
      </c>
      <c r="N19" s="4" t="inlineStr">
        <is>
          <t>Suma sala, barra, máquina de café y aseos de público. En cuanto hay comidas preparadas cambian el marco sanitario, probablemente el convenio y el IVA aplicable en la zona de degustación, que es del 10 % por ser servicio de hostelería.</t>
        </is>
      </c>
      <c r="O19" t="str">
        <f>IF(M19="","",IF(ABS(M19)&gt;1,"Se van a más del doble: mira el rango antes que la cuenta","En el mismo orden de magnitud"))</f>
        <v>Se van a más del doble: mira el rango antes que la cuenta</v>
      </c>
    </row>
    <row r="20" ht="68" customHeight="1">
      <c r="A20" s="14" t="n">
        <v>6</v>
      </c>
      <c r="B20" s="4" t="inlineStr">
        <is>
          <t>Punto caliente pequeño</t>
        </is>
      </c>
      <c r="C20" t="inlineStr">
        <is>
          <t>PS-06</t>
        </is>
      </c>
      <c r="D20" s="18" t="n">
        <v>0.55</v>
      </c>
      <c r="E20" s="18" t="n">
        <v>0.3</v>
      </c>
      <c r="F20" s="18" t="n">
        <v>1</v>
      </c>
      <c r="G20" s="18" t="n">
        <v>0.7</v>
      </c>
      <c r="H20" s="18" t="n">
        <v>0.7</v>
      </c>
      <c r="I20" s="10">
        <f>IFERROR($C$6*D20+$C$7*E20+$C$8*F20+$C$9*G20+$C$10*H20,"")</f>
        <v>85996.97150413223</v>
      </c>
      <c r="J20" s="10">
        <f>IFERROR(I20+$C$11*H20,"")</f>
        <v>129571.15950413223</v>
      </c>
      <c r="K20" s="10" t="n">
        <v>60000</v>
      </c>
      <c r="L20" s="10" t="n">
        <v>100000</v>
      </c>
      <c r="M20" s="15">
        <f>IF(OR(K20="",L20=""),"",IFERROR(I20/((K20+L20)/2)-1,""))</f>
        <v>0.074962143801653</v>
      </c>
      <c r="N20" s="4" t="inlineStr">
        <is>
          <t>Regenera producto congelado: hornos y vitrina sí, obrador de verdad no. No fabrica, así que tampoco puede decir «elaboración propia».</t>
        </is>
      </c>
      <c r="O20" t="str">
        <f>IF(M20="","",IF(ABS(M20)&gt;1,"Se van a más del doble: mira el rango antes que la cuenta","En el mismo orden de magnitud"))</f>
        <v>En el mismo orden de magnitud</v>
      </c>
    </row>
    <row r="21" ht="68" customHeight="1">
      <c r="A21" s="14" t="n">
        <v>7</v>
      </c>
      <c r="B21" s="4" t="inlineStr">
        <is>
          <t>Local céntrico o grande</t>
        </is>
      </c>
      <c r="C21" t="inlineStr">
        <is>
          <t>PS-07</t>
        </is>
      </c>
      <c r="D21" s="18" t="n">
        <v>1.8</v>
      </c>
      <c r="E21" s="18" t="n">
        <v>1.3</v>
      </c>
      <c r="F21" s="18" t="n">
        <v>1.8</v>
      </c>
      <c r="G21" s="18" t="n">
        <v>1.4</v>
      </c>
      <c r="H21" s="18" t="n">
        <v>1.5</v>
      </c>
      <c r="I21" s="10">
        <f>IFERROR($C$6*D21+$C$7*E21+$C$8*F21+$C$9*G21+$C$10*H21,"")</f>
        <v>265154.48985123966</v>
      </c>
      <c r="J21" s="10">
        <f>IFERROR(I21+$C$11*H21,"")</f>
        <v>358527.74985123967</v>
      </c>
      <c r="K21" s="10" t="n">
        <v>150000</v>
      </c>
      <c r="L21" s="10" t="n">
        <v>250000</v>
      </c>
      <c r="M21" s="15">
        <f>IF(OR(K21="",L21=""),"",IFERROR(I21/((K21+L21)/2)-1,""))</f>
        <v>0.3257724492561984</v>
      </c>
      <c r="N21" s="4" t="inlineStr">
        <is>
          <t>La obra y el alquiler dominan la inversión, y la renta que no aparece aquí se come el margen todos los meses. Mira la hoja «Traspaso vs Obra Nueva» con la renta real antes de enamorarte de la calle.</t>
        </is>
      </c>
      <c r="O21" t="str">
        <f>IF(M21="","",IF(ABS(M21)&gt;1,"Se van a más del doble: mira el rango antes que la cuenta","En el mismo orden de magnitud"))</f>
        <v>En el mismo orden de magnitud</v>
      </c>
    </row>
    <row r="22" ht="68" customHeight="1">
      <c r="A22" s="14" t="n">
        <v>8</v>
      </c>
      <c r="B22" s="4" t="inlineStr">
        <is>
          <t>Franquicia de panadería-pastelería</t>
        </is>
      </c>
      <c r="C22" t="inlineStr">
        <is>
          <t>PS-08</t>
        </is>
      </c>
      <c r="D22" s="18" t="n">
        <v>1.1</v>
      </c>
      <c r="E22" s="18" t="n">
        <v>1</v>
      </c>
      <c r="F22" s="18" t="n">
        <v>1.2</v>
      </c>
      <c r="G22" s="18" t="n">
        <v>1</v>
      </c>
      <c r="H22" s="18" t="n">
        <v>1.1</v>
      </c>
      <c r="I22" s="10">
        <f>IFERROR($C$6*D22+$C$7*E22+$C$8*F22+$C$9*G22+$C$10*H22,"")</f>
        <v>177427.15834710744</v>
      </c>
      <c r="J22" s="10">
        <f>IFERROR(I22+$C$11*H22,"")</f>
        <v>245900.88234710746</v>
      </c>
      <c r="K22" s="10" t="n">
        <v>83000</v>
      </c>
      <c r="L22" s="10" t="n">
        <v>180000</v>
      </c>
      <c r="M22" s="15">
        <f>IF(OR(K22="",L22=""),"",IFERROR(I22/((K22+L22)/2)-1,""))</f>
        <v>0.3492559570122238</v>
      </c>
      <c r="N22" s="4" t="inlineStr">
        <is>
          <t>Las cifras publicadas de una misma marca varían del doble según la fuente. Y falta lo que este libro no calcula: canon de entrada y royalty mensual, que son gasto recurrente, no inversión.</t>
        </is>
      </c>
      <c r="O22" t="str">
        <f>IF(M22="","",IF(ABS(M22)&gt;1,"Se van a más del doble: mira el rango antes que la cuenta","En el mismo orden de magnitud"))</f>
        <v>En el mismo orden de magnitud</v>
      </c>
    </row>
    <row r="23" ht="68" customHeight="1">
      <c r="A23" s="14" t="n">
        <v>9</v>
      </c>
      <c r="B23" s="4" t="inlineStr">
        <is>
          <t>Obrador B2B para hostelería</t>
        </is>
      </c>
      <c r="C23" t="inlineStr">
        <is>
          <t>PS-09</t>
        </is>
      </c>
      <c r="D23" s="18" t="n">
        <v>1.4</v>
      </c>
      <c r="E23" s="18" t="n">
        <v>1.6</v>
      </c>
      <c r="F23" s="18" t="n">
        <v>0.2</v>
      </c>
      <c r="G23" s="18" t="n">
        <v>1.1</v>
      </c>
      <c r="H23" s="18" t="n">
        <v>1.3</v>
      </c>
      <c r="I23" s="10">
        <f>IFERROR($C$6*D23+$C$7*E23+$C$8*F23+$C$9*G23+$C$10*H23,"")</f>
        <v>224392.80135537192</v>
      </c>
      <c r="J23" s="10">
        <f>IFERROR(I23+$C$11*H23,"")</f>
        <v>305316.2933553719</v>
      </c>
      <c r="M23" s="15">
        <f>IF(OR(K23="",L23=""),"",IFERROR(I23/((K23+L23)/2)-1,""))</f>
        <v/>
      </c>
      <c r="N23" s="4" t="inlineStr">
        <is>
          <t>Sin cifra de inversión publicada: el caso conocido son 320 m2 entre dos locales con el 30 % de la venta a restauración. Producción a volumen, venta a crédito y casi nada de escaparate. Es donde se rompe el requisito de «restringido» del art. 3.</t>
        </is>
      </c>
      <c r="O23">
        <f>IF(M23="","",IF(ABS(M23)&gt;1,"Se van a más del doble: mira el rango antes que la cuenta","En el mismo orden de magnitud"))</f>
        <v/>
      </c>
    </row>
    <row r="24" ht="68" customHeight="1">
      <c r="A24" s="14" t="n">
        <v>10</v>
      </c>
      <c r="B24" s="4" t="inlineStr">
        <is>
          <t>Pastelería sin salida de humos</t>
        </is>
      </c>
      <c r="C24" t="inlineStr">
        <is>
          <t>PS-11</t>
        </is>
      </c>
      <c r="D24" s="18" t="n">
        <v>0.95</v>
      </c>
      <c r="E24" s="18" t="n">
        <v>1.1</v>
      </c>
      <c r="F24" s="18" t="n">
        <v>1</v>
      </c>
      <c r="G24" s="18" t="n">
        <v>1</v>
      </c>
      <c r="H24" s="18" t="n">
        <v>1</v>
      </c>
      <c r="I24" s="10">
        <f>IFERROR($C$6*D24+$C$7*E24+$C$8*F24+$C$9*G24+$C$10*H24,"")</f>
        <v>167179.9621818182</v>
      </c>
      <c r="J24" s="10">
        <f>IFERROR(I24+$C$11*H24,"")</f>
        <v>229428.8021818182</v>
      </c>
      <c r="M24" s="15">
        <f>IF(OR(K24="",L24=""),"",IFERROR(I24/((K24+L24)/2)-1,""))</f>
        <v/>
      </c>
      <c r="N24" s="4" t="inlineStr">
        <is>
          <t>No tiene rango publicado porque no es un formato de negocio, es una restricción del local: te ahorras el conducto de acero inoxidable (que «puede superar los 6.000 €») a cambio de hornos 100 % eléctricos, campana de condensación, desagüe en el punto del horno y un surtido sin fritos. Compruébalo antes en la ficha de visita del libro 1.</t>
        </is>
      </c>
      <c r="O24">
        <f>IF(M24="","",IF(ABS(M24)&gt;1,"Se van a más del doble: mira el rango antes que la cuenta","En el mismo orden de magnitud"))</f>
        <v/>
      </c>
    </row>
    <row r="25"/>
    <row r="26">
      <c r="B26" t="inlineStr">
        <is>
          <t>Variantes con rango de inversión publicado</t>
        </is>
      </c>
      <c r="I26" s="14">
        <f>COUNT(K15:K24)</f>
        <v>8.0</v>
      </c>
    </row>
    <row r="27">
      <c r="B27" t="inlineStr">
        <is>
          <t>Variantes que se van más de un 50 % del punto medio publicado</t>
        </is>
      </c>
      <c r="I27" s="14">
        <f>COUNTIF(M15:M24,"&gt;0.5")+COUNTIF(M15:M24,"&lt;-0.5")</f>
        <v>3.0</v>
      </c>
    </row>
    <row r="28"/>
    <row r="29" ht="62" customHeight="1">
      <c r="B29" s="7" t="inlineStr">
        <is>
          <t>LOS COEFICIENTES SON SUPUESTOS, Y EDITABLES A PROPÓSITO. No salen de ninguna estadística: son la desviación razonable de cada formato sobre el caso central, puesta para que puedas moverla. Lo que sí es dato publicado son las dos columnas de la derecha, con su id. Si tu cuenta y el rango publicado se van a más del doble, uno de los dos está mal, y suele ser el rango: casi ninguna de esas cifras dice si lleva IVA, si incluye la obra o si cuenta el fondo de maniobra.</t>
        </is>
      </c>
    </row>
    <row r="30"/>
    <row r="31" ht="48" customHeight="1">
      <c r="B31" s="7" t="inlineStr">
        <is>
          <t>Dos variantes no traen rango: el obrador B2B, del que sólo hay un caso con metros pero sin inversión publicada, y la pastelería sin salida de humos, que no es un formato de negocio sino una restricción del local. En las dos, la columna de desviación se queda vacía a propósito: un cero ahí sería decir que la cuenta cuadra, y lo que pasa es que no hay con qué compararla.</t>
        </is>
      </c>
    </row>
  </sheetData>
  <sheetProtection selectLockedCells="0" selectUnlockedCells="0" sheet="1" objects="0" insertRows="0" insertHyperlinks="1" autoFilter="1" scenarios="0" formatColumns="0" deleteColumns="1" insertColumns="1" pivotTables="1" deleteRows="1" formatCells="1" formatRows="0" sort="0"/>
  <mergeCells count="3">
    <mergeCell ref="B31:N31"/>
    <mergeCell ref="A3:N3"/>
    <mergeCell ref="B29:N29"/>
  </mergeCells>
  <conditionalFormatting sqref="M15:M24">
    <cfRule type="expression" priority="1" dxfId="0" stopIfTrue="1">
      <formula>=AND(ISNUMBER($M15),ABS($M15)&gt;0.5)</formula>
    </cfRule>
  </conditionalFormatting>
  <conditionalFormatting sqref="O15:O24">
    <cfRule type="cellIs" priority="2" operator="equal" dxfId="1" stopIfTrue="1">
      <formula>"Se van a más del doble: mira el rango antes que la cuenta"</formula>
    </cfRule>
    <cfRule type="cellIs" priority="3" operator="equal" dxfId="2" stopIfTrue="1">
      <formula>"En el mismo orden de magnitud"</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9"/>
  <sheetViews>
    <sheetView workbookViewId="0">
      <selection activeCell="A1" sqref="A1"/>
    </sheetView>
  </sheetViews>
  <sheetFormatPr baseColWidth="8" defaultRowHeight="15"/>
  <cols>
    <col width="52" customWidth="1" min="1" max="1"/>
    <col width="26" customWidth="1" min="2" max="2"/>
    <col width="18" customWidth="1" min="3" max="3"/>
    <col width="12" customWidth="1" min="4" max="4"/>
    <col width="16" customWidth="1" min="5" max="5"/>
    <col width="15" customWidth="1" min="6" max="6"/>
    <col width="14" customWidth="1" min="7" max="7"/>
    <col width="18" customWidth="1" min="8" max="8"/>
    <col width="12" customWidth="1" min="9" max="9"/>
    <col width="78" customWidth="1" min="10" max="10"/>
  </cols>
  <sheetData>
    <row r="1" ht="28" customHeight="1">
      <c r="A1" s="1" t="inlineStr">
        <is>
          <t>Traspaso Contra Obra Nueva</t>
        </is>
      </c>
    </row>
    <row r="2">
      <c r="A2" t="inlineStr">
        <is>
          <t>AI Chef Pro · aichef.pro — Cómo Montar una Pastelería</t>
        </is>
      </c>
    </row>
    <row r="3" ht="26" customHeight="1">
      <c r="A3" s="7" t="inlineStr">
        <is>
          <t>El precio de un traspaso no es lo que cuesta un traspaso: la renta de los años del contrato pesa más que el precio.</t>
        </is>
      </c>
    </row>
    <row r="4"/>
    <row r="5">
      <c r="A5" s="3" t="inlineStr">
        <is>
          <t>El local que estás mirando (traspaso)</t>
        </is>
      </c>
    </row>
    <row r="6" ht="40" customHeight="1">
      <c r="A6" s="4" t="inlineStr">
        <is>
          <t>Precio de traspaso que te piden</t>
        </is>
      </c>
      <c r="B6" t="inlineStr">
        <is>
          <t>PS-69</t>
        </is>
      </c>
      <c r="C6" s="9" t="n">
        <v>43000</v>
      </c>
      <c r="J6" s="4" t="inlineStr">
        <is>
          <t>Sembrado con el traspaso de Gràcia (85 m2, 43.000 €), que es el más parecido en metros a los 90 m2 del caso. Es un precio PEDIDO.</t>
        </is>
      </c>
    </row>
    <row r="7" ht="40" customHeight="1">
      <c r="A7" s="4" t="inlineStr">
        <is>
          <t>Inversión de adecuación que aún tendrías que hacer</t>
        </is>
      </c>
      <c r="B7" t="inlineStr">
        <is>
          <t>supuesto</t>
        </is>
      </c>
      <c r="C7" s="9" t="n">
        <v>25000</v>
      </c>
      <c r="J7" s="4" t="inlineStr">
        <is>
          <t>Un traspaso casi nunca se abre tal cual: pintura, vitrina, rótulo y la máquina que falta. Míralo con la ficha de visita del libro 1 en la mano.</t>
        </is>
      </c>
    </row>
    <row r="8" ht="40" customHeight="1">
      <c r="A8" s="4" t="inlineStr">
        <is>
          <t>Renta mensual del local traspasado</t>
        </is>
      </c>
      <c r="B8" t="inlineStr">
        <is>
          <t>PS-69</t>
        </is>
      </c>
      <c r="C8" s="9" t="n">
        <v>1250</v>
      </c>
      <c r="J8" s="4" t="inlineStr">
        <is>
          <t>La renta sólo consta en los cinco traspasos de Barcelona. En los otros diez, el anuncio no la dice, que ya es un dato.</t>
        </is>
      </c>
    </row>
    <row r="9" ht="40" customHeight="1">
      <c r="A9" s="4" t="inlineStr">
        <is>
          <t>Meses parado hasta abrir con el traspaso</t>
        </is>
      </c>
      <c r="B9" t="inlineStr">
        <is>
          <t>supuesto</t>
        </is>
      </c>
      <c r="C9" s="12" t="n">
        <v>1</v>
      </c>
      <c r="J9" s="4" t="inlineStr">
        <is>
          <t>Pagas renta desde la firma y no facturas hasta que abres.</t>
        </is>
      </c>
    </row>
    <row r="10" ht="40" customHeight="1">
      <c r="A10" s="4" t="inlineStr">
        <is>
          <t>CAPEX comparable de la obra nueva (de «CAPEX por Bloque»)</t>
        </is>
      </c>
      <c r="C10" s="10">
        <f>'CAPEX por Bloque'!K51</f>
        <v>160900.33834710743</v>
      </c>
      <c r="J10" s="4" t="inlineStr">
        <is>
          <t>Sin fianza, packaging ni fondo de maniobra: los dos lados de la comparación los necesitan igual, así que sumarlos a uno solo falsearía el resultado.</t>
        </is>
      </c>
    </row>
    <row r="11">
      <c r="A11" t="inlineStr">
        <is>
          <t>Renta mensual del local en obra nueva</t>
        </is>
      </c>
      <c r="C11" s="10">
        <f>'Parámetros'!B20</f>
        <v>1200.0</v>
      </c>
    </row>
    <row r="12" ht="40" customHeight="1">
      <c r="A12" t="inlineStr">
        <is>
          <t>Meses de obra sin facturar</t>
        </is>
      </c>
      <c r="B12" t="inlineStr">
        <is>
          <t>supuesto</t>
        </is>
      </c>
      <c r="C12" s="12" t="n">
        <v>4</v>
      </c>
      <c r="J12" s="4" t="inlineStr">
        <is>
          <t>Renta que pagas mientras el local está en obras. Es la partida que casi nadie mete y la que más se parece a una sorpresa.</t>
        </is>
      </c>
    </row>
    <row r="13">
      <c r="A13" t="inlineStr">
        <is>
          <t>Horizonte de comparación (años)</t>
        </is>
      </c>
      <c r="C13" s="14">
        <f>'Parámetros'!B22</f>
        <v>5.0</v>
      </c>
    </row>
    <row r="14">
      <c r="A14" s="3" t="inlineStr">
        <is>
          <t>La comparación</t>
        </is>
      </c>
    </row>
    <row r="15">
      <c r="A15" s="19" t="inlineStr">
        <is>
          <t>Coste del traspaso a lo largo del horizonte</t>
        </is>
      </c>
      <c r="C15" s="20">
        <f>IFERROR(C6+C7+C8*12*C13,"")</f>
        <v>143000.0</v>
      </c>
    </row>
    <row r="16">
      <c r="A16" s="19" t="inlineStr">
        <is>
          <t>Coste de la obra nueva a lo largo del horizonte</t>
        </is>
      </c>
      <c r="C16" s="20">
        <f>IFERROR(C10+C11*12*C13,"")</f>
        <v>232900.33834710743</v>
      </c>
    </row>
    <row r="17">
      <c r="A17" s="19" t="inlineStr">
        <is>
          <t>Renta pagada sin facturar, traspaso</t>
        </is>
      </c>
      <c r="C17" s="20">
        <f>IFERROR(C8*C9,"")</f>
        <v>1250.0</v>
      </c>
    </row>
    <row r="18">
      <c r="A18" s="19" t="inlineStr">
        <is>
          <t>Renta pagada sin facturar, obra nueva</t>
        </is>
      </c>
      <c r="C18" s="20">
        <f>IFERROR(C11*C12,"")</f>
        <v>4800.0</v>
      </c>
    </row>
    <row r="19">
      <c r="A19" s="21" t="inlineStr">
        <is>
          <t>TOTAL del traspaso</t>
        </is>
      </c>
      <c r="C19" s="16">
        <f>IFERROR(C15+C17,"")</f>
        <v>144250.0</v>
      </c>
    </row>
    <row r="20">
      <c r="A20" s="21" t="inlineStr">
        <is>
          <t>TOTAL de la obra nueva</t>
        </is>
      </c>
      <c r="C20" s="16">
        <f>IFERROR(C16+C18,"")</f>
        <v>237700.33834710743</v>
      </c>
    </row>
    <row r="21">
      <c r="A21" s="21" t="inlineStr">
        <is>
          <t>Diferencia (traspaso menos obra nueva)</t>
        </is>
      </c>
      <c r="C21" s="17">
        <f>IFERROR(C19-C20,"")</f>
        <v>-93450.33834710743</v>
      </c>
    </row>
    <row r="22" ht="56" customHeight="1">
      <c r="A22" s="13" t="inlineStr">
        <is>
          <t>VEREDICTO</t>
        </is>
      </c>
      <c r="C22" s="22" t="str">
        <f>IF(C21="","",IF(C21&lt;0,"Sale mejor el TRASPASO","Sale mejor la OBRA NUEVA"))</f>
        <v>Sale mejor el TRASPASO</v>
      </c>
      <c r="J22" s="4" t="inlineStr">
        <is>
          <t>El veredicto compara dinero, y el dinero no lo es todo: un traspaso te da una clientela y un local que ya funcionó, y te ata a una distribución de zonas que igual no admite marcha adelante. Pasa el local traspasado por la ficha de visita del libro 1 antes de hacerle caso a esta celda.</t>
        </is>
      </c>
    </row>
    <row r="23"/>
    <row r="24">
      <c r="A24" s="3" t="inlineStr">
        <is>
          <t>Quince traspasos reales, para ver la horquilla</t>
        </is>
      </c>
    </row>
    <row r="25" ht="30" customHeight="1">
      <c r="A25" s="6" t="inlineStr">
        <is>
          <t>Ciudad o zona</t>
        </is>
      </c>
      <c r="B25" s="6" t="inlineStr">
        <is>
          <t>Tipo de negocio</t>
        </is>
      </c>
      <c r="C25" s="6" t="inlineStr">
        <is>
          <t>m2</t>
        </is>
      </c>
      <c r="D25" s="6" t="inlineStr">
        <is>
          <t>Precio pedido</t>
        </is>
      </c>
      <c r="E25" s="6" t="inlineStr">
        <is>
          <t>Renta mensual</t>
        </is>
      </c>
      <c r="F25" s="6" t="inlineStr">
        <is>
          <t>€ por m2</t>
        </is>
      </c>
      <c r="G25" s="6" t="inlineStr">
        <is>
          <t>Coste en el horizonte</t>
        </is>
      </c>
      <c r="H25" s="6" t="inlineStr">
        <is>
          <t>Fuente</t>
        </is>
      </c>
    </row>
    <row r="26">
      <c r="A26" t="inlineStr">
        <is>
          <t>Barcelona - Gràcia</t>
        </is>
      </c>
      <c r="B26" t="inlineStr">
        <is>
          <t>Pastelería-repostería</t>
        </is>
      </c>
      <c r="C26" s="14" t="n">
        <v>85</v>
      </c>
      <c r="D26" s="10" t="n">
        <v>43000</v>
      </c>
      <c r="E26" s="10" t="n">
        <v>1250</v>
      </c>
      <c r="F26" s="10">
        <f>IF(ISNUMBER(C26),IFERROR(D26/C26,""),"")</f>
        <v>505.88235294117646</v>
      </c>
      <c r="G26" s="10">
        <f>IF(ISNUMBER(E26),IFERROR(D26+E26*12*$C$13,""),"")</f>
        <v>118000.0</v>
      </c>
      <c r="H26" t="inlineStr">
        <is>
          <t>PS-69</t>
        </is>
      </c>
    </row>
    <row r="27">
      <c r="A27" t="inlineStr">
        <is>
          <t>Barcelona - Poblenou</t>
        </is>
      </c>
      <c r="B27" t="inlineStr">
        <is>
          <t>Pastelería take away</t>
        </is>
      </c>
      <c r="C27" s="14" t="n">
        <v>69</v>
      </c>
      <c r="D27" s="10" t="n">
        <v>80000</v>
      </c>
      <c r="E27" s="10" t="n">
        <v>850</v>
      </c>
      <c r="F27" s="10">
        <f>IF(ISNUMBER(C27),IFERROR(D27/C27,""),"")</f>
        <v>1159.4202898550725</v>
      </c>
      <c r="G27" s="10">
        <f>IF(ISNUMBER(E27),IFERROR(D27+E27*12*$C$13,""),"")</f>
        <v>131000.0</v>
      </c>
      <c r="H27" t="inlineStr">
        <is>
          <t>PS-69</t>
        </is>
      </c>
    </row>
    <row r="28">
      <c r="A28" t="inlineStr">
        <is>
          <t>Barcelona - Sant Antoni</t>
        </is>
      </c>
      <c r="B28" t="inlineStr">
        <is>
          <t>Obrador sin venta al público</t>
        </is>
      </c>
      <c r="C28" s="14" t="n">
        <v>80</v>
      </c>
      <c r="D28" s="10" t="n">
        <v>25000</v>
      </c>
      <c r="E28" s="10" t="n">
        <v>1050</v>
      </c>
      <c r="F28" s="10">
        <f>IF(ISNUMBER(C28),IFERROR(D28/C28,""),"")</f>
        <v>312.5</v>
      </c>
      <c r="G28" s="10">
        <f>IF(ISNUMBER(E28),IFERROR(D28+E28*12*$C$13,""),"")</f>
        <v>88000.0</v>
      </c>
      <c r="H28" t="inlineStr">
        <is>
          <t>PS-69</t>
        </is>
      </c>
    </row>
    <row r="29">
      <c r="A29" t="inlineStr">
        <is>
          <t>Barcelona - Pg. Maragall</t>
        </is>
      </c>
      <c r="B29" t="inlineStr">
        <is>
          <t>Panadería-pastelería</t>
        </is>
      </c>
      <c r="C29" s="14" t="n">
        <v>63</v>
      </c>
      <c r="D29" s="10" t="n">
        <v>18000</v>
      </c>
      <c r="E29" s="10" t="n">
        <v>1300</v>
      </c>
      <c r="F29" s="10">
        <f>IF(ISNUMBER(C29),IFERROR(D29/C29,""),"")</f>
        <v>285.7142857142857</v>
      </c>
      <c r="G29" s="10">
        <f>IF(ISNUMBER(E29),IFERROR(D29+E29*12*$C$13,""),"")</f>
        <v>96000.0</v>
      </c>
      <c r="H29" t="inlineStr">
        <is>
          <t>PS-69</t>
        </is>
      </c>
    </row>
    <row r="30">
      <c r="A30" t="inlineStr">
        <is>
          <t>Barcelona - Sant Andreu</t>
        </is>
      </c>
      <c r="B30" t="inlineStr">
        <is>
          <t>Pastelería artesanal</t>
        </is>
      </c>
      <c r="C30" s="14" t="n">
        <v>63</v>
      </c>
      <c r="D30" s="10" t="n">
        <v>19000</v>
      </c>
      <c r="E30" s="10" t="n">
        <v>1300</v>
      </c>
      <c r="F30" s="10">
        <f>IF(ISNUMBER(C30),IFERROR(D30/C30,""),"")</f>
        <v>301.58730158730157</v>
      </c>
      <c r="G30" s="10">
        <f>IF(ISNUMBER(E30),IFERROR(D30+E30*12*$C$13,""),"")</f>
        <v>97000.0</v>
      </c>
      <c r="H30" t="inlineStr">
        <is>
          <t>PS-69</t>
        </is>
      </c>
    </row>
    <row r="31">
      <c r="A31" t="inlineStr">
        <is>
          <t>Sevilla</t>
        </is>
      </c>
      <c r="B31" t="inlineStr">
        <is>
          <t>Pastelería</t>
        </is>
      </c>
      <c r="D31" s="10" t="n">
        <v>6000</v>
      </c>
      <c r="F31" s="10">
        <f>IF(ISNUMBER(C31),IFERROR(D31/C31,""),"")</f>
        <v/>
      </c>
      <c r="G31" s="10">
        <f>IF(ISNUMBER(E31),IFERROR(D31+E31*12*$C$13,""),"")</f>
        <v/>
      </c>
      <c r="H31" t="inlineStr">
        <is>
          <t>PS-70</t>
        </is>
      </c>
    </row>
    <row r="32">
      <c r="A32" t="inlineStr">
        <is>
          <t>Valencia</t>
        </is>
      </c>
      <c r="B32" t="inlineStr">
        <is>
          <t>Despacho de pan</t>
        </is>
      </c>
      <c r="D32" s="10" t="n">
        <v>15500</v>
      </c>
      <c r="F32" s="10">
        <f>IF(ISNUMBER(C32),IFERROR(D32/C32,""),"")</f>
        <v/>
      </c>
      <c r="G32" s="10">
        <f>IF(ISNUMBER(E32),IFERROR(D32+E32*12*$C$13,""),"")</f>
        <v/>
      </c>
      <c r="H32" t="inlineStr">
        <is>
          <t>PS-70</t>
        </is>
      </c>
    </row>
    <row r="33">
      <c r="A33" t="inlineStr">
        <is>
          <t>Valencia - Benimaclet</t>
        </is>
      </c>
      <c r="B33" t="inlineStr">
        <is>
          <t>Pastelería</t>
        </is>
      </c>
      <c r="D33" s="10" t="n">
        <v>18000</v>
      </c>
      <c r="F33" s="10">
        <f>IF(ISNUMBER(C33),IFERROR(D33/C33,""),"")</f>
        <v/>
      </c>
      <c r="G33" s="10">
        <f>IF(ISNUMBER(E33),IFERROR(D33+E33*12*$C$13,""),"")</f>
        <v/>
      </c>
      <c r="H33" t="inlineStr">
        <is>
          <t>PS-70</t>
        </is>
      </c>
    </row>
    <row r="34">
      <c r="A34" t="inlineStr">
        <is>
          <t>Madrid</t>
        </is>
      </c>
      <c r="B34" t="inlineStr">
        <is>
          <t>Obrador pequeño</t>
        </is>
      </c>
      <c r="D34" s="10" t="n">
        <v>20000</v>
      </c>
      <c r="F34" s="10">
        <f>IF(ISNUMBER(C34),IFERROR(D34/C34,""),"")</f>
        <v/>
      </c>
      <c r="G34" s="10">
        <f>IF(ISNUMBER(E34),IFERROR(D34+E34*12*$C$13,""),"")</f>
        <v/>
      </c>
      <c r="H34" t="inlineStr">
        <is>
          <t>PS-70</t>
        </is>
      </c>
    </row>
    <row r="35">
      <c r="A35" t="inlineStr">
        <is>
          <t>Madrid</t>
        </is>
      </c>
      <c r="B35" t="inlineStr">
        <is>
          <t>Pastelería sin obrador, más de 25 años</t>
        </is>
      </c>
      <c r="D35" s="10" t="n">
        <v>19500</v>
      </c>
      <c r="F35" s="10">
        <f>IF(ISNUMBER(C35),IFERROR(D35/C35,""),"")</f>
        <v/>
      </c>
      <c r="G35" s="10">
        <f>IF(ISNUMBER(E35),IFERROR(D35+E35*12*$C$13,""),"")</f>
        <v/>
      </c>
      <c r="H35" t="inlineStr">
        <is>
          <t>PS-70</t>
        </is>
      </c>
    </row>
    <row r="36">
      <c r="A36" t="inlineStr">
        <is>
          <t>Almería</t>
        </is>
      </c>
      <c r="B36" t="inlineStr">
        <is>
          <t>Repostería creativa</t>
        </is>
      </c>
      <c r="D36" s="10" t="n">
        <v>25000</v>
      </c>
      <c r="F36" s="10">
        <f>IF(ISNUMBER(C36),IFERROR(D36/C36,""),"")</f>
        <v/>
      </c>
      <c r="G36" s="10">
        <f>IF(ISNUMBER(E36),IFERROR(D36+E36*12*$C$13,""),"")</f>
        <v/>
      </c>
      <c r="H36" t="inlineStr">
        <is>
          <t>PS-70</t>
        </is>
      </c>
    </row>
    <row r="37">
      <c r="A37" t="inlineStr">
        <is>
          <t>Barcelona</t>
        </is>
      </c>
      <c r="B37" t="inlineStr">
        <is>
          <t>Pastelería</t>
        </is>
      </c>
      <c r="D37" s="10" t="n">
        <v>50000</v>
      </c>
      <c r="F37" s="10">
        <f>IF(ISNUMBER(C37),IFERROR(D37/C37,""),"")</f>
        <v/>
      </c>
      <c r="G37" s="10">
        <f>IF(ISNUMBER(E37),IFERROR(D37+E37*12*$C$13,""),"")</f>
        <v/>
      </c>
      <c r="H37" t="inlineStr">
        <is>
          <t>PS-70</t>
        </is>
      </c>
    </row>
    <row r="38">
      <c r="A38" t="inlineStr">
        <is>
          <t>Barcelona</t>
        </is>
      </c>
      <c r="B38" t="inlineStr">
        <is>
          <t>Pastelería por jubilación</t>
        </is>
      </c>
      <c r="D38" s="10" t="n">
        <v>75000</v>
      </c>
      <c r="F38" s="10">
        <f>IF(ISNUMBER(C38),IFERROR(D38/C38,""),"")</f>
        <v/>
      </c>
      <c r="G38" s="10">
        <f>IF(ISNUMBER(E38),IFERROR(D38+E38*12*$C$13,""),"")</f>
        <v/>
      </c>
      <c r="H38" t="inlineStr">
        <is>
          <t>PS-70</t>
        </is>
      </c>
    </row>
    <row r="39">
      <c r="A39" t="inlineStr">
        <is>
          <t>Gran Canaria</t>
        </is>
      </c>
      <c r="B39" t="inlineStr">
        <is>
          <t>Pastelería</t>
        </is>
      </c>
      <c r="D39" s="10" t="n">
        <v>65000</v>
      </c>
      <c r="F39" s="10">
        <f>IF(ISNUMBER(C39),IFERROR(D39/C39,""),"")</f>
        <v/>
      </c>
      <c r="G39" s="10">
        <f>IF(ISNUMBER(E39),IFERROR(D39+E39*12*$C$13,""),"")</f>
        <v/>
      </c>
      <c r="H39" t="inlineStr">
        <is>
          <t>PS-70</t>
        </is>
      </c>
    </row>
    <row r="40">
      <c r="A40" t="inlineStr">
        <is>
          <t>Lleida</t>
        </is>
      </c>
      <c r="B40" t="inlineStr">
        <is>
          <t>Pastelería-cafetería, más de 36 años</t>
        </is>
      </c>
      <c r="D40" s="10" t="n">
        <v>100000</v>
      </c>
      <c r="F40" s="10">
        <f>IF(ISNUMBER(C40),IFERROR(D40/C40,""),"")</f>
        <v/>
      </c>
      <c r="G40" s="10">
        <f>IF(ISNUMBER(E40),IFERROR(D40+E40*12*$C$13,""),"")</f>
        <v/>
      </c>
      <c r="H40" t="inlineStr">
        <is>
          <t>PS-70</t>
        </is>
      </c>
    </row>
    <row r="41">
      <c r="A41" s="13" t="inlineStr">
        <is>
          <t>Traspasos con renta publicada</t>
        </is>
      </c>
      <c r="D41" s="14">
        <f>COUNT(E26:E40)</f>
        <v>5.0</v>
      </c>
    </row>
    <row r="42">
      <c r="A42" t="inlineStr">
        <is>
          <t>Precio pedido más bajo</t>
        </is>
      </c>
      <c r="D42" s="10">
        <f>IFERROR(MIN(D26:D40),"")</f>
        <v>6000.0</v>
      </c>
    </row>
    <row r="43">
      <c r="A43" t="inlineStr">
        <is>
          <t>Precio pedido más alto</t>
        </is>
      </c>
      <c r="D43" s="10">
        <f>IFERROR(MAX(D26:D40),"")</f>
        <v>100000.0</v>
      </c>
    </row>
    <row r="44">
      <c r="A44" t="inlineStr">
        <is>
          <t>Precio pedido medio</t>
        </is>
      </c>
      <c r="D44" s="10">
        <f>IFERROR(AVERAGE(D26:D40),"")</f>
        <v>38600.0</v>
      </c>
    </row>
    <row r="45">
      <c r="A45" t="inlineStr">
        <is>
          <t>El que te piden, sobre la media</t>
        </is>
      </c>
      <c r="D45" s="15">
        <f>IFERROR(C6/D44-1,"")</f>
        <v>0.11398963730569944</v>
      </c>
    </row>
    <row r="46"/>
    <row r="47" ht="48" customHeight="1">
      <c r="A47" s="7" t="inlineStr">
        <is>
          <t>Son precios PEDIDOS en anuncios de Milanuncios y negociosenventa.es leídos el 10-09-2026, no precios pagados, y ninguno viene con su cuenta de resultados. Sirven para ver la horquilla y para negociar, no para valorar. La renta sólo consta en los cinco de Barcelona (PS-69).</t>
        </is>
      </c>
    </row>
    <row r="48"/>
    <row r="49" ht="48" customHeight="1">
      <c r="A49" s="7" t="inlineStr">
        <is>
          <t>Y lo que ninguna de las quince trae: la cuenta de resultados. Un traspaso se valora por lo que gana el negocio, no por lo que pide el anuncio. Pide los modelos 303 y 390 de los tres últimos años y el resumen de la Seguridad Social de la plantilla; si no te los enseñan, ya sabes lo que estás comprando.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49:J49"/>
    <mergeCell ref="A47:J47"/>
    <mergeCell ref="A3:J3"/>
  </mergeCells>
  <conditionalFormatting sqref="C22">
    <cfRule type="cellIs" priority="1" operator="equal" dxfId="2" stopIfTrue="1">
      <formula>"Sale mejor el TRASPASO"</formula>
    </cfRule>
    <cfRule type="cellIs" priority="2" operator="equal" dxfId="1" stopIfTrue="1">
      <formula>"Sale mejor la OBRA NUEVA"</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30"/>
  <sheetViews>
    <sheetView workbookViewId="0">
      <selection activeCell="A1" sqref="A1"/>
    </sheetView>
  </sheetViews>
  <sheetFormatPr baseColWidth="8" defaultRowHeight="15"/>
  <cols>
    <col width="54" customWidth="1" min="1" max="1"/>
    <col width="18" customWidth="1" min="2" max="2"/>
    <col width="18" customWidth="1" min="3" max="3"/>
    <col width="16" customWidth="1" min="4" max="4"/>
    <col width="84" customWidth="1" min="5" max="5"/>
  </cols>
  <sheetData>
    <row r="1" ht="28" customHeight="1">
      <c r="A1" s="1" t="inlineStr">
        <is>
          <t>IVA y Tesorería del Arranque</t>
        </is>
      </c>
    </row>
    <row r="2">
      <c r="A2" t="inlineStr">
        <is>
          <t>AI Chef Pro · aichef.pro — Cómo Montar una Pastelería</t>
        </is>
      </c>
    </row>
    <row r="3" ht="26" customHeight="1">
      <c r="A3" s="7" t="inlineStr">
        <is>
          <t>El IVA de la inversión sale de tu bolsillo meses antes de volver. Es la sorpresa más cara del primer trimestre.</t>
        </is>
      </c>
    </row>
    <row r="4"/>
    <row r="5" ht="30" customHeight="1">
      <c r="A5" s="6" t="inlineStr">
        <is>
          <t>Bloque</t>
        </is>
      </c>
      <c r="B5" s="6" t="inlineStr">
        <is>
          <t>Base sin IVA</t>
        </is>
      </c>
      <c r="C5" s="6" t="inlineStr">
        <is>
          <t>IVA soportado</t>
        </is>
      </c>
      <c r="D5" s="6" t="inlineStr">
        <is>
          <t>Total con IVA</t>
        </is>
      </c>
    </row>
    <row r="6">
      <c r="A6" t="inlineStr">
        <is>
          <t>Obra civil e instalaciones</t>
        </is>
      </c>
      <c r="B6" s="10">
        <f>'CAPEX por Bloque'!K39</f>
        <v>81000.0</v>
      </c>
      <c r="C6" s="10">
        <f>'CAPEX por Bloque'!L39</f>
        <v>17010.0</v>
      </c>
      <c r="D6" s="10">
        <f>'CAPEX por Bloque'!M39</f>
        <v>98010.0</v>
      </c>
    </row>
    <row r="7">
      <c r="A7" t="inlineStr">
        <is>
          <t>Equipamiento de obrador</t>
        </is>
      </c>
      <c r="B7" s="10">
        <f>'CAPEX por Bloque'!K40</f>
        <v>54296.23834710744</v>
      </c>
      <c r="C7" s="10">
        <f>'CAPEX por Bloque'!L40</f>
        <v>11402.210052892562</v>
      </c>
      <c r="D7" s="10">
        <f>'CAPEX por Bloque'!M40</f>
        <v>65698.44840000001</v>
      </c>
    </row>
    <row r="8">
      <c r="A8" t="inlineStr">
        <is>
          <t>Tienda y vitrina</t>
        </is>
      </c>
      <c r="B8" s="10">
        <f>'CAPEX por Bloque'!K41</f>
        <v>12684.1</v>
      </c>
      <c r="C8" s="10">
        <f>'CAPEX por Bloque'!L41</f>
        <v>2663.661</v>
      </c>
      <c r="D8" s="10">
        <f>'CAPEX por Bloque'!M41</f>
        <v>15347.761</v>
      </c>
    </row>
    <row r="9">
      <c r="A9" t="inlineStr">
        <is>
          <t>Licencias y proyecto técnico</t>
        </is>
      </c>
      <c r="B9" s="10">
        <f>'CAPEX por Bloque'!K42</f>
        <v>7920.0</v>
      </c>
      <c r="C9" s="10">
        <f>'CAPEX por Bloque'!L42</f>
        <v>1260.0</v>
      </c>
      <c r="D9" s="10">
        <f>'CAPEX por Bloque'!M42</f>
        <v>9180.0</v>
      </c>
    </row>
    <row r="10">
      <c r="A10" t="inlineStr">
        <is>
          <t>Fianza y garantías</t>
        </is>
      </c>
      <c r="B10" s="10">
        <f>'CAPEX por Bloque'!K43</f>
        <v>2400.0</v>
      </c>
      <c r="C10" s="10">
        <f>'CAPEX por Bloque'!L43</f>
        <v>0.0</v>
      </c>
      <c r="D10" s="10">
        <f>'CAPEX por Bloque'!M43</f>
        <v>2400.0</v>
      </c>
    </row>
    <row r="11">
      <c r="A11" t="inlineStr">
        <is>
          <t>Packaging inicial</t>
        </is>
      </c>
      <c r="B11" s="10">
        <f>'CAPEX por Bloque'!K44</f>
        <v>2500.0</v>
      </c>
      <c r="C11" s="10">
        <f>'CAPEX por Bloque'!L44</f>
        <v>525.0</v>
      </c>
      <c r="D11" s="10">
        <f>'CAPEX por Bloque'!M44</f>
        <v>3025.0</v>
      </c>
    </row>
    <row r="12">
      <c r="A12" t="inlineStr">
        <is>
          <t>Marketing de apertura</t>
        </is>
      </c>
      <c r="B12" s="10">
        <f>'CAPEX por Bloque'!K45</f>
        <v>5000.0</v>
      </c>
      <c r="C12" s="10">
        <f>'CAPEX por Bloque'!L45</f>
        <v>1050.0</v>
      </c>
      <c r="D12" s="10">
        <f>'CAPEX por Bloque'!M45</f>
        <v>6050.0</v>
      </c>
    </row>
    <row r="13">
      <c r="A13" t="inlineStr">
        <is>
          <t>Fondo de maniobra</t>
        </is>
      </c>
      <c r="B13" s="10">
        <f>'CAPEX por Bloque'!K46</f>
        <v>62248.84</v>
      </c>
      <c r="C13" s="10">
        <f>'CAPEX por Bloque'!L46</f>
        <v>0.0</v>
      </c>
      <c r="D13" s="10">
        <f>'CAPEX por Bloque'!M46</f>
        <v>62248.84</v>
      </c>
    </row>
    <row r="14">
      <c r="A14" s="13" t="inlineStr">
        <is>
          <t>TOTAL</t>
        </is>
      </c>
      <c r="B14" s="16">
        <f>SUM(B6:B13)</f>
        <v>228049.17834710743</v>
      </c>
      <c r="C14" s="16">
        <f>SUM(C6:C13)</f>
        <v>33910.87105289256</v>
      </c>
      <c r="D14" s="16">
        <f>SUM(D6:D13)</f>
        <v>261960.0494</v>
      </c>
    </row>
    <row r="15">
      <c r="A15" s="3" t="inlineStr">
        <is>
          <t>Cuándo vuelve ese IVA</t>
        </is>
      </c>
    </row>
    <row r="16">
      <c r="A16" t="inlineStr">
        <is>
          <t>Periodicidad de tu declaración (meses)</t>
        </is>
      </c>
      <c r="B16" s="14">
        <f>'Parámetros'!B23</f>
        <v>3.0</v>
      </c>
    </row>
    <row r="17">
      <c r="A17" t="inlineStr">
        <is>
          <t>Meses hasta recuperarlo</t>
        </is>
      </c>
      <c r="B17" s="14">
        <f>'Parámetros'!B24</f>
        <v>4.0</v>
      </c>
    </row>
    <row r="18" ht="62" customHeight="1">
      <c r="A18" s="13" t="inlineStr">
        <is>
          <t>IVA que tienes que adelantar</t>
        </is>
      </c>
      <c r="B18" s="16">
        <f>C14</f>
        <v>33910.87105289256</v>
      </c>
      <c r="E18" s="4" t="inlineStr">
        <is>
          <t>En régimen general lo normal NO es que Hacienda te lo devuelva: es que lo compenses contra el IVA que repercutes. O sea, que vuelve al ritmo al que factures, no en una fecha. Si te inscribes en el registro de devolución mensual, la periodicidad pasa a 1 y la espera se acorta mucho: pregúntale a tu asesor antes de firmar la primera factura, no después.</t>
        </is>
      </c>
    </row>
    <row r="19"/>
    <row r="20">
      <c r="A20" s="3" t="inlineStr">
        <is>
          <t>La caja del día que abres</t>
        </is>
      </c>
    </row>
    <row r="21">
      <c r="A21" t="inlineStr">
        <is>
          <t>CAPEX sin IVA</t>
        </is>
      </c>
      <c r="B21" s="10">
        <f>B14</f>
        <v>228049.17834710743</v>
      </c>
    </row>
    <row r="22">
      <c r="A22" t="inlineStr">
        <is>
          <t>IVA soportado</t>
        </is>
      </c>
      <c r="B22" s="10">
        <f>C14</f>
        <v>33910.87105289256</v>
      </c>
    </row>
    <row r="23">
      <c r="A23" s="13" t="inlineStr">
        <is>
          <t>Desembolso total con IVA</t>
        </is>
      </c>
      <c r="B23" s="16">
        <f>D14</f>
        <v>261960.0494</v>
      </c>
    </row>
    <row r="24">
      <c r="A24" s="4" t="inlineStr">
        <is>
          <t>Del cual, fondo de maniobra (es caja, no inversión)</t>
        </is>
      </c>
      <c r="B24" s="10">
        <f>'CAPEX por Bloque'!K46</f>
        <v>62248.84</v>
      </c>
    </row>
    <row r="25">
      <c r="A25" t="inlineStr">
        <is>
          <t>Financiación bancaria disponible</t>
        </is>
      </c>
      <c r="B25" s="10">
        <f>'Parámetros'!B25</f>
        <v>60000.0</v>
      </c>
    </row>
    <row r="26">
      <c r="A26" s="13" t="inlineStr">
        <is>
          <t>Aportación propia necesaria</t>
        </is>
      </c>
      <c r="B26" s="16">
        <f>IFERROR(B23-B25,"")</f>
        <v>201960.0494</v>
      </c>
    </row>
    <row r="27" ht="44" customHeight="1">
      <c r="A27" t="inlineStr">
        <is>
          <t>Meses de gastos fijos que cubre el fondo de maniobra</t>
        </is>
      </c>
      <c r="B27" s="23">
        <f>IFERROR(B24/'Parámetros'!B18,"")</f>
        <v>4.0</v>
      </c>
      <c r="E27" s="4" t="inlineStr">
        <is>
          <t>Por debajo del colchón mínimo de «Parámetros», el negocio depende de facturar desde la primera semana. Es la causa de cierre más frecuente de un local que por lo demás funcionaba.</t>
        </is>
      </c>
    </row>
    <row r="28">
      <c r="A28" s="13" t="inlineStr">
        <is>
          <t>VEREDICTO DE LA CAJA</t>
        </is>
      </c>
      <c r="B28" s="22" t="str">
        <f>IF(B26="","",IF(B26&lt;=0,"La financiación cubre el desembolso",IF(B27&lt;'Parámetros'!$B$17,"Te falta colchón: revisa el fondo de maniobra","Necesitas aportación propia")))</f>
        <v>Necesitas aportación propia</v>
      </c>
    </row>
    <row r="29"/>
    <row r="30" ht="40" customHeight="1">
      <c r="A30" s="7" t="inlineStr">
        <is>
          <t>Que necesites aportación propia no es una mala noticia: ningún banco financia el 100 % de una apertura, y el que lo hiciera te estaría dejando sin margen de maniobra. Lo que sí es mala noticia es descubrirlo el mes de la firma.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0:E30"/>
  </mergeCells>
  <conditionalFormatting sqref="B27">
    <cfRule type="expression" priority="1" dxfId="0" stopIfTrue="1">
      <formula>=AND(ISNUMBER($B$27),$B$27&lt;'Parámetros'!$B$17)</formula>
    </cfRule>
  </conditionalFormatting>
  <conditionalFormatting sqref="B28">
    <cfRule type="cellIs" priority="2" operator="equal" dxfId="0" stopIfTrue="1">
      <formula>"Te falta colchón: revisa el fondo de maniobra"</formula>
    </cfRule>
    <cfRule type="cellIs" priority="3" operator="equal" dxfId="1" stopIfTrue="1">
      <formula>"Necesitas aportación propia"</formula>
    </cfRule>
    <cfRule type="cellIs" priority="4" operator="equal" dxfId="2" stopIfTrue="1">
      <formula>"La financiación cubre el desembolso"</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23"/>
  <sheetViews>
    <sheetView workbookViewId="0">
      <selection activeCell="A1" sqref="A1"/>
    </sheetView>
  </sheetViews>
  <sheetFormatPr baseColWidth="8" defaultRowHeight="15"/>
  <cols>
    <col width="58" customWidth="1" min="1" max="1"/>
    <col width="20" customWidth="1" min="2" max="2"/>
    <col width="22" customWidth="1" min="3" max="3"/>
    <col width="84" customWidth="1" min="4" max="4"/>
  </cols>
  <sheetData>
    <row r="1" ht="28" customHeight="1">
      <c r="A1" s="1" t="inlineStr">
        <is>
          <t>Resumen</t>
        </is>
      </c>
    </row>
    <row r="2">
      <c r="A2" t="inlineStr">
        <is>
          <t>AI Chef Pro · aichef.pro — Cómo Montar una Pastelería</t>
        </is>
      </c>
    </row>
    <row r="3" ht="26" customHeight="1">
      <c r="A3" s="7" t="inlineStr">
        <is>
          <t>Las cifras que hay que llevar al banco. Todas calculadas desde las hojas anteriores; aquí no se teclea nada.</t>
        </is>
      </c>
    </row>
    <row r="4"/>
    <row r="5" ht="30" customHeight="1">
      <c r="A5" s="6" t="inlineStr">
        <is>
          <t>Cifra</t>
        </is>
      </c>
      <c r="B5" s="6" t="inlineStr">
        <is>
          <t>Valor</t>
        </is>
      </c>
      <c r="C5" s="6" t="inlineStr">
        <is>
          <t>De dónde sale</t>
        </is>
      </c>
      <c r="D5" s="6" t="inlineStr">
        <is>
          <t>Qué dice</t>
        </is>
      </c>
    </row>
    <row r="6" ht="40" customHeight="1">
      <c r="A6" s="4" t="inlineStr">
        <is>
          <t>Escenario de obra elegido</t>
        </is>
      </c>
      <c r="B6" t="str">
        <f>'Parámetros'!B10</f>
        <v>Medio</v>
      </c>
      <c r="C6" t="inlineStr">
        <is>
          <t>Parámetros</t>
        </is>
      </c>
      <c r="D6" s="4" t="inlineStr">
        <is>
          <t>Bajo, medio o alto. Cambiarlo recalcula todo el libro.</t>
        </is>
      </c>
    </row>
    <row r="7" ht="40" customHeight="1">
      <c r="A7" s="4" t="inlineStr">
        <is>
          <t>Obra civil</t>
        </is>
      </c>
      <c r="B7" s="10">
        <f>'Parámetros'!B12</f>
        <v>81000.0</v>
      </c>
      <c r="C7" t="inlineStr">
        <is>
          <t>Parámetros</t>
        </is>
      </c>
      <c r="D7" s="4" t="inlineStr">
        <is>
          <t>Metros por el precio del escenario. La partida más grande y la que más se desvía en la ejecución.</t>
        </is>
      </c>
    </row>
    <row r="8" ht="40" customHeight="1">
      <c r="A8" s="4" t="inlineStr">
        <is>
          <t>CAPEX total sin IVA</t>
        </is>
      </c>
      <c r="B8" s="10">
        <f>'CAPEX por Bloque'!K47</f>
        <v>228049.17834710743</v>
      </c>
      <c r="C8" t="inlineStr">
        <is>
          <t>CAPEX por Bloque</t>
        </is>
      </c>
      <c r="D8" s="4" t="inlineStr">
        <is>
          <t>Todo llevado a base imponible: es la cifra que se compara con cualquier otro presupuesto.</t>
        </is>
      </c>
    </row>
    <row r="9" ht="40" customHeight="1">
      <c r="A9" s="4" t="inlineStr">
        <is>
          <t>IVA soportado</t>
        </is>
      </c>
      <c r="B9" s="10">
        <f>'CAPEX por Bloque'!L47</f>
        <v>33910.87105289256</v>
      </c>
      <c r="C9" t="inlineStr">
        <is>
          <t>CAPEX por Bloque</t>
        </is>
      </c>
      <c r="D9" s="4" t="inlineStr">
        <is>
          <t>Dinero tuyo que adelantas y que vuelve al ritmo al que factures.</t>
        </is>
      </c>
    </row>
    <row r="10" ht="40" customHeight="1">
      <c r="A10" s="4" t="inlineStr">
        <is>
          <t>Desembolso total con IVA</t>
        </is>
      </c>
      <c r="B10" s="10">
        <f>'CAPEX por Bloque'!M47</f>
        <v>261960.0494</v>
      </c>
      <c r="C10" t="inlineStr">
        <is>
          <t>CAPEX por Bloque</t>
        </is>
      </c>
      <c r="D10" s="4" t="inlineStr">
        <is>
          <t>Lo que sale de la cuenta. Es el número de la conversación con el banco.</t>
        </is>
      </c>
    </row>
    <row r="11" ht="40" customHeight="1">
      <c r="A11" s="4" t="inlineStr">
        <is>
          <t>Subtotal comparable con el sector</t>
        </is>
      </c>
      <c r="B11" s="10">
        <f>'CAPEX por Bloque'!K51</f>
        <v>160900.33834710743</v>
      </c>
      <c r="C11" t="inlineStr">
        <is>
          <t>CAPEX por Bloque</t>
        </is>
      </c>
      <c r="D11" s="4" t="inlineStr">
        <is>
          <t>Obra, equipamiento, tienda, licencias y marketing: lo que incluyen los presupuestos publicados.</t>
        </is>
      </c>
    </row>
    <row r="12" ht="40" customHeight="1">
      <c r="A12" s="4" t="inlineStr">
        <is>
          <t>Desviación sobre el escenario publicado</t>
        </is>
      </c>
      <c r="B12" s="15">
        <f>'CAPEX por Bloque'!K53</f>
        <v>0.17445502443144112</v>
      </c>
      <c r="C12" t="inlineStr">
        <is>
          <t>CAPEX por Bloque</t>
        </is>
      </c>
      <c r="D12" s="4" t="inlineStr">
        <is>
          <t>Dos fuentes independientes en el mismo orden de magnitud. La desviación se explica, no se maquilla.</t>
        </is>
      </c>
    </row>
    <row r="13" ht="40" customHeight="1">
      <c r="A13" s="4" t="inlineStr">
        <is>
          <t>Equipamiento de obrador</t>
        </is>
      </c>
      <c r="B13" s="10">
        <f>'CAPEX por Bloque'!K40</f>
        <v>54296.23834710744</v>
      </c>
      <c r="C13" t="inlineStr">
        <is>
          <t>CAPEX por Bloque</t>
        </is>
      </c>
      <c r="D13" s="4" t="inlineStr">
        <is>
          <t>Sin los opcionales, que vienen marcados «No».</t>
        </is>
      </c>
    </row>
    <row r="14" ht="40" customHeight="1">
      <c r="A14" s="4" t="inlineStr">
        <is>
          <t>Tienda y vitrina</t>
        </is>
      </c>
      <c r="B14" s="10">
        <f>'CAPEX por Bloque'!K41</f>
        <v>12684.1</v>
      </c>
      <c r="C14" t="inlineStr">
        <is>
          <t>CAPEX por Bloque</t>
        </is>
      </c>
      <c r="D14" s="4" t="inlineStr">
        <is>
          <t>Vitrina, mobiliario de despacho y TPV.</t>
        </is>
      </c>
    </row>
    <row r="15" ht="40" customHeight="1">
      <c r="A15" s="4" t="inlineStr">
        <is>
          <t>Fondo de maniobra</t>
        </is>
      </c>
      <c r="B15" s="10">
        <f>'CAPEX por Bloque'!K46</f>
        <v>62248.84</v>
      </c>
      <c r="C15" t="inlineStr">
        <is>
          <t>CAPEX por Bloque</t>
        </is>
      </c>
      <c r="D15" s="4" t="inlineStr">
        <is>
          <t>Meses de colchón por gastos fijos. Es inversión, no prudencia.</t>
        </is>
      </c>
    </row>
    <row r="16" ht="40" customHeight="1">
      <c r="A16" s="4" t="inlineStr">
        <is>
          <t>Aportación propia necesaria</t>
        </is>
      </c>
      <c r="B16" s="10">
        <f>'IVA y Tesorería'!B26</f>
        <v>201960.0494</v>
      </c>
      <c r="C16" t="inlineStr">
        <is>
          <t>IVA y Tesorería</t>
        </is>
      </c>
      <c r="D16" s="4" t="inlineStr">
        <is>
          <t>Desembolso menos financiación bancaria.</t>
        </is>
      </c>
    </row>
    <row r="17" ht="40" customHeight="1">
      <c r="A17" s="4" t="inlineStr">
        <is>
          <t>Meses de gastos fijos cubiertos</t>
        </is>
      </c>
      <c r="B17" s="23">
        <f>'IVA y Tesorería'!B27</f>
        <v>4.0</v>
      </c>
      <c r="C17" t="inlineStr">
        <is>
          <t>IVA y Tesorería</t>
        </is>
      </c>
      <c r="D17" s="4" t="inlineStr">
        <is>
          <t>Por debajo de tres, el negocio depende de facturar desde la primera semana.</t>
        </is>
      </c>
    </row>
    <row r="18" ht="40" customHeight="1">
      <c r="A18" s="4" t="inlineStr">
        <is>
          <t>Veredicto de la caja</t>
        </is>
      </c>
      <c r="B18" t="str">
        <f>'IVA y Tesorería'!B28</f>
        <v>Necesitas aportación propia</v>
      </c>
      <c r="C18" t="inlineStr">
        <is>
          <t>IVA y Tesorería</t>
        </is>
      </c>
      <c r="D18" s="4" t="inlineStr">
        <is>
          <t>Si la financiación cubre el desembolso o hace falta poner dinero.</t>
        </is>
      </c>
    </row>
    <row r="19" ht="40" customHeight="1">
      <c r="A19" s="4" t="inlineStr">
        <is>
          <t>Coste del traspaso en el horizonte</t>
        </is>
      </c>
      <c r="B19" s="10">
        <f>'Traspaso vs Obra Nueva'!C19</f>
        <v>144250.0</v>
      </c>
      <c r="C19" t="inlineStr">
        <is>
          <t>Traspaso vs Obra Nueva</t>
        </is>
      </c>
      <c r="D19" s="4" t="inlineStr">
        <is>
          <t>Precio pedido, adecuación y renta de todos los años, más la parada.</t>
        </is>
      </c>
    </row>
    <row r="20" ht="40" customHeight="1">
      <c r="A20" s="4" t="inlineStr">
        <is>
          <t>Coste de la obra nueva en el horizonte</t>
        </is>
      </c>
      <c r="B20" s="10">
        <f>'Traspaso vs Obra Nueva'!C20</f>
        <v>237700.33834710743</v>
      </c>
      <c r="C20" t="inlineStr">
        <is>
          <t>Traspaso vs Obra Nueva</t>
        </is>
      </c>
      <c r="D20" s="4" t="inlineStr">
        <is>
          <t>CAPEX comparable y renta de todos los años, más los meses de obra.</t>
        </is>
      </c>
    </row>
    <row r="21" ht="40" customHeight="1">
      <c r="A21" s="4" t="inlineStr">
        <is>
          <t>Traspaso o obra nueva</t>
        </is>
      </c>
      <c r="B21" t="str">
        <f>'Traspaso vs Obra Nueva'!C22</f>
        <v>Sale mejor el TRASPASO</v>
      </c>
      <c r="C21" t="inlineStr">
        <is>
          <t>Traspaso vs Obra Nueva</t>
        </is>
      </c>
      <c r="D21" s="4" t="inlineStr">
        <is>
          <t>Compara dinero. La distribución del local y la clientela no salen en esta celda.</t>
        </is>
      </c>
    </row>
    <row r="22"/>
    <row r="23" ht="40" customHeight="1">
      <c r="A23" s="7" t="inlineStr">
        <is>
          <t>Si alguna de estas cifras no te cuadra, no la cambies aquí: esta hoja no tiene ni una celda editable. Vuelve a la hoja donde nace y cambia el parámetro o el importe. Es lo que evita que un resumen y su origen digan cosas distintas.</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D3"/>
    <mergeCell ref="A23:D23"/>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inversión inicial (CAPEX)</dc:title>
  <dc:subject xmlns:dc="http://purl.org/dc/elements/1.1/">Cómo Montar una Pastelería · Versión 1.0 · septiembre 2026</dc:subject>
  <dcterms:created xmlns:dcterms="http://purl.org/dc/terms/" xmlns:xsi="http://www.w3.org/2001/XMLSchema-instance" xsi:type="dcterms:W3CDTF">2026-09-10T03:31:02Z</dcterms:created>
  <dcterms:modified xmlns:dcterms="http://purl.org/dc/terms/" xmlns:xsi="http://www.w3.org/2001/XMLSchema-instance" xsi:type="dcterms:W3CDTF">2026-09-10T03:31:02Z</dcterms:modified>
  <cp:lastModifiedBy>AI Chef Pro</cp:lastModifiedBy>
</cp:coreProperties>
</file>