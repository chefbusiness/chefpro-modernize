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Turnos Semanales" sheetId="3" state="visible" r:id="rId3"/>
    <sheet xmlns:r="http://schemas.openxmlformats.org/officeDocument/2006/relationships" name="Horas y Coste" sheetId="4" state="visible" r:id="rId4"/>
    <sheet xmlns:r="http://schemas.openxmlformats.org/officeDocument/2006/relationships" name="Plan de Contratación" sheetId="5" state="visible" r:id="rId5"/>
  </sheets>
  <definedNames>
    <definedName name="_xlnm.Print_Titles" localSheetId="1">'Parámetros'!$7:$7</definedName>
    <definedName name="_xlnm.Print_Area" localSheetId="1">'Parámetros'!$A$1:$G$32</definedName>
    <definedName name="_xlnm.Print_Titles" localSheetId="2">'Turnos Semanales'!$10:$10</definedName>
    <definedName name="_xlnm.Print_Area" localSheetId="2">'Turnos Semanales'!$A$1:$O$38</definedName>
    <definedName name="_xlnm.Print_Titles" localSheetId="3">'Horas y Coste'!$6:$6</definedName>
    <definedName name="_xlnm.Print_Area" localSheetId="3">'Horas y Coste'!$A$1:$N$36</definedName>
    <definedName name="_xlnm.Print_Titles" localSheetId="4">'Plan de Contratación'!$6:$6</definedName>
    <definedName name="_xlnm.Print_Area" localSheetId="4">'Plan de Contratación'!$A$1:$K$46</definedName>
  </definedNames>
  <calcPr calcId="124519" fullCalcOnLoad="1"/>
</workbook>
</file>

<file path=xl/styles.xml><?xml version="1.0" encoding="utf-8"?>
<styleSheet xmlns="http://schemas.openxmlformats.org/spreadsheetml/2006/main">
  <numFmts count="5">
    <numFmt numFmtId="164" formatCode="#,##0.00 €"/>
    <numFmt numFmtId="165" formatCode="0.0%"/>
    <numFmt numFmtId="166" formatCode="#,##0.0"/>
    <numFmt numFmtId="167" formatCode="yyyy-mm-dd"/>
    <numFmt numFmtId="168" formatCode="dd/mm/yyyy"/>
  </numFmts>
  <fonts count="8">
    <font>
      <name val="Calibri"/>
      <family val="2"/>
      <color theme="1"/>
      <sz val="11"/>
      <scheme val="minor"/>
    </font>
    <font>
      <b val="1"/>
      <color rgb="00FFD700"/>
      <sz val="16"/>
    </font>
    <font>
      <i val="1"/>
      <sz val="9"/>
    </font>
    <font>
      <b val="1"/>
      <color theme="1"/>
      <sz val="11"/>
    </font>
    <font>
      <b val="1"/>
      <sz val="12"/>
    </font>
    <font>
      <i val="1"/>
      <sz val="8"/>
    </font>
    <font>
      <b val="1"/>
      <color rgb="00FFFFFF"/>
      <sz val="9"/>
    </font>
    <font>
      <b val="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2"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applyAlignment="1" pivotButton="0" quotePrefix="0" xfId="0">
      <alignment horizontal="center" vertical="top"/>
    </xf>
    <xf numFmtId="164" fontId="0" fillId="2" borderId="0" applyProtection="1" pivotButton="0" quotePrefix="0" xfId="0">
      <protection locked="0" hidden="0"/>
    </xf>
    <xf numFmtId="164" fontId="0" fillId="0" borderId="0" pivotButton="0" quotePrefix="0" xfId="0"/>
    <xf numFmtId="0" fontId="3" fillId="0" borderId="0" pivotButton="0" quotePrefix="0" xfId="0"/>
    <xf numFmtId="3" fontId="0" fillId="2" borderId="0" applyProtection="1" pivotButton="0" quotePrefix="0" xfId="0">
      <protection locked="0" hidden="0"/>
    </xf>
    <xf numFmtId="164" fontId="3" fillId="4" borderId="0" pivotButton="0" quotePrefix="0" xfId="0"/>
    <xf numFmtId="0" fontId="3" fillId="4" borderId="0" pivotButton="0" quotePrefix="0" xfId="0"/>
    <xf numFmtId="0" fontId="7" fillId="0" borderId="0" pivotButton="0" quotePrefix="0" xfId="0"/>
    <xf numFmtId="165" fontId="0" fillId="2" borderId="0" applyProtection="1" pivotButton="0" quotePrefix="0" xfId="0">
      <protection locked="0" hidden="0"/>
    </xf>
    <xf numFmtId="0" fontId="0" fillId="2"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2" borderId="0" applyAlignment="1" applyProtection="1" pivotButton="0" quotePrefix="0" xfId="0">
      <alignment horizontal="center" vertical="top"/>
      <protection locked="0" hidden="0"/>
    </xf>
    <xf numFmtId="3" fontId="3" fillId="0" borderId="0" pivotButton="0" quotePrefix="0" xfId="0"/>
    <xf numFmtId="3" fontId="0" fillId="0" borderId="0" pivotButton="0" quotePrefix="0" xfId="0"/>
    <xf numFmtId="3" fontId="3" fillId="4" borderId="0" pivotButton="0" quotePrefix="0" xfId="0"/>
    <xf numFmtId="0" fontId="0" fillId="0" borderId="0" applyAlignment="1" pivotButton="0" quotePrefix="0" xfId="0">
      <alignment horizontal="center"/>
    </xf>
    <xf numFmtId="166" fontId="3" fillId="4" borderId="0" pivotButton="0" quotePrefix="0" xfId="0"/>
    <xf numFmtId="4" fontId="0" fillId="0" borderId="0" pivotButton="0" quotePrefix="0" xfId="0"/>
    <xf numFmtId="4" fontId="3" fillId="4" borderId="0" pivotButton="0" quotePrefix="0" xfId="0"/>
    <xf numFmtId="168" fontId="0" fillId="2" borderId="0"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 Chef Pro</author>
  </authors>
  <commentList>
    <comment ref="C8" authorId="0" shapeId="0">
      <text>
        <t>Bruto mensual del grupo 1 a 15 pagas — Verificado el 10-09-2026 · Resolución de 7 de febrero de 2026 de la D.G. de Trabajo de la Comunidad de Madrid, revisión salarial 2026 del convenio código 28001025011981. BOCM núm. 50 · https://www.bocm.es/boletin/CM_Orden_BOCM/2026/02/28/BOCM-20260228-2.PDF</t>
      </text>
    </comment>
    <comment ref="C9" authorId="0" shapeId="0">
      <text>
        <t>Bruto mensual del grupo 2 a 15 pagas — Verificado el 10-09-2026 · Resolución de 7 de febrero de 2026 de la D.G. de Trabajo de la Comunidad de Madrid, revisión salarial 2026 del convenio código 28001025011981. BOCM núm. 50 · https://www.bocm.es/boletin/CM_Orden_BOCM/2026/02/28/BOCM-20260228-2.PDF</t>
      </text>
    </comment>
    <comment ref="C10" authorId="0" shapeId="0">
      <text>
        <t>Bruto mensual del grupo 3 a 15 pagas — Verificado el 10-09-2026 · Resolución de 7 de febrero de 2026 de la D.G. de Trabajo de la Comunidad de Madrid, revisión salarial 2026 del convenio código 28001025011981. BOCM núm. 50 · https://www.bocm.es/boletin/CM_Orden_BOCM/2026/02/28/BOCM-20260228-2.PDF</t>
      </text>
    </comment>
    <comment ref="C11" authorId="0" shapeId="0">
      <text>
        <t>Bruto mensual del grupo 4 a 15 pagas — Verificado el 10-09-2026 · Resolución de 7 de febrero de 2026 de la D.G. de Trabajo de la Comunidad de Madrid, revisión salarial 2026 del convenio código 28001025011981. BOCM núm. 50 · https://www.bocm.es/boletin/CM_Orden_BOCM/2026/02/28/BOCM-20260228-2.PDF</t>
      </text>
    </comment>
    <comment ref="C12" authorId="0" shapeId="0">
      <text>
        <t>Bruto mensual del grupo 5 a 15 pagas — Verificado el 10-09-2026 · Resolución de 7 de febrero de 2026 de la D.G. de Trabajo de la Comunidad de Madrid, revisión salarial 2026 del convenio código 28001025011981. BOCM núm. 50 · https://www.bocm.es/boletin/CM_Orden_BOCM/2026/02/28/BOCM-20260228-2.PDF</t>
      </text>
    </comment>
    <comment ref="C13" authorId="0" shapeId="0">
      <text>
        <t>Bruto mensual del grupo 6 a 15 pagas — Verificado el 10-09-2026 · Resolución de 7 de febrero de 2026 de la D.G. de Trabajo de la Comunidad de Madrid, revisión salarial 2026 del convenio código 28001025011981. BOCM núm. 50 · https://www.bocm.es/boletin/CM_Orden_BOCM/2026/02/28/BOCM-20260228-2.PDF</t>
      </text>
    </comment>
    <comment ref="C15" authorId="0" shapeId="0">
      <text>
        <t>Las tablas de Madrid son a 15 pagas — Verificado el 10-09-2026 · Resolución de 7 de febrero de 2026 de la D.G. de Trabajo de la Comunidad de Madrid, revisión salarial 2026 del convenio código 28001025011981. BOCM núm. 50 · https://www.bocm.es/boletin/CM_Orden_BOCM/2026/02/28/BOCM-20260228-2.PDF</t>
      </text>
    </comment>
    <comment ref="C17" authorId="0" shapeId="0">
      <text>
        <t>SMI 2026: 1.221 €/mes y referencia anual de 17.094 € — Verificado el 10-09-2026 · RD 126/2026, de 18 de febrero, arts. 1, 3.1, 4.1 y 4.2 (texto consolidado, sin modificaciones) · https://www.boe.es/buscar/act.php?id=BOE-A-2026-3815</t>
      </text>
    </comment>
    <comment ref="C24" authorId="0" shapeId="0">
      <text>
        <t>Libertad horaria de la pastelería — Verificado el 10-09-2026 · Ley 1/2004, de 21 de diciembre, de Horarios Comerciales, arts. 3.1, 4.1, 4.2, 5.1 y 5.2 (texto consolidado, última modificación 17-10-2014) · https://www.boe.es/buscar/act.php?id=BOE-A-2004-21421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0"/>
  <sheetViews>
    <sheetView workbookViewId="0">
      <selection activeCell="A1" sqref="A1"/>
    </sheetView>
  </sheetViews>
  <sheetFormatPr baseColWidth="8" defaultRowHeight="15"/>
  <cols>
    <col width="48" customWidth="1" min="1" max="1"/>
    <col width="48" customWidth="1" min="2" max="2"/>
    <col width="48" customWidth="1" min="3" max="3"/>
  </cols>
  <sheetData>
    <row r="1" ht="30" customHeight="1">
      <c r="A1" s="1" t="inlineStr">
        <is>
          <t>Plantilla, turnos y coste de personal</t>
        </is>
      </c>
    </row>
    <row r="2">
      <c r="A2" t="inlineStr">
        <is>
          <t>AI Chef Pro · aichef.pro — Cómo Montar una Pastelería</t>
        </is>
      </c>
    </row>
    <row r="3">
      <c r="A3" s="2" t="inlineStr">
        <is>
          <t>Para qué sirve: decidir cuánta gente necesitas, de qué perfil, en qué turno y cuánto cuesta de verdad con la Seguridad Social dentro.</t>
        </is>
      </c>
    </row>
    <row r="4"/>
    <row r="5">
      <c r="A5" s="3" t="inlineStr">
        <is>
          <t>Instrucciones de uso</t>
        </is>
      </c>
    </row>
    <row r="6" ht="62" customHeight="1">
      <c r="A6" s="4" t="inlineStr">
        <is>
          <t>1. Hoja «Parámetros»: los seis grupos del convenio de pastelería de Madrid de 2026, las pagas, la Seguridad Social a cargo de la empresa, la jornada completa y el mes en el que piensas abrir. Todo en verde: si tu provincia tiene convenio propio -y casi todas lo tienen-, sustituye los seis brutos por los tuyos y el libro entero se recalcula.</t>
        </is>
      </c>
    </row>
    <row r="7" ht="62" customHeight="1">
      <c r="A7" s="4" t="inlineStr">
        <is>
          <t>2. Hoja «Turnos Semanales»: cuántas horas hace cada persona cada día. Viene rellena con la plantilla del caso «La Clara»: cinco personas y 3,5 jornadas. La hoja suma las horas por persona y por día, separa obrador de despacho y avisa si algún día que abres se queda sin nadie en el mostrador.</t>
        </is>
      </c>
    </row>
    <row r="8" ht="62" customHeight="1">
      <c r="A8" s="4" t="inlineStr">
        <is>
          <t>3. Hoja «Horas y Coste»: asigna a cada persona su grupo de convenio y la hoja calcula el bruto ajustado a su jornada, el bruto anual con las 15 pagas, el coste de empresa con la Seguridad Social dentro y el coste por hora. Avisa si alguien pasa de la jornada completa y si un grupo se te queda por debajo del SMI.</t>
        </is>
      </c>
    </row>
    <row r="9" ht="62" customHeight="1">
      <c r="A9" s="4" t="inlineStr">
        <is>
          <t>4. Hoja «Plan de Contratación»: cuándo das de alta a cada uno y cuánto cuesta el primer año, que NO es el año de crucero porque nadie entra el día 1. Debajo, el refuerzo de las seis campañas: personas, horas y coste de cada pico.</t>
        </is>
      </c>
    </row>
    <row r="10" ht="62" customHeight="1">
      <c r="A10" s="4" t="inlineStr">
        <is>
          <t>5. Lleva al libro 5 (plan financiero) sólo dos números: el coste de personal del año de crucero y el del primer año. Se copian a mano, a propósito: en todo este pack no hay ni una fórmula que apunte a otro fichero.</t>
        </is>
      </c>
    </row>
    <row r="11"/>
    <row r="12">
      <c r="A12" s="5" t="inlineStr">
        <is>
          <t>Celdas verdes = campos editables</t>
        </is>
      </c>
    </row>
    <row r="13"/>
    <row r="14">
      <c r="A14" s="3" t="inlineStr">
        <is>
          <t>Lo que conviene saber antes de empezar</t>
        </is>
      </c>
    </row>
    <row r="15" ht="76" customHeight="1">
      <c r="A15" s="4" t="inlineStr">
        <is>
          <t>DEL BRUTO AL COSTE DE EMPRESA HAY UN 33 %, Y ESE ES EL NÚMERO QUE HUNDE LOS PLANES. Un ayudante de 1.192,42 € al mes no cuesta 1.192,42 €: con 15 pagas y la Seguridad Social a cargo de la empresa cuesta casi 24.000 € al año a jornada completa. La plantilla del caso «La Clara» -cinco personas, 3,5 jornadas- sale por encima de los 92.000 € anuales. Ese es el número que se lleva al plan financiero.</t>
        </is>
      </c>
    </row>
    <row r="16" ht="76" customHeight="1">
      <c r="A16" s="4" t="inlineStr">
        <is>
          <t>EN PASTELERÍA MANDA EL CONVENIO, NO EL SMI. El grupo más bajo del convenio de Madrid está en 17.886,30 € al año, por encima de la referencia anual del SMI de 2026 (17.094 €). Por eso el SMI aparece aquí sólo como aviso: si tecleas un convenio cuyo grupo más bajo se queda por debajo, la hoja lo marca. Y ojo con la fecha: la tabla de Madrid caduca el 31-12-2026 y el convenio entra en renegociación.</t>
        </is>
      </c>
    </row>
    <row r="17" ht="76" customHeight="1">
      <c r="A17" s="4" t="inlineStr">
        <is>
          <t>LAS 15 PAGAS NO SON UN DETALLE. El convenio de pastelería de Madrid paga quince, no catorce. Sobre el grupo 2 son 1.427,89 € más al año por persona respecto de calcularlo con catorce: en una plantilla de 3,5 jornadas, más de 4.000 € que no estaban en el plan.</t>
        </is>
      </c>
    </row>
    <row r="18" ht="76" customHeight="1">
      <c r="A18" s="4" t="inlineStr">
        <is>
          <t>ESTE LIBRO NO REHACE LAS FICHAS DE PUESTO. Lo que hace cada perfil -Jefe Pastelero, Pastelero, Ayudante y Dependiente Vitrina- está en el 04-tareas-perfiles.xlsx del Kit de Tareas Pastelería (12 €), con sus tareas por turno. Aquí se decide cuántas personas de cada perfil hacen falta, en qué horario y cuánto cuestan. Son dos preguntas distintas y no se pisan.</t>
        </is>
      </c>
    </row>
    <row r="19" ht="76" customHeight="1">
      <c r="A19" s="4" t="inlineStr">
        <is>
          <t>EL REFUERZO DE CAMPAÑA NO ES PLANTILLA. Reyes multiplica por seis la producción del obrador con el mismo equipo y la misma gente: o refuerzas, o no sales. El coste de ese refuerzo se calcula abajo con el coste por hora del convenio, y hay que meterlo en la tesorería del mes ANTES de la campaña, porque se paga a mes vencido y se cobra en la campaña.</t>
        </is>
      </c>
    </row>
    <row r="20"/>
    <row r="21">
      <c r="A21" s="3" t="inlineStr">
        <is>
          <t>Cada cuánto se usa este libro</t>
        </is>
      </c>
    </row>
    <row r="22" ht="52" customHeight="1">
      <c r="A22" s="4" t="inlineStr">
        <is>
          <t>Cadencia: UNA VEZ al dimensionar la plantilla, antes de firmar nada; OTRA VEZ antes de cada una de las seis campañas, para decidir el refuerzo; y una revisión ANUAL cuando se publique la revisión salarial del convenio, que en Madrid sale en el BOCM de febrero. Los turnos del día a día no se llevan aquí: se llevan en el cuadrante del obrador.</t>
        </is>
      </c>
    </row>
    <row r="23"/>
    <row r="24">
      <c r="A24" s="3" t="inlineStr">
        <is>
          <t>La frontera con el Kit de Tareas Pastelería (12 €)</t>
        </is>
      </c>
    </row>
    <row r="25" ht="76" customHeight="1">
      <c r="A25" s="4" t="inlineStr">
        <is>
          <t>El kit tiene el 04-tareas-perfiles.xlsx con una pestaña por perfil: Jefe Pastelero, Pastelero, Ayudante y Dependiente Vitrina, con lo que hace cada uno en cada turno. Este libro NO lo repite y no lo sustituye: construye el dimensionado (cuántas personas de cada perfil, con su bruto de convenio y su Seguridad Social) y el plan de contratación con sus fechas. Si tienes los dos productos, el kit te dice qué hace cada uno y este libro cuánto te cuesta.</t>
        </is>
      </c>
    </row>
    <row r="26"/>
    <row r="27">
      <c r="A27" s="4" t="inlineStr">
        <is>
          <t>Para editar la estructura o una celda que no esté en verde: Revisar &gt; Desproteger hoja (no tiene contraseña).</t>
        </is>
      </c>
    </row>
    <row r="28"/>
    <row r="29">
      <c r="A29" s="2" t="inlineStr">
        <is>
          <t>Diseñado por John Guerrero — chef y consultor gastronómico desde 2010, en cocina desde los 17 años.</t>
        </is>
      </c>
    </row>
    <row r="30">
      <c r="A30"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3">
    <mergeCell ref="A6:C6"/>
    <mergeCell ref="A10:C10"/>
    <mergeCell ref="A22:C22"/>
    <mergeCell ref="A16:C16"/>
    <mergeCell ref="A17:C17"/>
    <mergeCell ref="A9:C9"/>
    <mergeCell ref="A7:C7"/>
    <mergeCell ref="A18:C18"/>
    <mergeCell ref="A25:C25"/>
    <mergeCell ref="A8:C8"/>
    <mergeCell ref="A19:C19"/>
    <mergeCell ref="A27:C27"/>
    <mergeCell ref="A15:C1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32"/>
  <sheetViews>
    <sheetView workbookViewId="0">
      <selection activeCell="A1" sqref="A1"/>
    </sheetView>
  </sheetViews>
  <sheetFormatPr baseColWidth="8" defaultRowHeight="15"/>
  <cols>
    <col width="8" customWidth="1" min="1" max="1"/>
    <col width="42" customWidth="1" min="2" max="2"/>
    <col width="16" customWidth="1" min="3" max="3"/>
    <col width="16" customWidth="1" min="4" max="4"/>
    <col width="30" customWidth="1" min="5" max="5"/>
    <col width="46" customWidth="1" min="6" max="6"/>
    <col width="60" customWidth="1" min="7" max="7"/>
  </cols>
  <sheetData>
    <row r="1" ht="30" customHeight="1">
      <c r="A1" s="1" t="inlineStr">
        <is>
          <t>Parámetros: Convenio, Cotización y Jornada</t>
        </is>
      </c>
    </row>
    <row r="2">
      <c r="A2" t="inlineStr">
        <is>
          <t>AI Chef Pro · aichef.pro — Cómo Montar una Pastelería</t>
        </is>
      </c>
    </row>
    <row r="3" ht="28" customHeight="1">
      <c r="A3" s="7" t="inlineStr">
        <is>
          <t>Todo lo verde de esta hoja gobierna las otras tres. Los seis brutos son los del convenio de pastelería de Madrid de 2026: sustitúyelos por los de tu convenio provincial.</t>
        </is>
      </c>
    </row>
    <row r="4"/>
    <row r="5">
      <c r="A5" s="3" t="inlineStr">
        <is>
          <t>Los seis grupos del convenio de referencia</t>
        </is>
      </c>
    </row>
    <row r="6" ht="30" customHeight="1">
      <c r="A6" s="7" t="inlineStr">
        <is>
          <t>Convenio del Sector de Comercio e Industria de Confitería, Pastelería, Bollería, Repostería, Heladería y Platos Cocinados de la Comunidad de Madrid, código 28001025011981. Revisión salarial 2026 publicada en el BOCM núm. 50, de 28 de febrero de 2026, vigencia 1-ene-2026 a 31-dic-2026. Tablas a 15 pagas.</t>
        </is>
      </c>
    </row>
    <row r="7" ht="34" customHeight="1">
      <c r="A7" s="8" t="inlineStr">
        <is>
          <t>Grupo</t>
        </is>
      </c>
      <c r="B7" s="8" t="inlineStr">
        <is>
          <t>Descripción funcional</t>
        </is>
      </c>
      <c r="C7" s="8" t="inlineStr">
        <is>
          <t>Bruto mensual (€)</t>
        </is>
      </c>
      <c r="D7" s="8" t="inlineStr">
        <is>
          <t>Bruto anual publicado (€)</t>
        </is>
      </c>
      <c r="E7" s="8" t="inlineStr">
        <is>
          <t>Áreas funcionales</t>
        </is>
      </c>
      <c r="F7" s="8" t="inlineStr">
        <is>
          <t>Puestos que cita el convenio</t>
        </is>
      </c>
      <c r="G7" s="8" t="inlineStr">
        <is>
          <t>Nota</t>
        </is>
      </c>
    </row>
    <row r="8" ht="26" customHeight="1">
      <c r="A8" s="9" t="n">
        <v>1</v>
      </c>
      <c r="B8" t="inlineStr">
        <is>
          <t>Técnicos y titulados superiores</t>
        </is>
      </c>
      <c r="C8" s="10" t="n">
        <v>1733.88</v>
      </c>
      <c r="D8" s="11" t="n">
        <v>26008.2</v>
      </c>
      <c r="E8" t="inlineStr">
        <is>
          <t>ADMINISTRACIÓN</t>
        </is>
      </c>
      <c r="F8" s="4" t="inlineStr"/>
      <c r="G8" s="4" t="inlineStr">
        <is>
          <t>Bruto de tabla, sin antigüedad, plus de nocturnidad ni horas extra. El obrador entra de madrugada: mira el plus de nocturnidad de tu convenio antes de cerrar el número.</t>
        </is>
      </c>
    </row>
    <row r="9" ht="26" customHeight="1">
      <c r="A9" s="9" t="n">
        <v>2</v>
      </c>
      <c r="B9" t="inlineStr">
        <is>
          <t>Dirección, jefes y encargados</t>
        </is>
      </c>
      <c r="C9" s="10" t="n">
        <v>1427.89</v>
      </c>
      <c r="D9" s="11" t="n">
        <v>21418.35</v>
      </c>
      <c r="E9" t="inlineStr">
        <is>
          <t>OBRADOR · COMERCIO · ADMINISTRACIÓN</t>
        </is>
      </c>
      <c r="F9" s="4" t="inlineStr">
        <is>
          <t>maestro de obrador</t>
        </is>
      </c>
      <c r="G9" s="4" t="inlineStr">
        <is>
          <t>Bruto de tabla, sin antigüedad, plus de nocturnidad ni horas extra. El obrador entra de madrugada: mira el plus de nocturnidad de tu convenio antes de cerrar el número.</t>
        </is>
      </c>
    </row>
    <row r="10" ht="26" customHeight="1">
      <c r="A10" s="9" t="n">
        <v>3</v>
      </c>
      <c r="B10" t="inlineStr">
        <is>
          <t>Personal especialista</t>
        </is>
      </c>
      <c r="C10" s="10" t="n">
        <v>1376.91</v>
      </c>
      <c r="D10" s="11" t="n">
        <v>20653.65</v>
      </c>
      <c r="E10" t="inlineStr">
        <is>
          <t>OBRADOR · COMERCIO</t>
        </is>
      </c>
      <c r="F10" s="4" t="inlineStr">
        <is>
          <t>oficial 1.ª de producción, encargado de sección, dependiente mayor</t>
        </is>
      </c>
      <c r="G10" s="4" t="inlineStr">
        <is>
          <t>Bruto de tabla, sin antigüedad, plus de nocturnidad ni horas extra. El obrador entra de madrugada: mira el plus de nocturnidad de tu convenio antes de cerrar el número.</t>
        </is>
      </c>
    </row>
    <row r="11" ht="26" customHeight="1">
      <c r="A11" s="9" t="n">
        <v>4</v>
      </c>
      <c r="B11" t="inlineStr">
        <is>
          <t>Personal cualificado</t>
        </is>
      </c>
      <c r="C11" s="10" t="n">
        <v>1249.42</v>
      </c>
      <c r="D11" s="11" t="n">
        <v>18741.3</v>
      </c>
      <c r="E11" t="inlineStr">
        <is>
          <t>OBRADOR · COMERCIO</t>
        </is>
      </c>
      <c r="F11" s="4" t="inlineStr">
        <is>
          <t>oficial 2.ª de producción, oficial 1.ª de envasado, dependiente, conductor</t>
        </is>
      </c>
      <c r="G11" s="4" t="inlineStr">
        <is>
          <t>Bruto de tabla, sin antigüedad, plus de nocturnidad ni horas extra. El obrador entra de madrugada: mira el plus de nocturnidad de tu convenio antes de cerrar el número.</t>
        </is>
      </c>
    </row>
    <row r="12" ht="26" customHeight="1">
      <c r="A12" s="9" t="n">
        <v>5</v>
      </c>
      <c r="B12" t="inlineStr">
        <is>
          <t>Personal de apoyo</t>
        </is>
      </c>
      <c r="C12" s="10" t="n">
        <v>1192.42</v>
      </c>
      <c r="D12" s="11" t="n">
        <v>17886.3</v>
      </c>
      <c r="E12" t="inlineStr">
        <is>
          <t>OBRADOR · COMERCIO</t>
        </is>
      </c>
      <c r="F12" s="4" t="inlineStr">
        <is>
          <t>ayudante de producción, oficial de acabado, ayudante de comercio</t>
        </is>
      </c>
      <c r="G12" s="4" t="inlineStr">
        <is>
          <t>Bruto de tabla, sin antigüedad, plus de nocturnidad ni horas extra. El obrador entra de madrugada: mira el plus de nocturnidad de tu convenio antes de cerrar el número.</t>
        </is>
      </c>
    </row>
    <row r="13" ht="26" customHeight="1">
      <c r="A13" s="9" t="n">
        <v>6</v>
      </c>
      <c r="B13" t="inlineStr">
        <is>
          <t>Personal de ayuda en servicios auxiliares</t>
        </is>
      </c>
      <c r="C13" s="10" t="n">
        <v>1192.42</v>
      </c>
      <c r="D13" s="11" t="n">
        <v>17886.3</v>
      </c>
      <c r="E13" t="inlineStr">
        <is>
          <t>OBRADOR · COMERCIO</t>
        </is>
      </c>
      <c r="F13" s="4" t="inlineStr">
        <is>
          <t>peón, limpiador, almacenero</t>
        </is>
      </c>
      <c r="G13" s="4" t="inlineStr">
        <is>
          <t>Bruto de tabla, sin antigüedad, plus de nocturnidad ni horas extra. El obrador entra de madrugada: mira el plus de nocturnidad de tu convenio antes de cerrar el número.</t>
        </is>
      </c>
    </row>
    <row r="14"/>
    <row r="15" ht="28" customHeight="1">
      <c r="A15" s="12" t="inlineStr">
        <is>
          <t>Pagas del convenio</t>
        </is>
      </c>
      <c r="C15" s="13" t="n">
        <v>15</v>
      </c>
      <c r="E15" s="7" t="inlineStr">
        <is>
          <t>El convenio de Madrid paga 15, no 14, y eso cambia el coste todos los meses. Si tu convenio prorratea las extras, sigue siendo 15: lo que cambia es cuándo se pagan, no cuánto.</t>
        </is>
      </c>
    </row>
    <row r="16" ht="28" customHeight="1">
      <c r="A16" s="12" t="inlineStr">
        <is>
          <t>Bruto anual del grupo más bajo (€)</t>
        </is>
      </c>
      <c r="C16" s="14">
        <f>IFERROR(MIN($C$8:$C$13)*$C$15,"")</f>
        <v>17886.300000000003</v>
      </c>
      <c r="E16" s="7" t="inlineStr">
        <is>
          <t>Se calcula con los brutos de arriba y las pagas: es el número que se compara con el SMI.</t>
        </is>
      </c>
    </row>
    <row r="17" ht="28" customHeight="1">
      <c r="A17" s="12" t="inlineStr">
        <is>
          <t>Referencia anual del SMI (€)</t>
        </is>
      </c>
      <c r="C17" s="10" t="n">
        <v>17094</v>
      </c>
      <c r="E17" s="7" t="inlineStr">
        <is>
          <t>Cuantía ANUAL de referencia del art. 3.1 del RD 126/2026, en cómputo global: no es un mínimo por concepto ni el resultado de multiplicar por catorce. CADUCA el 31-12-2026.</t>
        </is>
      </c>
    </row>
    <row r="18">
      <c r="A18" s="12" t="inlineStr">
        <is>
          <t>¿Manda el convenio o el SMI?</t>
        </is>
      </c>
      <c r="C18" s="15" t="str">
        <f>IF($C$16="","",IF($C$16&gt;=$C$17,"Manda el convenio: el grupo más bajo supera el SMI","OJO: el grupo más bajo se queda por debajo del SMI anual"))</f>
        <v>Manda el convenio: el grupo más bajo supera el SMI</v>
      </c>
      <c r="E18" s="7" t="inlineStr">
        <is>
          <t>En pastelería manda el convenio. Este aviso existe por si tecleas el de otra provincia: ningún grupo puede quedar por debajo del SMI en cómputo anual.</t>
        </is>
      </c>
    </row>
    <row r="19"/>
    <row r="20">
      <c r="A20" s="3" t="inlineStr">
        <is>
          <t>Cotización, jornada y calendario</t>
        </is>
      </c>
    </row>
    <row r="21" ht="30" customHeight="1">
      <c r="A21" s="16" t="inlineStr">
        <is>
          <t>Seguridad Social a cargo de la empresa (%)</t>
        </is>
      </c>
      <c r="C21" s="17" t="n">
        <v>0.33</v>
      </c>
      <c r="E21" s="7" t="inlineStr">
        <is>
          <t>Cotización empresarial aproximada sobre el salario bruto (contingencias comunes, desempleo, FOGASA y formación). Ajústala a tu convenio y a tus contratos.</t>
        </is>
      </c>
    </row>
    <row r="22" ht="28" customHeight="1">
      <c r="A22" s="12" t="inlineStr">
        <is>
          <t>Horas semanales de jornada completa</t>
        </is>
      </c>
      <c r="C22" s="13" t="n">
        <v>40</v>
      </c>
      <c r="E22" s="7" t="inlineStr">
        <is>
          <t>SUPUESTO: la jornada anual del convenio de Madrid no está verificada. Cámbiala por la de tu convenio; es la que decide si alguien se pasa de jornada y cuántas jornadas equivalentes tienes.</t>
        </is>
      </c>
    </row>
    <row r="23" ht="28" customHeight="1">
      <c r="A23" s="12" t="inlineStr">
        <is>
          <t>Horas anuales de contrato</t>
        </is>
      </c>
      <c r="C23" s="13" t="n">
        <v>1780</v>
      </c>
      <c r="E23" s="7" t="inlineStr">
        <is>
          <t>SUPUESTO: 40 h × 52 semanas = 2.080, menos 30 días naturales de vacaciones y los festivos. Es el divisor del coste por hora, y por eso el coste por hora sale más caro de lo que la gente espera.</t>
        </is>
      </c>
    </row>
    <row r="24" ht="28" customHeight="1">
      <c r="A24" s="12" t="inlineStr">
        <is>
          <t>Días de apertura a la semana</t>
        </is>
      </c>
      <c r="C24" s="13" t="n">
        <v>6</v>
      </c>
      <c r="E24" s="7" t="inlineStr">
        <is>
          <t>SUPUESTO. La pastelería tiene libertad horaria por ley estatal cuando es su actividad principal, así que abrir en domingo o en festivo es una decisión tuya, no un permiso que se pida.</t>
        </is>
      </c>
    </row>
    <row r="25" ht="28" customHeight="1">
      <c r="A25" s="12" t="inlineStr">
        <is>
          <t>Mes de apertura previsto (1 a 12)</t>
        </is>
      </c>
      <c r="C25" s="13" t="n">
        <v>9</v>
      </c>
      <c r="E25" s="7" t="inlineStr">
        <is>
          <t>SUPUESTO: septiembre. No es ninguno de los seis picos y deja tres meses y medio de rodaje antes de Reyes, que es la campaña que decide el año. La fecha realista la calcula la ruta crítica del libro 6.</t>
        </is>
      </c>
    </row>
    <row r="26"/>
    <row r="27" ht="40" customHeight="1">
      <c r="A27" s="7" t="inlineStr">
        <is>
          <t>Los seis brutos y las pagas son datos verificados contra el BOCM el 10-09-2026 (pasa el ratón por encima de cada celda para ver la fuente). Todo lo demás de esta hoja es SUPUESTO y se dice en cada nota. Un convenio provincial distinto no cambia ninguna fórmula de este libro: cambia seis números.</t>
        </is>
      </c>
    </row>
    <row r="28" ht="34" customHeight="1">
      <c r="A28" s="7" t="inlineStr">
        <is>
          <t>Lo que esta hoja NO trae, a propósito: antigüedad, plus de nocturnidad, horas extra, pluses de transporte y bonificaciones a la contratación. Son reales y cambian el coste, pero dependen de tu convenio y de cada contrato: cuando los tengas, súmalos al bruto mensual de cada grupo.</t>
        </is>
      </c>
    </row>
    <row r="29"/>
    <row r="30"/>
    <row r="31">
      <c r="A31" s="2" t="inlineStr">
        <is>
          <t>Diseñado por John Guerrero — chef y consultor gastronómico desde 2010, en cocina desde los 17 años.</t>
        </is>
      </c>
    </row>
    <row r="32">
      <c r="A32"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2">
    <mergeCell ref="E25:G25"/>
    <mergeCell ref="A3:G3"/>
    <mergeCell ref="E21:G21"/>
    <mergeCell ref="A25:B25"/>
    <mergeCell ref="E16:G16"/>
    <mergeCell ref="A21:B21"/>
    <mergeCell ref="E23:G23"/>
    <mergeCell ref="A16:B16"/>
    <mergeCell ref="A23:B23"/>
    <mergeCell ref="E18:G18"/>
    <mergeCell ref="E22:G22"/>
    <mergeCell ref="A27:G27"/>
    <mergeCell ref="E24:G24"/>
    <mergeCell ref="A6:G6"/>
    <mergeCell ref="A28:G28"/>
    <mergeCell ref="E15:G15"/>
    <mergeCell ref="E17:G17"/>
    <mergeCell ref="A18:B18"/>
    <mergeCell ref="A24:B24"/>
    <mergeCell ref="A15:B15"/>
    <mergeCell ref="A17:B17"/>
    <mergeCell ref="A22:B22"/>
  </mergeCells>
  <dataValidations count="8">
    <dataValidation sqref="C8 C9 C10 C11 C12 C13" showDropDown="0" showInputMessage="0" showErrorMessage="1" allowBlank="1" errorTitle="Bruto de convenio" error="Escribe el bruto MENSUAL de tabla, en euros." type="decimal" operator="greaterThanOrEqual">
      <formula1>0</formula1>
    </dataValidation>
    <dataValidation sqref="C15" showDropDown="0" showInputMessage="0" showErrorMessage="1" allowBlank="1" errorTitle="Pagas" error="Entre 12 y 16 pagas." type="decimal" operator="between">
      <formula1>12</formula1>
      <formula2>16</formula2>
    </dataValidation>
    <dataValidation sqref="C17" showDropDown="0" showInputMessage="0" showErrorMessage="1" allowBlank="1" errorTitle="SMI anual" error="Referencia anual del SMI, en euros." type="decimal" operator="greaterThanOrEqual">
      <formula1>0</formula1>
    </dataValidation>
    <dataValidation sqref="C2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C22" showDropDown="0" showInputMessage="0" showErrorMessage="1" allowBlank="1" errorTitle="Jornada completa" error="Horas semanales de jornada completa (1 a 48)." type="decimal" operator="between">
      <formula1>1</formula1>
      <formula2>48</formula2>
    </dataValidation>
    <dataValidation sqref="C23" showDropDown="0" showInputMessage="0" showErrorMessage="1" allowBlank="1" errorTitle="Horas anuales" error="Horas anuales de contrato (1 a 2.200)." type="decimal" operator="between">
      <formula1>1</formula1>
      <formula2>2200</formula2>
    </dataValidation>
    <dataValidation sqref="C24" showDropDown="0" showInputMessage="0" showErrorMessage="1" allowBlank="1" errorTitle="Días de apertura" error="Días de apertura a la semana (1 a 7)." type="decimal" operator="between">
      <formula1>1</formula1>
      <formula2>7</formula2>
    </dataValidation>
    <dataValidation sqref="C25" showDropDown="0" showInputMessage="0" showErrorMessage="1" allowBlank="1" errorTitle="Mes de apertura" error="Mes de apertura previsto (1 = enero)." type="decimal" operator="between">
      <formula1>1</formula1>
      <formula2>12</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38"/>
  <sheetViews>
    <sheetView workbookViewId="0">
      <pane xSplit="4" ySplit="10" topLeftCell="E11"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26" customWidth="1" min="4" max="4"/>
    <col width="7" customWidth="1" min="5" max="5"/>
    <col width="7" customWidth="1" min="6" max="6"/>
    <col width="7" customWidth="1" min="7" max="7"/>
    <col width="7" customWidth="1" min="8" max="8"/>
    <col width="7" customWidth="1" min="9" max="9"/>
    <col width="7" customWidth="1" min="10" max="10"/>
    <col width="7" customWidth="1" min="11" max="11"/>
    <col width="15" customWidth="1" min="12" max="12"/>
    <col width="15" customWidth="1" min="13" max="13"/>
    <col width="14" customWidth="1" min="14" max="14"/>
    <col width="58" customWidth="1" min="15" max="15"/>
  </cols>
  <sheetData>
    <row r="1" ht="30" customHeight="1">
      <c r="A1" s="1" t="inlineStr">
        <is>
          <t>Turnos Semanales</t>
        </is>
      </c>
    </row>
    <row r="2">
      <c r="A2" t="inlineStr">
        <is>
          <t>AI Chef Pro · aichef.pro — Cómo Montar una Pastelería</t>
        </is>
      </c>
    </row>
    <row r="3" ht="28" customHeight="1">
      <c r="A3" s="7" t="inlineStr">
        <is>
          <t>Cinco personas y 3,5 jornadas: el dimensionado del caso «La Clara». Los cuatro perfiles son los literales del 04-tareas-perfiles.xlsx del kit, con dos personas en Dependiente Vitrina.</t>
        </is>
      </c>
    </row>
    <row r="4"/>
    <row r="5">
      <c r="A5" s="3" t="inlineStr">
        <is>
          <t>¿Qué días abre el despacho?</t>
        </is>
      </c>
    </row>
    <row r="6" ht="20" customHeight="1">
      <c r="A6" s="8" t="inlineStr">
        <is>
          <t>Día</t>
        </is>
      </c>
      <c r="E6" s="8" t="inlineStr">
        <is>
          <t>L</t>
        </is>
      </c>
      <c r="F6" s="8" t="inlineStr">
        <is>
          <t>M</t>
        </is>
      </c>
      <c r="G6" s="8" t="inlineStr">
        <is>
          <t>X</t>
        </is>
      </c>
      <c r="H6" s="8" t="inlineStr">
        <is>
          <t>J</t>
        </is>
      </c>
      <c r="I6" s="8" t="inlineStr">
        <is>
          <t>V</t>
        </is>
      </c>
      <c r="J6" s="8" t="inlineStr">
        <is>
          <t>S</t>
        </is>
      </c>
      <c r="K6" s="8" t="inlineStr">
        <is>
          <t>D</t>
        </is>
      </c>
    </row>
    <row r="7">
      <c r="A7" s="12" t="inlineStr">
        <is>
          <t>¿Abre el despacho?</t>
        </is>
      </c>
      <c r="E7" s="18" t="inlineStr">
        <is>
          <t>Sí</t>
        </is>
      </c>
      <c r="F7" s="18" t="inlineStr">
        <is>
          <t>Sí</t>
        </is>
      </c>
      <c r="G7" s="18" t="inlineStr">
        <is>
          <t>Sí</t>
        </is>
      </c>
      <c r="H7" s="18" t="inlineStr">
        <is>
          <t>Sí</t>
        </is>
      </c>
      <c r="I7" s="18" t="inlineStr">
        <is>
          <t>Sí</t>
        </is>
      </c>
      <c r="J7" s="18" t="inlineStr">
        <is>
          <t>Sí</t>
        </is>
      </c>
      <c r="K7" s="18" t="inlineStr">
        <is>
          <t>No</t>
        </is>
      </c>
      <c r="L7" s="7" t="inlineStr">
        <is>
          <t>SUPUESTO: seis días, con el domingo cerrado. Es una decisión tuya, no un permiso: la pastelería tiene libertad horaria.</t>
        </is>
      </c>
    </row>
    <row r="8"/>
    <row r="9">
      <c r="A9" s="3" t="inlineStr">
        <is>
          <t>Horas por persona y día</t>
        </is>
      </c>
    </row>
    <row r="10" ht="40" customHeight="1">
      <c r="A10" s="8" t="inlineStr">
        <is>
          <t>Id</t>
        </is>
      </c>
      <c r="B10" s="8" t="inlineStr">
        <is>
          <t>Persona (perfil del kit)</t>
        </is>
      </c>
      <c r="C10" s="8" t="inlineStr">
        <is>
          <t>Área</t>
        </is>
      </c>
      <c r="D10" s="8" t="inlineStr">
        <is>
          <t>Turno</t>
        </is>
      </c>
      <c r="E10" s="8" t="inlineStr">
        <is>
          <t>L</t>
        </is>
      </c>
      <c r="F10" s="8" t="inlineStr">
        <is>
          <t>M</t>
        </is>
      </c>
      <c r="G10" s="8" t="inlineStr">
        <is>
          <t>X</t>
        </is>
      </c>
      <c r="H10" s="8" t="inlineStr">
        <is>
          <t>J</t>
        </is>
      </c>
      <c r="I10" s="8" t="inlineStr">
        <is>
          <t>V</t>
        </is>
      </c>
      <c r="J10" s="8" t="inlineStr">
        <is>
          <t>S</t>
        </is>
      </c>
      <c r="K10" s="8" t="inlineStr">
        <is>
          <t>D</t>
        </is>
      </c>
      <c r="L10" s="8" t="inlineStr">
        <is>
          <t>Horas planificadas / semana</t>
        </is>
      </c>
      <c r="M10" s="8" t="inlineStr">
        <is>
          <t>Horas contratadas / semana</t>
        </is>
      </c>
      <c r="N10" s="8" t="inlineStr">
        <is>
          <t>Diferencia (h)</t>
        </is>
      </c>
      <c r="O10" s="8" t="inlineStr">
        <is>
          <t>Nota</t>
        </is>
      </c>
    </row>
    <row r="11" ht="24" customHeight="1">
      <c r="A11" s="19" t="inlineStr">
        <is>
          <t>P1</t>
        </is>
      </c>
      <c r="B11" t="inlineStr">
        <is>
          <t>Jefe Pastelero</t>
        </is>
      </c>
      <c r="C11" t="inlineStr">
        <is>
          <t>OBRADOR</t>
        </is>
      </c>
      <c r="D11" t="inlineStr">
        <is>
          <t>Madrugada (04:30-12:30)</t>
        </is>
      </c>
      <c r="E11" s="20" t="n">
        <v>0</v>
      </c>
      <c r="F11" s="20" t="n">
        <v>8</v>
      </c>
      <c r="G11" s="20" t="n">
        <v>8</v>
      </c>
      <c r="H11" s="20" t="n">
        <v>8</v>
      </c>
      <c r="I11" s="20" t="n">
        <v>8</v>
      </c>
      <c r="J11" s="20" t="n">
        <v>8</v>
      </c>
      <c r="K11" s="20" t="n">
        <v>0</v>
      </c>
      <c r="L11" s="21">
        <f>SUM($E11:$K11)</f>
        <v>40.0</v>
      </c>
      <c r="M11" s="13" t="n">
        <v>40</v>
      </c>
      <c r="N11" s="22">
        <f>IFERROR(IF(OR($L11="",$M11=""),"",$L11-$M11),"")</f>
        <v>0.0</v>
      </c>
      <c r="O11" s="4" t="inlineStr">
        <is>
          <t>Jornada contratada: completa. Las horas del reparto son un SUPUESTO que cuadra con esa jornada.</t>
        </is>
      </c>
    </row>
    <row r="12" ht="24" customHeight="1">
      <c r="A12" s="19" t="inlineStr">
        <is>
          <t>P2</t>
        </is>
      </c>
      <c r="B12" t="inlineStr">
        <is>
          <t>Pastelero</t>
        </is>
      </c>
      <c r="C12" t="inlineStr">
        <is>
          <t>OBRADOR</t>
        </is>
      </c>
      <c r="D12" t="inlineStr">
        <is>
          <t>Madrugada (05:00-13:00)</t>
        </is>
      </c>
      <c r="E12" s="20" t="n">
        <v>8</v>
      </c>
      <c r="F12" s="20" t="n">
        <v>8</v>
      </c>
      <c r="G12" s="20" t="n">
        <v>8</v>
      </c>
      <c r="H12" s="20" t="n">
        <v>8</v>
      </c>
      <c r="I12" s="20" t="n">
        <v>8</v>
      </c>
      <c r="J12" s="20" t="n">
        <v>0</v>
      </c>
      <c r="K12" s="20" t="n">
        <v>0</v>
      </c>
      <c r="L12" s="21">
        <f>SUM($E12:$K12)</f>
        <v>40.0</v>
      </c>
      <c r="M12" s="13" t="n">
        <v>40</v>
      </c>
      <c r="N12" s="22">
        <f>IFERROR(IF(OR($L12="",$M12=""),"",$L12-$M12),"")</f>
        <v>0.0</v>
      </c>
      <c r="O12" s="4" t="inlineStr">
        <is>
          <t>Jornada contratada: completa. Las horas del reparto son un SUPUESTO que cuadra con esa jornada.</t>
        </is>
      </c>
    </row>
    <row r="13" ht="24" customHeight="1">
      <c r="A13" s="19" t="inlineStr">
        <is>
          <t>P3</t>
        </is>
      </c>
      <c r="B13" t="inlineStr">
        <is>
          <t>Ayudante</t>
        </is>
      </c>
      <c r="C13" t="inlineStr">
        <is>
          <t>OBRADOR</t>
        </is>
      </c>
      <c r="D13" t="inlineStr">
        <is>
          <t>Mañana (07:00-11:00)</t>
        </is>
      </c>
      <c r="E13" s="20" t="n">
        <v>4</v>
      </c>
      <c r="F13" s="20" t="n">
        <v>4</v>
      </c>
      <c r="G13" s="20" t="n">
        <v>4</v>
      </c>
      <c r="H13" s="20" t="n">
        <v>4</v>
      </c>
      <c r="I13" s="20" t="n">
        <v>4</v>
      </c>
      <c r="J13" s="20" t="n">
        <v>0</v>
      </c>
      <c r="K13" s="20" t="n">
        <v>0</v>
      </c>
      <c r="L13" s="21">
        <f>SUM($E13:$K13)</f>
        <v>20.0</v>
      </c>
      <c r="M13" s="13" t="n">
        <v>20</v>
      </c>
      <c r="N13" s="22">
        <f>IFERROR(IF(OR($L13="",$M13=""),"",$L13-$M13),"")</f>
        <v>0.0</v>
      </c>
      <c r="O13" s="4" t="inlineStr">
        <is>
          <t>Jornada contratada: 50 %. Las horas del reparto son un SUPUESTO que cuadra con esa jornada.</t>
        </is>
      </c>
    </row>
    <row r="14" ht="24" customHeight="1">
      <c r="A14" s="19" t="inlineStr">
        <is>
          <t>P4</t>
        </is>
      </c>
      <c r="B14" t="inlineStr">
        <is>
          <t>Dependiente Vitrina A</t>
        </is>
      </c>
      <c r="C14" t="inlineStr">
        <is>
          <t>COMERCIO</t>
        </is>
      </c>
      <c r="D14" t="inlineStr">
        <is>
          <t>Mañana (08:00-12:00)</t>
        </is>
      </c>
      <c r="E14" s="20" t="n">
        <v>4</v>
      </c>
      <c r="F14" s="20" t="n">
        <v>4</v>
      </c>
      <c r="G14" s="20" t="n">
        <v>4</v>
      </c>
      <c r="H14" s="20" t="n">
        <v>4</v>
      </c>
      <c r="I14" s="20" t="n">
        <v>4</v>
      </c>
      <c r="J14" s="20" t="n">
        <v>0</v>
      </c>
      <c r="K14" s="20" t="n">
        <v>0</v>
      </c>
      <c r="L14" s="21">
        <f>SUM($E14:$K14)</f>
        <v>20.0</v>
      </c>
      <c r="M14" s="13" t="n">
        <v>20</v>
      </c>
      <c r="N14" s="22">
        <f>IFERROR(IF(OR($L14="",$M14=""),"",$L14-$M14),"")</f>
        <v>0.0</v>
      </c>
      <c r="O14" s="4" t="inlineStr">
        <is>
          <t>Jornada contratada: 50 %. Las horas del reparto son un SUPUESTO que cuadra con esa jornada.</t>
        </is>
      </c>
    </row>
    <row r="15" ht="24" customHeight="1">
      <c r="A15" s="19" t="inlineStr">
        <is>
          <t>P5</t>
        </is>
      </c>
      <c r="B15" t="inlineStr">
        <is>
          <t>Dependiente Vitrina B</t>
        </is>
      </c>
      <c r="C15" t="inlineStr">
        <is>
          <t>COMERCIO</t>
        </is>
      </c>
      <c r="D15" t="inlineStr">
        <is>
          <t>Tarde (16:30-20:30)</t>
        </is>
      </c>
      <c r="E15" s="20" t="n">
        <v>0</v>
      </c>
      <c r="F15" s="20" t="n">
        <v>4</v>
      </c>
      <c r="G15" s="20" t="n">
        <v>4</v>
      </c>
      <c r="H15" s="20" t="n">
        <v>4</v>
      </c>
      <c r="I15" s="20" t="n">
        <v>4</v>
      </c>
      <c r="J15" s="20" t="n">
        <v>4</v>
      </c>
      <c r="K15" s="20" t="n">
        <v>0</v>
      </c>
      <c r="L15" s="21">
        <f>SUM($E15:$K15)</f>
        <v>20.0</v>
      </c>
      <c r="M15" s="13" t="n">
        <v>20</v>
      </c>
      <c r="N15" s="22">
        <f>IFERROR(IF(OR($L15="",$M15=""),"",$L15-$M15),"")</f>
        <v>0.0</v>
      </c>
      <c r="O15" s="4" t="inlineStr">
        <is>
          <t>Jornada contratada: 50 %. Las horas del reparto son un SUPUESTO que cuadra con esa jornada.</t>
        </is>
      </c>
    </row>
    <row r="16">
      <c r="A16" s="12" t="inlineStr">
        <is>
          <t>TOTAL de la plantilla</t>
        </is>
      </c>
      <c r="E16" s="23">
        <f>SUM($E$11:$E$15)</f>
        <v>16.0</v>
      </c>
      <c r="F16" s="23">
        <f>SUM($F$11:$F$15)</f>
        <v>28.0</v>
      </c>
      <c r="G16" s="23">
        <f>SUM($G$11:$G$15)</f>
        <v>28.0</v>
      </c>
      <c r="H16" s="23">
        <f>SUM($H$11:$H$15)</f>
        <v>28.0</v>
      </c>
      <c r="I16" s="23">
        <f>SUM($I$11:$I$15)</f>
        <v>28.0</v>
      </c>
      <c r="J16" s="23">
        <f>SUM($J$11:$J$15)</f>
        <v>12.0</v>
      </c>
      <c r="K16" s="23">
        <f>SUM($K$11:$K$15)</f>
        <v>0.0</v>
      </c>
      <c r="L16" s="23">
        <f>SUM($L$11:$L$15)</f>
        <v>140.0</v>
      </c>
      <c r="M16" s="21">
        <f>SUM($M$11:$M$15)</f>
        <v>140.0</v>
      </c>
    </row>
    <row r="17">
      <c r="A17" s="12" t="inlineStr">
        <is>
          <t>Horas de OBRADOR por día</t>
        </is>
      </c>
      <c r="E17" s="22">
        <f>SUMPRODUCT(--($C$11:$C$15="OBRADOR"),$E$11:$E$15)</f>
        <v>12.0</v>
      </c>
      <c r="F17" s="22">
        <f>SUMPRODUCT(--($C$11:$C$15="OBRADOR"),$F$11:$F$15)</f>
        <v>20.0</v>
      </c>
      <c r="G17" s="22">
        <f>SUMPRODUCT(--($C$11:$C$15="OBRADOR"),$G$11:$G$15)</f>
        <v>20.0</v>
      </c>
      <c r="H17" s="22">
        <f>SUMPRODUCT(--($C$11:$C$15="OBRADOR"),$H$11:$H$15)</f>
        <v>20.0</v>
      </c>
      <c r="I17" s="22">
        <f>SUMPRODUCT(--($C$11:$C$15="OBRADOR"),$I$11:$I$15)</f>
        <v>20.0</v>
      </c>
      <c r="J17" s="22">
        <f>SUMPRODUCT(--($C$11:$C$15="OBRADOR"),$J$11:$J$15)</f>
        <v>8.0</v>
      </c>
      <c r="K17" s="22">
        <f>SUMPRODUCT(--($C$11:$C$15="OBRADOR"),$K$11:$K$15)</f>
        <v>0.0</v>
      </c>
    </row>
    <row r="18">
      <c r="A18" s="12" t="inlineStr">
        <is>
          <t>Horas de DESPACHO por día</t>
        </is>
      </c>
      <c r="E18" s="22">
        <f>SUMPRODUCT(--($C$11:$C$15="COMERCIO"),$E$11:$E$15)</f>
        <v>4.0</v>
      </c>
      <c r="F18" s="22">
        <f>SUMPRODUCT(--($C$11:$C$15="COMERCIO"),$F$11:$F$15)</f>
        <v>8.0</v>
      </c>
      <c r="G18" s="22">
        <f>SUMPRODUCT(--($C$11:$C$15="COMERCIO"),$G$11:$G$15)</f>
        <v>8.0</v>
      </c>
      <c r="H18" s="22">
        <f>SUMPRODUCT(--($C$11:$C$15="COMERCIO"),$H$11:$H$15)</f>
        <v>8.0</v>
      </c>
      <c r="I18" s="22">
        <f>SUMPRODUCT(--($C$11:$C$15="COMERCIO"),$I$11:$I$15)</f>
        <v>8.0</v>
      </c>
      <c r="J18" s="22">
        <f>SUMPRODUCT(--($C$11:$C$15="COMERCIO"),$J$11:$J$15)</f>
        <v>4.0</v>
      </c>
      <c r="K18" s="22">
        <f>SUMPRODUCT(--($C$11:$C$15="COMERCIO"),$K$11:$K$15)</f>
        <v>0.0</v>
      </c>
    </row>
    <row r="19">
      <c r="A19" s="12" t="inlineStr">
        <is>
          <t>Cobertura del despacho</t>
        </is>
      </c>
      <c r="E19" s="24" t="str">
        <f>IF($E$7&lt;&gt;"Sí","Cerrado",IF($E$18=0,"SIN NADIE","Cubierto"))</f>
        <v>Cubierto</v>
      </c>
      <c r="F19" s="24" t="str">
        <f>IF($F$7&lt;&gt;"Sí","Cerrado",IF($F$18=0,"SIN NADIE","Cubierto"))</f>
        <v>Cubierto</v>
      </c>
      <c r="G19" s="24" t="str">
        <f>IF($G$7&lt;&gt;"Sí","Cerrado",IF($G$18=0,"SIN NADIE","Cubierto"))</f>
        <v>Cubierto</v>
      </c>
      <c r="H19" s="24" t="str">
        <f>IF($H$7&lt;&gt;"Sí","Cerrado",IF($H$18=0,"SIN NADIE","Cubierto"))</f>
        <v>Cubierto</v>
      </c>
      <c r="I19" s="24" t="str">
        <f>IF($I$7&lt;&gt;"Sí","Cerrado",IF($I$18=0,"SIN NADIE","Cubierto"))</f>
        <v>Cubierto</v>
      </c>
      <c r="J19" s="24" t="str">
        <f>IF($J$7&lt;&gt;"Sí","Cerrado",IF($J$18=0,"SIN NADIE","Cubierto"))</f>
        <v>Cubierto</v>
      </c>
      <c r="K19" s="24" t="str">
        <f>IF($K$7&lt;&gt;"Sí","Cerrado",IF($K$18=0,"SIN NADIE","Cubierto"))</f>
        <v>Cerrado</v>
      </c>
    </row>
    <row r="20"/>
    <row r="21">
      <c r="A21" s="3" t="inlineStr">
        <is>
          <t>Resumen de la semana</t>
        </is>
      </c>
    </row>
    <row r="22" ht="24" customHeight="1">
      <c r="A22" s="12" t="inlineStr">
        <is>
          <t>Horas planificadas a la semana</t>
        </is>
      </c>
      <c r="E22" s="23">
        <f>$L$16</f>
        <v>140.0</v>
      </c>
      <c r="H22" s="7" t="inlineStr">
        <is>
          <t>Es la semana tipo de velocidad de crucero, sin campañas.</t>
        </is>
      </c>
    </row>
    <row r="23" ht="24" customHeight="1">
      <c r="A23" s="12" t="inlineStr">
        <is>
          <t>Jornadas equivalentes</t>
        </is>
      </c>
      <c r="E23" s="25">
        <f>IFERROR($L$16/'Parámetros'!$C$22,"")</f>
        <v>3.5</v>
      </c>
      <c r="H23" s="7" t="inlineStr">
        <is>
          <t>Horas planificadas divididas por la jornada completa. El caso «La Clara» son 3,5 jornadas repartidas en cinco personas.</t>
        </is>
      </c>
    </row>
    <row r="24" ht="24" customHeight="1">
      <c r="A24" s="12" t="inlineStr">
        <is>
          <t>Horas de obrador a la semana</t>
        </is>
      </c>
      <c r="E24" s="23">
        <f>SUMPRODUCT(--($C$11:$C$15="OBRADOR"),$E$11:$E$15)+SUMPRODUCT(--($C$11:$C$15="OBRADOR"),$F$11:$F$15)+SUMPRODUCT(--($C$11:$C$15="OBRADOR"),$G$11:$G$15)+SUMPRODUCT(--($C$11:$C$15="OBRADOR"),$H$11:$H$15)+SUMPRODUCT(--($C$11:$C$15="OBRADOR"),$I$11:$I$15)+SUMPRODUCT(--($C$11:$C$15="OBRADOR"),$J$11:$J$15)+SUMPRODUCT(--($C$11:$C$15="OBRADOR"),$K$11:$K$15)</f>
        <v>100.0</v>
      </c>
      <c r="H24" s="7" t="inlineStr">
        <is>
          <t>Son las que tienen que dar de sí para la producción que calcula el libro 1. Si no llegan, el problema no es el horno.</t>
        </is>
      </c>
    </row>
    <row r="25" ht="24" customHeight="1">
      <c r="A25" s="12" t="inlineStr">
        <is>
          <t>Horas de despacho a la semana</t>
        </is>
      </c>
      <c r="E25" s="23">
        <f>SUMPRODUCT(--($C$11:$C$15="COMERCIO"),$E$11:$E$15)+SUMPRODUCT(--($C$11:$C$15="COMERCIO"),$F$11:$F$15)+SUMPRODUCT(--($C$11:$C$15="COMERCIO"),$G$11:$G$15)+SUMPRODUCT(--($C$11:$C$15="COMERCIO"),$H$11:$H$15)+SUMPRODUCT(--($C$11:$C$15="COMERCIO"),$I$11:$I$15)+SUMPRODUCT(--($C$11:$C$15="COMERCIO"),$J$11:$J$15)+SUMPRODUCT(--($C$11:$C$15="COMERCIO"),$K$11:$K$15)</f>
        <v>40.0</v>
      </c>
      <c r="H25" s="7" t="inlineStr">
        <is>
          <t>Mostrador y atención. En una pastelería de barrio la venta se concentra en dos franjas y en el sábado.</t>
        </is>
      </c>
    </row>
    <row r="26" ht="24" customHeight="1">
      <c r="A26" s="12" t="inlineStr">
        <is>
          <t>Días abiertos sin nadie en el mostrador</t>
        </is>
      </c>
      <c r="E26" s="23">
        <f>COUNTIF($E$19:$K$19,"SIN NADIE")</f>
        <v>0.0</v>
      </c>
      <c r="H26" s="7" t="inlineStr">
        <is>
          <t>Tiene que ser cero antes de firmar los contratos. Es el fallo de dimensionado más caro y el más fácil de ver.</t>
        </is>
      </c>
    </row>
    <row r="27"/>
    <row r="28">
      <c r="A28" s="3" t="inlineStr">
        <is>
          <t>Lista (origen del desplegable)</t>
        </is>
      </c>
    </row>
    <row r="29" ht="20" customHeight="1">
      <c r="A29" s="8" t="inlineStr">
        <is>
          <t>Nº</t>
        </is>
      </c>
      <c r="B29" s="8" t="inlineStr">
        <is>
          <t>¿Abre el despacho?</t>
        </is>
      </c>
    </row>
    <row r="30">
      <c r="A30" s="22" t="n">
        <v>1</v>
      </c>
      <c r="B30" t="inlineStr">
        <is>
          <t>Sí</t>
        </is>
      </c>
    </row>
    <row r="31">
      <c r="A31" s="22" t="n">
        <v>2</v>
      </c>
      <c r="B31" t="inlineStr">
        <is>
          <t>No</t>
        </is>
      </c>
    </row>
    <row r="32"/>
    <row r="33" ht="40" customHeight="1">
      <c r="A33" s="7" t="inlineStr">
        <is>
          <t>El reparto de horas por día es un SUPUESTO que cuadra las horas contratadas de cada persona con los seis días de apertura. Tu reparto real depende de a qué hora entra el obrador (aquí, entre las 04:30 y las 05:00) y de dónde tengas los picos de venta. Lo que no cambia es la aritmética: si planificas más horas de las que contratas, la columna «Diferencia» lo dice.</t>
        </is>
      </c>
    </row>
    <row r="34" ht="26" customHeight="1">
      <c r="A34" s="7" t="inlineStr">
        <is>
          <t>Esta hoja no es el cuadrante del día a día ni el registro de jornada, que es obligatorio y se lleva aparte. Es el dimensionado con el que se firman los contratos y se calcula el coste.</t>
        </is>
      </c>
    </row>
    <row r="35" ht="24" customHeight="1">
      <c r="A35" s="7" t="inlineStr">
        <is>
          <t>Qué hace cada perfil en su turno está en el 04-tareas-perfiles.xlsx del Kit de Tareas Pastelería (12 €): este libro no lo repite (regla R6 de la SPEC).</t>
        </is>
      </c>
    </row>
    <row r="36"/>
    <row r="37">
      <c r="A37" s="2" t="inlineStr">
        <is>
          <t>Diseñado por John Guerrero — chef y consultor gastronómico desde 2010, en cocina desde los 17 años.</t>
        </is>
      </c>
    </row>
    <row r="38">
      <c r="A38"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6">
    <mergeCell ref="A6:D6"/>
    <mergeCell ref="H22:O22"/>
    <mergeCell ref="A33:O33"/>
    <mergeCell ref="E23:F23"/>
    <mergeCell ref="A35:O35"/>
    <mergeCell ref="A18:D18"/>
    <mergeCell ref="A23:D23"/>
    <mergeCell ref="H26:O26"/>
    <mergeCell ref="H24:O24"/>
    <mergeCell ref="A22:D22"/>
    <mergeCell ref="H25:O25"/>
    <mergeCell ref="E22:F22"/>
    <mergeCell ref="A16:D16"/>
    <mergeCell ref="E24:F24"/>
    <mergeCell ref="A19:D19"/>
    <mergeCell ref="A7:D7"/>
    <mergeCell ref="A26:D26"/>
    <mergeCell ref="A17:D17"/>
    <mergeCell ref="H23:O23"/>
    <mergeCell ref="E26:F26"/>
    <mergeCell ref="A3:O3"/>
    <mergeCell ref="L7:O7"/>
    <mergeCell ref="A24:D24"/>
    <mergeCell ref="E25:F25"/>
    <mergeCell ref="A34:O34"/>
    <mergeCell ref="A25:D25"/>
  </mergeCells>
  <conditionalFormatting sqref="E19:K19">
    <cfRule type="cellIs" priority="1" operator="equal" dxfId="0" stopIfTrue="1">
      <formula>"Cubierto"</formula>
    </cfRule>
    <cfRule type="cellIs" priority="2" operator="equal" dxfId="1" stopIfTrue="1">
      <formula>"SIN NADIE"</formula>
    </cfRule>
    <cfRule type="cellIs" priority="3" operator="equal" dxfId="2" stopIfTrue="1">
      <formula>"Cerrado"</formula>
    </cfRule>
  </conditionalFormatting>
  <conditionalFormatting sqref="N11:N15">
    <cfRule type="expression" priority="4" dxfId="1" stopIfTrue="1">
      <formula>=AND(ISNUMBER($N11),$N11&gt;0)</formula>
    </cfRule>
  </conditionalFormatting>
  <dataValidations count="3">
    <dataValidation sqref="E11 E12 E13 E14 E15 F11 F12 F13 F14 F15 G11 G12 G13 G14 G15 H11 H12 H13 H14 H15 I11 I12 I13 I14 I15 J11 J12 J13 J14 J15 K11 K12 K13 K14 K15" showDropDown="0" showInputMessage="0" showErrorMessage="1" allowBlank="1" errorTitle="Horas del día" error="Horas que hace esa persona ese día (0 a 12)." type="decimal" operator="between">
      <formula1>0</formula1>
      <formula2>12</formula2>
    </dataValidation>
    <dataValidation sqref="M11 M12 M13 M14 M15" showDropDown="0" showInputMessage="0" showErrorMessage="1" allowBlank="1" errorTitle="Horas contratadas" error="Horas semanales del contrato (0 a 48)." type="decimal" operator="between">
      <formula1>0</formula1>
      <formula2>48</formula2>
    </dataValidation>
    <dataValidation sqref="E7 F7 G7 H7 I7 J7 K7" showDropDown="0" showInputMessage="0" showErrorMessage="1" allowBlank="0" errorTitle="Sí o No" error="Elige Sí o No de la lista de esta hoja." type="list">
      <formula1>$B$30:$B$31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N3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34" customWidth="1" min="4" max="4"/>
    <col width="15" customWidth="1" min="5" max="5"/>
    <col width="13" customWidth="1" min="6" max="6"/>
    <col width="14" customWidth="1" min="7" max="7"/>
    <col width="16" customWidth="1" min="8" max="8"/>
    <col width="15" customWidth="1" min="9" max="9"/>
    <col width="16" customWidth="1" min="10" max="10"/>
    <col width="16" customWidth="1" min="11" max="11"/>
    <col width="13" customWidth="1" min="12" max="12"/>
    <col width="30" customWidth="1" min="13" max="13"/>
    <col width="34" customWidth="1" min="14" max="14"/>
  </cols>
  <sheetData>
    <row r="1" ht="30" customHeight="1">
      <c r="A1" s="1" t="inlineStr">
        <is>
          <t>Horas y Coste de Personal</t>
        </is>
      </c>
    </row>
    <row r="2">
      <c r="A2" t="inlineStr">
        <is>
          <t>AI Chef Pro · aichef.pro — Cómo Montar una Pastelería</t>
        </is>
      </c>
    </row>
    <row r="3" ht="28" customHeight="1">
      <c r="A3" s="7" t="inlineStr">
        <is>
          <t>Del bruto de tabla al coste de empresa hay un 33 %: quince pagas y la Seguridad Social a cargo de la empresa. Es el número que se lleva al plan financiero, no el bruto.</t>
        </is>
      </c>
    </row>
    <row r="4"/>
    <row r="5">
      <c r="A5" s="3" t="inlineStr">
        <is>
          <t>Coste persona a persona</t>
        </is>
      </c>
    </row>
    <row r="6" ht="44" customHeight="1">
      <c r="A6" s="8" t="inlineStr">
        <is>
          <t>Id</t>
        </is>
      </c>
      <c r="B6" s="8" t="inlineStr">
        <is>
          <t>Persona (perfil del kit)</t>
        </is>
      </c>
      <c r="C6" s="8" t="inlineStr">
        <is>
          <t>Área</t>
        </is>
      </c>
      <c r="D6" s="8" t="inlineStr">
        <is>
          <t>Grupo de convenio</t>
        </is>
      </c>
      <c r="E6" s="8" t="inlineStr">
        <is>
          <t>Bruto mensual del grupo (€)</t>
        </is>
      </c>
      <c r="F6" s="8" t="inlineStr">
        <is>
          <t>Jornada equivalente</t>
        </is>
      </c>
      <c r="G6" s="8" t="inlineStr">
        <is>
          <t>Horas / semana</t>
        </is>
      </c>
      <c r="H6" s="8" t="inlineStr">
        <is>
          <t>Bruto mensual ajustado (€)</t>
        </is>
      </c>
      <c r="I6" s="8" t="inlineStr">
        <is>
          <t>Bruto anual (€)</t>
        </is>
      </c>
      <c r="J6" s="8" t="inlineStr">
        <is>
          <t>Coste empresa mes (€)</t>
        </is>
      </c>
      <c r="K6" s="8" t="inlineStr">
        <is>
          <t>Coste empresa año (€)</t>
        </is>
      </c>
      <c r="L6" s="8" t="inlineStr">
        <is>
          <t>Coste por hora (€)</t>
        </is>
      </c>
      <c r="M6" s="8" t="inlineStr">
        <is>
          <t>Aviso de jornada</t>
        </is>
      </c>
      <c r="N6" s="8" t="inlineStr">
        <is>
          <t>Aviso de SMI</t>
        </is>
      </c>
    </row>
    <row r="7" ht="24" customHeight="1">
      <c r="A7" s="19" t="inlineStr">
        <is>
          <t>P1</t>
        </is>
      </c>
      <c r="B7" t="inlineStr">
        <is>
          <t>Jefe Pastelero</t>
        </is>
      </c>
      <c r="C7" t="inlineStr">
        <is>
          <t>OBRADOR</t>
        </is>
      </c>
      <c r="D7" s="5" t="inlineStr">
        <is>
          <t>Dirección, jefes y encargados</t>
        </is>
      </c>
      <c r="E7" s="11">
        <f>IFERROR(INDEX('Parámetros'!$C$8:$C$13,MATCH($D7,'Parámetros'!$B$8:$B$13,0)),"")</f>
        <v>1427.89</v>
      </c>
      <c r="F7" s="26">
        <f>IFERROR(IF($G7="","",$G7/'Parámetros'!$C$22),"")</f>
        <v>1.0</v>
      </c>
      <c r="G7" s="22">
        <f>'Turnos Semanales'!$L$11</f>
        <v>40.0</v>
      </c>
      <c r="H7" s="11">
        <f>IFERROR(IF(OR($E7="",$F7=""),"",$E7*$F7),"")</f>
        <v>1427.89</v>
      </c>
      <c r="I7" s="11">
        <f>IFERROR(IF($H7="","",$H7*'Parámetros'!$C$15),"")</f>
        <v>21418.350000000002</v>
      </c>
      <c r="J7" s="11">
        <f>IFERROR(IF($K7="","",$K7/12),"")</f>
        <v>2373.867125</v>
      </c>
      <c r="K7" s="11">
        <f>IFERROR(IF($I7="","",$I7*(1+'Parámetros'!$C$21)),"")</f>
        <v>28486.405500000004</v>
      </c>
      <c r="L7" s="11">
        <f>IFERROR(IF(OR($K7="",$F7=""),"",$K7/('Parámetros'!$C$23*$F7)),"")</f>
        <v>16.003598595505622</v>
      </c>
      <c r="M7">
        <f>IF($G7="","",IF($G7&gt;'Parámetros'!$C$22,"Se pasa de la jornada completa",""))</f>
        <v/>
      </c>
      <c r="N7">
        <f>IFERROR(IF($E7="","",IF($E7*'Parámetros'!$C$15&lt;'Parámetros'!$C$17,"El grupo queda por debajo del SMI anual","")),"")</f>
        <v/>
      </c>
    </row>
    <row r="8" ht="24" customHeight="1">
      <c r="A8" s="19" t="inlineStr">
        <is>
          <t>P2</t>
        </is>
      </c>
      <c r="B8" t="inlineStr">
        <is>
          <t>Pastelero</t>
        </is>
      </c>
      <c r="C8" t="inlineStr">
        <is>
          <t>OBRADOR</t>
        </is>
      </c>
      <c r="D8" s="5" t="inlineStr">
        <is>
          <t>Personal especialista</t>
        </is>
      </c>
      <c r="E8" s="11">
        <f>IFERROR(INDEX('Parámetros'!$C$8:$C$13,MATCH($D8,'Parámetros'!$B$8:$B$13,0)),"")</f>
        <v>1376.91</v>
      </c>
      <c r="F8" s="26">
        <f>IFERROR(IF($G8="","",$G8/'Parámetros'!$C$22),"")</f>
        <v>1.0</v>
      </c>
      <c r="G8" s="22">
        <f>'Turnos Semanales'!$L$12</f>
        <v>40.0</v>
      </c>
      <c r="H8" s="11">
        <f>IFERROR(IF(OR($E8="",$F8=""),"",$E8*$F8),"")</f>
        <v>1376.91</v>
      </c>
      <c r="I8" s="11">
        <f>IFERROR(IF($H8="","",$H8*'Parámetros'!$C$15),"")</f>
        <v>20653.65</v>
      </c>
      <c r="J8" s="11">
        <f>IFERROR(IF($K8="","",$K8/12),"")</f>
        <v>2289.1128750000003</v>
      </c>
      <c r="K8" s="11">
        <f>IFERROR(IF($I8="","",$I8*(1+'Parámetros'!$C$21)),"")</f>
        <v>27469.354500000005</v>
      </c>
      <c r="L8" s="11">
        <f>IFERROR(IF(OR($K8="",$F8=""),"",$K8/('Parámetros'!$C$23*$F8)),"")</f>
        <v>15.432221629213485</v>
      </c>
      <c r="M8">
        <f>IF($G8="","",IF($G8&gt;'Parámetros'!$C$22,"Se pasa de la jornada completa",""))</f>
        <v/>
      </c>
      <c r="N8">
        <f>IFERROR(IF($E8="","",IF($E8*'Parámetros'!$C$15&lt;'Parámetros'!$C$17,"El grupo queda por debajo del SMI anual","")),"")</f>
        <v/>
      </c>
    </row>
    <row r="9" ht="24" customHeight="1">
      <c r="A9" s="19" t="inlineStr">
        <is>
          <t>P3</t>
        </is>
      </c>
      <c r="B9" t="inlineStr">
        <is>
          <t>Ayudante</t>
        </is>
      </c>
      <c r="C9" t="inlineStr">
        <is>
          <t>OBRADOR</t>
        </is>
      </c>
      <c r="D9" s="5" t="inlineStr">
        <is>
          <t>Personal de apoyo</t>
        </is>
      </c>
      <c r="E9" s="11">
        <f>IFERROR(INDEX('Parámetros'!$C$8:$C$13,MATCH($D9,'Parámetros'!$B$8:$B$13,0)),"")</f>
        <v>1192.42</v>
      </c>
      <c r="F9" s="26">
        <f>IFERROR(IF($G9="","",$G9/'Parámetros'!$C$22),"")</f>
        <v>0.5</v>
      </c>
      <c r="G9" s="22">
        <f>'Turnos Semanales'!$L$13</f>
        <v>20.0</v>
      </c>
      <c r="H9" s="11">
        <f>IFERROR(IF(OR($E9="",$F9=""),"",$E9*$F9),"")</f>
        <v>596.21</v>
      </c>
      <c r="I9" s="11">
        <f>IFERROR(IF($H9="","",$H9*'Parámetros'!$C$15),"")</f>
        <v>8943.150000000001</v>
      </c>
      <c r="J9" s="11">
        <f>IFERROR(IF($K9="","",$K9/12),"")</f>
        <v>991.1991250000002</v>
      </c>
      <c r="K9" s="11">
        <f>IFERROR(IF($I9="","",$I9*(1+'Parámetros'!$C$21)),"")</f>
        <v>11894.389500000003</v>
      </c>
      <c r="L9" s="11">
        <f>IFERROR(IF(OR($K9="",$F9=""),"",$K9/('Parámetros'!$C$23*$F9)),"")</f>
        <v>13.364482584269666</v>
      </c>
      <c r="M9">
        <f>IF($G9="","",IF($G9&gt;'Parámetros'!$C$22,"Se pasa de la jornada completa",""))</f>
        <v/>
      </c>
      <c r="N9">
        <f>IFERROR(IF($E9="","",IF($E9*'Parámetros'!$C$15&lt;'Parámetros'!$C$17,"El grupo queda por debajo del SMI anual","")),"")</f>
        <v/>
      </c>
    </row>
    <row r="10" ht="24" customHeight="1">
      <c r="A10" s="19" t="inlineStr">
        <is>
          <t>P4</t>
        </is>
      </c>
      <c r="B10" t="inlineStr">
        <is>
          <t>Dependiente Vitrina A</t>
        </is>
      </c>
      <c r="C10" t="inlineStr">
        <is>
          <t>COMERCIO</t>
        </is>
      </c>
      <c r="D10" s="5" t="inlineStr">
        <is>
          <t>Personal cualificado</t>
        </is>
      </c>
      <c r="E10" s="11">
        <f>IFERROR(INDEX('Parámetros'!$C$8:$C$13,MATCH($D10,'Parámetros'!$B$8:$B$13,0)),"")</f>
        <v>1249.42</v>
      </c>
      <c r="F10" s="26">
        <f>IFERROR(IF($G10="","",$G10/'Parámetros'!$C$22),"")</f>
        <v>0.5</v>
      </c>
      <c r="G10" s="22">
        <f>'Turnos Semanales'!$L$14</f>
        <v>20.0</v>
      </c>
      <c r="H10" s="11">
        <f>IFERROR(IF(OR($E10="",$F10=""),"",$E10*$F10),"")</f>
        <v>624.71</v>
      </c>
      <c r="I10" s="11">
        <f>IFERROR(IF($H10="","",$H10*'Parámetros'!$C$15),"")</f>
        <v>9370.650000000001</v>
      </c>
      <c r="J10" s="11">
        <f>IFERROR(IF($K10="","",$K10/12),"")</f>
        <v>1038.5803750000002</v>
      </c>
      <c r="K10" s="11">
        <f>IFERROR(IF($I10="","",$I10*(1+'Parámetros'!$C$21)),"")</f>
        <v>12462.964500000002</v>
      </c>
      <c r="L10" s="11">
        <f>IFERROR(IF(OR($K10="",$F10=""),"",$K10/('Parámetros'!$C$23*$F10)),"")</f>
        <v>14.003330898876406</v>
      </c>
      <c r="M10">
        <f>IF($G10="","",IF($G10&gt;'Parámetros'!$C$22,"Se pasa de la jornada completa",""))</f>
        <v/>
      </c>
      <c r="N10">
        <f>IFERROR(IF($E10="","",IF($E10*'Parámetros'!$C$15&lt;'Parámetros'!$C$17,"El grupo queda por debajo del SMI anual","")),"")</f>
        <v/>
      </c>
    </row>
    <row r="11" ht="24" customHeight="1">
      <c r="A11" s="19" t="inlineStr">
        <is>
          <t>P5</t>
        </is>
      </c>
      <c r="B11" t="inlineStr">
        <is>
          <t>Dependiente Vitrina B</t>
        </is>
      </c>
      <c r="C11" t="inlineStr">
        <is>
          <t>COMERCIO</t>
        </is>
      </c>
      <c r="D11" s="5" t="inlineStr">
        <is>
          <t>Personal cualificado</t>
        </is>
      </c>
      <c r="E11" s="11">
        <f>IFERROR(INDEX('Parámetros'!$C$8:$C$13,MATCH($D11,'Parámetros'!$B$8:$B$13,0)),"")</f>
        <v>1249.42</v>
      </c>
      <c r="F11" s="26">
        <f>IFERROR(IF($G11="","",$G11/'Parámetros'!$C$22),"")</f>
        <v>0.5</v>
      </c>
      <c r="G11" s="22">
        <f>'Turnos Semanales'!$L$15</f>
        <v>20.0</v>
      </c>
      <c r="H11" s="11">
        <f>IFERROR(IF(OR($E11="",$F11=""),"",$E11*$F11),"")</f>
        <v>624.71</v>
      </c>
      <c r="I11" s="11">
        <f>IFERROR(IF($H11="","",$H11*'Parámetros'!$C$15),"")</f>
        <v>9370.650000000001</v>
      </c>
      <c r="J11" s="11">
        <f>IFERROR(IF($K11="","",$K11/12),"")</f>
        <v>1038.5803750000002</v>
      </c>
      <c r="K11" s="11">
        <f>IFERROR(IF($I11="","",$I11*(1+'Parámetros'!$C$21)),"")</f>
        <v>12462.964500000002</v>
      </c>
      <c r="L11" s="11">
        <f>IFERROR(IF(OR($K11="",$F11=""),"",$K11/('Parámetros'!$C$23*$F11)),"")</f>
        <v>14.003330898876406</v>
      </c>
      <c r="M11">
        <f>IF($G11="","",IF($G11&gt;'Parámetros'!$C$22,"Se pasa de la jornada completa",""))</f>
        <v/>
      </c>
      <c r="N11">
        <f>IFERROR(IF($E11="","",IF($E11*'Parámetros'!$C$15&lt;'Parámetros'!$C$17,"El grupo queda por debajo del SMI anual","")),"")</f>
        <v/>
      </c>
    </row>
    <row r="12">
      <c r="A12" s="12" t="inlineStr">
        <is>
          <t>TOTAL de la plantilla</t>
        </is>
      </c>
      <c r="F12" s="27">
        <f>SUM($F$7:$F$11)</f>
        <v>3.5</v>
      </c>
      <c r="G12" s="23">
        <f>SUM($G$7:$G$11)</f>
        <v>140.0</v>
      </c>
      <c r="H12" s="14">
        <f>SUM($H$7:$H$11)</f>
        <v>4650.43</v>
      </c>
      <c r="I12" s="14">
        <f>SUM($I$7:$I$11)</f>
        <v>69756.45000000001</v>
      </c>
      <c r="J12" s="14">
        <f>SUM($J$7:$J$11)</f>
        <v>7731.3398750000015</v>
      </c>
      <c r="K12" s="14">
        <f>SUM($K$7:$K$11)</f>
        <v>92776.07850000002</v>
      </c>
    </row>
    <row r="13"/>
    <row r="14">
      <c r="A14" s="3" t="inlineStr">
        <is>
          <t>Lo que se lleva al plan financiero</t>
        </is>
      </c>
    </row>
    <row r="15" ht="26" customHeight="1">
      <c r="A15" s="12" t="inlineStr">
        <is>
          <t>Coste de personal al mes (€)</t>
        </is>
      </c>
      <c r="E15" s="14">
        <f>$J$12</f>
        <v>7731.3398750000015</v>
      </c>
      <c r="G15" s="7" t="inlineStr">
        <is>
          <t>Coste de empresa, con la Seguridad Social dentro. Es una de las dos partidas grandes de los gastos fijos del libro 5.</t>
        </is>
      </c>
    </row>
    <row r="16" ht="26" customHeight="1">
      <c r="A16" s="12" t="inlineStr">
        <is>
          <t>Coste de personal al año (€)</t>
        </is>
      </c>
      <c r="E16" s="14">
        <f>$K$12</f>
        <v>92776.07850000002</v>
      </c>
      <c r="G16" s="7" t="inlineStr">
        <is>
          <t>El año de crucero completo. El primer año cuesta menos porque nadie entra el día 1: eso lo calcula la hoja «Plan de Contratación».</t>
        </is>
      </c>
    </row>
    <row r="17" ht="26" customHeight="1">
      <c r="A17" s="12" t="inlineStr">
        <is>
          <t>Jornadas equivalentes</t>
        </is>
      </c>
      <c r="E17" s="25">
        <f>$F$12</f>
        <v>3.5</v>
      </c>
      <c r="G17" s="7" t="inlineStr">
        <is>
          <t>Cinco personas, 3,5 jornadas. Contar personas en vez de jornadas es el error que hace que un plan parezca sobredimensionado.</t>
        </is>
      </c>
    </row>
    <row r="18" ht="26" customHeight="1">
      <c r="A18" s="12" t="inlineStr">
        <is>
          <t>Coste medio por hora PAGADA de la plantilla (€)</t>
        </is>
      </c>
      <c r="E18" s="14">
        <f>IFERROR(IF($F$12=0,"",$K$12/('Parámetros'!$C$23*$F$12)),"")</f>
        <v>14.891826404494385</v>
      </c>
      <c r="G18" s="7" t="inlineStr">
        <is>
          <t>Media de TODA la plantilla (obrador + despacho), sobre horas PAGADAS. NO es el «coste hora productiva de obrador» del libro 4 (17,94 €, carta-de-apertura-y-escandallo.xlsx, sólo obrador y sólo horas productivas) ni el «coste por hora PAGADA del refuerzo» del libro 3 (13,36 €, estacionalidad-y-picos.xlsx, sólo el grupo 5): las tres son correctas y miden un denominador distinto.</t>
        </is>
      </c>
    </row>
    <row r="19" ht="26" customHeight="1">
      <c r="A19" s="12" t="inlineStr">
        <is>
          <t>Lo que cuesta la Seguridad Social al año (€)</t>
        </is>
      </c>
      <c r="E19" s="14">
        <f>IFERROR($K$12-$I$12,"")</f>
        <v>23019.628500000006</v>
      </c>
      <c r="G19" s="7" t="inlineStr">
        <is>
          <t>La diferencia entre lo que cobran y lo que pagas. No es negociable y no se puede olvidar.</t>
        </is>
      </c>
    </row>
    <row r="20" ht="26" customHeight="1">
      <c r="A20" s="12" t="inlineStr">
        <is>
          <t>Suma de los brutos anuales (€)</t>
        </is>
      </c>
      <c r="E20" s="14">
        <f>$I$12</f>
        <v>69756.45000000001</v>
      </c>
      <c r="G20" s="7" t="inlineStr">
        <is>
          <t>Lo que perciben las cinco personas, antes de cotizaciones.</t>
        </is>
      </c>
    </row>
    <row r="21"/>
    <row r="22">
      <c r="A22" s="3" t="inlineStr">
        <is>
          <t>Lista de grupos (origen del desplegable)</t>
        </is>
      </c>
    </row>
    <row r="23" ht="20" customHeight="1">
      <c r="A23" s="8" t="inlineStr">
        <is>
          <t>Grupo</t>
        </is>
      </c>
      <c r="B23" s="8" t="inlineStr">
        <is>
          <t>Descripción funcional</t>
        </is>
      </c>
    </row>
    <row r="24">
      <c r="A24" s="22">
        <f>'Parámetros'!$A$8</f>
        <v>1.0</v>
      </c>
      <c r="B24" t="str">
        <f>'Parámetros'!$B$8</f>
        <v>Técnicos y titulados superiores</v>
      </c>
    </row>
    <row r="25">
      <c r="A25" s="22">
        <f>'Parámetros'!$A$9</f>
        <v>2.0</v>
      </c>
      <c r="B25" t="str">
        <f>'Parámetros'!$B$9</f>
        <v>Dirección, jefes y encargados</v>
      </c>
    </row>
    <row r="26">
      <c r="A26" s="22">
        <f>'Parámetros'!$A$10</f>
        <v>3.0</v>
      </c>
      <c r="B26" t="str">
        <f>'Parámetros'!$B$10</f>
        <v>Personal especialista</v>
      </c>
    </row>
    <row r="27">
      <c r="A27" s="22">
        <f>'Parámetros'!$A$11</f>
        <v>4.0</v>
      </c>
      <c r="B27" t="str">
        <f>'Parámetros'!$B$11</f>
        <v>Personal cualificado</v>
      </c>
    </row>
    <row r="28">
      <c r="A28" s="22">
        <f>'Parámetros'!$A$12</f>
        <v>5.0</v>
      </c>
      <c r="B28" t="str">
        <f>'Parámetros'!$B$12</f>
        <v>Personal de apoyo</v>
      </c>
    </row>
    <row r="29">
      <c r="A29" s="22">
        <f>'Parámetros'!$A$13</f>
        <v>6.0</v>
      </c>
      <c r="B29" t="str">
        <f>'Parámetros'!$B$13</f>
        <v>Personal de ayuda en servicios auxiliares</v>
      </c>
    </row>
    <row r="30"/>
    <row r="31" ht="44" customHeight="1">
      <c r="A31" s="7" t="inlineStr">
        <is>
          <t>Las horas de la columna G se leen de la hoja «Turnos Semanales»: si cambias un turno, aquí cambia el coste. La jornada equivalente es horas planificadas partido por jornada completa, así que un contrato de 20 horas cuesta la mitad que uno de 40 del mismo grupo. Lo que no se prorratea es lo que no depende de la jornada: ropa de trabajo, formación y reconocimiento médico cuestan casi lo mismo para media jornada que para una completa.</t>
        </is>
      </c>
    </row>
    <row r="32" ht="34" customHeight="1">
      <c r="A32" s="7" t="inlineStr">
        <is>
          <t>La Seguridad Social del 33 % es una aproximación de la cotización empresarial (contingencias comunes, desempleo, FOGASA y formación). Tu tipo real depende del contrato, de la actividad y de las bonificaciones que te apliquen: cámbialo en «Parámetros» y todo el libro se recalcula.</t>
        </is>
      </c>
    </row>
    <row r="33" ht="26" customHeight="1">
      <c r="A33" s="7" t="inlineStr">
        <is>
          <t>Este libro no calcula nóminas ni cotizaciones exactas, y no sustituye a tu gestoría: calcula el DIMENSIONADO y su coste, que es lo que hay que saber antes de firmar el arrendamiento.</t>
        </is>
      </c>
    </row>
    <row r="34"/>
    <row r="35">
      <c r="A35" s="2" t="inlineStr">
        <is>
          <t>Diseñado por John Guerrero — chef y consultor gastronómico desde 2010, en cocina desde los 17 años.</t>
        </is>
      </c>
    </row>
    <row r="36">
      <c r="A36"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19:D19"/>
    <mergeCell ref="G18:N18"/>
    <mergeCell ref="A31:N31"/>
    <mergeCell ref="A33:N33"/>
    <mergeCell ref="A15:D15"/>
    <mergeCell ref="A17:D17"/>
    <mergeCell ref="A3:N3"/>
    <mergeCell ref="A12:D12"/>
    <mergeCell ref="G15:N15"/>
    <mergeCell ref="G17:N17"/>
    <mergeCell ref="A20:D20"/>
    <mergeCell ref="A16:D16"/>
    <mergeCell ref="G19:N19"/>
    <mergeCell ref="G16:N16"/>
    <mergeCell ref="A18:D18"/>
    <mergeCell ref="A32:N32"/>
    <mergeCell ref="G20:N20"/>
  </mergeCells>
  <conditionalFormatting sqref="M7:M11">
    <cfRule type="cellIs" priority="1" operator="equal" dxfId="1" stopIfTrue="1">
      <formula>"Se pasa de la jornada completa"</formula>
    </cfRule>
  </conditionalFormatting>
  <conditionalFormatting sqref="N7:N11">
    <cfRule type="cellIs" priority="2" operator="equal" dxfId="1" stopIfTrue="1">
      <formula>"El grupo queda por debajo del SMI anual"</formula>
    </cfRule>
  </conditionalFormatting>
  <dataValidations count="1">
    <dataValidation sqref="D7 D8 D9 D10 D11" showDropDown="0" showInputMessage="0" showErrorMessage="1" allowBlank="0" errorTitle="Grupo de convenio" error="Elige uno de los seis grupos de la lista de esta hoja." type="list">
      <formula1>$B$24:$B$29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4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7" customWidth="1" min="3" max="3"/>
    <col width="11" customWidth="1" min="4" max="4"/>
    <col width="15" customWidth="1" min="5" max="5"/>
    <col width="18" customWidth="1" min="6" max="6"/>
    <col width="17" customWidth="1" min="7" max="7"/>
    <col width="16" customWidth="1" min="8" max="8"/>
    <col width="14" customWidth="1" min="9" max="9"/>
    <col width="34" customWidth="1" min="10" max="10"/>
    <col width="52" customWidth="1" min="11" max="11"/>
  </cols>
  <sheetData>
    <row r="1" ht="30" customHeight="1">
      <c r="A1" s="1" t="inlineStr">
        <is>
          <t>Plan de Contratación y Refuerzo de Campañas</t>
        </is>
      </c>
    </row>
    <row r="2">
      <c r="A2" t="inlineStr">
        <is>
          <t>AI Chef Pro · aichef.pro — Cómo Montar una Pastelería</t>
        </is>
      </c>
    </row>
    <row r="3" ht="28" customHeight="1">
      <c r="A3" s="7" t="inlineStr">
        <is>
          <t>El primer año no cuesta lo que el año de crucero: nadie entra el día 1 y las campañas se refuerzan. Éstos son los dos números que van al plan financiero.</t>
        </is>
      </c>
    </row>
    <row r="4"/>
    <row r="5">
      <c r="A5" s="3" t="inlineStr">
        <is>
          <t>Altas de la plantilla</t>
        </is>
      </c>
    </row>
    <row r="6" ht="40" customHeight="1">
      <c r="A6" s="8" t="inlineStr">
        <is>
          <t>Id</t>
        </is>
      </c>
      <c r="B6" s="8" t="inlineStr">
        <is>
          <t>Persona (perfil del kit)</t>
        </is>
      </c>
      <c r="C6" s="8" t="inlineStr">
        <is>
          <t>Fecha de alta prevista</t>
        </is>
      </c>
      <c r="D6" s="8" t="inlineStr">
        <is>
          <t>Mes de alta</t>
        </is>
      </c>
      <c r="E6" s="8" t="inlineStr">
        <is>
          <t>Meses en el año 1</t>
        </is>
      </c>
      <c r="F6" s="8" t="inlineStr">
        <is>
          <t>Coste empresa mes (€)</t>
        </is>
      </c>
      <c r="G6" s="8" t="inlineStr">
        <is>
          <t>Coste del año 1 (€)</t>
        </is>
      </c>
      <c r="H6" s="8" t="inlineStr">
        <is>
          <t>Coste del año de crucero (€)</t>
        </is>
      </c>
      <c r="I6" s="8" t="inlineStr">
        <is>
          <t>Ahorro del año 1 (€)</t>
        </is>
      </c>
      <c r="J6" s="8" t="inlineStr">
        <is>
          <t>Por qué entra cuando entra</t>
        </is>
      </c>
      <c r="K6" s="8" t="inlineStr">
        <is>
          <t>Nota</t>
        </is>
      </c>
    </row>
    <row r="7" ht="32" customHeight="1">
      <c r="A7" s="19" t="inlineStr">
        <is>
          <t>P1</t>
        </is>
      </c>
      <c r="B7" t="inlineStr">
        <is>
          <t>Jefe Pastelero</t>
        </is>
      </c>
      <c r="C7" s="28" t="n">
        <v>46601</v>
      </c>
      <c r="D7" s="22">
        <f>IFERROR(IF($C7="","",MONTH($C7)),"")</f>
        <v>8.0</v>
      </c>
      <c r="E7" s="22">
        <f>IFERROR(IF($D7="","",MIN(12,MAX(0,12-($D7-'Parámetros'!$C$25)))),"")</f>
        <v>12.0</v>
      </c>
      <c r="F7" s="11">
        <f>'Horas y Coste'!$J$7</f>
        <v>2373.867125</v>
      </c>
      <c r="G7" s="11">
        <f>IFERROR(IF(OR($E7="",$F7=""),"",$E7*$F7),"")</f>
        <v>28486.4055</v>
      </c>
      <c r="H7" s="11">
        <f>'Horas y Coste'!$K$7</f>
        <v>28486.405500000004</v>
      </c>
      <c r="I7" s="11">
        <f>IFERROR(IF(OR($G7="",$H7=""),"",$H7-$G7),"")</f>
        <v>3.637978807091713e-12</v>
      </c>
      <c r="J7" s="4" t="inlineStr">
        <is>
          <t>Un mes antes de abrir: cierra la carta de apertura, hace las pruebas de producción y recibe la maquinaria.</t>
        </is>
      </c>
      <c r="K7" s="4" t="inlineStr">
        <is>
          <t>El alta en la Seguridad Social es PREVIA al inicio de la prestación de servicios: se comunica antes de que la persona empiece, no el mismo día.</t>
        </is>
      </c>
    </row>
    <row r="8" ht="32" customHeight="1">
      <c r="A8" s="19" t="inlineStr">
        <is>
          <t>P2</t>
        </is>
      </c>
      <c r="B8" t="inlineStr">
        <is>
          <t>Pastelero</t>
        </is>
      </c>
      <c r="C8" s="28" t="n">
        <v>46615</v>
      </c>
      <c r="D8" s="22">
        <f>IFERROR(IF($C8="","",MONTH($C8)),"")</f>
        <v>8.0</v>
      </c>
      <c r="E8" s="22">
        <f>IFERROR(IF($D8="","",MIN(12,MAX(0,12-($D8-'Parámetros'!$C$25)))),"")</f>
        <v>12.0</v>
      </c>
      <c r="F8" s="11">
        <f>'Horas y Coste'!$J$8</f>
        <v>2289.1128750000003</v>
      </c>
      <c r="G8" s="11">
        <f>IFERROR(IF(OR($E8="",$F8=""),"",$E8*$F8),"")</f>
        <v>27469.3545</v>
      </c>
      <c r="H8" s="11">
        <f>'Horas y Coste'!$K$8</f>
        <v>27469.354500000005</v>
      </c>
      <c r="I8" s="11">
        <f>IFERROR(IF(OR($G8="",$H8=""),"",$H8-$G8),"")</f>
        <v>3.637978807091713e-12</v>
      </c>
      <c r="J8" s="4" t="inlineStr">
        <is>
          <t>Dos semanas antes: entra cuando ya hay obrador montado y hay que ensayar las tandas de verdad.</t>
        </is>
      </c>
      <c r="K8" s="4" t="inlineStr">
        <is>
          <t>El alta en la Seguridad Social es PREVIA al inicio de la prestación de servicios: se comunica antes de que la persona empiece, no el mismo día.</t>
        </is>
      </c>
    </row>
    <row r="9" ht="32" customHeight="1">
      <c r="A9" s="19" t="inlineStr">
        <is>
          <t>P3</t>
        </is>
      </c>
      <c r="B9" t="inlineStr">
        <is>
          <t>Ayudante</t>
        </is>
      </c>
      <c r="C9" s="28" t="n">
        <v>46631</v>
      </c>
      <c r="D9" s="22">
        <f>IFERROR(IF($C9="","",MONTH($C9)),"")</f>
        <v>9.0</v>
      </c>
      <c r="E9" s="22">
        <f>IFERROR(IF($D9="","",MIN(12,MAX(0,12-($D9-'Parámetros'!$C$25)))),"")</f>
        <v>12.0</v>
      </c>
      <c r="F9" s="11">
        <f>'Horas y Coste'!$J$9</f>
        <v>991.1991250000002</v>
      </c>
      <c r="G9" s="11">
        <f>IFERROR(IF(OR($E9="",$F9=""),"",$E9*$F9),"")</f>
        <v>11894.389500000003</v>
      </c>
      <c r="H9" s="11">
        <f>'Horas y Coste'!$K$9</f>
        <v>11894.389500000003</v>
      </c>
      <c r="I9" s="11">
        <f>IFERROR(IF(OR($G9="",$H9=""),"",$H9-$G9),"")</f>
        <v>0.0</v>
      </c>
      <c r="J9" s="4" t="inlineStr">
        <is>
          <t>El día de la apertura: hasta que no hay producción diaria no hay nada que ayudar.</t>
        </is>
      </c>
      <c r="K9" s="4" t="inlineStr">
        <is>
          <t>El alta en la Seguridad Social es PREVIA al inicio de la prestación de servicios: se comunica antes de que la persona empiece, no el mismo día.</t>
        </is>
      </c>
    </row>
    <row r="10" ht="32" customHeight="1">
      <c r="A10" s="19" t="inlineStr">
        <is>
          <t>P4</t>
        </is>
      </c>
      <c r="B10" t="inlineStr">
        <is>
          <t>Dependiente Vitrina A</t>
        </is>
      </c>
      <c r="C10" s="28" t="n">
        <v>46631</v>
      </c>
      <c r="D10" s="22">
        <f>IFERROR(IF($C10="","",MONTH($C10)),"")</f>
        <v>9.0</v>
      </c>
      <c r="E10" s="22">
        <f>IFERROR(IF($D10="","",MIN(12,MAX(0,12-($D10-'Parámetros'!$C$25)))),"")</f>
        <v>12.0</v>
      </c>
      <c r="F10" s="11">
        <f>'Horas y Coste'!$J$10</f>
        <v>1038.5803750000002</v>
      </c>
      <c r="G10" s="11">
        <f>IFERROR(IF(OR($E10="",$F10=""),"",$E10*$F10),"")</f>
        <v>12462.964500000002</v>
      </c>
      <c r="H10" s="11">
        <f>'Horas y Coste'!$K$10</f>
        <v>12462.964500000002</v>
      </c>
      <c r="I10" s="11">
        <f>IFERROR(IF(OR($G10="",$H10=""),"",$H10-$G10),"")</f>
        <v>0.0</v>
      </c>
      <c r="J10" s="4" t="inlineStr">
        <is>
          <t>El día de la apertura, turno de mañana.</t>
        </is>
      </c>
      <c r="K10" s="4" t="inlineStr">
        <is>
          <t>El alta en la Seguridad Social es PREVIA al inicio de la prestación de servicios: se comunica antes de que la persona empiece, no el mismo día.</t>
        </is>
      </c>
    </row>
    <row r="11" ht="32" customHeight="1">
      <c r="A11" s="19" t="inlineStr">
        <is>
          <t>P5</t>
        </is>
      </c>
      <c r="B11" t="inlineStr">
        <is>
          <t>Dependiente Vitrina B</t>
        </is>
      </c>
      <c r="C11" s="28" t="n">
        <v>46722</v>
      </c>
      <c r="D11" s="22">
        <f>IFERROR(IF($C11="","",MONTH($C11)),"")</f>
        <v>12.0</v>
      </c>
      <c r="E11" s="22">
        <f>IFERROR(IF($D11="","",MIN(12,MAX(0,12-($D11-'Parámetros'!$C$25)))),"")</f>
        <v>9.0</v>
      </c>
      <c r="F11" s="11">
        <f>'Horas y Coste'!$J$11</f>
        <v>1038.5803750000002</v>
      </c>
      <c r="G11" s="11">
        <f>IFERROR(IF(OR($E11="",$F11=""),"",$E11*$F11),"")</f>
        <v>9347.223375000001</v>
      </c>
      <c r="H11" s="11">
        <f>'Horas y Coste'!$K$11</f>
        <v>12462.964500000002</v>
      </c>
      <c r="I11" s="11">
        <f>IFERROR(IF(OR($G11="",$H11=""),"",$H11-$G11),"")</f>
        <v>3115.7411250000005</v>
      </c>
      <c r="J11" s="4" t="inlineStr">
        <is>
          <t>Tres meses después de abrir: el turno de tarde se abre cuando la venta de tarde lo justifica, y llega a tiempo para la campaña de Navidad.</t>
        </is>
      </c>
      <c r="K11" s="4" t="inlineStr">
        <is>
          <t>El alta en la Seguridad Social es PREVIA al inicio de la prestación de servicios: se comunica antes de que la persona empiece, no el mismo día.</t>
        </is>
      </c>
    </row>
    <row r="12">
      <c r="A12" s="12" t="inlineStr">
        <is>
          <t>TOTAL de la plantilla</t>
        </is>
      </c>
      <c r="F12" s="14">
        <f>SUM($F$7:$F$11)</f>
        <v>7731.3398750000015</v>
      </c>
      <c r="G12" s="14">
        <f>SUM($G$7:$G$11)</f>
        <v>89660.337375</v>
      </c>
      <c r="H12" s="14">
        <f>SUM($H$7:$H$11)</f>
        <v>92776.07850000002</v>
      </c>
      <c r="I12" s="14">
        <f>SUM($I$7:$I$11)</f>
        <v>3115.7411250000077</v>
      </c>
    </row>
    <row r="13"/>
    <row r="14">
      <c r="A14" s="3" t="inlineStr">
        <is>
          <t>Refuerzo de las seis campañas</t>
        </is>
      </c>
    </row>
    <row r="15" ht="40" customHeight="1">
      <c r="A15" s="8" t="inlineStr">
        <is>
          <t>Nº</t>
        </is>
      </c>
      <c r="B15" s="8" t="inlineStr">
        <is>
          <t>Campaña</t>
        </is>
      </c>
      <c r="C15" s="8" t="inlineStr">
        <is>
          <t>Fechas</t>
        </is>
      </c>
      <c r="D15" s="8" t="inlineStr">
        <is>
          <t>Mes</t>
        </is>
      </c>
      <c r="E15" s="8" t="inlineStr">
        <is>
          <t>Personas de refuerzo</t>
        </is>
      </c>
      <c r="F15" s="8" t="inlineStr">
        <is>
          <t>Horas por persona</t>
        </is>
      </c>
      <c r="G15" s="8" t="inlineStr">
        <is>
          <t>Grupo de convenio</t>
        </is>
      </c>
      <c r="H15" s="8" t="inlineStr">
        <is>
          <t>Coste por hora (€)</t>
        </is>
      </c>
      <c r="I15" s="8" t="inlineStr">
        <is>
          <t>Coste del refuerzo (€)</t>
        </is>
      </c>
      <c r="J15" s="8" t="inlineStr">
        <is>
          <t>Antelación de compra</t>
        </is>
      </c>
      <c r="K15" s="8" t="inlineStr">
        <is>
          <t>Nota</t>
        </is>
      </c>
    </row>
    <row r="16" ht="44" customHeight="1">
      <c r="A16" s="9" t="n">
        <v>1</v>
      </c>
      <c r="B16" t="inlineStr">
        <is>
          <t>Reyes</t>
        </is>
      </c>
      <c r="C16" t="inlineStr">
        <is>
          <t>2 a 6 de enero</t>
        </is>
      </c>
      <c r="D16" s="9" t="n">
        <v>1</v>
      </c>
      <c r="E16" s="20" t="n">
        <v>3</v>
      </c>
      <c r="F16" s="20" t="n">
        <v>40</v>
      </c>
      <c r="G16" s="5" t="inlineStr">
        <is>
          <t>Personal de apoyo</t>
        </is>
      </c>
      <c r="H16" s="11">
        <f>IFERROR(INDEX('Parámetros'!$C$8:$C$13,MATCH($G16,'Parámetros'!$B$8:$B$13,0))*'Parámetros'!$C$15*(1+'Parámetros'!$C$21)/'Parámetros'!$C$23,"")</f>
        <v>13.364482584269666</v>
      </c>
      <c r="I16" s="11">
        <f>IFERROR(IF(OR($E16="",$F16="",$H16=""),"",$E16*$F16*$H16),"")</f>
        <v>1603.73791011236</v>
      </c>
      <c r="J16" t="inlineStr">
        <is>
          <t>6 semanas antes</t>
        </is>
      </c>
      <c r="K16" s="4" t="inlineStr">
        <is>
          <t>El pico que decide el año. Referencias de escala, nunca de precio ni de cuota: PS-35 (unos 30 millones de roscones en España en la campaña 2025/26), PS-36 (más de 2,9 millones en la Comunidad de Madrid) y PS-38 (El Corte Inglés 850.000, Viena Capellanes 72.000). PS-46: el supermercado entra con rosc</t>
        </is>
      </c>
    </row>
    <row r="17" ht="44" customHeight="1">
      <c r="A17" s="9" t="n">
        <v>2</v>
      </c>
      <c r="B17" t="inlineStr">
        <is>
          <t>San Valentín</t>
        </is>
      </c>
      <c r="C17" t="inlineStr">
        <is>
          <t>13 y 14 de febrero</t>
        </is>
      </c>
      <c r="D17" s="9" t="n">
        <v>2</v>
      </c>
      <c r="E17" s="20" t="n">
        <v>0</v>
      </c>
      <c r="F17" s="20" t="n">
        <v>0</v>
      </c>
      <c r="G17" s="5" t="inlineStr">
        <is>
          <t>Personal de apoyo</t>
        </is>
      </c>
      <c r="H17" s="11">
        <f>IFERROR(INDEX('Parámetros'!$C$8:$C$13,MATCH($G17,'Parámetros'!$B$8:$B$13,0))*'Parámetros'!$C$15*(1+'Parámetros'!$C$21)/'Parámetros'!$C$23,"")</f>
        <v>13.364482584269666</v>
      </c>
      <c r="I17" s="11">
        <f>IFERROR(IF(OR($E17="",$F17="",$H17=""),"",$E17*$F17*$H17),"")</f>
        <v>0.0</v>
      </c>
      <c r="J17" t="inlineStr">
        <is>
          <t>3 semanas antes</t>
        </is>
      </c>
      <c r="K17" s="4" t="inlineStr">
        <is>
          <t>Campaña de dos días y de ticket alto, no de volumen: se gana con cajas y presentación, no con más horno. En el kit, la producción especial de esta fecha son tartas corazón, bombones y macarons.</t>
        </is>
      </c>
    </row>
    <row r="18" ht="44" customHeight="1">
      <c r="A18" s="9" t="n">
        <v>3</v>
      </c>
      <c r="B18" t="inlineStr">
        <is>
          <t>Día del Padre y de la Madre</t>
        </is>
      </c>
      <c r="C18" t="inlineStr">
        <is>
          <t>19 de marzo y primer domingo de mayo</t>
        </is>
      </c>
      <c r="D18" s="9" t="n">
        <v>3</v>
      </c>
      <c r="E18" s="20" t="n">
        <v>1</v>
      </c>
      <c r="F18" s="20" t="n">
        <v>16</v>
      </c>
      <c r="G18" s="5" t="inlineStr">
        <is>
          <t>Personal de apoyo</t>
        </is>
      </c>
      <c r="H18" s="11">
        <f>IFERROR(INDEX('Parámetros'!$C$8:$C$13,MATCH($G18,'Parámetros'!$B$8:$B$13,0))*'Parámetros'!$C$15*(1+'Parámetros'!$C$21)/'Parámetros'!$C$23,"")</f>
        <v>13.364482584269666</v>
      </c>
      <c r="I18" s="11">
        <f>IFERROR(IF(OR($E18="",$F18="",$H18=""),"",$E18*$F18*$H18),"")</f>
        <v>213.83172134831466</v>
      </c>
      <c r="J18" t="inlineStr">
        <is>
          <t>3 semanas antes</t>
        </is>
      </c>
      <c r="K18" s="4" t="inlineStr">
        <is>
          <t>Dos fechas con el mismo patrón de trabajo -tarta con dedicatoria, por encargo- y por eso van juntas como una sola campaña operativa. El kit las separa en su calendario porque a él le importan las fechas; a la guía le importa la carga de obrador.</t>
        </is>
      </c>
    </row>
    <row r="19" ht="44" customHeight="1">
      <c r="A19" s="9" t="n">
        <v>4</v>
      </c>
      <c r="B19" t="inlineStr">
        <is>
          <t>Semana Santa</t>
        </is>
      </c>
      <c r="C19" t="inlineStr">
        <is>
          <t>del Domingo de Ramos al Domingo de Resurrección</t>
        </is>
      </c>
      <c r="D19" s="9" t="n">
        <v>4</v>
      </c>
      <c r="E19" s="20" t="n">
        <v>1</v>
      </c>
      <c r="F19" s="20" t="n">
        <v>40</v>
      </c>
      <c r="G19" s="5" t="inlineStr">
        <is>
          <t>Personal de apoyo</t>
        </is>
      </c>
      <c r="H19" s="11">
        <f>IFERROR(INDEX('Parámetros'!$C$8:$C$13,MATCH($G19,'Parámetros'!$B$8:$B$13,0))*'Parámetros'!$C$15*(1+'Parámetros'!$C$21)/'Parámetros'!$C$23,"")</f>
        <v>13.364482584269666</v>
      </c>
      <c r="I19" s="11">
        <f>IFERROR(IF(OR($E19="",$F19="",$H19=""),"",$E19*$F19*$H19),"")</f>
        <v>534.5793033707866</v>
      </c>
      <c r="J19" t="inlineStr">
        <is>
          <t>4 semanas antes</t>
        </is>
      </c>
      <c r="K19" s="4" t="inlineStr">
        <is>
          <t>Ocho días seguidos de producción extra, que es más agotador que los cinco de Reyes aunque el pico sea menor. Torrijas y monas a la vez: una necesita freidora y frío, la otra horno y chocolate.</t>
        </is>
      </c>
    </row>
    <row r="20" ht="44" customHeight="1">
      <c r="A20" s="9" t="n">
        <v>5</v>
      </c>
      <c r="B20" t="inlineStr">
        <is>
          <t>Comuniones</t>
        </is>
      </c>
      <c r="C20" t="inlineStr">
        <is>
          <t>de mediados de abril a mediados de junio</t>
        </is>
      </c>
      <c r="D20" s="9" t="n">
        <v>5</v>
      </c>
      <c r="E20" s="20" t="n">
        <v>1</v>
      </c>
      <c r="F20" s="20" t="n">
        <v>60</v>
      </c>
      <c r="G20" s="5" t="inlineStr">
        <is>
          <t>Personal de apoyo</t>
        </is>
      </c>
      <c r="H20" s="11">
        <f>IFERROR(INDEX('Parámetros'!$C$8:$C$13,MATCH($G20,'Parámetros'!$B$8:$B$13,0))*'Parámetros'!$C$15*(1+'Parámetros'!$C$21)/'Parámetros'!$C$23,"")</f>
        <v>13.364482584269666</v>
      </c>
      <c r="I20" s="11">
        <f>IFERROR(IF(OR($E20="",$F20="",$H20=""),"",$E20*$F20*$H20),"")</f>
        <v>801.86895505618</v>
      </c>
      <c r="J20" t="inlineStr">
        <is>
          <t>5 semanas antes</t>
        </is>
      </c>
      <c r="K20" s="4" t="inlineStr">
        <is>
          <t>No es un pico, es una MESETA de dos meses, y por eso se aguanta con plantilla y no con horas extra. Todo va por encargo: anticipo, calendario de entrega y riesgo de anulación (cap. 16). La herramienta de gestión del encargo es el 11-control-encargos.xlsx del kit, que la guía no rehace (R2).</t>
        </is>
      </c>
    </row>
    <row r="21" ht="44" customHeight="1">
      <c r="A21" s="9" t="n">
        <v>6</v>
      </c>
      <c r="B21" t="inlineStr">
        <is>
          <t>Todos los Santos</t>
        </is>
      </c>
      <c r="C21" t="inlineStr">
        <is>
          <t>30 y 31 de octubre y 1 de noviembre</t>
        </is>
      </c>
      <c r="D21" s="9" t="n">
        <v>11</v>
      </c>
      <c r="E21" s="20" t="n">
        <v>2</v>
      </c>
      <c r="F21" s="20" t="n">
        <v>24</v>
      </c>
      <c r="G21" s="5" t="inlineStr">
        <is>
          <t>Personal de apoyo</t>
        </is>
      </c>
      <c r="H21" s="11">
        <f>IFERROR(INDEX('Parámetros'!$C$8:$C$13,MATCH($G21,'Parámetros'!$B$8:$B$13,0))*'Parámetros'!$C$15*(1+'Parámetros'!$C$21)/'Parámetros'!$C$23,"")</f>
        <v>13.364482584269666</v>
      </c>
      <c r="I21" s="11">
        <f>IFERROR(IF(OR($E21="",$F21="",$H21=""),"",$E21*$F21*$H21),"")</f>
        <v>641.495164044944</v>
      </c>
      <c r="J21" t="inlineStr">
        <is>
          <t>4 semanas antes</t>
        </is>
      </c>
      <c r="K21" s="4" t="inlineStr">
        <is>
          <t>Tres días con tres referencias que sólo se hacen ahora: buñuelos, huesos de santo y panellets. Los buñuelos van rellenos (4 °C y 24 h) y los otros dos son estables a temperatura ambiente: por eso los buñuelos se hacen el mismo día y los huesos de santo se pueden adelantar. Ese detalle legal ES la pl</t>
        </is>
      </c>
    </row>
    <row r="22">
      <c r="A22" s="12" t="inlineStr">
        <is>
          <t>TOTAL del refuerzo de campañas</t>
        </is>
      </c>
      <c r="E22" s="23">
        <f>SUM($E$16:$E$21)</f>
        <v>8.0</v>
      </c>
      <c r="F22" s="23">
        <f>SUM($F$16:$F$21)</f>
        <v>180.0</v>
      </c>
      <c r="I22" s="14">
        <f>SUM($I$16:$I$21)</f>
        <v>3795.513053932585</v>
      </c>
    </row>
    <row r="23"/>
    <row r="24">
      <c r="A24" s="3" t="inlineStr">
        <is>
          <t>Los dos números que van al plan financiero</t>
        </is>
      </c>
    </row>
    <row r="25" ht="26" customHeight="1">
      <c r="A25" s="12" t="inlineStr">
        <is>
          <t>Coste de la plantilla en el año 1 (€)</t>
        </is>
      </c>
      <c r="F25" s="14">
        <f>$G$12</f>
        <v>89660.337375</v>
      </c>
      <c r="H25" s="7" t="inlineStr">
        <is>
          <t>Sólo los meses que cada uno está de alta desde la apertura.</t>
        </is>
      </c>
    </row>
    <row r="26" ht="26" customHeight="1">
      <c r="A26" s="12" t="inlineStr">
        <is>
          <t>Coste del refuerzo de campañas en un año (€)</t>
        </is>
      </c>
      <c r="F26" s="14">
        <f>$I$22</f>
        <v>3795.513053932585</v>
      </c>
      <c r="H26" s="7" t="inlineStr">
        <is>
          <t>Las seis campañas juntas. Se paga en el mes de la campaña o al siguiente: mira la tesorería del libro 5 justo ahí.</t>
        </is>
      </c>
    </row>
    <row r="27" ht="26" customHeight="1">
      <c r="A27" s="12" t="inlineStr">
        <is>
          <t>Coste de personal acumulado del primer año (€)</t>
        </is>
      </c>
      <c r="F27" s="14">
        <f>IFERROR($F$25+$F$26,"")</f>
        <v>93455.8504289326</v>
      </c>
      <c r="H27" s="7" t="inlineStr">
        <is>
          <t>Éste es el número del año 1. Es el que hay que meter en el plan, no el de crucero.</t>
        </is>
      </c>
    </row>
    <row r="28" ht="26" customHeight="1">
      <c r="A28" s="12" t="inlineStr">
        <is>
          <t>Coste de personal del año de crucero (€)</t>
        </is>
      </c>
      <c r="F28" s="14">
        <f>'Horas y Coste'!$E$16</f>
        <v>92776.07850000002</v>
      </c>
      <c r="H28" s="7" t="inlineStr">
        <is>
          <t>Doce meses con toda la plantilla, sin refuerzo. Es el que se usa a partir del año 2.</t>
        </is>
      </c>
    </row>
    <row r="29" ht="26" customHeight="1">
      <c r="A29" s="12" t="inlineStr">
        <is>
          <t>Diferencia entre el año 1 y el de crucero (€)</t>
        </is>
      </c>
      <c r="F29" s="14">
        <f>IFERROR($F$27-$F$28,"")</f>
        <v>679.771928932576</v>
      </c>
      <c r="H29" s="7" t="inlineStr">
        <is>
          <t>Negativo = el primer año cuesta menos porque no está todo el mundo los doce meses.</t>
        </is>
      </c>
    </row>
    <row r="30">
      <c r="A30" s="12" t="inlineStr">
        <is>
          <t>Veredicto del arranque</t>
        </is>
      </c>
      <c r="F30" s="15" t="str">
        <f>IF($F$29="","",IF($F$29&lt;0,"El primer año ahorra en personal: no lo confundas con que el negocio vaya bien","El refuerzo se come el ahorro del arranque: revisa las campañas"))</f>
        <v>El refuerzo se come el ahorro del arranque: revisa las campañas</v>
      </c>
      <c r="H30" s="7" t="inlineStr">
        <is>
          <t>En el año 1 el ahorro de personal coincide con los meses en los que tampoco hay ventas: la rampa de arranque del libro 5 lo pone en su sitio.</t>
        </is>
      </c>
    </row>
    <row r="31"/>
    <row r="32">
      <c r="A32" s="3" t="inlineStr">
        <is>
          <t>Lista de grupos (origen del desplegable)</t>
        </is>
      </c>
    </row>
    <row r="33" ht="20" customHeight="1">
      <c r="A33" s="8" t="inlineStr">
        <is>
          <t>Grupo</t>
        </is>
      </c>
      <c r="B33" s="8" t="inlineStr">
        <is>
          <t>Descripción funcional</t>
        </is>
      </c>
    </row>
    <row r="34">
      <c r="A34" s="22">
        <f>'Parámetros'!$A$8</f>
        <v>1.0</v>
      </c>
      <c r="B34" t="str">
        <f>'Parámetros'!$B$8</f>
        <v>Técnicos y titulados superiores</v>
      </c>
    </row>
    <row r="35">
      <c r="A35" s="22">
        <f>'Parámetros'!$A$9</f>
        <v>2.0</v>
      </c>
      <c r="B35" t="str">
        <f>'Parámetros'!$B$9</f>
        <v>Dirección, jefes y encargados</v>
      </c>
    </row>
    <row r="36">
      <c r="A36" s="22">
        <f>'Parámetros'!$A$10</f>
        <v>3.0</v>
      </c>
      <c r="B36" t="str">
        <f>'Parámetros'!$B$10</f>
        <v>Personal especialista</v>
      </c>
    </row>
    <row r="37">
      <c r="A37" s="22">
        <f>'Parámetros'!$A$11</f>
        <v>4.0</v>
      </c>
      <c r="B37" t="str">
        <f>'Parámetros'!$B$11</f>
        <v>Personal cualificado</v>
      </c>
    </row>
    <row r="38">
      <c r="A38" s="22">
        <f>'Parámetros'!$A$12</f>
        <v>5.0</v>
      </c>
      <c r="B38" t="str">
        <f>'Parámetros'!$B$12</f>
        <v>Personal de apoyo</v>
      </c>
    </row>
    <row r="39">
      <c r="A39" s="22">
        <f>'Parámetros'!$A$13</f>
        <v>6.0</v>
      </c>
      <c r="B39" t="str">
        <f>'Parámetros'!$B$13</f>
        <v>Personal de ayuda en servicios auxiliares</v>
      </c>
    </row>
    <row r="40"/>
    <row r="41" ht="40" customHeight="1">
      <c r="A41" s="7" t="inlineStr">
        <is>
          <t>Las fechas de alta que vienen puestas son SUPUESTOS coherentes con el mes de apertura de «Parámetros»: el obrador entra antes porque hay que ensayar las tandas, y el despacho el mismo día. El cálculo de meses del año 1 cuenta desde el mes de apertura, con aritmética de meses y sin funciones de calendario.</t>
        </is>
      </c>
    </row>
    <row r="42" ht="44" customHeight="1">
      <c r="A42" s="7" t="inlineStr">
        <is>
          <t>El refuerzo de campaña se calcula con el coste por hora del grupo que elijas, que ya lleva las quince pagas y la Seguridad Social dentro. San Valentín viene con cero personas de refuerzo a propósito: son dos días de ticket alto y poco volumen, y se aguanta con la plantilla. Reyes viene con tres, que es lo que pide multiplicar por seis la producción del obrador durante cinco días.</t>
        </is>
      </c>
    </row>
    <row r="43" ht="30" customHeight="1">
      <c r="A43" s="7" t="inlineStr">
        <is>
          <t>Lo que este libro no decide: el TIPO de contrato del refuerzo. Eso depende de la causa que puedas acreditar y de tu convenio, y lo tiene que ver tu gestoría antes de la primera campaña, no durante.</t>
        </is>
      </c>
    </row>
    <row r="44"/>
    <row r="45">
      <c r="A45" s="2" t="inlineStr">
        <is>
          <t>Diseñado por John Guerrero — chef y consultor gastronómico desde 2010, en cocina desde los 17 años.</t>
        </is>
      </c>
    </row>
    <row r="46">
      <c r="A46"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8">
    <mergeCell ref="A25:E25"/>
    <mergeCell ref="H30:K30"/>
    <mergeCell ref="A22:D22"/>
    <mergeCell ref="A27:E27"/>
    <mergeCell ref="A29:E29"/>
    <mergeCell ref="A42:K42"/>
    <mergeCell ref="A3:K3"/>
    <mergeCell ref="A26:E26"/>
    <mergeCell ref="H28:K28"/>
    <mergeCell ref="H25:K25"/>
    <mergeCell ref="A12:E12"/>
    <mergeCell ref="H26:K26"/>
    <mergeCell ref="A28:E28"/>
    <mergeCell ref="H29:K29"/>
    <mergeCell ref="A41:K41"/>
    <mergeCell ref="A43:K43"/>
    <mergeCell ref="H27:K27"/>
    <mergeCell ref="A30:E30"/>
  </mergeCells>
  <dataValidations count="4">
    <dataValidation sqref="C7 C8 C9 C10 C11" showDropDown="0" showInputMessage="0" showErrorMessage="1" allowBlank="1" errorTitle="Fecha no válida" error="Escribe una fecha (dd/mm/aaaa) entre 2020 y 2040." type="date" operator="between">
      <formula1>DATE(2020,1,1)</formula1>
      <formula2>DATE(2040,12,31)</formula2>
    </dataValidation>
    <dataValidation sqref="E16 E17 E18 E19 E20 E21" showDropDown="0" showInputMessage="0" showErrorMessage="1" allowBlank="1" errorTitle="Personas de refuerzo" error="Cuántas personas extra contratas (0 a 20)." type="decimal" operator="between">
      <formula1>0</formula1>
      <formula2>20</formula2>
    </dataValidation>
    <dataValidation sqref="F16 F17 F18 F19 F20 F21" showDropDown="0" showInputMessage="0" showErrorMessage="1" allowBlank="1" errorTitle="Horas por persona" error="Horas de cada refuerzo en la campaña (0 a 200)." type="decimal" operator="between">
      <formula1>0</formula1>
      <formula2>200</formula2>
    </dataValidation>
    <dataValidation sqref="G16 G17 G18 G19 G20 G21" showDropDown="0" showInputMessage="0" showErrorMessage="1" allowBlank="0" errorTitle="Grupo de convenio" error="Elige uno de los seis grupos de la lista de esta hoja." type="list">
      <formula1>$B$34:$B$39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y coste de personal</dc:title>
  <dc:subject xmlns:dc="http://purl.org/dc/elements/1.1/">Cómo Montar una Pastelería · Versión 1.0 · septiembre 2026</dc:subject>
  <dcterms:created xmlns:dcterms="http://purl.org/dc/terms/" xmlns:xsi="http://www.w3.org/2001/XMLSchema-instance" xsi:type="dcterms:W3CDTF">2026-09-10T03:35:16Z</dcterms:created>
  <dcterms:modified xmlns:dcterms="http://purl.org/dc/terms/" xmlns:xsi="http://www.w3.org/2001/XMLSchema-instance" xsi:type="dcterms:W3CDTF">2026-09-10T03:35:17Z</dcterms:modified>
  <cp:lastModifiedBy>AI Chef Pro</cp:lastModifiedBy>
</cp:coreProperties>
</file>