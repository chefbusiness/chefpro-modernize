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Equipamiento" sheetId="2" state="visible" r:id="rId2"/>
    <sheet xmlns:r="http://schemas.openxmlformats.org/officeDocument/2006/relationships" name="Variante del Formato" sheetId="3" state="visible" r:id="rId3"/>
    <sheet xmlns:r="http://schemas.openxmlformats.org/officeDocument/2006/relationships" name="Proveedores" sheetId="4" state="visible" r:id="rId4"/>
    <sheet xmlns:r="http://schemas.openxmlformats.org/officeDocument/2006/relationships" name="Contador" sheetId="5" state="visible" r:id="rId5"/>
  </sheets>
  <definedNames>
    <definedName name="_xlnm.Print_Titles" localSheetId="1">'Equipamiento'!$15:$15</definedName>
    <definedName name="_xlnm.Print_Area" localSheetId="1">'Equipamiento'!$A$1:$W$74</definedName>
    <definedName name="_xlnm.Print_Titles" localSheetId="2">'Variante del Formato'!$15:$15</definedName>
    <definedName name="_xlnm.Print_Area" localSheetId="2">'Variante del Formato'!$A$1:$M$56</definedName>
    <definedName name="_xlnm.Print_Titles" localSheetId="3">'Proveedores'!$6:$6</definedName>
    <definedName name="_xlnm.Print_Area" localSheetId="3">'Proveedores'!$A$1:$L$31</definedName>
    <definedName name="_xlnm.Print_Area" localSheetId="4">'Contador'!$A$1:$F$51</definedName>
  </definedNames>
  <calcPr calcId="124519" fullCalcOnLoad="1"/>
</workbook>
</file>

<file path=xl/styles.xml><?xml version="1.0" encoding="utf-8"?>
<styleSheet xmlns="http://schemas.openxmlformats.org/spreadsheetml/2006/main">
  <numFmts count="3">
    <numFmt numFmtId="164" formatCode="0.0%"/>
    <numFmt numFmtId="165" formatCode="#,##0.00 €"/>
    <numFmt numFmtId="166" formatCode="#,##0.0"/>
  </numFmts>
  <fonts count="7">
    <font>
      <name val="Calibri"/>
      <family val="2"/>
      <color theme="1"/>
      <sz val="11"/>
      <scheme val="minor"/>
    </font>
    <font>
      <b val="1"/>
      <color rgb="00FFD700"/>
      <sz val="16"/>
    </font>
    <font>
      <i val="1"/>
      <sz val="9"/>
    </font>
    <font>
      <b val="1"/>
      <color theme="1"/>
      <sz val="11"/>
    </font>
    <font>
      <b val="1"/>
      <sz val="12"/>
    </font>
    <font>
      <i val="1"/>
      <sz val="8"/>
    </font>
    <font>
      <b val="1"/>
      <color rgb="00FFFFFF"/>
      <sz val="9"/>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pivotButton="0" quotePrefix="0" xfId="0"/>
    <xf numFmtId="0" fontId="2" fillId="0" borderId="0" applyAlignment="1" pivotButton="0" quotePrefix="0" xfId="0">
      <alignment horizontal="general" vertical="top" wrapText="1"/>
    </xf>
    <xf numFmtId="0" fontId="6" fillId="3" borderId="0" applyAlignment="1" pivotButton="0" quotePrefix="0" xfId="0">
      <alignment horizontal="center" vertical="center" wrapText="1"/>
    </xf>
    <xf numFmtId="0" fontId="3" fillId="0" borderId="0" pivotButton="0" quotePrefix="0" xfId="0"/>
    <xf numFmtId="164" fontId="0" fillId="2" borderId="0" applyProtection="1" pivotButton="0" quotePrefix="0" xfId="0">
      <protection locked="0" hidden="0"/>
    </xf>
    <xf numFmtId="165" fontId="0" fillId="2" borderId="0" applyProtection="1" pivotButton="0" quotePrefix="0" xfId="0">
      <protection locked="0" hidden="0"/>
    </xf>
    <xf numFmtId="3" fontId="0" fillId="2" borderId="0" applyProtection="1" pivotButton="0" quotePrefix="0" xfId="0">
      <protection locked="0" hidden="0"/>
    </xf>
    <xf numFmtId="3" fontId="0" fillId="0" borderId="0" pivotButton="0" quotePrefix="0" xfId="0"/>
    <xf numFmtId="165" fontId="0" fillId="0" borderId="0" pivotButton="0" quotePrefix="0" xfId="0"/>
    <xf numFmtId="164" fontId="0" fillId="0" borderId="0" pivotButton="0" quotePrefix="0" xfId="0"/>
    <xf numFmtId="3" fontId="3" fillId="4" borderId="0" pivotButton="0" quotePrefix="0" xfId="0"/>
    <xf numFmtId="165" fontId="3" fillId="4" borderId="0" pivotButton="0" quotePrefix="0" xfId="0"/>
    <xf numFmtId="164" fontId="3" fillId="4" borderId="0" pivotButton="0" quotePrefix="0" xfId="0"/>
    <xf numFmtId="0" fontId="3" fillId="4" borderId="0" pivotButton="0" quotePrefix="0" xfId="0"/>
    <xf numFmtId="0" fontId="0" fillId="0" borderId="0" applyAlignment="1" pivotButton="0" quotePrefix="0" xfId="0">
      <alignment horizontal="center" vertical="top"/>
    </xf>
    <xf numFmtId="0" fontId="0" fillId="0" borderId="0" applyAlignment="1" pivotButton="0" quotePrefix="0" xfId="0">
      <alignment horizontal="center"/>
    </xf>
    <xf numFmtId="0" fontId="0" fillId="2" borderId="0" applyAlignment="1" applyProtection="1" pivotButton="0" quotePrefix="0" xfId="0">
      <alignment horizontal="center" vertical="top"/>
      <protection locked="0" hidden="0"/>
    </xf>
    <xf numFmtId="166" fontId="3" fillId="4" borderId="0" pivotButton="0" quotePrefix="0" xfId="0"/>
    <xf numFmtId="3" fontId="3" fillId="0" borderId="0" pivotButton="0" quotePrefix="0" xfId="0"/>
    <xf numFmtId="165" fontId="3" fillId="0" borderId="0" pivotButton="0" quotePrefix="0" xfId="0"/>
    <xf numFmtId="164" fontId="3"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AI Chef Pro</author>
  </authors>
  <commentList>
    <comment ref="C7" authorId="0" shapeId="0">
      <text>
        <t>Tipo general del IVA sobre la maquinaria (21 %) — Verificado el 10-09-2026 · Ley 37/1992 del IVA, arts. 91.Uno.1.1.º y 91.Dos.1.1.º (texto consolidado, última modificación 28-02-2026) · https://www.boe.es/buscar/act.php?id=BOE-A-1992-28740</t>
      </text>
    </comment>
    <comment ref="C20" authorId="0" shapeId="0">
      <text>
        <t>El abatidor no es un capricho: el art. 5 exige llegar a -18 °C en el centro con descenso ininterrumpido — Verificado el 10-09-2026 · RD 1021/2022, art. 5 (texto consolidado) · https://www.boe.es/buscar/act.php?id=BOE-A-2022-21681</t>
      </text>
    </comment>
    <comment ref="C28" authorId="0" shapeId="0">
      <text>
        <t>La cámara es la que sostiene los 4 °C de lo relleno — Verificado el 10-09-2026 · RD 1021/2022, art. 4.1 (tabla), 4.2 y 4.3 (texto consolidado) · https://www.boe.es/buscar/act.php?id=BOE-A-2022-21681</t>
      </text>
    </comment>
    <comment ref="C34" authorId="0" shapeId="0">
      <text>
        <t>El software que compres hoy ya tiene que estar adaptado: la obligación del fabricante es anterior a la tuya — Verificado el 10-09-2026 · RD 1007/2023, disposición final cuarta y arts. 3.1 y 3.2 del Reglamento (texto consolidado, última modificación 03-12-2025 por el RD-ley 15/2025) · https://www.boe.es/buscar/act.php?id=BOE-A-2023-24840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C31"/>
  <sheetViews>
    <sheetView workbookViewId="0">
      <selection activeCell="A1" sqref="A1"/>
    </sheetView>
  </sheetViews>
  <sheetFormatPr baseColWidth="8" defaultRowHeight="15"/>
  <cols>
    <col width="48" customWidth="1" min="1" max="1"/>
    <col width="48" customWidth="1" min="2" max="2"/>
    <col width="48" customWidth="1" min="3" max="3"/>
  </cols>
  <sheetData>
    <row r="1" ht="30" customHeight="1">
      <c r="A1" s="1" t="inlineStr">
        <is>
          <t>Checklist de equipamiento y proveedores</t>
        </is>
      </c>
    </row>
    <row r="2">
      <c r="A2" t="inlineStr">
        <is>
          <t>AI Chef Pro · aichef.pro — Cómo Montar una Pastelería</t>
        </is>
      </c>
    </row>
    <row r="3">
      <c r="A3" s="2" t="inlineStr">
        <is>
          <t>Para qué sirve: decidir qué equipo compras, a quién, a qué precio real y con qué plazo de entrega.</t>
        </is>
      </c>
    </row>
    <row r="4"/>
    <row r="5">
      <c r="A5" s="3" t="inlineStr">
        <is>
          <t>Instrucciones de uso</t>
        </is>
      </c>
    </row>
    <row r="6" ht="58" customHeight="1">
      <c r="A6" s="4" t="inlineStr">
        <is>
          <t>1. Hoja «Equipamiento»: la dotación completa de una pastelería con obrador, línea a línea. Empieza por el bloque verde de arriba: el tipo de IVA, la horquilla con la que quieres ver el precio de referencia, el CAPEX de equipamiento que te dio el libro 2, el umbral de desviación que te permites y las semanas que faltan hasta la apertura que tienes en la cabeza. Todo lo demás de la hoja se recalcula con eso.</t>
        </is>
      </c>
    </row>
    <row r="7" ht="58" customHeight="1">
      <c r="A7" s="4" t="inlineStr">
        <is>
          <t>2. En cada línea escribe tres cosas: el precio real que te han presupuestado (SIN IVA), quién te lo vende y en cuántas semanas te lo entrega. Las tres vienen rellenas con un valor por defecto para que veas la hoja funcionando; los tres son supuestos y hay que sustituirlos.</t>
        </is>
      </c>
    </row>
    <row r="8" ht="58" customHeight="1">
      <c r="A8" s="4" t="inlineStr">
        <is>
          <t>3. Marca el estado de cada línea (Pendiente, Presupuestado, Pedido, Recibido, Instalado o N/A). «N/A» es lo que tu formato no necesita, y no cuenta ni a favor ni en contra del avance.</t>
        </is>
      </c>
    </row>
    <row r="9" ht="58" customHeight="1">
      <c r="A9" s="4" t="inlineStr">
        <is>
          <t>4. Hoja «Variante del Formato»: elige arriba qué vas a montar y la hoja te dice qué líneas de la dotación te sobran, cuáles te faltan y cuánto cuesta esa variante frente al caso base. Es la hoja que evita comprar el equipo de otro negocio.</t>
        </is>
      </c>
    </row>
    <row r="10" ht="58" customHeight="1">
      <c r="A10" s="4" t="inlineStr">
        <is>
          <t>5. Hoja «Proveedores»: los nueve proveedores con URL comprobada el 10-09-2026, con columnas verdes para tu contacto, tu pedido mínimo, tu plazo y tus condiciones de pago. Los 22 que el research recogió sin verificar no se publican: un directorio con un enlace roto vale menos que uno corto.</t>
        </is>
      </c>
    </row>
    <row r="11" ht="58" customHeight="1">
      <c r="A11" s="4" t="inlineStr">
        <is>
          <t>6. Hoja «Contador»: el avance del checklist, el avance de lo CRÍTICO (que es el que decide si puedes abrir), el reparto por bloque de CAPEX y por categoría, y lo negociado contra lo de referencia.</t>
        </is>
      </c>
    </row>
    <row r="12"/>
    <row r="13">
      <c r="A13" s="5" t="inlineStr">
        <is>
          <t>Celdas verdes = campos editables</t>
        </is>
      </c>
    </row>
    <row r="14"/>
    <row r="15">
      <c r="A15" s="3" t="inlineStr">
        <is>
          <t>Lo que conviene saber antes de empezar</t>
        </is>
      </c>
    </row>
    <row r="16" ht="72" customHeight="1">
      <c r="A16" s="4" t="inlineStr">
        <is>
          <t>LA COLUMNA QUE MÁS DINERO MUEVE ES «¿Lleva IVA?». Unos distribuidores publican con IVA y otros sin él, y hay fichas que no lo dicen. Mezclarlos desvía la inversión un 21 %: sobre esta dotación son más de 14.000 € de diferencia entre hacerlo bien y hacerlo a ojo. Todas las cifras que suma este libro están llevadas a base imponible, y el IVA soportado se calcula aparte porque hay que ADELANTARLO aunque luego se recupere.</t>
        </is>
      </c>
    </row>
    <row r="17" ht="72" customHeight="1">
      <c r="A17" s="4" t="inlineStr">
        <is>
          <t>EL PLAZO DE ENTREGA ES UNA DECISIÓN, NO UN DATO. Ningún distribuidor lo publica: los que trae la hoja son supuestos. Pero el plazo más largo de lo que no puedes dejar de comprar es el que fija tu fecha de apertura, y por eso la hoja lo calcula, dice qué línea lo marca y avisa si se te come el calendario. Se pide antes lo que tarda, no lo que ilusiona.</t>
        </is>
      </c>
    </row>
    <row r="18" ht="72" customHeight="1">
      <c r="A18" s="4" t="inlineStr">
        <is>
          <t>EL PRECIO DE REFERENCIA NO ES TU PRECIO. Nueve líneas traen precio publicado por un distribuidor y trece traen un supuesto, porque en maquinaria de obrador se vende por presupuesto. La columna verde «precio real negociado» es la única que cuenta para tus totales: pide tres presupuestos por línea y escríbelos aquí.</t>
        </is>
      </c>
    </row>
    <row r="19" ht="72" customHeight="1">
      <c r="A19" s="4" t="inlineStr">
        <is>
          <t>ESTE LIBRO NO CALCULA TU CAPEX. Eso lo hace la calculadora de CAPEX del libro 2, que además reparte la inversión por bloques, calcula el IVA soportado y compara traspaso contra obra nueva. Aquí sólo se compara: copia su total de equipamiento en la celda verde de arriba y esta hoja te dice cuánto te estás desviando. No hay ni una fórmula que apunte a otro fichero: un enlace entre libros se rompe en cuanto alguien mueve una carpeta, y entonces el libro miente sin avisar.</t>
        </is>
      </c>
    </row>
    <row r="20" ht="72" customHeight="1">
      <c r="A20" s="4" t="inlineStr">
        <is>
          <t>LA ATEMPERADORA DE CHOCOLATE Y EL HORNO DE PISOS ESTÁN MARCADOS COMO OPCIONALES a propósito. Son las dos compras que más se discuten y las dos que más se compran de más: sólo entran si abres línea de bombonería o si tu volumen de pan y bollería lo justifica. Por eso quedan fuera del plazo crítico y del subtotal comparable.</t>
        </is>
      </c>
    </row>
    <row r="21"/>
    <row r="22">
      <c r="A22" s="3" t="inlineStr">
        <is>
          <t>Cada cuánto se usa este libro</t>
        </is>
      </c>
    </row>
    <row r="23" ht="44" customHeight="1">
      <c r="A23" s="4" t="inlineStr">
        <is>
          <t>Cadencia: TODAS LAS SEMANAS desde que decides el local hasta el día que abres, que es cuando el checklist se cierra. Después, una vez al año para las reposiciones y cuando cambies de proveedor. La hoja «Proveedores» sí se mantiene viva: cada vez que negocias condiciones nuevas, se anotan aquí.</t>
        </is>
      </c>
    </row>
    <row r="24"/>
    <row r="25">
      <c r="A25" s="3" t="inlineStr">
        <is>
          <t>La frontera con el Kit de Tareas Pastelería (12 €) y con el resto del pack</t>
        </is>
      </c>
    </row>
    <row r="26" ht="72" customHeight="1">
      <c r="A26" s="4" t="inlineStr">
        <is>
          <t>El Kit de Tareas Pastelería organiza el obrador que YA tienes: plan de producción, encargos, alérgenos de vitrina y registro de temperaturas. Este libro decide el obrador que vas a comprar, y son dos preguntas distintas. Si ya tienes el kit, ninguna de sus quince plantillas se solapa con esta hoja. Y dentro de este mismo pack: el libro 1 dice si el local aguanta la producción, el libro 2 pone la inversión completa con su IVA y su tesorería, y el libro 6 encadena los plazos hasta la fecha de apertura. Éste es el que se lleva a la feria y al distribuidor.</t>
        </is>
      </c>
    </row>
    <row r="27"/>
    <row r="28">
      <c r="A28" s="4" t="inlineStr">
        <is>
          <t>Para editar la estructura o una celda que no esté en verde: Revisar &gt; Desproteger hoja (no tiene contraseña).</t>
        </is>
      </c>
    </row>
    <row r="29"/>
    <row r="30">
      <c r="A30" s="2" t="inlineStr">
        <is>
          <t>Diseñado por John Guerrero — chef y consultor gastronómico desde 2010, en cocina desde los 17 años.</t>
        </is>
      </c>
    </row>
    <row r="31">
      <c r="A31"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4">
    <mergeCell ref="A6:C6"/>
    <mergeCell ref="A10:C10"/>
    <mergeCell ref="A26:C26"/>
    <mergeCell ref="A28:C28"/>
    <mergeCell ref="A16:C16"/>
    <mergeCell ref="A9:C9"/>
    <mergeCell ref="A7:C7"/>
    <mergeCell ref="A18:C18"/>
    <mergeCell ref="A19:C19"/>
    <mergeCell ref="A23:C23"/>
    <mergeCell ref="A8:C8"/>
    <mergeCell ref="A11:C11"/>
    <mergeCell ref="A20:C20"/>
    <mergeCell ref="A17:C17"/>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W74"/>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15" customWidth="1" min="1" max="1"/>
    <col width="5" customWidth="1" min="2" max="2"/>
    <col width="46" customWidth="1" min="3" max="3"/>
    <col width="14" customWidth="1" min="4" max="4"/>
    <col width="22" customWidth="1" min="5" max="5"/>
    <col width="20" customWidth="1" min="6" max="6"/>
    <col width="22" customWidth="1" min="7" max="7"/>
    <col width="11" customWidth="1" min="8" max="8"/>
    <col width="15" customWidth="1" min="9" max="9"/>
    <col width="12" customWidth="1" min="10" max="10"/>
    <col width="11" customWidth="1" min="11" max="11"/>
    <col width="16" customWidth="1" min="12" max="12"/>
    <col width="14" customWidth="1" min="13" max="13"/>
    <col width="14" customWidth="1" min="14" max="14"/>
    <col width="17" customWidth="1" min="15" max="15"/>
    <col width="13" customWidth="1" min="16" max="16"/>
    <col width="26" customWidth="1" min="17" max="17"/>
    <col width="12" customWidth="1" min="18" max="18"/>
    <col width="14" customWidth="1" min="19" max="19"/>
    <col width="12" customWidth="1" min="20" max="20"/>
    <col width="12" customWidth="1" min="21" max="21"/>
    <col width="30" customWidth="1" min="22" max="22"/>
    <col width="74" customWidth="1" min="23" max="23"/>
  </cols>
  <sheetData>
    <row r="1" ht="30" customHeight="1">
      <c r="A1" s="1" t="inlineStr">
        <is>
          <t>Equipamiento, Línea a Línea</t>
        </is>
      </c>
    </row>
    <row r="2">
      <c r="A2" t="inlineStr">
        <is>
          <t>AI Chef Pro · aichef.pro — Cómo Montar una Pastelería</t>
        </is>
      </c>
    </row>
    <row r="3" ht="28" customHeight="1">
      <c r="A3" s="7" t="inlineStr">
        <is>
          <t>Los precios de referencia salen de fichas de distribuidor leídas el 10-09-2026 (nueve líneas) o son supuestos declarados (trece). Cada uno con SU base fiscal: mezclarlas desvía la inversión un 21 %.</t>
        </is>
      </c>
    </row>
    <row r="4"/>
    <row r="5">
      <c r="A5" s="3" t="inlineStr">
        <is>
          <t>Parámetros de esta hoja</t>
        </is>
      </c>
    </row>
    <row r="6" ht="20" customHeight="1">
      <c r="A6" s="8" t="inlineStr">
        <is>
          <t>Parámetro</t>
        </is>
      </c>
      <c r="C6" s="8" t="inlineStr">
        <is>
          <t>Valor</t>
        </is>
      </c>
      <c r="D6" s="8" t="inlineStr">
        <is>
          <t>Nota</t>
        </is>
      </c>
    </row>
    <row r="7" ht="26" customHeight="1">
      <c r="A7" s="9" t="inlineStr">
        <is>
          <t>Tipo de IVA general (%)</t>
        </is>
      </c>
      <c r="C7" s="10" t="n">
        <v>0.21</v>
      </c>
      <c r="D7" s="7" t="inlineStr">
        <is>
          <t>Tipo general del art. 90.Uno de la Ley 37/1992. La maquinaria y el mobiliario van al 21 %: no hay tipo reducido para el equipamiento de un obrador. Cámbialo aquí y se recalcula toda la columna.</t>
        </is>
      </c>
    </row>
    <row r="8" ht="26" customHeight="1">
      <c r="A8" s="9" t="inlineStr">
        <is>
          <t>Horquilla del precio de referencia (±%)</t>
        </is>
      </c>
      <c r="C8" s="10" t="n">
        <v>0.25</v>
      </c>
      <c r="D8" s="7" t="inlineStr">
        <is>
          <t>SUPUESTO. Con cuánta amplitud quieres ver el mínimo y el máximo alrededor del precio de referencia. El 25 % es la banda que se mueve entre lo que pide una ficha web y lo que se cierra con tres presupuestos; súbela si compras a un solo distribuidor.</t>
        </is>
      </c>
    </row>
    <row r="9" ht="26" customHeight="1">
      <c r="A9" s="9" t="inlineStr">
        <is>
          <t>Total de CAPEX de equipamiento del libro 2 (€, sin IVA)</t>
        </is>
      </c>
      <c r="C9" s="11" t="n">
        <v>66980.34</v>
      </c>
      <c r="D9" s="7" t="inlineStr">
        <is>
          <t>CÓPIALO DE «calculadora-capex-pasteleria.xlsx» (libro 2), bloques «Equipamiento de obrador» y «Tienda y vitrina». Viene relleno con el valor del caso «La Clara» como SUPUESTO, para que la hoja funcione antes de que abras el libro 2. No hay ninguna fórmula entre libros: esto es una copia declarada, no un vínculo.</t>
        </is>
      </c>
    </row>
    <row r="10" ht="26" customHeight="1">
      <c r="A10" s="9" t="inlineStr">
        <is>
          <t>Umbral de desviación admitida (%)</t>
        </is>
      </c>
      <c r="C10" s="10" t="n">
        <v>0.1</v>
      </c>
      <c r="D10" s="7" t="inlineStr">
        <is>
          <t>SUPUESTO. Por encima de esta desviación contra el CAPEX del libro 2, la hoja lo marca en rojo: o has comprado de más, o el plan financiero del libro 5 está calculado con una inversión que ya no es la tuya.</t>
        </is>
      </c>
    </row>
    <row r="11" ht="26" customHeight="1">
      <c r="A11" s="9" t="inlineStr">
        <is>
          <t>Semanas que faltan hasta la apertura prevista</t>
        </is>
      </c>
      <c r="C11" s="12" t="n">
        <v>20</v>
      </c>
      <c r="D11" s="7" t="inlineStr">
        <is>
          <t>SUPUESTO. Cuenta desde hoy hasta la fecha que tienes en la cabeza. El cronograma completo, con la ruta crítica de licencias y obra, lo calcula la hoja «Cronograma y Ruta Crítica» del libro 6.</t>
        </is>
      </c>
    </row>
    <row r="12" ht="26" customHeight="1">
      <c r="A12" s="9" t="inlineStr">
        <is>
          <t>Margen de seguridad entre la entrega y la apertura (semanas)</t>
        </is>
      </c>
      <c r="C12" s="12" t="n">
        <v>2</v>
      </c>
      <c r="D12" s="7" t="inlineStr">
        <is>
          <t>SUPUESTO. Lo que necesitas entre que llega la máquina y que abres: montaje, conexión, puesta en marcha y las pruebas de producción. Con menos de dos semanas, la primera avería te pilla con la tienda abierta.</t>
        </is>
      </c>
    </row>
    <row r="13"/>
    <row r="14">
      <c r="A14" s="3" t="inlineStr">
        <is>
          <t>La dotación completa, línea a línea</t>
        </is>
      </c>
    </row>
    <row r="15" ht="46" customHeight="1">
      <c r="A15" s="8" t="inlineStr">
        <is>
          <t>Estado</t>
        </is>
      </c>
      <c r="B15" s="8" t="inlineStr">
        <is>
          <t>Nº</t>
        </is>
      </c>
      <c r="C15" s="8" t="inlineStr">
        <is>
          <t>Partida</t>
        </is>
      </c>
      <c r="D15" s="8" t="inlineStr">
        <is>
          <t>Marca</t>
        </is>
      </c>
      <c r="E15" s="8" t="inlineStr">
        <is>
          <t>Modelo</t>
        </is>
      </c>
      <c r="F15" s="8" t="inlineStr">
        <is>
          <t>Categoría</t>
        </is>
      </c>
      <c r="G15" s="8" t="inlineStr">
        <is>
          <t>Bloque de CAPEX</t>
        </is>
      </c>
      <c r="H15" s="8" t="inlineStr">
        <is>
          <t>Prioridad</t>
        </is>
      </c>
      <c r="I15" s="8" t="inlineStr">
        <is>
          <t>Precio de referencia (€)</t>
        </is>
      </c>
      <c r="J15" s="8" t="inlineStr">
        <is>
          <t>¿Lleva IVA?</t>
        </is>
      </c>
      <c r="K15" s="8" t="inlineStr">
        <is>
          <t>Tipo de IVA (%)</t>
        </is>
      </c>
      <c r="L15" s="8" t="inlineStr">
        <is>
          <t>Precio de referencia SIN IVA (€)</t>
        </is>
      </c>
      <c r="M15" s="8" t="inlineStr">
        <is>
          <t>Mínimo estimado (€)</t>
        </is>
      </c>
      <c r="N15" s="8" t="inlineStr">
        <is>
          <t>Máximo estimado (€)</t>
        </is>
      </c>
      <c r="O15" s="8" t="inlineStr">
        <is>
          <t>Precio real negociado (€, sin IVA)</t>
        </is>
      </c>
      <c r="P15" s="8" t="inlineStr">
        <is>
          <t>Desviación sobre la referencia (%)</t>
        </is>
      </c>
      <c r="Q15" s="8" t="inlineStr">
        <is>
          <t>Proveedor</t>
        </is>
      </c>
      <c r="R15" s="8" t="inlineStr">
        <is>
          <t>Plazo de entrega (semanas)</t>
        </is>
      </c>
      <c r="S15" s="8" t="inlineStr">
        <is>
          <t>Margen hasta la apertura (semanas)</t>
        </is>
      </c>
      <c r="T15" s="8" t="inlineStr">
        <is>
          <t>Aux · plazo de las líneas críticas</t>
        </is>
      </c>
      <c r="U15" s="8" t="inlineStr">
        <is>
          <t>Aux · ¿el plazo se pasa? (1 = sí)</t>
        </is>
      </c>
      <c r="V15" s="8" t="inlineStr">
        <is>
          <t>Fuente del precio</t>
        </is>
      </c>
      <c r="W15" s="8" t="inlineStr">
        <is>
          <t>Nota</t>
        </is>
      </c>
    </row>
    <row r="16" ht="34" customHeight="1">
      <c r="A16" s="5" t="inlineStr">
        <is>
          <t>Pendiente</t>
        </is>
      </c>
      <c r="B16" s="13" t="n">
        <v>1</v>
      </c>
      <c r="C16" s="4" t="inlineStr">
        <is>
          <t>Horno de convección, 6 bandejas</t>
        </is>
      </c>
      <c r="D16" t="inlineStr">
        <is>
          <t>UNOX</t>
        </is>
      </c>
      <c r="E16" t="inlineStr">
        <is>
          <t>XB693 Bakerlux</t>
        </is>
      </c>
      <c r="F16" t="inlineStr">
        <is>
          <t>Calor</t>
        </is>
      </c>
      <c r="G16" t="inlineStr">
        <is>
          <t>Equipamiento de obrador</t>
        </is>
      </c>
      <c r="H16" t="inlineStr">
        <is>
          <t>Crítico</t>
        </is>
      </c>
      <c r="I16" s="14" t="n">
        <v>3354.12</v>
      </c>
      <c r="J16" t="inlineStr">
        <is>
          <t>con IVA</t>
        </is>
      </c>
      <c r="K16" s="15">
        <f>$C$7</f>
        <v>0.21</v>
      </c>
      <c r="L16" s="14">
        <f>IFERROR(IF($I16="","",IF($J16=$E$62,$I16/(1+$K16),$I16)),"")</f>
        <v>2772.0</v>
      </c>
      <c r="M16" s="14">
        <f>IF($L16="","",$L16*(1-$C$8))</f>
        <v>2079.0</v>
      </c>
      <c r="N16" s="14">
        <f>IF($L16="","",$L16*(1+$C$8))</f>
        <v>3465.0</v>
      </c>
      <c r="O16" s="11" t="n">
        <v>2772</v>
      </c>
      <c r="P16" s="15">
        <f>IFERROR(IF(OR($O16="",$L16=""),"",$O16/$L16-1),"")</f>
        <v>0.0</v>
      </c>
      <c r="Q16" s="5" t="inlineStr">
        <is>
          <t>UNOX</t>
        </is>
      </c>
      <c r="R16" s="12" t="n">
        <v>5</v>
      </c>
      <c r="S16" s="13">
        <f>IFERROR(IF(OR($R16="",$C$11="",$C$12=""),"",$C$11-$R16-$C$12),"")</f>
        <v>13.0</v>
      </c>
      <c r="T16" s="13">
        <f>IF($H16=$C$61,$R16,"")</f>
        <v>5.0</v>
      </c>
      <c r="U16" s="13">
        <f>IF($S16="","",IF($S16&lt;0,1,0))</f>
        <v>0.0</v>
      </c>
      <c r="V16" t="inlineStr">
        <is>
          <t>PS-72</t>
        </is>
      </c>
      <c r="W16" s="4" t="inlineStr">
        <is>
          <t>Precio publicado CON IVA en la ficha del distribuidor.</t>
        </is>
      </c>
    </row>
    <row r="17" ht="34" customHeight="1">
      <c r="A17" s="5" t="inlineStr">
        <is>
          <t>Pendiente</t>
        </is>
      </c>
      <c r="B17" s="13" t="n">
        <v>2</v>
      </c>
      <c r="C17" s="4" t="inlineStr">
        <is>
          <t>Horno de convección, 4 bandejas</t>
        </is>
      </c>
      <c r="D17" t="inlineStr">
        <is>
          <t>SMEG</t>
        </is>
      </c>
      <c r="E17" t="inlineStr">
        <is>
          <t>ALFA420E1HDS</t>
        </is>
      </c>
      <c r="F17" t="inlineStr">
        <is>
          <t>Calor</t>
        </is>
      </c>
      <c r="G17" t="inlineStr">
        <is>
          <t>Equipamiento de obrador</t>
        </is>
      </c>
      <c r="H17" t="inlineStr">
        <is>
          <t>Crítico</t>
        </is>
      </c>
      <c r="I17" s="14" t="n">
        <v>2513.41</v>
      </c>
      <c r="J17" t="inlineStr">
        <is>
          <t>con IVA</t>
        </is>
      </c>
      <c r="K17" s="15">
        <f>$C$7</f>
        <v>0.21</v>
      </c>
      <c r="L17" s="14">
        <f>IFERROR(IF($I17="","",IF($J17=$E$62,$I17/(1+$K17),$I17)),"")</f>
        <v>2077.198347107438</v>
      </c>
      <c r="M17" s="14">
        <f>IF($L17="","",$L17*(1-$C$8))</f>
        <v>1557.8987603305786</v>
      </c>
      <c r="N17" s="14">
        <f>IF($L17="","",$L17*(1+$C$8))</f>
        <v>2596.4979338842977</v>
      </c>
      <c r="O17" s="11" t="n">
        <v>2077.2</v>
      </c>
      <c r="P17" s="15">
        <f>IFERROR(IF(OR($O17="",$L17=""),"",$O17/$L17-1),"")</f>
        <v>7.957316949802618e-07</v>
      </c>
      <c r="Q17" s="5" t="inlineStr">
        <is>
          <t>SMEG</t>
        </is>
      </c>
      <c r="R17" s="12" t="n">
        <v>5</v>
      </c>
      <c r="S17" s="13">
        <f>IFERROR(IF(OR($R17="",$C$11="",$C$12=""),"",$C$11-$R17-$C$12),"")</f>
        <v>13.0</v>
      </c>
      <c r="T17" s="13">
        <f>IF($H17=$C$61,$R17,"")</f>
        <v>5.0</v>
      </c>
      <c r="U17" s="13">
        <f>IF($S17="","",IF($S17&lt;0,1,0))</f>
        <v>0.0</v>
      </c>
      <c r="V17" t="inlineStr">
        <is>
          <t>PS-72</t>
        </is>
      </c>
      <c r="W17" s="4" t="inlineStr">
        <is>
          <t>Segundo horno: sin él no hay dos cocciones a distinta temperatura a la vez.</t>
        </is>
      </c>
    </row>
    <row r="18" ht="34" customHeight="1">
      <c r="A18" s="5" t="inlineStr">
        <is>
          <t>Pendiente</t>
        </is>
      </c>
      <c r="B18" s="13" t="n">
        <v>3</v>
      </c>
      <c r="C18" s="4" t="inlineStr">
        <is>
          <t>Vitrina expositora pastelera refrigerada curva</t>
        </is>
      </c>
      <c r="D18" t="inlineStr">
        <is>
          <t>Docriluc</t>
        </is>
      </c>
      <c r="E18" t="inlineStr">
        <is>
          <t>VEPD-9-15-C</t>
        </is>
      </c>
      <c r="F18" t="inlineStr">
        <is>
          <t>Tienda y vitrina</t>
        </is>
      </c>
      <c r="G18" t="inlineStr">
        <is>
          <t>Tienda y vitrina</t>
        </is>
      </c>
      <c r="H18" t="inlineStr">
        <is>
          <t>Crítico</t>
        </is>
      </c>
      <c r="I18" s="14" t="n">
        <v>2284.1</v>
      </c>
      <c r="J18" t="inlineStr">
        <is>
          <t>sin IVA</t>
        </is>
      </c>
      <c r="K18" s="15">
        <f>$C$7</f>
        <v>0.21</v>
      </c>
      <c r="L18" s="14">
        <f>IFERROR(IF($I18="","",IF($J18=$E$62,$I18/(1+$K18),$I18)),"")</f>
        <v>2284.1</v>
      </c>
      <c r="M18" s="14">
        <f>IF($L18="","",$L18*(1-$C$8))</f>
        <v>1713.0749999999998</v>
      </c>
      <c r="N18" s="14">
        <f>IF($L18="","",$L18*(1+$C$8))</f>
        <v>2855.125</v>
      </c>
      <c r="O18" s="11" t="n">
        <v>2284.1</v>
      </c>
      <c r="P18" s="15">
        <f>IFERROR(IF(OR($O18="",$L18=""),"",$O18/$L18-1),"")</f>
        <v>0.0</v>
      </c>
      <c r="Q18" s="5" t="inlineStr">
        <is>
          <t>Docriluc</t>
        </is>
      </c>
      <c r="R18" s="12" t="n">
        <v>6</v>
      </c>
      <c r="S18" s="13">
        <f>IFERROR(IF(OR($R18="",$C$11="",$C$12=""),"",$C$11-$R18-$C$12),"")</f>
        <v>12.0</v>
      </c>
      <c r="T18" s="13">
        <f>IF($H18=$C$61,$R18,"")</f>
        <v>6.0</v>
      </c>
      <c r="U18" s="13">
        <f>IF($S18="","",IF($S18&lt;0,1,0))</f>
        <v>0.0</v>
      </c>
      <c r="V18" t="inlineStr">
        <is>
          <t>PS-76</t>
        </is>
      </c>
      <c r="W18" s="4" t="inlineStr">
        <is>
          <t>1505x900x1305 mm, 452 L, 0,93 m² de exposición, R-290. El precio lleva un descuento de campaña del 30 % sobre un PVP de 3.263,00 €: es un precio FECHADO el 10-09-2026 y puede caducar. Si lo reutilizas, vuelve a mirarlo (D17). Una sola vitrina, contada una sola vez.</t>
        </is>
      </c>
    </row>
    <row r="19" ht="34" customHeight="1">
      <c r="A19" s="5" t="inlineStr">
        <is>
          <t>Pendiente</t>
        </is>
      </c>
      <c r="B19" s="13" t="n">
        <v>4</v>
      </c>
      <c r="C19" s="4" t="inlineStr">
        <is>
          <t>Puertas correderas traseras para la vitrina</t>
        </is>
      </c>
      <c r="D19" t="inlineStr">
        <is>
          <t>Docriluc</t>
        </is>
      </c>
      <c r="E19" t="inlineStr">
        <is>
          <t>accesorio VEPD-9-15</t>
        </is>
      </c>
      <c r="F19" t="inlineStr">
        <is>
          <t>Tienda y vitrina</t>
        </is>
      </c>
      <c r="G19" t="inlineStr">
        <is>
          <t>Tienda y vitrina</t>
        </is>
      </c>
      <c r="H19" t="inlineStr">
        <is>
          <t>Opcional</t>
        </is>
      </c>
      <c r="I19" s="14" t="n">
        <v>120.4</v>
      </c>
      <c r="J19" t="inlineStr">
        <is>
          <t>sin IVA</t>
        </is>
      </c>
      <c r="K19" s="15">
        <f>$C$7</f>
        <v>0.21</v>
      </c>
      <c r="L19" s="14">
        <f>IFERROR(IF($I19="","",IF($J19=$E$62,$I19/(1+$K19),$I19)),"")</f>
        <v>120.4</v>
      </c>
      <c r="M19" s="14">
        <f>IF($L19="","",$L19*(1-$C$8))</f>
        <v>90.30000000000001</v>
      </c>
      <c r="N19" s="14">
        <f>IF($L19="","",$L19*(1+$C$8))</f>
        <v>150.5</v>
      </c>
      <c r="O19" s="11" t="n">
        <v>120.4</v>
      </c>
      <c r="P19" s="15">
        <f>IFERROR(IF(OR($O19="",$L19=""),"",$O19/$L19-1),"")</f>
        <v>0.0</v>
      </c>
      <c r="Q19" s="5" t="inlineStr">
        <is>
          <t>Docriluc</t>
        </is>
      </c>
      <c r="R19" s="12" t="n">
        <v>6</v>
      </c>
      <c r="S19" s="13">
        <f>IFERROR(IF(OR($R19="",$C$11="",$C$12=""),"",$C$11-$R19-$C$12),"")</f>
        <v>12.0</v>
      </c>
      <c r="T19" s="13">
        <f>IF($H19=$C$61,$R19,"")</f>
        <v/>
      </c>
      <c r="U19" s="13">
        <f>IF($S19="","",IF($S19&lt;0,1,0))</f>
        <v>0.0</v>
      </c>
      <c r="V19" t="inlineStr">
        <is>
          <t>PS-77</t>
        </is>
      </c>
      <c r="W19" s="4" t="inlineStr">
        <is>
          <t>Accesorio: no entra en el subtotal comparable de la dotación tipo.</t>
        </is>
      </c>
    </row>
    <row r="20" ht="34" customHeight="1">
      <c r="A20" s="5" t="inlineStr">
        <is>
          <t>Pendiente</t>
        </is>
      </c>
      <c r="B20" s="13" t="n">
        <v>5</v>
      </c>
      <c r="C20" s="4" t="inlineStr">
        <is>
          <t>Abatidor de temperatura, 4 bandejas</t>
        </is>
      </c>
      <c r="D20" t="inlineStr">
        <is>
          <t>Irinox</t>
        </is>
      </c>
      <c r="E20" t="inlineStr">
        <is>
          <t>gama Multifresh</t>
        </is>
      </c>
      <c r="F20" t="inlineStr">
        <is>
          <t>Frío negativo</t>
        </is>
      </c>
      <c r="G20" t="inlineStr">
        <is>
          <t>Equipamiento de obrador</t>
        </is>
      </c>
      <c r="H20" t="inlineStr">
        <is>
          <t>Crítico</t>
        </is>
      </c>
      <c r="I20" s="14" t="n">
        <v>10037</v>
      </c>
      <c r="J20" t="inlineStr">
        <is>
          <t>sin IVA</t>
        </is>
      </c>
      <c r="K20" s="15">
        <f>$C$7</f>
        <v>0.21</v>
      </c>
      <c r="L20" s="14">
        <f>IFERROR(IF($I20="","",IF($J20=$E$62,$I20/(1+$K20),$I20)),"")</f>
        <v>10037.0</v>
      </c>
      <c r="M20" s="14">
        <f>IF($L20="","",$L20*(1-$C$8))</f>
        <v>7527.75</v>
      </c>
      <c r="N20" s="14">
        <f>IF($L20="","",$L20*(1+$C$8))</f>
        <v>12546.25</v>
      </c>
      <c r="O20" s="11" t="n">
        <v>10037</v>
      </c>
      <c r="P20" s="15">
        <f>IFERROR(IF(OR($O20="",$L20=""),"",$O20/$L20-1),"")</f>
        <v>0.0</v>
      </c>
      <c r="Q20" s="5" t="inlineStr">
        <is>
          <t>Irinox</t>
        </is>
      </c>
      <c r="R20" s="12" t="n">
        <v>8</v>
      </c>
      <c r="S20" s="13">
        <f>IFERROR(IF(OR($R20="",$C$11="",$C$12=""),"",$C$11-$R20-$C$12),"")</f>
        <v>10.0</v>
      </c>
      <c r="T20" s="13">
        <f>IF($H20=$C$61,$R20,"")</f>
        <v>8.0</v>
      </c>
      <c r="U20" s="13">
        <f>IF($S20="","",IF($S20&lt;0,1,0))</f>
        <v>0.0</v>
      </c>
      <c r="V20" t="inlineStr">
        <is>
          <t>PS-78</t>
        </is>
      </c>
      <c r="W20" s="4" t="inlineStr">
        <is>
          <t>La compra más cara y la que más se discute (decisión 2 del bonus 2). Ciclos de +85 °C a -40 °C. Un arcón doméstico NO vale como abatidor: el art. 5 del RD 1021/2022 exige potencia suficiente para llegar a -18 °C en el centro con un descenso ininterrumpido (PA-13).</t>
        </is>
      </c>
    </row>
    <row r="21" ht="34" customHeight="1">
      <c r="A21" s="5" t="inlineStr">
        <is>
          <t>Pendiente</t>
        </is>
      </c>
      <c r="B21" s="13" t="n">
        <v>6</v>
      </c>
      <c r="C21" s="4" t="inlineStr">
        <is>
          <t>Laminadora automática de masa, hasta 40 cm</t>
        </is>
      </c>
      <c r="D21" t="inlineStr">
        <is>
          <t>Sammic</t>
        </is>
      </c>
      <c r="E21" t="inlineStr">
        <is>
          <t>DF-40</t>
        </is>
      </c>
      <c r="F21" t="inlineStr">
        <is>
          <t>Laminación</t>
        </is>
      </c>
      <c r="G21" t="inlineStr">
        <is>
          <t>Equipamiento de obrador</t>
        </is>
      </c>
      <c r="H21" t="inlineStr">
        <is>
          <t>Crítico</t>
        </is>
      </c>
      <c r="I21" s="14" t="n">
        <v>1215</v>
      </c>
      <c r="J21" t="inlineStr">
        <is>
          <t>sin IVA</t>
        </is>
      </c>
      <c r="K21" s="15">
        <f>$C$7</f>
        <v>0.21</v>
      </c>
      <c r="L21" s="14">
        <f>IFERROR(IF($I21="","",IF($J21=$E$62,$I21/(1+$K21),$I21)),"")</f>
        <v>1215.0</v>
      </c>
      <c r="M21" s="14">
        <f>IF($L21="","",$L21*(1-$C$8))</f>
        <v>911.25</v>
      </c>
      <c r="N21" s="14">
        <f>IF($L21="","",$L21*(1+$C$8))</f>
        <v>1518.75</v>
      </c>
      <c r="O21" s="11" t="n">
        <v>1215</v>
      </c>
      <c r="P21" s="15">
        <f>IFERROR(IF(OR($O21="",$L21=""),"",$O21/$L21-1),"")</f>
        <v>0.0</v>
      </c>
      <c r="Q21" s="5" t="inlineStr">
        <is>
          <t>Sammic</t>
        </is>
      </c>
      <c r="R21" s="12" t="n">
        <v>4</v>
      </c>
      <c r="S21" s="13">
        <f>IFERROR(IF(OR($R21="",$C$11="",$C$12=""),"",$C$11-$R21-$C$12),"")</f>
        <v>14.0</v>
      </c>
      <c r="T21" s="13">
        <f>IF($H21=$C$61,$R21,"")</f>
        <v>4.0</v>
      </c>
      <c r="U21" s="13">
        <f>IF($S21="","",IF($S21&lt;0,1,0))</f>
        <v>0.0</v>
      </c>
      <c r="V21" t="inlineStr">
        <is>
          <t>PS-79</t>
        </is>
      </c>
      <c r="W21" s="4" t="inlineStr">
        <is>
          <t>1.215,00 € sin IVA / 1.470,15 € con IVA, según la propia ficha.</t>
        </is>
      </c>
    </row>
    <row r="22" ht="34" customHeight="1">
      <c r="A22" s="5" t="inlineStr">
        <is>
          <t>Pendiente</t>
        </is>
      </c>
      <c r="B22" s="13" t="n">
        <v>7</v>
      </c>
      <c r="C22" s="4" t="inlineStr">
        <is>
          <t>Batidora planetaria, 20 L</t>
        </is>
      </c>
      <c r="D22" t="inlineStr">
        <is>
          <t>Sammic</t>
        </is>
      </c>
      <c r="E22" t="inlineStr">
        <is>
          <t>BE-20</t>
        </is>
      </c>
      <c r="F22" t="inlineStr">
        <is>
          <t>Amasado y batido</t>
        </is>
      </c>
      <c r="G22" t="inlineStr">
        <is>
          <t>Equipamiento de obrador</t>
        </is>
      </c>
      <c r="H22" t="inlineStr">
        <is>
          <t>Crítico</t>
        </is>
      </c>
      <c r="I22" s="14" t="n">
        <v>595.04</v>
      </c>
      <c r="J22" t="inlineStr">
        <is>
          <t>no declarada</t>
        </is>
      </c>
      <c r="K22" s="15">
        <f>$C$7</f>
        <v>0.21</v>
      </c>
      <c r="L22" s="14">
        <f>IFERROR(IF($I22="","",IF($J22=$E$62,$I22/(1+$K22),$I22)),"")</f>
        <v>595.04</v>
      </c>
      <c r="M22" s="14">
        <f>IF($L22="","",$L22*(1-$C$8))</f>
        <v>446.28</v>
      </c>
      <c r="N22" s="14">
        <f>IF($L22="","",$L22*(1+$C$8))</f>
        <v>743.8</v>
      </c>
      <c r="O22" s="11" t="n">
        <v>595.04</v>
      </c>
      <c r="P22" s="15">
        <f>IFERROR(IF(OR($O22="",$L22=""),"",$O22/$L22-1),"")</f>
        <v>0.0</v>
      </c>
      <c r="Q22" s="5" t="inlineStr">
        <is>
          <t>Sammic</t>
        </is>
      </c>
      <c r="R22" s="12" t="n">
        <v>3</v>
      </c>
      <c r="S22" s="13">
        <f>IFERROR(IF(OR($R22="",$C$11="",$C$12=""),"",$C$11-$R22-$C$12),"")</f>
        <v>15.0</v>
      </c>
      <c r="T22" s="13">
        <f>IF($H22=$C$61,$R22,"")</f>
        <v>3.0</v>
      </c>
      <c r="U22" s="13">
        <f>IF($S22="","",IF($S22&lt;0,1,0))</f>
        <v>0.0</v>
      </c>
      <c r="V22" t="inlineStr">
        <is>
          <t>PS-81</t>
        </is>
      </c>
      <c r="W22" s="4" t="inlineStr">
        <is>
          <t>900 W, 95-392 rpm, temporizador 0-99 min. La ficha NO declara si el precio lleva IVA: se trata como base imponible y se marca. Es exactamente el caso que obliga a tener la columna.</t>
        </is>
      </c>
    </row>
    <row r="23" ht="34" customHeight="1">
      <c r="A23" s="5" t="inlineStr">
        <is>
          <t>Pendiente</t>
        </is>
      </c>
      <c r="B23" s="13" t="n">
        <v>8</v>
      </c>
      <c r="C23" s="4" t="inlineStr">
        <is>
          <t>Atemperadora de chocolate, 12 kg</t>
        </is>
      </c>
      <c r="D23" t="inlineStr">
        <is>
          <t>Selmi</t>
        </is>
      </c>
      <c r="E23" t="inlineStr">
        <is>
          <t>One</t>
        </is>
      </c>
      <c r="F23" t="inlineStr">
        <is>
          <t>Chocolate</t>
        </is>
      </c>
      <c r="G23" t="inlineStr">
        <is>
          <t>Equipamiento de obrador</t>
        </is>
      </c>
      <c r="H23" t="inlineStr">
        <is>
          <t>Opcional</t>
        </is>
      </c>
      <c r="I23" s="14" t="n">
        <v>7400</v>
      </c>
      <c r="J23" t="inlineStr">
        <is>
          <t>sin IVA</t>
        </is>
      </c>
      <c r="K23" s="15">
        <f>$C$7</f>
        <v>0.21</v>
      </c>
      <c r="L23" s="14">
        <f>IFERROR(IF($I23="","",IF($J23=$E$62,$I23/(1+$K23),$I23)),"")</f>
        <v>7400.0</v>
      </c>
      <c r="M23" s="14">
        <f>IF($L23="","",$L23*(1-$C$8))</f>
        <v>5550.0</v>
      </c>
      <c r="N23" s="14">
        <f>IF($L23="","",$L23*(1+$C$8))</f>
        <v>9250.0</v>
      </c>
      <c r="O23" s="11" t="n">
        <v>7400</v>
      </c>
      <c r="P23" s="15">
        <f>IFERROR(IF(OR($O23="",$L23=""),"",$O23/$L23-1),"")</f>
        <v>0.0</v>
      </c>
      <c r="Q23" s="5" t="inlineStr">
        <is>
          <t>Selmi</t>
        </is>
      </c>
      <c r="R23" s="12" t="n">
        <v>7</v>
      </c>
      <c r="S23" s="13">
        <f>IFERROR(IF(OR($R23="",$C$11="",$C$12=""),"",$C$11-$R23-$C$12),"")</f>
        <v>11.0</v>
      </c>
      <c r="T23" s="13">
        <f>IF($H23=$C$61,$R23,"")</f>
        <v/>
      </c>
      <c r="U23" s="13">
        <f>IF($S23="","",IF($S23&lt;0,1,0))</f>
        <v>0.0</v>
      </c>
      <c r="V23" t="inlineStr">
        <is>
          <t>PS-82</t>
        </is>
      </c>
      <c r="W23" s="4" t="inlineStr">
        <is>
          <t>OPCIONAL según el concepto: sólo si abres línea de bombonería o chocolatería. Por eso queda FUERA del subtotal comparable de la dotación tipo (D17): con ella dentro, un solo equipo era el 25 % del subtotal.</t>
        </is>
      </c>
    </row>
    <row r="24" ht="34" customHeight="1">
      <c r="A24" s="5" t="inlineStr">
        <is>
          <t>Pendiente</t>
        </is>
      </c>
      <c r="B24" s="13" t="n">
        <v>9</v>
      </c>
      <c r="C24" s="4" t="inlineStr">
        <is>
          <t>Horno de pisos modular (deck)</t>
        </is>
      </c>
      <c r="D24" t="inlineStr">
        <is>
          <t>Salva</t>
        </is>
      </c>
      <c r="E24" t="inlineStr">
        <is>
          <t>gama modular de 1 a 5 módulos</t>
        </is>
      </c>
      <c r="F24" t="inlineStr">
        <is>
          <t>Calor</t>
        </is>
      </c>
      <c r="G24" t="inlineStr">
        <is>
          <t>Equipamiento de obrador</t>
        </is>
      </c>
      <c r="H24" t="inlineStr">
        <is>
          <t>Opcional</t>
        </is>
      </c>
      <c r="I24" s="14" t="n">
        <v>12000</v>
      </c>
      <c r="J24" t="inlineStr">
        <is>
          <t>sin IVA</t>
        </is>
      </c>
      <c r="K24" s="15">
        <f>$C$7</f>
        <v>0.21</v>
      </c>
      <c r="L24" s="14">
        <f>IFERROR(IF($I24="","",IF($J24=$E$62,$I24/(1+$K24),$I24)),"")</f>
        <v>12000.0</v>
      </c>
      <c r="M24" s="14">
        <f>IF($L24="","",$L24*(1-$C$8))</f>
        <v>9000.0</v>
      </c>
      <c r="N24" s="14">
        <f>IF($L24="","",$L24*(1+$C$8))</f>
        <v>15000.0</v>
      </c>
      <c r="O24" s="11" t="n">
        <v>12000</v>
      </c>
      <c r="P24" s="15">
        <f>IFERROR(IF(OR($O24="",$L24=""),"",$O24/$L24-1),"")</f>
        <v>0.0</v>
      </c>
      <c r="Q24" s="5" t="inlineStr">
        <is>
          <t>Salva</t>
        </is>
      </c>
      <c r="R24" s="12" t="n">
        <v>12</v>
      </c>
      <c r="S24" s="13">
        <f>IFERROR(IF(OR($R24="",$C$11="",$C$12=""),"",$C$11-$R24-$C$12),"")</f>
        <v>6.0</v>
      </c>
      <c r="T24" s="13">
        <f>IF($H24=$C$61,$R24,"")</f>
        <v/>
      </c>
      <c r="U24" s="13">
        <f>IF($S24="","",IF($S24&lt;0,1,0))</f>
        <v>0.0</v>
      </c>
      <c r="V24" t="inlineStr">
        <is>
          <t>PS-73 + supuesto</t>
        </is>
      </c>
      <c r="W24" s="4" t="inlineStr">
        <is>
          <t>Salva vende por distribuidor y presupuesto: no hay precio publicado. Bongard, Wiesheu, Miwe y Sveba Dahlen, igual. El valor por defecto es un SUPUESTO para que la celda no quede vacía: pide tres presupuestos.</t>
        </is>
      </c>
    </row>
    <row r="25" ht="34" customHeight="1">
      <c r="A25" s="5" t="inlineStr">
        <is>
          <t>Pendiente</t>
        </is>
      </c>
      <c r="B25" s="13" t="n">
        <v>10</v>
      </c>
      <c r="C25" s="4" t="inlineStr">
        <is>
          <t>Cámara de fermentación controlada (roll-in)</t>
        </is>
      </c>
      <c r="D25" t="inlineStr"/>
      <c r="E25" t="inlineStr"/>
      <c r="F25" t="inlineStr">
        <is>
          <t>Frío positivo</t>
        </is>
      </c>
      <c r="G25" t="inlineStr">
        <is>
          <t>Equipamiento de obrador</t>
        </is>
      </c>
      <c r="H25" t="inlineStr">
        <is>
          <t>Crítico</t>
        </is>
      </c>
      <c r="I25" s="14" t="n">
        <v>8500</v>
      </c>
      <c r="J25" t="inlineStr">
        <is>
          <t>sin IVA</t>
        </is>
      </c>
      <c r="K25" s="15">
        <f>$C$7</f>
        <v>0.21</v>
      </c>
      <c r="L25" s="14">
        <f>IFERROR(IF($I25="","",IF($J25=$E$62,$I25/(1+$K25),$I25)),"")</f>
        <v>8500.0</v>
      </c>
      <c r="M25" s="14">
        <f>IF($L25="","",$L25*(1-$C$8))</f>
        <v>6375.0</v>
      </c>
      <c r="N25" s="14">
        <f>IF($L25="","",$L25*(1+$C$8))</f>
        <v>10625.0</v>
      </c>
      <c r="O25" s="11" t="n">
        <v>8500</v>
      </c>
      <c r="P25" s="15">
        <f>IFERROR(IF(OR($O25="",$L25=""),"",$O25/$L25-1),"")</f>
        <v>0.0</v>
      </c>
      <c r="Q25" s="5" t="inlineStr">
        <is>
          <t>Pendiente: pide tres presupuestos</t>
        </is>
      </c>
      <c r="R25" s="12" t="n">
        <v>9</v>
      </c>
      <c r="S25" s="13">
        <f>IFERROR(IF(OR($R25="",$C$11="",$C$12=""),"",$C$11-$R25-$C$12),"")</f>
        <v>9.0</v>
      </c>
      <c r="T25" s="13">
        <f>IF($H25=$C$61,$R25,"")</f>
        <v>9.0</v>
      </c>
      <c r="U25" s="13">
        <f>IF($S25="","",IF($S25&lt;0,1,0))</f>
        <v>0.0</v>
      </c>
      <c r="V25" t="inlineStr">
        <is>
          <t>PS-83 + supuesto</t>
        </is>
      </c>
      <c r="W25" s="4" t="inlineStr">
        <is>
          <t>PS-83 da un RANGO de categoría (hasta 19.438 € en la gama alta), no una ficha de producto: no es un precio. El valor por defecto es supuesto. Es lo que permite que la bollería esté horneada a las 7:00 sin entrar a las 3.</t>
        </is>
      </c>
    </row>
    <row r="26" ht="34" customHeight="1">
      <c r="A26" s="5" t="inlineStr">
        <is>
          <t>Pendiente</t>
        </is>
      </c>
      <c r="B26" s="13" t="n">
        <v>11</v>
      </c>
      <c r="C26" s="4" t="inlineStr">
        <is>
          <t>Conducto de extracción de humos en acero inoxidable</t>
        </is>
      </c>
      <c r="D26" t="inlineStr"/>
      <c r="E26" t="inlineStr"/>
      <c r="F26" t="inlineStr">
        <is>
          <t>Instalaciones</t>
        </is>
      </c>
      <c r="G26" t="inlineStr">
        <is>
          <t>Equipamiento de obrador</t>
        </is>
      </c>
      <c r="H26" t="inlineStr">
        <is>
          <t>Crítico</t>
        </is>
      </c>
      <c r="I26" s="14" t="n">
        <v>6500</v>
      </c>
      <c r="J26" t="inlineStr">
        <is>
          <t>sin IVA</t>
        </is>
      </c>
      <c r="K26" s="15">
        <f>$C$7</f>
        <v>0.21</v>
      </c>
      <c r="L26" s="14">
        <f>IFERROR(IF($I26="","",IF($J26=$E$62,$I26/(1+$K26),$I26)),"")</f>
        <v>6500.0</v>
      </c>
      <c r="M26" s="14">
        <f>IF($L26="","",$L26*(1-$C$8))</f>
        <v>4875.0</v>
      </c>
      <c r="N26" s="14">
        <f>IF($L26="","",$L26*(1+$C$8))</f>
        <v>8125.0</v>
      </c>
      <c r="O26" s="11" t="n">
        <v>6500</v>
      </c>
      <c r="P26" s="15">
        <f>IFERROR(IF(OR($O26="",$L26=""),"",$O26/$L26-1),"")</f>
        <v>0.0</v>
      </c>
      <c r="Q26" s="5" t="inlineStr">
        <is>
          <t>Pendiente: pide tres presupuestos</t>
        </is>
      </c>
      <c r="R26" s="12" t="n">
        <v>6</v>
      </c>
      <c r="S26" s="13">
        <f>IFERROR(IF(OR($R26="",$C$11="",$C$12=""),"",$C$11-$R26-$C$12),"")</f>
        <v>12.0</v>
      </c>
      <c r="T26" s="13">
        <f>IF($H26=$C$61,$R26,"")</f>
        <v>6.0</v>
      </c>
      <c r="U26" s="13">
        <f>IF($S26="","",IF($S26&lt;0,1,0))</f>
        <v>0.0</v>
      </c>
      <c r="V26" t="inlineStr">
        <is>
          <t>PS-84 + supuesto</t>
        </is>
      </c>
      <c r="W26" s="4" t="inlineStr">
        <is>
          <t>PS-84 dice «puede superar los 6.000 €»: es una frase, no un presupuesto. La partida que más locales tumba, y la que hay que resolver ANTES de firmar (cap. 06). El aire de la campana es categoría AE4 del RITE y no puede compartir conducto con el del despacho (PA-07b).</t>
        </is>
      </c>
    </row>
    <row r="27" ht="34" customHeight="1">
      <c r="A27" s="5" t="inlineStr">
        <is>
          <t>Pendiente</t>
        </is>
      </c>
      <c r="B27" s="13" t="n">
        <v>12</v>
      </c>
      <c r="C27" s="4" t="inlineStr">
        <is>
          <t>Amasadora de espiral, 25 kg</t>
        </is>
      </c>
      <c r="D27" t="inlineStr"/>
      <c r="E27" t="inlineStr"/>
      <c r="F27" t="inlineStr">
        <is>
          <t>Amasado y batido</t>
        </is>
      </c>
      <c r="G27" t="inlineStr">
        <is>
          <t>Equipamiento de obrador</t>
        </is>
      </c>
      <c r="H27" t="inlineStr">
        <is>
          <t>Crítico</t>
        </is>
      </c>
      <c r="I27" s="14" t="n">
        <v>5200</v>
      </c>
      <c r="J27" t="inlineStr">
        <is>
          <t>sin IVA</t>
        </is>
      </c>
      <c r="K27" s="15">
        <f>$C$7</f>
        <v>0.21</v>
      </c>
      <c r="L27" s="14">
        <f>IFERROR(IF($I27="","",IF($J27=$E$62,$I27/(1+$K27),$I27)),"")</f>
        <v>5200.0</v>
      </c>
      <c r="M27" s="14">
        <f>IF($L27="","",$L27*(1-$C$8))</f>
        <v>3900.0</v>
      </c>
      <c r="N27" s="14">
        <f>IF($L27="","",$L27*(1+$C$8))</f>
        <v>6500.0</v>
      </c>
      <c r="O27" s="11" t="n">
        <v>5200</v>
      </c>
      <c r="P27" s="15">
        <f>IFERROR(IF(OR($O27="",$L27=""),"",$O27/$L27-1),"")</f>
        <v>0.0</v>
      </c>
      <c r="Q27" s="5" t="inlineStr">
        <is>
          <t>Pendiente: pide tres presupuestos</t>
        </is>
      </c>
      <c r="R27" s="12" t="n">
        <v>6</v>
      </c>
      <c r="S27" s="13">
        <f>IFERROR(IF(OR($R27="",$C$11="",$C$12=""),"",$C$11-$R27-$C$12),"")</f>
        <v>12.0</v>
      </c>
      <c r="T27" s="13">
        <f>IF($H27=$C$61,$R27,"")</f>
        <v>6.0</v>
      </c>
      <c r="U27" s="13">
        <f>IF($S27="","",IF($S27&lt;0,1,0))</f>
        <v>0.0</v>
      </c>
      <c r="V27" t="inlineStr">
        <is>
          <t>supuesto</t>
        </is>
      </c>
      <c r="W27" s="4" t="inlineStr">
        <is>
          <t>PS-75 da 4.000-8.000 € para «amasadora industrial», pero es un rango sin marca ni modelo: se usa como orden de magnitud, no como precio.</t>
        </is>
      </c>
    </row>
    <row r="28" ht="34" customHeight="1">
      <c r="A28" s="5" t="inlineStr">
        <is>
          <t>Pendiente</t>
        </is>
      </c>
      <c r="B28" s="13" t="n">
        <v>13</v>
      </c>
      <c r="C28" s="4" t="inlineStr">
        <is>
          <t>Cámara frigorífica modular de conservación (8 m³)</t>
        </is>
      </c>
      <c r="D28" t="inlineStr"/>
      <c r="E28" t="inlineStr"/>
      <c r="F28" t="inlineStr">
        <is>
          <t>Frío positivo</t>
        </is>
      </c>
      <c r="G28" t="inlineStr">
        <is>
          <t>Equipamiento de obrador</t>
        </is>
      </c>
      <c r="H28" t="inlineStr">
        <is>
          <t>Crítico</t>
        </is>
      </c>
      <c r="I28" s="14" t="n">
        <v>4800</v>
      </c>
      <c r="J28" t="inlineStr">
        <is>
          <t>sin IVA</t>
        </is>
      </c>
      <c r="K28" s="15">
        <f>$C$7</f>
        <v>0.21</v>
      </c>
      <c r="L28" s="14">
        <f>IFERROR(IF($I28="","",IF($J28=$E$62,$I28/(1+$K28),$I28)),"")</f>
        <v>4800.0</v>
      </c>
      <c r="M28" s="14">
        <f>IF($L28="","",$L28*(1-$C$8))</f>
        <v>3600.0</v>
      </c>
      <c r="N28" s="14">
        <f>IF($L28="","",$L28*(1+$C$8))</f>
        <v>6000.0</v>
      </c>
      <c r="O28" s="11" t="n">
        <v>4800</v>
      </c>
      <c r="P28" s="15">
        <f>IFERROR(IF(OR($O28="",$L28=""),"",$O28/$L28-1),"")</f>
        <v>0.0</v>
      </c>
      <c r="Q28" s="5" t="inlineStr">
        <is>
          <t>Pendiente: pide tres presupuestos</t>
        </is>
      </c>
      <c r="R28" s="12" t="n">
        <v>7</v>
      </c>
      <c r="S28" s="13">
        <f>IFERROR(IF(OR($R28="",$C$11="",$C$12=""),"",$C$11-$R28-$C$12),"")</f>
        <v>11.0</v>
      </c>
      <c r="T28" s="13">
        <f>IF($H28=$C$61,$R28,"")</f>
        <v>7.0</v>
      </c>
      <c r="U28" s="13">
        <f>IF($S28="","",IF($S28&lt;0,1,0))</f>
        <v>0.0</v>
      </c>
      <c r="V28" t="inlineStr">
        <is>
          <t>supuesto</t>
        </is>
      </c>
      <c r="W28" s="4" t="inlineStr">
        <is>
          <t>Es la que sostiene los 4 °C de la fila 9 del art. 4.1 (PA-12).</t>
        </is>
      </c>
    </row>
    <row r="29" ht="34" customHeight="1">
      <c r="A29" s="5" t="inlineStr">
        <is>
          <t>Pendiente</t>
        </is>
      </c>
      <c r="B29" s="13" t="n">
        <v>14</v>
      </c>
      <c r="C29" s="4" t="inlineStr">
        <is>
          <t>Armario de congelación -18 °C</t>
        </is>
      </c>
      <c r="D29" t="inlineStr"/>
      <c r="E29" t="inlineStr"/>
      <c r="F29" t="inlineStr">
        <is>
          <t>Frío negativo</t>
        </is>
      </c>
      <c r="G29" t="inlineStr">
        <is>
          <t>Equipamiento de obrador</t>
        </is>
      </c>
      <c r="H29" t="inlineStr">
        <is>
          <t>Crítico</t>
        </is>
      </c>
      <c r="I29" s="14" t="n">
        <v>1900</v>
      </c>
      <c r="J29" t="inlineStr">
        <is>
          <t>sin IVA</t>
        </is>
      </c>
      <c r="K29" s="15">
        <f>$C$7</f>
        <v>0.21</v>
      </c>
      <c r="L29" s="14">
        <f>IFERROR(IF($I29="","",IF($J29=$E$62,$I29/(1+$K29),$I29)),"")</f>
        <v>1900.0</v>
      </c>
      <c r="M29" s="14">
        <f>IF($L29="","",$L29*(1-$C$8))</f>
        <v>1425.0</v>
      </c>
      <c r="N29" s="14">
        <f>IF($L29="","",$L29*(1+$C$8))</f>
        <v>2375.0</v>
      </c>
      <c r="O29" s="11" t="n">
        <v>1900</v>
      </c>
      <c r="P29" s="15">
        <f>IFERROR(IF(OR($O29="",$L29=""),"",$O29/$L29-1),"")</f>
        <v>0.0</v>
      </c>
      <c r="Q29" s="5" t="inlineStr">
        <is>
          <t>Pendiente: pide tres presupuestos</t>
        </is>
      </c>
      <c r="R29" s="12" t="n">
        <v>4</v>
      </c>
      <c r="S29" s="13">
        <f>IFERROR(IF(OR($R29="",$C$11="",$C$12=""),"",$C$11-$R29-$C$12),"")</f>
        <v>14.0</v>
      </c>
      <c r="T29" s="13">
        <f>IF($H29=$C$61,$R29,"")</f>
        <v>4.0</v>
      </c>
      <c r="U29" s="13">
        <f>IF($S29="","",IF($S29&lt;0,1,0))</f>
        <v>0.0</v>
      </c>
      <c r="V29" t="inlineStr">
        <is>
          <t>supuesto</t>
        </is>
      </c>
      <c r="W29" s="4" t="inlineStr">
        <is>
          <t>CONSERVA congelado; no congela. No sustituye al abatidor (art. 5 del RD 1021/2022, PA-13).</t>
        </is>
      </c>
    </row>
    <row r="30" ht="34" customHeight="1">
      <c r="A30" s="5" t="inlineStr">
        <is>
          <t>Pendiente</t>
        </is>
      </c>
      <c r="B30" s="13" t="n">
        <v>15</v>
      </c>
      <c r="C30" s="4" t="inlineStr">
        <is>
          <t>Mesa de trabajo refrigerada con cajones (2 m)</t>
        </is>
      </c>
      <c r="D30" t="inlineStr"/>
      <c r="E30" t="inlineStr"/>
      <c r="F30" t="inlineStr">
        <is>
          <t>Frío positivo</t>
        </is>
      </c>
      <c r="G30" t="inlineStr">
        <is>
          <t>Equipamiento de obrador</t>
        </is>
      </c>
      <c r="H30" t="inlineStr">
        <is>
          <t>Crítico</t>
        </is>
      </c>
      <c r="I30" s="14" t="n">
        <v>2400</v>
      </c>
      <c r="J30" t="inlineStr">
        <is>
          <t>sin IVA</t>
        </is>
      </c>
      <c r="K30" s="15">
        <f>$C$7</f>
        <v>0.21</v>
      </c>
      <c r="L30" s="14">
        <f>IFERROR(IF($I30="","",IF($J30=$E$62,$I30/(1+$K30),$I30)),"")</f>
        <v>2400.0</v>
      </c>
      <c r="M30" s="14">
        <f>IF($L30="","",$L30*(1-$C$8))</f>
        <v>1800.0</v>
      </c>
      <c r="N30" s="14">
        <f>IF($L30="","",$L30*(1+$C$8))</f>
        <v>3000.0</v>
      </c>
      <c r="O30" s="11" t="n">
        <v>2400</v>
      </c>
      <c r="P30" s="15">
        <f>IFERROR(IF(OR($O30="",$L30=""),"",$O30/$L30-1),"")</f>
        <v>0.0</v>
      </c>
      <c r="Q30" s="5" t="inlineStr">
        <is>
          <t>Pendiente: pide tres presupuestos</t>
        </is>
      </c>
      <c r="R30" s="12" t="n">
        <v>5</v>
      </c>
      <c r="S30" s="13">
        <f>IFERROR(IF(OR($R30="",$C$11="",$C$12=""),"",$C$11-$R30-$C$12),"")</f>
        <v>13.0</v>
      </c>
      <c r="T30" s="13">
        <f>IF($H30=$C$61,$R30,"")</f>
        <v>5.0</v>
      </c>
      <c r="U30" s="13">
        <f>IF($S30="","",IF($S30&lt;0,1,0))</f>
        <v>0.0</v>
      </c>
      <c r="V30" t="inlineStr">
        <is>
          <t>supuesto</t>
        </is>
      </c>
      <c r="W30" s="4" t="inlineStr"/>
    </row>
    <row r="31" ht="34" customHeight="1">
      <c r="A31" s="5" t="inlineStr">
        <is>
          <t>Pendiente</t>
        </is>
      </c>
      <c r="B31" s="13" t="n">
        <v>16</v>
      </c>
      <c r="C31" s="4" t="inlineStr">
        <is>
          <t>Mesas de acero inoxidable y estanterías (lote)</t>
        </is>
      </c>
      <c r="D31" t="inlineStr"/>
      <c r="E31" t="inlineStr"/>
      <c r="F31" t="inlineStr">
        <is>
          <t>Mobiliario de obrador</t>
        </is>
      </c>
      <c r="G31" t="inlineStr">
        <is>
          <t>Equipamiento de obrador</t>
        </is>
      </c>
      <c r="H31" t="inlineStr">
        <is>
          <t>Crítico</t>
        </is>
      </c>
      <c r="I31" s="14" t="n">
        <v>2800</v>
      </c>
      <c r="J31" t="inlineStr">
        <is>
          <t>sin IVA</t>
        </is>
      </c>
      <c r="K31" s="15">
        <f>$C$7</f>
        <v>0.21</v>
      </c>
      <c r="L31" s="14">
        <f>IFERROR(IF($I31="","",IF($J31=$E$62,$I31/(1+$K31),$I31)),"")</f>
        <v>2800.0</v>
      </c>
      <c r="M31" s="14">
        <f>IF($L31="","",$L31*(1-$C$8))</f>
        <v>2100.0</v>
      </c>
      <c r="N31" s="14">
        <f>IF($L31="","",$L31*(1+$C$8))</f>
        <v>3500.0</v>
      </c>
      <c r="O31" s="11" t="n">
        <v>2800</v>
      </c>
      <c r="P31" s="15">
        <f>IFERROR(IF(OR($O31="",$L31=""),"",$O31/$L31-1),"")</f>
        <v>0.0</v>
      </c>
      <c r="Q31" s="5" t="inlineStr">
        <is>
          <t>Pendiente: pide tres presupuestos</t>
        </is>
      </c>
      <c r="R31" s="12" t="n">
        <v>4</v>
      </c>
      <c r="S31" s="13">
        <f>IFERROR(IF(OR($R31="",$C$11="",$C$12=""),"",$C$11-$R31-$C$12),"")</f>
        <v>14.0</v>
      </c>
      <c r="T31" s="13">
        <f>IF($H31=$C$61,$R31,"")</f>
        <v>4.0</v>
      </c>
      <c r="U31" s="13">
        <f>IF($S31="","",IF($S31&lt;0,1,0))</f>
        <v>0.0</v>
      </c>
      <c r="V31" t="inlineStr">
        <is>
          <t>supuesto</t>
        </is>
      </c>
      <c r="W31" s="4" t="inlineStr"/>
    </row>
    <row r="32" ht="34" customHeight="1">
      <c r="A32" s="5" t="inlineStr">
        <is>
          <t>Pendiente</t>
        </is>
      </c>
      <c r="B32" s="13" t="n">
        <v>17</v>
      </c>
      <c r="C32" s="4" t="inlineStr">
        <is>
          <t>Fregadero doble y lavamanos no manual de pedal</t>
        </is>
      </c>
      <c r="D32" t="inlineStr"/>
      <c r="E32" t="inlineStr"/>
      <c r="F32" t="inlineStr">
        <is>
          <t>Instalaciones</t>
        </is>
      </c>
      <c r="G32" t="inlineStr">
        <is>
          <t>Equipamiento de obrador</t>
        </is>
      </c>
      <c r="H32" t="inlineStr">
        <is>
          <t>Crítico</t>
        </is>
      </c>
      <c r="I32" s="14" t="n">
        <v>1400</v>
      </c>
      <c r="J32" t="inlineStr">
        <is>
          <t>sin IVA</t>
        </is>
      </c>
      <c r="K32" s="15">
        <f>$C$7</f>
        <v>0.21</v>
      </c>
      <c r="L32" s="14">
        <f>IFERROR(IF($I32="","",IF($J32=$E$62,$I32/(1+$K32),$I32)),"")</f>
        <v>1400.0</v>
      </c>
      <c r="M32" s="14">
        <f>IF($L32="","",$L32*(1-$C$8))</f>
        <v>1050.0</v>
      </c>
      <c r="N32" s="14">
        <f>IF($L32="","",$L32*(1+$C$8))</f>
        <v>1750.0</v>
      </c>
      <c r="O32" s="11" t="n">
        <v>1400</v>
      </c>
      <c r="P32" s="15">
        <f>IFERROR(IF(OR($O32="",$L32=""),"",$O32/$L32-1),"")</f>
        <v>0.0</v>
      </c>
      <c r="Q32" s="5" t="inlineStr">
        <is>
          <t>Pendiente: pide tres presupuestos</t>
        </is>
      </c>
      <c r="R32" s="12" t="n">
        <v>3</v>
      </c>
      <c r="S32" s="13">
        <f>IFERROR(IF(OR($R32="",$C$11="",$C$12=""),"",$C$11-$R32-$C$12),"")</f>
        <v>15.0</v>
      </c>
      <c r="T32" s="13">
        <f>IF($H32=$C$61,$R32,"")</f>
        <v>3.0</v>
      </c>
      <c r="U32" s="13">
        <f>IF($S32="","",IF($S32&lt;0,1,0))</f>
        <v>0.0</v>
      </c>
      <c r="V32" t="inlineStr">
        <is>
          <t>PS-86e + supuesto</t>
        </is>
      </c>
      <c r="W32" s="4" t="inlineStr">
        <is>
          <t>PS-86e: lavamanos NO manual por zona. No es un extra, es un requisito.</t>
        </is>
      </c>
    </row>
    <row r="33" ht="34" customHeight="1">
      <c r="A33" s="5" t="inlineStr">
        <is>
          <t>Pendiente</t>
        </is>
      </c>
      <c r="B33" s="13" t="n">
        <v>18</v>
      </c>
      <c r="C33" s="4" t="inlineStr">
        <is>
          <t>Mobiliario de despacho (mostrador, estanterías, rótulo interior)</t>
        </is>
      </c>
      <c r="D33" t="inlineStr"/>
      <c r="E33" t="inlineStr"/>
      <c r="F33" t="inlineStr">
        <is>
          <t>Tienda y vitrina</t>
        </is>
      </c>
      <c r="G33" t="inlineStr">
        <is>
          <t>Tienda y vitrina</t>
        </is>
      </c>
      <c r="H33" t="inlineStr">
        <is>
          <t>Crítico</t>
        </is>
      </c>
      <c r="I33" s="14" t="n">
        <v>7500</v>
      </c>
      <c r="J33" t="inlineStr">
        <is>
          <t>sin IVA</t>
        </is>
      </c>
      <c r="K33" s="15">
        <f>$C$7</f>
        <v>0.21</v>
      </c>
      <c r="L33" s="14">
        <f>IFERROR(IF($I33="","",IF($J33=$E$62,$I33/(1+$K33),$I33)),"")</f>
        <v>7500.0</v>
      </c>
      <c r="M33" s="14">
        <f>IF($L33="","",$L33*(1-$C$8))</f>
        <v>5625.0</v>
      </c>
      <c r="N33" s="14">
        <f>IF($L33="","",$L33*(1+$C$8))</f>
        <v>9375.0</v>
      </c>
      <c r="O33" s="11" t="n">
        <v>7500</v>
      </c>
      <c r="P33" s="15">
        <f>IFERROR(IF(OR($O33="",$L33=""),"",$O33/$L33-1),"")</f>
        <v>0.0</v>
      </c>
      <c r="Q33" s="5" t="inlineStr">
        <is>
          <t>Pendiente: pide tres presupuestos</t>
        </is>
      </c>
      <c r="R33" s="12" t="n">
        <v>8</v>
      </c>
      <c r="S33" s="13">
        <f>IFERROR(IF(OR($R33="",$C$11="",$C$12=""),"",$C$11-$R33-$C$12),"")</f>
        <v>10.0</v>
      </c>
      <c r="T33" s="13">
        <f>IF($H33=$C$61,$R33,"")</f>
        <v>8.0</v>
      </c>
      <c r="U33" s="13">
        <f>IF($S33="","",IF($S33&lt;0,1,0))</f>
        <v>0.0</v>
      </c>
      <c r="V33" t="inlineStr">
        <is>
          <t>supuesto</t>
        </is>
      </c>
      <c r="W33" s="4" t="inlineStr"/>
    </row>
    <row r="34" ht="34" customHeight="1">
      <c r="A34" s="5" t="inlineStr">
        <is>
          <t>Pendiente</t>
        </is>
      </c>
      <c r="B34" s="13" t="n">
        <v>19</v>
      </c>
      <c r="C34" s="4" t="inlineStr">
        <is>
          <t>TPV con software adaptado a Verifactu</t>
        </is>
      </c>
      <c r="D34" t="inlineStr"/>
      <c r="E34" t="inlineStr"/>
      <c r="F34" t="inlineStr">
        <is>
          <t>Tienda y vitrina</t>
        </is>
      </c>
      <c r="G34" t="inlineStr">
        <is>
          <t>Tienda y vitrina</t>
        </is>
      </c>
      <c r="H34" t="inlineStr">
        <is>
          <t>Crítico</t>
        </is>
      </c>
      <c r="I34" s="14" t="n">
        <v>1300</v>
      </c>
      <c r="J34" t="inlineStr">
        <is>
          <t>sin IVA</t>
        </is>
      </c>
      <c r="K34" s="15">
        <f>$C$7</f>
        <v>0.21</v>
      </c>
      <c r="L34" s="14">
        <f>IFERROR(IF($I34="","",IF($J34=$E$62,$I34/(1+$K34),$I34)),"")</f>
        <v>1300.0</v>
      </c>
      <c r="M34" s="14">
        <f>IF($L34="","",$L34*(1-$C$8))</f>
        <v>975.0</v>
      </c>
      <c r="N34" s="14">
        <f>IF($L34="","",$L34*(1+$C$8))</f>
        <v>1625.0</v>
      </c>
      <c r="O34" s="11" t="n">
        <v>1300</v>
      </c>
      <c r="P34" s="15">
        <f>IFERROR(IF(OR($O34="",$L34=""),"",$O34/$L34-1),"")</f>
        <v>0.0</v>
      </c>
      <c r="Q34" s="5" t="inlineStr">
        <is>
          <t>Pendiente: pide tres presupuestos</t>
        </is>
      </c>
      <c r="R34" s="12" t="n">
        <v>3</v>
      </c>
      <c r="S34" s="13">
        <f>IFERROR(IF(OR($R34="",$C$11="",$C$12=""),"",$C$11-$R34-$C$12),"")</f>
        <v>15.0</v>
      </c>
      <c r="T34" s="13">
        <f>IF($H34=$C$61,$R34,"")</f>
        <v>3.0</v>
      </c>
      <c r="U34" s="13">
        <f>IF($S34="","",IF($S34&lt;0,1,0))</f>
        <v>0.0</v>
      </c>
      <c r="V34" t="inlineStr">
        <is>
          <t>PA-37 + supuesto</t>
        </is>
      </c>
      <c r="W34" s="4" t="inlineStr">
        <is>
          <t>El software que compres HOY ya tiene que estar adaptado: la obligación del fabricante es anterior a la tuya (PA-37). Y el TPV es el que separa el 10 %, el 4 % y el 21 % de la venta para llevar (PA-36d).</t>
        </is>
      </c>
    </row>
    <row r="35" ht="34" customHeight="1">
      <c r="A35" s="5" t="inlineStr">
        <is>
          <t>Pendiente</t>
        </is>
      </c>
      <c r="B35" s="13" t="n">
        <v>20</v>
      </c>
      <c r="C35" s="4" t="inlineStr">
        <is>
          <t>Vitrina o armario expositor de temperatura ambiente</t>
        </is>
      </c>
      <c r="D35" t="inlineStr"/>
      <c r="E35" t="inlineStr"/>
      <c r="F35" t="inlineStr">
        <is>
          <t>Tienda y vitrina</t>
        </is>
      </c>
      <c r="G35" t="inlineStr">
        <is>
          <t>Tienda y vitrina</t>
        </is>
      </c>
      <c r="H35" t="inlineStr">
        <is>
          <t>Crítico</t>
        </is>
      </c>
      <c r="I35" s="14" t="n">
        <v>1600</v>
      </c>
      <c r="J35" t="inlineStr">
        <is>
          <t>sin IVA</t>
        </is>
      </c>
      <c r="K35" s="15">
        <f>$C$7</f>
        <v>0.21</v>
      </c>
      <c r="L35" s="14">
        <f>IFERROR(IF($I35="","",IF($J35=$E$62,$I35/(1+$K35),$I35)),"")</f>
        <v>1600.0</v>
      </c>
      <c r="M35" s="14">
        <f>IF($L35="","",$L35*(1-$C$8))</f>
        <v>1200.0</v>
      </c>
      <c r="N35" s="14">
        <f>IF($L35="","",$L35*(1+$C$8))</f>
        <v>2000.0</v>
      </c>
      <c r="O35" s="11" t="n">
        <v>1600</v>
      </c>
      <c r="P35" s="15">
        <f>IFERROR(IF(OR($O35="",$L35=""),"",$O35/$L35-1),"")</f>
        <v>0.0</v>
      </c>
      <c r="Q35" s="5" t="inlineStr">
        <is>
          <t>Pendiente: pide tres presupuestos</t>
        </is>
      </c>
      <c r="R35" s="12" t="n">
        <v>6</v>
      </c>
      <c r="S35" s="13">
        <f>IFERROR(IF(OR($R35="",$C$11="",$C$12=""),"",$C$11-$R35-$C$12),"")</f>
        <v>12.0</v>
      </c>
      <c r="T35" s="13">
        <f>IF($H35=$C$61,$R35,"")</f>
        <v>6.0</v>
      </c>
      <c r="U35" s="13">
        <f>IF($S35="","",IF($S35&lt;0,1,0))</f>
        <v>0.0</v>
      </c>
      <c r="V35" t="inlineStr">
        <is>
          <t>supuesto</t>
        </is>
      </c>
      <c r="W35" s="4" t="inlineStr">
        <is>
          <t>Para lo estable a temperatura ambiente: palmeras, Sacher, huesos de santo, turrón y panes. Cuántos metros necesitas de este mueble y cuántos del refrigerado lo decide la hoja de huevo y temperatura del libro 4, no el gusto.</t>
        </is>
      </c>
    </row>
    <row r="36" ht="34" customHeight="1">
      <c r="A36" s="5" t="inlineStr">
        <is>
          <t>Pendiente</t>
        </is>
      </c>
      <c r="B36" s="13" t="n">
        <v>21</v>
      </c>
      <c r="C36" s="4" t="inlineStr">
        <is>
          <t>Envasadora, selladora y utillaje de obrador (lote)</t>
        </is>
      </c>
      <c r="D36" t="inlineStr"/>
      <c r="E36" t="inlineStr"/>
      <c r="F36" t="inlineStr">
        <is>
          <t>Mobiliario de obrador</t>
        </is>
      </c>
      <c r="G36" t="inlineStr">
        <is>
          <t>Equipamiento de obrador</t>
        </is>
      </c>
      <c r="H36" t="inlineStr">
        <is>
          <t>Crítico</t>
        </is>
      </c>
      <c r="I36" s="14" t="n">
        <v>3200</v>
      </c>
      <c r="J36" t="inlineStr">
        <is>
          <t>sin IVA</t>
        </is>
      </c>
      <c r="K36" s="15">
        <f>$C$7</f>
        <v>0.21</v>
      </c>
      <c r="L36" s="14">
        <f>IFERROR(IF($I36="","",IF($J36=$E$62,$I36/(1+$K36),$I36)),"")</f>
        <v>3200.0</v>
      </c>
      <c r="M36" s="14">
        <f>IF($L36="","",$L36*(1-$C$8))</f>
        <v>2400.0</v>
      </c>
      <c r="N36" s="14">
        <f>IF($L36="","",$L36*(1+$C$8))</f>
        <v>4000.0</v>
      </c>
      <c r="O36" s="11" t="n">
        <v>3200</v>
      </c>
      <c r="P36" s="15">
        <f>IFERROR(IF(OR($O36="",$L36=""),"",$O36/$L36-1),"")</f>
        <v>0.0</v>
      </c>
      <c r="Q36" s="5" t="inlineStr">
        <is>
          <t>Pendiente: pide tres presupuestos</t>
        </is>
      </c>
      <c r="R36" s="12" t="n">
        <v>4</v>
      </c>
      <c r="S36" s="13">
        <f>IFERROR(IF(OR($R36="",$C$11="",$C$12=""),"",$C$11-$R36-$C$12),"")</f>
        <v>14.0</v>
      </c>
      <c r="T36" s="13">
        <f>IF($H36=$C$61,$R36,"")</f>
        <v>4.0</v>
      </c>
      <c r="U36" s="13">
        <f>IF($S36="","",IF($S36&lt;0,1,0))</f>
        <v>0.0</v>
      </c>
      <c r="V36" t="inlineStr">
        <is>
          <t>supuesto</t>
        </is>
      </c>
      <c r="W36" s="4" t="inlineStr"/>
    </row>
    <row r="37" ht="34" customHeight="1">
      <c r="A37" s="5" t="inlineStr">
        <is>
          <t>Pendiente</t>
        </is>
      </c>
      <c r="B37" s="13" t="n">
        <v>22</v>
      </c>
      <c r="C37" s="4" t="inlineStr">
        <is>
          <t>Termómetros sonda, básculas y registradores de temperatura</t>
        </is>
      </c>
      <c r="D37" t="inlineStr"/>
      <c r="E37" t="inlineStr"/>
      <c r="F37" t="inlineStr">
        <is>
          <t>Control</t>
        </is>
      </c>
      <c r="G37" t="inlineStr">
        <is>
          <t>Equipamiento de obrador</t>
        </is>
      </c>
      <c r="H37" t="inlineStr">
        <is>
          <t>Crítico</t>
        </is>
      </c>
      <c r="I37" s="14" t="n">
        <v>900</v>
      </c>
      <c r="J37" t="inlineStr">
        <is>
          <t>sin IVA</t>
        </is>
      </c>
      <c r="K37" s="15">
        <f>$C$7</f>
        <v>0.21</v>
      </c>
      <c r="L37" s="14">
        <f>IFERROR(IF($I37="","",IF($J37=$E$62,$I37/(1+$K37),$I37)),"")</f>
        <v>900.0</v>
      </c>
      <c r="M37" s="14">
        <f>IF($L37="","",$L37*(1-$C$8))</f>
        <v>675.0</v>
      </c>
      <c r="N37" s="14">
        <f>IF($L37="","",$L37*(1+$C$8))</f>
        <v>1125.0</v>
      </c>
      <c r="O37" s="11" t="n">
        <v>900</v>
      </c>
      <c r="P37" s="15">
        <f>IFERROR(IF(OR($O37="",$L37=""),"",$O37/$L37-1),"")</f>
        <v>0.0</v>
      </c>
      <c r="Q37" s="5" t="inlineStr">
        <is>
          <t>Pendiente: pide tres presupuestos</t>
        </is>
      </c>
      <c r="R37" s="12" t="n">
        <v>2</v>
      </c>
      <c r="S37" s="13">
        <f>IFERROR(IF(OR($R37="",$C$11="",$C$12=""),"",$C$11-$R37-$C$12),"")</f>
        <v>16.0</v>
      </c>
      <c r="T37" s="13">
        <f>IF($H37=$C$61,$R37,"")</f>
        <v>2.0</v>
      </c>
      <c r="U37" s="13">
        <f>IF($S37="","",IF($S37&lt;0,1,0))</f>
        <v>0.0</v>
      </c>
      <c r="V37" t="inlineStr">
        <is>
          <t>supuesto</t>
        </is>
      </c>
      <c r="W37" s="4" t="inlineStr">
        <is>
          <t>Sin sonda no puedes demostrar los 70 °C/2 s del art. 9.1.a) y la vía se te cae al ovoproducto. Es la compra más barata con más consecuencias.</t>
        </is>
      </c>
    </row>
    <row r="38"/>
    <row r="39">
      <c r="A39" s="3" t="inlineStr">
        <is>
          <t>Resumen de esta hoja</t>
        </is>
      </c>
    </row>
    <row r="40" ht="24" customHeight="1">
      <c r="A40" s="9" t="inlineStr">
        <is>
          <t>Líneas del checklist</t>
        </is>
      </c>
      <c r="I40" s="16">
        <f>COUNTIF($C$16:$C$37,"&lt;&gt;")</f>
        <v>22.0</v>
      </c>
      <c r="K40" s="7" t="inlineStr">
        <is>
          <t>Las 22 líneas de la dotación tipo de una pastelería con obrador.</t>
        </is>
      </c>
    </row>
    <row r="41" ht="24" customHeight="1">
      <c r="A41" s="9" t="inlineStr">
        <is>
          <t>Total de referencia sin IVA, sólo líneas críticas (€)</t>
        </is>
      </c>
      <c r="I41" s="17">
        <f>SUMPRODUCT(--($H$16:$H$37=$C$61),$L$16:$L$37)</f>
        <v>66980.33834710743</v>
      </c>
      <c r="K41" s="7" t="inlineStr">
        <is>
          <t>Lo que cuesta lo que no puedes dejar de comprar, a precio de referencia y en base imponible.</t>
        </is>
      </c>
    </row>
    <row r="42" ht="24" customHeight="1">
      <c r="A42" s="9" t="inlineStr">
        <is>
          <t>Total de referencia sin IVA, todas las líneas (€)</t>
        </is>
      </c>
      <c r="I42" s="17">
        <f>SUM($L$16:$L$37)</f>
        <v>86500.73834710744</v>
      </c>
      <c r="K42" s="7" t="inlineStr">
        <is>
          <t>Con la atemperadora de chocolate y el horno de pisos dentro, que son opcionales según el concepto.</t>
        </is>
      </c>
    </row>
    <row r="43" ht="24" customHeight="1">
      <c r="A43" s="9" t="inlineStr">
        <is>
          <t>Total real negociado sin IVA, sólo líneas críticas (€)</t>
        </is>
      </c>
      <c r="I43" s="17">
        <f>SUMPRODUCT(--($H$16:$H$37=$C$61),$O$16:$O$37)</f>
        <v>66980.34</v>
      </c>
      <c r="K43" s="7" t="inlineStr">
        <is>
          <t>Lo mismo con TUS precios: es el número que se lleva al libro 2.</t>
        </is>
      </c>
    </row>
    <row r="44" ht="24" customHeight="1">
      <c r="A44" s="9" t="inlineStr">
        <is>
          <t>Total real negociado sin IVA, todas las líneas (€)</t>
        </is>
      </c>
      <c r="I44" s="17">
        <f>SUM($O$16:$O$37)</f>
        <v>86500.73999999999</v>
      </c>
      <c r="K44" s="7" t="inlineStr">
        <is>
          <t>La base imponible de toda la compra de equipamiento.</t>
        </is>
      </c>
    </row>
    <row r="45" ht="24" customHeight="1">
      <c r="A45" s="9" t="inlineStr">
        <is>
          <t>Lo que has ganado (o perdido) negociando (€)</t>
        </is>
      </c>
      <c r="I45" s="17">
        <f>IFERROR($I$44-$I$42,"")</f>
        <v>0.001652892548008822</v>
      </c>
      <c r="K45" s="7" t="inlineStr">
        <is>
          <t>Negativo = has comprado por debajo del precio de referencia. Es el único sitio del pack donde se mide lo que vale pedir tres presupuestos.</t>
        </is>
      </c>
    </row>
    <row r="46" ht="24" customHeight="1">
      <c r="A46" s="9" t="inlineStr">
        <is>
          <t>IVA soportado sobre el precio real (€)</t>
        </is>
      </c>
      <c r="I46" s="17">
        <f>SUMPRODUCT($O$16:$O$37,$K$16:$K$37)</f>
        <v>18165.1554</v>
      </c>
      <c r="K46" s="7" t="inlineStr">
        <is>
          <t>Se recupera vía declaraciones, pero hay que ADELANTARLO el día que pagas la máquina. La hoja «IVA y Tesorería» del libro 2 dice cuándo vuelve.</t>
        </is>
      </c>
    </row>
    <row r="47" ht="24" customHeight="1">
      <c r="A47" s="9" t="inlineStr">
        <is>
          <t>Desembolso real con IVA (€)</t>
        </is>
      </c>
      <c r="I47" s="17">
        <f>IFERROR($I$44+$I$46,"")</f>
        <v>104665.8954</v>
      </c>
      <c r="K47" s="7" t="inlineStr">
        <is>
          <t>Lo que sale de la cuenta corriente.</t>
        </is>
      </c>
    </row>
    <row r="48" ht="24" customHeight="1">
      <c r="A48" s="9" t="inlineStr">
        <is>
          <t>Total de CAPEX de equipamiento del libro 2 (€, sin IVA)</t>
        </is>
      </c>
      <c r="I48" s="17">
        <f>$C$9</f>
        <v>66980.34</v>
      </c>
      <c r="K48" s="7" t="inlineStr">
        <is>
          <t>Copia de la celda verde de arriba, que a su vez copias del libro 2.</t>
        </is>
      </c>
    </row>
    <row r="49" ht="24" customHeight="1">
      <c r="A49" s="9" t="inlineStr">
        <is>
          <t>Desviación contra el libro 2 (€)</t>
        </is>
      </c>
      <c r="I49" s="17">
        <f>IFERROR(IF($C$9="","",$I$43-$C$9),"")</f>
        <v>0.0</v>
      </c>
      <c r="K49" s="7" t="inlineStr">
        <is>
          <t>Positivo = estás comprando más equipo crítico del que había presupuestado el plan. No incluye los opcionales: mira la fila de abajo si quieres ese número.</t>
        </is>
      </c>
    </row>
    <row r="50" ht="24" customHeight="1">
      <c r="A50" s="9" t="inlineStr">
        <is>
          <t>Desviación contra el libro 2 (%)</t>
        </is>
      </c>
      <c r="I50" s="18">
        <f>IFERROR(IF($C$9="","",$I$43/$C$9-1),"")</f>
        <v>0.0</v>
      </c>
      <c r="K50" s="7" t="inlineStr">
        <is>
          <t>Se pinta en rojo si se pasa del umbral que has fijado arriba.</t>
        </is>
      </c>
    </row>
    <row r="51" ht="24" customHeight="1">
      <c r="A51" s="9" t="inlineStr">
        <is>
          <t>Diferencia por líneas opcionales (€)</t>
        </is>
      </c>
      <c r="I51" s="17">
        <f>IFERROR($I$44-$I$43,"")</f>
        <v>19520.399999999994</v>
      </c>
      <c r="K51" s="7" t="inlineStr">
        <is>
          <t>Lo que cuestan la atemperadora, el horno de pisos y las puertas correderas si decides llevártelos: NO es un descuadre, es tu elección de ampliar el concepto.</t>
        </is>
      </c>
    </row>
    <row r="52" ht="24" customHeight="1">
      <c r="A52" s="9" t="inlineStr">
        <is>
          <t>Veredicto de la desviación</t>
        </is>
      </c>
      <c r="I52" s="19" t="str">
        <f>IF($I$50="","",IF(OR($I$50&gt;$C$10,$I$50&lt;-$C$10),"Fuera del umbral: rehaz el CAPEX del libro 2 con estos precios","En línea con el CAPEX del libro 2"))</f>
        <v>En línea con el CAPEX del libro 2</v>
      </c>
      <c r="K52" s="7" t="inlineStr">
        <is>
          <t>Compara sólo líneas críticas contra líneas críticas. El plan financiero del libro 5 se calcula sobre el CAPEX del libro 2: si esto se sale, hay que rehacer los dos, no cambiar este número.</t>
        </is>
      </c>
    </row>
    <row r="53" ht="24" customHeight="1">
      <c r="A53" s="9" t="inlineStr">
        <is>
          <t>Plazo crítico de entrega (semanas)</t>
        </is>
      </c>
      <c r="I53" s="16">
        <f>IFERROR(MAX($T$16:$T$37),"")</f>
        <v>9.0</v>
      </c>
      <c r="K53" s="7" t="inlineStr">
        <is>
          <t>El plazo más largo de las líneas CRÍTICAS. Las opcionales no cuentan: si el horno de pisos tarda tres meses y no lo necesitas para abrir, no puede mover tu fecha.</t>
        </is>
      </c>
    </row>
    <row r="54" ht="24" customHeight="1">
      <c r="A54" s="9" t="inlineStr">
        <is>
          <t>Línea que marca el plazo crítico</t>
        </is>
      </c>
      <c r="I54" s="19" t="str">
        <f>IFERROR(INDEX($C$16:$C$37,MATCH($I$53,$T$16:$T$37,0)),"")</f>
        <v>Cámara de fermentación controlada (roll-in)</v>
      </c>
      <c r="K54" s="7" t="inlineStr">
        <is>
          <t>Ésta es la primera que hay que pedir, aunque sea la última que vayas a instalar.</t>
        </is>
      </c>
    </row>
    <row r="55" ht="24" customHeight="1">
      <c r="A55" s="9" t="inlineStr">
        <is>
          <t>Margen del plazo crítico (semanas)</t>
        </is>
      </c>
      <c r="I55" s="16">
        <f>IFERROR(IF(OR($C$11="",$I$53=""),"",$C$11-$I$53-$C$12),"")</f>
        <v>9.0</v>
      </c>
      <c r="K55" s="7" t="inlineStr">
        <is>
          <t>Semanas que te sobran entre pedir hoy el equipo de mayor plazo y abrir con el margen de seguridad dentro.</t>
        </is>
      </c>
    </row>
    <row r="56" ht="24" customHeight="1">
      <c r="A56" s="9" t="inlineStr">
        <is>
          <t>Veredicto del plazo</t>
        </is>
      </c>
      <c r="I56" s="19" t="str">
        <f>IF($I$55="","",IF($I$55&lt;0,"El equipo de mayor plazo mueve la apertura: pídelo hoy o retrasa la fecha","Llegas con margen, pero pide primero el de mayor plazo"))</f>
        <v>Llegas con margen, pero pide primero el de mayor plazo</v>
      </c>
      <c r="K56" s="7" t="inlineStr">
        <is>
          <t>Un obrador no abre porque falte una máquina, y la que falta casi siempre es la que se pidió la última.</t>
        </is>
      </c>
    </row>
    <row r="57" ht="24" customHeight="1">
      <c r="A57" s="9" t="inlineStr">
        <is>
          <t>Líneas cuyo plazo se pasa de la apertura</t>
        </is>
      </c>
      <c r="I57" s="16">
        <f>IFERROR(SUM($U$16:$U$37),"")</f>
        <v>0.0</v>
      </c>
      <c r="K57" s="7" t="inlineStr">
        <is>
          <t>Cuenta también las opcionales: si la pides, tiene que llegar.</t>
        </is>
      </c>
    </row>
    <row r="58"/>
    <row r="59">
      <c r="A59" s="3" t="inlineStr">
        <is>
          <t>Listas (origen de los desplegables)</t>
        </is>
      </c>
    </row>
    <row r="60" ht="20" customHeight="1">
      <c r="A60" s="8" t="inlineStr">
        <is>
          <t>Estado</t>
        </is>
      </c>
      <c r="C60" s="8" t="inlineStr">
        <is>
          <t>Prioridad</t>
        </is>
      </c>
      <c r="E60" s="8" t="inlineStr">
        <is>
          <t>Base del precio</t>
        </is>
      </c>
      <c r="G60" s="8" t="inlineStr">
        <is>
          <t>Textos fijos</t>
        </is>
      </c>
    </row>
    <row r="61">
      <c r="A61" t="inlineStr">
        <is>
          <t>Pendiente</t>
        </is>
      </c>
      <c r="C61" t="inlineStr">
        <is>
          <t>Crítico</t>
        </is>
      </c>
      <c r="E61" t="inlineStr">
        <is>
          <t>sin IVA</t>
        </is>
      </c>
      <c r="G61" t="inlineStr">
        <is>
          <t>Pendiente: pide tres presupuestos</t>
        </is>
      </c>
    </row>
    <row r="62">
      <c r="A62" t="inlineStr">
        <is>
          <t>Presupuestado</t>
        </is>
      </c>
      <c r="C62" t="inlineStr">
        <is>
          <t>Opcional</t>
        </is>
      </c>
      <c r="E62" t="inlineStr">
        <is>
          <t>con IVA</t>
        </is>
      </c>
    </row>
    <row r="63">
      <c r="A63" t="inlineStr">
        <is>
          <t>Pedido</t>
        </is>
      </c>
      <c r="E63" t="inlineStr">
        <is>
          <t>no declarada</t>
        </is>
      </c>
    </row>
    <row r="64">
      <c r="A64" t="inlineStr">
        <is>
          <t>Recibido</t>
        </is>
      </c>
    </row>
    <row r="65">
      <c r="A65" t="inlineStr">
        <is>
          <t>Instalado</t>
        </is>
      </c>
    </row>
    <row r="66">
      <c r="A66" t="inlineStr">
        <is>
          <t>N/A</t>
        </is>
      </c>
    </row>
    <row r="67"/>
    <row r="68" ht="42" customHeight="1">
      <c r="A68" s="7" t="inlineStr">
        <is>
          <t>CRÍTICO quiere decir «sin esto no abres», y es la lista que calcula el plazo crítico. OPCIONAL quiere decir «depende del concepto»: son la atemperadora de chocolate y el horno de pisos modular, más el accesorio de puertas de la vitrina. No hay un nivel intermedio a propósito: en una apertura, «recomendado» siempre acaba comprándose.</t>
        </is>
      </c>
    </row>
    <row r="69" ht="28" customHeight="1">
      <c r="A69" s="7" t="inlineStr">
        <is>
          <t>Los plazos de entrega son SUPUESTOS: ningún distribuidor los publica. Sustitúyelos por el que te comprometan por escrito en el presupuesto, que es donde de verdad se negocia una apertura.</t>
        </is>
      </c>
    </row>
    <row r="70" ht="28" customHeight="1">
      <c r="A70" s="7" t="inlineStr">
        <is>
          <t>La vitrina Docriluc lleva un descuento de campaña del 30 % sobre un PVP de 3.263,00 €: es un precio fechado el 10-09-2026 y puede caducar. La batidora Sammic no declara si su precio lleva IVA y se trata como base imponible: es exactamente el caso que obliga a tener la columna.</t>
        </is>
      </c>
    </row>
    <row r="71" ht="24" customHeight="1">
      <c r="A71" s="7" t="inlineStr">
        <is>
          <t>Si ya tienes el Kit de Tareas Pastelería (12 €), ninguna de sus quince plantillas sustituye a esta hoja: el kit organiza el obrador montado, no la compra.</t>
        </is>
      </c>
    </row>
    <row r="72"/>
    <row r="73">
      <c r="A73" s="2" t="inlineStr">
        <is>
          <t>Diseñado por John Guerrero — chef y consultor gastronómico desde 2010, en cocina desde los 17 años.</t>
        </is>
      </c>
    </row>
    <row r="74">
      <c r="A74"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55">
    <mergeCell ref="A50:H50"/>
    <mergeCell ref="A9:B9"/>
    <mergeCell ref="K45:W45"/>
    <mergeCell ref="K53:W53"/>
    <mergeCell ref="A3:W3"/>
    <mergeCell ref="K41:W41"/>
    <mergeCell ref="A68:W68"/>
    <mergeCell ref="A45:H45"/>
    <mergeCell ref="A53:H53"/>
    <mergeCell ref="A40:H40"/>
    <mergeCell ref="K48:W48"/>
    <mergeCell ref="K46:W46"/>
    <mergeCell ref="K44:W44"/>
    <mergeCell ref="K52:W52"/>
    <mergeCell ref="A7:B7"/>
    <mergeCell ref="K56:W56"/>
    <mergeCell ref="A47:H47"/>
    <mergeCell ref="A49:H49"/>
    <mergeCell ref="A70:W70"/>
    <mergeCell ref="A55:H55"/>
    <mergeCell ref="D9:W9"/>
    <mergeCell ref="A46:H46"/>
    <mergeCell ref="A48:H48"/>
    <mergeCell ref="D8:W8"/>
    <mergeCell ref="K43:W43"/>
    <mergeCell ref="D11:W11"/>
    <mergeCell ref="K40:W40"/>
    <mergeCell ref="A8:B8"/>
    <mergeCell ref="K51:W51"/>
    <mergeCell ref="A44:H44"/>
    <mergeCell ref="K42:W42"/>
    <mergeCell ref="A52:H52"/>
    <mergeCell ref="K54:W54"/>
    <mergeCell ref="A42:H42"/>
    <mergeCell ref="A54:H54"/>
    <mergeCell ref="D6:W6"/>
    <mergeCell ref="A43:H43"/>
    <mergeCell ref="A51:H51"/>
    <mergeCell ref="K55:W55"/>
    <mergeCell ref="A6:B6"/>
    <mergeCell ref="A57:H57"/>
    <mergeCell ref="K50:W50"/>
    <mergeCell ref="K47:W47"/>
    <mergeCell ref="D7:W7"/>
    <mergeCell ref="K49:W49"/>
    <mergeCell ref="A71:W71"/>
    <mergeCell ref="A11:B11"/>
    <mergeCell ref="D12:W12"/>
    <mergeCell ref="K57:W57"/>
    <mergeCell ref="A69:W69"/>
    <mergeCell ref="D10:W10"/>
    <mergeCell ref="A12:B12"/>
    <mergeCell ref="A56:H56"/>
    <mergeCell ref="A10:B10"/>
    <mergeCell ref="A41:H41"/>
  </mergeCells>
  <conditionalFormatting sqref="A16:A37">
    <cfRule type="cellIs" priority="1" operator="equal" dxfId="0" stopIfTrue="1">
      <formula>"Completado"</formula>
    </cfRule>
    <cfRule type="cellIs" priority="2" operator="equal" dxfId="0" stopIfTrue="1">
      <formula>"Instalado"</formula>
    </cfRule>
    <cfRule type="cellIs" priority="3" operator="equal" dxfId="1" stopIfTrue="1">
      <formula>"Recibido"</formula>
    </cfRule>
    <cfRule type="cellIs" priority="4" operator="equal" dxfId="1" stopIfTrue="1">
      <formula>"En Curso"</formula>
    </cfRule>
    <cfRule type="cellIs" priority="5" operator="equal" dxfId="1" stopIfTrue="1">
      <formula>"En Proceso"</formula>
    </cfRule>
    <cfRule type="cellIs" priority="6" operator="equal" dxfId="1" stopIfTrue="1">
      <formula>"Pedido"</formula>
    </cfRule>
    <cfRule type="cellIs" priority="7" operator="equal" dxfId="2" stopIfTrue="1">
      <formula>"Pendiente"</formula>
    </cfRule>
  </conditionalFormatting>
  <conditionalFormatting sqref="S16:S37">
    <cfRule type="expression" priority="8" dxfId="3" stopIfTrue="1">
      <formula>=AND(ISNUMBER($S16),$S16&lt;0)</formula>
    </cfRule>
  </conditionalFormatting>
  <conditionalFormatting sqref="P16:P37">
    <cfRule type="expression" priority="9" dxfId="3" stopIfTrue="1">
      <formula>=AND(ISNUMBER($P16),$P16&gt;$C$10)</formula>
    </cfRule>
  </conditionalFormatting>
  <conditionalFormatting sqref="I55">
    <cfRule type="expression" priority="10" dxfId="3" stopIfTrue="1">
      <formula>=AND(ISNUMBER($I$55),$I$55&lt;0)</formula>
    </cfRule>
  </conditionalFormatting>
  <conditionalFormatting sqref="I50">
    <cfRule type="expression" priority="11" dxfId="3" stopIfTrue="1">
      <formula>=AND(ISNUMBER($I$50),OR($I$50&gt;$C$10,$I$50&lt;-$C$10))</formula>
    </cfRule>
  </conditionalFormatting>
  <dataValidations count="6">
    <dataValidation sqref="A16 A17 A18 A19 A20 A21 A22 A23 A24 A25 A26 A27 A28 A29 A30 A31 A32 A33 A34 A35 A36 A37" showDropDown="0" showInputMessage="0" showErrorMessage="1" allowBlank="0" errorTitle="Estado no válido" error="Elige un estado de la lista de la propia hoja: Pendiente, Presupuestado, Pedido, Recibido, Instalado o N/A." type="list">
      <formula1>$A$61:$A$66</formula1>
    </dataValidation>
    <dataValidation sqref="O16 O17 O18 O19 O20 O21 O22 O23 O24 O25 O26 O27 O28 O29 O30 O31 O32 O33 O34 O35 O36 O37" showDropDown="0" showInputMessage="0" showErrorMessage="1" allowBlank="1" errorTitle="Precio negociado" error="Escribe el precio SIN IVA, en euros." type="decimal" operator="greaterThanOrEqual">
      <formula1>0</formula1>
    </dataValidation>
    <dataValidation sqref="R16 R17 R18 R19 R20 R21 R22 R23 R24 R25 R26 R27 R28 R29 R30 R31 R32 R33 R34 R35 R36 R37" showDropDown="0" showInputMessage="0" showErrorMessage="1" allowBlank="1" errorTitle="Plazo de entrega" error="Escribe el plazo en SEMANAS (0 a 104)." type="decimal" operator="between">
      <formula1>0</formula1>
      <formula2>104</formula2>
    </dataValidation>
    <dataValidation sqref="C7 C8 C10"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C9" showDropDown="0" showInputMessage="0" showErrorMessage="1" allowBlank="1" errorTitle="CAPEX del libro 2" error="Escribe el total SIN IVA, en euros." type="decimal" operator="greaterThanOrEqual">
      <formula1>0</formula1>
    </dataValidation>
    <dataValidation sqref="C11 C12" showDropDown="0" showInputMessage="0" showErrorMessage="1" allowBlank="1" errorTitle="Semanas" error="Escribe un número de semanas (0 a 104)." type="decimal" operator="between">
      <formula1>0</formula1>
      <formula2>104</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56"/>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16" customWidth="1" min="3" max="3"/>
    <col width="11"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6" customWidth="1" min="12" max="12"/>
    <col width="62" customWidth="1" min="13" max="13"/>
  </cols>
  <sheetData>
    <row r="1" ht="30" customHeight="1">
      <c r="A1" s="1" t="inlineStr">
        <is>
          <t>Qué Equipo Pide Cada Variante de Formato</t>
        </is>
      </c>
    </row>
    <row r="2">
      <c r="A2" t="inlineStr">
        <is>
          <t>AI Chef Pro · aichef.pro — Cómo Montar una Pastelería</t>
        </is>
      </c>
    </row>
    <row r="3" ht="28" customHeight="1">
      <c r="A3" s="7" t="inlineStr">
        <is>
          <t>La dotación completa es la del local con venta. Las otras seis variantes se leen como desviaciones sobre ella: qué línea te sobra y qué línea te falta.</t>
        </is>
      </c>
    </row>
    <row r="4"/>
    <row r="5">
      <c r="A5" s="3" t="inlineStr">
        <is>
          <t>Elige la variante que vas a montar</t>
        </is>
      </c>
    </row>
    <row r="6">
      <c r="A6" s="9" t="inlineStr">
        <is>
          <t>Variante que vas a montar</t>
        </is>
      </c>
      <c r="C6" s="5" t="inlineStr">
        <is>
          <t>Local con venta (caso base)</t>
        </is>
      </c>
      <c r="E6" s="7" t="inlineStr">
        <is>
          <t>Desplegable contra la lista de más abajo. Viene con el caso base porque es el de «La Clara»; cámbialo por el tuyo.</t>
        </is>
      </c>
    </row>
    <row r="7" ht="24" customHeight="1">
      <c r="A7" s="9" t="inlineStr">
        <is>
          <t>Líneas de equipamiento que necesitas</t>
        </is>
      </c>
      <c r="C7" s="16">
        <f>IFERROR(INDEX($E$38:$K$38,MATCH($C$6,$E$15:$K$15,0)),"")</f>
        <v>19.0</v>
      </c>
      <c r="E7" s="7" t="inlineStr">
        <is>
          <t>Sólo las marcadas «Sí». Las «Depende» no se cuentan: son las que tienes que decidir tú.</t>
        </is>
      </c>
    </row>
    <row r="8" ht="24" customHeight="1">
      <c r="A8" s="9" t="inlineStr">
        <is>
          <t>Inversión de referencia de esa variante (€, sin IVA)</t>
        </is>
      </c>
      <c r="C8" s="17">
        <f>IFERROR(INDEX($E$39:$K$39,MATCH($C$6,$E$15:$K$15,0)),"")</f>
        <v>66980.33834710743</v>
      </c>
      <c r="E8" s="7" t="inlineStr">
        <is>
          <t>Suma del precio de referencia sin IVA de las líneas marcadas «Sí». No incluye obra, licencias ni fondo de maniobra: eso es el libro 2.</t>
        </is>
      </c>
    </row>
    <row r="9" ht="24" customHeight="1">
      <c r="A9" s="9" t="inlineStr">
        <is>
          <t>Inversión de referencia del caso base (€, sin IVA)</t>
        </is>
      </c>
      <c r="C9" s="17">
        <f>$G$39</f>
        <v>66980.33834710743</v>
      </c>
      <c r="E9" s="7" t="inlineStr">
        <is>
          <t>El local con venta, que es el caso de «La Clara».</t>
        </is>
      </c>
    </row>
    <row r="10" ht="24" customHeight="1">
      <c r="A10" s="9" t="inlineStr">
        <is>
          <t>Diferencia contra el caso base (€)</t>
        </is>
      </c>
      <c r="C10" s="17">
        <f>IFERROR(IF($C$8="","",$C$8-$C$9),"")</f>
        <v>0.0</v>
      </c>
      <c r="E10" s="7" t="inlineStr">
        <is>
          <t>Negativo = tu variante necesita menos equipo que el caso base.</t>
        </is>
      </c>
    </row>
    <row r="11" ht="24" customHeight="1">
      <c r="A11" s="9" t="inlineStr">
        <is>
          <t>Líneas del caso base que a ti te sobran</t>
        </is>
      </c>
      <c r="C11" s="16">
        <f>SUMPRODUCT(--($L$16:$L$37&lt;&gt;$C$43),--($G$16:$G$37=$C$43))</f>
        <v>0.0</v>
      </c>
      <c r="E11" s="7" t="inlineStr">
        <is>
          <t>Están en la dotación completa y tu formato no las pide.</t>
        </is>
      </c>
    </row>
    <row r="12" ht="24" customHeight="1">
      <c r="A12" s="9" t="inlineStr">
        <is>
          <t>Líneas que te faltan respecto del caso base</t>
        </is>
      </c>
      <c r="C12" s="16">
        <f>SUMPRODUCT(--($L$16:$L$37=$C$43),--($G$16:$G$37&lt;&gt;$C$43))</f>
        <v>0.0</v>
      </c>
      <c r="E12" s="7" t="inlineStr">
        <is>
          <t>Las pide tu formato y no están en el caso base.</t>
        </is>
      </c>
    </row>
    <row r="13"/>
    <row r="14">
      <c r="A14" s="3" t="inlineStr">
        <is>
          <t>Qué pide cada variante, línea a línea</t>
        </is>
      </c>
    </row>
    <row r="15" ht="52" customHeight="1">
      <c r="A15" s="8" t="inlineStr">
        <is>
          <t>Nº</t>
        </is>
      </c>
      <c r="B15" s="8" t="inlineStr">
        <is>
          <t>Partida</t>
        </is>
      </c>
      <c r="C15" s="8" t="inlineStr">
        <is>
          <t>Precio de referencia sin IVA (€)</t>
        </is>
      </c>
      <c r="D15" s="8" t="inlineStr">
        <is>
          <t>Prioridad</t>
        </is>
      </c>
      <c r="E15" s="8" t="inlineStr">
        <is>
          <t>Obrador en casa</t>
        </is>
      </c>
      <c r="F15" s="8" t="inlineStr">
        <is>
          <t>Obrador a puerta cerrada</t>
        </is>
      </c>
      <c r="G15" s="8" t="inlineStr">
        <is>
          <t>Local con venta (caso base)</t>
        </is>
      </c>
      <c r="H15" s="8" t="inlineStr">
        <is>
          <t>Cafetería-pastelería</t>
        </is>
      </c>
      <c r="I15" s="8" t="inlineStr">
        <is>
          <t>Punto caliente</t>
        </is>
      </c>
      <c r="J15" s="8" t="inlineStr">
        <is>
          <t>Obrador B2B para hostelería</t>
        </is>
      </c>
      <c r="K15" s="8" t="inlineStr">
        <is>
          <t>Sin salida de humos</t>
        </is>
      </c>
      <c r="L15" s="8" t="inlineStr">
        <is>
          <t>¿La necesitas tú?</t>
        </is>
      </c>
      <c r="M15" s="8" t="inlineStr">
        <is>
          <t>Por qué</t>
        </is>
      </c>
    </row>
    <row r="16" ht="30" customHeight="1">
      <c r="A16" s="13" t="n">
        <v>1</v>
      </c>
      <c r="B16" s="4" t="inlineStr">
        <is>
          <t>Horno de convección, 6 bandejas</t>
        </is>
      </c>
      <c r="C16" s="14">
        <f>'Equipamiento'!$L$16</f>
        <v>2772.0</v>
      </c>
      <c r="D16" t="str">
        <f>'Equipamiento'!$H$16</f>
        <v>Crítico</v>
      </c>
      <c r="E16" s="20" t="inlineStr">
        <is>
          <t>No</t>
        </is>
      </c>
      <c r="F16" s="20" t="inlineStr">
        <is>
          <t>Sí</t>
        </is>
      </c>
      <c r="G16" s="20" t="inlineStr">
        <is>
          <t>Sí</t>
        </is>
      </c>
      <c r="H16" s="20" t="inlineStr">
        <is>
          <t>Sí</t>
        </is>
      </c>
      <c r="I16" s="20" t="inlineStr">
        <is>
          <t>Sí</t>
        </is>
      </c>
      <c r="J16" s="20" t="inlineStr">
        <is>
          <t>Sí</t>
        </is>
      </c>
      <c r="K16" s="20" t="inlineStr">
        <is>
          <t>Sí</t>
        </is>
      </c>
      <c r="L16" s="21" t="str">
        <f>IFERROR(INDEX($E16:$K16,MATCH($C$6,$E$15:$K$15,0)),"")</f>
        <v>Sí</v>
      </c>
      <c r="M16" s="4" t="inlineStr">
        <is>
          <t>Precio publicado CON IVA en la ficha del distribuidor.</t>
        </is>
      </c>
    </row>
    <row r="17" ht="30" customHeight="1">
      <c r="A17" s="13" t="n">
        <v>2</v>
      </c>
      <c r="B17" s="4" t="inlineStr">
        <is>
          <t>Horno de convección, 4 bandejas</t>
        </is>
      </c>
      <c r="C17" s="14">
        <f>'Equipamiento'!$L$17</f>
        <v>2077.198347107438</v>
      </c>
      <c r="D17" t="str">
        <f>'Equipamiento'!$H$17</f>
        <v>Crítico</v>
      </c>
      <c r="E17" s="20" t="inlineStr">
        <is>
          <t>No</t>
        </is>
      </c>
      <c r="F17" s="20" t="inlineStr">
        <is>
          <t>Depende</t>
        </is>
      </c>
      <c r="G17" s="20" t="inlineStr">
        <is>
          <t>Sí</t>
        </is>
      </c>
      <c r="H17" s="20" t="inlineStr">
        <is>
          <t>Sí</t>
        </is>
      </c>
      <c r="I17" s="20" t="inlineStr">
        <is>
          <t>Depende</t>
        </is>
      </c>
      <c r="J17" s="20" t="inlineStr">
        <is>
          <t>Sí</t>
        </is>
      </c>
      <c r="K17" s="20" t="inlineStr">
        <is>
          <t>Sí</t>
        </is>
      </c>
      <c r="L17" s="21" t="str">
        <f>IFERROR(INDEX($E17:$K17,MATCH($C$6,$E$15:$K$15,0)),"")</f>
        <v>Sí</v>
      </c>
      <c r="M17" s="4" t="inlineStr">
        <is>
          <t>Segundo horno: sin él no hay dos cocciones a distinta temperatura a la vez.</t>
        </is>
      </c>
    </row>
    <row r="18" ht="30" customHeight="1">
      <c r="A18" s="13" t="n">
        <v>3</v>
      </c>
      <c r="B18" s="4" t="inlineStr">
        <is>
          <t>Vitrina expositora pastelera refrigerada curva</t>
        </is>
      </c>
      <c r="C18" s="14">
        <f>'Equipamiento'!$L$18</f>
        <v>2284.1</v>
      </c>
      <c r="D18" t="str">
        <f>'Equipamiento'!$H$18</f>
        <v>Crítico</v>
      </c>
      <c r="E18" s="20" t="inlineStr">
        <is>
          <t>No</t>
        </is>
      </c>
      <c r="F18" s="20" t="inlineStr">
        <is>
          <t>No</t>
        </is>
      </c>
      <c r="G18" s="20" t="inlineStr">
        <is>
          <t>Sí</t>
        </is>
      </c>
      <c r="H18" s="20" t="inlineStr">
        <is>
          <t>Sí</t>
        </is>
      </c>
      <c r="I18" s="20" t="inlineStr">
        <is>
          <t>Sí</t>
        </is>
      </c>
      <c r="J18" s="20" t="inlineStr">
        <is>
          <t>No</t>
        </is>
      </c>
      <c r="K18" s="20" t="inlineStr">
        <is>
          <t>Sí</t>
        </is>
      </c>
      <c r="L18" s="21" t="str">
        <f>IFERROR(INDEX($E18:$K18,MATCH($C$6,$E$15:$K$15,0)),"")</f>
        <v>Sí</v>
      </c>
      <c r="M18" s="4" t="inlineStr">
        <is>
          <t>1505x900x1305 mm, 452 L, 0,93 m² de exposición, R-290. El precio lleva un descuento de campaña del 30 % sobre un PVP de 3.263,00 €: es un precio FECHADO el 10-09-2026 y puede caducar. Si lo reutilizas, vuelve a mirarlo (D17). Una sola vitrina, contada una sola vez.</t>
        </is>
      </c>
    </row>
    <row r="19" ht="30" customHeight="1">
      <c r="A19" s="13" t="n">
        <v>4</v>
      </c>
      <c r="B19" s="4" t="inlineStr">
        <is>
          <t>Puertas correderas traseras para la vitrina</t>
        </is>
      </c>
      <c r="C19" s="14">
        <f>'Equipamiento'!$L$19</f>
        <v>120.4</v>
      </c>
      <c r="D19" t="str">
        <f>'Equipamiento'!$H$19</f>
        <v>Opcional</v>
      </c>
      <c r="E19" s="20" t="inlineStr">
        <is>
          <t>No</t>
        </is>
      </c>
      <c r="F19" s="20" t="inlineStr">
        <is>
          <t>No</t>
        </is>
      </c>
      <c r="G19" s="20" t="inlineStr">
        <is>
          <t>Depende</t>
        </is>
      </c>
      <c r="H19" s="20" t="inlineStr">
        <is>
          <t>Depende</t>
        </is>
      </c>
      <c r="I19" s="20" t="inlineStr">
        <is>
          <t>Depende</t>
        </is>
      </c>
      <c r="J19" s="20" t="inlineStr">
        <is>
          <t>No</t>
        </is>
      </c>
      <c r="K19" s="20" t="inlineStr">
        <is>
          <t>Depende</t>
        </is>
      </c>
      <c r="L19" s="21" t="str">
        <f>IFERROR(INDEX($E19:$K19,MATCH($C$6,$E$15:$K$15,0)),"")</f>
        <v>Depende</v>
      </c>
      <c r="M19" s="4" t="inlineStr">
        <is>
          <t>Accesorio: no entra en el subtotal comparable de la dotación tipo.</t>
        </is>
      </c>
    </row>
    <row r="20" ht="30" customHeight="1">
      <c r="A20" s="13" t="n">
        <v>5</v>
      </c>
      <c r="B20" s="4" t="inlineStr">
        <is>
          <t>Abatidor de temperatura, 4 bandejas</t>
        </is>
      </c>
      <c r="C20" s="14">
        <f>'Equipamiento'!$L$20</f>
        <v>10037.0</v>
      </c>
      <c r="D20" t="str">
        <f>'Equipamiento'!$H$20</f>
        <v>Crítico</v>
      </c>
      <c r="E20" s="20" t="inlineStr">
        <is>
          <t>No</t>
        </is>
      </c>
      <c r="F20" s="20" t="inlineStr">
        <is>
          <t>Sí</t>
        </is>
      </c>
      <c r="G20" s="20" t="inlineStr">
        <is>
          <t>Sí</t>
        </is>
      </c>
      <c r="H20" s="20" t="inlineStr">
        <is>
          <t>Sí</t>
        </is>
      </c>
      <c r="I20" s="20" t="inlineStr">
        <is>
          <t>No</t>
        </is>
      </c>
      <c r="J20" s="20" t="inlineStr">
        <is>
          <t>Sí</t>
        </is>
      </c>
      <c r="K20" s="20" t="inlineStr">
        <is>
          <t>Sí</t>
        </is>
      </c>
      <c r="L20" s="21" t="str">
        <f>IFERROR(INDEX($E20:$K20,MATCH($C$6,$E$15:$K$15,0)),"")</f>
        <v>Sí</v>
      </c>
      <c r="M20" s="4" t="inlineStr">
        <is>
          <t>La compra más cara y la que más se discute (decisión 2 del bonus 2). Ciclos de +85 °C a -40 °C. Un arcón doméstico NO vale como abatidor: el art. 5 del RD 1021/2022 exige potencia suficiente para llegar a -18 °C en el centro con un descenso ininterrumpido (PA-13).</t>
        </is>
      </c>
    </row>
    <row r="21" ht="30" customHeight="1">
      <c r="A21" s="13" t="n">
        <v>6</v>
      </c>
      <c r="B21" s="4" t="inlineStr">
        <is>
          <t>Laminadora automática de masa, hasta 40 cm</t>
        </is>
      </c>
      <c r="C21" s="14">
        <f>'Equipamiento'!$L$21</f>
        <v>1215.0</v>
      </c>
      <c r="D21" t="str">
        <f>'Equipamiento'!$H$21</f>
        <v>Crítico</v>
      </c>
      <c r="E21" s="20" t="inlineStr">
        <is>
          <t>No</t>
        </is>
      </c>
      <c r="F21" s="20" t="inlineStr">
        <is>
          <t>Sí</t>
        </is>
      </c>
      <c r="G21" s="20" t="inlineStr">
        <is>
          <t>Sí</t>
        </is>
      </c>
      <c r="H21" s="20" t="inlineStr">
        <is>
          <t>Sí</t>
        </is>
      </c>
      <c r="I21" s="20" t="inlineStr">
        <is>
          <t>No</t>
        </is>
      </c>
      <c r="J21" s="20" t="inlineStr">
        <is>
          <t>Sí</t>
        </is>
      </c>
      <c r="K21" s="20" t="inlineStr">
        <is>
          <t>Sí</t>
        </is>
      </c>
      <c r="L21" s="21" t="str">
        <f>IFERROR(INDEX($E21:$K21,MATCH($C$6,$E$15:$K$15,0)),"")</f>
        <v>Sí</v>
      </c>
      <c r="M21" s="4" t="inlineStr">
        <is>
          <t>1.215,00 € sin IVA / 1.470,15 € con IVA, según la propia ficha.</t>
        </is>
      </c>
    </row>
    <row r="22" ht="30" customHeight="1">
      <c r="A22" s="13" t="n">
        <v>7</v>
      </c>
      <c r="B22" s="4" t="inlineStr">
        <is>
          <t>Batidora planetaria, 20 L</t>
        </is>
      </c>
      <c r="C22" s="14">
        <f>'Equipamiento'!$L$22</f>
        <v>595.04</v>
      </c>
      <c r="D22" t="str">
        <f>'Equipamiento'!$H$22</f>
        <v>Crítico</v>
      </c>
      <c r="E22" s="20" t="inlineStr">
        <is>
          <t>Depende</t>
        </is>
      </c>
      <c r="F22" s="20" t="inlineStr">
        <is>
          <t>Sí</t>
        </is>
      </c>
      <c r="G22" s="20" t="inlineStr">
        <is>
          <t>Sí</t>
        </is>
      </c>
      <c r="H22" s="20" t="inlineStr">
        <is>
          <t>Sí</t>
        </is>
      </c>
      <c r="I22" s="20" t="inlineStr">
        <is>
          <t>No</t>
        </is>
      </c>
      <c r="J22" s="20" t="inlineStr">
        <is>
          <t>Sí</t>
        </is>
      </c>
      <c r="K22" s="20" t="inlineStr">
        <is>
          <t>Sí</t>
        </is>
      </c>
      <c r="L22" s="21" t="str">
        <f>IFERROR(INDEX($E22:$K22,MATCH($C$6,$E$15:$K$15,0)),"")</f>
        <v>Sí</v>
      </c>
      <c r="M22" s="4" t="inlineStr">
        <is>
          <t>900 W, 95-392 rpm, temporizador 0-99 min. La ficha NO declara si el precio lleva IVA: se trata como base imponible y se marca. Es exactamente el caso que obliga a tener la columna.</t>
        </is>
      </c>
    </row>
    <row r="23" ht="30" customHeight="1">
      <c r="A23" s="13" t="n">
        <v>8</v>
      </c>
      <c r="B23" s="4" t="inlineStr">
        <is>
          <t>Atemperadora de chocolate, 12 kg</t>
        </is>
      </c>
      <c r="C23" s="14">
        <f>'Equipamiento'!$L$23</f>
        <v>7400.0</v>
      </c>
      <c r="D23" t="str">
        <f>'Equipamiento'!$H$23</f>
        <v>Opcional</v>
      </c>
      <c r="E23" s="20" t="inlineStr">
        <is>
          <t>No</t>
        </is>
      </c>
      <c r="F23" s="20" t="inlineStr">
        <is>
          <t>Depende</t>
        </is>
      </c>
      <c r="G23" s="20" t="inlineStr">
        <is>
          <t>Depende</t>
        </is>
      </c>
      <c r="H23" s="20" t="inlineStr">
        <is>
          <t>Depende</t>
        </is>
      </c>
      <c r="I23" s="20" t="inlineStr">
        <is>
          <t>No</t>
        </is>
      </c>
      <c r="J23" s="20" t="inlineStr">
        <is>
          <t>Depende</t>
        </is>
      </c>
      <c r="K23" s="20" t="inlineStr">
        <is>
          <t>Depende</t>
        </is>
      </c>
      <c r="L23" s="21" t="str">
        <f>IFERROR(INDEX($E23:$K23,MATCH($C$6,$E$15:$K$15,0)),"")</f>
        <v>Depende</v>
      </c>
      <c r="M23" s="4" t="inlineStr">
        <is>
          <t>OPCIONAL según el concepto: sólo si abres línea de bombonería o chocolatería. Por eso queda FUERA del subtotal comparable de la dotación tipo (D17): con ella dentro, un solo equipo era el 25 % del subtotal.</t>
        </is>
      </c>
    </row>
    <row r="24" ht="30" customHeight="1">
      <c r="A24" s="13" t="n">
        <v>9</v>
      </c>
      <c r="B24" s="4" t="inlineStr">
        <is>
          <t>Horno de pisos modular (deck)</t>
        </is>
      </c>
      <c r="C24" s="14">
        <f>'Equipamiento'!$L$24</f>
        <v>12000.0</v>
      </c>
      <c r="D24" t="str">
        <f>'Equipamiento'!$H$24</f>
        <v>Opcional</v>
      </c>
      <c r="E24" s="20" t="inlineStr">
        <is>
          <t>No</t>
        </is>
      </c>
      <c r="F24" s="20" t="inlineStr">
        <is>
          <t>Depende</t>
        </is>
      </c>
      <c r="G24" s="20" t="inlineStr">
        <is>
          <t>Depende</t>
        </is>
      </c>
      <c r="H24" s="20" t="inlineStr">
        <is>
          <t>Depende</t>
        </is>
      </c>
      <c r="I24" s="20" t="inlineStr">
        <is>
          <t>No</t>
        </is>
      </c>
      <c r="J24" s="20" t="inlineStr">
        <is>
          <t>Sí</t>
        </is>
      </c>
      <c r="K24" s="20" t="inlineStr">
        <is>
          <t>Depende</t>
        </is>
      </c>
      <c r="L24" s="21" t="str">
        <f>IFERROR(INDEX($E24:$K24,MATCH($C$6,$E$15:$K$15,0)),"")</f>
        <v>Depende</v>
      </c>
      <c r="M24" s="4" t="inlineStr">
        <is>
          <t>Salva vende por distribuidor y presupuesto: no hay precio publicado. Bongard, Wiesheu, Miwe y Sveba Dahlen, igual. El valor por defecto es un SUPUESTO para que la celda no quede vacía: pide tres presupuestos.</t>
        </is>
      </c>
    </row>
    <row r="25" ht="30" customHeight="1">
      <c r="A25" s="13" t="n">
        <v>10</v>
      </c>
      <c r="B25" s="4" t="inlineStr">
        <is>
          <t>Cámara de fermentación controlada (roll-in)</t>
        </is>
      </c>
      <c r="C25" s="14">
        <f>'Equipamiento'!$L$25</f>
        <v>8500.0</v>
      </c>
      <c r="D25" t="str">
        <f>'Equipamiento'!$H$25</f>
        <v>Crítico</v>
      </c>
      <c r="E25" s="20" t="inlineStr">
        <is>
          <t>No</t>
        </is>
      </c>
      <c r="F25" s="20" t="inlineStr">
        <is>
          <t>Sí</t>
        </is>
      </c>
      <c r="G25" s="20" t="inlineStr">
        <is>
          <t>Sí</t>
        </is>
      </c>
      <c r="H25" s="20" t="inlineStr">
        <is>
          <t>Sí</t>
        </is>
      </c>
      <c r="I25" s="20" t="inlineStr">
        <is>
          <t>No</t>
        </is>
      </c>
      <c r="J25" s="20" t="inlineStr">
        <is>
          <t>Sí</t>
        </is>
      </c>
      <c r="K25" s="20" t="inlineStr">
        <is>
          <t>Sí</t>
        </is>
      </c>
      <c r="L25" s="21" t="str">
        <f>IFERROR(INDEX($E25:$K25,MATCH($C$6,$E$15:$K$15,0)),"")</f>
        <v>Sí</v>
      </c>
      <c r="M25" s="4" t="inlineStr">
        <is>
          <t>PS-83 da un RANGO de categoría (hasta 19.438 € en la gama alta), no una ficha de producto: no es un precio. El valor por defecto es supuesto. Es lo que permite que la bollería esté horneada a las 7:00 sin entrar a las 3.</t>
        </is>
      </c>
    </row>
    <row r="26" ht="30" customHeight="1">
      <c r="A26" s="13" t="n">
        <v>11</v>
      </c>
      <c r="B26" s="4" t="inlineStr">
        <is>
          <t>Conducto de extracción de humos en acero inoxidable</t>
        </is>
      </c>
      <c r="C26" s="14">
        <f>'Equipamiento'!$L$26</f>
        <v>6500.0</v>
      </c>
      <c r="D26" t="str">
        <f>'Equipamiento'!$H$26</f>
        <v>Crítico</v>
      </c>
      <c r="E26" s="20" t="inlineStr">
        <is>
          <t>No</t>
        </is>
      </c>
      <c r="F26" s="20" t="inlineStr">
        <is>
          <t>Sí</t>
        </is>
      </c>
      <c r="G26" s="20" t="inlineStr">
        <is>
          <t>Sí</t>
        </is>
      </c>
      <c r="H26" s="20" t="inlineStr">
        <is>
          <t>Sí</t>
        </is>
      </c>
      <c r="I26" s="20" t="inlineStr">
        <is>
          <t>Depende</t>
        </is>
      </c>
      <c r="J26" s="20" t="inlineStr">
        <is>
          <t>Sí</t>
        </is>
      </c>
      <c r="K26" s="20" t="inlineStr">
        <is>
          <t>No</t>
        </is>
      </c>
      <c r="L26" s="21" t="str">
        <f>IFERROR(INDEX($E26:$K26,MATCH($C$6,$E$15:$K$15,0)),"")</f>
        <v>Sí</v>
      </c>
      <c r="M26" s="4" t="inlineStr">
        <is>
          <t>PS-84 dice «puede superar los 6.000 €»: es una frase, no un presupuesto. La partida que más locales tumba, y la que hay que resolver ANTES de firmar (cap. 06). El aire de la campana es categoría AE4 del RITE y no puede compartir conducto con el del despacho (PA-07b).</t>
        </is>
      </c>
    </row>
    <row r="27" ht="30" customHeight="1">
      <c r="A27" s="13" t="n">
        <v>12</v>
      </c>
      <c r="B27" s="4" t="inlineStr">
        <is>
          <t>Amasadora de espiral, 25 kg</t>
        </is>
      </c>
      <c r="C27" s="14">
        <f>'Equipamiento'!$L$27</f>
        <v>5200.0</v>
      </c>
      <c r="D27" t="str">
        <f>'Equipamiento'!$H$27</f>
        <v>Crítico</v>
      </c>
      <c r="E27" s="20" t="inlineStr">
        <is>
          <t>No</t>
        </is>
      </c>
      <c r="F27" s="20" t="inlineStr">
        <is>
          <t>Sí</t>
        </is>
      </c>
      <c r="G27" s="20" t="inlineStr">
        <is>
          <t>Sí</t>
        </is>
      </c>
      <c r="H27" s="20" t="inlineStr">
        <is>
          <t>Sí</t>
        </is>
      </c>
      <c r="I27" s="20" t="inlineStr">
        <is>
          <t>No</t>
        </is>
      </c>
      <c r="J27" s="20" t="inlineStr">
        <is>
          <t>Sí</t>
        </is>
      </c>
      <c r="K27" s="20" t="inlineStr">
        <is>
          <t>Sí</t>
        </is>
      </c>
      <c r="L27" s="21" t="str">
        <f>IFERROR(INDEX($E27:$K27,MATCH($C$6,$E$15:$K$15,0)),"")</f>
        <v>Sí</v>
      </c>
      <c r="M27" s="4" t="inlineStr">
        <is>
          <t>PS-75 da 4.000-8.000 € para «amasadora industrial», pero es un rango sin marca ni modelo: se usa como orden de magnitud, no como precio.</t>
        </is>
      </c>
    </row>
    <row r="28" ht="30" customHeight="1">
      <c r="A28" s="13" t="n">
        <v>13</v>
      </c>
      <c r="B28" s="4" t="inlineStr">
        <is>
          <t>Cámara frigorífica modular de conservación (8 m³)</t>
        </is>
      </c>
      <c r="C28" s="14">
        <f>'Equipamiento'!$L$28</f>
        <v>4800.0</v>
      </c>
      <c r="D28" t="str">
        <f>'Equipamiento'!$H$28</f>
        <v>Crítico</v>
      </c>
      <c r="E28" s="20" t="inlineStr">
        <is>
          <t>No</t>
        </is>
      </c>
      <c r="F28" s="20" t="inlineStr">
        <is>
          <t>Sí</t>
        </is>
      </c>
      <c r="G28" s="20" t="inlineStr">
        <is>
          <t>Sí</t>
        </is>
      </c>
      <c r="H28" s="20" t="inlineStr">
        <is>
          <t>Sí</t>
        </is>
      </c>
      <c r="I28" s="20" t="inlineStr">
        <is>
          <t>Depende</t>
        </is>
      </c>
      <c r="J28" s="20" t="inlineStr">
        <is>
          <t>Sí</t>
        </is>
      </c>
      <c r="K28" s="20" t="inlineStr">
        <is>
          <t>Sí</t>
        </is>
      </c>
      <c r="L28" s="21" t="str">
        <f>IFERROR(INDEX($E28:$K28,MATCH($C$6,$E$15:$K$15,0)),"")</f>
        <v>Sí</v>
      </c>
      <c r="M28" s="4" t="inlineStr">
        <is>
          <t>Es la que sostiene los 4 °C de la fila 9 del art. 4.1 (PA-12).</t>
        </is>
      </c>
    </row>
    <row r="29" ht="30" customHeight="1">
      <c r="A29" s="13" t="n">
        <v>14</v>
      </c>
      <c r="B29" s="4" t="inlineStr">
        <is>
          <t>Armario de congelación -18 °C</t>
        </is>
      </c>
      <c r="C29" s="14">
        <f>'Equipamiento'!$L$29</f>
        <v>1900.0</v>
      </c>
      <c r="D29" t="str">
        <f>'Equipamiento'!$H$29</f>
        <v>Crítico</v>
      </c>
      <c r="E29" s="20" t="inlineStr">
        <is>
          <t>Depende</t>
        </is>
      </c>
      <c r="F29" s="20" t="inlineStr">
        <is>
          <t>Sí</t>
        </is>
      </c>
      <c r="G29" s="20" t="inlineStr">
        <is>
          <t>Sí</t>
        </is>
      </c>
      <c r="H29" s="20" t="inlineStr">
        <is>
          <t>Sí</t>
        </is>
      </c>
      <c r="I29" s="20" t="inlineStr">
        <is>
          <t>Sí</t>
        </is>
      </c>
      <c r="J29" s="20" t="inlineStr">
        <is>
          <t>Sí</t>
        </is>
      </c>
      <c r="K29" s="20" t="inlineStr">
        <is>
          <t>Sí</t>
        </is>
      </c>
      <c r="L29" s="21" t="str">
        <f>IFERROR(INDEX($E29:$K29,MATCH($C$6,$E$15:$K$15,0)),"")</f>
        <v>Sí</v>
      </c>
      <c r="M29" s="4" t="inlineStr">
        <is>
          <t>CONSERVA congelado; no congela. No sustituye al abatidor (art. 5 del RD 1021/2022, PA-13).</t>
        </is>
      </c>
    </row>
    <row r="30" ht="30" customHeight="1">
      <c r="A30" s="13" t="n">
        <v>15</v>
      </c>
      <c r="B30" s="4" t="inlineStr">
        <is>
          <t>Mesa de trabajo refrigerada con cajones (2 m)</t>
        </is>
      </c>
      <c r="C30" s="14">
        <f>'Equipamiento'!$L$30</f>
        <v>2400.0</v>
      </c>
      <c r="D30" t="str">
        <f>'Equipamiento'!$H$30</f>
        <v>Crítico</v>
      </c>
      <c r="E30" s="20" t="inlineStr">
        <is>
          <t>No</t>
        </is>
      </c>
      <c r="F30" s="20" t="inlineStr">
        <is>
          <t>Sí</t>
        </is>
      </c>
      <c r="G30" s="20" t="inlineStr">
        <is>
          <t>Sí</t>
        </is>
      </c>
      <c r="H30" s="20" t="inlineStr">
        <is>
          <t>Sí</t>
        </is>
      </c>
      <c r="I30" s="20" t="inlineStr">
        <is>
          <t>No</t>
        </is>
      </c>
      <c r="J30" s="20" t="inlineStr">
        <is>
          <t>Sí</t>
        </is>
      </c>
      <c r="K30" s="20" t="inlineStr">
        <is>
          <t>Sí</t>
        </is>
      </c>
      <c r="L30" s="21" t="str">
        <f>IFERROR(INDEX($E30:$K30,MATCH($C$6,$E$15:$K$15,0)),"")</f>
        <v>Sí</v>
      </c>
      <c r="M30" s="4" t="inlineStr"/>
    </row>
    <row r="31" ht="30" customHeight="1">
      <c r="A31" s="13" t="n">
        <v>16</v>
      </c>
      <c r="B31" s="4" t="inlineStr">
        <is>
          <t>Mesas de acero inoxidable y estanterías (lote)</t>
        </is>
      </c>
      <c r="C31" s="14">
        <f>'Equipamiento'!$L$31</f>
        <v>2800.0</v>
      </c>
      <c r="D31" t="str">
        <f>'Equipamiento'!$H$31</f>
        <v>Crítico</v>
      </c>
      <c r="E31" s="20" t="inlineStr">
        <is>
          <t>Depende</t>
        </is>
      </c>
      <c r="F31" s="20" t="inlineStr">
        <is>
          <t>Sí</t>
        </is>
      </c>
      <c r="G31" s="20" t="inlineStr">
        <is>
          <t>Sí</t>
        </is>
      </c>
      <c r="H31" s="20" t="inlineStr">
        <is>
          <t>Sí</t>
        </is>
      </c>
      <c r="I31" s="20" t="inlineStr">
        <is>
          <t>Sí</t>
        </is>
      </c>
      <c r="J31" s="20" t="inlineStr">
        <is>
          <t>Sí</t>
        </is>
      </c>
      <c r="K31" s="20" t="inlineStr">
        <is>
          <t>Sí</t>
        </is>
      </c>
      <c r="L31" s="21" t="str">
        <f>IFERROR(INDEX($E31:$K31,MATCH($C$6,$E$15:$K$15,0)),"")</f>
        <v>Sí</v>
      </c>
      <c r="M31" s="4" t="inlineStr"/>
    </row>
    <row r="32" ht="30" customHeight="1">
      <c r="A32" s="13" t="n">
        <v>17</v>
      </c>
      <c r="B32" s="4" t="inlineStr">
        <is>
          <t>Fregadero doble y lavamanos no manual de pedal</t>
        </is>
      </c>
      <c r="C32" s="14">
        <f>'Equipamiento'!$L$32</f>
        <v>1400.0</v>
      </c>
      <c r="D32" t="str">
        <f>'Equipamiento'!$H$32</f>
        <v>Crítico</v>
      </c>
      <c r="E32" s="20" t="inlineStr">
        <is>
          <t>Depende</t>
        </is>
      </c>
      <c r="F32" s="20" t="inlineStr">
        <is>
          <t>Sí</t>
        </is>
      </c>
      <c r="G32" s="20" t="inlineStr">
        <is>
          <t>Sí</t>
        </is>
      </c>
      <c r="H32" s="20" t="inlineStr">
        <is>
          <t>Sí</t>
        </is>
      </c>
      <c r="I32" s="20" t="inlineStr">
        <is>
          <t>Sí</t>
        </is>
      </c>
      <c r="J32" s="20" t="inlineStr">
        <is>
          <t>Sí</t>
        </is>
      </c>
      <c r="K32" s="20" t="inlineStr">
        <is>
          <t>Sí</t>
        </is>
      </c>
      <c r="L32" s="21" t="str">
        <f>IFERROR(INDEX($E32:$K32,MATCH($C$6,$E$15:$K$15,0)),"")</f>
        <v>Sí</v>
      </c>
      <c r="M32" s="4" t="inlineStr">
        <is>
          <t>PS-86e: lavamanos NO manual por zona. No es un extra, es un requisito.</t>
        </is>
      </c>
    </row>
    <row r="33" ht="30" customHeight="1">
      <c r="A33" s="13" t="n">
        <v>18</v>
      </c>
      <c r="B33" s="4" t="inlineStr">
        <is>
          <t>Mobiliario de despacho (mostrador, estanterías, rótulo interior)</t>
        </is>
      </c>
      <c r="C33" s="14">
        <f>'Equipamiento'!$L$33</f>
        <v>7500.0</v>
      </c>
      <c r="D33" t="str">
        <f>'Equipamiento'!$H$33</f>
        <v>Crítico</v>
      </c>
      <c r="E33" s="20" t="inlineStr">
        <is>
          <t>No</t>
        </is>
      </c>
      <c r="F33" s="20" t="inlineStr">
        <is>
          <t>No</t>
        </is>
      </c>
      <c r="G33" s="20" t="inlineStr">
        <is>
          <t>Sí</t>
        </is>
      </c>
      <c r="H33" s="20" t="inlineStr">
        <is>
          <t>Sí</t>
        </is>
      </c>
      <c r="I33" s="20" t="inlineStr">
        <is>
          <t>Sí</t>
        </is>
      </c>
      <c r="J33" s="20" t="inlineStr">
        <is>
          <t>No</t>
        </is>
      </c>
      <c r="K33" s="20" t="inlineStr">
        <is>
          <t>Sí</t>
        </is>
      </c>
      <c r="L33" s="21" t="str">
        <f>IFERROR(INDEX($E33:$K33,MATCH($C$6,$E$15:$K$15,0)),"")</f>
        <v>Sí</v>
      </c>
      <c r="M33" s="4" t="inlineStr"/>
    </row>
    <row r="34" ht="30" customHeight="1">
      <c r="A34" s="13" t="n">
        <v>19</v>
      </c>
      <c r="B34" s="4" t="inlineStr">
        <is>
          <t>TPV con software adaptado a Verifactu</t>
        </is>
      </c>
      <c r="C34" s="14">
        <f>'Equipamiento'!$L$34</f>
        <v>1300.0</v>
      </c>
      <c r="D34" t="str">
        <f>'Equipamiento'!$H$34</f>
        <v>Crítico</v>
      </c>
      <c r="E34" s="20" t="inlineStr">
        <is>
          <t>Sí</t>
        </is>
      </c>
      <c r="F34" s="20" t="inlineStr">
        <is>
          <t>Sí</t>
        </is>
      </c>
      <c r="G34" s="20" t="inlineStr">
        <is>
          <t>Sí</t>
        </is>
      </c>
      <c r="H34" s="20" t="inlineStr">
        <is>
          <t>Sí</t>
        </is>
      </c>
      <c r="I34" s="20" t="inlineStr">
        <is>
          <t>Sí</t>
        </is>
      </c>
      <c r="J34" s="20" t="inlineStr">
        <is>
          <t>Sí</t>
        </is>
      </c>
      <c r="K34" s="20" t="inlineStr">
        <is>
          <t>Sí</t>
        </is>
      </c>
      <c r="L34" s="21" t="str">
        <f>IFERROR(INDEX($E34:$K34,MATCH($C$6,$E$15:$K$15,0)),"")</f>
        <v>Sí</v>
      </c>
      <c r="M34" s="4" t="inlineStr">
        <is>
          <t>El software que compres HOY ya tiene que estar adaptado: la obligación del fabricante es anterior a la tuya (PA-37). Y el TPV es el que separa el 10 %, el 4 % y el 21 % de la venta para llevar (PA-36d).</t>
        </is>
      </c>
    </row>
    <row r="35" ht="30" customHeight="1">
      <c r="A35" s="13" t="n">
        <v>20</v>
      </c>
      <c r="B35" s="4" t="inlineStr">
        <is>
          <t>Vitrina o armario expositor de temperatura ambiente</t>
        </is>
      </c>
      <c r="C35" s="14">
        <f>'Equipamiento'!$L$35</f>
        <v>1600.0</v>
      </c>
      <c r="D35" t="str">
        <f>'Equipamiento'!$H$35</f>
        <v>Crítico</v>
      </c>
      <c r="E35" s="20" t="inlineStr">
        <is>
          <t>No</t>
        </is>
      </c>
      <c r="F35" s="20" t="inlineStr">
        <is>
          <t>No</t>
        </is>
      </c>
      <c r="G35" s="20" t="inlineStr">
        <is>
          <t>Sí</t>
        </is>
      </c>
      <c r="H35" s="20" t="inlineStr">
        <is>
          <t>Sí</t>
        </is>
      </c>
      <c r="I35" s="20" t="inlineStr">
        <is>
          <t>Sí</t>
        </is>
      </c>
      <c r="J35" s="20" t="inlineStr">
        <is>
          <t>No</t>
        </is>
      </c>
      <c r="K35" s="20" t="inlineStr">
        <is>
          <t>Sí</t>
        </is>
      </c>
      <c r="L35" s="21" t="str">
        <f>IFERROR(INDEX($E35:$K35,MATCH($C$6,$E$15:$K$15,0)),"")</f>
        <v>Sí</v>
      </c>
      <c r="M35" s="4" t="inlineStr">
        <is>
          <t>Para lo estable a temperatura ambiente: palmeras, Sacher, huesos de santo, turrón y panes. Cuántos metros necesitas de este mueble y cuántos del refrigerado lo decide la hoja de huevo y temperatura del libro 4, no el gusto.</t>
        </is>
      </c>
    </row>
    <row r="36" ht="30" customHeight="1">
      <c r="A36" s="13" t="n">
        <v>21</v>
      </c>
      <c r="B36" s="4" t="inlineStr">
        <is>
          <t>Envasadora, selladora y utillaje de obrador (lote)</t>
        </is>
      </c>
      <c r="C36" s="14">
        <f>'Equipamiento'!$L$36</f>
        <v>3200.0</v>
      </c>
      <c r="D36" t="str">
        <f>'Equipamiento'!$H$36</f>
        <v>Crítico</v>
      </c>
      <c r="E36" s="20" t="inlineStr">
        <is>
          <t>Depende</t>
        </is>
      </c>
      <c r="F36" s="20" t="inlineStr">
        <is>
          <t>Sí</t>
        </is>
      </c>
      <c r="G36" s="20" t="inlineStr">
        <is>
          <t>Sí</t>
        </is>
      </c>
      <c r="H36" s="20" t="inlineStr">
        <is>
          <t>Sí</t>
        </is>
      </c>
      <c r="I36" s="20" t="inlineStr">
        <is>
          <t>Depende</t>
        </is>
      </c>
      <c r="J36" s="20" t="inlineStr">
        <is>
          <t>Sí</t>
        </is>
      </c>
      <c r="K36" s="20" t="inlineStr">
        <is>
          <t>Sí</t>
        </is>
      </c>
      <c r="L36" s="21" t="str">
        <f>IFERROR(INDEX($E36:$K36,MATCH($C$6,$E$15:$K$15,0)),"")</f>
        <v>Sí</v>
      </c>
      <c r="M36" s="4" t="inlineStr"/>
    </row>
    <row r="37" ht="30" customHeight="1">
      <c r="A37" s="13" t="n">
        <v>22</v>
      </c>
      <c r="B37" s="4" t="inlineStr">
        <is>
          <t>Termómetros sonda, básculas y registradores de temperatura</t>
        </is>
      </c>
      <c r="C37" s="14">
        <f>'Equipamiento'!$L$37</f>
        <v>900.0</v>
      </c>
      <c r="D37" t="str">
        <f>'Equipamiento'!$H$37</f>
        <v>Crítico</v>
      </c>
      <c r="E37" s="20" t="inlineStr">
        <is>
          <t>Sí</t>
        </is>
      </c>
      <c r="F37" s="20" t="inlineStr">
        <is>
          <t>Sí</t>
        </is>
      </c>
      <c r="G37" s="20" t="inlineStr">
        <is>
          <t>Sí</t>
        </is>
      </c>
      <c r="H37" s="20" t="inlineStr">
        <is>
          <t>Sí</t>
        </is>
      </c>
      <c r="I37" s="20" t="inlineStr">
        <is>
          <t>Sí</t>
        </is>
      </c>
      <c r="J37" s="20" t="inlineStr">
        <is>
          <t>Sí</t>
        </is>
      </c>
      <c r="K37" s="20" t="inlineStr">
        <is>
          <t>Sí</t>
        </is>
      </c>
      <c r="L37" s="21" t="str">
        <f>IFERROR(INDEX($E37:$K37,MATCH($C$6,$E$15:$K$15,0)),"")</f>
        <v>Sí</v>
      </c>
      <c r="M37" s="4" t="inlineStr">
        <is>
          <t>Sin sonda no puedes demostrar los 70 °C/2 s del art. 9.1.a) y la vía se te cae al ovoproducto. Es la compra más barata con más consecuencias.</t>
        </is>
      </c>
    </row>
    <row r="38">
      <c r="A38" s="9" t="inlineStr">
        <is>
          <t>Líneas marcadas «Sí»</t>
        </is>
      </c>
      <c r="E38" s="16">
        <f>SUMPRODUCT(--($E$16:$E$37=$C$43))</f>
        <v>2.0</v>
      </c>
      <c r="F38" s="16">
        <f>SUMPRODUCT(--($F$16:$F$37=$C$43))</f>
        <v>15.0</v>
      </c>
      <c r="G38" s="16">
        <f>SUMPRODUCT(--($G$16:$G$37=$C$43))</f>
        <v>19.0</v>
      </c>
      <c r="H38" s="16">
        <f>SUMPRODUCT(--($H$16:$H$37=$C$43))</f>
        <v>19.0</v>
      </c>
      <c r="I38" s="16">
        <f>SUMPRODUCT(--($I$16:$I$37=$C$43))</f>
        <v>9.0</v>
      </c>
      <c r="J38" s="16">
        <f>SUMPRODUCT(--($J$16:$J$37=$C$43))</f>
        <v>17.0</v>
      </c>
      <c r="K38" s="16">
        <f>SUMPRODUCT(--($K$16:$K$37=$C$43))</f>
        <v>18.0</v>
      </c>
    </row>
    <row r="39">
      <c r="A39" s="9" t="inlineStr">
        <is>
          <t>Inversión de referencia sin IVA (€)</t>
        </is>
      </c>
      <c r="E39" s="17">
        <f>SUMPRODUCT(--($E$16:$E$37=$C$43),$C$16:$C$37)</f>
        <v>2200.0</v>
      </c>
      <c r="F39" s="17">
        <f>SUMPRODUCT(--($F$16:$F$37=$C$43),$C$16:$C$37)</f>
        <v>53519.04</v>
      </c>
      <c r="G39" s="17">
        <f>SUMPRODUCT(--($G$16:$G$37=$C$43),$C$16:$C$37)</f>
        <v>66980.33834710743</v>
      </c>
      <c r="H39" s="17">
        <f>SUMPRODUCT(--($H$16:$H$37=$C$43),$C$16:$C$37)</f>
        <v>66980.33834710743</v>
      </c>
      <c r="I39" s="17">
        <f>SUMPRODUCT(--($I$16:$I$37=$C$43),$C$16:$C$37)</f>
        <v>22456.1</v>
      </c>
      <c r="J39" s="17">
        <f>SUMPRODUCT(--($J$16:$J$37=$C$43),$C$16:$C$37)</f>
        <v>67596.23834710743</v>
      </c>
      <c r="K39" s="17">
        <f>SUMPRODUCT(--($K$16:$K$37=$C$43),$C$16:$C$37)</f>
        <v>60480.33834710744</v>
      </c>
    </row>
    <row r="40"/>
    <row r="41">
      <c r="A41" s="3" t="inlineStr">
        <is>
          <t>Las siete variantes (lista del desplegable)</t>
        </is>
      </c>
    </row>
    <row r="42" ht="22" customHeight="1">
      <c r="A42" s="8" t="inlineStr">
        <is>
          <t>Nº</t>
        </is>
      </c>
      <c r="B42" s="8" t="inlineStr">
        <is>
          <t>Variante</t>
        </is>
      </c>
      <c r="C42" s="8" t="inlineStr">
        <is>
          <t>Vocabulario</t>
        </is>
      </c>
      <c r="D42" s="8" t="inlineStr">
        <is>
          <t>Id</t>
        </is>
      </c>
      <c r="E42" s="8" t="inlineStr">
        <is>
          <t>Qué cambia respecto del caso base</t>
        </is>
      </c>
    </row>
    <row r="43" ht="28" customHeight="1">
      <c r="A43" s="13" t="n">
        <v>1</v>
      </c>
      <c r="B43" t="inlineStr">
        <is>
          <t>Obrador en casa</t>
        </is>
      </c>
      <c r="C43" t="inlineStr">
        <is>
          <t>Sí</t>
        </is>
      </c>
      <c r="D43" t="inlineStr">
        <is>
          <t>PS-01</t>
        </is>
      </c>
      <c r="E43" s="4" t="inlineStr">
        <is>
          <t>Venta directa al consumidor final desde vivienda particular (art. 13 del RD 1021/2022). Inversión publicada: 3.000-5.000 € mínimo viable.</t>
        </is>
      </c>
    </row>
    <row r="44" ht="28" customHeight="1">
      <c r="A44" s="13" t="n">
        <v>2</v>
      </c>
      <c r="B44" t="inlineStr">
        <is>
          <t>Obrador a puerta cerrada</t>
        </is>
      </c>
      <c r="C44" t="inlineStr">
        <is>
          <t>No</t>
        </is>
      </c>
      <c r="D44" t="inlineStr">
        <is>
          <t>PS-02</t>
        </is>
      </c>
      <c r="E44" s="4" t="inlineStr">
        <is>
          <t>Producción sin venta al público. Inversión publicada: 8.000-12.000 € mínimo viable, 15.000-20.000 € completo.</t>
        </is>
      </c>
    </row>
    <row r="45" ht="28" customHeight="1">
      <c r="A45" s="13" t="n">
        <v>3</v>
      </c>
      <c r="B45" t="inlineStr">
        <is>
          <t>Local con venta (caso base)</t>
        </is>
      </c>
      <c r="C45" t="inlineStr">
        <is>
          <t>Depende</t>
        </is>
      </c>
      <c r="D45" t="inlineStr">
        <is>
          <t>PS-03</t>
        </is>
      </c>
      <c r="E45" s="4" t="inlineStr">
        <is>
          <t>El caso de «La Clara»: obrador propio más despacho a calle. Inversión publicada: 15.000-25.000 € mínimo viable, 30.000-50.000 €+ completo.</t>
        </is>
      </c>
    </row>
    <row r="46" ht="28" customHeight="1">
      <c r="A46" s="13" t="n">
        <v>4</v>
      </c>
      <c r="B46" t="inlineStr">
        <is>
          <t>Cafetería-pastelería</t>
        </is>
      </c>
      <c r="C46" t="inlineStr"/>
      <c r="D46" t="inlineStr">
        <is>
          <t>PS-04</t>
        </is>
      </c>
      <c r="E46" s="4" t="inlineStr">
        <is>
          <t>Con degustación. Inversión publicada: 60.000-80.000 € mínimo viable. Cambia el IVA de lo consumido en sala y puede cambiar el convenio.</t>
        </is>
      </c>
    </row>
    <row r="47" ht="28" customHeight="1">
      <c r="A47" s="13" t="n">
        <v>5</v>
      </c>
      <c r="B47" t="inlineStr">
        <is>
          <t>Punto caliente</t>
        </is>
      </c>
      <c r="C47" t="inlineStr"/>
      <c r="D47" t="inlineStr">
        <is>
          <t>PS-06</t>
        </is>
      </c>
      <c r="E47" s="4" t="inlineStr">
        <is>
          <t>Regenera producto congelado y no fabrica: no puede usar la mención «ELABORACIÓN PROPIA». Inversión publicada: 60.000-100.000 €.</t>
        </is>
      </c>
    </row>
    <row r="48" ht="28" customHeight="1">
      <c r="A48" s="13" t="n">
        <v>6</v>
      </c>
      <c r="B48" t="inlineStr">
        <is>
          <t>Obrador B2B para hostelería</t>
        </is>
      </c>
      <c r="C48" t="inlineStr"/>
      <c r="D48" t="inlineStr">
        <is>
          <t>PS-09</t>
        </is>
      </c>
      <c r="E48" s="4" t="inlineStr">
        <is>
          <t>Producción a volumen con venta a otros negocios: entra el art. 3 del RD 1021/2022, que resuelve el libro 6.</t>
        </is>
      </c>
    </row>
    <row r="49" ht="28" customHeight="1">
      <c r="A49" s="13" t="n">
        <v>7</v>
      </c>
      <c r="B49" t="inlineStr">
        <is>
          <t>Sin salida de humos</t>
        </is>
      </c>
      <c r="C49" t="inlineStr"/>
      <c r="D49" t="inlineStr">
        <is>
          <t>PS-11</t>
        </is>
      </c>
      <c r="E49" s="4" t="inlineStr">
        <is>
          <t>Hornos 100 % eléctricos y campana de condensación. Se ahorra el conducto de extracción, y condiciona el surtido: sin fritos.</t>
        </is>
      </c>
    </row>
    <row r="50"/>
    <row r="51" ht="24" customHeight="1">
      <c r="A51" s="7" t="inlineStr">
        <is>
          <t>La columna «Vocabulario» de las tres primeras filas es el origen de los valores Sí / No / Depende que usan las fórmulas de esta hoja. No la borres aunque no la leas.</t>
        </is>
      </c>
    </row>
    <row r="52" ht="40" customHeight="1">
      <c r="A52" s="7" t="inlineStr">
        <is>
          <t>QUÉ ES CRITERIO Y QUÉ ES DATO: las inversiones publicadas de cada variante y sus ids PS son datos de terceros con fuente. El reparto de Sí / No / Depende línea a línea es CRITERIO DE LA CASA, no norma: describe qué equipo suele pedir cada formato, y hay obradores que lo resuelven de otra manera. Cámbialo si tu proyecto lo pide, desprotegiendo la hoja.</t>
        </is>
      </c>
    </row>
    <row r="53" ht="28" customHeight="1">
      <c r="A53" s="7" t="inlineStr">
        <is>
          <t>Lo que NO cambia con la variante es lo legal: la vía de registro, el árbol del art. 3 y la ruta doméstica los resuelve el «checklist-legal-y-licencias.xlsx» (libro 6), y ahí sí hay diferencias grandes entre montar en casa y montar un obrador B2B.</t>
        </is>
      </c>
    </row>
    <row r="54"/>
    <row r="55">
      <c r="A55" s="2" t="inlineStr">
        <is>
          <t>Diseñado por John Guerrero — chef y consultor gastronómico desde 2010, en cocina desde los 17 años.</t>
        </is>
      </c>
    </row>
    <row r="56">
      <c r="A56"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28">
    <mergeCell ref="A3:M3"/>
    <mergeCell ref="A9:B9"/>
    <mergeCell ref="E47:M47"/>
    <mergeCell ref="E49:M49"/>
    <mergeCell ref="E46:M46"/>
    <mergeCell ref="E45:M45"/>
    <mergeCell ref="A52:M52"/>
    <mergeCell ref="A51:M51"/>
    <mergeCell ref="E42:M42"/>
    <mergeCell ref="A7:B7"/>
    <mergeCell ref="E44:M44"/>
    <mergeCell ref="E6:M6"/>
    <mergeCell ref="E48:M48"/>
    <mergeCell ref="A8:B8"/>
    <mergeCell ref="E11:M11"/>
    <mergeCell ref="E43:M43"/>
    <mergeCell ref="E8:M8"/>
    <mergeCell ref="A38:B38"/>
    <mergeCell ref="A6:B6"/>
    <mergeCell ref="E9:M9"/>
    <mergeCell ref="A53:M53"/>
    <mergeCell ref="E10:M10"/>
    <mergeCell ref="A39:B39"/>
    <mergeCell ref="A11:B11"/>
    <mergeCell ref="E12:M12"/>
    <mergeCell ref="A12:B12"/>
    <mergeCell ref="A10:B10"/>
    <mergeCell ref="E7:M7"/>
  </mergeCells>
  <dataValidations count="1">
    <dataValidation sqref="C6" showDropDown="0" showInputMessage="0" showErrorMessage="1" allowBlank="0" errorTitle="Variante no válida" error="Elige una de las siete variantes de la lista de esta hoja." type="list">
      <formula1>$B$43:$B$49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31"/>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40" customWidth="1" min="3" max="3"/>
    <col width="46" customWidth="1" min="4" max="4"/>
    <col width="8" customWidth="1" min="5" max="5"/>
    <col width="14" customWidth="1" min="6" max="6"/>
    <col width="28" customWidth="1" min="7" max="7"/>
    <col width="15" customWidth="1" min="8" max="8"/>
    <col width="14" customWidth="1" min="9" max="9"/>
    <col width="34" customWidth="1" min="10" max="10"/>
    <col width="44" customWidth="1" min="11" max="11"/>
    <col width="46" customWidth="1" min="12" max="12"/>
  </cols>
  <sheetData>
    <row r="1" ht="30" customHeight="1">
      <c r="A1" s="1" t="inlineStr">
        <is>
          <t>Proveedores de Materia Prima</t>
        </is>
      </c>
    </row>
    <row r="2">
      <c r="A2" t="inlineStr">
        <is>
          <t>AI Chef Pro · aichef.pro — Cómo Montar una Pastelería</t>
        </is>
      </c>
    </row>
    <row r="3" ht="28" customHeight="1">
      <c r="A3" s="7" t="inlineStr">
        <is>
          <t>Los nueve con URL comprobada el 10-09-2026. El research recogió otros 22 sin verificar y no se publican: un directorio con un enlace roto vale menos que uno corto.</t>
        </is>
      </c>
    </row>
    <row r="4"/>
    <row r="5">
      <c r="A5" s="3" t="inlineStr">
        <is>
          <t>Los nueve proveedores verificados</t>
        </is>
      </c>
    </row>
    <row r="6" ht="40" customHeight="1">
      <c r="A6" s="8" t="inlineStr">
        <is>
          <t>Nº</t>
        </is>
      </c>
      <c r="B6" s="8" t="inlineStr">
        <is>
          <t>Proveedor</t>
        </is>
      </c>
      <c r="C6" s="8" t="inlineStr">
        <is>
          <t>Qué te vende</t>
        </is>
      </c>
      <c r="D6" s="8" t="inlineStr">
        <is>
          <t>URL</t>
        </is>
      </c>
      <c r="E6" s="8" t="inlineStr">
        <is>
          <t>Id</t>
        </is>
      </c>
      <c r="F6" s="8" t="inlineStr">
        <is>
          <t>¿Trabajas con él?</t>
        </is>
      </c>
      <c r="G6" s="8" t="inlineStr">
        <is>
          <t>Contacto comercial</t>
        </is>
      </c>
      <c r="H6" s="8" t="inlineStr">
        <is>
          <t>Pedido mínimo (€)</t>
        </is>
      </c>
      <c r="I6" s="8" t="inlineStr">
        <is>
          <t>Plazo (días)</t>
        </is>
      </c>
      <c r="J6" s="8" t="inlineStr">
        <is>
          <t>Condiciones de pago</t>
        </is>
      </c>
      <c r="K6" s="8" t="inlineStr">
        <is>
          <t>Notas de la negociación</t>
        </is>
      </c>
      <c r="L6" s="8" t="inlineStr">
        <is>
          <t>Por qué está en la lista</t>
        </is>
      </c>
    </row>
    <row r="7" ht="28" customHeight="1">
      <c r="A7" s="13" t="n">
        <v>1</v>
      </c>
      <c r="B7" t="inlineStr">
        <is>
          <t>Sosa Ingredients</t>
        </is>
      </c>
      <c r="C7" s="4" t="inlineStr">
        <is>
          <t>Ingredientes premium y técnicos</t>
        </is>
      </c>
      <c r="D7" t="inlineStr">
        <is>
          <t>https://www.sosa.cat/</t>
        </is>
      </c>
      <c r="E7" t="inlineStr">
        <is>
          <t>PS-87</t>
        </is>
      </c>
      <c r="F7" s="22" t="inlineStr">
        <is>
          <t>No</t>
        </is>
      </c>
      <c r="G7" s="5" t="inlineStr">
        <is>
          <t>Pendiente: pide el alta de cliente</t>
        </is>
      </c>
      <c r="H7" s="11" t="n">
        <v>300</v>
      </c>
      <c r="I7" s="12" t="n">
        <v>7</v>
      </c>
      <c r="J7" s="5" t="inlineStr">
        <is>
          <t>Pendiente de negociar</t>
        </is>
      </c>
      <c r="K7" s="5" t="inlineStr">
        <is>
          <t>Pendiente de la primera visita comercial</t>
        </is>
      </c>
      <c r="L7" s="4" t="inlineStr">
        <is>
          <t>Fundada en Cataluña en 1967, presente en más de 80 países.</t>
        </is>
      </c>
    </row>
    <row r="8" ht="28" customHeight="1">
      <c r="A8" s="13" t="n">
        <v>2</v>
      </c>
      <c r="B8" t="inlineStr">
        <is>
          <t>Puratos</t>
        </is>
      </c>
      <c r="C8" s="4" t="inlineStr">
        <is>
          <t>Masas madre, mejorantes, mixes, rellenos y chocolate</t>
        </is>
      </c>
      <c r="D8" t="inlineStr">
        <is>
          <t>https://www.puratos.com/products</t>
        </is>
      </c>
      <c r="E8" t="inlineStr">
        <is>
          <t>PS-88</t>
        </is>
      </c>
      <c r="F8" s="22" t="inlineStr">
        <is>
          <t>No</t>
        </is>
      </c>
      <c r="G8" s="5" t="inlineStr">
        <is>
          <t>Pendiente: pide el alta de cliente</t>
        </is>
      </c>
      <c r="H8" s="11" t="n">
        <v>300</v>
      </c>
      <c r="I8" s="12" t="n">
        <v>7</v>
      </c>
      <c r="J8" s="5" t="inlineStr">
        <is>
          <t>Pendiente de negociar</t>
        </is>
      </c>
      <c r="K8" s="5" t="inlineStr">
        <is>
          <t>Pendiente de la primera visita comercial</t>
        </is>
      </c>
      <c r="L8" s="4" t="inlineStr">
        <is>
          <t>Fabricante o distribuidor con web propia comprobada el 10-09-2026.</t>
        </is>
      </c>
    </row>
    <row r="9" ht="28" customHeight="1">
      <c r="A9" s="13" t="n">
        <v>3</v>
      </c>
      <c r="B9" t="inlineStr">
        <is>
          <t>Barry Callebaut</t>
        </is>
      </c>
      <c r="C9" s="4" t="inlineStr">
        <is>
          <t>Chocolate y coberturas</t>
        </is>
      </c>
      <c r="D9" t="inlineStr">
        <is>
          <t>https://www.barry-callebaut.com/</t>
        </is>
      </c>
      <c r="E9" t="inlineStr">
        <is>
          <t>PS-89</t>
        </is>
      </c>
      <c r="F9" s="22" t="inlineStr">
        <is>
          <t>No</t>
        </is>
      </c>
      <c r="G9" s="5" t="inlineStr">
        <is>
          <t>Pendiente: pide el alta de cliente</t>
        </is>
      </c>
      <c r="H9" s="11" t="n">
        <v>300</v>
      </c>
      <c r="I9" s="12" t="n">
        <v>7</v>
      </c>
      <c r="J9" s="5" t="inlineStr">
        <is>
          <t>Pendiente de negociar</t>
        </is>
      </c>
      <c r="K9" s="5" t="inlineStr">
        <is>
          <t>Pendiente de la primera visita comercial</t>
        </is>
      </c>
      <c r="L9" s="4" t="inlineStr">
        <is>
          <t>Marcas Callebaut, Cacao Barry y Chocovic.</t>
        </is>
      </c>
    </row>
    <row r="10" ht="28" customHeight="1">
      <c r="A10" s="13" t="n">
        <v>4</v>
      </c>
      <c r="B10" t="inlineStr">
        <is>
          <t>Valrhona</t>
        </is>
      </c>
      <c r="C10" s="4" t="inlineStr">
        <is>
          <t>Chocolate premium y formación</t>
        </is>
      </c>
      <c r="D10" t="inlineStr">
        <is>
          <t>https://www.valrhona.com/</t>
        </is>
      </c>
      <c r="E10" t="inlineStr">
        <is>
          <t>PS-90</t>
        </is>
      </c>
      <c r="F10" s="22" t="inlineStr">
        <is>
          <t>No</t>
        </is>
      </c>
      <c r="G10" s="5" t="inlineStr">
        <is>
          <t>Pendiente: pide el alta de cliente</t>
        </is>
      </c>
      <c r="H10" s="11" t="n">
        <v>300</v>
      </c>
      <c r="I10" s="12" t="n">
        <v>7</v>
      </c>
      <c r="J10" s="5" t="inlineStr">
        <is>
          <t>Pendiente de negociar</t>
        </is>
      </c>
      <c r="K10" s="5" t="inlineStr">
        <is>
          <t>Pendiente de la primera visita comercial</t>
        </is>
      </c>
      <c r="L10" s="4" t="inlineStr">
        <is>
          <t>Distribuye la gama Sosa como marca socia.</t>
        </is>
      </c>
    </row>
    <row r="11" ht="28" customHeight="1">
      <c r="A11" s="13" t="n">
        <v>5</v>
      </c>
      <c r="B11" t="inlineStr">
        <is>
          <t>Debic (FrieslandCampina)</t>
        </is>
      </c>
      <c r="C11" s="4" t="inlineStr">
        <is>
          <t>Mantequilla y nata profesional</t>
        </is>
      </c>
      <c r="D11" t="inlineStr">
        <is>
          <t>https://www.debic.com/</t>
        </is>
      </c>
      <c r="E11" t="inlineStr">
        <is>
          <t>PS-91</t>
        </is>
      </c>
      <c r="F11" s="22" t="inlineStr">
        <is>
          <t>No</t>
        </is>
      </c>
      <c r="G11" s="5" t="inlineStr">
        <is>
          <t>Pendiente: pide el alta de cliente</t>
        </is>
      </c>
      <c r="H11" s="11" t="n">
        <v>300</v>
      </c>
      <c r="I11" s="12" t="n">
        <v>7</v>
      </c>
      <c r="J11" s="5" t="inlineStr">
        <is>
          <t>Pendiente de negociar</t>
        </is>
      </c>
      <c r="K11" s="5" t="inlineStr">
        <is>
          <t>Pendiente de la primera visita comercial</t>
        </is>
      </c>
      <c r="L11" s="4" t="inlineStr">
        <is>
          <t>Mantequillas de punto de fusión fijo para hojaldre y bollería.</t>
        </is>
      </c>
    </row>
    <row r="12" ht="28" customHeight="1">
      <c r="A12" s="13" t="n">
        <v>6</v>
      </c>
      <c r="B12" t="inlineStr">
        <is>
          <t>Elle &amp; Vire Professionnel</t>
        </is>
      </c>
      <c r="C12" s="4" t="inlineStr">
        <is>
          <t>Mantequilla de laminado</t>
        </is>
      </c>
      <c r="D12" t="inlineStr">
        <is>
          <t>https://www.elle-et-vire.com/</t>
        </is>
      </c>
      <c r="E12" t="inlineStr">
        <is>
          <t>PS-92</t>
        </is>
      </c>
      <c r="F12" s="22" t="inlineStr">
        <is>
          <t>No</t>
        </is>
      </c>
      <c r="G12" s="5" t="inlineStr">
        <is>
          <t>Pendiente: pide el alta de cliente</t>
        </is>
      </c>
      <c r="H12" s="11" t="n">
        <v>300</v>
      </c>
      <c r="I12" s="12" t="n">
        <v>7</v>
      </c>
      <c r="J12" s="5" t="inlineStr">
        <is>
          <t>Pendiente de negociar</t>
        </is>
      </c>
      <c r="K12" s="5" t="inlineStr">
        <is>
          <t>Pendiente de la primera visita comercial</t>
        </is>
      </c>
      <c r="L12" s="4" t="inlineStr">
        <is>
          <t>Mantequilla seca de 84 % de materia grasa para hojaldre.</t>
        </is>
      </c>
    </row>
    <row r="13" ht="28" customHeight="1">
      <c r="A13" s="13" t="n">
        <v>7</v>
      </c>
      <c r="B13" t="inlineStr">
        <is>
          <t>Ylla 1878</t>
        </is>
      </c>
      <c r="C13" s="4" t="inlineStr">
        <is>
          <t>Harinas profesionales</t>
        </is>
      </c>
      <c r="D13" t="inlineStr">
        <is>
          <t>https://www.ylla1878.com/es/harinas-profesionales/</t>
        </is>
      </c>
      <c r="E13" t="inlineStr">
        <is>
          <t>PS-93</t>
        </is>
      </c>
      <c r="F13" s="22" t="inlineStr">
        <is>
          <t>No</t>
        </is>
      </c>
      <c r="G13" s="5" t="inlineStr">
        <is>
          <t>Pendiente: pide el alta de cliente</t>
        </is>
      </c>
      <c r="H13" s="11" t="n">
        <v>300</v>
      </c>
      <c r="I13" s="12" t="n">
        <v>7</v>
      </c>
      <c r="J13" s="5" t="inlineStr">
        <is>
          <t>Pendiente de negociar</t>
        </is>
      </c>
      <c r="K13" s="5" t="inlineStr">
        <is>
          <t>Pendiente de la primera visita comercial</t>
        </is>
      </c>
      <c r="L13" s="4" t="inlineStr">
        <is>
          <t>Panadería, pastelería, bollería, churrería y pizzería.</t>
        </is>
      </c>
    </row>
    <row r="14" ht="28" customHeight="1">
      <c r="A14" s="13" t="n">
        <v>8</v>
      </c>
      <c r="B14" t="inlineStr">
        <is>
          <t>Farinera Coromina</t>
        </is>
      </c>
      <c r="C14" s="4" t="inlineStr">
        <is>
          <t>Harinas especiales</t>
        </is>
      </c>
      <c r="D14" t="inlineStr">
        <is>
          <t>https://www.farineracoromina.com/</t>
        </is>
      </c>
      <c r="E14" t="inlineStr">
        <is>
          <t>PS-94</t>
        </is>
      </c>
      <c r="F14" s="22" t="inlineStr">
        <is>
          <t>No</t>
        </is>
      </c>
      <c r="G14" s="5" t="inlineStr">
        <is>
          <t>Pendiente: pide el alta de cliente</t>
        </is>
      </c>
      <c r="H14" s="11" t="n">
        <v>300</v>
      </c>
      <c r="I14" s="12" t="n">
        <v>7</v>
      </c>
      <c r="J14" s="5" t="inlineStr">
        <is>
          <t>Pendiente de negociar</t>
        </is>
      </c>
      <c r="K14" s="5" t="inlineStr">
        <is>
          <t>Pendiente de la primera visita comercial</t>
        </is>
      </c>
      <c r="L14" s="4" t="inlineStr">
        <is>
          <t>Fundada en 1897 en Girona. Península, Baleares, Canarias y sur de Francia.</t>
        </is>
      </c>
    </row>
    <row r="15" ht="28" customHeight="1">
      <c r="A15" s="13" t="n">
        <v>9</v>
      </c>
      <c r="B15" t="inlineStr">
        <is>
          <t>Cospan</t>
        </is>
      </c>
      <c r="C15" s="4" t="inlineStr">
        <is>
          <t>Distribución de materias primas</t>
        </is>
      </c>
      <c r="D15" t="inlineStr">
        <is>
          <t>https://cospan.es/</t>
        </is>
      </c>
      <c r="E15" t="inlineStr">
        <is>
          <t>PS-95</t>
        </is>
      </c>
      <c r="F15" s="22" t="inlineStr">
        <is>
          <t>No</t>
        </is>
      </c>
      <c r="G15" s="5" t="inlineStr">
        <is>
          <t>Pendiente: pide el alta de cliente</t>
        </is>
      </c>
      <c r="H15" s="11" t="n">
        <v>300</v>
      </c>
      <c r="I15" s="12" t="n">
        <v>7</v>
      </c>
      <c r="J15" s="5" t="inlineStr">
        <is>
          <t>Pendiente de negociar</t>
        </is>
      </c>
      <c r="K15" s="5" t="inlineStr">
        <is>
          <t>Pendiente de la primera visita comercial</t>
        </is>
      </c>
      <c r="L15" s="4" t="inlineStr">
        <is>
          <t>Fabricante o distribuidor con web propia comprobada el 10-09-2026.</t>
        </is>
      </c>
    </row>
    <row r="16">
      <c r="A16" s="9" t="inlineStr">
        <is>
          <t>Proveedores publicados en esta hoja</t>
        </is>
      </c>
      <c r="F16" s="16">
        <f>COUNTIF($B$7:$B$15,"&lt;&gt;")</f>
        <v>9.0</v>
      </c>
      <c r="G16" s="7" t="inlineStr">
        <is>
          <t>Nueve verificados. Los 22 sin verificar del research no entran.</t>
        </is>
      </c>
    </row>
    <row r="17">
      <c r="A17" s="9" t="inlineStr">
        <is>
          <t>Proveedores con los que ya trabajas</t>
        </is>
      </c>
      <c r="F17" s="16">
        <f>SUMPRODUCT(--($F$7:$F$15=$B$23))</f>
        <v>0.0</v>
      </c>
      <c r="G17" s="7" t="inlineStr">
        <is>
          <t>Empieza por dos o tres: abrir ficha en nueve proveedores a la vez es una semana de papeleo y ningún descuento.</t>
        </is>
      </c>
    </row>
    <row r="18">
      <c r="A18" s="9" t="inlineStr">
        <is>
          <t>Pedido mínimo acumulado si pides a todos a la vez (€)</t>
        </is>
      </c>
      <c r="F18" s="17">
        <f>SUM($H$7:$H$15)</f>
        <v>2700.0</v>
      </c>
      <c r="G18" s="7" t="inlineStr">
        <is>
          <t>Es dinero parado en el almacén el día que menos caja tienes. Los pedidos mínimos son SUPUESTOS: te los confirma cada comercial.</t>
        </is>
      </c>
    </row>
    <row r="19">
      <c r="A19" s="9" t="inlineStr">
        <is>
          <t>Plazo medio de entrega comprometido (días)</t>
        </is>
      </c>
      <c r="F19" s="23">
        <f>IFERROR(AVERAGE($I$7:$I$15),"")</f>
        <v>7.0</v>
      </c>
      <c r="G19" s="7" t="inlineStr">
        <is>
          <t>Con qué antelación tienes que pedir la materia prima de cada pico. La antelación de compra por campaña la calcula el «estacionalidad-y-picos.xlsx» (libro 3).</t>
        </is>
      </c>
    </row>
    <row r="20"/>
    <row r="21">
      <c r="A21" s="3" t="inlineStr">
        <is>
          <t>Listas (origen de los desplegables)</t>
        </is>
      </c>
    </row>
    <row r="22" ht="20" customHeight="1">
      <c r="A22" s="8" t="inlineStr">
        <is>
          <t>Nº</t>
        </is>
      </c>
      <c r="B22" s="8" t="inlineStr">
        <is>
          <t>¿Trabajas con él?</t>
        </is>
      </c>
    </row>
    <row r="23">
      <c r="A23" s="13" t="n">
        <v>1</v>
      </c>
      <c r="B23" t="inlineStr">
        <is>
          <t>Sí</t>
        </is>
      </c>
    </row>
    <row r="24">
      <c r="A24" s="13" t="n">
        <v>2</v>
      </c>
      <c r="B24" t="inlineStr">
        <is>
          <t>No</t>
        </is>
      </c>
    </row>
    <row r="25"/>
    <row r="26" ht="40" customHeight="1">
      <c r="A26" s="7" t="inlineStr">
        <is>
          <t>Nueve proveedores con URL comprobada el 10-09-2026. El research recogió otros 22 sin verificar y NO se publican: un directorio con un enlace roto vale menos que uno corto. Directorio del grupo: hosply.pro (TLS comprobado el 10-09-2026).</t>
        </is>
      </c>
    </row>
    <row r="27" ht="26" customHeight="1">
      <c r="A27" s="7" t="inlineStr">
        <is>
          <t>Directorio de proveedores del grupo (certificado comprobado el 10-09-2026): https://hosply.pro/?utm_source=guia-pasteleria-obrador&amp;utm_medium=producto&amp;utm_campaign=cap11-proveedores</t>
        </is>
      </c>
    </row>
    <row r="28" ht="34" customHeight="1">
      <c r="A28" s="7" t="inlineStr">
        <is>
          <t>Los pedidos mínimos, los plazos y las condiciones de pago que vienen rellenos son SUPUESTOS para que la hoja funcione desde el primer minuto: no son las condiciones de estas empresas. Cada una te dará las suyas, y cambian con el volumen y con la provincia.</t>
        </is>
      </c>
    </row>
    <row r="29"/>
    <row r="30">
      <c r="A30" s="2" t="inlineStr">
        <is>
          <t>Diseñado por John Guerrero — chef y consultor gastronómico desde 2010, en cocina desde los 17 años.</t>
        </is>
      </c>
    </row>
    <row r="31">
      <c r="A31"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2">
    <mergeCell ref="G16:L16"/>
    <mergeCell ref="G19:L19"/>
    <mergeCell ref="A19:E19"/>
    <mergeCell ref="A27:L27"/>
    <mergeCell ref="A26:L26"/>
    <mergeCell ref="G18:L18"/>
    <mergeCell ref="A17:E17"/>
    <mergeCell ref="A28:L28"/>
    <mergeCell ref="A3:L3"/>
    <mergeCell ref="A16:E16"/>
    <mergeCell ref="G17:L17"/>
    <mergeCell ref="A18:E18"/>
  </mergeCells>
  <dataValidations count="3">
    <dataValidation sqref="F7 F8 F9 F10 F11 F12 F13 F14 F15" showDropDown="0" showInputMessage="0" showErrorMessage="1" allowBlank="0" errorTitle="Valor no válido" error="Elige Sí o No de la lista de esta hoja." type="list">
      <formula1>$B$23:$B$24</formula1>
    </dataValidation>
    <dataValidation sqref="H7 H8 H9 H10 H11 H12 H13 H14 H15" showDropDown="0" showInputMessage="0" showErrorMessage="1" allowBlank="1" errorTitle="Pedido mínimo" error="Escribe el pedido mínimo en euros, sin IVA." type="decimal" operator="greaterThanOrEqual">
      <formula1>0</formula1>
    </dataValidation>
    <dataValidation sqref="I7 I8 I9 I10 I11 I12 I13 I14 I15" showDropDown="0" showInputMessage="0" showErrorMessage="1" allowBlank="1" errorTitle="Plazo" error="Escribe el plazo de entrega en días (0 a 180)." type="decimal" operator="between">
      <formula1>0</formula1>
      <formula2>180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51"/>
  <sheetViews>
    <sheetView workbookViewId="0">
      <pane ySplit="6" topLeftCell="A7" activePane="bottomLeft" state="frozen"/>
      <selection pane="bottomLeft" activeCell="A1" sqref="A1"/>
    </sheetView>
  </sheetViews>
  <sheetFormatPr baseColWidth="8" defaultRowHeight="15"/>
  <cols>
    <col width="54" customWidth="1" min="1" max="1"/>
    <col width="16" customWidth="1" min="2" max="2"/>
    <col width="16" customWidth="1" min="3" max="3"/>
    <col width="16" customWidth="1" min="4" max="4"/>
    <col width="14" customWidth="1" min="5" max="5"/>
    <col width="72" customWidth="1" min="6" max="6"/>
  </cols>
  <sheetData>
    <row r="1" ht="30" customHeight="1">
      <c r="A1" s="1" t="inlineStr">
        <is>
          <t>Contador del Checklist</t>
        </is>
      </c>
    </row>
    <row r="2">
      <c r="A2" t="inlineStr">
        <is>
          <t>AI Chef Pro · aichef.pro — Cómo Montar una Pastelería</t>
        </is>
      </c>
    </row>
    <row r="3" ht="28" customHeight="1">
      <c r="A3" s="7" t="inlineStr">
        <is>
          <t>Todo lo de esta hoja se lee de «Equipamiento» y de «Proveedores»: aquí no se teclea nada.</t>
        </is>
      </c>
    </row>
    <row r="4"/>
    <row r="5">
      <c r="A5" s="3" t="inlineStr">
        <is>
          <t>Avance del checklist de equipamiento</t>
        </is>
      </c>
    </row>
    <row r="6" ht="20" customHeight="1">
      <c r="A6" s="8" t="inlineStr">
        <is>
          <t>Concepto</t>
        </is>
      </c>
      <c r="B6" s="8" t="inlineStr">
        <is>
          <t>Valor</t>
        </is>
      </c>
      <c r="C6" s="8" t="inlineStr">
        <is>
          <t>Nota</t>
        </is>
      </c>
    </row>
    <row r="7" ht="22" customHeight="1">
      <c r="A7" t="inlineStr">
        <is>
          <t>Líneas del checklist</t>
        </is>
      </c>
      <c r="B7" s="16">
        <f>COUNTIF('Equipamiento'!$C$16:$C$37,"&lt;&gt;")</f>
        <v>22.0</v>
      </c>
      <c r="C7" s="7" t="inlineStr">
        <is>
          <t>La dotación completa de una pastelería con obrador.</t>
        </is>
      </c>
    </row>
    <row r="8" ht="22" customHeight="1">
      <c r="A8" t="inlineStr">
        <is>
          <t>Líneas marcadas «N/A» (fuera de tu alcance)</t>
        </is>
      </c>
      <c r="B8" s="16">
        <f>SUMPRODUCT(--('Equipamiento'!$A$16:$A$37='Equipamiento'!$A$66))</f>
        <v>0.0</v>
      </c>
      <c r="C8" s="7" t="inlineStr">
        <is>
          <t>Lo que tu formato no necesita. No cuenta ni a favor ni en contra.</t>
        </is>
      </c>
    </row>
    <row r="9" ht="22" customHeight="1">
      <c r="A9" t="inlineStr">
        <is>
          <t>Líneas dentro de tu alcance</t>
        </is>
      </c>
      <c r="B9" s="16">
        <f>$B$7-$B$8</f>
        <v>22.0</v>
      </c>
      <c r="C9" s="7" t="inlineStr">
        <is>
          <t>Es el denominador del avance.</t>
        </is>
      </c>
    </row>
    <row r="10" ht="22" customHeight="1">
      <c r="A10" t="inlineStr">
        <is>
          <t>Líneas instaladas</t>
        </is>
      </c>
      <c r="B10" s="16">
        <f>SUMPRODUCT(--('Equipamiento'!$A$16:$A$37='Equipamiento'!$A$65))</f>
        <v>0.0</v>
      </c>
      <c r="C10" s="7" t="inlineStr">
        <is>
          <t>Instalada quiere decir montada, conectada y probada; recibida no es instalada, y esa diferencia son días.</t>
        </is>
      </c>
    </row>
    <row r="11" ht="22" customHeight="1">
      <c r="A11" t="inlineStr">
        <is>
          <t>Líneas recibidas</t>
        </is>
      </c>
      <c r="B11" s="16">
        <f>COUNTIF('Equipamiento'!$A$16:$A$37,"Recibido")</f>
        <v>0.0</v>
      </c>
      <c r="C11" s="7" t="inlineStr">
        <is>
          <t>Están en el local, en su caja.</t>
        </is>
      </c>
    </row>
    <row r="12" ht="22" customHeight="1">
      <c r="A12" t="inlineStr">
        <is>
          <t>Líneas pedidas</t>
        </is>
      </c>
      <c r="B12" s="16">
        <f>COUNTIF('Equipamiento'!$A$16:$A$37,"Pedido")</f>
        <v>0.0</v>
      </c>
      <c r="C12" s="7" t="inlineStr">
        <is>
          <t>Pedidas y pagadas o con señal: el plazo ya corre.</t>
        </is>
      </c>
    </row>
    <row r="13" ht="22" customHeight="1">
      <c r="A13" t="inlineStr">
        <is>
          <t>Líneas presupuestadas</t>
        </is>
      </c>
      <c r="B13" s="16">
        <f>COUNTIF('Equipamiento'!$A$16:$A$37,"Presupuestado")</f>
        <v>0.0</v>
      </c>
      <c r="C13" s="7" t="inlineStr">
        <is>
          <t>Tienes el precio, no has pedido.</t>
        </is>
      </c>
    </row>
    <row r="14" ht="22" customHeight="1">
      <c r="A14" t="inlineStr">
        <is>
          <t>Líneas pendientes</t>
        </is>
      </c>
      <c r="B14" s="16">
        <f>COUNTIF('Equipamiento'!$A$16:$A$37,"Pendiente")</f>
        <v>22.0</v>
      </c>
      <c r="C14" s="7" t="inlineStr">
        <is>
          <t>Ni siquiera has pedido presupuesto.</t>
        </is>
      </c>
    </row>
    <row r="15" ht="22" customHeight="1">
      <c r="A15" t="inlineStr">
        <is>
          <t>Avance del checklist (% instalado)</t>
        </is>
      </c>
      <c r="B15" s="18">
        <f>IFERROR(IF($B$9=0,"",$B$10/$B$9),"")</f>
        <v>0.0</v>
      </c>
      <c r="C15" s="7" t="inlineStr">
        <is>
          <t>Sobre lo que está dentro de tu alcance, no sobre las 22 líneas.</t>
        </is>
      </c>
    </row>
    <row r="16"/>
    <row r="17">
      <c r="A17" s="3" t="inlineStr">
        <is>
          <t>Lo crítico, que es lo que decide si abres</t>
        </is>
      </c>
    </row>
    <row r="18" ht="22" customHeight="1">
      <c r="A18" t="inlineStr">
        <is>
          <t>Líneas críticas</t>
        </is>
      </c>
      <c r="B18" s="16">
        <f>SUMPRODUCT(--('Equipamiento'!$H$16:$H$37='Equipamiento'!$C$61))</f>
        <v>19.0</v>
      </c>
      <c r="C18" s="7" t="inlineStr">
        <is>
          <t>Sin ellas no se abre. Las opcionales no entran aquí.</t>
        </is>
      </c>
    </row>
    <row r="19" ht="22" customHeight="1">
      <c r="A19" t="inlineStr">
        <is>
          <t>Líneas críticas instaladas</t>
        </is>
      </c>
      <c r="B19" s="16">
        <f>SUMPRODUCT(--('Equipamiento'!$H$16:$H$37='Equipamiento'!$C$61),--('Equipamiento'!$A$16:$A$37='Equipamiento'!$A$65))</f>
        <v>0.0</v>
      </c>
      <c r="C19" s="7" t="inlineStr"/>
    </row>
    <row r="20" ht="22" customHeight="1">
      <c r="A20" t="inlineStr">
        <is>
          <t>Avance de lo crítico (%)</t>
        </is>
      </c>
      <c r="B20" s="18">
        <f>IFERROR(IF($B$18=0,"",$B$19/$B$18),"")</f>
        <v>0.0</v>
      </c>
      <c r="C20" s="7" t="inlineStr">
        <is>
          <t>Éste es el porcentaje que hay que mirar la semana antes de abrir.</t>
        </is>
      </c>
    </row>
    <row r="21">
      <c r="A21" s="9" t="inlineStr">
        <is>
          <t>¿Puedes abrir con lo que está instalado?</t>
        </is>
      </c>
      <c r="B21" s="19" t="str">
        <f>IF($B$18=0,"",IF($B$19=$B$18,"Sí: todo lo crítico está instalado",CONCATENATE("No: faltan ",$B$18-$B$19," líneas críticas")))</f>
        <v>No: faltan 19 líneas críticas</v>
      </c>
      <c r="C21" s="7" t="inlineStr">
        <is>
          <t>La licencia y el registro sanitario van por su lado: eso lo contesta el libro 6.</t>
        </is>
      </c>
    </row>
    <row r="22"/>
    <row r="23">
      <c r="A23" s="3" t="inlineStr">
        <is>
          <t>Por bloque de CAPEX</t>
        </is>
      </c>
    </row>
    <row r="24" ht="30" customHeight="1">
      <c r="A24" s="8" t="inlineStr">
        <is>
          <t>Bloque</t>
        </is>
      </c>
      <c r="B24" s="8" t="inlineStr">
        <is>
          <t>Líneas</t>
        </is>
      </c>
      <c r="C24" s="8" t="inlineStr">
        <is>
          <t>Referencia sin IVA (€)</t>
        </is>
      </c>
      <c r="D24" s="8" t="inlineStr">
        <is>
          <t>Real negociado (€)</t>
        </is>
      </c>
      <c r="E24" s="8" t="inlineStr">
        <is>
          <t>Desviación (%)</t>
        </is>
      </c>
      <c r="F24" s="8" t="inlineStr">
        <is>
          <t>Nota</t>
        </is>
      </c>
    </row>
    <row r="25">
      <c r="A25" t="inlineStr">
        <is>
          <t>Equipamiento de obrador</t>
        </is>
      </c>
      <c r="B25" s="13">
        <f>SUMPRODUCT(--('Equipamiento'!$G$16:$G$37=$A25))</f>
        <v>17.0</v>
      </c>
      <c r="C25" s="14">
        <f>SUMPRODUCT(--('Equipamiento'!$G$16:$G$37=$A25),'Equipamiento'!$L$16:$L$37)</f>
        <v>73696.23834710743</v>
      </c>
      <c r="D25" s="14">
        <f>SUMPRODUCT(--('Equipamiento'!$G$16:$G$37=$A25),'Equipamiento'!$O$16:$O$37)</f>
        <v>73696.23999999999</v>
      </c>
      <c r="E25" s="15">
        <f>IFERROR(IF($C25=0,"",$D25/$C25-1),"")</f>
        <v>2.242845220656875e-08</v>
      </c>
      <c r="F25" s="4" t="inlineStr">
        <is>
          <t>Es el bloque que el libro 2 lleva a su hoja «CAPEX por Bloque» con este mismo nombre.</t>
        </is>
      </c>
    </row>
    <row r="26">
      <c r="A26" t="inlineStr">
        <is>
          <t>Tienda y vitrina</t>
        </is>
      </c>
      <c r="B26" s="13">
        <f>SUMPRODUCT(--('Equipamiento'!$G$16:$G$37=$A26))</f>
        <v>5.0</v>
      </c>
      <c r="C26" s="14">
        <f>SUMPRODUCT(--('Equipamiento'!$G$16:$G$37=$A26),'Equipamiento'!$L$16:$L$37)</f>
        <v>12804.5</v>
      </c>
      <c r="D26" s="14">
        <f>SUMPRODUCT(--('Equipamiento'!$G$16:$G$37=$A26),'Equipamiento'!$O$16:$O$37)</f>
        <v>12804.5</v>
      </c>
      <c r="E26" s="15">
        <f>IFERROR(IF($C26=0,"",$D26/$C26-1),"")</f>
        <v>0.0</v>
      </c>
      <c r="F26" s="4" t="inlineStr">
        <is>
          <t>Es el bloque que el libro 2 lleva a su hoja «CAPEX por Bloque» con este mismo nombre.</t>
        </is>
      </c>
    </row>
    <row r="27">
      <c r="A27" s="9" t="inlineStr">
        <is>
          <t>TOTAL</t>
        </is>
      </c>
      <c r="B27" s="24">
        <f>SUMPRODUCT(--('Equipamiento'!$G$16:$G$37&lt;&gt;""))</f>
        <v>22.0</v>
      </c>
      <c r="C27" s="25">
        <f>SUMPRODUCT('Equipamiento'!$L$16:$L$37)</f>
        <v>86500.73834710743</v>
      </c>
      <c r="D27" s="25">
        <f>SUMPRODUCT('Equipamiento'!$O$16:$O$37)</f>
        <v>86500.73999999999</v>
      </c>
      <c r="E27" s="26">
        <f>IFERROR(IF($C$27=0,"",$D$27/$C$27-1),"")</f>
        <v>1.9108421511759843e-08</v>
      </c>
    </row>
    <row r="28"/>
    <row r="29">
      <c r="A29" s="3" t="inlineStr">
        <is>
          <t>Por categoría de equipo</t>
        </is>
      </c>
    </row>
    <row r="30" ht="30" customHeight="1">
      <c r="A30" s="8" t="inlineStr">
        <is>
          <t>Categoría</t>
        </is>
      </c>
      <c r="B30" s="8" t="inlineStr">
        <is>
          <t>Líneas</t>
        </is>
      </c>
      <c r="C30" s="8" t="inlineStr">
        <is>
          <t>Referencia sin IVA (€)</t>
        </is>
      </c>
      <c r="D30" s="8" t="inlineStr">
        <is>
          <t>Real negociado (€)</t>
        </is>
      </c>
      <c r="E30" s="8" t="inlineStr">
        <is>
          <t>Instaladas</t>
        </is>
      </c>
      <c r="F30" s="8" t="inlineStr">
        <is>
          <t>Nota</t>
        </is>
      </c>
    </row>
    <row r="31">
      <c r="A31" t="inlineStr">
        <is>
          <t>Calor</t>
        </is>
      </c>
      <c r="B31" s="13">
        <f>SUMPRODUCT(--('Equipamiento'!$F$16:$F$37=$A31))</f>
        <v>3.0</v>
      </c>
      <c r="C31" s="14">
        <f>SUMPRODUCT(--('Equipamiento'!$F$16:$F$37=$A31),'Equipamiento'!$L$16:$L$37)</f>
        <v>16849.198347107438</v>
      </c>
      <c r="D31" s="14">
        <f>SUMPRODUCT(--('Equipamiento'!$F$16:$F$37=$A31),'Equipamiento'!$O$16:$O$37)</f>
        <v>16849.2</v>
      </c>
      <c r="E31" s="13">
        <f>SUMPRODUCT(--('Equipamiento'!$F$16:$F$37=$A31),--('Equipamiento'!$A$16:$A$37='Equipamiento'!$A$65))</f>
        <v>0.0</v>
      </c>
      <c r="F31" s="4" t="inlineStr"/>
    </row>
    <row r="32">
      <c r="A32" t="inlineStr">
        <is>
          <t>Tienda y vitrina</t>
        </is>
      </c>
      <c r="B32" s="13">
        <f>SUMPRODUCT(--('Equipamiento'!$F$16:$F$37=$A32))</f>
        <v>5.0</v>
      </c>
      <c r="C32" s="14">
        <f>SUMPRODUCT(--('Equipamiento'!$F$16:$F$37=$A32),'Equipamiento'!$L$16:$L$37)</f>
        <v>12804.5</v>
      </c>
      <c r="D32" s="14">
        <f>SUMPRODUCT(--('Equipamiento'!$F$16:$F$37=$A32),'Equipamiento'!$O$16:$O$37)</f>
        <v>12804.5</v>
      </c>
      <c r="E32" s="13">
        <f>SUMPRODUCT(--('Equipamiento'!$F$16:$F$37=$A32),--('Equipamiento'!$A$16:$A$37='Equipamiento'!$A$65))</f>
        <v>0.0</v>
      </c>
      <c r="F32" s="4" t="inlineStr"/>
    </row>
    <row r="33">
      <c r="A33" t="inlineStr">
        <is>
          <t>Frío negativo</t>
        </is>
      </c>
      <c r="B33" s="13">
        <f>SUMPRODUCT(--('Equipamiento'!$F$16:$F$37=$A33))</f>
        <v>2.0</v>
      </c>
      <c r="C33" s="14">
        <f>SUMPRODUCT(--('Equipamiento'!$F$16:$F$37=$A33),'Equipamiento'!$L$16:$L$37)</f>
        <v>11937.0</v>
      </c>
      <c r="D33" s="14">
        <f>SUMPRODUCT(--('Equipamiento'!$F$16:$F$37=$A33),'Equipamiento'!$O$16:$O$37)</f>
        <v>11937.0</v>
      </c>
      <c r="E33" s="13">
        <f>SUMPRODUCT(--('Equipamiento'!$F$16:$F$37=$A33),--('Equipamiento'!$A$16:$A$37='Equipamiento'!$A$65))</f>
        <v>0.0</v>
      </c>
      <c r="F33" s="4" t="inlineStr"/>
    </row>
    <row r="34">
      <c r="A34" t="inlineStr">
        <is>
          <t>Laminación</t>
        </is>
      </c>
      <c r="B34" s="13">
        <f>SUMPRODUCT(--('Equipamiento'!$F$16:$F$37=$A34))</f>
        <v>1.0</v>
      </c>
      <c r="C34" s="14">
        <f>SUMPRODUCT(--('Equipamiento'!$F$16:$F$37=$A34),'Equipamiento'!$L$16:$L$37)</f>
        <v>1215.0</v>
      </c>
      <c r="D34" s="14">
        <f>SUMPRODUCT(--('Equipamiento'!$F$16:$F$37=$A34),'Equipamiento'!$O$16:$O$37)</f>
        <v>1215.0</v>
      </c>
      <c r="E34" s="13">
        <f>SUMPRODUCT(--('Equipamiento'!$F$16:$F$37=$A34),--('Equipamiento'!$A$16:$A$37='Equipamiento'!$A$65))</f>
        <v>0.0</v>
      </c>
      <c r="F34" s="4" t="inlineStr"/>
    </row>
    <row r="35">
      <c r="A35" t="inlineStr">
        <is>
          <t>Amasado y batido</t>
        </is>
      </c>
      <c r="B35" s="13">
        <f>SUMPRODUCT(--('Equipamiento'!$F$16:$F$37=$A35))</f>
        <v>2.0</v>
      </c>
      <c r="C35" s="14">
        <f>SUMPRODUCT(--('Equipamiento'!$F$16:$F$37=$A35),'Equipamiento'!$L$16:$L$37)</f>
        <v>5795.04</v>
      </c>
      <c r="D35" s="14">
        <f>SUMPRODUCT(--('Equipamiento'!$F$16:$F$37=$A35),'Equipamiento'!$O$16:$O$37)</f>
        <v>5795.04</v>
      </c>
      <c r="E35" s="13">
        <f>SUMPRODUCT(--('Equipamiento'!$F$16:$F$37=$A35),--('Equipamiento'!$A$16:$A$37='Equipamiento'!$A$65))</f>
        <v>0.0</v>
      </c>
      <c r="F35" s="4" t="inlineStr"/>
    </row>
    <row r="36">
      <c r="A36" t="inlineStr">
        <is>
          <t>Chocolate</t>
        </is>
      </c>
      <c r="B36" s="13">
        <f>SUMPRODUCT(--('Equipamiento'!$F$16:$F$37=$A36))</f>
        <v>1.0</v>
      </c>
      <c r="C36" s="14">
        <f>SUMPRODUCT(--('Equipamiento'!$F$16:$F$37=$A36),'Equipamiento'!$L$16:$L$37)</f>
        <v>7400.0</v>
      </c>
      <c r="D36" s="14">
        <f>SUMPRODUCT(--('Equipamiento'!$F$16:$F$37=$A36),'Equipamiento'!$O$16:$O$37)</f>
        <v>7400.0</v>
      </c>
      <c r="E36" s="13">
        <f>SUMPRODUCT(--('Equipamiento'!$F$16:$F$37=$A36),--('Equipamiento'!$A$16:$A$37='Equipamiento'!$A$65))</f>
        <v>0.0</v>
      </c>
      <c r="F36" s="4" t="inlineStr"/>
    </row>
    <row r="37">
      <c r="A37" t="inlineStr">
        <is>
          <t>Frío positivo</t>
        </is>
      </c>
      <c r="B37" s="13">
        <f>SUMPRODUCT(--('Equipamiento'!$F$16:$F$37=$A37))</f>
        <v>3.0</v>
      </c>
      <c r="C37" s="14">
        <f>SUMPRODUCT(--('Equipamiento'!$F$16:$F$37=$A37),'Equipamiento'!$L$16:$L$37)</f>
        <v>15700.0</v>
      </c>
      <c r="D37" s="14">
        <f>SUMPRODUCT(--('Equipamiento'!$F$16:$F$37=$A37),'Equipamiento'!$O$16:$O$37)</f>
        <v>15700.0</v>
      </c>
      <c r="E37" s="13">
        <f>SUMPRODUCT(--('Equipamiento'!$F$16:$F$37=$A37),--('Equipamiento'!$A$16:$A$37='Equipamiento'!$A$65))</f>
        <v>0.0</v>
      </c>
      <c r="F37" s="4" t="inlineStr"/>
    </row>
    <row r="38">
      <c r="A38" t="inlineStr">
        <is>
          <t>Instalaciones</t>
        </is>
      </c>
      <c r="B38" s="13">
        <f>SUMPRODUCT(--('Equipamiento'!$F$16:$F$37=$A38))</f>
        <v>2.0</v>
      </c>
      <c r="C38" s="14">
        <f>SUMPRODUCT(--('Equipamiento'!$F$16:$F$37=$A38),'Equipamiento'!$L$16:$L$37)</f>
        <v>7900.0</v>
      </c>
      <c r="D38" s="14">
        <f>SUMPRODUCT(--('Equipamiento'!$F$16:$F$37=$A38),'Equipamiento'!$O$16:$O$37)</f>
        <v>7900.0</v>
      </c>
      <c r="E38" s="13">
        <f>SUMPRODUCT(--('Equipamiento'!$F$16:$F$37=$A38),--('Equipamiento'!$A$16:$A$37='Equipamiento'!$A$65))</f>
        <v>0.0</v>
      </c>
      <c r="F38" s="4" t="inlineStr"/>
    </row>
    <row r="39">
      <c r="A39" t="inlineStr">
        <is>
          <t>Mobiliario de obrador</t>
        </is>
      </c>
      <c r="B39" s="13">
        <f>SUMPRODUCT(--('Equipamiento'!$F$16:$F$37=$A39))</f>
        <v>2.0</v>
      </c>
      <c r="C39" s="14">
        <f>SUMPRODUCT(--('Equipamiento'!$F$16:$F$37=$A39),'Equipamiento'!$L$16:$L$37)</f>
        <v>6000.0</v>
      </c>
      <c r="D39" s="14">
        <f>SUMPRODUCT(--('Equipamiento'!$F$16:$F$37=$A39),'Equipamiento'!$O$16:$O$37)</f>
        <v>6000.0</v>
      </c>
      <c r="E39" s="13">
        <f>SUMPRODUCT(--('Equipamiento'!$F$16:$F$37=$A39),--('Equipamiento'!$A$16:$A$37='Equipamiento'!$A$65))</f>
        <v>0.0</v>
      </c>
      <c r="F39" s="4" t="inlineStr"/>
    </row>
    <row r="40">
      <c r="A40" t="inlineStr">
        <is>
          <t>Control</t>
        </is>
      </c>
      <c r="B40" s="13">
        <f>SUMPRODUCT(--('Equipamiento'!$F$16:$F$37=$A40))</f>
        <v>1.0</v>
      </c>
      <c r="C40" s="14">
        <f>SUMPRODUCT(--('Equipamiento'!$F$16:$F$37=$A40),'Equipamiento'!$L$16:$L$37)</f>
        <v>900.0</v>
      </c>
      <c r="D40" s="14">
        <f>SUMPRODUCT(--('Equipamiento'!$F$16:$F$37=$A40),'Equipamiento'!$O$16:$O$37)</f>
        <v>900.0</v>
      </c>
      <c r="E40" s="13">
        <f>SUMPRODUCT(--('Equipamiento'!$F$16:$F$37=$A40),--('Equipamiento'!$A$16:$A$37='Equipamiento'!$A$65))</f>
        <v>0.0</v>
      </c>
      <c r="F40" s="4" t="inlineStr"/>
    </row>
    <row r="41"/>
    <row r="42">
      <c r="A42" s="3" t="inlineStr">
        <is>
          <t>Proveedores</t>
        </is>
      </c>
    </row>
    <row r="43" ht="22" customHeight="1">
      <c r="A43" t="inlineStr">
        <is>
          <t>Proveedores verificados publicados</t>
        </is>
      </c>
      <c r="B43" s="16">
        <f>'Proveedores'!$F$16</f>
        <v>9.0</v>
      </c>
      <c r="C43" s="7" t="inlineStr">
        <is>
          <t>Los nueve con URL comprobada el 10-09-2026.</t>
        </is>
      </c>
    </row>
    <row r="44" ht="22" customHeight="1">
      <c r="A44" t="inlineStr">
        <is>
          <t>Proveedores con los que ya trabajas</t>
        </is>
      </c>
      <c r="B44" s="16">
        <f>'Proveedores'!$F$17</f>
        <v>0.0</v>
      </c>
      <c r="C44" s="7" t="inlineStr"/>
    </row>
    <row r="45" ht="22" customHeight="1">
      <c r="A45" t="inlineStr">
        <is>
          <t>Líneas de equipamiento sin proveedor asignado</t>
        </is>
      </c>
      <c r="B45" s="16">
        <f>SUMPRODUCT(--('Equipamiento'!$Q$16:$Q$37='Equipamiento'!$G$61))</f>
        <v>13.0</v>
      </c>
      <c r="C45" s="7" t="inlineStr">
        <is>
          <t>Las que siguen con el texto «Pendiente: pide tres presupuestos». En maquinaria de obrador se vende por presupuesto: mientras no haya nombre, no hay precio.</t>
        </is>
      </c>
    </row>
    <row r="46"/>
    <row r="47" ht="40" customHeight="1">
      <c r="A47" s="7" t="inlineStr">
        <is>
          <t>Este contador NO dice si puedes abrir: dice si tienes el equipo. Lo otro -la comunicación al registro sanitario, la licencia, el plan de APPCC y la formación- lo cuenta el «checklist-legal-y-licencias.xlsx» (libro 6), que además encadena los plazos y calcula la fecha de apertura.</t>
        </is>
      </c>
    </row>
    <row r="48" ht="32" customHeight="1">
      <c r="A48" s="7" t="inlineStr">
        <is>
          <t>Y no dice si el obrador rinde: cuántas piezas al día aguanta el equipo que estás comprando lo calcula el «capacidad-obrador-y-local.xlsx» (libro 1). Comprar el equipo completo no garantiza sacar la producción de Reyes.</t>
        </is>
      </c>
    </row>
    <row r="49"/>
    <row r="50">
      <c r="A50" s="2" t="inlineStr">
        <is>
          <t>Diseñado por John Guerrero — chef y consultor gastronómico desde 2010, en cocina desde los 17 años.</t>
        </is>
      </c>
    </row>
    <row r="51">
      <c r="A51"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20">
    <mergeCell ref="C6:F6"/>
    <mergeCell ref="C21:F21"/>
    <mergeCell ref="C18:F18"/>
    <mergeCell ref="C10:F10"/>
    <mergeCell ref="C44:F44"/>
    <mergeCell ref="C19:F19"/>
    <mergeCell ref="C43:F43"/>
    <mergeCell ref="C11:F11"/>
    <mergeCell ref="C15:F15"/>
    <mergeCell ref="C8:F8"/>
    <mergeCell ref="C9:F9"/>
    <mergeCell ref="A47:F47"/>
    <mergeCell ref="C14:F14"/>
    <mergeCell ref="A48:F48"/>
    <mergeCell ref="C7:F7"/>
    <mergeCell ref="C13:F13"/>
    <mergeCell ref="A3:F3"/>
    <mergeCell ref="C12:F12"/>
    <mergeCell ref="C20:F20"/>
    <mergeCell ref="C45:F45"/>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de equipamiento y proveedores</dc:title>
  <dc:subject xmlns:dc="http://purl.org/dc/elements/1.1/">Cómo Montar una Pastelería · Versión 1.0 · septiembre 2026</dc:subject>
  <dcterms:created xmlns:dcterms="http://purl.org/dc/terms/" xmlns:xsi="http://www.w3.org/2001/XMLSchema-instance" xsi:type="dcterms:W3CDTF">2026-09-10T04:58:09Z</dcterms:created>
  <dcterms:modified xmlns:dcterms="http://purl.org/dc/terms/" xmlns:xsi="http://www.w3.org/2001/XMLSchema-instance" xsi:type="dcterms:W3CDTF">2026-09-10T04:58:09Z</dcterms:modified>
  <cp:lastModifiedBy>AI Chef Pro</cp:lastModifiedBy>
</cp:coreProperties>
</file>