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hecklist Legal (F1-F6)" sheetId="2" state="visible" r:id="rId2"/>
    <sheet xmlns:r="http://schemas.openxmlformats.org/officeDocument/2006/relationships" name="Árbol de Registro Sanitario" sheetId="3" state="visible" r:id="rId3"/>
    <sheet xmlns:r="http://schemas.openxmlformats.org/officeDocument/2006/relationships" name="Suministro a Otros Minoristas" sheetId="4" state="visible" r:id="rId4"/>
    <sheet xmlns:r="http://schemas.openxmlformats.org/officeDocument/2006/relationships" name="Ruta Doméstica" sheetId="5" state="visible" r:id="rId5"/>
    <sheet xmlns:r="http://schemas.openxmlformats.org/officeDocument/2006/relationships" name="Registro de Formación" sheetId="6" state="visible" r:id="rId6"/>
    <sheet xmlns:r="http://schemas.openxmlformats.org/officeDocument/2006/relationships" name="Cronograma y Ruta Crítica" sheetId="7" state="visible" r:id="rId7"/>
  </sheets>
  <definedNames>
    <definedName name="_xlnm.Print_Area" localSheetId="0">'Instrucciones'!$A$1:$C$36</definedName>
    <definedName name="_xlnm.Print_Titles" localSheetId="1">'Checklist Legal (F1-F6)'!$5:$5</definedName>
    <definedName name="_xlnm.Print_Area" localSheetId="1">'Checklist Legal (F1-F6)'!$A$1:$K$77</definedName>
    <definedName name="_xlnm.Print_Area" localSheetId="2">'Árbol de Registro Sanitario'!$A$1:$C$38</definedName>
    <definedName name="_xlnm.Print_Area" localSheetId="3">'Suministro a Otros Minoristas'!$A$1:$F$51</definedName>
    <definedName name="_xlnm.Print_Area" localSheetId="4">'Ruta Doméstica'!$A$1:$C$59</definedName>
    <definedName name="_xlnm.Print_Titles" localSheetId="5">'Registro de Formación'!$5:$5</definedName>
    <definedName name="_xlnm.Print_Area" localSheetId="5">'Registro de Formación'!$A$1:$H$21</definedName>
    <definedName name="_xlnm.Print_Titles" localSheetId="6">'Cronograma y Ruta Crítica'!$8:$8</definedName>
    <definedName name="_xlnm.Print_Area" localSheetId="6">'Cronograma y Ruta Crítica'!$A$1:$O$86</definedName>
  </definedNames>
  <calcPr calcId="124519" fullCalcOnLoad="1"/>
</workbook>
</file>

<file path=xl/styles.xml><?xml version="1.0" encoding="utf-8"?>
<styleSheet xmlns="http://schemas.openxmlformats.org/spreadsheetml/2006/main">
  <numFmts count="6">
    <numFmt numFmtId="164" formatCode="yyyy-mm-dd"/>
    <numFmt numFmtId="165" formatCode="dd/mm/yyyy"/>
    <numFmt numFmtId="166" formatCode="#,##0.00 €"/>
    <numFmt numFmtId="167" formatCode="0.0%"/>
    <numFmt numFmtId="168" formatCode="#,##0.0"/>
    <numFmt numFmtId="169" formatCode="[=999]&quot;&quot;;0.0"/>
  </numFmts>
  <fonts count="11">
    <font>
      <name val="Calibri"/>
      <family val="2"/>
      <color theme="1"/>
      <sz val="11"/>
      <scheme val="minor"/>
    </font>
    <font>
      <b val="1"/>
      <color rgb="00FFD700"/>
      <sz val="16"/>
    </font>
    <font>
      <color rgb="00808080"/>
      <sz val="9"/>
    </font>
    <font>
      <i val="1"/>
      <sz val="9"/>
    </font>
    <font>
      <b val="1"/>
      <color rgb="00FFD700"/>
      <sz val="11"/>
    </font>
    <font>
      <b val="1"/>
      <color rgb="00FFFFFF"/>
      <sz val="9"/>
    </font>
    <font>
      <b val="1"/>
      <color theme="1"/>
      <sz val="11"/>
    </font>
    <font>
      <sz val="9"/>
    </font>
    <font>
      <b val="1"/>
      <i val="1"/>
      <color rgb="00808080"/>
      <sz val="9"/>
    </font>
    <font>
      <b val="1"/>
      <sz val="9"/>
    </font>
    <font>
      <b val="1"/>
      <sz val="11"/>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6DC"/>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horizontal="general" vertical="top" wrapText="1"/>
    </xf>
    <xf numFmtId="0" fontId="0" fillId="3" borderId="0" applyProtection="1" pivotButton="0" quotePrefix="0" xfId="0">
      <protection locked="0" hidden="0"/>
    </xf>
    <xf numFmtId="0" fontId="5" fillId="2"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2" borderId="0" pivotButton="0" quotePrefix="0" xfId="0"/>
    <xf numFmtId="0" fontId="0" fillId="3" borderId="0" applyAlignment="1" applyProtection="1" pivotButton="0" quotePrefix="0" xfId="0">
      <alignment horizontal="center" vertical="top"/>
      <protection locked="0" hidden="0"/>
    </xf>
    <xf numFmtId="0" fontId="0" fillId="0" borderId="0" applyAlignment="1" pivotButton="0" quotePrefix="0" xfId="0">
      <alignment horizontal="center" vertical="top"/>
    </xf>
    <xf numFmtId="3" fontId="0" fillId="3" borderId="0" applyAlignment="1" applyProtection="1" pivotButton="0" quotePrefix="0" xfId="0">
      <alignment horizontal="center" vertical="top"/>
      <protection locked="0" hidden="0"/>
    </xf>
    <xf numFmtId="165" fontId="0" fillId="3" borderId="0" applyProtection="1" pivotButton="0" quotePrefix="0" xfId="0">
      <protection locked="0" hidden="0"/>
    </xf>
    <xf numFmtId="0" fontId="10" fillId="4" borderId="0" pivotButton="0" quotePrefix="0" xfId="0"/>
    <xf numFmtId="3" fontId="10" fillId="4" borderId="0" pivotButton="0" quotePrefix="0" xfId="0"/>
    <xf numFmtId="166" fontId="10" fillId="4" borderId="0" pivotButton="0" quotePrefix="0" xfId="0"/>
    <xf numFmtId="167" fontId="10" fillId="4" borderId="0" pivotButton="0" quotePrefix="0" xfId="0"/>
    <xf numFmtId="0" fontId="3" fillId="4" borderId="0" applyAlignment="1" pivotButton="0" quotePrefix="0" xfId="0">
      <alignment horizontal="general" vertical="top" wrapText="1"/>
    </xf>
    <xf numFmtId="166" fontId="0" fillId="3" borderId="0" applyProtection="1" pivotButton="0" quotePrefix="0" xfId="0">
      <protection locked="0" hidden="0"/>
    </xf>
    <xf numFmtId="3" fontId="0" fillId="0" borderId="0" pivotButton="0" quotePrefix="0" xfId="0"/>
    <xf numFmtId="166" fontId="0" fillId="0" borderId="0" pivotButton="0" quotePrefix="0" xfId="0"/>
    <xf numFmtId="0" fontId="8" fillId="0" borderId="0" pivotButton="0" quotePrefix="0" xfId="0"/>
    <xf numFmtId="0" fontId="9" fillId="0" borderId="0" pivotButton="0" quotePrefix="0" xfId="0"/>
    <xf numFmtId="0" fontId="7" fillId="0" borderId="0" pivotButton="0" quotePrefix="0" xfId="0"/>
    <xf numFmtId="0" fontId="6" fillId="0" borderId="0" pivotButton="0" quotePrefix="0" xfId="0"/>
    <xf numFmtId="0" fontId="6" fillId="0" borderId="0" applyAlignment="1" pivotButton="0" quotePrefix="0" xfId="0">
      <alignment vertical="top" wrapText="1"/>
    </xf>
    <xf numFmtId="168" fontId="0" fillId="3" borderId="0" applyProtection="1" pivotButton="0" quotePrefix="0" xfId="0">
      <protection locked="0" hidden="0"/>
    </xf>
    <xf numFmtId="10" fontId="0" fillId="3" borderId="0" applyProtection="1" pivotButton="0" quotePrefix="0" xfId="0">
      <protection locked="0" hidden="0"/>
    </xf>
    <xf numFmtId="168" fontId="10" fillId="4" borderId="0" pivotButton="0" quotePrefix="0" xfId="0"/>
    <xf numFmtId="10" fontId="10" fillId="4" borderId="0" pivotButton="0" quotePrefix="0" xfId="0"/>
    <xf numFmtId="167" fontId="0" fillId="3" borderId="0" applyAlignment="1" applyProtection="1" pivotButton="0" quotePrefix="0" xfId="0">
      <alignment horizontal="center" vertical="top"/>
      <protection locked="0" hidden="0"/>
    </xf>
    <xf numFmtId="10" fontId="0" fillId="0" borderId="0" pivotButton="0" quotePrefix="0" xfId="0"/>
    <xf numFmtId="168" fontId="0" fillId="3" borderId="0" applyAlignment="1" applyProtection="1" pivotButton="0" quotePrefix="0" xfId="0">
      <alignment horizontal="center" vertical="top"/>
      <protection locked="0" hidden="0"/>
    </xf>
    <xf numFmtId="168" fontId="0" fillId="0" borderId="0" pivotButton="0" quotePrefix="0" xfId="0"/>
    <xf numFmtId="3" fontId="6" fillId="0" borderId="0" pivotButton="0" quotePrefix="0" xfId="0"/>
    <xf numFmtId="3" fontId="0" fillId="0" borderId="0" applyAlignment="1" pivotButton="0" quotePrefix="0" xfId="0">
      <alignment horizontal="center" vertical="top"/>
    </xf>
    <xf numFmtId="165" fontId="0" fillId="0" borderId="0" pivotButton="0" quotePrefix="0" xfId="0"/>
    <xf numFmtId="3" fontId="0" fillId="3" borderId="0" applyProtection="1" pivotButton="0" quotePrefix="0" xfId="0">
      <protection locked="0" hidden="0"/>
    </xf>
    <xf numFmtId="169" fontId="0" fillId="0" borderId="0" pivotButton="0" quotePrefix="0" xfId="0"/>
    <xf numFmtId="168" fontId="6" fillId="0" borderId="0" pivotButton="0" quotePrefix="0" xfId="0"/>
    <xf numFmtId="168" fontId="0" fillId="0" borderId="0" applyAlignment="1" pivotButton="0" quotePrefix="0" xfId="0">
      <alignment horizontal="center" vertical="top"/>
    </xf>
  </cellXfs>
  <cellStyles count="1">
    <cellStyle name="Normal" xfId="0" builtinId="0" hidden="0"/>
  </cellStyles>
  <dxfs count="2">
    <dxf>
      <font>
        <b val="1"/>
        <color rgb="009C6500"/>
      </font>
      <fill>
        <patternFill patternType="solid">
          <fgColor rgb="00FFEB9C"/>
          <bgColor rgb="00FFEB9C"/>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C8" authorId="0" shapeId="0">
      <text>
        <t>Verificado el 10-09-2026 · RD 1027/2007 (RITE), IT 1.1.4.2.5 «Aire de extracción» (texto consolidado, última modificación 02-08-2022) · https://www.boe.es/buscar/act.php?id=BOE-A-2007-15820</t>
      </text>
    </comment>
    <comment ref="C16" authorId="0" shapeId="0">
      <text>
        <t>Verificado el 10-09-2026 · RDLeg 1175/1990, tarifas del IAE, epígrafes 419.1, 419.2, 644.1, 644.2 y 644.3 (texto consolidado, última modificación 21-03-2026) · https://www.boe.es/buscar/act.php?id=BOE-A-1990-23930</t>
      </text>
    </comment>
    <comment ref="C31" authorId="0" shapeId="0">
      <text>
        <t>Verificado el 10-09-2026 · RD 919/2006, ITC-ICG 07, apartado 4.1 (texto consolidado, última modificación 03-09-2025) · https://www.boe.es/buscar/act.php?id=BOE-A-2006-15345</t>
      </text>
    </comment>
    <comment ref="C33" authorId="0" shapeId="0">
      <text>
        <t>Verificado el 10-09-2026 · RD 193/2023, de 21 de marzo, arts. 17.2, 17.3, 17.4 y 25.2 y disposición final sexta (texto consolidado, sin modificaciones) · https://www.boe.es/buscar/act.php?id=BOE-A-2023-7417</t>
      </text>
    </comment>
    <comment ref="C37" authorId="0" shapeId="0">
      <text>
        <t>Verificado el 10-09-2026 · RD 191/2011, art. 2.2, en la redacción dada por la disposición final primera del RD 1021/2022 (texto consolidado, sin modificaciones) · https://www.boe.es/buscar/act.php?id=BOE-A-2022-21681</t>
      </text>
    </comment>
    <comment ref="C38" authorId="0" shapeId="0">
      <text>
        <t>Verificado el 10-09-2026 · RD 1021/2022, art. 3.1 (texto consolidado) · https://www.boe.es/buscar/act.php?id=BOE-A-2022-21681</t>
      </text>
    </comment>
    <comment ref="C39" authorId="0" shapeId="0">
      <text>
        <t>Verificado el 10-09-2026 · RD 1021/2022, art. 20 (texto consolidado) · https://www.boe.es/buscar/act.php?id=BOE-A-2022-21681</t>
      </text>
    </comment>
    <comment ref="C40" authorId="0" shapeId="0">
      <text>
        <t>Verificado el 10-09-2026 · RD 1021/2022 (ausencia verificada sobre el índice completo) + RD 109/2010 (derogación del RD 202/2000) + Rgto. (CE) 852/2004, Anexo II, Cap. XII · https://eur-lex.europa.eu/legal-content/ES/TXT/HTML/?uri=CELEX:02004R0852-20210324</t>
      </text>
    </comment>
    <comment ref="C41" authorId="0" shapeId="0">
      <text>
        <t>Verificado el 10-09-2026 · RD 126/2015, arts. 4.1, 5.1, 6.2, 6.5 y 10 (texto consolidado, sin modificaciones) · https://www.boe.es/buscar/act.php?id=BOE-A-2015-2293</t>
      </text>
    </comment>
    <comment ref="C42" authorId="0" shapeId="0">
      <text>
        <t>Verificado el 10-09-2026 · RDLeg 2/2015 (Estatuto de los Trabajadores), art. 34.9, en la redacción dada por el art. 10 del RD-ley 8/2019 (texto consolidado del ET, última modificación 04-12-2025) · https://www.boe.es/buscar/act.php?id=BOE-A-2015-11430</t>
      </text>
    </comment>
    <comment ref="C46" authorId="0" shapeId="0">
      <text>
        <t>Verificado el 10-09-2026 · Resolución de 7 de febrero de 2026 de la D.G. de Trabajo de la Comunidad de Madrid, revisión salarial 2026 del convenio código 28001025011981. BOCM núm. 50 · https://www.bocm.es/boletin/CM_Orden_BOCM/2026/02/28/BOCM-20260228-2.PDF</t>
      </text>
    </comment>
    <comment ref="C47" authorId="0" shapeId="0">
      <text>
        <t>Verificado el 10-09-2026 · RD 126/2026, de 18 de febrero, arts. 1, 3.1, 4.1 y 4.2 (texto consolidado, sin modificaciones) · https://www.boe.es/buscar/act.php?id=BOE-A-2026-3815</t>
      </text>
    </comment>
    <comment ref="C48" authorId="0" shapeId="0">
      <text>
        <t>Verificado el 10-09-2026 · RD 1007/2023, disposición final cuarta y arts. 3.1 y 3.2 del Reglamento (texto consolidado, última modificación 03-12-2025 por el RD-ley 15/2025) · https://www.boe.es/buscar/act.php?id=BOE-A-2023-24840</t>
      </text>
    </comment>
    <comment ref="C49" authorId="0" shapeId="0">
      <text>
        <t>Verificado el 10-09-2026 · RD 1055/2022, arts. 2.f) y 2.j) (texto consolidado, sin modificaciones) · https://www.boe.es/buscar/act.php?id=BOE-A-2022-22690</t>
      </text>
    </comment>
    <comment ref="C50" authorId="0" shapeId="0">
      <text>
        <t>Verificado el 10-09-2026 · Ley 1/2004, de 21 de diciembre, de Horarios Comerciales, arts. 3.1, 4.1, 4.2, 5.1 y 5.2 (texto consolidado, última modificación 17-10-2014) · https://www.boe.es/buscar/act.php?id=BOE-A-2004-21421</t>
      </text>
    </comment>
  </commentList>
</comments>
</file>

<file path=xl/comments/comment2.xml><?xml version="1.0" encoding="utf-8"?>
<comments xmlns="http://schemas.openxmlformats.org/spreadsheetml/2006/main">
  <authors>
    <author>AI Chef Pro</author>
  </authors>
  <commentList>
    <comment ref="B6" authorId="0" shapeId="0">
      <text>
        <t>Verificado el 10-09-2026 · RD 191/2011, art. 2.2, en la redacción dada por la disposición final primera del RD 1021/2022 (texto consolidado, sin modificaciones) · https://www.boe.es/buscar/act.php?id=BOE-A-2022-21681</t>
      </text>
    </comment>
    <comment ref="B7" authorId="0" shapeId="0">
      <text>
        <t>Verificado el 10-09-2026 · RD 1021/2022, art. 3.1 (texto consolidado) · https://www.boe.es/buscar/act.php?id=BOE-A-2022-21681</t>
      </text>
    </comment>
    <comment ref="B8" authorId="0" shapeId="0">
      <text>
        <t>Verificado el 10-09-2026 · RD 1021/2022, art. 3.6 (texto consolidado) · https://www.boe.es/buscar/act.php?id=BOE-A-2022-21681</t>
      </text>
    </comment>
    <comment ref="B12" authorId="0" shapeId="0">
      <text>
        <t>Verificado el 10-09-2026 · RD 191/2011, art. 2.2, en la redacción dada por la disposición final primera del RD 1021/2022 (texto consolidado, sin modificaciones) · https://www.boe.es/buscar/act.php?id=BOE-A-2022-21681</t>
      </text>
    </comment>
    <comment ref="B14" authorId="0" shapeId="0">
      <text>
        <t>Verificado el 10-09-2026 · RD 191/2011, art. 2.2, en la redacción dada por la disposición final primera del RD 1021/2022 (texto consolidado, sin modificaciones) · https://www.boe.es/buscar/act.php?id=BOE-A-2022-21681</t>
      </text>
    </comment>
    <comment ref="B15" authorId="0" shapeId="0">
      <text>
        <t>Verificado el 10-09-2026 · DECRETO 26/2026, de 25 de marzo, del Consejo de Gobierno (Comunidad de Madrid), arts. 6, 8.1, 9.1, D.T. única y D.F. segunda. BOCM núm. 73 · https://www.bocm.es/boletin/CM_Orden_BOCM/2026/03/27/BOCM-20260327-1.PDF</t>
      </text>
    </comment>
    <comment ref="B16" authorId="0" shapeId="0">
      <text>
        <t>Verificado el 10-09-2026 · RD 1021/2022, art. 3.6 (texto consolidado) · https://www.boe.es/buscar/act.php?id=BOE-A-2022-21681</t>
      </text>
    </comment>
  </commentList>
</comments>
</file>

<file path=xl/comments/comment3.xml><?xml version="1.0" encoding="utf-8"?>
<comments xmlns="http://schemas.openxmlformats.org/spreadsheetml/2006/main">
  <authors>
    <author>AI Chef Pro</author>
  </authors>
  <commentList>
    <comment ref="B6" authorId="0" shapeId="0">
      <text>
        <t>Verificado el 10-09-2026 · RD 1021/2022, art. 3.1 (texto consolidado) · https://www.boe.es/buscar/act.php?id=BOE-A-2022-21681</t>
      </text>
    </comment>
    <comment ref="B20" authorId="0" shapeId="0">
      <text>
        <t>Verificado el 10-09-2026 · RD 1021/2022, art. 3.2 (texto consolidado) · https://www.boe.es/buscar/act.php?id=BOE-A-2022-21681</t>
      </text>
    </comment>
    <comment ref="B23" authorId="0" shapeId="0">
      <text>
        <t>Verificado el 10-09-2026 · RD 1021/2022, art. 3.2 (texto consolidado) · https://www.boe.es/buscar/act.php?id=BOE-A-2022-21681</t>
      </text>
    </comment>
    <comment ref="B29" authorId="0" shapeId="0">
      <text>
        <t>Verificado el 10-09-2026 · RD 1021/2022, art. 3.3 (texto consolidado) · https://www.boe.es/buscar/act.php?id=BOE-A-2022-21681</t>
      </text>
    </comment>
    <comment ref="B30" authorId="0" shapeId="0">
      <text>
        <t>Verificado el 10-09-2026 · RD 1021/2022, art. 3.3 (texto consolidado) · https://www.boe.es/buscar/act.php?id=BOE-A-2022-21681</t>
      </text>
    </comment>
    <comment ref="B36" authorId="0" shapeId="0">
      <text>
        <t>Verificado el 10-09-2026 · RD 1021/2022, arts. 3.4 y 3.5 (texto consolidado) · https://www.boe.es/buscar/act.php?id=BOE-A-2022-21681</t>
      </text>
    </comment>
    <comment ref="B41" authorId="0" shapeId="0">
      <text>
        <t>Verificado el 10-09-2026 · RD 1021/2022, art. 3.1 (texto consolidado) · https://www.boe.es/buscar/act.php?id=BOE-A-2022-21681</t>
      </text>
    </comment>
    <comment ref="B42" authorId="0" shapeId="0">
      <text>
        <t>Verificado el 10-09-2026 · RD 1021/2022, arts. 3.4 y 3.5 (texto consolidado) · https://www.boe.es/buscar/act.php?id=BOE-A-2022-21681</t>
      </text>
    </comment>
  </commentList>
</comments>
</file>

<file path=xl/comments/comment4.xml><?xml version="1.0" encoding="utf-8"?>
<comments xmlns="http://schemas.openxmlformats.org/spreadsheetml/2006/main">
  <authors>
    <author>AI Chef Pro</author>
  </authors>
  <commentList>
    <comment ref="B9" authorId="0" shapeId="0">
      <text>
        <t>Verificado el 10-09-2026 · DECRETO 13/2025, de 28 de enero, del Consell, por el que se regula el Registro Sanitario de Establecimientos Alimentarios Menores de la Comunitat Valenciana, arts. 5.1, 8, 9 y Anexo único. DOGV núm. 10036 · https://dogv.gva.es/datos/2025/01/30/pdf/2025_911_es.pdf</t>
      </text>
    </comment>
    <comment ref="B13" authorId="0" shapeId="0">
      <text>
        <t>Verificado el 10-09-2026 · RD 1021/2022, art. 13.9 (texto consolidado) · https://www.boe.es/buscar/act.php?id=BOE-A-2022-21681</t>
      </text>
    </comment>
    <comment ref="B15" authorId="0" shapeId="0">
      <text>
        <t>CRITERIO PROPIO DE LA CASA, no de la norma. El art. 13.9 exige que el volumen sea «proporcional al tamaño de las instalaciones» pero NO da ningún número, así que aquí se propone uno para poder medirlo. Es discutible y lo puedes cambiar: lo que no puedes es ignorar el requisito, porque es el que de verdad se incumple.</t>
      </text>
    </comment>
    <comment ref="B18" authorId="0" shapeId="0">
      <text>
        <t>Verificado el 10-09-2026 · RD 1021/2022, art. 13.9 (texto consolidado) · https://www.boe.es/buscar/act.php?id=BOE-A-2022-21681</t>
      </text>
    </comment>
    <comment ref="A26" authorId="0" shapeId="0">
      <text>
        <t>Verificado el 10-09-2026 · RD 1021/2022, art. 13.4, 13.5 y 13.8 (texto consolidado) · https://www.boe.es/buscar/act.php?id=BOE-A-2022-21681</t>
      </text>
    </comment>
    <comment ref="A31" authorId="0" shapeId="0">
      <text>
        <t>Verificado el 10-09-2026 · RD 1021/2022, art. 13.4, 13.5 y 13.8 (texto consolidado) · https://www.boe.es/buscar/act.php?id=BOE-A-2022-21681</t>
      </text>
    </comment>
    <comment ref="B36" authorId="0" shapeId="0">
      <text>
        <t>Verificado el 10-09-2026 · RD 1021/2022, art. 13.10 (texto consolidado) · https://www.boe.es/buscar/act.php?id=BOE-A-2022-21681</t>
      </text>
    </comment>
  </commentList>
</comments>
</file>

<file path=xl/comments/comment5.xml><?xml version="1.0" encoding="utf-8"?>
<comments xmlns="http://schemas.openxmlformats.org/spreadsheetml/2006/main">
  <authors>
    <author>AI Chef Pro</author>
  </authors>
  <commentList>
    <comment ref="B13" authorId="0" shapeId="0">
      <text>
        <t>CRITERIO PROPIO DE LA CASA. La norma no fija caducidad para la formación: lo que exige es que la formación sea adecuada y demostrable. Dos años es un plazo razonable para repasarla y dejar constancia; ponlo en lo que tú decidas y cúmplelo.</t>
      </text>
    </comment>
    <comment ref="A21" authorId="0" shapeId="0">
      <text>
        <t>Verificado el 10-09-2026 · RD 1021/2022 (ausencia verificada sobre el índice completo) + RD 109/2010 (derogación del RD 202/2000) + Rgto. (CE) 852/2004, Anexo II, Cap. XII · https://eur-lex.europa.eu/legal-content/ES/TXT/HTML/?uri=CELEX:02004R0852-20210324</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44" customWidth="1" min="1" max="1"/>
    <col width="44" customWidth="1" min="2" max="2"/>
    <col width="44" customWidth="1" min="3" max="3"/>
  </cols>
  <sheetData>
    <row r="1" ht="26" customHeight="1">
      <c r="A1" s="1" t="inlineStr">
        <is>
          <t>Checklist legal, licencias y cronograma de apertura</t>
        </is>
      </c>
    </row>
    <row r="2">
      <c r="A2" s="2" t="inlineStr">
        <is>
          <t>AI Chef Pro · aichef.pro — Cómo Montar una Pastelería</t>
        </is>
      </c>
    </row>
    <row r="3">
      <c r="A3" s="3" t="inlineStr">
        <is>
          <t>Para qué sirve: saber qué papel te toca, en qué orden, si te basta la comunicación autonómica y cuándo abres.</t>
        </is>
      </c>
    </row>
    <row r="4"/>
    <row r="5">
      <c r="A5" s="4" t="inlineStr">
        <is>
          <t>Instrucciones de uso</t>
        </is>
      </c>
    </row>
    <row r="6" ht="62" customHeight="1">
      <c r="A6" s="5" t="inlineStr">
        <is>
          <t>1. Hoja «Checklist Legal (F1-F6)»: los treinta trámites en el orden en que hay que hacerlos, repartidos en seis fases. Marca la casilla, escribe el coste que te presupuestan y el que acabas pagando, y pon las dos fechas. Cada fase lleva su contador y su porcentaje de avance; abajo está el resumen de todo y la desviación entre lo previsto y lo real.</t>
        </is>
      </c>
    </row>
    <row r="7" ht="62" customHeight="1">
      <c r="A7" s="5" t="inlineStr">
        <is>
          <t>2. Hoja «Árbol de Registro Sanitario»: tres preguntas y un veredicto. Es la hoja que corrige el error más caro del sector: una pastelería que vende al consumidor final está EXCLUIDA del registro estatal (RGSEAA) y lo que le toca es una comunicación o declaración responsable a su comunidad autónoma, que además NO habilita para abrir.</t>
        </is>
      </c>
    </row>
    <row r="8" ht="62" customHeight="1">
      <c r="A8" s="5" t="inlineStr">
        <is>
          <t>3. Hoja «Suministro a Otros Minoristas»: el árbol del art. 3 del RD 1021/2022, con su puerta de entrada delante. Si no sirves a otros comercios de distinta titularidad, este artículo no te aplica y la hoja te lo dice en la primera línea. Si te aplica, las tres condiciones son ACUMULATIVAS y dentro de «marginal» hay DOS vías alternativas.</t>
        </is>
      </c>
    </row>
    <row r="9" ht="62" customHeight="1">
      <c r="A9" s="5" t="inlineStr">
        <is>
          <t>4. Hoja «Ruta Doméstica»: si te planteas empezar desde casa. Los tres límites del art. 13.9 (el tope de kilos, la proporcionalidad con el tamaño y el «se demostrará documentalmente»), la lista blanca del art. 13.8 con sus CINCO letras y las cinco prohibiciones del 13.5 agrupadas por su régimen. Ojo con la letra e): tu comunidad puede haber ampliado la lista, y una ya lo ha hecho.</t>
        </is>
      </c>
    </row>
    <row r="10" ht="62" customHeight="1">
      <c r="A10" s="5" t="inlineStr">
        <is>
          <t>5. Hoja «Registro de Formación»: una línea por persona con la fecha, el contenido y la caducidad que TÚ fijas. El «carnet de manipulador» no existe desde 2010: lo que hay que tener es este registro, y la responsabilidad de tenerlo es de la empresa.</t>
        </is>
      </c>
    </row>
    <row r="11" ht="62" customHeight="1">
      <c r="A11" s="5" t="inlineStr">
        <is>
          <t>6. Hoja «Cronograma y Ruta Crítica»: doce hitos con su duración y sus dependencias. La hoja calcula cuándo empieza y acaba cada uno, cuánta holgura tiene, cuáles están en la ruta crítica -los que si se retrasan un día retrasan la apertura un día- y en qué mes acabas abriendo. Y te avisa si esa fecha cae dentro de una campaña.</t>
        </is>
      </c>
    </row>
    <row r="12"/>
    <row r="13">
      <c r="A13" s="6" t="inlineStr">
        <is>
          <t>Celdas verdes = campos editables</t>
        </is>
      </c>
    </row>
    <row r="14"/>
    <row r="15">
      <c r="A15" s="4" t="inlineStr">
        <is>
          <t>Lo que conviene saber antes de empezar</t>
        </is>
      </c>
    </row>
    <row r="16" ht="72" customHeight="1">
      <c r="A16" s="5" t="inlineStr">
        <is>
          <t>EL ERROR NÚMERO UNO DEL SECTOR ESTÁ EN LA SEGUNDA HOJA. Una pastelería minorista que vende al consumidor final NO se inscribe en el Registro General Sanitario de Empresas Alimentarias y Alimentos. Está excluida por norma. Lo que le toca es comunicárselo a su comunidad autónoma. Hay consultoras cobrando por tramitar un registro que no hace falta, y hay quien retrasa una apertura semanas esperando una inscripción que nadie le ha pedido.</t>
        </is>
      </c>
    </row>
    <row r="17" ht="72" customHeight="1">
      <c r="A17" s="5" t="inlineStr">
        <is>
          <t>LA COMUNICACIÓN AUTONÓMICA NO HABILITA PARA ABRIR, y eso corta en los dos sentidos: no tienes que esperar a que te contesten, pero tampoco te protege de nada si el resto no está en regla.</t>
        </is>
      </c>
    </row>
    <row r="18" ht="72" customHeight="1">
      <c r="A18" s="5" t="inlineStr">
        <is>
          <t>LO QUE CAMBIA POR COMUNIDAD AUTÓNOMA VA MARCADO. En el checklist hay una columna que lo dice trámite a trámite. Aquí se usan cuatro comunidades como EJEMPLO -Madrid, Cataluña, Andalucía y la Comunitat Valenciana- porque son las que se están adaptando ahora mismo al RD 1021/2022. Si la tuya no está, busca «registro sanitario establecimientos alimentarios menores» más el nombre de tu comunidad: el decreto que salga es el tuyo.</t>
        </is>
      </c>
    </row>
    <row r="19" ht="72" customHeight="1">
      <c r="A19" s="5" t="inlineStr">
        <is>
          <t>LOS COSTES QUE NO CONOCEMOS NO SE INVENTAN. Los trámites cuyo importe depende de tu ayuntamiento o de tu proveedor vienen con «A presupuestar» en la celda verde, y el resumen te dice cuántos te quedan por pedir. Un número puesto a ojo en una tasa municipal es peor que un hueco: el hueco lo ves.</t>
        </is>
      </c>
    </row>
    <row r="20" ht="72" customHeight="1">
      <c r="A20" s="5" t="inlineStr">
        <is>
          <t>LAS FECHAS CADUCAN. El convenio y el salario mínimo, el 31-12-2026. Verifactu entra el 1-01-2027 para sociedades y el 1-07-2027 para autónomos. Los envases reutilizables, el 1-01-2027. Y el régimen transitorio de Madrid termina el 28-03-2027. Todo eso está en celdas y en notas, no cosido en un párrafo, para que se pueda actualizar de una en una.</t>
        </is>
      </c>
    </row>
    <row r="21" ht="72" customHeight="1">
      <c r="A21" s="5" t="inlineStr">
        <is>
          <t>ESTE LIBRO NO ES UN DICTAMEN JURÍDICO. Cada dato normativo lleva en su celda un comentario con la norma, el artículo y el enlace al texto consolidado, verificados el 10 de septiembre de 2026. Lo que hay que hacer con eso es leerlos y contrastarlos con tu ayuntamiento y con tu comunidad, no fiarte de una casilla.</t>
        </is>
      </c>
    </row>
    <row r="22"/>
    <row r="23">
      <c r="A23" s="4" t="inlineStr">
        <is>
          <t>QUÉ HACE ESTE LIBRO Y QUÉ HACE OTRO (para no teclear dos veces)</t>
        </is>
      </c>
    </row>
    <row r="24" ht="26" customHeight="1">
      <c r="A24" s="7" t="inlineStr">
        <is>
          <t>Producto o libro</t>
        </is>
      </c>
      <c r="B24" s="7" t="inlineStr">
        <is>
          <t>Qué aporta</t>
        </is>
      </c>
      <c r="C24" s="7" t="inlineStr">
        <is>
          <t>Qué NO hace este libro</t>
        </is>
      </c>
    </row>
    <row r="25" ht="62" customHeight="1">
      <c r="A25" s="8" t="inlineStr">
        <is>
          <t>pack-appcc (14 €)</t>
        </is>
      </c>
      <c r="B25" s="9" t="inlineStr">
        <is>
          <t>Los registros del plan de APPCC ya montados y listos para rellenar.</t>
        </is>
      </c>
      <c r="C25" s="9" t="inlineStr">
        <is>
          <t>Aquí sólo hay una FILA de checklist que dice «redacta el plan y designa por su nombre al responsable». El plan en sí es aquel producto.</t>
        </is>
      </c>
    </row>
    <row r="26" ht="62" customHeight="1">
      <c r="A26" s="8" t="inlineStr">
        <is>
          <t>kit-tareas-pasteleria (12 €)</t>
        </is>
      </c>
      <c r="B26" s="9" t="inlineStr">
        <is>
          <t>La matriz de alérgenos de vitrina y el registro de temperaturas de recepción, ya construidos.</t>
        </is>
      </c>
      <c r="C26" s="9" t="inlineStr">
        <is>
          <t>Aquí hay una fila que te recuerda publicar la matriz antes de abrir. La guía no rehace ninguna de las dos.</t>
        </is>
      </c>
    </row>
    <row r="27" ht="62" customHeight="1">
      <c r="A27" s="8" t="inlineStr">
        <is>
          <t>El libro «checklist-equipamiento-y-proveedores» de esta misma guía</t>
        </is>
      </c>
      <c r="B27" s="9" t="inlineStr">
        <is>
          <t>El plazo de entrega de cada equipo, que es lo que de verdad mueve la fecha de apertura.</t>
        </is>
      </c>
      <c r="C27" s="9" t="inlineStr">
        <is>
          <t>El cronograma de este libro trabaja en MESES y con una duración por hito. Cuando tengas los plazos por escrito, tráelos al hito «Pedido y entrega del equipamiento».</t>
        </is>
      </c>
    </row>
    <row r="28" ht="62" customHeight="1">
      <c r="A28" s="8" t="inlineStr">
        <is>
          <t>El libro «plan-financiero-3-anos-pasteleria» de esta misma guía</t>
        </is>
      </c>
      <c r="B28" s="9" t="inlineStr">
        <is>
          <t>Los euros: qué cuesta cada bloque de inversión y cuándo sale de caja.</t>
        </is>
      </c>
      <c r="C28" s="9" t="inlineStr">
        <is>
          <t>Los costes de este checklist son los de los TRÁMITES. La obra, el equipamiento y el fondo de maniobra están allí, y allí es donde se suman.</t>
        </is>
      </c>
    </row>
    <row r="29"/>
    <row r="30">
      <c r="A30" s="4" t="inlineStr">
        <is>
          <t>Cada cuánto se usa este libro</t>
        </is>
      </c>
    </row>
    <row r="31" ht="72" customHeight="1">
      <c r="A31" s="5" t="inlineStr">
        <is>
          <t>Cadencia: el checklist y el cronograma, UNA VEZ A LA SEMANA desde que decides abrir hasta que abres. Los tres árboles -registro sanitario, suministro a otros minoristas y ruta doméstica-, UNA VEZ AL PRINCIPIO y otra cada vez que cambies de canal: el día que aceptes servir a la cafetería de al lado estarás cambiando de régimen sin darte cuenta. El registro de formación, cada vez que entra alguien y cuando caduca la formación de alguien.</t>
        </is>
      </c>
    </row>
    <row r="32"/>
    <row r="33" ht="28" customHeight="1">
      <c r="A33" s="5" t="inlineStr">
        <is>
          <t>Para editar la estructura o una celda que no esté en verde: Revisar &gt; Desproteger hoja (no tiene contraseña).</t>
        </is>
      </c>
    </row>
    <row r="34"/>
    <row r="35">
      <c r="A35" s="10" t="inlineStr">
        <is>
          <t>Diseñado por John Guerrero — chef y consultor gastronómico desde 2010, en cocina desde los 17 años.</t>
        </is>
      </c>
    </row>
    <row r="36">
      <c r="A36" s="2"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10:C10"/>
    <mergeCell ref="A16:C16"/>
    <mergeCell ref="A21:C21"/>
    <mergeCell ref="A35:C35"/>
    <mergeCell ref="A9:C9"/>
    <mergeCell ref="A7:C7"/>
    <mergeCell ref="A18:C18"/>
    <mergeCell ref="A19:C19"/>
    <mergeCell ref="A31:C31"/>
    <mergeCell ref="A36:C36"/>
    <mergeCell ref="A8:C8"/>
    <mergeCell ref="A11:C11"/>
    <mergeCell ref="A33:C33"/>
    <mergeCell ref="A20:C20"/>
    <mergeCell ref="A17:C17"/>
  </mergeCells>
  <pageMargins left="0.39" right="0.39" top="0.55" bottom="0.55"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62" customWidth="1" min="3" max="3"/>
    <col width="20" customWidth="1" min="4" max="4"/>
    <col width="11" customWidth="1" min="5" max="5"/>
    <col width="15" customWidth="1" min="6" max="6"/>
    <col width="15" customWidth="1" min="7" max="7"/>
    <col width="14" customWidth="1" min="8" max="8"/>
    <col width="14" customWidth="1" min="9" max="9"/>
    <col width="13" customWidth="1" min="10" max="10"/>
    <col width="90" customWidth="1" min="11" max="11"/>
  </cols>
  <sheetData>
    <row r="1" ht="26" customHeight="1">
      <c r="A1" s="1" t="inlineStr">
        <is>
          <t>Checklist Legal y de Licencias, en Seis Fases</t>
        </is>
      </c>
    </row>
    <row r="2">
      <c r="A2" s="2" t="inlineStr">
        <is>
          <t>AI Chef Pro · aichef.pro — Cómo Montar una Pastelería</t>
        </is>
      </c>
    </row>
    <row r="3" ht="28" customHeight="1">
      <c r="A3" s="5" t="inlineStr">
        <is>
          <t>Treinta trámites en el orden en que hay que hacerlos. Marca la casilla, escribe lo que te presupuestan y lo que acabas pagando, y pon las dos fechas. Lo que cambia según tu comunidad autónoma va marcado en su columna.</t>
        </is>
      </c>
    </row>
    <row r="4"/>
    <row r="5" ht="32" customHeight="1">
      <c r="A5" s="7" t="inlineStr"/>
      <c r="B5" s="7" t="inlineStr">
        <is>
          <t>Fase</t>
        </is>
      </c>
      <c r="C5" s="7" t="inlineStr">
        <is>
          <t>Trámite</t>
        </is>
      </c>
      <c r="D5" s="7" t="inlineStr">
        <is>
          <t>Responsable</t>
        </is>
      </c>
      <c r="E5" s="7" t="inlineStr">
        <is>
          <t>Plazo (días)</t>
        </is>
      </c>
      <c r="F5" s="7" t="inlineStr">
        <is>
          <t>Coste previsto (€)</t>
        </is>
      </c>
      <c r="G5" s="7" t="inlineStr">
        <is>
          <t>Coste real (€)</t>
        </is>
      </c>
      <c r="H5" s="7" t="inlineStr">
        <is>
          <t>Fecha objetivo</t>
        </is>
      </c>
      <c r="I5" s="7" t="inlineStr">
        <is>
          <t>Fecha hecha</t>
        </is>
      </c>
      <c r="J5" s="7" t="inlineStr">
        <is>
          <t>¿Cambia por CCAA?</t>
        </is>
      </c>
      <c r="K5" s="7" t="inlineStr">
        <is>
          <t>Notas</t>
        </is>
      </c>
    </row>
    <row r="6">
      <c r="A6" s="4" t="inlineStr">
        <is>
          <t>F1 · Antes de firmar nada: viabilidad del local</t>
        </is>
      </c>
      <c r="B6" s="11" t="inlineStr"/>
      <c r="C6" s="11" t="inlineStr"/>
      <c r="D6" s="11" t="inlineStr"/>
      <c r="E6" s="11" t="inlineStr"/>
      <c r="F6" s="11" t="inlineStr"/>
      <c r="G6" s="11" t="inlineStr"/>
      <c r="H6" s="11" t="inlineStr"/>
      <c r="I6" s="11" t="inlineStr"/>
      <c r="J6" s="11" t="inlineStr"/>
      <c r="K6" s="11" t="inlineStr"/>
    </row>
    <row r="7" ht="34" customHeight="1">
      <c r="A7" s="12" t="inlineStr">
        <is>
          <t>Pendiente</t>
        </is>
      </c>
      <c r="B7" s="13" t="inlineStr">
        <is>
          <t>F1</t>
        </is>
      </c>
      <c r="C7" s="9" t="inlineStr">
        <is>
          <t>Comprobar en el planeamiento si el uso admite obrador (industria artesanal) o sólo comercio</t>
        </is>
      </c>
      <c r="D7" t="inlineStr">
        <is>
          <t>Promotor</t>
        </is>
      </c>
      <c r="E7" s="14" t="n">
        <v>10</v>
      </c>
      <c r="F7" s="6" t="inlineStr">
        <is>
          <t>A presupuestar</t>
        </is>
      </c>
      <c r="G7" s="6" t="inlineStr">
        <is>
          <t>Sin pagar</t>
        </is>
      </c>
      <c r="H7" s="15" t="n">
        <v>46275</v>
      </c>
      <c r="I7" s="15" t="n">
        <v>46275</v>
      </c>
      <c r="J7" s="12" t="inlineStr">
        <is>
          <t>No</t>
        </is>
      </c>
      <c r="K7" s="5" t="inlineStr">
        <is>
          <t>PA-06 NO está verificado: la clasificación urbanística de un obrador sólo tiene fuente comercial. Va como PREGUNTA al ayuntamiento, nunca como afirmación.  [Fuente: PA-06]</t>
        </is>
      </c>
    </row>
    <row r="8" ht="34" customHeight="1">
      <c r="A8" s="12" t="inlineStr">
        <is>
          <t>Pendiente</t>
        </is>
      </c>
      <c r="B8" s="13" t="inlineStr">
        <is>
          <t>F1</t>
        </is>
      </c>
      <c r="C8" s="9" t="inlineStr">
        <is>
          <t>Confirmar que existe salida de humos hasta cubierta y quién la autoriza</t>
        </is>
      </c>
      <c r="D8" t="inlineStr">
        <is>
          <t>Promotor</t>
        </is>
      </c>
      <c r="E8" s="14" t="n">
        <v>15</v>
      </c>
      <c r="F8" s="6" t="inlineStr">
        <is>
          <t>A presupuestar</t>
        </is>
      </c>
      <c r="G8" s="6" t="inlineStr">
        <is>
          <t>Sin pagar</t>
        </is>
      </c>
      <c r="H8" s="15" t="n">
        <v>46275</v>
      </c>
      <c r="I8" s="15" t="n">
        <v>46275</v>
      </c>
      <c r="J8" s="12" t="inlineStr">
        <is>
          <t>No</t>
        </is>
      </c>
      <c r="K8" s="5" t="inlineStr">
        <is>
          <t>PS-86c: hasta cubierta y 1 m por encima de la cumbrera. Ojo: PA-07 corrige el research -el DB-HS 3 del CTE NO regula la ventilación de un local comercial, sólo viviendas y garajes-, así que lo que manda es el RITE más la ordenanza municipal. La comunidad de propietarios es el riesgo real, y no es normativo: es una junta.  [Fuente: PS-86c + PA-07]</t>
        </is>
      </c>
    </row>
    <row r="9" ht="34" customHeight="1">
      <c r="A9" s="12" t="inlineStr">
        <is>
          <t>Pendiente</t>
        </is>
      </c>
      <c r="B9" s="13" t="inlineStr">
        <is>
          <t>F1</t>
        </is>
      </c>
      <c r="C9" s="9" t="inlineStr">
        <is>
          <t>Pedir por escrito a la comunidad de propietarios la autorización del conducto</t>
        </is>
      </c>
      <c r="D9" t="inlineStr">
        <is>
          <t>Promotor</t>
        </is>
      </c>
      <c r="E9" s="14" t="n">
        <v>30</v>
      </c>
      <c r="F9" s="6" t="inlineStr">
        <is>
          <t>A presupuestar</t>
        </is>
      </c>
      <c r="G9" s="6" t="inlineStr">
        <is>
          <t>Sin pagar</t>
        </is>
      </c>
      <c r="H9" s="15" t="n">
        <v>46275</v>
      </c>
      <c r="I9" s="15" t="n">
        <v>46275</v>
      </c>
      <c r="J9" s="12" t="inlineStr">
        <is>
          <t>No</t>
        </is>
      </c>
      <c r="K9" s="5" t="inlineStr">
        <is>
          <t>El plazo depende de cuándo se reúna la junta. Es la variable que menos controlas.  [Fuente: supuesto]</t>
        </is>
      </c>
    </row>
    <row r="10" ht="34" customHeight="1">
      <c r="A10" s="12" t="inlineStr">
        <is>
          <t>Pendiente</t>
        </is>
      </c>
      <c r="B10" s="13" t="inlineStr">
        <is>
          <t>F1</t>
        </is>
      </c>
      <c r="C10" s="9" t="inlineStr">
        <is>
          <t>Comprobar potencia eléctrica disponible y coste del aumento</t>
        </is>
      </c>
      <c r="D10" t="inlineStr">
        <is>
          <t>Promotor</t>
        </is>
      </c>
      <c r="E10" s="14" t="n">
        <v>15</v>
      </c>
      <c r="F10" s="6" t="inlineStr">
        <is>
          <t>A presupuestar</t>
        </is>
      </c>
      <c r="G10" s="6" t="inlineStr">
        <is>
          <t>Sin pagar</t>
        </is>
      </c>
      <c r="H10" s="15" t="n">
        <v>46275</v>
      </c>
      <c r="I10" s="15" t="n">
        <v>46275</v>
      </c>
      <c r="J10" s="12" t="inlineStr">
        <is>
          <t>No</t>
        </is>
      </c>
      <c r="K10" s="5" t="inlineStr">
        <is>
          <t>PS-86a: 20-80 kW SÓLO para los hornos.  [Fuente: PS-86a]</t>
        </is>
      </c>
    </row>
    <row r="11" ht="34" customHeight="1">
      <c r="A11" s="12" t="inlineStr">
        <is>
          <t>Pendiente</t>
        </is>
      </c>
      <c r="B11" s="13" t="inlineStr">
        <is>
          <t>F1</t>
        </is>
      </c>
      <c r="C11" s="9" t="inlineStr">
        <is>
          <t>Verificar que caben las 7 zonas obligatorias con marcha adelante</t>
        </is>
      </c>
      <c r="D11" t="inlineStr">
        <is>
          <t>Promotor</t>
        </is>
      </c>
      <c r="E11" s="14" t="n">
        <v>5</v>
      </c>
      <c r="F11" s="6" t="inlineStr">
        <is>
          <t>A presupuestar</t>
        </is>
      </c>
      <c r="G11" s="6" t="inlineStr">
        <is>
          <t>Sin pagar</t>
        </is>
      </c>
      <c r="H11" s="15" t="n">
        <v>46275</v>
      </c>
      <c r="I11" s="15" t="n">
        <v>46275</v>
      </c>
      <c r="J11" s="12" t="inlineStr">
        <is>
          <t>No</t>
        </is>
      </c>
      <c r="K11" s="5" t="inlineStr">
        <is>
          <t xml:space="preserve">  [Fuente: PS-86d]</t>
        </is>
      </c>
    </row>
    <row r="12">
      <c r="A12" s="16" t="n"/>
      <c r="B12" s="16" t="n"/>
      <c r="C12" s="16" t="inlineStr">
        <is>
          <t>AVANCE DE LA FASE F1</t>
        </is>
      </c>
      <c r="D12" s="17">
        <f>IFERROR(COUNTIF(A7:A11,"Hecho"),"")</f>
        <v>0.0</v>
      </c>
      <c r="E12" s="17">
        <f>IFERROR(COUNTIF(B7:B11,"F1"),"")</f>
        <v>5.0</v>
      </c>
      <c r="F12" s="18">
        <f>IFERROR(SUMIF(F7:F11,"&gt;=0"),"")</f>
        <v>0.0</v>
      </c>
      <c r="G12" s="18">
        <f>IFERROR(SUMIF(G7:G11,"&gt;=0"),"")</f>
        <v>0.0</v>
      </c>
      <c r="H12" s="16" t="n"/>
      <c r="I12" s="16" t="n"/>
      <c r="J12" s="19">
        <f>IFERROR(IF(E12=0,"",(D12+COUNTIF(A7:A11,"N/A"))/E12),"")</f>
        <v>0.0</v>
      </c>
      <c r="K12" s="20" t="inlineStr">
        <is>
          <t>Hechos · trámites de la fase · coste previsto · coste real · % de avance (los «N/A» cuentan como resueltos).</t>
        </is>
      </c>
    </row>
    <row r="13"/>
    <row r="14">
      <c r="A14" s="4" t="inlineStr">
        <is>
          <t>F2 · Sociedad, altas y proyecto técnico</t>
        </is>
      </c>
      <c r="B14" s="11" t="inlineStr"/>
      <c r="C14" s="11" t="inlineStr"/>
      <c r="D14" s="11" t="inlineStr"/>
      <c r="E14" s="11" t="inlineStr"/>
      <c r="F14" s="11" t="inlineStr"/>
      <c r="G14" s="11" t="inlineStr"/>
      <c r="H14" s="11" t="inlineStr"/>
      <c r="I14" s="11" t="inlineStr"/>
      <c r="J14" s="11" t="inlineStr"/>
      <c r="K14" s="11" t="inlineStr"/>
    </row>
    <row r="15" ht="34" customHeight="1">
      <c r="A15" s="12" t="inlineStr">
        <is>
          <t>Pendiente</t>
        </is>
      </c>
      <c r="B15" s="13" t="inlineStr">
        <is>
          <t>F2</t>
        </is>
      </c>
      <c r="C15" s="9" t="inlineStr">
        <is>
          <t>Constituir la sociedad o darse de alta como autónomo</t>
        </is>
      </c>
      <c r="D15" t="inlineStr">
        <is>
          <t>Promotor</t>
        </is>
      </c>
      <c r="E15" s="14" t="n">
        <v>20</v>
      </c>
      <c r="F15" s="21" t="n">
        <v>600</v>
      </c>
      <c r="G15" s="6" t="inlineStr">
        <is>
          <t>Sin pagar</t>
        </is>
      </c>
      <c r="H15" s="15" t="n">
        <v>46275</v>
      </c>
      <c r="I15" s="15" t="n">
        <v>46275</v>
      </c>
      <c r="J15" s="12" t="inlineStr">
        <is>
          <t>No</t>
        </is>
      </c>
      <c r="K15" s="5" t="inlineStr">
        <is>
          <t>Importa para Verifactu: sociedad, 1-ene-2027; autónomo, 1-jul-2027 (PA-37).  [Fuente: supuesto]</t>
        </is>
      </c>
    </row>
    <row r="16" ht="34" customHeight="1">
      <c r="A16" s="12" t="inlineStr">
        <is>
          <t>Pendiente</t>
        </is>
      </c>
      <c r="B16" s="13" t="inlineStr">
        <is>
          <t>F2</t>
        </is>
      </c>
      <c r="C16" s="9" t="inlineStr">
        <is>
          <t>Alta censal (modelo 036) y epígrafe de IAE</t>
        </is>
      </c>
      <c r="D16" t="inlineStr">
        <is>
          <t>Gestoría</t>
        </is>
      </c>
      <c r="E16" s="14" t="n">
        <v>3</v>
      </c>
      <c r="F16" s="6" t="inlineStr">
        <is>
          <t>A presupuestar</t>
        </is>
      </c>
      <c r="G16" s="6" t="inlineStr">
        <is>
          <t>Sin pagar</t>
        </is>
      </c>
      <c r="H16" s="15" t="n">
        <v>46275</v>
      </c>
      <c r="I16" s="15" t="n">
        <v>46275</v>
      </c>
      <c r="J16" s="12" t="inlineStr">
        <is>
          <t>No</t>
        </is>
      </c>
      <c r="K16" s="5" t="inlineStr">
        <is>
          <t>PA-38 corrige el research: los epígrafes son 419.1, 419.2, 644.1, 644.2 y 644.3 del RDLeg 1175/1990 y NO se copian de la guía de panadería sin mirar cuál te toca. PA-38b: hay exención de cuota por cifra de negocio (art. 82.1.b y c del TRLRHL).  [Fuente: PA-38]</t>
        </is>
      </c>
    </row>
    <row r="17" ht="34" customHeight="1">
      <c r="A17" s="12" t="inlineStr">
        <is>
          <t>Pendiente</t>
        </is>
      </c>
      <c r="B17" s="13" t="inlineStr">
        <is>
          <t>F2</t>
        </is>
      </c>
      <c r="C17" s="9" t="inlineStr">
        <is>
          <t>Alta en el régimen correspondiente de la Seguridad Social</t>
        </is>
      </c>
      <c r="D17" t="inlineStr">
        <is>
          <t>Gestoría</t>
        </is>
      </c>
      <c r="E17" s="14" t="n">
        <v>3</v>
      </c>
      <c r="F17" s="6" t="inlineStr">
        <is>
          <t>A presupuestar</t>
        </is>
      </c>
      <c r="G17" s="6" t="inlineStr">
        <is>
          <t>Sin pagar</t>
        </is>
      </c>
      <c r="H17" s="15" t="n">
        <v>46275</v>
      </c>
      <c r="I17" s="15" t="n">
        <v>46275</v>
      </c>
      <c r="J17" s="12" t="inlineStr">
        <is>
          <t>No</t>
        </is>
      </c>
      <c r="K17" s="5" t="inlineStr">
        <is>
          <t xml:space="preserve">  [Fuente: supuesto]</t>
        </is>
      </c>
    </row>
    <row r="18" ht="34" customHeight="1">
      <c r="A18" s="12" t="inlineStr">
        <is>
          <t>Pendiente</t>
        </is>
      </c>
      <c r="B18" s="13" t="inlineStr">
        <is>
          <t>F2</t>
        </is>
      </c>
      <c r="C18" s="9" t="inlineStr">
        <is>
          <t>Encargar el proyecto técnico visado</t>
        </is>
      </c>
      <c r="D18" t="inlineStr">
        <is>
          <t>Ingeniería</t>
        </is>
      </c>
      <c r="E18" s="14" t="n">
        <v>30</v>
      </c>
      <c r="F18" s="21" t="n">
        <v>5000</v>
      </c>
      <c r="G18" s="6" t="inlineStr">
        <is>
          <t>Sin pagar</t>
        </is>
      </c>
      <c r="H18" s="15" t="n">
        <v>46275</v>
      </c>
      <c r="I18" s="15" t="n">
        <v>46275</v>
      </c>
      <c r="J18" s="12" t="inlineStr">
        <is>
          <t>No</t>
        </is>
      </c>
      <c r="K18" s="5" t="inlineStr">
        <is>
          <t>Es el documento del que cuelga todo lo demás: sin él no hay licencia ni obra.  [Fuente: PS-85e]</t>
        </is>
      </c>
    </row>
    <row r="19" ht="34" customHeight="1">
      <c r="A19" s="12" t="inlineStr">
        <is>
          <t>Pendiente</t>
        </is>
      </c>
      <c r="B19" s="13" t="inlineStr">
        <is>
          <t>F2</t>
        </is>
      </c>
      <c r="C19" s="9" t="inlineStr">
        <is>
          <t>Firmar el arrendamiento y depositar la fianza</t>
        </is>
      </c>
      <c r="D19" t="inlineStr">
        <is>
          <t>Promotor</t>
        </is>
      </c>
      <c r="E19" s="14" t="n">
        <v>5</v>
      </c>
      <c r="F19" s="21" t="n">
        <v>2400</v>
      </c>
      <c r="G19" s="6" t="inlineStr">
        <is>
          <t>Sin pagar</t>
        </is>
      </c>
      <c r="H19" s="15" t="n">
        <v>46275</v>
      </c>
      <c r="I19" s="15" t="n">
        <v>46275</v>
      </c>
      <c r="J19" s="12" t="inlineStr">
        <is>
          <t>Sí</t>
        </is>
      </c>
      <c r="K19" s="5" t="inlineStr">
        <is>
          <t>El depósito de la fianza se hace en el organismo de vivienda de tu CCAA y el plazo cambia en cada una.  [Fuente: supuesto]</t>
        </is>
      </c>
    </row>
    <row r="20">
      <c r="A20" s="16" t="n"/>
      <c r="B20" s="16" t="n"/>
      <c r="C20" s="16" t="inlineStr">
        <is>
          <t>AVANCE DE LA FASE F2</t>
        </is>
      </c>
      <c r="D20" s="17">
        <f>IFERROR(COUNTIF(A15:A19,"Hecho"),"")</f>
        <v>0.0</v>
      </c>
      <c r="E20" s="17">
        <f>IFERROR(COUNTIF(B15:B19,"F2"),"")</f>
        <v>5.0</v>
      </c>
      <c r="F20" s="18">
        <f>IFERROR(SUMIF(F15:F19,"&gt;=0"),"")</f>
        <v>8000.0</v>
      </c>
      <c r="G20" s="18">
        <f>IFERROR(SUMIF(G15:G19,"&gt;=0"),"")</f>
        <v>0.0</v>
      </c>
      <c r="H20" s="16" t="n"/>
      <c r="I20" s="16" t="n"/>
      <c r="J20" s="19">
        <f>IFERROR(IF(E20=0,"",(D20+COUNTIF(A15:A19,"N/A"))/E20),"")</f>
        <v>0.0</v>
      </c>
      <c r="K20" s="20" t="inlineStr">
        <is>
          <t>Hechos · trámites de la fase · coste previsto · coste real · % de avance (los «N/A» cuentan como resueltos).</t>
        </is>
      </c>
    </row>
    <row r="21"/>
    <row r="22">
      <c r="A22" s="4" t="inlineStr">
        <is>
          <t>F3 · Licencia de actividad</t>
        </is>
      </c>
      <c r="B22" s="11" t="inlineStr"/>
      <c r="C22" s="11" t="inlineStr"/>
      <c r="D22" s="11" t="inlineStr"/>
      <c r="E22" s="11" t="inlineStr"/>
      <c r="F22" s="11" t="inlineStr"/>
      <c r="G22" s="11" t="inlineStr"/>
      <c r="H22" s="11" t="inlineStr"/>
      <c r="I22" s="11" t="inlineStr"/>
      <c r="J22" s="11" t="inlineStr"/>
      <c r="K22" s="11" t="inlineStr"/>
    </row>
    <row r="23" ht="34" customHeight="1">
      <c r="A23" s="12" t="inlineStr">
        <is>
          <t>Pendiente</t>
        </is>
      </c>
      <c r="B23" s="13" t="inlineStr">
        <is>
          <t>F3</t>
        </is>
      </c>
      <c r="C23" s="9" t="inlineStr">
        <is>
          <t>Presentar la declaración responsable o solicitar la licencia de actividad</t>
        </is>
      </c>
      <c r="D23" t="inlineStr">
        <is>
          <t>Ingeniería</t>
        </is>
      </c>
      <c r="E23" s="14" t="n">
        <v>45</v>
      </c>
      <c r="F23" s="21" t="n">
        <v>1800</v>
      </c>
      <c r="G23" s="6" t="inlineStr">
        <is>
          <t>Sin pagar</t>
        </is>
      </c>
      <c r="H23" s="15" t="n">
        <v>46275</v>
      </c>
      <c r="I23" s="15" t="n">
        <v>46275</v>
      </c>
      <c r="J23" s="12" t="inlineStr">
        <is>
          <t>Sí</t>
        </is>
      </c>
      <c r="K23" s="5" t="inlineStr">
        <is>
          <t>PA-05 NO está verificado (Directiva 2006/123/CE, Ley 20/2013, art. 69 de la Ley 39/2015 y la ordenanza municipal). El régimen general es de declaración responsable, pero el procedimiento y la tasa los pone tu ayuntamiento: la guía entrega la plantilla para que rellenes el tuyo, no una afirmación nacional.  [Fuente: PA-05 + supuesto]</t>
        </is>
      </c>
    </row>
    <row r="24" ht="34" customHeight="1">
      <c r="A24" s="12" t="inlineStr">
        <is>
          <t>Pendiente</t>
        </is>
      </c>
      <c r="B24" s="13" t="inlineStr">
        <is>
          <t>F3</t>
        </is>
      </c>
      <c r="C24" s="9" t="inlineStr">
        <is>
          <t>Solicitar la licencia de obra menor o mayor según el proyecto</t>
        </is>
      </c>
      <c r="D24" t="inlineStr">
        <is>
          <t>Ingeniería</t>
        </is>
      </c>
      <c r="E24" s="14" t="n">
        <v>30</v>
      </c>
      <c r="F24" s="6" t="inlineStr">
        <is>
          <t>A presupuestar</t>
        </is>
      </c>
      <c r="G24" s="6" t="inlineStr">
        <is>
          <t>Sin pagar</t>
        </is>
      </c>
      <c r="H24" s="15" t="n">
        <v>46275</v>
      </c>
      <c r="I24" s="15" t="n">
        <v>46275</v>
      </c>
      <c r="J24" s="12" t="inlineStr">
        <is>
          <t>Sí</t>
        </is>
      </c>
      <c r="K24" s="5" t="inlineStr">
        <is>
          <t xml:space="preserve">  [Fuente: supuesto]</t>
        </is>
      </c>
    </row>
    <row r="25" ht="34" customHeight="1">
      <c r="A25" s="12" t="inlineStr">
        <is>
          <t>Pendiente</t>
        </is>
      </c>
      <c r="B25" s="13" t="inlineStr">
        <is>
          <t>F3</t>
        </is>
      </c>
      <c r="C25" s="9" t="inlineStr">
        <is>
          <t>Tramitar el rótulo y la ocupación de vía pública si la hay</t>
        </is>
      </c>
      <c r="D25" t="inlineStr">
        <is>
          <t>Promotor</t>
        </is>
      </c>
      <c r="E25" s="14" t="n">
        <v>20</v>
      </c>
      <c r="F25" s="6" t="inlineStr">
        <is>
          <t>A presupuestar</t>
        </is>
      </c>
      <c r="G25" s="6" t="inlineStr">
        <is>
          <t>Sin pagar</t>
        </is>
      </c>
      <c r="H25" s="15" t="n">
        <v>46275</v>
      </c>
      <c r="I25" s="15" t="n">
        <v>46275</v>
      </c>
      <c r="J25" s="12" t="inlineStr">
        <is>
          <t>Sí</t>
        </is>
      </c>
      <c r="K25" s="5" t="inlineStr">
        <is>
          <t xml:space="preserve">  [Fuente: supuesto]</t>
        </is>
      </c>
    </row>
    <row r="26">
      <c r="A26" s="16" t="n"/>
      <c r="B26" s="16" t="n"/>
      <c r="C26" s="16" t="inlineStr">
        <is>
          <t>AVANCE DE LA FASE F3</t>
        </is>
      </c>
      <c r="D26" s="17">
        <f>IFERROR(COUNTIF(A23:A25,"Hecho"),"")</f>
        <v>0.0</v>
      </c>
      <c r="E26" s="17">
        <f>IFERROR(COUNTIF(B23:B25,"F3"),"")</f>
        <v>3.0</v>
      </c>
      <c r="F26" s="18">
        <f>IFERROR(SUMIF(F23:F25,"&gt;=0"),"")</f>
        <v>1800.0</v>
      </c>
      <c r="G26" s="18">
        <f>IFERROR(SUMIF(G23:G25,"&gt;=0"),"")</f>
        <v>0.0</v>
      </c>
      <c r="H26" s="16" t="n"/>
      <c r="I26" s="16" t="n"/>
      <c r="J26" s="19">
        <f>IFERROR(IF(E26=0,"",(D26+COUNTIF(A23:A25,"N/A"))/E26),"")</f>
        <v>0.0</v>
      </c>
      <c r="K26" s="20" t="inlineStr">
        <is>
          <t>Hechos · trámites de la fase · coste previsto · coste real · % de avance (los «N/A» cuentan como resueltos).</t>
        </is>
      </c>
    </row>
    <row r="27"/>
    <row r="28">
      <c r="A28" s="4" t="inlineStr">
        <is>
          <t>F4 · Obra, equipamiento e instalaciones</t>
        </is>
      </c>
      <c r="B28" s="11" t="inlineStr"/>
      <c r="C28" s="11" t="inlineStr"/>
      <c r="D28" s="11" t="inlineStr"/>
      <c r="E28" s="11" t="inlineStr"/>
      <c r="F28" s="11" t="inlineStr"/>
      <c r="G28" s="11" t="inlineStr"/>
      <c r="H28" s="11" t="inlineStr"/>
      <c r="I28" s="11" t="inlineStr"/>
      <c r="J28" s="11" t="inlineStr"/>
      <c r="K28" s="11" t="inlineStr"/>
    </row>
    <row r="29" ht="34" customHeight="1">
      <c r="A29" s="12" t="inlineStr">
        <is>
          <t>Pendiente</t>
        </is>
      </c>
      <c r="B29" s="13" t="inlineStr">
        <is>
          <t>F4</t>
        </is>
      </c>
      <c r="C29" s="9" t="inlineStr">
        <is>
          <t>Ejecutar la obra civil e instalaciones</t>
        </is>
      </c>
      <c r="D29" t="inlineStr">
        <is>
          <t>Constructora</t>
        </is>
      </c>
      <c r="E29" s="14" t="n">
        <v>60</v>
      </c>
      <c r="F29" s="21" t="n">
        <v>81000</v>
      </c>
      <c r="G29" s="6" t="inlineStr">
        <is>
          <t>Sin pagar</t>
        </is>
      </c>
      <c r="H29" s="15" t="n">
        <v>46275</v>
      </c>
      <c r="I29" s="15" t="n">
        <v>46275</v>
      </c>
      <c r="J29" s="12" t="inlineStr">
        <is>
          <t>No</t>
        </is>
      </c>
      <c r="K29" s="5" t="inlineStr">
        <is>
          <t>Escenario medio: 900 €/m² × 90 m².  [Fuente: PS-85b]</t>
        </is>
      </c>
    </row>
    <row r="30" ht="34" customHeight="1">
      <c r="A30" s="12" t="inlineStr">
        <is>
          <t>Pendiente</t>
        </is>
      </c>
      <c r="B30" s="13" t="inlineStr">
        <is>
          <t>F4</t>
        </is>
      </c>
      <c r="C30" s="9" t="inlineStr">
        <is>
          <t>Pedir el equipamiento con el plazo de entrega por escrito</t>
        </is>
      </c>
      <c r="D30" t="inlineStr">
        <is>
          <t>Promotor</t>
        </is>
      </c>
      <c r="E30" s="14" t="n">
        <v>5</v>
      </c>
      <c r="F30" s="6" t="inlineStr">
        <is>
          <t>A presupuestar</t>
        </is>
      </c>
      <c r="G30" s="6" t="inlineStr">
        <is>
          <t>Sin pagar</t>
        </is>
      </c>
      <c r="H30" s="15" t="n">
        <v>46275</v>
      </c>
      <c r="I30" s="15" t="n">
        <v>46275</v>
      </c>
      <c r="J30" s="12" t="inlineStr">
        <is>
          <t>No</t>
        </is>
      </c>
      <c r="K30" s="5" t="inlineStr">
        <is>
          <t>El plazo de entrega es lo que mueve la fecha de apertura, no el precio. Pídelo por escrito y mételo en el libro 7.  [Fuente: supuesto]</t>
        </is>
      </c>
    </row>
    <row r="31" ht="34" customHeight="1">
      <c r="A31" s="12" t="inlineStr">
        <is>
          <t>Pendiente</t>
        </is>
      </c>
      <c r="B31" s="13" t="inlineStr">
        <is>
          <t>F4</t>
        </is>
      </c>
      <c r="C31" s="9" t="inlineStr">
        <is>
          <t>Certificado de instalación de gas y puesta en servicio (sólo si hay horno de gas)</t>
        </is>
      </c>
      <c r="D31" t="inlineStr">
        <is>
          <t>Instalador habilitado</t>
        </is>
      </c>
      <c r="E31" s="14" t="n">
        <v>15</v>
      </c>
      <c r="F31" s="6" t="inlineStr">
        <is>
          <t>A presupuestar</t>
        </is>
      </c>
      <c r="G31" s="6" t="inlineStr">
        <is>
          <t>Sin pagar</t>
        </is>
      </c>
      <c r="H31" s="15" t="n">
        <v>46275</v>
      </c>
      <c r="I31" s="15" t="n">
        <v>46275</v>
      </c>
      <c r="J31" s="12" t="inlineStr">
        <is>
          <t>No</t>
        </is>
      </c>
      <c r="K31" s="5" t="inlineStr">
        <is>
          <t>PA-08: con gas asumes certificado de empresa habilitada, puesta en servicio por el distribuidor e inspección periódica obligatoria cada 5 años, que se te repercute. Por debajo de 70 kW la inspección INCLUYE los aparatos, y mira la ventilación y el volumen mínimo del local.  [Fuente: PA-08]</t>
        </is>
      </c>
    </row>
    <row r="32" ht="34" customHeight="1">
      <c r="A32" s="12" t="inlineStr">
        <is>
          <t>Pendiente</t>
        </is>
      </c>
      <c r="B32" s="13" t="inlineStr">
        <is>
          <t>F4</t>
        </is>
      </c>
      <c r="C32" s="9" t="inlineStr">
        <is>
          <t>Boletín eléctrico y legalización de la instalación</t>
        </is>
      </c>
      <c r="D32" t="inlineStr">
        <is>
          <t>Instalador habilitado</t>
        </is>
      </c>
      <c r="E32" s="14" t="n">
        <v>10</v>
      </c>
      <c r="F32" s="6" t="inlineStr">
        <is>
          <t>A presupuestar</t>
        </is>
      </c>
      <c r="G32" s="6" t="inlineStr">
        <is>
          <t>Sin pagar</t>
        </is>
      </c>
      <c r="H32" s="15" t="n">
        <v>46275</v>
      </c>
      <c r="I32" s="15" t="n">
        <v>46275</v>
      </c>
      <c r="J32" s="12" t="inlineStr">
        <is>
          <t>No</t>
        </is>
      </c>
      <c r="K32" s="5" t="inlineStr">
        <is>
          <t xml:space="preserve">  [Fuente: supuesto]</t>
        </is>
      </c>
    </row>
    <row r="33" ht="34" customHeight="1">
      <c r="A33" s="12" t="inlineStr">
        <is>
          <t>Pendiente</t>
        </is>
      </c>
      <c r="B33" s="13" t="inlineStr">
        <is>
          <t>F4</t>
        </is>
      </c>
      <c r="C33" s="9" t="inlineStr">
        <is>
          <t>Comprobar accesibilidad del local</t>
        </is>
      </c>
      <c r="D33" t="inlineStr">
        <is>
          <t>Ingeniería</t>
        </is>
      </c>
      <c r="E33" s="14" t="n">
        <v>10</v>
      </c>
      <c r="F33" s="6" t="inlineStr">
        <is>
          <t>A presupuestar</t>
        </is>
      </c>
      <c r="G33" s="6" t="inlineStr">
        <is>
          <t>Sin pagar</t>
        </is>
      </c>
      <c r="H33" s="15" t="n">
        <v>46275</v>
      </c>
      <c r="I33" s="15" t="n">
        <v>46275</v>
      </c>
      <c r="J33" s="12" t="inlineStr">
        <is>
          <t>No</t>
        </is>
      </c>
      <c r="K33" s="5" t="inlineStr">
        <is>
          <t>PA-40: RD 193/2023, arts. 17 y 25 y D.F. sexta. Verificado letra a letra el 10-09-2026; mira el calendario dos veces.  [Fuente: PA-40]</t>
        </is>
      </c>
    </row>
    <row r="34">
      <c r="A34" s="16" t="n"/>
      <c r="B34" s="16" t="n"/>
      <c r="C34" s="16" t="inlineStr">
        <is>
          <t>AVANCE DE LA FASE F4</t>
        </is>
      </c>
      <c r="D34" s="17">
        <f>IFERROR(COUNTIF(A29:A33,"Hecho"),"")</f>
        <v>0.0</v>
      </c>
      <c r="E34" s="17">
        <f>IFERROR(COUNTIF(B29:B33,"F4"),"")</f>
        <v>5.0</v>
      </c>
      <c r="F34" s="18">
        <f>IFERROR(SUMIF(F29:F33,"&gt;=0"),"")</f>
        <v>81000.0</v>
      </c>
      <c r="G34" s="18">
        <f>IFERROR(SUMIF(G29:G33,"&gt;=0"),"")</f>
        <v>0.0</v>
      </c>
      <c r="H34" s="16" t="n"/>
      <c r="I34" s="16" t="n"/>
      <c r="J34" s="19">
        <f>IFERROR(IF(E34=0,"",(D34+COUNTIF(A29:A33,"N/A"))/E34),"")</f>
        <v>0.0</v>
      </c>
      <c r="K34" s="20" t="inlineStr">
        <is>
          <t>Hechos · trámites de la fase · coste previsto · coste real · % de avance (los «N/A» cuentan como resueltos).</t>
        </is>
      </c>
    </row>
    <row r="35"/>
    <row r="36">
      <c r="A36" s="4" t="inlineStr">
        <is>
          <t>F5 · Sanidad, APPCC y formación</t>
        </is>
      </c>
      <c r="B36" s="11" t="inlineStr"/>
      <c r="C36" s="11" t="inlineStr"/>
      <c r="D36" s="11" t="inlineStr"/>
      <c r="E36" s="11" t="inlineStr"/>
      <c r="F36" s="11" t="inlineStr"/>
      <c r="G36" s="11" t="inlineStr"/>
      <c r="H36" s="11" t="inlineStr"/>
      <c r="I36" s="11" t="inlineStr"/>
      <c r="J36" s="11" t="inlineStr"/>
      <c r="K36" s="11" t="inlineStr"/>
    </row>
    <row r="37" ht="34" customHeight="1">
      <c r="A37" s="12" t="inlineStr">
        <is>
          <t>Pendiente</t>
        </is>
      </c>
      <c r="B37" s="13" t="inlineStr">
        <is>
          <t>F5</t>
        </is>
      </c>
      <c r="C37" s="9" t="inlineStr">
        <is>
          <t>Presentar la comunicación o declaración responsable al registro sanitario de tu CCAA</t>
        </is>
      </c>
      <c r="D37" t="inlineStr">
        <is>
          <t>Promotor</t>
        </is>
      </c>
      <c r="E37" s="14" t="n">
        <v>5</v>
      </c>
      <c r="F37" s="21" t="n">
        <v>120</v>
      </c>
      <c r="G37" s="6" t="inlineStr">
        <is>
          <t>Sin pagar</t>
        </is>
      </c>
      <c r="H37" s="15" t="n">
        <v>46275</v>
      </c>
      <c r="I37" s="15" t="n">
        <v>46275</v>
      </c>
      <c r="J37" s="12" t="inlineStr">
        <is>
          <t>Sí</t>
        </is>
      </c>
      <c r="K37" s="5" t="inlineStr">
        <is>
          <t>NO es el RGSEAA: una pastelería que vende al consumidor final está EXCLUIDA del registro estatal (PA-01). Es un trámite autonómico que NO habilita para abrir. En Madrid, Decreto 26/2026, en vigor desde el 28-03-2026: se presenta a la vez que inicias la actividad, no antes, y las que ya estaban abiertas tienen hasta el 28-03-2027 (PA-04).  [Fuente: PA-01 + PA-04]</t>
        </is>
      </c>
    </row>
    <row r="38" ht="34" customHeight="1">
      <c r="A38" s="12" t="inlineStr">
        <is>
          <t>Pendiente</t>
        </is>
      </c>
      <c r="B38" s="13" t="inlineStr">
        <is>
          <t>F5</t>
        </is>
      </c>
      <c r="C38" s="9" t="inlineStr">
        <is>
          <t>Comprobar si tu B2B te obliga a inscribirte en el RGSEAA</t>
        </is>
      </c>
      <c r="D38" t="inlineStr">
        <is>
          <t>Promotor</t>
        </is>
      </c>
      <c r="E38" s="14" t="n">
        <v>5</v>
      </c>
      <c r="F38" s="6" t="inlineStr">
        <is>
          <t>A presupuestar</t>
        </is>
      </c>
      <c r="G38" s="6" t="inlineStr">
        <is>
          <t>Sin pagar</t>
        </is>
      </c>
      <c r="H38" s="15" t="n">
        <v>46275</v>
      </c>
      <c r="I38" s="15" t="n">
        <v>46275</v>
      </c>
      <c r="J38" s="12" t="inlineStr">
        <is>
          <t>No</t>
        </is>
      </c>
      <c r="K38" s="5" t="inlineStr">
        <is>
          <t>Sólo aplica si suministras a otros comercios minoristas DE DISTINTA TITULARIDAD. Si entras, las tres condiciones son acumulativas -marginal Y localizado Y restringido- y dentro de «marginal» hay dos vías ALTERNATIVAS: 25 % del volumen anual o 500 kg a la semana en total. Lo de central y sucursales va aparte: son una sola unidad comercial, pero cada una se inscribe por separado (PA-03).  [Fuente: PA-02]</t>
        </is>
      </c>
    </row>
    <row r="39" ht="34" customHeight="1">
      <c r="A39" s="12" t="inlineStr">
        <is>
          <t>Pendiente</t>
        </is>
      </c>
      <c r="B39" s="13" t="inlineStr">
        <is>
          <t>F5</t>
        </is>
      </c>
      <c r="C39" s="9" t="inlineStr">
        <is>
          <t>Redactar el plan de APPCC y designar por su nombre a la persona responsable</t>
        </is>
      </c>
      <c r="D39" t="inlineStr">
        <is>
          <t>Promotor</t>
        </is>
      </c>
      <c r="E39" s="14" t="n">
        <v>20</v>
      </c>
      <c r="F39" s="21" t="n">
        <v>800</v>
      </c>
      <c r="G39" s="6" t="inlineStr">
        <is>
          <t>Sin pagar</t>
        </is>
      </c>
      <c r="H39" s="15" t="n">
        <v>46275</v>
      </c>
      <c r="I39" s="15" t="n">
        <v>46275</v>
      </c>
      <c r="J39" s="12" t="inlineStr">
        <is>
          <t>No</t>
        </is>
      </c>
      <c r="K39" s="5" t="inlineStr">
        <is>
          <t>PA-10: el APPCC simplificado es legal y está escrito (art. 20 del RD 1021/2022). Las guías sectoriales son voluntarias.  [Fuente: PA-10 + supuesto]</t>
        </is>
      </c>
    </row>
    <row r="40" ht="34" customHeight="1">
      <c r="A40" s="12" t="inlineStr">
        <is>
          <t>Pendiente</t>
        </is>
      </c>
      <c r="B40" s="13" t="inlineStr">
        <is>
          <t>F5</t>
        </is>
      </c>
      <c r="C40" s="9" t="inlineStr">
        <is>
          <t>Formación de manipuladores y registro de formación por persona</t>
        </is>
      </c>
      <c r="D40" t="inlineStr">
        <is>
          <t>Promotor</t>
        </is>
      </c>
      <c r="E40" s="14" t="n">
        <v>10</v>
      </c>
      <c r="F40" s="21" t="n">
        <v>240</v>
      </c>
      <c r="G40" s="6" t="inlineStr">
        <is>
          <t>Sin pagar</t>
        </is>
      </c>
      <c r="H40" s="15" t="n">
        <v>46275</v>
      </c>
      <c r="I40" s="15" t="n">
        <v>46275</v>
      </c>
      <c r="J40" s="12" t="inlineStr">
        <is>
          <t>No</t>
        </is>
      </c>
      <c r="K40" s="5" t="inlineStr">
        <is>
          <t>PA-11: el «carnet de manipulador» NO existe desde 2010. Lo que hay que tener es un REGISTRO de formación, y es responsabilidad de la empresa.  [Fuente: PA-11 + supuesto]</t>
        </is>
      </c>
    </row>
    <row r="41" ht="34" customHeight="1">
      <c r="A41" s="12" t="inlineStr">
        <is>
          <t>Pendiente</t>
        </is>
      </c>
      <c r="B41" s="13" t="inlineStr">
        <is>
          <t>F5</t>
        </is>
      </c>
      <c r="C41" s="9" t="inlineStr">
        <is>
          <t>Matriz de alérgenos de vitrina publicada antes de abrir</t>
        </is>
      </c>
      <c r="D41" t="inlineStr">
        <is>
          <t>Promotor</t>
        </is>
      </c>
      <c r="E41" s="14" t="n">
        <v>5</v>
      </c>
      <c r="F41" s="6" t="inlineStr">
        <is>
          <t>A presupuestar</t>
        </is>
      </c>
      <c r="G41" s="6" t="inlineStr">
        <is>
          <t>Sin pagar</t>
        </is>
      </c>
      <c r="H41" s="15" t="n">
        <v>46275</v>
      </c>
      <c r="I41" s="15" t="n">
        <v>46275</v>
      </c>
      <c r="J41" s="12" t="inlineStr">
        <is>
          <t>No</t>
        </is>
      </c>
      <c r="K41" s="5" t="inlineStr">
        <is>
          <t>R3: la matriz de vitrina la resuelve el 12-control-alergenos-vitrina.xlsx del kit y la guía NO la rehace. Lo que sí construye la guía es la de OBRADOR: materias primas por alérgeno y orden de elaboración, que es otra cosa (PA-22).  [Fuente: PA-21]</t>
        </is>
      </c>
    </row>
    <row r="42" ht="34" customHeight="1">
      <c r="A42" s="12" t="inlineStr">
        <is>
          <t>Pendiente</t>
        </is>
      </c>
      <c r="B42" s="13" t="inlineStr">
        <is>
          <t>F5</t>
        </is>
      </c>
      <c r="C42" s="9" t="inlineStr">
        <is>
          <t>Fichar el sistema de registro de jornada</t>
        </is>
      </c>
      <c r="D42" t="inlineStr">
        <is>
          <t>Gestoría</t>
        </is>
      </c>
      <c r="E42" s="14" t="n">
        <v>5</v>
      </c>
      <c r="F42" s="6" t="inlineStr">
        <is>
          <t>A presupuestar</t>
        </is>
      </c>
      <c r="G42" s="6" t="inlineStr">
        <is>
          <t>Sin pagar</t>
        </is>
      </c>
      <c r="H42" s="15" t="n">
        <v>46275</v>
      </c>
      <c r="I42" s="15" t="n">
        <v>46275</v>
      </c>
      <c r="J42" s="12" t="inlineStr">
        <is>
          <t>No</t>
        </is>
      </c>
      <c r="K42" s="5" t="inlineStr">
        <is>
          <t>PA-34: hoy vale papel o una hoja de cálculo, conservados 4 años. Hay una reforma de registro horario digital EN TRAMITACIÓN que lo prohibiría: comprueba el estado antes de comprar un sistema, y no des ninguna fecha por cierta.  [Fuente: PA-34]</t>
        </is>
      </c>
    </row>
    <row r="43">
      <c r="A43" s="16" t="n"/>
      <c r="B43" s="16" t="n"/>
      <c r="C43" s="16" t="inlineStr">
        <is>
          <t>AVANCE DE LA FASE F5</t>
        </is>
      </c>
      <c r="D43" s="17">
        <f>IFERROR(COUNTIF(A37:A42,"Hecho"),"")</f>
        <v>0.0</v>
      </c>
      <c r="E43" s="17">
        <f>IFERROR(COUNTIF(B37:B42,"F5"),"")</f>
        <v>6.0</v>
      </c>
      <c r="F43" s="18">
        <f>IFERROR(SUMIF(F37:F42,"&gt;=0"),"")</f>
        <v>1160.0</v>
      </c>
      <c r="G43" s="18">
        <f>IFERROR(SUMIF(G37:G42,"&gt;=0"),"")</f>
        <v>0.0</v>
      </c>
      <c r="H43" s="16" t="n"/>
      <c r="I43" s="16" t="n"/>
      <c r="J43" s="19">
        <f>IFERROR(IF(E43=0,"",(D43+COUNTIF(A37:A42,"N/A"))/E43),"")</f>
        <v>0.0</v>
      </c>
      <c r="K43" s="20" t="inlineStr">
        <is>
          <t>Hechos · trámites de la fase · coste previsto · coste real · % de avance (los «N/A» cuentan como resueltos).</t>
        </is>
      </c>
    </row>
    <row r="44"/>
    <row r="45">
      <c r="A45" s="4" t="inlineStr">
        <is>
          <t>F6 · Apertura: fiscal, laboral y comercial</t>
        </is>
      </c>
      <c r="B45" s="11" t="inlineStr"/>
      <c r="C45" s="11" t="inlineStr"/>
      <c r="D45" s="11" t="inlineStr"/>
      <c r="E45" s="11" t="inlineStr"/>
      <c r="F45" s="11" t="inlineStr"/>
      <c r="G45" s="11" t="inlineStr"/>
      <c r="H45" s="11" t="inlineStr"/>
      <c r="I45" s="11" t="inlineStr"/>
      <c r="J45" s="11" t="inlineStr"/>
      <c r="K45" s="11" t="inlineStr"/>
    </row>
    <row r="46" ht="34" customHeight="1">
      <c r="A46" s="12" t="inlineStr">
        <is>
          <t>Pendiente</t>
        </is>
      </c>
      <c r="B46" s="13" t="inlineStr">
        <is>
          <t>F6</t>
        </is>
      </c>
      <c r="C46" s="9" t="inlineStr">
        <is>
          <t>Contratar al equipo con el convenio y el grupo correctos</t>
        </is>
      </c>
      <c r="D46" t="inlineStr">
        <is>
          <t>Gestoría</t>
        </is>
      </c>
      <c r="E46" s="14" t="n">
        <v>15</v>
      </c>
      <c r="F46" s="6" t="inlineStr">
        <is>
          <t>A presupuestar</t>
        </is>
      </c>
      <c r="G46" s="6" t="inlineStr">
        <is>
          <t>Sin pagar</t>
        </is>
      </c>
      <c r="H46" s="15" t="n">
        <v>46275</v>
      </c>
      <c r="I46" s="15" t="n">
        <v>46275</v>
      </c>
      <c r="J46" s="12" t="inlineStr">
        <is>
          <t>Sí</t>
        </is>
      </c>
      <c r="K46" s="5" t="inlineStr">
        <is>
          <t>PA-33: el convenio es PROVINCIAL o autonómico. El de Madrid tiene 6 grupos y 15 pagas. Los de Barcelona, Valencia y Sevilla NO están verificados: busca el tuyo. Y si abres pastelería-cafetería puede caerte el de hostelería, o convivir los dos por áreas funcionales: eso no está resuelto y es de dinero.  [Fuente: PA-33]</t>
        </is>
      </c>
    </row>
    <row r="47" ht="34" customHeight="1">
      <c r="A47" s="12" t="inlineStr">
        <is>
          <t>Pendiente</t>
        </is>
      </c>
      <c r="B47" s="13" t="inlineStr">
        <is>
          <t>F6</t>
        </is>
      </c>
      <c r="C47" s="9" t="inlineStr">
        <is>
          <t>Comprobar que ningún grupo del convenio queda por debajo del SMI</t>
        </is>
      </c>
      <c r="D47" t="inlineStr">
        <is>
          <t>Gestoría</t>
        </is>
      </c>
      <c r="E47" s="14" t="n">
        <v>2</v>
      </c>
      <c r="F47" s="6" t="inlineStr">
        <is>
          <t>A presupuestar</t>
        </is>
      </c>
      <c r="G47" s="6" t="inlineStr">
        <is>
          <t>Sin pagar</t>
        </is>
      </c>
      <c r="H47" s="15" t="n">
        <v>46275</v>
      </c>
      <c r="I47" s="15" t="n">
        <v>46275</v>
      </c>
      <c r="J47" s="12" t="inlineStr">
        <is>
          <t>No</t>
        </is>
      </c>
      <c r="K47" s="5" t="inlineStr">
        <is>
          <t>PA-32: SMI 2026 de 1.221 €/mes en 14 pagas, 17.094 €/año como referencia ANUAL en cómputo global. En Madrid el grupo más bajo del convenio ya lo supera con 17.886,30 €: manda el convenio. Y las dos cosas caducan el 31-12-2026.  [Fuente: PA-32]</t>
        </is>
      </c>
    </row>
    <row r="48" ht="34" customHeight="1">
      <c r="A48" s="12" t="inlineStr">
        <is>
          <t>Pendiente</t>
        </is>
      </c>
      <c r="B48" s="13" t="inlineStr">
        <is>
          <t>F6</t>
        </is>
      </c>
      <c r="C48" s="9" t="inlineStr">
        <is>
          <t>Contratar el TPV y verificar que cumple Verifactu</t>
        </is>
      </c>
      <c r="D48" t="inlineStr">
        <is>
          <t>Promotor</t>
        </is>
      </c>
      <c r="E48" s="14" t="n">
        <v>5</v>
      </c>
      <c r="F48" s="6" t="inlineStr">
        <is>
          <t>A presupuestar</t>
        </is>
      </c>
      <c r="G48" s="6" t="inlineStr">
        <is>
          <t>Sin pagar</t>
        </is>
      </c>
      <c r="H48" s="15" t="n">
        <v>46275</v>
      </c>
      <c r="I48" s="15" t="n">
        <v>46275</v>
      </c>
      <c r="J48" s="12" t="inlineStr">
        <is>
          <t>No</t>
        </is>
      </c>
      <c r="K48" s="5" t="inlineStr">
        <is>
          <t>PA-37: 1-ene-2027 para sociedades y 1-jul-2027 para autónomos. NO es 2026. Pero el software que compres hoy ya debe estar adaptado.  [Fuente: PA-37]</t>
        </is>
      </c>
    </row>
    <row r="49" ht="34" customHeight="1">
      <c r="A49" s="12" t="inlineStr">
        <is>
          <t>Pendiente</t>
        </is>
      </c>
      <c r="B49" s="13" t="inlineStr">
        <is>
          <t>F6</t>
        </is>
      </c>
      <c r="C49" s="9" t="inlineStr">
        <is>
          <t>Revisar las obligaciones de envases y de desperdicio alimentario</t>
        </is>
      </c>
      <c r="D49" t="inlineStr">
        <is>
          <t>Promotor</t>
        </is>
      </c>
      <c r="E49" s="14" t="n">
        <v>5</v>
      </c>
      <c r="F49" s="6" t="inlineStr">
        <is>
          <t>A presupuestar</t>
        </is>
      </c>
      <c r="G49" s="6" t="inlineStr">
        <is>
          <t>Sin pagar</t>
        </is>
      </c>
      <c r="H49" s="15" t="n">
        <v>46275</v>
      </c>
      <c r="I49" s="15" t="n">
        <v>46275</v>
      </c>
      <c r="J49" s="12" t="inlineStr">
        <is>
          <t>No</t>
        </is>
      </c>
      <c r="K49" s="5" t="inlineStr">
        <is>
          <t>PA-30: desde el 1-ene-2027, si tienes menos de 300 m², una referencia reutilizable de bebida. Y el art. 9.3 del RD 1055/2022 obliga a ACEPTAR el recipiente del cliente si vendes a granel: no es opcional. PA-31 y D15: de la Ley 1/2025 estás exento del PLAN del art. 6.4 si no pasas de 1.300 m², pero te siguen obligando el 6.2, el 6.3 y el 6.5; sólo si eres microempresa (6.6) quedas fuera del artículo entero. Nunca escribas «tu pastelería está exenta del plan» a secas.  [Fuente: PA-30 + PA-31]</t>
        </is>
      </c>
    </row>
    <row r="50" ht="34" customHeight="1">
      <c r="A50" s="12" t="inlineStr">
        <is>
          <t>Pendiente</t>
        </is>
      </c>
      <c r="B50" s="13" t="inlineStr">
        <is>
          <t>F6</t>
        </is>
      </c>
      <c r="C50" s="9" t="inlineStr">
        <is>
          <t>Decidir el horario y publicarlo</t>
        </is>
      </c>
      <c r="D50" t="inlineStr">
        <is>
          <t>Promotor</t>
        </is>
      </c>
      <c r="E50" s="14" t="n">
        <v>2</v>
      </c>
      <c r="F50" s="6" t="inlineStr">
        <is>
          <t>A presupuestar</t>
        </is>
      </c>
      <c r="G50" s="6" t="inlineStr">
        <is>
          <t>Sin pagar</t>
        </is>
      </c>
      <c r="H50" s="15" t="n">
        <v>46275</v>
      </c>
      <c r="I50" s="15" t="n">
        <v>46275</v>
      </c>
      <c r="J50" s="12" t="inlineStr">
        <is>
          <t>Sí</t>
        </is>
      </c>
      <c r="K50" s="5" t="inlineStr">
        <is>
          <t>PA-39: si la pastelería es la actividad PRINCIPAL tiene libertad horaria por ley estatal. No hay que pedir permiso para abrir en domingo. Los horarios generales sí los fija cada CCAA.  [Fuente: PA-39]</t>
        </is>
      </c>
    </row>
    <row r="51" ht="34" customHeight="1">
      <c r="A51" s="12" t="inlineStr">
        <is>
          <t>Pendiente</t>
        </is>
      </c>
      <c r="B51" s="13" t="inlineStr">
        <is>
          <t>F6</t>
        </is>
      </c>
      <c r="C51" s="9" t="inlineStr">
        <is>
          <t>Contratar el seguro de responsabilidad civil</t>
        </is>
      </c>
      <c r="D51" t="inlineStr">
        <is>
          <t>Promotor</t>
        </is>
      </c>
      <c r="E51" s="14" t="n">
        <v>5</v>
      </c>
      <c r="F51" s="21" t="n">
        <v>1440</v>
      </c>
      <c r="G51" s="6" t="inlineStr">
        <is>
          <t>Sin pagar</t>
        </is>
      </c>
      <c r="H51" s="15" t="n">
        <v>46275</v>
      </c>
      <c r="I51" s="15" t="n">
        <v>46275</v>
      </c>
      <c r="J51" s="12" t="inlineStr">
        <is>
          <t>Sí</t>
        </is>
      </c>
      <c r="K51" s="5" t="inlineStr">
        <is>
          <t>PA-41 NO está verificado: si es obligatorio y con qué capital depende de la CCAA.  [Fuente: PA-41 + supuesto]</t>
        </is>
      </c>
    </row>
    <row r="52">
      <c r="A52" s="16" t="n"/>
      <c r="B52" s="16" t="n"/>
      <c r="C52" s="16" t="inlineStr">
        <is>
          <t>AVANCE DE LA FASE F6</t>
        </is>
      </c>
      <c r="D52" s="17">
        <f>IFERROR(COUNTIF(A46:A51,"Hecho"),"")</f>
        <v>0.0</v>
      </c>
      <c r="E52" s="17">
        <f>IFERROR(COUNTIF(B46:B51,"F6"),"")</f>
        <v>6.0</v>
      </c>
      <c r="F52" s="18">
        <f>IFERROR(SUMIF(F46:F51,"&gt;=0"),"")</f>
        <v>1440.0</v>
      </c>
      <c r="G52" s="18">
        <f>IFERROR(SUMIF(G46:G51,"&gt;=0"),"")</f>
        <v>0.0</v>
      </c>
      <c r="H52" s="16" t="n"/>
      <c r="I52" s="16" t="n"/>
      <c r="J52" s="19">
        <f>IFERROR(IF(E52=0,"",(D52+COUNTIF(A46:A51,"N/A"))/E52),"")</f>
        <v>0.0</v>
      </c>
      <c r="K52" s="20" t="inlineStr">
        <is>
          <t>Hechos · trámites de la fase · coste previsto · coste real · % de avance (los «N/A» cuentan como resueltos).</t>
        </is>
      </c>
    </row>
    <row r="53"/>
    <row r="54">
      <c r="A54" s="4" t="inlineStr">
        <is>
          <t>RESUMEN DE TODO EL EXPEDIENTE</t>
        </is>
      </c>
      <c r="B54" s="11" t="inlineStr"/>
      <c r="C54" s="11" t="inlineStr"/>
      <c r="D54" s="11" t="inlineStr"/>
      <c r="E54" s="11" t="inlineStr"/>
      <c r="F54" s="11" t="inlineStr"/>
      <c r="G54" s="11" t="inlineStr"/>
      <c r="H54" s="11" t="inlineStr"/>
      <c r="I54" s="11" t="inlineStr"/>
      <c r="J54" s="11" t="inlineStr"/>
      <c r="K54" s="11" t="inlineStr"/>
    </row>
    <row r="55">
      <c r="C55" t="inlineStr">
        <is>
          <t>Trámites del expediente</t>
        </is>
      </c>
      <c r="D55" s="22">
        <f>IFERROR(COUNTIF(B7:B51,"F*"),"")</f>
        <v>30.0</v>
      </c>
    </row>
    <row r="56">
      <c r="C56" t="inlineStr">
        <is>
          <t>Trámites hechos</t>
        </is>
      </c>
      <c r="D56" s="22">
        <f>IFERROR(COUNTIF(A7:A51,"Hecho"),"")</f>
        <v>0.0</v>
      </c>
    </row>
    <row r="57">
      <c r="C57" t="inlineStr">
        <is>
          <t>Trámites que no te aplican (N/A)</t>
        </is>
      </c>
      <c r="D57" s="22">
        <f>IFERROR(COUNTIF(A7:A51,"N/A"),"")</f>
        <v>0.0</v>
      </c>
    </row>
    <row r="58">
      <c r="C58" s="16" t="inlineStr">
        <is>
          <t>Avance del expediente (%)</t>
        </is>
      </c>
      <c r="D58" s="19">
        <f>IFERROR(IF(D55=0,"",(D56+D57)/D55),"")</f>
        <v>0.0</v>
      </c>
    </row>
    <row r="59">
      <c r="C59" t="inlineStr">
        <is>
          <t>Coste previsto total del checklist (€)</t>
        </is>
      </c>
      <c r="D59" s="23">
        <f>IFERROR(SUMIF(F7:F51,"&gt;=0"),"")</f>
        <v>185360.0</v>
      </c>
      <c r="K59" s="5" t="inlineStr">
        <is>
          <t>OJO: esta suma NO es «lo que cuestan los papeles». Dentro está la obra civil, que es la línea de la fase F4 y se lleva ella sola la mayor parte. Los euros de la apertura, ordenados por bloques y con su IVA, están en el libro «plan-financiero-3-anos-pasteleria»: aquí sólo se controla que cada trámite tenga su importe y su fecha.</t>
        </is>
      </c>
    </row>
    <row r="60">
      <c r="C60" t="inlineStr">
        <is>
          <t>Coste real total del checklist (€)</t>
        </is>
      </c>
      <c r="D60" s="23">
        <f>IFERROR(SUMIF(G7:G51,"&gt;=0"),"")</f>
        <v>0.0</v>
      </c>
      <c r="K60" s="5" t="inlineStr">
        <is>
          <t>Se rellena solo a medida que vas pagando. Mientras esté a cero, la desviación de abajo no dice nada.</t>
        </is>
      </c>
    </row>
    <row r="61">
      <c r="C61" s="16" t="inlineStr">
        <is>
          <t>Desviación (real menos previsto, €)</t>
        </is>
      </c>
      <c r="D61" s="18">
        <f>IFERROR(D60-D59,"")</f>
        <v>-185360.0</v>
      </c>
    </row>
    <row r="62">
      <c r="C62" t="inlineStr">
        <is>
          <t>Trámites sin importe (a presupuestar)</t>
        </is>
      </c>
      <c r="D62" s="22">
        <f>IFERROR(COUNTIF(F7:F51,"A presupuestar"),"")</f>
        <v>21.0</v>
      </c>
      <c r="K62" s="5" t="inlineStr">
        <is>
          <t>Son los que dependen de tu ayuntamiento, de tu comunidad o de un proveedor. No se rellenan a ojo: se piden. Mientras esta cifra no sea cero, tu presupuesto de apertura está incompleto.</t>
        </is>
      </c>
    </row>
    <row r="63">
      <c r="C63" t="inlineStr">
        <is>
          <t>Trámites que cambian según tu comunidad autónoma</t>
        </is>
      </c>
      <c r="D63" s="22">
        <f>IFERROR(COUNTIF(J7:J51,"Sí"),"")</f>
        <v>8.0</v>
      </c>
      <c r="K63" s="5" t="inlineStr">
        <is>
          <t>Cada uno de estos hay que confirmarlo con TU comunidad. Los ejemplos del libro son Madrid, Cataluña, Andalucía y la Comunitat Valenciana, y son eso: ejemplos.</t>
        </is>
      </c>
    </row>
    <row r="64"/>
    <row r="65" ht="48" customHeight="1">
      <c r="A65" s="5" t="inlineStr">
        <is>
          <t>Los plazos en días son ORIENTATIVOS y casi todos dependen de un tercero: el ayuntamiento, la comunidad de propietarios, el ingeniero, el instalador. El único que controlas del todo es el de pedir las cosas pronto. Y hay uno que no controla nadie: la autorización de la comunidad de propietarios para el conducto de humos depende de cuándo se reúna la junta, y es la variable que más aperturas ha retrasado.</t>
        </is>
      </c>
    </row>
    <row r="66"/>
    <row r="67">
      <c r="A67" s="24" t="inlineStr">
        <is>
          <t>Listas de validación (no las borres: de aquí salen los desplegables)</t>
        </is>
      </c>
    </row>
    <row r="68">
      <c r="A68" s="25" t="inlineStr">
        <is>
          <t>Estado del trámite</t>
        </is>
      </c>
    </row>
    <row r="69">
      <c r="A69" s="26" t="inlineStr">
        <is>
          <t>Pendiente</t>
        </is>
      </c>
    </row>
    <row r="70">
      <c r="A70" s="26" t="inlineStr">
        <is>
          <t>Hecho</t>
        </is>
      </c>
    </row>
    <row r="71">
      <c r="A71" s="26" t="inlineStr">
        <is>
          <t>N/A</t>
        </is>
      </c>
    </row>
    <row r="72"/>
    <row r="73">
      <c r="A73" s="25" t="inlineStr">
        <is>
          <t>Sí o No</t>
        </is>
      </c>
    </row>
    <row r="74">
      <c r="A74" s="26" t="inlineStr">
        <is>
          <t>Sí</t>
        </is>
      </c>
    </row>
    <row r="75">
      <c r="A75" s="26"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65:K65"/>
    <mergeCell ref="A3:K3"/>
  </mergeCells>
  <conditionalFormatting sqref="J12">
    <cfRule type="expression" priority="1" dxfId="0" stopIfTrue="1">
      <formula>=AND(ISNUMBER($J$12),$J$12&lt;1)</formula>
    </cfRule>
  </conditionalFormatting>
  <conditionalFormatting sqref="J20">
    <cfRule type="expression" priority="2" dxfId="0" stopIfTrue="1">
      <formula>=AND(ISNUMBER($J$20),$J$20&lt;1)</formula>
    </cfRule>
  </conditionalFormatting>
  <conditionalFormatting sqref="J26">
    <cfRule type="expression" priority="3" dxfId="0" stopIfTrue="1">
      <formula>=AND(ISNUMBER($J$26),$J$26&lt;1)</formula>
    </cfRule>
  </conditionalFormatting>
  <conditionalFormatting sqref="J34">
    <cfRule type="expression" priority="4" dxfId="0" stopIfTrue="1">
      <formula>=AND(ISNUMBER($J$34),$J$34&lt;1)</formula>
    </cfRule>
  </conditionalFormatting>
  <conditionalFormatting sqref="J43">
    <cfRule type="expression" priority="5" dxfId="0" stopIfTrue="1">
      <formula>=AND(ISNUMBER($J$43),$J$43&lt;1)</formula>
    </cfRule>
  </conditionalFormatting>
  <conditionalFormatting sqref="J52">
    <cfRule type="expression" priority="6" dxfId="0" stopIfTrue="1">
      <formula>=AND(ISNUMBER($J$52),$J$52&lt;1)</formula>
    </cfRule>
  </conditionalFormatting>
  <conditionalFormatting sqref="D58">
    <cfRule type="expression" priority="7" dxfId="0" stopIfTrue="1">
      <formula>=AND(ISNUMBER($D$58),$D$58&lt;1)</formula>
    </cfRule>
  </conditionalFormatting>
  <conditionalFormatting sqref="D61">
    <cfRule type="expression" priority="8" dxfId="1" stopIfTrue="1">
      <formula>=AND(ISNUMBER($D$61),$D$61&gt;0)</formula>
    </cfRule>
  </conditionalFormatting>
  <conditionalFormatting sqref="D62">
    <cfRule type="expression" priority="9" dxfId="0" stopIfTrue="1">
      <formula>=AND(ISNUMBER($D$62),$D$62&gt;0)</formula>
    </cfRule>
  </conditionalFormatting>
  <dataValidations count="2">
    <dataValidation sqref="A7 A8 A9 A10 A11 A15 A16 A17 A18 A19 A23 A24 A25 A29 A30 A31 A32 A33 A37 A38 A39 A40 A41 A42 A46 A47 A48 A49 A50 A51" showDropDown="0" showInputMessage="0" showErrorMessage="1" allowBlank="0" errorTitle="Marca el estado del trámite" error="Elige Pendiente, Hecho o N/A de la lista del pie de la hoja." type="list">
      <formula1>'Checklist Legal (F1-F6)'!$A$69:$A$71</formula1>
    </dataValidation>
    <dataValidation sqref="J7 J8 J9 J10 J11 J15 J16 J17 J18 J19 J23 J24 J25 J29 J30 J31 J32 J33 J37 J38 J39 J40 J41 J42 J46 J47 J48 J49 J50 J51" showDropDown="0" showInputMessage="0" showErrorMessage="1" allowBlank="0" errorTitle="Marca Sí o No" error="Elige «Sí» o «No» de la lista del pie de la hoja." type="list">
      <formula1>'Checklist Legal (F1-F6)'!$A$74:$A$75</formula1>
    </dataValidation>
  </dataValidations>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58" customWidth="1" min="1" max="1"/>
    <col width="30" customWidth="1" min="2" max="2"/>
    <col width="96" customWidth="1" min="3" max="3"/>
  </cols>
  <sheetData>
    <row r="1" ht="26" customHeight="1">
      <c r="A1" s="1" t="inlineStr">
        <is>
          <t>¿Registro Autonómico o RGSEAA?</t>
        </is>
      </c>
    </row>
    <row r="2">
      <c r="A2" s="2" t="inlineStr">
        <is>
          <t>AI Chef Pro · aichef.pro — Cómo Montar una Pastelería</t>
        </is>
      </c>
    </row>
    <row r="3" ht="28" customHeight="1">
      <c r="A3" s="5" t="inlineStr">
        <is>
          <t>Tres preguntas y un veredicto. Es la hoja que corrige el error más caro del sector: hay consultoras cobrando por tramitar un registro estatal que a una pastelería minorista no le hace falta.</t>
        </is>
      </c>
    </row>
    <row r="4"/>
    <row r="5">
      <c r="A5" s="4" t="inlineStr">
        <is>
          <t>LAS TRES PREGUNTAS</t>
        </is>
      </c>
      <c r="B5" s="11" t="inlineStr"/>
      <c r="C5" s="11" t="inlineStr"/>
    </row>
    <row r="6" ht="30" customHeight="1">
      <c r="A6" s="9" t="inlineStr">
        <is>
          <t>¿Vendes al consumidor final (mostrador, encargos o tu propia web)?</t>
        </is>
      </c>
      <c r="B6" s="12" t="inlineStr">
        <is>
          <t>Sí</t>
        </is>
      </c>
      <c r="C6" s="5" t="inlineStr">
        <is>
          <t>Si la respuesta es «Sí», eres comercio al por menor. Y el comercio al por menor está EXCLUIDO de la obligación de inscribirse en el Registro General Sanitario de Empresas Alimentarias y Alimentos.</t>
        </is>
      </c>
    </row>
    <row r="7" ht="30" customHeight="1">
      <c r="A7" s="9" t="inlineStr">
        <is>
          <t>¿Suministras a otros establecimientos MINORISTAS de distinta titularidad?</t>
        </is>
      </c>
      <c r="B7" s="12" t="inlineStr">
        <is>
          <t>No</t>
        </is>
      </c>
      <c r="C7" s="5" t="inlineStr">
        <is>
          <t>Ojo a «de distinta titularidad»: si el que recibe es una sucursal tuya, no cuenta como suministro entre minoristas. Si la respuesta es «Sí», ve a la hoja «Suministro a Otros Minoristas» antes de leer el veredicto.</t>
        </is>
      </c>
    </row>
    <row r="8" ht="30" customHeight="1">
      <c r="A8" s="9" t="inlineStr">
        <is>
          <t>¿Tienes sucursales de tu misma titularidad?</t>
        </is>
      </c>
      <c r="B8" s="12" t="inlineStr">
        <is>
          <t>No</t>
        </is>
      </c>
      <c r="C8" s="5" t="inlineStr">
        <is>
          <t>Central con obrador y sucursales son UNA sola unidad comercial y el suministro entre ellas no es B2B. Pero cada una se inscribe en el registro autonómico de manera independiente: la ventaja viene con su deber pegado.</t>
        </is>
      </c>
    </row>
    <row r="9">
      <c r="A9" t="inlineStr">
        <is>
          <t>Tu comunidad autónoma</t>
        </is>
      </c>
      <c r="B9" s="12" t="inlineStr">
        <is>
          <t>Madrid</t>
        </is>
      </c>
      <c r="C9" s="5" t="inlineStr">
        <is>
          <t>Cuatro comunidades de EJEMPLO: son las que se están adaptando ahora mismo al RD 1021/2022. Si la tuya no está, elige «Otra» y busca «registro sanitario establecimientos alimentarios menores» más el nombre de tu comunidad.</t>
        </is>
      </c>
    </row>
    <row r="10"/>
    <row r="11">
      <c r="A11" s="4" t="inlineStr">
        <is>
          <t>EL VEREDICTO</t>
        </is>
      </c>
      <c r="B11" s="11" t="inlineStr"/>
      <c r="C11" s="11" t="inlineStr"/>
    </row>
    <row r="12" ht="34" customHeight="1">
      <c r="A12" s="27" t="inlineStr">
        <is>
          <t>Régimen que te toca</t>
        </is>
      </c>
      <c r="B12" s="28" t="str">
        <f>IFERROR(IF(B6&lt;&gt;"Sí","Esto no es una pastelería minorista: pide asesoramiento, el art. 3 no te cubre",IF(B7="No","Te basta la comunicación o declaración responsable de tu comunidad autónoma: estás EXCLUIDO del RGSEAA",'Suministro a Otros Minoristas'!$B$41)),"")</f>
        <v>Te basta la comunicación o declaración responsable de tu comunidad autónoma: estás EXCLUIDO del RGSEAA</v>
      </c>
    </row>
    <row r="13" ht="28" customHeight="1">
      <c r="A13" t="inlineStr">
        <is>
          <t>Trámite concreto</t>
        </is>
      </c>
      <c r="B13" t="str">
        <f>IFERROR(IF(B7="No","Comunicación o declaración responsable al registro de establecimientos alimentarios menores de tu comunidad autónoma","Comunicación autonómica MÁS lo que diga la hoja de suministro a otros minoristas"),"")</f>
        <v>Comunicación o declaración responsable al registro de establecimientos alimentarios menores de tu comunidad autónoma</v>
      </c>
    </row>
    <row r="14" ht="30" customHeight="1">
      <c r="A14" t="inlineStr">
        <is>
          <t>¿Ese trámite te habilita para abrir?</t>
        </is>
      </c>
      <c r="B14" s="9" t="inlineStr">
        <is>
          <t>No. La comunicación o declaración responsable NO es habilitante: se presenta al iniciar la actividad, no antes, y no sustituye a la licencia municipal.</t>
        </is>
      </c>
    </row>
    <row r="15" ht="30" customHeight="1">
      <c r="A15" t="inlineStr">
        <is>
          <t>Plazo que aplica en tu comunidad</t>
        </is>
      </c>
      <c r="B15" t="str">
        <f>IFERROR(IF(B9="Madrid","Decreto 26/2026: se presenta A LA VEZ que inicias la actividad. Los establecimientos que ya estaban abiertos tienen hasta el 28-03-2027","Busca el decreto de tu comunidad: el plazo y el modelo los pone ella"),"")</f>
        <v>Decreto 26/2026: se presenta A LA VEZ que inicias la actividad. Los establecimientos que ya estaban abiertos tienen hasta el 28-03-2027</v>
      </c>
    </row>
    <row r="16" ht="30" customHeight="1">
      <c r="A16" t="inlineStr">
        <is>
          <t>Si tienes sucursales</t>
        </is>
      </c>
      <c r="B16" t="str">
        <f>IFERROR(IF(B8="Sí","Central y sucursales son UNA unidad comercial y el suministro entre ellas no es B2B, PERO cada una se inscribe por separado en el registro autonómico","No aplica"),"")</f>
        <v>No aplica</v>
      </c>
    </row>
    <row r="17"/>
    <row r="18">
      <c r="A18" s="4" t="inlineStr">
        <is>
          <t>LOS TRES CASOS, PARA QUE SE VEA POR QUÉ</t>
        </is>
      </c>
      <c r="B18" s="11" t="inlineStr"/>
      <c r="C18" s="11" t="inlineStr"/>
    </row>
    <row r="19" ht="24" customHeight="1">
      <c r="A19" s="7" t="inlineStr">
        <is>
          <t>Tu situación</t>
        </is>
      </c>
      <c r="B19" s="7" t="inlineStr">
        <is>
          <t>Lo que te toca</t>
        </is>
      </c>
      <c r="C19" s="7" t="inlineStr">
        <is>
          <t>Por qué</t>
        </is>
      </c>
    </row>
    <row r="20" ht="46" customHeight="1">
      <c r="A20" s="9" t="inlineStr">
        <is>
          <t>Vendes sólo al consumidor final, en tu establecimiento y por tu web</t>
        </is>
      </c>
      <c r="B20" s="9" t="inlineStr">
        <is>
          <t>Comunicación o declaración responsable al registro de tu comunidad autónoma</t>
        </is>
      </c>
      <c r="C20" s="5" t="inlineStr">
        <is>
          <t>Estás EXCLUIDO del RGSEAA por norma. La venta a distancia ya está dentro de la definición de minorista: vender por internet no te saca de este régimen.</t>
        </is>
      </c>
    </row>
    <row r="21" ht="46" customHeight="1">
      <c r="A21" s="9" t="inlineStr">
        <is>
          <t>Suministras además a otros minoristas de DISTINTA titularidad, y cumples las tres condiciones del art. 3</t>
        </is>
      </c>
      <c r="B21" s="9" t="inlineStr">
        <is>
          <t>La misma comunicación autonómica, MÁS declaración responsable del art. 3.5 y registro de destinatarios, cantidades y fechas</t>
        </is>
      </c>
      <c r="C21" s="5" t="inlineStr">
        <is>
          <t>Sigues fuera del RGSEAA, pero con papeles añadidos. La hoja «Suministro a Otros Minoristas» comprueba las tres condiciones una a una.</t>
        </is>
      </c>
    </row>
    <row r="22" ht="46" customHeight="1">
      <c r="A22" s="9" t="inlineStr">
        <is>
          <t>Suministras a otros minoristas y NO cumples alguna de las tres</t>
        </is>
      </c>
      <c r="B22" s="9" t="inlineStr">
        <is>
          <t>Inscripción en el RGSEAA</t>
        </is>
      </c>
      <c r="C22" s="5" t="inlineStr">
        <is>
          <t>Basta con fallar una: las tres son acumulativas. La que más fácil se rompe es «restringido», y basta un cliente inscrito en el RGSEAA.</t>
        </is>
      </c>
    </row>
    <row r="23"/>
    <row r="24" ht="54" customHeight="1">
      <c r="A24" s="5" t="inlineStr">
        <is>
          <t>Una pastelería que vende al consumidor final está excluida de la inscripción en el RGSEAA por el art. 2.2 del RD 191/2011, en la redacción que le dio el RD 1021/2022. Lo que sí tiene que hacer es inscribirse en el registro de su comunidad autónoma previa comunicación o declaración responsable, que la propia norma dice que «no será habilitante». Todo eso está verificado contra el texto consolidado el 10 de septiembre de 2026, y el enlace está en el comentario de cada celda.</t>
        </is>
      </c>
    </row>
    <row r="25"/>
    <row r="26">
      <c r="A26" s="24" t="inlineStr">
        <is>
          <t>Listas de validación (no las borres: de aquí salen los desplegables)</t>
        </is>
      </c>
    </row>
    <row r="27">
      <c r="A27" s="25" t="inlineStr">
        <is>
          <t>Sí o No</t>
        </is>
      </c>
    </row>
    <row r="28">
      <c r="A28" s="26" t="inlineStr">
        <is>
          <t>Sí</t>
        </is>
      </c>
    </row>
    <row r="29">
      <c r="A29" s="26" t="inlineStr">
        <is>
          <t>No</t>
        </is>
      </c>
    </row>
    <row r="30"/>
    <row r="31">
      <c r="A31" s="25" t="inlineStr">
        <is>
          <t>Comunidad autónoma</t>
        </is>
      </c>
    </row>
    <row r="32">
      <c r="A32" s="26" t="inlineStr">
        <is>
          <t>Madrid</t>
        </is>
      </c>
    </row>
    <row r="33">
      <c r="A33" s="26" t="inlineStr">
        <is>
          <t>Cataluña</t>
        </is>
      </c>
    </row>
    <row r="34">
      <c r="A34" s="26" t="inlineStr">
        <is>
          <t>Andalucía</t>
        </is>
      </c>
    </row>
    <row r="35">
      <c r="A35" s="26" t="inlineStr">
        <is>
          <t>Comunitat Valenciana</t>
        </is>
      </c>
    </row>
    <row r="36">
      <c r="A36" s="26" t="inlineStr">
        <is>
          <t>Otra (busca su decreto)</t>
        </is>
      </c>
    </row>
  </sheetData>
  <sheetProtection selectLockedCells="0" selectUnlockedCells="0" sheet="1" objects="0" insertRows="0" insertHyperlinks="1" autoFilter="1" scenarios="0" formatColumns="0" deleteColumns="1" insertColumns="1" pivotTables="1" deleteRows="1" formatCells="1" formatRows="0" sort="0"/>
  <mergeCells count="7">
    <mergeCell ref="B12:C12"/>
    <mergeCell ref="B13:C13"/>
    <mergeCell ref="B16:C16"/>
    <mergeCell ref="A24:C24"/>
    <mergeCell ref="A3:C3"/>
    <mergeCell ref="B15:C15"/>
    <mergeCell ref="B14:C14"/>
  </mergeCells>
  <dataValidations count="2">
    <dataValidation sqref="B6 B7 B8" showDropDown="0" showInputMessage="0" showErrorMessage="1" allowBlank="0" errorTitle="Marca Sí o No" error="Elige «Sí» o «No» de la lista del pie." type="list">
      <formula1>'Árbol de Registro Sanitario'!$A$28:$A$29</formula1>
    </dataValidation>
    <dataValidation sqref="B9" showDropDown="0" showInputMessage="0" showErrorMessage="1" allowBlank="0" errorTitle="Elige tu comunidad autónoma" error="Elige una de la lista del pie de la hoja." type="list">
      <formula1>'Árbol de Registro Sanitario'!$A$32:$A$36</formula1>
    </dataValidation>
  </dataValidations>
  <pageMargins left="0.39" right="0.39" top="0.55" bottom="0.55"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F49"/>
  <sheetViews>
    <sheetView workbookViewId="0">
      <pane ySplit="3" topLeftCell="A4" activePane="bottomLeft" state="frozen"/>
      <selection pane="bottomLeft" activeCell="A1" sqref="A1"/>
    </sheetView>
  </sheetViews>
  <sheetFormatPr baseColWidth="8" defaultRowHeight="15"/>
  <cols>
    <col width="56" customWidth="1" min="1" max="1"/>
    <col width="20" customWidth="1" min="2" max="2"/>
    <col width="20" customWidth="1" min="3" max="3"/>
    <col width="14" customWidth="1" min="4" max="4"/>
    <col width="18" customWidth="1" min="5" max="5"/>
    <col width="92" customWidth="1" min="6" max="6"/>
  </cols>
  <sheetData>
    <row r="1" ht="26" customHeight="1">
      <c r="A1" s="1" t="inlineStr">
        <is>
          <t>Suministro a Otros Minoristas: el Árbol del Art. 3</t>
        </is>
      </c>
    </row>
    <row r="2">
      <c r="A2" s="2" t="inlineStr">
        <is>
          <t>AI Chef Pro · aichef.pro — Cómo Montar una Pastelería</t>
        </is>
      </c>
    </row>
    <row r="3" ht="28" customHeight="1">
      <c r="A3" s="5" t="inlineStr">
        <is>
          <t>Primero la puerta de entrada: esto SÓLO te aplica si suministras a establecimientos minoristas de DISTINTA titularidad. Si entras, las tres condiciones son ACUMULATIVAS, y dentro de «marginal» hay dos vías ALTERNATIVAS.</t>
        </is>
      </c>
    </row>
    <row r="4"/>
    <row r="5">
      <c r="A5" s="4" t="inlineStr">
        <is>
          <t>PUERTA DE ENTRADA: ¿TE APLICA SIQUIERA?</t>
        </is>
      </c>
      <c r="B5" s="11" t="inlineStr"/>
      <c r="C5" s="11" t="inlineStr"/>
      <c r="D5" s="11" t="inlineStr"/>
      <c r="E5" s="11" t="inlineStr"/>
      <c r="F5" s="11" t="inlineStr"/>
    </row>
    <row r="6">
      <c r="A6" s="9" t="inlineStr">
        <is>
          <t>¿Suministras alimentos de producción propia a establecimientos MINORISTAS de distinta titularidad?</t>
        </is>
      </c>
      <c r="B6" s="12" t="inlineStr">
        <is>
          <t>No</t>
        </is>
      </c>
      <c r="F6" s="5" t="inlineStr">
        <is>
          <t>Si la respuesta es «No», el art. 3 no te aplica y puedes saltarte el resto de la hoja. Vender al consumidor final, aunque sea por internet y a toda España, NO es suministrar a otros minoristas.</t>
        </is>
      </c>
    </row>
    <row r="7">
      <c r="A7" t="inlineStr">
        <is>
          <t>Lectura de la puerta de entrada</t>
        </is>
      </c>
      <c r="B7" t="str">
        <f>IFERROR(IF(B6="No","El art. 3 NO te aplica: nada de lo de abajo te obliga","Te aplica: sigue con las tres condiciones"),"")</f>
        <v>El art. 3 NO te aplica: nada de lo de abajo te obliga</v>
      </c>
    </row>
    <row r="8"/>
    <row r="9">
      <c r="A9" s="4" t="inlineStr">
        <is>
          <t>TUS DESTINATARIOS</t>
        </is>
      </c>
      <c r="B9" s="11" t="inlineStr"/>
      <c r="C9" s="11" t="inlineStr"/>
      <c r="D9" s="11" t="inlineStr"/>
      <c r="E9" s="11" t="inlineStr"/>
      <c r="F9" s="11" t="inlineStr"/>
    </row>
    <row r="10" ht="26" customHeight="1">
      <c r="A10" s="7" t="inlineStr">
        <is>
          <t>Destinatario</t>
        </is>
      </c>
      <c r="B10" s="7" t="inlineStr">
        <is>
          <t>Kilos a la semana</t>
        </is>
      </c>
      <c r="C10" s="7" t="inlineStr">
        <is>
          <t>% del volumen anual</t>
        </is>
      </c>
      <c r="D10" s="7" t="inlineStr">
        <is>
          <t>Kilómetros</t>
        </is>
      </c>
      <c r="E10" s="7" t="inlineStr">
        <is>
          <t>¿Inscrito en el RGSEAA?</t>
        </is>
      </c>
      <c r="F10" s="7" t="inlineStr">
        <is>
          <t>Notas</t>
        </is>
      </c>
    </row>
    <row r="11">
      <c r="A11" s="6" t="inlineStr">
        <is>
          <t>Cafetería de la esquina</t>
        </is>
      </c>
      <c r="B11" s="29" t="n">
        <v>22</v>
      </c>
      <c r="C11" s="30" t="n">
        <v>0.018</v>
      </c>
      <c r="D11" s="29" t="n">
        <v>1.2</v>
      </c>
      <c r="E11" s="12" t="inlineStr">
        <is>
          <t>No</t>
        </is>
      </c>
    </row>
    <row r="12">
      <c r="A12" s="6" t="inlineStr">
        <is>
          <t>Restaurante del barrio</t>
        </is>
      </c>
      <c r="B12" s="29" t="n">
        <v>14</v>
      </c>
      <c r="C12" s="30" t="n">
        <v>0.011</v>
      </c>
      <c r="D12" s="29" t="n">
        <v>2.4</v>
      </c>
      <c r="E12" s="12" t="inlineStr">
        <is>
          <t>No</t>
        </is>
      </c>
    </row>
    <row r="13">
      <c r="A13" s="6" t="inlineStr">
        <is>
          <t>Tienda gourmet del centro</t>
        </is>
      </c>
      <c r="B13" s="29" t="n">
        <v>9</v>
      </c>
      <c r="C13" s="30" t="n">
        <v>0.007</v>
      </c>
      <c r="D13" s="29" t="n">
        <v>3.1</v>
      </c>
      <c r="E13" s="12" t="inlineStr">
        <is>
          <t>No</t>
        </is>
      </c>
    </row>
    <row r="14">
      <c r="A14" s="6" t="inlineStr">
        <is>
          <t>Hotel de la avenida</t>
        </is>
      </c>
      <c r="B14" s="29" t="n">
        <v>6</v>
      </c>
      <c r="C14" s="30" t="n">
        <v>0.005</v>
      </c>
      <c r="D14" s="29" t="n">
        <v>4</v>
      </c>
      <c r="E14" s="12" t="inlineStr">
        <is>
          <t>No</t>
        </is>
      </c>
    </row>
    <row r="15">
      <c r="A15" s="6" t="inlineStr">
        <is>
          <t>(libre: escribe aquí tu quinto cliente)</t>
        </is>
      </c>
      <c r="B15" s="29" t="n">
        <v>0</v>
      </c>
      <c r="C15" s="30" t="n">
        <v>0</v>
      </c>
      <c r="D15" s="29" t="n">
        <v>0</v>
      </c>
      <c r="E15" s="12" t="inlineStr">
        <is>
          <t>No</t>
        </is>
      </c>
    </row>
    <row r="16">
      <c r="A16" s="6" t="inlineStr">
        <is>
          <t>(libre: escribe aquí tu sexto cliente)</t>
        </is>
      </c>
      <c r="B16" s="29" t="n">
        <v>0</v>
      </c>
      <c r="C16" s="30" t="n">
        <v>0</v>
      </c>
      <c r="D16" s="29" t="n">
        <v>0</v>
      </c>
      <c r="E16" s="12" t="inlineStr">
        <is>
          <t>No</t>
        </is>
      </c>
    </row>
    <row r="17">
      <c r="A17" s="16" t="inlineStr">
        <is>
          <t>TOTAL</t>
        </is>
      </c>
      <c r="B17" s="31">
        <f>IFERROR(SUM(B11:B16),"")</f>
        <v>51.0</v>
      </c>
      <c r="C17" s="32">
        <f>IFERROR(SUM(C11:C16),"")</f>
        <v>0.040999999999999995</v>
      </c>
      <c r="D17" s="31">
        <f>IFERROR(MAX(D11:D16),"")</f>
        <v>4.0</v>
      </c>
      <c r="E17" s="17">
        <f>IFERROR(COUNTIF(E11:E16,"Sí"),"")</f>
        <v>0.0</v>
      </c>
      <c r="F17" s="20" t="inlineStr">
        <is>
          <t>Los kilos y el porcentaje se suman; los kilómetros se toman al MÁXIMO (el destinatario más lejano es el que decide) y en la última columna se cuentan los que están inscritos en el RGSEAA.</t>
        </is>
      </c>
    </row>
    <row r="18"/>
    <row r="19">
      <c r="A19" s="4" t="inlineStr">
        <is>
          <t>CONDICIÓN 1 · MARGINAL (dos vías ALTERNATIVAS: basta con cumplir una)</t>
        </is>
      </c>
      <c r="B19" s="11" t="inlineStr"/>
      <c r="C19" s="11" t="inlineStr"/>
      <c r="D19" s="11" t="inlineStr"/>
      <c r="E19" s="11" t="inlineStr"/>
      <c r="F19" s="11" t="inlineStr"/>
    </row>
    <row r="20">
      <c r="A20" s="9" t="inlineStr">
        <is>
          <t>Vía a) · Umbral del volumen anual (%)</t>
        </is>
      </c>
      <c r="B20" s="33" t="n">
        <v>0.25</v>
      </c>
      <c r="F20" s="5" t="inlineStr">
        <is>
          <t>«El suministro de alimentos a otros establecimientos de comercio al por menor es inferior o igual al 25 % del volumen anual de alimentos comercializados».</t>
        </is>
      </c>
    </row>
    <row r="21">
      <c r="A21" s="9" t="inlineStr">
        <is>
          <t>Tu porcentaje a otros minoristas</t>
        </is>
      </c>
      <c r="B21" s="34">
        <f>IFERROR(C17,"")</f>
        <v>0.040999999999999995</v>
      </c>
    </row>
    <row r="22">
      <c r="A22" s="8" t="inlineStr">
        <is>
          <t>¿Cumples la vía a)?</t>
        </is>
      </c>
      <c r="B22" s="27" t="str">
        <f>IFERROR(IF(B21&lt;=B20,"Sí","No"),"")</f>
        <v>Sí</v>
      </c>
    </row>
    <row r="23">
      <c r="A23" s="9" t="inlineStr">
        <is>
          <t>Vía b) · Comercialización TOTAL máxima a la semana (kg)</t>
        </is>
      </c>
      <c r="B23" s="14" t="n">
        <v>500</v>
      </c>
      <c r="F23" s="5" t="inlineStr">
        <is>
          <t>«Supone una comercialización total de un máximo de 500 kg a la semana, INCLUYENDO el suministro a consumidor final y a otros establecimientos de comercio al por menor». Ojo: es el total, mostrador incluido, no el B2B solo.</t>
        </is>
      </c>
    </row>
    <row r="24">
      <c r="A24" s="9" t="inlineStr">
        <is>
          <t>Lo que comercializas en total a la semana, mostrador incluido (kg)</t>
        </is>
      </c>
      <c r="B24" s="35" t="n">
        <v>380</v>
      </c>
      <c r="F24" s="5" t="inlineStr">
        <is>
          <t>SUPUESTO sembrado. Cuéntalo de verdad: es el peso de todo lo que sale por la puerta, no sólo lo que va al B2B. Si te pasas de 500, la vía b) se cierra y sólo te queda la a).</t>
        </is>
      </c>
    </row>
    <row r="25">
      <c r="A25" s="8" t="inlineStr">
        <is>
          <t>¿Cumples la vía b)?</t>
        </is>
      </c>
      <c r="B25" s="27" t="str">
        <f>IFERROR(IF(B24&lt;=B23,"Sí","No"),"")</f>
        <v>Sí</v>
      </c>
    </row>
    <row r="26">
      <c r="A26" s="8" t="inlineStr">
        <is>
          <t>¿ES MARGINAL?</t>
        </is>
      </c>
      <c r="B26" s="27" t="str">
        <f>IFERROR(IF(OR(B22="Sí",B25="Sí"),"Sí","No"),"")</f>
        <v>Sí</v>
      </c>
      <c r="F26" s="5" t="inlineStr">
        <is>
          <t>Basta con cumplir UNA de las dos vías. Un obrador que despacha 900 kg a la semana sigue siendo marginal si su B2B no llega al 25 %.</t>
        </is>
      </c>
    </row>
    <row r="27"/>
    <row r="28">
      <c r="A28" s="4" t="inlineStr">
        <is>
          <t>CONDICIÓN 2 · LOCALIZADO</t>
        </is>
      </c>
      <c r="B28" s="11" t="inlineStr"/>
      <c r="C28" s="11" t="inlineStr"/>
      <c r="D28" s="11" t="inlineStr"/>
      <c r="E28" s="11" t="inlineStr"/>
      <c r="F28" s="11" t="inlineStr"/>
    </row>
    <row r="29">
      <c r="A29" s="9" t="inlineStr">
        <is>
          <t>¿Todos tus destinatarios están en tu unidad sanitaria local, zona de salud o territorio equivalente, o en una zona limítrofe?</t>
        </is>
      </c>
      <c r="B29" s="12" t="inlineStr">
        <is>
          <t>Sí</t>
        </is>
      </c>
      <c r="F29" s="5" t="inlineStr">
        <is>
          <t>El texto no habla de kilómetros dentro de la misma comunidad: habla de unidad sanitaria local, zona de salud o territorio equivalente. Los kilómetros aparecen sólo para el comercio ENTRE comunidades autónomas.</t>
        </is>
      </c>
    </row>
    <row r="30">
      <c r="A30" s="9" t="inlineStr">
        <is>
          <t>Radio máximo entre establecimientos de comunidades DISTINTAS (km)</t>
        </is>
      </c>
      <c r="B30" s="14" t="n">
        <v>50</v>
      </c>
      <c r="F30" s="5" t="inlineStr">
        <is>
          <t>Y sólo si los registros sanitarios autonómicos de origen y destino son públicos y accesibles de forma efectiva.</t>
        </is>
      </c>
    </row>
    <row r="31">
      <c r="A31" s="9" t="inlineStr">
        <is>
          <t>Distancia al destinatario más lejano (km)</t>
        </is>
      </c>
      <c r="B31" s="36">
        <f>IFERROR(D17,"")</f>
        <v>4.0</v>
      </c>
    </row>
    <row r="32">
      <c r="A32" s="9" t="inlineStr">
        <is>
          <t>¿Alguno de tus destinatarios está en otra comunidad autónoma?</t>
        </is>
      </c>
      <c r="B32" s="12" t="inlineStr">
        <is>
          <t>No</t>
        </is>
      </c>
    </row>
    <row r="33">
      <c r="A33" s="8" t="inlineStr">
        <is>
          <t>¿ES LOCALIZADO?</t>
        </is>
      </c>
      <c r="B33" s="27" t="str">
        <f>IFERROR(IF(AND(B29="Sí",OR(B32="No",B31&lt;=B30)),"Sí","No"),"")</f>
        <v>Sí</v>
      </c>
    </row>
    <row r="34"/>
    <row r="35">
      <c r="A35" s="4" t="inlineStr">
        <is>
          <t>CONDICIÓN 3 · RESTRINGIDO</t>
        </is>
      </c>
      <c r="B35" s="11" t="inlineStr"/>
      <c r="C35" s="11" t="inlineStr"/>
      <c r="D35" s="11" t="inlineStr"/>
      <c r="E35" s="11" t="inlineStr"/>
      <c r="F35" s="11" t="inlineStr"/>
    </row>
    <row r="36">
      <c r="A36" s="9" t="inlineStr">
        <is>
          <t>Destinatarios inscritos en el RGSEAA</t>
        </is>
      </c>
      <c r="B36" s="22">
        <f>IFERROR(E17,"")</f>
        <v>0.0</v>
      </c>
      <c r="F36" s="5" t="inlineStr">
        <is>
          <t>«Una actividad se considerará restringida cuando no se suministren productos alimenticios a establecimientos inscritos en el RGSEAA». Es el requisito que más fácil se rompe: basta UN cliente inscrito.</t>
        </is>
      </c>
    </row>
    <row r="37">
      <c r="A37" s="8" t="inlineStr">
        <is>
          <t>¿ES RESTRINGIDO?</t>
        </is>
      </c>
      <c r="B37" s="27" t="str">
        <f>IFERROR(IF(B36=0,"Sí","No"),"")</f>
        <v>Sí</v>
      </c>
    </row>
    <row r="38"/>
    <row r="39">
      <c r="A39" s="4" t="inlineStr">
        <is>
          <t>EL VEREDICTO</t>
        </is>
      </c>
      <c r="B39" s="11" t="inlineStr"/>
      <c r="C39" s="11" t="inlineStr"/>
      <c r="D39" s="11" t="inlineStr"/>
      <c r="E39" s="11" t="inlineStr"/>
      <c r="F39" s="11" t="inlineStr"/>
    </row>
    <row r="40">
      <c r="A40" s="8" t="inlineStr">
        <is>
          <t>Condiciones cumplidas (de tres)</t>
        </is>
      </c>
      <c r="B40" s="37">
        <f>IFERROR(COUNTIF(B26:B26,"Sí")+COUNTIF(B33:B33,"Sí")+COUNTIF(B37:B37,"Sí"),"")</f>
        <v>3.0</v>
      </c>
    </row>
    <row r="41" ht="34" customHeight="1">
      <c r="A41" s="8" t="inlineStr">
        <is>
          <t>VEREDICTO</t>
        </is>
      </c>
      <c r="B41" s="28" t="str">
        <f>IFERROR(IF(B6="No","El art. 3 no te aplica: no suministras a otros minoristas de distinta titularidad",IF(B40=3,"Cumples las tres: sigues FUERA del RGSEAA, con la declaración responsable y el registro del art. 3.5","Te toca inscribirte en el RGSEAA: falla al menos una de las tres condiciones")),"")</f>
        <v>El art. 3 no te aplica: no suministras a otros minoristas de distinta titularidad</v>
      </c>
    </row>
    <row r="42" ht="30" customHeight="1">
      <c r="A42" s="9" t="inlineStr">
        <is>
          <t>Lo que además tienes que hacer si haces B2B</t>
        </is>
      </c>
      <c r="B42" t="str">
        <f>IFERROR(IF(B6="No","Nada de esto te aplica","Presentar declaración responsable de que cumples el art. 3 y llevar registro de destinatarios, cantidades y fechas"),"")</f>
        <v>Nada de esto te aplica</v>
      </c>
    </row>
    <row r="43"/>
    <row r="44" ht="54" customHeight="1">
      <c r="A44" s="5" t="inlineStr">
        <is>
          <t>Las tres condiciones son ACUMULATIVAS: hay que cumplir marginal Y localizado Y restringido. Lo que es alternativo son las dos vías DENTRO de «marginal». Y no existe la lectura de que «los 500 kg incluyen el mostrador, así que puedes servir a quien quieras mientras no llegues a esa cifra»: si te pasas del 25 % y de los 500 kg dejas de ser marginal, y aunque seas marginal sigues teniendo que ser localizado y restringido.</t>
        </is>
      </c>
    </row>
    <row r="45"/>
    <row r="46">
      <c r="A46" s="24" t="inlineStr">
        <is>
          <t>Listas de validación (no las borres: de aquí salen los desplegables)</t>
        </is>
      </c>
    </row>
    <row r="47">
      <c r="A47" s="25" t="inlineStr">
        <is>
          <t>Sí o No</t>
        </is>
      </c>
    </row>
    <row r="48">
      <c r="A48" s="26" t="inlineStr">
        <is>
          <t>Sí</t>
        </is>
      </c>
    </row>
    <row r="49">
      <c r="A49" s="26"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5">
    <mergeCell ref="B42:E42"/>
    <mergeCell ref="A3:F3"/>
    <mergeCell ref="B41:E41"/>
    <mergeCell ref="B7:E7"/>
    <mergeCell ref="A44:F44"/>
  </mergeCells>
  <conditionalFormatting sqref="B26">
    <cfRule type="expression" priority="1" dxfId="1" stopIfTrue="1">
      <formula>=$B$26="No"</formula>
    </cfRule>
  </conditionalFormatting>
  <conditionalFormatting sqref="B33">
    <cfRule type="expression" priority="2" dxfId="1" stopIfTrue="1">
      <formula>=$B$33="No"</formula>
    </cfRule>
  </conditionalFormatting>
  <conditionalFormatting sqref="B37">
    <cfRule type="expression" priority="3" dxfId="1" stopIfTrue="1">
      <formula>=$B$37="No"</formula>
    </cfRule>
  </conditionalFormatting>
  <dataValidations count="3">
    <dataValidation sqref="B6" showDropDown="0" showInputMessage="0" showErrorMessage="1" allowBlank="0" errorTitle="Marca Sí o No" error="Elige «Sí» o «No» de la lista del pie." type="list">
      <formula1>'Suministro a Otros Minoristas'!$A$48:$A$49</formula1>
    </dataValidation>
    <dataValidation sqref="E11 E12 E13 E14 E15 E16" showDropDown="0" showInputMessage="0" showErrorMessage="1" allowBlank="0" errorTitle="Marca Sí o No" error="Elige «Sí» o «No» de la lista del pie." type="list">
      <formula1>'Suministro a Otros Minoristas'!$A$48:$A$49</formula1>
    </dataValidation>
    <dataValidation sqref="B29 B32" showDropDown="0" showInputMessage="0" showErrorMessage="1" allowBlank="0" errorTitle="Marca Sí o No" error="Elige «Sí» o «No» de la lista del pie." type="list">
      <formula1>'Suministro a Otros Minoristas'!$A$48:$A$49</formula1>
    </dataValidation>
  </dataValidations>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57"/>
  <sheetViews>
    <sheetView workbookViewId="0">
      <pane ySplit="3" topLeftCell="A4" activePane="bottomLeft" state="frozen"/>
      <selection pane="bottomLeft" activeCell="A1" sqref="A1"/>
    </sheetView>
  </sheetViews>
  <sheetFormatPr baseColWidth="8" defaultRowHeight="15"/>
  <cols>
    <col width="58" customWidth="1" min="1" max="1"/>
    <col width="22" customWidth="1" min="2" max="2"/>
    <col width="96" customWidth="1" min="3" max="3"/>
  </cols>
  <sheetData>
    <row r="1" ht="26" customHeight="1">
      <c r="A1" s="1" t="inlineStr">
        <is>
          <t>Ruta Doméstica: Elaborar en Vivienda Particular</t>
        </is>
      </c>
    </row>
    <row r="2">
      <c r="A2" s="2" t="inlineStr">
        <is>
          <t>AI Chef Pro · aichef.pro — Cómo Montar una Pastelería</t>
        </is>
      </c>
    </row>
    <row r="3" ht="28" customHeight="1">
      <c r="A3" s="5" t="inlineStr">
        <is>
          <t>El art. 13.9 pone TRES obligaciones, no una: un tope de kilos, la proporcionalidad con el tamaño de las instalaciones y el «se demostrará documentalmente». El tope casi nunca se alcanza; el que sí se incumple es el segundo.</t>
        </is>
      </c>
    </row>
    <row r="4"/>
    <row r="5">
      <c r="A5" s="4" t="inlineStr">
        <is>
          <t>TUS DATOS</t>
        </is>
      </c>
      <c r="B5" s="11" t="inlineStr"/>
      <c r="C5" s="11" t="inlineStr"/>
    </row>
    <row r="6" ht="28" customHeight="1">
      <c r="A6" s="9" t="inlineStr">
        <is>
          <t>Metros cuadrados ÚTILES dedicados a la elaboración</t>
        </is>
      </c>
      <c r="B6" s="35" t="n">
        <v>12</v>
      </c>
      <c r="C6" s="5" t="inlineStr">
        <is>
          <t>Útiles de verdad: la superficie de trabajo y el almacenamiento dedicados, no los metros de la cocina entera si además comes en ella.</t>
        </is>
      </c>
    </row>
    <row r="7" ht="28" customHeight="1">
      <c r="A7" s="9" t="inlineStr">
        <is>
          <t>Kilos de producto que elaboras a la semana</t>
        </is>
      </c>
      <c r="B7" s="35" t="n">
        <v>60</v>
      </c>
      <c r="C7" s="5" t="inlineStr">
        <is>
          <t>SUPUESTO sembrado. Pésalo durante dos semanas: es el dato que decide toda esta hoja y el único que un inspector te va a pedir por escrito.</t>
        </is>
      </c>
    </row>
    <row r="8" ht="28" customHeight="1">
      <c r="A8" s="9" t="inlineStr">
        <is>
          <t>¿Llevas un registro documental del volumen que elaboras?</t>
        </is>
      </c>
      <c r="B8" s="12" t="inlineStr">
        <is>
          <t>No</t>
        </is>
      </c>
      <c r="C8" s="5" t="inlineStr">
        <is>
          <t>Sin él, el art. 13.9 no se cumple aunque el volumen sea pequeño: la norma dice literalmente «lo cual se demostrará documentalmente».</t>
        </is>
      </c>
    </row>
    <row r="9" ht="28" customHeight="1">
      <c r="A9" s="9" t="inlineStr">
        <is>
          <t>¿Tu comunidad autónoma ha ampliado la lista del art. 13.8 por la letra e)?</t>
        </is>
      </c>
      <c r="B9" s="12" t="inlineStr">
        <is>
          <t>No</t>
        </is>
      </c>
      <c r="C9" s="5" t="inlineStr">
        <is>
          <t>La Comunitat Valenciana ya lo hizo: su Decreto 13/2025 pasa la lista de cinco letras a ocho. Lo que NO amplía es la refrigeración: la repostería sigue teniendo que ser estable a temperatura ambiente.</t>
        </is>
      </c>
    </row>
    <row r="10" ht="28" customHeight="1">
      <c r="A10" s="9" t="inlineStr">
        <is>
          <t>Tu comunidad autónoma</t>
        </is>
      </c>
      <c r="B10" s="12" t="inlineStr">
        <is>
          <t>Madrid</t>
        </is>
      </c>
    </row>
    <row r="11"/>
    <row r="12">
      <c r="A12" s="4" t="inlineStr">
        <is>
          <t>LOS TRES LÍMITES DEL ART. 13.9</t>
        </is>
      </c>
      <c r="B12" s="11" t="inlineStr"/>
      <c r="C12" s="11" t="inlineStr"/>
    </row>
    <row r="13" ht="28" customHeight="1">
      <c r="A13" s="9" t="inlineStr">
        <is>
          <t>Tope absoluto de la norma (kg a la semana)</t>
        </is>
      </c>
      <c r="B13" s="38" t="n">
        <v>100</v>
      </c>
      <c r="C13" s="5" t="inlineStr">
        <is>
          <t>«En ningún caso podrán superar los 100 kilogramos semanales». Son unos 14 kg al día: una cocina doméstica no suele llegar, y por eso este contador casi siempre está en verde. No te fíes de eso.</t>
        </is>
      </c>
    </row>
    <row r="14" ht="28" customHeight="1">
      <c r="A14" s="8" t="inlineStr">
        <is>
          <t>Semáforo del tope de kilos</t>
        </is>
      </c>
      <c r="B14" s="27" t="str">
        <f>IFERROR(IF(B7&lt;=B13,"Dentro del tope","FUERA: el art. 13.9 no lo permite"),"")</f>
        <v>Dentro del tope</v>
      </c>
    </row>
    <row r="15" ht="28" customHeight="1">
      <c r="A15" s="9" t="inlineStr">
        <is>
          <t>Criterio propio de proporcionalidad (kg por m2 útil y semana)</t>
        </is>
      </c>
      <c r="B15" s="35" t="n">
        <v>8</v>
      </c>
      <c r="C15" s="5" t="inlineStr">
        <is>
          <t>La norma no da cifra. Esta sí, y es nuestra: sirve para que puedas enseñar un cálculo, no para citarla como si fuera legal.</t>
        </is>
      </c>
    </row>
    <row r="16" ht="28" customHeight="1">
      <c r="A16" s="9" t="inlineStr">
        <is>
          <t>Tus kilos por metro cuadrado útil y semana</t>
        </is>
      </c>
      <c r="B16" s="36">
        <f>IFERROR(IF(B6=0,"",B7/B6),"")</f>
        <v>5.0</v>
      </c>
    </row>
    <row r="17" ht="28" customHeight="1">
      <c r="A17" s="8" t="inlineStr">
        <is>
          <t>Semáforo de proporcionalidad</t>
        </is>
      </c>
      <c r="B17" s="27" t="str">
        <f>IFERROR(IF(B16="","",IF(B16&lt;=B15,"Proporcional","Revísalo: mucho volumen para esos metros")),"")</f>
        <v>Proporcional</v>
      </c>
    </row>
    <row r="18" ht="28" customHeight="1">
      <c r="A18" s="8" t="inlineStr">
        <is>
          <t>¿Lo puedes demostrar documentalmente?</t>
        </is>
      </c>
      <c r="B18" s="27" t="str">
        <f>IFERROR(IF(B8="Sí","Sí","NO: el art. 13.9 exige demostrarlo documentalmente, y sin eso da igual el volumen"),"")</f>
        <v>NO: el art. 13.9 exige demostrarlo documentalmente, y sin eso da igual el volumen</v>
      </c>
    </row>
    <row r="19"/>
    <row r="20">
      <c r="A20" s="4" t="inlineStr">
        <is>
          <t>LA LISTA BLANCA DEL ART. 13.8: CINCO LETRAS</t>
        </is>
      </c>
      <c r="B20" s="11" t="inlineStr"/>
      <c r="C20" s="11" t="inlineStr"/>
    </row>
    <row r="21" ht="22" customHeight="1">
      <c r="A21" s="7" t="inlineStr">
        <is>
          <t>Letra y qué permite</t>
        </is>
      </c>
      <c r="B21" s="7" t="inlineStr"/>
      <c r="C21" s="7" t="inlineStr">
        <is>
          <t>Qué NO entra por ahí</t>
        </is>
      </c>
    </row>
    <row r="22" ht="34" customHeight="1">
      <c r="A22" s="9" t="inlineStr">
        <is>
          <t>a) Comidas preparadas con tratamiento térmico suficiente</t>
        </is>
      </c>
      <c r="C22" s="5" t="inlineStr">
        <is>
          <t>Lo que no lleva tratamiento térmico suficiente.</t>
        </is>
      </c>
    </row>
    <row r="23" ht="34" customHeight="1">
      <c r="A23" s="9" t="inlineStr">
        <is>
          <t>b) Productos de panadería y repostería ESTABLES A TEMPERATURA AMBIENTE</t>
        </is>
      </c>
      <c r="C23" s="5" t="inlineStr">
        <is>
          <t>Una tarta rellena de nata NO entra por esta letra: no es estable a temperatura ambiente. Podría entrar por la e) si tu comunidad la ha añadido.</t>
        </is>
      </c>
    </row>
    <row r="24" ht="34" customHeight="1">
      <c r="A24" s="9" t="inlineStr">
        <is>
          <t>c) Mermeladas, confituras y jaleas con tratamiento térmico después del envasado</t>
        </is>
      </c>
      <c r="C24" s="5" t="inlineStr">
        <is>
          <t>Las que se envasan en frío.</t>
        </is>
      </c>
    </row>
    <row r="25" ht="34" customHeight="1">
      <c r="A25" s="9" t="inlineStr">
        <is>
          <t>d) Conservas vegetales con pH inferior a 4,5</t>
        </is>
      </c>
      <c r="C25" s="5" t="inlineStr">
        <is>
          <t>Las de pH más alto: ahí el riesgo cambia de categoría.</t>
        </is>
      </c>
    </row>
    <row r="26" ht="34" customHeight="1">
      <c r="A26" s="9" t="inlineStr">
        <is>
          <t>e) Otros alimentos que las autoridades competentes de las comunidades autónomas permitan en sus territorios</t>
        </is>
      </c>
      <c r="C26" s="5" t="inlineStr">
        <is>
          <t>Nada por defecto: esta letra está vacía hasta que TU comunidad la rellene. Una ya lo ha hecho.</t>
        </is>
      </c>
    </row>
    <row r="27" ht="48" customHeight="1">
      <c r="A27" s="5" t="inlineStr">
        <is>
          <t>Por eso NO se puede decir «la tarta de nata desde casa no es legal en España». Lo correcto es: por defecto el RD 1021/2022 sólo permite en vivienda repostería estable a temperatura ambiente, y una tarta rellena de nata no entra en la lista del art. 13.8 SALVO que tu comunidad la haya añadido por la letra e). Comprueba tu decreto autonómico.</t>
        </is>
      </c>
    </row>
    <row r="28"/>
    <row r="29">
      <c r="A29" s="4" t="inlineStr">
        <is>
          <t>LAS CINCO PROHIBICIONES DEL ART. 13.5, POR RÉGIMEN</t>
        </is>
      </c>
      <c r="B29" s="11" t="inlineStr"/>
      <c r="C29" s="11" t="inlineStr"/>
    </row>
    <row r="30" ht="22" customHeight="1">
      <c r="A30" s="7" t="inlineStr">
        <is>
          <t>Letra</t>
        </is>
      </c>
      <c r="B30" s="7" t="inlineStr">
        <is>
          <t>Qué prohíbe</t>
        </is>
      </c>
      <c r="C30" s="7" t="inlineStr">
        <is>
          <t>Régimen</t>
        </is>
      </c>
    </row>
    <row r="31" ht="34" customHeight="1">
      <c r="A31" s="9" t="inlineStr">
        <is>
          <t>b)</t>
        </is>
      </c>
      <c r="B31" s="9" t="inlineStr">
        <is>
          <t>Suministro a colectividades y a eventos</t>
        </is>
      </c>
      <c r="C31" s="5" t="inlineStr">
        <is>
          <t>INCONDICIONAL: no tiene salvedad autonómica.</t>
        </is>
      </c>
    </row>
    <row r="32" ht="34" customHeight="1">
      <c r="A32" s="9" t="inlineStr">
        <is>
          <t>e)</t>
        </is>
      </c>
      <c r="B32" s="9" t="inlineStr">
        <is>
          <t>Congelación</t>
        </is>
      </c>
      <c r="C32" s="5" t="inlineStr">
        <is>
          <t>Sólo se podrán mantener en congelación las materias primas que se adquieran ya congeladas.</t>
        </is>
      </c>
    </row>
    <row r="33" ht="34" customHeight="1">
      <c r="A33" s="9" t="inlineStr">
        <is>
          <t>a), c) y d)</t>
        </is>
      </c>
      <c r="B33" s="9" t="inlineStr">
        <is>
          <t>Consumo in situ · venta en el propio domicilio · suministro a otros establecimientos minoristas</t>
        </is>
      </c>
      <c r="C33" s="5" t="inlineStr">
        <is>
          <t>Las tres llevan cláusula de escape autonómica: comprueba tu decreto antes de darlas por prohibidas.</t>
        </is>
      </c>
    </row>
    <row r="34"/>
    <row r="35">
      <c r="A35" s="4" t="inlineStr">
        <is>
          <t>ETIQUETA OBLIGATORIA</t>
        </is>
      </c>
      <c r="B35" s="11" t="inlineStr"/>
      <c r="C35" s="11" t="inlineStr"/>
    </row>
    <row r="36">
      <c r="A36" s="9" t="inlineStr">
        <is>
          <t>Mención que tienen que llevar los alimentos elaborados en vivienda</t>
        </is>
      </c>
      <c r="B36" s="27" t="inlineStr">
        <is>
          <t>Elaborado en vivienda particular</t>
        </is>
      </c>
      <c r="C36" s="5" t="inlineStr">
        <is>
          <t>Más la fecha de elaboración, y además todo lo que ya exige la normativa de información alimentaria.</t>
        </is>
      </c>
    </row>
    <row r="37"/>
    <row r="38">
      <c r="A38" s="4" t="inlineStr">
        <is>
          <t>SI TU COMUNIDAD ES LA COMUNITAT VALENCIANA</t>
        </is>
      </c>
      <c r="B38" s="11" t="inlineStr"/>
      <c r="C38" s="11" t="inlineStr"/>
    </row>
    <row r="39" ht="54" customHeight="1">
      <c r="A39" s="5" t="inlineStr">
        <is>
          <t>El Decreto 13/2025 del Consell amplía la lista de la vivienda privada a ocho letras: añade confitería, sidra, vino, cerveza y licores, elaborados de miel, aceite de oliva virgen y otros elaborados vegetales. Abre además la venta directa EN EL PROPIO DOMICILIO sin consumo in situ, permite el suministro a otros establecimientos alimentarios menores con una marginalidad de 100 kg a la semana o el 25 %, y amplía el territorio de reparto a toda la Comunitat.</t>
        </is>
      </c>
    </row>
    <row r="40" ht="34" customHeight="1">
      <c r="A40" s="5" t="inlineStr">
        <is>
          <t>Lo que NO amplía es la refrigeración: la repostería sigue teniendo que ser estable a temperatura ambiente. Y la comunicación o declaración responsable es condición para empezar. Es la prueba de que la letra e) no es teórica.</t>
        </is>
      </c>
    </row>
    <row r="41"/>
    <row r="42">
      <c r="A42" s="4" t="inlineStr">
        <is>
          <t>EL VEREDICTO</t>
        </is>
      </c>
      <c r="B42" s="11" t="inlineStr"/>
      <c r="C42" s="11" t="inlineStr"/>
    </row>
    <row r="43" ht="34" customHeight="1">
      <c r="A43" s="27" t="inlineStr">
        <is>
          <t>Lectura conjunta de los tres límites</t>
        </is>
      </c>
      <c r="B43" s="28" t="str">
        <f>IFERROR(IF(B7&gt;B13,"NO: te pasas del tope de kilos del art. 13.9",IF(B8&lt;&gt;"Sí","NO todavía: te falta el registro documental",IF(AND(ISNUMBER(B16),B16&gt;B15),"Cuidado: dentro del tope, pero mucho volumen para esos metros","Dentro de los tres límites, con la lista del art. 13.8 por delante"))),"")</f>
        <v>NO todavía: te falta el registro documental</v>
      </c>
    </row>
    <row r="44"/>
    <row r="45" ht="42" customHeight="1">
      <c r="A45" s="5" t="inlineStr">
        <is>
          <t>Estar dentro de los tres límites del art. 13.9 no basta por sí solo: lo que elabores tiene que estar además en la lista del art. 13.8, y no puedes hacer nada de lo que prohíbe el 13.5. Esta hoja es para decidir si la ruta doméstica es viable para ti, no para sustituir la consulta a tu comunidad autónoma.</t>
        </is>
      </c>
    </row>
    <row r="46"/>
    <row r="47">
      <c r="A47" s="24" t="inlineStr">
        <is>
          <t>Listas de validación (no las borres: de aquí salen los desplegables)</t>
        </is>
      </c>
    </row>
    <row r="48">
      <c r="A48" s="25" t="inlineStr">
        <is>
          <t>Sí o No</t>
        </is>
      </c>
    </row>
    <row r="49">
      <c r="A49" s="26" t="inlineStr">
        <is>
          <t>Sí</t>
        </is>
      </c>
    </row>
    <row r="50">
      <c r="A50" s="26" t="inlineStr">
        <is>
          <t>No</t>
        </is>
      </c>
    </row>
    <row r="51"/>
    <row r="52">
      <c r="A52" s="25" t="inlineStr">
        <is>
          <t>Comunidad autónoma</t>
        </is>
      </c>
    </row>
    <row r="53">
      <c r="A53" s="26" t="inlineStr">
        <is>
          <t>Madrid</t>
        </is>
      </c>
    </row>
    <row r="54">
      <c r="A54" s="26" t="inlineStr">
        <is>
          <t>Cataluña</t>
        </is>
      </c>
    </row>
    <row r="55">
      <c r="A55" s="26" t="inlineStr">
        <is>
          <t>Andalucía</t>
        </is>
      </c>
    </row>
    <row r="56">
      <c r="A56" s="26" t="inlineStr">
        <is>
          <t>Comunitat Valenciana</t>
        </is>
      </c>
    </row>
    <row r="57">
      <c r="A57" s="26" t="inlineStr">
        <is>
          <t>Otra (busca su decreto)</t>
        </is>
      </c>
    </row>
  </sheetData>
  <sheetProtection selectLockedCells="0" selectUnlockedCells="0" sheet="1" objects="0" insertRows="0" insertHyperlinks="1" autoFilter="1" scenarios="0" formatColumns="0" deleteColumns="1" insertColumns="1" pivotTables="1" deleteRows="1" formatCells="1" formatRows="0" sort="0"/>
  <mergeCells count="6">
    <mergeCell ref="A39:C39"/>
    <mergeCell ref="B43:C43"/>
    <mergeCell ref="A45:C45"/>
    <mergeCell ref="A40:C40"/>
    <mergeCell ref="A27:C27"/>
    <mergeCell ref="A3:C3"/>
  </mergeCells>
  <conditionalFormatting sqref="B14">
    <cfRule type="expression" priority="1" dxfId="1" stopIfTrue="1">
      <formula>=AND(ISNUMBER($B$7),ISNUMBER($B$13),$B$7&gt;$B$13)</formula>
    </cfRule>
  </conditionalFormatting>
  <conditionalFormatting sqref="B17">
    <cfRule type="expression" priority="2" dxfId="0" stopIfTrue="1">
      <formula>=AND(ISNUMBER($B$16),$B$16&gt;$B$15)</formula>
    </cfRule>
  </conditionalFormatting>
  <conditionalFormatting sqref="B18">
    <cfRule type="expression" priority="3" dxfId="1" stopIfTrue="1">
      <formula>=$B$8&lt;&gt;"Sí"</formula>
    </cfRule>
  </conditionalFormatting>
  <dataValidations count="2">
    <dataValidation sqref="B8 B9" showDropDown="0" showInputMessage="0" showErrorMessage="1" allowBlank="0" errorTitle="Marca Sí o No" error="Elige «Sí» o «No» de la lista del pie." type="list">
      <formula1>'Ruta Doméstica'!$A$49:$A$50</formula1>
    </dataValidation>
    <dataValidation sqref="B10" showDropDown="0" showInputMessage="0" showErrorMessage="1" allowBlank="0" errorTitle="Elige tu comunidad autónoma" error="Elige una de la lista del pie de la hoja." type="list">
      <formula1>'Ruta Doméstica'!$A$53:$A$57</formula1>
    </dataValidation>
  </dataValidations>
  <pageMargins left="0.39" right="0.39" top="0.55" bottom="0.55"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H21"/>
  <sheetViews>
    <sheetView workbookViewId="0">
      <selection activeCell="A1" sqref="A1"/>
    </sheetView>
  </sheetViews>
  <sheetFormatPr baseColWidth="8" defaultRowHeight="15"/>
  <cols>
    <col width="30" customWidth="1" min="1" max="1"/>
    <col width="24" customWidth="1" min="2" max="2"/>
    <col width="52" customWidth="1" min="3" max="3"/>
    <col width="9" customWidth="1" min="4" max="4"/>
    <col width="15" customWidth="1" min="5" max="5"/>
    <col width="15" customWidth="1" min="6" max="6"/>
    <col width="14" customWidth="1" min="7" max="7"/>
    <col width="78" customWidth="1" min="8" max="8"/>
  </cols>
  <sheetData>
    <row r="1" ht="26" customHeight="1">
      <c r="A1" s="1" t="inlineStr">
        <is>
          <t>Registro de Formación de Manipuladores</t>
        </is>
      </c>
    </row>
    <row r="2">
      <c r="A2" s="2" t="inlineStr">
        <is>
          <t>AI Chef Pro · aichef.pro — Cómo Montar una Pastelería</t>
        </is>
      </c>
    </row>
    <row r="3" ht="28" customHeight="1">
      <c r="A3" s="5" t="inlineStr">
        <is>
          <t>El «carnet de manipulador de alimentos» NO existe desde 2010. Lo que hay que tener es este registro, y la responsabilidad de tenerlo es de la empresa, no del trabajador.</t>
        </is>
      </c>
    </row>
    <row r="4"/>
    <row r="5" ht="32" customHeight="1">
      <c r="A5" s="7" t="inlineStr">
        <is>
          <t>Persona</t>
        </is>
      </c>
      <c r="B5" s="7" t="inlineStr">
        <is>
          <t>Perfil</t>
        </is>
      </c>
      <c r="C5" s="7" t="inlineStr">
        <is>
          <t>Contenido de la formación</t>
        </is>
      </c>
      <c r="D5" s="7" t="inlineStr">
        <is>
          <t>Horas</t>
        </is>
      </c>
      <c r="E5" s="7" t="inlineStr">
        <is>
          <t>Fecha de la formación</t>
        </is>
      </c>
      <c r="F5" s="7" t="inlineStr">
        <is>
          <t>Caduca el</t>
        </is>
      </c>
      <c r="G5" s="7" t="inlineStr">
        <is>
          <t>Días restantes</t>
        </is>
      </c>
      <c r="H5" s="7" t="inlineStr">
        <is>
          <t>Notas</t>
        </is>
      </c>
    </row>
    <row r="6">
      <c r="A6" t="inlineStr">
        <is>
          <t>P1 · Jefe Pastelero</t>
        </is>
      </c>
      <c r="B6" t="inlineStr">
        <is>
          <t>OBRADOR</t>
        </is>
      </c>
      <c r="C6" s="6" t="inlineStr">
        <is>
          <t>Higiene alimentaria y buenas prácticas de manipulación</t>
        </is>
      </c>
      <c r="D6" s="14" t="n">
        <v>6</v>
      </c>
      <c r="E6" s="15" t="n">
        <v>46275</v>
      </c>
      <c r="F6" s="39">
        <f>IFERROR(IF(E6="","",E6+$B$13),"")</f>
        <v>47005.0</v>
      </c>
      <c r="G6" s="22">
        <f>IFERROR(IF(F6="","",F6-$B$14),"")</f>
        <v>730.0</v>
      </c>
      <c r="H6" s="5" t="inlineStr">
        <is>
          <t>El contenido y las horas son SUPUESTOS: los pone quien te dé la formación. Lo que no es supuesto es que tiene que quedar por escrito y con nombre y apellidos.</t>
        </is>
      </c>
    </row>
    <row r="7">
      <c r="A7" t="inlineStr">
        <is>
          <t>P2 · Pastelero</t>
        </is>
      </c>
      <c r="B7" t="inlineStr">
        <is>
          <t>OBRADOR</t>
        </is>
      </c>
      <c r="C7" s="6" t="inlineStr">
        <is>
          <t>Higiene alimentaria, alérgenos y contaminación cruzada</t>
        </is>
      </c>
      <c r="D7" s="14" t="n">
        <v>6</v>
      </c>
      <c r="E7" s="15" t="n">
        <v>46275</v>
      </c>
      <c r="F7" s="39">
        <f>IFERROR(IF(E7="","",E7+$B$13),"")</f>
        <v>47005.0</v>
      </c>
      <c r="G7" s="22">
        <f>IFERROR(IF(F7="","",F7-$B$14),"")</f>
        <v>730.0</v>
      </c>
    </row>
    <row r="8">
      <c r="A8" t="inlineStr">
        <is>
          <t>P3 · Ayudante</t>
        </is>
      </c>
      <c r="B8" t="inlineStr">
        <is>
          <t>OBRADOR</t>
        </is>
      </c>
      <c r="C8" s="6" t="inlineStr">
        <is>
          <t>Higiene alimentaria básica</t>
        </is>
      </c>
      <c r="D8" s="14" t="n">
        <v>6</v>
      </c>
      <c r="E8" s="15" t="n">
        <v>46275</v>
      </c>
      <c r="F8" s="39">
        <f>IFERROR(IF(E8="","",E8+$B$13),"")</f>
        <v>47005.0</v>
      </c>
      <c r="G8" s="22">
        <f>IFERROR(IF(F8="","",F8-$B$14),"")</f>
        <v>730.0</v>
      </c>
    </row>
    <row r="9">
      <c r="A9" t="inlineStr">
        <is>
          <t>P4 · Dependiente Vitrina A</t>
        </is>
      </c>
      <c r="B9" t="inlineStr">
        <is>
          <t>COMERCIO</t>
        </is>
      </c>
      <c r="C9" s="6" t="inlineStr">
        <is>
          <t>Higiene alimentaria y alérgenos en la venta al público</t>
        </is>
      </c>
      <c r="D9" s="14" t="n">
        <v>6</v>
      </c>
      <c r="E9" s="15" t="n">
        <v>46275</v>
      </c>
      <c r="F9" s="39">
        <f>IFERROR(IF(E9="","",E9+$B$13),"")</f>
        <v>47005.0</v>
      </c>
      <c r="G9" s="22">
        <f>IFERROR(IF(F9="","",F9-$B$14),"")</f>
        <v>730.0</v>
      </c>
    </row>
    <row r="10">
      <c r="A10" t="inlineStr">
        <is>
          <t>P5 · Dependiente Vitrina B</t>
        </is>
      </c>
      <c r="B10" t="inlineStr">
        <is>
          <t>COMERCIO</t>
        </is>
      </c>
      <c r="C10" s="6" t="inlineStr">
        <is>
          <t>Higiene alimentaria y alérgenos en la venta al público</t>
        </is>
      </c>
      <c r="D10" s="14" t="n">
        <v>6</v>
      </c>
      <c r="E10" s="15" t="n">
        <v>46275</v>
      </c>
      <c r="F10" s="39">
        <f>IFERROR(IF(E10="","",E10+$B$13),"")</f>
        <v>47005.0</v>
      </c>
      <c r="G10" s="22">
        <f>IFERROR(IF(F10="","",F10-$B$14),"")</f>
        <v>730.0</v>
      </c>
    </row>
    <row r="11"/>
    <row r="12">
      <c r="A12" s="4" t="inlineStr">
        <is>
          <t>PARÁMETROS DE LA CASA</t>
        </is>
      </c>
      <c r="B12" s="11" t="inlineStr"/>
      <c r="C12" s="11" t="inlineStr"/>
      <c r="D12" s="11" t="inlineStr"/>
      <c r="E12" s="11" t="inlineStr"/>
      <c r="F12" s="11" t="inlineStr"/>
      <c r="G12" s="11" t="inlineStr"/>
      <c r="H12" s="11" t="inlineStr"/>
    </row>
    <row r="13">
      <c r="A13" t="inlineStr">
        <is>
          <t>Validez interna de la formación (días)</t>
        </is>
      </c>
      <c r="B13" s="40" t="n">
        <v>730</v>
      </c>
      <c r="H13" s="5" t="inlineStr">
        <is>
          <t>No es un plazo legal: es tu propia política, y tenerla escrita es lo que la hace defendible.</t>
        </is>
      </c>
    </row>
    <row r="14">
      <c r="A14" t="inlineStr">
        <is>
          <t>Fecha de control</t>
        </is>
      </c>
      <c r="B14" s="15" t="n">
        <v>46275</v>
      </c>
      <c r="H14" s="5" t="inlineStr">
        <is>
          <t>Cámbiala por la de hoy cada vez que revises la hoja.</t>
        </is>
      </c>
    </row>
    <row r="15"/>
    <row r="16">
      <c r="A16" s="4" t="inlineStr">
        <is>
          <t>RESUMEN</t>
        </is>
      </c>
      <c r="B16" s="11" t="inlineStr"/>
      <c r="C16" s="11" t="inlineStr"/>
      <c r="D16" s="11" t="inlineStr"/>
      <c r="E16" s="11" t="inlineStr"/>
      <c r="F16" s="11" t="inlineStr"/>
      <c r="G16" s="11" t="inlineStr"/>
      <c r="H16" s="11" t="inlineStr"/>
    </row>
    <row r="17">
      <c r="A17" t="inlineStr">
        <is>
          <t>Personas con formación registrada</t>
        </is>
      </c>
      <c r="B17" s="22">
        <f>IFERROR(COUNTIF(E6:E10,"&gt;0"),"")</f>
        <v>5.0</v>
      </c>
    </row>
    <row r="18">
      <c r="A18" t="inlineStr">
        <is>
          <t>Formaciones caducadas</t>
        </is>
      </c>
      <c r="B18" s="22">
        <f>IFERROR(COUNTIF(G6:G10,"&lt;0"),"")</f>
        <v>0.0</v>
      </c>
    </row>
    <row r="19">
      <c r="A19" t="inlineStr">
        <is>
          <t>Formaciones que caducan en menos de 90 días</t>
        </is>
      </c>
      <c r="B19" s="22">
        <f>IFERROR(COUNTIF(G6:G10,"&lt;90")-B18,"")</f>
        <v>0.0</v>
      </c>
      <c r="H19" s="5" t="inlineStr">
        <is>
          <t>Los 90 días son un aviso propio para que te dé tiempo a organizar la sesión sin parar el obrador.</t>
        </is>
      </c>
    </row>
    <row r="20"/>
    <row r="21" ht="54" customHeight="1">
      <c r="A21" s="5" t="inlineStr">
        <is>
          <t>El «carnet de manipulador de alimentos» no existe desde 2010: lo derogó el RD 109/2010 al suprimir el RD 202/2000. Lo que obliga hoy es el Reglamento (CE) 852/2004, que exige que los manipuladores estén supervisados e instruidos en materia de higiene alimentaria de forma proporcionada a su cometido, y esa responsabilidad es de la EMPRESA. Guarda el temario, la duración, la fecha y quién la impartió: eso es lo que se enseña en una inspección.</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H3"/>
    <mergeCell ref="A21:H21"/>
  </mergeCells>
  <conditionalFormatting sqref="G6:G10">
    <cfRule type="expression" priority="1" dxfId="1" stopIfTrue="1">
      <formula>=AND(ISNUMBER($G6),$G6&lt;0)</formula>
    </cfRule>
  </conditionalFormatting>
  <conditionalFormatting sqref="B18">
    <cfRule type="expression" priority="2" dxfId="1" stopIfTrue="1">
      <formula>=AND(ISNUMBER($B$18),$B$18&gt;0)</formula>
    </cfRule>
  </conditionalFormatting>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O8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82" customWidth="1" min="15" max="15"/>
  </cols>
  <sheetData>
    <row r="1" ht="26" customHeight="1">
      <c r="A1" s="1" t="inlineStr">
        <is>
          <t>Cronograma y Ruta Crítica de la Apertura</t>
        </is>
      </c>
    </row>
    <row r="2">
      <c r="A2" s="2" t="inlineStr">
        <is>
          <t>AI Chef Pro · aichef.pro — Cómo Montar una Pastelería</t>
        </is>
      </c>
    </row>
    <row r="3" ht="28" customHeight="1">
      <c r="A3" s="5" t="inlineStr">
        <is>
          <t>Doce hitos con su duración y sus dependencias. La hoja calcula cuándo empieza y acaba cada uno, cuánta holgura tiene, cuáles están en la ruta crítica y en qué mes acabas abriendo. Todo en MESES y con aritmética de índices: no hay ni una función de fecha.</t>
        </is>
      </c>
    </row>
    <row r="4"/>
    <row r="5">
      <c r="A5" t="inlineStr">
        <is>
          <t>Mes en que arranca el proyecto (1-12)</t>
        </is>
      </c>
      <c r="C5" s="14" t="n">
        <v>1</v>
      </c>
      <c r="O5" s="5" t="inlineStr">
        <is>
          <t>El mes natural en el que das el primer paso. De aquí sale la fecha de apertura estimada, y por eso conviene probar dos o tres: mover el arranque dos meses puede sacarte de una campaña o meterte en ella.</t>
        </is>
      </c>
    </row>
    <row r="6">
      <c r="A6" t="inlineStr">
        <is>
          <t>Valor centinela de la matriz de dependencias (meses)</t>
        </is>
      </c>
      <c r="C6" s="38" t="n">
        <v>999</v>
      </c>
      <c r="O6" s="5" t="inlineStr">
        <is>
          <t>Truco de cálculo, no un dato: en la matriz de dependencias las casillas que no aplican llevan este número en vez de quedarse vacías, para que MIN pueda trabajar sólo con números. El formato de la matriz lo esconde. No lo cambies salvo que tu proyecto dure más de 999 meses.</t>
        </is>
      </c>
    </row>
    <row r="7"/>
    <row r="8" ht="32" customHeight="1">
      <c r="A8" s="7" t="inlineStr">
        <is>
          <t>Id</t>
        </is>
      </c>
      <c r="B8" s="7" t="inlineStr">
        <is>
          <t>Hito</t>
        </is>
      </c>
      <c r="C8" s="7" t="inlineStr">
        <is>
          <t>Duración (meses)</t>
        </is>
      </c>
      <c r="D8" s="7" t="inlineStr">
        <is>
          <t>Depende de (1)</t>
        </is>
      </c>
      <c r="E8" s="7" t="inlineStr">
        <is>
          <t>Depende de (2)</t>
        </is>
      </c>
      <c r="F8" s="7" t="inlineStr">
        <is>
          <t>Depende de (3)</t>
        </is>
      </c>
      <c r="G8" s="7" t="inlineStr">
        <is>
          <t>Empieza (mes del proyecto)</t>
        </is>
      </c>
      <c r="H8" s="7" t="inlineStr">
        <is>
          <t>Acaba (mes del proyecto)</t>
        </is>
      </c>
      <c r="I8" s="7" t="inlineStr">
        <is>
          <t>Holgura (meses)</t>
        </is>
      </c>
      <c r="J8" s="7" t="inlineStr">
        <is>
          <t>¿Ruta crítica?</t>
        </is>
      </c>
      <c r="K8" s="7" t="inlineStr">
        <is>
          <t>Mes natural de fin</t>
        </is>
      </c>
      <c r="L8" s="7" t="inlineStr"/>
      <c r="M8" s="7" t="inlineStr"/>
      <c r="N8" s="7" t="inlineStr"/>
      <c r="O8" s="7" t="inlineStr">
        <is>
          <t>Notas</t>
        </is>
      </c>
    </row>
    <row r="9" ht="26" customHeight="1">
      <c r="A9" s="13" t="inlineStr">
        <is>
          <t>H1</t>
        </is>
      </c>
      <c r="B9" s="9" t="inlineStr">
        <is>
          <t>Búsqueda y cribado de local</t>
        </is>
      </c>
      <c r="C9" s="35" t="n">
        <v>2</v>
      </c>
      <c r="D9" s="12" t="inlineStr">
        <is>
          <t>-</t>
        </is>
      </c>
      <c r="E9" s="12" t="inlineStr">
        <is>
          <t>-</t>
        </is>
      </c>
      <c r="F9" s="12" t="inlineStr">
        <is>
          <t>-</t>
        </is>
      </c>
      <c r="G9" s="36">
        <f>IFERROR(MAX(IFERROR(INDEX($H$8:H8,MATCH(D9,$A$8:A8,0)),0),IFERROR(INDEX($H$8:H8,MATCH(E9,$A$8:A8,0)),0),IFERROR(INDEX($H$8:H8,MATCH(F9,$A$8:A8,0)),0)),"")</f>
        <v>0.0</v>
      </c>
      <c r="H9" s="36">
        <f>IFERROR(G9+C9,"")</f>
        <v>2.0</v>
      </c>
      <c r="I9" s="36">
        <f>IFERROR(MIN(MIN(C24:C35),MAX($H$9:$H$20))-H9,"")</f>
        <v>0.0</v>
      </c>
      <c r="J9" t="str">
        <f>IFERROR(IF(ROUND(I9,3)&lt;=0,"Sí","No"),"")</f>
        <v>Sí</v>
      </c>
      <c r="K9" t="str">
        <f>IFERROR(INDEX('Cronograma y Ruta Crítica'!$A$73:$A$84,ROUNDDOWN(MOD($C$5-1+H9,12),0)+1),"")</f>
        <v>Marzo</v>
      </c>
      <c r="O9" s="5" t="inlineStr">
        <is>
          <t>La búsqueda es lo único que puedes acelerar tú solo, y es donde se deciden la salida de humos y la potencia eléctrica: mira la ficha de visita del libro de capacidad ANTES de enamorarte de un local.</t>
        </is>
      </c>
    </row>
    <row r="10" ht="26" customHeight="1">
      <c r="A10" s="13" t="inlineStr">
        <is>
          <t>H2</t>
        </is>
      </c>
      <c r="B10" s="9" t="inlineStr">
        <is>
          <t>Firma del arrendamiento y fianza</t>
        </is>
      </c>
      <c r="C10" s="35" t="n">
        <v>0.5</v>
      </c>
      <c r="D10" s="12" t="inlineStr">
        <is>
          <t>H1</t>
        </is>
      </c>
      <c r="E10" s="12" t="inlineStr">
        <is>
          <t>-</t>
        </is>
      </c>
      <c r="F10" s="12" t="inlineStr">
        <is>
          <t>-</t>
        </is>
      </c>
      <c r="G10" s="36">
        <f>IFERROR(MAX(IFERROR(INDEX($H$8:H9,MATCH(D10,$A$8:A9,0)),0),IFERROR(INDEX($H$8:H9,MATCH(E10,$A$8:A9,0)),0),IFERROR(INDEX($H$8:H9,MATCH(F10,$A$8:A9,0)),0)),"")</f>
        <v>2.0</v>
      </c>
      <c r="H10" s="36">
        <f>IFERROR(G10+C10,"")</f>
        <v>2.5</v>
      </c>
      <c r="I10" s="36">
        <f>IFERROR(MIN(MIN(D24:D35),MAX($H$9:$H$20))-H10,"")</f>
        <v>0.0</v>
      </c>
      <c r="J10" t="str">
        <f>IFERROR(IF(ROUND(I10,3)&lt;=0,"Sí","No"),"")</f>
        <v>Sí</v>
      </c>
      <c r="K10" t="str">
        <f>IFERROR(INDEX('Cronograma y Ruta Crítica'!$A$73:$A$84,ROUNDDOWN(MOD($C$5-1+H10,12),0)+1),"")</f>
        <v>Marzo</v>
      </c>
    </row>
    <row r="11" ht="26" customHeight="1">
      <c r="A11" s="13" t="inlineStr">
        <is>
          <t>H3</t>
        </is>
      </c>
      <c r="B11" s="9" t="inlineStr">
        <is>
          <t>Proyecto técnico visado</t>
        </is>
      </c>
      <c r="C11" s="35" t="n">
        <v>1</v>
      </c>
      <c r="D11" s="12" t="inlineStr">
        <is>
          <t>H2</t>
        </is>
      </c>
      <c r="E11" s="12" t="inlineStr">
        <is>
          <t>-</t>
        </is>
      </c>
      <c r="F11" s="12" t="inlineStr">
        <is>
          <t>-</t>
        </is>
      </c>
      <c r="G11" s="36">
        <f>IFERROR(MAX(IFERROR(INDEX($H$8:H10,MATCH(D11,$A$8:A10,0)),0),IFERROR(INDEX($H$8:H10,MATCH(E11,$A$8:A10,0)),0),IFERROR(INDEX($H$8:H10,MATCH(F11,$A$8:A10,0)),0)),"")</f>
        <v>2.5</v>
      </c>
      <c r="H11" s="36">
        <f>IFERROR(G11+C11,"")</f>
        <v>3.5</v>
      </c>
      <c r="I11" s="36">
        <f>IFERROR(MIN(MIN(E24:E35),MAX($H$9:$H$20))-H11,"")</f>
        <v>0.0</v>
      </c>
      <c r="J11" t="str">
        <f>IFERROR(IF(ROUND(I11,3)&lt;=0,"Sí","No"),"")</f>
        <v>Sí</v>
      </c>
      <c r="K11" t="str">
        <f>IFERROR(INDEX('Cronograma y Ruta Crítica'!$A$73:$A$84,ROUNDDOWN(MOD($C$5-1+H11,12),0)+1),"")</f>
        <v>Abril</v>
      </c>
    </row>
    <row r="12" ht="26" customHeight="1">
      <c r="A12" s="13" t="inlineStr">
        <is>
          <t>H4</t>
        </is>
      </c>
      <c r="B12" s="9" t="inlineStr">
        <is>
          <t>Licencia de actividad o declaración responsable</t>
        </is>
      </c>
      <c r="C12" s="35" t="n">
        <v>1.5</v>
      </c>
      <c r="D12" s="12" t="inlineStr">
        <is>
          <t>H3</t>
        </is>
      </c>
      <c r="E12" s="12" t="inlineStr">
        <is>
          <t>-</t>
        </is>
      </c>
      <c r="F12" s="12" t="inlineStr">
        <is>
          <t>-</t>
        </is>
      </c>
      <c r="G12" s="36">
        <f>IFERROR(MAX(IFERROR(INDEX($H$8:H11,MATCH(D12,$A$8:A11,0)),0),IFERROR(INDEX($H$8:H11,MATCH(E12,$A$8:A11,0)),0),IFERROR(INDEX($H$8:H11,MATCH(F12,$A$8:A11,0)),0)),"")</f>
        <v>3.5</v>
      </c>
      <c r="H12" s="36">
        <f>IFERROR(G12+C12,"")</f>
        <v>5.0</v>
      </c>
      <c r="I12" s="36">
        <f>IFERROR(MIN(MIN(F24:F35),MAX($H$9:$H$20))-H12,"")</f>
        <v>0.0</v>
      </c>
      <c r="J12" t="str">
        <f>IFERROR(IF(ROUND(I12,3)&lt;=0,"Sí","No"),"")</f>
        <v>Sí</v>
      </c>
      <c r="K12" t="str">
        <f>IFERROR(INDEX('Cronograma y Ruta Crítica'!$A$73:$A$84,ROUNDDOWN(MOD($C$5-1+H12,12),0)+1),"")</f>
        <v>Junio</v>
      </c>
      <c r="O12" s="5" t="inlineStr">
        <is>
          <t>Depende de tu ayuntamiento. Es el hito con más varianza de todo el cuadro, y por eso lo que se negocia es empezar a pedir el equipamiento en paralelo.</t>
        </is>
      </c>
    </row>
    <row r="13" ht="26" customHeight="1">
      <c r="A13" s="13" t="inlineStr">
        <is>
          <t>H5</t>
        </is>
      </c>
      <c r="B13" s="9" t="inlineStr">
        <is>
          <t>Obra civil e instalaciones</t>
        </is>
      </c>
      <c r="C13" s="35" t="n">
        <v>2</v>
      </c>
      <c r="D13" s="12" t="inlineStr">
        <is>
          <t>H4</t>
        </is>
      </c>
      <c r="E13" s="12" t="inlineStr">
        <is>
          <t>-</t>
        </is>
      </c>
      <c r="F13" s="12" t="inlineStr">
        <is>
          <t>-</t>
        </is>
      </c>
      <c r="G13" s="36">
        <f>IFERROR(MAX(IFERROR(INDEX($H$8:H12,MATCH(D13,$A$8:A12,0)),0),IFERROR(INDEX($H$8:H12,MATCH(E13,$A$8:A12,0)),0),IFERROR(INDEX($H$8:H12,MATCH(F13,$A$8:A12,0)),0)),"")</f>
        <v>5.0</v>
      </c>
      <c r="H13" s="36">
        <f>IFERROR(G13+C13,"")</f>
        <v>7.0</v>
      </c>
      <c r="I13" s="36">
        <f>IFERROR(MIN(MIN(G24:G35),MAX($H$9:$H$20))-H13,"")</f>
        <v>0.0</v>
      </c>
      <c r="J13" t="str">
        <f>IFERROR(IF(ROUND(I13,3)&lt;=0,"Sí","No"),"")</f>
        <v>Sí</v>
      </c>
      <c r="K13" t="str">
        <f>IFERROR(INDEX('Cronograma y Ruta Crítica'!$A$73:$A$84,ROUNDDOWN(MOD($C$5-1+H13,12),0)+1),"")</f>
        <v>Agosto</v>
      </c>
    </row>
    <row r="14" ht="26" customHeight="1">
      <c r="A14" s="13" t="inlineStr">
        <is>
          <t>H6</t>
        </is>
      </c>
      <c r="B14" s="9" t="inlineStr">
        <is>
          <t>Pedido y entrega del equipamiento</t>
        </is>
      </c>
      <c r="C14" s="35" t="n">
        <v>2.5</v>
      </c>
      <c r="D14" s="12" t="inlineStr">
        <is>
          <t>H3</t>
        </is>
      </c>
      <c r="E14" s="12" t="inlineStr">
        <is>
          <t>-</t>
        </is>
      </c>
      <c r="F14" s="12" t="inlineStr">
        <is>
          <t>-</t>
        </is>
      </c>
      <c r="G14" s="36">
        <f>IFERROR(MAX(IFERROR(INDEX($H$8:H13,MATCH(D14,$A$8:A13,0)),0),IFERROR(INDEX($H$8:H13,MATCH(E14,$A$8:A13,0)),0),IFERROR(INDEX($H$8:H13,MATCH(F14,$A$8:A13,0)),0)),"")</f>
        <v>3.5</v>
      </c>
      <c r="H14" s="36">
        <f>IFERROR(G14+C14,"")</f>
        <v>6.0</v>
      </c>
      <c r="I14" s="36">
        <f>IFERROR(MIN(MIN(H24:H35),MAX($H$9:$H$20))-H14,"")</f>
        <v>1.0</v>
      </c>
      <c r="J14" t="str">
        <f>IFERROR(IF(ROUND(I14,3)&lt;=0,"Sí","No"),"")</f>
        <v>No</v>
      </c>
      <c r="K14" t="str">
        <f>IFERROR(INDEX('Cronograma y Ruta Crítica'!$A$73:$A$84,ROUNDDOWN(MOD($C$5-1+H14,12),0)+1),"")</f>
        <v>Julio</v>
      </c>
      <c r="O14" s="5" t="inlineStr">
        <is>
          <t>Va en PARALELO a la obra porque depende del proyecto, no de la licencia. Es lo que le da holgura: si la pides tarde, esa holgura desaparece y el equipamiento pasa a mandar sobre la apertura.</t>
        </is>
      </c>
    </row>
    <row r="15" ht="26" customHeight="1">
      <c r="A15" s="13" t="inlineStr">
        <is>
          <t>H7</t>
        </is>
      </c>
      <c r="B15" s="9" t="inlineStr">
        <is>
          <t>Montaje y puesta en marcha del equipamiento</t>
        </is>
      </c>
      <c r="C15" s="35" t="n">
        <v>0.5</v>
      </c>
      <c r="D15" s="12" t="inlineStr">
        <is>
          <t>H5</t>
        </is>
      </c>
      <c r="E15" s="12" t="inlineStr">
        <is>
          <t>H6</t>
        </is>
      </c>
      <c r="F15" s="12" t="inlineStr">
        <is>
          <t>-</t>
        </is>
      </c>
      <c r="G15" s="36">
        <f>IFERROR(MAX(IFERROR(INDEX($H$8:H14,MATCH(D15,$A$8:A14,0)),0),IFERROR(INDEX($H$8:H14,MATCH(E15,$A$8:A14,0)),0),IFERROR(INDEX($H$8:H14,MATCH(F15,$A$8:A14,0)),0)),"")</f>
        <v>7.0</v>
      </c>
      <c r="H15" s="36">
        <f>IFERROR(G15+C15,"")</f>
        <v>7.5</v>
      </c>
      <c r="I15" s="36">
        <f>IFERROR(MIN(MIN(I24:I35),MAX($H$9:$H$20))-H15,"")</f>
        <v>0.0</v>
      </c>
      <c r="J15" t="str">
        <f>IFERROR(IF(ROUND(I15,3)&lt;=0,"Sí","No"),"")</f>
        <v>Sí</v>
      </c>
      <c r="K15" t="str">
        <f>IFERROR(INDEX('Cronograma y Ruta Crítica'!$A$73:$A$84,ROUNDDOWN(MOD($C$5-1+H15,12),0)+1),"")</f>
        <v>Agosto</v>
      </c>
    </row>
    <row r="16" ht="26" customHeight="1">
      <c r="A16" s="13" t="inlineStr">
        <is>
          <t>H8</t>
        </is>
      </c>
      <c r="B16" s="9" t="inlineStr">
        <is>
          <t>Comunicación al registro sanitario autonómico</t>
        </is>
      </c>
      <c r="C16" s="35" t="n">
        <v>0.5</v>
      </c>
      <c r="D16" s="12" t="inlineStr">
        <is>
          <t>H7</t>
        </is>
      </c>
      <c r="E16" s="12" t="inlineStr">
        <is>
          <t>-</t>
        </is>
      </c>
      <c r="F16" s="12" t="inlineStr">
        <is>
          <t>-</t>
        </is>
      </c>
      <c r="G16" s="36">
        <f>IFERROR(MAX(IFERROR(INDEX($H$8:H15,MATCH(D16,$A$8:A15,0)),0),IFERROR(INDEX($H$8:H15,MATCH(E16,$A$8:A15,0)),0),IFERROR(INDEX($H$8:H15,MATCH(F16,$A$8:A15,0)),0)),"")</f>
        <v>7.5</v>
      </c>
      <c r="H16" s="36">
        <f>IFERROR(G16+C16,"")</f>
        <v>8.0</v>
      </c>
      <c r="I16" s="36">
        <f>IFERROR(MIN(MIN(J24:J35),MAX($H$9:$H$20))-H16,"")</f>
        <v>0.0</v>
      </c>
      <c r="J16" t="str">
        <f>IFERROR(IF(ROUND(I16,3)&lt;=0,"Sí","No"),"")</f>
        <v>Sí</v>
      </c>
      <c r="K16" t="str">
        <f>IFERROR(INDEX('Cronograma y Ruta Crítica'!$A$73:$A$84,ROUNDDOWN(MOD($C$5-1+H16,12),0)+1),"")</f>
        <v>Septiembre</v>
      </c>
    </row>
    <row r="17" ht="26" customHeight="1">
      <c r="A17" s="13" t="inlineStr">
        <is>
          <t>H9</t>
        </is>
      </c>
      <c r="B17" s="9" t="inlineStr">
        <is>
          <t>Formación de manipuladores y plan de APPCC</t>
        </is>
      </c>
      <c r="C17" s="35" t="n">
        <v>0.5</v>
      </c>
      <c r="D17" s="12" t="inlineStr">
        <is>
          <t>H7</t>
        </is>
      </c>
      <c r="E17" s="12" t="inlineStr">
        <is>
          <t>-</t>
        </is>
      </c>
      <c r="F17" s="12" t="inlineStr">
        <is>
          <t>-</t>
        </is>
      </c>
      <c r="G17" s="36">
        <f>IFERROR(MAX(IFERROR(INDEX($H$8:H16,MATCH(D17,$A$8:A16,0)),0),IFERROR(INDEX($H$8:H16,MATCH(E17,$A$8:A16,0)),0),IFERROR(INDEX($H$8:H16,MATCH(F17,$A$8:A16,0)),0)),"")</f>
        <v>7.5</v>
      </c>
      <c r="H17" s="36">
        <f>IFERROR(G17+C17,"")</f>
        <v>8.0</v>
      </c>
      <c r="I17" s="36">
        <f>IFERROR(MIN(MIN(K24:K35),MAX($H$9:$H$20))-H17,"")</f>
        <v>0.0</v>
      </c>
      <c r="J17" t="str">
        <f>IFERROR(IF(ROUND(I17,3)&lt;=0,"Sí","No"),"")</f>
        <v>Sí</v>
      </c>
      <c r="K17" t="str">
        <f>IFERROR(INDEX('Cronograma y Ruta Crítica'!$A$73:$A$84,ROUNDDOWN(MOD($C$5-1+H17,12),0)+1),"")</f>
        <v>Septiembre</v>
      </c>
    </row>
    <row r="18" ht="26" customHeight="1">
      <c r="A18" s="13" t="inlineStr">
        <is>
          <t>H10</t>
        </is>
      </c>
      <c r="B18" s="9" t="inlineStr">
        <is>
          <t>Contratación del equipo y altas en Seguridad Social</t>
        </is>
      </c>
      <c r="C18" s="35" t="n">
        <v>0.5</v>
      </c>
      <c r="D18" s="12" t="inlineStr">
        <is>
          <t>H7</t>
        </is>
      </c>
      <c r="E18" s="12" t="inlineStr">
        <is>
          <t>-</t>
        </is>
      </c>
      <c r="F18" s="12" t="inlineStr">
        <is>
          <t>-</t>
        </is>
      </c>
      <c r="G18" s="36">
        <f>IFERROR(MAX(IFERROR(INDEX($H$8:H17,MATCH(D18,$A$8:A17,0)),0),IFERROR(INDEX($H$8:H17,MATCH(E18,$A$8:A17,0)),0),IFERROR(INDEX($H$8:H17,MATCH(F18,$A$8:A17,0)),0)),"")</f>
        <v>7.5</v>
      </c>
      <c r="H18" s="36">
        <f>IFERROR(G18+C18,"")</f>
        <v>8.0</v>
      </c>
      <c r="I18" s="36">
        <f>IFERROR(MIN(MIN(L24:L35),MAX($H$9:$H$20))-H18,"")</f>
        <v>0.0</v>
      </c>
      <c r="J18" t="str">
        <f>IFERROR(IF(ROUND(I18,3)&lt;=0,"Sí","No"),"")</f>
        <v>Sí</v>
      </c>
      <c r="K18" t="str">
        <f>IFERROR(INDEX('Cronograma y Ruta Crítica'!$A$73:$A$84,ROUNDDOWN(MOD($C$5-1+H18,12),0)+1),"")</f>
        <v>Septiembre</v>
      </c>
    </row>
    <row r="19" ht="26" customHeight="1">
      <c r="A19" s="13" t="inlineStr">
        <is>
          <t>H11</t>
        </is>
      </c>
      <c r="B19" s="9" t="inlineStr">
        <is>
          <t>Pruebas de producción y cierre de la carta de apertura</t>
        </is>
      </c>
      <c r="C19" s="35" t="n">
        <v>0.5</v>
      </c>
      <c r="D19" s="12" t="inlineStr">
        <is>
          <t>H8</t>
        </is>
      </c>
      <c r="E19" s="12" t="inlineStr">
        <is>
          <t>H9</t>
        </is>
      </c>
      <c r="F19" s="12" t="inlineStr">
        <is>
          <t>H10</t>
        </is>
      </c>
      <c r="G19" s="36">
        <f>IFERROR(MAX(IFERROR(INDEX($H$8:H18,MATCH(D19,$A$8:A18,0)),0),IFERROR(INDEX($H$8:H18,MATCH(E19,$A$8:A18,0)),0),IFERROR(INDEX($H$8:H18,MATCH(F19,$A$8:A18,0)),0)),"")</f>
        <v>8.0</v>
      </c>
      <c r="H19" s="36">
        <f>IFERROR(G19+C19,"")</f>
        <v>8.5</v>
      </c>
      <c r="I19" s="36">
        <f>IFERROR(MIN(MIN(M24:M35),MAX($H$9:$H$20))-H19,"")</f>
        <v>0.0</v>
      </c>
      <c r="J19" t="str">
        <f>IFERROR(IF(ROUND(I19,3)&lt;=0,"Sí","No"),"")</f>
        <v>Sí</v>
      </c>
      <c r="K19" t="str">
        <f>IFERROR(INDEX('Cronograma y Ruta Crítica'!$A$73:$A$84,ROUNDDOWN(MOD($C$5-1+H19,12),0)+1),"")</f>
        <v>Septiembre</v>
      </c>
    </row>
    <row r="20" ht="26" customHeight="1">
      <c r="A20" s="13" t="inlineStr">
        <is>
          <t>H12</t>
        </is>
      </c>
      <c r="B20" s="9" t="inlineStr">
        <is>
          <t>Apertura</t>
        </is>
      </c>
      <c r="C20" s="35" t="n">
        <v>0</v>
      </c>
      <c r="D20" s="12" t="inlineStr">
        <is>
          <t>H11</t>
        </is>
      </c>
      <c r="E20" s="12" t="inlineStr">
        <is>
          <t>-</t>
        </is>
      </c>
      <c r="F20" s="12" t="inlineStr">
        <is>
          <t>-</t>
        </is>
      </c>
      <c r="G20" s="36">
        <f>IFERROR(MAX(IFERROR(INDEX($H$8:H19,MATCH(D20,$A$8:A19,0)),0),IFERROR(INDEX($H$8:H19,MATCH(E20,$A$8:A19,0)),0),IFERROR(INDEX($H$8:H19,MATCH(F20,$A$8:A19,0)),0)),"")</f>
        <v>8.5</v>
      </c>
      <c r="H20" s="36">
        <f>IFERROR(G20+C20,"")</f>
        <v>8.5</v>
      </c>
      <c r="I20" s="36">
        <f>IFERROR(MIN(MIN(N24:N35),MAX($H$9:$H$20))-H20,"")</f>
        <v>0.0</v>
      </c>
      <c r="J20" t="str">
        <f>IFERROR(IF(ROUND(I20,3)&lt;=0,"Sí","No"),"")</f>
        <v>Sí</v>
      </c>
      <c r="K20" t="str">
        <f>IFERROR(INDEX('Cronograma y Ruta Crítica'!$A$73:$A$84,ROUNDDOWN(MOD($C$5-1+H20,12),0)+1),"")</f>
        <v>Septiembre</v>
      </c>
      <c r="O20" s="5" t="inlineStr">
        <is>
          <t>Duración cero: la apertura es un instante, no una tarea. Lo que tiene delante son las pruebas de producción, y ésas no se recortan.</t>
        </is>
      </c>
    </row>
    <row r="21"/>
    <row r="22">
      <c r="A22" s="4" t="inlineStr">
        <is>
          <t>MATRIZ DE DEPENDENCIAS: QUÉ HITO BLOQUEA A CUÁL</t>
        </is>
      </c>
      <c r="B22" s="11" t="inlineStr"/>
      <c r="C22" s="11" t="inlineStr"/>
      <c r="D22" s="11" t="inlineStr"/>
      <c r="E22" s="11" t="inlineStr"/>
      <c r="F22" s="11" t="inlineStr"/>
      <c r="G22" s="11" t="inlineStr"/>
      <c r="H22" s="11" t="inlineStr"/>
      <c r="I22" s="11" t="inlineStr"/>
      <c r="J22" s="11" t="inlineStr"/>
      <c r="K22" s="11" t="inlineStr"/>
      <c r="L22" s="11" t="inlineStr"/>
      <c r="M22" s="11" t="inlineStr"/>
      <c r="N22" s="11" t="inlineStr"/>
      <c r="O22" s="11" t="inlineStr"/>
    </row>
    <row r="23" ht="22" customHeight="1">
      <c r="A23" s="7" t="inlineStr">
        <is>
          <t>Sucesor</t>
        </is>
      </c>
      <c r="B23" s="7" t="inlineStr">
        <is>
          <t>empieza en el mes...</t>
        </is>
      </c>
      <c r="C23" s="7" t="inlineStr">
        <is>
          <t>H1</t>
        </is>
      </c>
      <c r="D23" s="7" t="inlineStr">
        <is>
          <t>H2</t>
        </is>
      </c>
      <c r="E23" s="7" t="inlineStr">
        <is>
          <t>H3</t>
        </is>
      </c>
      <c r="F23" s="7" t="inlineStr">
        <is>
          <t>H4</t>
        </is>
      </c>
      <c r="G23" s="7" t="inlineStr">
        <is>
          <t>H5</t>
        </is>
      </c>
      <c r="H23" s="7" t="inlineStr">
        <is>
          <t>H6</t>
        </is>
      </c>
      <c r="I23" s="7" t="inlineStr">
        <is>
          <t>H7</t>
        </is>
      </c>
      <c r="J23" s="7" t="inlineStr">
        <is>
          <t>H8</t>
        </is>
      </c>
      <c r="K23" s="7" t="inlineStr">
        <is>
          <t>H9</t>
        </is>
      </c>
      <c r="L23" s="7" t="inlineStr">
        <is>
          <t>H10</t>
        </is>
      </c>
      <c r="M23" s="7" t="inlineStr">
        <is>
          <t>H11</t>
        </is>
      </c>
      <c r="N23" s="7" t="inlineStr">
        <is>
          <t>H12</t>
        </is>
      </c>
      <c r="O23" s="7" t="inlineStr">
        <is>
          <t>Notas</t>
        </is>
      </c>
    </row>
    <row r="24">
      <c r="A24" s="13" t="inlineStr">
        <is>
          <t>H1</t>
        </is>
      </c>
      <c r="B24" s="36">
        <f>IFERROR(G9,"")</f>
        <v>0.0</v>
      </c>
      <c r="C24" s="41">
        <f>IFERROR(IF(OR($D$9=$A$9,$E$9=$A$9,$F$9=$A$9),$G$9,$C$6),"")</f>
        <v>999.0</v>
      </c>
      <c r="D24" s="41">
        <f>IFERROR(IF(OR($D$9=$A$10,$E$9=$A$10,$F$9=$A$10),$G$9,$C$6),"")</f>
        <v>999.0</v>
      </c>
      <c r="E24" s="41">
        <f>IFERROR(IF(OR($D$9=$A$11,$E$9=$A$11,$F$9=$A$11),$G$9,$C$6),"")</f>
        <v>999.0</v>
      </c>
      <c r="F24" s="41">
        <f>IFERROR(IF(OR($D$9=$A$12,$E$9=$A$12,$F$9=$A$12),$G$9,$C$6),"")</f>
        <v>999.0</v>
      </c>
      <c r="G24" s="41">
        <f>IFERROR(IF(OR($D$9=$A$13,$E$9=$A$13,$F$9=$A$13),$G$9,$C$6),"")</f>
        <v>999.0</v>
      </c>
      <c r="H24" s="41">
        <f>IFERROR(IF(OR($D$9=$A$14,$E$9=$A$14,$F$9=$A$14),$G$9,$C$6),"")</f>
        <v>999.0</v>
      </c>
      <c r="I24" s="41">
        <f>IFERROR(IF(OR($D$9=$A$15,$E$9=$A$15,$F$9=$A$15),$G$9,$C$6),"")</f>
        <v>999.0</v>
      </c>
      <c r="J24" s="41">
        <f>IFERROR(IF(OR($D$9=$A$16,$E$9=$A$16,$F$9=$A$16),$G$9,$C$6),"")</f>
        <v>999.0</v>
      </c>
      <c r="K24" s="41">
        <f>IFERROR(IF(OR($D$9=$A$17,$E$9=$A$17,$F$9=$A$17),$G$9,$C$6),"")</f>
        <v>999.0</v>
      </c>
      <c r="L24" s="41">
        <f>IFERROR(IF(OR($D$9=$A$18,$E$9=$A$18,$F$9=$A$18),$G$9,$C$6),"")</f>
        <v>999.0</v>
      </c>
      <c r="M24" s="41">
        <f>IFERROR(IF(OR($D$9=$A$19,$E$9=$A$19,$F$9=$A$19),$G$9,$C$6),"")</f>
        <v>999.0</v>
      </c>
      <c r="N24" s="41">
        <f>IFERROR(IF(OR($D$9=$A$20,$E$9=$A$20,$F$9=$A$20),$G$9,$C$6),"")</f>
        <v>999.0</v>
      </c>
      <c r="O24" s="5" t="inlineStr">
        <is>
          <t>Se lee por COLUMNAS: en la columna de H5 aparece el mes en que empieza cada hito que depende de H5. La holgura de H5 es la distancia entre cuando acaba y el primero de esos meses. Las casillas vacías no lo están: llevan el centinela y el formato las esconde.</t>
        </is>
      </c>
    </row>
    <row r="25">
      <c r="A25" s="13" t="inlineStr">
        <is>
          <t>H2</t>
        </is>
      </c>
      <c r="B25" s="36">
        <f>IFERROR(G10,"")</f>
        <v>2.0</v>
      </c>
      <c r="C25" s="41">
        <f>IFERROR(IF(OR($D$10=$A$9,$E$10=$A$9,$F$10=$A$9),$G$10,$C$6),"")</f>
        <v>2.0</v>
      </c>
      <c r="D25" s="41">
        <f>IFERROR(IF(OR($D$10=$A$10,$E$10=$A$10,$F$10=$A$10),$G$10,$C$6),"")</f>
        <v>999.0</v>
      </c>
      <c r="E25" s="41">
        <f>IFERROR(IF(OR($D$10=$A$11,$E$10=$A$11,$F$10=$A$11),$G$10,$C$6),"")</f>
        <v>999.0</v>
      </c>
      <c r="F25" s="41">
        <f>IFERROR(IF(OR($D$10=$A$12,$E$10=$A$12,$F$10=$A$12),$G$10,$C$6),"")</f>
        <v>999.0</v>
      </c>
      <c r="G25" s="41">
        <f>IFERROR(IF(OR($D$10=$A$13,$E$10=$A$13,$F$10=$A$13),$G$10,$C$6),"")</f>
        <v>999.0</v>
      </c>
      <c r="H25" s="41">
        <f>IFERROR(IF(OR($D$10=$A$14,$E$10=$A$14,$F$10=$A$14),$G$10,$C$6),"")</f>
        <v>999.0</v>
      </c>
      <c r="I25" s="41">
        <f>IFERROR(IF(OR($D$10=$A$15,$E$10=$A$15,$F$10=$A$15),$G$10,$C$6),"")</f>
        <v>999.0</v>
      </c>
      <c r="J25" s="41">
        <f>IFERROR(IF(OR($D$10=$A$16,$E$10=$A$16,$F$10=$A$16),$G$10,$C$6),"")</f>
        <v>999.0</v>
      </c>
      <c r="K25" s="41">
        <f>IFERROR(IF(OR($D$10=$A$17,$E$10=$A$17,$F$10=$A$17),$G$10,$C$6),"")</f>
        <v>999.0</v>
      </c>
      <c r="L25" s="41">
        <f>IFERROR(IF(OR($D$10=$A$18,$E$10=$A$18,$F$10=$A$18),$G$10,$C$6),"")</f>
        <v>999.0</v>
      </c>
      <c r="M25" s="41">
        <f>IFERROR(IF(OR($D$10=$A$19,$E$10=$A$19,$F$10=$A$19),$G$10,$C$6),"")</f>
        <v>999.0</v>
      </c>
      <c r="N25" s="41">
        <f>IFERROR(IF(OR($D$10=$A$20,$E$10=$A$20,$F$10=$A$20),$G$10,$C$6),"")</f>
        <v>999.0</v>
      </c>
    </row>
    <row r="26">
      <c r="A26" s="13" t="inlineStr">
        <is>
          <t>H3</t>
        </is>
      </c>
      <c r="B26" s="36">
        <f>IFERROR(G11,"")</f>
        <v>2.5</v>
      </c>
      <c r="C26" s="41">
        <f>IFERROR(IF(OR($D$11=$A$9,$E$11=$A$9,$F$11=$A$9),$G$11,$C$6),"")</f>
        <v>999.0</v>
      </c>
      <c r="D26" s="41">
        <f>IFERROR(IF(OR($D$11=$A$10,$E$11=$A$10,$F$11=$A$10),$G$11,$C$6),"")</f>
        <v>2.5</v>
      </c>
      <c r="E26" s="41">
        <f>IFERROR(IF(OR($D$11=$A$11,$E$11=$A$11,$F$11=$A$11),$G$11,$C$6),"")</f>
        <v>999.0</v>
      </c>
      <c r="F26" s="41">
        <f>IFERROR(IF(OR($D$11=$A$12,$E$11=$A$12,$F$11=$A$12),$G$11,$C$6),"")</f>
        <v>999.0</v>
      </c>
      <c r="G26" s="41">
        <f>IFERROR(IF(OR($D$11=$A$13,$E$11=$A$13,$F$11=$A$13),$G$11,$C$6),"")</f>
        <v>999.0</v>
      </c>
      <c r="H26" s="41">
        <f>IFERROR(IF(OR($D$11=$A$14,$E$11=$A$14,$F$11=$A$14),$G$11,$C$6),"")</f>
        <v>999.0</v>
      </c>
      <c r="I26" s="41">
        <f>IFERROR(IF(OR($D$11=$A$15,$E$11=$A$15,$F$11=$A$15),$G$11,$C$6),"")</f>
        <v>999.0</v>
      </c>
      <c r="J26" s="41">
        <f>IFERROR(IF(OR($D$11=$A$16,$E$11=$A$16,$F$11=$A$16),$G$11,$C$6),"")</f>
        <v>999.0</v>
      </c>
      <c r="K26" s="41">
        <f>IFERROR(IF(OR($D$11=$A$17,$E$11=$A$17,$F$11=$A$17),$G$11,$C$6),"")</f>
        <v>999.0</v>
      </c>
      <c r="L26" s="41">
        <f>IFERROR(IF(OR($D$11=$A$18,$E$11=$A$18,$F$11=$A$18),$G$11,$C$6),"")</f>
        <v>999.0</v>
      </c>
      <c r="M26" s="41">
        <f>IFERROR(IF(OR($D$11=$A$19,$E$11=$A$19,$F$11=$A$19),$G$11,$C$6),"")</f>
        <v>999.0</v>
      </c>
      <c r="N26" s="41">
        <f>IFERROR(IF(OR($D$11=$A$20,$E$11=$A$20,$F$11=$A$20),$G$11,$C$6),"")</f>
        <v>999.0</v>
      </c>
    </row>
    <row r="27">
      <c r="A27" s="13" t="inlineStr">
        <is>
          <t>H4</t>
        </is>
      </c>
      <c r="B27" s="36">
        <f>IFERROR(G12,"")</f>
        <v>3.5</v>
      </c>
      <c r="C27" s="41">
        <f>IFERROR(IF(OR($D$12=$A$9,$E$12=$A$9,$F$12=$A$9),$G$12,$C$6),"")</f>
        <v>999.0</v>
      </c>
      <c r="D27" s="41">
        <f>IFERROR(IF(OR($D$12=$A$10,$E$12=$A$10,$F$12=$A$10),$G$12,$C$6),"")</f>
        <v>999.0</v>
      </c>
      <c r="E27" s="41">
        <f>IFERROR(IF(OR($D$12=$A$11,$E$12=$A$11,$F$12=$A$11),$G$12,$C$6),"")</f>
        <v>3.5</v>
      </c>
      <c r="F27" s="41">
        <f>IFERROR(IF(OR($D$12=$A$12,$E$12=$A$12,$F$12=$A$12),$G$12,$C$6),"")</f>
        <v>999.0</v>
      </c>
      <c r="G27" s="41">
        <f>IFERROR(IF(OR($D$12=$A$13,$E$12=$A$13,$F$12=$A$13),$G$12,$C$6),"")</f>
        <v>999.0</v>
      </c>
      <c r="H27" s="41">
        <f>IFERROR(IF(OR($D$12=$A$14,$E$12=$A$14,$F$12=$A$14),$G$12,$C$6),"")</f>
        <v>999.0</v>
      </c>
      <c r="I27" s="41">
        <f>IFERROR(IF(OR($D$12=$A$15,$E$12=$A$15,$F$12=$A$15),$G$12,$C$6),"")</f>
        <v>999.0</v>
      </c>
      <c r="J27" s="41">
        <f>IFERROR(IF(OR($D$12=$A$16,$E$12=$A$16,$F$12=$A$16),$G$12,$C$6),"")</f>
        <v>999.0</v>
      </c>
      <c r="K27" s="41">
        <f>IFERROR(IF(OR($D$12=$A$17,$E$12=$A$17,$F$12=$A$17),$G$12,$C$6),"")</f>
        <v>999.0</v>
      </c>
      <c r="L27" s="41">
        <f>IFERROR(IF(OR($D$12=$A$18,$E$12=$A$18,$F$12=$A$18),$G$12,$C$6),"")</f>
        <v>999.0</v>
      </c>
      <c r="M27" s="41">
        <f>IFERROR(IF(OR($D$12=$A$19,$E$12=$A$19,$F$12=$A$19),$G$12,$C$6),"")</f>
        <v>999.0</v>
      </c>
      <c r="N27" s="41">
        <f>IFERROR(IF(OR($D$12=$A$20,$E$12=$A$20,$F$12=$A$20),$G$12,$C$6),"")</f>
        <v>999.0</v>
      </c>
    </row>
    <row r="28">
      <c r="A28" s="13" t="inlineStr">
        <is>
          <t>H5</t>
        </is>
      </c>
      <c r="B28" s="36">
        <f>IFERROR(G13,"")</f>
        <v>5.0</v>
      </c>
      <c r="C28" s="41">
        <f>IFERROR(IF(OR($D$13=$A$9,$E$13=$A$9,$F$13=$A$9),$G$13,$C$6),"")</f>
        <v>999.0</v>
      </c>
      <c r="D28" s="41">
        <f>IFERROR(IF(OR($D$13=$A$10,$E$13=$A$10,$F$13=$A$10),$G$13,$C$6),"")</f>
        <v>999.0</v>
      </c>
      <c r="E28" s="41">
        <f>IFERROR(IF(OR($D$13=$A$11,$E$13=$A$11,$F$13=$A$11),$G$13,$C$6),"")</f>
        <v>999.0</v>
      </c>
      <c r="F28" s="41">
        <f>IFERROR(IF(OR($D$13=$A$12,$E$13=$A$12,$F$13=$A$12),$G$13,$C$6),"")</f>
        <v>5.0</v>
      </c>
      <c r="G28" s="41">
        <f>IFERROR(IF(OR($D$13=$A$13,$E$13=$A$13,$F$13=$A$13),$G$13,$C$6),"")</f>
        <v>999.0</v>
      </c>
      <c r="H28" s="41">
        <f>IFERROR(IF(OR($D$13=$A$14,$E$13=$A$14,$F$13=$A$14),$G$13,$C$6),"")</f>
        <v>999.0</v>
      </c>
      <c r="I28" s="41">
        <f>IFERROR(IF(OR($D$13=$A$15,$E$13=$A$15,$F$13=$A$15),$G$13,$C$6),"")</f>
        <v>999.0</v>
      </c>
      <c r="J28" s="41">
        <f>IFERROR(IF(OR($D$13=$A$16,$E$13=$A$16,$F$13=$A$16),$G$13,$C$6),"")</f>
        <v>999.0</v>
      </c>
      <c r="K28" s="41">
        <f>IFERROR(IF(OR($D$13=$A$17,$E$13=$A$17,$F$13=$A$17),$G$13,$C$6),"")</f>
        <v>999.0</v>
      </c>
      <c r="L28" s="41">
        <f>IFERROR(IF(OR($D$13=$A$18,$E$13=$A$18,$F$13=$A$18),$G$13,$C$6),"")</f>
        <v>999.0</v>
      </c>
      <c r="M28" s="41">
        <f>IFERROR(IF(OR($D$13=$A$19,$E$13=$A$19,$F$13=$A$19),$G$13,$C$6),"")</f>
        <v>999.0</v>
      </c>
      <c r="N28" s="41">
        <f>IFERROR(IF(OR($D$13=$A$20,$E$13=$A$20,$F$13=$A$20),$G$13,$C$6),"")</f>
        <v>999.0</v>
      </c>
    </row>
    <row r="29">
      <c r="A29" s="13" t="inlineStr">
        <is>
          <t>H6</t>
        </is>
      </c>
      <c r="B29" s="36">
        <f>IFERROR(G14,"")</f>
        <v>3.5</v>
      </c>
      <c r="C29" s="41">
        <f>IFERROR(IF(OR($D$14=$A$9,$E$14=$A$9,$F$14=$A$9),$G$14,$C$6),"")</f>
        <v>999.0</v>
      </c>
      <c r="D29" s="41">
        <f>IFERROR(IF(OR($D$14=$A$10,$E$14=$A$10,$F$14=$A$10),$G$14,$C$6),"")</f>
        <v>999.0</v>
      </c>
      <c r="E29" s="41">
        <f>IFERROR(IF(OR($D$14=$A$11,$E$14=$A$11,$F$14=$A$11),$G$14,$C$6),"")</f>
        <v>3.5</v>
      </c>
      <c r="F29" s="41">
        <f>IFERROR(IF(OR($D$14=$A$12,$E$14=$A$12,$F$14=$A$12),$G$14,$C$6),"")</f>
        <v>999.0</v>
      </c>
      <c r="G29" s="41">
        <f>IFERROR(IF(OR($D$14=$A$13,$E$14=$A$13,$F$14=$A$13),$G$14,$C$6),"")</f>
        <v>999.0</v>
      </c>
      <c r="H29" s="41">
        <f>IFERROR(IF(OR($D$14=$A$14,$E$14=$A$14,$F$14=$A$14),$G$14,$C$6),"")</f>
        <v>999.0</v>
      </c>
      <c r="I29" s="41">
        <f>IFERROR(IF(OR($D$14=$A$15,$E$14=$A$15,$F$14=$A$15),$G$14,$C$6),"")</f>
        <v>999.0</v>
      </c>
      <c r="J29" s="41">
        <f>IFERROR(IF(OR($D$14=$A$16,$E$14=$A$16,$F$14=$A$16),$G$14,$C$6),"")</f>
        <v>999.0</v>
      </c>
      <c r="K29" s="41">
        <f>IFERROR(IF(OR($D$14=$A$17,$E$14=$A$17,$F$14=$A$17),$G$14,$C$6),"")</f>
        <v>999.0</v>
      </c>
      <c r="L29" s="41">
        <f>IFERROR(IF(OR($D$14=$A$18,$E$14=$A$18,$F$14=$A$18),$G$14,$C$6),"")</f>
        <v>999.0</v>
      </c>
      <c r="M29" s="41">
        <f>IFERROR(IF(OR($D$14=$A$19,$E$14=$A$19,$F$14=$A$19),$G$14,$C$6),"")</f>
        <v>999.0</v>
      </c>
      <c r="N29" s="41">
        <f>IFERROR(IF(OR($D$14=$A$20,$E$14=$A$20,$F$14=$A$20),$G$14,$C$6),"")</f>
        <v>999.0</v>
      </c>
    </row>
    <row r="30">
      <c r="A30" s="13" t="inlineStr">
        <is>
          <t>H7</t>
        </is>
      </c>
      <c r="B30" s="36">
        <f>IFERROR(G15,"")</f>
        <v>7.0</v>
      </c>
      <c r="C30" s="41">
        <f>IFERROR(IF(OR($D$15=$A$9,$E$15=$A$9,$F$15=$A$9),$G$15,$C$6),"")</f>
        <v>999.0</v>
      </c>
      <c r="D30" s="41">
        <f>IFERROR(IF(OR($D$15=$A$10,$E$15=$A$10,$F$15=$A$10),$G$15,$C$6),"")</f>
        <v>999.0</v>
      </c>
      <c r="E30" s="41">
        <f>IFERROR(IF(OR($D$15=$A$11,$E$15=$A$11,$F$15=$A$11),$G$15,$C$6),"")</f>
        <v>999.0</v>
      </c>
      <c r="F30" s="41">
        <f>IFERROR(IF(OR($D$15=$A$12,$E$15=$A$12,$F$15=$A$12),$G$15,$C$6),"")</f>
        <v>999.0</v>
      </c>
      <c r="G30" s="41">
        <f>IFERROR(IF(OR($D$15=$A$13,$E$15=$A$13,$F$15=$A$13),$G$15,$C$6),"")</f>
        <v>7.0</v>
      </c>
      <c r="H30" s="41">
        <f>IFERROR(IF(OR($D$15=$A$14,$E$15=$A$14,$F$15=$A$14),$G$15,$C$6),"")</f>
        <v>7.0</v>
      </c>
      <c r="I30" s="41">
        <f>IFERROR(IF(OR($D$15=$A$15,$E$15=$A$15,$F$15=$A$15),$G$15,$C$6),"")</f>
        <v>999.0</v>
      </c>
      <c r="J30" s="41">
        <f>IFERROR(IF(OR($D$15=$A$16,$E$15=$A$16,$F$15=$A$16),$G$15,$C$6),"")</f>
        <v>999.0</v>
      </c>
      <c r="K30" s="41">
        <f>IFERROR(IF(OR($D$15=$A$17,$E$15=$A$17,$F$15=$A$17),$G$15,$C$6),"")</f>
        <v>999.0</v>
      </c>
      <c r="L30" s="41">
        <f>IFERROR(IF(OR($D$15=$A$18,$E$15=$A$18,$F$15=$A$18),$G$15,$C$6),"")</f>
        <v>999.0</v>
      </c>
      <c r="M30" s="41">
        <f>IFERROR(IF(OR($D$15=$A$19,$E$15=$A$19,$F$15=$A$19),$G$15,$C$6),"")</f>
        <v>999.0</v>
      </c>
      <c r="N30" s="41">
        <f>IFERROR(IF(OR($D$15=$A$20,$E$15=$A$20,$F$15=$A$20),$G$15,$C$6),"")</f>
        <v>999.0</v>
      </c>
    </row>
    <row r="31">
      <c r="A31" s="13" t="inlineStr">
        <is>
          <t>H8</t>
        </is>
      </c>
      <c r="B31" s="36">
        <f>IFERROR(G16,"")</f>
        <v>7.5</v>
      </c>
      <c r="C31" s="41">
        <f>IFERROR(IF(OR($D$16=$A$9,$E$16=$A$9,$F$16=$A$9),$G$16,$C$6),"")</f>
        <v>999.0</v>
      </c>
      <c r="D31" s="41">
        <f>IFERROR(IF(OR($D$16=$A$10,$E$16=$A$10,$F$16=$A$10),$G$16,$C$6),"")</f>
        <v>999.0</v>
      </c>
      <c r="E31" s="41">
        <f>IFERROR(IF(OR($D$16=$A$11,$E$16=$A$11,$F$16=$A$11),$G$16,$C$6),"")</f>
        <v>999.0</v>
      </c>
      <c r="F31" s="41">
        <f>IFERROR(IF(OR($D$16=$A$12,$E$16=$A$12,$F$16=$A$12),$G$16,$C$6),"")</f>
        <v>999.0</v>
      </c>
      <c r="G31" s="41">
        <f>IFERROR(IF(OR($D$16=$A$13,$E$16=$A$13,$F$16=$A$13),$G$16,$C$6),"")</f>
        <v>999.0</v>
      </c>
      <c r="H31" s="41">
        <f>IFERROR(IF(OR($D$16=$A$14,$E$16=$A$14,$F$16=$A$14),$G$16,$C$6),"")</f>
        <v>999.0</v>
      </c>
      <c r="I31" s="41">
        <f>IFERROR(IF(OR($D$16=$A$15,$E$16=$A$15,$F$16=$A$15),$G$16,$C$6),"")</f>
        <v>7.5</v>
      </c>
      <c r="J31" s="41">
        <f>IFERROR(IF(OR($D$16=$A$16,$E$16=$A$16,$F$16=$A$16),$G$16,$C$6),"")</f>
        <v>999.0</v>
      </c>
      <c r="K31" s="41">
        <f>IFERROR(IF(OR($D$16=$A$17,$E$16=$A$17,$F$16=$A$17),$G$16,$C$6),"")</f>
        <v>999.0</v>
      </c>
      <c r="L31" s="41">
        <f>IFERROR(IF(OR($D$16=$A$18,$E$16=$A$18,$F$16=$A$18),$G$16,$C$6),"")</f>
        <v>999.0</v>
      </c>
      <c r="M31" s="41">
        <f>IFERROR(IF(OR($D$16=$A$19,$E$16=$A$19,$F$16=$A$19),$G$16,$C$6),"")</f>
        <v>999.0</v>
      </c>
      <c r="N31" s="41">
        <f>IFERROR(IF(OR($D$16=$A$20,$E$16=$A$20,$F$16=$A$20),$G$16,$C$6),"")</f>
        <v>999.0</v>
      </c>
    </row>
    <row r="32">
      <c r="A32" s="13" t="inlineStr">
        <is>
          <t>H9</t>
        </is>
      </c>
      <c r="B32" s="36">
        <f>IFERROR(G17,"")</f>
        <v>7.5</v>
      </c>
      <c r="C32" s="41">
        <f>IFERROR(IF(OR($D$17=$A$9,$E$17=$A$9,$F$17=$A$9),$G$17,$C$6),"")</f>
        <v>999.0</v>
      </c>
      <c r="D32" s="41">
        <f>IFERROR(IF(OR($D$17=$A$10,$E$17=$A$10,$F$17=$A$10),$G$17,$C$6),"")</f>
        <v>999.0</v>
      </c>
      <c r="E32" s="41">
        <f>IFERROR(IF(OR($D$17=$A$11,$E$17=$A$11,$F$17=$A$11),$G$17,$C$6),"")</f>
        <v>999.0</v>
      </c>
      <c r="F32" s="41">
        <f>IFERROR(IF(OR($D$17=$A$12,$E$17=$A$12,$F$17=$A$12),$G$17,$C$6),"")</f>
        <v>999.0</v>
      </c>
      <c r="G32" s="41">
        <f>IFERROR(IF(OR($D$17=$A$13,$E$17=$A$13,$F$17=$A$13),$G$17,$C$6),"")</f>
        <v>999.0</v>
      </c>
      <c r="H32" s="41">
        <f>IFERROR(IF(OR($D$17=$A$14,$E$17=$A$14,$F$17=$A$14),$G$17,$C$6),"")</f>
        <v>999.0</v>
      </c>
      <c r="I32" s="41">
        <f>IFERROR(IF(OR($D$17=$A$15,$E$17=$A$15,$F$17=$A$15),$G$17,$C$6),"")</f>
        <v>7.5</v>
      </c>
      <c r="J32" s="41">
        <f>IFERROR(IF(OR($D$17=$A$16,$E$17=$A$16,$F$17=$A$16),$G$17,$C$6),"")</f>
        <v>999.0</v>
      </c>
      <c r="K32" s="41">
        <f>IFERROR(IF(OR($D$17=$A$17,$E$17=$A$17,$F$17=$A$17),$G$17,$C$6),"")</f>
        <v>999.0</v>
      </c>
      <c r="L32" s="41">
        <f>IFERROR(IF(OR($D$17=$A$18,$E$17=$A$18,$F$17=$A$18),$G$17,$C$6),"")</f>
        <v>999.0</v>
      </c>
      <c r="M32" s="41">
        <f>IFERROR(IF(OR($D$17=$A$19,$E$17=$A$19,$F$17=$A$19),$G$17,$C$6),"")</f>
        <v>999.0</v>
      </c>
      <c r="N32" s="41">
        <f>IFERROR(IF(OR($D$17=$A$20,$E$17=$A$20,$F$17=$A$20),$G$17,$C$6),"")</f>
        <v>999.0</v>
      </c>
    </row>
    <row r="33">
      <c r="A33" s="13" t="inlineStr">
        <is>
          <t>H10</t>
        </is>
      </c>
      <c r="B33" s="36">
        <f>IFERROR(G18,"")</f>
        <v>7.5</v>
      </c>
      <c r="C33" s="41">
        <f>IFERROR(IF(OR($D$18=$A$9,$E$18=$A$9,$F$18=$A$9),$G$18,$C$6),"")</f>
        <v>999.0</v>
      </c>
      <c r="D33" s="41">
        <f>IFERROR(IF(OR($D$18=$A$10,$E$18=$A$10,$F$18=$A$10),$G$18,$C$6),"")</f>
        <v>999.0</v>
      </c>
      <c r="E33" s="41">
        <f>IFERROR(IF(OR($D$18=$A$11,$E$18=$A$11,$F$18=$A$11),$G$18,$C$6),"")</f>
        <v>999.0</v>
      </c>
      <c r="F33" s="41">
        <f>IFERROR(IF(OR($D$18=$A$12,$E$18=$A$12,$F$18=$A$12),$G$18,$C$6),"")</f>
        <v>999.0</v>
      </c>
      <c r="G33" s="41">
        <f>IFERROR(IF(OR($D$18=$A$13,$E$18=$A$13,$F$18=$A$13),$G$18,$C$6),"")</f>
        <v>999.0</v>
      </c>
      <c r="H33" s="41">
        <f>IFERROR(IF(OR($D$18=$A$14,$E$18=$A$14,$F$18=$A$14),$G$18,$C$6),"")</f>
        <v>999.0</v>
      </c>
      <c r="I33" s="41">
        <f>IFERROR(IF(OR($D$18=$A$15,$E$18=$A$15,$F$18=$A$15),$G$18,$C$6),"")</f>
        <v>7.5</v>
      </c>
      <c r="J33" s="41">
        <f>IFERROR(IF(OR($D$18=$A$16,$E$18=$A$16,$F$18=$A$16),$G$18,$C$6),"")</f>
        <v>999.0</v>
      </c>
      <c r="K33" s="41">
        <f>IFERROR(IF(OR($D$18=$A$17,$E$18=$A$17,$F$18=$A$17),$G$18,$C$6),"")</f>
        <v>999.0</v>
      </c>
      <c r="L33" s="41">
        <f>IFERROR(IF(OR($D$18=$A$18,$E$18=$A$18,$F$18=$A$18),$G$18,$C$6),"")</f>
        <v>999.0</v>
      </c>
      <c r="M33" s="41">
        <f>IFERROR(IF(OR($D$18=$A$19,$E$18=$A$19,$F$18=$A$19),$G$18,$C$6),"")</f>
        <v>999.0</v>
      </c>
      <c r="N33" s="41">
        <f>IFERROR(IF(OR($D$18=$A$20,$E$18=$A$20,$F$18=$A$20),$G$18,$C$6),"")</f>
        <v>999.0</v>
      </c>
    </row>
    <row r="34">
      <c r="A34" s="13" t="inlineStr">
        <is>
          <t>H11</t>
        </is>
      </c>
      <c r="B34" s="36">
        <f>IFERROR(G19,"")</f>
        <v>8.0</v>
      </c>
      <c r="C34" s="41">
        <f>IFERROR(IF(OR($D$19=$A$9,$E$19=$A$9,$F$19=$A$9),$G$19,$C$6),"")</f>
        <v>999.0</v>
      </c>
      <c r="D34" s="41">
        <f>IFERROR(IF(OR($D$19=$A$10,$E$19=$A$10,$F$19=$A$10),$G$19,$C$6),"")</f>
        <v>999.0</v>
      </c>
      <c r="E34" s="41">
        <f>IFERROR(IF(OR($D$19=$A$11,$E$19=$A$11,$F$19=$A$11),$G$19,$C$6),"")</f>
        <v>999.0</v>
      </c>
      <c r="F34" s="41">
        <f>IFERROR(IF(OR($D$19=$A$12,$E$19=$A$12,$F$19=$A$12),$G$19,$C$6),"")</f>
        <v>999.0</v>
      </c>
      <c r="G34" s="41">
        <f>IFERROR(IF(OR($D$19=$A$13,$E$19=$A$13,$F$19=$A$13),$G$19,$C$6),"")</f>
        <v>999.0</v>
      </c>
      <c r="H34" s="41">
        <f>IFERROR(IF(OR($D$19=$A$14,$E$19=$A$14,$F$19=$A$14),$G$19,$C$6),"")</f>
        <v>999.0</v>
      </c>
      <c r="I34" s="41">
        <f>IFERROR(IF(OR($D$19=$A$15,$E$19=$A$15,$F$19=$A$15),$G$19,$C$6),"")</f>
        <v>999.0</v>
      </c>
      <c r="J34" s="41">
        <f>IFERROR(IF(OR($D$19=$A$16,$E$19=$A$16,$F$19=$A$16),$G$19,$C$6),"")</f>
        <v>8.0</v>
      </c>
      <c r="K34" s="41">
        <f>IFERROR(IF(OR($D$19=$A$17,$E$19=$A$17,$F$19=$A$17),$G$19,$C$6),"")</f>
        <v>8.0</v>
      </c>
      <c r="L34" s="41">
        <f>IFERROR(IF(OR($D$19=$A$18,$E$19=$A$18,$F$19=$A$18),$G$19,$C$6),"")</f>
        <v>8.0</v>
      </c>
      <c r="M34" s="41">
        <f>IFERROR(IF(OR($D$19=$A$19,$E$19=$A$19,$F$19=$A$19),$G$19,$C$6),"")</f>
        <v>999.0</v>
      </c>
      <c r="N34" s="41">
        <f>IFERROR(IF(OR($D$19=$A$20,$E$19=$A$20,$F$19=$A$20),$G$19,$C$6),"")</f>
        <v>999.0</v>
      </c>
    </row>
    <row r="35">
      <c r="A35" s="13" t="inlineStr">
        <is>
          <t>H12</t>
        </is>
      </c>
      <c r="B35" s="36">
        <f>IFERROR(G20,"")</f>
        <v>8.5</v>
      </c>
      <c r="C35" s="41">
        <f>IFERROR(IF(OR($D$20=$A$9,$E$20=$A$9,$F$20=$A$9),$G$20,$C$6),"")</f>
        <v>999.0</v>
      </c>
      <c r="D35" s="41">
        <f>IFERROR(IF(OR($D$20=$A$10,$E$20=$A$10,$F$20=$A$10),$G$20,$C$6),"")</f>
        <v>999.0</v>
      </c>
      <c r="E35" s="41">
        <f>IFERROR(IF(OR($D$20=$A$11,$E$20=$A$11,$F$20=$A$11),$G$20,$C$6),"")</f>
        <v>999.0</v>
      </c>
      <c r="F35" s="41">
        <f>IFERROR(IF(OR($D$20=$A$12,$E$20=$A$12,$F$20=$A$12),$G$20,$C$6),"")</f>
        <v>999.0</v>
      </c>
      <c r="G35" s="41">
        <f>IFERROR(IF(OR($D$20=$A$13,$E$20=$A$13,$F$20=$A$13),$G$20,$C$6),"")</f>
        <v>999.0</v>
      </c>
      <c r="H35" s="41">
        <f>IFERROR(IF(OR($D$20=$A$14,$E$20=$A$14,$F$20=$A$14),$G$20,$C$6),"")</f>
        <v>999.0</v>
      </c>
      <c r="I35" s="41">
        <f>IFERROR(IF(OR($D$20=$A$15,$E$20=$A$15,$F$20=$A$15),$G$20,$C$6),"")</f>
        <v>999.0</v>
      </c>
      <c r="J35" s="41">
        <f>IFERROR(IF(OR($D$20=$A$16,$E$20=$A$16,$F$20=$A$16),$G$20,$C$6),"")</f>
        <v>999.0</v>
      </c>
      <c r="K35" s="41">
        <f>IFERROR(IF(OR($D$20=$A$17,$E$20=$A$17,$F$20=$A$17),$G$20,$C$6),"")</f>
        <v>999.0</v>
      </c>
      <c r="L35" s="41">
        <f>IFERROR(IF(OR($D$20=$A$18,$E$20=$A$18,$F$20=$A$18),$G$20,$C$6),"")</f>
        <v>999.0</v>
      </c>
      <c r="M35" s="41">
        <f>IFERROR(IF(OR($D$20=$A$19,$E$20=$A$19,$F$20=$A$19),$G$20,$C$6),"")</f>
        <v>8.5</v>
      </c>
      <c r="N35" s="41">
        <f>IFERROR(IF(OR($D$20=$A$20,$E$20=$A$20,$F$20=$A$20),$G$20,$C$6),"")</f>
        <v>999.0</v>
      </c>
    </row>
    <row r="36"/>
    <row r="37">
      <c r="A37" s="4" t="inlineStr">
        <is>
          <t>LO QUE SALE DE TODO ESTO</t>
        </is>
      </c>
      <c r="B37" s="11" t="inlineStr"/>
      <c r="C37" s="11" t="inlineStr"/>
      <c r="D37" s="11" t="inlineStr"/>
      <c r="E37" s="11" t="inlineStr"/>
      <c r="F37" s="11" t="inlineStr"/>
      <c r="G37" s="11" t="inlineStr"/>
      <c r="H37" s="11" t="inlineStr"/>
      <c r="I37" s="11" t="inlineStr"/>
      <c r="J37" s="11" t="inlineStr"/>
      <c r="K37" s="11" t="inlineStr"/>
      <c r="L37" s="11" t="inlineStr"/>
      <c r="M37" s="11" t="inlineStr"/>
      <c r="N37" s="11" t="inlineStr"/>
      <c r="O37" s="11" t="inlineStr"/>
    </row>
    <row r="38">
      <c r="A38" s="8" t="inlineStr">
        <is>
          <t>Duración total del proyecto (meses)</t>
        </is>
      </c>
      <c r="C38" s="42">
        <f>IFERROR(MAX(H9:H20),"")</f>
        <v>8.5</v>
      </c>
      <c r="O38" s="5" t="inlineStr">
        <is>
          <t>Desde el primer día de búsqueda hasta el día que abres la puerta. No incluye lo que tardes en decidirte.</t>
        </is>
      </c>
    </row>
    <row r="39">
      <c r="A39" s="9" t="inlineStr">
        <is>
          <t>Hitos SIN holgura (ruta crítica)</t>
        </is>
      </c>
      <c r="C39" s="22">
        <f>IFERROR(COUNTIF(J9:J20,"Sí"),"")</f>
        <v>11.0</v>
      </c>
      <c r="O39" s="5" t="inlineStr">
        <is>
          <t>Los que si se retrasan un día retrasan la apertura un día. Son los únicos que hay que vigilar a diario; los demás tienen colchón, y saber cuáles son te ahorra media úlcera. Cuenta TODOS los de holgura cero, que son más que los del camino más largo: dos hitos en paralelo de la misma duración no tienen holgura ninguno de los dos.</t>
        </is>
      </c>
    </row>
    <row r="40">
      <c r="A40" s="8" t="inlineStr">
        <is>
          <t>Mes natural en el que abres (1-12)</t>
        </is>
      </c>
      <c r="C40" s="37">
        <f>IFERROR(ROUNDDOWN(MOD($C$5-1+C38,12),0)+1,"")</f>
        <v>9.0</v>
      </c>
    </row>
    <row r="41">
      <c r="A41" s="8" t="inlineStr">
        <is>
          <t>Nombre de ese mes</t>
        </is>
      </c>
      <c r="C41" s="27" t="str">
        <f>IFERROR(INDEX('Cronograma y Ruta Crítica'!$A$73:$A$84,C40),"")</f>
        <v>Septiembre</v>
      </c>
    </row>
    <row r="42">
      <c r="A42" s="9" t="inlineStr">
        <is>
          <t>¿Esa apertura cae dentro de una campaña?</t>
        </is>
      </c>
      <c r="C42" t="str">
        <f>IFERROR(IF(COUNTIF($C$47:$C$52,C40)&gt;0,"Sí","No"),"")</f>
        <v>No</v>
      </c>
    </row>
    <row r="43" ht="30" customHeight="1">
      <c r="A43" s="8" t="inlineStr">
        <is>
          <t>Aviso</t>
        </is>
      </c>
      <c r="C43" s="28" t="str">
        <f>IFERROR(IF(C42="Sí","Abres DENTRO de una campaña: el equipo estrena obrador el mes de más carga del año, y eso se paga en mermas y en encargos que no salen","Abres fuera de campaña: tienes rodaje antes del siguiente pico"),"")</f>
        <v>Abres fuera de campaña: tienes rodaje antes del siguiente pico</v>
      </c>
    </row>
    <row r="44"/>
    <row r="45">
      <c r="A45" s="4" t="inlineStr">
        <is>
          <t>LAS SEIS CAMPAÑAS DEL AÑO</t>
        </is>
      </c>
      <c r="B45" s="11" t="inlineStr"/>
      <c r="C45" s="11" t="inlineStr"/>
      <c r="D45" s="11" t="inlineStr"/>
      <c r="E45" s="11" t="inlineStr"/>
      <c r="F45" s="11" t="inlineStr"/>
      <c r="G45" s="11" t="inlineStr"/>
      <c r="H45" s="11" t="inlineStr"/>
      <c r="I45" s="11" t="inlineStr"/>
      <c r="J45" s="11" t="inlineStr"/>
      <c r="K45" s="11" t="inlineStr"/>
      <c r="L45" s="11" t="inlineStr"/>
      <c r="M45" s="11" t="inlineStr"/>
      <c r="N45" s="11" t="inlineStr"/>
      <c r="O45" s="11" t="inlineStr"/>
    </row>
    <row r="46" ht="24" customHeight="1">
      <c r="A46" s="7" t="inlineStr">
        <is>
          <t>Campaña</t>
        </is>
      </c>
      <c r="B46" s="7" t="inlineStr">
        <is>
          <t>Fechas</t>
        </is>
      </c>
      <c r="C46" s="7" t="inlineStr">
        <is>
          <t>Mes</t>
        </is>
      </c>
      <c r="D46" s="7" t="inlineStr">
        <is>
          <t>Días de campaña</t>
        </is>
      </c>
      <c r="E46" s="7" t="inlineStr">
        <is>
          <t>Multiplicador de producción</t>
        </is>
      </c>
      <c r="O46" s="7" t="inlineStr">
        <is>
          <t>Notas</t>
        </is>
      </c>
    </row>
    <row r="47">
      <c r="A47" t="inlineStr">
        <is>
          <t>Reyes</t>
        </is>
      </c>
      <c r="B47" t="inlineStr">
        <is>
          <t>2 a 6 de enero</t>
        </is>
      </c>
      <c r="C47" s="14" t="n">
        <v>1</v>
      </c>
      <c r="D47" s="38" t="n">
        <v>5</v>
      </c>
      <c r="E47" s="43" t="n">
        <v>6</v>
      </c>
      <c r="O47" s="5" t="inlineStr">
        <is>
          <t>Los euros de cada campaña y si tu equipo aguanta el multiplicador están en el libro «estacionalidad-y-picos». Aquí sólo se usan los meses, para avisarte de si vas a abrir en mitad de una.</t>
        </is>
      </c>
    </row>
    <row r="48">
      <c r="A48" t="inlineStr">
        <is>
          <t>San Valentín</t>
        </is>
      </c>
      <c r="B48" t="inlineStr">
        <is>
          <t>13 y 14 de febrero</t>
        </is>
      </c>
      <c r="C48" s="14" t="n">
        <v>2</v>
      </c>
      <c r="D48" s="38" t="n">
        <v>2</v>
      </c>
      <c r="E48" s="43" t="n">
        <v>1.8</v>
      </c>
    </row>
    <row r="49">
      <c r="A49" t="inlineStr">
        <is>
          <t>Día del Padre y de la Madre</t>
        </is>
      </c>
      <c r="B49" t="inlineStr">
        <is>
          <t>19 de marzo y primer domingo de mayo</t>
        </is>
      </c>
      <c r="C49" s="14" t="n">
        <v>3</v>
      </c>
      <c r="D49" s="38" t="n">
        <v>4</v>
      </c>
      <c r="E49" s="43" t="n">
        <v>1.9</v>
      </c>
    </row>
    <row r="50">
      <c r="A50" t="inlineStr">
        <is>
          <t>Semana Santa</t>
        </is>
      </c>
      <c r="B50" t="inlineStr">
        <is>
          <t>del Domingo de Ramos al Domingo de Resurrección</t>
        </is>
      </c>
      <c r="C50" s="14" t="n">
        <v>4</v>
      </c>
      <c r="D50" s="38" t="n">
        <v>8</v>
      </c>
      <c r="E50" s="43" t="n">
        <v>2.4</v>
      </c>
    </row>
    <row r="51">
      <c r="A51" t="inlineStr">
        <is>
          <t>Comuniones</t>
        </is>
      </c>
      <c r="B51" t="inlineStr">
        <is>
          <t>de mediados de abril a mediados de junio</t>
        </is>
      </c>
      <c r="C51" s="14" t="n">
        <v>5</v>
      </c>
      <c r="D51" s="38" t="n">
        <v>20</v>
      </c>
      <c r="E51" s="43" t="n">
        <v>1.6</v>
      </c>
    </row>
    <row r="52">
      <c r="A52" t="inlineStr">
        <is>
          <t>Todos los Santos</t>
        </is>
      </c>
      <c r="B52" t="inlineStr">
        <is>
          <t>30 y 31 de octubre y 1 de noviembre</t>
        </is>
      </c>
      <c r="C52" s="14" t="n">
        <v>11</v>
      </c>
      <c r="D52" s="38" t="n">
        <v>3</v>
      </c>
      <c r="E52" s="43" t="n">
        <v>2.6</v>
      </c>
    </row>
    <row r="53"/>
    <row r="54" ht="54" customHeight="1">
      <c r="A54" s="5" t="inlineStr">
        <is>
          <t>Las duraciones son SUPUESTOS y casi todas dependen de un tercero. Cámbialas por las tuyas en cuanto tengas un plazo por escrito, empezando por el del equipamiento: es el que más silenciosamente mueve la fecha de apertura, porque no falla, sólo llega tarde. La hoja no usa funciones de fecha a propósito: trabaja en meses decimales, así que medio mes es 0,5 y se puede sumar sin discutir con el calendario laboral.</t>
        </is>
      </c>
    </row>
    <row r="55"/>
    <row r="56">
      <c r="A56" s="24" t="inlineStr">
        <is>
          <t>Listas de validación (no las borres: de aquí salen los desplegables)</t>
        </is>
      </c>
    </row>
    <row r="57">
      <c r="A57" s="25" t="inlineStr">
        <is>
          <t>Hitos y «sin dependencia»</t>
        </is>
      </c>
    </row>
    <row r="58">
      <c r="A58" s="26" t="inlineStr">
        <is>
          <t>-</t>
        </is>
      </c>
    </row>
    <row r="59">
      <c r="A59" s="26" t="inlineStr">
        <is>
          <t>H1</t>
        </is>
      </c>
    </row>
    <row r="60">
      <c r="A60" s="26" t="inlineStr">
        <is>
          <t>H2</t>
        </is>
      </c>
    </row>
    <row r="61">
      <c r="A61" s="26" t="inlineStr">
        <is>
          <t>H3</t>
        </is>
      </c>
    </row>
    <row r="62">
      <c r="A62" s="26" t="inlineStr">
        <is>
          <t>H4</t>
        </is>
      </c>
    </row>
    <row r="63">
      <c r="A63" s="26" t="inlineStr">
        <is>
          <t>H5</t>
        </is>
      </c>
    </row>
    <row r="64">
      <c r="A64" s="26" t="inlineStr">
        <is>
          <t>H6</t>
        </is>
      </c>
    </row>
    <row r="65">
      <c r="A65" s="26" t="inlineStr">
        <is>
          <t>H7</t>
        </is>
      </c>
    </row>
    <row r="66">
      <c r="A66" s="26" t="inlineStr">
        <is>
          <t>H8</t>
        </is>
      </c>
    </row>
    <row r="67">
      <c r="A67" s="26" t="inlineStr">
        <is>
          <t>H9</t>
        </is>
      </c>
    </row>
    <row r="68">
      <c r="A68" s="26" t="inlineStr">
        <is>
          <t>H10</t>
        </is>
      </c>
    </row>
    <row r="69">
      <c r="A69" s="26" t="inlineStr">
        <is>
          <t>H11</t>
        </is>
      </c>
    </row>
    <row r="70">
      <c r="A70" s="26" t="inlineStr">
        <is>
          <t>H12</t>
        </is>
      </c>
    </row>
    <row r="71"/>
    <row r="72">
      <c r="A72" s="25" t="inlineStr">
        <is>
          <t>Meses del año</t>
        </is>
      </c>
    </row>
    <row r="73">
      <c r="A73" s="26" t="inlineStr">
        <is>
          <t>Enero</t>
        </is>
      </c>
    </row>
    <row r="74">
      <c r="A74" s="26" t="inlineStr">
        <is>
          <t>Febrero</t>
        </is>
      </c>
    </row>
    <row r="75">
      <c r="A75" s="26" t="inlineStr">
        <is>
          <t>Marzo</t>
        </is>
      </c>
    </row>
    <row r="76">
      <c r="A76" s="26" t="inlineStr">
        <is>
          <t>Abril</t>
        </is>
      </c>
    </row>
    <row r="77">
      <c r="A77" s="26" t="inlineStr">
        <is>
          <t>Mayo</t>
        </is>
      </c>
    </row>
    <row r="78">
      <c r="A78" s="26" t="inlineStr">
        <is>
          <t>Junio</t>
        </is>
      </c>
    </row>
    <row r="79">
      <c r="A79" s="26" t="inlineStr">
        <is>
          <t>Julio</t>
        </is>
      </c>
    </row>
    <row r="80">
      <c r="A80" s="26" t="inlineStr">
        <is>
          <t>Agosto</t>
        </is>
      </c>
    </row>
    <row r="81">
      <c r="A81" s="26" t="inlineStr">
        <is>
          <t>Septiembre</t>
        </is>
      </c>
    </row>
    <row r="82">
      <c r="A82" s="26" t="inlineStr">
        <is>
          <t>Octubre</t>
        </is>
      </c>
    </row>
    <row r="83">
      <c r="A83" s="26" t="inlineStr">
        <is>
          <t>Noviembre</t>
        </is>
      </c>
    </row>
    <row r="84">
      <c r="A84" s="26" t="inlineStr">
        <is>
          <t>Diciembre</t>
        </is>
      </c>
    </row>
  </sheetData>
  <sheetProtection selectLockedCells="0" selectUnlockedCells="0" sheet="1" objects="0" insertRows="0" insertHyperlinks="1" autoFilter="1" scenarios="0" formatColumns="0" deleteColumns="1" insertColumns="1" pivotTables="1" deleteRows="1" formatCells="1" formatRows="0" sort="0"/>
  <mergeCells count="11">
    <mergeCell ref="C43:N43"/>
    <mergeCell ref="A54:O54"/>
    <mergeCell ref="A39:B39"/>
    <mergeCell ref="A41:B41"/>
    <mergeCell ref="A40:B40"/>
    <mergeCell ref="A5:B5"/>
    <mergeCell ref="A42:B42"/>
    <mergeCell ref="A43:B43"/>
    <mergeCell ref="A3:O3"/>
    <mergeCell ref="A38:B38"/>
    <mergeCell ref="A6:B6"/>
  </mergeCells>
  <conditionalFormatting sqref="J9:J20">
    <cfRule type="expression" priority="1" dxfId="0" stopIfTrue="1">
      <formula>=$J9="Sí"</formula>
    </cfRule>
  </conditionalFormatting>
  <conditionalFormatting sqref="C42">
    <cfRule type="expression" priority="2" dxfId="0" stopIfTrue="1">
      <formula>=$C$42="Sí"</formula>
    </cfRule>
  </conditionalFormatting>
  <dataValidations count="1">
    <dataValidation sqref="D9 D10 D11 D12 D13 D14 D15 D16 D17 D18 D19 D20 E9 E10 E11 E12 E13 E14 E15 E16 E17 E18 E19 E20 F9 F10 F11 F12 F13 F14 F15 F16 F17 F18 F19 F20" showDropDown="0" showInputMessage="0" showErrorMessage="1" allowBlank="0" errorTitle="Elige un hito o «-»" error="Escribe el identificador de otro hito, o «-» si este hito no depende de ninguno. Sólo puede depender de hitos que estén MÁS ARRIBA en la tabla." type="list">
      <formula1>'Cronograma y Ruta Crítica'!$A$58:$A$70</formula1>
    </dataValidation>
  </dataValidations>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licencias y cronograma de apertura</dc:title>
  <dc:subject xmlns:dc="http://purl.org/dc/elements/1.1/">Cómo Montar una Pastelería · Versión 1.0 · septiembre 2026</dc:subject>
  <dcterms:created xmlns:dcterms="http://purl.org/dc/terms/" xmlns:xsi="http://www.w3.org/2001/XMLSchema-instance" xsi:type="dcterms:W3CDTF">2026-09-10T04:58:00Z</dcterms:created>
  <dcterms:modified xmlns:dcterms="http://purl.org/dc/terms/" xmlns:xsi="http://www.w3.org/2001/XMLSchema-instance" xsi:type="dcterms:W3CDTF">2026-09-10T04:58:01Z</dcterms:modified>
  <cp:lastModifiedBy>AI Chef Pro</cp:lastModifiedBy>
</cp:coreProperties>
</file>