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0. Supuestos" sheetId="2" state="visible" r:id="rId2"/>
    <sheet xmlns:r="http://schemas.openxmlformats.org/officeDocument/2006/relationships" name="Inversión Inicial" sheetId="3" state="visible" r:id="rId3"/>
    <sheet xmlns:r="http://schemas.openxmlformats.org/officeDocument/2006/relationships" name="PyG 3 Años" sheetId="4" state="visible" r:id="rId4"/>
    <sheet xmlns:r="http://schemas.openxmlformats.org/officeDocument/2006/relationships" name="Punto de Equilibrio" sheetId="5" state="visible" r:id="rId5"/>
    <sheet xmlns:r="http://schemas.openxmlformats.org/officeDocument/2006/relationships" name="Escenarios" sheetId="6" state="visible" r:id="rId6"/>
    <sheet xmlns:r="http://schemas.openxmlformats.org/officeDocument/2006/relationships" name="Personal"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 xmlns:r="http://schemas.openxmlformats.org/officeDocument/2006/relationships" name="Canales y Punto Muerto" sheetId="10" state="visible" r:id="rId10"/>
  </sheets>
  <definedNames>
    <definedName name="_xlnm.Print_Area" localSheetId="0">'Instrucciones'!$A$1:$C$40</definedName>
    <definedName name="_xlnm.Print_Titles" localSheetId="1">'0. Supuestos'!$5:$5</definedName>
    <definedName name="_xlnm.Print_Area" localSheetId="1">'0. Supuestos'!$A$1:$C$65</definedName>
    <definedName name="_xlnm.Print_Titles" localSheetId="2">'Inversión Inicial'!$5:$5</definedName>
    <definedName name="_xlnm.Print_Area" localSheetId="2">'Inversión Inicial'!$A$1:$F$36</definedName>
    <definedName name="_xlnm.Print_Titles" localSheetId="3">'PyG 3 Años'!$5:$5</definedName>
    <definedName name="_xlnm.Print_Area" localSheetId="3">'PyG 3 Años'!$A$1:$G$54</definedName>
    <definedName name="_xlnm.Print_Titles" localSheetId="4">'Punto de Equilibrio'!$5:$5</definedName>
    <definedName name="_xlnm.Print_Area" localSheetId="4">'Punto de Equilibrio'!$A$1:$E$38</definedName>
    <definedName name="_xlnm.Print_Titles" localSheetId="5">'Escenarios'!$5:$5</definedName>
    <definedName name="_xlnm.Print_Area" localSheetId="5">'Escenarios'!$A$1:$E$25</definedName>
    <definedName name="_xlnm.Print_Titles" localSheetId="6">'Personal'!$5:$5</definedName>
    <definedName name="_xlnm.Print_Area" localSheetId="6">'Personal'!$A$1:$K$32</definedName>
    <definedName name="_xlnm.Print_Titles" localSheetId="7">'Tesorería 12 meses'!$5:$5</definedName>
    <definedName name="_xlnm.Print_Area" localSheetId="7">'Tesorería 12 meses'!$A$1:$O$34</definedName>
    <definedName name="_xlnm.Print_Titles" localSheetId="8">'Financiación'!$25:$25</definedName>
    <definedName name="_xlnm.Print_Area" localSheetId="8">'Financiación'!$A$1:$H$126</definedName>
    <definedName name="_xlnm.Print_Titles" localSheetId="9">'Canales y Punto Muerto'!$5:$5</definedName>
    <definedName name="_xlnm.Print_Area" localSheetId="9">'Canales y Punto Muerto'!$A$1:$J$31</definedName>
  </definedNames>
  <calcPr calcId="124519" fullCalcOnLoad="1"/>
</workbook>
</file>

<file path=xl/styles.xml><?xml version="1.0" encoding="utf-8"?>
<styleSheet xmlns="http://schemas.openxmlformats.org/spreadsheetml/2006/main">
  <numFmts count="4">
    <numFmt numFmtId="164" formatCode="#,##0.0"/>
    <numFmt numFmtId="165" formatCode="#,##0.00 €"/>
    <numFmt numFmtId="166" formatCode="0.0%"/>
    <numFmt numFmtId="167" formatCode="0.0000%"/>
  </numFmts>
  <fonts count="11">
    <font>
      <name val="Calibri"/>
      <family val="2"/>
      <color theme="1"/>
      <sz val="11"/>
      <scheme val="minor"/>
    </font>
    <font>
      <b val="1"/>
      <color rgb="00FFD700"/>
      <sz val="16"/>
    </font>
    <font>
      <color rgb="00808080"/>
      <sz val="9"/>
    </font>
    <font>
      <i val="1"/>
      <sz val="9"/>
    </font>
    <font>
      <b val="1"/>
      <color rgb="00FFD700"/>
      <sz val="11"/>
    </font>
    <font>
      <b val="1"/>
      <color rgb="00FFFFFF"/>
      <sz val="9"/>
    </font>
    <font>
      <b val="1"/>
      <color theme="1"/>
      <sz val="11"/>
    </font>
    <font>
      <sz val="9"/>
    </font>
    <font>
      <b val="1"/>
      <i val="1"/>
      <color rgb="00808080"/>
      <sz val="9"/>
    </font>
    <font>
      <b val="1"/>
      <sz val="9"/>
    </font>
    <font>
      <b val="1"/>
      <sz val="11"/>
    </font>
  </fonts>
  <fills count="5">
    <fill>
      <patternFill/>
    </fill>
    <fill>
      <patternFill patternType="gray125"/>
    </fill>
    <fill>
      <patternFill patternType="solid">
        <fgColor rgb="002D2D2D"/>
      </patternFill>
    </fill>
    <fill>
      <patternFill patternType="solid">
        <fgColor rgb="00E8F5E9"/>
      </patternFill>
    </fill>
    <fill>
      <patternFill patternType="solid">
        <fgColor rgb="00FFF6DC"/>
      </patternFill>
    </fill>
  </fills>
  <borders count="1">
    <border>
      <left/>
      <right/>
      <top/>
      <bottom/>
      <diagonal/>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3" fillId="0" borderId="0" applyAlignment="1" pivotButton="0" quotePrefix="0" xfId="0">
      <alignment horizontal="general" vertical="top" wrapText="1"/>
    </xf>
    <xf numFmtId="0" fontId="0" fillId="3" borderId="0" applyProtection="1" pivotButton="0" quotePrefix="0" xfId="0">
      <protection locked="0" hidden="0"/>
    </xf>
    <xf numFmtId="0" fontId="5" fillId="2" borderId="0" applyAlignment="1" pivotButton="0" quotePrefix="0" xfId="0">
      <alignment horizontal="center" vertical="center" wrapText="1"/>
    </xf>
    <xf numFmtId="0" fontId="6" fillId="0" borderId="0"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top" wrapText="1"/>
    </xf>
    <xf numFmtId="0" fontId="0" fillId="2" borderId="0" pivotButton="0" quotePrefix="0" xfId="0"/>
    <xf numFmtId="3" fontId="0" fillId="3" borderId="0" applyProtection="1" pivotButton="0" quotePrefix="0" xfId="0">
      <protection locked="0" hidden="0"/>
    </xf>
    <xf numFmtId="164" fontId="0" fillId="3" borderId="0" applyProtection="1" pivotButton="0" quotePrefix="0" xfId="0">
      <protection locked="0" hidden="0"/>
    </xf>
    <xf numFmtId="165" fontId="0" fillId="3" borderId="0" applyProtection="1" pivotButton="0" quotePrefix="0" xfId="0">
      <protection locked="0" hidden="0"/>
    </xf>
    <xf numFmtId="165" fontId="0" fillId="0" borderId="0" pivotButton="0" quotePrefix="0" xfId="0"/>
    <xf numFmtId="166" fontId="0" fillId="0" borderId="0" pivotButton="0" quotePrefix="0" xfId="0"/>
    <xf numFmtId="166" fontId="0" fillId="3" borderId="0" applyProtection="1" pivotButton="0" quotePrefix="0" xfId="0">
      <protection locked="0" hidden="0"/>
    </xf>
    <xf numFmtId="10" fontId="0" fillId="3" borderId="0" applyProtection="1" pivotButton="0" quotePrefix="0" xfId="0">
      <protection locked="0" hidden="0"/>
    </xf>
    <xf numFmtId="10" fontId="0" fillId="0" borderId="0" pivotButton="0" quotePrefix="0" xfId="0"/>
    <xf numFmtId="164" fontId="0" fillId="0" borderId="0" pivotButton="0" quotePrefix="0" xfId="0"/>
    <xf numFmtId="4" fontId="0" fillId="3" borderId="0" applyProtection="1" pivotButton="0" quotePrefix="0" xfId="0">
      <protection locked="0" hidden="0"/>
    </xf>
    <xf numFmtId="0" fontId="0" fillId="3" borderId="0" applyAlignment="1" applyProtection="1" pivotButton="0" quotePrefix="0" xfId="0">
      <alignment horizontal="center" vertical="top"/>
      <protection locked="0" hidden="0"/>
    </xf>
    <xf numFmtId="0" fontId="10" fillId="4" borderId="0" pivotButton="0" quotePrefix="0" xfId="0"/>
    <xf numFmtId="165" fontId="10" fillId="4" borderId="0" pivotButton="0" quotePrefix="0" xfId="0"/>
    <xf numFmtId="166" fontId="10" fillId="4" borderId="0" pivotButton="0" quotePrefix="0" xfId="0"/>
    <xf numFmtId="0" fontId="3" fillId="4" borderId="0" applyAlignment="1" pivotButton="0" quotePrefix="0" xfId="0">
      <alignment horizontal="general" vertical="top" wrapText="1"/>
    </xf>
    <xf numFmtId="3" fontId="0" fillId="0" borderId="0" pivotButton="0" quotePrefix="0" xfId="0"/>
    <xf numFmtId="0" fontId="8" fillId="0" borderId="0" pivotButton="0" quotePrefix="0" xfId="0"/>
    <xf numFmtId="0" fontId="9" fillId="0" borderId="0" pivotButton="0" quotePrefix="0" xfId="0"/>
    <xf numFmtId="0" fontId="7" fillId="0" borderId="0" pivotButton="0" quotePrefix="0" xfId="0"/>
    <xf numFmtId="164" fontId="10" fillId="4" borderId="0" pivotButton="0" quotePrefix="0" xfId="0"/>
    <xf numFmtId="165" fontId="6" fillId="0" borderId="0" pivotButton="0" quotePrefix="0" xfId="0"/>
    <xf numFmtId="0" fontId="6" fillId="0" borderId="0" pivotButton="0" quotePrefix="0" xfId="0"/>
    <xf numFmtId="3" fontId="0" fillId="3" borderId="0" applyAlignment="1" applyProtection="1" pivotButton="0" quotePrefix="0" xfId="0">
      <alignment horizontal="center" vertical="top"/>
      <protection locked="0" hidden="0"/>
    </xf>
    <xf numFmtId="164" fontId="0" fillId="3" borderId="0" applyAlignment="1" applyProtection="1" pivotButton="0" quotePrefix="0" xfId="0">
      <alignment horizontal="center" vertical="top"/>
      <protection locked="0" hidden="0"/>
    </xf>
    <xf numFmtId="3" fontId="10" fillId="4" borderId="0" pivotButton="0" quotePrefix="0" xfId="0"/>
    <xf numFmtId="167" fontId="0" fillId="0" borderId="0" pivotButton="0" quotePrefix="0" xfId="0"/>
    <xf numFmtId="3" fontId="0" fillId="0" borderId="0" applyAlignment="1" pivotButton="0" quotePrefix="0" xfId="0">
      <alignment horizontal="center" vertical="top"/>
    </xf>
    <xf numFmtId="4" fontId="0" fillId="0" borderId="0" pivotButton="0" quotePrefix="0" xfId="0"/>
    <xf numFmtId="4" fontId="10" fillId="4" borderId="0" pivotButton="0" quotePrefix="0" xfId="0"/>
  </cellXfs>
  <cellStyles count="1">
    <cellStyle name="Normal" xfId="0" builtinId="0" hidden="0"/>
  </cellStyles>
  <dxfs count="1">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AI Chef Pro</author>
  </authors>
  <commentList>
    <comment ref="B15" authorId="0" shapeId="0">
      <text>
        <t>Verificado el 10-09-2026 · Ley 37/1992 del IVA, arts. 91.Uno.1.1.º y 91.Dos.1.1.º (texto consolidado, última modificación 28-02-2026) · https://www.boe.es/buscar/act.php?id=BOE-A-1992-28740</t>
      </text>
    </comment>
    <comment ref="B16" authorId="0" shapeId="0">
      <text>
        <t>Verificado el 10-09-2026 · Resolución de 24 de febrero de 2025, de la Dirección General de Tributos, sobre el tipo del IVA aplicable al pan. BOE núm. 50, BOE-A-2025-3950 · https://www.boe.es/diario_boe/txt.php?id=BOE-A-2025-3950</t>
      </text>
    </comment>
    <comment ref="B26" authorId="0" shapeId="0">
      <text>
        <t>Verificado el 10-09-2026 · Resolución de 7 de febrero de 2026 de la D.G. de Trabajo de la Comunidad de Madrid, revisión salarial 2026 del convenio código 28001025011981. BOCM núm. 50 · https://www.bocm.es/boletin/CM_Orden_BOCM/2026/02/28/BOCM-20260228-2.PDF</t>
      </text>
    </comment>
    <comment ref="B27" authorId="0" shapeId="0">
      <text>
        <t>Verificado el 10-09-2026 · RD 126/2026, de 18 de febrero, arts. 1, 3.1, 4.1 y 4.2 (texto consolidado, sin modificaciones) · https://www.boe.es/buscar/act.php?id=BOE-A-2026-3815</t>
      </text>
    </comment>
  </commentList>
</comments>
</file>

<file path=xl/comments/comment2.xml><?xml version="1.0" encoding="utf-8"?>
<comments xmlns="http://schemas.openxmlformats.org/spreadsheetml/2006/main">
  <authors>
    <author>AI Chef Pro</author>
  </authors>
  <commentList>
    <comment ref="B12" authorId="0" shapeId="0">
      <text>
        <t>Verificado el 10-09-2026 · DECRETO 26/2026, de 25 de marzo, del Consejo de Gobierno (Comunidad de Madrid), arts. 6, 8.1, 9.1, D.T. única y D.F. segunda. BOCM núm. 73 · https://www.bocm.es/boletin/CM_Orden_BOCM/2026/03/27/BOCM-20260327-1.PDF</t>
      </text>
    </comment>
  </commentList>
</comments>
</file>

<file path=xl/comments/comment3.xml><?xml version="1.0" encoding="utf-8"?>
<comments xmlns="http://schemas.openxmlformats.org/spreadsheetml/2006/main">
  <authors>
    <author>AI Chef Pro</author>
  </authors>
  <commentList>
    <comment ref="F12" authorId="0" shapeId="0">
      <text>
        <t>Verificado el 10-09-2026 · Ley 37/1992 del IVA, arts. 91.Uno.1.1.º y 91.Dos.1.1.º (texto consolidado, última modificación 28-02-2026) · https://www.boe.es/buscar/act.php?id=BOE-A-1992-28740</t>
      </text>
    </comment>
    <comment ref="F13" authorId="0" shapeId="0">
      <text>
        <t>Verificado el 10-09-2026 · Resolución de 24 de febrero de 2025, de la Dirección General de Tributos, sobre el tipo del IVA aplicable al pan. BOE núm. 50, BOE-A-2025-3950 · https://www.boe.es/diario_boe/txt.php?id=BOE-A-2025-3950</t>
      </text>
    </comment>
  </commentList>
</comments>
</file>

<file path=xl/comments/comment4.xml><?xml version="1.0" encoding="utf-8"?>
<comments xmlns="http://schemas.openxmlformats.org/spreadsheetml/2006/main">
  <authors>
    <author>AI Chef Pro</author>
  </authors>
  <commentList>
    <comment ref="E15" authorId="0" shapeId="0">
      <text>
        <t>Verificado el 10-09-2026 · Resolución de 7 de febrero de 2026 de la D.G. de Trabajo de la Comunidad de Madrid, revisión salarial 2026 del convenio código 28001025011981. BOCM núm. 50 · https://www.bocm.es/boletin/CM_Orden_BOCM/2026/02/28/BOCM-20260228-2.PDF
Convenio de Comercio e Industria de Confitería, Pastelería, Bollería, Repostería, Heladería y Platos Cocinados de la Comunidad de Madrid, código 28001025011981, revisión 2026 (BOCM núm. 50, de 28 de febrero de 2026). Vigencia 1-ene-2026 a 31-dic-2026: CADUCA el 31-12-2026.</t>
      </text>
    </comment>
    <comment ref="B24" authorId="0" shapeId="0">
      <text>
        <t>Verificado el 10-09-2026 · RD 126/2026, de 18 de febrero, arts. 1, 3.1, 4.1 y 4.2 (texto consolidado, sin modificaciones) · https://www.boe.es/buscar/act.php?id=BOE-A-2026-3815</t>
      </text>
    </comment>
  </commentList>
</comments>
</file>

<file path=xl/comments/comment5.xml><?xml version="1.0" encoding="utf-8"?>
<comments xmlns="http://schemas.openxmlformats.org/spreadsheetml/2006/main">
  <authors>
    <author>AI Chef Pro</author>
  </authors>
  <commentList>
    <comment ref="B26" authorId="0" shapeId="0">
      <text>
        <t>Verificado el 10-09-2026 · RD 1021/2022, art. 3.2 (texto consolidado) · https://www.boe.es/buscar/act.php?id=BOE-A-2022-21681</t>
      </text>
    </comment>
    <comment ref="B27" authorId="0" shapeId="0">
      <text>
        <t>Verificado el 10-09-2026 · RD 1021/2022, art. 3.1 (texto consolidado) · https://www.boe.es/buscar/act.php?id=BOE-A-2022-21681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fitToPage="1"/>
  </sheetPr>
  <dimension ref="A1:C40"/>
  <sheetViews>
    <sheetView workbookViewId="0">
      <selection activeCell="A1" sqref="A1"/>
    </sheetView>
  </sheetViews>
  <sheetFormatPr baseColWidth="8" defaultRowHeight="15"/>
  <cols>
    <col width="44" customWidth="1" min="1" max="1"/>
    <col width="44" customWidth="1" min="2" max="2"/>
    <col width="44" customWidth="1" min="3" max="3"/>
  </cols>
  <sheetData>
    <row r="1" ht="26" customHeight="1">
      <c r="A1" s="1" t="inlineStr">
        <is>
          <t>Plan financiero a 3 años</t>
        </is>
      </c>
    </row>
    <row r="2">
      <c r="A2" s="2" t="inlineStr">
        <is>
          <t>AI Chef Pro · aichef.pro — Cómo Montar una Pastelería</t>
        </is>
      </c>
    </row>
    <row r="3">
      <c r="A3" s="3" t="inlineStr">
        <is>
          <t>Para qué sirve: saber si el negocio se sostiene, cuándo llega al equilibrio y qué canal lo sostiene.</t>
        </is>
      </c>
    </row>
    <row r="4"/>
    <row r="5">
      <c r="A5" s="4" t="inlineStr">
        <is>
          <t>Instrucciones de uso</t>
        </is>
      </c>
    </row>
    <row r="6" ht="54" customHeight="1">
      <c r="A6" s="5" t="inlineStr">
        <is>
          <t>1. Hoja «0. Supuestos»: es el cuadro de mandos. Aquí se teclean las TASAS y los DRIVERS —tickets al día, ticket medio, días de apertura, tipos de IVA, food cost objetivo, condiciones del préstamo, umbrales de control—, y el resto del libro se recalcula solo. Las partidas de gasto se teclean en su hoja, no aquí.</t>
        </is>
      </c>
    </row>
    <row r="7" ht="54" customHeight="1">
      <c r="A7" s="5" t="inlineStr">
        <is>
          <t>2. Hoja «Inversión Inicial»: cuánto cuesta abrir, partida a partida, con su columna «¿Lleva IVA?» y su TIPO por línea. Sin esa columna el CAPEX sale hasta un 21 % desviado, que es el error más caro de todo el proceso. Abajo salen el IVA que hay que ADELANTAR y la necesidad total de caja.</t>
        </is>
      </c>
    </row>
    <row r="8" ht="54" customHeight="1">
      <c r="A8" s="5" t="inlineStr">
        <is>
          <t>3. Hoja «PyG 3 Años»: la cuenta de resultados. El AÑO 2 es el año de crucero; el año 1 lleva la rampa de arranque y el año 3 crece sobre el crucero. El sueldo del propietario, la amortización y los intereses van DENTRO de los costes fijos: si no, la rentabilidad que publica un plan de negocio no significa nada.</t>
        </is>
      </c>
    </row>
    <row r="9" ht="54" customHeight="1">
      <c r="A9" s="5" t="inlineStr">
        <is>
          <t>4. Hoja «Punto de Equilibrio»: cuántos tickets al día hay que hacer para no perder dinero, en dos versiones. La CONTABLE incluye la amortización; la de CAJA le quita la amortización (que no se paga) y le suma la devolución de principal (que sí). La segunda es la que decide si llegas a fin de mes.</t>
        </is>
      </c>
    </row>
    <row r="10" ht="54" customHeight="1">
      <c r="A10" s="5" t="inlineStr">
        <is>
          <t>5. Hoja «Escenarios»: el mismo modelo con tres juegos de tickets, ticket medio y días de apertura. La columna «Realista» lee el año de crucero del P&amp;L, así que no puede desviarse de él.</t>
        </is>
      </c>
    </row>
    <row r="11" ht="54" customHeight="1">
      <c r="A11" s="5" t="inlineStr">
        <is>
          <t>6. Hoja «Personal»: cinco personas y tres jornadas y media, con el bruto del convenio en celda verde y la Seguridad Social a cargo de la empresa DENTRO. Del bruto al coste empresa hay un tercio más: es el salto que más sorprende.</t>
        </is>
      </c>
    </row>
    <row r="12" ht="54" customHeight="1">
      <c r="A12" s="5" t="inlineStr">
        <is>
          <t>7. Hoja «Tesorería 12 meses»: el P&amp;L dice si el negocio gana dinero; esta hoja dice si le queda caja para llegar a fin de mes. Trae la estacionalidad mes a mes, la rampa de arranque, el desfase de cobros y pagos y la liquidación trimestral del IVA.</t>
        </is>
      </c>
    </row>
    <row r="13" ht="54" customHeight="1">
      <c r="A13" s="5" t="inlineStr">
        <is>
          <t>8. Hoja «Financiación»: de dónde sale el dinero y cuánto cuesta devolverlo. El cuadro de amortización es MENSUAL, con 84 filas, porque la carencia de este caso son seis meses y un cuadro anual no sabe expresar medio año. Abajo, el DSCR año a año: es el número que decide la operación bancaria.</t>
        </is>
      </c>
    </row>
    <row r="14" ht="54" customHeight="1">
      <c r="A14" s="5" t="inlineStr">
        <is>
          <t>9. Hoja «Canales y Punto Muerto»: mostrador, encargos, B2B y online, cada uno con su margen, su coste de servir, su comisión y sus días de cobro. Dice qué canal sostiene el negocio y qué pasa con el punto muerto si quitas el B2B. Y avisa de cuándo ese B2B te mete en el art. 3 del RD 1021/2022.</t>
        </is>
      </c>
    </row>
    <row r="15"/>
    <row r="16">
      <c r="A16" s="6" t="inlineStr">
        <is>
          <t>Celdas verdes = campos editables</t>
        </is>
      </c>
    </row>
    <row r="17"/>
    <row r="18">
      <c r="A18" s="4" t="inlineStr">
        <is>
          <t>Lo que conviene saber antes de empezar</t>
        </is>
      </c>
    </row>
    <row r="19" ht="68" customHeight="1">
      <c r="A19" s="5" t="inlineStr">
        <is>
          <t>ESTE LIBRO ES LA FUENTE ÚNICA DE LAS CIFRAS FINANCIERAS DE LA GUÍA. Si un euro del texto no sale de una celda de aquí, es que está inventado. Cámbialo aquí y el capítulo entero deja de cuadrar contigo: eso es lo que tiene que pasar.</t>
        </is>
      </c>
    </row>
    <row r="20" ht="68" customHeight="1">
      <c r="A20" s="5" t="inlineStr">
        <is>
          <t>LIBRO HÍBRIDO. La estructura y las fórmulas encadenadas son las del molde de planes de negocio de la casa (nueve hojas, con tesorería, IVA y financiación de verdad), y encima va la hoja «Canales y Punto Muerto», que es propia de esta guía. La versión que manda es la de la familia de guías, la que está al pie de esta hoja, no la del motor de planes.</t>
        </is>
      </c>
    </row>
    <row r="21" ht="68" customHeight="1">
      <c r="A21" s="5" t="inlineStr">
        <is>
          <t>EL FOOD COST DEL P&amp;L NO ES EL DE TU ESCANDALLO, Y NO ES UN ERROR. El escandallo del libro «carta-de-apertura-y-escandallo» mide la materia prima de la pieza; la regla del 32 % que proyecta este P&amp;L incluye además cuatro cosas que el escandallo de la pieza deja fuera: el producto de terceros que revende el despacho (bebida, café, helado, bombonería comprada), la merma real del producto fresco, el packaging y la subida de la materia prima. Por eso el plan se proyecta con el 32 % y no con el escandallo: es el supuesto CONSERVADOR. La diferencia entre los dos números es tu colchón.</t>
        </is>
      </c>
    </row>
    <row r="22" ht="68" customHeight="1">
      <c r="A22" s="5" t="inlineStr">
        <is>
          <t>EL SUELDO DEL PROPIETARIO ES UN COSTE. Va como renglón propio de los fijos, con la cuota de autónomos dentro, y no está en la plantilla de cinco personas. Un negocio que sólo es rentable porque su dueño no cobra no es rentable: es un empleo mal pagado con riesgo patrimonial.</t>
        </is>
      </c>
    </row>
    <row r="23" ht="68" customHeight="1">
      <c r="A23" s="5" t="inlineStr">
        <is>
          <t>EL 8-12 % DE MARGEN NETO NO ES UN OBJETIVO: es lo que declara sobre su propia casa un pastelero de cuarta generación. Está en el libro como celda de contraste con su semáforo, para que veas si tu proyección se sale por arriba (y entonces desconfía de ella) o por abajo.</t>
        </is>
      </c>
    </row>
    <row r="24" ht="68" customHeight="1">
      <c r="A24" s="5" t="inlineStr">
        <is>
          <t>TODAS LAS CIFRAS VAN SIN IVA salvo donde la hoja dice lo contrario. La tesorería es caja: ahí el IVA entra y sale, y la liquidación trimestral lo devuelve a su sitio. Las columnas de los años 2 y 3 están en euros del año 1 mientras la «Subida anual de los costes fijos» de Supuestos valga cero.</t>
        </is>
      </c>
    </row>
    <row r="25"/>
    <row r="26">
      <c r="A26" s="4" t="inlineStr">
        <is>
          <t>QUÉ HACE ESTE LIBRO Y QUÉ HACE OTRO (para no teclear dos veces)</t>
        </is>
      </c>
    </row>
    <row r="27" ht="26" customHeight="1">
      <c r="A27" s="7" t="inlineStr">
        <is>
          <t>Producto o libro</t>
        </is>
      </c>
      <c r="B27" s="7" t="inlineStr">
        <is>
          <t>Qué aporta</t>
        </is>
      </c>
      <c r="C27" s="7" t="inlineStr">
        <is>
          <t>Qué NO hace este libro</t>
        </is>
      </c>
    </row>
    <row r="28" ht="62" customHeight="1">
      <c r="A28" s="8" t="inlineStr">
        <is>
          <t>kit-tareas-pasteleria (12 €)</t>
        </is>
      </c>
      <c r="B28" s="9" t="inlineStr">
        <is>
          <t>La operación del obrador que ya tienes: plan de producción semanal, encargos, alérgenos de vitrina, temperaturas.</t>
        </is>
      </c>
      <c r="C28" s="9" t="inlineStr">
        <is>
          <t>Este libro NO planifica producción ni controla encargos. Toma su resultado en euros y lo proyecta a tres años.</t>
        </is>
      </c>
    </row>
    <row r="29" ht="62" customHeight="1">
      <c r="A29" s="8" t="inlineStr">
        <is>
          <t>kit-escandallos (12 €) y el libro «carta-de-apertura-y-escandallo»</t>
        </is>
      </c>
      <c r="B29" s="9" t="inlineStr">
        <is>
          <t>El coste real de cada pieza, con su mano de obra y su margen.</t>
        </is>
      </c>
      <c r="C29" s="9" t="inlineStr">
        <is>
          <t>Aquí el coste de ventas entra como UN porcentaje sobre las ventas: la regla del 32 %. Cuando midas el tuyo, cámbialo en «0. Supuestos».</t>
        </is>
      </c>
    </row>
    <row r="30" ht="62" customHeight="1">
      <c r="A30" s="8" t="inlineStr">
        <is>
          <t>plan-negocio-panaderia (35 €)</t>
        </is>
      </c>
      <c r="B30" s="9" t="inlineStr">
        <is>
          <t>El dossier completo que se le entrega al banco, con memoria escrita.</t>
        </is>
      </c>
      <c r="C30" s="9" t="inlineStr">
        <is>
          <t>Este libro es el motor de números de una GUÍA de apertura. Si vas a pedir financiación de verdad, el dossier del banco es aquel producto.</t>
        </is>
      </c>
    </row>
    <row r="31" ht="62" customHeight="1">
      <c r="A31" s="8" t="inlineStr">
        <is>
          <t>El libro «calculadora-capex-pasteleria» de esta misma guía</t>
        </is>
      </c>
      <c r="B31" s="9" t="inlineStr">
        <is>
          <t>El CAPEX partida a partida, la variante del formato y la comparación entre traspaso y obra nueva.</t>
        </is>
      </c>
      <c r="C31" s="9" t="inlineStr">
        <is>
          <t>Aquí sólo entran los TOTALES por bloque. Las dos celdas de equipamiento de la hoja de Inversión vienen sembradas y son verdes: sustitúyelas por el total de aquel libro cuando lo tengas cerrado.</t>
        </is>
      </c>
    </row>
    <row r="32" ht="42" customHeight="1">
      <c r="A32" s="5" t="inlineStr">
        <is>
          <t>En todo este paquete no hay ni una fórmula que apunte a otro fichero. Lo que viene de otro libro viene COPIADO y declarado: un enlace entre ficheros se rompe en cuanto alguien mueve una carpeta, y entonces el libro miente sin avisar.</t>
        </is>
      </c>
    </row>
    <row r="33"/>
    <row r="34">
      <c r="A34" s="4" t="inlineStr">
        <is>
          <t>Cada cuánto se usa este libro</t>
        </is>
      </c>
    </row>
    <row r="35" ht="68" customHeight="1">
      <c r="A35" s="5" t="inlineStr">
        <is>
          <t>Cadencia: «0. Supuestos» e «Inversión Inicial», MIENTRAS BUSCAS LOCAL y pides presupuestos, tantas veces como haga falta. El P&amp;L, el punto de equilibrio y los escenarios, UNA VEZ ANTES DE FIRMAR y otra antes de sentarte con el banco. «Tesorería 12 meses», CADA MES durante el primer año, sustituyendo la previsión por lo que pasó de verdad. «Canales y Punto Muerto», cada vez que te plantees abrir o cerrar un canal.</t>
        </is>
      </c>
    </row>
    <row r="36"/>
    <row r="37" ht="28" customHeight="1">
      <c r="A37" s="5" t="inlineStr">
        <is>
          <t>Para editar la estructura o una celda que no esté en verde: Revisar &gt; Desproteger hoja (no tiene contraseña).</t>
        </is>
      </c>
    </row>
    <row r="38"/>
    <row r="39">
      <c r="A39" s="10" t="inlineStr">
        <is>
          <t>Diseñado por John Guerrero — chef y consultor gastronómico desde 2010, en cocina desde los 17 años.</t>
        </is>
      </c>
    </row>
    <row r="40">
      <c r="A40" s="2"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20">
    <mergeCell ref="A6:C6"/>
    <mergeCell ref="A39:C39"/>
    <mergeCell ref="A24:C24"/>
    <mergeCell ref="A19:C19"/>
    <mergeCell ref="A11:C11"/>
    <mergeCell ref="A20:C20"/>
    <mergeCell ref="A12:C12"/>
    <mergeCell ref="A10:C10"/>
    <mergeCell ref="A22:C22"/>
    <mergeCell ref="A32:C32"/>
    <mergeCell ref="A9:C9"/>
    <mergeCell ref="A40:C40"/>
    <mergeCell ref="A35:C35"/>
    <mergeCell ref="A7:C7"/>
    <mergeCell ref="A14:C14"/>
    <mergeCell ref="A21:C21"/>
    <mergeCell ref="A13:C13"/>
    <mergeCell ref="A23:C23"/>
    <mergeCell ref="A8:C8"/>
    <mergeCell ref="A37:C37"/>
  </mergeCells>
  <pageMargins left="0.39" right="0.39" top="0.55" bottom="0.55"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C65"/>
  <sheetViews>
    <sheetView workbookViewId="0">
      <pane ySplit="5" topLeftCell="A6" activePane="bottomLeft" state="frozen"/>
      <selection pane="bottomLeft" activeCell="A1" sqref="A1"/>
    </sheetView>
  </sheetViews>
  <sheetFormatPr baseColWidth="8" defaultRowHeight="15"/>
  <cols>
    <col width="54" customWidth="1" min="1" max="1"/>
    <col width="16" customWidth="1" min="2" max="2"/>
    <col width="96" customWidth="1" min="3" max="3"/>
  </cols>
  <sheetData>
    <row r="1" ht="26" customHeight="1">
      <c r="A1" s="1" t="inlineStr">
        <is>
          <t>Supuestos: las Tasas y los Drivers del Modelo</t>
        </is>
      </c>
    </row>
    <row r="2">
      <c r="A2" s="2" t="inlineStr">
        <is>
          <t>AI Chef Pro · aichef.pro — Cómo Montar una Pastelería</t>
        </is>
      </c>
    </row>
    <row r="3" ht="28" customHeight="1">
      <c r="A3" s="5" t="inlineStr">
        <is>
          <t>Cambia las celdas VERDES y el resto del libro se recalcula solo. Las partidas de gasto se teclean en su hoja, no aquí. Cada supuesto lleva al lado de dónde sale y qué pasa si lo mueves.</t>
        </is>
      </c>
    </row>
    <row r="4"/>
    <row r="5">
      <c r="A5" s="4" t="inlineStr">
        <is>
          <t>ACTIVIDAD</t>
        </is>
      </c>
      <c r="B5" s="11" t="inlineStr"/>
      <c r="C5" s="11" t="inlineStr"/>
    </row>
    <row r="6">
      <c r="A6" t="inlineStr">
        <is>
          <t>Tickets al día en velocidad de crucero</t>
        </is>
      </c>
      <c r="B6" s="12" t="n">
        <v>183</v>
      </c>
      <c r="C6" s="5" t="inlineStr">
        <is>
          <t>SUPUESTO. No existe dato público de tráfico de pastelería en España, así que este número no es un benchmark: es el que hace que el modelo tenga qué calcular. Cuéntalos tú en la puerta de tres pastelerías parecidas a la que quieres abrir, un sábado y un martes.</t>
        </is>
      </c>
    </row>
    <row r="7">
      <c r="A7" t="inlineStr">
        <is>
          <t>Piezas por ticket</t>
        </is>
      </c>
      <c r="B7" s="13" t="n">
        <v>2.6</v>
      </c>
      <c r="C7" s="5" t="inlineStr">
        <is>
          <t>SUPUESTO. De aquí sale el ticket medio, que NO se teclea: se calcula. Publicar un «ticket medio de pastelería» sería inventarse un dato que no existe.</t>
        </is>
      </c>
    </row>
    <row r="8">
      <c r="A8" t="inlineStr">
        <is>
          <t>PVP medio ponderado de la carta, CON IVA (€/pieza)</t>
        </is>
      </c>
      <c r="B8" s="14" t="n">
        <v>2.4557</v>
      </c>
      <c r="C8" s="5" t="inlineStr">
        <is>
          <t>Sale de las 30 referencias del libro «carta-de-apertura-y-escandallo», ponderadas por su mix de ventas. Si cambias la carta allí, trae aquí el nuevo PVP medio: es COPIA declarada, no un vínculo entre ficheros.</t>
        </is>
      </c>
    </row>
    <row r="9">
      <c r="A9" t="inlineStr">
        <is>
          <t>Ticket medio CON IVA (€)</t>
        </is>
      </c>
      <c r="B9" s="15">
        <f>IFERROR($B$7*$B$8,"")</f>
        <v>6.38482</v>
      </c>
      <c r="C9" s="5" t="inlineStr">
        <is>
          <t>Piezas por ticket x PVP medio ponderado. Es lo que ve el cliente en el datáfono.</t>
        </is>
      </c>
    </row>
    <row r="10">
      <c r="A10" t="inlineStr">
        <is>
          <t>Ticket medio SIN IVA (€)</t>
        </is>
      </c>
      <c r="B10" s="15">
        <f>IFERROR($B$9/(1+$B$20),"")</f>
        <v>5.868813709905911</v>
      </c>
      <c r="C10" s="5" t="inlineStr">
        <is>
          <t>Es el que entra en el P&amp;L: la cuenta de resultados va siempre sin IVA. Se divide por el IVA MEDIO de la carta, no por un tipo suelto, porque los panes van al 4 % y el resto al 10 %.</t>
        </is>
      </c>
    </row>
    <row r="11">
      <c r="A11" t="inlineStr">
        <is>
          <t>Días de apertura al año</t>
        </is>
      </c>
      <c r="B11" s="12" t="n">
        <v>300</v>
      </c>
      <c r="C11" s="5" t="inlineStr">
        <is>
          <t>SUPUESTO: 6 días por semana x 52 semanas = 312, menos 12 días de cierre en agosto. Los festivos NO se descuentan: la pastelería tiene libertad horaria por ley estatal cuando es la actividad principal. El MISMO dato lo usan el P&amp;L, el punto de equilibrio y los escenarios.</t>
        </is>
      </c>
    </row>
    <row r="12">
      <c r="A12" t="inlineStr">
        <is>
          <t>Actividad del año 1 sobre la de crucero (%)</t>
        </is>
      </c>
      <c r="B12" s="16">
        <f>IFERROR(SUMPRODUCT('Tesorería 12 meses'!B6:M6,'Tesorería 12 meses'!B7:M7),"")</f>
        <v>0.87639985</v>
      </c>
      <c r="C12" s="5" t="inlineStr">
        <is>
          <t>NO se teclea: sale de la estacionalidad y de la rampa de la hoja de Tesorería. Un local que abre no factura desde el primer día lo que factura a los seis meses, y proyectar el año 1 a velocidad de crucero es el error que más planes de negocio tumba.</t>
        </is>
      </c>
    </row>
    <row r="13">
      <c r="A13" t="inlineStr">
        <is>
          <t>Crecimiento de volumen del año 3 (%)</t>
        </is>
      </c>
      <c r="B13" s="17" t="n">
        <v>0.04</v>
      </c>
      <c r="C13" s="5" t="inlineStr">
        <is>
          <t>SUPUESTO. El año 2 ya es el de crucero: el año 3 sólo crece lo que dé la clientela fija, no un salto de negocio. Un 4 % es prudente; si pones más, tendrás que decir de dónde sale.</t>
        </is>
      </c>
    </row>
    <row r="14">
      <c r="A14" s="4" t="inlineStr">
        <is>
          <t>IVA Y TIPOS</t>
        </is>
      </c>
      <c r="B14" s="11" t="inlineStr"/>
      <c r="C14" s="11" t="inlineStr"/>
    </row>
    <row r="15">
      <c r="A15" t="inlineStr">
        <is>
          <t>IVA de pastelería, bollería y confitería (%)</t>
        </is>
      </c>
      <c r="B15" s="17" t="n">
        <v>0.1</v>
      </c>
      <c r="C15" s="5" t="inlineStr">
        <is>
          <t>El 10 % sale de la regla general de alimentos del art. 91.Uno.1.1.o de la Ley 37/1992: no porque un precepto los nombre, sino porque no están en la lista cerrada del 4 % ni excluidos del 10 %.</t>
        </is>
      </c>
    </row>
    <row r="16">
      <c r="A16" t="inlineStr">
        <is>
          <t>IVA del pan (%)</t>
        </is>
      </c>
      <c r="B16" s="17" t="n">
        <v>0.04</v>
      </c>
      <c r="C16" s="5" t="inlineStr">
        <is>
          <t>TODOS los productos del RD 308/2019 (pan común, pan especial y semielaborados, con o sin gluten) van al 4 %. El cruasán sigue al 10 %: el RD 308/2019 sólo regula el pan y no menciona la bollería.</t>
        </is>
      </c>
    </row>
    <row r="17">
      <c r="A17" t="inlineStr">
        <is>
          <t>IVA general (%)</t>
        </is>
      </c>
      <c r="B17" s="17" t="n">
        <v>0.21</v>
      </c>
      <c r="C17" s="5" t="inlineStr">
        <is>
          <t>Tipo general del art. 90.Uno de la Ley 37/1992. Es el que soportas en obra, maquinaria, packaging y servicios.</t>
        </is>
      </c>
    </row>
    <row r="18">
      <c r="A18" t="inlineStr">
        <is>
          <t>IVA medio de las compras de materia prima (%)</t>
        </is>
      </c>
      <c r="B18" s="17" t="n">
        <v>0.1</v>
      </c>
      <c r="C18" s="5" t="inlineStr">
        <is>
          <t>SUPUESTO de trabajo: harinas y azúcares se mueven entre el 4 % y el 10 %, chocolate y mantequilla al 10 %, y el packaging al 21 %. Sólo afecta a la TESORERÍA (lo que adelantas al proveedor), nunca al resultado. Píde a tu distribuidor una factura de ejemplo y afínalo.</t>
        </is>
      </c>
    </row>
    <row r="19">
      <c r="A19" t="inlineStr">
        <is>
          <t>Peso del pan sobre las ventas sin IVA (%)</t>
        </is>
      </c>
      <c r="B19" s="18" t="n">
        <v>0.201276</v>
      </c>
      <c r="C19" s="5" t="inlineStr">
        <is>
          <t>Sale de la familia «panes de acompañamiento» de la carta del libro 4, ponderada por su mix. Existe porque el pan tributa al 4 % y el resto al 10 %: sin este reparto, la caja y las ventas netas no cuadran.</t>
        </is>
      </c>
    </row>
    <row r="20">
      <c r="A20" t="inlineStr">
        <is>
          <t>IVA medio ponderado de la carta (%)</t>
        </is>
      </c>
      <c r="B20" s="19">
        <f>IFERROR($B$19*$B$16+(1-$B$19)*$B$15,"")</f>
        <v>0.08792344</v>
      </c>
      <c r="C20" s="5" t="inlineStr">
        <is>
          <t>No es un tipo legal: es el que hace falta para pasar de caja a ventas netas cuando vendes a dos tipos distintos.</t>
        </is>
      </c>
    </row>
    <row r="21">
      <c r="A21" s="4" t="inlineStr">
        <is>
          <t>COSTE DE VENTAS</t>
        </is>
      </c>
      <c r="B21" s="11" t="inlineStr"/>
      <c r="C21" s="11" t="inlineStr"/>
    </row>
    <row r="22">
      <c r="A22" t="inlineStr">
        <is>
          <t>Coste de ventas sobre las ventas (food cost, %)</t>
        </is>
      </c>
      <c r="B22" s="17" t="n">
        <v>0.32</v>
      </c>
      <c r="C22" s="5" t="inlineStr">
        <is>
          <t>REGLA ÚNICA de la casa: margen bruto del 65-70 % equivale a un food cost del 30-35 %, y son la misma regla dicha dos veces. El 32 % es el punto medio. Incluye lo que el escandallo de la pieza deja fuera: producto de terceros que revende el despacho, merma real, packaging y subida de materia prima. Por eso es MAYOR que tu escandallo, y por eso es el supuesto conservador.</t>
        </is>
      </c>
    </row>
    <row r="23">
      <c r="A23" t="inlineStr">
        <is>
          <t>Margen bruto objetivo (%)</t>
        </is>
      </c>
      <c r="B23" s="16">
        <f>IFERROR(1-$B$22,"")</f>
        <v>0.6799999999999999</v>
      </c>
      <c r="C23" s="5" t="inlineStr">
        <is>
          <t>Se DERIVA del food cost, no se guarda aparte: si se guardaran los dos, antes o después dirían cosas distintas.</t>
        </is>
      </c>
    </row>
    <row r="24">
      <c r="A24" s="4" t="inlineStr">
        <is>
          <t>PERSONAL</t>
        </is>
      </c>
      <c r="B24" s="11" t="inlineStr"/>
      <c r="C24" s="11" t="inlineStr"/>
    </row>
    <row r="25">
      <c r="A25" t="inlineStr">
        <is>
          <t>Seguridad Social a cargo de la empresa (%)</t>
        </is>
      </c>
      <c r="B25" s="17" t="n">
        <v>0.33</v>
      </c>
      <c r="C25" s="9" t="inlineStr">
        <is>
          <t>Cotización empresarial aproximada sobre el salario bruto (contingencias comunes, desempleo, FOGASA y formación). Ajústala a tu convenio y a tus contratos.</t>
        </is>
      </c>
    </row>
    <row r="26">
      <c r="A26" t="inlineStr">
        <is>
          <t>Número de pagas del convenio</t>
        </is>
      </c>
      <c r="B26" s="12" t="n">
        <v>15</v>
      </c>
      <c r="C26" s="5" t="inlineStr">
        <is>
          <t>El convenio de pastelería de Madrid paga 15, no 14, y eso cambia el coste mes a mes y el reparto de la tesorería. Busca el tuyo: el convenio es provincial o autonómico.</t>
        </is>
      </c>
    </row>
    <row r="27">
      <c r="A27" t="inlineStr">
        <is>
          <t>SMI vigente (€/año, 14 pagas)</t>
        </is>
      </c>
      <c r="B27" s="14" t="n">
        <v>17094</v>
      </c>
      <c r="C27" s="9" t="inlineStr">
        <is>
          <t>1.221 €/mes × 14 pagas = 17.094 €/año — Real Decreto 126/2026, de 18 de febrero (BOE-A-2026-3815), con efectos desde el 1-ene-2026. El convenio provincial de hostelería prevalece si fija un mínimo superior.</t>
        </is>
      </c>
    </row>
    <row r="28">
      <c r="A28" t="inlineStr">
        <is>
          <t>Jornada completa (horas/semana)</t>
        </is>
      </c>
      <c r="B28" s="12" t="n">
        <v>40</v>
      </c>
      <c r="C28" s="5" t="inlineStr">
        <is>
          <t>SUPUESTO: la jornada anual del convenio de Madrid no se ha verificado. Comprueba la de tu convenio antes de dimensionar turnos.</t>
        </is>
      </c>
    </row>
    <row r="29">
      <c r="A29" s="4" t="inlineStr">
        <is>
          <t>LOCAL Y GASTOS FIJOS</t>
        </is>
      </c>
      <c r="B29" s="11" t="inlineStr"/>
      <c r="C29" s="11" t="inlineStr"/>
    </row>
    <row r="30">
      <c r="A30" t="inlineStr">
        <is>
          <t>Alquiler mensual del local (€)</t>
        </is>
      </c>
      <c r="B30" s="14" t="n">
        <v>1200</v>
      </c>
      <c r="C30" s="5" t="inlineStr">
        <is>
          <t>SUPUESTO para una ciudad media. Los cinco traspasos de Barcelona del research se mueven entre 850 y 1.300 €/mes para 63-85 m2; aquí se toma la parte baja porque Barcelona no es una ciudad media.</t>
        </is>
      </c>
    </row>
    <row r="31">
      <c r="A31" t="inlineStr">
        <is>
          <t>Fianza del alquiler (meses de renta)</t>
        </is>
      </c>
      <c r="B31" s="12" t="n">
        <v>2</v>
      </c>
      <c r="C31" s="5" t="inlineStr">
        <is>
          <t>SUPUESTO. La fianza no es un gasto: es un depósito que se recupera. Va en la inversión porque hay que tenerla el día de la firma.</t>
        </is>
      </c>
    </row>
    <row r="32">
      <c r="A32" t="inlineStr">
        <is>
          <t>Suministros mensuales de luz, gas y agua (€)</t>
        </is>
      </c>
      <c r="B32" s="14" t="n">
        <v>1450</v>
      </c>
      <c r="C32" s="5" t="inlineStr">
        <is>
          <t>SUPUESTO. Con 62 kW instalados y frío 24 horas es la segunda partida del negocio. No se estima: se le pide la simulación a la comercializadora con la potencia del proyecto eléctrico.</t>
        </is>
      </c>
    </row>
    <row r="33">
      <c r="A33" t="inlineStr">
        <is>
          <t>Retribución mensual del propietario (€)</t>
        </is>
      </c>
      <c r="B33" s="14" t="n">
        <v>2400</v>
      </c>
      <c r="C33" s="5" t="inlineStr">
        <is>
          <t>SUPUESTO, y renglón propio de los fijos con la cuota de autónomos dentro. Si el dueño está en el obrador, su trabajo tiene un coste aunque no se lo pague a fin de mes.</t>
        </is>
      </c>
    </row>
    <row r="34">
      <c r="A34" t="inlineStr">
        <is>
          <t>Subida anual de los costes fijos (%)</t>
        </is>
      </c>
      <c r="B34" s="17" t="n">
        <v>0</v>
      </c>
      <c r="C34" s="5" t="inlineStr">
        <is>
          <t>A CERO: las tres columnas del P&amp;L están en euros del año 1 (términos reales). Súbela si quieres proyectar en euros corrientes, pero entonces sube también el ticket medio o estarás proyectando una pérdida de margen que no has decidido.</t>
        </is>
      </c>
    </row>
    <row r="35">
      <c r="A35" s="4" t="inlineStr">
        <is>
          <t>FINANCIACIÓN</t>
        </is>
      </c>
      <c r="B35" s="11" t="inlineStr"/>
      <c r="C35" s="11" t="inlineStr"/>
    </row>
    <row r="36">
      <c r="A36" t="inlineStr">
        <is>
          <t>Recursos propios aportados (€)</t>
        </is>
      </c>
      <c r="B36" s="14" t="n">
        <v>201826.48</v>
      </c>
      <c r="C36" s="5" t="inlineStr">
        <is>
          <t>SUPUESTO sembrado para que el plan quede financiado: es la necesidad total de caja menos el préstamo. Míralo dos veces, porque es mucho dinero: si no lo tienes, o baja la inversión (mira la hoja «Traspaso vs Obra Nueva» del libro de CAPEX) o sube el préstamo, y entonces vigila el DSCR de la hoja de Financiación.</t>
        </is>
      </c>
    </row>
    <row r="37">
      <c r="A37" t="inlineStr">
        <is>
          <t>Préstamo bancario solicitado (€)</t>
        </is>
      </c>
      <c r="B37" s="14" t="n">
        <v>60000</v>
      </c>
      <c r="C37" s="5" t="inlineStr">
        <is>
          <t>SUPUESTO. Las condiciones las pone tu banco y dependen de la garantía. Pide oferta a dos entidades y a una línea ICO antes de fijarlo.</t>
        </is>
      </c>
    </row>
    <row r="38">
      <c r="A38" t="inlineStr">
        <is>
          <t>Tipo de interés nominal anual (%)</t>
        </is>
      </c>
      <c r="B38" s="18" t="n">
        <v>0.062</v>
      </c>
      <c r="C38" s="5" t="inlineStr">
        <is>
          <t>SUPUESTO.</t>
        </is>
      </c>
    </row>
    <row r="39">
      <c r="A39" t="inlineStr">
        <is>
          <t>Plazo total del préstamo (meses)</t>
        </is>
      </c>
      <c r="B39" s="12" t="n">
        <v>84</v>
      </c>
      <c r="C39" s="5" t="inlineStr">
        <is>
          <t>SUPUESTO: 7 años, carencia incluida. El cuadro de amortización de la hoja de Financiación tiene 84 filas; si alargas el plazo por encima de 84 meses, tendrás que añadirlas.</t>
        </is>
      </c>
    </row>
    <row r="40">
      <c r="A40" t="inlineStr">
        <is>
          <t>Carencia de principal (meses)</t>
        </is>
      </c>
      <c r="B40" s="12" t="n">
        <v>6</v>
      </c>
      <c r="C40" s="5" t="inlineStr">
        <is>
          <t>SUPUESTO, y es lo PRIMERO que hay que negociar: la carencia es lo que hace que el préstamo no se coma la caja justo en la rampa de arranque. Durante la carencia sólo se pagan intereses.</t>
        </is>
      </c>
    </row>
    <row r="41">
      <c r="A41" t="inlineStr">
        <is>
          <t>Fondo de maniobra (meses de costes fijos)</t>
        </is>
      </c>
      <c r="B41" s="12" t="n">
        <v>4</v>
      </c>
      <c r="C41" s="5" t="inlineStr">
        <is>
          <t>SUPUESTO. Meses de gastos fijos que hay que tener en caja el día que abres. Es una partida de la inversión, no una propina.</t>
        </is>
      </c>
    </row>
    <row r="42">
      <c r="A42" s="4" t="inlineStr">
        <is>
          <t>FISCAL</t>
        </is>
      </c>
      <c r="B42" s="11" t="inlineStr"/>
      <c r="C42" s="11" t="inlineStr"/>
    </row>
    <row r="43">
      <c r="A43" t="inlineStr">
        <is>
          <t>Impuesto de Sociedades, entidad de nueva creación (%)</t>
        </is>
      </c>
      <c r="B43" s="17" t="n">
        <v>0.15</v>
      </c>
      <c r="C43" s="5" t="inlineStr">
        <is>
          <t>Art. 29.1 de la Ley del Impuesto sobre Sociedades: se aplica al PRIMER ejercicio con base imponible positiva y al siguiente. Si eres autónomo y no sociedad, esta línea no te aplica: tributas en IRPF.</t>
        </is>
      </c>
    </row>
    <row r="44">
      <c r="A44" t="inlineStr">
        <is>
          <t>Impuesto de Sociedades, tipo general (%)</t>
        </is>
      </c>
      <c r="B44" s="17" t="n">
        <v>0.25</v>
      </c>
      <c r="C44" s="5" t="inlineStr">
        <is>
          <t>A partir del tercer ejercicio con base positiva.</t>
        </is>
      </c>
    </row>
    <row r="45">
      <c r="A45" t="inlineStr">
        <is>
          <t>Bases negativas de ejercicios anteriores (€)</t>
        </is>
      </c>
      <c r="B45" s="14" t="n">
        <v>0</v>
      </c>
      <c r="C45" s="5" t="inlineStr">
        <is>
          <t>Pérdidas pendientes de compensar al empezar. En una apertura son cero: se rellena si arrancas dentro de una sociedad que ya existía.</t>
        </is>
      </c>
    </row>
    <row r="46">
      <c r="A46" s="4" t="inlineStr">
        <is>
          <t>AMORTIZACIÓN</t>
        </is>
      </c>
      <c r="B46" s="11" t="inlineStr"/>
      <c r="C46" s="11" t="inlineStr"/>
    </row>
    <row r="47">
      <c r="A47" t="inlineStr">
        <is>
          <t>Años de amortización del inmovilizado</t>
        </is>
      </c>
      <c r="B47" s="12" t="n">
        <v>10</v>
      </c>
      <c r="C47" s="5" t="inlineStr">
        <is>
          <t>SUPUESTO, y en la práctica obra y maquinaria tienen coeficientes distintos. Sin amortización la rentabilidad publicada es mentira: los hornos se gastan.</t>
        </is>
      </c>
    </row>
    <row r="48">
      <c r="A48" s="4" t="inlineStr">
        <is>
          <t>ARRANQUE</t>
        </is>
      </c>
      <c r="B48" s="11" t="inlineStr"/>
      <c r="C48" s="11" t="inlineStr"/>
    </row>
    <row r="49">
      <c r="A49" t="inlineStr">
        <is>
          <t>Actividad del mes 1 sobre la de crucero (%)</t>
        </is>
      </c>
      <c r="B49" s="17" t="n">
        <v>0.55</v>
      </c>
      <c r="C49" s="5" t="inlineStr">
        <is>
          <t>SUPUESTO. Con el 100 % eliminas la rampa y el año 1 se proyecta como si abrieras a pleno rendimiento, que es justo lo que no pasa.</t>
        </is>
      </c>
    </row>
    <row r="50">
      <c r="A50" t="inlineStr">
        <is>
          <t>Meses hasta alcanzar el régimen de crucero</t>
        </is>
      </c>
      <c r="B50" s="12" t="n">
        <v>6</v>
      </c>
      <c r="C50" s="5" t="inlineStr">
        <is>
          <t>SUPUESTO. La rampa sube en línea recta desde el porcentaje de arriba hasta el 100 % en este número de meses.</t>
        </is>
      </c>
    </row>
    <row r="51">
      <c r="A51" s="4" t="inlineStr">
        <is>
          <t>COBROS Y PAGOS</t>
        </is>
      </c>
      <c r="B51" s="11" t="inlineStr"/>
      <c r="C51" s="11" t="inlineStr"/>
    </row>
    <row r="52">
      <c r="A52" t="inlineStr">
        <is>
          <t>Días medios de cobro</t>
        </is>
      </c>
      <c r="B52" s="20">
        <f>IFERROR(SUMPRODUCT('Canales y Punto Muerto'!B6:B9,'Canales y Punto Muerto'!F6:F9),"")</f>
        <v>2.25</v>
      </c>
      <c r="C52" s="5" t="inlineStr">
        <is>
          <t>NO se teclea: sale de la hoja «Canales y Punto Muerto», ponderando los días de cobro de cada canal por su peso en las ventas. El mostrador cobra al contado; el B2B, a 45 días, y ahí financias tú.</t>
        </is>
      </c>
    </row>
    <row r="53">
      <c r="A53" t="inlineStr">
        <is>
          <t>Días medios de pago a proveedor</t>
        </is>
      </c>
      <c r="B53" s="12" t="n">
        <v>30</v>
      </c>
      <c r="C53" s="5" t="inlineStr">
        <is>
          <t>SUPUESTO. Es lo que te financian tus proveedores, y lo primero que se pierde si te retrasas en un pago.</t>
        </is>
      </c>
    </row>
    <row r="54">
      <c r="A54" t="inlineStr">
        <is>
          <t>Mes de la primera paga extra (1-12)</t>
        </is>
      </c>
      <c r="B54" s="12" t="n">
        <v>7</v>
      </c>
      <c r="C54" s="5" t="inlineStr">
        <is>
          <t>SUPUESTO. Con 15 pagas hay TRES meses en los que la nómina sale doble; escribe aquí en cuáles cae en tu convenio.</t>
        </is>
      </c>
    </row>
    <row r="55">
      <c r="A55" t="inlineStr">
        <is>
          <t>Mes de la segunda paga extra (1-12)</t>
        </is>
      </c>
      <c r="B55" s="12" t="n">
        <v>12</v>
      </c>
      <c r="C55" s="5" t="inlineStr">
        <is>
          <t>SUPUESTO.</t>
        </is>
      </c>
    </row>
    <row r="56">
      <c r="A56" t="inlineStr">
        <is>
          <t>Mes de la tercera paga extra (1-12)</t>
        </is>
      </c>
      <c r="B56" s="12" t="n">
        <v>3</v>
      </c>
      <c r="C56" s="5" t="inlineStr">
        <is>
          <t>SUPUESTO. Si tu convenio paga 14, pon aquí un número fuera de 1-12 (por ejemplo 0) y baja a 14 las pagas de arriba.</t>
        </is>
      </c>
    </row>
    <row r="57">
      <c r="A57" s="4" t="inlineStr">
        <is>
          <t>UMBRALES Y SUELOS DE CONTROL</t>
        </is>
      </c>
      <c r="B57" s="11" t="inlineStr"/>
      <c r="C57" s="11" t="inlineStr"/>
    </row>
    <row r="58">
      <c r="A58" t="inlineStr">
        <is>
          <t>DSCR mínimo aceptable</t>
        </is>
      </c>
      <c r="B58" s="21" t="n">
        <v>1</v>
      </c>
      <c r="C58" s="5" t="inlineStr">
        <is>
          <t>Por debajo de 1 el negocio no genera lo suficiente para pagar el préstamo. Pon el que te exija tu banco en el contrato.</t>
        </is>
      </c>
    </row>
    <row r="59">
      <c r="A59" t="inlineStr">
        <is>
          <t>DSCR objetivo (verde)</t>
        </is>
      </c>
      <c r="B59" s="21" t="n">
        <v>1.25</v>
      </c>
      <c r="C59" s="5" t="inlineStr">
        <is>
          <t>Lo que suele pedir una entidad para dar el préstamo sin garantías adicionales.</t>
        </is>
      </c>
    </row>
    <row r="60">
      <c r="A60" t="inlineStr">
        <is>
          <t>Holgura mínima sobre el punto de equilibrio (%)</t>
        </is>
      </c>
      <c r="B60" s="17" t="n">
        <v>0.15</v>
      </c>
      <c r="C60" s="5" t="inlineStr">
        <is>
          <t>Cuánto deben superar las ventas previstas a las del equilibrio de caja (costes fijos y cuota del préstamo). La caída que aguantas es algo menor: con un 15 % de holgura, un 13 % de lo previsto.</t>
        </is>
      </c>
    </row>
    <row r="61">
      <c r="A61" t="inlineStr">
        <is>
          <t>Margen neto de referencia, suelo (%)</t>
        </is>
      </c>
      <c r="B61" s="17" t="n">
        <v>0.08</v>
      </c>
      <c r="C61" s="5" t="inlineStr">
        <is>
          <t>Rentabilidad neta de una pastelería «yendo bien» declarada por el gerente de una casa de cuarta generación: 8-12 %. No es un objetivo ni un benchmark del sector: es un testimonio, y está aquí para que contrastes tu proyección.</t>
        </is>
      </c>
    </row>
    <row r="62">
      <c r="A62" t="inlineStr">
        <is>
          <t>Margen neto de referencia, techo (%)</t>
        </is>
      </c>
      <c r="B62" s="17" t="n">
        <v>0.12</v>
      </c>
      <c r="C62" s="5" t="inlineStr">
        <is>
          <t>Si tu proyección sale por encima del 12 %, desconfía de ella antes de enseñarla: casi siempre falta un coste.</t>
        </is>
      </c>
    </row>
    <row r="63">
      <c r="A63" t="inlineStr">
        <is>
          <t>Techo de coste de personal sobre ventas (%)</t>
        </is>
      </c>
      <c r="B63" s="17" t="n">
        <v>0.35</v>
      </c>
      <c r="C63" s="5" t="inlineStr">
        <is>
          <t>SUPUESTO de control. En un obrador con despacho el personal es la primera partida; por encima de este techo, o subes precios o redimensionas turnos.</t>
        </is>
      </c>
    </row>
    <row r="64">
      <c r="A64" t="inlineStr">
        <is>
          <t>Techo de alquiler sobre ventas (%)</t>
        </is>
      </c>
      <c r="B64" s="17" t="n">
        <v>0.1</v>
      </c>
      <c r="C64" s="5" t="inlineStr">
        <is>
          <t>SUPUESTO de control. Un alquiler por encima del 10 % de las ventas se come el margen de todo lo demás.</t>
        </is>
      </c>
    </row>
    <row r="65">
      <c r="A65" t="inlineStr">
        <is>
          <t>Paso de la sensibilidad del coste variable (€)</t>
        </is>
      </c>
      <c r="B65" s="14" t="n">
        <v>0.2</v>
      </c>
      <c r="C65" s="5" t="inlineStr">
        <is>
          <t>Cuánto sube y baja el coste variable por ticket en la tabla de sensibilidad del punto de equilibrio.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3:C3"/>
  </mergeCells>
  <pageMargins left="0.39" right="0.39" top="0.55" bottom="0.55"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F34"/>
  <sheetViews>
    <sheetView workbookViewId="0">
      <selection activeCell="A1" sqref="A1"/>
    </sheetView>
  </sheetViews>
  <sheetFormatPr baseColWidth="8" defaultRowHeight="15"/>
  <cols>
    <col width="58" customWidth="1" min="1" max="1"/>
    <col width="15" customWidth="1" min="2" max="2"/>
    <col width="12" customWidth="1" min="3" max="3"/>
    <col width="12" customWidth="1" min="4" max="4"/>
    <col width="14" customWidth="1" min="5" max="5"/>
    <col width="80" customWidth="1" min="6" max="6"/>
  </cols>
  <sheetData>
    <row r="1" ht="26" customHeight="1">
      <c r="A1" s="1" t="inlineStr">
        <is>
          <t>Inversión Inicial: Cuánto Cuesta Abrir</t>
        </is>
      </c>
    </row>
    <row r="2">
      <c r="A2" s="2" t="inlineStr">
        <is>
          <t>AI Chef Pro · aichef.pro — Cómo Montar una Pastelería</t>
        </is>
      </c>
    </row>
    <row r="3" ht="28" customHeight="1">
      <c r="A3" s="5" t="inlineStr">
        <is>
          <t>Cada línea lleva su columna «¿Lleva IVA?» y su TIPO. Sin esa columna el CAPEX sale hasta un 21 % desviado, que es el error más caro de todo el proceso. Lo que no tengas presupuestado, déjalo en su valor sembrado y márcalo para pedirlo.</t>
        </is>
      </c>
    </row>
    <row r="4"/>
    <row r="5" ht="32" customHeight="1">
      <c r="A5" s="7" t="inlineStr">
        <is>
          <t>Concepto</t>
        </is>
      </c>
      <c r="B5" s="7" t="inlineStr">
        <is>
          <t>Importe (€, base sin IVA)</t>
        </is>
      </c>
      <c r="C5" s="7" t="inlineStr">
        <is>
          <t>% s/inversión</t>
        </is>
      </c>
      <c r="D5" s="7" t="inlineStr">
        <is>
          <t>¿Lleva IVA?</t>
        </is>
      </c>
      <c r="E5" s="7" t="inlineStr">
        <is>
          <t>Tipo de IVA de la línea</t>
        </is>
      </c>
      <c r="F5" s="7" t="inlineStr">
        <is>
          <t>Notas</t>
        </is>
      </c>
    </row>
    <row r="6" ht="30" customHeight="1">
      <c r="A6" s="9" t="inlineStr">
        <is>
          <t>Obra civil e instalaciones · Obra civil, escenario medio (900 €/m² × 90 m²)</t>
        </is>
      </c>
      <c r="B6" s="14" t="n">
        <v>81000</v>
      </c>
      <c r="C6" s="16">
        <f>IFERROR(B6/$B$19,"")</f>
        <v>0.3553947134513288</v>
      </c>
      <c r="D6" s="22" t="inlineStr">
        <is>
          <t>Sí</t>
        </is>
      </c>
      <c r="E6" s="17" t="n">
        <v>0.21</v>
      </c>
      <c r="F6" s="5" t="inlineStr">
        <is>
          <t>Escenario de referencia. Los otros dos, en `ESCENARIOS_OBRA`.  [Fuente: PS-85b]</t>
        </is>
      </c>
    </row>
    <row r="7" ht="30" customHeight="1">
      <c r="A7" s="9" t="inlineStr">
        <is>
          <t>Equipamiento de obrador · Equipamiento de obrador (dotación de La Clara)</t>
        </is>
      </c>
      <c r="B7" s="14" t="n">
        <v>54296.24</v>
      </c>
      <c r="C7" s="16">
        <f>IFERROR(B7/$B$19,"")</f>
        <v>0.23822958834919228</v>
      </c>
      <c r="D7" s="22" t="inlineStr">
        <is>
          <t>Sí</t>
        </is>
      </c>
      <c r="E7" s="17" t="n">
        <v>0.21</v>
      </c>
      <c r="F7" s="5" t="inlineStr">
        <is>
          <t>Total del bloque, sembrado desde la dotación tipo del libro «checklist-equipamiento-y-proveedores», TODO llevado a base sin IVA. Sustitúyelo por tus presupuestos reales cuando los tengas: es COPIA declarada, no un vínculo entre ficheros.  [Fuente: PS-72 + PS-78 + PS-79 + PS-81 + supuesto]</t>
        </is>
      </c>
    </row>
    <row r="8" ht="30" customHeight="1">
      <c r="A8" s="9" t="inlineStr">
        <is>
          <t>Tienda y vitrina · Tienda y vitrina (dotación de La Clara)</t>
        </is>
      </c>
      <c r="B8" s="14" t="n">
        <v>12684.1</v>
      </c>
      <c r="C8" s="16">
        <f>IFERROR(B8/$B$19,"")</f>
        <v>0.055652618331950614</v>
      </c>
      <c r="D8" s="22" t="inlineStr">
        <is>
          <t>Sí</t>
        </is>
      </c>
      <c r="E8" s="17" t="n">
        <v>0.21</v>
      </c>
      <c r="F8" s="5" t="inlineStr">
        <is>
          <t>Total del bloque, sembrado desde la dotación tipo del libro «checklist-equipamiento-y-proveedores», TODO llevado a base sin IVA. Sustitúyelo por tus presupuestos reales cuando los tengas: es COPIA declarada, no un vínculo entre ficheros.  [Fuente: PS-76 + PS-77 + supuesto]</t>
        </is>
      </c>
    </row>
    <row r="9" ht="30" customHeight="1">
      <c r="A9" s="9" t="inlineStr">
        <is>
          <t>Licencias y proyecto técnico · Proyecto técnico visado</t>
        </is>
      </c>
      <c r="B9" s="14" t="n">
        <v>5000</v>
      </c>
      <c r="C9" s="16">
        <f>IFERROR(B9/$B$19,"")</f>
        <v>0.02193794527477338</v>
      </c>
      <c r="D9" s="22" t="inlineStr">
        <is>
          <t>Sí</t>
        </is>
      </c>
      <c r="E9" s="17" t="n">
        <v>0.21</v>
      </c>
      <c r="F9" s="5" t="inlineStr">
        <is>
          <t xml:space="preserve">  [Fuente: PS-85e]</t>
        </is>
      </c>
    </row>
    <row r="10" ht="30" customHeight="1">
      <c r="A10" s="9" t="inlineStr">
        <is>
          <t>Licencias y proyecto técnico · Asesoramiento profesional</t>
        </is>
      </c>
      <c r="B10" s="14" t="n">
        <v>1000</v>
      </c>
      <c r="C10" s="16">
        <f>IFERROR(B10/$B$19,"")</f>
        <v>0.004387589054954676</v>
      </c>
      <c r="D10" s="22" t="inlineStr">
        <is>
          <t>Sí</t>
        </is>
      </c>
      <c r="E10" s="17" t="n">
        <v>0.21</v>
      </c>
      <c r="F10" s="5" t="inlineStr">
        <is>
          <t xml:space="preserve">  [Fuente: PS-85f]</t>
        </is>
      </c>
    </row>
    <row r="11" ht="30" customHeight="1">
      <c r="A11" s="9" t="inlineStr">
        <is>
          <t>Licencias y proyecto técnico · Tasas municipales de licencia de actividad</t>
        </is>
      </c>
      <c r="B11" s="14" t="n">
        <v>1800</v>
      </c>
      <c r="C11" s="16">
        <f>IFERROR(B11/$B$19,"")</f>
        <v>0.007897660298918417</v>
      </c>
      <c r="D11" s="22" t="inlineStr">
        <is>
          <t>No</t>
        </is>
      </c>
      <c r="E11" s="17" t="n">
        <v>0</v>
      </c>
      <c r="F11" s="5" t="inlineStr">
        <is>
          <t>Las tasas municipales no llevan IVA, y su importe cambia en cada ayuntamiento: es el número que hay que ir a buscar, no copiar (PA-05).  [Fuente: supuesto]</t>
        </is>
      </c>
    </row>
    <row r="12" ht="30" customHeight="1">
      <c r="A12" s="9" t="inlineStr">
        <is>
          <t>Licencias y proyecto técnico · Comunicación o declaración responsable al registro autonómico</t>
        </is>
      </c>
      <c r="B12" s="14" t="n">
        <v>120</v>
      </c>
      <c r="C12" s="16">
        <f>IFERROR(B12/$B$19,"")</f>
        <v>0.0005265106865945612</v>
      </c>
      <c r="D12" s="22" t="inlineStr">
        <is>
          <t>No</t>
        </is>
      </c>
      <c r="E12" s="17" t="n">
        <v>0</v>
      </c>
      <c r="F12" s="5" t="inlineStr">
        <is>
          <t>No es una licencia y NO habilita para abrir: es un trámite de información que se presenta al iniciar la actividad (PA-04). El importe es supuesto y en varias CCAA es gratuito.  [Fuente: PA-04 + supuesto]</t>
        </is>
      </c>
    </row>
    <row r="13" ht="30" customHeight="1">
      <c r="A13" s="9" t="inlineStr">
        <is>
          <t>Fianza y garantías · Fianza de arrendamiento (2 meses)</t>
        </is>
      </c>
      <c r="B13" s="14" t="n">
        <v>2400</v>
      </c>
      <c r="C13" s="16">
        <f>IFERROR(B13/$B$19,"")</f>
        <v>0.010530213731891223</v>
      </c>
      <c r="D13" s="22" t="inlineStr">
        <is>
          <t>No</t>
        </is>
      </c>
      <c r="E13" s="17" t="n">
        <v>0</v>
      </c>
      <c r="F13" s="5" t="inlineStr">
        <is>
          <t>La fianza no es un gasto: es un depósito que se recupera. Va en el CAPEX porque hay que tenerla el día de la firma.  [Fuente: supuesto]</t>
        </is>
      </c>
    </row>
    <row r="14" ht="30" customHeight="1">
      <c r="A14" s="9" t="inlineStr">
        <is>
          <t>Packaging inicial · Primer pedido de packaging, bolsas, cajas y etiquetas</t>
        </is>
      </c>
      <c r="B14" s="14" t="n">
        <v>2500</v>
      </c>
      <c r="C14" s="16">
        <f>IFERROR(B14/$B$19,"")</f>
        <v>0.01096897263738669</v>
      </c>
      <c r="D14" s="22" t="inlineStr">
        <is>
          <t>Sí</t>
        </is>
      </c>
      <c r="E14" s="17" t="n">
        <v>0.21</v>
      </c>
      <c r="F14" s="5" t="inlineStr">
        <is>
          <t>Empieza con el mínimo del proveedor: el packaging personalizado obliga a pedidos grandes y es dinero parado en el almacén.  [Fuente: supuesto]</t>
        </is>
      </c>
    </row>
    <row r="15" ht="30" customHeight="1">
      <c r="A15" s="9" t="inlineStr">
        <is>
          <t>Marketing de apertura · Marketing de apertura</t>
        </is>
      </c>
      <c r="B15" s="14" t="n">
        <v>5000</v>
      </c>
      <c r="C15" s="16">
        <f>IFERROR(B15/$B$19,"")</f>
        <v>0.02193794527477338</v>
      </c>
      <c r="D15" s="22" t="inlineStr">
        <is>
          <t>Sí</t>
        </is>
      </c>
      <c r="E15" s="17" t="n">
        <v>0.21</v>
      </c>
      <c r="F15" s="5" t="inlineStr">
        <is>
          <t xml:space="preserve">  [Fuente: PS-85g]</t>
        </is>
      </c>
    </row>
    <row r="16" ht="30" customHeight="1">
      <c r="A16" s="9" t="inlineStr">
        <is>
          <t>Fondo de maniobra · Colchón de tesorería (meses de gastos fijos)</t>
        </is>
      </c>
      <c r="B16" s="15">
        <f>IFERROR('0. Supuestos'!$B$41*'PyG 3 Años'!C33/12,"")</f>
        <v>62115.26182026436</v>
      </c>
      <c r="C16" s="16">
        <f>IFERROR(B16/$B$19,"")</f>
        <v>0.27253624290823597</v>
      </c>
      <c r="D16" s="22" t="inlineStr">
        <is>
          <t>No</t>
        </is>
      </c>
      <c r="E16" s="17" t="n">
        <v>0</v>
      </c>
      <c r="F16" s="5" t="inlineStr">
        <is>
          <t>Se calcula: meses de colchón x costes fijos mensuales del año de crucero. No es inversión que se compra, es caja: por eso sale del CAPEX en la fila de abajo.  [Fuente: supuesto]</t>
        </is>
      </c>
    </row>
    <row r="17">
      <c r="A17" s="23" t="inlineStr">
        <is>
          <t>SUBTOTAL DE INVERSIÓN (sin el fondo de maniobra)</t>
        </is>
      </c>
      <c r="B17" s="24">
        <f>IFERROR(IF(COUNT(B6:B15)=0,"",SUM(B6:B15)),"")</f>
        <v>165800.34</v>
      </c>
      <c r="C17" s="25">
        <f>IFERROR(B17/$B$19,"")</f>
        <v>0.727463757091764</v>
      </c>
      <c r="D17" s="23" t="n"/>
      <c r="E17" s="23" t="n"/>
      <c r="F17" s="23" t="n"/>
    </row>
    <row r="18">
      <c r="A18" s="23" t="inlineStr">
        <is>
          <t>FONDO DE MANIOBRA</t>
        </is>
      </c>
      <c r="B18" s="24">
        <f>IFERROR(B16,"")</f>
        <v>62115.26182026436</v>
      </c>
      <c r="C18" s="25">
        <f>IFERROR(B18/$B$19,"")</f>
        <v>0.27253624290823597</v>
      </c>
      <c r="D18" s="23" t="n"/>
      <c r="E18" s="23" t="n"/>
      <c r="F18" s="23" t="n"/>
    </row>
    <row r="19">
      <c r="A19" s="23" t="inlineStr">
        <is>
          <t>INVERSIÓN TOTAL (lo que se compra más la caja del arranque)</t>
        </is>
      </c>
      <c r="B19" s="24">
        <f>IFERROR(B17+B18,"")</f>
        <v>227915.60182026436</v>
      </c>
      <c r="C19" s="23" t="n"/>
      <c r="D19" s="23" t="n"/>
      <c r="E19" s="23" t="n"/>
      <c r="F19" s="23" t="n"/>
    </row>
    <row r="20">
      <c r="A20" t="inlineStr">
        <is>
          <t>CAPEX (inversión sin el fondo de maniobra)</t>
        </is>
      </c>
      <c r="B20" s="15">
        <f>IFERROR(B19-B18,"")</f>
        <v>165800.34</v>
      </c>
      <c r="F20" s="5" t="inlineStr">
        <is>
          <t>Es lo que se COMPRA: obra, equipamiento, licencias, packaging y lanzamiento. El colchón de caja no es inversión, es liquidez.</t>
        </is>
      </c>
    </row>
    <row r="21">
      <c r="A21" t="inlineStr">
        <is>
          <t>IVA soportado sobre la inversión (recuperable, pero hay que ADELANTARLO)</t>
        </is>
      </c>
      <c r="B21" s="15">
        <f>IFERROR(SUMPRODUCT(B6:B16,E6:E16),"")</f>
        <v>33910.8714</v>
      </c>
      <c r="F21" s="5" t="inlineStr">
        <is>
          <t>Cada línea a SU tipo, leído de la columna de al lado. Se recupera por el modelo 303, pero tarda: la hoja de Tesorería lo arrastra trimestre a trimestre y esa espera es la partida que más sorprende.</t>
        </is>
      </c>
    </row>
    <row r="22">
      <c r="A22" s="23" t="inlineStr">
        <is>
          <t>NECESIDAD TOTAL DE CAJA AL ARRANQUE</t>
        </is>
      </c>
      <c r="B22" s="24">
        <f>IFERROR(B19+B21,"")</f>
        <v>261826.47322026436</v>
      </c>
      <c r="C22" s="23" t="n"/>
      <c r="D22" s="23" t="n"/>
      <c r="E22" s="23" t="n"/>
      <c r="F22" s="26" t="inlineStr">
        <is>
          <t>Es la cifra que tiene que cubrir la hoja de Financiación.</t>
        </is>
      </c>
    </row>
    <row r="23">
      <c r="A23" t="inlineStr">
        <is>
          <t>Comprobación: líneas con «Sí» y tipo cero, o al revés</t>
        </is>
      </c>
      <c r="B23" s="27">
        <f>IFERROR(SUMPRODUCT((D6:D16="Sí")*(E6:E16=0))+SUMPRODUCT((D6:D16="No")*(E6:E16&gt;0)),"")</f>
        <v>0.0</v>
      </c>
      <c r="F23" s="5" t="inlineStr">
        <is>
          <t>Tiene que valer cero. Si se pone en rojo, una línea dice «Sí» y tiene el tipo a cero (o al revés) y el IVA de la inversión está mal calculado.</t>
        </is>
      </c>
    </row>
    <row r="24"/>
    <row r="25">
      <c r="A25" s="4" t="inlineStr">
        <is>
          <t>BASES DE AMORTIZACIÓN (no suman a la inversión)</t>
        </is>
      </c>
    </row>
    <row r="26">
      <c r="A26" t="inlineStr">
        <is>
          <t>Inmovilizado amortizable</t>
        </is>
      </c>
      <c r="B26" s="15">
        <f>IFERROR(B17-B13-B14,"")</f>
        <v>160900.34</v>
      </c>
      <c r="F26" s="5" t="inlineStr">
        <is>
          <t>Todo el subtotal menos la fianza (es un depósito que se recupera) y el primer pedido de packaging (son existencias, no inmovilizado).</t>
        </is>
      </c>
    </row>
    <row r="27">
      <c r="A27" t="inlineStr">
        <is>
          <t>Amortización anual del inmovilizado</t>
        </is>
      </c>
      <c r="B27" s="15">
        <f>IFERROR(B26/MAX(1,'0. Supuestos'!$B$47),"")</f>
        <v>16090.034</v>
      </c>
      <c r="F27" s="5" t="inlineStr">
        <is>
          <t>Es la línea que entra en los costes fijos del P&amp;L. Sin ella la rentabilidad publicada es mentira: los hornos se gastan.</t>
        </is>
      </c>
    </row>
    <row r="28"/>
    <row r="29" ht="42" customHeight="1">
      <c r="A29" s="5" t="inlineStr">
        <is>
          <t>Todas las cifras de la columna «Importe» van en BASE SIN IVA. El IVA de cada línea se calcula aparte, abajo, para que puedas ver cuánto dinero tienes que adelantar y cuánto vas a recuperar. La renta que pagues ANTES de abrir no está aquí: si la vas a pagar, súmala a la línea de fianza y dilo en su nota, para que el libro de CAPEX y éste sigan diciendo lo mismo.</t>
        </is>
      </c>
    </row>
    <row r="30"/>
    <row r="31">
      <c r="A31" s="28" t="inlineStr">
        <is>
          <t>Listas de validación (no las borres: de aquí salen los desplegables)</t>
        </is>
      </c>
    </row>
    <row r="32">
      <c r="A32" s="29" t="inlineStr">
        <is>
          <t>¿Lleva IVA?</t>
        </is>
      </c>
    </row>
    <row r="33">
      <c r="A33" s="30" t="inlineStr">
        <is>
          <t>Sí</t>
        </is>
      </c>
    </row>
    <row r="34">
      <c r="A34" s="30"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F3"/>
    <mergeCell ref="A29:F29"/>
  </mergeCells>
  <conditionalFormatting sqref="B23">
    <cfRule type="expression" priority="1" dxfId="0" stopIfTrue="1">
      <formula>=AND(ISNUMBER($B$23),$B$23&gt;0)</formula>
    </cfRule>
  </conditionalFormatting>
  <dataValidations count="1">
    <dataValidation sqref="D6 D7 D8 D9 D10 D11 D12 D13 D14 D15 D16" showDropDown="0" showInputMessage="0" showErrorMessage="1" allowBlank="0" errorTitle="Marca Sí o No" error="Elige «Sí» o «No» de la lista del pie de la hoja." type="list">
      <formula1>'Inversión Inicial'!$A$33:$A$34</formula1>
    </dataValidation>
  </dataValidations>
  <pageMargins left="0.39" right="0.39" top="0.55" bottom="0.55"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G54"/>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3" customWidth="1" min="5" max="5"/>
    <col width="13" customWidth="1" min="6" max="6"/>
    <col width="78" customWidth="1" min="7" max="7"/>
  </cols>
  <sheetData>
    <row r="1" ht="26" customHeight="1">
      <c r="A1" s="1" t="inlineStr">
        <is>
          <t>Cuenta de Resultados a 3 Años</t>
        </is>
      </c>
    </row>
    <row r="2">
      <c r="A2" s="2" t="inlineStr">
        <is>
          <t>AI Chef Pro · aichef.pro — Cómo Montar una Pastelería</t>
        </is>
      </c>
    </row>
    <row r="3" ht="28" customHeight="1">
      <c r="A3" s="5" t="inlineStr">
        <is>
          <t>El AÑO 2 es el año de crucero: es el que citan la guía y el business plan. El año 1 lleva la rampa de arranque y el año 3 crece sobre el crucero. Sueldo del propietario, amortización e intereses van DENTRO de los costes fijos.</t>
        </is>
      </c>
    </row>
    <row r="4"/>
    <row r="5" ht="32" customHeight="1">
      <c r="A5" s="7" t="inlineStr">
        <is>
          <t>Concepto</t>
        </is>
      </c>
      <c r="B5" s="7" t="inlineStr">
        <is>
          <t>Año 1 (arranque)</t>
        </is>
      </c>
      <c r="C5" s="7" t="inlineStr">
        <is>
          <t>Año 2 (crucero)</t>
        </is>
      </c>
      <c r="D5" s="7" t="inlineStr">
        <is>
          <t>Año 3</t>
        </is>
      </c>
      <c r="E5" s="7" t="inlineStr">
        <is>
          <t>% s/ventas (año 2)</t>
        </is>
      </c>
      <c r="F5" s="7" t="inlineStr">
        <is>
          <t>Tipo de IVA de la línea</t>
        </is>
      </c>
      <c r="G5" s="7" t="inlineStr">
        <is>
          <t>Notas</t>
        </is>
      </c>
    </row>
    <row r="6">
      <c r="A6" s="4" t="inlineStr">
        <is>
          <t>INGRESOS</t>
        </is>
      </c>
      <c r="B6" s="11" t="inlineStr"/>
      <c r="C6" s="11" t="inlineStr"/>
      <c r="D6" s="11" t="inlineStr"/>
      <c r="E6" s="11" t="inlineStr"/>
      <c r="F6" s="11" t="inlineStr"/>
      <c r="G6" s="11" t="inlineStr"/>
    </row>
    <row r="7">
      <c r="A7" t="inlineStr">
        <is>
          <t>Tickets al día</t>
        </is>
      </c>
      <c r="B7" s="27">
        <f>IFERROR('0. Supuestos'!$B$6,"")</f>
        <v>183.0</v>
      </c>
      <c r="C7" s="27">
        <f>IFERROR('0. Supuestos'!$B$6,"")</f>
        <v>183.0</v>
      </c>
      <c r="D7" s="27">
        <f>IFERROR(C7*(1+'0. Supuestos'!$B$13),"")</f>
        <v>190.32</v>
      </c>
      <c r="G7" s="5" t="inlineStr">
        <is>
          <t>Los años 1 y 2 comparten el tráfico de crucero; lo que separa al año 1 es la rampa de la fila de abajo, no menos clientes al día en el mes 12.</t>
        </is>
      </c>
    </row>
    <row r="8">
      <c r="A8" t="inlineStr">
        <is>
          <t>Ticket medio sin IVA (€)</t>
        </is>
      </c>
      <c r="B8" s="15">
        <f>IFERROR('0. Supuestos'!$B$10,"")</f>
        <v>5.868813709905911</v>
      </c>
      <c r="C8" s="15">
        <f>IFERROR('0. Supuestos'!$B$10,"")</f>
        <v>5.868813709905911</v>
      </c>
      <c r="D8" s="15">
        <f>IFERROR('0. Supuestos'!$B$10,"")</f>
        <v>5.868813709905911</v>
      </c>
      <c r="G8" s="5" t="inlineStr">
        <is>
          <t>Constante en euros del año 1: una subida de precios es una decisión aparte, y se toma en la carta, no aquí.</t>
        </is>
      </c>
    </row>
    <row r="9">
      <c r="A9" t="inlineStr">
        <is>
          <t>Días de apertura al año</t>
        </is>
      </c>
      <c r="B9" s="27">
        <f>IFERROR('0. Supuestos'!$B$11,"")</f>
        <v>300.0</v>
      </c>
      <c r="C9" s="27">
        <f>IFERROR('0. Supuestos'!$B$11,"")</f>
        <v>300.0</v>
      </c>
      <c r="D9" s="27">
        <f>IFERROR('0. Supuestos'!$B$11,"")</f>
        <v>300.0</v>
      </c>
    </row>
    <row r="10">
      <c r="A10" t="inlineStr">
        <is>
          <t>Actividad sobre la velocidad de crucero (%)</t>
        </is>
      </c>
      <c r="B10" s="16">
        <f>IFERROR('0. Supuestos'!$B$12,"")</f>
        <v>0.87639985</v>
      </c>
      <c r="C10" s="17" t="n">
        <v>1</v>
      </c>
      <c r="D10" s="17" t="n">
        <v>1</v>
      </c>
      <c r="G10" s="5" t="inlineStr">
        <is>
          <t>El año 1 lo calcula «0. Supuestos» desde la rampa y la estacionalidad de la hoja de Tesorería. Los años 2 y 3 están al 100 % porque el año 2 es, por definición, el de crucero: si crees que vas a tardar más en llegar, bájalos.</t>
        </is>
      </c>
    </row>
    <row r="11">
      <c r="A11" s="23" t="inlineStr">
        <is>
          <t>INGRESOS TOTALES (sin IVA)</t>
        </is>
      </c>
      <c r="B11" s="24">
        <f>IFERROR(IF(B7*B8*B9*B10=0,"",B7*B8*B9*B10),"")</f>
        <v>282374.1672816677</v>
      </c>
      <c r="C11" s="24">
        <f>IFERROR(IF(C7*C8*C9*C10=0,"",C7*C8*C9*C10),"")</f>
        <v>322197.87267383456</v>
      </c>
      <c r="D11" s="24">
        <f>IFERROR(IF(D7*D8*D9*D10=0,"",D7*D8*D9*D10),"")</f>
        <v>335085.7875807879</v>
      </c>
      <c r="E11" s="25">
        <f>IFERROR(C11/$C$11,"")</f>
        <v>1.0</v>
      </c>
      <c r="F11" s="23" t="n"/>
      <c r="G11" s="23" t="n"/>
    </row>
    <row r="12">
      <c r="A12" t="inlineStr">
        <is>
          <t>Ventas de pastelería, bollería y tartas</t>
        </is>
      </c>
      <c r="B12" s="15">
        <f>IFERROR(IF(B11="","",B11*(1-'0. Supuestos'!$B$19)),"")</f>
        <v>225539.02438788276</v>
      </c>
      <c r="C12" s="15">
        <f>IFERROR(IF(C11="","",C11*(1-'0. Supuestos'!$B$19)),"")</f>
        <v>257347.17365353584</v>
      </c>
      <c r="D12" s="15">
        <f>IFERROR(IF(D11="","",D11*(1-'0. Supuestos'!$B$19)),"")</f>
        <v>267641.0605996772</v>
      </c>
      <c r="E12" s="16">
        <f>IFERROR(C12/$C$11,"")</f>
        <v>0.798724</v>
      </c>
      <c r="F12" s="16">
        <f>IFERROR('0. Supuestos'!$B$15,"")</f>
        <v>0.1</v>
      </c>
    </row>
    <row r="13">
      <c r="A13" t="inlineStr">
        <is>
          <t>Ventas de pan de acompañamiento</t>
        </is>
      </c>
      <c r="B13" s="15">
        <f>IFERROR(IF(B11="","",B11*'0. Supuestos'!$B$19),"")</f>
        <v>56835.14289378495</v>
      </c>
      <c r="C13" s="15">
        <f>IFERROR(IF(C11="","",C11*'0. Supuestos'!$B$19),"")</f>
        <v>64850.69902029873</v>
      </c>
      <c r="D13" s="15">
        <f>IFERROR(IF(D11="","",D11*'0. Supuestos'!$B$19),"")</f>
        <v>67444.72698111067</v>
      </c>
      <c r="E13" s="16">
        <f>IFERROR(C13/$C$11,"")</f>
        <v>0.201276</v>
      </c>
      <c r="F13" s="16">
        <f>IFERROR('0. Supuestos'!$B$16,"")</f>
        <v>0.04</v>
      </c>
      <c r="G13" s="5" t="inlineStr">
        <is>
          <t>El pan va al 4 % y todo lo demás al 10 %. Separar las dos líneas no es un capricho contable: es lo que hace que la caja y el modelo 303 cuadren.</t>
        </is>
      </c>
    </row>
    <row r="14">
      <c r="A14" s="4" t="inlineStr">
        <is>
          <t>COSTES VARIABLES</t>
        </is>
      </c>
      <c r="B14" s="11" t="inlineStr"/>
      <c r="C14" s="11" t="inlineStr"/>
      <c r="D14" s="11" t="inlineStr"/>
      <c r="E14" s="11" t="inlineStr"/>
      <c r="F14" s="11" t="inlineStr"/>
      <c r="G14" s="11" t="inlineStr"/>
    </row>
    <row r="15">
      <c r="A15" t="inlineStr">
        <is>
          <t>Coste de ventas (materia prima, packaging y merma)</t>
        </is>
      </c>
      <c r="B15" s="15">
        <f>IFERROR(IF(B11="","",B11*'0. Supuestos'!$B$22),"")</f>
        <v>90359.73353013367</v>
      </c>
      <c r="C15" s="15">
        <f>IFERROR(IF(C11="","",C11*'0. Supuestos'!$B$22),"")</f>
        <v>103103.31925562707</v>
      </c>
      <c r="D15" s="15">
        <f>IFERROR(IF(D11="","",D11*'0. Supuestos'!$B$22),"")</f>
        <v>107227.45202585214</v>
      </c>
      <c r="E15" s="16">
        <f>IFERROR(C15/$C$11,"")</f>
        <v>0.32</v>
      </c>
      <c r="F15" s="16">
        <f>IFERROR('0. Supuestos'!$B$18,"")</f>
        <v>0.1</v>
      </c>
      <c r="G15" s="5" t="inlineStr">
        <is>
          <t>A la REGLA ÚNICA del 32 %, no al food cost de escandallo de la carta: la regla incluye el producto de terceros que revende el despacho, la merma real, el packaging y la subida de la materia prima. Es el supuesto conservador, y la diferencia con tu escandallo es tu colchón.</t>
        </is>
      </c>
    </row>
    <row r="16">
      <c r="A16" s="23" t="inlineStr">
        <is>
          <t>TOTAL COSTES VARIABLES</t>
        </is>
      </c>
      <c r="B16" s="24">
        <f>IFERROR(IF(B11="","",SUM(B15:B15)),"")</f>
        <v>90359.73353013367</v>
      </c>
      <c r="C16" s="24">
        <f>IFERROR(IF(C11="","",SUM(C15:C15)),"")</f>
        <v>103103.31925562707</v>
      </c>
      <c r="D16" s="24">
        <f>IFERROR(IF(D11="","",SUM(D15:D15)),"")</f>
        <v>107227.45202585214</v>
      </c>
      <c r="E16" s="25">
        <f>IFERROR(C16/$C$11,"")</f>
        <v>0.32</v>
      </c>
      <c r="F16" s="23" t="n"/>
      <c r="G16" s="23" t="n"/>
    </row>
    <row r="17">
      <c r="A17" s="23" t="inlineStr">
        <is>
          <t>MARGEN BRUTO</t>
        </is>
      </c>
      <c r="B17" s="24">
        <f>IFERROR(IF(B11="","",B11-B16),"")</f>
        <v>192014.43375153403</v>
      </c>
      <c r="C17" s="24">
        <f>IFERROR(IF(C11="","",C11-C16),"")</f>
        <v>219094.5534182075</v>
      </c>
      <c r="D17" s="24">
        <f>IFERROR(IF(D11="","",D11-D16),"")</f>
        <v>227858.33555493577</v>
      </c>
      <c r="E17" s="25">
        <f>IFERROR(C17/$C$11,"")</f>
        <v>0.68</v>
      </c>
      <c r="F17" s="23" t="n"/>
      <c r="G17" s="23" t="n"/>
    </row>
    <row r="18">
      <c r="A18" s="4" t="inlineStr">
        <is>
          <t>COSTES FIJOS</t>
        </is>
      </c>
      <c r="B18" s="11" t="inlineStr"/>
      <c r="C18" s="11" t="inlineStr"/>
      <c r="D18" s="11" t="inlineStr"/>
      <c r="E18" s="11" t="inlineStr"/>
      <c r="F18" s="11" t="inlineStr"/>
      <c r="G18" s="11" t="inlineStr"/>
    </row>
    <row r="19">
      <c r="A19" t="inlineStr">
        <is>
          <t>Personal (nóminas y Seguridad Social)</t>
        </is>
      </c>
      <c r="B19" s="15">
        <f>IFERROR(IF(B11="","",'Personal'!$I$11),"")</f>
        <v>92776.0785</v>
      </c>
      <c r="C19" s="15">
        <f>IFERROR(IF(C11="","",'Personal'!$I$11),"")</f>
        <v>92776.0785</v>
      </c>
      <c r="D19" s="15">
        <f>IFERROR(IF(D11="","",'Personal'!$I$11),"")</f>
        <v>92776.0785</v>
      </c>
      <c r="E19" s="16">
        <f>IFERROR(C19/$C$11,"")</f>
        <v>0.287947520354731</v>
      </c>
      <c r="F19" s="16" t="n">
        <v>0</v>
      </c>
      <c r="G19" s="5" t="inlineStr">
        <is>
          <t>Sale de la hoja de Personal: es el MISMO número, no una estimación aparte. Las nóminas no llevan IVA. Si contratas a alguien en el año 2 o el 3, añádelo allí y aquí se ve.</t>
        </is>
      </c>
    </row>
    <row r="20">
      <c r="A20" t="inlineStr">
        <is>
          <t>Retribución del propietario (incluida la cuota de autónomos)</t>
        </is>
      </c>
      <c r="B20" s="15">
        <f>IFERROR(IF(B11="","",'0. Supuestos'!$B$33*12),"")</f>
        <v>28800.0</v>
      </c>
      <c r="C20" s="15">
        <f>IFERROR(IF(C11="","",B20*(1+'0. Supuestos'!$B$34)),"")</f>
        <v>28800.0</v>
      </c>
      <c r="D20" s="15">
        <f>IFERROR(IF(D11="","",C20*(1+'0. Supuestos'!$B$34)),"")</f>
        <v>28800.0</v>
      </c>
      <c r="E20" s="16">
        <f>IFERROR(C20/$C$11,"")</f>
        <v>0.08938606503201418</v>
      </c>
      <c r="F20" s="16" t="n">
        <v>0</v>
      </c>
      <c r="G20" s="5" t="inlineStr">
        <is>
          <t>Renglón propio, y no está dentro de la plantilla de cinco personas. Un negocio que sólo es rentable porque su dueño no cobra no es rentable.</t>
        </is>
      </c>
    </row>
    <row r="21">
      <c r="A21" t="inlineStr">
        <is>
          <t>Alquiler del local</t>
        </is>
      </c>
      <c r="B21" s="15">
        <f>IFERROR(IF(B11="","",'0. Supuestos'!$B$30*12),"")</f>
        <v>14400.0</v>
      </c>
      <c r="C21" s="15">
        <f>IFERROR(IF(C11="","",B21*(1+'0. Supuestos'!$B$34)),"")</f>
        <v>14400.0</v>
      </c>
      <c r="D21" s="15">
        <f>IFERROR(IF(D11="","",C21*(1+'0. Supuestos'!$B$34)),"")</f>
        <v>14400.0</v>
      </c>
      <c r="E21" s="16">
        <f>IFERROR(C21/$C$11,"")</f>
        <v>0.04469303251600709</v>
      </c>
      <c r="F21" s="16">
        <f>IFERROR('0. Supuestos'!$B$17,"")</f>
        <v>0.21</v>
      </c>
      <c r="G21" s="5" t="inlineStr">
        <is>
          <t>El importe mensual está en «0. Supuestos»; aquí se multiplica por doce. El arrendamiento de local de negocio lleva IVA al tipo general.</t>
        </is>
      </c>
    </row>
    <row r="22">
      <c r="A22" t="inlineStr">
        <is>
          <t>Suministros (electricidad, gas y agua)</t>
        </is>
      </c>
      <c r="B22" s="15">
        <f>IFERROR(IF(B11="","",'0. Supuestos'!$B$32*12),"")</f>
        <v>17400.0</v>
      </c>
      <c r="C22" s="15">
        <f>IFERROR(IF(C11="","",B22*(1+'0. Supuestos'!$B$34)),"")</f>
        <v>17400.0</v>
      </c>
      <c r="D22" s="15">
        <f>IFERROR(IF(D11="","",C22*(1+'0. Supuestos'!$B$34)),"")</f>
        <v>17400.0</v>
      </c>
      <c r="E22" s="16">
        <f>IFERROR(C22/$C$11,"")</f>
        <v>0.0540040809568419</v>
      </c>
      <c r="F22" s="16">
        <f>IFERROR('0. Supuestos'!$B$17,"")</f>
        <v>0.21</v>
      </c>
      <c r="G22" s="5" t="inlineStr">
        <is>
          <t>Luz y gas van al 21 %; el agua, al 10 %. El libro aplica a toda la partida el tipo de la columna de al lado: si el agua te pesa, sepárala en su propia línea.</t>
        </is>
      </c>
    </row>
    <row r="23">
      <c r="A23" t="inlineStr">
        <is>
          <t>Seguros (responsabilidad civil y continente)</t>
        </is>
      </c>
      <c r="B23" s="14" t="n">
        <v>1440</v>
      </c>
      <c r="C23" s="15">
        <f>IFERROR(IF(C11="","",B23*(1+'0. Supuestos'!$B$34)),"")</f>
        <v>1440.0</v>
      </c>
      <c r="D23" s="15">
        <f>IFERROR(IF(D11="","",C23*(1+'0. Supuestos'!$B$34)),"")</f>
        <v>1440.0</v>
      </c>
      <c r="E23" s="16">
        <f>IFERROR(C23/$C$11,"")</f>
        <v>0.004469303251600709</v>
      </c>
      <c r="F23" s="17" t="n">
        <v>0</v>
      </c>
      <c r="G23" s="5" t="inlineStr">
        <is>
          <t>Supuesto. El de RC no está verificado como obligatorio: depende de tu CCAA. Las operaciones de seguro están exentas de IVA (art. 20.Uno.16 de la Ley 37/1992), y por eso su tipo va a cero.</t>
        </is>
      </c>
    </row>
    <row r="24">
      <c r="A24" t="inlineStr">
        <is>
          <t>Gestoría y asesoría</t>
        </is>
      </c>
      <c r="B24" s="14" t="n">
        <v>2640</v>
      </c>
      <c r="C24" s="15">
        <f>IFERROR(IF(C11="","",B24*(1+'0. Supuestos'!$B$34)),"")</f>
        <v>2640.0</v>
      </c>
      <c r="D24" s="15">
        <f>IFERROR(IF(D11="","",C24*(1+'0. Supuestos'!$B$34)),"")</f>
        <v>2640.0</v>
      </c>
      <c r="E24" s="16">
        <f>IFERROR(C24/$C$11,"")</f>
        <v>0.008193722627934634</v>
      </c>
      <c r="F24" s="17" t="n">
        <v>0.21</v>
      </c>
      <c r="G24" s="5" t="inlineStr">
        <is>
          <t>Supuesto.</t>
        </is>
      </c>
    </row>
    <row r="25">
      <c r="A25" t="inlineStr">
        <is>
          <t>Software, TPV y pasarela de cobro</t>
        </is>
      </c>
      <c r="B25" s="14" t="n">
        <v>720</v>
      </c>
      <c r="C25" s="15">
        <f>IFERROR(IF(C11="","",B25*(1+'0. Supuestos'!$B$34)),"")</f>
        <v>720.0</v>
      </c>
      <c r="D25" s="15">
        <f>IFERROR(IF(D11="","",C25*(1+'0. Supuestos'!$B$34)),"")</f>
        <v>720.0</v>
      </c>
      <c r="E25" s="16">
        <f>IFERROR(C25/$C$11,"")</f>
        <v>0.0022346516258003545</v>
      </c>
      <c r="F25" s="17" t="n">
        <v>0.21</v>
      </c>
      <c r="G25" s="5" t="inlineStr">
        <is>
          <t>Supuesto. Con Verifactu en el horizonte esta cuota deja de ser opcional.</t>
        </is>
      </c>
    </row>
    <row r="26">
      <c r="A26" t="inlineStr">
        <is>
          <t>Telefonía e internet</t>
        </is>
      </c>
      <c r="B26" s="14" t="n">
        <v>660</v>
      </c>
      <c r="C26" s="15">
        <f>IFERROR(IF(C11="","",B26*(1+'0. Supuestos'!$B$34)),"")</f>
        <v>660.0</v>
      </c>
      <c r="D26" s="15">
        <f>IFERROR(IF(D11="","",C26*(1+'0. Supuestos'!$B$34)),"")</f>
        <v>660.0</v>
      </c>
      <c r="E26" s="16">
        <f>IFERROR(C26/$C$11,"")</f>
        <v>0.0020484306569836584</v>
      </c>
      <c r="F26" s="17" t="n">
        <v>0.21</v>
      </c>
      <c r="G26" s="5" t="inlineStr">
        <is>
          <t>Supuesto.</t>
        </is>
      </c>
    </row>
    <row r="27">
      <c r="A27" t="inlineStr">
        <is>
          <t>Limpieza y consumibles</t>
        </is>
      </c>
      <c r="B27" s="14" t="n">
        <v>2160</v>
      </c>
      <c r="C27" s="15">
        <f>IFERROR(IF(C11="","",B27*(1+'0. Supuestos'!$B$34)),"")</f>
        <v>2160.0</v>
      </c>
      <c r="D27" s="15">
        <f>IFERROR(IF(D11="","",C27*(1+'0. Supuestos'!$B$34)),"")</f>
        <v>2160.0</v>
      </c>
      <c r="E27" s="16">
        <f>IFERROR(C27/$C$11,"")</f>
        <v>0.006703954877401063</v>
      </c>
      <c r="F27" s="17" t="n">
        <v>0.21</v>
      </c>
      <c r="G27" s="5" t="inlineStr">
        <is>
          <t>Supuesto.</t>
        </is>
      </c>
    </row>
    <row r="28">
      <c r="A28" t="inlineStr">
        <is>
          <t>Mantenimiento de equipos</t>
        </is>
      </c>
      <c r="B28" s="14" t="n">
        <v>1800</v>
      </c>
      <c r="C28" s="15">
        <f>IFERROR(IF(C11="","",B28*(1+'0. Supuestos'!$B$34)),"")</f>
        <v>1800.0</v>
      </c>
      <c r="D28" s="15">
        <f>IFERROR(IF(D11="","",C28*(1+'0. Supuestos'!$B$34)),"")</f>
        <v>1800.0</v>
      </c>
      <c r="E28" s="16">
        <f>IFERROR(C28/$C$11,"")</f>
        <v>0.0055866290645008865</v>
      </c>
      <c r="F28" s="17" t="n">
        <v>0.21</v>
      </c>
      <c r="G28" s="5" t="inlineStr">
        <is>
          <t>Supuesto. Con horno de gas, súmale la inspección periódica obligatoria cada 5 años, que se te repercute.</t>
        </is>
      </c>
    </row>
    <row r="29">
      <c r="A29" t="inlineStr">
        <is>
          <t>Publicidad y redes</t>
        </is>
      </c>
      <c r="B29" s="14" t="n">
        <v>2400</v>
      </c>
      <c r="C29" s="15">
        <f>IFERROR(IF(C11="","",B29*(1+'0. Supuestos'!$B$34)),"")</f>
        <v>2400.0</v>
      </c>
      <c r="D29" s="15">
        <f>IFERROR(IF(D11="","",C29*(1+'0. Supuestos'!$B$34)),"")</f>
        <v>2400.0</v>
      </c>
      <c r="E29" s="16">
        <f>IFERROR(C29/$C$11,"")</f>
        <v>0.007448838752667848</v>
      </c>
      <c r="F29" s="17" t="n">
        <v>0.21</v>
      </c>
      <c r="G29" s="5" t="inlineStr">
        <is>
          <t>Supuesto.</t>
        </is>
      </c>
    </row>
    <row r="30">
      <c r="A30" t="inlineStr">
        <is>
          <t>Otros gastos de estructura</t>
        </is>
      </c>
      <c r="B30" s="14" t="n">
        <v>1800</v>
      </c>
      <c r="C30" s="15">
        <f>IFERROR(IF(C11="","",B30*(1+'0. Supuestos'!$B$34)),"")</f>
        <v>1800.0</v>
      </c>
      <c r="D30" s="15">
        <f>IFERROR(IF(D11="","",C30*(1+'0. Supuestos'!$B$34)),"")</f>
        <v>1800.0</v>
      </c>
      <c r="E30" s="16">
        <f>IFERROR(C30/$C$11,"")</f>
        <v>0.0055866290645008865</v>
      </c>
      <c r="F30" s="17" t="n">
        <v>0.21</v>
      </c>
      <c r="G30" s="5" t="inlineStr">
        <is>
          <t>Supuesto.</t>
        </is>
      </c>
    </row>
    <row r="31">
      <c r="A31" t="inlineStr">
        <is>
          <t>Amortización del inmovilizado</t>
        </is>
      </c>
      <c r="B31" s="15">
        <f>IFERROR(IF(B11="","",'Inversión Inicial'!$B$27),"")</f>
        <v>16090.034</v>
      </c>
      <c r="C31" s="15">
        <f>IFERROR(IF(C11="","",'Inversión Inicial'!$B$27),"")</f>
        <v>16090.034</v>
      </c>
      <c r="D31" s="15">
        <f>IFERROR(IF(D11="","",'Inversión Inicial'!$B$27),"")</f>
        <v>16090.034</v>
      </c>
      <c r="E31" s="16">
        <f>IFERROR(C31/$C$11,"")</f>
        <v>0.04993836199622636</v>
      </c>
      <c r="F31" s="16" t="n">
        <v>0</v>
      </c>
      <c r="G31" s="5" t="inlineStr">
        <is>
          <t>Sale de la base de amortización de la hoja de Inversión. No sube con el IPC: es un reparto contable de una inversión ya hecha.</t>
        </is>
      </c>
    </row>
    <row r="32">
      <c r="A32" t="inlineStr">
        <is>
          <t>Gastos financieros del préstamo</t>
        </is>
      </c>
      <c r="B32" s="15">
        <f>IFERROR(IF(B11="","",'Financiación'!$B$116),"")</f>
        <v>3671.104818691272</v>
      </c>
      <c r="C32" s="15">
        <f>IFERROR(IF(C11="","",'Financiación'!$B$117),"")</f>
        <v>3259.6729607930874</v>
      </c>
      <c r="D32" s="15">
        <f>IFERROR(IF(D11="","",'Financiación'!$B$118),"")</f>
        <v>2750.6598444456245</v>
      </c>
      <c r="E32" s="16">
        <f>IFERROR(C32/$C$11,"")</f>
        <v>0.010116990946407955</v>
      </c>
      <c r="F32" s="16" t="n">
        <v>0</v>
      </c>
      <c r="G32" s="5" t="inlineStr">
        <is>
          <t>Sólo los INTERESES son gasto. La devolución del principal sale de la caja pero no del resultado: va en la hoja de Tesorería.</t>
        </is>
      </c>
    </row>
    <row r="33">
      <c r="A33" s="23" t="inlineStr">
        <is>
          <t>TOTAL COSTES FIJOS</t>
        </is>
      </c>
      <c r="B33" s="24">
        <f>IFERROR(IF(B11="","",SUM(B19:B32)),"")</f>
        <v>186757.21731869126</v>
      </c>
      <c r="C33" s="24">
        <f>IFERROR(IF(C11="","",SUM(C19:C32)),"")</f>
        <v>186345.78546079306</v>
      </c>
      <c r="D33" s="24">
        <f>IFERROR(IF(D11="","",SUM(D19:D32)),"")</f>
        <v>185836.7723444456</v>
      </c>
      <c r="E33" s="25">
        <f>IFERROR(C33/$C$11,"")</f>
        <v>0.5783582117236185</v>
      </c>
      <c r="F33" s="23" t="n"/>
      <c r="G33" s="23" t="n"/>
    </row>
    <row r="34">
      <c r="A34" t="inlineStr">
        <is>
          <t>IVA soportado de los costes variables</t>
        </is>
      </c>
      <c r="B34" s="15">
        <f>IFERROR(IF(B11="","",B15*$F$15),"")</f>
        <v>9035.973353013367</v>
      </c>
      <c r="C34" s="15">
        <f>IFERROR(IF(C11="","",C15*$F$15),"")</f>
        <v>10310.331925562707</v>
      </c>
      <c r="D34" s="15">
        <f>IFERROR(IF(D11="","",D15*$F$15),"")</f>
        <v>10722.745202585214</v>
      </c>
    </row>
    <row r="35">
      <c r="A35" t="inlineStr">
        <is>
          <t>IVA soportado de los costes fijos</t>
        </is>
      </c>
      <c r="B35" s="15">
        <f>IFERROR(IF(B11="","",SUMPRODUCT(B19:B32,$F$19:$F$32)),"")</f>
        <v>9235.8</v>
      </c>
      <c r="C35" s="15">
        <f>IFERROR(IF(C11="","",SUMPRODUCT(C19:C32,$F$19:$F$32)),"")</f>
        <v>9235.8</v>
      </c>
      <c r="D35" s="15">
        <f>IFERROR(IF(D11="","",SUMPRODUCT(D19:D32,$F$19:$F$32)),"")</f>
        <v>9235.8</v>
      </c>
      <c r="G35" s="5" t="inlineStr">
        <is>
          <t>Cada línea a SU tipo, leído de la columna de al lado. Es lo que la hoja de Tesorería paga de más a los proveedores y luego recupera en el modelo 303.</t>
        </is>
      </c>
    </row>
    <row r="36">
      <c r="A36" s="23" t="inlineStr">
        <is>
          <t>RESULTADO ANTES DE IMPUESTOS</t>
        </is>
      </c>
      <c r="B36" s="24">
        <f>IFERROR(IF(B11="","",B17-B33),"")</f>
        <v>5257.216432842775</v>
      </c>
      <c r="C36" s="24">
        <f>IFERROR(IF(C11="","",C17-C33),"")</f>
        <v>32748.767957414442</v>
      </c>
      <c r="D36" s="24">
        <f>IFERROR(IF(D11="","",D17-D33),"")</f>
        <v>42021.56321049016</v>
      </c>
      <c r="E36" s="25">
        <f>IFERROR(C36/$C$11,"")</f>
        <v>0.10164178827638158</v>
      </c>
      <c r="F36" s="23" t="n"/>
      <c r="G36" s="23" t="n"/>
    </row>
    <row r="37">
      <c r="A37" t="inlineStr">
        <is>
          <t>Bases negativas pendientes al inicio</t>
        </is>
      </c>
      <c r="B37" s="15">
        <f>IFERROR(IF(B11="","",'0. Supuestos'!$B$45),"")</f>
        <v>0.0</v>
      </c>
      <c r="C37" s="15">
        <f>IFERROR(IF(C11="","",B42),"")</f>
        <v>0.0</v>
      </c>
      <c r="D37" s="15">
        <f>IFERROR(IF(D11="","",C42),"")</f>
        <v>0.0</v>
      </c>
      <c r="G37" s="5" t="inlineStr">
        <is>
          <t>Art. 26 de la Ley del Impuesto sobre Sociedades: las pérdidas de un ejercicio se compensan con los beneficios de los siguientes.</t>
        </is>
      </c>
    </row>
    <row r="38">
      <c r="A38" t="inlineStr">
        <is>
          <t>Base imponible (después de compensar)</t>
        </is>
      </c>
      <c r="B38" s="15">
        <f>IFERROR(IF(B11="","",MAX(0,B36-B37)),"")</f>
        <v>5257.216432842775</v>
      </c>
      <c r="C38" s="15">
        <f>IFERROR(IF(C11="","",MAX(0,C36-C37)),"")</f>
        <v>32748.767957414442</v>
      </c>
      <c r="D38" s="15">
        <f>IFERROR(IF(D11="","",MAX(0,D36-D37)),"")</f>
        <v>42021.56321049016</v>
      </c>
    </row>
    <row r="39">
      <c r="A39" t="inlineStr">
        <is>
          <t>Ejercicios con base positiva (acumulado)</t>
        </is>
      </c>
      <c r="B39" s="27">
        <f>IFERROR(IF(B11="","",IF(B38&gt;0,1,0)),"")</f>
        <v>1.0</v>
      </c>
      <c r="C39" s="27">
        <f>IFERROR(IF(C11="","",B39+IF(C38&gt;0,1,0)),"")</f>
        <v>2.0</v>
      </c>
      <c r="D39" s="27">
        <f>IFERROR(IF(D11="","",C39+IF(D38&gt;0,1,0)),"")</f>
        <v>3.0</v>
      </c>
    </row>
    <row r="40">
      <c r="A40" t="inlineStr">
        <is>
          <t>Tipo de Impuesto de Sociedades aplicado</t>
        </is>
      </c>
      <c r="B40" s="16">
        <f>IFERROR(IF(B11="","",IF(B38&lt;=0,"",IF(B39&lt;=2,'0. Supuestos'!$B$43,'0. Supuestos'!$B$44))),"")</f>
        <v>0.15</v>
      </c>
      <c r="C40" s="16">
        <f>IFERROR(IF(C11="","",IF(C38&lt;=0,"",IF(C39&lt;=2,'0. Supuestos'!$B$43,'0. Supuestos'!$B$44))),"")</f>
        <v>0.15</v>
      </c>
      <c r="D40" s="16">
        <f>IFERROR(IF(D11="","",IF(D38&lt;=0,"",IF(D39&lt;=2,'0. Supuestos'!$B$43,'0. Supuestos'!$B$44))),"")</f>
        <v>0.25</v>
      </c>
      <c r="G40" s="5" t="inlineStr">
        <is>
          <t>El 15 % de entidad de nueva creación se aplica al PRIMER ejercicio con base positiva y al siguiente, no a los dos primeros años naturales. Si tributas en IRPF, esta línea no te aplica.</t>
        </is>
      </c>
    </row>
    <row r="41">
      <c r="A41" t="inlineStr">
        <is>
          <t>Impuesto de Sociedades</t>
        </is>
      </c>
      <c r="B41" s="15">
        <f>IFERROR(IF(B11="","",IF(B40="",0,B38*B40)),"")</f>
        <v>788.5824649264163</v>
      </c>
      <c r="C41" s="15">
        <f>IFERROR(IF(C11="","",IF(C40="",0,C38*C40)),"")</f>
        <v>4912.315193612166</v>
      </c>
      <c r="D41" s="15">
        <f>IFERROR(IF(D11="","",IF(D40="",0,D38*D40)),"")</f>
        <v>10505.39080262254</v>
      </c>
    </row>
    <row r="42">
      <c r="A42" t="inlineStr">
        <is>
          <t>Bases negativas pendientes al cierre</t>
        </is>
      </c>
      <c r="B42" s="15">
        <f>IFERROR(IF(B11="","",MAX(0,B37-B36)),"")</f>
        <v>0.0</v>
      </c>
      <c r="C42" s="15">
        <f>IFERROR(IF(C11="","",MAX(0,C37-C36)),"")</f>
        <v>0.0</v>
      </c>
      <c r="D42" s="15">
        <f>IFERROR(IF(D11="","",MAX(0,D37-D36)),"")</f>
        <v>0.0</v>
      </c>
    </row>
    <row r="43">
      <c r="A43" s="23" t="inlineStr">
        <is>
          <t>RESULTADO NETO</t>
        </is>
      </c>
      <c r="B43" s="24">
        <f>IFERROR(IF(B11="","",B36-B41),"")</f>
        <v>4468.633967916359</v>
      </c>
      <c r="C43" s="24">
        <f>IFERROR(IF(C11="","",C36-C41),"")</f>
        <v>27836.452763802277</v>
      </c>
      <c r="D43" s="24">
        <f>IFERROR(IF(D11="","",D36-D41),"")</f>
        <v>31516.17240786762</v>
      </c>
      <c r="E43" s="25">
        <f>IFERROR(C43/$C$11,"")</f>
        <v>0.08639552003492434</v>
      </c>
      <c r="F43" s="23" t="n"/>
      <c r="G43" s="23" t="n"/>
    </row>
    <row r="44">
      <c r="A44" s="4" t="inlineStr">
        <is>
          <t>RATIOS CLAVE</t>
        </is>
      </c>
      <c r="B44" s="11" t="inlineStr"/>
      <c r="C44" s="11" t="inlineStr"/>
      <c r="D44" s="11" t="inlineStr"/>
      <c r="E44" s="11" t="inlineStr"/>
      <c r="F44" s="11" t="inlineStr"/>
      <c r="G44" s="11" t="inlineStr"/>
    </row>
    <row r="45" ht="22" customHeight="1">
      <c r="A45" s="7" t="inlineStr">
        <is>
          <t>Ratio</t>
        </is>
      </c>
      <c r="B45" s="7" t="inlineStr">
        <is>
          <t>Año 1</t>
        </is>
      </c>
      <c r="C45" s="7" t="inlineStr">
        <is>
          <t>Año 2</t>
        </is>
      </c>
      <c r="D45" s="7" t="inlineStr">
        <is>
          <t>Año 3</t>
        </is>
      </c>
      <c r="E45" s="7" t="inlineStr">
        <is>
          <t>Umbral</t>
        </is>
      </c>
      <c r="F45" s="7" t="inlineStr"/>
      <c r="G45" s="7" t="inlineStr">
        <is>
          <t>Comentario</t>
        </is>
      </c>
    </row>
    <row r="46">
      <c r="A46" t="inlineStr">
        <is>
          <t>Margen bruto / ventas</t>
        </is>
      </c>
      <c r="B46" s="16">
        <f>IFERROR(IF(B11="","",B17/B11),"")</f>
        <v>0.6799999999999999</v>
      </c>
      <c r="C46" s="16">
        <f>IFERROR(IF(C11="","",C17/C11),"")</f>
        <v>0.68</v>
      </c>
      <c r="D46" s="16">
        <f>IFERROR(IF(D11="","",D17/D11),"")</f>
        <v>0.6799999999999999</v>
      </c>
      <c r="E46" s="16">
        <f>IFERROR('0. Supuestos'!$B$23,"")</f>
        <v>0.6799999999999999</v>
      </c>
      <c r="G46" s="5" t="inlineStr">
        <is>
          <t>El suelo es la regla única de margen del propio libro. Por debajo, o suben los precios o baja el coste de la materia prima.</t>
        </is>
      </c>
    </row>
    <row r="47">
      <c r="A47" t="inlineStr">
        <is>
          <t>Coste de ventas / ventas</t>
        </is>
      </c>
      <c r="B47" s="16">
        <f>IFERROR(IF(B11="","",B15/B11),"")</f>
        <v>0.32</v>
      </c>
      <c r="C47" s="16">
        <f>IFERROR(IF(C11="","",C15/C11),"")</f>
        <v>0.32</v>
      </c>
      <c r="D47" s="16">
        <f>IFERROR(IF(D11="","",D15/D11),"")</f>
        <v>0.32</v>
      </c>
      <c r="E47" s="16">
        <f>IFERROR('0. Supuestos'!$B$22,"")</f>
        <v>0.32</v>
      </c>
      <c r="G47" s="5" t="inlineStr">
        <is>
          <t>Es el food cost proyectado. Cuando midas el tuyo con el escandallo, cámbialo en «0. Supuestos» y mira qué le pasa a este cuadro.</t>
        </is>
      </c>
    </row>
    <row r="48">
      <c r="A48" t="inlineStr">
        <is>
          <t>Coste de personal / ventas</t>
        </is>
      </c>
      <c r="B48" s="16">
        <f>IFERROR(IF(B11="","",B19/B11),"")</f>
        <v>0.32855724513728635</v>
      </c>
      <c r="C48" s="16">
        <f>IFERROR(IF(C11="","",C19/C11),"")</f>
        <v>0.287947520354731</v>
      </c>
      <c r="D48" s="16">
        <f>IFERROR(IF(D11="","",D19/D11),"")</f>
        <v>0.27687261572570293</v>
      </c>
      <c r="E48" s="16">
        <f>IFERROR('0. Supuestos'!$B$63,"")</f>
        <v>0.35</v>
      </c>
      <c r="G48" s="5" t="inlineStr">
        <is>
          <t>En un obrador con despacho el personal es la primera partida. Por encima del techo, o subes precios o redimensionas turnos.</t>
        </is>
      </c>
    </row>
    <row r="49">
      <c r="A49" t="inlineStr">
        <is>
          <t>Alquiler / ventas</t>
        </is>
      </c>
      <c r="B49" s="16">
        <f>IFERROR(IF(B11="","",B21/B11),"")</f>
        <v>0.05099616632294847</v>
      </c>
      <c r="C49" s="16">
        <f>IFERROR(IF(C11="","",C21/C11),"")</f>
        <v>0.04469303251600709</v>
      </c>
      <c r="D49" s="16">
        <f>IFERROR(IF(D11="","",D21/D11),"")</f>
        <v>0.0429740697269299</v>
      </c>
      <c r="E49" s="16">
        <f>IFERROR('0. Supuestos'!$B$64,"")</f>
        <v>0.1</v>
      </c>
      <c r="G49" s="5" t="inlineStr">
        <is>
          <t>Un alquiler por encima del techo se come el margen de todo lo demás, y no se renegocia una vez firmado.</t>
        </is>
      </c>
    </row>
    <row r="50">
      <c r="A50" t="inlineStr">
        <is>
          <t>Resultado neto / ventas</t>
        </is>
      </c>
      <c r="B50" s="16">
        <f>IFERROR(IF(B11="","",B43/B11),"")</f>
        <v>0.015825222296127765</v>
      </c>
      <c r="C50" s="16">
        <f>IFERROR(IF(C11="","",C43/C11),"")</f>
        <v>0.08639552003492434</v>
      </c>
      <c r="D50" s="16">
        <f>IFERROR(IF(D11="","",D43/D11),"")</f>
        <v>0.09405404101261439</v>
      </c>
      <c r="E50" s="16">
        <f>IFERROR('0. Supuestos'!$B$61,"")</f>
        <v>0.08</v>
      </c>
      <c r="G50" s="5" t="inlineStr">
        <is>
          <t>El suelo es el extremo bajo de la banda de referencia declarada por un pastelero de cuarta generación sobre su propia casa (8-12 %).</t>
        </is>
      </c>
    </row>
    <row r="51">
      <c r="A51" t="inlineStr">
        <is>
          <t>Margen neto dentro de la banda de referencia (8-12 %)</t>
        </is>
      </c>
      <c r="B51" t="str">
        <f>IFERROR(IF(B50="","",IF(AND(B50&gt;='0. Supuestos'!$B$61,B50&lt;='0. Supuestos'!$B$62),"Sí","No: revísalo")),"")</f>
        <v>No: revísalo</v>
      </c>
      <c r="C51" t="str">
        <f>IFERROR(IF(C50="","",IF(AND(C50&gt;='0. Supuestos'!$B$61,C50&lt;='0. Supuestos'!$B$62),"Sí","No: revísalo")),"")</f>
        <v>Sí</v>
      </c>
      <c r="D51" t="str">
        <f>IFERROR(IF(D50="","",IF(AND(D50&gt;='0. Supuestos'!$B$61,D50&lt;='0. Supuestos'!$B$62),"Sí","No: revísalo")),"")</f>
        <v>Sí</v>
      </c>
      <c r="G51" s="5" t="inlineStr">
        <is>
          <t>Si sale por ENCIMA del 12 %, desconfía antes de enseñarlo: casi siempre falta un coste. Si sale por debajo del 8 %, el negocio no está mal planteado por fuerza, pero tiene poco donde caerse.</t>
        </is>
      </c>
    </row>
    <row r="52">
      <c r="A52" t="inlineStr">
        <is>
          <t>Punto de equilibrio alcanzado</t>
        </is>
      </c>
      <c r="B52" t="str">
        <f>IFERROR(IF(B11="","",IF(B11&gt;='Punto de Equilibrio'!$B$17,"Sí","No")),"")</f>
        <v>Sí</v>
      </c>
      <c r="C52" t="str">
        <f>IFERROR(IF(C11="","",IF(C11&gt;='Punto de Equilibrio'!$C$17,"Sí","No")),"")</f>
        <v>Sí</v>
      </c>
      <c r="D52" t="str">
        <f>IFERROR(IF(D11="","",IF(D11&gt;='Punto de Equilibrio'!$D$17,"Sí","No")),"")</f>
        <v>Sí</v>
      </c>
      <c r="G52" s="5" t="inlineStr">
        <is>
          <t>Compara las ventas de CADA año con el umbral contable de ese mismo año, que calcula la hoja «Punto de Equilibrio». El umbral de caja, que es el que de verdad te deja dormir, está allí.</t>
        </is>
      </c>
    </row>
    <row r="53"/>
    <row r="54" ht="44" customHeight="1">
      <c r="A54" s="5" t="inlineStr">
        <is>
          <t>Todas las cifras van SIN IVA. Las columnas de los años 2 y 3 están en euros del año 1 mientras la «Subida anual de los costes fijos» de «0. Supuestos» valga cero. Y una advertencia que vale dinero: si tu proyección del año 1 sale en positivo, míralo dos veces. Casi ninguna apertura gana dinero el primer año, y lo que decide si sobrevives no es este cuadro sino la hoja de Tesorería.</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G3"/>
    <mergeCell ref="A54:G54"/>
  </mergeCells>
  <conditionalFormatting sqref="B43:D43">
    <cfRule type="expression" priority="1" dxfId="0" stopIfTrue="1">
      <formula>=AND(ISNUMBER(B43),B43&lt;0)</formula>
    </cfRule>
  </conditionalFormatting>
  <pageMargins left="0.39" right="0.39" top="0.55" bottom="0.55"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E38"/>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80" customWidth="1" min="5" max="5"/>
  </cols>
  <sheetData>
    <row r="1" ht="26" customHeight="1">
      <c r="A1" s="1" t="inlineStr">
        <is>
          <t>Punto de Equilibrio: Cuántos Tickets al Día</t>
        </is>
      </c>
    </row>
    <row r="2">
      <c r="A2" s="2" t="inlineStr">
        <is>
          <t>AI Chef Pro · aichef.pro — Cómo Montar una Pastelería</t>
        </is>
      </c>
    </row>
    <row r="3" ht="28" customHeight="1">
      <c r="A3" s="5" t="inlineStr">
        <is>
          <t>Dos umbrales, y no dicen lo mismo. El CONTABLE incluye la amortización; el de CAJA le quita la amortización (que no se paga) y le suma la devolución de principal (que sí). El segundo es el que decide si llegas a fin de mes.</t>
        </is>
      </c>
    </row>
    <row r="4"/>
    <row r="5" ht="32" customHeight="1">
      <c r="A5" s="7" t="inlineStr">
        <is>
          <t>Variable</t>
        </is>
      </c>
      <c r="B5" s="7" t="inlineStr">
        <is>
          <t>Año 1</t>
        </is>
      </c>
      <c r="C5" s="7" t="inlineStr">
        <is>
          <t>Año 2</t>
        </is>
      </c>
      <c r="D5" s="7" t="inlineStr">
        <is>
          <t>Año 3</t>
        </is>
      </c>
      <c r="E5" s="7" t="inlineStr">
        <is>
          <t>Notas</t>
        </is>
      </c>
    </row>
    <row r="6">
      <c r="A6" s="4" t="inlineStr">
        <is>
          <t>DATOS BASE POR AÑO</t>
        </is>
      </c>
      <c r="B6" s="11" t="inlineStr"/>
      <c r="C6" s="11" t="inlineStr"/>
      <c r="D6" s="11" t="inlineStr"/>
      <c r="E6" s="11" t="inlineStr"/>
    </row>
    <row r="7">
      <c r="A7" t="inlineStr">
        <is>
          <t>Costes fijos anuales</t>
        </is>
      </c>
      <c r="B7" s="15">
        <f>IFERROR(IF('PyG 3 Años'!B11="","",'PyG 3 Años'!B33),"")</f>
        <v>186757.21731869126</v>
      </c>
      <c r="C7" s="15">
        <f>IFERROR(IF('PyG 3 Años'!C11="","",'PyG 3 Años'!C33),"")</f>
        <v>186345.78546079306</v>
      </c>
      <c r="D7" s="15">
        <f>IFERROR(IF('PyG 3 Años'!D11="","",'PyG 3 Años'!D33),"")</f>
        <v>185836.7723444456</v>
      </c>
      <c r="E7" s="5" t="inlineStr">
        <is>
          <t>Los MISMOS costes fijos del P&amp;L. Cada año tiene los suyos: por eso el umbral no puede ser uno solo para los tres.</t>
        </is>
      </c>
    </row>
    <row r="8">
      <c r="A8" t="inlineStr">
        <is>
          <t>Costes fijos mensuales</t>
        </is>
      </c>
      <c r="B8" s="15">
        <f>IFERROR(IF('PyG 3 Años'!B11="","",B7/12),"")</f>
        <v>15563.101443224272</v>
      </c>
      <c r="C8" s="15">
        <f>IFERROR(IF('PyG 3 Años'!C11="","",C7/12),"")</f>
        <v>15528.81545506609</v>
      </c>
      <c r="D8" s="15">
        <f>IFERROR(IF('PyG 3 Años'!D11="","",D7/12),"")</f>
        <v>15486.397695370468</v>
      </c>
    </row>
    <row r="9">
      <c r="A9" t="inlineStr">
        <is>
          <t>Ticket medio sin IVA (€)</t>
        </is>
      </c>
      <c r="B9" s="15">
        <f>IFERROR(IF('PyG 3 Años'!B11="","",'PyG 3 Años'!B8),"")</f>
        <v>5.868813709905911</v>
      </c>
      <c r="C9" s="15">
        <f>IFERROR(IF('PyG 3 Años'!C11="","",'PyG 3 Años'!C8),"")</f>
        <v>5.868813709905911</v>
      </c>
      <c r="D9" s="15">
        <f>IFERROR(IF('PyG 3 Años'!D11="","",'PyG 3 Años'!D8),"")</f>
        <v>5.868813709905911</v>
      </c>
    </row>
    <row r="10">
      <c r="A10" t="inlineStr">
        <is>
          <t>Coste variable por ticket (€)</t>
        </is>
      </c>
      <c r="B10" s="15">
        <f>IFERROR(IF('PyG 3 Años'!B11="","",'PyG 3 Años'!B16/('PyG 3 Años'!B7*'PyG 3 Años'!B9*'PyG 3 Años'!B10)),"")</f>
        <v>1.878020387169892</v>
      </c>
      <c r="C10" s="15">
        <f>IFERROR(IF('PyG 3 Años'!C11="","",'PyG 3 Años'!C16/('PyG 3 Años'!C7*'PyG 3 Años'!C9*'PyG 3 Años'!C10)),"")</f>
        <v>1.878020387169892</v>
      </c>
      <c r="D10" s="15">
        <f>IFERROR(IF('PyG 3 Años'!D11="","",'PyG 3 Años'!D16/('PyG 3 Años'!D7*'PyG 3 Años'!D9*'PyG 3 Años'!D10)),"")</f>
        <v>1.8780203871698917</v>
      </c>
      <c r="E10" s="5" t="inlineStr">
        <is>
          <t>Sale del total de costes variables del P&amp;L dividido por los tickets de ese año, no de una estimación aparte.</t>
        </is>
      </c>
    </row>
    <row r="11">
      <c r="A11" t="inlineStr">
        <is>
          <t>Margen de contribución por ticket (€)</t>
        </is>
      </c>
      <c r="B11" s="15">
        <f>IFERROR(IF('PyG 3 Años'!B11="","",B9-B10),"")</f>
        <v>3.9907933227360193</v>
      </c>
      <c r="C11" s="15">
        <f>IFERROR(IF('PyG 3 Años'!C11="","",C9-C10),"")</f>
        <v>3.9907933227360193</v>
      </c>
      <c r="D11" s="15">
        <f>IFERROR(IF('PyG 3 Años'!D11="","",D9-D10),"")</f>
        <v>3.9907933227360193</v>
      </c>
      <c r="E11" s="5" t="inlineStr">
        <is>
          <t>Ticket menos coste variable unitario. Es lo que deja cada cliente para pagar los fijos.</t>
        </is>
      </c>
    </row>
    <row r="12">
      <c r="A12" t="inlineStr">
        <is>
          <t>Días de apertura al año</t>
        </is>
      </c>
      <c r="B12" s="27">
        <f>IFERROR(IF('PyG 3 Años'!B11="","",'PyG 3 Años'!B9),"")</f>
        <v>300.0</v>
      </c>
      <c r="C12" s="27">
        <f>IFERROR(IF('PyG 3 Años'!C11="","",'PyG 3 Años'!C9),"")</f>
        <v>300.0</v>
      </c>
      <c r="D12" s="27">
        <f>IFERROR(IF('PyG 3 Años'!D11="","",'PyG 3 Años'!D9),"")</f>
        <v>300.0</v>
      </c>
    </row>
    <row r="13">
      <c r="A13" t="inlineStr">
        <is>
          <t>Devolución de principal del año (sale de caja)</t>
        </is>
      </c>
      <c r="B13" s="15">
        <f>IFERROR(IF('PyG 3 Años'!B11="","",'Financiación'!$C$116),"")</f>
        <v>3808.3296827899585</v>
      </c>
      <c r="C13" s="15">
        <f>IFERROR(IF('PyG 3 Años'!C11="","",'Financiación'!$C$117),"")</f>
        <v>7979.196042169371</v>
      </c>
      <c r="D13" s="15">
        <f>IFERROR(IF('PyG 3 Años'!D11="","",'Financiación'!$C$118),"")</f>
        <v>8488.209158516836</v>
      </c>
      <c r="E13" s="5" t="inlineStr">
        <is>
          <t>El principal NO es gasto del P&amp;L, pero sale de la caja. Sin él, el umbral de equilibrio se publica por debajo de lo que de verdad hay que facturar.</t>
        </is>
      </c>
    </row>
    <row r="14">
      <c r="A14" s="4" t="inlineStr">
        <is>
          <t>PUNTO DE EQUILIBRIO CONTABLE (incluye la amortización)</t>
        </is>
      </c>
      <c r="B14" s="11" t="inlineStr"/>
      <c r="C14" s="11" t="inlineStr"/>
      <c r="D14" s="11" t="inlineStr"/>
      <c r="E14" s="11" t="inlineStr"/>
    </row>
    <row r="15">
      <c r="A15" t="inlineStr">
        <is>
          <t>Tickets necesarios al año</t>
        </is>
      </c>
      <c r="B15" s="27">
        <f>IFERROR(IF('PyG 3 Años'!B11="","",IF(B11&lt;=0,"",B7/B11)),"")</f>
        <v>46797.01558452386</v>
      </c>
      <c r="C15" s="27">
        <f>IFERROR(IF('PyG 3 Años'!C11="","",IF(C11&lt;=0,"",C7/C11)),"")</f>
        <v>46693.92032886273</v>
      </c>
      <c r="D15" s="27">
        <f>IFERROR(IF('PyG 3 Años'!D11="","",IF(D11&lt;=0,"",D7/D11)),"")</f>
        <v>46566.37347910543</v>
      </c>
    </row>
    <row r="16">
      <c r="A16" t="inlineStr">
        <is>
          <t>Tickets necesarios al día</t>
        </is>
      </c>
      <c r="B16" s="20">
        <f>IFERROR(IF('PyG 3 Años'!B11="","",B15/B12),"")</f>
        <v>155.99005194841288</v>
      </c>
      <c r="C16" s="20">
        <f>IFERROR(IF('PyG 3 Años'!C11="","",C15/C12),"")</f>
        <v>155.6464010962091</v>
      </c>
      <c r="D16" s="20">
        <f>IFERROR(IF('PyG 3 Años'!D11="","",D15/D12),"")</f>
        <v>155.22124493035145</v>
      </c>
    </row>
    <row r="17">
      <c r="A17" s="23" t="inlineStr">
        <is>
          <t>Ingresos necesarios al año (sin IVA)</t>
        </is>
      </c>
      <c r="B17" s="24">
        <f>IFERROR(IF('PyG 3 Años'!B11="","",B15*B9),"")</f>
        <v>274642.9666451342</v>
      </c>
      <c r="C17" s="24">
        <f>IFERROR(IF('PyG 3 Años'!C11="","",C15*C9),"")</f>
        <v>274037.91979528393</v>
      </c>
      <c r="D17" s="24">
        <f>IFERROR(IF('PyG 3 Años'!D11="","",D15*D9),"")</f>
        <v>273289.371094773</v>
      </c>
      <c r="E17" s="23" t="n"/>
    </row>
    <row r="18">
      <c r="A18" s="23" t="inlineStr">
        <is>
          <t>Ingresos necesarios al mes (sin IVA)</t>
        </is>
      </c>
      <c r="B18" s="24">
        <f>IFERROR(IF('PyG 3 Años'!B11="","",B17/12),"")</f>
        <v>22886.913887094517</v>
      </c>
      <c r="C18" s="24">
        <f>IFERROR(IF('PyG 3 Años'!C11="","",C17/12),"")</f>
        <v>22836.49331627366</v>
      </c>
      <c r="D18" s="24">
        <f>IFERROR(IF('PyG 3 Años'!D11="","",D17/12),"")</f>
        <v>22774.11425789775</v>
      </c>
      <c r="E18" s="23" t="n"/>
    </row>
    <row r="19">
      <c r="A19" s="4" t="inlineStr">
        <is>
          <t>PUNTO DE EQUILIBRIO DE CAJA (incluye la cuota del préstamo)</t>
        </is>
      </c>
      <c r="B19" s="11" t="inlineStr"/>
      <c r="C19" s="11" t="inlineStr"/>
      <c r="D19" s="11" t="inlineStr"/>
      <c r="E19" s="11" t="inlineStr"/>
    </row>
    <row r="20">
      <c r="A20" t="inlineStr">
        <is>
          <t>Costes fijos de caja más el principal del año</t>
        </is>
      </c>
      <c r="B20" s="15">
        <f>IFERROR(IF('PyG 3 Años'!B11="","",B7-'PyG 3 Años'!B31+B13),"")</f>
        <v>174475.51300148122</v>
      </c>
      <c r="C20" s="15">
        <f>IFERROR(IF('PyG 3 Años'!C11="","",C7-'PyG 3 Años'!C31+C13),"")</f>
        <v>178234.94750296246</v>
      </c>
      <c r="D20" s="15">
        <f>IFERROR(IF('PyG 3 Años'!D11="","",D7-'PyG 3 Años'!D31+D13),"")</f>
        <v>178234.94750296243</v>
      </c>
      <c r="E20" s="5" t="inlineStr">
        <is>
          <t>Los fijos del P&amp;L sin la amortización (que no se paga) y CON la devolución de principal (que sí). Es el umbral que decide si sobrevives, no el contable.</t>
        </is>
      </c>
    </row>
    <row r="21">
      <c r="A21" t="inlineStr">
        <is>
          <t>Tickets necesarios al año (caja)</t>
        </is>
      </c>
      <c r="B21" s="27">
        <f>IFERROR(IF('PyG 3 Años'!B11="","",IF(B11&lt;=0,"",B20/B11)),"")</f>
        <v>43719.506096062076</v>
      </c>
      <c r="C21" s="27">
        <f>IFERROR(IF('PyG 3 Años'!C11="","",IF(C11&lt;=0,"",C20/C11)),"")</f>
        <v>44661.532955750175</v>
      </c>
      <c r="D21" s="27">
        <f>IFERROR(IF('PyG 3 Años'!D11="","",IF(D11&lt;=0,"",D20/D11)),"")</f>
        <v>44661.53295575017</v>
      </c>
    </row>
    <row r="22">
      <c r="A22" s="23" t="inlineStr">
        <is>
          <t>Tickets necesarios al día (caja)</t>
        </is>
      </c>
      <c r="B22" s="31">
        <f>IFERROR(IF('PyG 3 Años'!B11="","",B21/B12),"")</f>
        <v>145.7316869868736</v>
      </c>
      <c r="C22" s="31">
        <f>IFERROR(IF('PyG 3 Años'!C11="","",C21/C12),"")</f>
        <v>148.87177651916724</v>
      </c>
      <c r="D22" s="31">
        <f>IFERROR(IF('PyG 3 Años'!D11="","",D21/D12),"")</f>
        <v>148.87177651916724</v>
      </c>
      <c r="E22" s="23" t="n"/>
    </row>
    <row r="23">
      <c r="A23" t="inlineStr">
        <is>
          <t>Ingresos necesarios al año (caja, sin IVA)</t>
        </is>
      </c>
      <c r="B23" s="15">
        <f>IFERROR(IF('PyG 3 Años'!B11="","",B21*B9),"")</f>
        <v>256581.63676688418</v>
      </c>
      <c r="C23" s="15">
        <f>IFERROR(IF('PyG 3 Años'!C11="","",C21*C9),"")</f>
        <v>262110.2169161213</v>
      </c>
      <c r="D23" s="15">
        <f>IFERROR(IF('PyG 3 Años'!D11="","",D21*D9),"")</f>
        <v>262110.21691612125</v>
      </c>
    </row>
    <row r="24">
      <c r="A24" s="4" t="inlineStr">
        <is>
          <t>CONTRASTE CON EL PLAN</t>
        </is>
      </c>
      <c r="B24" s="11" t="inlineStr"/>
      <c r="C24" s="11" t="inlineStr"/>
      <c r="D24" s="11" t="inlineStr"/>
      <c r="E24" s="11" t="inlineStr"/>
    </row>
    <row r="25">
      <c r="A25" t="inlineStr">
        <is>
          <t>Tickets al día previstos en el plan</t>
        </is>
      </c>
      <c r="B25" s="20">
        <f>IFERROR(IF('PyG 3 Años'!B11="","",'PyG 3 Años'!B7*'PyG 3 Años'!B10),"")</f>
        <v>160.38117255</v>
      </c>
      <c r="C25" s="20">
        <f>IFERROR(IF('PyG 3 Años'!C11="","",'PyG 3 Años'!C7*'PyG 3 Años'!C10),"")</f>
        <v>183.0</v>
      </c>
      <c r="D25" s="20">
        <f>IFERROR(IF('PyG 3 Años'!D11="","",'PyG 3 Años'!D7*'PyG 3 Años'!D10),"")</f>
        <v>190.32</v>
      </c>
    </row>
    <row r="26">
      <c r="A26" t="inlineStr">
        <is>
          <t>Holgura sobre el equilibrio de CAJA (%)</t>
        </is>
      </c>
      <c r="B26" s="16">
        <f>IFERROR(IF('PyG 3 Años'!B11="","",IF(B22&lt;=0,"",B25/B22-1)),"")</f>
        <v>0.10052368064912276</v>
      </c>
      <c r="C26" s="16">
        <f>IFERROR(IF('PyG 3 Años'!C11="","",IF(C22&lt;=0,"",C25/C22-1)),"")</f>
        <v>0.2292457595307782</v>
      </c>
      <c r="D26" s="16">
        <f>IFERROR(IF('PyG 3 Años'!D11="","",IF(D22&lt;=0,"",D25/D22-1)),"")</f>
        <v>0.2784155899120093</v>
      </c>
      <c r="E26" s="5" t="inlineStr">
        <is>
          <t>Cuánto superan tus ventas previstas a las del equilibrio de caja. La caída que aguantas antes de no poder pagar los fijos y la cuota es algo menor: con un 25 % de holgura, un 20 %. El mínimo exigible está en «0. Supuestos».</t>
        </is>
      </c>
    </row>
    <row r="27">
      <c r="A27" t="inlineStr">
        <is>
          <t>Lectura de la holgura</t>
        </is>
      </c>
      <c r="B27" t="str">
        <f>IFERROR(IF('PyG 3 Años'!B11="","",IF(B26&lt;0,"Por debajo del equilibrio",IF(B26&lt;'0. Supuestos'!$B$60,"Ajustada","Suficiente"))),"")</f>
        <v>Ajustada</v>
      </c>
      <c r="C27" t="str">
        <f>IFERROR(IF('PyG 3 Años'!C11="","",IF(C26&lt;0,"Por debajo del equilibrio",IF(C26&lt;'0. Supuestos'!$B$60,"Ajustada","Suficiente"))),"")</f>
        <v>Suficiente</v>
      </c>
      <c r="D27" t="str">
        <f>IFERROR(IF('PyG 3 Años'!D11="","",IF(D26&lt;0,"Por debajo del equilibrio",IF(D26&lt;'0. Supuestos'!$B$60,"Ajustada","Suficiente"))),"")</f>
        <v>Suficiente</v>
      </c>
    </row>
    <row r="28" ht="40" customHeight="1">
      <c r="A28" s="5" t="inlineStr">
        <is>
          <t>Lectura rápida: si los tickets al día previstos están por debajo de los tickets al día de CAJA, el negocio no genera para pagar los fijos y la cuota, y da igual lo que diga el resultado contable. Si están justo por encima, no tienes margen para un mes malo: negocia carencia, baja inversión o revisa el ticket medio antes de firmar nada.</t>
        </is>
      </c>
    </row>
    <row r="29"/>
    <row r="30">
      <c r="A30" s="4" t="inlineStr">
        <is>
          <t>SENSIBILIDAD DEL PUNTO DE EQUILIBRIO (año de crucero)</t>
        </is>
      </c>
      <c r="B30" s="11" t="inlineStr"/>
      <c r="C30" s="11" t="inlineStr"/>
      <c r="D30" s="11" t="inlineStr"/>
      <c r="E30" s="11" t="inlineStr"/>
    </row>
    <row r="31" ht="30" customHeight="1">
      <c r="A31" s="9" t="inlineStr">
        <is>
          <t>Tickets al día necesarios: ticket medio (columnas) x coste variable por ticket (filas)</t>
        </is>
      </c>
      <c r="B31" s="32">
        <f>IFERROR($C$9-1,"")</f>
        <v>4.868813709905911</v>
      </c>
      <c r="C31" s="32">
        <f>IFERROR($C$9,"")</f>
        <v>5.868813709905911</v>
      </c>
      <c r="D31" s="32">
        <f>IFERROR($C$9+1,"")</f>
        <v>6.868813709905911</v>
      </c>
      <c r="E31" s="32">
        <f>IFERROR($C$9+2,"")</f>
        <v>7.868813709905911</v>
      </c>
    </row>
    <row r="32">
      <c r="A32" s="32">
        <f>IFERROR($C$10-2*'0. Supuestos'!$B$65,"")</f>
        <v>1.478020387169892</v>
      </c>
      <c r="B32" s="20">
        <f>IFERROR(IF(B$31-$A32&lt;=0,"",$C$7/(B$31-$A32)/$C$12),"")</f>
        <v>183.18799144662634</v>
      </c>
      <c r="C32" s="20">
        <f>IFERROR(IF(C$31-$A32&lt;=0,"",$C$7/(C$31-$A32)/$C$12),"")</f>
        <v>141.46705903606207</v>
      </c>
      <c r="D32" s="20">
        <f>IFERROR(IF(D$31-$A32&lt;=0,"",$C$7/(D$31-$A32)/$C$12),"")</f>
        <v>115.22471388077375</v>
      </c>
      <c r="E32" s="20">
        <f>IFERROR(IF(E$31-$A32&lt;=0,"",$C$7/(E$31-$A32)/$C$12),"")</f>
        <v>97.19491569111115</v>
      </c>
    </row>
    <row r="33">
      <c r="A33" s="32">
        <f>IFERROR($C$10-1*'0. Supuestos'!$B$65,"")</f>
        <v>1.678020387169892</v>
      </c>
      <c r="B33" s="20">
        <f>IFERROR(IF(B$31-$A33&lt;=0,"",$C$7/(B$31-$A33)/$C$12),"")</f>
        <v>194.67027644085135</v>
      </c>
      <c r="C33" s="20">
        <f>IFERROR(IF(C$31-$A33&lt;=0,"",$C$7/(C$31-$A33)/$C$12),"")</f>
        <v>148.21838500905005</v>
      </c>
      <c r="D33" s="20">
        <f>IFERROR(IF(D$31-$A33&lt;=0,"",$C$7/(D$31-$A33)/$C$12),"")</f>
        <v>119.664293987964</v>
      </c>
      <c r="E33" s="20">
        <f>IFERROR(IF(E$31-$A33&lt;=0,"",$C$7/(E$31-$A33)/$C$12),"")</f>
        <v>100.3348982627844</v>
      </c>
    </row>
    <row r="34">
      <c r="A34" s="32">
        <f>IFERROR($C$10,"")</f>
        <v>1.878020387169892</v>
      </c>
      <c r="B34" s="20">
        <f>IFERROR(IF(B$31-$A34&lt;=0,"",$C$7/(B$31-$A34)/$C$12),"")</f>
        <v>207.6882456171878</v>
      </c>
      <c r="C34" s="20">
        <f>IFERROR(IF(C$31-$A34&lt;=0,"",$C$7/(C$31-$A34)/$C$12),"")</f>
        <v>155.6464010962091</v>
      </c>
      <c r="D34" s="20">
        <f>IFERROR(IF(D$31-$A34&lt;=0,"",$C$7/(D$31-$A34)/$C$12),"")</f>
        <v>124.45969569064813</v>
      </c>
      <c r="E34" s="20">
        <f>IFERROR(IF(E$31-$A34&lt;=0,"",$C$7/(E$31-$A34)/$C$12),"")</f>
        <v>103.68453470849511</v>
      </c>
    </row>
    <row r="35">
      <c r="A35" s="32">
        <f>IFERROR($C$10+1*'0. Supuestos'!$B$65,"")</f>
        <v>2.078020387169892</v>
      </c>
      <c r="B35" s="20">
        <f>IFERROR(IF(B$31-$A35&lt;=0,"",$C$7/(B$31-$A35)/$C$12),"")</f>
        <v>222.57205975886532</v>
      </c>
      <c r="C35" s="20">
        <f>IFERROR(IF(C$31-$A35&lt;=0,"",$C$7/(C$31-$A35)/$C$12),"")</f>
        <v>163.85821260081894</v>
      </c>
      <c r="D35" s="20">
        <f>IFERROR(IF(D$31-$A35&lt;=0,"",$C$7/(D$31-$A35)/$C$12),"")</f>
        <v>129.65548216300502</v>
      </c>
      <c r="E35" s="20">
        <f>IFERROR(IF(E$31-$A35&lt;=0,"",$C$7/(E$31-$A35)/$C$12),"")</f>
        <v>107.26554784192555</v>
      </c>
    </row>
    <row r="36">
      <c r="A36" s="32">
        <f>IFERROR($C$10+2*'0. Supuestos'!$B$65,"")</f>
        <v>2.278020387169892</v>
      </c>
      <c r="B36" s="20">
        <f>IFERROR(IF(B$31-$A36&lt;=0,"",$C$7/(B$31-$A36)/$C$12),"")</f>
        <v>239.75382858663244</v>
      </c>
      <c r="C36" s="20">
        <f>IFERROR(IF(C$31-$A36&lt;=0,"",$C$7/(C$31-$A36)/$C$12),"")</f>
        <v>172.98478703011338</v>
      </c>
      <c r="D36" s="20">
        <f>IFERROR(IF(D$31-$A36&lt;=0,"",$C$7/(D$31-$A36)/$C$12),"")</f>
        <v>135.30398223905433</v>
      </c>
      <c r="E36" s="20">
        <f>IFERROR(IF(E$31-$A36&lt;=0,"",$C$7/(E$31-$A36)/$C$12),"")</f>
        <v>111.10276884616874</v>
      </c>
    </row>
    <row r="37"/>
    <row r="38" ht="40" customHeight="1">
      <c r="A38" s="5" t="inlineStr">
        <is>
          <t>La celda del centro es tu escenario. Muévete una columna a la izquierda y estarás viendo qué pasa si tienes que bajar el ticket medio un euro; una fila hacia abajo, qué pasa si la mantequilla y el cacao te suben el coste variable. Los dos movimientos han pasado en los últimos tres años.</t>
        </is>
      </c>
    </row>
  </sheetData>
  <sheetProtection selectLockedCells="0" selectUnlockedCells="0" sheet="1" objects="0" insertRows="0" insertHyperlinks="1" autoFilter="1" scenarios="0" formatColumns="0" deleteColumns="1" insertColumns="1" pivotTables="1" deleteRows="1" formatCells="1" formatRows="0" sort="0"/>
  <mergeCells count="3">
    <mergeCell ref="A3:E3"/>
    <mergeCell ref="A28:E28"/>
    <mergeCell ref="A38:E38"/>
  </mergeCells>
  <conditionalFormatting sqref="B26:D26">
    <cfRule type="expression" priority="1" dxfId="0" stopIfTrue="1">
      <formula>=AND(ISNUMBER(B26),B26&lt;0)</formula>
    </cfRule>
  </conditionalFormatting>
  <pageMargins left="0.39" right="0.39" top="0.55" bottom="0.55"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25"/>
  <sheetViews>
    <sheetView workbookViewId="0">
      <pane ySplit="5" topLeftCell="A6" activePane="bottomLeft" state="frozen"/>
      <selection pane="bottomLeft" activeCell="A1" sqref="A1"/>
    </sheetView>
  </sheetViews>
  <sheetFormatPr baseColWidth="8" defaultRowHeight="15"/>
  <cols>
    <col width="54" customWidth="1" min="1" max="1"/>
    <col width="16" customWidth="1" min="2" max="2"/>
    <col width="16" customWidth="1" min="3" max="3"/>
    <col width="16" customWidth="1" min="4" max="4"/>
    <col width="80" customWidth="1" min="5" max="5"/>
  </cols>
  <sheetData>
    <row r="1" ht="26" customHeight="1">
      <c r="A1" s="1" t="inlineStr">
        <is>
          <t>Escenarios: Pesimista, Realista y Optimista</t>
        </is>
      </c>
    </row>
    <row r="2">
      <c r="A2" s="2" t="inlineStr">
        <is>
          <t>AI Chef Pro · aichef.pro — Cómo Montar una Pastelería</t>
        </is>
      </c>
    </row>
    <row r="3" ht="28" customHeight="1">
      <c r="A3" s="5" t="inlineStr">
        <is>
          <t>La columna «Realista» LEE el año de crucero del P&amp;L, así que no puede desviarse de él. Las otras dos son verdes: son tus apuestas, y la de la izquierda es la que hay que poder sobrevivir.</t>
        </is>
      </c>
    </row>
    <row r="4"/>
    <row r="5" ht="32" customHeight="1">
      <c r="A5" s="7" t="inlineStr">
        <is>
          <t>Métrica</t>
        </is>
      </c>
      <c r="B5" s="7" t="inlineStr">
        <is>
          <t>Pesimista</t>
        </is>
      </c>
      <c r="C5" s="7" t="inlineStr">
        <is>
          <t>Realista</t>
        </is>
      </c>
      <c r="D5" s="7" t="inlineStr">
        <is>
          <t>Optimista</t>
        </is>
      </c>
      <c r="E5" s="7" t="inlineStr">
        <is>
          <t>Notas</t>
        </is>
      </c>
    </row>
    <row r="6">
      <c r="A6" t="inlineStr">
        <is>
          <t>Tickets al día</t>
        </is>
      </c>
      <c r="B6" s="12" t="n">
        <v>140</v>
      </c>
      <c r="C6" s="27">
        <f>IFERROR('PyG 3 Años'!C7,"")</f>
        <v>183.0</v>
      </c>
      <c r="D6" s="12" t="n">
        <v>220</v>
      </c>
      <c r="E6" s="5" t="inlineStr">
        <is>
          <t>SUPUESTOS los dos extremos. El pesimista no es «un mal día»: es el año entero yendo mal.</t>
        </is>
      </c>
    </row>
    <row r="7">
      <c r="A7" t="inlineStr">
        <is>
          <t>Ticket medio sin IVA (€)</t>
        </is>
      </c>
      <c r="B7" s="14" t="n">
        <v>5.2</v>
      </c>
      <c r="C7" s="15">
        <f>IFERROR('PyG 3 Años'!C8,"")</f>
        <v>5.868813709905911</v>
      </c>
      <c r="D7" s="14" t="n">
        <v>6.6</v>
      </c>
      <c r="E7" s="5" t="inlineStr">
        <is>
          <t>SUPUESTOS. Bajar el ticket medio un euro pesa más que perder veinte clientes al día: míralo en la tabla de sensibilidad del punto de equilibrio.</t>
        </is>
      </c>
    </row>
    <row r="8">
      <c r="A8" t="inlineStr">
        <is>
          <t>Días de apertura al año</t>
        </is>
      </c>
      <c r="B8" s="12" t="n">
        <v>290</v>
      </c>
      <c r="C8" s="27">
        <f>IFERROR('PyG 3 Años'!C9,"")</f>
        <v>300.0</v>
      </c>
      <c r="D8" s="12" t="n">
        <v>305</v>
      </c>
      <c r="E8" s="5" t="inlineStr">
        <is>
          <t>SUPUESTOS.</t>
        </is>
      </c>
    </row>
    <row r="9">
      <c r="A9" s="23" t="inlineStr">
        <is>
          <t>INGRESOS ANUALES (sin IVA)</t>
        </is>
      </c>
      <c r="B9" s="24">
        <f>IFERROR(IF(B6*B7*B8=0,"",B6*B7*B8),"")</f>
        <v>211120.0</v>
      </c>
      <c r="C9" s="24">
        <f>IFERROR(IF(C6*C7*C8=0,"",C6*C7*C8),"")</f>
        <v>322197.87267383456</v>
      </c>
      <c r="D9" s="24">
        <f>IFERROR(IF(D6*D7*D8=0,"",D6*D7*D8),"")</f>
        <v>442860.0</v>
      </c>
      <c r="E9" s="23" t="n"/>
    </row>
    <row r="10">
      <c r="A10" t="inlineStr">
        <is>
          <t>Coste de ventas (regla única del food cost)</t>
        </is>
      </c>
      <c r="B10" s="15">
        <f>IFERROR(IF(B9="","",B9*'0. Supuestos'!$B$22),"")</f>
        <v>67558.4</v>
      </c>
      <c r="C10" s="15">
        <f>IFERROR(IF(C9="","",C9*'0. Supuestos'!$B$22),"")</f>
        <v>103103.31925562707</v>
      </c>
      <c r="D10" s="15">
        <f>IFERROR(IF(D9="","",D9*'0. Supuestos'!$B$22),"")</f>
        <v>141715.2</v>
      </c>
    </row>
    <row r="11">
      <c r="A11" t="inlineStr">
        <is>
          <t>TOTAL COSTES VARIABLES</t>
        </is>
      </c>
      <c r="B11" s="15">
        <f>IFERROR(IF(B9="","",SUM(B10:B10)),"")</f>
        <v>67558.4</v>
      </c>
      <c r="C11" s="15">
        <f>IFERROR(IF(C9="","",SUM(C10:C10)),"")</f>
        <v>103103.31925562707</v>
      </c>
      <c r="D11" s="15">
        <f>IFERROR(IF(D9="","",SUM(D10:D10)),"")</f>
        <v>141715.2</v>
      </c>
    </row>
    <row r="12">
      <c r="A12" s="33" t="inlineStr">
        <is>
          <t>MARGEN BRUTO</t>
        </is>
      </c>
      <c r="B12" s="32">
        <f>IFERROR(IF(B9="","",B9-B11),"")</f>
        <v>143561.6</v>
      </c>
      <c r="C12" s="32">
        <f>IFERROR(IF(C9="","",C9-C11),"")</f>
        <v>219094.5534182075</v>
      </c>
      <c r="D12" s="32">
        <f>IFERROR(IF(D9="","",D9-D11),"")</f>
        <v>301144.8</v>
      </c>
    </row>
    <row r="13">
      <c r="A13" t="inlineStr">
        <is>
          <t>COSTES FIJOS (los del año de crucero del P&amp;L)</t>
        </is>
      </c>
      <c r="B13" s="15">
        <f>IFERROR(IF(B9="","",'PyG 3 Años'!$C$33),"")</f>
        <v>186345.78546079306</v>
      </c>
      <c r="C13" s="15">
        <f>IFERROR(IF(C9="","",'PyG 3 Años'!$C$33),"")</f>
        <v>186345.78546079306</v>
      </c>
      <c r="D13" s="15">
        <f>IFERROR(IF(D9="","",'PyG 3 Años'!$C$33),"")</f>
        <v>186345.78546079306</v>
      </c>
      <c r="E13" s="5" t="inlineStr">
        <is>
          <t>Los costes fijos no cambian con el escenario: por eso son fijos. Si en el pesimista se disparan sobre las ventas, el ajuste hay que hacerlo en la hoja de Personal, no aquí.</t>
        </is>
      </c>
    </row>
    <row r="14">
      <c r="A14" s="33" t="inlineStr">
        <is>
          <t>RESULTADO ANTES DE IMPUESTOS</t>
        </is>
      </c>
      <c r="B14" s="32">
        <f>IFERROR(IF(B9="","",B12-B13),"")</f>
        <v>-42784.18546079306</v>
      </c>
      <c r="C14" s="32">
        <f>IFERROR(IF(C9="","",C12-C13),"")</f>
        <v>32748.767957414442</v>
      </c>
      <c r="D14" s="32">
        <f>IFERROR(IF(D9="","",D12-D13),"")</f>
        <v>114799.01453920692</v>
      </c>
    </row>
    <row r="15">
      <c r="A15" t="inlineStr">
        <is>
          <t>Impuesto de Sociedades</t>
        </is>
      </c>
      <c r="B15" s="15">
        <f>IFERROR(IF(B9="","",MAX(0,B14-'0. Supuestos'!$B$45)*'0. Supuestos'!$B$43),"")</f>
        <v>0.0</v>
      </c>
      <c r="C15" s="15">
        <f>IFERROR(IF(C9="","",MAX(0,C14-'0. Supuestos'!$B$45)*'0. Supuestos'!$B$43),"")</f>
        <v>4912.315193612166</v>
      </c>
      <c r="D15" s="15">
        <f>IFERROR(IF(D9="","",MAX(0,D14-'0. Supuestos'!$B$45)*'0. Supuestos'!$B$43),"")</f>
        <v>17219.852180881036</v>
      </c>
      <c r="E15" s="5" t="inlineStr">
        <is>
          <t>Al tipo de entidad de nueva creación, compensando las bases negativas anteriores. Con resultado negativo no hay cuota.</t>
        </is>
      </c>
    </row>
    <row r="16">
      <c r="A16" s="23" t="inlineStr">
        <is>
          <t>RESULTADO NETO</t>
        </is>
      </c>
      <c r="B16" s="24">
        <f>IFERROR(IF(B9="","",B14-B15),"")</f>
        <v>-42784.18546079306</v>
      </c>
      <c r="C16" s="24">
        <f>IFERROR(IF(C9="","",C14-C15),"")</f>
        <v>27836.452763802277</v>
      </c>
      <c r="D16" s="24">
        <f>IFERROR(IF(D9="","",D14-D15),"")</f>
        <v>97579.16235832589</v>
      </c>
      <c r="E16" s="23" t="n"/>
    </row>
    <row r="17">
      <c r="A17" t="inlineStr">
        <is>
          <t>Margen neto (%)</t>
        </is>
      </c>
      <c r="B17" s="16">
        <f>IFERROR(IF(B9="","",B16/B9),"")</f>
        <v>-0.20265339835540477</v>
      </c>
      <c r="C17" s="16">
        <f>IFERROR(IF(C9="","",C16/C9),"")</f>
        <v>0.08639552003492434</v>
      </c>
      <c r="D17" s="16">
        <f>IFERROR(IF(D9="","",D16/D9),"")</f>
        <v>0.22033862249542946</v>
      </c>
      <c r="E17" s="5" t="inlineStr">
        <is>
          <t>Contrástalo con la banda de referencia del 8-12 % de «0. Supuestos». El optimista que se va muy por encima suele estar olvidándose de un coste, no descubriendo un negocio mejor.</t>
        </is>
      </c>
    </row>
    <row r="18">
      <c r="A18" t="inlineStr">
        <is>
          <t>Tickets al día para el equilibrio</t>
        </is>
      </c>
      <c r="B18" s="20">
        <f>IFERROR(IF(B9="","",IF(B7-B11/(B6*B8)&lt;=0,"",B13/(B7-B11/(B6*B8))/B8)),"")</f>
        <v>181.72275848493626</v>
      </c>
      <c r="C18" s="20">
        <f>IFERROR(IF(C9="","",IF(C7-C11/(C6*C8)&lt;=0,"",C13/(C7-C11/(C6*C8))/C8)),"")</f>
        <v>155.6464010962091</v>
      </c>
      <c r="D18" s="20">
        <f>IFERROR(IF(D9="","",IF(D7-D11/(D6*D8)&lt;=0,"",D13/(D7-D11/(D6*D8))/D8)),"")</f>
        <v>136.13408832353898</v>
      </c>
    </row>
    <row r="19">
      <c r="A19" s="4" t="inlineStr">
        <is>
          <t>LO QUE CADA ESCENARIO EXIGE</t>
        </is>
      </c>
      <c r="B19" s="11" t="inlineStr"/>
      <c r="C19" s="11" t="inlineStr"/>
      <c r="D19" s="11" t="inlineStr"/>
      <c r="E19" s="11" t="inlineStr"/>
    </row>
    <row r="20">
      <c r="A20" t="inlineStr">
        <is>
          <t>Coste de personal / ventas</t>
        </is>
      </c>
      <c r="B20" s="16">
        <f>IFERROR(IF(B9="","",'PyG 3 Años'!$C$19/B9),"")</f>
        <v>0.4394471319628647</v>
      </c>
      <c r="C20" s="16">
        <f>IFERROR(IF(C9="","",'PyG 3 Años'!$C$19/C9),"")</f>
        <v>0.287947520354731</v>
      </c>
      <c r="D20" s="16">
        <f>IFERROR(IF(D9="","",'PyG 3 Años'!$C$19/D9),"")</f>
        <v>0.20949301923858557</v>
      </c>
      <c r="E20" s="5" t="inlineStr">
        <is>
          <t>La MISMA plantilla en los tres escenarios: cinco personas y tres jornadas y media. En el pesimista es donde se ve si esa plantilla se sostiene.</t>
        </is>
      </c>
    </row>
    <row r="21">
      <c r="A21" t="inlineStr">
        <is>
          <t>Ventas al año por jornada equivalente (€)</t>
        </is>
      </c>
      <c r="B21" s="15">
        <f>IFERROR(IF(B9="","",B9/'Personal'!$C$11),"")</f>
        <v>60320.0</v>
      </c>
      <c r="C21" s="15">
        <f>IFERROR(IF(C9="","",C9/'Personal'!$C$11),"")</f>
        <v>92056.53504966701</v>
      </c>
      <c r="D21" s="15">
        <f>IFERROR(IF(D9="","",D9/'Personal'!$C$11),"")</f>
        <v>126531.42857142857</v>
      </c>
      <c r="E21" s="5" t="inlineStr">
        <is>
          <t>Cuánto tendría que facturar cada jornada completa del cuadro de Personal. En el optimista dice si hace falta contratar antes de llegar ahí.</t>
        </is>
      </c>
    </row>
    <row r="22">
      <c r="A22" t="inlineStr">
        <is>
          <t>Saldo de caja estimado al cierre del año 1 (mismo método en los tres)</t>
        </is>
      </c>
      <c r="B22" s="15">
        <f>IFERROR(IF(B9="","",'Inversión Inicial'!$B$18+B16+'PyG 3 Años'!$C$31-'Financiación'!$C$116),"")</f>
        <v>31612.78067668134</v>
      </c>
      <c r="C22" s="15">
        <f>IFERROR(IF(C9="","",'Inversión Inicial'!$B$18+C16+'PyG 3 Años'!$C$31-'Financiación'!$C$116),"")</f>
        <v>102233.41890127667</v>
      </c>
      <c r="D22" s="15">
        <f>IFERROR(IF(D9="","",'Inversión Inicial'!$B$18+D16+'PyG 3 Años'!$C$31-'Financiación'!$C$116),"")</f>
        <v>171976.12849580028</v>
      </c>
      <c r="E22" s="5" t="inlineStr">
        <is>
          <t>Fondo de maniobra más el resultado del año, devolviendo la amortización (que no se paga) y restando el principal (que sí). Es una ESTIMACIÓN: el saldo de verdad, con su desfase de cobros y su liquidación de IVA, está en la hoja de Tesorería.</t>
        </is>
      </c>
    </row>
    <row r="23">
      <c r="A23" t="inlineStr">
        <is>
          <t>Saldo real del mes 12 de la hoja de Tesorería (sólo el realista)</t>
        </is>
      </c>
      <c r="C23" s="15">
        <f>IFERROR(IF(C9="","",'Tesorería 12 meses'!M23),"")</f>
        <v>95212.51766301482</v>
      </c>
      <c r="E23" s="5" t="inlineStr">
        <is>
          <t>Sólo existe para el caso base: la tesorería mes a mes está construida sobre el año 1 del P&amp;L, no sobre los escenarios.</t>
        </is>
      </c>
    </row>
    <row r="24"/>
    <row r="25" ht="30" customHeight="1">
      <c r="A25" s="5" t="inlineStr">
        <is>
          <t>La columna «Realista» lee sus tres datos del año de crucero del P&amp;L, así que reproduce EXACTAMENTE ese año. Si quieres mover el caso base, muévelo en «0. Supuestos» y esta columna te sigue.</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E3"/>
    <mergeCell ref="A25:E25"/>
  </mergeCells>
  <conditionalFormatting sqref="B16:D16">
    <cfRule type="expression" priority="1" dxfId="0" stopIfTrue="1">
      <formula>=AND(ISNUMBER(B16),B16&lt;0)</formula>
    </cfRule>
  </conditionalFormatting>
  <pageMargins left="0.39" right="0.39" top="0.55" bottom="0.55"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32"/>
  <sheetViews>
    <sheetView workbookViewId="0">
      <pane ySplit="5" topLeftCell="A6" activePane="bottomLeft" state="frozen"/>
      <selection pane="bottomLeft" activeCell="A1" sqref="A1"/>
    </sheetView>
  </sheetViews>
  <sheetFormatPr baseColWidth="8" defaultRowHeight="15"/>
  <cols>
    <col width="34" customWidth="1" min="1" max="1"/>
    <col width="10" customWidth="1" min="2" max="2"/>
    <col width="10" customWidth="1" min="3" max="3"/>
    <col width="12" customWidth="1" min="4" max="4"/>
    <col width="15" customWidth="1" min="5" max="5"/>
    <col width="15" customWidth="1" min="6" max="6"/>
    <col width="15" customWidth="1" min="7" max="7"/>
    <col width="15" customWidth="1" min="8" max="8"/>
    <col width="15" customWidth="1" min="9" max="9"/>
    <col width="11" customWidth="1" min="10" max="10"/>
    <col width="62" customWidth="1" min="11" max="11"/>
  </cols>
  <sheetData>
    <row r="1" ht="26" customHeight="1">
      <c r="A1" s="1" t="inlineStr">
        <is>
          <t>Personal: Cinco Personas y Tres Jornadas y Media</t>
        </is>
      </c>
    </row>
    <row r="2">
      <c r="A2" s="2" t="inlineStr">
        <is>
          <t>AI Chef Pro · aichef.pro — Cómo Montar una Pastelería</t>
        </is>
      </c>
    </row>
    <row r="3" ht="28" customHeight="1">
      <c r="A3" s="5" t="inlineStr">
        <is>
          <t>Los cuatro perfiles son los del kit de tareas de pastelería, con DOS personas en Dependiente Vitrina. El bruto sale del convenio, en celda verde, y la Seguridad Social a cargo de la empresa va DENTRO: del bruto al coste empresa hay un tercio más.</t>
        </is>
      </c>
    </row>
    <row r="4"/>
    <row r="5" ht="32" customHeight="1">
      <c r="A5" s="7" t="inlineStr">
        <is>
          <t>Persona y perfil</t>
        </is>
      </c>
      <c r="B5" s="7" t="inlineStr">
        <is>
          <t>Personas</t>
        </is>
      </c>
      <c r="C5" s="7" t="inlineStr">
        <is>
          <t>Jornada</t>
        </is>
      </c>
      <c r="D5" s="7" t="inlineStr">
        <is>
          <t>Grupo de convenio</t>
        </is>
      </c>
      <c r="E5" s="7" t="inlineStr">
        <is>
          <t>Bruto mes del grupo (€)</t>
        </is>
      </c>
      <c r="F5" s="7" t="inlineStr">
        <is>
          <t>Bruto mes del puesto (€)</t>
        </is>
      </c>
      <c r="G5" s="7" t="inlineStr">
        <is>
          <t>Seguridad Social a cargo de la empresa (€)</t>
        </is>
      </c>
      <c r="H5" s="7" t="inlineStr">
        <is>
          <t>Coste mes (€)</t>
        </is>
      </c>
      <c r="I5" s="7" t="inlineStr">
        <is>
          <t>Coste año (€)</t>
        </is>
      </c>
      <c r="J5" s="7" t="inlineStr">
        <is>
          <t>Horas/semana</t>
        </is>
      </c>
      <c r="K5" s="7" t="inlineStr">
        <is>
          <t>Notas</t>
        </is>
      </c>
    </row>
    <row r="6">
      <c r="A6" t="inlineStr">
        <is>
          <t>P1 · Jefe Pastelero</t>
        </is>
      </c>
      <c r="B6" s="34" t="n">
        <v>1</v>
      </c>
      <c r="C6" s="35" t="n">
        <v>1</v>
      </c>
      <c r="D6" s="22" t="inlineStr">
        <is>
          <t>Grupo 2</t>
        </is>
      </c>
      <c r="E6" s="15">
        <f>IFERROR(INDEX($E$15:$E$20,MATCH(D6,$A$15:$A$20,0)),"")</f>
        <v>1427.89</v>
      </c>
      <c r="F6" s="15">
        <f>IFERROR(E6*C6*B6,"")</f>
        <v>1427.89</v>
      </c>
      <c r="G6" s="15">
        <f>IFERROR(F6*'0. Supuestos'!$B$25,"")</f>
        <v>471.2037000000001</v>
      </c>
      <c r="H6" s="15">
        <f>IFERROR(F6+G6,"")</f>
        <v>1899.0937000000001</v>
      </c>
      <c r="I6" s="15">
        <f>IFERROR(H6*MAX(12,'0. Supuestos'!$B$26),"")</f>
        <v>28486.4055</v>
      </c>
      <c r="J6" s="34" t="n">
        <v>40</v>
      </c>
      <c r="K6" s="5" t="inlineStr">
        <is>
          <t>Área OBRADOR · turno de Madrugada (04:30-12:30)</t>
        </is>
      </c>
    </row>
    <row r="7">
      <c r="A7" t="inlineStr">
        <is>
          <t>P2 · Pastelero</t>
        </is>
      </c>
      <c r="B7" s="34" t="n">
        <v>1</v>
      </c>
      <c r="C7" s="35" t="n">
        <v>1</v>
      </c>
      <c r="D7" s="22" t="inlineStr">
        <is>
          <t>Grupo 3</t>
        </is>
      </c>
      <c r="E7" s="15">
        <f>IFERROR(INDEX($E$15:$E$20,MATCH(D7,$A$15:$A$20,0)),"")</f>
        <v>1376.91</v>
      </c>
      <c r="F7" s="15">
        <f>IFERROR(E7*C7*B7,"")</f>
        <v>1376.91</v>
      </c>
      <c r="G7" s="15">
        <f>IFERROR(F7*'0. Supuestos'!$B$25,"")</f>
        <v>454.38030000000003</v>
      </c>
      <c r="H7" s="15">
        <f>IFERROR(F7+G7,"")</f>
        <v>1831.2903000000001</v>
      </c>
      <c r="I7" s="15">
        <f>IFERROR(H7*MAX(12,'0. Supuestos'!$B$26),"")</f>
        <v>27469.3545</v>
      </c>
      <c r="J7" s="34" t="n">
        <v>40</v>
      </c>
      <c r="K7" s="5" t="inlineStr">
        <is>
          <t>Área OBRADOR · turno de Madrugada (05:00-13:00)</t>
        </is>
      </c>
    </row>
    <row r="8">
      <c r="A8" t="inlineStr">
        <is>
          <t>P3 · Ayudante</t>
        </is>
      </c>
      <c r="B8" s="34" t="n">
        <v>1</v>
      </c>
      <c r="C8" s="35" t="n">
        <v>0.5</v>
      </c>
      <c r="D8" s="22" t="inlineStr">
        <is>
          <t>Grupo 5</t>
        </is>
      </c>
      <c r="E8" s="15">
        <f>IFERROR(INDEX($E$15:$E$20,MATCH(D8,$A$15:$A$20,0)),"")</f>
        <v>1192.42</v>
      </c>
      <c r="F8" s="15">
        <f>IFERROR(E8*C8*B8,"")</f>
        <v>596.21</v>
      </c>
      <c r="G8" s="15">
        <f>IFERROR(F8*'0. Supuestos'!$B$25,"")</f>
        <v>196.74930000000003</v>
      </c>
      <c r="H8" s="15">
        <f>IFERROR(F8+G8,"")</f>
        <v>792.9593000000001</v>
      </c>
      <c r="I8" s="15">
        <f>IFERROR(H8*MAX(12,'0. Supuestos'!$B$26),"")</f>
        <v>11894.389500000001</v>
      </c>
      <c r="J8" s="34" t="n">
        <v>20</v>
      </c>
      <c r="K8" s="5" t="inlineStr">
        <is>
          <t>Área OBRADOR · turno de Mañana (07:00-11:00)</t>
        </is>
      </c>
    </row>
    <row r="9">
      <c r="A9" t="inlineStr">
        <is>
          <t>P4 · Dependiente Vitrina A</t>
        </is>
      </c>
      <c r="B9" s="34" t="n">
        <v>1</v>
      </c>
      <c r="C9" s="35" t="n">
        <v>0.5</v>
      </c>
      <c r="D9" s="22" t="inlineStr">
        <is>
          <t>Grupo 4</t>
        </is>
      </c>
      <c r="E9" s="15">
        <f>IFERROR(INDEX($E$15:$E$20,MATCH(D9,$A$15:$A$20,0)),"")</f>
        <v>1249.42</v>
      </c>
      <c r="F9" s="15">
        <f>IFERROR(E9*C9*B9,"")</f>
        <v>624.71</v>
      </c>
      <c r="G9" s="15">
        <f>IFERROR(F9*'0. Supuestos'!$B$25,"")</f>
        <v>206.15430000000003</v>
      </c>
      <c r="H9" s="15">
        <f>IFERROR(F9+G9,"")</f>
        <v>830.8643000000001</v>
      </c>
      <c r="I9" s="15">
        <f>IFERROR(H9*MAX(12,'0. Supuestos'!$B$26),"")</f>
        <v>12462.964500000002</v>
      </c>
      <c r="J9" s="34" t="n">
        <v>20</v>
      </c>
      <c r="K9" s="5" t="inlineStr">
        <is>
          <t>Área COMERCIO · turno de Mañana (08:00-12:00)</t>
        </is>
      </c>
    </row>
    <row r="10">
      <c r="A10" t="inlineStr">
        <is>
          <t>P5 · Dependiente Vitrina B</t>
        </is>
      </c>
      <c r="B10" s="34" t="n">
        <v>1</v>
      </c>
      <c r="C10" s="35" t="n">
        <v>0.5</v>
      </c>
      <c r="D10" s="22" t="inlineStr">
        <is>
          <t>Grupo 4</t>
        </is>
      </c>
      <c r="E10" s="15">
        <f>IFERROR(INDEX($E$15:$E$20,MATCH(D10,$A$15:$A$20,0)),"")</f>
        <v>1249.42</v>
      </c>
      <c r="F10" s="15">
        <f>IFERROR(E10*C10*B10,"")</f>
        <v>624.71</v>
      </c>
      <c r="G10" s="15">
        <f>IFERROR(F10*'0. Supuestos'!$B$25,"")</f>
        <v>206.15430000000003</v>
      </c>
      <c r="H10" s="15">
        <f>IFERROR(F10+G10,"")</f>
        <v>830.8643000000001</v>
      </c>
      <c r="I10" s="15">
        <f>IFERROR(H10*MAX(12,'0. Supuestos'!$B$26),"")</f>
        <v>12462.964500000002</v>
      </c>
      <c r="J10" s="34" t="n">
        <v>20</v>
      </c>
      <c r="K10" s="5" t="inlineStr">
        <is>
          <t>Área COMERCIO · turno de Tarde (16:30-20:30)</t>
        </is>
      </c>
    </row>
    <row r="11">
      <c r="A11" s="23" t="inlineStr">
        <is>
          <t>TOTAL PLANTILLA</t>
        </is>
      </c>
      <c r="B11" s="36">
        <f>IFERROR(IF(COUNT(E6:E10)=0,"",SUM(B6:B10)),"")</f>
        <v>5.0</v>
      </c>
      <c r="C11" s="31">
        <f>IFERROR(IF(COUNT(E6:E10)=0,"",SUM(C6:C10)),"")</f>
        <v>3.5</v>
      </c>
      <c r="D11" s="23" t="n"/>
      <c r="E11" s="23" t="n"/>
      <c r="F11" s="24">
        <f>IFERROR(IF(COUNT(E6:E10)=0,"",SUM(F6:F10)),"")</f>
        <v>4650.43</v>
      </c>
      <c r="G11" s="24">
        <f>IFERROR(IF(COUNT(E6:E10)=0,"",SUM(G6:G10)),"")</f>
        <v>1534.6419</v>
      </c>
      <c r="H11" s="24">
        <f>IFERROR(IF(COUNT(E6:E10)=0,"",SUM(H6:H10)),"")</f>
        <v>6185.071900000001</v>
      </c>
      <c r="I11" s="24">
        <f>IFERROR(IF(COUNT(E6:E10)=0,"",SUM(I6:I10)),"")</f>
        <v>92776.0785</v>
      </c>
      <c r="J11" s="36">
        <f>IFERROR(IF(COUNT(E6:E10)=0,"",SUM(J6:J10)),"")</f>
        <v>140.0</v>
      </c>
      <c r="K11" s="26" t="inlineStr">
        <is>
          <t>Este «Coste año» es el que lee el P&amp;L. No hay una segunda estimación de personal en ninguna parte del libro.</t>
        </is>
      </c>
    </row>
    <row r="12"/>
    <row r="13">
      <c r="A13" s="4" t="inlineStr">
        <is>
          <t>EL CONVENIO DE REFERENCIA (sustitúyelo por el tuyo)</t>
        </is>
      </c>
    </row>
    <row r="14" ht="26" customHeight="1">
      <c r="A14" s="7" t="inlineStr">
        <is>
          <t>Grupo</t>
        </is>
      </c>
      <c r="B14" s="7" t="inlineStr">
        <is>
          <t>Denominación del grupo</t>
        </is>
      </c>
      <c r="E14" s="7" t="inlineStr">
        <is>
          <t>Bruto mes (€)</t>
        </is>
      </c>
      <c r="F14" s="7" t="inlineStr">
        <is>
          <t>Bruto año (€)</t>
        </is>
      </c>
      <c r="G14" s="7" t="inlineStr">
        <is>
          <t>Áreas funcionales</t>
        </is>
      </c>
      <c r="I14" s="7" t="inlineStr">
        <is>
          <t>Puestos que cita</t>
        </is>
      </c>
    </row>
    <row r="15" ht="26" customHeight="1">
      <c r="A15" t="inlineStr">
        <is>
          <t>Grupo 1</t>
        </is>
      </c>
      <c r="B15" s="9" t="inlineStr">
        <is>
          <t>Técnicos y titulados superiores</t>
        </is>
      </c>
      <c r="E15" s="14" t="n">
        <v>1733.88</v>
      </c>
      <c r="F15" s="15">
        <f>IFERROR(E15*MAX(12,'0. Supuestos'!$B$26),"")</f>
        <v>26008.2</v>
      </c>
      <c r="G15" s="9" t="inlineStr">
        <is>
          <t>ADMINISTRACIÓN</t>
        </is>
      </c>
      <c r="I15" s="9" t="inlineStr">
        <is>
          <t>-</t>
        </is>
      </c>
    </row>
    <row r="16" ht="26" customHeight="1">
      <c r="A16" t="inlineStr">
        <is>
          <t>Grupo 2</t>
        </is>
      </c>
      <c r="B16" s="9" t="inlineStr">
        <is>
          <t>Dirección, jefes y encargados</t>
        </is>
      </c>
      <c r="E16" s="14" t="n">
        <v>1427.89</v>
      </c>
      <c r="F16" s="15">
        <f>IFERROR(E16*MAX(12,'0. Supuestos'!$B$26),"")</f>
        <v>21418.350000000002</v>
      </c>
      <c r="G16" s="9" t="inlineStr">
        <is>
          <t>OBRADOR / COMERCIO / ADMINISTRACIÓN</t>
        </is>
      </c>
      <c r="I16" s="9" t="inlineStr">
        <is>
          <t>maestro de obrador</t>
        </is>
      </c>
    </row>
    <row r="17" ht="26" customHeight="1">
      <c r="A17" t="inlineStr">
        <is>
          <t>Grupo 3</t>
        </is>
      </c>
      <c r="B17" s="9" t="inlineStr">
        <is>
          <t>Personal especialista</t>
        </is>
      </c>
      <c r="E17" s="14" t="n">
        <v>1376.91</v>
      </c>
      <c r="F17" s="15">
        <f>IFERROR(E17*MAX(12,'0. Supuestos'!$B$26),"")</f>
        <v>20653.65</v>
      </c>
      <c r="G17" s="9" t="inlineStr">
        <is>
          <t>OBRADOR / COMERCIO</t>
        </is>
      </c>
      <c r="I17" s="9" t="inlineStr">
        <is>
          <t>oficial 1.ª de producción, encargado de sección, dependiente mayor</t>
        </is>
      </c>
    </row>
    <row r="18" ht="26" customHeight="1">
      <c r="A18" t="inlineStr">
        <is>
          <t>Grupo 4</t>
        </is>
      </c>
      <c r="B18" s="9" t="inlineStr">
        <is>
          <t>Personal cualificado</t>
        </is>
      </c>
      <c r="E18" s="14" t="n">
        <v>1249.42</v>
      </c>
      <c r="F18" s="15">
        <f>IFERROR(E18*MAX(12,'0. Supuestos'!$B$26),"")</f>
        <v>18741.300000000003</v>
      </c>
      <c r="G18" s="9" t="inlineStr">
        <is>
          <t>OBRADOR / COMERCIO</t>
        </is>
      </c>
      <c r="I18" s="9" t="inlineStr">
        <is>
          <t>oficial 2.ª de producción, oficial 1.ª de envasado, dependiente, conductor</t>
        </is>
      </c>
    </row>
    <row r="19" ht="26" customHeight="1">
      <c r="A19" t="inlineStr">
        <is>
          <t>Grupo 5</t>
        </is>
      </c>
      <c r="B19" s="9" t="inlineStr">
        <is>
          <t>Personal de apoyo</t>
        </is>
      </c>
      <c r="E19" s="14" t="n">
        <v>1192.42</v>
      </c>
      <c r="F19" s="15">
        <f>IFERROR(E19*MAX(12,'0. Supuestos'!$B$26),"")</f>
        <v>17886.300000000003</v>
      </c>
      <c r="G19" s="9" t="inlineStr">
        <is>
          <t>OBRADOR / COMERCIO</t>
        </is>
      </c>
      <c r="I19" s="9" t="inlineStr">
        <is>
          <t>ayudante de producción, oficial de acabado, ayudante de comercio</t>
        </is>
      </c>
    </row>
    <row r="20" ht="26" customHeight="1">
      <c r="A20" t="inlineStr">
        <is>
          <t>Grupo 6</t>
        </is>
      </c>
      <c r="B20" s="9" t="inlineStr">
        <is>
          <t>Personal de ayuda en servicios auxiliares</t>
        </is>
      </c>
      <c r="E20" s="14" t="n">
        <v>1192.42</v>
      </c>
      <c r="F20" s="15">
        <f>IFERROR(E20*MAX(12,'0. Supuestos'!$B$26),"")</f>
        <v>17886.300000000003</v>
      </c>
      <c r="G20" s="9" t="inlineStr">
        <is>
          <t>OBRADOR / COMERCIO</t>
        </is>
      </c>
      <c r="I20" s="9" t="inlineStr">
        <is>
          <t>peón, limpiador, almacenero</t>
        </is>
      </c>
    </row>
    <row r="21"/>
    <row r="22">
      <c r="A22" s="4" t="inlineStr">
        <is>
          <t>CONTRASTE CON EL SMI</t>
        </is>
      </c>
    </row>
    <row r="23">
      <c r="A23" t="inlineStr">
        <is>
          <t>Bruto anual del grupo más bajo (€)</t>
        </is>
      </c>
      <c r="B23" s="15">
        <f>IFERROR(IF(COUNT(F15:F20)=0,"",MIN(F15:F20)),"")</f>
        <v>17886.300000000003</v>
      </c>
    </row>
    <row r="24">
      <c r="A24" t="inlineStr">
        <is>
          <t>SMI anual de referencia (€)</t>
        </is>
      </c>
      <c r="B24" s="15">
        <f>IFERROR('0. Supuestos'!$B$27,"")</f>
        <v>17094.0</v>
      </c>
    </row>
    <row r="25">
      <c r="A25" t="inlineStr">
        <is>
          <t>¿Algún grupo queda por debajo del SMI?</t>
        </is>
      </c>
      <c r="B25" t="str">
        <f>IFERROR(IF(B23="","",IF(B23&lt;B24,"Sí: revísalo con tu asesor","No: en pastelería manda el convenio")),"")</f>
        <v>No: en pastelería manda el convenio</v>
      </c>
      <c r="K25" s="5" t="inlineStr">
        <is>
          <t>El SMI es una referencia ANUAL en cómputo global, no un mínimo por concepto. En pastelería manda el convenio: en Madrid el grupo más bajo ya lo supera. Las dos cosas caducan el 31-12-2026.</t>
        </is>
      </c>
    </row>
    <row r="26"/>
    <row r="27">
      <c r="A27" s="4" t="inlineStr">
        <is>
          <t>HORAS Y DIMENSIONADO</t>
        </is>
      </c>
    </row>
    <row r="28">
      <c r="A28" t="inlineStr">
        <is>
          <t>Horas contratadas a la semana</t>
        </is>
      </c>
      <c r="B28" s="27">
        <f>IFERROR(J11,"")</f>
        <v>140.0</v>
      </c>
    </row>
    <row r="29">
      <c r="A29" t="inlineStr">
        <is>
          <t>Jornadas completas equivalentes</t>
        </is>
      </c>
      <c r="B29" s="20">
        <f>IFERROR(C11,"")</f>
        <v>3.5</v>
      </c>
    </row>
    <row r="30">
      <c r="A30" t="inlineStr">
        <is>
          <t>Personas con más horas de las que da su jornada</t>
        </is>
      </c>
      <c r="B30" s="27">
        <f>IFERROR(SUMPRODUCT((J6:J10&gt;C6:C10*'0. Supuestos'!$B$28)*1),"")</f>
        <v>0.0</v>
      </c>
      <c r="K30" s="5" t="inlineStr">
        <is>
          <t>Tiene que valer cero. Si se pone en rojo, alguien está contratado a media jornada y trabajando más horas de las que cobra: eso no es un ahorro, es una inspección.</t>
        </is>
      </c>
    </row>
    <row r="31"/>
    <row r="32" ht="44" customHeight="1">
      <c r="A32" s="5" t="inlineStr">
        <is>
          <t>El refuerzo de las campañas NO está en este cuadro: la estacionalidad manda tres personas más en Reyes y una o dos en el resto de los picos, y eso se dimensiona y se cuesta en los libros «estacionalidad-y-picos» y «plantilla-turnos-y-coste-personal». Aquí está la plantilla ESTABLE, que es la que entra en los costes fijos del P&amp;L.</t>
        </is>
      </c>
    </row>
  </sheetData>
  <sheetProtection selectLockedCells="0" selectUnlockedCells="0" sheet="1" objects="0" insertRows="0" insertHyperlinks="1" autoFilter="1" scenarios="0" formatColumns="0" deleteColumns="1" insertColumns="1" pivotTables="1" deleteRows="1" formatCells="1" formatRows="0" sort="0"/>
  <mergeCells count="23">
    <mergeCell ref="G19:H19"/>
    <mergeCell ref="G14:H14"/>
    <mergeCell ref="G15:H15"/>
    <mergeCell ref="G17:H17"/>
    <mergeCell ref="B19:D19"/>
    <mergeCell ref="I15:K15"/>
    <mergeCell ref="I20:K20"/>
    <mergeCell ref="B15:D15"/>
    <mergeCell ref="A3:K3"/>
    <mergeCell ref="I14:K14"/>
    <mergeCell ref="B17:D17"/>
    <mergeCell ref="G20:H20"/>
    <mergeCell ref="I19:K19"/>
    <mergeCell ref="B18:D18"/>
    <mergeCell ref="B16:D16"/>
    <mergeCell ref="G18:H18"/>
    <mergeCell ref="I16:K16"/>
    <mergeCell ref="A32:K32"/>
    <mergeCell ref="G16:H16"/>
    <mergeCell ref="I18:K18"/>
    <mergeCell ref="B14:D14"/>
    <mergeCell ref="B20:D20"/>
    <mergeCell ref="I17:K17"/>
  </mergeCells>
  <conditionalFormatting sqref="B30">
    <cfRule type="expression" priority="1" dxfId="0" stopIfTrue="1">
      <formula>=AND(ISNUMBER($B$30),$B$30&gt;0)</formula>
    </cfRule>
  </conditionalFormatting>
  <dataValidations count="1">
    <dataValidation sqref="D6 D7 D8 D9 D10" showDropDown="0" showInputMessage="0" showErrorMessage="1" allowBlank="0" errorTitle="Elige un grupo del convenio" error="Escribe uno de los grupos de la tabla del convenio de abajo." type="list">
      <formula1>'Personal'!$A$15:$A$20</formula1>
    </dataValidation>
  </dataValidations>
  <pageMargins left="0.39" right="0.39" top="0.55" bottom="0.55"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O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5" customWidth="1" min="14" max="14"/>
    <col width="84" customWidth="1" min="15" max="15"/>
  </cols>
  <sheetData>
    <row r="1" ht="26" customHeight="1">
      <c r="A1" s="1" t="inlineStr">
        <is>
          <t>Tesorería de los 12 Primeros Meses</t>
        </is>
      </c>
    </row>
    <row r="2">
      <c r="A2" s="2" t="inlineStr">
        <is>
          <t>AI Chef Pro · aichef.pro — Cómo Montar una Pastelería</t>
        </is>
      </c>
    </row>
    <row r="3" ht="28" customHeight="1">
      <c r="A3" s="5" t="inlineStr">
        <is>
          <t>El P&amp;L dice si el negocio gana dinero; esta hoja dice si le queda caja para llegar a fin de mes. Es la primera que mira un banco, y la que más aperturas ha salvado.</t>
        </is>
      </c>
    </row>
    <row r="4"/>
    <row r="5" ht="32" customHeight="1">
      <c r="A5" s="7" t="inlineStr">
        <is>
          <t>Concepto</t>
        </is>
      </c>
      <c r="B5" s="7" t="inlineStr">
        <is>
          <t>Mes 1</t>
        </is>
      </c>
      <c r="C5" s="7" t="inlineStr">
        <is>
          <t>Mes 2</t>
        </is>
      </c>
      <c r="D5" s="7" t="inlineStr">
        <is>
          <t>Mes 3</t>
        </is>
      </c>
      <c r="E5" s="7" t="inlineStr">
        <is>
          <t>Mes 4</t>
        </is>
      </c>
      <c r="F5" s="7" t="inlineStr">
        <is>
          <t>Mes 5</t>
        </is>
      </c>
      <c r="G5" s="7" t="inlineStr">
        <is>
          <t>Mes 6</t>
        </is>
      </c>
      <c r="H5" s="7" t="inlineStr">
        <is>
          <t>Mes 7</t>
        </is>
      </c>
      <c r="I5" s="7" t="inlineStr">
        <is>
          <t>Mes 8</t>
        </is>
      </c>
      <c r="J5" s="7" t="inlineStr">
        <is>
          <t>Mes 9</t>
        </is>
      </c>
      <c r="K5" s="7" t="inlineStr">
        <is>
          <t>Mes 10</t>
        </is>
      </c>
      <c r="L5" s="7" t="inlineStr">
        <is>
          <t>Mes 11</t>
        </is>
      </c>
      <c r="M5" s="7" t="inlineStr">
        <is>
          <t>Mes 12</t>
        </is>
      </c>
      <c r="N5" s="7" t="inlineStr">
        <is>
          <t>Año (€)</t>
        </is>
      </c>
      <c r="O5" s="7" t="inlineStr">
        <is>
          <t>Notas</t>
        </is>
      </c>
    </row>
    <row r="6">
      <c r="A6" t="inlineStr">
        <is>
          <t>Estacionalidad del mes (tiene que sumar 100 %)</t>
        </is>
      </c>
      <c r="B6" s="18" t="n">
        <v>0.111667</v>
      </c>
      <c r="C6" s="18" t="n">
        <v>0.0775</v>
      </c>
      <c r="D6" s="18" t="n">
        <v>0.080833</v>
      </c>
      <c r="E6" s="18" t="n">
        <v>0.08666699999999999</v>
      </c>
      <c r="F6" s="18" t="n">
        <v>0.089167</v>
      </c>
      <c r="G6" s="18" t="n">
        <v>0.080833</v>
      </c>
      <c r="H6" s="18" t="n">
        <v>0.07083299999999999</v>
      </c>
      <c r="I6" s="18" t="n">
        <v>0.054167</v>
      </c>
      <c r="J6" s="18" t="n">
        <v>0.075833</v>
      </c>
      <c r="K6" s="18" t="n">
        <v>0.079167</v>
      </c>
      <c r="L6" s="18" t="n">
        <v>0.09</v>
      </c>
      <c r="M6" s="18" t="n">
        <v>0.103333</v>
      </c>
      <c r="N6" s="16">
        <f>IFERROR(SUM(B6:M6),"")</f>
        <v>1.0</v>
      </c>
      <c r="O6" s="5" t="inlineStr">
        <is>
          <t>Enero manda por el roscón y diciembre por la Navidad; agosto es el suelo. Es el perfil de una ciudad media: en costa, agosto sube. Tiene que sumar 100 %, y la celda del año te lo dice.</t>
        </is>
      </c>
    </row>
    <row r="7">
      <c r="A7" t="inlineStr">
        <is>
          <t>Rampa de arranque (% de la actividad de crucero)</t>
        </is>
      </c>
      <c r="B7" s="16">
        <f>IFERROR(MIN(1,'0. Supuestos'!$B$49+(1-'0. Supuestos'!$B$49)*0/MAX(1,'0. Supuestos'!$B$50-1)),"")</f>
        <v>0.55</v>
      </c>
      <c r="C7" s="16">
        <f>IFERROR(MIN(1,'0. Supuestos'!$B$49+(1-'0. Supuestos'!$B$49)*1/MAX(1,'0. Supuestos'!$B$50-1)),"")</f>
        <v>0.64</v>
      </c>
      <c r="D7" s="16">
        <f>IFERROR(MIN(1,'0. Supuestos'!$B$49+(1-'0. Supuestos'!$B$49)*2/MAX(1,'0. Supuestos'!$B$50-1)),"")</f>
        <v>0.73</v>
      </c>
      <c r="E7" s="16">
        <f>IFERROR(MIN(1,'0. Supuestos'!$B$49+(1-'0. Supuestos'!$B$49)*3/MAX(1,'0. Supuestos'!$B$50-1)),"")</f>
        <v>0.8200000000000001</v>
      </c>
      <c r="F7" s="16">
        <f>IFERROR(MIN(1,'0. Supuestos'!$B$49+(1-'0. Supuestos'!$B$49)*4/MAX(1,'0. Supuestos'!$B$50-1)),"")</f>
        <v>0.91</v>
      </c>
      <c r="G7" s="16">
        <f>IFERROR(MIN(1,'0. Supuestos'!$B$49+(1-'0. Supuestos'!$B$49)*5/MAX(1,'0. Supuestos'!$B$50-1)),"")</f>
        <v>1.0</v>
      </c>
      <c r="H7" s="16">
        <f>IFERROR(MIN(1,'0. Supuestos'!$B$49+(1-'0. Supuestos'!$B$49)*6/MAX(1,'0. Supuestos'!$B$50-1)),"")</f>
        <v>1.0</v>
      </c>
      <c r="I7" s="16">
        <f>IFERROR(MIN(1,'0. Supuestos'!$B$49+(1-'0. Supuestos'!$B$49)*7/MAX(1,'0. Supuestos'!$B$50-1)),"")</f>
        <v>1.0</v>
      </c>
      <c r="J7" s="16">
        <f>IFERROR(MIN(1,'0. Supuestos'!$B$49+(1-'0. Supuestos'!$B$49)*8/MAX(1,'0. Supuestos'!$B$50-1)),"")</f>
        <v>1.0</v>
      </c>
      <c r="K7" s="16">
        <f>IFERROR(MIN(1,'0. Supuestos'!$B$49+(1-'0. Supuestos'!$B$49)*9/MAX(1,'0. Supuestos'!$B$50-1)),"")</f>
        <v>1.0</v>
      </c>
      <c r="L7" s="16">
        <f>IFERROR(MIN(1,'0. Supuestos'!$B$49+(1-'0. Supuestos'!$B$49)*10/MAX(1,'0. Supuestos'!$B$50-1)),"")</f>
        <v>1.0</v>
      </c>
      <c r="M7" s="16">
        <f>IFERROR(MIN(1,'0. Supuestos'!$B$49+(1-'0. Supuestos'!$B$49)*11/MAX(1,'0. Supuestos'!$B$50-1)),"")</f>
        <v>1.0</v>
      </c>
      <c r="O7" s="5" t="inlineStr">
        <is>
          <t>Sube en línea recta desde el porcentaje del mes 1 hasta el 100 % en los meses que digas en «0. Supuestos». Con el 100 % en el mes 1 la rampa desaparece, y entonces estás proyectando una apertura que no existe.</t>
        </is>
      </c>
    </row>
    <row r="8">
      <c r="A8" t="inlineStr">
        <is>
          <t>Reparto de la actividad por mes (calculado)</t>
        </is>
      </c>
      <c r="B8" s="19">
        <f>IFERROR(B6*B7/SUMPRODUCT($B$6:$M$6,$B$7:$M$7),"")</f>
        <v>0.07007857201253516</v>
      </c>
      <c r="C8" s="19">
        <f>IFERROR(C6*C7/SUMPRODUCT($B$6:$M$6,$B$7:$M$7),"")</f>
        <v>0.05659517171300292</v>
      </c>
      <c r="D8" s="19">
        <f>IFERROR(D6*D7/SUMPRODUCT($B$6:$M$6,$B$7:$M$7),"")</f>
        <v>0.06733010052432117</v>
      </c>
      <c r="E8" s="19">
        <f>IFERROR(E6*E7/SUMPRODUCT($B$6:$M$6,$B$7:$M$7),"")</f>
        <v>0.08108963049229184</v>
      </c>
      <c r="F8" s="19">
        <f>IFERROR(F6*F7/SUMPRODUCT($B$6:$M$6,$B$7:$M$7),"")</f>
        <v>0.09258555897744619</v>
      </c>
      <c r="G8" s="19">
        <f>IFERROR(G6*G7/SUMPRODUCT($B$6:$M$6,$B$7:$M$7),"")</f>
        <v>0.09223301441687833</v>
      </c>
      <c r="H8" s="19">
        <f>IFERROR(H6*H7/SUMPRODUCT($B$6:$M$6,$B$7:$M$7),"")</f>
        <v>0.08082269753925676</v>
      </c>
      <c r="I8" s="19">
        <f>IFERROR(I6*I7/SUMPRODUCT($B$6:$M$6,$B$7:$M$7),"")</f>
        <v>0.061806263431012684</v>
      </c>
      <c r="J8" s="19">
        <f>IFERROR(J6*J7/SUMPRODUCT($B$6:$M$6,$B$7:$M$7),"")</f>
        <v>0.08652785597806754</v>
      </c>
      <c r="K8" s="19">
        <f>IFERROR(K6*K7/SUMPRODUCT($B$6:$M$6,$B$7:$M$7),"")</f>
        <v>0.09033205562506658</v>
      </c>
      <c r="L8" s="19">
        <f>IFERROR(L6*L7/SUMPRODUCT($B$6:$M$6,$B$7:$M$7),"")</f>
        <v>0.102692851898594</v>
      </c>
      <c r="M8" s="19">
        <f>IFERROR(M6*M7/SUMPRODUCT($B$6:$M$6,$B$7:$M$7),"")</f>
        <v>0.11790622739152683</v>
      </c>
      <c r="N8" s="16">
        <f>IFERROR(SUM(B8:M8),"")</f>
        <v>0.9999999999999999</v>
      </c>
      <c r="O8" s="5" t="inlineStr">
        <is>
          <t>Estacionalidad x rampa, normalizado al 100 %: el AÑO factura lo que dice el P&amp;L, pero repartido como lo reparte la realidad.</t>
        </is>
      </c>
    </row>
    <row r="9">
      <c r="A9" s="4" t="inlineStr">
        <is>
          <t>COBROS</t>
        </is>
      </c>
      <c r="B9" s="11" t="inlineStr"/>
      <c r="C9" s="11" t="inlineStr"/>
      <c r="D9" s="11" t="inlineStr"/>
      <c r="E9" s="11" t="inlineStr"/>
      <c r="F9" s="11" t="inlineStr"/>
      <c r="G9" s="11" t="inlineStr"/>
      <c r="H9" s="11" t="inlineStr"/>
      <c r="I9" s="11" t="inlineStr"/>
      <c r="J9" s="11" t="inlineStr"/>
      <c r="K9" s="11" t="inlineStr"/>
      <c r="L9" s="11" t="inlineStr"/>
      <c r="M9" s="11" t="inlineStr"/>
      <c r="N9" s="11" t="inlineStr"/>
      <c r="O9" s="11" t="inlineStr"/>
    </row>
    <row r="10">
      <c r="A10" t="inlineStr">
        <is>
          <t>Ventas cobradas (con el IVA repercutido dentro)</t>
        </is>
      </c>
      <c r="B10" s="15">
        <f>IFERROR(IF('PyG 3 Años'!$B$11="","",'PyG 3 Años'!$B$11*(1+'0. Supuestos'!$B$20)*(B8*(1-'0. Supuestos'!$B$52/30))),"")</f>
        <v>19913.62266480981</v>
      </c>
      <c r="C10" s="15">
        <f>IFERROR(IF('PyG 3 Años'!$B$11="","",'PyG 3 Años'!$B$11*(1+'0. Supuestos'!$B$20)*(C8*(1-'0. Supuestos'!$B$52/30)+B8*('0. Supuestos'!$B$52/30))),"")</f>
        <v>17696.779287743502</v>
      </c>
      <c r="D10" s="15">
        <f>IFERROR(IF('PyG 3 Años'!$B$11="","",'PyG 3 Años'!$B$11*(1+'0. Supuestos'!$B$20)*(D8*(1-'0. Supuestos'!$B$52/30)+C8*('0. Supuestos'!$B$52/30))),"")</f>
        <v>20436.57227462415</v>
      </c>
      <c r="E10" s="15">
        <f>IFERROR(IF('PyG 3 Años'!$B$11="","",'PyG 3 Años'!$B$11*(1+'0. Supuestos'!$B$20)*(E8*(1-'0. Supuestos'!$B$52/30)+D8*('0. Supuestos'!$B$52/30))),"")</f>
        <v>24593.83303674873</v>
      </c>
      <c r="F10" s="15">
        <f>IFERROR(IF('PyG 3 Años'!$B$11="","",'PyG 3 Años'!$B$11*(1+'0. Supuestos'!$B$20)*(F8*(1-'0. Supuestos'!$B$52/30)+E8*('0. Supuestos'!$B$52/30))),"")</f>
        <v>28177.552857546325</v>
      </c>
      <c r="G10" s="15">
        <f>IFERROR(IF('PyG 3 Años'!$B$11="","",'PyG 3 Años'!$B$11*(1+'0. Supuestos'!$B$20)*(G8*(1-'0. Supuestos'!$B$52/30)+F8*('0. Supuestos'!$B$52/30))),"")</f>
        <v>28342.240778481268</v>
      </c>
      <c r="H10" s="15">
        <f>IFERROR(IF('PyG 3 Años'!$B$11="","",'PyG 3 Años'!$B$11*(1+'0. Supuestos'!$B$20)*(H8*(1-'0. Supuestos'!$B$52/30)+G8*('0. Supuestos'!$B$52/30))),"")</f>
        <v>25091.746896294004</v>
      </c>
      <c r="I10" s="15">
        <f>IFERROR(IF('PyG 3 Años'!$B$11="","",'PyG 3 Años'!$B$11*(1+'0. Supuestos'!$B$20)*(I8*(1-'0. Supuestos'!$B$52/30)+H8*('0. Supuestos'!$B$52/30))),"")</f>
        <v>19425.116063375106</v>
      </c>
      <c r="J10" s="15">
        <f>IFERROR(IF('PyG 3 Años'!$B$11="","",'PyG 3 Años'!$B$11*(1+'0. Supuestos'!$B$20)*(J8*(1-'0. Supuestos'!$B$52/30)+I8*('0. Supuestos'!$B$52/30))),"")</f>
        <v>26011.89679487491</v>
      </c>
      <c r="K10" s="15">
        <f>IFERROR(IF('PyG 3 Años'!$B$11="","",'PyG 3 Años'!$B$11*(1+'0. Supuestos'!$B$20)*(K8*(1-'0. Supuestos'!$B$52/30)+J8*('0. Supuestos'!$B$52/30))),"")</f>
        <v>27662.491586375105</v>
      </c>
      <c r="L10" s="15">
        <f>IFERROR(IF('PyG 3 Años'!$B$11="","",'PyG 3 Años'!$B$11*(1+'0. Supuestos'!$B$20)*(L8*(1-'0. Supuestos'!$B$52/30)+K8*('0. Supuestos'!$B$52/30))),"")</f>
        <v>31262.60150604046</v>
      </c>
      <c r="M10" s="15">
        <f>IFERROR(IF('PyG 3 Años'!$B$11="","",'PyG 3 Años'!$B$11*(1+'0. Supuestos'!$B$20)*(M8*(1-'0. Supuestos'!$B$52/30)+L8*('0. Supuestos'!$B$52/30))),"")</f>
        <v>35870.44916295946</v>
      </c>
      <c r="N10" s="15">
        <f>IFERROR(IF('PyG 3 Años'!$B$11="","",SUM(B10:M10)),"")</f>
        <v>304484.9029098729</v>
      </c>
      <c r="O10" s="5" t="inlineStr">
        <is>
          <t>Ventas del mes con el IVA repercutido, corregidas por los días medios de cobro que calcula la hoja de canales. El mostrador cobra al contado; el B2B, a 45 días.</t>
        </is>
      </c>
    </row>
    <row r="11">
      <c r="A11" s="4" t="inlineStr">
        <is>
          <t>PAGOS</t>
        </is>
      </c>
      <c r="B11" s="11" t="inlineStr"/>
      <c r="C11" s="11" t="inlineStr"/>
      <c r="D11" s="11" t="inlineStr"/>
      <c r="E11" s="11" t="inlineStr"/>
      <c r="F11" s="11" t="inlineStr"/>
      <c r="G11" s="11" t="inlineStr"/>
      <c r="H11" s="11" t="inlineStr"/>
      <c r="I11" s="11" t="inlineStr"/>
      <c r="J11" s="11" t="inlineStr"/>
      <c r="K11" s="11" t="inlineStr"/>
      <c r="L11" s="11" t="inlineStr"/>
      <c r="M11" s="11" t="inlineStr"/>
      <c r="N11" s="11" t="inlineStr"/>
      <c r="O11" s="11" t="inlineStr"/>
    </row>
    <row r="12">
      <c r="A12" t="inlineStr">
        <is>
          <t>Compras y coste de ventas (IVA incluido)</t>
        </is>
      </c>
      <c r="B12" s="15">
        <f>IFERROR(IF('PyG 3 Años'!$B$11="","",-'PyG 3 Años'!$B$15*(1+'PyG 3 Años'!$F$15)*(B8*(1-'0. Supuestos'!$B$53/30))+0),"")</f>
        <v>0.0</v>
      </c>
      <c r="C12" s="15">
        <f>IFERROR(IF('PyG 3 Años'!$B$11="","",-'PyG 3 Años'!$B$15*(1+'PyG 3 Años'!$F$15)*(C8*(1-'0. Supuestos'!$B$53/30)+B8*('0. Supuestos'!$B$53/30))+0),"")</f>
        <v>-6965.509202547458</v>
      </c>
      <c r="D12" s="15">
        <f>IFERROR(IF('PyG 3 Años'!$B$11="","",-'PyG 3 Años'!$B$15*(1+'PyG 3 Años'!$F$15)*(D8*(1-'0. Supuestos'!$B$53/30)+C8*('0. Supuestos'!$B$53/30))+0),"")</f>
        <v>-5625.317098587014</v>
      </c>
      <c r="E12" s="15">
        <f>IFERROR(IF('PyG 3 Años'!$B$11="","",-'PyG 3 Años'!$B$15*(1+'PyG 3 Años'!$F$15)*(E8*(1-'0. Supuestos'!$B$53/30)+D8*('0. Supuestos'!$B$53/30))+0),"")</f>
        <v>-6692.322936128253</v>
      </c>
      <c r="F12" s="15">
        <f>IFERROR(IF('PyG 3 Años'!$B$11="","",-'PyG 3 Años'!$B$15*(1+'PyG 3 Años'!$F$15)*(F8*(1-'0. Supuestos'!$B$53/30)+E8*('0. Supuestos'!$B$53/30))+0),"")</f>
        <v>-8059.961143674544</v>
      </c>
      <c r="G12" s="15">
        <f>IFERROR(IF('PyG 3 Años'!$B$11="","",-'PyG 3 Años'!$B$15*(1+'PyG 3 Años'!$F$15)*(G8*(1-'0. Supuestos'!$B$53/30)+F8*('0. Supuestos'!$B$53/30))+0),"")</f>
        <v>-9202.607081734566</v>
      </c>
      <c r="H12" s="15">
        <f>IFERROR(IF('PyG 3 Años'!$B$11="","",-'PyG 3 Años'!$B$15*(1+'PyG 3 Años'!$F$15)*(H8*(1-'0. Supuestos'!$B$53/30)+G8*('0. Supuestos'!$B$53/30))+0),"")</f>
        <v>-9167.565665929114</v>
      </c>
      <c r="I12" s="15">
        <f>IFERROR(IF('PyG 3 Años'!$B$11="","",-'PyG 3 Años'!$B$15*(1+'PyG 3 Años'!$F$15)*(I8*(1-'0. Supuestos'!$B$53/30)+H8*('0. Supuestos'!$B$53/30))+0),"")</f>
        <v>-8033.429154117216</v>
      </c>
      <c r="J12" s="15">
        <f>IFERROR(IF('PyG 3 Años'!$B$11="","",-'PyG 3 Años'!$B$15*(1+'PyG 3 Años'!$F$15)*(J8*(1-'0. Supuestos'!$B$53/30)+I8*('0. Supuestos'!$B$53/30))+0),"")</f>
        <v>-6143.277243531507</v>
      </c>
      <c r="K12" s="15">
        <f>IFERROR(IF('PyG 3 Años'!$B$11="","",-'PyG 3 Años'!$B$15*(1+'PyG 3 Años'!$F$15)*(K8*(1-'0. Supuestos'!$B$53/30)+J8*('0. Supuestos'!$B$53/30))+0),"")</f>
        <v>-8600.497410023165</v>
      </c>
      <c r="L12" s="15">
        <f>IFERROR(IF('PyG 3 Años'!$B$11="","",-'PyG 3 Años'!$B$15*(1+'PyG 3 Años'!$F$15)*(L8*(1-'0. Supuestos'!$B$53/30)+K8*('0. Supuestos'!$B$53/30))+0),"")</f>
        <v>-8978.618523061252</v>
      </c>
      <c r="M12" s="15">
        <f>IFERROR(IF('PyG 3 Años'!$B$11="","",-'PyG 3 Años'!$B$15*(1+'PyG 3 Años'!$F$15)*(M8*(1-'0. Supuestos'!$B$53/30)+L8*('0. Supuestos'!$B$53/30))+0),"")</f>
        <v>-10207.22860630708</v>
      </c>
      <c r="N12" s="15">
        <f>IFERROR(IF('PyG 3 Años'!$B$11="","",SUM(B12:M12)),"")</f>
        <v>-87676.33406564116</v>
      </c>
      <c r="O12" s="5" t="inlineStr">
        <is>
          <t>Con los días medios de pago a proveedor de «0. Supuestos». A 30 días el mes 1 no paga nada: el proveedor te está financiando el arranque, y por eso perder ese crédito por un retraso sale tan caro.</t>
        </is>
      </c>
    </row>
    <row r="13">
      <c r="A13" t="inlineStr">
        <is>
          <t>Costes fijos de explotación (IVA incluido)</t>
        </is>
      </c>
      <c r="B13" s="15">
        <f>IFERROR(IF('PyG 3 Años'!$B$11="","",-(('PyG 3 Años'!$B$33-'PyG 3 Años'!$B$19-'PyG 3 Años'!$B$31-'PyG 3 Años'!$B$32)+'PyG 3 Años'!$B$35)/12),"")</f>
        <v>-6954.649999999999</v>
      </c>
      <c r="C13" s="15">
        <f>IFERROR(IF('PyG 3 Años'!$B$11="","",-(('PyG 3 Años'!$B$33-'PyG 3 Años'!$B$19-'PyG 3 Años'!$B$31-'PyG 3 Años'!$B$32)+'PyG 3 Años'!$B$35)/12),"")</f>
        <v>-6954.649999999999</v>
      </c>
      <c r="D13" s="15">
        <f>IFERROR(IF('PyG 3 Años'!$B$11="","",-(('PyG 3 Años'!$B$33-'PyG 3 Años'!$B$19-'PyG 3 Años'!$B$31-'PyG 3 Años'!$B$32)+'PyG 3 Años'!$B$35)/12),"")</f>
        <v>-6954.649999999999</v>
      </c>
      <c r="E13" s="15">
        <f>IFERROR(IF('PyG 3 Años'!$B$11="","",-(('PyG 3 Años'!$B$33-'PyG 3 Años'!$B$19-'PyG 3 Años'!$B$31-'PyG 3 Años'!$B$32)+'PyG 3 Años'!$B$35)/12),"")</f>
        <v>-6954.649999999999</v>
      </c>
      <c r="F13" s="15">
        <f>IFERROR(IF('PyG 3 Años'!$B$11="","",-(('PyG 3 Años'!$B$33-'PyG 3 Años'!$B$19-'PyG 3 Años'!$B$31-'PyG 3 Años'!$B$32)+'PyG 3 Años'!$B$35)/12),"")</f>
        <v>-6954.649999999999</v>
      </c>
      <c r="G13" s="15">
        <f>IFERROR(IF('PyG 3 Años'!$B$11="","",-(('PyG 3 Años'!$B$33-'PyG 3 Años'!$B$19-'PyG 3 Años'!$B$31-'PyG 3 Años'!$B$32)+'PyG 3 Años'!$B$35)/12),"")</f>
        <v>-6954.649999999999</v>
      </c>
      <c r="H13" s="15">
        <f>IFERROR(IF('PyG 3 Años'!$B$11="","",-(('PyG 3 Años'!$B$33-'PyG 3 Años'!$B$19-'PyG 3 Años'!$B$31-'PyG 3 Años'!$B$32)+'PyG 3 Años'!$B$35)/12),"")</f>
        <v>-6954.649999999999</v>
      </c>
      <c r="I13" s="15">
        <f>IFERROR(IF('PyG 3 Años'!$B$11="","",-(('PyG 3 Años'!$B$33-'PyG 3 Años'!$B$19-'PyG 3 Años'!$B$31-'PyG 3 Años'!$B$32)+'PyG 3 Años'!$B$35)/12),"")</f>
        <v>-6954.649999999999</v>
      </c>
      <c r="J13" s="15">
        <f>IFERROR(IF('PyG 3 Años'!$B$11="","",-(('PyG 3 Años'!$B$33-'PyG 3 Años'!$B$19-'PyG 3 Años'!$B$31-'PyG 3 Años'!$B$32)+'PyG 3 Años'!$B$35)/12),"")</f>
        <v>-6954.649999999999</v>
      </c>
      <c r="K13" s="15">
        <f>IFERROR(IF('PyG 3 Años'!$B$11="","",-(('PyG 3 Años'!$B$33-'PyG 3 Años'!$B$19-'PyG 3 Años'!$B$31-'PyG 3 Años'!$B$32)+'PyG 3 Años'!$B$35)/12),"")</f>
        <v>-6954.649999999999</v>
      </c>
      <c r="L13" s="15">
        <f>IFERROR(IF('PyG 3 Años'!$B$11="","",-(('PyG 3 Años'!$B$33-'PyG 3 Años'!$B$19-'PyG 3 Años'!$B$31-'PyG 3 Años'!$B$32)+'PyG 3 Años'!$B$35)/12),"")</f>
        <v>-6954.649999999999</v>
      </c>
      <c r="M13" s="15">
        <f>IFERROR(IF('PyG 3 Años'!$B$11="","",-(('PyG 3 Años'!$B$33-'PyG 3 Años'!$B$19-'PyG 3 Años'!$B$31-'PyG 3 Años'!$B$32)+'PyG 3 Años'!$B$35)/12),"")</f>
        <v>-6954.649999999999</v>
      </c>
      <c r="N13" s="15">
        <f>IFERROR(IF('PyG 3 Años'!$B$11="","",SUM(B13:M13)),"")</f>
        <v>-83455.79999999999</v>
      </c>
      <c r="O13" s="5" t="inlineStr">
        <is>
          <t>Los fijos que salen de caja, cada uno con su tipo de IVA: sin las nóminas (van abajo), sin la amortización (no se paga) y sin los intereses (van aparte).</t>
        </is>
      </c>
    </row>
    <row r="14">
      <c r="A14" t="inlineStr">
        <is>
          <t>Nóminas y Seguridad Social</t>
        </is>
      </c>
      <c r="B14" s="15">
        <f>IFERROR(IF('PyG 3 Años'!$B$11="","",-'PyG 3 Años'!$B$19/MAX(12,'0. Supuestos'!$B$26)*(1+IF(1='0. Supuestos'!$B$54,1,0)+IF(1='0. Supuestos'!$B$55,1,0)+IF(1='0. Supuestos'!$B$56,1,0))),"")</f>
        <v>-6185.0719</v>
      </c>
      <c r="C14" s="15">
        <f>IFERROR(IF('PyG 3 Años'!$B$11="","",-'PyG 3 Años'!$B$19/MAX(12,'0. Supuestos'!$B$26)*(1+IF(2='0. Supuestos'!$B$54,1,0)+IF(2='0. Supuestos'!$B$55,1,0)+IF(2='0. Supuestos'!$B$56,1,0))),"")</f>
        <v>-6185.0719</v>
      </c>
      <c r="D14" s="15">
        <f>IFERROR(IF('PyG 3 Años'!$B$11="","",-'PyG 3 Años'!$B$19/MAX(12,'0. Supuestos'!$B$26)*(1+IF(3='0. Supuestos'!$B$54,1,0)+IF(3='0. Supuestos'!$B$55,1,0)+IF(3='0. Supuestos'!$B$56,1,0))),"")</f>
        <v>-12370.1438</v>
      </c>
      <c r="E14" s="15">
        <f>IFERROR(IF('PyG 3 Años'!$B$11="","",-'PyG 3 Años'!$B$19/MAX(12,'0. Supuestos'!$B$26)*(1+IF(4='0. Supuestos'!$B$54,1,0)+IF(4='0. Supuestos'!$B$55,1,0)+IF(4='0. Supuestos'!$B$56,1,0))),"")</f>
        <v>-6185.0719</v>
      </c>
      <c r="F14" s="15">
        <f>IFERROR(IF('PyG 3 Años'!$B$11="","",-'PyG 3 Años'!$B$19/MAX(12,'0. Supuestos'!$B$26)*(1+IF(5='0. Supuestos'!$B$54,1,0)+IF(5='0. Supuestos'!$B$55,1,0)+IF(5='0. Supuestos'!$B$56,1,0))),"")</f>
        <v>-6185.0719</v>
      </c>
      <c r="G14" s="15">
        <f>IFERROR(IF('PyG 3 Años'!$B$11="","",-'PyG 3 Años'!$B$19/MAX(12,'0. Supuestos'!$B$26)*(1+IF(6='0. Supuestos'!$B$54,1,0)+IF(6='0. Supuestos'!$B$55,1,0)+IF(6='0. Supuestos'!$B$56,1,0))),"")</f>
        <v>-6185.0719</v>
      </c>
      <c r="H14" s="15">
        <f>IFERROR(IF('PyG 3 Años'!$B$11="","",-'PyG 3 Años'!$B$19/MAX(12,'0. Supuestos'!$B$26)*(1+IF(7='0. Supuestos'!$B$54,1,0)+IF(7='0. Supuestos'!$B$55,1,0)+IF(7='0. Supuestos'!$B$56,1,0))),"")</f>
        <v>-12370.1438</v>
      </c>
      <c r="I14" s="15">
        <f>IFERROR(IF('PyG 3 Años'!$B$11="","",-'PyG 3 Años'!$B$19/MAX(12,'0. Supuestos'!$B$26)*(1+IF(8='0. Supuestos'!$B$54,1,0)+IF(8='0. Supuestos'!$B$55,1,0)+IF(8='0. Supuestos'!$B$56,1,0))),"")</f>
        <v>-6185.0719</v>
      </c>
      <c r="J14" s="15">
        <f>IFERROR(IF('PyG 3 Años'!$B$11="","",-'PyG 3 Años'!$B$19/MAX(12,'0. Supuestos'!$B$26)*(1+IF(9='0. Supuestos'!$B$54,1,0)+IF(9='0. Supuestos'!$B$55,1,0)+IF(9='0. Supuestos'!$B$56,1,0))),"")</f>
        <v>-6185.0719</v>
      </c>
      <c r="K14" s="15">
        <f>IFERROR(IF('PyG 3 Años'!$B$11="","",-'PyG 3 Años'!$B$19/MAX(12,'0. Supuestos'!$B$26)*(1+IF(10='0. Supuestos'!$B$54,1,0)+IF(10='0. Supuestos'!$B$55,1,0)+IF(10='0. Supuestos'!$B$56,1,0))),"")</f>
        <v>-6185.0719</v>
      </c>
      <c r="L14" s="15">
        <f>IFERROR(IF('PyG 3 Años'!$B$11="","",-'PyG 3 Años'!$B$19/MAX(12,'0. Supuestos'!$B$26)*(1+IF(11='0. Supuestos'!$B$54,1,0)+IF(11='0. Supuestos'!$B$55,1,0)+IF(11='0. Supuestos'!$B$56,1,0))),"")</f>
        <v>-6185.0719</v>
      </c>
      <c r="M14" s="15">
        <f>IFERROR(IF('PyG 3 Años'!$B$11="","",-'PyG 3 Años'!$B$19/MAX(12,'0. Supuestos'!$B$26)*(1+IF(12='0. Supuestos'!$B$54,1,0)+IF(12='0. Supuestos'!$B$55,1,0)+IF(12='0. Supuestos'!$B$56,1,0))),"")</f>
        <v>-12370.1438</v>
      </c>
      <c r="N14" s="15">
        <f>IFERROR(IF('PyG 3 Años'!$B$11="","",SUM(B14:M14)),"")</f>
        <v>-92776.0785</v>
      </c>
      <c r="O14" s="5" t="inlineStr">
        <is>
          <t>Doce mensualidades más las pagas extra en los meses que digas. Con 15 pagas hay tres meses que salen dobles, y siempre pillan a contrapié: uno de ellos suele caer en el mes flojo.</t>
        </is>
      </c>
    </row>
    <row r="15">
      <c r="A15" t="inlineStr">
        <is>
          <t>Intereses del préstamo</t>
        </is>
      </c>
      <c r="B15" s="15">
        <f>IFERROR(IF('PyG 3 Años'!$B$11="","",-IF('Financiación'!C26="",0,'Financiación'!C26)),"")</f>
        <v>-310.0</v>
      </c>
      <c r="C15" s="15">
        <f>IFERROR(IF('PyG 3 Años'!$B$11="","",-IF('Financiación'!C27="",0,'Financiación'!C27)),"")</f>
        <v>-310.0</v>
      </c>
      <c r="D15" s="15">
        <f>IFERROR(IF('PyG 3 Años'!$B$11="","",-IF('Financiación'!C28="",0,'Financiación'!C28)),"")</f>
        <v>-310.0</v>
      </c>
      <c r="E15" s="15">
        <f>IFERROR(IF('PyG 3 Años'!$B$11="","",-IF('Financiación'!C29="",0,'Financiación'!C29)),"")</f>
        <v>-310.0</v>
      </c>
      <c r="F15" s="15">
        <f>IFERROR(IF('PyG 3 Años'!$B$11="","",-IF('Financiación'!C30="",0,'Financiación'!C30)),"")</f>
        <v>-310.0</v>
      </c>
      <c r="G15" s="15">
        <f>IFERROR(IF('PyG 3 Años'!$B$11="","",-IF('Financiación'!C31="",0,'Financiación'!C31)),"")</f>
        <v>-310.0</v>
      </c>
      <c r="H15" s="15">
        <f>IFERROR(IF('PyG 3 Años'!$B$11="","",-IF('Financiación'!C32="",0,'Financiación'!C32)),"")</f>
        <v>-310.0</v>
      </c>
      <c r="I15" s="15">
        <f>IFERROR(IF('PyG 3 Años'!$B$11="","",-IF('Financiación'!C33="",0,'Financiación'!C33)),"")</f>
        <v>-306.7627091792801</v>
      </c>
      <c r="J15" s="15">
        <f>IFERROR(IF('PyG 3 Años'!$B$11="","",-IF('Financiación'!C34="",0,'Financiación'!C34)),"")</f>
        <v>-303.5086923559864</v>
      </c>
      <c r="K15" s="15">
        <f>IFERROR(IF('PyG 3 Años'!$B$11="","",-IF('Financiación'!C35="",0,'Financiación'!C35)),"")</f>
        <v>-300.2378631124391</v>
      </c>
      <c r="L15" s="15">
        <f>IFERROR(IF('PyG 3 Años'!$B$11="","",-IF('Financiación'!C36="",0,'Financiación'!C36)),"")</f>
        <v>-296.9501345844667</v>
      </c>
      <c r="M15" s="15">
        <f>IFERROR(IF('PyG 3 Años'!$B$11="","",-IF('Financiación'!C37="",0,'Financiación'!C37)),"")</f>
        <v>-293.6454194590998</v>
      </c>
      <c r="N15" s="15">
        <f>IFERROR(IF('PyG 3 Años'!$B$11="","",SUM(B15:M15)),"")</f>
        <v>-3671.104818691272</v>
      </c>
    </row>
    <row r="16">
      <c r="A16" t="inlineStr">
        <is>
          <t>Devolución de principal del préstamo</t>
        </is>
      </c>
      <c r="B16" s="15">
        <f>IFERROR(IF('PyG 3 Años'!$B$11="","",-IF('Financiación'!D26="",0,'Financiación'!D26)),"")</f>
        <v>0.0</v>
      </c>
      <c r="C16" s="15">
        <f>IFERROR(IF('PyG 3 Años'!$B$11="","",-IF('Financiación'!D27="",0,'Financiación'!D27)),"")</f>
        <v>0.0</v>
      </c>
      <c r="D16" s="15">
        <f>IFERROR(IF('PyG 3 Años'!$B$11="","",-IF('Financiación'!D28="",0,'Financiación'!D28)),"")</f>
        <v>0.0</v>
      </c>
      <c r="E16" s="15">
        <f>IFERROR(IF('PyG 3 Años'!$B$11="","",-IF('Financiación'!D29="",0,'Financiación'!D29)),"")</f>
        <v>0.0</v>
      </c>
      <c r="F16" s="15">
        <f>IFERROR(IF('PyG 3 Años'!$B$11="","",-IF('Financiación'!D30="",0,'Financiación'!D30)),"")</f>
        <v>0.0</v>
      </c>
      <c r="G16" s="15">
        <f>IFERROR(IF('PyG 3 Años'!$B$11="","",-IF('Financiación'!D31="",0,'Financiación'!D31)),"")</f>
        <v>0.0</v>
      </c>
      <c r="H16" s="15">
        <f>IFERROR(IF('PyG 3 Años'!$B$11="","",-IF('Financiación'!D32="",0,'Financiación'!D32)),"")</f>
        <v>-626.5724169135384</v>
      </c>
      <c r="I16" s="15">
        <f>IFERROR(IF('PyG 3 Años'!$B$11="","",-IF('Financiación'!D33="",0,'Financiación'!D33)),"")</f>
        <v>-629.8097077342584</v>
      </c>
      <c r="J16" s="15">
        <f>IFERROR(IF('PyG 3 Años'!$B$11="","",-IF('Financiación'!D34="",0,'Financiación'!D34)),"")</f>
        <v>-633.063724557552</v>
      </c>
      <c r="K16" s="15">
        <f>IFERROR(IF('PyG 3 Años'!$B$11="","",-IF('Financiación'!D35="",0,'Financiación'!D35)),"")</f>
        <v>-636.3345538010993</v>
      </c>
      <c r="L16" s="15">
        <f>IFERROR(IF('PyG 3 Años'!$B$11="","",-IF('Financiación'!D36="",0,'Financiación'!D36)),"")</f>
        <v>-639.6222823290717</v>
      </c>
      <c r="M16" s="15">
        <f>IFERROR(IF('PyG 3 Años'!$B$11="","",-IF('Financiación'!D37="",0,'Financiación'!D37)),"")</f>
        <v>-642.9269974544386</v>
      </c>
      <c r="N16" s="15">
        <f>IFERROR(IF('PyG 3 Años'!$B$11="","",SUM(B16:M16)),"")</f>
        <v>-3808.3296827899585</v>
      </c>
      <c r="O16" s="5" t="inlineStr">
        <is>
          <t>Sale del cuadro MENSUAL de la hoja de Financiación. Durante la carencia esta fila vale cero, y ése es justo el efecto que se negocia con el banco.</t>
        </is>
      </c>
    </row>
    <row r="17">
      <c r="A17" t="inlineStr">
        <is>
          <t>IVA repercutido del mes (memoria)</t>
        </is>
      </c>
      <c r="B17" s="15">
        <f>IFERROR(IF('PyG 3 Años'!$B$11="","",'PyG 3 Años'!$B$11*B8*'0. Supuestos'!$B$20),"")</f>
        <v>1739.86230238531</v>
      </c>
      <c r="C17" s="15">
        <f>IFERROR(IF('PyG 3 Años'!$B$11="","",'PyG 3 Años'!$B$11*C8*'0. Supuestos'!$B$20),"")</f>
        <v>1405.1057681778104</v>
      </c>
      <c r="D17" s="15">
        <f>IFERROR(IF('PyG 3 Años'!$B$11="","",'PyG 3 Años'!$B$11*D8*'0. Supuestos'!$B$20),"")</f>
        <v>1671.6251537934552</v>
      </c>
      <c r="E17" s="15">
        <f>IFERROR(IF('PyG 3 Años'!$B$11="","",'PyG 3 Años'!$B$11*E8*'0. Supuestos'!$B$20),"")</f>
        <v>2013.2372443698862</v>
      </c>
      <c r="F17" s="15">
        <f>IFERROR(IF('PyG 3 Años'!$B$11="","",'PyG 3 Años'!$B$11*F8*'0. Supuestos'!$B$20),"")</f>
        <v>2298.650203393364</v>
      </c>
      <c r="G17" s="15">
        <f>IFERROR(IF('PyG 3 Años'!$B$11="","",'PyG 3 Años'!$B$11*G8*'0. Supuestos'!$B$20),"")</f>
        <v>2289.8974709499385</v>
      </c>
      <c r="H17" s="15">
        <f>IFERROR(IF('PyG 3 Años'!$B$11="","",'PyG 3 Años'!$B$11*H8*'0. Supuestos'!$B$20),"")</f>
        <v>2006.6100176882833</v>
      </c>
      <c r="I17" s="15">
        <f>IFERROR(IF('PyG 3 Años'!$B$11="","",'PyG 3 Años'!$B$11*I8*'0. Supuestos'!$B$20),"")</f>
        <v>1534.4831480824087</v>
      </c>
      <c r="J17" s="15">
        <f>IFERROR(IF('PyG 3 Años'!$B$11="","",'PyG 3 Años'!$B$11*J8*'0. Supuestos'!$B$20),"")</f>
        <v>2148.253744319111</v>
      </c>
      <c r="K17" s="15">
        <f>IFERROR(IF('PyG 3 Años'!$B$11="","",'PyG 3 Años'!$B$11*K8*'0. Supuestos'!$B$20),"")</f>
        <v>2242.7017812365466</v>
      </c>
      <c r="L17" s="15">
        <f>IFERROR(IF('PyG 3 Años'!$B$11="","",'PyG 3 Años'!$B$11*L8*'0. Supuestos'!$B$20),"")</f>
        <v>2549.587079354898</v>
      </c>
      <c r="M17" s="15">
        <f>IFERROR(IF('PyG 3 Años'!$B$11="","",'PyG 3 Años'!$B$11*M8*'0. Supuestos'!$B$20),"")</f>
        <v>2927.294240788663</v>
      </c>
      <c r="N17" s="15">
        <f>IFERROR(IF('PyG 3 Años'!$B$11="","",SUM(B17:M17)),"")</f>
        <v>24827.308154539674</v>
      </c>
    </row>
    <row r="18">
      <c r="A18" t="inlineStr">
        <is>
          <t>IVA soportado del mes (memoria)</t>
        </is>
      </c>
      <c r="B18" s="15">
        <f>IFERROR(IF('PyG 3 Años'!$B$11="","",'PyG 3 Años'!$B$34*B8+'PyG 3 Años'!$B$35/12),"")</f>
        <v>1402.8781093224961</v>
      </c>
      <c r="C18" s="15">
        <f>IFERROR(IF('PyG 3 Años'!$B$11="","",'PyG 3 Años'!$B$34*C8+'PyG 3 Años'!$B$35/12),"")</f>
        <v>1281.0424635079103</v>
      </c>
      <c r="D18" s="15">
        <f>IFERROR(IF('PyG 3 Años'!$B$11="","",'PyG 3 Años'!$B$34*D8+'PyG 3 Años'!$B$35/12),"")</f>
        <v>1378.0429941934774</v>
      </c>
      <c r="E18" s="15">
        <f>IFERROR(IF('PyG 3 Años'!$B$11="","",'PyG 3 Años'!$B$34*E8+'PyG 3 Años'!$B$35/12),"")</f>
        <v>1502.3737403340492</v>
      </c>
      <c r="F18" s="15">
        <f>IFERROR(IF('PyG 3 Años'!$B$11="","",'PyG 3 Años'!$B$34*F8+'PyG 3 Años'!$B$35/12),"")</f>
        <v>1606.2506437940513</v>
      </c>
      <c r="G18" s="15">
        <f>IFERROR(IF('PyG 3 Años'!$B$11="","",'PyG 3 Años'!$B$34*G8+'PyG 3 Años'!$B$35/12),"")</f>
        <v>1603.0650605390101</v>
      </c>
      <c r="H18" s="15">
        <f>IFERROR(IF('PyG 3 Años'!$B$11="","",'PyG 3 Años'!$B$34*H8+'PyG 3 Años'!$B$35/12),"")</f>
        <v>1499.9617412833832</v>
      </c>
      <c r="I18" s="15">
        <f>IFERROR(IF('PyG 3 Años'!$B$11="","",'PyG 3 Años'!$B$34*I8+'PyG 3 Años'!$B$35/12),"")</f>
        <v>1328.1297494119551</v>
      </c>
      <c r="J18" s="15">
        <f>IFERROR(IF('PyG 3 Años'!$B$11="","",'PyG 3 Años'!$B$34*J8+'PyG 3 Años'!$B$35/12),"")</f>
        <v>1551.5134009111966</v>
      </c>
      <c r="K18" s="15">
        <f>IFERROR(IF('PyG 3 Años'!$B$11="","",'PyG 3 Años'!$B$34*K8+'PyG 3 Años'!$B$35/12),"")</f>
        <v>1585.8880475510227</v>
      </c>
      <c r="L18" s="15">
        <f>IFERROR(IF('PyG 3 Años'!$B$11="","",'PyG 3 Años'!$B$34*L8+'PyG 3 Años'!$B$35/12),"")</f>
        <v>1697.5798733006436</v>
      </c>
      <c r="M18" s="15">
        <f>IFERROR(IF('PyG 3 Años'!$B$11="","",'PyG 3 Años'!$B$34*M8+'PyG 3 Años'!$B$35/12),"")</f>
        <v>1835.047528864171</v>
      </c>
      <c r="N18" s="15">
        <f>IFERROR(IF('PyG 3 Años'!$B$11="","",SUM(B18:M18)),"")</f>
        <v>18271.77335301337</v>
      </c>
    </row>
    <row r="19">
      <c r="A19" t="inlineStr">
        <is>
          <t>IVA a compensar arrastrado (inversión incluida)</t>
        </is>
      </c>
      <c r="E19" s="15">
        <f>IFERROR(IF('PyG 3 Años'!$B$11="","",'Inversión Inicial'!$B$21),"")</f>
        <v>33910.8714</v>
      </c>
      <c r="H19" s="15">
        <f>IFERROR(IF('PyG 3 Años'!$B$11="","",MAX(0,-E20)),"")</f>
        <v>33156.24174266731</v>
      </c>
      <c r="K19" s="15">
        <f>IFERROR(IF('PyG 3 Años'!$B$11="","",MAX(0,-H20)),"")</f>
        <v>31266.146268621233</v>
      </c>
      <c r="O19" s="5" t="inlineStr">
        <is>
          <t>El IVA soportado de la INVERSIÓN entra aquí y se compensa contra el repercutido de los trimestres siguientes. Con una inversión grande tardas medio año en recuperarlo, y ese medio año lo financias tú.</t>
        </is>
      </c>
    </row>
    <row r="20">
      <c r="A20" t="inlineStr">
        <is>
          <t>Resultado de la liquidación trimestral</t>
        </is>
      </c>
      <c r="E20" s="15">
        <f>IFERROR(IF('PyG 3 Años'!$B$11="","",SUM(B17:D17)-SUM(B18:D18)-E19),"")</f>
        <v>-33156.24174266731</v>
      </c>
      <c r="H20" s="15">
        <f>IFERROR(IF('PyG 3 Años'!$B$11="","",SUM(E17:G17)-SUM(E18:G18)-H19),"")</f>
        <v>-31266.146268621233</v>
      </c>
      <c r="K20" s="15">
        <f>IFERROR(IF('PyG 3 Años'!$B$11="","",SUM(H17:J17)-SUM(H18:J18)-K19),"")</f>
        <v>-29956.404250137966</v>
      </c>
    </row>
    <row r="21">
      <c r="A21" t="inlineStr">
        <is>
          <t>Pago del IVA (modelo 303)</t>
        </is>
      </c>
      <c r="E21" s="15">
        <f>IFERROR(IF('PyG 3 Años'!$B$11="","",IF(E20&lt;=0,"",-E20)),"")</f>
        <v/>
      </c>
      <c r="H21" s="15">
        <f>IFERROR(IF('PyG 3 Años'!$B$11="","",IF(H20&lt;=0,"",-H20)),"")</f>
        <v/>
      </c>
      <c r="K21" s="15">
        <f>IFERROR(IF('PyG 3 Años'!$B$11="","",IF(K20&lt;=0,"",-K20)),"")</f>
        <v/>
      </c>
      <c r="N21" s="15">
        <f>IFERROR(IF('PyG 3 Años'!$B$11="","",IF(E21="",0,E21)+IF(H21="",0,H21)+IF(K21="",0,K21)),"")</f>
        <v>0.0</v>
      </c>
      <c r="O21" s="5" t="inlineStr">
        <is>
          <t>Sólo sale caja cuando el resultado del trimestre es positivo. Los meses sin liquidación van en BLANCO, no a cero: cero significaría «liquidé y no pagué nada», que es otra cosa. El cuarto trimestre se liquida en enero del año siguiente y por eso no aparece.</t>
        </is>
      </c>
    </row>
    <row r="22">
      <c r="A22" s="23" t="inlineStr">
        <is>
          <t>FLUJO DEL MES</t>
        </is>
      </c>
      <c r="B22" s="24">
        <f>IFERROR(IF('PyG 3 Años'!$B$11="","",SUM(B10:B16)+IF(B21="",0,B21)),"")</f>
        <v>6463.900764809811</v>
      </c>
      <c r="C22" s="24">
        <f>IFERROR(IF('PyG 3 Años'!$B$11="","",SUM(C10:C16)+IF(C21="",0,C21)),"")</f>
        <v>-2718.451814803955</v>
      </c>
      <c r="D22" s="24">
        <f>IFERROR(IF('PyG 3 Años'!$B$11="","",SUM(D10:D16)+IF(D21="",0,D21)),"")</f>
        <v>-4823.53862396286</v>
      </c>
      <c r="E22" s="24">
        <f>IFERROR(IF('PyG 3 Años'!$B$11="","",SUM(E10:E16)+IF(E21="",0,E21)),"")</f>
        <v>4451.788200620477</v>
      </c>
      <c r="F22" s="24">
        <f>IFERROR(IF('PyG 3 Años'!$B$11="","",SUM(F10:F16)+IF(F21="",0,F21)),"")</f>
        <v>6667.869813871784</v>
      </c>
      <c r="G22" s="24">
        <f>IFERROR(IF('PyG 3 Años'!$B$11="","",SUM(G10:G16)+IF(G21="",0,G21)),"")</f>
        <v>5689.911796746702</v>
      </c>
      <c r="H22" s="24">
        <f>IFERROR(IF('PyG 3 Años'!$B$11="","",SUM(H10:H16)+IF(H21="",0,H21)),"")</f>
        <v>-4337.184986548648</v>
      </c>
      <c r="I22" s="24">
        <f>IFERROR(IF('PyG 3 Años'!$B$11="","",SUM(I10:I16)+IF(I21="",0,I21)),"")</f>
        <v>-2684.607407655648</v>
      </c>
      <c r="J22" s="24">
        <f>IFERROR(IF('PyG 3 Años'!$B$11="","",SUM(J10:J16)+IF(J21="",0,J21)),"")</f>
        <v>5792.3252344298635</v>
      </c>
      <c r="K22" s="24">
        <f>IFERROR(IF('PyG 3 Años'!$B$11="","",SUM(K10:K16)+IF(K21="",0,K21)),"")</f>
        <v>4985.699859438402</v>
      </c>
      <c r="L22" s="24">
        <f>IFERROR(IF('PyG 3 Años'!$B$11="","",SUM(L10:L16)+IF(L21="",0,L21)),"")</f>
        <v>8207.688666065671</v>
      </c>
      <c r="M22" s="24">
        <f>IFERROR(IF('PyG 3 Años'!$B$11="","",SUM(M10:M16)+IF(M21="",0,M21)),"")</f>
        <v>5401.8543397388485</v>
      </c>
      <c r="N22" s="24">
        <f>IFERROR(IF('PyG 3 Años'!$B$11="","",SUM(B22:M22)),"")</f>
        <v>33097.25584275045</v>
      </c>
      <c r="O22" s="23" t="n"/>
    </row>
    <row r="23">
      <c r="A23" s="23" t="inlineStr">
        <is>
          <t>SALDO ACUMULADO DE CAJA</t>
        </is>
      </c>
      <c r="B23" s="24">
        <f>IFERROR(IF('PyG 3 Años'!$B$11="","",'Inversión Inicial'!$B$18+B22),"")</f>
        <v>68579.16258507417</v>
      </c>
      <c r="C23" s="24">
        <f>IFERROR(IF('PyG 3 Años'!$B$11="","",B23+C22),"")</f>
        <v>65860.71077027022</v>
      </c>
      <c r="D23" s="24">
        <f>IFERROR(IF('PyG 3 Años'!$B$11="","",C23+D22),"")</f>
        <v>61037.17214630736</v>
      </c>
      <c r="E23" s="24">
        <f>IFERROR(IF('PyG 3 Años'!$B$11="","",D23+E22),"")</f>
        <v>65488.96034692784</v>
      </c>
      <c r="F23" s="24">
        <f>IFERROR(IF('PyG 3 Años'!$B$11="","",E23+F22),"")</f>
        <v>72156.83016079963</v>
      </c>
      <c r="G23" s="24">
        <f>IFERROR(IF('PyG 3 Años'!$B$11="","",F23+G22),"")</f>
        <v>77846.74195754633</v>
      </c>
      <c r="H23" s="24">
        <f>IFERROR(IF('PyG 3 Años'!$B$11="","",G23+H22),"")</f>
        <v>73509.55697099768</v>
      </c>
      <c r="I23" s="24">
        <f>IFERROR(IF('PyG 3 Años'!$B$11="","",H23+I22),"")</f>
        <v>70824.94956334203</v>
      </c>
      <c r="J23" s="24">
        <f>IFERROR(IF('PyG 3 Años'!$B$11="","",I23+J22),"")</f>
        <v>76617.2747977719</v>
      </c>
      <c r="K23" s="24">
        <f>IFERROR(IF('PyG 3 Años'!$B$11="","",J23+K22),"")</f>
        <v>81602.9746572103</v>
      </c>
      <c r="L23" s="24">
        <f>IFERROR(IF('PyG 3 Años'!$B$11="","",K23+L22),"")</f>
        <v>89810.66332327598</v>
      </c>
      <c r="M23" s="24">
        <f>IFERROR(IF('PyG 3 Años'!$B$11="","",L23+M22),"")</f>
        <v>95212.51766301482</v>
      </c>
      <c r="N23" s="23" t="n"/>
      <c r="O23" s="23" t="n"/>
    </row>
    <row r="24">
      <c r="A24" t="inlineStr">
        <is>
          <t>Saldo mínimo del año (€)</t>
        </is>
      </c>
      <c r="B24" s="15">
        <f>IFERROR(IF('PyG 3 Años'!$B$11="","",IF(COUNT(B23:M23)=0,"",MIN(B23:M23))),"")</f>
        <v>61037.17214630736</v>
      </c>
      <c r="O24" s="5" t="inlineStr">
        <is>
          <t>Si es negativo te quedas sin caja: sube el fondo de maniobra, sube el préstamo o negocia más carencia. No lo dejes para verlo pasar.</t>
        </is>
      </c>
    </row>
    <row r="25">
      <c r="A25" t="inlineStr">
        <is>
          <t>Mes en el que la caja toca fondo</t>
        </is>
      </c>
      <c r="B25" s="27">
        <f>IFERROR(IF('PyG 3 Años'!$B$11="","",IF(COUNT(B23:M23)=0,"",MATCH(MIN(B23:M23),B23:M23,0))),"")</f>
        <v>3.0</v>
      </c>
      <c r="O25" s="5" t="inlineStr">
        <is>
          <t>Es la respuesta a la pregunta que decide una operación bancaria: en qué mes se agota la caja.</t>
        </is>
      </c>
    </row>
    <row r="26"/>
    <row r="27">
      <c r="A27" s="4" t="inlineStr">
        <is>
          <t>RETORNO DE LA INVERSIÓN</t>
        </is>
      </c>
      <c r="B27" s="11" t="inlineStr"/>
      <c r="C27" s="11" t="inlineStr"/>
      <c r="D27" s="11" t="inlineStr"/>
      <c r="E27" s="11" t="inlineStr"/>
      <c r="F27" s="11" t="inlineStr"/>
      <c r="G27" s="11" t="inlineStr"/>
      <c r="H27" s="11" t="inlineStr"/>
      <c r="I27" s="11" t="inlineStr"/>
      <c r="J27" s="11" t="inlineStr"/>
      <c r="K27" s="11" t="inlineStr"/>
      <c r="L27" s="11" t="inlineStr"/>
      <c r="M27" s="11" t="inlineStr"/>
      <c r="N27" s="11" t="inlineStr"/>
      <c r="O27" s="11" t="inlineStr"/>
    </row>
    <row r="28">
      <c r="A28" t="inlineStr">
        <is>
          <t>Flujo de caja libre antes de la deuda, año 1</t>
        </is>
      </c>
      <c r="B28" s="15">
        <f>IFERROR(IF('PyG 3 Años'!$B$11="","",'PyG 3 Años'!B43+'PyG 3 Años'!B31+'Financiación'!$B$116),"")</f>
        <v>24229.77278660763</v>
      </c>
      <c r="O28" s="5" t="inlineStr">
        <is>
          <t>Resultado neto más amortización (que no se paga) más los intereses de ese año: el principal no se resta porque este flujo se compara con la inversión, no con la deuda.</t>
        </is>
      </c>
    </row>
    <row r="29">
      <c r="A29" t="inlineStr">
        <is>
          <t>Flujo de caja libre antes de la deuda, año 2</t>
        </is>
      </c>
      <c r="B29" s="15">
        <f>IFERROR(IF('PyG 3 Años'!$B$11="","",'PyG 3 Años'!C43+'PyG 3 Años'!C31+'Financiación'!$B$117),"")</f>
        <v>47186.15972459537</v>
      </c>
    </row>
    <row r="30">
      <c r="A30" t="inlineStr">
        <is>
          <t>Flujo de caja libre antes de la deuda, año 3</t>
        </is>
      </c>
      <c r="B30" s="15">
        <f>IFERROR(IF('PyG 3 Años'!$B$11="","",'PyG 3 Años'!D43+'PyG 3 Años'!D31+'Financiación'!$B$118),"")</f>
        <v>50356.866252313244</v>
      </c>
    </row>
    <row r="31">
      <c r="A31" t="inlineStr">
        <is>
          <t>Inversión a recuperar (sin el IVA, que se recupera por el 303)</t>
        </is>
      </c>
      <c r="B31" s="15">
        <f>IFERROR(IF('PyG 3 Años'!$B$11="","",'Inversión Inicial'!$B$22-'Inversión Inicial'!$B$21),"")</f>
        <v>227915.60182026436</v>
      </c>
    </row>
    <row r="32">
      <c r="A32" t="inlineStr">
        <is>
          <t>Payback del proyecto (años), antes de la deuda</t>
        </is>
      </c>
      <c r="B32" s="20" t="str">
        <f>IFERROR(IF('PyG 3 Años'!$B$11="","",IF(B28&gt;=B31,ROUND(B31/B28,1),IF(B28+B29&gt;=B31,ROUND(1+(B31-B28)/B29,1),IF(B28+B29+B30&gt;=B31,ROUND(2+(B31-B28-B29)/B30,1),"Más de 3 años")))),"")</f>
        <v>Más de 3 años</v>
      </c>
      <c r="O32" s="5" t="inlineStr">
        <is>
          <t>Cuánto tarda el negocio en devolver la inversión con lo que genera ANTES de pagar al banco. Si sale «Más de 3 años», este libro no proyecta lo suficiente para decírtelo: es una señal, no un fallo.</t>
        </is>
      </c>
    </row>
    <row r="33"/>
    <row r="34" ht="32" customHeight="1">
      <c r="A34" s="5" t="inlineStr">
        <is>
          <t>Escribe los ingresos y los gastos SIN IVA en el resto del libro: la capa de IVA de esta hoja lo añade, porque la tesorería es caja. El Impuesto de Sociedades no está en este cuadro: se paga en julio del año siguiente, fuera de los doce meses.</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O3"/>
    <mergeCell ref="A34:O34"/>
  </mergeCells>
  <conditionalFormatting sqref="B23:M23">
    <cfRule type="expression" priority="1" dxfId="0" stopIfTrue="1">
      <formula>=AND(ISNUMBER(B23),B23&lt;0)</formula>
    </cfRule>
  </conditionalFormatting>
  <conditionalFormatting sqref="B24">
    <cfRule type="expression" priority="2" dxfId="0" stopIfTrue="1">
      <formula>=AND(ISNUMBER($B$24),$B$24&lt;0)</formula>
    </cfRule>
  </conditionalFormatting>
  <pageMargins left="0.39" right="0.39" top="0.55" bottom="0.55"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126"/>
  <sheetViews>
    <sheetView workbookViewId="0">
      <pane ySplit="25" topLeftCell="A26" activePane="bottomLeft" state="frozen"/>
      <selection pane="bottomLeft" activeCell="A1" sqref="A1"/>
    </sheetView>
  </sheetViews>
  <sheetFormatPr baseColWidth="8" defaultRowHeight="15"/>
  <cols>
    <col width="52" customWidth="1" min="1" max="1"/>
    <col width="16" customWidth="1" min="2" max="2"/>
    <col width="16" customWidth="1" min="3" max="3"/>
    <col width="18" customWidth="1" min="4" max="4"/>
    <col width="16" customWidth="1" min="5" max="5"/>
    <col width="17" customWidth="1" min="6" max="6"/>
    <col width="14" customWidth="1" min="7" max="7"/>
    <col width="74" customWidth="1" min="8" max="8"/>
  </cols>
  <sheetData>
    <row r="1" ht="26" customHeight="1">
      <c r="A1" s="1" t="inlineStr">
        <is>
          <t>Financiación: de Dónde Sale y Cuánto Cuesta Devolverlo</t>
        </is>
      </c>
    </row>
    <row r="2">
      <c r="A2" s="2" t="inlineStr">
        <is>
          <t>AI Chef Pro · aichef.pro — Cómo Montar una Pastelería</t>
        </is>
      </c>
    </row>
    <row r="3" ht="28" customHeight="1">
      <c r="A3" s="5" t="inlineStr">
        <is>
          <t>El cuadro de amortización es MENSUAL, con 84 filas, porque la carencia de este caso son seis meses y un cuadro anual no sabe expresar medio año. La cuota es una anualidad algebraica del sistema francés.</t>
        </is>
      </c>
    </row>
    <row r="4"/>
    <row r="5">
      <c r="A5" s="4" t="inlineStr">
        <is>
          <t>ORIGEN DE FONDOS</t>
        </is>
      </c>
      <c r="B5" s="11" t="inlineStr"/>
      <c r="C5" s="11" t="inlineStr"/>
      <c r="D5" s="11" t="inlineStr"/>
      <c r="E5" s="11" t="inlineStr"/>
      <c r="F5" s="11" t="inlineStr"/>
      <c r="G5" s="11" t="inlineStr"/>
      <c r="H5" s="11" t="inlineStr"/>
    </row>
    <row r="6">
      <c r="A6" t="inlineStr">
        <is>
          <t>Recursos propios aportados</t>
        </is>
      </c>
      <c r="B6" s="15">
        <f>IFERROR('0. Supuestos'!$B$36,"")</f>
        <v>201826.48</v>
      </c>
      <c r="H6" s="5" t="inlineStr">
        <is>
          <t>Aportación de los socios o del promotor. Un banco quiere ver un 25-30 % de fondos propios sobre la necesidad total antes de sentarse a hablar.</t>
        </is>
      </c>
    </row>
    <row r="7">
      <c r="A7" t="inlineStr">
        <is>
          <t>Préstamo bancario</t>
        </is>
      </c>
      <c r="B7" s="15">
        <f>IFERROR('0. Supuestos'!$B$37,"")</f>
        <v>60000.0</v>
      </c>
    </row>
    <row r="8">
      <c r="A8" t="inlineStr">
        <is>
          <t>Otras fuentes (ICO, ENISA, subvenciones, socios)</t>
        </is>
      </c>
      <c r="B8" s="14" t="n">
        <v>0</v>
      </c>
      <c r="H8" s="5" t="inlineStr">
        <is>
          <t>A cero por defecto. Las subvenciones suelen cobrarse DESPUÉS de justificar el gasto: no cuentes con ellas para pagar la obra.</t>
        </is>
      </c>
    </row>
    <row r="9">
      <c r="A9" s="23" t="inlineStr">
        <is>
          <t>TOTAL ORIGEN DE FONDOS</t>
        </is>
      </c>
      <c r="B9" s="24">
        <f>IFERROR(IF(COUNT(B6:B8)=0,"",SUM(B6:B8)),"")</f>
        <v>261826.48</v>
      </c>
      <c r="C9" s="23" t="n"/>
      <c r="D9" s="23" t="n"/>
      <c r="E9" s="23" t="n"/>
      <c r="F9" s="23" t="n"/>
      <c r="G9" s="23" t="n"/>
      <c r="H9" s="23" t="n"/>
    </row>
    <row r="10">
      <c r="A10" s="4" t="inlineStr">
        <is>
          <t>USOS</t>
        </is>
      </c>
      <c r="B10" s="11" t="inlineStr"/>
      <c r="C10" s="11" t="inlineStr"/>
      <c r="D10" s="11" t="inlineStr"/>
      <c r="E10" s="11" t="inlineStr"/>
      <c r="F10" s="11" t="inlineStr"/>
      <c r="G10" s="11" t="inlineStr"/>
      <c r="H10" s="11" t="inlineStr"/>
    </row>
    <row r="11">
      <c r="A11" t="inlineStr">
        <is>
          <t>Necesidad total de caja al arranque</t>
        </is>
      </c>
      <c r="B11" s="15">
        <f>IFERROR('Inversión Inicial'!$B$22,"")</f>
        <v>261826.47322026436</v>
      </c>
      <c r="H11" s="5" t="inlineStr">
        <is>
          <t>Inversión más el IVA que hay que adelantar.</t>
        </is>
      </c>
    </row>
    <row r="12">
      <c r="A12" t="inlineStr">
        <is>
          <t>Diferencia (origen menos usos)</t>
        </is>
      </c>
      <c r="B12" s="15">
        <f>IFERROR(B9-B11,"")</f>
        <v>0.00677973564597778</v>
      </c>
      <c r="H12" s="5" t="inlineStr">
        <is>
          <t>En negativo el plan NO está financiado. Muy por encima de cero tampoco es gratis: son intereses que pagas sin necesitarlos.</t>
        </is>
      </c>
    </row>
    <row r="13">
      <c r="A13" t="inlineStr">
        <is>
          <t>Diferencia sobre los usos (%)</t>
        </is>
      </c>
      <c r="B13" s="16">
        <f>IFERROR(B12/B11,"")</f>
        <v>2.5894003622293204e-08</v>
      </c>
    </row>
    <row r="14">
      <c r="A14" t="inlineStr">
        <is>
          <t>Préstamo que ajustaría el origen a la necesidad</t>
        </is>
      </c>
      <c r="B14" s="15">
        <f>IFERROR(MAX(0,B11-B9+B7),"")</f>
        <v>59999.993220264354</v>
      </c>
      <c r="H14" s="5" t="inlineStr">
        <is>
          <t>Cópialo en «Préstamo bancario solicitado» de «0. Supuestos» y la diferencia de arriba se pone a cero. Después mira el DSCR: pedir más siempre se puede, devolverlo no.</t>
        </is>
      </c>
    </row>
    <row r="15">
      <c r="A15" s="4" t="inlineStr">
        <is>
          <t>CONDICIONES DEL PRÉSTAMO</t>
        </is>
      </c>
      <c r="B15" s="11" t="inlineStr"/>
      <c r="C15" s="11" t="inlineStr"/>
      <c r="D15" s="11" t="inlineStr"/>
      <c r="E15" s="11" t="inlineStr"/>
      <c r="F15" s="11" t="inlineStr"/>
      <c r="G15" s="11" t="inlineStr"/>
      <c r="H15" s="11" t="inlineStr"/>
    </row>
    <row r="16">
      <c r="A16" t="inlineStr">
        <is>
          <t>Importe del principal</t>
        </is>
      </c>
      <c r="B16" s="15">
        <f>IFERROR(IF('0. Supuestos'!$B$37=0,"",'0. Supuestos'!$B$37),"")</f>
        <v>60000.0</v>
      </c>
    </row>
    <row r="17">
      <c r="A17" t="inlineStr">
        <is>
          <t>Tipo de interés nominal anual</t>
        </is>
      </c>
      <c r="B17" s="19">
        <f>IFERROR('0. Supuestos'!$B$38,"")</f>
        <v>0.062</v>
      </c>
    </row>
    <row r="18">
      <c r="A18" t="inlineStr">
        <is>
          <t>Tipo mensual</t>
        </is>
      </c>
      <c r="B18" s="37">
        <f>IFERROR(B17/12,"")</f>
        <v>0.005166666666666667</v>
      </c>
    </row>
    <row r="19">
      <c r="A19" t="inlineStr">
        <is>
          <t>Plazo total (meses)</t>
        </is>
      </c>
      <c r="B19" s="27">
        <f>IFERROR('0. Supuestos'!$B$39,"")</f>
        <v>84.0</v>
      </c>
    </row>
    <row r="20">
      <c r="A20" t="inlineStr">
        <is>
          <t>Carencia de principal aplicada (meses)</t>
        </is>
      </c>
      <c r="B20" s="27">
        <f>IFERROR(IF('0. Supuestos'!$B$40&gt;='0. Supuestos'!$B$39,'0. Supuestos'!$B$39-1,'0. Supuestos'!$B$40),"")</f>
        <v>6.0</v>
      </c>
      <c r="H20" s="5" t="inlineStr">
        <is>
          <t>Una carencia igual o mayor que el plazo no existe: la hoja la anula en origen.</t>
        </is>
      </c>
    </row>
    <row r="21">
      <c r="A21" t="inlineStr">
        <is>
          <t>Meses de amortización</t>
        </is>
      </c>
      <c r="B21" s="27">
        <f>IFERROR(B19-B20,"")</f>
        <v>78.0</v>
      </c>
    </row>
    <row r="22">
      <c r="A22" s="23" t="inlineStr">
        <is>
          <t>Cuota mensual durante la amortización</t>
        </is>
      </c>
      <c r="B22" s="24">
        <f>IFERROR(IF(B21&lt;=0,"",IF(B18=0,B16/B21,B16*B18/(1-(1+B18)^(-B21)))),"")</f>
        <v>936.5724169135384</v>
      </c>
      <c r="C22" s="23" t="n"/>
      <c r="D22" s="23" t="n"/>
      <c r="E22" s="23" t="n"/>
      <c r="F22" s="23" t="n"/>
      <c r="G22" s="23" t="n"/>
      <c r="H22" s="23" t="n"/>
    </row>
    <row r="23" ht="40" customHeight="1">
      <c r="A23" s="5" t="inlineStr">
        <is>
          <t>Sistema francés, escrito como anualidad algebraica: capital x tipo mensual dividido por uno menos (uno más el tipo) elevado a menos el número de cuotas. Con el tipo al 0 % es el principal entre los meses de amortización. No se usa la función PMT: la familia la tiene prohibida porque no todos los motores de hoja de cálculo la evalúan igual.</t>
        </is>
      </c>
    </row>
    <row r="24"/>
    <row r="25" ht="32" customHeight="1">
      <c r="A25" s="7" t="inlineStr">
        <is>
          <t>Mes</t>
        </is>
      </c>
      <c r="B25" s="7" t="inlineStr">
        <is>
          <t>Capital pendiente (€)</t>
        </is>
      </c>
      <c r="C25" s="7" t="inlineStr">
        <is>
          <t>Intereses (€)</t>
        </is>
      </c>
      <c r="D25" s="7" t="inlineStr">
        <is>
          <t>Amortización de principal (€)</t>
        </is>
      </c>
      <c r="E25" s="7" t="inlineStr">
        <is>
          <t>Cuota total (€)</t>
        </is>
      </c>
      <c r="F25" s="7" t="inlineStr">
        <is>
          <t>Capital al cierre (€)</t>
        </is>
      </c>
      <c r="G25" s="7" t="inlineStr"/>
      <c r="H25" s="7" t="inlineStr">
        <is>
          <t>Notas</t>
        </is>
      </c>
    </row>
    <row r="26">
      <c r="A26" s="38" t="n">
        <v>1</v>
      </c>
      <c r="B26" s="15">
        <f>IFERROR(IF($B$16="","",$B$16),"")</f>
        <v>60000.0</v>
      </c>
      <c r="C26" s="15">
        <f>IFERROR(IF(OR(A26&gt;$B$19,B26=""),"",B26*$B$18),"")</f>
        <v>310.0</v>
      </c>
      <c r="D26" s="15">
        <f>IFERROR(IF(OR(A26&gt;$B$19,B26=""),"",IF(A26&lt;=$B$20,0,MIN(B26,$B$22-C26))),"")</f>
        <v>0.0</v>
      </c>
      <c r="E26" s="15">
        <f>IFERROR(IF(C26="","",C26+D26),"")</f>
        <v>310.0</v>
      </c>
      <c r="F26" s="15">
        <f>IFERROR(IF(D26="","",B26-D26),"")</f>
        <v>60000.0</v>
      </c>
      <c r="H26" s="5" t="inlineStr">
        <is>
          <t>Durante la carencia la columna de amortización vale cero y sólo se pagan intereses. Es lo que hace que el préstamo no se coma la caja en la rampa de arranque, y es lo primero que hay que negociar.</t>
        </is>
      </c>
    </row>
    <row r="27">
      <c r="A27" s="38" t="n">
        <v>2</v>
      </c>
      <c r="B27" s="15">
        <f>IFERROR(IF(OR(A27&gt;$B$19,F26=""),"",F26),"")</f>
        <v>60000.0</v>
      </c>
      <c r="C27" s="15">
        <f>IFERROR(IF(OR(A27&gt;$B$19,B27=""),"",B27*$B$18),"")</f>
        <v>310.0</v>
      </c>
      <c r="D27" s="15">
        <f>IFERROR(IF(OR(A27&gt;$B$19,B27=""),"",IF(A27&lt;=$B$20,0,MIN(B27,$B$22-C27))),"")</f>
        <v>0.0</v>
      </c>
      <c r="E27" s="15">
        <f>IFERROR(IF(C27="","",C27+D27),"")</f>
        <v>310.0</v>
      </c>
      <c r="F27" s="15">
        <f>IFERROR(IF(D27="","",B27-D27),"")</f>
        <v>60000.0</v>
      </c>
    </row>
    <row r="28">
      <c r="A28" s="38" t="n">
        <v>3</v>
      </c>
      <c r="B28" s="15">
        <f>IFERROR(IF(OR(A28&gt;$B$19,F27=""),"",F27),"")</f>
        <v>60000.0</v>
      </c>
      <c r="C28" s="15">
        <f>IFERROR(IF(OR(A28&gt;$B$19,B28=""),"",B28*$B$18),"")</f>
        <v>310.0</v>
      </c>
      <c r="D28" s="15">
        <f>IFERROR(IF(OR(A28&gt;$B$19,B28=""),"",IF(A28&lt;=$B$20,0,MIN(B28,$B$22-C28))),"")</f>
        <v>0.0</v>
      </c>
      <c r="E28" s="15">
        <f>IFERROR(IF(C28="","",C28+D28),"")</f>
        <v>310.0</v>
      </c>
      <c r="F28" s="15">
        <f>IFERROR(IF(D28="","",B28-D28),"")</f>
        <v>60000.0</v>
      </c>
    </row>
    <row r="29">
      <c r="A29" s="38" t="n">
        <v>4</v>
      </c>
      <c r="B29" s="15">
        <f>IFERROR(IF(OR(A29&gt;$B$19,F28=""),"",F28),"")</f>
        <v>60000.0</v>
      </c>
      <c r="C29" s="15">
        <f>IFERROR(IF(OR(A29&gt;$B$19,B29=""),"",B29*$B$18),"")</f>
        <v>310.0</v>
      </c>
      <c r="D29" s="15">
        <f>IFERROR(IF(OR(A29&gt;$B$19,B29=""),"",IF(A29&lt;=$B$20,0,MIN(B29,$B$22-C29))),"")</f>
        <v>0.0</v>
      </c>
      <c r="E29" s="15">
        <f>IFERROR(IF(C29="","",C29+D29),"")</f>
        <v>310.0</v>
      </c>
      <c r="F29" s="15">
        <f>IFERROR(IF(D29="","",B29-D29),"")</f>
        <v>60000.0</v>
      </c>
    </row>
    <row r="30">
      <c r="A30" s="38" t="n">
        <v>5</v>
      </c>
      <c r="B30" s="15">
        <f>IFERROR(IF(OR(A30&gt;$B$19,F29=""),"",F29),"")</f>
        <v>60000.0</v>
      </c>
      <c r="C30" s="15">
        <f>IFERROR(IF(OR(A30&gt;$B$19,B30=""),"",B30*$B$18),"")</f>
        <v>310.0</v>
      </c>
      <c r="D30" s="15">
        <f>IFERROR(IF(OR(A30&gt;$B$19,B30=""),"",IF(A30&lt;=$B$20,0,MIN(B30,$B$22-C30))),"")</f>
        <v>0.0</v>
      </c>
      <c r="E30" s="15">
        <f>IFERROR(IF(C30="","",C30+D30),"")</f>
        <v>310.0</v>
      </c>
      <c r="F30" s="15">
        <f>IFERROR(IF(D30="","",B30-D30),"")</f>
        <v>60000.0</v>
      </c>
    </row>
    <row r="31">
      <c r="A31" s="38" t="n">
        <v>6</v>
      </c>
      <c r="B31" s="15">
        <f>IFERROR(IF(OR(A31&gt;$B$19,F30=""),"",F30),"")</f>
        <v>60000.0</v>
      </c>
      <c r="C31" s="15">
        <f>IFERROR(IF(OR(A31&gt;$B$19,B31=""),"",B31*$B$18),"")</f>
        <v>310.0</v>
      </c>
      <c r="D31" s="15">
        <f>IFERROR(IF(OR(A31&gt;$B$19,B31=""),"",IF(A31&lt;=$B$20,0,MIN(B31,$B$22-C31))),"")</f>
        <v>0.0</v>
      </c>
      <c r="E31" s="15">
        <f>IFERROR(IF(C31="","",C31+D31),"")</f>
        <v>310.0</v>
      </c>
      <c r="F31" s="15">
        <f>IFERROR(IF(D31="","",B31-D31),"")</f>
        <v>60000.0</v>
      </c>
    </row>
    <row r="32">
      <c r="A32" s="38" t="n">
        <v>7</v>
      </c>
      <c r="B32" s="15">
        <f>IFERROR(IF(OR(A32&gt;$B$19,F31=""),"",F31),"")</f>
        <v>60000.0</v>
      </c>
      <c r="C32" s="15">
        <f>IFERROR(IF(OR(A32&gt;$B$19,B32=""),"",B32*$B$18),"")</f>
        <v>310.0</v>
      </c>
      <c r="D32" s="15">
        <f>IFERROR(IF(OR(A32&gt;$B$19,B32=""),"",IF(A32&lt;=$B$20,0,MIN(B32,$B$22-C32))),"")</f>
        <v>626.5724169135384</v>
      </c>
      <c r="E32" s="15">
        <f>IFERROR(IF(C32="","",C32+D32),"")</f>
        <v>936.5724169135384</v>
      </c>
      <c r="F32" s="15">
        <f>IFERROR(IF(D32="","",B32-D32),"")</f>
        <v>59373.427583086464</v>
      </c>
    </row>
    <row r="33">
      <c r="A33" s="38" t="n">
        <v>8</v>
      </c>
      <c r="B33" s="15">
        <f>IFERROR(IF(OR(A33&gt;$B$19,F32=""),"",F32),"")</f>
        <v>59373.427583086464</v>
      </c>
      <c r="C33" s="15">
        <f>IFERROR(IF(OR(A33&gt;$B$19,B33=""),"",B33*$B$18),"")</f>
        <v>306.7627091792801</v>
      </c>
      <c r="D33" s="15">
        <f>IFERROR(IF(OR(A33&gt;$B$19,B33=""),"",IF(A33&lt;=$B$20,0,MIN(B33,$B$22-C33))),"")</f>
        <v>629.8097077342584</v>
      </c>
      <c r="E33" s="15">
        <f>IFERROR(IF(C33="","",C33+D33),"")</f>
        <v>936.5724169135385</v>
      </c>
      <c r="F33" s="15">
        <f>IFERROR(IF(D33="","",B33-D33),"")</f>
        <v>58743.6178753522</v>
      </c>
    </row>
    <row r="34">
      <c r="A34" s="38" t="n">
        <v>9</v>
      </c>
      <c r="B34" s="15">
        <f>IFERROR(IF(OR(A34&gt;$B$19,F33=""),"",F33),"")</f>
        <v>58743.6178753522</v>
      </c>
      <c r="C34" s="15">
        <f>IFERROR(IF(OR(A34&gt;$B$19,B34=""),"",B34*$B$18),"")</f>
        <v>303.5086923559864</v>
      </c>
      <c r="D34" s="15">
        <f>IFERROR(IF(OR(A34&gt;$B$19,B34=""),"",IF(A34&lt;=$B$20,0,MIN(B34,$B$22-C34))),"")</f>
        <v>633.063724557552</v>
      </c>
      <c r="E34" s="15">
        <f>IFERROR(IF(C34="","",C34+D34),"")</f>
        <v>936.5724169135383</v>
      </c>
      <c r="F34" s="15">
        <f>IFERROR(IF(D34="","",B34-D34),"")</f>
        <v>58110.554150794655</v>
      </c>
    </row>
    <row r="35">
      <c r="A35" s="38" t="n">
        <v>10</v>
      </c>
      <c r="B35" s="15">
        <f>IFERROR(IF(OR(A35&gt;$B$19,F34=""),"",F34),"")</f>
        <v>58110.554150794655</v>
      </c>
      <c r="C35" s="15">
        <f>IFERROR(IF(OR(A35&gt;$B$19,B35=""),"",B35*$B$18),"")</f>
        <v>300.2378631124391</v>
      </c>
      <c r="D35" s="15">
        <f>IFERROR(IF(OR(A35&gt;$B$19,B35=""),"",IF(A35&lt;=$B$20,0,MIN(B35,$B$22-C35))),"")</f>
        <v>636.3345538010993</v>
      </c>
      <c r="E35" s="15">
        <f>IFERROR(IF(C35="","",C35+D35),"")</f>
        <v>936.5724169135384</v>
      </c>
      <c r="F35" s="15">
        <f>IFERROR(IF(D35="","",B35-D35),"")</f>
        <v>57474.21959699356</v>
      </c>
    </row>
    <row r="36">
      <c r="A36" s="38" t="n">
        <v>11</v>
      </c>
      <c r="B36" s="15">
        <f>IFERROR(IF(OR(A36&gt;$B$19,F35=""),"",F35),"")</f>
        <v>57474.21959699356</v>
      </c>
      <c r="C36" s="15">
        <f>IFERROR(IF(OR(A36&gt;$B$19,B36=""),"",B36*$B$18),"")</f>
        <v>296.9501345844667</v>
      </c>
      <c r="D36" s="15">
        <f>IFERROR(IF(OR(A36&gt;$B$19,B36=""),"",IF(A36&lt;=$B$20,0,MIN(B36,$B$22-C36))),"")</f>
        <v>639.6222823290717</v>
      </c>
      <c r="E36" s="15">
        <f>IFERROR(IF(C36="","",C36+D36),"")</f>
        <v>936.5724169135384</v>
      </c>
      <c r="F36" s="15">
        <f>IFERROR(IF(D36="","",B36-D36),"")</f>
        <v>56834.59731466448</v>
      </c>
    </row>
    <row r="37">
      <c r="A37" s="38" t="n">
        <v>12</v>
      </c>
      <c r="B37" s="15">
        <f>IFERROR(IF(OR(A37&gt;$B$19,F36=""),"",F36),"")</f>
        <v>56834.59731466448</v>
      </c>
      <c r="C37" s="15">
        <f>IFERROR(IF(OR(A37&gt;$B$19,B37=""),"",B37*$B$18),"")</f>
        <v>293.6454194590998</v>
      </c>
      <c r="D37" s="15">
        <f>IFERROR(IF(OR(A37&gt;$B$19,B37=""),"",IF(A37&lt;=$B$20,0,MIN(B37,$B$22-C37))),"")</f>
        <v>642.9269974544386</v>
      </c>
      <c r="E37" s="15">
        <f>IFERROR(IF(C37="","",C37+D37),"")</f>
        <v>936.5724169135384</v>
      </c>
      <c r="F37" s="15">
        <f>IFERROR(IF(D37="","",B37-D37),"")</f>
        <v>56191.670317210046</v>
      </c>
    </row>
    <row r="38">
      <c r="A38" s="38" t="n">
        <v>13</v>
      </c>
      <c r="B38" s="15">
        <f>IFERROR(IF(OR(A38&gt;$B$19,F37=""),"",F37),"")</f>
        <v>56191.670317210046</v>
      </c>
      <c r="C38" s="15">
        <f>IFERROR(IF(OR(A38&gt;$B$19,B38=""),"",B38*$B$18),"")</f>
        <v>290.3236299722519</v>
      </c>
      <c r="D38" s="15">
        <f>IFERROR(IF(OR(A38&gt;$B$19,B38=""),"",IF(A38&lt;=$B$20,0,MIN(B38,$B$22-C38))),"")</f>
        <v>646.2487869412864</v>
      </c>
      <c r="E38" s="15">
        <f>IFERROR(IF(C38="","",C38+D38),"")</f>
        <v>936.5724169135383</v>
      </c>
      <c r="F38" s="15">
        <f>IFERROR(IF(D38="","",B38-D38),"")</f>
        <v>55545.42153026876</v>
      </c>
    </row>
    <row r="39">
      <c r="A39" s="38" t="n">
        <v>14</v>
      </c>
      <c r="B39" s="15">
        <f>IFERROR(IF(OR(A39&gt;$B$19,F38=""),"",F38),"")</f>
        <v>55545.42153026876</v>
      </c>
      <c r="C39" s="15">
        <f>IFERROR(IF(OR(A39&gt;$B$19,B39=""),"",B39*$B$18),"")</f>
        <v>286.9846779063886</v>
      </c>
      <c r="D39" s="15">
        <f>IFERROR(IF(OR(A39&gt;$B$19,B39=""),"",IF(A39&lt;=$B$20,0,MIN(B39,$B$22-C39))),"")</f>
        <v>649.5877390071498</v>
      </c>
      <c r="E39" s="15">
        <f>IFERROR(IF(C39="","",C39+D39),"")</f>
        <v>936.5724169135384</v>
      </c>
      <c r="F39" s="15">
        <f>IFERROR(IF(D39="","",B39-D39),"")</f>
        <v>54895.83379126161</v>
      </c>
    </row>
    <row r="40">
      <c r="A40" s="38" t="n">
        <v>15</v>
      </c>
      <c r="B40" s="15">
        <f>IFERROR(IF(OR(A40&gt;$B$19,F39=""),"",F39),"")</f>
        <v>54895.83379126161</v>
      </c>
      <c r="C40" s="15">
        <f>IFERROR(IF(OR(A40&gt;$B$19,B40=""),"",B40*$B$18),"")</f>
        <v>283.628474588185</v>
      </c>
      <c r="D40" s="15">
        <f>IFERROR(IF(OR(A40&gt;$B$19,B40=""),"",IF(A40&lt;=$B$20,0,MIN(B40,$B$22-C40))),"")</f>
        <v>652.9439423253534</v>
      </c>
      <c r="E40" s="15">
        <f>IFERROR(IF(C40="","",C40+D40),"")</f>
        <v>936.5724169135384</v>
      </c>
      <c r="F40" s="15">
        <f>IFERROR(IF(D40="","",B40-D40),"")</f>
        <v>54242.88984893626</v>
      </c>
    </row>
    <row r="41">
      <c r="A41" s="38" t="n">
        <v>16</v>
      </c>
      <c r="B41" s="15">
        <f>IFERROR(IF(OR(A41&gt;$B$19,F40=""),"",F40),"")</f>
        <v>54242.88984893626</v>
      </c>
      <c r="C41" s="15">
        <f>IFERROR(IF(OR(A41&gt;$B$19,B41=""),"",B41*$B$18),"")</f>
        <v>280.2549308861707</v>
      </c>
      <c r="D41" s="15">
        <f>IFERROR(IF(OR(A41&gt;$B$19,B41=""),"",IF(A41&lt;=$B$20,0,MIN(B41,$B$22-C41))),"")</f>
        <v>656.3174860273677</v>
      </c>
      <c r="E41" s="15">
        <f>IFERROR(IF(C41="","",C41+D41),"")</f>
        <v>936.5724169135385</v>
      </c>
      <c r="F41" s="15">
        <f>IFERROR(IF(D41="","",B41-D41),"")</f>
        <v>53586.5723629089</v>
      </c>
    </row>
    <row r="42">
      <c r="A42" s="38" t="n">
        <v>17</v>
      </c>
      <c r="B42" s="15">
        <f>IFERROR(IF(OR(A42&gt;$B$19,F41=""),"",F41),"")</f>
        <v>53586.5723629089</v>
      </c>
      <c r="C42" s="15">
        <f>IFERROR(IF(OR(A42&gt;$B$19,B42=""),"",B42*$B$18),"")</f>
        <v>276.86395720836265</v>
      </c>
      <c r="D42" s="15">
        <f>IFERROR(IF(OR(A42&gt;$B$19,B42=""),"",IF(A42&lt;=$B$20,0,MIN(B42,$B$22-C42))),"")</f>
        <v>659.7084597051758</v>
      </c>
      <c r="E42" s="15">
        <f>IFERROR(IF(C42="","",C42+D42),"")</f>
        <v>936.5724169135384</v>
      </c>
      <c r="F42" s="15">
        <f>IFERROR(IF(D42="","",B42-D42),"")</f>
        <v>52926.863903203724</v>
      </c>
    </row>
    <row r="43">
      <c r="A43" s="38" t="n">
        <v>18</v>
      </c>
      <c r="B43" s="15">
        <f>IFERROR(IF(OR(A43&gt;$B$19,F42=""),"",F42),"")</f>
        <v>52926.863903203724</v>
      </c>
      <c r="C43" s="15">
        <f>IFERROR(IF(OR(A43&gt;$B$19,B43=""),"",B43*$B$18),"")</f>
        <v>273.4554634998859</v>
      </c>
      <c r="D43" s="15">
        <f>IFERROR(IF(OR(A43&gt;$B$19,B43=""),"",IF(A43&lt;=$B$20,0,MIN(B43,$B$22-C43))),"")</f>
        <v>663.1169534136525</v>
      </c>
      <c r="E43" s="15">
        <f>IFERROR(IF(C43="","",C43+D43),"")</f>
        <v>936.5724169135384</v>
      </c>
      <c r="F43" s="15">
        <f>IFERROR(IF(D43="","",B43-D43),"")</f>
        <v>52263.746949790075</v>
      </c>
    </row>
    <row r="44">
      <c r="A44" s="38" t="n">
        <v>19</v>
      </c>
      <c r="B44" s="15">
        <f>IFERROR(IF(OR(A44&gt;$B$19,F43=""),"",F43),"")</f>
        <v>52263.746949790075</v>
      </c>
      <c r="C44" s="15">
        <f>IFERROR(IF(OR(A44&gt;$B$19,B44=""),"",B44*$B$18),"")</f>
        <v>270.02935924058204</v>
      </c>
      <c r="D44" s="15">
        <f>IFERROR(IF(OR(A44&gt;$B$19,B44=""),"",IF(A44&lt;=$B$20,0,MIN(B44,$B$22-C44))),"")</f>
        <v>666.5430576729564</v>
      </c>
      <c r="E44" s="15">
        <f>IFERROR(IF(C44="","",C44+D44),"")</f>
        <v>936.5724169135384</v>
      </c>
      <c r="F44" s="15">
        <f>IFERROR(IF(D44="","",B44-D44),"")</f>
        <v>51597.20389211712</v>
      </c>
    </row>
    <row r="45">
      <c r="A45" s="38" t="n">
        <v>20</v>
      </c>
      <c r="B45" s="15">
        <f>IFERROR(IF(OR(A45&gt;$B$19,F44=""),"",F44),"")</f>
        <v>51597.20389211712</v>
      </c>
      <c r="C45" s="15">
        <f>IFERROR(IF(OR(A45&gt;$B$19,B45=""),"",B45*$B$18),"")</f>
        <v>266.5855534426051</v>
      </c>
      <c r="D45" s="15">
        <f>IFERROR(IF(OR(A45&gt;$B$19,B45=""),"",IF(A45&lt;=$B$20,0,MIN(B45,$B$22-C45))),"")</f>
        <v>669.9868634709333</v>
      </c>
      <c r="E45" s="15">
        <f>IFERROR(IF(C45="","",C45+D45),"")</f>
        <v>936.5724169135383</v>
      </c>
      <c r="F45" s="15">
        <f>IFERROR(IF(D45="","",B45-D45),"")</f>
        <v>50927.217028646184</v>
      </c>
    </row>
    <row r="46">
      <c r="A46" s="38" t="n">
        <v>21</v>
      </c>
      <c r="B46" s="15">
        <f>IFERROR(IF(OR(A46&gt;$B$19,F45=""),"",F45),"")</f>
        <v>50927.217028646184</v>
      </c>
      <c r="C46" s="15">
        <f>IFERROR(IF(OR(A46&gt;$B$19,B46=""),"",B46*$B$18),"")</f>
        <v>263.1239546480053</v>
      </c>
      <c r="D46" s="15">
        <f>IFERROR(IF(OR(A46&gt;$B$19,B46=""),"",IF(A46&lt;=$B$20,0,MIN(B46,$B$22-C46))),"")</f>
        <v>673.4484622655332</v>
      </c>
      <c r="E46" s="15">
        <f>IFERROR(IF(C46="","",C46+D46),"")</f>
        <v>936.5724169135385</v>
      </c>
      <c r="F46" s="15">
        <f>IFERROR(IF(D46="","",B46-D46),"")</f>
        <v>50253.76856638065</v>
      </c>
    </row>
    <row r="47">
      <c r="A47" s="38" t="n">
        <v>22</v>
      </c>
      <c r="B47" s="15">
        <f>IFERROR(IF(OR(A47&gt;$B$19,F46=""),"",F46),"")</f>
        <v>50253.76856638065</v>
      </c>
      <c r="C47" s="15">
        <f>IFERROR(IF(OR(A47&gt;$B$19,B47=""),"",B47*$B$18),"")</f>
        <v>259.6444709263</v>
      </c>
      <c r="D47" s="15">
        <f>IFERROR(IF(OR(A47&gt;$B$19,B47=""),"",IF(A47&lt;=$B$20,0,MIN(B47,$B$22-C47))),"")</f>
        <v>676.9279459872384</v>
      </c>
      <c r="E47" s="15">
        <f>IFERROR(IF(C47="","",C47+D47),"")</f>
        <v>936.5724169135385</v>
      </c>
      <c r="F47" s="15">
        <f>IFERROR(IF(D47="","",B47-D47),"")</f>
        <v>49576.84062039341</v>
      </c>
    </row>
    <row r="48">
      <c r="A48" s="38" t="n">
        <v>23</v>
      </c>
      <c r="B48" s="15">
        <f>IFERROR(IF(OR(A48&gt;$B$19,F47=""),"",F47),"")</f>
        <v>49576.84062039341</v>
      </c>
      <c r="C48" s="15">
        <f>IFERROR(IF(OR(A48&gt;$B$19,B48=""),"",B48*$B$18),"")</f>
        <v>256.1470098720326</v>
      </c>
      <c r="D48" s="15">
        <f>IFERROR(IF(OR(A48&gt;$B$19,B48=""),"",IF(A48&lt;=$B$20,0,MIN(B48,$B$22-C48))),"")</f>
        <v>680.4254070415059</v>
      </c>
      <c r="E48" s="15">
        <f>IFERROR(IF(C48="","",C48+D48),"")</f>
        <v>936.5724169135385</v>
      </c>
      <c r="F48" s="15">
        <f>IFERROR(IF(D48="","",B48-D48),"")</f>
        <v>48896.4152133519</v>
      </c>
    </row>
    <row r="49">
      <c r="A49" s="38" t="n">
        <v>24</v>
      </c>
      <c r="B49" s="15">
        <f>IFERROR(IF(OR(A49&gt;$B$19,F48=""),"",F48),"")</f>
        <v>48896.4152133519</v>
      </c>
      <c r="C49" s="15">
        <f>IFERROR(IF(OR(A49&gt;$B$19,B49=""),"",B49*$B$18),"")</f>
        <v>252.63147860231817</v>
      </c>
      <c r="D49" s="15">
        <f>IFERROR(IF(OR(A49&gt;$B$19,B49=""),"",IF(A49&lt;=$B$20,0,MIN(B49,$B$22-C49))),"")</f>
        <v>683.9409383112202</v>
      </c>
      <c r="E49" s="15">
        <f>IFERROR(IF(C49="","",C49+D49),"")</f>
        <v>936.5724169135383</v>
      </c>
      <c r="F49" s="15">
        <f>IFERROR(IF(D49="","",B49-D49),"")</f>
        <v>48212.47427504068</v>
      </c>
    </row>
    <row r="50">
      <c r="A50" s="38" t="n">
        <v>25</v>
      </c>
      <c r="B50" s="15">
        <f>IFERROR(IF(OR(A50&gt;$B$19,F49=""),"",F49),"")</f>
        <v>48212.47427504068</v>
      </c>
      <c r="C50" s="15">
        <f>IFERROR(IF(OR(A50&gt;$B$19,B50=""),"",B50*$B$18),"")</f>
        <v>249.09778375437685</v>
      </c>
      <c r="D50" s="15">
        <f>IFERROR(IF(OR(A50&gt;$B$19,B50=""),"",IF(A50&lt;=$B$20,0,MIN(B50,$B$22-C50))),"")</f>
        <v>687.4746331591616</v>
      </c>
      <c r="E50" s="15">
        <f>IFERROR(IF(C50="","",C50+D50),"")</f>
        <v>936.5724169135385</v>
      </c>
      <c r="F50" s="15">
        <f>IFERROR(IF(D50="","",B50-D50),"")</f>
        <v>47524.99964188152</v>
      </c>
    </row>
    <row r="51">
      <c r="A51" s="38" t="n">
        <v>26</v>
      </c>
      <c r="B51" s="15">
        <f>IFERROR(IF(OR(A51&gt;$B$19,F50=""),"",F50),"")</f>
        <v>47524.99964188152</v>
      </c>
      <c r="C51" s="15">
        <f>IFERROR(IF(OR(A51&gt;$B$19,B51=""),"",B51*$B$18),"")</f>
        <v>245.5458314830545</v>
      </c>
      <c r="D51" s="15">
        <f>IFERROR(IF(OR(A51&gt;$B$19,B51=""),"",IF(A51&lt;=$B$20,0,MIN(B51,$B$22-C51))),"")</f>
        <v>691.0265854304839</v>
      </c>
      <c r="E51" s="15">
        <f>IFERROR(IF(C51="","",C51+D51),"")</f>
        <v>936.5724169135384</v>
      </c>
      <c r="F51" s="15">
        <f>IFERROR(IF(D51="","",B51-D51),"")</f>
        <v>46833.97305645104</v>
      </c>
    </row>
    <row r="52">
      <c r="A52" s="38" t="n">
        <v>27</v>
      </c>
      <c r="B52" s="15">
        <f>IFERROR(IF(OR(A52&gt;$B$19,F51=""),"",F51),"")</f>
        <v>46833.97305645104</v>
      </c>
      <c r="C52" s="15">
        <f>IFERROR(IF(OR(A52&gt;$B$19,B52=""),"",B52*$B$18),"")</f>
        <v>241.97552745833036</v>
      </c>
      <c r="D52" s="15">
        <f>IFERROR(IF(OR(A52&gt;$B$19,B52=""),"",IF(A52&lt;=$B$20,0,MIN(B52,$B$22-C52))),"")</f>
        <v>694.596889455208</v>
      </c>
      <c r="E52" s="15">
        <f>IFERROR(IF(C52="","",C52+D52),"")</f>
        <v>936.5724169135384</v>
      </c>
      <c r="F52" s="15">
        <f>IFERROR(IF(D52="","",B52-D52),"")</f>
        <v>46139.37616699583</v>
      </c>
    </row>
    <row r="53">
      <c r="A53" s="38" t="n">
        <v>28</v>
      </c>
      <c r="B53" s="15">
        <f>IFERROR(IF(OR(A53&gt;$B$19,F52=""),"",F52),"")</f>
        <v>46139.37616699583</v>
      </c>
      <c r="C53" s="15">
        <f>IFERROR(IF(OR(A53&gt;$B$19,B53=""),"",B53*$B$18),"")</f>
        <v>238.38677686281181</v>
      </c>
      <c r="D53" s="15">
        <f>IFERROR(IF(OR(A53&gt;$B$19,B53=""),"",IF(A53&lt;=$B$20,0,MIN(B53,$B$22-C53))),"")</f>
        <v>698.1856400507265</v>
      </c>
      <c r="E53" s="15">
        <f>IFERROR(IF(C53="","",C53+D53),"")</f>
        <v>936.5724169135383</v>
      </c>
      <c r="F53" s="15">
        <f>IFERROR(IF(D53="","",B53-D53),"")</f>
        <v>45441.19052694511</v>
      </c>
    </row>
    <row r="54">
      <c r="A54" s="38" t="n">
        <v>29</v>
      </c>
      <c r="B54" s="15">
        <f>IFERROR(IF(OR(A54&gt;$B$19,F53=""),"",F53),"")</f>
        <v>45441.19052694511</v>
      </c>
      <c r="C54" s="15">
        <f>IFERROR(IF(OR(A54&gt;$B$19,B54=""),"",B54*$B$18),"")</f>
        <v>234.7794843892164</v>
      </c>
      <c r="D54" s="15">
        <f>IFERROR(IF(OR(A54&gt;$B$19,B54=""),"",IF(A54&lt;=$B$20,0,MIN(B54,$B$22-C54))),"")</f>
        <v>701.7929325243219</v>
      </c>
      <c r="E54" s="15">
        <f>IFERROR(IF(C54="","",C54+D54),"")</f>
        <v>936.5724169135383</v>
      </c>
      <c r="F54" s="15">
        <f>IFERROR(IF(D54="","",B54-D54),"")</f>
        <v>44739.397594420785</v>
      </c>
    </row>
    <row r="55">
      <c r="A55" s="38" t="n">
        <v>30</v>
      </c>
      <c r="B55" s="15">
        <f>IFERROR(IF(OR(A55&gt;$B$19,F54=""),"",F54),"")</f>
        <v>44739.397594420785</v>
      </c>
      <c r="C55" s="15">
        <f>IFERROR(IF(OR(A55&gt;$B$19,B55=""),"",B55*$B$18),"")</f>
        <v>231.15355423784072</v>
      </c>
      <c r="D55" s="15">
        <f>IFERROR(IF(OR(A55&gt;$B$19,B55=""),"",IF(A55&lt;=$B$20,0,MIN(B55,$B$22-C55))),"")</f>
        <v>705.4188626756977</v>
      </c>
      <c r="E55" s="15">
        <f>IFERROR(IF(C55="","",C55+D55),"")</f>
        <v>936.5724169135384</v>
      </c>
      <c r="F55" s="15">
        <f>IFERROR(IF(D55="","",B55-D55),"")</f>
        <v>44033.97873174509</v>
      </c>
    </row>
    <row r="56">
      <c r="A56" s="38" t="n">
        <v>31</v>
      </c>
      <c r="B56" s="15">
        <f>IFERROR(IF(OR(A56&gt;$B$19,F55=""),"",F55),"")</f>
        <v>44033.97873174509</v>
      </c>
      <c r="C56" s="15">
        <f>IFERROR(IF(OR(A56&gt;$B$19,B56=""),"",B56*$B$18),"")</f>
        <v>227.5088901140163</v>
      </c>
      <c r="D56" s="15">
        <f>IFERROR(IF(OR(A56&gt;$B$19,B56=""),"",IF(A56&lt;=$B$20,0,MIN(B56,$B$22-C56))),"")</f>
        <v>709.0635267995222</v>
      </c>
      <c r="E56" s="15">
        <f>IFERROR(IF(C56="","",C56+D56),"")</f>
        <v>936.5724169135385</v>
      </c>
      <c r="F56" s="15">
        <f>IFERROR(IF(D56="","",B56-D56),"")</f>
        <v>43324.915204945566</v>
      </c>
    </row>
    <row r="57">
      <c r="A57" s="38" t="n">
        <v>32</v>
      </c>
      <c r="B57" s="15">
        <f>IFERROR(IF(OR(A57&gt;$B$19,F56=""),"",F56),"")</f>
        <v>43324.915204945566</v>
      </c>
      <c r="C57" s="15">
        <f>IFERROR(IF(OR(A57&gt;$B$19,B57=""),"",B57*$B$18),"")</f>
        <v>223.8453952255521</v>
      </c>
      <c r="D57" s="15">
        <f>IFERROR(IF(OR(A57&gt;$B$19,B57=""),"",IF(A57&lt;=$B$20,0,MIN(B57,$B$22-C57))),"")</f>
        <v>712.7270216879863</v>
      </c>
      <c r="E57" s="15">
        <f>IFERROR(IF(C57="","",C57+D57),"")</f>
        <v>936.5724169135384</v>
      </c>
      <c r="F57" s="15">
        <f>IFERROR(IF(D57="","",B57-D57),"")</f>
        <v>42612.18818325758</v>
      </c>
    </row>
    <row r="58">
      <c r="A58" s="38" t="n">
        <v>33</v>
      </c>
      <c r="B58" s="15">
        <f>IFERROR(IF(OR(A58&gt;$B$19,F57=""),"",F57),"")</f>
        <v>42612.18818325758</v>
      </c>
      <c r="C58" s="15">
        <f>IFERROR(IF(OR(A58&gt;$B$19,B58=""),"",B58*$B$18),"")</f>
        <v>220.16297228016418</v>
      </c>
      <c r="D58" s="15">
        <f>IFERROR(IF(OR(A58&gt;$B$19,B58=""),"",IF(A58&lt;=$B$20,0,MIN(B58,$B$22-C58))),"")</f>
        <v>716.4094446333743</v>
      </c>
      <c r="E58" s="15">
        <f>IFERROR(IF(C58="","",C58+D58),"")</f>
        <v>936.5724169135385</v>
      </c>
      <c r="F58" s="15">
        <f>IFERROR(IF(D58="","",B58-D58),"")</f>
        <v>41895.778738624205</v>
      </c>
    </row>
    <row r="59">
      <c r="A59" s="38" t="n">
        <v>34</v>
      </c>
      <c r="B59" s="15">
        <f>IFERROR(IF(OR(A59&gt;$B$19,F58=""),"",F58),"")</f>
        <v>41895.778738624205</v>
      </c>
      <c r="C59" s="15">
        <f>IFERROR(IF(OR(A59&gt;$B$19,B59=""),"",B59*$B$18),"")</f>
        <v>216.46152348289172</v>
      </c>
      <c r="D59" s="15">
        <f>IFERROR(IF(OR(A59&gt;$B$19,B59=""),"",IF(A59&lt;=$B$20,0,MIN(B59,$B$22-C59))),"")</f>
        <v>720.1108934306467</v>
      </c>
      <c r="E59" s="15">
        <f>IFERROR(IF(C59="","",C59+D59),"")</f>
        <v>936.5724169135384</v>
      </c>
      <c r="F59" s="15">
        <f>IFERROR(IF(D59="","",B59-D59),"")</f>
        <v>41175.66784519356</v>
      </c>
    </row>
    <row r="60">
      <c r="A60" s="38" t="n">
        <v>35</v>
      </c>
      <c r="B60" s="15">
        <f>IFERROR(IF(OR(A60&gt;$B$19,F59=""),"",F59),"")</f>
        <v>41175.66784519356</v>
      </c>
      <c r="C60" s="15">
        <f>IFERROR(IF(OR(A60&gt;$B$19,B60=""),"",B60*$B$18),"")</f>
        <v>212.74095053350004</v>
      </c>
      <c r="D60" s="15">
        <f>IFERROR(IF(OR(A60&gt;$B$19,B60=""),"",IF(A60&lt;=$B$20,0,MIN(B60,$B$22-C60))),"")</f>
        <v>723.8314663800384</v>
      </c>
      <c r="E60" s="15">
        <f>IFERROR(IF(C60="","",C60+D60),"")</f>
        <v>936.5724169135384</v>
      </c>
      <c r="F60" s="15">
        <f>IFERROR(IF(D60="","",B60-D60),"")</f>
        <v>40451.83637881352</v>
      </c>
    </row>
    <row r="61">
      <c r="A61" s="38" t="n">
        <v>36</v>
      </c>
      <c r="B61" s="15">
        <f>IFERROR(IF(OR(A61&gt;$B$19,F60=""),"",F60),"")</f>
        <v>40451.83637881352</v>
      </c>
      <c r="C61" s="15">
        <f>IFERROR(IF(OR(A61&gt;$B$19,B61=""),"",B61*$B$18),"")</f>
        <v>209.00115462386984</v>
      </c>
      <c r="D61" s="15">
        <f>IFERROR(IF(OR(A61&gt;$B$19,B61=""),"",IF(A61&lt;=$B$20,0,MIN(B61,$B$22-C61))),"")</f>
        <v>727.5712622896685</v>
      </c>
      <c r="E61" s="15">
        <f>IFERROR(IF(C61="","",C61+D61),"")</f>
        <v>936.5724169135384</v>
      </c>
      <c r="F61" s="15">
        <f>IFERROR(IF(D61="","",B61-D61),"")</f>
        <v>39724.26511652385</v>
      </c>
    </row>
    <row r="62">
      <c r="A62" s="38" t="n">
        <v>37</v>
      </c>
      <c r="B62" s="15">
        <f>IFERROR(IF(OR(A62&gt;$B$19,F61=""),"",F61),"")</f>
        <v>39724.26511652385</v>
      </c>
      <c r="C62" s="15">
        <f>IFERROR(IF(OR(A62&gt;$B$19,B62=""),"",B62*$B$18),"")</f>
        <v>205.24203643537322</v>
      </c>
      <c r="D62" s="15">
        <f>IFERROR(IF(OR(A62&gt;$B$19,B62=""),"",IF(A62&lt;=$B$20,0,MIN(B62,$B$22-C62))),"")</f>
        <v>731.3303804781651</v>
      </c>
      <c r="E62" s="15">
        <f>IFERROR(IF(C62="","",C62+D62),"")</f>
        <v>936.5724169135383</v>
      </c>
      <c r="F62" s="15">
        <f>IFERROR(IF(D62="","",B62-D62),"")</f>
        <v>38992.93473604568</v>
      </c>
    </row>
    <row r="63">
      <c r="A63" s="38" t="n">
        <v>38</v>
      </c>
      <c r="B63" s="15">
        <f>IFERROR(IF(OR(A63&gt;$B$19,F62=""),"",F62),"")</f>
        <v>38992.93473604568</v>
      </c>
      <c r="C63" s="15">
        <f>IFERROR(IF(OR(A63&gt;$B$19,B63=""),"",B63*$B$18),"")</f>
        <v>201.46349613623602</v>
      </c>
      <c r="D63" s="15">
        <f>IFERROR(IF(OR(A63&gt;$B$19,B63=""),"",IF(A63&lt;=$B$20,0,MIN(B63,$B$22-C63))),"")</f>
        <v>735.1089207773024</v>
      </c>
      <c r="E63" s="15">
        <f>IFERROR(IF(C63="","",C63+D63),"")</f>
        <v>936.5724169135384</v>
      </c>
      <c r="F63" s="15">
        <f>IFERROR(IF(D63="","",B63-D63),"")</f>
        <v>38257.82581526838</v>
      </c>
    </row>
    <row r="64">
      <c r="A64" s="38" t="n">
        <v>39</v>
      </c>
      <c r="B64" s="15">
        <f>IFERROR(IF(OR(A64&gt;$B$19,F63=""),"",F63),"")</f>
        <v>38257.82581526838</v>
      </c>
      <c r="C64" s="15">
        <f>IFERROR(IF(OR(A64&gt;$B$19,B64=""),"",B64*$B$18),"")</f>
        <v>197.6654333788866</v>
      </c>
      <c r="D64" s="15">
        <f>IFERROR(IF(OR(A64&gt;$B$19,B64=""),"",IF(A64&lt;=$B$20,0,MIN(B64,$B$22-C64))),"")</f>
        <v>738.9069835346518</v>
      </c>
      <c r="E64" s="15">
        <f>IFERROR(IF(C64="","",C64+D64),"")</f>
        <v>936.5724169135384</v>
      </c>
      <c r="F64" s="15">
        <f>IFERROR(IF(D64="","",B64-D64),"")</f>
        <v>37518.918831733725</v>
      </c>
    </row>
    <row r="65">
      <c r="A65" s="38" t="n">
        <v>40</v>
      </c>
      <c r="B65" s="15">
        <f>IFERROR(IF(OR(A65&gt;$B$19,F64=""),"",F64),"")</f>
        <v>37518.918831733725</v>
      </c>
      <c r="C65" s="15">
        <f>IFERROR(IF(OR(A65&gt;$B$19,B65=""),"",B65*$B$18),"")</f>
        <v>193.8477472972909</v>
      </c>
      <c r="D65" s="15">
        <f>IFERROR(IF(OR(A65&gt;$B$19,B65=""),"",IF(A65&lt;=$B$20,0,MIN(B65,$B$22-C65))),"")</f>
        <v>742.7246696162475</v>
      </c>
      <c r="E65" s="15">
        <f>IFERROR(IF(C65="","",C65+D65),"")</f>
        <v>936.5724169135384</v>
      </c>
      <c r="F65" s="15">
        <f>IFERROR(IF(D65="","",B65-D65),"")</f>
        <v>36776.19416211748</v>
      </c>
    </row>
    <row r="66">
      <c r="A66" s="38" t="n">
        <v>41</v>
      </c>
      <c r="B66" s="15">
        <f>IFERROR(IF(OR(A66&gt;$B$19,F65=""),"",F65),"")</f>
        <v>36776.19416211748</v>
      </c>
      <c r="C66" s="15">
        <f>IFERROR(IF(OR(A66&gt;$B$19,B66=""),"",B66*$B$18),"")</f>
        <v>190.01033650427362</v>
      </c>
      <c r="D66" s="15">
        <f>IFERROR(IF(OR(A66&gt;$B$19,B66=""),"",IF(A66&lt;=$B$20,0,MIN(B66,$B$22-C66))),"")</f>
        <v>746.5620804092648</v>
      </c>
      <c r="E66" s="15">
        <f>IFERROR(IF(C66="","",C66+D66),"")</f>
        <v>936.5724169135384</v>
      </c>
      <c r="F66" s="15">
        <f>IFERROR(IF(D66="","",B66-D66),"")</f>
        <v>36029.632081708216</v>
      </c>
    </row>
    <row r="67">
      <c r="A67" s="38" t="n">
        <v>42</v>
      </c>
      <c r="B67" s="15">
        <f>IFERROR(IF(OR(A67&gt;$B$19,F66=""),"",F66),"")</f>
        <v>36029.632081708216</v>
      </c>
      <c r="C67" s="15">
        <f>IFERROR(IF(OR(A67&gt;$B$19,B67=""),"",B67*$B$18),"")</f>
        <v>186.15309908882577</v>
      </c>
      <c r="D67" s="15">
        <f>IFERROR(IF(OR(A67&gt;$B$19,B67=""),"",IF(A67&lt;=$B$20,0,MIN(B67,$B$22-C67))),"")</f>
        <v>750.4193178247126</v>
      </c>
      <c r="E67" s="15">
        <f>IFERROR(IF(C67="","",C67+D67),"")</f>
        <v>936.5724169135384</v>
      </c>
      <c r="F67" s="15">
        <f>IFERROR(IF(D67="","",B67-D67),"")</f>
        <v>35279.2127638835</v>
      </c>
    </row>
    <row r="68">
      <c r="A68" s="38" t="n">
        <v>43</v>
      </c>
      <c r="B68" s="15">
        <f>IFERROR(IF(OR(A68&gt;$B$19,F67=""),"",F67),"")</f>
        <v>35279.2127638835</v>
      </c>
      <c r="C68" s="15">
        <f>IFERROR(IF(OR(A68&gt;$B$19,B68=""),"",B68*$B$18),"")</f>
        <v>182.27593261339808</v>
      </c>
      <c r="D68" s="15">
        <f>IFERROR(IF(OR(A68&gt;$B$19,B68=""),"",IF(A68&lt;=$B$20,0,MIN(B68,$B$22-C68))),"")</f>
        <v>754.2964843001403</v>
      </c>
      <c r="E68" s="15">
        <f>IFERROR(IF(C68="","",C68+D68),"")</f>
        <v>936.5724169135383</v>
      </c>
      <c r="F68" s="15">
        <f>IFERROR(IF(D68="","",B68-D68),"")</f>
        <v>34524.91627958336</v>
      </c>
    </row>
    <row r="69">
      <c r="A69" s="38" t="n">
        <v>44</v>
      </c>
      <c r="B69" s="15">
        <f>IFERROR(IF(OR(A69&gt;$B$19,F68=""),"",F68),"")</f>
        <v>34524.91627958336</v>
      </c>
      <c r="C69" s="15">
        <f>IFERROR(IF(OR(A69&gt;$B$19,B69=""),"",B69*$B$18),"")</f>
        <v>178.3787341111807</v>
      </c>
      <c r="D69" s="15">
        <f>IFERROR(IF(OR(A69&gt;$B$19,B69=""),"",IF(A69&lt;=$B$20,0,MIN(B69,$B$22-C69))),"")</f>
        <v>758.1936828023577</v>
      </c>
      <c r="E69" s="15">
        <f>IFERROR(IF(C69="","",C69+D69),"")</f>
        <v>936.5724169135384</v>
      </c>
      <c r="F69" s="15">
        <f>IFERROR(IF(D69="","",B69-D69),"")</f>
        <v>33766.722596781</v>
      </c>
    </row>
    <row r="70">
      <c r="A70" s="38" t="n">
        <v>45</v>
      </c>
      <c r="B70" s="15">
        <f>IFERROR(IF(OR(A70&gt;$B$19,F69=""),"",F69),"")</f>
        <v>33766.722596781</v>
      </c>
      <c r="C70" s="15">
        <f>IFERROR(IF(OR(A70&gt;$B$19,B70=""),"",B70*$B$18),"")</f>
        <v>174.46140008336852</v>
      </c>
      <c r="D70" s="15">
        <f>IFERROR(IF(OR(A70&gt;$B$19,B70=""),"",IF(A70&lt;=$B$20,0,MIN(B70,$B$22-C70))),"")</f>
        <v>762.1110168301699</v>
      </c>
      <c r="E70" s="15">
        <f>IFERROR(IF(C70="","",C70+D70),"")</f>
        <v>936.5724169135384</v>
      </c>
      <c r="F70" s="15">
        <f>IFERROR(IF(D70="","",B70-D70),"")</f>
        <v>33004.61157995083</v>
      </c>
    </row>
    <row r="71">
      <c r="A71" s="38" t="n">
        <v>46</v>
      </c>
      <c r="B71" s="15">
        <f>IFERROR(IF(OR(A71&gt;$B$19,F70=""),"",F70),"")</f>
        <v>33004.61157995083</v>
      </c>
      <c r="C71" s="15">
        <f>IFERROR(IF(OR(A71&gt;$B$19,B71=""),"",B71*$B$18),"")</f>
        <v>170.52382649641262</v>
      </c>
      <c r="D71" s="15">
        <f>IFERROR(IF(OR(A71&gt;$B$19,B71=""),"",IF(A71&lt;=$B$20,0,MIN(B71,$B$22-C71))),"")</f>
        <v>766.0485904171258</v>
      </c>
      <c r="E71" s="15">
        <f>IFERROR(IF(C71="","",C71+D71),"")</f>
        <v>936.5724169135384</v>
      </c>
      <c r="F71" s="15">
        <f>IFERROR(IF(D71="","",B71-D71),"")</f>
        <v>32238.562989533708</v>
      </c>
    </row>
    <row r="72">
      <c r="A72" s="38" t="n">
        <v>47</v>
      </c>
      <c r="B72" s="15">
        <f>IFERROR(IF(OR(A72&gt;$B$19,F71=""),"",F71),"")</f>
        <v>32238.562989533708</v>
      </c>
      <c r="C72" s="15">
        <f>IFERROR(IF(OR(A72&gt;$B$19,B72=""),"",B72*$B$18),"")</f>
        <v>166.56590877925748</v>
      </c>
      <c r="D72" s="15">
        <f>IFERROR(IF(OR(A72&gt;$B$19,B72=""),"",IF(A72&lt;=$B$20,0,MIN(B72,$B$22-C72))),"")</f>
        <v>770.0065081342809</v>
      </c>
      <c r="E72" s="15">
        <f>IFERROR(IF(C72="","",C72+D72),"")</f>
        <v>936.5724169135384</v>
      </c>
      <c r="F72" s="15">
        <f>IFERROR(IF(D72="","",B72-D72),"")</f>
        <v>31468.556481399428</v>
      </c>
    </row>
    <row r="73">
      <c r="A73" s="38" t="n">
        <v>48</v>
      </c>
      <c r="B73" s="15">
        <f>IFERROR(IF(OR(A73&gt;$B$19,F72=""),"",F72),"")</f>
        <v>31468.556481399428</v>
      </c>
      <c r="C73" s="15">
        <f>IFERROR(IF(OR(A73&gt;$B$19,B73=""),"",B73*$B$18),"")</f>
        <v>162.5875418205637</v>
      </c>
      <c r="D73" s="15">
        <f>IFERROR(IF(OR(A73&gt;$B$19,B73=""),"",IF(A73&lt;=$B$20,0,MIN(B73,$B$22-C73))),"")</f>
        <v>773.9848750929747</v>
      </c>
      <c r="E73" s="15">
        <f>IFERROR(IF(C73="","",C73+D73),"")</f>
        <v>936.5724169135384</v>
      </c>
      <c r="F73" s="15">
        <f>IFERROR(IF(D73="","",B73-D73),"")</f>
        <v>30694.571606306454</v>
      </c>
    </row>
    <row r="74">
      <c r="A74" s="38" t="n">
        <v>49</v>
      </c>
      <c r="B74" s="15">
        <f>IFERROR(IF(OR(A74&gt;$B$19,F73=""),"",F73),"")</f>
        <v>30694.571606306454</v>
      </c>
      <c r="C74" s="15">
        <f>IFERROR(IF(OR(A74&gt;$B$19,B74=""),"",B74*$B$18),"")</f>
        <v>158.58861996591668</v>
      </c>
      <c r="D74" s="15">
        <f>IFERROR(IF(OR(A74&gt;$B$19,B74=""),"",IF(A74&lt;=$B$20,0,MIN(B74,$B$22-C74))),"")</f>
        <v>777.9837969476217</v>
      </c>
      <c r="E74" s="15">
        <f>IFERROR(IF(C74="","",C74+D74),"")</f>
        <v>936.5724169135384</v>
      </c>
      <c r="F74" s="15">
        <f>IFERROR(IF(D74="","",B74-D74),"")</f>
        <v>29916.587809358833</v>
      </c>
    </row>
    <row r="75">
      <c r="A75" s="38" t="n">
        <v>50</v>
      </c>
      <c r="B75" s="15">
        <f>IFERROR(IF(OR(A75&gt;$B$19,F74=""),"",F74),"")</f>
        <v>29916.587809358833</v>
      </c>
      <c r="C75" s="15">
        <f>IFERROR(IF(OR(A75&gt;$B$19,B75=""),"",B75*$B$18),"")</f>
        <v>154.56903701502063</v>
      </c>
      <c r="D75" s="15">
        <f>IFERROR(IF(OR(A75&gt;$B$19,B75=""),"",IF(A75&lt;=$B$20,0,MIN(B75,$B$22-C75))),"")</f>
        <v>782.0033798985178</v>
      </c>
      <c r="E75" s="15">
        <f>IFERROR(IF(C75="","",C75+D75),"")</f>
        <v>936.5724169135384</v>
      </c>
      <c r="F75" s="15">
        <f>IFERROR(IF(D75="","",B75-D75),"")</f>
        <v>29134.584429460316</v>
      </c>
    </row>
    <row r="76">
      <c r="A76" s="38" t="n">
        <v>51</v>
      </c>
      <c r="B76" s="15">
        <f>IFERROR(IF(OR(A76&gt;$B$19,F75=""),"",F75),"")</f>
        <v>29134.584429460316</v>
      </c>
      <c r="C76" s="15">
        <f>IFERROR(IF(OR(A76&gt;$B$19,B76=""),"",B76*$B$18),"")</f>
        <v>150.5286862188783</v>
      </c>
      <c r="D76" s="15">
        <f>IFERROR(IF(OR(A76&gt;$B$19,B76=""),"",IF(A76&lt;=$B$20,0,MIN(B76,$B$22-C76))),"")</f>
        <v>786.0437306946601</v>
      </c>
      <c r="E76" s="15">
        <f>IFERROR(IF(C76="","",C76+D76),"")</f>
        <v>936.5724169135384</v>
      </c>
      <c r="F76" s="15">
        <f>IFERROR(IF(D76="","",B76-D76),"")</f>
        <v>28348.540698765657</v>
      </c>
    </row>
    <row r="77">
      <c r="A77" s="38" t="n">
        <v>52</v>
      </c>
      <c r="B77" s="15">
        <f>IFERROR(IF(OR(A77&gt;$B$19,F76=""),"",F76),"")</f>
        <v>28348.540698765657</v>
      </c>
      <c r="C77" s="15">
        <f>IFERROR(IF(OR(A77&gt;$B$19,B77=""),"",B77*$B$18),"")</f>
        <v>146.4674602769559</v>
      </c>
      <c r="D77" s="15">
        <f>IFERROR(IF(OR(A77&gt;$B$19,B77=""),"",IF(A77&lt;=$B$20,0,MIN(B77,$B$22-C77))),"")</f>
        <v>790.1049566365825</v>
      </c>
      <c r="E77" s="15">
        <f>IFERROR(IF(C77="","",C77+D77),"")</f>
        <v>936.5724169135384</v>
      </c>
      <c r="F77" s="15">
        <f>IFERROR(IF(D77="","",B77-D77),"")</f>
        <v>27558.435742129073</v>
      </c>
    </row>
    <row r="78">
      <c r="A78" s="38" t="n">
        <v>53</v>
      </c>
      <c r="B78" s="15">
        <f>IFERROR(IF(OR(A78&gt;$B$19,F77=""),"",F77),"")</f>
        <v>27558.435742129073</v>
      </c>
      <c r="C78" s="15">
        <f>IFERROR(IF(OR(A78&gt;$B$19,B78=""),"",B78*$B$18),"")</f>
        <v>142.38525133433353</v>
      </c>
      <c r="D78" s="15">
        <f>IFERROR(IF(OR(A78&gt;$B$19,B78=""),"",IF(A78&lt;=$B$20,0,MIN(B78,$B$22-C78))),"")</f>
        <v>794.1871655792049</v>
      </c>
      <c r="E78" s="15">
        <f>IFERROR(IF(C78="","",C78+D78),"")</f>
        <v>936.5724169135385</v>
      </c>
      <c r="F78" s="15">
        <f>IFERROR(IF(D78="","",B78-D78),"")</f>
        <v>26764.248576549868</v>
      </c>
    </row>
    <row r="79">
      <c r="A79" s="38" t="n">
        <v>54</v>
      </c>
      <c r="B79" s="15">
        <f>IFERROR(IF(OR(A79&gt;$B$19,F78=""),"",F78),"")</f>
        <v>26764.248576549868</v>
      </c>
      <c r="C79" s="15">
        <f>IFERROR(IF(OR(A79&gt;$B$19,B79=""),"",B79*$B$18),"")</f>
        <v>138.281950978841</v>
      </c>
      <c r="D79" s="15">
        <f>IFERROR(IF(OR(A79&gt;$B$19,B79=""),"",IF(A79&lt;=$B$20,0,MIN(B79,$B$22-C79))),"")</f>
        <v>798.2904659346974</v>
      </c>
      <c r="E79" s="15">
        <f>IFERROR(IF(C79="","",C79+D79),"")</f>
        <v>936.5724169135384</v>
      </c>
      <c r="F79" s="15">
        <f>IFERROR(IF(D79="","",B79-D79),"")</f>
        <v>25965.95811061517</v>
      </c>
    </row>
    <row r="80">
      <c r="A80" s="38" t="n">
        <v>55</v>
      </c>
      <c r="B80" s="15">
        <f>IFERROR(IF(OR(A80&gt;$B$19,F79=""),"",F79),"")</f>
        <v>25965.95811061517</v>
      </c>
      <c r="C80" s="15">
        <f>IFERROR(IF(OR(A80&gt;$B$19,B80=""),"",B80*$B$18),"")</f>
        <v>134.15745023817837</v>
      </c>
      <c r="D80" s="15">
        <f>IFERROR(IF(OR(A80&gt;$B$19,B80=""),"",IF(A80&lt;=$B$20,0,MIN(B80,$B$22-C80))),"")</f>
        <v>802.41496667536</v>
      </c>
      <c r="E80" s="15">
        <f>IFERROR(IF(C80="","",C80+D80),"")</f>
        <v>936.5724169135384</v>
      </c>
      <c r="F80" s="15">
        <f>IFERROR(IF(D80="","",B80-D80),"")</f>
        <v>25163.543143939813</v>
      </c>
    </row>
    <row r="81">
      <c r="A81" s="38" t="n">
        <v>56</v>
      </c>
      <c r="B81" s="15">
        <f>IFERROR(IF(OR(A81&gt;$B$19,F80=""),"",F80),"")</f>
        <v>25163.543143939813</v>
      </c>
      <c r="C81" s="15">
        <f>IFERROR(IF(OR(A81&gt;$B$19,B81=""),"",B81*$B$18),"")</f>
        <v>130.01163957702235</v>
      </c>
      <c r="D81" s="15">
        <f>IFERROR(IF(OR(A81&gt;$B$19,B81=""),"",IF(A81&lt;=$B$20,0,MIN(B81,$B$22-C81))),"")</f>
        <v>806.560777336516</v>
      </c>
      <c r="E81" s="15">
        <f>IFERROR(IF(C81="","",C81+D81),"")</f>
        <v>936.5724169135384</v>
      </c>
      <c r="F81" s="15">
        <f>IFERROR(IF(D81="","",B81-D81),"")</f>
        <v>24356.982366603297</v>
      </c>
    </row>
    <row r="82">
      <c r="A82" s="38" t="n">
        <v>57</v>
      </c>
      <c r="B82" s="15">
        <f>IFERROR(IF(OR(A82&gt;$B$19,F81=""),"",F81),"")</f>
        <v>24356.982366603297</v>
      </c>
      <c r="C82" s="15">
        <f>IFERROR(IF(OR(A82&gt;$B$19,B82=""),"",B82*$B$18),"")</f>
        <v>125.84440889411704</v>
      </c>
      <c r="D82" s="15">
        <f>IFERROR(IF(OR(A82&gt;$B$19,B82=""),"",IF(A82&lt;=$B$20,0,MIN(B82,$B$22-C82))),"")</f>
        <v>810.7280080194214</v>
      </c>
      <c r="E82" s="15">
        <f>IFERROR(IF(C82="","",C82+D82),"")</f>
        <v>936.5724169135384</v>
      </c>
      <c r="F82" s="15">
        <f>IFERROR(IF(D82="","",B82-D82),"")</f>
        <v>23546.254358583876</v>
      </c>
    </row>
    <row r="83">
      <c r="A83" s="38" t="n">
        <v>58</v>
      </c>
      <c r="B83" s="15">
        <f>IFERROR(IF(OR(A83&gt;$B$19,F82=""),"",F82),"")</f>
        <v>23546.254358583876</v>
      </c>
      <c r="C83" s="15">
        <f>IFERROR(IF(OR(A83&gt;$B$19,B83=""),"",B83*$B$18),"")</f>
        <v>121.65564751935003</v>
      </c>
      <c r="D83" s="15">
        <f>IFERROR(IF(OR(A83&gt;$B$19,B83=""),"",IF(A83&lt;=$B$20,0,MIN(B83,$B$22-C83))),"")</f>
        <v>814.9167693941883</v>
      </c>
      <c r="E83" s="15">
        <f>IFERROR(IF(C83="","",C83+D83),"")</f>
        <v>936.5724169135384</v>
      </c>
      <c r="F83" s="15">
        <f>IFERROR(IF(D83="","",B83-D83),"")</f>
        <v>22731.337589189687</v>
      </c>
    </row>
    <row r="84">
      <c r="A84" s="38" t="n">
        <v>59</v>
      </c>
      <c r="B84" s="15">
        <f>IFERROR(IF(OR(A84&gt;$B$19,F83=""),"",F83),"")</f>
        <v>22731.337589189687</v>
      </c>
      <c r="C84" s="15">
        <f>IFERROR(IF(OR(A84&gt;$B$19,B84=""),"",B84*$B$18),"")</f>
        <v>117.44524421081339</v>
      </c>
      <c r="D84" s="15">
        <f>IFERROR(IF(OR(A84&gt;$B$19,B84=""),"",IF(A84&lt;=$B$20,0,MIN(B84,$B$22-C84))),"")</f>
        <v>819.127172702725</v>
      </c>
      <c r="E84" s="15">
        <f>IFERROR(IF(C84="","",C84+D84),"")</f>
        <v>936.5724169135384</v>
      </c>
      <c r="F84" s="15">
        <f>IFERROR(IF(D84="","",B84-D84),"")</f>
        <v>21912.210416486963</v>
      </c>
    </row>
    <row r="85">
      <c r="A85" s="38" t="n">
        <v>60</v>
      </c>
      <c r="B85" s="15">
        <f>IFERROR(IF(OR(A85&gt;$B$19,F84=""),"",F84),"")</f>
        <v>21912.210416486963</v>
      </c>
      <c r="C85" s="15">
        <f>IFERROR(IF(OR(A85&gt;$B$19,B85=""),"",B85*$B$18),"")</f>
        <v>113.21308715184931</v>
      </c>
      <c r="D85" s="15">
        <f>IFERROR(IF(OR(A85&gt;$B$19,B85=""),"",IF(A85&lt;=$B$20,0,MIN(B85,$B$22-C85))),"")</f>
        <v>823.3593297616891</v>
      </c>
      <c r="E85" s="15">
        <f>IFERROR(IF(C85="","",C85+D85),"")</f>
        <v>936.5724169135384</v>
      </c>
      <c r="F85" s="15">
        <f>IFERROR(IF(D85="","",B85-D85),"")</f>
        <v>21088.851086725273</v>
      </c>
    </row>
    <row r="86">
      <c r="A86" s="38" t="n">
        <v>61</v>
      </c>
      <c r="B86" s="15">
        <f>IFERROR(IF(OR(A86&gt;$B$19,F85=""),"",F85),"")</f>
        <v>21088.851086725273</v>
      </c>
      <c r="C86" s="15">
        <f>IFERROR(IF(OR(A86&gt;$B$19,B86=""),"",B86*$B$18),"")</f>
        <v>108.95906394808058</v>
      </c>
      <c r="D86" s="15">
        <f>IFERROR(IF(OR(A86&gt;$B$19,B86=""),"",IF(A86&lt;=$B$20,0,MIN(B86,$B$22-C86))),"")</f>
        <v>827.6133529654578</v>
      </c>
      <c r="E86" s="15">
        <f>IFERROR(IF(C86="","",C86+D86),"")</f>
        <v>936.5724169135384</v>
      </c>
      <c r="F86" s="15">
        <f>IFERROR(IF(D86="","",B86-D86),"")</f>
        <v>20261.237733759815</v>
      </c>
    </row>
    <row r="87">
      <c r="A87" s="38" t="n">
        <v>62</v>
      </c>
      <c r="B87" s="15">
        <f>IFERROR(IF(OR(A87&gt;$B$19,F86=""),"",F86),"")</f>
        <v>20261.237733759815</v>
      </c>
      <c r="C87" s="15">
        <f>IFERROR(IF(OR(A87&gt;$B$19,B87=""),"",B87*$B$18),"")</f>
        <v>104.68306162442572</v>
      </c>
      <c r="D87" s="15">
        <f>IFERROR(IF(OR(A87&gt;$B$19,B87=""),"",IF(A87&lt;=$B$20,0,MIN(B87,$B$22-C87))),"")</f>
        <v>831.8893552891127</v>
      </c>
      <c r="E87" s="15">
        <f>IFERROR(IF(C87="","",C87+D87),"")</f>
        <v>936.5724169135384</v>
      </c>
      <c r="F87" s="15">
        <f>IFERROR(IF(D87="","",B87-D87),"")</f>
        <v>19429.348378470702</v>
      </c>
    </row>
    <row r="88">
      <c r="A88" s="38" t="n">
        <v>63</v>
      </c>
      <c r="B88" s="15">
        <f>IFERROR(IF(OR(A88&gt;$B$19,F87=""),"",F87),"")</f>
        <v>19429.348378470702</v>
      </c>
      <c r="C88" s="15">
        <f>IFERROR(IF(OR(A88&gt;$B$19,B88=""),"",B88*$B$18),"")</f>
        <v>100.38496662209863</v>
      </c>
      <c r="D88" s="15">
        <f>IFERROR(IF(OR(A88&gt;$B$19,B88=""),"",IF(A88&lt;=$B$20,0,MIN(B88,$B$22-C88))),"")</f>
        <v>836.1874502914397</v>
      </c>
      <c r="E88" s="15">
        <f>IFERROR(IF(C88="","",C88+D88),"")</f>
        <v>936.5724169135384</v>
      </c>
      <c r="F88" s="15">
        <f>IFERROR(IF(D88="","",B88-D88),"")</f>
        <v>18593.160928179263</v>
      </c>
    </row>
    <row r="89">
      <c r="A89" s="38" t="n">
        <v>64</v>
      </c>
      <c r="B89" s="15">
        <f>IFERROR(IF(OR(A89&gt;$B$19,F88=""),"",F88),"")</f>
        <v>18593.160928179263</v>
      </c>
      <c r="C89" s="15">
        <f>IFERROR(IF(OR(A89&gt;$B$19,B89=""),"",B89*$B$18),"")</f>
        <v>96.06466479559286</v>
      </c>
      <c r="D89" s="15">
        <f>IFERROR(IF(OR(A89&gt;$B$19,B89=""),"",IF(A89&lt;=$B$20,0,MIN(B89,$B$22-C89))),"")</f>
        <v>840.5077521179455</v>
      </c>
      <c r="E89" s="15">
        <f>IFERROR(IF(C89="","",C89+D89),"")</f>
        <v>936.5724169135384</v>
      </c>
      <c r="F89" s="15">
        <f>IFERROR(IF(D89="","",B89-D89),"")</f>
        <v>17752.653176061318</v>
      </c>
    </row>
    <row r="90">
      <c r="A90" s="38" t="n">
        <v>65</v>
      </c>
      <c r="B90" s="15">
        <f>IFERROR(IF(OR(A90&gt;$B$19,F89=""),"",F89),"")</f>
        <v>17752.653176061318</v>
      </c>
      <c r="C90" s="15">
        <f>IFERROR(IF(OR(A90&gt;$B$19,B90=""),"",B90*$B$18),"")</f>
        <v>91.72204140965015</v>
      </c>
      <c r="D90" s="15">
        <f>IFERROR(IF(OR(A90&gt;$B$19,B90=""),"",IF(A90&lt;=$B$20,0,MIN(B90,$B$22-C90))),"")</f>
        <v>844.8503755038882</v>
      </c>
      <c r="E90" s="15">
        <f>IFERROR(IF(C90="","",C90+D90),"")</f>
        <v>936.5724169135384</v>
      </c>
      <c r="F90" s="15">
        <f>IFERROR(IF(D90="","",B90-D90),"")</f>
        <v>16907.80280055743</v>
      </c>
    </row>
    <row r="91">
      <c r="A91" s="38" t="n">
        <v>66</v>
      </c>
      <c r="B91" s="15">
        <f>IFERROR(IF(OR(A91&gt;$B$19,F90=""),"",F90),"")</f>
        <v>16907.80280055743</v>
      </c>
      <c r="C91" s="15">
        <f>IFERROR(IF(OR(A91&gt;$B$19,B91=""),"",B91*$B$18),"")</f>
        <v>87.35698113621339</v>
      </c>
      <c r="D91" s="15">
        <f>IFERROR(IF(OR(A91&gt;$B$19,B91=""),"",IF(A91&lt;=$B$20,0,MIN(B91,$B$22-C91))),"")</f>
        <v>849.215435777325</v>
      </c>
      <c r="E91" s="15">
        <f>IFERROR(IF(C91="","",C91+D91),"")</f>
        <v>936.5724169135383</v>
      </c>
      <c r="F91" s="15">
        <f>IFERROR(IF(D91="","",B91-D91),"")</f>
        <v>16058.587364780105</v>
      </c>
    </row>
    <row r="92">
      <c r="A92" s="38" t="n">
        <v>67</v>
      </c>
      <c r="B92" s="15">
        <f>IFERROR(IF(OR(A92&gt;$B$19,F91=""),"",F91),"")</f>
        <v>16058.587364780105</v>
      </c>
      <c r="C92" s="15">
        <f>IFERROR(IF(OR(A92&gt;$B$19,B92=""),"",B92*$B$18),"")</f>
        <v>82.96936805136387</v>
      </c>
      <c r="D92" s="15">
        <f>IFERROR(IF(OR(A92&gt;$B$19,B92=""),"",IF(A92&lt;=$B$20,0,MIN(B92,$B$22-C92))),"")</f>
        <v>853.6030488621745</v>
      </c>
      <c r="E92" s="15">
        <f>IFERROR(IF(C92="","",C92+D92),"")</f>
        <v>936.5724169135384</v>
      </c>
      <c r="F92" s="15">
        <f>IFERROR(IF(D92="","",B92-D92),"")</f>
        <v>15204.98431591793</v>
      </c>
    </row>
    <row r="93">
      <c r="A93" s="38" t="n">
        <v>68</v>
      </c>
      <c r="B93" s="15">
        <f>IFERROR(IF(OR(A93&gt;$B$19,F92=""),"",F92),"")</f>
        <v>15204.98431591793</v>
      </c>
      <c r="C93" s="15">
        <f>IFERROR(IF(OR(A93&gt;$B$19,B93=""),"",B93*$B$18),"")</f>
        <v>78.55908563224264</v>
      </c>
      <c r="D93" s="15">
        <f>IFERROR(IF(OR(A93&gt;$B$19,B93=""),"",IF(A93&lt;=$B$20,0,MIN(B93,$B$22-C93))),"")</f>
        <v>858.0133312812958</v>
      </c>
      <c r="E93" s="15">
        <f>IFERROR(IF(C93="","",C93+D93),"")</f>
        <v>936.5724169135384</v>
      </c>
      <c r="F93" s="15">
        <f>IFERROR(IF(D93="","",B93-D93),"")</f>
        <v>14346.970984636635</v>
      </c>
    </row>
    <row r="94">
      <c r="A94" s="38" t="n">
        <v>69</v>
      </c>
      <c r="B94" s="15">
        <f>IFERROR(IF(OR(A94&gt;$B$19,F93=""),"",F93),"")</f>
        <v>14346.970984636635</v>
      </c>
      <c r="C94" s="15">
        <f>IFERROR(IF(OR(A94&gt;$B$19,B94=""),"",B94*$B$18),"")</f>
        <v>74.12601675395595</v>
      </c>
      <c r="D94" s="15">
        <f>IFERROR(IF(OR(A94&gt;$B$19,B94=""),"",IF(A94&lt;=$B$20,0,MIN(B94,$B$22-C94))),"")</f>
        <v>862.4464001595825</v>
      </c>
      <c r="E94" s="15">
        <f>IFERROR(IF(C94="","",C94+D94),"")</f>
        <v>936.5724169135384</v>
      </c>
      <c r="F94" s="15">
        <f>IFERROR(IF(D94="","",B94-D94),"")</f>
        <v>13484.524584477052</v>
      </c>
    </row>
    <row r="95">
      <c r="A95" s="38" t="n">
        <v>70</v>
      </c>
      <c r="B95" s="15">
        <f>IFERROR(IF(OR(A95&gt;$B$19,F94=""),"",F94),"")</f>
        <v>13484.524584477052</v>
      </c>
      <c r="C95" s="15">
        <f>IFERROR(IF(OR(A95&gt;$B$19,B95=""),"",B95*$B$18),"")</f>
        <v>69.67004368646477</v>
      </c>
      <c r="D95" s="15">
        <f>IFERROR(IF(OR(A95&gt;$B$19,B95=""),"",IF(A95&lt;=$B$20,0,MIN(B95,$B$22-C95))),"")</f>
        <v>866.9023732270737</v>
      </c>
      <c r="E95" s="15">
        <f>IFERROR(IF(C95="","",C95+D95),"")</f>
        <v>936.5724169135384</v>
      </c>
      <c r="F95" s="15">
        <f>IFERROR(IF(D95="","",B95-D95),"")</f>
        <v>12617.622211249978</v>
      </c>
    </row>
    <row r="96">
      <c r="A96" s="38" t="n">
        <v>71</v>
      </c>
      <c r="B96" s="15">
        <f>IFERROR(IF(OR(A96&gt;$B$19,F95=""),"",F95),"")</f>
        <v>12617.622211249978</v>
      </c>
      <c r="C96" s="15">
        <f>IFERROR(IF(OR(A96&gt;$B$19,B96=""),"",B96*$B$18),"")</f>
        <v>65.19104809145821</v>
      </c>
      <c r="D96" s="15">
        <f>IFERROR(IF(OR(A96&gt;$B$19,B96=""),"",IF(A96&lt;=$B$20,0,MIN(B96,$B$22-C96))),"")</f>
        <v>871.3813688220802</v>
      </c>
      <c r="E96" s="15">
        <f>IFERROR(IF(C96="","",C96+D96),"")</f>
        <v>936.5724169135384</v>
      </c>
      <c r="F96" s="15">
        <f>IFERROR(IF(D96="","",B96-D96),"")</f>
        <v>11746.240842427898</v>
      </c>
    </row>
    <row r="97">
      <c r="A97" s="38" t="n">
        <v>72</v>
      </c>
      <c r="B97" s="15">
        <f>IFERROR(IF(OR(A97&gt;$B$19,F96=""),"",F96),"")</f>
        <v>11746.240842427898</v>
      </c>
      <c r="C97" s="15">
        <f>IFERROR(IF(OR(A97&gt;$B$19,B97=""),"",B97*$B$18),"")</f>
        <v>60.688911019210806</v>
      </c>
      <c r="D97" s="15">
        <f>IFERROR(IF(OR(A97&gt;$B$19,B97=""),"",IF(A97&lt;=$B$20,0,MIN(B97,$B$22-C97))),"")</f>
        <v>875.8835058943276</v>
      </c>
      <c r="E97" s="15">
        <f>IFERROR(IF(C97="","",C97+D97),"")</f>
        <v>936.5724169135384</v>
      </c>
      <c r="F97" s="15">
        <f>IFERROR(IF(D97="","",B97-D97),"")</f>
        <v>10870.35733653357</v>
      </c>
    </row>
    <row r="98">
      <c r="A98" s="38" t="n">
        <v>73</v>
      </c>
      <c r="B98" s="15">
        <f>IFERROR(IF(OR(A98&gt;$B$19,F97=""),"",F97),"")</f>
        <v>10870.35733653357</v>
      </c>
      <c r="C98" s="15">
        <f>IFERROR(IF(OR(A98&gt;$B$19,B98=""),"",B98*$B$18),"")</f>
        <v>56.163512905423445</v>
      </c>
      <c r="D98" s="15">
        <f>IFERROR(IF(OR(A98&gt;$B$19,B98=""),"",IF(A98&lt;=$B$20,0,MIN(B98,$B$22-C98))),"")</f>
        <v>880.408904008115</v>
      </c>
      <c r="E98" s="15">
        <f>IFERROR(IF(C98="","",C98+D98),"")</f>
        <v>936.5724169135384</v>
      </c>
      <c r="F98" s="15">
        <f>IFERROR(IF(D98="","",B98-D98),"")</f>
        <v>9989.948432525456</v>
      </c>
    </row>
    <row r="99">
      <c r="A99" s="38" t="n">
        <v>74</v>
      </c>
      <c r="B99" s="15">
        <f>IFERROR(IF(OR(A99&gt;$B$19,F98=""),"",F98),"")</f>
        <v>9989.948432525456</v>
      </c>
      <c r="C99" s="15">
        <f>IFERROR(IF(OR(A99&gt;$B$19,B99=""),"",B99*$B$18),"")</f>
        <v>51.61473356804819</v>
      </c>
      <c r="D99" s="15">
        <f>IFERROR(IF(OR(A99&gt;$B$19,B99=""),"",IF(A99&lt;=$B$20,0,MIN(B99,$B$22-C99))),"")</f>
        <v>884.9576833454902</v>
      </c>
      <c r="E99" s="15">
        <f>IFERROR(IF(C99="","",C99+D99),"")</f>
        <v>936.5724169135384</v>
      </c>
      <c r="F99" s="15">
        <f>IFERROR(IF(D99="","",B99-D99),"")</f>
        <v>9104.990749179966</v>
      </c>
    </row>
    <row r="100">
      <c r="A100" s="38" t="n">
        <v>75</v>
      </c>
      <c r="B100" s="15">
        <f>IFERROR(IF(OR(A100&gt;$B$19,F99=""),"",F99),"")</f>
        <v>9104.990749179966</v>
      </c>
      <c r="C100" s="15">
        <f>IFERROR(IF(OR(A100&gt;$B$19,B100=""),"",B100*$B$18),"")</f>
        <v>47.04245220409649</v>
      </c>
      <c r="D100" s="15">
        <f>IFERROR(IF(OR(A100&gt;$B$19,B100=""),"",IF(A100&lt;=$B$20,0,MIN(B100,$B$22-C100))),"")</f>
        <v>889.5299647094419</v>
      </c>
      <c r="E100" s="15">
        <f>IFERROR(IF(C100="","",C100+D100),"")</f>
        <v>936.5724169135383</v>
      </c>
      <c r="F100" s="15">
        <f>IFERROR(IF(D100="","",B100-D100),"")</f>
        <v>8215.460784470524</v>
      </c>
    </row>
    <row r="101">
      <c r="A101" s="38" t="n">
        <v>76</v>
      </c>
      <c r="B101" s="15">
        <f>IFERROR(IF(OR(A101&gt;$B$19,F100=""),"",F100),"")</f>
        <v>8215.460784470524</v>
      </c>
      <c r="C101" s="15">
        <f>IFERROR(IF(OR(A101&gt;$B$19,B101=""),"",B101*$B$18),"")</f>
        <v>42.44654738643104</v>
      </c>
      <c r="D101" s="15">
        <f>IFERROR(IF(OR(A101&gt;$B$19,B101=""),"",IF(A101&lt;=$B$20,0,MIN(B101,$B$22-C101))),"")</f>
        <v>894.1258695271074</v>
      </c>
      <c r="E101" s="15">
        <f>IFERROR(IF(C101="","",C101+D101),"")</f>
        <v>936.5724169135384</v>
      </c>
      <c r="F101" s="15">
        <f>IFERROR(IF(D101="","",B101-D101),"")</f>
        <v>7321.334914943417</v>
      </c>
    </row>
    <row r="102">
      <c r="A102" s="38" t="n">
        <v>77</v>
      </c>
      <c r="B102" s="15">
        <f>IFERROR(IF(OR(A102&gt;$B$19,F101=""),"",F101),"")</f>
        <v>7321.334914943417</v>
      </c>
      <c r="C102" s="15">
        <f>IFERROR(IF(OR(A102&gt;$B$19,B102=""),"",B102*$B$18),"")</f>
        <v>37.826897060540986</v>
      </c>
      <c r="D102" s="15">
        <f>IFERROR(IF(OR(A102&gt;$B$19,B102=""),"",IF(A102&lt;=$B$20,0,MIN(B102,$B$22-C102))),"")</f>
        <v>898.7455198529974</v>
      </c>
      <c r="E102" s="15">
        <f>IFERROR(IF(C102="","",C102+D102),"")</f>
        <v>936.5724169135384</v>
      </c>
      <c r="F102" s="15">
        <f>IFERROR(IF(D102="","",B102-D102),"")</f>
        <v>6422.589395090419</v>
      </c>
    </row>
    <row r="103">
      <c r="A103" s="38" t="n">
        <v>78</v>
      </c>
      <c r="B103" s="15">
        <f>IFERROR(IF(OR(A103&gt;$B$19,F102=""),"",F102),"")</f>
        <v>6422.589395090419</v>
      </c>
      <c r="C103" s="15">
        <f>IFERROR(IF(OR(A103&gt;$B$19,B103=""),"",B103*$B$18),"")</f>
        <v>33.1833785413005</v>
      </c>
      <c r="D103" s="15">
        <f>IFERROR(IF(OR(A103&gt;$B$19,B103=""),"",IF(A103&lt;=$B$20,0,MIN(B103,$B$22-C103))),"")</f>
        <v>903.3890383722379</v>
      </c>
      <c r="E103" s="15">
        <f>IFERROR(IF(C103="","",C103+D103),"")</f>
        <v>936.5724169135384</v>
      </c>
      <c r="F103" s="15">
        <f>IFERROR(IF(D103="","",B103-D103),"")</f>
        <v>5519.200356718181</v>
      </c>
    </row>
    <row r="104">
      <c r="A104" s="38" t="n">
        <v>79</v>
      </c>
      <c r="B104" s="15">
        <f>IFERROR(IF(OR(A104&gt;$B$19,F103=""),"",F103),"")</f>
        <v>5519.200356718181</v>
      </c>
      <c r="C104" s="15">
        <f>IFERROR(IF(OR(A104&gt;$B$19,B104=""),"",B104*$B$18),"")</f>
        <v>28.5158685097106</v>
      </c>
      <c r="D104" s="15">
        <f>IFERROR(IF(OR(A104&gt;$B$19,B104=""),"",IF(A104&lt;=$B$20,0,MIN(B104,$B$22-C104))),"")</f>
        <v>908.0565484038278</v>
      </c>
      <c r="E104" s="15">
        <f>IFERROR(IF(C104="","",C104+D104),"")</f>
        <v>936.5724169135384</v>
      </c>
      <c r="F104" s="15">
        <f>IFERROR(IF(D104="","",B104-D104),"")</f>
        <v>4611.143808314353</v>
      </c>
    </row>
    <row r="105">
      <c r="A105" s="38" t="n">
        <v>80</v>
      </c>
      <c r="B105" s="15">
        <f>IFERROR(IF(OR(A105&gt;$B$19,F104=""),"",F104),"")</f>
        <v>4611.143808314353</v>
      </c>
      <c r="C105" s="15">
        <f>IFERROR(IF(OR(A105&gt;$B$19,B105=""),"",B105*$B$18),"")</f>
        <v>23.82424300962416</v>
      </c>
      <c r="D105" s="15">
        <f>IFERROR(IF(OR(A105&gt;$B$19,B105=""),"",IF(A105&lt;=$B$20,0,MIN(B105,$B$22-C105))),"")</f>
        <v>912.7481739039142</v>
      </c>
      <c r="E105" s="15">
        <f>IFERROR(IF(C105="","",C105+D105),"")</f>
        <v>936.5724169135384</v>
      </c>
      <c r="F105" s="15">
        <f>IFERROR(IF(D105="","",B105-D105),"")</f>
        <v>3698.395634410439</v>
      </c>
    </row>
    <row r="106">
      <c r="A106" s="38" t="n">
        <v>81</v>
      </c>
      <c r="B106" s="15">
        <f>IFERROR(IF(OR(A106&gt;$B$19,F105=""),"",F105),"")</f>
        <v>3698.395634410439</v>
      </c>
      <c r="C106" s="15">
        <f>IFERROR(IF(OR(A106&gt;$B$19,B106=""),"",B106*$B$18),"")</f>
        <v>19.108377444453936</v>
      </c>
      <c r="D106" s="15">
        <f>IFERROR(IF(OR(A106&gt;$B$19,B106=""),"",IF(A106&lt;=$B$20,0,MIN(B106,$B$22-C106))),"")</f>
        <v>917.4640394690845</v>
      </c>
      <c r="E106" s="15">
        <f>IFERROR(IF(C106="","",C106+D106),"")</f>
        <v>936.5724169135384</v>
      </c>
      <c r="F106" s="15">
        <f>IFERROR(IF(D106="","",B106-D106),"")</f>
        <v>2780.9315949413544</v>
      </c>
    </row>
    <row r="107">
      <c r="A107" s="38" t="n">
        <v>82</v>
      </c>
      <c r="B107" s="15">
        <f>IFERROR(IF(OR(A107&gt;$B$19,F106=""),"",F106),"")</f>
        <v>2780.9315949413544</v>
      </c>
      <c r="C107" s="15">
        <f>IFERROR(IF(OR(A107&gt;$B$19,B107=""),"",B107*$B$18),"")</f>
        <v>14.368146573863665</v>
      </c>
      <c r="D107" s="15">
        <f>IFERROR(IF(OR(A107&gt;$B$19,B107=""),"",IF(A107&lt;=$B$20,0,MIN(B107,$B$22-C107))),"")</f>
        <v>922.2042703396747</v>
      </c>
      <c r="E107" s="15">
        <f>IFERROR(IF(C107="","",C107+D107),"")</f>
        <v>936.5724169135384</v>
      </c>
      <c r="F107" s="15">
        <f>IFERROR(IF(D107="","",B107-D107),"")</f>
        <v>1858.7273246016798</v>
      </c>
    </row>
    <row r="108">
      <c r="A108" s="38" t="n">
        <v>83</v>
      </c>
      <c r="B108" s="15">
        <f>IFERROR(IF(OR(A108&gt;$B$19,F107=""),"",F107),"")</f>
        <v>1858.7273246016798</v>
      </c>
      <c r="C108" s="15">
        <f>IFERROR(IF(OR(A108&gt;$B$19,B108=""),"",B108*$B$18),"")</f>
        <v>9.603424510442013</v>
      </c>
      <c r="D108" s="15">
        <f>IFERROR(IF(OR(A108&gt;$B$19,B108=""),"",IF(A108&lt;=$B$20,0,MIN(B108,$B$22-C108))),"")</f>
        <v>926.9689924030964</v>
      </c>
      <c r="E108" s="15">
        <f>IFERROR(IF(C108="","",C108+D108),"")</f>
        <v>936.5724169135384</v>
      </c>
      <c r="F108" s="15">
        <f>IFERROR(IF(D108="","",B108-D108),"")</f>
        <v>931.7583321985834</v>
      </c>
    </row>
    <row r="109">
      <c r="A109" s="38" t="n">
        <v>84</v>
      </c>
      <c r="B109" s="15">
        <f>IFERROR(IF(OR(A109&gt;$B$19,F108=""),"",F108),"")</f>
        <v>931.7583321985834</v>
      </c>
      <c r="C109" s="15">
        <f>IFERROR(IF(OR(A109&gt;$B$19,B109=""),"",B109*$B$18),"")</f>
        <v>4.814084716359347</v>
      </c>
      <c r="D109" s="15">
        <f>IFERROR(IF(OR(A109&gt;$B$19,B109=""),"",IF(A109&lt;=$B$20,0,MIN(B109,$B$22-C109))),"")</f>
        <v>931.758332197179</v>
      </c>
      <c r="E109" s="15">
        <f>IFERROR(IF(C109="","",C109+D109),"")</f>
        <v>936.5724169135384</v>
      </c>
      <c r="F109" s="15">
        <f>IFERROR(IF(D109="","",B109-D109),"")</f>
        <v>1.4043735063751228e-09</v>
      </c>
    </row>
    <row r="110">
      <c r="A110" t="inlineStr">
        <is>
          <t>Tolerancia de cierre del cuadro (€)</t>
        </is>
      </c>
      <c r="B110" s="14" t="n">
        <v>0.01</v>
      </c>
    </row>
    <row r="111">
      <c r="A111" t="inlineStr">
        <is>
          <t>Capital pendiente al vencimiento</t>
        </is>
      </c>
      <c r="B111" s="15">
        <f>IFERROR(IF($B$16="","",ROUND($B$16-SUM(D26:D109),2)),"")</f>
        <v>0.0</v>
      </c>
    </row>
    <row r="112">
      <c r="A112" t="inlineStr">
        <is>
          <t>¿Cierra el cuadro de amortización?</t>
        </is>
      </c>
      <c r="B112" t="str">
        <f>IFERROR(IF(B111="","",IF(ABS(B111)&lt;=B110,"Sí","No: revisa el plazo")),"")</f>
        <v>Sí</v>
      </c>
      <c r="H112" s="5" t="inlineStr">
        <is>
          <t>Tiene que decir «Sí»: el principal devuelto en el cuadro tiene que ser el prestado. Si dice que no, el plazo no da para amortizarlo con esa cuota y queda capital sin devolver al vencimiento.</t>
        </is>
      </c>
    </row>
    <row r="113"/>
    <row r="114">
      <c r="A114" s="4" t="inlineStr">
        <is>
          <t>RESUMEN POR AÑO Y COBERTURA DEL SERVICIO DE LA DEUDA (DSCR)</t>
        </is>
      </c>
    </row>
    <row r="115" ht="30" customHeight="1">
      <c r="A115" s="7" t="inlineStr">
        <is>
          <t>Año</t>
        </is>
      </c>
      <c r="B115" s="7" t="inlineStr">
        <is>
          <t>Intereses (€)</t>
        </is>
      </c>
      <c r="C115" s="7" t="inlineStr">
        <is>
          <t>Principal devuelto (€)</t>
        </is>
      </c>
      <c r="D115" s="7" t="inlineStr">
        <is>
          <t>Cuota total (€)</t>
        </is>
      </c>
      <c r="E115" s="7" t="inlineStr">
        <is>
          <t>Flujo disponible para la deuda (€)</t>
        </is>
      </c>
      <c r="F115" s="7" t="inlineStr">
        <is>
          <t>DSCR</t>
        </is>
      </c>
      <c r="G115" s="7" t="inlineStr"/>
      <c r="H115" s="7" t="inlineStr">
        <is>
          <t>Notas</t>
        </is>
      </c>
    </row>
    <row r="116">
      <c r="A116" s="38" t="n">
        <v>1</v>
      </c>
      <c r="B116" s="15">
        <f>IFERROR(SUM(C26:C37),"")</f>
        <v>3671.104818691272</v>
      </c>
      <c r="C116" s="15">
        <f>IFERROR(SUM(D26:D37),"")</f>
        <v>3808.3296827899585</v>
      </c>
      <c r="D116" s="15">
        <f>IFERROR(B116+C116,"")</f>
        <v>7479.434501481231</v>
      </c>
      <c r="E116" s="15">
        <f>IFERROR('PyG 3 Años'!B36-'PyG 3 Años'!B41+'PyG 3 Años'!B31+B116,"")</f>
        <v>24229.77278660763</v>
      </c>
      <c r="F116" s="39">
        <f>IFERROR(IF(OR(D116="",D116=0),"",E116/D116),"")</f>
        <v>3.2395193489306116</v>
      </c>
      <c r="H116" s="5" t="inlineStr">
        <is>
          <t>El flujo disponible se calcula ANTES de la deuda y DESPUÉS de impuestos: al resultado antes de impuestos se le resta la cuota del Impuesto de Sociedades y se le suma la amortización, que no se paga. Del año 4 en adelante se mantiene el flujo del año 3: este libro no proyecta más lejos, y decirlo es más honesto que inventarse un crecimiento.</t>
        </is>
      </c>
    </row>
    <row r="117">
      <c r="A117" s="38" t="n">
        <v>2</v>
      </c>
      <c r="B117" s="15">
        <f>IFERROR(SUM(C38:C49),"")</f>
        <v>3259.6729607930874</v>
      </c>
      <c r="C117" s="15">
        <f>IFERROR(SUM(D38:D49),"")</f>
        <v>7979.196042169371</v>
      </c>
      <c r="D117" s="15">
        <f>IFERROR(B117+C117,"")</f>
        <v>11238.86900296246</v>
      </c>
      <c r="E117" s="15">
        <f>IFERROR('PyG 3 Años'!C36-'PyG 3 Años'!C41+'PyG 3 Años'!C31+B117,"")</f>
        <v>47186.15972459537</v>
      </c>
      <c r="F117" s="39">
        <f>IFERROR(IF(OR(D117="",D117=0),"",E117/D117),"")</f>
        <v>4.198479376542029</v>
      </c>
    </row>
    <row r="118">
      <c r="A118" s="38" t="n">
        <v>3</v>
      </c>
      <c r="B118" s="15">
        <f>IFERROR(SUM(C50:C61),"")</f>
        <v>2750.6598444456245</v>
      </c>
      <c r="C118" s="15">
        <f>IFERROR(SUM(D50:D61),"")</f>
        <v>8488.209158516836</v>
      </c>
      <c r="D118" s="15">
        <f>IFERROR(B118+C118,"")</f>
        <v>11238.869002962461</v>
      </c>
      <c r="E118" s="15">
        <f>IFERROR('PyG 3 Años'!D36-'PyG 3 Años'!D41+'PyG 3 Años'!D31+B118,"")</f>
        <v>50356.866252313244</v>
      </c>
      <c r="F118" s="39">
        <f>IFERROR(IF(OR(D118="",D118=0),"",E118/D118),"")</f>
        <v>4.480599092225352</v>
      </c>
    </row>
    <row r="119">
      <c r="A119" s="38" t="n">
        <v>4</v>
      </c>
      <c r="B119" s="15">
        <f>IFERROR(SUM(C62:C73),"")</f>
        <v>2209.175492745067</v>
      </c>
      <c r="C119" s="15">
        <f>IFERROR(SUM(D62:D73),"")</f>
        <v>9029.693510217392</v>
      </c>
      <c r="D119" s="15">
        <f>IFERROR(B119+C119,"")</f>
        <v>11238.86900296246</v>
      </c>
      <c r="E119" s="15">
        <f>IFERROR('PyG 3 Años'!D36-'PyG 3 Años'!D41+'PyG 3 Años'!D31+B119,"")</f>
        <v>49815.38190061269</v>
      </c>
      <c r="F119" s="39">
        <f>IFERROR(IF(OR(D119="",D119=0),"",E119/D119),"")</f>
        <v>4.432419479885549</v>
      </c>
    </row>
    <row r="120">
      <c r="A120" s="38" t="n">
        <v>5</v>
      </c>
      <c r="B120" s="15">
        <f>IFERROR(SUM(C74:C85),"")</f>
        <v>1633.1484833812765</v>
      </c>
      <c r="C120" s="15">
        <f>IFERROR(SUM(D74:D85),"")</f>
        <v>9605.720519581186</v>
      </c>
      <c r="D120" s="15">
        <f>IFERROR(B120+C120,"")</f>
        <v>11238.869002962463</v>
      </c>
      <c r="E120" s="15">
        <f>IFERROR('PyG 3 Años'!D36-'PyG 3 Años'!D41+'PyG 3 Años'!D31+B120,"")</f>
        <v>49239.3548912489</v>
      </c>
      <c r="F120" s="39">
        <f>IFERROR(IF(OR(D120="",D120=0),"",E120/D120),"")</f>
        <v>4.381166368098948</v>
      </c>
    </row>
    <row r="121">
      <c r="A121" s="38" t="n">
        <v>6</v>
      </c>
      <c r="B121" s="15">
        <f>IFERROR(SUM(C86:C97),"")</f>
        <v>1020.3752527707576</v>
      </c>
      <c r="C121" s="15">
        <f>IFERROR(SUM(D86:D97),"")</f>
        <v>10218.493750191703</v>
      </c>
      <c r="D121" s="15">
        <f>IFERROR(B121+C121,"")</f>
        <v>11238.869002962461</v>
      </c>
      <c r="E121" s="15">
        <f>IFERROR('PyG 3 Años'!D36-'PyG 3 Años'!D41+'PyG 3 Años'!D31+B121,"")</f>
        <v>48626.581660638374</v>
      </c>
      <c r="F121" s="39">
        <f>IFERROR(IF(OR(D121="",D121=0),"",E121/D121),"")</f>
        <v>4.326643690554705</v>
      </c>
    </row>
    <row r="122">
      <c r="A122" s="38" t="n">
        <v>7</v>
      </c>
      <c r="B122" s="15">
        <f>IFERROR(SUM(C98:C109),"")</f>
        <v>368.51166643029444</v>
      </c>
      <c r="C122" s="15">
        <f>IFERROR(SUM(D98:D109),"")</f>
        <v>10870.357336532168</v>
      </c>
      <c r="D122" s="15">
        <f>IFERROR(B122+C122,"")</f>
        <v>11238.869002962463</v>
      </c>
      <c r="E122" s="15">
        <f>IFERROR('PyG 3 Años'!D36-'PyG 3 Años'!D41+'PyG 3 Años'!D31+B122,"")</f>
        <v>47974.71807429791</v>
      </c>
      <c r="F122" s="39">
        <f>IFERROR(IF(OR(D122="",D122=0),"",E122/D122),"")</f>
        <v>4.268642873375623</v>
      </c>
    </row>
    <row r="123">
      <c r="A123" s="23" t="inlineStr">
        <is>
          <t>DSCR mínimo de todo el cuadro</t>
        </is>
      </c>
      <c r="B123" s="40">
        <f>IFERROR(IF(COUNT(F116:F122)=0,"",MIN(F116:F122)),"")</f>
        <v>3.2395193489306116</v>
      </c>
      <c r="C123" s="23" t="n"/>
      <c r="D123" s="23" t="n"/>
      <c r="E123" s="23" t="n"/>
      <c r="F123" s="23" t="n"/>
      <c r="G123" s="23" t="n"/>
      <c r="H123" s="26" t="inlineStr">
        <is>
          <t>Es el PEOR año de los que dura el préstamo, no el mejor de los tres que proyecta el P&amp;L. Es el número que decide la operación.</t>
        </is>
      </c>
    </row>
    <row r="124">
      <c r="A124" t="inlineStr">
        <is>
          <t>Lectura del DSCR</t>
        </is>
      </c>
      <c r="B124" t="str">
        <f>IFERROR(IF(B123="","",IF(B123&lt;'0. Supuestos'!$B$58,"Por debajo del mínimo",IF(B123&lt;'0. Supuestos'!$B$59,"Entre el mínimo y el objetivo","En objetivo"))),"")</f>
        <v>En objetivo</v>
      </c>
    </row>
    <row r="125"/>
    <row r="126" ht="32" customHeight="1">
      <c r="A126" s="5" t="inlineStr">
        <is>
          <t>El año de carencia infla el DSCR: con sólo intereses en el denominador el ratio se dispara y no está midiendo el negocio, está midiendo que todavía no devuelves nada. Mira el año 2 y el año 3, que es cuando la cuota está completa.</t>
        </is>
      </c>
    </row>
  </sheetData>
  <sheetProtection selectLockedCells="0" selectUnlockedCells="0" sheet="1" objects="0" insertRows="0" insertHyperlinks="1" autoFilter="1" scenarios="0" formatColumns="0" deleteColumns="1" insertColumns="1" pivotTables="1" deleteRows="1" formatCells="1" formatRows="0" sort="0"/>
  <mergeCells count="3">
    <mergeCell ref="A126:H126"/>
    <mergeCell ref="A3:H3"/>
    <mergeCell ref="A23:H23"/>
  </mergeCells>
  <conditionalFormatting sqref="B12">
    <cfRule type="expression" priority="1" dxfId="0" stopIfTrue="1">
      <formula>=AND(ISNUMBER($B$12),$B$12&lt;0)</formula>
    </cfRule>
  </conditionalFormatting>
  <conditionalFormatting sqref="B123">
    <cfRule type="expression" priority="2" dxfId="0" stopIfTrue="1">
      <formula>=AND(ISNUMBER($B$123),$B$123&lt;'0. Supuestos'!$B$58)</formula>
    </cfRule>
  </conditionalFormatting>
  <pageMargins left="0.39" right="0.39" top="0.55" bottom="0.55"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J31"/>
  <sheetViews>
    <sheetView workbookViewId="0">
      <pane ySplit="5" topLeftCell="A6" activePane="bottomLeft" state="frozen"/>
      <selection pane="bottomLeft" activeCell="A1" sqref="A1"/>
    </sheetView>
  </sheetViews>
  <sheetFormatPr baseColWidth="8" defaultRowHeight="15"/>
  <cols>
    <col width="44" customWidth="1" min="1" max="1"/>
    <col width="12" customWidth="1" min="2" max="2"/>
    <col width="12" customWidth="1" min="3" max="3"/>
    <col width="13" customWidth="1" min="4" max="4"/>
    <col width="14" customWidth="1" min="5" max="5"/>
    <col width="11" customWidth="1" min="6" max="6"/>
    <col width="15" customWidth="1" min="7" max="7"/>
    <col width="16" customWidth="1" min="8" max="8"/>
    <col width="17" customWidth="1" min="9" max="9"/>
    <col width="78" customWidth="1" min="10" max="10"/>
  </cols>
  <sheetData>
    <row r="1" ht="26" customHeight="1">
      <c r="A1" s="1" t="inlineStr">
        <is>
          <t>Canales y Punto Muerto: Qué Canal Sostiene el Negocio</t>
        </is>
      </c>
    </row>
    <row r="2">
      <c r="A2" s="2" t="inlineStr">
        <is>
          <t>AI Chef Pro · aichef.pro — Cómo Montar una Pastelería</t>
        </is>
      </c>
    </row>
    <row r="3" ht="28" customHeight="1">
      <c r="A3" s="5" t="inlineStr">
        <is>
          <t>Cada canal tiene su margen, su coste de servir, su comisión y sus días de cobro. La suma no es lo interesante: lo interesante es qué pasa con el punto muerto cuando quitas uno.</t>
        </is>
      </c>
    </row>
    <row r="4"/>
    <row r="5" ht="32" customHeight="1">
      <c r="A5" s="7" t="inlineStr">
        <is>
          <t>Canal</t>
        </is>
      </c>
      <c r="B5" s="7" t="inlineStr">
        <is>
          <t>% de las ventas</t>
        </is>
      </c>
      <c r="C5" s="7" t="inlineStr">
        <is>
          <t>Margen bruto (%)</t>
        </is>
      </c>
      <c r="D5" s="7" t="inlineStr">
        <is>
          <t>Coste de servir (%)</t>
        </is>
      </c>
      <c r="E5" s="7" t="inlineStr">
        <is>
          <t>Comisión de plataforma (%)</t>
        </is>
      </c>
      <c r="F5" s="7" t="inlineStr">
        <is>
          <t>Días de cobro</t>
        </is>
      </c>
      <c r="G5" s="7" t="inlineStr">
        <is>
          <t>Margen de contribución (%)</t>
        </is>
      </c>
      <c r="H5" s="7" t="inlineStr">
        <is>
          <t>Ventas del año de crucero (€)</t>
        </is>
      </c>
      <c r="I5" s="7" t="inlineStr">
        <is>
          <t>Margen de contribución (€)</t>
        </is>
      </c>
      <c r="J5" s="7" t="inlineStr">
        <is>
          <t>Notas</t>
        </is>
      </c>
    </row>
    <row r="6" ht="44" customHeight="1">
      <c r="A6" s="9" t="inlineStr">
        <is>
          <t>Mostrador</t>
        </is>
      </c>
      <c r="B6" s="17" t="n">
        <v>0.78</v>
      </c>
      <c r="C6" s="17" t="n">
        <v>0.68</v>
      </c>
      <c r="D6" s="17" t="n">
        <v>0</v>
      </c>
      <c r="E6" s="17" t="n">
        <v>0</v>
      </c>
      <c r="F6" s="34" t="n">
        <v>0</v>
      </c>
      <c r="G6" s="16">
        <f>IFERROR(C6-D6-E6,"")</f>
        <v>0.68</v>
      </c>
      <c r="H6" s="15">
        <f>IFERROR(IF('PyG 3 Años'!$C$11="","",'PyG 3 Años'!$C$11*B6),"")</f>
        <v>251314.34068559096</v>
      </c>
      <c r="I6" s="15">
        <f>IFERROR(IF(H6="","",H6*G6),"")</f>
        <v>170893.75166620186</v>
      </c>
      <c r="J6" s="5" t="inlineStr">
        <is>
          <t>Cobro al contado. Es el canal que paga el alquiler.</t>
        </is>
      </c>
    </row>
    <row r="7" ht="44" customHeight="1">
      <c r="A7" s="9" t="inlineStr">
        <is>
          <t>Encargos</t>
        </is>
      </c>
      <c r="B7" s="17" t="n">
        <v>0.14</v>
      </c>
      <c r="C7" s="17" t="n">
        <v>0.7</v>
      </c>
      <c r="D7" s="17" t="n">
        <v>0.02</v>
      </c>
      <c r="E7" s="17" t="n">
        <v>0</v>
      </c>
      <c r="F7" s="34" t="n">
        <v>0</v>
      </c>
      <c r="G7" s="16">
        <f>IFERROR(C7-D7-E7,"")</f>
        <v>0.6799999999999999</v>
      </c>
      <c r="H7" s="15">
        <f>IFERROR(IF('PyG 3 Años'!$C$11="","",'PyG 3 Años'!$C$11*B7),"")</f>
        <v>45107.702174336846</v>
      </c>
      <c r="I7" s="15">
        <f>IFERROR(IF(H7="","",H7*G7),"")</f>
        <v>30673.237478549054</v>
      </c>
      <c r="J7" s="5" t="inlineStr">
        <is>
          <t>Anticipo del 30 % al reservar (supuesto): es lo que convierte una anulación en una molestia y no en una pérdida. Mejor margen porque el producto se hace contra pedido y la merma es cero.</t>
        </is>
      </c>
    </row>
    <row r="8" ht="44" customHeight="1">
      <c r="A8" s="9" t="inlineStr">
        <is>
          <t>B2B (cafeterías y restaurantes de la zona)</t>
        </is>
      </c>
      <c r="B8" s="17" t="n">
        <v>0.05</v>
      </c>
      <c r="C8" s="17" t="n">
        <v>0.52</v>
      </c>
      <c r="D8" s="17" t="n">
        <v>0.03</v>
      </c>
      <c r="E8" s="17" t="n">
        <v>0</v>
      </c>
      <c r="F8" s="34" t="n">
        <v>45</v>
      </c>
      <c r="G8" s="16">
        <f>IFERROR(C8-D8-E8,"")</f>
        <v>0.49</v>
      </c>
      <c r="H8" s="15">
        <f>IFERROR(IF('PyG 3 Años'!$C$11="","",'PyG 3 Años'!$C$11*B8),"")</f>
        <v>16109.893633691729</v>
      </c>
      <c r="I8" s="15">
        <f>IFERROR(IF(H8="","",H8*G8),"")</f>
        <v>7893.847880508947</v>
      </c>
      <c r="J8" s="5" t="inlineStr">
        <is>
          <t>El 5 % sale de PS-53 (venta a crédito a 30-60 días). Peor margen y cobro a 45 días: financias tú. Y ojo, es el canal que puede meterte en el art. 3 del RD 1021/2022 si dejas de ser marginal, localizado o restringido (PA-02): basta con servir a UN solo cliente inscrito en el RGSEAA para perder el requisito de «restringido».</t>
        </is>
      </c>
    </row>
    <row r="9" ht="44" customHeight="1">
      <c r="A9" s="9" t="inlineStr">
        <is>
          <t>Online y envío</t>
        </is>
      </c>
      <c r="B9" s="17" t="n">
        <v>0.03</v>
      </c>
      <c r="C9" s="17" t="n">
        <v>0.6</v>
      </c>
      <c r="D9" s="17" t="n">
        <v>0.09</v>
      </c>
      <c r="E9" s="17" t="n">
        <v>0</v>
      </c>
      <c r="F9" s="34" t="n">
        <v>0</v>
      </c>
      <c r="G9" s="16">
        <f>IFERROR(C9-D9-E9,"")</f>
        <v>0.51</v>
      </c>
      <c r="H9" s="15">
        <f>IFERROR(IF('PyG 3 Años'!$C$11="","",'PyG 3 Años'!$C$11*B9),"")</f>
        <v>9665.936180215036</v>
      </c>
      <c r="I9" s="15">
        <f>IFERROR(IF(H9="","",H9*G9),"")</f>
        <v>4929.627451909669</v>
      </c>
      <c r="J9" s="5" t="inlineStr">
        <is>
          <t>Comisión 0 % porque es web propia. Si vendes por marketplace, mete su comisión en la celda verde: es el número que decide si el canal existe. La venta a distancia YA está dentro de la definición de minorista (PA-01b y PA-27): vender online no te saca de este régimen. Y hay información obligatoria ANTES de la compra (PA-28).</t>
        </is>
      </c>
    </row>
    <row r="10">
      <c r="A10" s="23" t="inlineStr">
        <is>
          <t>TOTAL</t>
        </is>
      </c>
      <c r="B10" s="25">
        <f>IFERROR(IF(COUNT(B6:B9)=0,"",SUM(B6:B9)),"")</f>
        <v>1.0</v>
      </c>
      <c r="C10" s="23" t="n"/>
      <c r="D10" s="23" t="n"/>
      <c r="E10" s="23" t="n"/>
      <c r="F10" s="23" t="n"/>
      <c r="G10" s="25">
        <f>IFERROR(I10/H10,"")</f>
        <v>0.6654000000000001</v>
      </c>
      <c r="H10" s="24">
        <f>IFERROR(IF(COUNT(H6:H9)=0,"",SUM(H6:H9)),"")</f>
        <v>322197.87267383456</v>
      </c>
      <c r="I10" s="24">
        <f>IFERROR(IF(COUNT(I6:I9)=0,"",SUM(I6:I9)),"")</f>
        <v>214390.46447716956</v>
      </c>
      <c r="J10" s="26" t="inlineStr">
        <is>
          <t>La columna «% de las ventas» tiene que sumar 100 %. Si no suma, todo lo de abajo está mal.</t>
        </is>
      </c>
    </row>
    <row r="11"/>
    <row r="12">
      <c r="A12" s="4" t="inlineStr">
        <is>
          <t>EL PUNTO MUERTO, CANAL A CANAL</t>
        </is>
      </c>
    </row>
    <row r="13">
      <c r="A13" t="inlineStr">
        <is>
          <t>Costes fijos del año de crucero (€)</t>
        </is>
      </c>
      <c r="B13" s="15">
        <f>IFERROR('PyG 3 Años'!$C$33,"")</f>
        <v>186345.78546079306</v>
      </c>
    </row>
    <row r="14">
      <c r="A14" t="inlineStr">
        <is>
          <t>Costes fijos mensuales (€)</t>
        </is>
      </c>
      <c r="B14" s="15">
        <f>IFERROR(B13/12,"")</f>
        <v>15528.81545506609</v>
      </c>
    </row>
    <row r="15">
      <c r="A15" t="inlineStr">
        <is>
          <t>Margen de contribución medio ponderado (%)</t>
        </is>
      </c>
      <c r="B15" s="16">
        <f>IFERROR(G10,"")</f>
        <v>0.6654000000000001</v>
      </c>
    </row>
    <row r="16">
      <c r="A16" t="inlineStr">
        <is>
          <t>Margen bruto objetivo de la regla única (%)</t>
        </is>
      </c>
      <c r="B16" s="16">
        <f>IFERROR('0. Supuestos'!$B$23,"")</f>
        <v>0.6799999999999999</v>
      </c>
    </row>
    <row r="17">
      <c r="A17" t="inlineStr">
        <is>
          <t>Lo que se llevan servir, cobrar y las comisiones (%)</t>
        </is>
      </c>
      <c r="B17" s="16">
        <f>IFERROR(B16-B15,"")</f>
        <v>0.014599999999999835</v>
      </c>
      <c r="J17" s="5" t="inlineStr">
        <is>
          <t>La diferencia entre el margen bruto de la carta y el margen de contribución real. No es un error de ninguno de los dos: es lo que cuesta poner el producto en manos del cliente por cada vía.</t>
        </is>
      </c>
    </row>
    <row r="18">
      <c r="A18" s="23" t="inlineStr">
        <is>
          <t>Punto muerto mensual CON todos los canales (€)</t>
        </is>
      </c>
      <c r="B18" s="24">
        <f>IFERROR(IF(B15&lt;=0,"",B14/B15),"")</f>
        <v>23337.564555254114</v>
      </c>
      <c r="C18" s="23" t="n"/>
      <c r="D18" s="23" t="n"/>
      <c r="E18" s="23" t="n"/>
      <c r="F18" s="23" t="n"/>
      <c r="G18" s="23" t="n"/>
      <c r="H18" s="23" t="n"/>
      <c r="I18" s="23" t="n"/>
      <c r="J18" s="23" t="n"/>
    </row>
    <row r="19">
      <c r="A19" s="23" t="inlineStr">
        <is>
          <t>Punto muerto mensual SIN el canal B2B (€)</t>
        </is>
      </c>
      <c r="B19" s="24">
        <f>IFERROR(IF(OR(H10-H8&lt;=0,(I10-I8)/(H10-H8)&lt;=0),"",B14/((I10-I8)/(H10-H8))),"")</f>
        <v>23018.216074758595</v>
      </c>
      <c r="C19" s="23" t="n"/>
      <c r="D19" s="23" t="n"/>
      <c r="E19" s="23" t="n"/>
      <c r="F19" s="23" t="n"/>
      <c r="G19" s="23" t="n"/>
      <c r="H19" s="23" t="n"/>
      <c r="I19" s="23" t="n"/>
      <c r="J19" s="23" t="n"/>
    </row>
    <row r="20">
      <c r="A20" t="inlineStr">
        <is>
          <t>Diferencia (€/mes)</t>
        </is>
      </c>
      <c r="B20" s="15">
        <f>IFERROR(IF(OR(B19="",B18=""),"",B19-B18),"")</f>
        <v>-319.34848049551874</v>
      </c>
      <c r="J20" s="5" t="inlineStr">
        <is>
          <t>Si sale NEGATIVA, quitar el B2B te BAJA el punto muerto: ese canal estaba tirando del margen medio hacia abajo, y lo que aporta es volumen, no rentabilidad. Ojo, eso no dice que haya que cerrarlo: dice qué tienes que exigirle.</t>
        </is>
      </c>
    </row>
    <row r="21">
      <c r="A21" s="33" t="inlineStr">
        <is>
          <t>Canal que sostiene el negocio</t>
        </is>
      </c>
      <c r="B21" s="33" t="str">
        <f>IFERROR(IF(COUNT(I6:I9)=0,"",INDEX($A$6:$A$9,MATCH(MAX($I$6:$I$9),$I$6:$I$9,0))),"")</f>
        <v>Mostrador</v>
      </c>
    </row>
    <row r="22">
      <c r="A22" t="inlineStr">
        <is>
          <t>Aporte de ese canal al margen de contribución (%)</t>
        </is>
      </c>
      <c r="B22" s="16">
        <f>IFERROR(IF(I10="","",MAX($I$6:$I$9)/I10),"")</f>
        <v>0.7971145175834083</v>
      </c>
      <c r="J22" s="5" t="inlineStr">
        <is>
          <t>Es el canal que paga el alquiler. Todo lo que pongas en marcha en los otros tres se financia con éste, así que lo primero que hay que proteger es su margen.</t>
        </is>
      </c>
    </row>
    <row r="23"/>
    <row r="24">
      <c r="A24" s="4" t="inlineStr">
        <is>
          <t>EL AVISO DEL ART. 3: CUÁNDO EL B2B TE CAMBIA DE RÉGIMEN</t>
        </is>
      </c>
    </row>
    <row r="25">
      <c r="A25" t="inlineStr">
        <is>
          <t>Peso del B2B sobre las ventas (%)</t>
        </is>
      </c>
      <c r="B25" s="16">
        <f>IFERROR(B8,"")</f>
        <v>0.05</v>
      </c>
    </row>
    <row r="26">
      <c r="A26" t="inlineStr">
        <is>
          <t>Umbral de la vía a) del art. 3.2 (%)</t>
        </is>
      </c>
      <c r="B26" s="17" t="n">
        <v>0.25</v>
      </c>
      <c r="J26" s="5" t="inlineStr">
        <is>
          <t>Una actividad es marginal si el suministro a otros minoristas es menor o igual al 25 % del volumen anual O si la comercialización total no pasa de 500 kg a la semana. Son vías ALTERNATIVAS: basta cumplir una. La de los kilos se comprueba en el libro «checklist-legal-y-licencias».</t>
        </is>
      </c>
    </row>
    <row r="27">
      <c r="A27" s="33" t="inlineStr">
        <is>
          <t>Lectura del art. 3 por la vía del porcentaje</t>
        </is>
      </c>
      <c r="B27" s="33" t="str">
        <f>IFERROR(IF(B25=0,"Sin B2B: el art. 3 no te aplica",IF(B25&lt;=B26,"Marginal por la vía a): sigue la comprobación en el libro de licencias","Por encima del 25 %: comprueba la vía de los 500 kg antes de nada")),"")</f>
        <v>Marginal por la vía a): sigue la comprobación en el libro de licencias</v>
      </c>
    </row>
    <row r="28" ht="44" customHeight="1">
      <c r="A28" s="5" t="inlineStr">
        <is>
          <t>El art. 3 del RD 1021/2022 sólo se activa si suministras a establecimientos minoristas de DISTINTA titularidad. Si entras, las tres condiciones son ACUMULATIVAS -marginal Y localizado Y restringido- y hay que presentar declaración responsable y llevar registro de destinatarios, cantidades y fechas. Este aviso mira sólo el porcentaje: el árbol completo está en el libro «checklist-legal-y-licencias».</t>
        </is>
      </c>
    </row>
    <row r="29">
      <c r="A29" t="inlineStr">
        <is>
          <t>Días medios de cobro ponderados</t>
        </is>
      </c>
      <c r="B29" s="20">
        <f>IFERROR('0. Supuestos'!$B$52,"")</f>
        <v>2.25</v>
      </c>
      <c r="J29" s="5" t="inlineStr">
        <is>
          <t>Es el número que usa la hoja de Tesorería para desfasar los cobros. Sube solo en cuanto crece el B2B, y ése es su coste oculto: no es sólo que deje menos margen, es que lo deja más tarde.</t>
        </is>
      </c>
    </row>
    <row r="30"/>
    <row r="31" ht="44" customHeight="1">
      <c r="A31" s="5" t="inlineStr">
        <is>
          <t>Los porcentajes de esta hoja son SUPUESTOS salvo el peso del B2B, que sale de la única cifra publicada de estructura de cobro de una pastelería española: 95 % de venta directa y 5 % a crédito a 30-60 días. El reparto entre mostrador, encargos y online es una hipótesis de trabajo: cámbiala por la tuya en cuanto tengas tres meses de datos reales del TPV.</t>
        </is>
      </c>
    </row>
  </sheetData>
  <sheetProtection selectLockedCells="0" selectUnlockedCells="0" sheet="1" objects="0" insertRows="0" insertHyperlinks="1" autoFilter="1" scenarios="0" formatColumns="0" deleteColumns="1" insertColumns="1" pivotTables="1" deleteRows="1" formatCells="1" formatRows="0" sort="0"/>
  <mergeCells count="3">
    <mergeCell ref="A31:J31"/>
    <mergeCell ref="A28:J28"/>
    <mergeCell ref="A3:J3"/>
  </mergeCells>
  <pageMargins left="0.39" right="0.39" top="0.55" bottom="0.55"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a 3 años</dc:title>
  <dc:subject xmlns:dc="http://purl.org/dc/elements/1.1/">Cómo Montar una Pastelería · Versión 1.0 · septiembre 2026</dc:subject>
  <dcterms:created xmlns:dcterms="http://purl.org/dc/terms/" xmlns:xsi="http://www.w3.org/2001/XMLSchema-instance" xsi:type="dcterms:W3CDTF">2026-09-10T05:29:27Z</dcterms:created>
  <dcterms:modified xmlns:dcterms="http://purl.org/dc/terms/" xmlns:xsi="http://www.w3.org/2001/XMLSchema-instance" xsi:type="dcterms:W3CDTF">2026-09-10T05:29:27Z</dcterms:modified>
  <cp:lastModifiedBy>AI Chef Pro</cp:lastModifiedBy>
</cp:coreProperties>
</file>