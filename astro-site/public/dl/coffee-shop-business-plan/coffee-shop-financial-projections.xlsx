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4">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name val="Calibri"/>
      <color rgb="006B6B6B"/>
      <sz val="10"/>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7" fillId="0" borderId="0" pivotButton="0" quotePrefix="0" xfId="0"/>
    <xf numFmtId="0" fontId="8" fillId="0" borderId="0" applyAlignment="1" pivotButton="0" quotePrefix="0" xfId="0">
      <alignment horizontal="left" vertical="center" wrapText="1"/>
    </xf>
    <xf numFmtId="0" fontId="5" fillId="0" borderId="0" pivotButton="0" quotePrefix="0" xfId="0"/>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9"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1" fillId="0" borderId="3" pivotButton="0" quotePrefix="0" xfId="0"/>
    <xf numFmtId="164" fontId="11" fillId="0" borderId="3" pivotButton="0" quotePrefix="0" xfId="0"/>
    <xf numFmtId="166" fontId="11" fillId="0" borderId="3" pivotButton="0" quotePrefix="0" xfId="0"/>
    <xf numFmtId="0" fontId="10" fillId="0" borderId="3" pivotButton="0" quotePrefix="0" xfId="0"/>
    <xf numFmtId="164" fontId="10" fillId="4" borderId="3" applyProtection="1" pivotButton="0" quotePrefix="0" xfId="0">
      <protection locked="0" hidden="0"/>
    </xf>
    <xf numFmtId="166" fontId="10" fillId="0" borderId="3" pivotButton="0" quotePrefix="0" xfId="0"/>
    <xf numFmtId="0" fontId="10" fillId="4" borderId="3" applyProtection="1" pivotButton="0" quotePrefix="0" xfId="0">
      <protection locked="0" hidden="0"/>
    </xf>
    <xf numFmtId="164" fontId="10" fillId="0" borderId="3" pivotButton="0" quotePrefix="0" xfId="0"/>
    <xf numFmtId="0" fontId="13"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1" fillId="0" borderId="3" applyAlignment="1" pivotButton="0" quotePrefix="0" xfId="0">
      <alignment horizontal="general" vertical="top" wrapText="1"/>
    </xf>
    <xf numFmtId="3" fontId="10" fillId="0" borderId="3" pivotButton="0" quotePrefix="0" xfId="0"/>
    <xf numFmtId="165" fontId="10" fillId="0" borderId="3" pivotButton="0" quotePrefix="0" xfId="0"/>
    <xf numFmtId="3" fontId="0" fillId="0" borderId="0" pivotButton="0" quotePrefix="0" xfId="0"/>
    <xf numFmtId="166" fontId="13" fillId="4" borderId="0" applyProtection="1" pivotButton="0" quotePrefix="0" xfId="0">
      <protection locked="0" hidden="0"/>
    </xf>
    <xf numFmtId="167" fontId="10" fillId="0" borderId="3" pivotButton="0" quotePrefix="0" xfId="0"/>
    <xf numFmtId="167" fontId="11" fillId="0" borderId="3" pivotButton="0" quotePrefix="0" xfId="0"/>
    <xf numFmtId="167" fontId="10" fillId="4" borderId="3" applyProtection="1" pivotButton="0" quotePrefix="0" xfId="0">
      <protection locked="0" hidden="0"/>
    </xf>
    <xf numFmtId="0" fontId="10" fillId="0" borderId="3" applyAlignment="1" pivotButton="0" quotePrefix="0" xfId="0">
      <alignment horizontal="general" vertical="top" wrapText="1"/>
    </xf>
    <xf numFmtId="165" fontId="11" fillId="0" borderId="3" pivotButton="0" quotePrefix="0" xfId="0"/>
    <xf numFmtId="167" fontId="0" fillId="0" borderId="0" pivotButton="0" quotePrefix="0" xfId="0"/>
    <xf numFmtId="3" fontId="10" fillId="4" borderId="3" applyProtection="1" pivotButton="0" quotePrefix="0" xfId="0">
      <protection locked="0" hidden="0"/>
    </xf>
    <xf numFmtId="165" fontId="10" fillId="4" borderId="3" applyProtection="1" pivotButton="0" quotePrefix="0" xfId="0">
      <protection locked="0" hidden="0"/>
    </xf>
    <xf numFmtId="9" fontId="10" fillId="4" borderId="3" applyProtection="1" pivotButton="0" quotePrefix="0" xfId="0">
      <protection locked="0" hidden="0"/>
    </xf>
    <xf numFmtId="3" fontId="12" fillId="0" borderId="0" pivotButton="0" quotePrefix="0" xfId="0"/>
    <xf numFmtId="4" fontId="12" fillId="0" borderId="0" pivotButton="0" quotePrefix="0" xfId="0"/>
    <xf numFmtId="165" fontId="12" fillId="0" borderId="0" pivotButton="0" quotePrefix="0" xfId="0"/>
    <xf numFmtId="164" fontId="13" fillId="4" borderId="0" applyProtection="1" pivotButton="0" quotePrefix="0" xfId="0">
      <protection locked="0" hidden="0"/>
    </xf>
    <xf numFmtId="3" fontId="13" fillId="4" borderId="0" applyProtection="1" pivotButton="0" quotePrefix="0" xfId="0">
      <protection locked="0" hidden="0"/>
    </xf>
    <xf numFmtId="167" fontId="13"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10" fillId="4" borderId="3" applyProtection="1" pivotButton="0" quotePrefix="0" xfId="0">
      <protection locked="0" hidden="0"/>
    </xf>
    <xf numFmtId="4" fontId="10" fillId="0" borderId="3" pivotButton="0" quotePrefix="0" xfId="0"/>
    <xf numFmtId="4" fontId="11" fillId="0" borderId="3" pivotButton="0" quotePrefix="0" xfId="0"/>
    <xf numFmtId="166" fontId="0" fillId="4" borderId="0" applyProtection="1" pivotButton="0" quotePrefix="0" xfId="0">
      <protection locked="0" hidden="0"/>
    </xf>
    <xf numFmtId="166" fontId="0" fillId="0" borderId="0" pivotButton="0" quotePrefix="0" xfId="0"/>
    <xf numFmtId="3" fontId="11" fillId="0" borderId="3" pivotButton="0" quotePrefix="0" xfId="0"/>
    <xf numFmtId="166" fontId="11" fillId="0" borderId="3" pivotButton="0" quotePrefix="0" xfId="0"/>
    <xf numFmtId="166" fontId="10" fillId="0" borderId="3" pivotButton="0" quotePrefix="0" xfId="0"/>
    <xf numFmtId="166" fontId="12" fillId="0" borderId="0" pivotButton="0" quotePrefix="0" xfId="0"/>
    <xf numFmtId="166" fontId="13" fillId="4" borderId="0" applyProtection="1" pivotButton="0" quotePrefix="0" xfId="0">
      <protection locked="0" hidden="0"/>
    </xf>
    <xf numFmtId="4" fontId="10" fillId="4" borderId="3" applyProtection="1" pivotButton="0" quotePrefix="0" xfId="0">
      <protection locked="0" hidden="0"/>
    </xf>
    <xf numFmtId="0" fontId="0" fillId="0" borderId="0" applyAlignment="1" pivotButton="0" quotePrefix="0" xfId="0">
      <alignment horizontal="left" vertical="top" wrapText="1"/>
    </xf>
    <xf numFmtId="166" fontId="10"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9" t="inlineStr">
        <is>
          <t>ASSUMPTIONS — the RATES and DRIVERS of the model are typed here</t>
        </is>
      </c>
    </row>
    <row r="2" ht="59.75" customHeight="1">
      <c r="A2" s="20" t="inlineStr">
        <is>
          <t>Change the GREEN cells: the rest of the workbook recalculates on its own. Expense items are typed on their own tab (also in green) and are not repeated here. Amounts are in your currency.</t>
        </is>
      </c>
    </row>
    <row r="3">
      <c r="A3" s="19" t="inlineStr">
        <is>
          <t>BUSINESS ACTIVITY</t>
        </is>
      </c>
    </row>
    <row r="4">
      <c r="A4" t="inlineStr">
        <is>
          <t>Customers per day (year-1 average)</t>
        </is>
      </c>
      <c r="B4" s="21" t="n">
        <v>145</v>
      </c>
      <c r="C4" t="inlineStr">
        <is>
          <t>Customers served per day, averaged over the year, counting bar coffee and table brunch. Inside the 100-250 range that the industry benchmarks table of this workbook publishes for a small coffee shop; the seat turns this implies are calculated by the "Implied seat turns per day" cell on this same tab</t>
        </is>
      </c>
    </row>
    <row r="5">
      <c r="A5" t="inlineStr">
        <is>
          <t>Average check (excl. sales tax)</t>
        </is>
      </c>
      <c r="B5" s="28" t="n">
        <v>11</v>
      </c>
      <c r="C5" t="inlineStr">
        <is>
          <t>EXCL. SALES TAX. The equivalent menu price is calculated by the "Menu price incl. sales tax (calculated)" cell on this same tab; compare it with the "Combined average check" in the industry benchmarks table, further down on the "Instructions" tab</t>
        </is>
      </c>
    </row>
    <row r="6">
      <c r="A6" t="inlineStr">
        <is>
          <t>Operating days per year</t>
        </is>
      </c>
      <c r="B6" s="21" t="n">
        <v>340</v>
      </c>
      <c r="C6" t="inlineStr">
        <is>
          <t>The SAME number feeds the "3-Year P&amp;L", the "Break-Even" tab and the "Scenarios" tab, so all three always work on the same operating calendar</t>
        </is>
      </c>
    </row>
    <row r="7">
      <c r="A7" t="inlineStr">
        <is>
          <t>Volume growth in year 2</t>
        </is>
      </c>
      <c r="B7" s="68" t="n">
        <v>0.07000000000000001</v>
      </c>
      <c r="C7" t="inlineStr">
        <is>
          <t>Second year, with the neighborhood regulars already loyal. This is peak-hour occupancy, not brand-new customers: year 1 already starts from a steady base of customers per day</t>
        </is>
      </c>
    </row>
    <row r="8">
      <c r="A8" t="inlineStr">
        <is>
          <t>Volume growth in year 3</t>
        </is>
      </c>
      <c r="B8" s="68" t="n">
        <v>0.05</v>
      </c>
      <c r="C8" t="inlineStr">
        <is>
          <t>Third year, close to the seating ceiling during peak hours</t>
        </is>
      </c>
    </row>
    <row r="9">
      <c r="A9" t="inlineStr">
        <is>
          <t>Menu price incl. sales tax (calculated)</t>
        </is>
      </c>
      <c r="B9" s="27">
        <f>IFERROR(IF($B$5="","",$B$5*(1+SUMPRODUCT('3-Year P&amp;L'!$E$10:$E$11,'3-Year P&amp;L'!$G$10:$G$11))),"")</f>
        <v>11.88</v>
      </c>
      <c r="C9" t="str">
        <f>IFERROR("Average check excl. sales tax plus the weighted sales tax of your sales lines ("&amp;TEXT(SUMPRODUCT('3-Year P&amp;L'!$E$10:$E$11,'3-Year P&amp;L'!$G$10:$G$11)*100,"0")&amp;"%), rounded. In the US, menu prices usually exclude sales tax and it is added at the register; in the UK, menu prices include VAT.","")</f>
        <v>Average check excl. sales tax plus the weighted sales tax of your sales lines (8%), rounded. In the US, menu prices usually exclude sales tax and it is added at the register; in the UK, menu prices include VAT.</v>
      </c>
    </row>
    <row r="10">
      <c r="A10" s="19" t="inlineStr">
        <is>
          <t>SALES MIX AND COST OF GOODS SOLD</t>
        </is>
      </c>
    </row>
    <row r="11">
      <c r="A11" t="inlineStr">
        <is>
          <t>FOOD share of total sales</t>
        </is>
      </c>
      <c r="B11" s="68" t="n">
        <v>0.41</v>
      </c>
      <c r="C11" t="inlineStr">
        <is>
          <t>Share of FOOD in total sales. It is an INPUT: change it here and the P&amp;L, the cash flow and the sales tax collected recalculate on their own</t>
        </is>
      </c>
    </row>
    <row r="12">
      <c r="A12" t="inlineStr">
        <is>
          <t>BEVERAGE share of total sales</t>
        </is>
      </c>
      <c r="B12" s="69">
        <f>IFERROR(IF(COUNT(B11)=0,"",1-B11),"")</f>
        <v>0.5900000000000001</v>
      </c>
      <c r="C12" t="inlineStr">
        <is>
          <t>Calculated as the remainder: food + beverage = 100%</t>
        </is>
      </c>
    </row>
    <row r="13">
      <c r="A13" t="inlineStr">
        <is>
          <t>Cost of goods sold on FOOD sales</t>
        </is>
      </c>
      <c r="B13" s="68" t="n">
        <v>0.3</v>
      </c>
      <c r="C13" t="inlineStr">
        <is>
          <t>Cost of the food (brunch, pastries, toasts): inside the 30-35% that the industry benchmarks table of this workbook gives for brunch food</t>
        </is>
      </c>
    </row>
    <row r="14">
      <c r="A14" t="inlineStr">
        <is>
          <t>Cost of goods sold on BEVERAGE sales</t>
        </is>
      </c>
      <c r="B14" s="68" t="n">
        <v>0.24</v>
      </c>
      <c r="C14" t="inlineStr">
        <is>
          <t>Cost of coffee and beverages (hot and cold) against their own sales: a weighted blend of the coffee and cold-drink ranges in the industry benchmarks table of this workbook</t>
        </is>
      </c>
    </row>
    <row r="15">
      <c r="A15" t="inlineStr">
        <is>
          <t>Disposables and packaging as % of sales</t>
        </is>
      </c>
      <c r="B15" s="68" t="n">
        <v>0.03</v>
      </c>
      <c r="C15" t="inlineStr">
        <is>
          <t>Napkins, paper goods, to-go cups and bar cleaning supplies</t>
        </is>
      </c>
    </row>
    <row r="16">
      <c r="A16" t="inlineStr">
        <is>
          <t>Delivery share of total sales</t>
        </is>
      </c>
      <c r="B16" s="68" t="n">
        <v>0</v>
      </c>
      <c r="C16" t="inlineStr">
        <is>
          <t>ZERO by default: the checklist for this opening lists delivery as a month 2-3 task ("Launch delivery if there is demand"), not a day-one task. Raise it to the real weight of the channel when you turn it on</t>
        </is>
      </c>
    </row>
    <row r="17">
      <c r="A17" t="inlineStr">
        <is>
          <t>Delivery platform fee</t>
        </is>
      </c>
      <c r="B17" s="68" t="n">
        <v>0.25</v>
      </c>
      <c r="C17" t="inlineStr">
        <is>
          <t>Typical DoorDash / Uber Eats commission on orders served through that channel; confirm it in your contract before projecting</t>
        </is>
      </c>
    </row>
    <row r="18">
      <c r="A18" t="inlineStr">
        <is>
          <t>Card processing fee</t>
        </is>
      </c>
      <c r="B18" s="68" t="n">
        <v>0.035</v>
      </c>
      <c r="C18" t="inlineStr">
        <is>
          <t>Card and mobile wallet fees on total sales; a counter-service coffee shop takes most tickets by card. The example (3.5%) is a blended rate: a percentage plus a per-transaction fee, which weighs more on small tickets; check your processor's statement and enter your effective rate (kit estimate)</t>
        </is>
      </c>
    </row>
    <row r="19">
      <c r="A19" s="19" t="inlineStr">
        <is>
          <t>LABOR</t>
        </is>
      </c>
    </row>
    <row r="20">
      <c r="A20" t="inlineStr">
        <is>
          <t>Employer payroll taxes</t>
        </is>
      </c>
      <c r="B20" s="68"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21"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21" t="n">
        <v>15080</v>
      </c>
      <c r="C22" t="inlineStr">
        <is>
          <t>US federal minimum wage: 7.25 per hour × 2,080 hours = 15,080 per year for a full-time job. Your state or city may set a higher floor: enter it in the state / local minimum wage cell below. Check the current rates at dol.gov</t>
        </is>
      </c>
    </row>
    <row r="23">
      <c r="A23" s="19" t="inlineStr">
        <is>
          <t>RENT AND FIXED COSTS</t>
        </is>
      </c>
    </row>
    <row r="24">
      <c r="A24" t="inlineStr">
        <is>
          <t>Monthly rent</t>
        </is>
      </c>
      <c r="B24" s="21" t="n">
        <v>4500</v>
      </c>
      <c r="C24" t="inlineStr">
        <is>
          <t>Space for a coffee shop with brunch: 30-40 indoor seats plus a patio. Include NNN / CAM charges (property tax, building insurance, common-area maintenance) in this cell, not just the base rent. Check it against the 12% of sales threshold in the "3-Year P&amp;L" and the 10% target / 15% maximum in the industry benchmarks table of this workbook</t>
        </is>
      </c>
    </row>
    <row r="25">
      <c r="A25" t="inlineStr">
        <is>
          <t>Security deposit (months of rent)</t>
        </is>
      </c>
      <c r="B25" s="21" t="n">
        <v>2</v>
      </c>
      <c r="C25" t="inlineStr">
        <is>
          <t>Months of rent held as a security deposit. It is set in your commercial lease, so check the terms before you sign</t>
        </is>
      </c>
    </row>
    <row r="26">
      <c r="A26" t="inlineStr">
        <is>
          <t>Monthly utilities (electricity, water, gas)</t>
        </is>
      </c>
      <c r="B26" s="21" t="n">
        <v>1200</v>
      </c>
      <c r="C26" t="inlineStr">
        <is>
          <t>Electricity, water and gas for a coffee bar with a brunch oven: ask for the space's utility history before you sign</t>
        </is>
      </c>
    </row>
    <row r="27">
      <c r="A27" t="inlineStr">
        <is>
          <t>Insurance (per year)</t>
        </is>
      </c>
      <c r="B27" s="21" t="n">
        <v>3500</v>
      </c>
      <c r="C27" t="inlineStr">
        <is>
          <t>General liability (landlords and events often require 1 million per occurrence) and property coverage or a business owner's policy (BOP) for the space</t>
        </is>
      </c>
    </row>
    <row r="28">
      <c r="A28" t="inlineStr">
        <is>
          <t>Miscellaneous and contingency as % of sales</t>
        </is>
      </c>
      <c r="B28" s="68" t="n">
        <v>0.02</v>
      </c>
      <c r="C28" t="inlineStr">
        <is>
          <t>Cushion for operating expenses that are not budgeted</t>
        </is>
      </c>
    </row>
    <row r="29">
      <c r="A29" s="19" t="inlineStr">
        <is>
          <t>FINANCING</t>
        </is>
      </c>
    </row>
    <row r="30">
      <c r="A30" t="inlineStr">
        <is>
          <t>Owner's equity contributed</t>
        </is>
      </c>
      <c r="B30" s="21" t="n">
        <v>60000</v>
      </c>
      <c r="C30" t="inlineStr">
        <is>
          <t>Owners' contribution. With too little, lenders pass: they usually expect an owner equity injection (often around 10% for SBA start-ups; many want 20-30%) measured against the cash need calculated on the "Startup Costs" tab</t>
        </is>
      </c>
    </row>
    <row r="31">
      <c r="A31" t="inlineStr">
        <is>
          <t>Loan requested</t>
        </is>
      </c>
      <c r="B31" s="21" t="n">
        <v>204000</v>
      </c>
      <c r="C31" t="inlineStr">
        <is>
          <t>Principal requested — bank or SBA 7(a): if your loan is an SBA 7(a), this is the cell. It is the only loan that the amortization schedule, the P&amp;L interest and the DSCR use. The "Financing" tab checks that sources and uses match the cash need calculated on the "Startup Costs" tab, and has a cell that calculates the exact amount that balances them</t>
        </is>
      </c>
    </row>
    <row r="32">
      <c r="A32" t="inlineStr">
        <is>
          <t>Nominal annual interest rate (not APR)</t>
        </is>
      </c>
      <c r="B32" s="68" t="n">
        <v>0.1</v>
      </c>
      <c r="C32" t="inlineStr">
        <is>
          <t>Nominal annual rate, not APR; get offers from two lenders, including an SBA-guaranteed loan, before you fix it</t>
        </is>
      </c>
    </row>
    <row r="33">
      <c r="A33" t="inlineStr">
        <is>
          <t>Loan term (years)</t>
        </is>
      </c>
      <c r="B33" s="21" t="n">
        <v>10</v>
      </c>
      <c r="C33" t="inlineStr">
        <is>
          <t>Total years, interest-only period included</t>
        </is>
      </c>
    </row>
    <row r="34">
      <c r="A34" t="inlineStr">
        <is>
          <t>Interest-only period (years)</t>
        </is>
      </c>
      <c r="B34" s="21" t="n">
        <v>0</v>
      </c>
      <c r="C34" t="inlineStr">
        <is>
          <t>Years in which you pay only interest, usually the first year, when cash is tightest. Zero by default in this workbook</t>
        </is>
      </c>
    </row>
    <row r="35">
      <c r="A35" t="inlineStr">
        <is>
          <t>Working capital (months of fixed costs)</t>
        </is>
      </c>
      <c r="B35" s="21" t="n">
        <v>3</v>
      </c>
      <c r="C35" t="inlineStr">
        <is>
          <t>The minimum this workbook requires: a cushion of less than 3 months will not cover a slow season</t>
        </is>
      </c>
    </row>
    <row r="36">
      <c r="A36" s="19" t="inlineStr">
        <is>
          <t>TAXES</t>
        </is>
      </c>
    </row>
    <row r="37">
      <c r="A37" t="inlineStr">
        <is>
          <t>Effective income tax rate (years 1-2)</t>
        </is>
      </c>
      <c r="B37" s="68"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8"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8" t="n">
        <v>0.08</v>
      </c>
      <c r="C39" t="inlineStr">
        <is>
          <t>Example rate: state + local sales tax combined. It varies widely by state and city: look up yours. UK: 20% VAT on hot food and dine-in</t>
        </is>
      </c>
    </row>
    <row r="40">
      <c r="A40" t="inlineStr">
        <is>
          <t>Sales tax rate on alcohol to go</t>
        </is>
      </c>
      <c r="B40" s="68"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8" t="n">
        <v>0</v>
      </c>
      <c r="C41" t="inlineStr">
        <is>
          <t>In the US, the sales tax you pay on purchases is a cost, not a credit: leave this at 0%. UK: 20% if you are VAT-registered</t>
        </is>
      </c>
    </row>
    <row r="42">
      <c r="A42" t="inlineStr">
        <is>
          <t>Net operating losses carried forward</t>
        </is>
      </c>
      <c r="B42" s="21" t="n">
        <v>0</v>
      </c>
      <c r="C42" t="inlineStr">
        <is>
          <t>Net operating losses from earlier years still to be offset at the start. Federal rules let you offset up to 80% of taxable income in a year; the model offsets 100% as a simplification</t>
        </is>
      </c>
    </row>
    <row r="43">
      <c r="A43" s="19" t="inlineStr">
        <is>
          <t>DEPRECIATION</t>
        </is>
      </c>
    </row>
    <row r="44">
      <c r="A44" t="inlineStr">
        <is>
          <t>Useful life of build-out and fixtures (years)</t>
        </is>
      </c>
      <c r="B44" s="21" t="n">
        <v>10</v>
      </c>
      <c r="C44" t="inlineStr">
        <is>
          <t>Build-out, fixtures and decor of a coffee shop. Book depreciation in this model is straight-line; MACRS and Section 179 are tax treatments handled outside the model, so confirm them with your accountant</t>
        </is>
      </c>
    </row>
    <row r="45">
      <c r="A45" t="inlineStr">
        <is>
          <t>Useful life of machinery, furniture and equipment (years)</t>
        </is>
      </c>
      <c r="B45" s="21" t="n">
        <v>7</v>
      </c>
      <c r="C45" t="inlineStr">
        <is>
          <t>Espresso machine, grinder, oven, display cases and furniture. Book depreciation in this model is straight-line; MACRS and Section 179 are tax treatments handled outside the model, so confirm them with your accountant</t>
        </is>
      </c>
    </row>
    <row r="47">
      <c r="A47" s="19" t="inlineStr">
        <is>
          <t>GROWTH AND COST INFLATION</t>
        </is>
      </c>
    </row>
    <row r="48">
      <c r="A48" t="inlineStr">
        <is>
          <t>Annual increase in fixed costs</t>
        </is>
      </c>
      <c r="B48" s="68" t="n">
        <v>0</v>
      </c>
      <c r="C48" t="inlineStr">
        <is>
          <t>SET TO ZERO: all three columns are in year-1 prices (real terms). Raise it if you want to project in nominal terms</t>
        </is>
      </c>
    </row>
    <row r="49">
      <c r="A49" s="19" t="inlineStr">
        <is>
          <t>RAMP-UP AND CAPACITY</t>
        </is>
      </c>
    </row>
    <row r="50">
      <c r="A50" t="inlineStr">
        <is>
          <t>Implied seat turns per day (calculated)</t>
        </is>
      </c>
      <c r="B50" s="27">
        <f>IFERROR($B$4/$B$51,"")</f>
        <v>3.2222222222222223</v>
      </c>
      <c r="C50" t="str">
        <f>IFERROR("That is "&amp;TEXT(INT(ROUND(B50,1)),"0")&amp;"."&amp;TEXT(ROUND(MOD(ROUND(B50,1),1)*10,0),"0")&amp;" seat turns per day on the "&amp;TEXT($B$51,"0")&amp;" seats in the cell below. This workbook assumes 2-3 table turns at weekend brunch: compare this average with your real opening hours before you rely on it.","")</f>
        <v>That is 3.2 seat turns per day on the 45 seats in the cell below. This workbook assumes 2-3 table turns at weekend brunch: compare this average with your real opening hours before you rely on it.</v>
      </c>
    </row>
    <row r="51">
      <c r="A51" t="inlineStr">
        <is>
          <t>Seating capacity (seats at tables + bar)</t>
        </is>
      </c>
      <c r="B51" s="21" t="n">
        <v>45</v>
      </c>
      <c r="C51" t="inlineStr">
        <is>
          <t>Indoor seats (30-40 according to the "Startup Costs" tab) plus the patio (8-10 tables). The implied turn comes from this: customers per day ÷ seats</t>
        </is>
      </c>
    </row>
    <row r="52">
      <c r="A52" t="inlineStr">
        <is>
          <t>Month-1 activity as a % of steady-state activity</t>
        </is>
      </c>
      <c r="B52" s="68" t="n">
        <v>0.55</v>
      </c>
      <c r="C52" t="inlineStr">
        <is>
          <t>A new shop does not sell on day one what it sells six months later. Customers per day above are the year-1 AVERAGE: the ramp only spreads year 1's sales across the months (slower start, stronger finish) and keeps the annual total. At 100% there is no ramp</t>
        </is>
      </c>
    </row>
    <row r="53">
      <c r="A53" t="inlineStr">
        <is>
          <t>Months to reach steady state</t>
        </is>
      </c>
      <c r="B53" s="21" t="n">
        <v>6</v>
      </c>
      <c r="C53" t="inlineStr">
        <is>
          <t>The ramp rises in a straight line from the percentage above to 100% over this number of months</t>
        </is>
      </c>
    </row>
    <row r="54">
      <c r="A54" t="inlineStr">
        <is>
          <t>Months of rent BEFORE opening (build-out and permits)</t>
        </is>
      </c>
      <c r="B54" s="21" t="n">
        <v>1</v>
      </c>
      <c r="C54" t="inlineStr">
        <is>
          <t>You pay for the space from the day you sign. These months are a startup cost: they do NOT overlap the P&amp;L, which starts on opening day</t>
        </is>
      </c>
    </row>
    <row r="55">
      <c r="A55" t="inlineStr">
        <is>
          <t>Contingency on the BUILD-OUT lines of the space block (%)</t>
        </is>
      </c>
      <c r="B55" s="68" t="n">
        <v>0.1</v>
      </c>
      <c r="C55" t="inlineStr">
        <is>
          <t>Cushion on the build-out and fit-out line. A lender will not finance a renovation without it</t>
        </is>
      </c>
    </row>
    <row r="57">
      <c r="A57" s="19" t="inlineStr">
        <is>
          <t>RECEIPTS, PAYMENTS AND SALES TAX BREAKDOWN</t>
        </is>
      </c>
    </row>
    <row r="58">
      <c r="A58" t="inlineStr">
        <is>
          <t>Average collection days</t>
        </is>
      </c>
      <c r="B58" s="21" t="n">
        <v>1</v>
      </c>
      <c r="C58" t="inlineStr">
        <is>
          <t>At 1 day, card settlements reach your bank the next business day. Raise it if you work with reservation or delivery platforms, which usually pay out between the next day and 30 days later</t>
        </is>
      </c>
    </row>
    <row r="59">
      <c r="A59" t="inlineStr">
        <is>
          <t>Average days to pay suppliers</t>
        </is>
      </c>
      <c r="B59" s="21" t="n">
        <v>14</v>
      </c>
      <c r="C59" t="inlineStr">
        <is>
          <t>What your suppliers finance for you. It is the first thing you lose if you fall behind on a payment</t>
        </is>
      </c>
    </row>
    <row r="60">
      <c r="A60" t="inlineStr">
        <is>
          <t>Month of extra pay period 1 (only if pay periods &gt; 12)</t>
        </is>
      </c>
      <c r="B60" s="21" t="n">
        <v>7</v>
      </c>
      <c r="C60" t="inlineStr">
        <is>
          <t>Month of the year (1-12) when the first extra pay period is paid out. Only used if pay periods &gt; 12</t>
        </is>
      </c>
    </row>
    <row r="61">
      <c r="A61" t="inlineStr">
        <is>
          <t>Month of extra pay period 2 (only if pay periods &gt; 12)</t>
        </is>
      </c>
      <c r="B61" s="21" t="n">
        <v>12</v>
      </c>
      <c r="C61" t="inlineStr">
        <is>
          <t>Month of the year (1-12) when the second extra pay period is paid out. Only used if pay periods &gt; 12</t>
        </is>
      </c>
    </row>
    <row r="62">
      <c r="A62" t="inlineStr">
        <is>
          <t>ALCOHOLIC beverages as a share of total beverage sales</t>
        </is>
      </c>
      <c r="B62" s="68" t="n">
        <v>0</v>
      </c>
      <c r="C62" t="inlineStr">
        <is>
          <t>Alcohol as a share of total beverage sales: minimal in a coffee shop with brunch (a mimosa or a celebratory sparkling wine). If you serve alcohol, you also need your state liquor license. The rest of the beverages (coffee, juices, smoothies, soft drinks) uses the regular sales tax rate</t>
        </is>
      </c>
    </row>
    <row r="63">
      <c r="A63" t="inlineStr">
        <is>
          <t>Sales tax rate on alcohol served on site</t>
        </is>
      </c>
      <c r="B63" s="68" t="n">
        <v>0.08</v>
      </c>
      <c r="C63" t="inlineStr">
        <is>
          <t>Same rate as the rest of on-site sales in this example (8%: state + local). Alcohol rates vary by state and some states add a separate liquor tax: check yours. The workbook applies the alcohol rates only to the ALCOHOLIC part of beverage sales</t>
        </is>
      </c>
    </row>
    <row r="64">
      <c r="A64" s="19" t="inlineStr">
        <is>
          <t>CONTROL THRESHOLDS AND FLOORS</t>
        </is>
      </c>
    </row>
    <row r="65">
      <c r="A65" t="inlineStr">
        <is>
          <t>DSCR limit (minimum acceptable)</t>
        </is>
      </c>
      <c r="B65" s="28" t="n">
        <v>1.15</v>
      </c>
      <c r="C65" t="inlineStr">
        <is>
          <t>Below 1.0 the business does not generate enough to repay the loan. Lenders often write a minimum DSCR into the loan covenants: ask yours. Kit default: 1.15×</t>
        </is>
      </c>
    </row>
    <row r="66">
      <c r="A66" t="inlineStr">
        <is>
          <t>DSCR target (green)</t>
        </is>
      </c>
      <c r="B66" s="28" t="n">
        <v>1.25</v>
      </c>
      <c r="C66" t="inlineStr">
        <is>
          <t>What lenders commonly look for before approving a loan comfortably. Kit default: 1.25× (editable estimate)</t>
        </is>
      </c>
    </row>
    <row r="67">
      <c r="A67" t="inlineStr">
        <is>
          <t>Minimum cushion above break-even</t>
        </is>
      </c>
      <c r="B67" s="68" t="n">
        <v>0.15</v>
      </c>
      <c r="C67" t="inlineStr">
        <is>
          <t>How far planned sales must sit above cash break-even (fixed costs and the loan payment). The drop you can absorb is somewhat smaller: with a 15% cushion, about 13% of plan</t>
        </is>
      </c>
    </row>
    <row r="68">
      <c r="A68" t="inlineStr">
        <is>
          <t>State / local minimum wage, annual full-time</t>
        </is>
      </c>
      <c r="B68" s="21" t="n"/>
      <c r="C68" t="inlineStr">
        <is>
          <t>Your STATE or LOCAL minimum wage can be higher than the federal one: enter it here as an annual full-time figure (hourly rate × 2,080 hours). The higher of the two applies. Leave it empty or at 0 and the traffic light compares only against the federal minimum</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42"/>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COFFEE SHOP WITH BRUNCH</t>
        </is>
      </c>
    </row>
    <row r="2">
      <c r="A2" s="2" t="inlineStr">
        <is>
          <t>Estimated Startup Costs</t>
        </is>
      </c>
    </row>
    <row r="3">
      <c r="A3" s="3" t="inlineStr">
        <is>
          <t>Adjust the figures to your project. The amounts are reference prices for a US coffee shop: get local quotes before you commit.</t>
        </is>
      </c>
    </row>
    <row r="5">
      <c r="A5" s="29" t="inlineStr">
        <is>
          <t>Item</t>
        </is>
      </c>
      <c r="B5" s="29" t="inlineStr">
        <is>
          <t>Amount</t>
        </is>
      </c>
      <c r="C5" s="29" t="inlineStr">
        <is>
          <t>% of startup costs</t>
        </is>
      </c>
      <c r="D5" s="29" t="inlineStr">
        <is>
          <t>Notes</t>
        </is>
      </c>
      <c r="E5" s="29" t="inlineStr">
        <is>
          <t>Taxable / recoverable tax?</t>
        </is>
      </c>
    </row>
    <row r="6">
      <c r="A6" s="29" t="inlineStr">
        <is>
          <t>STARTUP COSTS</t>
        </is>
      </c>
      <c r="B6" s="70">
        <f>IFERROR(IF(COUNT(B7:B32)=0,"",SUM(B7:B32)),"")</f>
        <v>193800.0</v>
      </c>
      <c r="C6" s="71">
        <f>IFERROR(B6/$B$35,"")</f>
        <v>0.7349631210068616</v>
      </c>
      <c r="D6" s="32" t="n"/>
      <c r="E6" s="32" t="n"/>
    </row>
    <row r="7">
      <c r="A7" s="32" t="inlineStr">
        <is>
          <t>LLC formation and legal</t>
        </is>
      </c>
      <c r="B7" s="54" t="n">
        <v>1500</v>
      </c>
      <c r="C7" s="72">
        <f>IFERROR(B7/$B$35,"")</f>
        <v>0.005688569048040724</v>
      </c>
      <c r="D7" s="32" t="inlineStr">
        <is>
          <t>Articles of organization (state filing fee), registered agent and attorney time for the operating agreement. Fees vary by state</t>
        </is>
      </c>
      <c r="E7" s="35" t="inlineStr">
        <is>
          <t>No</t>
        </is>
      </c>
    </row>
    <row r="8">
      <c r="A8" s="32" t="inlineStr">
        <is>
          <t>Licenses and health plan review</t>
        </is>
      </c>
      <c r="B8" s="54" t="n">
        <v>2000</v>
      </c>
      <c r="C8" s="72">
        <f>IFERROR(B8/$B$35,"")</f>
        <v>0.007584758730720965</v>
      </c>
      <c r="D8" s="32" t="inlineStr">
        <is>
          <t>Business license, health permit fees and the health department plan review. Requirements vary by city and county</t>
        </is>
      </c>
      <c r="E8" s="35" t="inlineStr">
        <is>
          <t>No</t>
        </is>
      </c>
    </row>
    <row r="9">
      <c r="A9" s="32" t="inlineStr">
        <is>
          <t>Architect and building permits</t>
        </is>
      </c>
      <c r="B9" s="54" t="n">
        <v>8000</v>
      </c>
      <c r="C9" s="72">
        <f>IFERROR(B9/$B$35,"")</f>
        <v>0.03033903492288386</v>
      </c>
      <c r="D9" s="32" t="inlineStr">
        <is>
          <t>Required in many places for a build-out or a change of use. Covers drawings, specifications and building permit fees</t>
        </is>
      </c>
      <c r="E9" s="35" t="inlineStr">
        <is>
          <t>Yes</t>
        </is>
      </c>
    </row>
    <row r="10">
      <c r="A10" s="32" t="inlineStr">
        <is>
          <t>Construction / build-out</t>
        </is>
      </c>
      <c r="B10" s="54" t="n">
        <v>40000</v>
      </c>
      <c r="C10" s="72">
        <f>IFERROR(B10/$B$35,"")</f>
        <v>0.1516951746144193</v>
      </c>
      <c r="D10" s="32" t="inlineStr">
        <is>
          <t>Floors, paint, finishes and an accessible restroom (ADA)</t>
        </is>
      </c>
      <c r="E10" s="35" t="inlineStr">
        <is>
          <t>Yes</t>
        </is>
      </c>
    </row>
    <row r="11">
      <c r="A11" s="32" t="inlineStr">
        <is>
          <t>Electrical and HVAC</t>
        </is>
      </c>
      <c r="B11" s="54" t="n">
        <v>15000</v>
      </c>
      <c r="C11" s="72">
        <f>IFERROR(B11/$B$35,"")</f>
        <v>0.05688569048040724</v>
      </c>
      <c r="D11" s="32" t="inlineStr">
        <is>
          <t>Minimum 15-20 kW of electrical service for the equipment</t>
        </is>
      </c>
      <c r="E11" s="35" t="inlineStr">
        <is>
          <t>Yes</t>
        </is>
      </c>
    </row>
    <row r="12">
      <c r="A12" s="32" t="inlineStr">
        <is>
          <t>Plumbing (grease interceptor, floor drains, handwashing sinks)</t>
        </is>
      </c>
      <c r="B12" s="54" t="n">
        <v>10000</v>
      </c>
      <c r="C12" s="72">
        <f>IFERROR(B12/$B$35,"")</f>
        <v>0.03792379365360483</v>
      </c>
      <c r="D12" s="32" t="inlineStr">
        <is>
          <t>Water supply, drains, handwashing sinks and a grease interceptor if you cook; local code decides</t>
        </is>
      </c>
      <c r="E12" s="35" t="inlineStr">
        <is>
          <t>Yes</t>
        </is>
      </c>
    </row>
    <row r="13">
      <c r="A13" s="32" t="inlineStr">
        <is>
          <t>Coffee grinders</t>
        </is>
      </c>
      <c r="B13" s="54" t="n">
        <v>3000</v>
      </c>
      <c r="C13" s="72">
        <f>IFERROR(B13/$B$35,"")</f>
        <v>0.011377138096081449</v>
      </c>
      <c r="D13" s="32" t="inlineStr">
        <is>
          <t>On-demand grinder, essential for specialty coffee</t>
        </is>
      </c>
      <c r="E13" s="35" t="inlineStr">
        <is>
          <t>Yes</t>
        </is>
      </c>
    </row>
    <row r="14">
      <c r="A14" s="32" t="inlineStr">
        <is>
          <t>Oven</t>
        </is>
      </c>
      <c r="B14" s="54" t="n">
        <v>6000</v>
      </c>
      <c r="C14" s="72">
        <f>IFERROR(B14/$B$35,"")</f>
        <v>0.022754276192162897</v>
      </c>
      <c r="D14" s="32" t="inlineStr">
        <is>
          <t>For pastries, brunch and hot toasts</t>
        </is>
      </c>
      <c r="E14" s="35" t="inlineStr">
        <is>
          <t>Yes</t>
        </is>
      </c>
    </row>
    <row r="15">
      <c r="A15" s="32" t="inlineStr">
        <is>
          <t>Refrigerated display case</t>
        </is>
      </c>
      <c r="B15" s="54" t="n">
        <v>5000</v>
      </c>
      <c r="C15" s="72">
        <f>IFERROR(B15/$B$35,"")</f>
        <v>0.018961896826802414</v>
      </c>
      <c r="D15" s="32" t="inlineStr">
        <is>
          <t>For sandwiches, cakes and pastries</t>
        </is>
      </c>
      <c r="E15" s="35" t="inlineStr">
        <is>
          <t>Yes</t>
        </is>
      </c>
    </row>
    <row r="16">
      <c r="A16" s="32" t="inlineStr">
        <is>
          <t>Refrigeration</t>
        </is>
      </c>
      <c r="B16" s="54" t="n">
        <v>6000</v>
      </c>
      <c r="C16" s="72">
        <f>IFERROR(B16/$B$35,"")</f>
        <v>0.022754276192162897</v>
      </c>
      <c r="D16" s="32" t="inlineStr">
        <is>
          <t>2-3 under-counter units plus 1 storage refrigerator</t>
        </is>
      </c>
      <c r="E16" s="35" t="inlineStr">
        <is>
          <t>Yes</t>
        </is>
      </c>
    </row>
    <row r="17">
      <c r="A17" s="32" t="inlineStr">
        <is>
          <t>Griddle / panini press</t>
        </is>
      </c>
      <c r="B17" s="54" t="n">
        <v>2000</v>
      </c>
      <c r="C17" s="72">
        <f>IFERROR(B17/$B$35,"")</f>
        <v>0.007584758730720965</v>
      </c>
      <c r="D17" s="32" t="inlineStr">
        <is>
          <t>For toasts, paninis and brunch eggs</t>
        </is>
      </c>
      <c r="E17" s="35" t="inlineStr">
        <is>
          <t>Yes</t>
        </is>
      </c>
    </row>
    <row r="18">
      <c r="A18" s="32" t="inlineStr">
        <is>
          <t>Blenders, juicer, toaster</t>
        </is>
      </c>
      <c r="B18" s="54" t="n">
        <v>1500</v>
      </c>
      <c r="C18" s="72">
        <f>IFERROR(B18/$B$35,"")</f>
        <v>0.005688569048040724</v>
      </c>
      <c r="D18" s="32" t="inlineStr">
        <is>
          <t>Fresh juices, smoothies, toast</t>
        </is>
      </c>
      <c r="E18" s="35" t="inlineStr">
        <is>
          <t>Yes</t>
        </is>
      </c>
    </row>
    <row r="19">
      <c r="A19" s="32" t="inlineStr">
        <is>
          <t>Commercial dishwasher</t>
        </is>
      </c>
      <c r="B19" s="54" t="n">
        <v>5000</v>
      </c>
      <c r="C19" s="72">
        <f>IFERROR(B19/$B$35,"")</f>
        <v>0.018961896826802414</v>
      </c>
      <c r="D19" s="32" t="inlineStr">
        <is>
          <t>Short 2-3 minute cycle, essential at volume</t>
        </is>
      </c>
      <c r="E19" s="35" t="inlineStr">
        <is>
          <t>Yes</t>
        </is>
      </c>
    </row>
    <row r="20">
      <c r="A20" s="32" t="inlineStr">
        <is>
          <t>Dining room furniture (tables + chairs)</t>
        </is>
      </c>
      <c r="B20" s="54" t="n">
        <v>10000</v>
      </c>
      <c r="C20" s="72">
        <f>IFERROR(B20/$B$35,"")</f>
        <v>0.03792379365360483</v>
      </c>
      <c r="D20" s="32" t="inlineStr">
        <is>
          <t>12-15 tables, 30-40 indoor seats</t>
        </is>
      </c>
      <c r="E20" s="35" t="inlineStr">
        <is>
          <t>Yes</t>
        </is>
      </c>
    </row>
    <row r="21">
      <c r="A21" s="32" t="inlineStr">
        <is>
          <t>Counter and pastry display</t>
        </is>
      </c>
      <c r="B21" s="54" t="n">
        <v>12000</v>
      </c>
      <c r="C21" s="72">
        <f>IFERROR(B21/$B$35,"")</f>
        <v>0.045508552384325794</v>
      </c>
      <c r="D21" s="32" t="inlineStr">
        <is>
          <t>L-shaped or straight counter, with a display for pastries and sandwiches</t>
        </is>
      </c>
      <c r="E21" s="35" t="inlineStr">
        <is>
          <t>Yes</t>
        </is>
      </c>
    </row>
    <row r="22">
      <c r="A22" s="32" t="inlineStr">
        <is>
          <t>Patio / sidewalk seating (furniture + awning)</t>
        </is>
      </c>
      <c r="B22" s="54" t="n">
        <v>5000</v>
      </c>
      <c r="C22" s="72">
        <f>IFERROR(B22/$B$35,"")</f>
        <v>0.018961896826802414</v>
      </c>
      <c r="D22" s="32" t="inlineStr">
        <is>
          <t>8-10 outdoor tables, if your city allows sidewalk seating</t>
        </is>
      </c>
      <c r="E22" s="35" t="inlineStr">
        <is>
          <t>Yes</t>
        </is>
      </c>
    </row>
    <row r="23">
      <c r="A23" s="32" t="inlineStr">
        <is>
          <t>Smallwares, cups and glassware</t>
        </is>
      </c>
      <c r="B23" s="54" t="n">
        <v>3000</v>
      </c>
      <c r="C23" s="72">
        <f>IFERROR(B23/$B$35,"")</f>
        <v>0.011377138096081449</v>
      </c>
      <c r="D23" s="32" t="inlineStr">
        <is>
          <t>Specialty cups, brunch plates, glassware and flatware</t>
        </is>
      </c>
      <c r="E23" s="35" t="inlineStr">
        <is>
          <t>Yes</t>
        </is>
      </c>
    </row>
    <row r="24">
      <c r="A24" s="32" t="inlineStr">
        <is>
          <t>Decor and lighting</t>
        </is>
      </c>
      <c r="B24" s="54" t="n">
        <v>6000</v>
      </c>
      <c r="C24" s="72">
        <f>IFERROR(B24/$B$35,"")</f>
        <v>0.022754276192162897</v>
      </c>
      <c r="D24" s="32" t="inlineStr">
        <is>
          <t>Warm lighting, plants and a spot made for photos</t>
        </is>
      </c>
      <c r="E24" s="35" t="inlineStr">
        <is>
          <t>Yes</t>
        </is>
      </c>
    </row>
    <row r="25">
      <c r="A25" s="32" t="inlineStr">
        <is>
          <t>Signage and exterior branding</t>
        </is>
      </c>
      <c r="B25" s="54" t="n">
        <v>4000</v>
      </c>
      <c r="C25" s="72">
        <f>IFERROR(B25/$B$35,"")</f>
        <v>0.01516951746144193</v>
      </c>
      <c r="D25" s="32" t="inlineStr">
        <is>
          <t>Sign, chalkboard and window vinyl; check your city's sign permit rules</t>
        </is>
      </c>
      <c r="E25" s="35" t="inlineStr">
        <is>
          <t>Yes</t>
        </is>
      </c>
    </row>
    <row r="26">
      <c r="A26" s="32" t="inlineStr">
        <is>
          <t>Launch marketing (website + social media + Google)</t>
        </is>
      </c>
      <c r="B26" s="54" t="n">
        <v>4000</v>
      </c>
      <c r="C26" s="72">
        <f>IFERROR(B26/$B$35,"")</f>
        <v>0.01516951746144193</v>
      </c>
      <c r="D26" s="32" t="inlineStr">
        <is>
          <t>Website, Google Business Profile, social media and neighborhood flyers</t>
        </is>
      </c>
      <c r="E26" s="35" t="inlineStr">
        <is>
          <t>Yes</t>
        </is>
      </c>
    </row>
    <row r="27">
      <c r="A27" s="32" t="inlineStr">
        <is>
          <t>Opening inventory (coffee, milk, pastries, etc.)</t>
        </is>
      </c>
      <c r="B27" s="54" t="n">
        <v>5000</v>
      </c>
      <c r="C27" s="72">
        <f>IFERROR(B27/$B$35,"")</f>
        <v>0.018961896826802414</v>
      </c>
      <c r="D27" s="32" t="inlineStr">
        <is>
          <t>Specialty coffee, plant milks, brunch ingredients</t>
        </is>
      </c>
      <c r="E27" s="35" t="inlineStr">
        <is>
          <t>Yes</t>
        </is>
      </c>
    </row>
    <row r="28">
      <c r="A28" s="32" t="inlineStr">
        <is>
          <t>Espresso machine (2 groups)</t>
        </is>
      </c>
      <c r="B28" s="54" t="n">
        <v>15000</v>
      </c>
      <c r="C28" s="72">
        <f>IFERROR(B28/$B$35,"")</f>
        <v>0.05688569048040724</v>
      </c>
      <c r="D28" s="32" t="inlineStr">
        <is>
          <t>2 groups, built-in or separate grinder</t>
        </is>
      </c>
      <c r="E28" s="35" t="inlineStr">
        <is>
          <t>Yes</t>
        </is>
      </c>
    </row>
    <row r="29">
      <c r="A29" s="32" t="inlineStr">
        <is>
          <t>POS and software</t>
        </is>
      </c>
      <c r="B29" s="54" t="n">
        <v>3000</v>
      </c>
      <c r="C29" s="72">
        <f>IFERROR(B29/$B$35,"")</f>
        <v>0.011377138096081449</v>
      </c>
      <c r="D29" s="32" t="inlineStr">
        <is>
          <t>Touchscreen POS with cash and inventory control software</t>
        </is>
      </c>
      <c r="E29" s="35" t="inlineStr">
        <is>
          <t>Yes</t>
        </is>
      </c>
    </row>
    <row r="30">
      <c r="A30" s="32" t="inlineStr">
        <is>
          <t>Security deposit</t>
        </is>
      </c>
      <c r="B30" s="44">
        <f>IFERROR(IF('0. Assumptions'!$B$24="","",'0. Assumptions'!$B$24*'0. Assumptions'!$B$25),"")</f>
        <v>9000.0</v>
      </c>
      <c r="C30" s="72">
        <f>IFERROR(B30/$B$35,"")</f>
        <v>0.034131414288244344</v>
      </c>
      <c r="D30" s="32"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30" s="32" t="inlineStr">
        <is>
          <t>No</t>
        </is>
      </c>
    </row>
    <row r="31">
      <c r="A31" s="32" t="inlineStr">
        <is>
          <t>Rent paid before opening</t>
        </is>
      </c>
      <c r="B31" s="44">
        <f>IFERROR(IF('0. Assumptions'!$B$24="","",'0. Assumptions'!$B$24*'0. Assumptions'!$B$54),"")</f>
        <v>4500.0</v>
      </c>
      <c r="C31" s="72">
        <f>IFERROR(B31/$B$35,"")</f>
        <v>0.017065707144122172</v>
      </c>
      <c r="D31" s="32" t="str">
        <f>IFERROR("Rent "&amp;IF('0. Assumptions'!$B$54=1,"for the month","for the "&amp;TEXT('0. Assumptions'!$B$54,"0")&amp;" months")&amp;" of build-out and permits before opening. It does not overlap the P&amp;L, which starts on opening day: its twelve months are twelve trading months","")</f>
        <v>Rent for the month of build-out and permits before opening. It does not overlap the P&amp;L, which starts on opening day: its twelve months are twelve trading months</v>
      </c>
      <c r="E31" s="32" t="inlineStr">
        <is>
          <t>Yes</t>
        </is>
      </c>
    </row>
    <row r="32">
      <c r="A32" s="37" t="inlineStr">
        <is>
          <t>Build-out and setup contingency</t>
        </is>
      </c>
      <c r="B32" s="46">
        <f>IFERROR(IF(COUNT(B9,B10,B11,B12,B24,B25)=0,"",ROUND((B9+B10+B11+B12+B24+B25)*'0. Assumptions'!$B$55,0)),"")</f>
        <v>8300.0</v>
      </c>
      <c r="C32" s="69">
        <f>IFERROR(B32/$B$35,"")</f>
        <v>0.031476748732492</v>
      </c>
      <c r="D32" t="str">
        <f>IFERROR("At "&amp;TEXT('0. Assumptions'!$B$55,"0%")&amp;" of the BUILD-OUT items of this block (architect and building permits, construction, electrical and HVAC, plumbing, decor and lighting, signage), not of the whole block: the other items are left out. No lender funds a build-out without a "&amp;"cushion: the percentage is in ""0. Assumptions""","")</f>
        <v>At 10% of the BUILD-OUT items of this block (architect and building permits, construction, electrical and HVAC, plumbing, decor and lighting, signage), not of the whole block: the other items are left out. No lender funds a build-out without a cushion: the percentage is in "0. Assumptions"</v>
      </c>
      <c r="E32" s="37" t="inlineStr">
        <is>
          <t>Yes</t>
        </is>
      </c>
    </row>
    <row r="33">
      <c r="A33" s="19" t="inlineStr">
        <is>
          <t>WORKING CAPITAL</t>
        </is>
      </c>
      <c r="B33" s="57">
        <f>IFERROR(IF(B34="","",B34),"")</f>
        <v>69886.7</v>
      </c>
      <c r="C33" s="73">
        <f>IFERROR(B33/$B$35,"")</f>
        <v>0.26503687899313844</v>
      </c>
    </row>
    <row r="34">
      <c r="A34" s="37" t="inlineStr">
        <is>
          <t>Operating cushion until break-even</t>
        </is>
      </c>
      <c r="B34" s="46">
        <f>IFERROR(IF('0. Assumptions'!$B$35*('3-Year P&amp;L'!$B$37-'3-Year P&amp;L'!$B$35)=0,"",'0. Assumptions'!$B$35*('3-Year P&amp;L'!$B$37-'3-Year P&amp;L'!$B$35)/12),"")</f>
        <v>69886.7</v>
      </c>
      <c r="C34" s="69">
        <f>IFERROR(B34/$B$35,"")</f>
        <v>0.26503687899313844</v>
      </c>
      <c r="D34"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34" s="37" t="inlineStr">
        <is>
          <t>No</t>
        </is>
      </c>
    </row>
    <row r="35">
      <c r="A35" s="19" t="inlineStr">
        <is>
          <t>TOTAL STARTUP COSTS (sum of the blocks)</t>
        </is>
      </c>
      <c r="B35" s="57">
        <f>IFERROR(B6+B33,"")</f>
        <v>263686.7</v>
      </c>
      <c r="D35" s="41" t="str">
        <f>IFERROR("The percentages in column C are read on this figure, which includes the working capital ("&amp;TEXT(C33,"0%")&amp;" of the total). To compare the breakdown with another plan, use the CAPEX row below.","")</f>
        <v>The percentages in column C are read on this figure, which includes the working capital (27% of the total). To compare the breakdown with another plan, use the CAPEX row below.</v>
      </c>
    </row>
    <row r="36">
      <c r="A36" s="19" t="inlineStr">
        <is>
          <t>CAPEX (startup costs excluding working capital)</t>
        </is>
      </c>
      <c r="B36" s="57">
        <f>IFERROR(B35-B33,"")</f>
        <v>193800.0</v>
      </c>
      <c r="D36" s="19" t="inlineStr">
        <is>
          <t>What you buy: build-out, equipment, launch and formation costs. The cash cushion is not an investment: it is working capital</t>
        </is>
      </c>
    </row>
    <row r="37">
      <c r="A37" s="37" t="inlineStr">
        <is>
          <t>Recoverable input tax on capex</t>
        </is>
      </c>
      <c r="B37" s="46">
        <f>IFERROR(IF(B35="","",SUMIF($E$7:$E$32,"Yes",$B$7:$B$32)*'0. Assumptions'!$B$41),"")</f>
        <v>0.0</v>
      </c>
      <c r="D37"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38">
      <c r="A38" s="19" t="inlineStr">
        <is>
          <t>TOTAL CASH NEEDED AT LAUNCH</t>
        </is>
      </c>
      <c r="B38" s="57">
        <f>IFERROR(B35+B37,"")</f>
        <v>263686.7</v>
      </c>
      <c r="D38" s="19" t="inlineStr">
        <is>
          <t>This is the figure the Financing tab has to cover</t>
        </is>
      </c>
    </row>
    <row r="39">
      <c r="A39" s="19" t="inlineStr">
        <is>
          <t>DEPRECIATION BASES (not added to startup costs)</t>
        </is>
      </c>
    </row>
    <row r="40">
      <c r="A40" s="37" t="inlineStr">
        <is>
          <t>Build-out, fixtures and setup</t>
        </is>
      </c>
      <c r="B40" s="46">
        <f>IFERROR(IF(B9="","",B9+B10+B11+B12+B24+B25+B32),"")</f>
        <v>91300.0</v>
      </c>
      <c r="D40" t="str">
        <f>IFERROR("Depreciated over "&amp;TEXT('0. Assumptions'!$B$44,"0")&amp;" years","")</f>
        <v>Depreciated over 10 years</v>
      </c>
    </row>
    <row r="41">
      <c r="A41" s="37" t="inlineStr">
        <is>
          <t>Machinery, furniture and equipment</t>
        </is>
      </c>
      <c r="B41" s="46">
        <f>IFERROR(IF(B13="","",B13+B14+B15+B16+B17+B18+B19+B20+B21+B22+B23+B28+B29),"")</f>
        <v>76500.0</v>
      </c>
      <c r="D41" t="str">
        <f>IFERROR("Depreciated over "&amp;TEXT('0. Assumptions'!$B$45,"0")&amp;" years","")</f>
        <v>Depreciated over 7 years</v>
      </c>
    </row>
    <row r="42">
      <c r="A42" s="19" t="inlineStr">
        <is>
          <t>Annual depreciation of fixed assets</t>
        </is>
      </c>
      <c r="B42" s="57">
        <f>IFERROR(B40/MAX(1,'0. Assumptions'!$B$44)+B41/MAX(1,'0. Assumptions'!$B$45),"")</f>
        <v>20058.571428571428</v>
      </c>
      <c r="D42" s="41" t="str">
        <f>IFERROR("Not depreciated, because they are not fixed assets: entity formation and legal, licenses and health plan review, launch marketing, opening inventory, security deposit, pre-opening rent and the working capital reserve. They add up to "&amp;TEXT(B35-B40-B41,"#,##0")&amp;" of the "&amp;TEXT(B35,"#,##0")&amp;" total investment.","")</f>
        <v>Not depreciated, because they are not fixed assets: entity formation and legal, licenses and health plan review, launch marketing, opening inventory, security deposit, pre-opening rent and the working capital reserve. They add up to 95887 of the 263687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8">
    <cfRule type="expression" priority="1" dxfId="0" stopIfTrue="1">
      <formula>AND(ISNUMBER(B38),B38&gt;0)</formula>
    </cfRule>
  </conditionalFormatting>
  <dataValidations count="2">
    <dataValidation sqref="E7:E29"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B25 B26 B27 B28 B29"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42" t="inlineStr">
        <is>
          <t>PRO FORMA P&amp;L — 3 YEARS</t>
        </is>
      </c>
    </row>
    <row r="2">
      <c r="A2" s="3" t="inlineStr">
        <is>
          <t>Base scenario — Coffee shop with brunch, 35-40 seats</t>
        </is>
      </c>
    </row>
    <row r="4">
      <c r="A4" s="43" t="inlineStr">
        <is>
          <t>Item</t>
        </is>
      </c>
      <c r="B4" s="43" t="inlineStr">
        <is>
          <t>Year 1</t>
        </is>
      </c>
      <c r="C4" s="43" t="inlineStr">
        <is>
          <t>Year 2</t>
        </is>
      </c>
      <c r="D4" s="43" t="inlineStr">
        <is>
          <t>Year 3</t>
        </is>
      </c>
      <c r="E4" s="43" t="inlineStr">
        <is>
          <t>% of sales (year 1)</t>
        </is>
      </c>
      <c r="F4" s="43" t="inlineStr">
        <is>
          <t>Notes</t>
        </is>
      </c>
      <c r="G4" s="43" t="inlineStr">
        <is>
          <t>Sales tax rate on the line (%)</t>
        </is>
      </c>
      <c r="H4" s="32" t="n"/>
    </row>
    <row r="5">
      <c r="A5" s="29" t="inlineStr">
        <is>
          <t>REVENUE</t>
        </is>
      </c>
      <c r="B5" s="32" t="n"/>
      <c r="C5" s="32" t="n"/>
      <c r="D5" s="32" t="n"/>
      <c r="E5" s="32" t="n"/>
      <c r="F5" s="32" t="n"/>
      <c r="G5" s="32" t="n"/>
      <c r="H5" s="32" t="n"/>
    </row>
    <row r="6">
      <c r="A6" s="32" t="inlineStr">
        <is>
          <t>Customers per day (average)</t>
        </is>
      </c>
      <c r="B6" s="44">
        <f>IFERROR(IF('0. Assumptions'!$B$4="","",'0. Assumptions'!$B$4),"")</f>
        <v>145.0</v>
      </c>
      <c r="C6" s="44">
        <f>IFERROR(B6*(1+'0. Assumptions'!$B$7),"")</f>
        <v>155.15</v>
      </c>
      <c r="D6" s="44">
        <f>IFERROR(C6*(1+'0. Assumptions'!$B$8),"")</f>
        <v>162.9075</v>
      </c>
      <c r="E6" s="32" t="n"/>
      <c r="F6" s="32" t="inlineStr">
        <is>
          <t>Growth for years 2 and 3 is set in "0. Assumptions"</t>
        </is>
      </c>
      <c r="G6" s="32" t="n"/>
      <c r="H6" s="32" t="n"/>
    </row>
    <row r="7">
      <c r="A7" s="32" t="inlineStr">
        <is>
          <t>Average check (excl. sales tax)</t>
        </is>
      </c>
      <c r="B7" s="66">
        <f>IFERROR(IF('0. Assumptions'!$B$5="","",'0. Assumptions'!$B$5),"")</f>
        <v>11.0</v>
      </c>
      <c r="C7" s="66">
        <f>IFERROR(IF(B7="","",B7),"")</f>
        <v>11.0</v>
      </c>
      <c r="D7" s="66">
        <f>IFERROR(IF(C7="","",C7),"")</f>
        <v>11.0</v>
      </c>
      <c r="E7" s="32" t="n"/>
      <c r="F7" s="32" t="inlineStr">
        <is>
          <t>Held constant at year-1 prices: a price increase is a separate decision</t>
        </is>
      </c>
      <c r="G7" s="32" t="n"/>
      <c r="H7" s="32" t="n"/>
    </row>
    <row r="8">
      <c r="A8" s="32" t="inlineStr">
        <is>
          <t>Operating days per year</t>
        </is>
      </c>
      <c r="B8" s="44">
        <f>IFERROR(IF('0. Assumptions'!$B$6="","",'0. Assumptions'!$B$6),"")</f>
        <v>340.0</v>
      </c>
      <c r="C8" s="44">
        <f>IFERROR(IF(B8="","",B8),"")</f>
        <v>340.0</v>
      </c>
      <c r="D8" s="44">
        <f>IFERROR(IF(C8="","",C8),"")</f>
        <v>340.0</v>
      </c>
      <c r="E8" s="32" t="n"/>
      <c r="F8" s="32" t="n"/>
      <c r="G8" s="32" t="n"/>
      <c r="H8" s="32" t="n"/>
    </row>
    <row r="9">
      <c r="A9" s="29" t="inlineStr">
        <is>
          <t>TOTAL REVENUE (excl. sales tax)</t>
        </is>
      </c>
      <c r="B9" s="70">
        <f>IFERROR(IF(B6*B7*B8=0,"",B6*B7*B8),"")</f>
        <v>542300.0</v>
      </c>
      <c r="C9" s="70">
        <f>IFERROR(IF(C6*C7*C8=0,"",C6*C7*C8),"")</f>
        <v>580261.0</v>
      </c>
      <c r="D9" s="70">
        <f>IFERROR(IF(D6*D7*D8=0,"",D6*D7*D8),"")</f>
        <v>609274.05</v>
      </c>
      <c r="E9" s="71">
        <f>IFERROR(IF(B9="","",1),"")</f>
        <v>1.0</v>
      </c>
      <c r="F9" s="32" t="n"/>
      <c r="G9" s="32" t="n"/>
      <c r="H9" s="32" t="n"/>
    </row>
    <row r="10">
      <c r="A10" s="32" t="inlineStr">
        <is>
          <t>Food sales (brunch, pastries, toasts and other)</t>
        </is>
      </c>
      <c r="B10" s="44">
        <f>IFERROR(IF(B9="","",B9*$E$10),"")</f>
        <v>222343.0</v>
      </c>
      <c r="C10" s="44">
        <f>IFERROR(IF(C9="","",C9*$E$10),"")</f>
        <v>237907.00999999998</v>
      </c>
      <c r="D10" s="44">
        <f>IFERROR(IF(D9="","",D9*$E$10),"")</f>
        <v>249802.3605</v>
      </c>
      <c r="E10" s="72">
        <f>IFERROR(IF('0. Assumptions'!$B$11="","",'0. Assumptions'!$B$11),"")</f>
        <v>0.41</v>
      </c>
      <c r="F10" s="32" t="inlineStr">
        <is>
          <t>Weekend brunch, pastries and toasts from the morning service, plus smaller seasonal sales (extra takeout, mini catering, merchandise)</t>
        </is>
      </c>
      <c r="G10" s="72">
        <f>IFERROR(IF(B9="","",'0. Assumptions'!$B$39),"")</f>
        <v>0.08</v>
      </c>
      <c r="H10" s="32" t="n"/>
    </row>
    <row r="11">
      <c r="A11" s="32" t="inlineStr">
        <is>
          <t>Beverage sales (coffee, hot and cold drinks)</t>
        </is>
      </c>
      <c r="B11" s="44">
        <f>IFERROR(IF(B9="","",B9*$E$11),"")</f>
        <v>319957.00000000006</v>
      </c>
      <c r="C11" s="44">
        <f>IFERROR(IF(C9="","",C9*$E$11),"")</f>
        <v>342353.99000000005</v>
      </c>
      <c r="D11" s="44">
        <f>IFERROR(IF(D9="","",D9*$E$11),"")</f>
        <v>359471.6895000001</v>
      </c>
      <c r="E11" s="72">
        <f>IFERROR(IF('0. Assumptions'!$B$12="","",'0. Assumptions'!$B$12),"")</f>
        <v>0.5900000000000001</v>
      </c>
      <c r="F11" s="32" t="inlineStr">
        <is>
          <t>Espresso, milk drinks, teas and brewed drinks from the bar, plus fresh juices and smoothies, which carry the highest cost because they use fresh product</t>
        </is>
      </c>
      <c r="G11" s="72">
        <f>IFERROR(IF(B9="","",('0. Assumptions'!$B$62*((1-'0. Assumptions'!$B$16)*'0. Assumptions'!$B$63+'0. Assumptions'!$B$16*'0. Assumptions'!$B$40)+(1-'0. Assumptions'!$B$62)*'0. Assumptions'!$B$39)),"")</f>
        <v>0.08</v>
      </c>
      <c r="H11" s="32" t="n"/>
    </row>
    <row r="12">
      <c r="A12" s="29" t="inlineStr">
        <is>
          <t>VARIABLE COSTS</t>
        </is>
      </c>
      <c r="B12" s="32" t="n"/>
      <c r="C12" s="32" t="n"/>
      <c r="D12" s="32" t="n"/>
      <c r="E12" s="32" t="n"/>
      <c r="F12" s="32" t="n"/>
      <c r="G12" s="32" t="n"/>
      <c r="H12" s="32" t="n"/>
    </row>
    <row r="13">
      <c r="A13" s="32" t="inlineStr">
        <is>
          <t>Cost of goods sold — food</t>
        </is>
      </c>
      <c r="B13" s="44">
        <f>IFERROR(IF(B9="","",B9*'0. Assumptions'!$B$11*'0. Assumptions'!$B$13),"")</f>
        <v>66702.9</v>
      </c>
      <c r="C13" s="44">
        <f>IFERROR(IF(C9="","",C9*'0. Assumptions'!$B$11*'0. Assumptions'!$B$13),"")</f>
        <v>71372.10299999999</v>
      </c>
      <c r="D13" s="44">
        <f>IFERROR(IF(D9="","",D9*'0. Assumptions'!$B$11*'0. Assumptions'!$B$13),"")</f>
        <v>74940.70815</v>
      </c>
      <c r="E13" s="72">
        <f>IFERROR(B13/$B$9,"")</f>
        <v>0.12299999999999998</v>
      </c>
      <c r="F13" s="32" t="str">
        <f>IFERROR("At "&amp;TEXT('0. Assumptions'!$B$13,"0%")&amp;" of FOOD sales, not of total sales: beverages have their own line","")</f>
        <v>At 30% of FOOD sales, not of total sales: beverages have their own line</v>
      </c>
      <c r="G13" s="72">
        <f>IFERROR(IF(B9="","",'0. Assumptions'!$B$41),"")</f>
        <v>0.0</v>
      </c>
      <c r="H13" s="32" t="n"/>
    </row>
    <row r="14">
      <c r="A14" s="32" t="inlineStr">
        <is>
          <t>Cost of goods sold — beverage</t>
        </is>
      </c>
      <c r="B14" s="44">
        <f>IFERROR(IF(B9="","",B9*'0. Assumptions'!$B$12*'0. Assumptions'!$B$14),"")</f>
        <v>76789.68000000001</v>
      </c>
      <c r="C14" s="44">
        <f>IFERROR(IF(C9="","",C9*'0. Assumptions'!$B$12*'0. Assumptions'!$B$14),"")</f>
        <v>82164.95760000001</v>
      </c>
      <c r="D14" s="44">
        <f>IFERROR(IF(D9="","",D9*'0. Assumptions'!$B$12*'0. Assumptions'!$B$14),"")</f>
        <v>86273.20548000002</v>
      </c>
      <c r="E14" s="72">
        <f>IFERROR(B14/$B$9,"")</f>
        <v>0.1416</v>
      </c>
      <c r="F14" s="32" t="str">
        <f>IFERROR("At "&amp;TEXT('0. Assumptions'!$B$14,"0%")&amp;" of BEVERAGE sales","")</f>
        <v>At 24% of BEVERAGE sales</v>
      </c>
      <c r="G14" s="72">
        <f>IFERROR(IF(B9="","",'0. Assumptions'!$B$41),"")</f>
        <v>0.0</v>
      </c>
      <c r="H14" s="32" t="n"/>
    </row>
    <row r="15">
      <c r="A15" s="32" t="inlineStr">
        <is>
          <t>Disposables and packaging</t>
        </is>
      </c>
      <c r="B15" s="44">
        <f>IFERROR(IF(B9="","",B9*'0. Assumptions'!$B$15),"")</f>
        <v>16269.0</v>
      </c>
      <c r="C15" s="44">
        <f>IFERROR(IF(C9="","",C9*'0. Assumptions'!$B$15),"")</f>
        <v>17407.829999999998</v>
      </c>
      <c r="D15" s="44">
        <f>IFERROR(IF(D9="","",D9*'0. Assumptions'!$B$15),"")</f>
        <v>18278.2215</v>
      </c>
      <c r="E15" s="72">
        <f>IFERROR(B15/$B$9,"")</f>
        <v>0.03</v>
      </c>
      <c r="F15" s="32" t="n"/>
      <c r="G15" s="72">
        <f>IFERROR(IF(B9="","",'0. Assumptions'!$B$41),"")</f>
        <v>0.0</v>
      </c>
      <c r="H15" s="32" t="n"/>
    </row>
    <row r="16">
      <c r="A16" s="32" t="inlineStr">
        <is>
          <t>Delivery platform fees</t>
        </is>
      </c>
      <c r="B16" s="44">
        <f>IFERROR(IF(B9="","",B9*'0. Assumptions'!$B$16*'0. Assumptions'!$B$17),"")</f>
        <v>0.0</v>
      </c>
      <c r="C16" s="44">
        <f>IFERROR(IF(C9="","",C9*'0. Assumptions'!$B$16*'0. Assumptions'!$B$17),"")</f>
        <v>0.0</v>
      </c>
      <c r="D16" s="44">
        <f>IFERROR(IF(D9="","",D9*'0. Assumptions'!$B$16*'0. Assumptions'!$B$17),"")</f>
        <v>0.0</v>
      </c>
      <c r="E16" s="72">
        <f>IFERROR(B16/$B$9,"")</f>
        <v>0.0</v>
      </c>
      <c r="F16" s="32" t="inlineStr">
        <is>
          <t>Applied to the sales of THAT CHANNEL. With 0% delivery in Assumptions, this line is zero</t>
        </is>
      </c>
      <c r="G16" s="72">
        <f>IFERROR(IF(B9="","",'0. Assumptions'!$B$41),"")</f>
        <v>0.0</v>
      </c>
      <c r="H16" s="32" t="n"/>
    </row>
    <row r="17">
      <c r="A17" s="32" t="inlineStr">
        <is>
          <t>Card processing fees</t>
        </is>
      </c>
      <c r="B17" s="44">
        <f>IFERROR(IF(B9="","",B9*'0. Assumptions'!$B$18),"")</f>
        <v>18980.5</v>
      </c>
      <c r="C17" s="44">
        <f>IFERROR(IF(C9="","",C9*'0. Assumptions'!$B$18),"")</f>
        <v>20309.135000000002</v>
      </c>
      <c r="D17" s="44">
        <f>IFERROR(IF(D9="","",D9*'0. Assumptions'!$B$18),"")</f>
        <v>21324.591750000003</v>
      </c>
      <c r="E17" s="72">
        <f>IFERROR(B17/$B$9,"")</f>
        <v>0.035</v>
      </c>
      <c r="F17" s="32" t="inlineStr">
        <is>
          <t>Card processing fees are not subject to sales tax: no tax is recovered or deducted for them</t>
        </is>
      </c>
      <c r="G17" s="72" t="n">
        <v>0</v>
      </c>
      <c r="H17" s="32" t="n"/>
    </row>
    <row r="18">
      <c r="A18" s="32" t="inlineStr">
        <is>
          <t>Miscellaneous and contingency</t>
        </is>
      </c>
      <c r="B18" s="44">
        <f>IFERROR(IF(B9="","",B9*'0. Assumptions'!$B$28),"")</f>
        <v>10846.0</v>
      </c>
      <c r="C18" s="44">
        <f>IFERROR(IF(C9="","",C9*'0. Assumptions'!$B$28),"")</f>
        <v>11605.22</v>
      </c>
      <c r="D18" s="44">
        <f>IFERROR(IF(D9="","",D9*'0. Assumptions'!$B$28),"")</f>
        <v>12185.481000000002</v>
      </c>
      <c r="E18" s="72">
        <f>IFERROR(B18/$B$9,"")</f>
        <v>0.02</v>
      </c>
      <c r="F18" s="32" t="str">
        <f>IFERROR("At "&amp;TEXT('0. Assumptions'!$B$28,"0%")&amp;" of sales. It is a VARIABLE cost: it moves with revenue, so it cannot sit in fixed costs","")</f>
        <v>At 2% of sales. It is a VARIABLE cost: it moves with revenue, so it cannot sit in fixed costs</v>
      </c>
      <c r="G18" s="72">
        <f>IFERROR(IF(B9="","",'0. Assumptions'!$B$41),"")</f>
        <v>0.0</v>
      </c>
      <c r="H18" s="32" t="n"/>
    </row>
    <row r="19">
      <c r="A19" s="29" t="inlineStr">
        <is>
          <t>TOTAL VARIABLE COSTS</t>
        </is>
      </c>
      <c r="B19" s="70">
        <f>IFERROR(IF(B9="","",SUM(B13:B18)),"")</f>
        <v>189588.08000000002</v>
      </c>
      <c r="C19" s="70">
        <f>IFERROR(IF(C9="","",SUM(C13:C18)),"")</f>
        <v>202859.2456</v>
      </c>
      <c r="D19" s="70">
        <f>IFERROR(IF(D9="","",SUM(D13:D18)),"")</f>
        <v>213002.20788000003</v>
      </c>
      <c r="E19" s="71">
        <f>IFERROR(B19/$B$9,"")</f>
        <v>0.3496</v>
      </c>
      <c r="F19" s="32" t="n"/>
      <c r="G19" s="32" t="n"/>
      <c r="H19" s="32" t="n"/>
    </row>
    <row r="20">
      <c r="A20" s="29" t="inlineStr">
        <is>
          <t>GROSS MARGIN</t>
        </is>
      </c>
      <c r="B20" s="70">
        <f>IFERROR(IF(B9="","",B9-B19),"")</f>
        <v>352711.92</v>
      </c>
      <c r="C20" s="70">
        <f>IFERROR(IF(C9="","",C9-C19),"")</f>
        <v>377401.7544</v>
      </c>
      <c r="D20" s="70">
        <f>IFERROR(IF(D9="","",D9-D19),"")</f>
        <v>396271.84212000004</v>
      </c>
      <c r="E20" s="71">
        <f>IFERROR(B20/$B$9,"")</f>
        <v>0.6504</v>
      </c>
      <c r="F20" s="32" t="n"/>
      <c r="G20" s="32" t="n"/>
      <c r="H20" s="32" t="n"/>
    </row>
    <row r="21">
      <c r="A21" s="29" t="inlineStr">
        <is>
          <t>FIXED COSTS</t>
        </is>
      </c>
      <c r="B21" s="32" t="n"/>
      <c r="C21" s="32" t="n"/>
      <c r="D21" s="32" t="n"/>
      <c r="E21" s="32" t="n"/>
      <c r="F21" s="32" t="n"/>
      <c r="G21" s="32" t="n"/>
      <c r="H21" s="32" t="n"/>
    </row>
    <row r="22">
      <c r="A22" s="32" t="inlineStr">
        <is>
          <t>Rent</t>
        </is>
      </c>
      <c r="B22" s="44">
        <f>IFERROR(IF(B9="","",'0. Assumptions'!$B$24*12),"")</f>
        <v>54000.0</v>
      </c>
      <c r="C22" s="44">
        <f>IFERROR(IF(C9="","",B22*(1+'0. Assumptions'!$B$48)),"")</f>
        <v>54000.0</v>
      </c>
      <c r="D22" s="44">
        <f>IFERROR(IF(D9="","",C22*(1+'0. Assumptions'!$B$48)),"")</f>
        <v>54000.0</v>
      </c>
      <c r="E22" s="72">
        <f>IFERROR(B22/$B$9,"")</f>
        <v>0.09957588050894339</v>
      </c>
      <c r="F22" s="32" t="inlineStr">
        <is>
          <t>The monthly amount is on the "0. Assumptions" tab; here it is multiplied by twelve. Rent for the build-out months, which comes before opening, is on the "Startup Costs" tab and is NOT counted twice</t>
        </is>
      </c>
      <c r="G22" s="72">
        <f>IFERROR(IF(B9="","",'0. Assumptions'!$B$41),"")</f>
        <v>0.0</v>
      </c>
      <c r="H22" s="32" t="n"/>
    </row>
    <row r="23">
      <c r="A23" s="32" t="inlineStr">
        <is>
          <t>Labor (wages + employer payroll taxes)</t>
        </is>
      </c>
      <c r="B23" s="44">
        <f>IFERROR(IF(B9="","",Staffing!$G$11),"")</f>
        <v>168946.8</v>
      </c>
      <c r="C23" s="44">
        <f>IFERROR(IF(C9="","",Staffing!$B$15),"")</f>
        <v>174946.8</v>
      </c>
      <c r="D23" s="44">
        <f>IFERROR(IF(D9="","",Staffing!$B$16),"")</f>
        <v>180946.8</v>
      </c>
      <c r="E23" s="72">
        <f>IFERROR(B23/$B$9,"")</f>
        <v>0.31153752535496954</v>
      </c>
      <c r="F23" s="32" t="inlineStr">
        <is>
          <t>Comes from the Staffing tab: it is the SAME number, not a separate estimate. Years 2 and 3 add the new hires declared on that tab, not a percentage of volume</t>
        </is>
      </c>
      <c r="G23" s="72" t="n">
        <v>0</v>
      </c>
      <c r="H23" s="32" t="n"/>
    </row>
    <row r="24">
      <c r="A24" s="32" t="inlineStr">
        <is>
          <t>Utilities (electricity, water, gas)</t>
        </is>
      </c>
      <c r="B24" s="44">
        <f>IFERROR(IF(B9="","",'0. Assumptions'!$B$26*12),"")</f>
        <v>14400.0</v>
      </c>
      <c r="C24" s="44">
        <f>IFERROR(IF(C9="","",B24*(1+'0. Assumptions'!$B$48)),"")</f>
        <v>14400.0</v>
      </c>
      <c r="D24" s="44">
        <f>IFERROR(IF(D9="","",C24*(1+'0. Assumptions'!$B$48)),"")</f>
        <v>14400.0</v>
      </c>
      <c r="E24" s="72">
        <f>IFERROR(B24/$B$9,"")</f>
        <v>0.02655356813571824</v>
      </c>
      <c r="F24" s="32" t="inlineStr">
        <is>
          <t>Enter the monthly bills excl. sales tax. The workbook applies a single tax treatment to this whole line, the one in the column next to it; if one utility is taxed differently in your area, give it its own line</t>
        </is>
      </c>
      <c r="G24" s="72">
        <f>IFERROR(IF(B9="","",'0. Assumptions'!$B$41),"")</f>
        <v>0.0</v>
      </c>
      <c r="H24" s="32" t="n"/>
    </row>
    <row r="25">
      <c r="A25" s="32" t="inlineStr">
        <is>
          <t>Insurance (general liability + property / auto)</t>
        </is>
      </c>
      <c r="B25" s="44">
        <f>IFERROR(IF(B9="","",'0. Assumptions'!$B$27),"")</f>
        <v>3500.0</v>
      </c>
      <c r="C25" s="44">
        <f>IFERROR(IF(C9="","",B25*(1+'0. Assumptions'!$B$48)),"")</f>
        <v>3500.0</v>
      </c>
      <c r="D25" s="44">
        <f>IFERROR(IF(D9="","",C25*(1+'0. Assumptions'!$B$48)),"")</f>
        <v>3500.0</v>
      </c>
      <c r="E25" s="72">
        <f>IFERROR(B25/$B$9,"")</f>
        <v>0.006453992255209293</v>
      </c>
      <c r="F25" s="32" t="inlineStr">
        <is>
          <t>Insurance premiums are not subject to sales tax: there is no recoverable tax on them</t>
        </is>
      </c>
      <c r="G25" s="72" t="n">
        <v>0</v>
      </c>
      <c r="H25" s="32" t="n"/>
    </row>
    <row r="26">
      <c r="A26" s="32" t="inlineStr">
        <is>
          <t>Accounting / bookkeeping</t>
        </is>
      </c>
      <c r="B26" s="54" t="n">
        <v>3000</v>
      </c>
      <c r="C26" s="44">
        <f>IFERROR(IF(C9="","",B26*(1+'0. Assumptions'!$B$48)),"")</f>
        <v>3000.0</v>
      </c>
      <c r="D26" s="44">
        <f>IFERROR(IF(D9="","",C26*(1+'0. Assumptions'!$B$48)),"")</f>
        <v>3000.0</v>
      </c>
      <c r="E26" s="72">
        <f>IFERROR(B26/$B$9,"")</f>
        <v>0.0055319933616079665</v>
      </c>
      <c r="F26" s="32" t="n"/>
      <c r="G26" s="72">
        <f>IFERROR(IF(B9="","",'0. Assumptions'!$B$41),"")</f>
        <v>0.0</v>
      </c>
      <c r="H26" s="32" t="n"/>
    </row>
    <row r="27">
      <c r="A27" s="32" t="inlineStr">
        <is>
          <t>Equipment maintenance</t>
        </is>
      </c>
      <c r="B27" s="54" t="n">
        <v>2000</v>
      </c>
      <c r="C27" s="44">
        <f>IFERROR(IF(C9="","",B27*(1+'0. Assumptions'!$B$48)),"")</f>
        <v>2000.0</v>
      </c>
      <c r="D27" s="44">
        <f>IFERROR(IF(D9="","",C27*(1+'0. Assumptions'!$B$48)),"")</f>
        <v>2000.0</v>
      </c>
      <c r="E27" s="72">
        <f>IFERROR(B27/$B$9,"")</f>
        <v>0.0036879955744053105</v>
      </c>
      <c r="F27" s="32" t="n"/>
      <c r="G27" s="72">
        <f>IFERROR(IF(B9="","",'0. Assumptions'!$B$41),"")</f>
        <v>0.0</v>
      </c>
      <c r="H27" s="32" t="n"/>
    </row>
    <row r="28">
      <c r="A28" s="32" t="inlineStr">
        <is>
          <t>Marketing and advertising</t>
        </is>
      </c>
      <c r="B28" s="54" t="n">
        <v>6000</v>
      </c>
      <c r="C28" s="44">
        <f>IFERROR(IF(C9="","",B28*(1+'0. Assumptions'!$B$48)),"")</f>
        <v>6000.0</v>
      </c>
      <c r="D28" s="44">
        <f>IFERROR(IF(D9="","",C28*(1+'0. Assumptions'!$B$48)),"")</f>
        <v>6000.0</v>
      </c>
      <c r="E28" s="72">
        <f>IFERROR(B28/$B$9,"")</f>
        <v>0.011063986723215933</v>
      </c>
      <c r="F28" s="32" t="n"/>
      <c r="G28" s="72">
        <f>IFERROR(IF(B9="","",'0. Assumptions'!$B$41),"")</f>
        <v>0.0</v>
      </c>
      <c r="H28" s="32" t="n"/>
    </row>
    <row r="29">
      <c r="A29" s="32" t="inlineStr">
        <is>
          <t>Software (POS, website, delivery)</t>
        </is>
      </c>
      <c r="B29" s="54" t="n">
        <v>1800</v>
      </c>
      <c r="C29" s="44">
        <f>IFERROR(IF(C9="","",B29*(1+'0. Assumptions'!$B$48)),"")</f>
        <v>1800.0</v>
      </c>
      <c r="D29" s="44">
        <f>IFERROR(IF(D9="","",C29*(1+'0. Assumptions'!$B$48)),"")</f>
        <v>1800.0</v>
      </c>
      <c r="E29" s="72">
        <f>IFERROR(B29/$B$9,"")</f>
        <v>0.00331919601696478</v>
      </c>
      <c r="F29" s="32" t="n"/>
      <c r="G29" s="72">
        <f>IFERROR(IF(B9="","",'0. Assumptions'!$B$41),"")</f>
        <v>0.0</v>
      </c>
      <c r="H29" s="32" t="n"/>
    </row>
    <row r="30">
      <c r="A30" s="32" t="inlineStr">
        <is>
          <t>Cleaning supplies</t>
        </is>
      </c>
      <c r="B30" s="54" t="n">
        <v>2400</v>
      </c>
      <c r="C30" s="44">
        <f>IFERROR(IF(C9="","",B30*(1+'0. Assumptions'!$B$48)),"")</f>
        <v>2400.0</v>
      </c>
      <c r="D30" s="44">
        <f>IFERROR(IF(D9="","",C30*(1+'0. Assumptions'!$B$48)),"")</f>
        <v>2400.0</v>
      </c>
      <c r="E30" s="72">
        <f>IFERROR(B30/$B$9,"")</f>
        <v>0.0044255946892863725</v>
      </c>
      <c r="F30" s="32" t="n"/>
      <c r="G30" s="72">
        <f>IFERROR(IF(B9="","",'0. Assumptions'!$B$41),"")</f>
        <v>0.0</v>
      </c>
      <c r="H30" s="32" t="n"/>
    </row>
    <row r="31">
      <c r="A31" s="32" t="inlineStr">
        <is>
          <t>Waste and recycling (organic waste, cardboard and used oil if you fry)</t>
        </is>
      </c>
      <c r="B31" s="54" t="n">
        <v>1200</v>
      </c>
      <c r="C31" s="44">
        <f>IFERROR(IF(C9="","",B31*(1+'0. Assumptions'!$B$48)),"")</f>
        <v>1200.0</v>
      </c>
      <c r="D31" s="44">
        <f>IFERROR(IF(D9="","",C31*(1+'0. Assumptions'!$B$48)),"")</f>
        <v>1200.0</v>
      </c>
      <c r="E31" s="72">
        <f>IFERROR(B31/$B$9,"")</f>
        <v>0.0022127973446431862</v>
      </c>
      <c r="F31" s="32" t="inlineStr">
        <is>
          <t>Licensed waste / grease hauler; the checklist asks for the contract before you open. This coffee shop has no frying line, so the volume is lower than a restaurant's: get a quote in your area</t>
        </is>
      </c>
      <c r="G31" s="72">
        <f>IFERROR(IF(B9="","",'0. Assumptions'!$B$41),"")</f>
        <v>0.0</v>
      </c>
      <c r="H31" s="32" t="n"/>
    </row>
    <row r="32">
      <c r="A32" s="32" t="inlineStr">
        <is>
          <t>Pest control</t>
        </is>
      </c>
      <c r="B32" s="54" t="n">
        <v>800</v>
      </c>
      <c r="C32" s="44">
        <f>IFERROR(IF(C9="","",B32*(1+'0. Assumptions'!$B$48)),"")</f>
        <v>800.0</v>
      </c>
      <c r="D32" s="44">
        <f>IFERROR(IF(D9="","",C32*(1+'0. Assumptions'!$B$48)),"")</f>
        <v>800.0</v>
      </c>
      <c r="E32" s="72">
        <f>IFERROR(B32/$B$9,"")</f>
        <v>0.0014751982297621243</v>
      </c>
      <c r="F32" s="32" t="inlineStr">
        <is>
          <t>Licensed pest control company; part of the HACCP-based food safety plan that the checklist already requires</t>
        </is>
      </c>
      <c r="G32" s="72">
        <f>IFERROR(IF(B9="","",'0. Assumptions'!$B$41),"")</f>
        <v>0.0</v>
      </c>
      <c r="H32" s="32" t="n"/>
    </row>
    <row r="33">
      <c r="A33" s="32" t="inlineStr">
        <is>
          <t>Music licensing (ASCAP, BMI, SESAC)</t>
        </is>
      </c>
      <c r="B33" s="54" t="n">
        <v>600</v>
      </c>
      <c r="C33" s="44">
        <f>IFERROR(IF(C9="","",B33*(1+'0. Assumptions'!$B$48)),"")</f>
        <v>600.0</v>
      </c>
      <c r="D33" s="44">
        <f>IFERROR(IF(D9="","",C33*(1+'0. Assumptions'!$B$48)),"")</f>
        <v>600.0</v>
      </c>
      <c r="E33" s="72">
        <f>IFERROR(B33/$B$9,"")</f>
        <v>0.0011063986723215931</v>
      </c>
      <c r="F33" s="32" t="inlineStr">
        <is>
          <t>ASCAP, BMI and SESAC are separate licensing organizations; the fee depends on the size and capacity of your space</t>
        </is>
      </c>
      <c r="G33" s="72">
        <f>IFERROR(IF(B9="","",'0. Assumptions'!$B$41),"")</f>
        <v>0.0</v>
      </c>
      <c r="H33" s="32" t="n"/>
    </row>
    <row r="34">
      <c r="A34" s="32" t="inlineStr">
        <is>
          <t>Training and certifications</t>
        </is>
      </c>
      <c r="B34" s="54" t="n">
        <v>500</v>
      </c>
      <c r="C34" s="44">
        <f>IFERROR(IF(C9="","",B34*(1+'0. Assumptions'!$B$48)),"")</f>
        <v>500.0</v>
      </c>
      <c r="D34" s="44">
        <f>IFERROR(IF(D9="","",C34*(1+'0. Assumptions'!$B$48)),"")</f>
        <v>500.0</v>
      </c>
      <c r="E34" s="72">
        <f>IFERROR(B34/$B$9,"")</f>
        <v>0.0009219988936013276</v>
      </c>
      <c r="F34" s="32" t="inlineStr">
        <is>
          <t>Food handler cards, Certified Food Protection Manager certification (for example ServSafe) and basic workplace safety training for the team. Requirements vary by state and county</t>
        </is>
      </c>
      <c r="G34" s="72">
        <f>IFERROR(IF(B9="","",'0. Assumptions'!$B$41),"")</f>
        <v>0.0</v>
      </c>
      <c r="H34" s="32" t="n"/>
    </row>
    <row r="35">
      <c r="A35" s="32" t="inlineStr">
        <is>
          <t>Depreciation of fixed assets</t>
        </is>
      </c>
      <c r="B35" s="44">
        <f>IFERROR(IF(B9="","",'Startup Costs'!$B$42),"")</f>
        <v>20058.571428571428</v>
      </c>
      <c r="C35" s="44">
        <f>IFERROR(IF(C9="","",B35),"")</f>
        <v>20058.571428571428</v>
      </c>
      <c r="D35" s="44">
        <f>IFERROR(IF(D9="","",B35),"")</f>
        <v>20058.571428571428</v>
      </c>
      <c r="E35" s="72">
        <f>IFERROR(B35/$B$9,"")</f>
        <v>0.03698796132873212</v>
      </c>
      <c r="F35" s="32" t="inlineStr">
        <is>
          <t>Comes from the depreciation bases on the Startup Costs tab: real fixed assets only. It does NOT rise with inflation: it is a charge on the HISTORICAL cost of the assets</t>
        </is>
      </c>
      <c r="G35" s="72" t="n">
        <v>0</v>
      </c>
      <c r="H35" s="32" t="n"/>
    </row>
    <row r="36">
      <c r="A36" s="32" t="inlineStr">
        <is>
          <t>Interest expense (loan interest)</t>
        </is>
      </c>
      <c r="B36" s="44">
        <f>IFERROR(IF(B9="","",Financing!$B$44),"")</f>
        <v>20400.0</v>
      </c>
      <c r="C36" s="44">
        <f>IFERROR(IF(C9="","",Financing!$B$46),"")</f>
        <v>19119.993944396767</v>
      </c>
      <c r="D36" s="44">
        <f>IFERROR(IF(D9="","",Financing!$B$48),"")</f>
        <v>17711.987283233208</v>
      </c>
      <c r="E36" s="72">
        <f>IFERROR(B36/$B$9,"")</f>
        <v>0.03761755485893417</v>
      </c>
      <c r="F36" s="32" t="inlineStr">
        <is>
          <t>Only INTEREST is an expense. Principal repaid appears on the cash flow tab</t>
        </is>
      </c>
      <c r="G36" s="72" t="n">
        <v>0</v>
      </c>
      <c r="H36" s="32" t="n"/>
    </row>
    <row r="37">
      <c r="A37" s="29" t="inlineStr">
        <is>
          <t>TOTAL FIXED COSTS</t>
        </is>
      </c>
      <c r="B37" s="70">
        <f>IFERROR(IF(B9="","",SUM(B22:B36)),"")</f>
        <v>299605.3714285714</v>
      </c>
      <c r="C37" s="70">
        <f>IFERROR(IF(C9="","",SUM(C22:C36)),"")</f>
        <v>304325.3653729682</v>
      </c>
      <c r="D37" s="70">
        <f>IFERROR(IF(D9="","",SUM(D22:D36)),"")</f>
        <v>308917.3587118046</v>
      </c>
      <c r="E37" s="71">
        <f>IFERROR(B37/$B$9,"")</f>
        <v>0.5524716419483153</v>
      </c>
      <c r="F37" s="32" t="n"/>
      <c r="G37" s="32" t="n"/>
      <c r="H37" s="32" t="n"/>
    </row>
    <row r="38">
      <c r="A38" s="32" t="inlineStr">
        <is>
          <t>Recoverable input tax on variable costs</t>
        </is>
      </c>
      <c r="B38" s="44">
        <f>IFERROR(IF(B9="","",SUMPRODUCT(B13:B18,G13:G18)),"")</f>
        <v>0.0</v>
      </c>
      <c r="C38" s="44">
        <f>IFERROR(IF(C9="","",SUMPRODUCT(C13:C18,G13:G18)),"")</f>
        <v>0.0</v>
      </c>
      <c r="D38" s="44">
        <f>IFERROR(IF(D9="","",SUMPRODUCT(D13:D18,G13:G18)),"")</f>
        <v>0.0</v>
      </c>
      <c r="E38" s="32" t="n"/>
      <c r="F38" s="32" t="inlineStr">
        <is>
          <t>Each line at ITS OWN rate, read from the column next to it. It is what the cash flow tab overpays to suppliers and later deducts (zero wherever no tax is recoverable)</t>
        </is>
      </c>
      <c r="G38" s="32" t="n"/>
      <c r="H38" s="32" t="n"/>
    </row>
    <row r="39">
      <c r="A39" s="37" t="inlineStr">
        <is>
          <t>Recoverable input tax on fixed costs</t>
        </is>
      </c>
      <c r="B39" s="46">
        <f>IFERROR(IF(B9="","",SUMPRODUCT(B22:B36,G22:G36)),"")</f>
        <v>0.0</v>
      </c>
      <c r="C39" s="46">
        <f>IFERROR(IF(C9="","",SUMPRODUCT(C22:C36,G22:G36)),"")</f>
        <v>0.0</v>
      </c>
      <c r="D39" s="46">
        <f>IFERROR(IF(D9="","",SUMPRODUCT(D22:D36,G22:G36)),"")</f>
        <v>0.0</v>
      </c>
    </row>
    <row r="40">
      <c r="A40" s="19" t="inlineStr">
        <is>
          <t>PRE-TAX INCOME (EBT)</t>
        </is>
      </c>
      <c r="B40" s="57">
        <f>IFERROR(IF(B9="","",B20-B37),"")</f>
        <v>53106.548571428575</v>
      </c>
      <c r="C40" s="57">
        <f>IFERROR(IF(C9="","",C20-C37),"")</f>
        <v>73076.38902703178</v>
      </c>
      <c r="D40" s="57">
        <f>IFERROR(IF(D9="","",D20-D37),"")</f>
        <v>87354.48340819543</v>
      </c>
      <c r="E40" s="73">
        <f>IFERROR(B40/$B$9,"")</f>
        <v>0.09792835805168464</v>
      </c>
    </row>
    <row r="41">
      <c r="A41" s="37" t="inlineStr">
        <is>
          <t>Net operating losses carried forward (opening)</t>
        </is>
      </c>
      <c r="B41" s="46">
        <f>IFERROR(IF(B9="","",'0. Assumptions'!$B$42),"")</f>
        <v>0.0</v>
      </c>
      <c r="C41" s="46">
        <f>IFERROR(IF(C9="","",B46),"")</f>
        <v>0.0</v>
      </c>
      <c r="D41" s="46">
        <f>IFERROR(IF(D9="","",C46),"")</f>
        <v>0.0</v>
      </c>
      <c r="F41" s="37" t="inlineStr">
        <is>
          <t>Federal rules let a year's losses offset the profits of later years (the federal limit is 80% of taxable income; this model offsets 100% as a simplification)</t>
        </is>
      </c>
    </row>
    <row r="42">
      <c r="A42" s="37" t="inlineStr">
        <is>
          <t>Taxable income (after loss offset)</t>
        </is>
      </c>
      <c r="B42" s="46">
        <f>IFERROR(IF(B9="","",MAX(0,B40-B41)),"")</f>
        <v>53106.548571428575</v>
      </c>
      <c r="C42" s="46">
        <f>IFERROR(IF(C9="","",MAX(0,C40-C41)),"")</f>
        <v>73076.38902703178</v>
      </c>
      <c r="D42" s="46">
        <f>IFERROR(IF(D9="","",MAX(0,D40-D41)),"")</f>
        <v>87354.48340819543</v>
      </c>
    </row>
    <row r="43">
      <c r="A43" s="37" t="inlineStr">
        <is>
          <t>Years with positive taxable income (cumulative)</t>
        </is>
      </c>
      <c r="B43" s="46">
        <f>IFERROR(IF(B9="","",IF(B42&gt;0,1,0)),"")</f>
        <v>1.0</v>
      </c>
      <c r="C43" s="46">
        <f>IFERROR(IF(C9="","",B43+IF(C42&gt;0,1,0)),"")</f>
        <v>2.0</v>
      </c>
      <c r="D43" s="46">
        <f>IFERROR(IF(D9="","",C43+IF(D42&gt;0,1,0)),"")</f>
        <v>3.0</v>
      </c>
    </row>
    <row r="44">
      <c r="A44" s="37" t="inlineStr">
        <is>
          <t>Effective income tax rate applied</t>
        </is>
      </c>
      <c r="B44" s="69">
        <f>IFERROR(IF(B9="","",IF(B42&lt;=0,"",IF(B43&lt;=2,'0. Assumptions'!$B$37,'0. Assumptions'!$B$38))),"")</f>
        <v>0.25</v>
      </c>
      <c r="C44" s="69">
        <f>IFERROR(IF(C9="","",IF(C42&lt;=0,"",IF(C43&lt;=2,'0. Assumptions'!$B$37,'0. Assumptions'!$B$38))),"")</f>
        <v>0.25</v>
      </c>
      <c r="D44" s="69">
        <f>IFERROR(IF(D9="","",IF(D42&lt;=0,"",IF(D43&lt;=2,'0. Assumptions'!$B$37,'0. Assumptions'!$B$38))),"")</f>
        <v>0.25</v>
      </c>
      <c r="F44" s="37" t="inlineStr">
        <is>
          <t>The "years 1-2" rate applies to the first two years with positive taxable income, not to the first two calendar years of the business. The model approximates this by counting the first two profitable years</t>
        </is>
      </c>
    </row>
    <row r="45">
      <c r="A45" s="37" t="inlineStr">
        <is>
          <t>Income tax</t>
        </is>
      </c>
      <c r="B45" s="46">
        <f>IFERROR(IF(B9="","",IF(B44="",0,B42*B44)),"")</f>
        <v>13276.637142857144</v>
      </c>
      <c r="C45" s="46">
        <f>IFERROR(IF(C9="","",IF(C44="",0,C42*C44)),"")</f>
        <v>18269.097256757945</v>
      </c>
      <c r="D45" s="46">
        <f>IFERROR(IF(D9="","",IF(D44="",0,D42*D44)),"")</f>
        <v>21838.620852048858</v>
      </c>
    </row>
    <row r="46">
      <c r="A46" s="37" t="inlineStr">
        <is>
          <t>Net operating losses carried forward (closing)</t>
        </is>
      </c>
      <c r="B46" s="46">
        <f>IFERROR(IF(B9="","",MAX(0,B41-B40)),"")</f>
        <v>0.0</v>
      </c>
      <c r="C46" s="46">
        <f>IFERROR(IF(C9="","",MAX(0,C41-C40)),"")</f>
        <v>0.0</v>
      </c>
      <c r="D46" s="46">
        <f>IFERROR(IF(D9="","",MAX(0,D41-D40)),"")</f>
        <v>0.0</v>
      </c>
    </row>
    <row r="47">
      <c r="A47" s="19" t="inlineStr">
        <is>
          <t>NET INCOME</t>
        </is>
      </c>
      <c r="B47" s="57">
        <f>IFERROR(IF(B9="","",B40-B45),"")</f>
        <v>39829.91142857143</v>
      </c>
      <c r="C47" s="57">
        <f>IFERROR(IF(C9="","",C40-C45),"")</f>
        <v>54807.291770273834</v>
      </c>
      <c r="D47" s="57">
        <f>IFERROR(IF(D9="","",D40-D45),"")</f>
        <v>65515.862556146574</v>
      </c>
      <c r="E47" s="73">
        <f>IFERROR(B47/$B$9,"")</f>
        <v>0.07344626853876347</v>
      </c>
    </row>
    <row r="48">
      <c r="A48" s="19" t="inlineStr">
        <is>
          <t>KEY RATIOS</t>
        </is>
      </c>
    </row>
    <row r="49">
      <c r="A49" s="19" t="inlineStr">
        <is>
          <t>Ratio</t>
        </is>
      </c>
      <c r="B49" s="19" t="inlineStr">
        <is>
          <t>Year 1</t>
        </is>
      </c>
      <c r="C49" s="19" t="inlineStr">
        <is>
          <t>Year 2</t>
        </is>
      </c>
      <c r="D49" s="19" t="inlineStr">
        <is>
          <t>Year 3</t>
        </is>
      </c>
      <c r="E49" s="19" t="inlineStr">
        <is>
          <t>Threshold</t>
        </is>
      </c>
      <c r="F49" s="19" t="inlineStr">
        <is>
          <t>Comment</t>
        </is>
      </c>
    </row>
    <row r="50">
      <c r="A50" s="37" t="inlineStr">
        <is>
          <t>Gross margin / Sales</t>
        </is>
      </c>
      <c r="B50" s="69">
        <f>IFERROR(IF(B9="","",B20/B9),"")</f>
        <v>0.6504</v>
      </c>
      <c r="C50" s="69">
        <f>IFERROR(IF(C9="","",C20/C9),"")</f>
        <v>0.6504</v>
      </c>
      <c r="D50" s="69">
        <f>IFERROR(IF(D9="","",D20/D9),"")</f>
        <v>0.6504</v>
      </c>
      <c r="E50" s="74" t="n">
        <v>0.65</v>
      </c>
      <c r="F50" s="37" t="inlineStr">
        <is>
          <t>Kit benchmark (editable estimate): the mirror image of the 35% cost-of-goods ceiling, so gross margin should stay above 65%</t>
        </is>
      </c>
    </row>
    <row r="51">
      <c r="A51" s="37" t="inlineStr">
        <is>
          <t>Cost of goods sold (food + beverage)</t>
        </is>
      </c>
      <c r="B51" s="46">
        <f>IFERROR(IF(B9="","",B13+B14),"")</f>
        <v>143492.58000000002</v>
      </c>
      <c r="C51" s="46">
        <f>IFERROR(IF(C9="","",C13+C14),"")</f>
        <v>153537.0606</v>
      </c>
      <c r="D51" s="46">
        <f>IFERROR(IF(D9="","",D13+D14),"")</f>
        <v>161213.91363000002</v>
      </c>
    </row>
    <row r="52">
      <c r="A52" s="37" t="inlineStr">
        <is>
          <t>Cost of goods sold / Sales</t>
        </is>
      </c>
      <c r="B52" s="69">
        <f>IFERROR(IF(B9="","",B51/B9),"")</f>
        <v>0.26460000000000006</v>
      </c>
      <c r="C52" s="69">
        <f>IFERROR(IF(C9="","",C51/C9),"")</f>
        <v>0.2646</v>
      </c>
      <c r="D52" s="69">
        <f>IFERROR(IF(D9="","",D51/D9),"")</f>
        <v>0.2646</v>
      </c>
      <c r="E52" s="74" t="n">
        <v>0.35</v>
      </c>
      <c r="F52" s="37" t="inlineStr">
        <is>
          <t>Kit benchmark (editable estimate): top of the 25-35% cost-of-goods range for a coffee shop, which here blends brunch food (30-35%) with coffee and cold drinks</t>
        </is>
      </c>
    </row>
    <row r="53">
      <c r="A53" s="37" t="inlineStr">
        <is>
          <t>Labor cost / Sales</t>
        </is>
      </c>
      <c r="B53" s="69">
        <f>IFERROR(IF(B9="","",B23/B9),"")</f>
        <v>0.31153752535496954</v>
      </c>
      <c r="C53" s="69">
        <f>IFERROR(IF(C9="","",C23/C9),"")</f>
        <v>0.3014967402599864</v>
      </c>
      <c r="D53" s="69">
        <f>IFERROR(IF(D9="","",D23/D9),"")</f>
        <v>0.29698753787396653</v>
      </c>
      <c r="E53" s="74" t="n">
        <v>0.35</v>
      </c>
      <c r="F53" s="37" t="inlineStr">
        <is>
          <t>Kit benchmark (editable estimate): the ceiling of the 30-35% labor-cost range in the industry benchmarks table; above 40% is an alarm</t>
        </is>
      </c>
    </row>
    <row r="54">
      <c r="A54" s="37" t="inlineStr">
        <is>
          <t>Rent / Sales</t>
        </is>
      </c>
      <c r="B54" s="69">
        <f>IFERROR(IF(B9="","",B22/B9),"")</f>
        <v>0.09957588050894339</v>
      </c>
      <c r="C54" s="69">
        <f>IFERROR(IF(C9="","",C22/C9),"")</f>
        <v>0.09306157056910597</v>
      </c>
      <c r="D54" s="69">
        <f>IFERROR(IF(D9="","",D22/D9),"")</f>
        <v>0.08863006720867235</v>
      </c>
      <c r="E54" s="74" t="n">
        <v>0.12</v>
      </c>
      <c r="F54" s="37" t="inlineStr">
        <is>
          <t>Kit benchmark (editable estimate): rent up to 12% of sales, between the 10% target and the 15% maximum in the industry benchmarks table</t>
        </is>
      </c>
    </row>
    <row r="55">
      <c r="A55" s="37" t="inlineStr">
        <is>
          <t>Net income / Sales</t>
        </is>
      </c>
      <c r="B55" s="69">
        <f>IFERROR(IF(B9="","",B47/B9),"")</f>
        <v>0.07344626853876347</v>
      </c>
      <c r="C55" s="69">
        <f>IFERROR(IF(C9="","",C47/C9),"")</f>
        <v>0.09445282686631332</v>
      </c>
      <c r="D55" s="69">
        <f>IFERROR(IF(D9="","",D47/D9),"")</f>
        <v>0.10753102410343354</v>
      </c>
      <c r="E55" s="74" t="n">
        <v>0.06</v>
      </c>
      <c r="F55" s="37" t="inlineStr">
        <is>
          <t>Kit benchmark (editable estimate): below 6% net margin points to a structural problem; healthy coffee shops net about 8-12% (industry benchmarks table)</t>
        </is>
      </c>
    </row>
    <row r="56">
      <c r="A56" s="37" t="inlineStr">
        <is>
          <t>Break-even reached</t>
        </is>
      </c>
      <c r="B56" t="str">
        <f>IFERROR(IF(B9="","",IF(B9&gt;='Break-Even'!$B$16,"Yes","No")),"")</f>
        <v>Yes</v>
      </c>
      <c r="C56" t="str">
        <f>IFERROR(IF(C9="","",IF(C9&gt;='Break-Even'!$C$16,"Yes","No")),"")</f>
        <v>Yes</v>
      </c>
      <c r="D56" t="str">
        <f>IFERROR(IF(D9="","",IF(D9&gt;='Break-Even'!$D$16,"Yes","No")),"")</f>
        <v>Yes</v>
      </c>
      <c r="F56" s="37" t="inlineStr">
        <is>
          <t>Compares each year's sales with that same year's threshold, which the Break-Even tab calculates with that year's fixed costs</t>
        </is>
      </c>
    </row>
    <row r="58" ht="165" customHeight="1">
      <c r="A58" s="20"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Yes">
      <formula>NOT(ISERROR(SEARCH("Yes",B56)))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nvalid amount" error="Enter a number greater than or equal to 0." type="decimal" operator="greaterThanOrEqual">
      <formula1>0</formula1>
    </dataValidation>
    <dataValidation sqref="E50 E52 E53 E54 E5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Monthly and daily break-even — Coffee shop with brunch</t>
        </is>
      </c>
    </row>
    <row r="4">
      <c r="A4" s="29" t="inlineStr">
        <is>
          <t>Variable</t>
        </is>
      </c>
      <c r="B4" s="29" t="inlineStr">
        <is>
          <t>Year 1</t>
        </is>
      </c>
      <c r="C4" s="29" t="inlineStr">
        <is>
          <t>Year 2</t>
        </is>
      </c>
      <c r="D4" s="29" t="inlineStr">
        <is>
          <t>Year 3</t>
        </is>
      </c>
      <c r="E4" s="29" t="inlineStr">
        <is>
          <t>Notes</t>
        </is>
      </c>
      <c r="F4" s="32" t="n"/>
    </row>
    <row r="5">
      <c r="A5" s="29" t="inlineStr">
        <is>
          <t>BASE DATA BY YEAR</t>
        </is>
      </c>
      <c r="B5" s="32" t="n"/>
      <c r="C5" s="32" t="n"/>
      <c r="D5" s="32" t="n"/>
      <c r="E5" s="32" t="n"/>
      <c r="F5" s="32" t="n"/>
    </row>
    <row r="6">
      <c r="A6" s="32" t="inlineStr">
        <is>
          <t>Annual fixed costs</t>
        </is>
      </c>
      <c r="B6" s="66">
        <f>IFERROR(IF('3-Year P&amp;L'!$B$9="","",'3-Year P&amp;L'!$B$37),"")</f>
        <v>299605.3714285714</v>
      </c>
      <c r="C6" s="66">
        <f>IFERROR(IF('3-Year P&amp;L'!$C$9="","",'3-Year P&amp;L'!$C$37),"")</f>
        <v>304325.3653729682</v>
      </c>
      <c r="D6" s="66">
        <f>IFERROR(IF('3-Year P&amp;L'!$D$9="","",'3-Year P&amp;L'!$D$37),"")</f>
        <v>308917.3587118046</v>
      </c>
      <c r="E6" s="32" t="inlineStr">
        <is>
          <t>The SAME fixed costs as the P&amp;L. Each year has its own, which is why the threshold cannot be a single one for all three years</t>
        </is>
      </c>
      <c r="F6" s="32" t="n"/>
    </row>
    <row r="7">
      <c r="A7" s="32" t="inlineStr">
        <is>
          <t>Monthly fixed costs</t>
        </is>
      </c>
      <c r="B7" s="66">
        <f>IFERROR(IF('3-Year P&amp;L'!$B$9="","",B6/12),"")</f>
        <v>24967.114285714284</v>
      </c>
      <c r="C7" s="66">
        <f>IFERROR(IF('3-Year P&amp;L'!$C$9="","",C6/12),"")</f>
        <v>25360.447114414015</v>
      </c>
      <c r="D7" s="66">
        <f>IFERROR(IF('3-Year P&amp;L'!$D$9="","",D6/12),"")</f>
        <v>25743.113225983718</v>
      </c>
      <c r="E7" s="32" t="n"/>
      <c r="F7" s="32" t="n"/>
    </row>
    <row r="8">
      <c r="A8" s="32" t="inlineStr">
        <is>
          <t>Average check (excl. sales tax)</t>
        </is>
      </c>
      <c r="B8" s="66">
        <f>IFERROR(IF('3-Year P&amp;L'!$B$9="","",'3-Year P&amp;L'!$B$7),"")</f>
        <v>11.0</v>
      </c>
      <c r="C8" s="66">
        <f>IFERROR(IF('3-Year P&amp;L'!$C$9="","",'3-Year P&amp;L'!$C$7),"")</f>
        <v>11.0</v>
      </c>
      <c r="D8" s="66">
        <f>IFERROR(IF('3-Year P&amp;L'!$D$9="","",'3-Year P&amp;L'!$D$7),"")</f>
        <v>11.0</v>
      </c>
      <c r="E8" s="32" t="n"/>
      <c r="F8" s="32" t="n"/>
    </row>
    <row r="9">
      <c r="A9" s="32" t="inlineStr">
        <is>
          <t>Variable cost per customer</t>
        </is>
      </c>
      <c r="B9" s="66">
        <f>IFERROR(IF('3-Year P&amp;L'!$B$9="","",'3-Year P&amp;L'!$B$19/('3-Year P&amp;L'!$B$6*'3-Year P&amp;L'!$B$8)),"")</f>
        <v>3.8456</v>
      </c>
      <c r="C9" s="66">
        <f>IFERROR(IF('3-Year P&amp;L'!$C$9="","",'3-Year P&amp;L'!$C$19/('3-Year P&amp;L'!$C$6*'3-Year P&amp;L'!$C$8)),"")</f>
        <v>3.8455999999999997</v>
      </c>
      <c r="D9" s="66">
        <f>IFERROR(IF('3-Year P&amp;L'!$D$9="","",'3-Year P&amp;L'!$D$19/('3-Year P&amp;L'!$D$6*'3-Year P&amp;L'!$D$8)),"")</f>
        <v>3.8456000000000006</v>
      </c>
      <c r="E9" s="32" t="inlineStr">
        <is>
          <t>Comes from the P&amp;L total variable costs, not from a separate estimate. It includes miscellaneous and contingency, which is a percentage of sales</t>
        </is>
      </c>
      <c r="F9" s="32" t="n"/>
    </row>
    <row r="10">
      <c r="A10" s="32" t="inlineStr">
        <is>
          <t>Contribution margin per customer</t>
        </is>
      </c>
      <c r="B10" s="66">
        <f>IFERROR(IF('3-Year P&amp;L'!$B$9="","",B8-B9),"")</f>
        <v>7.1544</v>
      </c>
      <c r="C10" s="66">
        <f>IFERROR(IF('3-Year P&amp;L'!$C$9="","",C8-C9),"")</f>
        <v>7.154400000000001</v>
      </c>
      <c r="D10" s="66">
        <f>IFERROR(IF('3-Year P&amp;L'!$D$9="","",D8-D9),"")</f>
        <v>7.154399999999999</v>
      </c>
      <c r="E10" s="32" t="inlineStr">
        <is>
          <t>Average check minus unit variable cost</t>
        </is>
      </c>
      <c r="F10" s="32" t="n"/>
    </row>
    <row r="11">
      <c r="A11" s="32" t="inlineStr">
        <is>
          <t>Operating days per year</t>
        </is>
      </c>
      <c r="B11" s="44">
        <f>IFERROR(IF('3-Year P&amp;L'!$B$9="","",'3-Year P&amp;L'!$B$8),"")</f>
        <v>340.0</v>
      </c>
      <c r="C11" s="44">
        <f>IFERROR(IF('3-Year P&amp;L'!$C$9="","",'3-Year P&amp;L'!$C$8),"")</f>
        <v>340.0</v>
      </c>
      <c r="D11" s="44">
        <f>IFERROR(IF('3-Year P&amp;L'!$D$9="","",'3-Year P&amp;L'!$D$8),"")</f>
        <v>340.0</v>
      </c>
      <c r="E11" s="32" t="inlineStr">
        <is>
          <t>The same calendar as the P&amp;L and the scenarios</t>
        </is>
      </c>
      <c r="F11" s="32" t="n"/>
    </row>
    <row r="12">
      <c r="A12" s="32" t="inlineStr">
        <is>
          <t>Principal repaid in the year</t>
        </is>
      </c>
      <c r="B12" s="66">
        <f>IFERROR(IF('3-Year P&amp;L'!$B$9="","",Financing!$B$45),"")</f>
        <v>12800.060556032353</v>
      </c>
      <c r="C12" s="66">
        <f>IFERROR(IF('3-Year P&amp;L'!$C$9="","",Financing!$B$47),"")</f>
        <v>14080.066611635586</v>
      </c>
      <c r="D12" s="66">
        <f>IFERROR(IF('3-Year P&amp;L'!$D$9="","",Financing!$B$49),"")</f>
        <v>15488.073272799145</v>
      </c>
      <c r="E12" s="32" t="inlineStr">
        <is>
          <t>Principal is NOT a P&amp;L expense, but it leaves the cash account. Without it, the published break-even threshold would sit below the real one</t>
        </is>
      </c>
      <c r="F12" s="32" t="n"/>
    </row>
    <row r="13">
      <c r="A13" s="29" t="inlineStr">
        <is>
          <t>ACCOUNTING BREAK-EVEN (includes depreciation)</t>
        </is>
      </c>
      <c r="B13" s="32" t="n"/>
      <c r="C13" s="32" t="n"/>
      <c r="D13" s="32" t="n"/>
      <c r="E13" s="32" t="n"/>
      <c r="F13" s="32" t="n"/>
    </row>
    <row r="14">
      <c r="A14" s="32" t="inlineStr">
        <is>
          <t>Customers needed per year</t>
        </is>
      </c>
      <c r="B14" s="44">
        <f>IFERROR(IF('3-Year P&amp;L'!$B$9="","",IF(B10&lt;=0,"",B6/B10)),"")</f>
        <v>41877.078640916276</v>
      </c>
      <c r="C14" s="44">
        <f>IFERROR(IF('3-Year P&amp;L'!$C$9="","",IF(C10&lt;=0,"",C6/C10)),"")</f>
        <v>42536.811664565605</v>
      </c>
      <c r="D14" s="44">
        <f>IFERROR(IF('3-Year P&amp;L'!$D$9="","",IF(D10&lt;=0,"",D6/D10)),"")</f>
        <v>43178.65351557149</v>
      </c>
      <c r="E14" s="32" t="n"/>
      <c r="F14" s="32" t="n"/>
    </row>
    <row r="15">
      <c r="A15" s="32" t="inlineStr">
        <is>
          <t>Customers needed per day</t>
        </is>
      </c>
      <c r="B15" s="48">
        <f>IFERROR(IF('3-Year P&amp;L'!$B$9="","",B14/B11),"")</f>
        <v>123.1678783556361</v>
      </c>
      <c r="C15" s="48">
        <f>IFERROR(IF('3-Year P&amp;L'!$C$9="","",C14/C11),"")</f>
        <v>125.10826960166354</v>
      </c>
      <c r="D15" s="48">
        <f>IFERROR(IF('3-Year P&amp;L'!$D$9="","",D14/D11),"")</f>
        <v>126.99603975168085</v>
      </c>
      <c r="E15" s="32" t="n"/>
      <c r="F15" s="32" t="n"/>
    </row>
    <row r="16">
      <c r="A16" s="29" t="inlineStr">
        <is>
          <t>Revenue needed per year</t>
        </is>
      </c>
      <c r="B16" s="70">
        <f>IFERROR(IF('3-Year P&amp;L'!$B$9="","",B14*B8),"")</f>
        <v>460647.865050079</v>
      </c>
      <c r="C16" s="70">
        <f>IFERROR(IF('3-Year P&amp;L'!$C$9="","",C14*C8),"")</f>
        <v>467904.92831022164</v>
      </c>
      <c r="D16" s="70">
        <f>IFERROR(IF('3-Year P&amp;L'!$D$9="","",D14*D8),"")</f>
        <v>474965.1886712864</v>
      </c>
      <c r="E16" s="32" t="n"/>
      <c r="F16" s="32" t="n"/>
    </row>
    <row r="17">
      <c r="A17" s="29" t="inlineStr">
        <is>
          <t>CASH BREAK-EVEN (loan payments in, depreciation out)</t>
        </is>
      </c>
      <c r="B17" s="32" t="n"/>
      <c r="C17" s="32" t="n"/>
      <c r="D17" s="32" t="n"/>
      <c r="E17" s="32" t="n"/>
      <c r="F17" s="32" t="n"/>
    </row>
    <row r="18">
      <c r="A18" s="32" t="inlineStr">
        <is>
          <t>Cash fixed costs + principal repaid for the year</t>
        </is>
      </c>
      <c r="B18" s="66">
        <f>IFERROR(IF('3-Year P&amp;L'!$B$9="","",B6-'3-Year P&amp;L'!$B$35+B12),"")</f>
        <v>292346.86055603233</v>
      </c>
      <c r="C18" s="66">
        <f>IFERROR(IF('3-Year P&amp;L'!$C$9="","",C6-'3-Year P&amp;L'!$C$35+C12),"")</f>
        <v>298346.8605560324</v>
      </c>
      <c r="D18" s="66">
        <f>IFERROR(IF('3-Year P&amp;L'!$D$9="","",D6-'3-Year P&amp;L'!$D$35+D12),"")</f>
        <v>304346.86055603233</v>
      </c>
      <c r="E18" s="32" t="inlineStr">
        <is>
          <t>The P&amp;L fixed costs without depreciation (which is not paid in cash) and WITH principal repaid (which is). This is the threshold that decides whether cash holds up</t>
        </is>
      </c>
      <c r="F18" s="32" t="n"/>
    </row>
    <row r="19">
      <c r="A19" s="32" t="inlineStr">
        <is>
          <t>Customers needed per year (cash)</t>
        </is>
      </c>
      <c r="B19" s="44">
        <f>IFERROR(IF('3-Year P&amp;L'!$B$9="","",IF(B10&lt;=0,"",B18/B10)),"")</f>
        <v>40862.526634802685</v>
      </c>
      <c r="C19" s="44">
        <f>IFERROR(IF('3-Year P&amp;L'!$C$9="","",IF(C10&lt;=0,"",C18/C10)),"")</f>
        <v>41701.171384886555</v>
      </c>
      <c r="D19" s="44">
        <f>IFERROR(IF('3-Year P&amp;L'!$D$9="","",IF(D10&lt;=0,"",D18/D10)),"")</f>
        <v>42539.816134970424</v>
      </c>
      <c r="E19" s="32" t="n"/>
      <c r="F19" s="32" t="n"/>
    </row>
    <row r="20">
      <c r="A20" s="29" t="inlineStr">
        <is>
          <t>Customers needed per day (cash)</t>
        </is>
      </c>
      <c r="B20" s="49">
        <f>IFERROR(IF('3-Year P&amp;L'!$B$9="","",B19/B11),"")</f>
        <v>120.18390186706672</v>
      </c>
      <c r="C20" s="49">
        <f>IFERROR(IF('3-Year P&amp;L'!$C$9="","",C19/C11),"")</f>
        <v>122.65050407319575</v>
      </c>
      <c r="D20" s="49">
        <f>IFERROR(IF('3-Year P&amp;L'!$D$9="","",D19/D11),"")</f>
        <v>125.11710627932477</v>
      </c>
      <c r="E20" s="32" t="n"/>
      <c r="F20" s="32" t="n"/>
    </row>
    <row r="21">
      <c r="A21" s="32" t="inlineStr">
        <is>
          <t>Revenue needed per year (cash)</t>
        </is>
      </c>
      <c r="B21" s="44">
        <f>IFERROR(IF('3-Year P&amp;L'!$B$9="","",B19*B8),"")</f>
        <v>449487.79298282956</v>
      </c>
      <c r="C21" s="44">
        <f>IFERROR(IF('3-Year P&amp;L'!$C$9="","",C19*C8),"")</f>
        <v>458712.8852337521</v>
      </c>
      <c r="D21" s="44">
        <f>IFERROR(IF('3-Year P&amp;L'!$D$9="","",D19*D8),"")</f>
        <v>467937.97748467466</v>
      </c>
      <c r="E21" s="32" t="n"/>
      <c r="F21" s="32" t="n"/>
    </row>
    <row r="22">
      <c r="A22" s="29" t="inlineStr">
        <is>
          <t>COMPARISON WITH THE PLAN</t>
        </is>
      </c>
      <c r="B22" s="32" t="n"/>
      <c r="C22" s="32" t="n"/>
      <c r="D22" s="32" t="n"/>
      <c r="E22" s="32" t="n"/>
      <c r="F22" s="32" t="n"/>
    </row>
    <row r="23">
      <c r="A23" s="32" t="inlineStr">
        <is>
          <t>Customers per day forecast in the plan</t>
        </is>
      </c>
      <c r="B23" s="44">
        <f>IFERROR(IF('3-Year P&amp;L'!$B$9="","",'3-Year P&amp;L'!$B$6),"")</f>
        <v>145.0</v>
      </c>
      <c r="C23" s="44">
        <f>IFERROR(IF('3-Year P&amp;L'!$C$9="","",'3-Year P&amp;L'!$C$6),"")</f>
        <v>155.15</v>
      </c>
      <c r="D23" s="44">
        <f>IFERROR(IF('3-Year P&amp;L'!$D$9="","",'3-Year P&amp;L'!$D$6),"")</f>
        <v>162.9075</v>
      </c>
      <c r="E23" s="32" t="n"/>
      <c r="F23" s="32" t="n"/>
    </row>
    <row r="24">
      <c r="A24" s="32" t="inlineStr">
        <is>
          <t>Cushion above CASH break-even (%)</t>
        </is>
      </c>
      <c r="B24" s="72">
        <f>IFERROR(IF('3-Year P&amp;L'!$B$9="","",B23/B20-1),"")</f>
        <v>0.2064843772536351</v>
      </c>
      <c r="C24" s="72">
        <f>IFERROR(IF('3-Year P&amp;L'!$C$9="","",C23/C20-1),"")</f>
        <v>0.2649764562517338</v>
      </c>
      <c r="D24" s="72">
        <f>IFERROR(IF('3-Year P&amp;L'!$D$9="","",D23/D20-1),"")</f>
        <v>0.30204018334877336</v>
      </c>
      <c r="E24" s="32" t="inlineStr">
        <is>
          <t>How far planned sales sit above cash break-even. The drop you can absorb before you cannot pay the fixed costs and the loan payment is somewhat smaller: with a 25% cushion, 20%. The required minimum is set in the "0. Assumptions" tab</t>
        </is>
      </c>
      <c r="F24" s="32" t="n"/>
    </row>
    <row r="25">
      <c r="A25" s="32" t="inlineStr">
        <is>
          <t>Maximum seat turns per day the space allows</t>
        </is>
      </c>
      <c r="B25" s="50" t="n">
        <v>3</v>
      </c>
      <c r="C25" s="32" t="n"/>
      <c r="D25" s="32" t="n"/>
      <c r="E25" s="32" t="inlineStr">
        <is>
          <t>Full table services per seat per day that your opening hours allow. It is the physical ceiling of the space, not a target</t>
        </is>
      </c>
      <c r="F25" s="32" t="n"/>
    </row>
    <row r="26">
      <c r="A26" s="32" t="inlineStr">
        <is>
          <t>Seat turns per day that the cash break-even requires</t>
        </is>
      </c>
      <c r="B26" s="48">
        <f>IFERROR(IF('3-Year P&amp;L'!$B$9="","",B20/'0. Assumptions'!$B$51),"")</f>
        <v>2.670753374823705</v>
      </c>
      <c r="C26" s="48">
        <f>IFERROR(IF('3-Year P&amp;L'!$C$9="","",C20/'0. Assumptions'!$B$51),"")</f>
        <v>2.725566757182128</v>
      </c>
      <c r="D26" s="48">
        <f>IFERROR(IF('3-Year P&amp;L'!$D$9="","",D20/'0. Assumptions'!$B$51),"")</f>
        <v>2.7803801395405503</v>
      </c>
      <c r="E26" s="32" t="inlineStr">
        <is>
          <t>Break-even customers spread across the seats declared on the "0. Assumptions" tab. If it is above the ceiling in the row above, the break-even is out of reach for the space</t>
        </is>
      </c>
      <c r="F26" s="32" t="n"/>
    </row>
    <row r="27">
      <c r="A27" s="29" t="inlineStr">
        <is>
          <t>INTERPRETATION</t>
        </is>
      </c>
      <c r="B27" s="32" t="n"/>
      <c r="C27" s="32" t="n"/>
      <c r="D27" s="32" t="n"/>
      <c r="E27" s="32" t="n"/>
      <c r="F27" s="32" t="n"/>
    </row>
    <row r="28" ht="46" customHeight="1">
      <c r="A28" s="32" t="str">
        <f>IFERROR("With the average check excl. sales tax above, you need "&amp;TEXT(ROUNDUP(B15,0),"0")&amp;" customers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124 customers a day over your 340 opening days to avoid losing money (accounting break-even, depreciation included), and 121 for cash to hold (cash break-even: depreciation out, because it is not paid, and the year's loan payment in). The "Revenue needed per year" rows show the same figures in your currency.</v>
      </c>
      <c r="B28" s="32" t="n"/>
      <c r="C28" s="32" t="n"/>
      <c r="D28" s="32" t="n"/>
      <c r="E28" s="32" t="n"/>
      <c r="F28" s="32" t="n"/>
    </row>
    <row r="29">
      <c r="A29" s="32" t="n"/>
      <c r="B29" s="32" t="n"/>
      <c r="C29" s="32" t="n"/>
      <c r="D29" s="32" t="n"/>
      <c r="E29" s="32" t="n"/>
      <c r="F29" s="32" t="n"/>
    </row>
    <row r="30">
      <c r="A30" s="29" t="inlineStr">
        <is>
          <t>BREAK-EVEN SENSITIVITY</t>
        </is>
      </c>
      <c r="B30" s="32" t="n"/>
      <c r="C30" s="32" t="n"/>
      <c r="D30" s="32" t="n"/>
      <c r="E30" s="32" t="n"/>
      <c r="F30" s="32" t="n"/>
    </row>
    <row r="31" ht="75" customHeight="1">
      <c r="A31" s="51" t="inlineStr">
        <is>
          <t>Customers per day needed to cover costs for each average check (columns) and each variable cost per customer (rows). Green cells are below the customers per day the plan forecasts.</t>
        </is>
      </c>
      <c r="B31" s="32" t="n"/>
      <c r="C31" s="32" t="n"/>
      <c r="D31" s="32" t="n"/>
      <c r="E31" s="32" t="n"/>
      <c r="F31" s="32" t="n"/>
    </row>
    <row r="32">
      <c r="A32" s="32" t="n"/>
      <c r="B32" s="32" t="n"/>
      <c r="C32" s="32" t="n"/>
      <c r="D32" s="32" t="n"/>
      <c r="E32" s="32" t="n"/>
      <c r="F32" s="32" t="n"/>
    </row>
    <row r="33" ht="45" customHeight="1">
      <c r="A33" s="43" t="inlineStr">
        <is>
          <t>Customers per day needed: average check excl. sales tax (columns) × variable cost per customer (rows)</t>
        </is>
      </c>
      <c r="B33" s="67">
        <f>IFERROR($B$8-2,"")</f>
        <v>9.0</v>
      </c>
      <c r="C33" s="67">
        <f>IFERROR(IF($B$8="","",$B$8),"")</f>
        <v>11.0</v>
      </c>
      <c r="D33" s="67">
        <f>IFERROR($B$8+2,"")</f>
        <v>13.0</v>
      </c>
      <c r="E33" s="67">
        <f>IFERROR($B$8+4,"")</f>
        <v>15.0</v>
      </c>
      <c r="F33" s="32" t="n"/>
    </row>
    <row r="34">
      <c r="A34" s="66">
        <f>IFERROR($B$9*0.85,"")</f>
        <v>3.26876</v>
      </c>
      <c r="B34" s="48">
        <f>IFERROR(IF($B$33-$A34&lt;=0,"",$B$6/($B$33-$A34)/$B$11),"")</f>
        <v>153.75246349962015</v>
      </c>
      <c r="C34" s="48">
        <f>IFERROR(IF($C$33-$A34&lt;=0,"",$B$6/($C$33-$A34)/$B$11),"")</f>
        <v>113.97812885223624</v>
      </c>
      <c r="D34" s="48">
        <f>IFERROR(IF($D$33-$A34&lt;=0,"",$B$6/($D$33-$A34)/$B$11),"")</f>
        <v>90.55292736666273</v>
      </c>
      <c r="E34" s="48">
        <f>IFERROR(IF($E$33-$A34&lt;=0,"",$B$6/($E$33-$A34)/$B$11),"")</f>
        <v>75.11501502889405</v>
      </c>
      <c r="F34" s="32" t="n"/>
    </row>
    <row r="35">
      <c r="A35" s="66">
        <f>IFERROR($B$9*0.925,"")</f>
        <v>3.5571800000000002</v>
      </c>
      <c r="B35" s="48">
        <f>IFERROR(IF($B$33-$A35&lt;=0,"",$B$6/($B$33-$A35)/$B$11),"")</f>
        <v>161.8999468855415</v>
      </c>
      <c r="C35" s="48">
        <f>IFERROR(IF($C$33-$A35&lt;=0,"",$B$6/($C$33-$A35)/$B$11),"")</f>
        <v>118.39494558615728</v>
      </c>
      <c r="D35" s="48">
        <f>IFERROR(IF($D$33-$A35&lt;=0,"",$B$6/($D$33-$A35)/$B$11),"")</f>
        <v>93.3187616525109</v>
      </c>
      <c r="E35" s="48">
        <f>IFERROR(IF($E$33-$A35&lt;=0,"",$B$6/($E$33-$A35)/$B$11),"")</f>
        <v>77.00831341466204</v>
      </c>
      <c r="F35" s="32" t="n"/>
    </row>
    <row r="36">
      <c r="A36" s="66">
        <f>IFERROR($B$9*1.0,"")</f>
        <v>3.8456</v>
      </c>
      <c r="B36" s="48">
        <f>IFERROR(IF($B$33-$A36&lt;=0,"",$B$6/($B$33-$A36)/$B$11),"")</f>
        <v>170.95923267646342</v>
      </c>
      <c r="C36" s="48">
        <f>IFERROR(IF($C$33-$A36&lt;=0,"",$B$6/($C$33-$A36)/$B$11),"")</f>
        <v>123.1678783556361</v>
      </c>
      <c r="D36" s="48">
        <f>IFERROR(IF($D$33-$A36&lt;=0,"",$B$6/($D$33-$A36)/$B$11),"")</f>
        <v>96.25887757882145</v>
      </c>
      <c r="E36" s="48">
        <f>IFERROR(IF($E$33-$A36&lt;=0,"",$B$6/($E$33-$A36)/$B$11),"")</f>
        <v>78.99952206372042</v>
      </c>
      <c r="F36" s="32" t="n"/>
    </row>
    <row r="37">
      <c r="A37" s="27">
        <f>IFERROR($B$9*1.075,"")</f>
        <v>4.13402</v>
      </c>
      <c r="B37" s="53">
        <f>IFERROR(IF($B$33-$A37&lt;=0,"",$B$6/($B$33-$A37)/$B$11),"")</f>
        <v>181.09245597136916</v>
      </c>
      <c r="C37" s="53">
        <f>IFERROR(IF($C$33-$A37&lt;=0,"",$B$6/($C$33-$A37)/$B$11),"")</f>
        <v>128.34180538066857</v>
      </c>
      <c r="D37" s="53">
        <f>IFERROR(IF($D$33-$A37&lt;=0,"",$B$6/($D$33-$A37)/$B$11),"")</f>
        <v>99.39028386118206</v>
      </c>
      <c r="E37" s="53">
        <f>IFERROR(IF($E$33-$A37&lt;=0,"",$B$6/($E$33-$A37)/$B$11),"")</f>
        <v>81.09643758846997</v>
      </c>
    </row>
    <row r="38">
      <c r="A38" s="27">
        <f>IFERROR($B$9*1.15,"")</f>
        <v>4.42244</v>
      </c>
      <c r="B38" s="53">
        <f>IFERROR(IF($B$33-$A38&lt;=0,"",$B$6/($B$33-$A38)/$B$11),"")</f>
        <v>192.5026146915743</v>
      </c>
      <c r="C38" s="53">
        <f>IFERROR(IF($C$33-$A38&lt;=0,"",$B$6/($C$33-$A38)/$B$11),"")</f>
        <v>133.96947635712374</v>
      </c>
      <c r="D38" s="53">
        <f>IFERROR(IF($D$33-$A38&lt;=0,"",$B$6/($D$33-$A38)/$B$11),"")</f>
        <v>102.73227688381812</v>
      </c>
      <c r="E38" s="53">
        <f>IFERROR(IF($E$33-$A38&lt;=0,"",$B$6/($E$33-$A38)/$B$11),"")</f>
        <v>83.30770696716095</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2">
      <c r="A2" s="3" t="inlineStr">
        <is>
          <t>Pessimistic / Base / Optimistic — Year 1</t>
        </is>
      </c>
    </row>
    <row r="4">
      <c r="A4" s="29" t="inlineStr">
        <is>
          <t>Metric</t>
        </is>
      </c>
      <c r="B4" s="29" t="inlineStr">
        <is>
          <t>Pessimistic</t>
        </is>
      </c>
      <c r="C4" s="29" t="inlineStr">
        <is>
          <t>Base</t>
        </is>
      </c>
      <c r="D4" s="29" t="inlineStr">
        <is>
          <t>Optimistic</t>
        </is>
      </c>
      <c r="E4" s="29" t="inlineStr">
        <is>
          <t>Notes</t>
        </is>
      </c>
      <c r="F4" s="32" t="n"/>
    </row>
    <row r="5">
      <c r="A5" s="32" t="inlineStr">
        <is>
          <t>Customers per day</t>
        </is>
      </c>
      <c r="B5" s="54" t="n">
        <v>116</v>
      </c>
      <c r="C5" s="44">
        <f>IFERROR(IF('3-Year P&amp;L'!$B$6="","",'3-Year P&amp;L'!$B$6),"")</f>
        <v>145.0</v>
      </c>
      <c r="D5" s="54" t="n">
        <v>167</v>
      </c>
      <c r="E5" s="32" t="n"/>
      <c r="F5" s="32" t="n"/>
    </row>
    <row r="6">
      <c r="A6" s="32" t="inlineStr">
        <is>
          <t>Average check (excl. sales tax)</t>
        </is>
      </c>
      <c r="B6" s="75" t="n">
        <v>10.33</v>
      </c>
      <c r="C6" s="66">
        <f>IFERROR(IF('3-Year P&amp;L'!$B$7="","",'3-Year P&amp;L'!$B$7),"")</f>
        <v>11.0</v>
      </c>
      <c r="D6" s="75" t="n">
        <v>11.67</v>
      </c>
      <c r="E6" s="32" t="n"/>
      <c r="F6" s="32" t="n"/>
    </row>
    <row r="7">
      <c r="A7" s="32" t="inlineStr">
        <is>
          <t>Operating days per year</t>
        </is>
      </c>
      <c r="B7" s="54" t="n">
        <v>329</v>
      </c>
      <c r="C7" s="44">
        <f>IFERROR(IF('3-Year P&amp;L'!$B$8="","",'3-Year P&amp;L'!$B$8),"")</f>
        <v>340.0</v>
      </c>
      <c r="D7" s="54" t="n">
        <v>351</v>
      </c>
      <c r="E7" s="32" t="n"/>
      <c r="F7" s="32" t="n"/>
    </row>
    <row r="8">
      <c r="A8" s="29" t="inlineStr">
        <is>
          <t>ANNUAL REVENUE (excl. sales tax)</t>
        </is>
      </c>
      <c r="B8" s="70">
        <f>IFERROR(IF(B5*B6*B7=0,"",B5*B6*B7),"")</f>
        <v>394234.12</v>
      </c>
      <c r="C8" s="70">
        <f>IFERROR(IF(C5*C6*C7=0,"",C5*C6*C7),"")</f>
        <v>542300.0</v>
      </c>
      <c r="D8" s="70">
        <f>IFERROR(IF(D5*D6*D7=0,"",D5*D6*D7),"")</f>
        <v>684060.39</v>
      </c>
      <c r="E8" s="32" t="n"/>
      <c r="F8" s="32" t="n"/>
    </row>
    <row r="9">
      <c r="A9" s="32" t="inlineStr">
        <is>
          <t>Cost of goods sold — food</t>
        </is>
      </c>
      <c r="B9" s="44">
        <f>IFERROR(IF(B8="","",B8*'0. Assumptions'!$B$11*'0. Assumptions'!$B$13),"")</f>
        <v>48490.79675999999</v>
      </c>
      <c r="C9" s="44">
        <f>IFERROR(IF(C8="","",C8*'0. Assumptions'!$B$11*'0. Assumptions'!$B$13),"")</f>
        <v>66702.9</v>
      </c>
      <c r="D9" s="44">
        <f>IFERROR(IF(D8="","",D8*'0. Assumptions'!$B$11*'0. Assumptions'!$B$13),"")</f>
        <v>84139.42797</v>
      </c>
      <c r="E9" s="32" t="n"/>
      <c r="F9" s="32" t="n"/>
    </row>
    <row r="10">
      <c r="A10" s="32" t="inlineStr">
        <is>
          <t>Cost of goods sold — beverage</t>
        </is>
      </c>
      <c r="B10" s="44">
        <f>IFERROR(IF(B8="","",B8*'0. Assumptions'!$B$12*'0. Assumptions'!$B$14),"")</f>
        <v>55823.55139200001</v>
      </c>
      <c r="C10" s="44">
        <f>IFERROR(IF(C8="","",C8*'0. Assumptions'!$B$12*'0. Assumptions'!$B$14),"")</f>
        <v>76789.68000000001</v>
      </c>
      <c r="D10" s="44">
        <f>IFERROR(IF(D8="","",D8*'0. Assumptions'!$B$12*'0. Assumptions'!$B$14),"")</f>
        <v>96862.95122400002</v>
      </c>
      <c r="E10" s="32" t="n"/>
      <c r="F10" s="32" t="n"/>
    </row>
    <row r="11">
      <c r="A11" s="32" t="inlineStr">
        <is>
          <t>Disposables and packaging</t>
        </is>
      </c>
      <c r="B11" s="44">
        <f>IFERROR(IF(B8="","",B8*'0. Assumptions'!$B$15),"")</f>
        <v>11827.023599999999</v>
      </c>
      <c r="C11" s="44">
        <f>IFERROR(IF(C8="","",C8*'0. Assumptions'!$B$15),"")</f>
        <v>16269.0</v>
      </c>
      <c r="D11" s="44">
        <f>IFERROR(IF(D8="","",D8*'0. Assumptions'!$B$15),"")</f>
        <v>20521.8117</v>
      </c>
      <c r="E11" s="32" t="n"/>
      <c r="F11" s="32" t="n"/>
    </row>
    <row r="12">
      <c r="A12" s="32" t="inlineStr">
        <is>
          <t>Delivery platform fees</t>
        </is>
      </c>
      <c r="B12" s="44">
        <f>IFERROR(IF(B8="","",B8*'0. Assumptions'!$B$16*'0. Assumptions'!$B$17),"")</f>
        <v>0.0</v>
      </c>
      <c r="C12" s="44">
        <f>IFERROR(IF(C8="","",C8*'0. Assumptions'!$B$16*'0. Assumptions'!$B$17),"")</f>
        <v>0.0</v>
      </c>
      <c r="D12" s="44">
        <f>IFERROR(IF(D8="","",D8*'0. Assumptions'!$B$16*'0. Assumptions'!$B$17),"")</f>
        <v>0.0</v>
      </c>
      <c r="E12" s="32" t="n"/>
      <c r="F12" s="32" t="n"/>
    </row>
    <row r="13">
      <c r="A13" s="32" t="inlineStr">
        <is>
          <t>Card processing fees</t>
        </is>
      </c>
      <c r="B13" s="44">
        <f>IFERROR(IF(B8="","",B8*'0. Assumptions'!$B$18),"")</f>
        <v>13798.194200000002</v>
      </c>
      <c r="C13" s="44">
        <f>IFERROR(IF(C8="","",C8*'0. Assumptions'!$B$18),"")</f>
        <v>18980.5</v>
      </c>
      <c r="D13" s="44">
        <f>IFERROR(IF(D8="","",D8*'0. Assumptions'!$B$18),"")</f>
        <v>23942.113650000003</v>
      </c>
      <c r="E13" s="32" t="n"/>
      <c r="F13" s="32" t="n"/>
    </row>
    <row r="14">
      <c r="A14" s="32" t="inlineStr">
        <is>
          <t>Miscellaneous and contingency</t>
        </is>
      </c>
      <c r="B14" s="44">
        <f>IFERROR(IF(B8="","",B8*'0. Assumptions'!$B$28),"")</f>
        <v>7884.6824</v>
      </c>
      <c r="C14" s="44">
        <f>IFERROR(IF(C8="","",C8*'0. Assumptions'!$B$28),"")</f>
        <v>10846.0</v>
      </c>
      <c r="D14" s="44">
        <f>IFERROR(IF(D8="","",D8*'0. Assumptions'!$B$28),"")</f>
        <v>13681.2078</v>
      </c>
      <c r="E14" s="32" t="n"/>
      <c r="F14" s="32" t="n"/>
    </row>
    <row r="15">
      <c r="A15" s="32" t="inlineStr">
        <is>
          <t>TOTAL VARIABLE COSTS</t>
        </is>
      </c>
      <c r="B15" s="44">
        <f>IFERROR(IF(B8="","",SUM(B9:B14)),"")</f>
        <v>137824.248352</v>
      </c>
      <c r="C15" s="44">
        <f>IFERROR(IF(C8="","",SUM(C9:C14)),"")</f>
        <v>189588.08000000002</v>
      </c>
      <c r="D15" s="44">
        <f>IFERROR(IF(D8="","",SUM(D9:D14)),"")</f>
        <v>239147.51234400002</v>
      </c>
      <c r="E15" s="32" t="n"/>
      <c r="F15" s="32" t="n"/>
    </row>
    <row r="16">
      <c r="A16" s="32" t="inlineStr">
        <is>
          <t>GROSS MARGIN</t>
        </is>
      </c>
      <c r="B16" s="44">
        <f>IFERROR(IF(B8="","",B8-B15),"")</f>
        <v>256409.871648</v>
      </c>
      <c r="C16" s="44">
        <f>IFERROR(IF(C8="","",C8-C15),"")</f>
        <v>352711.92</v>
      </c>
      <c r="D16" s="44">
        <f>IFERROR(IF(D8="","",D8-D15),"")</f>
        <v>444912.87765599997</v>
      </c>
      <c r="E16" s="32" t="n"/>
      <c r="F16" s="32" t="n"/>
    </row>
    <row r="17">
      <c r="A17" s="37" t="inlineStr">
        <is>
          <t>FIXED COSTS (the P&amp;L's)</t>
        </is>
      </c>
      <c r="B17" s="46">
        <f>IFERROR(IF(B8="","",'3-Year P&amp;L'!$B$37),"")</f>
        <v>299605.3714285714</v>
      </c>
      <c r="C17" s="46">
        <f>IFERROR(IF(C8="","",'3-Year P&amp;L'!$B$37),"")</f>
        <v>299605.3714285714</v>
      </c>
      <c r="D17" s="46">
        <f>IFERROR(IF(D8="","",'3-Year P&amp;L'!$B$37),"")</f>
        <v>299605.3714285714</v>
      </c>
      <c r="E17" s="37" t="inlineStr">
        <is>
          <t>Fixed costs do not change with the scenario: that is why they are fixed</t>
        </is>
      </c>
    </row>
    <row r="18">
      <c r="A18" s="19" t="inlineStr">
        <is>
          <t>PRE-TAX INCOME (EBT)</t>
        </is>
      </c>
      <c r="B18" s="57">
        <f>IFERROR(IF(B8="","",B16-B17),"")</f>
        <v>-43195.49978057141</v>
      </c>
      <c r="C18" s="57">
        <f>IFERROR(IF(C8="","",C16-C17),"")</f>
        <v>53106.548571428575</v>
      </c>
      <c r="D18" s="57">
        <f>IFERROR(IF(D8="","",D16-D17),"")</f>
        <v>145307.50622742856</v>
      </c>
    </row>
    <row r="19">
      <c r="A19" s="37" t="inlineStr">
        <is>
          <t>Income tax</t>
        </is>
      </c>
      <c r="B19" s="46">
        <f>IFERROR(IF(B8="","",MAX(0,B18-'0. Assumptions'!$B$42)*'0. Assumptions'!$B$37),"")</f>
        <v>0.0</v>
      </c>
      <c r="C19" s="46">
        <f>IFERROR(IF(C8="","",MAX(0,C18-'0. Assumptions'!$B$42)*'0. Assumptions'!$B$37),"")</f>
        <v>13276.637142857144</v>
      </c>
      <c r="D19" s="46">
        <f>IFERROR(IF(D8="","",MAX(0,D18-'0. Assumptions'!$B$42)*'0. Assumptions'!$B$37),"")</f>
        <v>36326.87655685714</v>
      </c>
      <c r="E19" s="37" t="inlineStr">
        <is>
          <t>At the "years 1-2" effective income tax rate, offsetting prior net operating losses</t>
        </is>
      </c>
    </row>
    <row r="20">
      <c r="A20" s="19" t="inlineStr">
        <is>
          <t>NET INCOME</t>
        </is>
      </c>
      <c r="B20" s="57">
        <f>IFERROR(IF(B8="","",B18-B19),"")</f>
        <v>-43195.49978057141</v>
      </c>
      <c r="C20" s="57">
        <f>IFERROR(IF(C8="","",C18-C19),"")</f>
        <v>39829.91142857143</v>
      </c>
      <c r="D20" s="57">
        <f>IFERROR(IF(D8="","",D18-D19),"")</f>
        <v>108980.62967057142</v>
      </c>
    </row>
    <row r="21">
      <c r="A21" s="37" t="inlineStr">
        <is>
          <t>Customers per day to break even</t>
        </is>
      </c>
      <c r="B21" s="53">
        <f>IFERROR(IF(B8="","",IF(B6-B15/(B5*B7)&lt;=0,"",B17/(B6-B15/(B5*B7))/B7)),"")</f>
        <v>135.5416734244341</v>
      </c>
      <c r="C21" s="53">
        <f>IFERROR(IF(C8="","",IF(C6-C15/(C5*C7)&lt;=0,"",C17/(C6-C15/(C5*C7))/C7)),"")</f>
        <v>123.1678783556361</v>
      </c>
      <c r="D21" s="53">
        <f>IFERROR(IF(D8="","",IF(D6-D15/(D5*D7)&lt;=0,"",D17/(D6-D15/(D5*D7))/D7)),"")</f>
        <v>112.45819022405786</v>
      </c>
    </row>
    <row r="22">
      <c r="A22" s="19" t="inlineStr">
        <is>
          <t>WHAT EACH SCENARIO DEMANDS</t>
        </is>
      </c>
    </row>
    <row r="23">
      <c r="A23" s="37" t="inlineStr">
        <is>
          <t>Labor cost / Sales</t>
        </is>
      </c>
      <c r="B23" s="69">
        <f>IFERROR(IF(B8="","",'3-Year P&amp;L'!$B$23/B8),"")</f>
        <v>0.42854433806997727</v>
      </c>
      <c r="C23" s="69">
        <f>IFERROR(IF(C8="","",'3-Year P&amp;L'!$B$23/C8),"")</f>
        <v>0.31153752535496954</v>
      </c>
      <c r="D23" s="69">
        <f>IFERROR(IF(D8="","",'3-Year P&amp;L'!$B$23/D8),"")</f>
        <v>0.24697644019411794</v>
      </c>
      <c r="E23" s="37" t="inlineStr">
        <is>
          <t>The SAME staffing in all three scenarios. If labor cost blows up in the pessimistic case, adjust it in the Staffing tab, not here</t>
        </is>
      </c>
    </row>
    <row r="24">
      <c r="A24" s="37" t="inlineStr">
        <is>
          <t>Customers per year per full-time equivalent</t>
        </is>
      </c>
      <c r="B24" s="46">
        <f>IFERROR(IF(B8="","",B5*B7/Staffing!$C$11),"")</f>
        <v>8773.333333333334</v>
      </c>
      <c r="C24" s="46">
        <f>IFERROR(IF(C8="","",C5*C7/Staffing!$C$11),"")</f>
        <v>11333.333333333334</v>
      </c>
      <c r="D24" s="46">
        <f>IFERROR(IF(D8="","",D5*D7/Staffing!$C$11),"")</f>
        <v>13475.172413793105</v>
      </c>
      <c r="E24" s="37" t="inlineStr">
        <is>
          <t>Customers each full-time employee in the Staffing table would have to serve. In the optimistic scenario it tells you whether you need to hire</t>
        </is>
      </c>
    </row>
    <row r="25">
      <c r="A25" s="19" t="inlineStr">
        <is>
          <t>Year-1 closing cash balance (estimate, same method in all three scenarios)</t>
        </is>
      </c>
      <c r="B25" s="57">
        <f>IFERROR(IF(B8="","",'Startup Costs'!$B$34+B20+'3-Year P&amp;L'!$B$35-Financing!$B$45),"")</f>
        <v>33949.71109196766</v>
      </c>
      <c r="C25" s="57">
        <f>IFERROR(IF(C8="","",'Startup Costs'!$B$34+C20+'3-Year P&amp;L'!$B$35-Financing!$B$45),"")</f>
        <v>116975.1223011105</v>
      </c>
      <c r="D25" s="57">
        <f>IFERROR(IF(D8="","",'Startup Costs'!$B$34+D20+'3-Year P&amp;L'!$B$35-Financing!$B$45),"")</f>
        <v>186125.8405431105</v>
      </c>
      <c r="E25" s="19"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7" t="inlineStr">
        <is>
          <t>Actual month-12 balance from the 12-Month Cash Flow tab (Base case only)</t>
        </is>
      </c>
      <c r="C26" s="46">
        <f>IFERROR(IF(C8="","",'12-Month Cash Flow'!$M$22),"")</f>
        <v>152229.5634632723</v>
      </c>
      <c r="E26" s="37"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20" t="inlineStr">
        <is>
          <t>The "Base" column reads its three inputs from the "0. Assumptions" tab, so it reproduces EXACTLY year 1 of the P&amp;L. The other two scenarios use the same cost rates: only customers, average check and days change. FIXED COSTS are the same in all three: miscellaneous and contingency, a percentage of sales, sit above with the variable costs and each scenario carries its own.</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P&amp;L'!$E$53)</formula>
    </cfRule>
    <cfRule type="expression" priority="2" dxfId="0" stopIfTrue="1">
      <formula>AND(ISNUMBER(B23),B23&lt;='3-Year P&amp;L'!$E$53)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s="3" t="str">
        <f>IFERROR("Payroll — "&amp;TEXT('0. Assumptions'!$B$21,"0")&amp;" pay periods + employer taxes "&amp;TEXT('0. Assumptions'!$B$20*100,"0")&amp;"%","")</f>
        <v>Payroll — 12 pay periods + employer taxes 10%</v>
      </c>
    </row>
    <row r="4" ht="45" customHeight="1">
      <c r="A4" s="43" t="inlineStr">
        <is>
          <t>Position</t>
        </is>
      </c>
      <c r="B4" s="43" t="inlineStr">
        <is>
          <t>People</t>
        </is>
      </c>
      <c r="C4" s="43" t="inlineStr">
        <is>
          <t>FTE</t>
        </is>
      </c>
      <c r="D4" s="43" t="inlineStr">
        <is>
          <t>Gross pay per month (total for the position)</t>
        </is>
      </c>
      <c r="E4" s="43" t="inlineStr">
        <is>
          <t>Employer payroll taxes (total for the position)</t>
        </is>
      </c>
      <c r="F4" s="43" t="inlineStr">
        <is>
          <t>Cost per month (total for the position)</t>
        </is>
      </c>
      <c r="G4" s="43" t="inlineStr">
        <is>
          <t>Cost per year</t>
        </is>
      </c>
      <c r="H4" s="43" t="inlineStr">
        <is>
          <t>Hours per week per person</t>
        </is>
      </c>
      <c r="I4" s="43" t="inlineStr">
        <is>
          <t>Hours per year for the position</t>
        </is>
      </c>
      <c r="J4" s="43" t="inlineStr">
        <is>
          <t>Notes</t>
        </is>
      </c>
    </row>
    <row r="5">
      <c r="A5" s="32" t="inlineStr">
        <is>
          <t>Owner and lead barista</t>
        </is>
      </c>
      <c r="B5" s="54" t="n">
        <v>1</v>
      </c>
      <c r="C5" s="56" t="n">
        <v>1</v>
      </c>
      <c r="D5" s="75" t="n">
        <v>3500</v>
      </c>
      <c r="E5" s="66">
        <f>IFERROR(IF(D5="","",D5*'0. Assumptions'!$B$20),"")</f>
        <v>350.0</v>
      </c>
      <c r="F5" s="66">
        <f>IFERROR(IF(D5="","",D5+E5),"")</f>
        <v>3850.0</v>
      </c>
      <c r="G5" s="66">
        <f>IFERROR(IF(D5="","",F5*MAX(12,'0. Assumptions'!$B$21)),"")</f>
        <v>46200.0</v>
      </c>
      <c r="H5" s="48">
        <f>IFERROR(IF(D5="","",C5*$B$18),"")</f>
        <v>40.0</v>
      </c>
      <c r="I5" s="44">
        <f>IFERROR(IF(D5="","",H5*B5*$B$19),"")</f>
        <v>2000.0</v>
      </c>
      <c r="J5" s="32" t="inlineStr">
        <is>
          <t>Works the bar during the busy morning shift: purchasing, register, suppliers and social media</t>
        </is>
      </c>
    </row>
    <row r="6">
      <c r="A6" s="32" t="inlineStr">
        <is>
          <t>Morning barista / floor server</t>
        </is>
      </c>
      <c r="B6" s="54" t="n">
        <v>1</v>
      </c>
      <c r="C6" s="56" t="n">
        <v>1</v>
      </c>
      <c r="D6" s="75" t="n">
        <v>2773</v>
      </c>
      <c r="E6" s="66">
        <f>IFERROR(IF(D6="","",D6*'0. Assumptions'!$B$20),"")</f>
        <v>277.3</v>
      </c>
      <c r="F6" s="66">
        <f>IFERROR(IF(D6="","",D6+E6),"")</f>
        <v>3050.3</v>
      </c>
      <c r="G6" s="66">
        <f>IFERROR(IF(D6="","",F6*MAX(12,'0. Assumptions'!$B$21)),"")</f>
        <v>36603.600000000006</v>
      </c>
      <c r="H6" s="48">
        <f>IFERROR(IF(D6="","",C6*$B$18),"")</f>
        <v>40.0</v>
      </c>
      <c r="I6" s="44">
        <f>IFERROR(IF(D6="","",H6*B6*$B$19),"")</f>
        <v>2000.0</v>
      </c>
      <c r="J6" s="32" t="inlineStr">
        <is>
          <t>Coffee specialist with latte art skills. Morning is the strongest shift of a coffee shop: bar coffee, breakfast and pastries</t>
        </is>
      </c>
    </row>
    <row r="7">
      <c r="A7" s="32" t="inlineStr">
        <is>
          <t>Afternoon barista-server (bar and floor)</t>
        </is>
      </c>
      <c r="B7" s="54" t="n">
        <v>1</v>
      </c>
      <c r="C7" s="56" t="n">
        <v>1</v>
      </c>
      <c r="D7" s="75" t="n">
        <v>2600</v>
      </c>
      <c r="E7" s="66">
        <f>IFERROR(IF(D7="","",D7*'0. Assumptions'!$B$20),"")</f>
        <v>260.0</v>
      </c>
      <c r="F7" s="66">
        <f>IFERROR(IF(D7="","",D7+E7),"")</f>
        <v>2860.0</v>
      </c>
      <c r="G7" s="66">
        <f>IFERROR(IF(D7="","",F7*MAX(12,'0. Assumptions'!$B$21)),"")</f>
        <v>34320.0</v>
      </c>
      <c r="H7" s="48">
        <f>IFERROR(IF(D7="","",C7*$B$18),"")</f>
        <v>40.0</v>
      </c>
      <c r="I7" s="44">
        <f>IFERROR(IF(D7="","",H7*B7*$B$19),"")</f>
        <v>2000.0</v>
      </c>
      <c r="J7" s="32" t="inlineStr">
        <is>
          <t>Closes the afternoon service and preps for the next day. Without this position the shop cannot open the hours that this workbook declares</t>
        </is>
      </c>
    </row>
    <row r="8">
      <c r="A8" s="32" t="inlineStr">
        <is>
          <t>Brunch cook (4 days, weekends included)</t>
        </is>
      </c>
      <c r="B8" s="54" t="n">
        <v>1</v>
      </c>
      <c r="C8" s="56" t="n">
        <v>0.8</v>
      </c>
      <c r="D8" s="75" t="n">
        <v>2496</v>
      </c>
      <c r="E8" s="66">
        <f>IFERROR(IF(D8="","",D8*'0. Assumptions'!$B$20),"")</f>
        <v>249.60000000000002</v>
      </c>
      <c r="F8" s="66">
        <f>IFERROR(IF(D8="","",D8+E8),"")</f>
        <v>2745.6</v>
      </c>
      <c r="G8" s="66">
        <f>IFERROR(IF(D8="","",F8*MAX(12,'0. Assumptions'!$B$21)),"")</f>
        <v>32947.2</v>
      </c>
      <c r="H8" s="48">
        <f>IFERROR(IF(D8="","",C8*$B$18),"")</f>
        <v>32.0</v>
      </c>
      <c r="I8" s="44">
        <f>IFERROR(IF(D8="","",H8*B8*$B$19),"")</f>
        <v>1600.0</v>
      </c>
      <c r="J8" s="32" t="inlineStr">
        <is>
          <t>Brunch and light kitchen 4 days a week (0.8 FTE = 32 hours), always including Saturday and Sunday, the busiest service, with two or three table turns</t>
        </is>
      </c>
    </row>
    <row r="9">
      <c r="A9" s="32" t="inlineStr">
        <is>
          <t>Weekend extra (bar and floor)</t>
        </is>
      </c>
      <c r="B9" s="54" t="n">
        <v>1</v>
      </c>
      <c r="C9" s="56" t="n">
        <v>0.45</v>
      </c>
      <c r="D9" s="75" t="n">
        <v>1170</v>
      </c>
      <c r="E9" s="66">
        <f>IFERROR(IF(D9="","",D9*'0. Assumptions'!$B$20),"")</f>
        <v>117.0</v>
      </c>
      <c r="F9" s="66">
        <f>IFERROR(IF(D9="","",D9+E9),"")</f>
        <v>1287.0</v>
      </c>
      <c r="G9" s="66">
        <f>IFERROR(IF(D9="","",F9*MAX(12,'0. Assumptions'!$B$21)),"")</f>
        <v>15444.0</v>
      </c>
      <c r="H9" s="48">
        <f>IFERROR(IF(D9="","",C9*$B$18),"")</f>
        <v>18.0</v>
      </c>
      <c r="I9" s="44">
        <f>IFERROR(IF(D9="","",H9*B9*$B$19),"")</f>
        <v>900.0</v>
      </c>
      <c r="J9" s="32" t="inlineStr">
        <is>
          <t>Reinforcement for the Saturday and Sunday peaks, when occupancy rises to 70-90% according to the references in this workbook</t>
        </is>
      </c>
    </row>
    <row r="10">
      <c r="A10" s="32" t="inlineStr">
        <is>
          <t>Vacation and day-off relief</t>
        </is>
      </c>
      <c r="B10" s="54" t="n">
        <v>1</v>
      </c>
      <c r="C10" s="56" t="n">
        <v>0.1</v>
      </c>
      <c r="D10" s="75" t="n">
        <v>260</v>
      </c>
      <c r="E10" s="66">
        <f>IFERROR(IF(D10="","",D10*'0. Assumptions'!$B$20),"")</f>
        <v>26.0</v>
      </c>
      <c r="F10" s="66">
        <f>IFERROR(IF(D10="","",D10+E10),"")</f>
        <v>286.0</v>
      </c>
      <c r="G10" s="66">
        <f>IFERROR(IF(D10="","",F10*MAX(12,'0. Assumptions'!$B$21)),"")</f>
        <v>3432.0</v>
      </c>
      <c r="H10" s="48">
        <f>IFERROR(IF(D10="","",C10*$B$18),"")</f>
        <v>4.0</v>
      </c>
      <c r="I10" s="44">
        <f>IFERROR(IF(D10="","",H10*B10*$B$19),"")</f>
        <v>200.0</v>
      </c>
      <c r="J10" s="32" t="inlineStr">
        <is>
          <t>Covers vacation, paid time off and the weekly day off for the team</t>
        </is>
      </c>
    </row>
    <row r="11">
      <c r="A11" s="19" t="inlineStr">
        <is>
          <t>TOTAL STAFF</t>
        </is>
      </c>
      <c r="B11" s="57">
        <f>IFERROR(IF(COUNT(D5:D10)=0,"",SUM(B5:B10)),"")</f>
        <v>6.0</v>
      </c>
      <c r="C11" s="58">
        <f>IFERROR(IF(COUNT(D5:D10)=0,"",SUM(C5:C10)),"")</f>
        <v>4.35</v>
      </c>
      <c r="D11" s="58">
        <f>IFERROR(IF(COUNT(D5:D10)=0,"",SUM(D5:D10)),"")</f>
        <v>12799.0</v>
      </c>
      <c r="E11" s="58">
        <f>IFERROR(IF(COUNT(D5:D10)=0,"",SUM(E5:E10)),"")</f>
        <v>1279.9</v>
      </c>
      <c r="F11" s="58">
        <f>IFERROR(IF(COUNT(D5:D10)=0,"",SUM(F5:F10)),"")</f>
        <v>14078.9</v>
      </c>
      <c r="G11" s="58">
        <f>IFERROR(IF(COUNT(D5:D10)=0,"",SUM(G5:G10)),"")</f>
        <v>168946.8</v>
      </c>
      <c r="I11" s="57">
        <f>IFERROR(IF(COUNT(D5:D10)=0,"",SUM(I5:I10)),"")</f>
        <v>8700.0</v>
      </c>
    </row>
    <row r="12">
      <c r="A12" s="19" t="inlineStr">
        <is>
          <t>STAFF GROWTH (stepped cost)</t>
        </is>
      </c>
    </row>
    <row r="13">
      <c r="A13" s="37" t="inlineStr">
        <is>
          <t>Annual cost of year-2 hires</t>
        </is>
      </c>
      <c r="B13" s="61" t="n">
        <v>6000</v>
      </c>
      <c r="J13" s="37" t="inlineStr">
        <is>
          <t>FULL ANNUAL cost (gross pay + employer payroll taxes, over all pay periods) of whoever you hire that year. The P&amp;L adds it to the previous year's cost: staffing grows by people, not by a percentage</t>
        </is>
      </c>
    </row>
    <row r="14">
      <c r="A14" s="37" t="inlineStr">
        <is>
          <t>Annual cost of year-3 hires</t>
        </is>
      </c>
      <c r="B14" s="61" t="n">
        <v>6000</v>
      </c>
      <c r="J14" s="37" t="inlineStr">
        <is>
          <t>FULL ANNUAL cost (gross pay + employer payroll taxes, over all pay periods) of whoever you hire that year. The P&amp;L adds it to the previous year's cost: staffing grows by people, not by a percentage</t>
        </is>
      </c>
    </row>
    <row r="15">
      <c r="A15" s="37" t="inlineStr">
        <is>
          <t>Labor cost, year 2</t>
        </is>
      </c>
      <c r="B15" s="46">
        <f>IFERROR(IF(G11="","",G11*(1+'0. Assumptions'!$B$48)+B13),"")</f>
        <v>174946.8</v>
      </c>
    </row>
    <row r="16">
      <c r="A16" s="37" t="inlineStr">
        <is>
          <t>Labor cost, year 3</t>
        </is>
      </c>
      <c r="B16" s="46">
        <f>IFERROR(IF(B15="","",B15*(1+'0. Assumptions'!$B$48)+B14),"")</f>
        <v>180946.8</v>
      </c>
    </row>
    <row r="17">
      <c r="A17" s="19" t="inlineStr">
        <is>
          <t>COVERAGE OF SERVICE HOURS</t>
        </is>
      </c>
    </row>
    <row r="18">
      <c r="A18" s="37" t="inlineStr">
        <is>
          <t>Full-time week (hours per week)</t>
        </is>
      </c>
      <c r="B18" s="61" t="n">
        <v>40</v>
      </c>
      <c r="J18" s="37" t="inlineStr">
        <is>
          <t>40 hours a week is the FLSA overtime threshold for non-exempt employees; some states add daily overtime rules. Change it if your own full-time week is different</t>
        </is>
      </c>
    </row>
    <row r="19">
      <c r="A19" s="37" t="inlineStr">
        <is>
          <t>Weeks worked per year per person</t>
        </is>
      </c>
      <c r="B19" s="61" t="n">
        <v>50</v>
      </c>
      <c r="J19" s="37" t="inlineStr">
        <is>
          <t>50 weeks: 52 minus about two weeks of vacation, holidays and average absences. There is no federal vacation requirement in the US: adjust it to your own policy</t>
        </is>
      </c>
    </row>
    <row r="20">
      <c r="A20" s="37" t="inlineStr">
        <is>
          <t>Service hours per day to cover</t>
        </is>
      </c>
      <c r="B20" s="62" t="n">
        <v>13</v>
      </c>
      <c r="J20" s="37" t="inlineStr">
        <is>
          <t>From opening to closing, bar included. Count them on your real schedule</t>
        </is>
      </c>
    </row>
    <row r="21">
      <c r="A21" s="37" t="inlineStr">
        <is>
          <t>People needed at the same time in each shift</t>
        </is>
      </c>
      <c r="B21" s="62" t="n">
        <v>2</v>
      </c>
      <c r="J21" s="37" t="inlineStr">
        <is>
          <t>Average number of people present at the same time across kitchen, bar and floor. The two busy services need more and mid-afternoon needs fewer</t>
        </is>
      </c>
    </row>
    <row r="22">
      <c r="A22" s="37" t="inlineStr">
        <is>
          <t>Service hours to cover per year</t>
        </is>
      </c>
      <c r="B22" s="46">
        <f>IFERROR(IF(OR(B20="",B21="",'0. Assumptions'!$B$6=""),"",B20*B21*'0. Assumptions'!$B$6),"")</f>
        <v>8840.0</v>
      </c>
    </row>
    <row r="23">
      <c r="A23" s="37" t="inlineStr">
        <is>
          <t>Hours hired per year</t>
        </is>
      </c>
      <c r="B23" s="46">
        <f>IFERROR(IF(I11="","",I11),"")</f>
        <v>8700.0</v>
      </c>
    </row>
    <row r="24">
      <c r="A24" s="19" t="inlineStr">
        <is>
          <t>Coverage (hired / needed)</t>
        </is>
      </c>
      <c r="B24" s="73">
        <f>IFERROR(B23/B22,"")</f>
        <v>0.9841628959276018</v>
      </c>
      <c r="J24" s="19" t="inlineStr">
        <is>
          <t>Below 100% the staff cannot cover the hours the plan declares: either hire more or cut the hours</t>
        </is>
      </c>
    </row>
    <row r="26" ht="150" customHeight="1">
      <c r="A26" s="20" t="inlineStr">
        <is>
          <t>The gross pay, employer payroll taxes, monthly cost and annual cost columns are TOTALS for the row: for a position with two people they include both. FTE is the share of a full-time week, and it is used to compare pay with the legal minimum in proportion. The payroll tax rate and the number of pay periods are in the "0. Assumptions" tab.</t>
        </is>
      </c>
    </row>
    <row r="27" ht="150" customHeight="1">
      <c r="A27" s="20"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4">
    <cfRule type="expression" priority="1" dxfId="1" stopIfTrue="1">
      <formula>AND(ISNUMBER(B24),B24&lt;0.9)</formula>
    </cfRule>
    <cfRule type="expression" priority="2" dxfId="2" stopIfTrue="1">
      <formula>AND(ISNUMBER(B24),B24&gt;=0.9)</formula>
    </cfRule>
    <cfRule type="expression" priority="3" dxfId="0" stopIfTrue="1">
      <formula>AND(ISNUMBER(B24),B24&gt;=1)</formula>
    </cfRule>
  </conditionalFormatting>
  <conditionalFormatting sqref="D5:D10">
    <cfRule type="expression" priority="4" dxfId="1" stopIfTrue="1">
      <formula>AND(ISNUMBER(D5),IFERROR(D5/B5,0)*'0. Assumptions'!$B$21&lt;MAX('0. Assumptions'!$B$22,'0. Assumptions'!$B$68)*C5)</formula>
    </cfRule>
  </conditionalFormatting>
  <dataValidations count="3">
    <dataValidation sqref="B5 B6 B7 B8 B9 B10 B13 B14 B18 B19 B20 D5 D6 D7 D8 D9 D10" showDropDown="0" showInputMessage="0" showErrorMessage="1" allowBlank="1" errorTitle="Invalid amount" error="Enter a number greater than or equal to 0." type="decimal" operator="greaterThanOrEqual">
      <formula1>0</formula1>
    </dataValidation>
    <dataValidation sqref="B21"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6"/>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9" t="inlineStr">
        <is>
          <t>INSTRUCTIONS FOR USE — Coffee Shop Financial Projections</t>
        </is>
      </c>
      <c r="B1" s="32" t="n"/>
      <c r="C1" s="32" t="n"/>
      <c r="D1" s="32" t="n"/>
      <c r="E1" s="32" t="n"/>
    </row>
    <row r="2">
      <c r="A2" s="32" t="n"/>
      <c r="B2" s="32" t="n"/>
      <c r="C2" s="32" t="n"/>
      <c r="D2" s="32" t="n"/>
      <c r="E2" s="32" t="n"/>
    </row>
    <row r="3">
      <c r="A3" s="43" t="inlineStr">
        <is>
          <t>HOW TO USE THIS WORKBOOK</t>
        </is>
      </c>
      <c r="B3" s="32" t="n"/>
      <c r="C3" s="32" t="n"/>
      <c r="D3" s="32" t="n"/>
      <c r="E3" s="32" t="n"/>
    </row>
    <row r="4" ht="30" customHeight="1">
      <c r="A4" s="51" t="inlineStr">
        <is>
          <t>This financial plan is a MODEL: you type only in the GREEN cells and everything else recalculates on its own.</t>
        </is>
      </c>
      <c r="B4" s="32" t="n"/>
      <c r="C4" s="32" t="n"/>
      <c r="D4" s="32" t="n"/>
      <c r="E4" s="32" t="n"/>
    </row>
    <row r="5" ht="45" customHeight="1">
      <c r="A5" s="51" t="inlineStr">
        <is>
          <t>1. "0. Assumptions" is the control sheet: customers per day, average check excl. sales tax, operating days, food and beverage mix, cost of goods sold, rent, financing and taxes.</t>
        </is>
      </c>
      <c r="B5" s="32" t="n"/>
      <c r="C5" s="32" t="n"/>
      <c r="D5" s="32" t="n"/>
      <c r="E5" s="32" t="n"/>
    </row>
    <row r="6" ht="45" customHeight="1">
      <c r="A6" s="51" t="inlineStr">
        <is>
          <t>2. Startup cost items, fixed costs and staffing are typed in their own tab, also in green. No number is typed twice.</t>
        </is>
      </c>
      <c r="B6" s="32" t="n"/>
      <c r="C6" s="32" t="n"/>
      <c r="D6" s="32" t="n"/>
      <c r="E6" s="32" t="n"/>
    </row>
    <row r="7" ht="105" customHeight="1">
      <c r="A7" s="51" t="inlineStr">
        <is>
          <t>3. On "Break-Even" you only type the seat-turn ceiling your space allows; everything else derives from the rest. The other three tabs also have green cells you can change: the pessimistic and optimistic scenarios on "Scenarios", the seasonality and the launch ramp-up on "12-Month Cash Flow", and the other financing sources on "Financing" (rows 8-11 count as sources but are not amortized: Your bank or SBA 7(a) loan goes in "Loan requested" on "0. Assumptions"). Everything else is calculated.</t>
        </is>
      </c>
      <c r="B7" s="32" t="n"/>
      <c r="C7" s="32" t="n"/>
      <c r="D7" s="32" t="n"/>
      <c r="E7" s="32" t="n"/>
    </row>
    <row r="8" ht="210" customHeight="1">
      <c r="A8" s="51" t="inlineStr">
        <is>
          <t>4. All figures are EXCL. SALES TAX. To turn a menu price into a price excl. sales tax, divide it by 1 + your sales tax rate (with an 8% rate, divide by 1.08); if an item is taxed at a different rate (alcohol to go, for instance), use that rate. The rate of each sales line is in the "Sales tax rate on the line (%)" column of the P&amp;L, and from it come the receipts, the sales tax collected and the equivalent menu price incl. sales tax. With the default 0% recoverable input tax, the sales tax you pay on purchases and startup costs is treated as a cost; in the UK, enter 20% if you are VAT-registered.</t>
        </is>
      </c>
      <c r="B8" s="32" t="n"/>
      <c r="C8" s="32" t="n"/>
      <c r="D8" s="32" t="n"/>
      <c r="E8" s="32" t="n"/>
    </row>
    <row r="9" ht="30" customHeight="1">
      <c r="A9" s="51" t="inlineStr">
        <is>
          <t>5. If you change the staffing, the P&amp;L reads it on its own: labor cost comes from the "Staffing" tab, not from a separate estimate.</t>
        </is>
      </c>
      <c r="B9" s="32" t="n"/>
      <c r="C9" s="32" t="n"/>
      <c r="D9" s="32" t="n"/>
      <c r="E9" s="32" t="n"/>
    </row>
    <row r="10" ht="45" customHeight="1">
      <c r="A10" s="51" t="inlineStr">
        <is>
          <t>6. The "12-Month Cash Flow" tab answers the question that decides a bank deal: in which month the cash runs out. The minimum balance of the year can never be in red.</t>
        </is>
      </c>
      <c r="B10" s="32" t="n"/>
      <c r="C10" s="32" t="n"/>
      <c r="D10" s="32" t="n"/>
      <c r="E10" s="32" t="n"/>
    </row>
    <row r="11" ht="45" customHeight="1">
      <c r="A11" s="51" t="inlineStr">
        <is>
          <t>7. The "Financing" tab matches what you need with what you put in and builds the amortization schedule of the loan. If the difference is red, the plan is not funded.</t>
        </is>
      </c>
      <c r="B11" s="32" t="n"/>
      <c r="C11" s="32" t="n"/>
      <c r="D11" s="32" t="n"/>
      <c r="E11" s="32" t="n"/>
    </row>
    <row r="12" ht="45" customHeight="1">
      <c r="A12" s="51" t="inlineStr">
        <is>
          <t>8. In this workbook, "the P&amp;L" means the "3-Year P&amp;L" tab: the same profit and loss statement, with one column for each of the three years.</t>
        </is>
      </c>
      <c r="B12" s="32" t="n"/>
      <c r="C12" s="32" t="n"/>
      <c r="D12" s="32" t="n"/>
      <c r="E12" s="32" t="n"/>
    </row>
    <row r="13" ht="45" customHeight="1">
      <c r="A13" s="51" t="inlineStr">
        <is>
          <t>9. The Word business plan that comes with these financial projections uses the same example figures as this workbook. If you change the workbook, update the figures in the Word document too.</t>
        </is>
      </c>
      <c r="B13" s="32" t="n"/>
      <c r="C13" s="32" t="n"/>
      <c r="D13" s="32" t="n"/>
      <c r="E13" s="32" t="n"/>
    </row>
    <row r="14">
      <c r="A14" s="32" t="n"/>
      <c r="B14" s="32" t="n"/>
      <c r="C14" s="32" t="n"/>
      <c r="D14" s="32" t="n"/>
      <c r="E14" s="32" t="n"/>
    </row>
    <row r="15">
      <c r="A15" s="29" t="inlineStr">
        <is>
          <t>RATIOS AUDITED BY THIS WORKBOOK</t>
        </is>
      </c>
      <c r="B15" s="32" t="n"/>
      <c r="C15" s="32" t="n"/>
      <c r="D15" s="32" t="n"/>
      <c r="E15" s="32" t="n"/>
    </row>
    <row r="16" ht="30" customHeight="1">
      <c r="A16" s="51" t="inlineStr">
        <is>
          <t>Thresholds live in the "Threshold" column of the KEY RATIOS block of the P&amp;L: change them there and the traffic light changes with them.</t>
        </is>
      </c>
      <c r="B16" s="32" t="n"/>
      <c r="C16" s="32" t="n"/>
      <c r="D16" s="32" t="n"/>
      <c r="E16" s="32" t="n"/>
    </row>
    <row r="17">
      <c r="A17" s="32" t="n"/>
      <c r="B17" s="32" t="n"/>
      <c r="C17" s="32" t="n"/>
      <c r="D17" s="32" t="n"/>
      <c r="E17" s="32" t="n"/>
    </row>
    <row r="18">
      <c r="A18" s="29" t="inlineStr">
        <is>
          <t>Ratio</t>
        </is>
      </c>
      <c r="B18" s="29" t="inlineStr">
        <is>
          <t>Year 1 value</t>
        </is>
      </c>
      <c r="C18" s="29" t="inlineStr">
        <is>
          <t>Threshold</t>
        </is>
      </c>
      <c r="D18" s="29" t="inlineStr">
        <is>
          <t>Status</t>
        </is>
      </c>
      <c r="E18" s="32" t="n"/>
    </row>
    <row r="19">
      <c r="A19" s="32" t="inlineStr">
        <is>
          <t>Cost of goods sold / Sales</t>
        </is>
      </c>
      <c r="B19" s="72">
        <f>IFERROR(IF('3-Year P&amp;L'!$B$52="","",'3-Year P&amp;L'!$B$52),"")</f>
        <v>0.26460000000000006</v>
      </c>
      <c r="C19" s="72">
        <f>IFERROR(IF('3-Year P&amp;L'!$E$52="","",'3-Year P&amp;L'!$E$52),"")</f>
        <v>0.35</v>
      </c>
      <c r="D19" s="32" t="str">
        <f>IFERROR(IF(OR(B19="",C19=""),"",IF(B19&lt;=C19,"OK","REVIEW")),"")</f>
        <v>OK</v>
      </c>
      <c r="E19" s="32" t="n"/>
    </row>
    <row r="20">
      <c r="A20" s="32" t="inlineStr">
        <is>
          <t>Labor cost / Sales</t>
        </is>
      </c>
      <c r="B20" s="72">
        <f>IFERROR(IF('3-Year P&amp;L'!$B$53="","",'3-Year P&amp;L'!$B$53),"")</f>
        <v>0.31153752535496954</v>
      </c>
      <c r="C20" s="72">
        <f>IFERROR(IF('3-Year P&amp;L'!$E$53="","",'3-Year P&amp;L'!$E$53),"")</f>
        <v>0.35</v>
      </c>
      <c r="D20" s="32" t="str">
        <f>IFERROR(IF(OR(B20="",C20=""),"",IF(B20&lt;=C20,"OK","REVIEW")),"")</f>
        <v>OK</v>
      </c>
      <c r="E20" s="32" t="n"/>
    </row>
    <row r="21">
      <c r="A21" s="32" t="inlineStr">
        <is>
          <t>Rent / Sales</t>
        </is>
      </c>
      <c r="B21" s="72">
        <f>IFERROR(IF('3-Year P&amp;L'!$B$54="","",'3-Year P&amp;L'!$B$54),"")</f>
        <v>0.09957588050894339</v>
      </c>
      <c r="C21" s="72">
        <f>IFERROR(IF('3-Year P&amp;L'!$E$54="","",'3-Year P&amp;L'!$E$54),"")</f>
        <v>0.12</v>
      </c>
      <c r="D21" s="32" t="str">
        <f>IFERROR(IF(OR(B21="",C21=""),"",IF(B21&lt;=C21,"OK","REVIEW")),"")</f>
        <v>OK</v>
      </c>
      <c r="E21" s="32" t="n"/>
    </row>
    <row r="22">
      <c r="A22" s="32" t="inlineStr">
        <is>
          <t>Net income / Sales</t>
        </is>
      </c>
      <c r="B22" s="72">
        <f>IFERROR(IF('3-Year P&amp;L'!$B$55="","",'3-Year P&amp;L'!$B$55),"")</f>
        <v>0.07344626853876347</v>
      </c>
      <c r="C22" s="72">
        <f>IFERROR(IF('3-Year P&amp;L'!$E$55="","",'3-Year P&amp;L'!$E$55),"")</f>
        <v>0.06</v>
      </c>
      <c r="D22" s="32" t="str">
        <f>IFERROR(IF(OR(B22="",C22=""),"",IF(B22&gt;=C22,"OK","REVIEW")),"")</f>
        <v>OK</v>
      </c>
      <c r="E22" s="32" t="n"/>
    </row>
    <row r="23">
      <c r="A23" s="32" t="inlineStr">
        <is>
          <t>Gross margin / Sales</t>
        </is>
      </c>
      <c r="B23" s="72">
        <f>IFERROR(IF('3-Year P&amp;L'!$B$50="","",'3-Year P&amp;L'!$B$50),"")</f>
        <v>0.6504</v>
      </c>
      <c r="C23" s="72">
        <f>IFERROR(IF('3-Year P&amp;L'!$E$50="","",'3-Year P&amp;L'!$E$50),"")</f>
        <v>0.65</v>
      </c>
      <c r="D23" s="32" t="str">
        <f>IFERROR(IF(OR(B23="",C23=""),"",IF(B23&gt;=C23,"OK","REVIEW")),"")</f>
        <v>OK</v>
      </c>
      <c r="E23" s="32" t="n"/>
    </row>
    <row r="24">
      <c r="A24" s="32" t="n"/>
      <c r="B24" s="32" t="n"/>
      <c r="C24" s="32" t="n"/>
      <c r="D24" s="32" t="n"/>
      <c r="E24" s="32" t="n"/>
    </row>
    <row r="25">
      <c r="A25" s="29" t="inlineStr">
        <is>
          <t>THIS PLAN'S KEY FIGURES</t>
        </is>
      </c>
      <c r="B25" s="32" t="n"/>
      <c r="C25" s="32" t="n"/>
      <c r="D25" s="32" t="n"/>
      <c r="E25" s="32" t="n"/>
    </row>
    <row r="26">
      <c r="A26" s="32" t="inlineStr">
        <is>
          <t>Total startup costs (sum of the blocks)</t>
        </is>
      </c>
      <c r="B26" s="44">
        <f>IFERROR(IF('Startup Costs'!$B$35="","",'Startup Costs'!$B$35),"")</f>
        <v>263686.7</v>
      </c>
      <c r="C26" s="32" t="n"/>
      <c r="D26" s="32" t="n"/>
      <c r="E26" s="32" t="n"/>
    </row>
    <row r="27">
      <c r="A27" s="32" t="inlineStr">
        <is>
          <t>Total cash needed at launch</t>
        </is>
      </c>
      <c r="B27" s="44">
        <f>IFERROR(IF('Startup Costs'!$B$38="","",'Startup Costs'!$B$38),"")</f>
        <v>263686.7</v>
      </c>
      <c r="C27" s="32" t="n"/>
      <c r="D27" s="32" t="n"/>
      <c r="E27" s="32" t="n"/>
    </row>
    <row r="28">
      <c r="A28" s="32" t="inlineStr">
        <is>
          <t>Working capital funded</t>
        </is>
      </c>
      <c r="B28" s="44">
        <f>IFERROR(IF('Startup Costs'!$B$34="","",'Startup Costs'!$B$34),"")</f>
        <v>69886.7</v>
      </c>
      <c r="C28" s="32" t="n"/>
      <c r="D28" s="32" t="n"/>
      <c r="E28" s="32" t="n"/>
    </row>
    <row r="29">
      <c r="A29" s="32" t="inlineStr">
        <is>
          <t>Forecast year-1 revenue</t>
        </is>
      </c>
      <c r="B29" s="44">
        <f>IFERROR(IF('3-Year P&amp;L'!$B$9="","",'3-Year P&amp;L'!$B$9),"")</f>
        <v>542300.0</v>
      </c>
      <c r="C29" s="32" t="n"/>
      <c r="D29" s="32" t="n"/>
      <c r="E29" s="32" t="n"/>
    </row>
    <row r="30">
      <c r="A30" s="32" t="inlineStr">
        <is>
          <t>Year-1 net income</t>
        </is>
      </c>
      <c r="B30" s="44">
        <f>IFERROR(IF('3-Year P&amp;L'!$B$47="","",'3-Year P&amp;L'!$B$47),"")</f>
        <v>39829.91142857143</v>
      </c>
      <c r="C30" s="32" t="n"/>
      <c r="D30" s="32" t="n"/>
      <c r="E30" s="32" t="n"/>
    </row>
    <row r="31">
      <c r="A31" t="inlineStr">
        <is>
          <t>Customers per day for the ACCOUNTING break-even (depreciation included)</t>
        </is>
      </c>
      <c r="B31" s="53">
        <f>IFERROR(IF('Break-Even'!$B$15="","",'Break-Even'!$B$15),"")</f>
        <v>123.1678783556361</v>
      </c>
    </row>
    <row r="32">
      <c r="A32" t="inlineStr">
        <is>
          <t>Project payback (years), before debt</t>
        </is>
      </c>
      <c r="B32">
        <f>IFERROR(IF('12-Month Cash Flow'!$B$31="","",'12-Month Cash Flow'!$B$31),"")</f>
        <v>2.9</v>
      </c>
    </row>
    <row r="34">
      <c r="A34" s="19" t="inlineStr">
        <is>
          <t>WHY THIS MODEL IS BUILT THIS WAY</t>
        </is>
      </c>
    </row>
    <row r="35">
      <c r="A35" s="19" t="inlineStr">
        <is>
          <t>Item</t>
        </is>
      </c>
      <c r="B35" s="19" t="inlineStr">
        <is>
          <t>Common shortcut</t>
        </is>
      </c>
      <c r="C35" s="19" t="inlineStr">
        <is>
          <t>This workbook</t>
        </is>
      </c>
      <c r="D35" s="19" t="inlineStr">
        <is>
          <t>Why</t>
        </is>
      </c>
    </row>
    <row r="36" ht="60" customHeight="1">
      <c r="A36" s="63" t="inlineStr">
        <is>
          <t>Labor cost in the P&amp;L</t>
        </is>
      </c>
      <c r="B36" s="63" t="inlineStr">
        <is>
          <t>A typed-in number, disconnected from the staffing tab</t>
        </is>
      </c>
      <c r="C36" s="63" t="inlineStr">
        <is>
          <t>The total of the "Staffing" tab, by formula</t>
        </is>
      </c>
      <c r="D36" s="20" t="inlineStr">
        <is>
          <t>When the P&amp;L and the staffing tab disagree, nobody knows which one to trust. Here both say the same thing, and if you change a salary the result changes on its own.</t>
        </is>
      </c>
    </row>
    <row r="37" ht="60" customHeight="1">
      <c r="A37" s="63" t="inlineStr">
        <is>
          <t>Staffing</t>
        </is>
      </c>
      <c r="B37" s="63" t="inlineStr">
        <is>
          <t>A handful of full-time positions sized by guesswork</t>
        </is>
      </c>
      <c r="C37" s="63" t="inlineStr">
        <is>
          <t>Positions, including part-time lines, sized to the service hours you declare</t>
        </is>
      </c>
      <c r="D37" s="20" t="inlineStr">
        <is>
          <t>Labor is sized to the hours of service this workbook declares, so the payroll comes from the schedule and is then tested against the labor-cost ceiling in the industry benchmarks table.</t>
        </is>
      </c>
    </row>
    <row r="38" ht="60" customHeight="1">
      <c r="A38" s="63" t="inlineStr">
        <is>
          <t>Example staff wages</t>
        </is>
      </c>
      <c r="B38" s="63" t="inlineStr">
        <is>
          <t>No check against the minimum wage</t>
        </is>
      </c>
      <c r="C38" s="63" t="inlineStr">
        <is>
          <t>Every row is compared with the federal minimum wage (and with your state or local rate, if you enter one), in proportion to its FTE</t>
        </is>
      </c>
      <c r="D38" s="20" t="inlineStr">
        <is>
          <t>The "Staffing" tab checks row by row and warns in red if you go below that floor. A workbook that proposes wages below the legal minimum cannot be shown to a lender.</t>
        </is>
      </c>
    </row>
    <row r="39" ht="45" customHeight="1">
      <c r="A39" s="63" t="inlineStr">
        <is>
          <t>Schedule coverage</t>
        </is>
      </c>
      <c r="B39" s="63" t="inlineStr">
        <is>
          <t>Staffing is not linked to opening hours</t>
        </is>
      </c>
      <c r="C39" s="63" t="inlineStr">
        <is>
          <t>The tab compares the hours your team covers with the service hours you declare</t>
        </is>
      </c>
      <c r="D39" s="20" t="inlineStr">
        <is>
          <t>Opening hours multiplied by the people needed at the same time give the hours you need per year. The workbook counts them and warns in red if the roster does not reach them.</t>
        </is>
      </c>
    </row>
    <row r="40" ht="60" customHeight="1">
      <c r="A40" s="63" t="inlineStr">
        <is>
          <t>Customers per day</t>
        </is>
      </c>
      <c r="B40" s="63" t="inlineStr">
        <is>
          <t>Backed out of a revenue target</t>
        </is>
      </c>
      <c r="C40" s="63" t="inlineStr">
        <is>
          <t>Typed in as an input and tested against the seat count</t>
        </is>
      </c>
      <c r="D40" s="20" t="inlineStr">
        <is>
          <t>Customers per day is a driver, not a plug. Compare it with the range in the industry benchmarks table below and with the seat turns calculated on the "0. Assumptions" tab.</t>
        </is>
      </c>
    </row>
    <row r="41" ht="60" customHeight="1">
      <c r="A41" s="63" t="inlineStr">
        <is>
          <t>Average check</t>
        </is>
      </c>
      <c r="B41" s="63" t="inlineStr">
        <is>
          <t>A single number, without saying whether it includes sales tax</t>
        </is>
      </c>
      <c r="C41" s="63" t="inlineStr">
        <is>
          <t>Entered excl. sales tax; the "0. Assumptions" tab calculates the equivalent menu price incl. sales tax</t>
        </is>
      </c>
      <c r="D41" s="20" t="inlineStr">
        <is>
          <t>Revenue is booked excl. sales tax, as it appears in your P&amp;L. Declaring the basis avoids comparing a tax-inclusive menu price with a net average check.</t>
        </is>
      </c>
    </row>
    <row r="42" ht="45" customHeight="1">
      <c r="A42" s="63" t="inlineStr">
        <is>
          <t>Rent</t>
        </is>
      </c>
      <c r="B42" s="63" t="inlineStr">
        <is>
          <t>A monthly figure with no link to sales</t>
        </is>
      </c>
      <c r="C42" s="63" t="inlineStr">
        <is>
          <t>A monthly rent on the "0. Assumptions" tab, tested as a percentage of sales</t>
        </is>
      </c>
      <c r="D42" s="20" t="inlineStr">
        <is>
          <t>The "3-Year P&amp;L" shows rent against the 12% of sales threshold, so you see right away whether the location is viable.</t>
        </is>
      </c>
    </row>
    <row r="43" ht="45" customHeight="1">
      <c r="A43" s="63" t="inlineStr">
        <is>
          <t>Opening calendar</t>
        </is>
      </c>
      <c r="B43" s="63" t="inlineStr">
        <is>
          <t>Two different calendars in the same workbook: a monthly day count on one tab and an annual count on another</t>
        </is>
      </c>
      <c r="C43" s="63" t="inlineStr">
        <is>
          <t>A single operating-days input on the "0. Assumptions" tab</t>
        </is>
      </c>
      <c r="D43" s="20" t="inlineStr">
        <is>
          <t>The daily break-even, the P&amp;L and the scenarios all use the same number of days, so the daily break-even matches the days you actually plan to open.</t>
        </is>
      </c>
    </row>
    <row r="44" ht="45" customHeight="1">
      <c r="A44" s="63" t="inlineStr">
        <is>
          <t>Working capital</t>
        </is>
      </c>
      <c r="B44" s="63" t="inlineStr">
        <is>
          <t>A round number with a "3 months" label</t>
        </is>
      </c>
      <c r="C44" s="63" t="inlineStr">
        <is>
          <t>3 months of cash fixed costs, by formula</t>
        </is>
      </c>
      <c r="D44" s="20" t="inlineStr">
        <is>
          <t>A typed figure can cover far fewer months than its label says. A formula recalculates by itself whenever you change any expense.</t>
        </is>
      </c>
    </row>
    <row r="45" ht="90" customHeight="1">
      <c r="A45" s="63" t="inlineStr">
        <is>
          <t>Depreciation</t>
        </is>
      </c>
      <c r="B45" s="63" t="inlineStr">
        <is>
          <t>One flat period over the WHOLE investment, working capital and opening inventory included</t>
        </is>
      </c>
      <c r="C45" s="63" t="inlineStr">
        <is>
          <t>Only on the build-out and the equipment, each with its own useful life</t>
        </is>
      </c>
      <c r="D45" s="20" t="inlineStr">
        <is>
          <t>The cash cushion, inventory, security deposit, pre-opening rent and the formation, license and launch costs are not fixed assets: depreciating them would inflate expenses and distort the tax line. Build-out contingency IS depreciated, because it is part of the cost of the renovation.</t>
        </is>
      </c>
    </row>
    <row r="46" ht="45" customHeight="1">
      <c r="A46" s="63" t="inlineStr">
        <is>
          <t>Build-out contingency</t>
        </is>
      </c>
      <c r="B46" s="63" t="inlineStr">
        <is>
          <t>A fixed amount with a percentage written inside the label</t>
        </is>
      </c>
      <c r="C46" s="63" t="inlineStr">
        <is>
          <t>A formula on the build-out lines, with the percentage on the "0. Assumptions" tab</t>
        </is>
      </c>
      <c r="D46" s="20" t="inlineStr">
        <is>
          <t>A percentage hidden in a label stops being true as soon as one line changes. Here it is an input and the amount recalculates.</t>
        </is>
      </c>
    </row>
    <row r="47" ht="74.75" customHeight="1">
      <c r="A47" s="63" t="inlineStr">
        <is>
          <t>Income tax</t>
        </is>
      </c>
      <c r="B47" s="63" t="inlineStr">
        <is>
          <t>A flat rate that ignores the losses of the first year</t>
        </is>
      </c>
      <c r="C47" s="63" t="inlineStr">
        <is>
          <t>An effective income tax rate (years 1-2 and from year 3), with net operating losses carried forward</t>
        </is>
      </c>
      <c r="D47" s="20" t="inlineStr">
        <is>
          <t>Early losses offset later profits, so the model carries them forward. Federal rules cap the offset at 80% of taxable income and the model offsets 100%, a declared simplification. If your business is a pass-through entity, set the rate to 0% and remember that you pay the tax on your personal return.</t>
        </is>
      </c>
    </row>
    <row r="48" ht="45" customHeight="1">
      <c r="A48" s="63" t="inlineStr">
        <is>
          <t>Financing plan</t>
        </is>
      </c>
      <c r="B48" s="63" t="inlineStr">
        <is>
          <t>Not included</t>
        </is>
      </c>
      <c r="C48" s="63" t="inlineStr">
        <is>
          <t>The "Financing" tab: sources of funds, uses and an amortization schedule</t>
        </is>
      </c>
      <c r="D48" s="20" t="inlineStr">
        <is>
          <t>A lender wants to see that the money coming in covers what has to be put on the table. The workbook checks it for you.</t>
        </is>
      </c>
    </row>
    <row r="49" ht="30" customHeight="1">
      <c r="A49" s="63" t="inlineStr">
        <is>
          <t>Month-by-month cash flow</t>
        </is>
      </c>
      <c r="B49" s="63" t="inlineStr">
        <is>
          <t>Not included</t>
        </is>
      </c>
      <c r="C49" s="63" t="inlineStr">
        <is>
          <t>The "12-Month Cash Flow" tab: receipts, payments, quarterly sales tax and running balance</t>
        </is>
      </c>
      <c r="D49" s="20" t="inlineStr">
        <is>
          <t>It is the tab that answers the question that decides a loan: in which month does the cash run out.</t>
        </is>
      </c>
    </row>
    <row r="50" ht="90" customHeight="1">
      <c r="A50" s="63" t="inlineStr">
        <is>
          <t>Financing requested</t>
        </is>
      </c>
      <c r="B50" s="63" t="inlineStr">
        <is>
          <t>Typed in, with nothing to reconcile it</t>
        </is>
      </c>
      <c r="C50" s="63" t="inlineStr">
        <is>
          <t>Owner equity and loan, reconciled against the cash need on the "Financing" tab</t>
        </is>
      </c>
      <c r="D50" s="20" t="inlineStr">
        <is>
          <t>Sources should cover the cash need that this workbook calculates, with only a small surplus: borrowing more means paying interest on money you do not use. The "Financing" tab calculates the exact loan amount that sets the gap to zero.</t>
        </is>
      </c>
    </row>
    <row r="52">
      <c r="A52" s="19" t="inlineStr">
        <is>
          <t>INDUSTRY BENCHMARKS</t>
        </is>
      </c>
    </row>
    <row r="53">
      <c r="A53" s="19" t="inlineStr">
        <is>
          <t>Benchmark</t>
        </is>
      </c>
      <c r="B53" s="19" t="inlineStr">
        <is>
          <t>Value</t>
        </is>
      </c>
      <c r="C53" s="19" t="inlineStr">
        <is>
          <t>Source</t>
        </is>
      </c>
      <c r="D53" s="19" t="inlineStr">
        <is>
          <t>Note</t>
        </is>
      </c>
    </row>
    <row r="54" ht="30" customHeight="1">
      <c r="A54" t="inlineStr">
        <is>
          <t>Beverage cost: coffee</t>
        </is>
      </c>
      <c r="B54" t="inlineStr">
        <is>
          <t>20-30%</t>
        </is>
      </c>
      <c r="C54" t="inlineStr">
        <is>
          <t>Kit estimate</t>
        </is>
      </c>
      <c r="D54" s="20" t="inlineStr">
        <is>
          <t>Specialty coffee reaches the low end of the range with a good supplier and tight waste control</t>
        </is>
      </c>
    </row>
    <row r="55" ht="15" customHeight="1">
      <c r="A55" t="inlineStr">
        <is>
          <t>Food cost: brunch</t>
        </is>
      </c>
      <c r="B55" t="inlineStr">
        <is>
          <t>30-35%</t>
        </is>
      </c>
      <c r="C55" t="inlineStr">
        <is>
          <t>Kit estimate</t>
        </is>
      </c>
      <c r="D55" s="20" t="inlineStr">
        <is>
          <t>Portion control and waste tracking decide it</t>
        </is>
      </c>
    </row>
    <row r="56" ht="30" customHeight="1">
      <c r="A56" t="inlineStr">
        <is>
          <t>Beverage cost: cold drinks</t>
        </is>
      </c>
      <c r="B56" t="inlineStr">
        <is>
          <t>28-32%</t>
        </is>
      </c>
      <c r="C56" t="inlineStr">
        <is>
          <t>Kit estimate</t>
        </is>
      </c>
      <c r="D56" s="20" t="inlineStr">
        <is>
          <t>Juices and smoothies: high cost because they use fresh product</t>
        </is>
      </c>
    </row>
    <row r="57" ht="30" customHeight="1">
      <c r="A57" t="inlineStr">
        <is>
          <t>Labor cost / Sales</t>
        </is>
      </c>
      <c r="B57" t="inlineStr">
        <is>
          <t>30-35% (alarm above 40%)</t>
        </is>
      </c>
      <c r="C57" t="inlineStr">
        <is>
          <t>Bellwether Coffee (bellwethercoffee.com)</t>
        </is>
      </c>
      <c r="D57" s="20" t="inlineStr">
        <is>
          <t>The kit applies the top of this range (35%) as the ceiling in the "3-Year P&amp;L"</t>
        </is>
      </c>
    </row>
    <row r="58">
      <c r="A58" t="inlineStr">
        <is>
          <t>Rent / Sales</t>
        </is>
      </c>
      <c r="B58" t="inlineStr">
        <is>
          <t>10% target, 15% maximum</t>
        </is>
      </c>
      <c r="C58" t="inlineStr">
        <is>
          <t>Kit estimate</t>
        </is>
      </c>
      <c r="D58" s="20" t="inlineStr">
        <is>
          <t>The "3-Year P&amp;L" flags rent above 12% of sales</t>
        </is>
      </c>
    </row>
    <row r="59">
      <c r="A59" t="inlineStr">
        <is>
          <t>Average check: coffee and breakfast</t>
        </is>
      </c>
      <c r="B59" t="inlineStr">
        <is>
          <t>4-6</t>
        </is>
      </c>
      <c r="C59" t="inlineStr">
        <is>
          <t>Kit estimate</t>
        </is>
      </c>
      <c r="D59" s="20" t="inlineStr">
        <is>
          <t>Coffee and basic pastries only</t>
        </is>
      </c>
    </row>
    <row r="60">
      <c r="A60" t="inlineStr">
        <is>
          <t>Average check: full brunch</t>
        </is>
      </c>
      <c r="B60" t="inlineStr">
        <is>
          <t>14-20</t>
        </is>
      </c>
      <c r="C60" t="inlineStr">
        <is>
          <t>Kit estimate</t>
        </is>
      </c>
      <c r="D60" s="20" t="inlineStr">
        <is>
          <t>Main dish, drink and a dessert or coffee</t>
        </is>
      </c>
    </row>
    <row r="61" ht="45" customHeight="1">
      <c r="A61" t="inlineStr">
        <is>
          <t>Combined average check</t>
        </is>
      </c>
      <c r="B61" t="inlineStr">
        <is>
          <t>7.81-11.11</t>
        </is>
      </c>
      <c r="C61" t="inlineStr">
        <is>
          <t>Dojo Business (dojobusiness.com)</t>
        </is>
      </c>
      <c r="D61" s="20" t="inlineStr">
        <is>
          <t>Weighted average of all services. The average check excl. sales tax of this projection and its menu-price equivalent are calculated on the "0. Assumptions" tab</t>
        </is>
      </c>
    </row>
    <row r="62" ht="15" customHeight="1">
      <c r="A62" t="inlineStr">
        <is>
          <t>Customers per day (small coffee shop)</t>
        </is>
      </c>
      <c r="B62" t="inlineStr">
        <is>
          <t>100-250</t>
        </is>
      </c>
      <c r="C62" t="inlineStr">
        <is>
          <t>Dojo Business (dojobusiness.com)</t>
        </is>
      </c>
      <c r="D62" s="20" t="inlineStr">
        <is>
          <t>Depends heavily on the location and the foot traffic</t>
        </is>
      </c>
    </row>
    <row r="63" ht="15" customHeight="1">
      <c r="A63" t="inlineStr">
        <is>
          <t>Average occupancy on weekdays</t>
        </is>
      </c>
      <c r="B63" t="inlineStr">
        <is>
          <t>40-60%</t>
        </is>
      </c>
      <c r="C63" t="inlineStr">
        <is>
          <t>Kit estimate</t>
        </is>
      </c>
      <c r="D63" s="20" t="inlineStr">
        <is>
          <t>Morning is the peak; afternoon is the slowest shift</t>
        </is>
      </c>
    </row>
    <row r="64" ht="30" customHeight="1">
      <c r="A64" t="inlineStr">
        <is>
          <t>Average occupancy on weekends</t>
        </is>
      </c>
      <c r="B64" t="inlineStr">
        <is>
          <t>70-90%</t>
        </is>
      </c>
      <c r="C64" t="inlineStr">
        <is>
          <t>Kit estimate</t>
        </is>
      </c>
      <c r="D64" s="20" t="inlineStr">
        <is>
          <t>It is what justifies the Saturday and Sunday reinforcement on the "Staffing" tab</t>
        </is>
      </c>
    </row>
    <row r="65" ht="45" customHeight="1">
      <c r="A65" t="inlineStr">
        <is>
          <t>Table turns at weekend brunch</t>
        </is>
      </c>
      <c r="B65" t="inlineStr">
        <is>
          <t>2-3 turns</t>
        </is>
      </c>
      <c r="C65" t="inlineStr">
        <is>
          <t>Kit estimate</t>
        </is>
      </c>
      <c r="D65" s="20" t="inlineStr">
        <is>
          <t>With the seats declared on the "0. Assumptions" tab, it is the reference that supports the customers per day of the base case</t>
        </is>
      </c>
    </row>
    <row r="66">
      <c r="A66" t="inlineStr">
        <is>
          <t>Target gross margin</t>
        </is>
      </c>
      <c r="B66" t="inlineStr">
        <is>
          <t>&gt; 65%</t>
        </is>
      </c>
      <c r="C66" t="inlineStr">
        <is>
          <t>Kit estimate</t>
        </is>
      </c>
      <c r="D66" s="20" t="n"/>
    </row>
    <row r="67" ht="105" customHeight="1">
      <c r="A67" t="inlineStr">
        <is>
          <t>Net margin (healthy coffee shop)</t>
        </is>
      </c>
      <c r="B67" t="inlineStr">
        <is>
          <t>8-12% (under 6%: structural problem)</t>
        </is>
      </c>
      <c r="C67" t="inlineStr">
        <is>
          <t>Bellwether Coffee (bellwethercoffee.com)</t>
        </is>
      </c>
      <c r="D67" s="20" t="inlineStr">
        <is>
          <t>The "3-Year P&amp;L" flags a net margin below 6% of sales. Year 1 usually lands at the low end because volume is still growing and loan interest is at its highest (the ramp-up only moves sales between months, it does not lower the year): compare it with Net income / Sales on that tab.</t>
        </is>
      </c>
    </row>
    <row r="68" ht="105" customHeight="1">
      <c r="A68" t="inlineStr">
        <is>
          <t>Payback period</t>
        </is>
      </c>
      <c r="B68" t="inlineStr">
        <is>
          <t>24-36 months</t>
        </is>
      </c>
      <c r="C68" t="inlineStr">
        <is>
          <t>Kit estimate</t>
        </is>
      </c>
      <c r="D68" s="20" t="inlineStr">
        <is>
          <t>An industry reference measured on what the owner puts in. The "12-Month Cash Flow" tab publishes the PROJECT payback, before payments to the lender: compare that cell with this range. For the return on YOUR money, divide your equity by the project free cash flow on that same tab</t>
        </is>
      </c>
    </row>
    <row r="69" ht="45" customHeight="1">
      <c r="A69" t="inlineStr">
        <is>
          <t>Applicable state / local minimum wage</t>
        </is>
      </c>
      <c r="B69" t="inlineStr">
        <is>
          <t>State and local minimum wage</t>
        </is>
      </c>
      <c r="C69" t="inlineStr">
        <is>
          <t>DOL (dol.gov/agencies/whd/minimum-wage)</t>
        </is>
      </c>
      <c r="D69" s="20" t="inlineStr">
        <is>
          <t>There is no single national table above the federal floor: look up the rate for your state and city and enter it on the "0. Assumptions" tab</t>
        </is>
      </c>
    </row>
    <row r="70" ht="75" customHeight="1">
      <c r="A70" t="inlineStr">
        <is>
          <t>Federal minimum wage</t>
        </is>
      </c>
      <c r="B70" t="inlineStr">
        <is>
          <t>7.25 per hour (15,080 per year full-time)</t>
        </is>
      </c>
      <c r="C70" t="inlineStr">
        <is>
          <t>DOL (dol.gov/agencies/whd/minimum-wage)</t>
        </is>
      </c>
      <c r="D70" s="20" t="inlineStr">
        <is>
          <t>Legal floor for covered employees at 2,080 hours a year. Part-time positions get it in proportion; the traffic light on the "Staffing" tab checks it row by row. State and local rates are often higher, and the higher one applies. If you present the plan in another year, check the current rate</t>
        </is>
      </c>
    </row>
    <row r="72">
      <c r="A72" s="64" t="inlineStr">
        <is>
          <t>To edit a cell that is not green: Review → Unprotect Sheet (there is no password).</t>
        </is>
      </c>
    </row>
    <row r="73">
      <c r="A73" s="64" t="inlineStr">
        <is>
          <t>More templates and kits in the catalog at aichef.pro/en/digital-products</t>
        </is>
      </c>
    </row>
    <row r="74">
      <c r="A74" s="64" t="inlineStr">
        <is>
          <t>Designed by John Guerrero — chef and restaurant consultant since 2010, in the kitchen since age 17 · johnguerrero.es</t>
        </is>
      </c>
    </row>
    <row r="75">
      <c r="A75" s="64" t="inlineStr">
        <is>
          <t>Version 2.2 · October 2026 · aichef.pro/en/digital-products/coffee-shop-business-plan · info@aichef.pro</t>
        </is>
      </c>
    </row>
    <row r="76" ht="45" customHeight="1">
      <c r="A76" s="76"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9:D23">
    <cfRule type="containsText" priority="1" operator="containsText" dxfId="0" stopIfTrue="1" text="OK">
      <formula>NOT(ISERROR(SEARCH("OK",D19)))</formula>
    </cfRule>
    <cfRule type="containsText" priority="2" operator="containsText" dxfId="1" stopIfTrue="1" text="REVIEW">
      <formula>NOT(ISERROR(SEARCH("REVIEW",D19)))</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9" t="inlineStr">
        <is>
          <t>CASH FLOW FORECAST — YEAR 1</t>
        </is>
      </c>
      <c r="B1" s="32" t="n"/>
      <c r="C1" s="32" t="n"/>
      <c r="D1" s="32" t="n"/>
      <c r="E1" s="32" t="n"/>
      <c r="F1" s="32" t="n"/>
      <c r="G1" s="32" t="n"/>
      <c r="H1" s="32" t="n"/>
      <c r="I1" s="32" t="n"/>
      <c r="J1" s="32" t="n"/>
      <c r="K1" s="32" t="n"/>
      <c r="L1" s="32" t="n"/>
      <c r="M1" s="32" t="n"/>
      <c r="N1" s="32" t="n"/>
      <c r="O1" s="32" t="n"/>
    </row>
    <row r="2" ht="59.75" customHeight="1">
      <c r="A2" s="51" t="inlineStr">
        <is>
          <t>The P&amp;L tells you whether the business makes money; this tab tells you whether you have cash left to get to the end of the month. It is the first one a lender looks at.</t>
        </is>
      </c>
      <c r="B2" s="32" t="n"/>
      <c r="C2" s="32" t="n"/>
      <c r="D2" s="32" t="n"/>
      <c r="E2" s="32" t="n"/>
      <c r="F2" s="32" t="n"/>
      <c r="G2" s="32" t="n"/>
      <c r="H2" s="32" t="n"/>
      <c r="I2" s="32" t="n"/>
      <c r="J2" s="32" t="n"/>
      <c r="K2" s="32" t="n"/>
      <c r="L2" s="32" t="n"/>
      <c r="M2" s="32" t="n"/>
      <c r="N2" s="32" t="n"/>
      <c r="O2" s="32" t="n"/>
    </row>
    <row r="3">
      <c r="A3" s="32" t="n"/>
      <c r="B3" s="32" t="n"/>
      <c r="C3" s="32" t="n"/>
      <c r="D3" s="32" t="n"/>
      <c r="E3" s="32" t="n"/>
      <c r="F3" s="32" t="n"/>
      <c r="G3" s="32" t="n"/>
      <c r="H3" s="32" t="n"/>
      <c r="I3" s="32" t="n"/>
      <c r="J3" s="32" t="n"/>
      <c r="K3" s="32" t="n"/>
      <c r="L3" s="32" t="n"/>
      <c r="M3" s="32" t="n"/>
      <c r="N3" s="32" t="n"/>
      <c r="O3" s="32" t="n"/>
    </row>
    <row r="4">
      <c r="A4" s="29" t="inlineStr">
        <is>
          <t>Item</t>
        </is>
      </c>
      <c r="B4" s="29" t="inlineStr">
        <is>
          <t>Month 1</t>
        </is>
      </c>
      <c r="C4" s="29" t="inlineStr">
        <is>
          <t>Month 2</t>
        </is>
      </c>
      <c r="D4" s="29" t="inlineStr">
        <is>
          <t>Month 3</t>
        </is>
      </c>
      <c r="E4" s="29" t="inlineStr">
        <is>
          <t>Month 4</t>
        </is>
      </c>
      <c r="F4" s="29" t="inlineStr">
        <is>
          <t>Month 5</t>
        </is>
      </c>
      <c r="G4" s="29" t="inlineStr">
        <is>
          <t>Month 6</t>
        </is>
      </c>
      <c r="H4" s="29" t="inlineStr">
        <is>
          <t>Month 7</t>
        </is>
      </c>
      <c r="I4" s="29" t="inlineStr">
        <is>
          <t>Month 8</t>
        </is>
      </c>
      <c r="J4" s="29" t="inlineStr">
        <is>
          <t>Month 9</t>
        </is>
      </c>
      <c r="K4" s="29" t="inlineStr">
        <is>
          <t>Month 10</t>
        </is>
      </c>
      <c r="L4" s="29" t="inlineStr">
        <is>
          <t>Month 11</t>
        </is>
      </c>
      <c r="M4" s="29" t="inlineStr">
        <is>
          <t>Month 12</t>
        </is>
      </c>
      <c r="N4" s="29" t="inlineStr">
        <is>
          <t>Year</t>
        </is>
      </c>
      <c r="O4" s="32" t="n"/>
    </row>
    <row r="5">
      <c r="A5" s="32" t="inlineStr">
        <is>
          <t>Monthly seasonality (adds up to 100%)</t>
        </is>
      </c>
      <c r="B5" s="77" t="n">
        <v>0.075</v>
      </c>
      <c r="C5" s="77" t="n">
        <v>0.075</v>
      </c>
      <c r="D5" s="77" t="n">
        <v>0.08500000000000001</v>
      </c>
      <c r="E5" s="77" t="n">
        <v>0.08799999999999999</v>
      </c>
      <c r="F5" s="77" t="n">
        <v>0.09</v>
      </c>
      <c r="G5" s="77" t="n">
        <v>0.08500000000000001</v>
      </c>
      <c r="H5" s="77" t="n">
        <v>0.075</v>
      </c>
      <c r="I5" s="77" t="n">
        <v>0.06</v>
      </c>
      <c r="J5" s="77" t="n">
        <v>0.08500000000000001</v>
      </c>
      <c r="K5" s="77" t="n">
        <v>0.09</v>
      </c>
      <c r="L5" s="77" t="n">
        <v>0.08500000000000001</v>
      </c>
      <c r="M5" s="77" t="n">
        <v>0.107</v>
      </c>
      <c r="N5" s="72">
        <f>IFERROR(IF('3-Year P&amp;L'!$B$9="","",SUM(B5:M5)),"")</f>
        <v>1.0</v>
      </c>
      <c r="O5" s="32" t="inlineStr">
        <is>
          <t>Profile for your area: adjust it to your own slow and busy months (weather, tourism, events). It must add up to 100%</t>
        </is>
      </c>
    </row>
    <row r="6">
      <c r="A6" s="32" t="inlineStr">
        <is>
          <t>Launch ramp-up (% of steady-state activity)</t>
        </is>
      </c>
      <c r="B6" s="72">
        <f>IFERROR(IF('3-Year P&amp;L'!$B$9="","",MIN(1,'0. Assumptions'!$B$52+(1-'0. Assumptions'!$B$52)*0/MAX(1,'0. Assumptions'!$B$53-1))),"")</f>
        <v>0.55</v>
      </c>
      <c r="C6" s="72">
        <f>IFERROR(IF('3-Year P&amp;L'!$B$9="","",MIN(1,'0. Assumptions'!$B$52+(1-'0. Assumptions'!$B$52)*1/MAX(1,'0. Assumptions'!$B$53-1))),"")</f>
        <v>0.64</v>
      </c>
      <c r="D6" s="72">
        <f>IFERROR(IF('3-Year P&amp;L'!$B$9="","",MIN(1,'0. Assumptions'!$B$52+(1-'0. Assumptions'!$B$52)*2/MAX(1,'0. Assumptions'!$B$53-1))),"")</f>
        <v>0.73</v>
      </c>
      <c r="E6" s="72">
        <f>IFERROR(IF('3-Year P&amp;L'!$B$9="","",MIN(1,'0. Assumptions'!$B$52+(1-'0. Assumptions'!$B$52)*3/MAX(1,'0. Assumptions'!$B$53-1))),"")</f>
        <v>0.8200000000000001</v>
      </c>
      <c r="F6" s="72">
        <f>IFERROR(IF('3-Year P&amp;L'!$B$9="","",MIN(1,'0. Assumptions'!$B$52+(1-'0. Assumptions'!$B$52)*4/MAX(1,'0. Assumptions'!$B$53-1))),"")</f>
        <v>0.91</v>
      </c>
      <c r="G6" s="72">
        <f>IFERROR(IF('3-Year P&amp;L'!$B$9="","",MIN(1,'0. Assumptions'!$B$52+(1-'0. Assumptions'!$B$52)*5/MAX(1,'0. Assumptions'!$B$53-1))),"")</f>
        <v>1.0</v>
      </c>
      <c r="H6" s="72">
        <f>IFERROR(IF('3-Year P&amp;L'!$B$9="","",MIN(1,'0. Assumptions'!$B$52+(1-'0. Assumptions'!$B$52)*6/MAX(1,'0. Assumptions'!$B$53-1))),"")</f>
        <v>1.0</v>
      </c>
      <c r="I6" s="72">
        <f>IFERROR(IF('3-Year P&amp;L'!$B$9="","",MIN(1,'0. Assumptions'!$B$52+(1-'0. Assumptions'!$B$52)*7/MAX(1,'0. Assumptions'!$B$53-1))),"")</f>
        <v>1.0</v>
      </c>
      <c r="J6" s="72">
        <f>IFERROR(IF('3-Year P&amp;L'!$B$9="","",MIN(1,'0. Assumptions'!$B$52+(1-'0. Assumptions'!$B$52)*8/MAX(1,'0. Assumptions'!$B$53-1))),"")</f>
        <v>1.0</v>
      </c>
      <c r="K6" s="72">
        <f>IFERROR(IF('3-Year P&amp;L'!$B$9="","",MIN(1,'0. Assumptions'!$B$52+(1-'0. Assumptions'!$B$52)*9/MAX(1,'0. Assumptions'!$B$53-1))),"")</f>
        <v>1.0</v>
      </c>
      <c r="L6" s="72">
        <f>IFERROR(IF('3-Year P&amp;L'!$B$9="","",MIN(1,'0. Assumptions'!$B$52+(1-'0. Assumptions'!$B$52)*10/MAX(1,'0. Assumptions'!$B$53-1))),"")</f>
        <v>1.0</v>
      </c>
      <c r="M6" s="72">
        <f>IFERROR(IF('3-Year P&amp;L'!$B$9="","",MIN(1,'0. Assumptions'!$B$52+(1-'0. Assumptions'!$B$52)*11/MAX(1,'0. Assumptions'!$B$53-1))),"")</f>
        <v>1.0</v>
      </c>
      <c r="N6" s="32" t="n"/>
      <c r="O6" s="32" t="inlineStr">
        <is>
          <t>Rises in a straight line from the month-1 percentage to 100% over the number of months you set in Assumptions. With month 1 at 100%, the ramp disappears</t>
        </is>
      </c>
    </row>
    <row r="7">
      <c r="A7" s="32" t="inlineStr">
        <is>
          <t>Split of activity by month (calculated)</t>
        </is>
      </c>
      <c r="B7" s="72">
        <f>IFERROR(IF('3-Year P&amp;L'!$B$9="","",B5*B6/SUMPRODUCT($B$5:$M$5,$B$6:$M$6)),"")</f>
        <v>0.0462257384911919</v>
      </c>
      <c r="C7" s="72">
        <f>IFERROR(IF('3-Year P&amp;L'!$B$9="","",C5*C6/SUMPRODUCT($B$5:$M$5,$B$6:$M$6)),"")</f>
        <v>0.05378995024429603</v>
      </c>
      <c r="D7" s="72">
        <f>IFERROR(IF('3-Year P&amp;L'!$B$9="","",D5*D6/SUMPRODUCT($B$5:$M$5,$B$6:$M$6)),"")</f>
        <v>0.06953471693038685</v>
      </c>
      <c r="E7" s="72">
        <f>IFERROR(IF('3-Year P&amp;L'!$B$9="","",E5*E6/SUMPRODUCT($B$5:$M$5,$B$6:$M$6)),"")</f>
        <v>0.0808642252005917</v>
      </c>
      <c r="F7" s="72">
        <f>IFERROR(IF('3-Year P&amp;L'!$B$9="","",F5*F6/SUMPRODUCT($B$5:$M$5,$B$6:$M$6)),"")</f>
        <v>0.0917791026043301</v>
      </c>
      <c r="G7" s="72">
        <f>IFERROR(IF('3-Year P&amp;L'!$B$9="","",G5*G6/SUMPRODUCT($B$5:$M$5,$B$6:$M$6)),"")</f>
        <v>0.09525303689094089</v>
      </c>
      <c r="H7" s="72">
        <f>IFERROR(IF('3-Year P&amp;L'!$B$9="","",H5*H6/SUMPRODUCT($B$5:$M$5,$B$6:$M$6)),"")</f>
        <v>0.08404679725671255</v>
      </c>
      <c r="I7" s="72">
        <f>IFERROR(IF('3-Year P&amp;L'!$B$9="","",I5*I6/SUMPRODUCT($B$5:$M$5,$B$6:$M$6)),"")</f>
        <v>0.06723743780537003</v>
      </c>
      <c r="J7" s="72">
        <f>IFERROR(IF('3-Year P&amp;L'!$B$9="","",J5*J6/SUMPRODUCT($B$5:$M$5,$B$6:$M$6)),"")</f>
        <v>0.09525303689094089</v>
      </c>
      <c r="K7" s="72">
        <f>IFERROR(IF('3-Year P&amp;L'!$B$9="","",K5*K6/SUMPRODUCT($B$5:$M$5,$B$6:$M$6)),"")</f>
        <v>0.10085615670805505</v>
      </c>
      <c r="L7" s="72">
        <f>IFERROR(IF('3-Year P&amp;L'!$B$9="","",L5*L6/SUMPRODUCT($B$5:$M$5,$B$6:$M$6)),"")</f>
        <v>0.09525303689094089</v>
      </c>
      <c r="M7" s="72">
        <f>IFERROR(IF('3-Year P&amp;L'!$B$9="","",M5*M6/SUMPRODUCT($B$5:$M$5,$B$6:$M$6)),"")</f>
        <v>0.11990676408624323</v>
      </c>
      <c r="N7" s="72">
        <f>IFERROR(IF('3-Year P&amp;L'!$B$9="","",SUM(B7:M7)),"")</f>
        <v>1.0</v>
      </c>
      <c r="O7" s="32" t="inlineStr">
        <is>
          <t>Seasonality × ramp-up, normalized to 100%: the YEAR brings in what the P&amp;L says, but split the way a business that has just opened would split it</t>
        </is>
      </c>
    </row>
    <row r="8">
      <c r="A8" s="29" t="inlineStr">
        <is>
          <t>CASH IN</t>
        </is>
      </c>
      <c r="B8" s="32" t="n"/>
      <c r="C8" s="32" t="n"/>
      <c r="D8" s="32" t="n"/>
      <c r="E8" s="32" t="n"/>
      <c r="F8" s="32" t="n"/>
      <c r="G8" s="32" t="n"/>
      <c r="H8" s="32" t="n"/>
      <c r="I8" s="32" t="n"/>
      <c r="J8" s="32" t="n"/>
      <c r="K8" s="32" t="n"/>
      <c r="L8" s="32" t="n"/>
      <c r="M8" s="32" t="n"/>
      <c r="N8" s="32" t="n"/>
      <c r="O8" s="32" t="n"/>
    </row>
    <row r="9">
      <c r="A9" s="32" t="inlineStr">
        <is>
          <t>Sales collected (incl. sales tax collected)</t>
        </is>
      </c>
      <c r="B9" s="44">
        <f>IFERROR(IF('3-Year P&amp;L'!$B$9="","",('3-Year P&amp;L'!$B$9+'3-Year P&amp;L'!$B$9*SUMPRODUCT('3-Year P&amp;L'!$E$10:$E$11,'3-Year P&amp;L'!$G$10:$G$11))*B7*(1-MIN(30,'0. Assumptions'!$B$58)/30)),"")</f>
        <v>26171.219575059396</v>
      </c>
      <c r="C9" s="44">
        <f>IFERROR(IF('3-Year P&amp;L'!$B$9="","",('3-Year P&amp;L'!$B$9+'3-Year P&amp;L'!$B$9*SUMPRODUCT('3-Year P&amp;L'!$E$10:$E$11,'3-Year P&amp;L'!$G$10:$G$11))*(C7*(1-MIN(30,'0. Assumptions'!$B$58)/30)+B7*MIN(30,'0. Assumptions'!$B$58)/30)),"")</f>
        <v>31356.238625666778</v>
      </c>
      <c r="D9" s="44">
        <f>IFERROR(IF('3-Year P&amp;L'!$B$9="","",('3-Year P&amp;L'!$B$9+'3-Year P&amp;L'!$B$9*SUMPRODUCT('3-Year P&amp;L'!$E$10:$E$11,'3-Year P&amp;L'!$G$10:$G$11))*(D7*(1-MIN(30,'0. Assumptions'!$B$58)/30)+C7*MIN(30,'0. Assumptions'!$B$58)/30)),"")</f>
        <v>40417.989219597475</v>
      </c>
      <c r="E9" s="44">
        <f>IFERROR(IF('3-Year P&amp;L'!$B$9="","",('3-Year P&amp;L'!$B$9+'3-Year P&amp;L'!$B$9*SUMPRODUCT('3-Year P&amp;L'!$E$10:$E$11,'3-Year P&amp;L'!$G$10:$G$11))*(E7*(1-MIN(30,'0. Assumptions'!$B$58)/30)+D7*MIN(30,'0. Assumptions'!$B$58)/30)),"")</f>
        <v>47139.699148325795</v>
      </c>
      <c r="F9" s="44">
        <f>IFERROR(IF('3-Year P&amp;L'!$B$9="","",('3-Year P&amp;L'!$B$9+'3-Year P&amp;L'!$B$9*SUMPRODUCT('3-Year P&amp;L'!$E$10:$E$11,'3-Year P&amp;L'!$G$10:$G$11))*(F7*(1-MIN(30,'0. Assumptions'!$B$58)/30)+E7*MIN(30,'0. Assumptions'!$B$58)/30)),"")</f>
        <v>53540.46296113677</v>
      </c>
      <c r="G9" s="44">
        <f>IFERROR(IF('3-Year P&amp;L'!$B$9="","",('3-Year P&amp;L'!$B$9+'3-Year P&amp;L'!$B$9*SUMPRODUCT('3-Year P&amp;L'!$E$10:$E$11,'3-Year P&amp;L'!$G$10:$G$11))*(G7*(1-MIN(30,'0. Assumptions'!$B$58)/30)+F7*MIN(30,'0. Assumptions'!$B$58)/30)),"")</f>
        <v>55720.358734143185</v>
      </c>
      <c r="H9" s="44">
        <f>IFERROR(IF('3-Year P&amp;L'!$B$9="","",('3-Year P&amp;L'!$B$9+'3-Year P&amp;L'!$B$9*SUMPRODUCT('3-Year P&amp;L'!$E$10:$E$11,'3-Year P&amp;L'!$G$10:$G$11))*(H7*(1-MIN(30,'0. Assumptions'!$B$58)/30)+G7*MIN(30,'0. Assumptions'!$B$58)/30)),"")</f>
        <v>49443.64157963154</v>
      </c>
      <c r="I9" s="44">
        <f>IFERROR(IF('3-Year P&amp;L'!$B$9="","",('3-Year P&amp;L'!$B$9+'3-Year P&amp;L'!$B$9*SUMPRODUCT('3-Year P&amp;L'!$E$10:$E$11,'3-Year P&amp;L'!$G$10:$G$11))*(I7*(1-MIN(30,'0. Assumptions'!$B$58)/30)+H7*MIN(30,'0. Assumptions'!$B$58)/30)),"")</f>
        <v>39708.05728629701</v>
      </c>
      <c r="J9" s="44">
        <f>IFERROR(IF('3-Year P&amp;L'!$B$9="","",('3-Year P&amp;L'!$B$9+'3-Year P&amp;L'!$B$9*SUMPRODUCT('3-Year P&amp;L'!$E$10:$E$11,'3-Year P&amp;L'!$G$10:$G$11))*(J7*(1-MIN(30,'0. Assumptions'!$B$58)/30)+I7*MIN(30,'0. Assumptions'!$B$58)/30)),"")</f>
        <v>55241.236720606044</v>
      </c>
      <c r="K9" s="44">
        <f>IFERROR(IF('3-Year P&amp;L'!$B$9="","",('3-Year P&amp;L'!$B$9+'3-Year P&amp;L'!$B$9*SUMPRODUCT('3-Year P&amp;L'!$E$10:$E$11,'3-Year P&amp;L'!$G$10:$G$11))*(K7*(1-MIN(30,'0. Assumptions'!$B$58)/30)+J7*MIN(30,'0. Assumptions'!$B$58)/30)),"")</f>
        <v>58960.44869783495</v>
      </c>
      <c r="L9" s="44">
        <f>IFERROR(IF('3-Year P&amp;L'!$B$9="","",('3-Year P&amp;L'!$B$9+'3-Year P&amp;L'!$B$9*SUMPRODUCT('3-Year P&amp;L'!$E$10:$E$11,'3-Year P&amp;L'!$G$10:$G$11))*(L7*(1-MIN(30,'0. Assumptions'!$B$58)/30)+K7*MIN(30,'0. Assumptions'!$B$58)/30)),"")</f>
        <v>55897.568245999384</v>
      </c>
      <c r="M9" s="44">
        <f>IFERROR(IF('3-Year P&amp;L'!$B$9="","",('3-Year P&amp;L'!$B$9+'3-Year P&amp;L'!$B$9*SUMPRODUCT('3-Year P&amp;L'!$E$10:$E$11,'3-Year P&amp;L'!$G$10:$G$11))*(M7*(1-MIN(30,'0. Assumptions'!$B$58)/30)+L7*MIN(30,'0. Assumptions'!$B$58)/30)),"")</f>
        <v>69746.16343179884</v>
      </c>
      <c r="N9" s="44">
        <f>IFERROR(IF('3-Year P&amp;L'!$B$9="","",SUM(B9:M9)),"")</f>
        <v>583343.0842260972</v>
      </c>
      <c r="O9" s="32" t="inlineStr">
        <is>
          <t>The month's sales plus the sales tax collected, adjusted by the average collection days from the Assumptions tab</t>
        </is>
      </c>
    </row>
    <row r="10">
      <c r="A10" s="29" t="inlineStr">
        <is>
          <t>CASH OUT</t>
        </is>
      </c>
      <c r="B10" s="32" t="n"/>
      <c r="C10" s="32" t="n"/>
      <c r="D10" s="32" t="n"/>
      <c r="E10" s="32" t="n"/>
      <c r="F10" s="32" t="n"/>
      <c r="G10" s="32" t="n"/>
      <c r="H10" s="32" t="n"/>
      <c r="I10" s="32" t="n"/>
      <c r="J10" s="32" t="n"/>
      <c r="K10" s="32" t="n"/>
      <c r="L10" s="32" t="n"/>
      <c r="M10" s="32" t="n"/>
      <c r="N10" s="32" t="n"/>
      <c r="O10" s="32" t="n"/>
    </row>
    <row r="11">
      <c r="A11" s="32" t="inlineStr">
        <is>
          <t>Purchases and variable costs (incl. sales tax)</t>
        </is>
      </c>
      <c r="B11" s="44">
        <f>IFERROR(IF('3-Year P&amp;L'!$B$9="","",-('3-Year P&amp;L'!$B$13*(1+'3-Year P&amp;L'!$G$13)+'3-Year P&amp;L'!$B$14*(1+'3-Year P&amp;L'!$G$14)+'3-Year P&amp;L'!$B$15*(1+'3-Year P&amp;L'!$G$15)+'3-Year P&amp;L'!$B$16*(1+'3-Year P&amp;L'!$G$16)+'3-Year P&amp;L'!$B$17*(1+'3-Year P&amp;L'!$G$17)+'3-Year P&amp;L'!$B$18*(1+'3-Year P&amp;L'!$G$18))*B7*(1-MIN(30,'0. Assumptions'!$B$59)/30)),"")</f>
        <v>-4674.052803801157</v>
      </c>
      <c r="C11" s="44">
        <f>IFERROR(IF('3-Year P&amp;L'!$B$9="","",-('3-Year P&amp;L'!$B$13*(1+'3-Year P&amp;L'!$G$13)+'3-Year P&amp;L'!$B$14*(1+'3-Year P&amp;L'!$G$14)+'3-Year P&amp;L'!$B$15*(1+'3-Year P&amp;L'!$G$15)+'3-Year P&amp;L'!$B$16*(1+'3-Year P&amp;L'!$G$16)+'3-Year P&amp;L'!$B$17*(1+'3-Year P&amp;L'!$G$17)+'3-Year P&amp;L'!$B$18*(1+'3-Year P&amp;L'!$G$18))*(C7*(1-MIN(30,'0. Assumptions'!$B$59)/30)+B7*MIN(30,'0. Assumptions'!$B$59)/30)),"")</f>
        <v>-9528.694011385542</v>
      </c>
      <c r="D11" s="44">
        <f>IFERROR(IF('3-Year P&amp;L'!$B$9="","",-('3-Year P&amp;L'!$B$13*(1+'3-Year P&amp;L'!$G$13)+'3-Year P&amp;L'!$B$14*(1+'3-Year P&amp;L'!$G$14)+'3-Year P&amp;L'!$B$15*(1+'3-Year P&amp;L'!$G$15)+'3-Year P&amp;L'!$B$16*(1+'3-Year P&amp;L'!$G$16)+'3-Year P&amp;L'!$B$17*(1+'3-Year P&amp;L'!$G$17)+'3-Year P&amp;L'!$B$18*(1+'3-Year P&amp;L'!$G$18))*(D7*(1-MIN(30,'0. Assumptions'!$B$59)/30)+C7*MIN(30,'0. Assumptions'!$B$59)/30)),"")</f>
        <v>-11789.944102679041</v>
      </c>
      <c r="E11" s="44">
        <f>IFERROR(IF('3-Year P&amp;L'!$B$9="","",-('3-Year P&amp;L'!$B$13*(1+'3-Year P&amp;L'!$G$13)+'3-Year P&amp;L'!$B$14*(1+'3-Year P&amp;L'!$G$14)+'3-Year P&amp;L'!$B$15*(1+'3-Year P&amp;L'!$G$15)+'3-Year P&amp;L'!$B$16*(1+'3-Year P&amp;L'!$G$16)+'3-Year P&amp;L'!$B$17*(1+'3-Year P&amp;L'!$G$17)+'3-Year P&amp;L'!$B$18*(1+'3-Year P&amp;L'!$G$18))*(E7*(1-MIN(30,'0. Assumptions'!$B$59)/30)+D7*MIN(30,'0. Assumptions'!$B$59)/30)),"")</f>
        <v>-14328.521326998074</v>
      </c>
      <c r="F11" s="44">
        <f>IFERROR(IF('3-Year P&amp;L'!$B$9="","",-('3-Year P&amp;L'!$B$13*(1+'3-Year P&amp;L'!$G$13)+'3-Year P&amp;L'!$B$14*(1+'3-Year P&amp;L'!$G$14)+'3-Year P&amp;L'!$B$15*(1+'3-Year P&amp;L'!$G$15)+'3-Year P&amp;L'!$B$16*(1+'3-Year P&amp;L'!$G$16)+'3-Year P&amp;L'!$B$17*(1+'3-Year P&amp;L'!$G$17)+'3-Year P&amp;L'!$B$18*(1+'3-Year P&amp;L'!$G$18))*(F7*(1-MIN(30,'0. Assumptions'!$B$59)/30)+E7*MIN(30,'0. Assumptions'!$B$59)/30)),"")</f>
        <v>-16434.536210019873</v>
      </c>
      <c r="G11" s="44">
        <f>IFERROR(IF('3-Year P&amp;L'!$B$9="","",-('3-Year P&amp;L'!$B$13*(1+'3-Year P&amp;L'!$G$13)+'3-Year P&amp;L'!$B$14*(1+'3-Year P&amp;L'!$G$14)+'3-Year P&amp;L'!$B$15*(1+'3-Year P&amp;L'!$G$15)+'3-Year P&amp;L'!$B$16*(1+'3-Year P&amp;L'!$G$16)+'3-Year P&amp;L'!$B$17*(1+'3-Year P&amp;L'!$G$17)+'3-Year P&amp;L'!$B$18*(1+'3-Year P&amp;L'!$G$18))*(G7*(1-MIN(30,'0. Assumptions'!$B$59)/30)+F7*MIN(30,'0. Assumptions'!$B$59)/30)),"")</f>
        <v>-17751.48599698179</v>
      </c>
      <c r="H11" s="44">
        <f>IFERROR(IF('3-Year P&amp;L'!$B$9="","",-('3-Year P&amp;L'!$B$13*(1+'3-Year P&amp;L'!$G$13)+'3-Year P&amp;L'!$B$14*(1+'3-Year P&amp;L'!$G$14)+'3-Year P&amp;L'!$B$15*(1+'3-Year P&amp;L'!$G$15)+'3-Year P&amp;L'!$B$16*(1+'3-Year P&amp;L'!$G$16)+'3-Year P&amp;L'!$B$17*(1+'3-Year P&amp;L'!$G$17)+'3-Year P&amp;L'!$B$18*(1+'3-Year P&amp;L'!$G$18))*(H7*(1-MIN(30,'0. Assumptions'!$B$59)/30)+G7*MIN(30,'0. Assumptions'!$B$59)/30)),"")</f>
        <v>-16925.736668310252</v>
      </c>
      <c r="I11" s="44">
        <f>IFERROR(IF('3-Year P&amp;L'!$B$9="","",-('3-Year P&amp;L'!$B$13*(1+'3-Year P&amp;L'!$G$13)+'3-Year P&amp;L'!$B$14*(1+'3-Year P&amp;L'!$G$14)+'3-Year P&amp;L'!$B$15*(1+'3-Year P&amp;L'!$G$15)+'3-Year P&amp;L'!$B$16*(1+'3-Year P&amp;L'!$G$16)+'3-Year P&amp;L'!$B$17*(1+'3-Year P&amp;L'!$G$17)+'3-Year P&amp;L'!$B$18*(1+'3-Year P&amp;L'!$G$18))*(I7*(1-MIN(30,'0. Assumptions'!$B$59)/30)+H7*MIN(30,'0. Assumptions'!$B$59)/30)),"")</f>
        <v>-14234.615357030798</v>
      </c>
      <c r="J11" s="44">
        <f>IFERROR(IF('3-Year P&amp;L'!$B$9="","",-('3-Year P&amp;L'!$B$13*(1+'3-Year P&amp;L'!$G$13)+'3-Year P&amp;L'!$B$14*(1+'3-Year P&amp;L'!$G$14)+'3-Year P&amp;L'!$B$15*(1+'3-Year P&amp;L'!$G$15)+'3-Year P&amp;L'!$B$16*(1+'3-Year P&amp;L'!$G$16)+'3-Year P&amp;L'!$B$17*(1+'3-Year P&amp;L'!$G$17)+'3-Year P&amp;L'!$B$18*(1+'3-Year P&amp;L'!$G$18))*(J7*(1-MIN(30,'0. Assumptions'!$B$59)/30)+I7*MIN(30,'0. Assumptions'!$B$59)/30)),"")</f>
        <v>-15580.176012670523</v>
      </c>
      <c r="K11" s="44">
        <f>IFERROR(IF('3-Year P&amp;L'!$B$9="","",-('3-Year P&amp;L'!$B$13*(1+'3-Year P&amp;L'!$G$13)+'3-Year P&amp;L'!$B$14*(1+'3-Year P&amp;L'!$G$14)+'3-Year P&amp;L'!$B$15*(1+'3-Year P&amp;L'!$G$15)+'3-Year P&amp;L'!$B$16*(1+'3-Year P&amp;L'!$G$16)+'3-Year P&amp;L'!$B$17*(1+'3-Year P&amp;L'!$G$17)+'3-Year P&amp;L'!$B$18*(1+'3-Year P&amp;L'!$G$18))*(K7*(1-MIN(30,'0. Assumptions'!$B$59)/30)+J7*MIN(30,'0. Assumptions'!$B$59)/30)),"")</f>
        <v>-18625.392233328854</v>
      </c>
      <c r="L11" s="44">
        <f>IFERROR(IF('3-Year P&amp;L'!$B$9="","",-('3-Year P&amp;L'!$B$13*(1+'3-Year P&amp;L'!$G$13)+'3-Year P&amp;L'!$B$14*(1+'3-Year P&amp;L'!$G$14)+'3-Year P&amp;L'!$B$15*(1+'3-Year P&amp;L'!$G$15)+'3-Year P&amp;L'!$B$16*(1+'3-Year P&amp;L'!$G$16)+'3-Year P&amp;L'!$B$17*(1+'3-Year P&amp;L'!$G$17)+'3-Year P&amp;L'!$B$18*(1+'3-Year P&amp;L'!$G$18))*(L7*(1-MIN(30,'0. Assumptions'!$B$59)/30)+K7*MIN(30,'0. Assumptions'!$B$59)/30)),"")</f>
        <v>-18554.57325145308</v>
      </c>
      <c r="M11" s="44">
        <f>IFERROR(IF('3-Year P&amp;L'!$B$9="","",-('3-Year P&amp;L'!$B$13*(1+'3-Year P&amp;L'!$G$13)+'3-Year P&amp;L'!$B$14*(1+'3-Year P&amp;L'!$G$14)+'3-Year P&amp;L'!$B$15*(1+'3-Year P&amp;L'!$G$15)+'3-Year P&amp;L'!$B$16*(1+'3-Year P&amp;L'!$G$16)+'3-Year P&amp;L'!$B$17*(1+'3-Year P&amp;L'!$G$17)+'3-Year P&amp;L'!$B$18*(1+'3-Year P&amp;L'!$G$18))*(M7*(1-MIN(30,'0. Assumptions'!$B$59)/30)+L7*MIN(30,'0. Assumptions'!$B$59)/30)),"")</f>
        <v>-20551.66854034994</v>
      </c>
      <c r="N11" s="44">
        <f>IFERROR(IF('3-Year P&amp;L'!$B$9="","",SUM(B11:M11)),"")</f>
        <v>-178979.3965150089</v>
      </c>
      <c r="O11" s="32"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32" t="inlineStr">
        <is>
          <t>Operating fixed costs (incl. sales tax)</t>
        </is>
      </c>
      <c r="B12" s="44">
        <f>IFERROR(IF('3-Year P&amp;L'!$B$9="","",-('3-Year P&amp;L'!$B$37-'3-Year P&amp;L'!$B$23-'3-Year P&amp;L'!$B$35-'3-Year P&amp;L'!$B$36+'3-Year P&amp;L'!$B$39)/12),"")</f>
        <v>-7516.666666666667</v>
      </c>
      <c r="C12" s="44">
        <f>IFERROR(IF('3-Year P&amp;L'!$B$9="","",-('3-Year P&amp;L'!$B$37-'3-Year P&amp;L'!$B$23-'3-Year P&amp;L'!$B$35-'3-Year P&amp;L'!$B$36+'3-Year P&amp;L'!$B$39)/12),"")</f>
        <v>-7516.666666666667</v>
      </c>
      <c r="D12" s="44">
        <f>IFERROR(IF('3-Year P&amp;L'!$B$9="","",-('3-Year P&amp;L'!$B$37-'3-Year P&amp;L'!$B$23-'3-Year P&amp;L'!$B$35-'3-Year P&amp;L'!$B$36+'3-Year P&amp;L'!$B$39)/12),"")</f>
        <v>-7516.666666666667</v>
      </c>
      <c r="E12" s="44">
        <f>IFERROR(IF('3-Year P&amp;L'!$B$9="","",-('3-Year P&amp;L'!$B$37-'3-Year P&amp;L'!$B$23-'3-Year P&amp;L'!$B$35-'3-Year P&amp;L'!$B$36+'3-Year P&amp;L'!$B$39)/12),"")</f>
        <v>-7516.666666666667</v>
      </c>
      <c r="F12" s="44">
        <f>IFERROR(IF('3-Year P&amp;L'!$B$9="","",-('3-Year P&amp;L'!$B$37-'3-Year P&amp;L'!$B$23-'3-Year P&amp;L'!$B$35-'3-Year P&amp;L'!$B$36+'3-Year P&amp;L'!$B$39)/12),"")</f>
        <v>-7516.666666666667</v>
      </c>
      <c r="G12" s="44">
        <f>IFERROR(IF('3-Year P&amp;L'!$B$9="","",-('3-Year P&amp;L'!$B$37-'3-Year P&amp;L'!$B$23-'3-Year P&amp;L'!$B$35-'3-Year P&amp;L'!$B$36+'3-Year P&amp;L'!$B$39)/12),"")</f>
        <v>-7516.666666666667</v>
      </c>
      <c r="H12" s="44">
        <f>IFERROR(IF('3-Year P&amp;L'!$B$9="","",-('3-Year P&amp;L'!$B$37-'3-Year P&amp;L'!$B$23-'3-Year P&amp;L'!$B$35-'3-Year P&amp;L'!$B$36+'3-Year P&amp;L'!$B$39)/12),"")</f>
        <v>-7516.666666666667</v>
      </c>
      <c r="I12" s="44">
        <f>IFERROR(IF('3-Year P&amp;L'!$B$9="","",-('3-Year P&amp;L'!$B$37-'3-Year P&amp;L'!$B$23-'3-Year P&amp;L'!$B$35-'3-Year P&amp;L'!$B$36+'3-Year P&amp;L'!$B$39)/12),"")</f>
        <v>-7516.666666666667</v>
      </c>
      <c r="J12" s="44">
        <f>IFERROR(IF('3-Year P&amp;L'!$B$9="","",-('3-Year P&amp;L'!$B$37-'3-Year P&amp;L'!$B$23-'3-Year P&amp;L'!$B$35-'3-Year P&amp;L'!$B$36+'3-Year P&amp;L'!$B$39)/12),"")</f>
        <v>-7516.666666666667</v>
      </c>
      <c r="K12" s="44">
        <f>IFERROR(IF('3-Year P&amp;L'!$B$9="","",-('3-Year P&amp;L'!$B$37-'3-Year P&amp;L'!$B$23-'3-Year P&amp;L'!$B$35-'3-Year P&amp;L'!$B$36+'3-Year P&amp;L'!$B$39)/12),"")</f>
        <v>-7516.666666666667</v>
      </c>
      <c r="L12" s="44">
        <f>IFERROR(IF('3-Year P&amp;L'!$B$9="","",-('3-Year P&amp;L'!$B$37-'3-Year P&amp;L'!$B$23-'3-Year P&amp;L'!$B$35-'3-Year P&amp;L'!$B$36+'3-Year P&amp;L'!$B$39)/12),"")</f>
        <v>-7516.666666666667</v>
      </c>
      <c r="M12" s="44">
        <f>IFERROR(IF('3-Year P&amp;L'!$B$9="","",-('3-Year P&amp;L'!$B$37-'3-Year P&amp;L'!$B$23-'3-Year P&amp;L'!$B$35-'3-Year P&amp;L'!$B$36+'3-Year P&amp;L'!$B$39)/12),"")</f>
        <v>-7516.666666666667</v>
      </c>
      <c r="N12" s="44">
        <f>IFERROR(IF('3-Year P&amp;L'!$B$9="","",SUM(B12:M12)),"")</f>
        <v>-90200.0</v>
      </c>
      <c r="O12" s="32" t="inlineStr">
        <is>
          <t>The fixed costs that leave cash, each with its own tax rate: insurance carries none</t>
        </is>
      </c>
    </row>
    <row r="13">
      <c r="A13" s="32" t="inlineStr">
        <is>
          <t>Payroll and employer payroll taxes</t>
        </is>
      </c>
      <c r="B13" s="44">
        <f>IFERROR(IF('3-Year P&amp;L'!$B$9="","",-'3-Year P&amp;L'!$B$23/MAX(12,'0. Assumptions'!$B$21)*(1+IF(1='0. Assumptions'!$B$60,(MAX(12,'0. Assumptions'!$B$21)-12)/2,0)+IF(1='0. Assumptions'!$B$61,(MAX(12,'0. Assumptions'!$B$21)-12)/2,0))),"")</f>
        <v>-14078.9</v>
      </c>
      <c r="C13" s="44">
        <f>IFERROR(IF('3-Year P&amp;L'!$B$9="","",-'3-Year P&amp;L'!$B$23/MAX(12,'0. Assumptions'!$B$21)*(1+IF(2='0. Assumptions'!$B$60,(MAX(12,'0. Assumptions'!$B$21)-12)/2,0)+IF(2='0. Assumptions'!$B$61,(MAX(12,'0. Assumptions'!$B$21)-12)/2,0))),"")</f>
        <v>-14078.9</v>
      </c>
      <c r="D13" s="44">
        <f>IFERROR(IF('3-Year P&amp;L'!$B$9="","",-'3-Year P&amp;L'!$B$23/MAX(12,'0. Assumptions'!$B$21)*(1+IF(3='0. Assumptions'!$B$60,(MAX(12,'0. Assumptions'!$B$21)-12)/2,0)+IF(3='0. Assumptions'!$B$61,(MAX(12,'0. Assumptions'!$B$21)-12)/2,0))),"")</f>
        <v>-14078.9</v>
      </c>
      <c r="E13" s="44">
        <f>IFERROR(IF('3-Year P&amp;L'!$B$9="","",-'3-Year P&amp;L'!$B$23/MAX(12,'0. Assumptions'!$B$21)*(1+IF(4='0. Assumptions'!$B$60,(MAX(12,'0. Assumptions'!$B$21)-12)/2,0)+IF(4='0. Assumptions'!$B$61,(MAX(12,'0. Assumptions'!$B$21)-12)/2,0))),"")</f>
        <v>-14078.9</v>
      </c>
      <c r="F13" s="44">
        <f>IFERROR(IF('3-Year P&amp;L'!$B$9="","",-'3-Year P&amp;L'!$B$23/MAX(12,'0. Assumptions'!$B$21)*(1+IF(5='0. Assumptions'!$B$60,(MAX(12,'0. Assumptions'!$B$21)-12)/2,0)+IF(5='0. Assumptions'!$B$61,(MAX(12,'0. Assumptions'!$B$21)-12)/2,0))),"")</f>
        <v>-14078.9</v>
      </c>
      <c r="G13" s="44">
        <f>IFERROR(IF('3-Year P&amp;L'!$B$9="","",-'3-Year P&amp;L'!$B$23/MAX(12,'0. Assumptions'!$B$21)*(1+IF(6='0. Assumptions'!$B$60,(MAX(12,'0. Assumptions'!$B$21)-12)/2,0)+IF(6='0. Assumptions'!$B$61,(MAX(12,'0. Assumptions'!$B$21)-12)/2,0))),"")</f>
        <v>-14078.9</v>
      </c>
      <c r="H13" s="44">
        <f>IFERROR(IF('3-Year P&amp;L'!$B$9="","",-'3-Year P&amp;L'!$B$23/MAX(12,'0. Assumptions'!$B$21)*(1+IF(7='0. Assumptions'!$B$60,(MAX(12,'0. Assumptions'!$B$21)-12)/2,0)+IF(7='0. Assumptions'!$B$61,(MAX(12,'0. Assumptions'!$B$21)-12)/2,0))),"")</f>
        <v>-14078.9</v>
      </c>
      <c r="I13" s="44">
        <f>IFERROR(IF('3-Year P&amp;L'!$B$9="","",-'3-Year P&amp;L'!$B$23/MAX(12,'0. Assumptions'!$B$21)*(1+IF(8='0. Assumptions'!$B$60,(MAX(12,'0. Assumptions'!$B$21)-12)/2,0)+IF(8='0. Assumptions'!$B$61,(MAX(12,'0. Assumptions'!$B$21)-12)/2,0))),"")</f>
        <v>-14078.9</v>
      </c>
      <c r="J13" s="44">
        <f>IFERROR(IF('3-Year P&amp;L'!$B$9="","",-'3-Year P&amp;L'!$B$23/MAX(12,'0. Assumptions'!$B$21)*(1+IF(9='0. Assumptions'!$B$60,(MAX(12,'0. Assumptions'!$B$21)-12)/2,0)+IF(9='0. Assumptions'!$B$61,(MAX(12,'0. Assumptions'!$B$21)-12)/2,0))),"")</f>
        <v>-14078.9</v>
      </c>
      <c r="K13" s="44">
        <f>IFERROR(IF('3-Year P&amp;L'!$B$9="","",-'3-Year P&amp;L'!$B$23/MAX(12,'0. Assumptions'!$B$21)*(1+IF(10='0. Assumptions'!$B$60,(MAX(12,'0. Assumptions'!$B$21)-12)/2,0)+IF(10='0. Assumptions'!$B$61,(MAX(12,'0. Assumptions'!$B$21)-12)/2,0))),"")</f>
        <v>-14078.9</v>
      </c>
      <c r="L13" s="44">
        <f>IFERROR(IF('3-Year P&amp;L'!$B$9="","",-'3-Year P&amp;L'!$B$23/MAX(12,'0. Assumptions'!$B$21)*(1+IF(11='0. Assumptions'!$B$60,(MAX(12,'0. Assumptions'!$B$21)-12)/2,0)+IF(11='0. Assumptions'!$B$61,(MAX(12,'0. Assumptions'!$B$21)-12)/2,0))),"")</f>
        <v>-14078.9</v>
      </c>
      <c r="M13" s="44">
        <f>IFERROR(IF('3-Year P&amp;L'!$B$9="","",-'3-Year P&amp;L'!$B$23/MAX(12,'0. Assumptions'!$B$21)*(1+IF(12='0. Assumptions'!$B$60,(MAX(12,'0. Assumptions'!$B$21)-12)/2,0)+IF(12='0. Assumptions'!$B$61,(MAX(12,'0. Assumptions'!$B$21)-12)/2,0))),"")</f>
        <v>-14078.9</v>
      </c>
      <c r="N13" s="44">
        <f>IFERROR(IF('3-Year P&amp;L'!$B$9="","",SUM(B13:M13)),"")</f>
        <v>-168946.8</v>
      </c>
      <c r="O13" s="32" t="inlineStr">
        <is>
          <t>Twelve monthly installments plus extra pay periods in the months you set in Assumptions (only if pay periods &gt; 12). The total for the year is the same as the P&amp;L's</t>
        </is>
      </c>
    </row>
    <row r="14">
      <c r="A14" s="32" t="inlineStr">
        <is>
          <t>Loan interest</t>
        </is>
      </c>
      <c r="B14" s="44">
        <f>IFERROR(IF('3-Year P&amp;L'!$B$9="","",-Financing!$B$44/12),"")</f>
        <v>-1700.0</v>
      </c>
      <c r="C14" s="44">
        <f>IFERROR(IF('3-Year P&amp;L'!$B$9="","",-Financing!$B$44/12),"")</f>
        <v>-1700.0</v>
      </c>
      <c r="D14" s="44">
        <f>IFERROR(IF('3-Year P&amp;L'!$B$9="","",-Financing!$B$44/12),"")</f>
        <v>-1700.0</v>
      </c>
      <c r="E14" s="44">
        <f>IFERROR(IF('3-Year P&amp;L'!$B$9="","",-Financing!$B$44/12),"")</f>
        <v>-1700.0</v>
      </c>
      <c r="F14" s="44">
        <f>IFERROR(IF('3-Year P&amp;L'!$B$9="","",-Financing!$B$44/12),"")</f>
        <v>-1700.0</v>
      </c>
      <c r="G14" s="44">
        <f>IFERROR(IF('3-Year P&amp;L'!$B$9="","",-Financing!$B$44/12),"")</f>
        <v>-1700.0</v>
      </c>
      <c r="H14" s="44">
        <f>IFERROR(IF('3-Year P&amp;L'!$B$9="","",-Financing!$B$44/12),"")</f>
        <v>-1700.0</v>
      </c>
      <c r="I14" s="44">
        <f>IFERROR(IF('3-Year P&amp;L'!$B$9="","",-Financing!$B$44/12),"")</f>
        <v>-1700.0</v>
      </c>
      <c r="J14" s="44">
        <f>IFERROR(IF('3-Year P&amp;L'!$B$9="","",-Financing!$B$44/12),"")</f>
        <v>-1700.0</v>
      </c>
      <c r="K14" s="44">
        <f>IFERROR(IF('3-Year P&amp;L'!$B$9="","",-Financing!$B$44/12),"")</f>
        <v>-1700.0</v>
      </c>
      <c r="L14" s="44">
        <f>IFERROR(IF('3-Year P&amp;L'!$B$9="","",-Financing!$B$44/12),"")</f>
        <v>-1700.0</v>
      </c>
      <c r="M14" s="44">
        <f>IFERROR(IF('3-Year P&amp;L'!$B$9="","",-Financing!$B$44/12),"")</f>
        <v>-1700.0</v>
      </c>
      <c r="N14" s="44">
        <f>IFERROR(IF('3-Year P&amp;L'!$B$9="","",SUM(B14:M14)),"")</f>
        <v>-20400.0</v>
      </c>
      <c r="O14" s="32" t="n"/>
    </row>
    <row r="15">
      <c r="A15" s="32" t="inlineStr">
        <is>
          <t>Loan principal repaid</t>
        </is>
      </c>
      <c r="B15" s="44">
        <f>IFERROR(IF('3-Year P&amp;L'!$B$9="","",-Financing!$B$45/12),"")</f>
        <v>-1066.6717130026962</v>
      </c>
      <c r="C15" s="44">
        <f>IFERROR(IF('3-Year P&amp;L'!$B$9="","",-Financing!$B$45/12),"")</f>
        <v>-1066.6717130026962</v>
      </c>
      <c r="D15" s="44">
        <f>IFERROR(IF('3-Year P&amp;L'!$B$9="","",-Financing!$B$45/12),"")</f>
        <v>-1066.6717130026962</v>
      </c>
      <c r="E15" s="44">
        <f>IFERROR(IF('3-Year P&amp;L'!$B$9="","",-Financing!$B$45/12),"")</f>
        <v>-1066.6717130026962</v>
      </c>
      <c r="F15" s="44">
        <f>IFERROR(IF('3-Year P&amp;L'!$B$9="","",-Financing!$B$45/12),"")</f>
        <v>-1066.6717130026962</v>
      </c>
      <c r="G15" s="44">
        <f>IFERROR(IF('3-Year P&amp;L'!$B$9="","",-Financing!$B$45/12),"")</f>
        <v>-1066.6717130026962</v>
      </c>
      <c r="H15" s="44">
        <f>IFERROR(IF('3-Year P&amp;L'!$B$9="","",-Financing!$B$45/12),"")</f>
        <v>-1066.6717130026962</v>
      </c>
      <c r="I15" s="44">
        <f>IFERROR(IF('3-Year P&amp;L'!$B$9="","",-Financing!$B$45/12),"")</f>
        <v>-1066.6717130026962</v>
      </c>
      <c r="J15" s="44">
        <f>IFERROR(IF('3-Year P&amp;L'!$B$9="","",-Financing!$B$45/12),"")</f>
        <v>-1066.6717130026962</v>
      </c>
      <c r="K15" s="44">
        <f>IFERROR(IF('3-Year P&amp;L'!$B$9="","",-Financing!$B$45/12),"")</f>
        <v>-1066.6717130026962</v>
      </c>
      <c r="L15" s="44">
        <f>IFERROR(IF('3-Year P&amp;L'!$B$9="","",-Financing!$B$45/12),"")</f>
        <v>-1066.6717130026962</v>
      </c>
      <c r="M15" s="44">
        <f>IFERROR(IF('3-Year P&amp;L'!$B$9="","",-Financing!$B$45/12),"")</f>
        <v>-1066.6717130026962</v>
      </c>
      <c r="N15" s="44">
        <f>IFERROR(IF('3-Year P&amp;L'!$B$9="","",SUM(B15:M15)),"")</f>
        <v>-12800.060556032353</v>
      </c>
      <c r="O15" s="32" t="n"/>
    </row>
    <row r="16">
      <c r="A16" s="32" t="inlineStr">
        <is>
          <t>Sales tax collected (memo)</t>
        </is>
      </c>
      <c r="B16" s="44">
        <f>IFERROR(IF('3-Year P&amp;L'!$B$9="","",'3-Year P&amp;L'!$B$9*B7*SUMPRODUCT('3-Year P&amp;L'!$E$10:$E$11,'3-Year P&amp;L'!$G$10:$G$11)),"")</f>
        <v>2005.4574387018695</v>
      </c>
      <c r="C16" s="44">
        <f>IFERROR(IF('3-Year P&amp;L'!$B$9="","",'3-Year P&amp;L'!$B$9*C7*SUMPRODUCT('3-Year P&amp;L'!$E$10:$E$11,'3-Year P&amp;L'!$G$10:$G$11)),"")</f>
        <v>2333.623201398539</v>
      </c>
      <c r="D16" s="44">
        <f>IFERROR(IF('3-Year P&amp;L'!$B$9="","",'3-Year P&amp;L'!$B$9*D7*SUMPRODUCT('3-Year P&amp;L'!$E$10:$E$11,'3-Year P&amp;L'!$G$10:$G$11)),"")</f>
        <v>3016.694159307903</v>
      </c>
      <c r="E16" s="44">
        <f>IFERROR(IF('3-Year P&amp;L'!$B$9="","",'3-Year P&amp;L'!$B$9*E7*SUMPRODUCT('3-Year P&amp;L'!$E$10:$E$11,'3-Year P&amp;L'!$G$10:$G$11)),"")</f>
        <v>3508.21354610247</v>
      </c>
      <c r="F16" s="44">
        <f>IFERROR(IF('3-Year P&amp;L'!$B$9="","",'3-Year P&amp;L'!$B$9*F7*SUMPRODUCT('3-Year P&amp;L'!$E$10:$E$11,'3-Year P&amp;L'!$G$10:$G$11)),"")</f>
        <v>3981.744587386257</v>
      </c>
      <c r="G16" s="44">
        <f>IFERROR(IF('3-Year P&amp;L'!$B$9="","",'3-Year P&amp;L'!$B$9*G7*SUMPRODUCT('3-Year P&amp;L'!$E$10:$E$11,'3-Year P&amp;L'!$G$10:$G$11)),"")</f>
        <v>4132.45775247658</v>
      </c>
      <c r="H16" s="44">
        <f>IFERROR(IF('3-Year P&amp;L'!$B$9="","",'3-Year P&amp;L'!$B$9*H7*SUMPRODUCT('3-Year P&amp;L'!$E$10:$E$11,'3-Year P&amp;L'!$G$10:$G$11)),"")</f>
        <v>3646.286252185217</v>
      </c>
      <c r="I16" s="44">
        <f>IFERROR(IF('3-Year P&amp;L'!$B$9="","",'3-Year P&amp;L'!$B$9*I7*SUMPRODUCT('3-Year P&amp;L'!$E$10:$E$11,'3-Year P&amp;L'!$G$10:$G$11)),"")</f>
        <v>2917.029001748174</v>
      </c>
      <c r="J16" s="44">
        <f>IFERROR(IF('3-Year P&amp;L'!$B$9="","",'3-Year P&amp;L'!$B$9*J7*SUMPRODUCT('3-Year P&amp;L'!$E$10:$E$11,'3-Year P&amp;L'!$G$10:$G$11)),"")</f>
        <v>4132.45775247658</v>
      </c>
      <c r="K16" s="44">
        <f>IFERROR(IF('3-Year P&amp;L'!$B$9="","",'3-Year P&amp;L'!$B$9*K7*SUMPRODUCT('3-Year P&amp;L'!$E$10:$E$11,'3-Year P&amp;L'!$G$10:$G$11)),"")</f>
        <v>4375.54350262226</v>
      </c>
      <c r="L16" s="44">
        <f>IFERROR(IF('3-Year P&amp;L'!$B$9="","",'3-Year P&amp;L'!$B$9*L7*SUMPRODUCT('3-Year P&amp;L'!$E$10:$E$11,'3-Year P&amp;L'!$G$10:$G$11)),"")</f>
        <v>4132.45775247658</v>
      </c>
      <c r="M16" s="44">
        <f>IFERROR(IF('3-Year P&amp;L'!$B$9="","",'3-Year P&amp;L'!$B$9*M7*SUMPRODUCT('3-Year P&amp;L'!$E$10:$E$11,'3-Year P&amp;L'!$G$10:$G$11)),"")</f>
        <v>5202.035053117576</v>
      </c>
      <c r="N16" s="44">
        <f>IFERROR(IF('3-Year P&amp;L'!$B$9="","",SUM(B16:M16)),"")</f>
        <v>43384.00000000001</v>
      </c>
      <c r="O16" s="32" t="inlineStr">
        <is>
          <t>Each sales line at ITS OWN rate, read from the sales tax column of the P&amp;L (alcohol to go has its own rate cell in the Assumptions tab)</t>
        </is>
      </c>
    </row>
    <row r="17">
      <c r="A17" s="32" t="inlineStr">
        <is>
          <t>Recoverable input tax (memo)</t>
        </is>
      </c>
      <c r="B17" s="44">
        <f>IFERROR(IF('3-Year P&amp;L'!$B$9="","",'3-Year P&amp;L'!$B$38*B7+'3-Year P&amp;L'!$B$39/12),"")</f>
        <v>0.0</v>
      </c>
      <c r="C17" s="44">
        <f>IFERROR(IF('3-Year P&amp;L'!$B$9="","",'3-Year P&amp;L'!$B$38*C7+'3-Year P&amp;L'!$B$39/12),"")</f>
        <v>0.0</v>
      </c>
      <c r="D17" s="44">
        <f>IFERROR(IF('3-Year P&amp;L'!$B$9="","",'3-Year P&amp;L'!$B$38*D7+'3-Year P&amp;L'!$B$39/12),"")</f>
        <v>0.0</v>
      </c>
      <c r="E17" s="44">
        <f>IFERROR(IF('3-Year P&amp;L'!$B$9="","",'3-Year P&amp;L'!$B$38*E7+'3-Year P&amp;L'!$B$39/12),"")</f>
        <v>0.0</v>
      </c>
      <c r="F17" s="44">
        <f>IFERROR(IF('3-Year P&amp;L'!$B$9="","",'3-Year P&amp;L'!$B$38*F7+'3-Year P&amp;L'!$B$39/12),"")</f>
        <v>0.0</v>
      </c>
      <c r="G17" s="44">
        <f>IFERROR(IF('3-Year P&amp;L'!$B$9="","",'3-Year P&amp;L'!$B$38*G7+'3-Year P&amp;L'!$B$39/12),"")</f>
        <v>0.0</v>
      </c>
      <c r="H17" s="44">
        <f>IFERROR(IF('3-Year P&amp;L'!$B$9="","",'3-Year P&amp;L'!$B$38*H7+'3-Year P&amp;L'!$B$39/12),"")</f>
        <v>0.0</v>
      </c>
      <c r="I17" s="44">
        <f>IFERROR(IF('3-Year P&amp;L'!$B$9="","",'3-Year P&amp;L'!$B$38*I7+'3-Year P&amp;L'!$B$39/12),"")</f>
        <v>0.0</v>
      </c>
      <c r="J17" s="44">
        <f>IFERROR(IF('3-Year P&amp;L'!$B$9="","",'3-Year P&amp;L'!$B$38*J7+'3-Year P&amp;L'!$B$39/12),"")</f>
        <v>0.0</v>
      </c>
      <c r="K17" s="44">
        <f>IFERROR(IF('3-Year P&amp;L'!$B$9="","",'3-Year P&amp;L'!$B$38*K7+'3-Year P&amp;L'!$B$39/12),"")</f>
        <v>0.0</v>
      </c>
      <c r="L17" s="44">
        <f>IFERROR(IF('3-Year P&amp;L'!$B$9="","",'3-Year P&amp;L'!$B$38*L7+'3-Year P&amp;L'!$B$39/12),"")</f>
        <v>0.0</v>
      </c>
      <c r="M17" s="44">
        <f>IFERROR(IF('3-Year P&amp;L'!$B$9="","",'3-Year P&amp;L'!$B$38*M7+'3-Year P&amp;L'!$B$39/12),"")</f>
        <v>0.0</v>
      </c>
      <c r="N17" s="44">
        <f>IFERROR(IF('3-Year P&amp;L'!$B$9="","",SUM(B17:M17)),"")</f>
        <v>0.0</v>
      </c>
      <c r="O17" s="32" t="inlineStr">
        <is>
          <t>Each item at its own rate, read from the tax column of the P&amp;L: insurance and card processing fees carry none</t>
        </is>
      </c>
    </row>
    <row r="18">
      <c r="A18" s="32" t="inlineStr">
        <is>
          <t>Carried forward (capex input tax included)</t>
        </is>
      </c>
      <c r="B18" s="32" t="n"/>
      <c r="C18" s="32" t="n"/>
      <c r="D18" s="32" t="n"/>
      <c r="E18" s="44">
        <f>IFERROR(IF('3-Year P&amp;L'!$B$9="","",'Startup Costs'!$B$37),"")</f>
        <v>0.0</v>
      </c>
      <c r="F18" s="32" t="n"/>
      <c r="G18" s="32" t="n"/>
      <c r="H18" s="44">
        <f>IFERROR(IF('3-Year P&amp;L'!$B$9="","",MAX(0,-E19)),"")</f>
        <v>0.0</v>
      </c>
      <c r="I18" s="32" t="n"/>
      <c r="J18" s="32" t="n"/>
      <c r="K18" s="44">
        <f>IFERROR(IF('3-Year P&amp;L'!$B$9="","",MAX(0,-H19)),"")</f>
        <v>0.0</v>
      </c>
      <c r="L18" s="32" t="n"/>
      <c r="M18" s="32" t="n"/>
      <c r="N18" s="32" t="n"/>
      <c r="O18" s="32" t="inlineStr">
        <is>
          <t>Sales tax paid on STARTUP COSTS enters here: it is offset against the tax collected in later quarters until used up. With 0% recoverable input tax (the US default) this line stays at zero</t>
        </is>
      </c>
    </row>
    <row r="19">
      <c r="A19" s="32" t="inlineStr">
        <is>
          <t>Quarterly sales tax return</t>
        </is>
      </c>
      <c r="B19" s="32" t="n"/>
      <c r="C19" s="32" t="n"/>
      <c r="D19" s="32" t="n"/>
      <c r="E19" s="44">
        <f>IFERROR(IF('3-Year P&amp;L'!$B$9="","",SUM(B16:D16)-SUM(B17:D17)-E18),"")</f>
        <v>7355.774799408311</v>
      </c>
      <c r="F19" s="32" t="n"/>
      <c r="G19" s="32" t="n"/>
      <c r="H19" s="44">
        <f>IFERROR(IF('3-Year P&amp;L'!$B$9="","",SUM(E16:G16)-SUM(E17:G17)-H18),"")</f>
        <v>11622.415885965307</v>
      </c>
      <c r="I19" s="32" t="n"/>
      <c r="J19" s="32" t="n"/>
      <c r="K19" s="44">
        <f>IFERROR(IF('3-Year P&amp;L'!$B$9="","",SUM(H16:J16)-SUM(H17:J17)-K18),"")</f>
        <v>10695.77300640997</v>
      </c>
      <c r="L19" s="32" t="n"/>
      <c r="M19" s="32" t="n"/>
      <c r="N19" s="32" t="n"/>
      <c r="O19" s="32"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32" t="inlineStr">
        <is>
          <t>Sales tax remitted (quarterly filer)</t>
        </is>
      </c>
      <c r="B20" s="32" t="n"/>
      <c r="C20" s="32" t="n"/>
      <c r="D20" s="32" t="n"/>
      <c r="E20" s="44">
        <f>IFERROR(IF('3-Year P&amp;L'!$B$9="","",IF(E19&lt;=0,"",-E19)),"")</f>
        <v>-7355.774799408311</v>
      </c>
      <c r="F20" s="32" t="n"/>
      <c r="G20" s="32" t="n"/>
      <c r="H20" s="44">
        <f>IFERROR(IF('3-Year P&amp;L'!$B$9="","",IF(H19&lt;=0,"",-H19)),"")</f>
        <v>-11622.415885965307</v>
      </c>
      <c r="I20" s="32" t="n"/>
      <c r="J20" s="32" t="n"/>
      <c r="K20" s="44">
        <f>IFERROR(IF('3-Year P&amp;L'!$B$9="","",IF(K19&lt;=0,"",-K19)),"")</f>
        <v>-10695.77300640997</v>
      </c>
      <c r="L20" s="32" t="n"/>
      <c r="M20" s="32" t="n"/>
      <c r="N20" s="44">
        <f>IFERROR(IF('3-Year P&amp;L'!$B$9="","",SUM(B20:M20)),"")</f>
        <v>-29673.96369178359</v>
      </c>
      <c r="O20" s="32"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29" t="inlineStr">
        <is>
          <t>MONTHLY NET CASH FLOW</t>
        </is>
      </c>
      <c r="B21" s="70">
        <f>IFERROR(IF('3-Year P&amp;L'!$B$9="","",SUM(B9:B15)+IF(B20="",0,B20)),"")</f>
        <v>-2865.0716084111255</v>
      </c>
      <c r="C21" s="70">
        <f>IFERROR(IF('3-Year P&amp;L'!$B$9="","",SUM(C9:C15)+IF(C20="",0,C20)),"")</f>
        <v>-2534.6937653881278</v>
      </c>
      <c r="D21" s="70">
        <f>IFERROR(IF('3-Year P&amp;L'!$B$9="","",SUM(D9:D15)+IF(D20="",0,D20)),"")</f>
        <v>4265.8067372490705</v>
      </c>
      <c r="E21" s="70">
        <f>IFERROR(IF('3-Year P&amp;L'!$B$9="","",SUM(E9:E15)+IF(E20="",0,E20)),"")</f>
        <v>1093.164642250047</v>
      </c>
      <c r="F21" s="70">
        <f>IFERROR(IF('3-Year P&amp;L'!$B$9="","",SUM(F9:F15)+IF(F20="",0,F20)),"")</f>
        <v>12743.688371447539</v>
      </c>
      <c r="G21" s="70">
        <f>IFERROR(IF('3-Year P&amp;L'!$B$9="","",SUM(G9:G15)+IF(G20="",0,G20)),"")</f>
        <v>13606.63435749203</v>
      </c>
      <c r="H21" s="70">
        <f>IFERROR(IF('3-Year P&amp;L'!$B$9="","",SUM(H9:H15)+IF(H20="",0,H20)),"")</f>
        <v>-3466.7493543133814</v>
      </c>
      <c r="I21" s="70">
        <f>IFERROR(IF('3-Year P&amp;L'!$B$9="","",SUM(I9:I15)+IF(I20="",0,I20)),"")</f>
        <v>1111.203549596846</v>
      </c>
      <c r="J21" s="70">
        <f>IFERROR(IF('3-Year P&amp;L'!$B$9="","",SUM(J9:J15)+IF(J20="",0,J20)),"")</f>
        <v>15298.822328266164</v>
      </c>
      <c r="K21" s="70">
        <f>IFERROR(IF('3-Year P&amp;L'!$B$9="","",SUM(K9:K15)+IF(K20="",0,K20)),"")</f>
        <v>5277.045078426763</v>
      </c>
      <c r="L21" s="70">
        <f>IFERROR(IF('3-Year P&amp;L'!$B$9="","",SUM(L9:L15)+IF(L20="",0,L20)),"")</f>
        <v>12980.756614876938</v>
      </c>
      <c r="M21" s="70">
        <f>IFERROR(IF('3-Year P&amp;L'!$B$9="","",SUM(M9:M15)+IF(M20="",0,M20)),"")</f>
        <v>24832.25651177953</v>
      </c>
      <c r="N21" s="70">
        <f>IFERROR(IF('3-Year P&amp;L'!$B$9="","",SUM(B21:M21)),"")</f>
        <v>82342.8634632723</v>
      </c>
      <c r="O21" s="32" t="n"/>
    </row>
    <row r="22">
      <c r="A22" s="29" t="inlineStr">
        <is>
          <t>CUMULATIVE CASH BALANCE</t>
        </is>
      </c>
      <c r="B22" s="70">
        <f>IFERROR(IF('3-Year P&amp;L'!$B$9="","",'Startup Costs'!$B$34+B21),"")</f>
        <v>67021.62839158888</v>
      </c>
      <c r="C22" s="70">
        <f>IFERROR(IF('3-Year P&amp;L'!$B$9="","",B22+C21),"")</f>
        <v>64486.93462620075</v>
      </c>
      <c r="D22" s="70">
        <f>IFERROR(IF('3-Year P&amp;L'!$B$9="","",C22+D21),"")</f>
        <v>68752.74136344982</v>
      </c>
      <c r="E22" s="70">
        <f>IFERROR(IF('3-Year P&amp;L'!$B$9="","",D22+E21),"")</f>
        <v>69845.90600569987</v>
      </c>
      <c r="F22" s="70">
        <f>IFERROR(IF('3-Year P&amp;L'!$B$9="","",E22+F21),"")</f>
        <v>82589.59437714741</v>
      </c>
      <c r="G22" s="70">
        <f>IFERROR(IF('3-Year P&amp;L'!$B$9="","",F22+G21),"")</f>
        <v>96196.22873463944</v>
      </c>
      <c r="H22" s="70">
        <f>IFERROR(IF('3-Year P&amp;L'!$B$9="","",G22+H21),"")</f>
        <v>92729.47938032607</v>
      </c>
      <c r="I22" s="70">
        <f>IFERROR(IF('3-Year P&amp;L'!$B$9="","",H22+I21),"")</f>
        <v>93840.68292992291</v>
      </c>
      <c r="J22" s="70">
        <f>IFERROR(IF('3-Year P&amp;L'!$B$9="","",I22+J21),"")</f>
        <v>109139.50525818908</v>
      </c>
      <c r="K22" s="70">
        <f>IFERROR(IF('3-Year P&amp;L'!$B$9="","",J22+K21),"")</f>
        <v>114416.55033661584</v>
      </c>
      <c r="L22" s="70">
        <f>IFERROR(IF('3-Year P&amp;L'!$B$9="","",K22+L21),"")</f>
        <v>127397.30695149278</v>
      </c>
      <c r="M22" s="70">
        <f>IFERROR(IF('3-Year P&amp;L'!$B$9="","",L22+M21),"")</f>
        <v>152229.5634632723</v>
      </c>
      <c r="N22" s="32" t="n"/>
      <c r="O22" s="32" t="n"/>
    </row>
    <row r="23">
      <c r="A23" s="32" t="inlineStr">
        <is>
          <t>Minimum balance of the year</t>
        </is>
      </c>
      <c r="B23" s="44">
        <f>IFERROR(IF('3-Year P&amp;L'!$B$9="","",IF(COUNT(B22:M22)=0,"",MIN(B22:M22))),"")</f>
        <v>64486.93462620075</v>
      </c>
      <c r="C23" s="32" t="n"/>
      <c r="D23" s="32" t="inlineStr">
        <is>
          <t>If negative, raise working capital or the loan: you run out of cash</t>
        </is>
      </c>
      <c r="E23" s="32" t="n"/>
      <c r="F23" s="32" t="n"/>
      <c r="G23" s="32" t="n"/>
      <c r="H23" s="32" t="n"/>
      <c r="I23" s="32" t="n"/>
      <c r="J23" s="32" t="n"/>
      <c r="K23" s="32" t="n"/>
      <c r="L23" s="32" t="n"/>
      <c r="M23" s="32" t="n"/>
      <c r="N23" s="32" t="n"/>
      <c r="O23" s="32" t="n"/>
    </row>
    <row r="24">
      <c r="A24" s="32" t="inlineStr">
        <is>
          <t>Month when cash bottoms out</t>
        </is>
      </c>
      <c r="B24" s="44">
        <f>IFERROR(IF('3-Year P&amp;L'!$B$9="","",IF(COUNT(B22:M22)=0,"",MATCH(MIN(B22:M22),B22:M22,0))),"")</f>
        <v>2.0</v>
      </c>
      <c r="C24" s="32" t="n"/>
      <c r="D24" s="32" t="inlineStr">
        <is>
          <t>It answers the question that decides a bank deal: in which month the cash runs out</t>
        </is>
      </c>
      <c r="E24" s="32" t="n"/>
      <c r="F24" s="32" t="n"/>
      <c r="G24" s="32" t="n"/>
      <c r="H24" s="32" t="n"/>
      <c r="I24" s="32" t="n"/>
      <c r="J24" s="32" t="n"/>
      <c r="K24" s="32" t="n"/>
      <c r="L24" s="32" t="n"/>
      <c r="M24" s="32" t="n"/>
      <c r="N24" s="32" t="n"/>
      <c r="O24" s="32" t="n"/>
    </row>
    <row r="25">
      <c r="A25" s="29" t="inlineStr">
        <is>
          <t>RETURN ON INVESTMENT</t>
        </is>
      </c>
      <c r="B25" s="32" t="n"/>
      <c r="C25" s="32" t="n"/>
      <c r="D25" s="32" t="n"/>
      <c r="E25" s="32" t="n"/>
      <c r="F25" s="32" t="n"/>
      <c r="G25" s="32" t="n"/>
      <c r="H25" s="32" t="n"/>
      <c r="I25" s="32" t="n"/>
      <c r="J25" s="32" t="n"/>
      <c r="K25" s="32" t="n"/>
      <c r="L25" s="32" t="n"/>
      <c r="M25" s="32" t="n"/>
      <c r="N25" s="32" t="n"/>
      <c r="O25" s="32" t="n"/>
    </row>
    <row r="26">
      <c r="A26" s="32" t="inlineStr">
        <is>
          <t>Free cash flow before debt, year 1</t>
        </is>
      </c>
      <c r="B26" s="44">
        <f>IFERROR(IF('3-Year P&amp;L'!$B$9="","",'3-Year P&amp;L'!$B$47+'3-Year P&amp;L'!$B$35+Financing!$B$44),"")</f>
        <v>80288.48285714287</v>
      </c>
      <c r="C26" s="32" t="n"/>
      <c r="D26" s="32" t="inlineStr">
        <is>
          <t>Net income plus depreciation (which is not paid) plus that year's interest: principal is not subtracted because this flow is BEFORE debt. The SAME basis as years 2 and 3, so the payback compares like with like</t>
        </is>
      </c>
      <c r="E26" s="32" t="n"/>
      <c r="F26" s="32" t="n"/>
      <c r="G26" s="32" t="n"/>
      <c r="H26" s="32" t="n"/>
      <c r="I26" s="32" t="n"/>
      <c r="J26" s="32" t="n"/>
      <c r="K26" s="32" t="n"/>
      <c r="L26" s="32" t="n"/>
      <c r="M26" s="32" t="n"/>
      <c r="N26" s="32" t="n"/>
      <c r="O26" s="32" t="n"/>
    </row>
    <row r="27">
      <c r="A27" s="32" t="inlineStr">
        <is>
          <t>Free cash flow before debt, year 2</t>
        </is>
      </c>
      <c r="B27" s="44">
        <f>IFERROR(IF('3-Year P&amp;L'!$B$9="","",'3-Year P&amp;L'!$C$47+'3-Year P&amp;L'!$C$35+Financing!$B$46),"")</f>
        <v>93985.85714324203</v>
      </c>
      <c r="C27" s="32" t="n"/>
      <c r="D27" s="32" t="inlineStr">
        <is>
          <t>Net income plus depreciation (which is not paid) plus that year's interest: principal is not subtracted because this flow is BEFORE debt. Without a monthly table, it is an estimate</t>
        </is>
      </c>
      <c r="E27" s="32" t="n"/>
      <c r="F27" s="32" t="n"/>
      <c r="G27" s="32" t="n"/>
      <c r="H27" s="32" t="n"/>
      <c r="I27" s="32" t="n"/>
      <c r="J27" s="32" t="n"/>
      <c r="K27" s="32" t="n"/>
      <c r="L27" s="32" t="n"/>
      <c r="M27" s="32" t="n"/>
      <c r="N27" s="32" t="n"/>
      <c r="O27" s="32" t="n"/>
    </row>
    <row r="28">
      <c r="A28" s="32" t="inlineStr">
        <is>
          <t>Free cash flow before debt, year 3</t>
        </is>
      </c>
      <c r="B28" s="44">
        <f>IFERROR(IF('3-Year P&amp;L'!$B$9="","",'3-Year P&amp;L'!$D$47+'3-Year P&amp;L'!$D$35+Financing!$B$48),"")</f>
        <v>103286.4212679512</v>
      </c>
      <c r="C28" s="32" t="n"/>
      <c r="D28" s="32" t="inlineStr">
        <is>
          <t>Net income plus depreciation (which is not paid) plus that year's interest: principal is not subtracted because this flow is BEFORE debt. Without a monthly table, it is an estimate</t>
        </is>
      </c>
      <c r="E28" s="32" t="n"/>
      <c r="F28" s="32" t="n"/>
      <c r="G28" s="32" t="n"/>
      <c r="H28" s="32" t="n"/>
      <c r="I28" s="32" t="n"/>
      <c r="J28" s="32" t="n"/>
      <c r="K28" s="32" t="n"/>
      <c r="L28" s="32" t="n"/>
      <c r="M28" s="32" t="n"/>
      <c r="N28" s="32" t="n"/>
      <c r="O28" s="32" t="n"/>
    </row>
    <row r="29">
      <c r="A29" s="32" t="inlineStr">
        <is>
          <t>For reference: ACTUAL year-1 cash flow (monthly table, before debt)</t>
        </is>
      </c>
      <c r="B29" s="44">
        <f>IFERROR(IF('3-Year P&amp;L'!$B$9="","",N21+Financing!$B$44+Financing!$B$45),"")</f>
        <v>115542.92401930466</v>
      </c>
      <c r="C29" s="32" t="n"/>
      <c r="D29" s="32"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32" t="n"/>
      <c r="F29" s="32" t="n"/>
      <c r="G29" s="32" t="n"/>
      <c r="H29" s="32" t="n"/>
      <c r="I29" s="32" t="n"/>
      <c r="J29" s="32" t="n"/>
      <c r="K29" s="32" t="n"/>
      <c r="L29" s="32" t="n"/>
      <c r="M29" s="32" t="n"/>
      <c r="N29" s="32" t="n"/>
      <c r="O29" s="32" t="n"/>
    </row>
    <row r="30">
      <c r="A30" s="32" t="inlineStr">
        <is>
          <t>Investment to recover (net of recoverable input tax)</t>
        </is>
      </c>
      <c r="B30" s="44">
        <f>IFERROR(IF('3-Year P&amp;L'!$B$9="","",'Startup Costs'!$B$38-'Startup Costs'!$B$37),"")</f>
        <v>263686.7</v>
      </c>
      <c r="C30" s="32" t="n"/>
      <c r="D30" s="32"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32" t="n"/>
      <c r="F30" s="32" t="n"/>
      <c r="G30" s="32" t="n"/>
      <c r="H30" s="32" t="n"/>
      <c r="I30" s="32" t="n"/>
      <c r="J30" s="32" t="n"/>
      <c r="K30" s="32" t="n"/>
      <c r="L30" s="32" t="n"/>
      <c r="M30" s="32" t="n"/>
      <c r="N30" s="32" t="n"/>
      <c r="O30" s="32" t="n"/>
    </row>
    <row r="31">
      <c r="A31" s="29" t="inlineStr">
        <is>
          <t>Project payback (years), before debt</t>
        </is>
      </c>
      <c r="B31" s="29">
        <f>IFERROR(IF('3-Year P&amp;L'!$B$9="","",IF(B26&gt;=B30,ROUND(B30/B26,1),IF(B26+B27&gt;=B30,ROUND(1+(B30-B26)/B27,1),IF(B26+B27+B28&gt;=B30,ROUND(2+(B30-B26-B27)/B28,1),"Over 3 years")))),"")</f>
        <v>2.9</v>
      </c>
      <c r="C31" s="32" t="n"/>
      <c r="D31" s="29" t="inlineStr">
        <is>
          <t>Measures how long the business takes to repay the investment with what it generates BEFORE paying the lender, on the SAME cash flow basis in all three years. Whether you can afford the loan payment is shown by the DSCR in the Financing tab</t>
        </is>
      </c>
      <c r="E31" s="32" t="n"/>
      <c r="F31" s="32" t="n"/>
      <c r="G31" s="32" t="n"/>
      <c r="H31" s="32" t="n"/>
      <c r="I31" s="32" t="n"/>
      <c r="J31" s="32" t="n"/>
      <c r="K31" s="32" t="n"/>
      <c r="L31" s="32" t="n"/>
      <c r="M31" s="32" t="n"/>
      <c r="N31" s="32" t="n"/>
      <c r="O31" s="32" t="n"/>
    </row>
    <row r="32">
      <c r="A32" s="32" t="inlineStr">
        <is>
          <t>Payback on CAPEX, excluding working capital (years)</t>
        </is>
      </c>
      <c r="B32" s="32">
        <f>IFERROR(IF('3-Year P&amp;L'!$B$9="","",IF(B26&gt;='Startup Costs'!$B$36,ROUND('Startup Costs'!$B$36/B26,1),IF(B26+B27&gt;='Startup Costs'!$B$36,ROUND(1+('Startup Costs'!$B$36-B26)/B27,1),IF(B26+B27+B28&gt;='Startup Costs'!$B$36,ROUND(2+('Startup Costs'!$B$36-B26-B27)/B28,1),"Over 3 years")))),"")</f>
        <v>2.2</v>
      </c>
      <c r="C32" s="32" t="n"/>
      <c r="D32" s="32" t="inlineStr">
        <is>
          <t>The same calculation on what you BUY (build-out, equipment, launch and formation costs), without working capital: that money is not spent, it is tied up and comes back when the business closes. For reference only: the payback that matters is the one above</t>
        </is>
      </c>
      <c r="E32" s="32" t="n"/>
      <c r="F32" s="32" t="n"/>
      <c r="G32" s="32" t="n"/>
      <c r="H32" s="32" t="n"/>
      <c r="I32" s="32" t="n"/>
      <c r="J32" s="32" t="n"/>
      <c r="K32" s="32" t="n"/>
      <c r="L32" s="32" t="n"/>
      <c r="M32" s="32" t="n"/>
      <c r="N32" s="32" t="n"/>
      <c r="O32" s="32" t="n"/>
    </row>
    <row r="33">
      <c r="A33" s="32" t="n"/>
      <c r="B33" s="32" t="n"/>
      <c r="C33" s="32" t="n"/>
      <c r="D33" s="32" t="n"/>
      <c r="E33" s="32" t="n"/>
      <c r="F33" s="32" t="n"/>
      <c r="G33" s="32" t="n"/>
      <c r="H33" s="32" t="n"/>
      <c r="I33" s="32" t="n"/>
      <c r="J33" s="32" t="n"/>
      <c r="K33" s="32" t="n"/>
      <c r="L33" s="32" t="n"/>
      <c r="M33" s="32" t="n"/>
      <c r="N33" s="32" t="n"/>
      <c r="O33" s="32" t="n"/>
    </row>
    <row r="34" ht="149.5" customHeight="1">
      <c r="A34" s="51"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32" t="n"/>
      <c r="C34" s="32" t="n"/>
      <c r="D34" s="32" t="n"/>
      <c r="E34" s="32" t="n"/>
      <c r="F34" s="32" t="n"/>
      <c r="G34" s="32" t="n"/>
      <c r="H34" s="32" t="n"/>
      <c r="I34" s="32" t="n"/>
      <c r="J34" s="32" t="n"/>
      <c r="K34" s="32" t="n"/>
      <c r="L34" s="32" t="n"/>
      <c r="M34" s="32" t="n"/>
      <c r="N34" s="32" t="n"/>
      <c r="O34" s="32" t="n"/>
    </row>
    <row r="35">
      <c r="A35" s="32" t="n"/>
      <c r="B35" s="32" t="n"/>
      <c r="C35" s="32" t="n"/>
      <c r="D35" s="32" t="n"/>
      <c r="E35" s="32" t="n"/>
      <c r="F35" s="32" t="n"/>
      <c r="G35" s="32" t="n"/>
      <c r="H35" s="32" t="n"/>
      <c r="I35" s="32" t="n"/>
      <c r="J35" s="32" t="n"/>
      <c r="K35" s="32" t="n"/>
      <c r="L35" s="32" t="n"/>
      <c r="M35" s="32" t="n"/>
      <c r="N35" s="32" t="n"/>
      <c r="O35" s="32" t="n"/>
    </row>
    <row r="36">
      <c r="A36" s="32" t="n"/>
      <c r="B36" s="32" t="n"/>
      <c r="C36" s="32" t="n"/>
      <c r="D36" s="32" t="n"/>
      <c r="E36" s="32" t="n"/>
      <c r="F36" s="32" t="n"/>
      <c r="G36" s="32" t="n"/>
      <c r="H36" s="32" t="n"/>
      <c r="I36" s="32" t="n"/>
      <c r="J36" s="32" t="n"/>
      <c r="K36" s="32" t="n"/>
      <c r="L36" s="32" t="n"/>
      <c r="M36" s="32" t="n"/>
      <c r="N36" s="32" t="n"/>
      <c r="O36" s="32" t="n"/>
    </row>
    <row r="37">
      <c r="A37" s="32" t="n"/>
      <c r="B37" s="32" t="n"/>
      <c r="C37" s="32" t="n"/>
      <c r="D37" s="32" t="n"/>
      <c r="E37" s="32" t="n"/>
      <c r="F37" s="32" t="n"/>
      <c r="G37" s="32" t="n"/>
      <c r="H37" s="32" t="n"/>
      <c r="I37" s="32" t="n"/>
      <c r="J37" s="32" t="n"/>
      <c r="K37" s="32" t="n"/>
      <c r="L37" s="32" t="n"/>
      <c r="M37" s="32" t="n"/>
      <c r="N37" s="32" t="n"/>
      <c r="O37" s="32" t="n"/>
    </row>
    <row r="38">
      <c r="A38" s="32" t="n"/>
      <c r="B38" s="32" t="n"/>
      <c r="C38" s="32" t="n"/>
      <c r="D38" s="32" t="n"/>
      <c r="E38" s="32" t="n"/>
      <c r="F38" s="32" t="n"/>
      <c r="G38" s="32" t="n"/>
      <c r="H38" s="32" t="n"/>
      <c r="I38" s="32" t="n"/>
      <c r="J38" s="32" t="n"/>
      <c r="K38" s="32" t="n"/>
      <c r="L38" s="32" t="n"/>
      <c r="M38" s="32" t="n"/>
      <c r="N38" s="32" t="n"/>
      <c r="O38" s="32" t="n"/>
    </row>
    <row r="39">
      <c r="A39" s="32" t="n"/>
      <c r="B39" s="32" t="n"/>
      <c r="C39" s="32" t="n"/>
      <c r="D39" s="32" t="n"/>
      <c r="E39" s="32" t="n"/>
      <c r="F39" s="32" t="n"/>
      <c r="G39" s="32" t="n"/>
      <c r="H39" s="32" t="n"/>
      <c r="I39" s="32" t="n"/>
      <c r="J39" s="32" t="n"/>
      <c r="K39" s="32" t="n"/>
      <c r="L39" s="32" t="n"/>
      <c r="M39" s="32" t="n"/>
      <c r="N39" s="32" t="n"/>
      <c r="O39" s="32" t="n"/>
    </row>
    <row r="40">
      <c r="A40" s="32" t="n"/>
      <c r="B40" s="32" t="n"/>
      <c r="C40" s="32" t="n"/>
      <c r="D40" s="32" t="n"/>
      <c r="E40" s="32" t="n"/>
      <c r="F40" s="32" t="n"/>
      <c r="G40" s="32" t="n"/>
      <c r="H40" s="32" t="n"/>
      <c r="I40" s="32" t="n"/>
      <c r="J40" s="32" t="n"/>
      <c r="K40" s="32" t="n"/>
      <c r="L40" s="32" t="n"/>
      <c r="M40" s="32" t="n"/>
      <c r="N40" s="32" t="n"/>
      <c r="O40" s="32" t="n"/>
    </row>
    <row r="41">
      <c r="A41" s="32" t="n"/>
      <c r="B41" s="32" t="n"/>
      <c r="C41" s="32" t="n"/>
      <c r="D41" s="32" t="n"/>
      <c r="E41" s="32" t="n"/>
      <c r="F41" s="32" t="n"/>
      <c r="G41" s="32" t="n"/>
      <c r="H41" s="32" t="n"/>
      <c r="I41" s="32" t="n"/>
      <c r="J41" s="32" t="n"/>
      <c r="K41" s="32" t="n"/>
      <c r="L41" s="32" t="n"/>
      <c r="M41" s="32" t="n"/>
      <c r="N41" s="32" t="n"/>
      <c r="O41" s="32" t="n"/>
    </row>
    <row r="42">
      <c r="A42" s="32" t="n"/>
      <c r="B42" s="32" t="n"/>
      <c r="C42" s="32" t="n"/>
      <c r="D42" s="32" t="n"/>
      <c r="E42" s="32" t="n"/>
      <c r="F42" s="32" t="n"/>
      <c r="G42" s="32" t="n"/>
      <c r="H42" s="32" t="n"/>
      <c r="I42" s="32" t="n"/>
      <c r="J42" s="32" t="n"/>
      <c r="K42" s="32" t="n"/>
      <c r="L42" s="32" t="n"/>
      <c r="M42" s="32" t="n"/>
      <c r="N42" s="32" t="n"/>
      <c r="O42" s="32" t="n"/>
    </row>
    <row r="43">
      <c r="A43" s="32" t="n"/>
      <c r="B43" s="32" t="n"/>
      <c r="C43" s="32" t="n"/>
      <c r="D43" s="32" t="n"/>
      <c r="E43" s="32" t="n"/>
      <c r="F43" s="32" t="n"/>
      <c r="G43" s="32" t="n"/>
      <c r="H43" s="32" t="n"/>
      <c r="I43" s="32" t="n"/>
      <c r="J43" s="32" t="n"/>
      <c r="K43" s="32" t="n"/>
      <c r="L43" s="32" t="n"/>
      <c r="M43" s="32" t="n"/>
      <c r="N43" s="32" t="n"/>
      <c r="O43" s="32" t="n"/>
    </row>
    <row r="44">
      <c r="A44" s="32" t="n"/>
      <c r="B44" s="32" t="n"/>
      <c r="C44" s="32" t="n"/>
      <c r="D44" s="32" t="n"/>
      <c r="E44" s="32" t="n"/>
      <c r="F44" s="32" t="n"/>
      <c r="G44" s="32" t="n"/>
      <c r="H44" s="32" t="n"/>
      <c r="I44" s="32" t="n"/>
      <c r="J44" s="32" t="n"/>
      <c r="K44" s="32" t="n"/>
      <c r="L44" s="32" t="n"/>
      <c r="M44" s="32" t="n"/>
      <c r="N44" s="32" t="n"/>
      <c r="O44" s="32" t="n"/>
    </row>
    <row r="45">
      <c r="A45" s="32" t="n"/>
      <c r="B45" s="32" t="n"/>
      <c r="C45" s="32" t="n"/>
      <c r="D45" s="32" t="n"/>
      <c r="E45" s="32" t="n"/>
      <c r="F45" s="32" t="n"/>
      <c r="G45" s="32" t="n"/>
      <c r="H45" s="32" t="n"/>
      <c r="I45" s="32" t="n"/>
      <c r="J45" s="32" t="n"/>
      <c r="K45" s="32" t="n"/>
      <c r="L45" s="32" t="n"/>
      <c r="M45" s="32" t="n"/>
      <c r="N45" s="32" t="n"/>
      <c r="O45" s="32" t="n"/>
    </row>
    <row r="46">
      <c r="A46" s="32" t="n"/>
      <c r="B46" s="32" t="n"/>
      <c r="C46" s="32" t="n"/>
      <c r="D46" s="32" t="n"/>
      <c r="E46" s="32" t="n"/>
      <c r="F46" s="32" t="n"/>
      <c r="G46" s="32" t="n"/>
      <c r="H46" s="32" t="n"/>
      <c r="I46" s="32" t="n"/>
      <c r="J46" s="32" t="n"/>
      <c r="K46" s="32" t="n"/>
      <c r="L46" s="32" t="n"/>
      <c r="M46" s="32" t="n"/>
      <c r="N46" s="32" t="n"/>
      <c r="O46" s="32" t="n"/>
    </row>
    <row r="47">
      <c r="A47" s="32" t="n"/>
      <c r="B47" s="32" t="n"/>
      <c r="C47" s="32" t="n"/>
      <c r="D47" s="32" t="n"/>
      <c r="E47" s="32" t="n"/>
      <c r="F47" s="32" t="n"/>
      <c r="G47" s="32" t="n"/>
      <c r="H47" s="32" t="n"/>
      <c r="I47" s="32" t="n"/>
      <c r="J47" s="32" t="n"/>
      <c r="K47" s="32" t="n"/>
      <c r="L47" s="32" t="n"/>
      <c r="M47" s="32" t="n"/>
      <c r="N47" s="32" t="n"/>
      <c r="O47" s="32" t="n"/>
    </row>
    <row r="48">
      <c r="A48" s="32" t="n"/>
      <c r="B48" s="32" t="n"/>
      <c r="C48" s="32" t="n"/>
      <c r="D48" s="32" t="n"/>
      <c r="E48" s="32" t="n"/>
      <c r="F48" s="32" t="n"/>
      <c r="G48" s="32" t="n"/>
      <c r="H48" s="32" t="n"/>
      <c r="I48" s="32" t="n"/>
      <c r="J48" s="32" t="n"/>
      <c r="K48" s="32" t="n"/>
      <c r="L48" s="32" t="n"/>
      <c r="M48" s="32" t="n"/>
      <c r="N48" s="32" t="n"/>
      <c r="O48" s="32" t="n"/>
    </row>
    <row r="49">
      <c r="A49" s="32" t="n"/>
      <c r="B49" s="32" t="n"/>
      <c r="C49" s="32" t="n"/>
      <c r="D49" s="32" t="n"/>
      <c r="E49" s="32" t="n"/>
      <c r="F49" s="32" t="n"/>
      <c r="G49" s="32" t="n"/>
      <c r="H49" s="32" t="n"/>
      <c r="I49" s="32" t="n"/>
      <c r="J49" s="32" t="n"/>
      <c r="K49" s="32" t="n"/>
      <c r="L49" s="32" t="n"/>
      <c r="M49" s="32" t="n"/>
      <c r="N49" s="32" t="n"/>
      <c r="O49" s="32" t="n"/>
    </row>
    <row r="50">
      <c r="A50" s="32" t="n"/>
      <c r="B50" s="32" t="n"/>
      <c r="C50" s="32" t="n"/>
      <c r="D50" s="32" t="n"/>
      <c r="E50" s="32" t="n"/>
      <c r="F50" s="32" t="n"/>
      <c r="G50" s="32" t="n"/>
      <c r="H50" s="32" t="n"/>
      <c r="I50" s="32" t="n"/>
      <c r="J50" s="32" t="n"/>
      <c r="K50" s="32" t="n"/>
      <c r="L50" s="32" t="n"/>
      <c r="M50" s="32" t="n"/>
      <c r="N50" s="32" t="n"/>
      <c r="O50" s="32" t="n"/>
    </row>
    <row r="51">
      <c r="A51" s="32" t="n"/>
      <c r="B51" s="32" t="n"/>
      <c r="C51" s="32" t="n"/>
      <c r="D51" s="32" t="n"/>
      <c r="E51" s="32" t="n"/>
      <c r="F51" s="32" t="n"/>
      <c r="G51" s="32" t="n"/>
      <c r="H51" s="32" t="n"/>
      <c r="I51" s="32" t="n"/>
      <c r="J51" s="32" t="n"/>
      <c r="K51" s="32" t="n"/>
      <c r="L51" s="32" t="n"/>
      <c r="M51" s="32" t="n"/>
      <c r="N51" s="32" t="n"/>
      <c r="O51" s="32" t="n"/>
    </row>
    <row r="52">
      <c r="A52" s="32" t="n"/>
      <c r="B52" s="32" t="n"/>
      <c r="C52" s="32" t="n"/>
      <c r="D52" s="32" t="n"/>
      <c r="E52" s="32" t="n"/>
      <c r="F52" s="32" t="n"/>
      <c r="G52" s="32" t="n"/>
      <c r="H52" s="32" t="n"/>
      <c r="I52" s="32" t="n"/>
      <c r="J52" s="32" t="n"/>
      <c r="K52" s="32" t="n"/>
      <c r="L52" s="32" t="n"/>
      <c r="M52" s="32" t="n"/>
      <c r="N52" s="32" t="n"/>
      <c r="O52" s="32" t="n"/>
    </row>
    <row r="53">
      <c r="A53" s="32" t="n"/>
      <c r="B53" s="32" t="n"/>
      <c r="C53" s="32" t="n"/>
      <c r="D53" s="32" t="n"/>
      <c r="E53" s="32" t="n"/>
      <c r="F53" s="32" t="n"/>
      <c r="G53" s="32" t="n"/>
      <c r="H53" s="32" t="n"/>
      <c r="I53" s="32" t="n"/>
      <c r="J53" s="32" t="n"/>
      <c r="K53" s="32" t="n"/>
      <c r="L53" s="32" t="n"/>
      <c r="M53" s="32" t="n"/>
      <c r="N53" s="32" t="n"/>
      <c r="O53" s="32" t="n"/>
    </row>
    <row r="54">
      <c r="A54" s="32" t="n"/>
      <c r="B54" s="32" t="n"/>
      <c r="C54" s="32" t="n"/>
      <c r="D54" s="32" t="n"/>
      <c r="E54" s="32" t="n"/>
      <c r="F54" s="32" t="n"/>
      <c r="G54" s="32" t="n"/>
      <c r="H54" s="32" t="n"/>
      <c r="I54" s="32" t="n"/>
      <c r="J54" s="32" t="n"/>
      <c r="K54" s="32" t="n"/>
      <c r="L54" s="32" t="n"/>
      <c r="M54" s="32" t="n"/>
      <c r="N54" s="32" t="n"/>
      <c r="O54" s="32" t="n"/>
    </row>
    <row r="55">
      <c r="A55" s="32" t="n"/>
      <c r="B55" s="32" t="n"/>
      <c r="C55" s="32" t="n"/>
      <c r="D55" s="32" t="n"/>
      <c r="E55" s="32" t="n"/>
      <c r="F55" s="32" t="n"/>
      <c r="G55" s="32" t="n"/>
      <c r="H55" s="32" t="n"/>
      <c r="I55" s="32" t="n"/>
      <c r="J55" s="32" t="n"/>
      <c r="K55" s="32" t="n"/>
      <c r="L55" s="32" t="n"/>
      <c r="M55" s="32" t="n"/>
      <c r="N55" s="32" t="n"/>
      <c r="O55" s="32" t="n"/>
    </row>
    <row r="56">
      <c r="A56" s="32" t="n"/>
      <c r="B56" s="32" t="n"/>
      <c r="C56" s="32" t="n"/>
      <c r="D56" s="32" t="n"/>
      <c r="E56" s="32" t="n"/>
      <c r="F56" s="32" t="n"/>
      <c r="G56" s="32" t="n"/>
      <c r="H56" s="32" t="n"/>
      <c r="I56" s="32" t="n"/>
      <c r="J56" s="32" t="n"/>
      <c r="K56" s="32" t="n"/>
      <c r="L56" s="32" t="n"/>
      <c r="M56" s="32" t="n"/>
      <c r="N56" s="32" t="n"/>
      <c r="O56" s="32" t="n"/>
    </row>
    <row r="57">
      <c r="A57" s="32" t="n"/>
      <c r="B57" s="32" t="n"/>
      <c r="C57" s="32" t="n"/>
      <c r="D57" s="32" t="n"/>
      <c r="E57" s="32" t="n"/>
      <c r="F57" s="32" t="n"/>
      <c r="G57" s="32" t="n"/>
      <c r="H57" s="32" t="n"/>
      <c r="I57" s="32" t="n"/>
      <c r="J57" s="32" t="n"/>
      <c r="K57" s="32" t="n"/>
      <c r="L57" s="32" t="n"/>
      <c r="M57" s="32" t="n"/>
      <c r="N57" s="32" t="n"/>
      <c r="O57" s="32" t="n"/>
    </row>
    <row r="58">
      <c r="A58" s="32" t="n"/>
      <c r="B58" s="32" t="n"/>
      <c r="C58" s="32" t="n"/>
      <c r="D58" s="32" t="n"/>
      <c r="E58" s="32" t="n"/>
      <c r="F58" s="32" t="n"/>
      <c r="G58" s="32" t="n"/>
      <c r="H58" s="32" t="n"/>
      <c r="I58" s="32" t="n"/>
      <c r="J58" s="32" t="n"/>
      <c r="K58" s="32" t="n"/>
      <c r="L58" s="32" t="n"/>
      <c r="M58" s="32" t="n"/>
      <c r="N58" s="32" t="n"/>
      <c r="O58" s="32" t="n"/>
    </row>
    <row r="59">
      <c r="A59" s="32" t="n"/>
      <c r="B59" s="32" t="n"/>
      <c r="C59" s="32" t="n"/>
      <c r="D59" s="32" t="n"/>
      <c r="E59" s="32" t="n"/>
      <c r="F59" s="32" t="n"/>
      <c r="G59" s="32" t="n"/>
      <c r="H59" s="32" t="n"/>
      <c r="I59" s="32" t="n"/>
      <c r="J59" s="32" t="n"/>
      <c r="K59" s="32" t="n"/>
      <c r="L59" s="32" t="n"/>
      <c r="M59" s="32" t="n"/>
      <c r="N59" s="32" t="n"/>
      <c r="O59" s="32" t="n"/>
    </row>
    <row r="60">
      <c r="A60" s="32" t="n"/>
      <c r="B60" s="32" t="n"/>
      <c r="C60" s="32" t="n"/>
      <c r="D60" s="32" t="n"/>
      <c r="E60" s="32" t="n"/>
      <c r="F60" s="32" t="n"/>
      <c r="G60" s="32" t="n"/>
      <c r="H60" s="32" t="n"/>
      <c r="I60" s="32" t="n"/>
      <c r="J60" s="32" t="n"/>
      <c r="K60" s="32" t="n"/>
      <c r="L60" s="32" t="n"/>
      <c r="M60" s="32" t="n"/>
      <c r="N60" s="32" t="n"/>
      <c r="O60" s="32" t="n"/>
    </row>
    <row r="61">
      <c r="A61" s="32" t="n"/>
      <c r="B61" s="32" t="n"/>
      <c r="C61" s="32" t="n"/>
      <c r="D61" s="32" t="n"/>
      <c r="E61" s="32" t="n"/>
      <c r="F61" s="32" t="n"/>
      <c r="G61" s="32" t="n"/>
      <c r="H61" s="32" t="n"/>
      <c r="I61" s="32" t="n"/>
      <c r="J61" s="32" t="n"/>
      <c r="K61" s="32" t="n"/>
      <c r="L61" s="32" t="n"/>
      <c r="M61" s="32" t="n"/>
      <c r="N61" s="32" t="n"/>
      <c r="O61" s="32" t="n"/>
    </row>
    <row r="62">
      <c r="A62" s="32" t="n"/>
      <c r="B62" s="32" t="n"/>
      <c r="C62" s="32" t="n"/>
      <c r="D62" s="32" t="n"/>
      <c r="E62" s="32" t="n"/>
      <c r="F62" s="32" t="n"/>
      <c r="G62" s="32" t="n"/>
      <c r="H62" s="32" t="n"/>
      <c r="I62" s="32" t="n"/>
      <c r="J62" s="32" t="n"/>
      <c r="K62" s="32" t="n"/>
      <c r="L62" s="32" t="n"/>
      <c r="M62" s="32" t="n"/>
      <c r="N62" s="32" t="n"/>
      <c r="O62" s="32" t="n"/>
    </row>
    <row r="63">
      <c r="A63" s="32" t="n"/>
      <c r="B63" s="32" t="n"/>
      <c r="C63" s="32" t="n"/>
      <c r="D63" s="32" t="n"/>
      <c r="E63" s="32" t="n"/>
      <c r="F63" s="32" t="n"/>
      <c r="G63" s="32" t="n"/>
      <c r="H63" s="32" t="n"/>
      <c r="I63" s="32" t="n"/>
      <c r="J63" s="32" t="n"/>
      <c r="K63" s="32" t="n"/>
      <c r="L63" s="32" t="n"/>
      <c r="M63" s="32" t="n"/>
      <c r="N63" s="32" t="n"/>
      <c r="O63" s="32" t="n"/>
    </row>
    <row r="64">
      <c r="A64" s="32" t="n"/>
      <c r="B64" s="32" t="n"/>
      <c r="C64" s="32" t="n"/>
      <c r="D64" s="32" t="n"/>
      <c r="E64" s="32" t="n"/>
      <c r="F64" s="32" t="n"/>
      <c r="G64" s="32" t="n"/>
      <c r="H64" s="32" t="n"/>
      <c r="I64" s="32" t="n"/>
      <c r="J64" s="32" t="n"/>
      <c r="K64" s="32" t="n"/>
      <c r="L64" s="32" t="n"/>
      <c r="M64" s="32" t="n"/>
      <c r="N64" s="32" t="n"/>
      <c r="O64" s="32" t="n"/>
    </row>
    <row r="65">
      <c r="A65" s="32" t="n"/>
      <c r="B65" s="32" t="n"/>
      <c r="C65" s="32" t="n"/>
      <c r="D65" s="32" t="n"/>
      <c r="E65" s="32" t="n"/>
      <c r="F65" s="32" t="n"/>
      <c r="G65" s="32" t="n"/>
      <c r="H65" s="32" t="n"/>
      <c r="I65" s="32" t="n"/>
      <c r="J65" s="32" t="n"/>
      <c r="K65" s="32" t="n"/>
      <c r="L65" s="32" t="n"/>
      <c r="M65" s="32" t="n"/>
      <c r="N65" s="32" t="n"/>
      <c r="O65" s="32" t="n"/>
    </row>
    <row r="66">
      <c r="A66" s="32" t="n"/>
      <c r="B66" s="32" t="n"/>
      <c r="C66" s="32" t="n"/>
      <c r="D66" s="32" t="n"/>
      <c r="E66" s="32" t="n"/>
      <c r="F66" s="32" t="n"/>
      <c r="G66" s="32" t="n"/>
      <c r="H66" s="32" t="n"/>
      <c r="I66" s="32" t="n"/>
      <c r="J66" s="32" t="n"/>
      <c r="K66" s="32" t="n"/>
      <c r="L66" s="32" t="n"/>
      <c r="M66" s="32" t="n"/>
      <c r="N66" s="32" t="n"/>
      <c r="O66" s="32" t="n"/>
    </row>
    <row r="67">
      <c r="A67" s="32" t="n"/>
      <c r="B67" s="32" t="n"/>
      <c r="C67" s="32" t="n"/>
      <c r="D67" s="32" t="n"/>
      <c r="E67" s="32" t="n"/>
      <c r="F67" s="32" t="n"/>
      <c r="G67" s="32" t="n"/>
      <c r="H67" s="32" t="n"/>
      <c r="I67" s="32" t="n"/>
      <c r="J67" s="32" t="n"/>
      <c r="K67" s="32" t="n"/>
      <c r="L67" s="32" t="n"/>
      <c r="M67" s="32" t="n"/>
      <c r="N67" s="32" t="n"/>
      <c r="O67" s="32" t="n"/>
    </row>
    <row r="68">
      <c r="A68" s="32" t="n"/>
      <c r="B68" s="32" t="n"/>
      <c r="C68" s="32" t="n"/>
      <c r="D68" s="32" t="n"/>
      <c r="E68" s="32" t="n"/>
      <c r="F68" s="32" t="n"/>
      <c r="G68" s="32" t="n"/>
      <c r="H68" s="32" t="n"/>
      <c r="I68" s="32" t="n"/>
      <c r="J68" s="32" t="n"/>
      <c r="K68" s="32" t="n"/>
      <c r="L68" s="32" t="n"/>
      <c r="M68" s="32" t="n"/>
      <c r="N68" s="32" t="n"/>
      <c r="O68" s="32" t="n"/>
    </row>
    <row r="69">
      <c r="A69" s="32" t="n"/>
      <c r="B69" s="32" t="n"/>
      <c r="C69" s="32" t="n"/>
      <c r="D69" s="32" t="n"/>
      <c r="E69" s="32" t="n"/>
      <c r="F69" s="32" t="n"/>
      <c r="G69" s="32" t="n"/>
      <c r="H69" s="32" t="n"/>
      <c r="I69" s="32" t="n"/>
      <c r="J69" s="32" t="n"/>
      <c r="K69" s="32" t="n"/>
      <c r="L69" s="32" t="n"/>
      <c r="M69" s="32" t="n"/>
      <c r="N69" s="32" t="n"/>
      <c r="O69" s="32" t="n"/>
    </row>
    <row r="70">
      <c r="A70" s="32" t="n"/>
      <c r="B70" s="32" t="n"/>
      <c r="C70" s="32" t="n"/>
      <c r="D70" s="32" t="n"/>
      <c r="E70" s="32" t="n"/>
      <c r="F70" s="32" t="n"/>
      <c r="G70" s="32" t="n"/>
      <c r="H70" s="32" t="n"/>
      <c r="I70" s="32" t="n"/>
      <c r="J70" s="32" t="n"/>
      <c r="K70" s="32" t="n"/>
      <c r="L70" s="32" t="n"/>
      <c r="M70" s="32" t="n"/>
      <c r="N70" s="32" t="n"/>
      <c r="O70" s="32"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9" t="inlineStr">
        <is>
          <t>FINANCING PLAN</t>
        </is>
      </c>
      <c r="B1" s="32" t="n"/>
      <c r="C1" s="32" t="n"/>
      <c r="D1" s="32" t="n"/>
      <c r="E1" s="32" t="n"/>
      <c r="F1" s="32" t="n"/>
      <c r="G1" s="32" t="n"/>
      <c r="H1" s="32" t="n"/>
    </row>
    <row r="2" ht="45" customHeight="1">
      <c r="A2" s="51" t="inlineStr">
        <is>
          <t>What you need, where it comes from and what it costs to repay. It is the sheet your lender asks for along with the P&amp;L.</t>
        </is>
      </c>
      <c r="B2" s="32" t="n"/>
      <c r="C2" s="32" t="n"/>
      <c r="D2" s="32" t="n"/>
      <c r="E2" s="32" t="n"/>
      <c r="F2" s="32" t="n"/>
      <c r="G2" s="32" t="n"/>
      <c r="H2" s="32" t="n"/>
    </row>
    <row r="3">
      <c r="A3" s="32" t="n"/>
      <c r="B3" s="32" t="n"/>
      <c r="C3" s="32" t="n"/>
      <c r="D3" s="32" t="n"/>
      <c r="E3" s="32" t="n"/>
      <c r="F3" s="32" t="n"/>
      <c r="G3" s="32" t="n"/>
      <c r="H3" s="32" t="n"/>
    </row>
    <row r="4">
      <c r="A4" s="29" t="inlineStr">
        <is>
          <t>Item</t>
        </is>
      </c>
      <c r="B4" s="29" t="inlineStr">
        <is>
          <t>Amount</t>
        </is>
      </c>
      <c r="C4" s="29" t="inlineStr">
        <is>
          <t>Notes</t>
        </is>
      </c>
      <c r="D4" s="32" t="n"/>
      <c r="E4" s="32" t="n"/>
      <c r="F4" s="32" t="n"/>
      <c r="G4" s="32" t="n"/>
      <c r="H4" s="32" t="n"/>
    </row>
    <row r="5">
      <c r="A5" s="29" t="inlineStr">
        <is>
          <t>SOURCES OF FUNDS</t>
        </is>
      </c>
      <c r="B5" s="32" t="n"/>
      <c r="C5" s="32" t="n"/>
      <c r="D5" s="32" t="n"/>
      <c r="E5" s="32" t="n"/>
      <c r="F5" s="32" t="n"/>
      <c r="G5" s="32" t="n"/>
      <c r="H5" s="32" t="n"/>
    </row>
    <row r="6">
      <c r="A6" s="32" t="inlineStr">
        <is>
          <t>Owner's equity (your own money)</t>
        </is>
      </c>
      <c r="B6" s="44">
        <f>IFERROR(IF('0. Assumptions'!$B$30="","",'0. Assumptions'!$B$30),"")</f>
        <v>60000.0</v>
      </c>
      <c r="C6" s="32" t="n"/>
      <c r="D6" s="32" t="n"/>
      <c r="E6" s="32" t="n"/>
      <c r="F6" s="32" t="n"/>
      <c r="G6" s="32" t="n"/>
      <c r="H6" s="32" t="n"/>
    </row>
    <row r="7">
      <c r="A7" s="32" t="inlineStr">
        <is>
          <t>Loan requested — bank or SBA 7(a) (amortized below)</t>
        </is>
      </c>
      <c r="B7" s="44">
        <f>IFERROR(IF('0. Assumptions'!$B$31="","",'0. Assumptions'!$B$31),"")</f>
        <v>204000.0</v>
      </c>
      <c r="C7" s="32" t="n"/>
      <c r="D7" s="32" t="n"/>
      <c r="E7" s="32" t="n"/>
      <c r="F7" s="32" t="n"/>
      <c r="G7" s="32" t="n"/>
      <c r="H7" s="32" t="n"/>
    </row>
    <row r="8">
      <c r="A8" s="32" t="inlineStr">
        <is>
          <t>Other loan (not in the schedule or the DSCR — enter your loan in row 7)</t>
        </is>
      </c>
      <c r="B8" s="54" t="n">
        <v>0</v>
      </c>
      <c r="C8" s="32" t="inlineStr">
        <is>
          <t>A source of funds only: NOT amortized, so it is not in the schedule, the P&amp;L interest or the DSCR. Enter your bank or SBA 7(a) loan in row 7 ("Loan requested" in "0. Assumptions"); use this row only for a second loan</t>
        </is>
      </c>
      <c r="D8" s="32" t="n"/>
      <c r="E8" s="32" t="n"/>
      <c r="F8" s="32" t="n"/>
      <c r="G8" s="32" t="n"/>
      <c r="H8" s="32" t="n"/>
    </row>
    <row r="9">
      <c r="A9" s="32" t="inlineStr">
        <is>
          <t>SBA Microloan (not in the schedule or the DSCR — enter your loan in row 7)</t>
        </is>
      </c>
      <c r="B9" s="54" t="n">
        <v>0</v>
      </c>
      <c r="C9" s="32" t="inlineStr">
        <is>
          <t>SBA Microloans go up to $50,000 through nonprofit intermediaries. Like row 8, a source of funds only: not in the schedule or the DSCR. If it is your only loan, enter it in row 7 instead</t>
        </is>
      </c>
      <c r="D9" s="32" t="n"/>
      <c r="E9" s="32" t="n"/>
      <c r="F9" s="32" t="n"/>
      <c r="G9" s="32" t="n"/>
      <c r="H9" s="32" t="n"/>
    </row>
    <row r="10">
      <c r="A10" s="32" t="inlineStr">
        <is>
          <t>Investors / partners (equity: dilutes, not repaid)</t>
        </is>
      </c>
      <c r="B10" s="54" t="n">
        <v>0</v>
      </c>
      <c r="C10" s="32" t="inlineStr">
        <is>
          <t>Equity: it dilutes your ownership and is not repaid</t>
        </is>
      </c>
      <c r="D10" s="32" t="n"/>
      <c r="E10" s="32" t="n"/>
      <c r="F10" s="32" t="n"/>
      <c r="G10" s="32" t="n"/>
      <c r="H10" s="32" t="n"/>
    </row>
    <row r="11">
      <c r="A11" s="32" t="inlineStr">
        <is>
          <t>Local grants (usually paid after you spend)</t>
        </is>
      </c>
      <c r="B11" s="54" t="n">
        <v>0</v>
      </c>
      <c r="C11" s="32" t="inlineStr">
        <is>
          <t>Usually paid AFTER you document the spending</t>
        </is>
      </c>
      <c r="D11" s="32" t="n"/>
      <c r="E11" s="32" t="n"/>
      <c r="F11" s="32" t="n"/>
      <c r="G11" s="32" t="n"/>
      <c r="H11" s="32" t="n"/>
    </row>
    <row r="12">
      <c r="A12" s="29" t="inlineStr">
        <is>
          <t>TOTAL SOURCES OF FUNDS</t>
        </is>
      </c>
      <c r="B12" s="70">
        <f>IFERROR(IF(COUNT(B6:B11)=0,"",SUM(B6:B11)),"")</f>
        <v>264000.0</v>
      </c>
      <c r="C12" s="32" t="n"/>
      <c r="D12" s="32" t="n"/>
      <c r="E12" s="32" t="n"/>
      <c r="F12" s="32" t="n"/>
      <c r="G12" s="32" t="n"/>
      <c r="H12" s="32" t="n"/>
    </row>
    <row r="13">
      <c r="A13" s="29" t="inlineStr">
        <is>
          <t>USES OF FUNDS</t>
        </is>
      </c>
      <c r="B13" s="32" t="n"/>
      <c r="C13" s="32" t="n"/>
      <c r="D13" s="32" t="n"/>
      <c r="E13" s="32" t="n"/>
      <c r="F13" s="32" t="n"/>
      <c r="G13" s="32" t="n"/>
      <c r="H13" s="32" t="n"/>
    </row>
    <row r="14">
      <c r="A14" s="32" t="inlineStr">
        <is>
          <t>Total cash needed at launch</t>
        </is>
      </c>
      <c r="B14" s="44">
        <f>IFERROR(IF('Startup Costs'!$B$38="","",'Startup Costs'!$B$38),"")</f>
        <v>263686.7</v>
      </c>
      <c r="C14" s="32" t="inlineStr">
        <is>
          <t>Startup costs plus any recoverable tax you have to advance (zero by default in the US)</t>
        </is>
      </c>
      <c r="D14" s="32" t="n"/>
      <c r="E14" s="32" t="n"/>
      <c r="F14" s="32" t="n"/>
      <c r="G14" s="32" t="n"/>
      <c r="H14" s="32" t="n"/>
    </row>
    <row r="15">
      <c r="A15" s="29" t="inlineStr">
        <is>
          <t>Difference (sources - uses)</t>
        </is>
      </c>
      <c r="B15" s="70">
        <f>IFERROR(B12-B14,"")</f>
        <v>313.29999999998836</v>
      </c>
      <c r="C15" s="29" t="inlineStr">
        <is>
          <t>In red (negative), the plan is NOT funded. Far above zero is not free either: you pay interest on money you do not use</t>
        </is>
      </c>
      <c r="D15" s="32" t="n"/>
      <c r="E15" s="32" t="n"/>
      <c r="F15" s="32" t="n"/>
      <c r="G15" s="32" t="n"/>
      <c r="H15" s="32" t="n"/>
    </row>
    <row r="16">
      <c r="A16" s="32" t="inlineStr">
        <is>
          <t>Difference as a % of uses</t>
        </is>
      </c>
      <c r="B16" s="72">
        <f>IFERROR(B15/B14,"")</f>
        <v>0.0011881524551673951</v>
      </c>
      <c r="C16" s="32" t="inlineStr">
        <is>
          <t>Amber above the margin you set: it is debt you pay for without needing it</t>
        </is>
      </c>
      <c r="D16" s="32" t="n"/>
      <c r="E16" s="32" t="n"/>
      <c r="F16" s="32" t="n"/>
      <c r="G16" s="32" t="n"/>
      <c r="H16" s="32" t="n"/>
    </row>
    <row r="17">
      <c r="A17" s="32" t="inlineStr">
        <is>
          <t>Acceptable over-funding (%)</t>
        </is>
      </c>
      <c r="B17" s="77" t="n">
        <v>0.05</v>
      </c>
      <c r="C17" s="32" t="inlineStr">
        <is>
          <t>A small cushion over the need is healthy; 20% extra is interest thrown away</t>
        </is>
      </c>
      <c r="D17" s="32" t="n"/>
      <c r="E17" s="32" t="n"/>
      <c r="F17" s="32" t="n"/>
      <c r="G17" s="32" t="n"/>
      <c r="H17" s="32" t="n"/>
    </row>
    <row r="18">
      <c r="A18" s="32" t="inlineStr">
        <is>
          <t>Loan that would match sources to needs</t>
        </is>
      </c>
      <c r="B18" s="44">
        <f>IFERROR(MAX(0,B14-B12+B7),"")</f>
        <v>203686.7</v>
      </c>
      <c r="C18" s="32" t="inlineStr">
        <is>
          <t>Copy it into "Loan requested" in the "0. Assumptions" tab and the difference goes to zero. Rows 8-11 lower this figure, but only the row-7 loan is amortized and counted in the DSCR</t>
        </is>
      </c>
      <c r="D18" s="32" t="n"/>
      <c r="E18" s="32" t="n"/>
      <c r="F18" s="32" t="n"/>
      <c r="G18" s="32" t="n"/>
      <c r="H18" s="32" t="n"/>
    </row>
    <row r="19">
      <c r="A19" s="29" t="inlineStr">
        <is>
          <t>LOAN TERMS</t>
        </is>
      </c>
      <c r="B19" s="32" t="n"/>
      <c r="C19" s="32" t="n"/>
      <c r="D19" s="32" t="n"/>
      <c r="E19" s="32" t="n"/>
      <c r="F19" s="32" t="n"/>
      <c r="G19" s="32" t="n"/>
      <c r="H19" s="32" t="n"/>
    </row>
    <row r="20">
      <c r="A20" s="32" t="inlineStr">
        <is>
          <t>Principal amount</t>
        </is>
      </c>
      <c r="B20" s="44">
        <f>IFERROR(IF('0. Assumptions'!$B$31=0,"",'0. Assumptions'!$B$31),"")</f>
        <v>204000.0</v>
      </c>
      <c r="C20" s="32" t="n"/>
      <c r="D20" s="32" t="n"/>
      <c r="E20" s="32" t="n"/>
      <c r="F20" s="32" t="n"/>
      <c r="G20" s="32" t="n"/>
      <c r="H20" s="32" t="n"/>
    </row>
    <row r="21">
      <c r="A21" s="32" t="inlineStr">
        <is>
          <t>Nominal annual interest rate (not APR)</t>
        </is>
      </c>
      <c r="B21" s="72">
        <f>IFERROR(IF('0. Assumptions'!$B$32="","",'0. Assumptions'!$B$32),"")</f>
        <v>0.1</v>
      </c>
      <c r="C21" s="32" t="n"/>
      <c r="D21" s="32" t="n"/>
      <c r="E21" s="32" t="n"/>
      <c r="F21" s="32" t="n"/>
      <c r="G21" s="32" t="n"/>
      <c r="H21" s="32" t="n"/>
    </row>
    <row r="22">
      <c r="A22" s="32" t="inlineStr">
        <is>
          <t>Total term (years)</t>
        </is>
      </c>
      <c r="B22" s="44">
        <f>IFERROR(IF('0. Assumptions'!$B$33="","",'0. Assumptions'!$B$33),"")</f>
        <v>10.0</v>
      </c>
      <c r="C22" s="32" t="n"/>
      <c r="D22" s="32" t="n"/>
      <c r="E22" s="32" t="n"/>
      <c r="F22" s="32" t="n"/>
      <c r="G22" s="32" t="n"/>
      <c r="H22" s="32" t="n"/>
    </row>
    <row r="23">
      <c r="A23" s="32" t="inlineStr">
        <is>
          <t>Interest-only period applied (years)</t>
        </is>
      </c>
      <c r="B23" s="44">
        <f>IFERROR(IF(OR('0. Assumptions'!$B$34="",'0. Assumptions'!$B$33=""),"",IF('0. Assumptions'!$B$34&gt;='0. Assumptions'!$B$33,0,'0. Assumptions'!$B$34)),"")</f>
        <v>0.0</v>
      </c>
      <c r="C23" s="32" t="inlineStr">
        <is>
          <t>An interest-only period equal to or longer than the term does not exist: the sheet cancels it at the source</t>
        </is>
      </c>
      <c r="D23" s="32" t="n"/>
      <c r="E23" s="32" t="n"/>
      <c r="F23" s="32" t="n"/>
      <c r="G23" s="32" t="n"/>
      <c r="H23" s="32" t="n"/>
    </row>
    <row r="24">
      <c r="A24" s="29" t="inlineStr">
        <is>
          <t>Annual payment during repayment</t>
        </is>
      </c>
      <c r="B24" s="67">
        <f>IFERROR(IF(B22-B23&lt;=0,"",IF(B21=0,B20/(B22-B23),B20*B21/(1-(1+B21)^-(B22-B23)))),"")</f>
        <v>33200.06055603235</v>
      </c>
      <c r="C24" s="29" t="inlineStr">
        <is>
          <t>Standard amortizing loan with a level annual payment. At a 0% rate it is the principal divided by the repayment years: without that branch the schedule would shut down entirely</t>
        </is>
      </c>
      <c r="D24" s="32" t="n"/>
      <c r="E24" s="32" t="n"/>
      <c r="F24" s="32" t="n"/>
      <c r="G24" s="32" t="n"/>
      <c r="H24" s="32" t="n"/>
    </row>
    <row r="25">
      <c r="A25" s="29" t="inlineStr">
        <is>
          <t>AMORTIZATION SCHEDULE</t>
        </is>
      </c>
      <c r="B25" s="32" t="n"/>
      <c r="C25" s="32" t="n"/>
      <c r="D25" s="32" t="n"/>
      <c r="E25" s="32" t="n"/>
      <c r="F25" s="32" t="n"/>
      <c r="G25" s="32" t="n"/>
      <c r="H25" s="32" t="n"/>
    </row>
    <row r="26">
      <c r="A26" s="29" t="inlineStr">
        <is>
          <t>Year</t>
        </is>
      </c>
      <c r="B26" s="29" t="inlineStr">
        <is>
          <t>Opening balance</t>
        </is>
      </c>
      <c r="C26" s="29" t="inlineStr">
        <is>
          <t>Interest</t>
        </is>
      </c>
      <c r="D26" s="29" t="inlineStr">
        <is>
          <t>Principal repaid</t>
        </is>
      </c>
      <c r="E26" s="29" t="inlineStr">
        <is>
          <t>Total payment</t>
        </is>
      </c>
      <c r="F26" s="29" t="inlineStr">
        <is>
          <t>Closing balance</t>
        </is>
      </c>
      <c r="G26" s="29" t="inlineStr">
        <is>
          <t>Cash flow available for debt service (after tax; from year 4 on, year 3 held flat)</t>
        </is>
      </c>
      <c r="H26" s="29" t="inlineStr">
        <is>
          <t>DSCR for the year</t>
        </is>
      </c>
    </row>
    <row r="27">
      <c r="A27" s="44" t="n">
        <v>1</v>
      </c>
      <c r="B27" s="66">
        <f>IFERROR(IF(B20="","",B20),"")</f>
        <v>204000.0</v>
      </c>
      <c r="C27" s="66">
        <f>IFERROR(IF(OR(1&gt;B22,B27=""),"",B27*B21),"")</f>
        <v>20400.0</v>
      </c>
      <c r="D27" s="66">
        <f>IFERROR(IF(OR(1&gt;B22,B27=""),"",IF(1&lt;=B23,0,MIN(B27,B24-C27))),"")</f>
        <v>12800.060556032353</v>
      </c>
      <c r="E27" s="66">
        <f>IFERROR(IF(C27="","",C27+D27),"")</f>
        <v>33200.06055603235</v>
      </c>
      <c r="F27" s="66">
        <f>IFERROR(IF(D27="","",B27-D27),"")</f>
        <v>191199.93944396765</v>
      </c>
      <c r="G27" s="66">
        <f>IFERROR(IF(E27="","",'3-Year P&amp;L'!$B$40-'3-Year P&amp;L'!$B$45+'3-Year P&amp;L'!$B$35+'3-Year P&amp;L'!$B$36),"")</f>
        <v>80288.48285714287</v>
      </c>
      <c r="H27" s="66">
        <f>IFERROR(IF(OR(E27="",E27=0),"",G27/E27),"")</f>
        <v>2.418323385935954</v>
      </c>
    </row>
    <row r="28">
      <c r="A28" s="44" t="n">
        <v>2</v>
      </c>
      <c r="B28" s="66">
        <f>IFERROR(IF(OR(2&gt;B22,F27=""),"",F27),"")</f>
        <v>191199.93944396765</v>
      </c>
      <c r="C28" s="66">
        <f>IFERROR(IF(OR(2&gt;B22,B28=""),"",B28*B21),"")</f>
        <v>19119.993944396767</v>
      </c>
      <c r="D28" s="66">
        <f>IFERROR(IF(OR(2&gt;B22,B28=""),"",IF(2&lt;=B23,0,MIN(B28,B24-C28))),"")</f>
        <v>14080.066611635586</v>
      </c>
      <c r="E28" s="66">
        <f>IFERROR(IF(C28="","",C28+D28),"")</f>
        <v>33200.06055603235</v>
      </c>
      <c r="F28" s="66">
        <f>IFERROR(IF(D28="","",B28-D28),"")</f>
        <v>177119.87283233207</v>
      </c>
      <c r="G28" s="66">
        <f>IFERROR(IF(E28="","",'3-Year P&amp;L'!$C$40-'3-Year P&amp;L'!$C$45+'3-Year P&amp;L'!$C$35+'3-Year P&amp;L'!$C$36),"")</f>
        <v>93985.85714324203</v>
      </c>
      <c r="H28" s="66">
        <f>IFERROR(IF(OR(E28="",E28=0),"",G28/E28),"")</f>
        <v>2.8308941480579644</v>
      </c>
    </row>
    <row r="29">
      <c r="A29" s="44" t="n">
        <v>3</v>
      </c>
      <c r="B29" s="66">
        <f>IFERROR(IF(OR(3&gt;B22,F28=""),"",F28),"")</f>
        <v>177119.87283233207</v>
      </c>
      <c r="C29" s="66">
        <f>IFERROR(IF(OR(3&gt;B22,B29=""),"",B29*B21),"")</f>
        <v>17711.987283233208</v>
      </c>
      <c r="D29" s="66">
        <f>IFERROR(IF(OR(3&gt;B22,B29=""),"",IF(3&lt;=B23,0,MIN(B29,B24-C29))),"")</f>
        <v>15488.073272799145</v>
      </c>
      <c r="E29" s="66">
        <f>IFERROR(IF(C29="","",C29+D29),"")</f>
        <v>33200.06055603235</v>
      </c>
      <c r="F29" s="66">
        <f>IFERROR(IF(D29="","",B29-D29),"")</f>
        <v>161631.79955953293</v>
      </c>
      <c r="G29" s="66">
        <f>IFERROR(IF(E29="","",'3-Year P&amp;L'!$D$40-'3-Year P&amp;L'!$D$45+'3-Year P&amp;L'!$D$35+'3-Year P&amp;L'!$D$36),"")</f>
        <v>103286.4212679512</v>
      </c>
      <c r="H29" s="66">
        <f>IFERROR(IF(OR(E29="",E29=0),"",G29/E29),"")</f>
        <v>3.11103111073044</v>
      </c>
    </row>
    <row r="30">
      <c r="A30" s="44" t="n">
        <v>4</v>
      </c>
      <c r="B30" s="66">
        <f>IFERROR(IF(OR(4&gt;B22,F29=""),"",F29),"")</f>
        <v>161631.79955953293</v>
      </c>
      <c r="C30" s="66">
        <f>IFERROR(IF(OR(4&gt;B22,B30=""),"",B30*B21),"")</f>
        <v>16163.179955953294</v>
      </c>
      <c r="D30" s="66">
        <f>IFERROR(IF(OR(4&gt;B22,B30=""),"",IF(4&lt;=B23,0,MIN(B30,B24-C30))),"")</f>
        <v>17036.880600079057</v>
      </c>
      <c r="E30" s="66">
        <f>IFERROR(IF(C30="","",C30+D30),"")</f>
        <v>33200.06055603235</v>
      </c>
      <c r="F30" s="66">
        <f>IFERROR(IF(D30="","",B30-D30),"")</f>
        <v>144594.91895945388</v>
      </c>
      <c r="G30" s="66">
        <f>IFERROR(IF(E30="","",'3-Year P&amp;L'!$D$40-'3-Year P&amp;L'!$D$45+'3-Year P&amp;L'!$D$35+'3-Year P&amp;L'!$D$36),"")</f>
        <v>103286.4212679512</v>
      </c>
      <c r="H30" s="66">
        <f>IFERROR(IF(OR(E30="",E30=0),"",G30/E30),"")</f>
        <v>3.11103111073044</v>
      </c>
    </row>
    <row r="31">
      <c r="A31" s="44" t="n">
        <v>5</v>
      </c>
      <c r="B31" s="66">
        <f>IFERROR(IF(OR(5&gt;B22,F30=""),"",F30),"")</f>
        <v>144594.91895945388</v>
      </c>
      <c r="C31" s="66">
        <f>IFERROR(IF(OR(5&gt;B22,B31=""),"",B31*B21),"")</f>
        <v>14459.491895945388</v>
      </c>
      <c r="D31" s="66">
        <f>IFERROR(IF(OR(5&gt;B22,B31=""),"",IF(5&lt;=B23,0,MIN(B31,B24-C31))),"")</f>
        <v>18740.568660086967</v>
      </c>
      <c r="E31" s="66">
        <f>IFERROR(IF(C31="","",C31+D31),"")</f>
        <v>33200.06055603235</v>
      </c>
      <c r="F31" s="66">
        <f>IFERROR(IF(D31="","",B31-D31),"")</f>
        <v>125854.35029936691</v>
      </c>
      <c r="G31" s="66">
        <f>IFERROR(IF(E31="","",'3-Year P&amp;L'!$D$40-'3-Year P&amp;L'!$D$45+'3-Year P&amp;L'!$D$35+'3-Year P&amp;L'!$D$36),"")</f>
        <v>103286.4212679512</v>
      </c>
      <c r="H31" s="66">
        <f>IFERROR(IF(OR(E31="",E31=0),"",G31/E31),"")</f>
        <v>3.11103111073044</v>
      </c>
    </row>
    <row r="32">
      <c r="A32" s="44" t="n">
        <v>6</v>
      </c>
      <c r="B32" s="66">
        <f>IFERROR(IF(OR(6&gt;B22,F31=""),"",F31),"")</f>
        <v>125854.35029936691</v>
      </c>
      <c r="C32" s="66">
        <f>IFERROR(IF(OR(6&gt;B22,B32=""),"",B32*B21),"")</f>
        <v>12585.435029936692</v>
      </c>
      <c r="D32" s="66">
        <f>IFERROR(IF(OR(6&gt;B22,B32=""),"",IF(6&lt;=B23,0,MIN(B32,B24-C32))),"")</f>
        <v>20614.62552609566</v>
      </c>
      <c r="E32" s="66">
        <f>IFERROR(IF(C32="","",C32+D32),"")</f>
        <v>33200.06055603235</v>
      </c>
      <c r="F32" s="66">
        <f>IFERROR(IF(D32="","",B32-D32),"")</f>
        <v>105239.72477327124</v>
      </c>
      <c r="G32" s="66">
        <f>IFERROR(IF(E32="","",'3-Year P&amp;L'!$D$40-'3-Year P&amp;L'!$D$45+'3-Year P&amp;L'!$D$35+'3-Year P&amp;L'!$D$36),"")</f>
        <v>103286.4212679512</v>
      </c>
      <c r="H32" s="66">
        <f>IFERROR(IF(OR(E32="",E32=0),"",G32/E32),"")</f>
        <v>3.11103111073044</v>
      </c>
    </row>
    <row r="33">
      <c r="A33" s="44" t="n">
        <v>7</v>
      </c>
      <c r="B33" s="66">
        <f>IFERROR(IF(OR(7&gt;B22,F32=""),"",F32),"")</f>
        <v>105239.72477327124</v>
      </c>
      <c r="C33" s="66">
        <f>IFERROR(IF(OR(7&gt;B22,B33=""),"",B33*B21),"")</f>
        <v>10523.972477327125</v>
      </c>
      <c r="D33" s="66">
        <f>IFERROR(IF(OR(7&gt;B22,B33=""),"",IF(7&lt;=B23,0,MIN(B33,B24-C33))),"")</f>
        <v>22676.08807870523</v>
      </c>
      <c r="E33" s="66">
        <f>IFERROR(IF(C33="","",C33+D33),"")</f>
        <v>33200.06055603235</v>
      </c>
      <c r="F33" s="66">
        <f>IFERROR(IF(D33="","",B33-D33),"")</f>
        <v>82563.63669456601</v>
      </c>
      <c r="G33" s="66">
        <f>IFERROR(IF(E33="","",'3-Year P&amp;L'!$D$40-'3-Year P&amp;L'!$D$45+'3-Year P&amp;L'!$D$35+'3-Year P&amp;L'!$D$36),"")</f>
        <v>103286.4212679512</v>
      </c>
      <c r="H33" s="66">
        <f>IFERROR(IF(OR(E33="",E33=0),"",G33/E33),"")</f>
        <v>3.11103111073044</v>
      </c>
    </row>
    <row r="34">
      <c r="A34" s="44" t="n">
        <v>8</v>
      </c>
      <c r="B34" s="66">
        <f>IFERROR(IF(OR(8&gt;B22,F33=""),"",F33),"")</f>
        <v>82563.63669456601</v>
      </c>
      <c r="C34" s="66">
        <f>IFERROR(IF(OR(8&gt;B22,B34=""),"",B34*B21),"")</f>
        <v>8256.363669456601</v>
      </c>
      <c r="D34" s="66">
        <f>IFERROR(IF(OR(8&gt;B22,B34=""),"",IF(8&lt;=B23,0,MIN(B34,B24-C34))),"")</f>
        <v>24943.69688657575</v>
      </c>
      <c r="E34" s="66">
        <f>IFERROR(IF(C34="","",C34+D34),"")</f>
        <v>33200.06055603235</v>
      </c>
      <c r="F34" s="66">
        <f>IFERROR(IF(D34="","",B34-D34),"")</f>
        <v>57619.93980799026</v>
      </c>
      <c r="G34" s="66">
        <f>IFERROR(IF(E34="","",'3-Year P&amp;L'!$D$40-'3-Year P&amp;L'!$D$45+'3-Year P&amp;L'!$D$35+'3-Year P&amp;L'!$D$36),"")</f>
        <v>103286.4212679512</v>
      </c>
      <c r="H34" s="66">
        <f>IFERROR(IF(OR(E34="",E34=0),"",G34/E34),"")</f>
        <v>3.11103111073044</v>
      </c>
    </row>
    <row r="35">
      <c r="A35" s="44" t="n">
        <v>9</v>
      </c>
      <c r="B35" s="66">
        <f>IFERROR(IF(OR(9&gt;B22,F34=""),"",F34),"")</f>
        <v>57619.93980799026</v>
      </c>
      <c r="C35" s="66">
        <f>IFERROR(IF(OR(9&gt;B22,B35=""),"",B35*B21),"")</f>
        <v>5761.993980799027</v>
      </c>
      <c r="D35" s="66">
        <f>IFERROR(IF(OR(9&gt;B22,B35=""),"",IF(9&lt;=B23,0,MIN(B35,B24-C35))),"")</f>
        <v>27438.066575233326</v>
      </c>
      <c r="E35" s="66">
        <f>IFERROR(IF(C35="","",C35+D35),"")</f>
        <v>33200.06055603235</v>
      </c>
      <c r="F35" s="66">
        <f>IFERROR(IF(D35="","",B35-D35),"")</f>
        <v>30181.873232756934</v>
      </c>
      <c r="G35" s="66">
        <f>IFERROR(IF(E35="","",'3-Year P&amp;L'!$D$40-'3-Year P&amp;L'!$D$45+'3-Year P&amp;L'!$D$35+'3-Year P&amp;L'!$D$36),"")</f>
        <v>103286.4212679512</v>
      </c>
      <c r="H35" s="66">
        <f>IFERROR(IF(OR(E35="",E35=0),"",G35/E35),"")</f>
        <v>3.11103111073044</v>
      </c>
    </row>
    <row r="36">
      <c r="A36" s="44" t="n">
        <v>10</v>
      </c>
      <c r="B36" s="66">
        <f>IFERROR(IF(OR(10&gt;B22,F35=""),"",F35),"")</f>
        <v>30181.873232756934</v>
      </c>
      <c r="C36" s="66">
        <f>IFERROR(IF(OR(10&gt;B22,B36=""),"",B36*B21),"")</f>
        <v>3018.1873232756934</v>
      </c>
      <c r="D36" s="66">
        <f>IFERROR(IF(OR(10&gt;B22,B36=""),"",IF(10&lt;=B23,0,MIN(B36,B24-C36))),"")</f>
        <v>30181.87323275666</v>
      </c>
      <c r="E36" s="66">
        <f>IFERROR(IF(C36="","",C36+D36),"")</f>
        <v>33200.06055603235</v>
      </c>
      <c r="F36" s="66">
        <f>IFERROR(IF(D36="","",B36-D36),"")</f>
        <v>2.7284841053187847e-10</v>
      </c>
      <c r="G36" s="66">
        <f>IFERROR(IF(E36="","",'3-Year P&amp;L'!$D$40-'3-Year P&amp;L'!$D$45+'3-Year P&amp;L'!$D$35+'3-Year P&amp;L'!$D$36),"")</f>
        <v>103286.4212679512</v>
      </c>
      <c r="H36" s="66">
        <f>IFERROR(IF(OR(E36="",E36=0),"",G36/E36),"")</f>
        <v>3.11103111073044</v>
      </c>
    </row>
    <row r="37">
      <c r="A37" s="44" t="n">
        <v>11</v>
      </c>
      <c r="B37" s="66">
        <f>IFERROR(IF(OR(11&gt;B22,F36=""),"",F36),"")</f>
        <v/>
      </c>
      <c r="C37" s="66">
        <f>IFERROR(IF(OR(11&gt;B22,B37=""),"",B37*B21),"")</f>
        <v/>
      </c>
      <c r="D37" s="66">
        <f>IFERROR(IF(OR(11&gt;B22,B37=""),"",IF(11&lt;=B23,0,MIN(B37,B24-C37))),"")</f>
        <v/>
      </c>
      <c r="E37" s="66">
        <f>IFERROR(IF(C37="","",C37+D37),"")</f>
        <v/>
      </c>
      <c r="F37" s="66">
        <f>IFERROR(IF(D37="","",B37-D37),"")</f>
        <v/>
      </c>
      <c r="G37" s="66">
        <f>IFERROR(IF(E37="","",'3-Year P&amp;L'!$D$40-'3-Year P&amp;L'!$D$45+'3-Year P&amp;L'!$D$35+'3-Year P&amp;L'!$D$36),"")</f>
        <v/>
      </c>
      <c r="H37" s="66">
        <f>IFERROR(IF(OR(E37="",E37=0),"",G37/E37),"")</f>
        <v/>
      </c>
    </row>
    <row r="38">
      <c r="A38" s="44" t="n">
        <v>12</v>
      </c>
      <c r="B38" s="66">
        <f>IFERROR(IF(OR(12&gt;B22,F37=""),"",F37),"")</f>
        <v/>
      </c>
      <c r="C38" s="66">
        <f>IFERROR(IF(OR(12&gt;B22,B38=""),"",B38*B21),"")</f>
        <v/>
      </c>
      <c r="D38" s="66">
        <f>IFERROR(IF(OR(12&gt;B22,B38=""),"",IF(12&lt;=B23,0,MIN(B38,B24-C38))),"")</f>
        <v/>
      </c>
      <c r="E38" s="66">
        <f>IFERROR(IF(C38="","",C38+D38),"")</f>
        <v/>
      </c>
      <c r="F38" s="66">
        <f>IFERROR(IF(D38="","",B38-D38),"")</f>
        <v/>
      </c>
      <c r="G38" s="66">
        <f>IFERROR(IF(E38="","",'3-Year P&amp;L'!$D$40-'3-Year P&amp;L'!$D$45+'3-Year P&amp;L'!$D$35+'3-Year P&amp;L'!$D$36),"")</f>
        <v/>
      </c>
      <c r="H38" s="66">
        <f>IFERROR(IF(OR(E38="",E38=0),"",G38/E38),"")</f>
        <v/>
      </c>
    </row>
    <row r="39">
      <c r="A39" s="44" t="n">
        <v>13</v>
      </c>
      <c r="B39" s="66">
        <f>IFERROR(IF(OR(13&gt;B22,F38=""),"",F38),"")</f>
        <v/>
      </c>
      <c r="C39" s="66">
        <f>IFERROR(IF(OR(13&gt;B22,B39=""),"",B39*B21),"")</f>
        <v/>
      </c>
      <c r="D39" s="66">
        <f>IFERROR(IF(OR(13&gt;B22,B39=""),"",IF(13&lt;=B23,0,MIN(B39,B24-C39))),"")</f>
        <v/>
      </c>
      <c r="E39" s="66">
        <f>IFERROR(IF(C39="","",C39+D39),"")</f>
        <v/>
      </c>
      <c r="F39" s="66">
        <f>IFERROR(IF(D39="","",B39-D39),"")</f>
        <v/>
      </c>
      <c r="G39" s="66">
        <f>IFERROR(IF(E39="","",'3-Year P&amp;L'!$D$40-'3-Year P&amp;L'!$D$45+'3-Year P&amp;L'!$D$35+'3-Year P&amp;L'!$D$36),"")</f>
        <v/>
      </c>
      <c r="H39" s="66">
        <f>IFERROR(IF(OR(E39="",E39=0),"",G39/E39),"")</f>
        <v/>
      </c>
    </row>
    <row r="40">
      <c r="A40" s="44" t="n">
        <v>14</v>
      </c>
      <c r="B40" s="66">
        <f>IFERROR(IF(OR(14&gt;B22,F39=""),"",F39),"")</f>
        <v/>
      </c>
      <c r="C40" s="66">
        <f>IFERROR(IF(OR(14&gt;B22,B40=""),"",B40*B21),"")</f>
        <v/>
      </c>
      <c r="D40" s="66">
        <f>IFERROR(IF(OR(14&gt;B22,B40=""),"",IF(14&lt;=B23,0,MIN(B40,B24-C40))),"")</f>
        <v/>
      </c>
      <c r="E40" s="66">
        <f>IFERROR(IF(C40="","",C40+D40),"")</f>
        <v/>
      </c>
      <c r="F40" s="66">
        <f>IFERROR(IF(D40="","",B40-D40),"")</f>
        <v/>
      </c>
      <c r="G40" s="66">
        <f>IFERROR(IF(E40="","",'3-Year P&amp;L'!$D$40-'3-Year P&amp;L'!$D$45+'3-Year P&amp;L'!$D$35+'3-Year P&amp;L'!$D$36),"")</f>
        <v/>
      </c>
      <c r="H40" s="66">
        <f>IFERROR(IF(OR(E40="",E40=0),"",G40/E40),"")</f>
        <v/>
      </c>
    </row>
    <row r="41">
      <c r="A41" s="44" t="n">
        <v>15</v>
      </c>
      <c r="B41" s="66">
        <f>IFERROR(IF(OR(15&gt;B22,F40=""),"",F40),"")</f>
        <v/>
      </c>
      <c r="C41" s="66">
        <f>IFERROR(IF(OR(15&gt;B22,B41=""),"",B41*B21),"")</f>
        <v/>
      </c>
      <c r="D41" s="66">
        <f>IFERROR(IF(OR(15&gt;B22,B41=""),"",IF(15&lt;=B23,0,MIN(B41,B24-C41))),"")</f>
        <v/>
      </c>
      <c r="E41" s="66">
        <f>IFERROR(IF(C41="","",C41+D41),"")</f>
        <v/>
      </c>
      <c r="F41" s="66">
        <f>IFERROR(IF(D41="","",B41-D41),"")</f>
        <v/>
      </c>
      <c r="G41" s="66">
        <f>IFERROR(IF(E41="","",'3-Year P&amp;L'!$D$40-'3-Year P&amp;L'!$D$45+'3-Year P&amp;L'!$D$35+'3-Year P&amp;L'!$D$36),"")</f>
        <v/>
      </c>
      <c r="H41" s="66">
        <f>IFERROR(IF(OR(E41="",E41=0),"",G41/E41),"")</f>
        <v/>
      </c>
    </row>
    <row r="42">
      <c r="A42" s="32" t="inlineStr">
        <is>
          <t>Schedule closing tolerance</t>
        </is>
      </c>
      <c r="B42" s="75" t="n">
        <v>0.01</v>
      </c>
      <c r="C42" s="32" t="inlineStr">
        <is>
          <t>Rounding margin. Above it, the schedule does not close and there is principal left unpaid</t>
        </is>
      </c>
      <c r="D42" s="32" t="n"/>
      <c r="E42" s="32" t="n"/>
      <c r="F42" s="32" t="n"/>
      <c r="G42" s="32" t="n"/>
      <c r="H42" s="32" t="n"/>
    </row>
    <row r="43">
      <c r="A43" s="32" t="inlineStr">
        <is>
          <t>Balance outstanding at maturity</t>
        </is>
      </c>
      <c r="B43" s="66">
        <f>IFERROR(IF(B20="","",ROUND(B20-SUM(D27:D41),2)),"")</f>
        <v>0.0</v>
      </c>
      <c r="C43" s="32" t="inlineStr">
        <is>
          <t>Must be zero: the principal repaid in the schedule has to equal the amount borrowed. If it is positive, the term falls short</t>
        </is>
      </c>
      <c r="D43" s="32" t="n"/>
      <c r="E43" s="32" t="n"/>
      <c r="F43" s="32" t="n"/>
      <c r="G43" s="32" t="n"/>
      <c r="H43" s="32" t="n"/>
    </row>
    <row r="44">
      <c r="A44" s="32" t="inlineStr">
        <is>
          <t>Year-1 interest</t>
        </is>
      </c>
      <c r="B44" s="44">
        <f>IFERROR(IF(B20="","",IF(C27="",0,C27)),"")</f>
        <v>20400.0</v>
      </c>
      <c r="C44" s="32" t="n"/>
      <c r="D44" s="32" t="n"/>
      <c r="E44" s="32" t="n"/>
      <c r="F44" s="32" t="n"/>
      <c r="G44" s="32" t="n"/>
      <c r="H44" s="32" t="n"/>
    </row>
    <row r="45">
      <c r="A45" s="32" t="inlineStr">
        <is>
          <t>Year-1 principal repaid</t>
        </is>
      </c>
      <c r="B45" s="44">
        <f>IFERROR(IF(B20="","",IF(D27="",0,D27)),"")</f>
        <v>12800.060556032353</v>
      </c>
      <c r="C45" s="32" t="n"/>
      <c r="D45" s="32" t="n"/>
      <c r="E45" s="32" t="n"/>
      <c r="F45" s="32" t="n"/>
      <c r="G45" s="32" t="n"/>
      <c r="H45" s="32" t="n"/>
    </row>
    <row r="46">
      <c r="A46" s="32" t="inlineStr">
        <is>
          <t>Year-2 interest</t>
        </is>
      </c>
      <c r="B46" s="44">
        <f>IFERROR(IF(B20="","",IF(C28="",0,C28)),"")</f>
        <v>19119.993944396767</v>
      </c>
      <c r="C46" s="32" t="n"/>
      <c r="D46" s="32" t="n"/>
      <c r="E46" s="32" t="n"/>
      <c r="F46" s="32" t="n"/>
      <c r="G46" s="32" t="n"/>
      <c r="H46" s="32" t="n"/>
    </row>
    <row r="47">
      <c r="A47" s="32" t="inlineStr">
        <is>
          <t>Year-2 principal repaid</t>
        </is>
      </c>
      <c r="B47" s="44">
        <f>IFERROR(IF(B20="","",IF(D28="",0,D28)),"")</f>
        <v>14080.066611635586</v>
      </c>
      <c r="C47" s="32" t="n"/>
      <c r="D47" s="32" t="n"/>
      <c r="E47" s="32" t="n"/>
      <c r="F47" s="32" t="n"/>
      <c r="G47" s="32" t="n"/>
      <c r="H47" s="32" t="n"/>
    </row>
    <row r="48">
      <c r="A48" s="32" t="inlineStr">
        <is>
          <t>Year-3 interest</t>
        </is>
      </c>
      <c r="B48" s="44">
        <f>IFERROR(IF(B20="","",IF(C29="",0,C29)),"")</f>
        <v>17711.987283233208</v>
      </c>
      <c r="C48" s="32" t="n"/>
      <c r="D48" s="32" t="n"/>
      <c r="E48" s="32" t="n"/>
      <c r="F48" s="32" t="n"/>
      <c r="G48" s="32" t="n"/>
      <c r="H48" s="32" t="n"/>
    </row>
    <row r="49">
      <c r="A49" s="32" t="inlineStr">
        <is>
          <t>Year-3 principal repaid</t>
        </is>
      </c>
      <c r="B49" s="44">
        <f>IFERROR(IF(B20="","",IF(D29="",0,D29)),"")</f>
        <v>15488.073272799145</v>
      </c>
      <c r="C49" s="32" t="n"/>
      <c r="D49" s="32" t="n"/>
      <c r="E49" s="32" t="n"/>
      <c r="F49" s="32" t="n"/>
      <c r="G49" s="32" t="n"/>
      <c r="H49" s="32" t="n"/>
    </row>
    <row r="50">
      <c r="A50" s="29" t="inlineStr">
        <is>
          <t>DEBT SERVICE COVERAGE RATIO (DSCR)</t>
        </is>
      </c>
      <c r="B50" s="32" t="n"/>
      <c r="C50" s="32" t="n"/>
      <c r="D50" s="32" t="n"/>
      <c r="E50" s="32" t="n"/>
      <c r="F50" s="32" t="n"/>
      <c r="G50" s="32" t="n"/>
      <c r="H50" s="32" t="n"/>
    </row>
    <row r="51">
      <c r="A51" s="32" t="inlineStr">
        <is>
          <t>Year-1 DSCR</t>
        </is>
      </c>
      <c r="B51" s="66">
        <f>IFERROR(('3-Year P&amp;L'!$B$40-'3-Year P&amp;L'!$B$45+'3-Year P&amp;L'!$B$35+B44)/(B44+B45),"")</f>
        <v>2.418323385935954</v>
      </c>
      <c r="C51" s="32" t="inlineStr">
        <is>
          <t>An INTEREST-ONLY year, if there is one: with only interest in the denominator the ratio shoots up and does not measure the business</t>
        </is>
      </c>
      <c r="D51" s="32" t="n"/>
      <c r="E51" s="32" t="n"/>
      <c r="F51" s="32" t="n"/>
      <c r="G51" s="32" t="n"/>
      <c r="H51" s="32" t="n"/>
    </row>
    <row r="52">
      <c r="A52" s="32" t="inlineStr">
        <is>
          <t>Year-2 DSCR</t>
        </is>
      </c>
      <c r="B52" s="66">
        <f>IFERROR(('3-Year P&amp;L'!$C$40-'3-Year P&amp;L'!$C$45+'3-Year P&amp;L'!$C$35+B46)/(B46+B47),"")</f>
        <v>2.8308941480579644</v>
      </c>
      <c r="C52" s="32" t="n"/>
      <c r="D52" s="32" t="n"/>
      <c r="E52" s="32" t="n"/>
      <c r="F52" s="32" t="n"/>
      <c r="G52" s="32" t="n"/>
      <c r="H52" s="32" t="n"/>
    </row>
    <row r="53">
      <c r="A53" s="32" t="inlineStr">
        <is>
          <t>Year-3 DSCR</t>
        </is>
      </c>
      <c r="B53" s="66">
        <f>IFERROR(('3-Year P&amp;L'!$D$40-'3-Year P&amp;L'!$D$45+'3-Year P&amp;L'!$D$35+B48)/(B48+B49),"")</f>
        <v>3.11103111073044</v>
      </c>
      <c r="C53" s="32" t="n"/>
      <c r="D53" s="32" t="n"/>
      <c r="E53" s="32" t="n"/>
      <c r="F53" s="32" t="n"/>
      <c r="G53" s="32" t="n"/>
      <c r="H53" s="32" t="n"/>
    </row>
    <row r="54">
      <c r="A54" s="29" t="inlineStr">
        <is>
          <t>Minimum DSCR across the whole schedule</t>
        </is>
      </c>
      <c r="B54" s="67">
        <f>IFERROR(IF(COUNT(H27:H41)=0,"",MIN(H27:H41)),"")</f>
        <v>2.418323385935954</v>
      </c>
      <c r="C54" s="29"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32" t="n"/>
      <c r="E54" s="32" t="n"/>
      <c r="F54" s="32" t="n"/>
      <c r="G54" s="32" t="n"/>
      <c r="H54" s="32" t="n"/>
    </row>
    <row r="55">
      <c r="A55" s="32" t="n"/>
      <c r="B55" s="32" t="n"/>
      <c r="C55" s="32" t="n"/>
      <c r="D55" s="32" t="n"/>
      <c r="E55" s="32" t="n"/>
      <c r="F55" s="32" t="n"/>
      <c r="G55" s="32" t="n"/>
      <c r="H55" s="32" t="n"/>
    </row>
    <row r="56" ht="165" customHeight="1">
      <c r="A56" s="51"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32" t="n"/>
      <c r="C56" s="32" t="n"/>
      <c r="D56" s="32" t="n"/>
      <c r="E56" s="32" t="n"/>
      <c r="F56" s="32" t="n"/>
      <c r="G56" s="32" t="n"/>
      <c r="H56" s="32" t="n"/>
    </row>
    <row r="57">
      <c r="A57" s="32" t="n"/>
      <c r="B57" s="32" t="n"/>
      <c r="C57" s="32" t="n"/>
      <c r="D57" s="32" t="n"/>
      <c r="E57" s="32" t="n"/>
      <c r="F57" s="32" t="n"/>
      <c r="G57" s="32" t="n"/>
      <c r="H57" s="32" t="n"/>
    </row>
    <row r="58">
      <c r="A58" s="32" t="n"/>
      <c r="B58" s="32" t="n"/>
      <c r="C58" s="32" t="n"/>
      <c r="D58" s="32" t="n"/>
      <c r="E58" s="32" t="n"/>
      <c r="F58" s="32" t="n"/>
      <c r="G58" s="32" t="n"/>
      <c r="H58" s="32" t="n"/>
    </row>
    <row r="59">
      <c r="A59" s="32" t="n"/>
      <c r="B59" s="32" t="n"/>
      <c r="C59" s="32" t="n"/>
      <c r="D59" s="32" t="n"/>
      <c r="E59" s="32" t="n"/>
      <c r="F59" s="32" t="n"/>
      <c r="G59" s="32" t="n"/>
      <c r="H59" s="32" t="n"/>
    </row>
    <row r="60">
      <c r="A60" s="32" t="n"/>
      <c r="B60" s="32" t="n"/>
      <c r="C60" s="32" t="n"/>
      <c r="D60" s="32" t="n"/>
      <c r="E60" s="32" t="n"/>
      <c r="F60" s="32" t="n"/>
      <c r="G60" s="32" t="n"/>
      <c r="H60" s="32" t="n"/>
    </row>
    <row r="61">
      <c r="A61" s="32" t="n"/>
      <c r="B61" s="32" t="n"/>
      <c r="C61" s="32" t="n"/>
      <c r="D61" s="32" t="n"/>
      <c r="E61" s="32" t="n"/>
      <c r="F61" s="32" t="n"/>
      <c r="G61" s="32" t="n"/>
      <c r="H61" s="32" t="n"/>
    </row>
    <row r="62">
      <c r="A62" s="32" t="n"/>
      <c r="B62" s="32" t="n"/>
      <c r="C62" s="32" t="n"/>
      <c r="D62" s="32" t="n"/>
      <c r="E62" s="32" t="n"/>
      <c r="F62" s="32" t="n"/>
      <c r="G62" s="32" t="n"/>
      <c r="H62" s="32" t="n"/>
    </row>
    <row r="63">
      <c r="A63" s="32" t="n"/>
      <c r="B63" s="32" t="n"/>
      <c r="C63" s="32" t="n"/>
      <c r="D63" s="32" t="n"/>
      <c r="E63" s="32" t="n"/>
      <c r="F63" s="32" t="n"/>
      <c r="G63" s="32" t="n"/>
      <c r="H63" s="32" t="n"/>
    </row>
    <row r="64">
      <c r="A64" s="32" t="n"/>
      <c r="B64" s="32" t="n"/>
      <c r="C64" s="32" t="n"/>
      <c r="D64" s="32" t="n"/>
      <c r="E64" s="32" t="n"/>
      <c r="F64" s="32" t="n"/>
      <c r="G64" s="32" t="n"/>
      <c r="H64" s="32" t="n"/>
    </row>
    <row r="65">
      <c r="A65" s="32" t="n"/>
      <c r="B65" s="32" t="n"/>
      <c r="C65" s="32" t="n"/>
      <c r="D65" s="32" t="n"/>
      <c r="E65" s="32" t="n"/>
      <c r="F65" s="32" t="n"/>
      <c r="G65" s="32" t="n"/>
      <c r="H65" s="32" t="n"/>
    </row>
    <row r="66">
      <c r="A66" s="32" t="n"/>
      <c r="B66" s="32" t="n"/>
      <c r="C66" s="32" t="n"/>
      <c r="D66" s="32" t="n"/>
      <c r="E66" s="32" t="n"/>
      <c r="F66" s="32" t="n"/>
      <c r="G66" s="32" t="n"/>
      <c r="H66" s="32" t="n"/>
    </row>
    <row r="67">
      <c r="A67" s="32" t="n"/>
      <c r="B67" s="32" t="n"/>
      <c r="C67" s="32" t="n"/>
      <c r="D67" s="32" t="n"/>
      <c r="E67" s="32" t="n"/>
      <c r="F67" s="32" t="n"/>
      <c r="G67" s="32" t="n"/>
      <c r="H67" s="32" t="n"/>
    </row>
    <row r="68">
      <c r="A68" s="32" t="n"/>
      <c r="B68" s="32" t="n"/>
      <c r="C68" s="32" t="n"/>
      <c r="D68" s="32" t="n"/>
      <c r="E68" s="32" t="n"/>
      <c r="F68" s="32" t="n"/>
      <c r="G68" s="32" t="n"/>
      <c r="H68" s="32" t="n"/>
    </row>
    <row r="69">
      <c r="A69" s="32" t="n"/>
      <c r="B69" s="32" t="n"/>
      <c r="C69" s="32" t="n"/>
      <c r="D69" s="32" t="n"/>
      <c r="E69" s="32" t="n"/>
      <c r="F69" s="32" t="n"/>
      <c r="G69" s="32" t="n"/>
      <c r="H69" s="32" t="n"/>
    </row>
    <row r="70">
      <c r="A70" s="32" t="n"/>
      <c r="B70" s="32" t="n"/>
      <c r="C70" s="32" t="n"/>
      <c r="D70" s="32" t="n"/>
      <c r="E70" s="32" t="n"/>
      <c r="F70" s="32" t="n"/>
      <c r="G70" s="32" t="n"/>
      <c r="H70" s="32" t="n"/>
    </row>
    <row r="71">
      <c r="A71" s="32" t="n"/>
      <c r="B71" s="32" t="n"/>
      <c r="C71" s="32" t="n"/>
      <c r="D71" s="32" t="n"/>
      <c r="E71" s="32" t="n"/>
      <c r="F71" s="32" t="n"/>
      <c r="G71" s="32" t="n"/>
      <c r="H71" s="32" t="n"/>
    </row>
    <row r="72">
      <c r="A72" s="32" t="n"/>
      <c r="B72" s="32" t="n"/>
      <c r="C72" s="32" t="n"/>
      <c r="D72" s="32" t="n"/>
      <c r="E72" s="32" t="n"/>
      <c r="F72" s="32" t="n"/>
      <c r="G72" s="32" t="n"/>
      <c r="H72" s="32" t="n"/>
    </row>
    <row r="73">
      <c r="A73" s="32" t="n"/>
      <c r="B73" s="32" t="n"/>
      <c r="C73" s="32" t="n"/>
      <c r="D73" s="32" t="n"/>
      <c r="E73" s="32" t="n"/>
      <c r="F73" s="32" t="n"/>
      <c r="G73" s="32" t="n"/>
      <c r="H73" s="32" t="n"/>
    </row>
    <row r="74">
      <c r="A74" s="32" t="n"/>
      <c r="B74" s="32" t="n"/>
      <c r="C74" s="32" t="n"/>
      <c r="D74" s="32" t="n"/>
      <c r="E74" s="32" t="n"/>
      <c r="F74" s="32" t="n"/>
      <c r="G74" s="32" t="n"/>
      <c r="H74" s="32" t="n"/>
    </row>
    <row r="75">
      <c r="A75" s="32" t="n"/>
      <c r="B75" s="32" t="n"/>
      <c r="C75" s="32" t="n"/>
      <c r="D75" s="32" t="n"/>
      <c r="E75" s="32" t="n"/>
      <c r="F75" s="32" t="n"/>
      <c r="G75" s="32" t="n"/>
      <c r="H75" s="32" t="n"/>
    </row>
    <row r="76">
      <c r="A76" s="32" t="n"/>
      <c r="B76" s="32" t="n"/>
      <c r="C76" s="32" t="n"/>
      <c r="D76" s="32" t="n"/>
      <c r="E76" s="32" t="n"/>
      <c r="F76" s="32" t="n"/>
      <c r="G76" s="32" t="n"/>
      <c r="H76" s="32" t="n"/>
    </row>
    <row r="77">
      <c r="A77" s="32" t="n"/>
      <c r="B77" s="32" t="n"/>
      <c r="C77" s="32" t="n"/>
      <c r="D77" s="32" t="n"/>
      <c r="E77" s="32" t="n"/>
      <c r="F77" s="32" t="n"/>
      <c r="G77" s="32" t="n"/>
      <c r="H77" s="32" t="n"/>
    </row>
    <row r="78">
      <c r="A78" s="32" t="n"/>
      <c r="B78" s="32" t="n"/>
      <c r="C78" s="32" t="n"/>
      <c r="D78" s="32" t="n"/>
      <c r="E78" s="32" t="n"/>
      <c r="F78" s="32" t="n"/>
      <c r="G78" s="32" t="n"/>
      <c r="H78" s="32" t="n"/>
    </row>
    <row r="79">
      <c r="A79" s="32" t="n"/>
      <c r="B79" s="32" t="n"/>
      <c r="C79" s="32" t="n"/>
      <c r="D79" s="32" t="n"/>
      <c r="E79" s="32" t="n"/>
      <c r="F79" s="32" t="n"/>
      <c r="G79" s="32" t="n"/>
      <c r="H79" s="32" t="n"/>
    </row>
    <row r="80">
      <c r="A80" s="32" t="n"/>
      <c r="B80" s="32" t="n"/>
      <c r="C80" s="32" t="n"/>
      <c r="D80" s="32" t="n"/>
      <c r="E80" s="32" t="n"/>
      <c r="F80" s="32" t="n"/>
      <c r="G80" s="32" t="n"/>
      <c r="H80" s="32"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Coffee Shop Financial Projections: 3-Year P&amp;L, Cash Flow &amp; Financing · Coffee Shop Business Plan Kit</dc:title>
  <dc:description xmlns:dc="http://purl.org/dc/elements/1.1/">aichef.pro/en/digital-products/coffee-shop-business-plan</dc:description>
  <dc:subject xmlns:dc="http://purl.org/dc/elements/1.1/">Coffee Shop Business Plan Kit · v2.2</dc:subject>
  <dcterms:created xmlns:dcterms="http://purl.org/dc/terms/" xmlns:xsi="http://www.w3.org/2001/XMLSchema-instance" xsi:type="dcterms:W3CDTF">2026-03-26T10:59:03Z</dcterms:created>
  <dcterms:modified xmlns:dcterms="http://purl.org/dc/terms/" xmlns:xsi="http://www.w3.org/2001/XMLSchema-instance" xsi:type="dcterms:W3CDTF">2026-10-04T17:50:54Z</dcterms:modified>
  <cp:lastModifiedBy>AI Chef Pro</cp:lastModifiedBy>
  <cp:category>AI Chef Pro · Digital products</cp:category>
  <cp:keywords>coffee shop business plan, cafe business plan, coffee shop business plan template, coffee shop startup costs, how to open a coffee shop, AI Chef Pro</cp:keywords>
</cp:coreProperties>
</file>