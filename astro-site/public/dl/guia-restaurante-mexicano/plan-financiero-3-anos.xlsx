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rsión" sheetId="2" state="visible" r:id="rId2"/>
    <sheet xmlns:r="http://schemas.openxmlformats.org/officeDocument/2006/relationships" name="P&amp;L Mensual" sheetId="3" state="visible" r:id="rId3"/>
  </sheets>
  <definedNames>
    <definedName name="_xlnm.Print_Titles" localSheetId="1">'Inversión'!$4:$4</definedName>
    <definedName name="_xlnm.Print_Titles" localSheetId="2">'P&amp;L Mensual'!$4:$4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Plan Financiero 3 Años — Restaurante Mexicano 80 Plazas</t>
        </is>
      </c>
    </row>
    <row r="2">
      <c r="A2" s="2" t="inlineStr">
        <is>
          <t>AI Chef Pro · aichef.pro — Restaurante Mexicano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Rellena las celdas verdes con los datos de tu proyecto.</t>
        </is>
      </c>
    </row>
    <row r="6">
      <c r="A6" s="4" t="inlineStr">
        <is>
          <t>2. Las fórmulas se recalculan automáticamente.</t>
        </is>
      </c>
    </row>
    <row r="7">
      <c r="A7" s="4" t="inlineStr">
        <is>
          <t>3. Pestaña 'Inversión' = CAPEX inicial desglosado.</t>
        </is>
      </c>
    </row>
    <row r="8">
      <c r="A8" s="4" t="inlineStr">
        <is>
          <t>4. Pestaña 'P&amp;L Mensual' = cuenta de resultados mes a mes.</t>
        </is>
      </c>
    </row>
    <row r="9">
      <c r="A9" s="4" t="inlineStr">
        <is>
          <t>5. Pestaña 'Proyección 3 Años' = evolución anual.</t>
        </is>
      </c>
    </row>
    <row r="10"/>
    <row r="11">
      <c r="A11" s="5" t="inlineStr">
        <is>
          <t>Celdas verdes = campos editables</t>
        </is>
      </c>
    </row>
    <row r="12"/>
    <row r="13">
      <c r="A13" s="5" t="inlineStr">
        <is>
          <t>Versión 1.1 · agosto 2026 · aichef.pro/guia-restaurante-mexicano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30" customHeight="1">
      <c r="A1" s="1" t="inlineStr">
        <is>
          <t>Inversión Inicial — Restaurante Mexicano 80 Plazas</t>
        </is>
      </c>
    </row>
    <row r="2">
      <c r="A2" s="2" t="inlineStr">
        <is>
          <t>AI Chef Pro · aichef.pro — Restaurante Mexicano</t>
        </is>
      </c>
    </row>
    <row r="3"/>
    <row r="4">
      <c r="A4" s="6" t="inlineStr">
        <is>
          <t>Categoría</t>
        </is>
      </c>
      <c r="B4" s="6" t="inlineStr">
        <is>
          <t>Partida</t>
        </is>
      </c>
      <c r="C4" s="6" t="inlineStr">
        <is>
          <t>Coste Estimado (€)</t>
        </is>
      </c>
      <c r="D4" s="6" t="inlineStr">
        <is>
          <t>Coste Real (€)</t>
        </is>
      </c>
      <c r="E4" s="6" t="inlineStr">
        <is>
          <t>Diferencia</t>
        </is>
      </c>
      <c r="F4" s="6" t="inlineStr">
        <is>
          <t>Notas</t>
        </is>
      </c>
    </row>
    <row r="5">
      <c r="A5" s="7" t="inlineStr">
        <is>
          <t>Obra Civil</t>
        </is>
      </c>
      <c r="B5" s="7" t="inlineStr">
        <is>
          <t>Acondicionamiento local</t>
        </is>
      </c>
      <c r="C5" s="8" t="n">
        <v>70000</v>
      </c>
      <c r="D5" s="9" t="n"/>
      <c r="E5" s="10">
        <f>D5-C5</f>
        <v>-70000.0</v>
      </c>
      <c r="F5" s="11" t="n"/>
    </row>
    <row r="6">
      <c r="A6" s="7" t="inlineStr">
        <is>
          <t>Obra Civil</t>
        </is>
      </c>
      <c r="B6" s="7" t="inlineStr">
        <is>
          <t>Instalaciones eléctricas y gas</t>
        </is>
      </c>
      <c r="C6" s="8" t="n">
        <v>10000</v>
      </c>
      <c r="D6" s="9" t="n"/>
      <c r="E6" s="10">
        <f>D6-C6</f>
        <v>-10000.0</v>
      </c>
      <c r="F6" s="11" t="n"/>
    </row>
    <row r="7">
      <c r="A7" s="7" t="inlineStr">
        <is>
          <t>Obra Civil</t>
        </is>
      </c>
      <c r="B7" s="7" t="inlineStr">
        <is>
          <t>Fontanería y saneamiento</t>
        </is>
      </c>
      <c r="C7" s="8" t="n">
        <v>7000</v>
      </c>
      <c r="D7" s="9" t="n"/>
      <c r="E7" s="10">
        <f>D7-C7</f>
        <v>-7000.0</v>
      </c>
      <c r="F7" s="11" t="n"/>
    </row>
    <row r="8">
      <c r="A8" s="7" t="inlineStr">
        <is>
          <t>Obra Civil</t>
        </is>
      </c>
      <c r="B8" s="7" t="inlineStr">
        <is>
          <t>Climatización / HVAC</t>
        </is>
      </c>
      <c r="C8" s="8" t="n">
        <v>8000</v>
      </c>
      <c r="D8" s="9" t="n"/>
      <c r="E8" s="10">
        <f>D8-C8</f>
        <v>-8000.0</v>
      </c>
      <c r="F8" s="11" t="n"/>
    </row>
    <row r="9">
      <c r="A9" s="7" t="inlineStr">
        <is>
          <t>Obra Civil</t>
        </is>
      </c>
      <c r="B9" s="7" t="inlineStr">
        <is>
          <t>Extracción reforzada (humo comal/parrilla)</t>
        </is>
      </c>
      <c r="C9" s="8" t="n">
        <v>6000</v>
      </c>
      <c r="D9" s="9" t="n"/>
      <c r="E9" s="10">
        <f>D9-C9</f>
        <v>-6000.0</v>
      </c>
      <c r="F9" s="11" t="n"/>
    </row>
    <row r="10">
      <c r="A10" s="7" t="inlineStr">
        <is>
          <t>Cocina Mexicana</t>
        </is>
      </c>
      <c r="B10" s="7" t="inlineStr">
        <is>
          <t>Comal profesional grande (80-100 cm)</t>
        </is>
      </c>
      <c r="C10" s="8" t="n">
        <v>1500</v>
      </c>
      <c r="D10" s="9" t="n"/>
      <c r="E10" s="10">
        <f>D10-C10</f>
        <v>-1500.0</v>
      </c>
      <c r="F10" s="11" t="n"/>
    </row>
    <row r="11">
      <c r="A11" s="7" t="inlineStr">
        <is>
          <t>Cocina Mexicana</t>
        </is>
      </c>
      <c r="B11" s="7" t="inlineStr">
        <is>
          <t>Prensa de tortillas / tortillera eléctrica</t>
        </is>
      </c>
      <c r="C11" s="8" t="n">
        <v>3000</v>
      </c>
      <c r="D11" s="9" t="n"/>
      <c r="E11" s="10">
        <f>D11-C11</f>
        <v>-3000.0</v>
      </c>
      <c r="F11" s="11" t="n"/>
    </row>
    <row r="12">
      <c r="A12" s="7" t="inlineStr">
        <is>
          <t>Cocina Mexicana</t>
        </is>
      </c>
      <c r="B12" s="7" t="inlineStr">
        <is>
          <t>Trompo de pastor vertical</t>
        </is>
      </c>
      <c r="C12" s="8" t="n">
        <v>1000</v>
      </c>
      <c r="D12" s="9" t="n"/>
      <c r="E12" s="10">
        <f>D12-C12</f>
        <v>-1000.0</v>
      </c>
      <c r="F12" s="11" t="n"/>
    </row>
    <row r="13">
      <c r="A13" s="7" t="inlineStr">
        <is>
          <t>Cocina Mexicana</t>
        </is>
      </c>
      <c r="B13" s="7" t="inlineStr">
        <is>
          <t>Ahumador / smoker</t>
        </is>
      </c>
      <c r="C13" s="8" t="n">
        <v>3000</v>
      </c>
      <c r="D13" s="9" t="n"/>
      <c r="E13" s="10">
        <f>D13-C13</f>
        <v>-3000.0</v>
      </c>
      <c r="F13" s="11" t="n"/>
    </row>
    <row r="14">
      <c r="A14" s="7" t="inlineStr">
        <is>
          <t>Cocina Mexicana</t>
        </is>
      </c>
      <c r="B14" s="7" t="inlineStr">
        <is>
          <t>Parrilla carbón/gas profesional</t>
        </is>
      </c>
      <c r="C14" s="8" t="n">
        <v>3500</v>
      </c>
      <c r="D14" s="9" t="n"/>
      <c r="E14" s="10">
        <f>D14-C14</f>
        <v>-3500.0</v>
      </c>
      <c r="F14" s="11" t="n"/>
    </row>
    <row r="15">
      <c r="A15" s="7" t="inlineStr">
        <is>
          <t>Cocina Mexicana</t>
        </is>
      </c>
      <c r="B15" s="7" t="inlineStr">
        <is>
          <t>Molcajetes grandes (6 uds)</t>
        </is>
      </c>
      <c r="C15" s="8" t="n">
        <v>600</v>
      </c>
      <c r="D15" s="9" t="n"/>
      <c r="E15" s="10">
        <f>D15-C15</f>
        <v>-600.0</v>
      </c>
      <c r="F15" s="11" t="n"/>
    </row>
    <row r="16">
      <c r="A16" s="7" t="inlineStr">
        <is>
          <t>Cocina Mexicana</t>
        </is>
      </c>
      <c r="B16" s="7" t="inlineStr">
        <is>
          <t>Licuadoras industriales para salsas (3 uds)</t>
        </is>
      </c>
      <c r="C16" s="8" t="n">
        <v>500</v>
      </c>
      <c r="D16" s="9" t="n"/>
      <c r="E16" s="10">
        <f>D16-C16</f>
        <v>-500.0</v>
      </c>
      <c r="F16" s="11" t="n"/>
    </row>
    <row r="17">
      <c r="A17" s="7" t="inlineStr">
        <is>
          <t>Cocina Estándar</t>
        </is>
      </c>
      <c r="B17" s="7" t="inlineStr">
        <is>
          <t>Horno mixto Rational/Unox</t>
        </is>
      </c>
      <c r="C17" s="8" t="n">
        <v>12000</v>
      </c>
      <c r="D17" s="9" t="n"/>
      <c r="E17" s="10">
        <f>D17-C17</f>
        <v>-12000.0</v>
      </c>
      <c r="F17" s="11" t="n"/>
    </row>
    <row r="18">
      <c r="A18" s="7" t="inlineStr">
        <is>
          <t>Cocina Estándar</t>
        </is>
      </c>
      <c r="B18" s="7" t="inlineStr">
        <is>
          <t>Cocina gas 6 fuegos + horno</t>
        </is>
      </c>
      <c r="C18" s="8" t="n">
        <v>5000</v>
      </c>
      <c r="D18" s="9" t="n"/>
      <c r="E18" s="10">
        <f>D18-C18</f>
        <v>-5000.0</v>
      </c>
      <c r="F18" s="11" t="n"/>
    </row>
    <row r="19">
      <c r="A19" s="7" t="inlineStr">
        <is>
          <t>Cocina Estándar</t>
        </is>
      </c>
      <c r="B19" s="7" t="inlineStr">
        <is>
          <t>Freidora doble (churros, totopos)</t>
        </is>
      </c>
      <c r="C19" s="8" t="n">
        <v>2000</v>
      </c>
      <c r="D19" s="9" t="n"/>
      <c r="E19" s="10">
        <f>D19-C19</f>
        <v>-2000.0</v>
      </c>
      <c r="F19" s="11" t="n"/>
    </row>
    <row r="20">
      <c r="A20" s="7" t="inlineStr">
        <is>
          <t>Cocina Estándar</t>
        </is>
      </c>
      <c r="B20" s="7" t="inlineStr">
        <is>
          <t>Cámaras frigoríficas (2)</t>
        </is>
      </c>
      <c r="C20" s="8" t="n">
        <v>6000</v>
      </c>
      <c r="D20" s="9" t="n"/>
      <c r="E20" s="10">
        <f>D20-C20</f>
        <v>-6000.0</v>
      </c>
      <c r="F20" s="11" t="n"/>
    </row>
    <row r="21">
      <c r="A21" s="7" t="inlineStr">
        <is>
          <t>Cocina Estándar</t>
        </is>
      </c>
      <c r="B21" s="7" t="inlineStr">
        <is>
          <t>Congelador</t>
        </is>
      </c>
      <c r="C21" s="8" t="n">
        <v>3000</v>
      </c>
      <c r="D21" s="9" t="n"/>
      <c r="E21" s="10">
        <f>D21-C21</f>
        <v>-3000.0</v>
      </c>
      <c r="F21" s="11" t="n"/>
    </row>
    <row r="22">
      <c r="A22" s="7" t="inlineStr">
        <is>
          <t>Cocina Estándar</t>
        </is>
      </c>
      <c r="B22" s="7" t="inlineStr">
        <is>
          <t>Tren de lavado</t>
        </is>
      </c>
      <c r="C22" s="8" t="n">
        <v>5000</v>
      </c>
      <c r="D22" s="9" t="n"/>
      <c r="E22" s="10">
        <f>D22-C22</f>
        <v>-5000.0</v>
      </c>
      <c r="F22" s="11" t="n"/>
    </row>
    <row r="23">
      <c r="A23" s="7" t="inlineStr">
        <is>
          <t>Cocina Estándar</t>
        </is>
      </c>
      <c r="B23" s="7" t="inlineStr">
        <is>
          <t>Campana extractora + filtros</t>
        </is>
      </c>
      <c r="C23" s="8" t="n">
        <v>6000</v>
      </c>
      <c r="D23" s="9" t="n"/>
      <c r="E23" s="10">
        <f>D23-C23</f>
        <v>-6000.0</v>
      </c>
      <c r="F23" s="11" t="n"/>
    </row>
    <row r="24">
      <c r="A24" s="7" t="inlineStr">
        <is>
          <t>Cocina Estándar</t>
        </is>
      </c>
      <c r="B24" s="7" t="inlineStr">
        <is>
          <t>Menaje y utensilios</t>
        </is>
      </c>
      <c r="C24" s="8" t="n">
        <v>2500</v>
      </c>
      <c r="D24" s="9" t="n"/>
      <c r="E24" s="10">
        <f>D24-C24</f>
        <v>-2500.0</v>
      </c>
      <c r="F24" s="11" t="n"/>
    </row>
    <row r="25">
      <c r="A25" s="7" t="inlineStr">
        <is>
          <t>Barra Tequilas</t>
        </is>
      </c>
      <c r="B25" s="7" t="inlineStr">
        <is>
          <t>Expositor iluminado botellas tequila/mezcal</t>
        </is>
      </c>
      <c r="C25" s="8" t="n">
        <v>4000</v>
      </c>
      <c r="D25" s="9" t="n"/>
      <c r="E25" s="10">
        <f>D25-C25</f>
        <v>-4000.0</v>
      </c>
      <c r="F25" s="11" t="n"/>
    </row>
    <row r="26">
      <c r="A26" s="7" t="inlineStr">
        <is>
          <t>Barra Tequilas</t>
        </is>
      </c>
      <c r="B26" s="7" t="inlineStr">
        <is>
          <t>Máquina de margaritas / granizados</t>
        </is>
      </c>
      <c r="C26" s="8" t="n">
        <v>2000</v>
      </c>
      <c r="D26" s="9" t="n"/>
      <c r="E26" s="10">
        <f>D26-C26</f>
        <v>-2000.0</v>
      </c>
      <c r="F26" s="11" t="n"/>
    </row>
    <row r="27">
      <c r="A27" s="7" t="inlineStr">
        <is>
          <t>Barra Tequilas</t>
        </is>
      </c>
      <c r="B27" s="7" t="inlineStr">
        <is>
          <t>Stock inicial tequila y mezcal (30-50 refs)</t>
        </is>
      </c>
      <c r="C27" s="8" t="n">
        <v>10000</v>
      </c>
      <c r="D27" s="9" t="n"/>
      <c r="E27" s="10">
        <f>D27-C27</f>
        <v>-10000.0</v>
      </c>
      <c r="F27" s="11" t="n"/>
    </row>
    <row r="28">
      <c r="A28" s="7" t="inlineStr">
        <is>
          <t>Barra Tequilas</t>
        </is>
      </c>
      <c r="B28" s="7" t="inlineStr">
        <is>
          <t>Coctelera, medidores, utensilios barra</t>
        </is>
      </c>
      <c r="C28" s="8" t="n">
        <v>500</v>
      </c>
      <c r="D28" s="9" t="n"/>
      <c r="E28" s="10">
        <f>D28-C28</f>
        <v>-500.0</v>
      </c>
      <c r="F28" s="11" t="n"/>
    </row>
    <row r="29">
      <c r="A29" s="7" t="inlineStr">
        <is>
          <t>Barra Tequilas</t>
        </is>
      </c>
      <c r="B29" s="7" t="inlineStr">
        <is>
          <t>Máquina de hielo</t>
        </is>
      </c>
      <c r="C29" s="8" t="n">
        <v>1500</v>
      </c>
      <c r="D29" s="9" t="n"/>
      <c r="E29" s="10">
        <f>D29-C29</f>
        <v>-1500.0</v>
      </c>
      <c r="F29" s="11" t="n"/>
    </row>
    <row r="30">
      <c r="A30" s="7" t="inlineStr">
        <is>
          <t>Sala</t>
        </is>
      </c>
      <c r="B30" s="7" t="inlineStr">
        <is>
          <t>Mobiliario interior (mesas + sillas + bancos corridos)</t>
        </is>
      </c>
      <c r="C30" s="8" t="n">
        <v>15000</v>
      </c>
      <c r="D30" s="9" t="n"/>
      <c r="E30" s="10">
        <f>D30-C30</f>
        <v>-15000.0</v>
      </c>
      <c r="F30" s="11" t="n"/>
    </row>
    <row r="31">
      <c r="A31" s="7" t="inlineStr">
        <is>
          <t>Sala</t>
        </is>
      </c>
      <c r="B31" s="7" t="inlineStr">
        <is>
          <t>Barra + taburetes altos</t>
        </is>
      </c>
      <c r="C31" s="8" t="n">
        <v>6000</v>
      </c>
      <c r="D31" s="9" t="n"/>
      <c r="E31" s="10">
        <f>D31-C31</f>
        <v>-6000.0</v>
      </c>
      <c r="F31" s="11" t="n"/>
    </row>
    <row r="32">
      <c r="A32" s="7" t="inlineStr">
        <is>
          <t>Decoración</t>
        </is>
      </c>
      <c r="B32" s="7" t="inlineStr">
        <is>
          <t>Azulejos Talavera (barra + paredes)</t>
        </is>
      </c>
      <c r="C32" s="8" t="n">
        <v>3000</v>
      </c>
      <c r="D32" s="9" t="n"/>
      <c r="E32" s="10">
        <f>D32-C32</f>
        <v>-3000.0</v>
      </c>
      <c r="F32" s="11" t="n"/>
    </row>
    <row r="33">
      <c r="A33" s="7" t="inlineStr">
        <is>
          <t>Decoración</t>
        </is>
      </c>
      <c r="B33" s="7" t="inlineStr">
        <is>
          <t>Mural artístico mexicano</t>
        </is>
      </c>
      <c r="C33" s="8" t="n">
        <v>3000</v>
      </c>
      <c r="D33" s="9" t="n"/>
      <c r="E33" s="10">
        <f>D33-C33</f>
        <v>-3000.0</v>
      </c>
      <c r="F33" s="11" t="n"/>
    </row>
    <row r="34">
      <c r="A34" s="7" t="inlineStr">
        <is>
          <t>Decoración</t>
        </is>
      </c>
      <c r="B34" s="7" t="inlineStr">
        <is>
          <t>Vajilla de barro mexicano</t>
        </is>
      </c>
      <c r="C34" s="8" t="n">
        <v>2000</v>
      </c>
      <c r="D34" s="9" t="n"/>
      <c r="E34" s="10">
        <f>D34-C34</f>
        <v>-2000.0</v>
      </c>
      <c r="F34" s="11" t="n"/>
    </row>
    <row r="35">
      <c r="A35" s="7" t="inlineStr">
        <is>
          <t>Decoración</t>
        </is>
      </c>
      <c r="B35" s="7" t="inlineStr">
        <is>
          <t>Iluminación decorativa + papel picado</t>
        </is>
      </c>
      <c r="C35" s="8" t="n">
        <v>2500</v>
      </c>
      <c r="D35" s="9" t="n"/>
      <c r="E35" s="10">
        <f>D35-C35</f>
        <v>-2500.0</v>
      </c>
      <c r="F35" s="11" t="n"/>
    </row>
    <row r="36">
      <c r="A36" s="7" t="inlineStr">
        <is>
          <t>Decoración</t>
        </is>
      </c>
      <c r="B36" s="7" t="inlineStr">
        <is>
          <t>Plantas, cactus, textiles mexicanos</t>
        </is>
      </c>
      <c r="C36" s="8" t="n">
        <v>1000</v>
      </c>
      <c r="D36" s="9" t="n"/>
      <c r="E36" s="10">
        <f>D36-C36</f>
        <v>-1000.0</v>
      </c>
      <c r="F36" s="11" t="n"/>
    </row>
    <row r="37">
      <c r="A37" s="7" t="inlineStr">
        <is>
          <t>Terraza</t>
        </is>
      </c>
      <c r="B37" s="7" t="inlineStr">
        <is>
          <t>Mobiliario exterior con colores mexicanos</t>
        </is>
      </c>
      <c r="C37" s="8" t="n">
        <v>6000</v>
      </c>
      <c r="D37" s="9" t="n"/>
      <c r="E37" s="10">
        <f>D37-C37</f>
        <v>-6000.0</v>
      </c>
      <c r="F37" s="11" t="n"/>
    </row>
    <row r="38">
      <c r="A38" s="7" t="inlineStr">
        <is>
          <t>Terraza</t>
        </is>
      </c>
      <c r="B38" s="7" t="inlineStr">
        <is>
          <t>Sombrillas / toldos</t>
        </is>
      </c>
      <c r="C38" s="8" t="n">
        <v>2500</v>
      </c>
      <c r="D38" s="9" t="n"/>
      <c r="E38" s="10">
        <f>D38-C38</f>
        <v>-2500.0</v>
      </c>
      <c r="F38" s="11" t="n"/>
    </row>
    <row r="39">
      <c r="A39" s="7" t="inlineStr">
        <is>
          <t>Tecnología</t>
        </is>
      </c>
      <c r="B39" s="7" t="inlineStr">
        <is>
          <t>TPV + pantallas cocina</t>
        </is>
      </c>
      <c r="C39" s="8" t="n">
        <v>3000</v>
      </c>
      <c r="D39" s="9" t="n"/>
      <c r="E39" s="10">
        <f>D39-C39</f>
        <v>-3000.0</v>
      </c>
      <c r="F39" s="11" t="n"/>
    </row>
    <row r="40">
      <c r="A40" s="7" t="inlineStr">
        <is>
          <t>Tecnología</t>
        </is>
      </c>
      <c r="B40" s="7" t="inlineStr">
        <is>
          <t>Web + carta QR + WiFi</t>
        </is>
      </c>
      <c r="C40" s="8" t="n">
        <v>2000</v>
      </c>
      <c r="D40" s="9" t="n"/>
      <c r="E40" s="10">
        <f>D40-C40</f>
        <v>-2000.0</v>
      </c>
      <c r="F40" s="11" t="n"/>
    </row>
    <row r="41">
      <c r="A41" s="7" t="inlineStr">
        <is>
          <t>Licencias</t>
        </is>
      </c>
      <c r="B41" s="7" t="inlineStr">
        <is>
          <t>Licencia actividad + terraza</t>
        </is>
      </c>
      <c r="C41" s="8" t="n">
        <v>6000</v>
      </c>
      <c r="D41" s="9" t="n"/>
      <c r="E41" s="10">
        <f>D41-C41</f>
        <v>-6000.0</v>
      </c>
      <c r="F41" s="11" t="n"/>
    </row>
    <row r="42">
      <c r="A42" s="7" t="inlineStr">
        <is>
          <t>Licencias</t>
        </is>
      </c>
      <c r="B42" s="7" t="inlineStr">
        <is>
          <t>Proyecto técnico + tasas</t>
        </is>
      </c>
      <c r="C42" s="8" t="n">
        <v>4000</v>
      </c>
      <c r="D42" s="9" t="n"/>
      <c r="E42" s="10">
        <f>D42-C42</f>
        <v>-4000.0</v>
      </c>
      <c r="F42" s="11" t="n"/>
    </row>
    <row r="43">
      <c r="A43" s="7" t="inlineStr">
        <is>
          <t>Licencias</t>
        </is>
      </c>
      <c r="B43" s="7" t="inlineStr">
        <is>
          <t>Registro EORI / importación (si aplica)</t>
        </is>
      </c>
      <c r="C43" s="8" t="n">
        <v>500</v>
      </c>
      <c r="D43" s="9" t="n"/>
      <c r="E43" s="10">
        <f>D43-C43</f>
        <v>-500.0</v>
      </c>
      <c r="F43" s="11" t="n"/>
    </row>
    <row r="44">
      <c r="A44" s="7" t="inlineStr">
        <is>
          <t>Marketing</t>
        </is>
      </c>
      <c r="B44" s="7" t="inlineStr">
        <is>
          <t>Branding mexicano + diseño</t>
        </is>
      </c>
      <c r="C44" s="8" t="n">
        <v>3000</v>
      </c>
      <c r="D44" s="9" t="n"/>
      <c r="E44" s="10">
        <f>D44-C44</f>
        <v>-3000.0</v>
      </c>
      <c r="F44" s="11" t="n"/>
    </row>
    <row r="45">
      <c r="A45" s="7" t="inlineStr">
        <is>
          <t>Marketing</t>
        </is>
      </c>
      <c r="B45" s="7" t="inlineStr">
        <is>
          <t>Fotos + vídeo + campaña pre-apertura</t>
        </is>
      </c>
      <c r="C45" s="8" t="n">
        <v>3000</v>
      </c>
      <c r="D45" s="9" t="n"/>
      <c r="E45" s="10">
        <f>D45-C45</f>
        <v>-3000.0</v>
      </c>
      <c r="F45" s="11" t="n"/>
    </row>
    <row r="46">
      <c r="A46" s="7" t="inlineStr">
        <is>
          <t>Stock</t>
        </is>
      </c>
      <c r="B46" s="7" t="inlineStr">
        <is>
          <t>Materia prima inicial (incluye chiles, especias importadas)</t>
        </is>
      </c>
      <c r="C46" s="8" t="n">
        <v>6000</v>
      </c>
      <c r="D46" s="9" t="n"/>
      <c r="E46" s="10">
        <f>D46-C46</f>
        <v>-6000.0</v>
      </c>
      <c r="F46" s="11" t="n"/>
    </row>
    <row r="47">
      <c r="A47" s="7" t="inlineStr">
        <is>
          <t>Stock</t>
        </is>
      </c>
      <c r="B47" s="7" t="inlineStr">
        <is>
          <t>Bebidas (cerveza, refrescos, vinos)</t>
        </is>
      </c>
      <c r="C47" s="8" t="n">
        <v>3000</v>
      </c>
      <c r="D47" s="9" t="n"/>
      <c r="E47" s="10">
        <f>D47-C47</f>
        <v>-3000.0</v>
      </c>
      <c r="F47" s="11" t="n"/>
    </row>
    <row r="48">
      <c r="A48" s="7" t="inlineStr">
        <is>
          <t>Maniobra</t>
        </is>
      </c>
      <c r="B48" s="7" t="inlineStr">
        <is>
          <t>Fondo de maniobra (3 meses)</t>
        </is>
      </c>
      <c r="C48" s="8" t="n">
        <v>45000</v>
      </c>
      <c r="D48" s="9" t="n"/>
      <c r="E48" s="10">
        <f>D48-C48</f>
        <v>-45000.0</v>
      </c>
      <c r="F48" s="11" t="n"/>
    </row>
    <row r="49"/>
    <row r="50">
      <c r="B50" s="12" t="inlineStr">
        <is>
          <t>TOTAL INVERSIÓN</t>
        </is>
      </c>
      <c r="C50" s="13">
        <f>SUM(C5:C48)</f>
        <v>290100.0</v>
      </c>
      <c r="D50" s="13">
        <f>SUM(D5:D48)</f>
        <v>0.0</v>
      </c>
      <c r="E50" s="13">
        <f>D50-C50</f>
        <v>-290100.0</v>
      </c>
    </row>
    <row r="51"/>
    <row r="52">
      <c r="A52" s="14" t="inlineStr">
        <is>
          <t>AI Chef Pro · aichef.pro — Restaurante Mexicano</t>
        </is>
      </c>
    </row>
  </sheetData>
  <mergeCells count="3">
    <mergeCell ref="A52:F52"/>
    <mergeCell ref="A2:H2"/>
    <mergeCell ref="A1:H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P&amp;L Mensual — Restaurante Mexicano 80 Plazas</t>
        </is>
      </c>
    </row>
    <row r="2">
      <c r="A2" s="2" t="inlineStr">
        <is>
          <t>AI Chef Pro · aichef.pro — Restaurante Mexicano</t>
        </is>
      </c>
    </row>
    <row r="3"/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  <c r="N4" s="6" t="inlineStr">
        <is>
          <t>TOTAL</t>
        </is>
      </c>
    </row>
    <row r="5">
      <c r="A5" s="12" t="inlineStr">
        <is>
          <t>INGRESOS</t>
        </is>
      </c>
    </row>
    <row r="6">
      <c r="A6" s="7" t="inlineStr">
        <is>
          <t>Ventas sala (comida)</t>
        </is>
      </c>
      <c r="B6" s="9" t="n">
        <v>28000</v>
      </c>
      <c r="C6" s="9" t="n">
        <v>28000</v>
      </c>
      <c r="D6" s="9" t="n">
        <v>28000</v>
      </c>
      <c r="E6" s="9" t="n">
        <v>28000</v>
      </c>
      <c r="F6" s="9" t="n">
        <v>28000</v>
      </c>
      <c r="G6" s="9" t="n">
        <v>28000</v>
      </c>
      <c r="H6" s="9" t="n">
        <v>28000</v>
      </c>
      <c r="I6" s="9" t="n">
        <v>28000</v>
      </c>
      <c r="J6" s="9" t="n">
        <v>28000</v>
      </c>
      <c r="K6" s="9" t="n">
        <v>28000</v>
      </c>
      <c r="L6" s="9" t="n">
        <v>28000</v>
      </c>
      <c r="M6" s="9" t="n">
        <v>28000</v>
      </c>
      <c r="N6" s="13">
        <f>SUM(B6:M6)</f>
        <v>336000.0</v>
      </c>
    </row>
    <row r="7">
      <c r="A7" s="7" t="inlineStr">
        <is>
          <t>Barra tequilas y coctelería</t>
        </is>
      </c>
      <c r="B7" s="9" t="n">
        <v>12000</v>
      </c>
      <c r="C7" s="9" t="n">
        <v>12000</v>
      </c>
      <c r="D7" s="9" t="n">
        <v>12000</v>
      </c>
      <c r="E7" s="9" t="n">
        <v>12000</v>
      </c>
      <c r="F7" s="9" t="n">
        <v>12000</v>
      </c>
      <c r="G7" s="9" t="n">
        <v>12000</v>
      </c>
      <c r="H7" s="9" t="n">
        <v>12000</v>
      </c>
      <c r="I7" s="9" t="n">
        <v>12000</v>
      </c>
      <c r="J7" s="9" t="n">
        <v>12000</v>
      </c>
      <c r="K7" s="9" t="n">
        <v>12000</v>
      </c>
      <c r="L7" s="9" t="n">
        <v>12000</v>
      </c>
      <c r="M7" s="9" t="n">
        <v>12000</v>
      </c>
      <c r="N7" s="13">
        <f>SUM(B7:M7)</f>
        <v>144000.0</v>
      </c>
    </row>
    <row r="8">
      <c r="A8" s="7" t="inlineStr">
        <is>
          <t>Delivery (tacos, burritos, bowls)</t>
        </is>
      </c>
      <c r="B8" s="9" t="n">
        <v>6000</v>
      </c>
      <c r="C8" s="9" t="n">
        <v>6000</v>
      </c>
      <c r="D8" s="9" t="n">
        <v>6000</v>
      </c>
      <c r="E8" s="9" t="n">
        <v>6000</v>
      </c>
      <c r="F8" s="9" t="n">
        <v>6000</v>
      </c>
      <c r="G8" s="9" t="n">
        <v>6000</v>
      </c>
      <c r="H8" s="9" t="n">
        <v>6000</v>
      </c>
      <c r="I8" s="9" t="n">
        <v>6000</v>
      </c>
      <c r="J8" s="9" t="n">
        <v>6000</v>
      </c>
      <c r="K8" s="9" t="n">
        <v>6000</v>
      </c>
      <c r="L8" s="9" t="n">
        <v>6000</v>
      </c>
      <c r="M8" s="9" t="n">
        <v>6000</v>
      </c>
      <c r="N8" s="13">
        <f>SUM(B8:M8)</f>
        <v>72000.0</v>
      </c>
    </row>
    <row r="9">
      <c r="A9" s="7" t="inlineStr">
        <is>
          <t>Bebidas (cerveza, refrescos, vinos)</t>
        </is>
      </c>
      <c r="B9" s="9" t="n">
        <v>6000</v>
      </c>
      <c r="C9" s="9" t="n">
        <v>6000</v>
      </c>
      <c r="D9" s="9" t="n">
        <v>6000</v>
      </c>
      <c r="E9" s="9" t="n">
        <v>6000</v>
      </c>
      <c r="F9" s="9" t="n">
        <v>6000</v>
      </c>
      <c r="G9" s="9" t="n">
        <v>6000</v>
      </c>
      <c r="H9" s="9" t="n">
        <v>6000</v>
      </c>
      <c r="I9" s="9" t="n">
        <v>6000</v>
      </c>
      <c r="J9" s="9" t="n">
        <v>6000</v>
      </c>
      <c r="K9" s="9" t="n">
        <v>6000</v>
      </c>
      <c r="L9" s="9" t="n">
        <v>6000</v>
      </c>
      <c r="M9" s="9" t="n">
        <v>6000</v>
      </c>
      <c r="N9" s="13">
        <f>SUM(B9:M9)</f>
        <v>72000.0</v>
      </c>
    </row>
    <row r="10">
      <c r="A10" s="12" t="inlineStr">
        <is>
          <t>TOTAL INGRESOS</t>
        </is>
      </c>
    </row>
    <row r="11">
      <c r="A11" s="7" t="inlineStr"/>
    </row>
    <row r="12">
      <c r="A12" s="12" t="inlineStr">
        <is>
          <t>COSTES VARIABLES</t>
        </is>
      </c>
    </row>
    <row r="13">
      <c r="A13" s="7" t="inlineStr">
        <is>
          <t>Food cost (31%)</t>
        </is>
      </c>
    </row>
    <row r="14">
      <c r="A14" s="7" t="inlineStr">
        <is>
          <t>Packaging delivery</t>
        </is>
      </c>
      <c r="B14" s="9" t="n">
        <v>400</v>
      </c>
      <c r="C14" s="9" t="n">
        <v>400</v>
      </c>
      <c r="D14" s="9" t="n">
        <v>400</v>
      </c>
      <c r="E14" s="9" t="n">
        <v>400</v>
      </c>
      <c r="F14" s="9" t="n">
        <v>400</v>
      </c>
      <c r="G14" s="9" t="n">
        <v>400</v>
      </c>
      <c r="H14" s="9" t="n">
        <v>400</v>
      </c>
      <c r="I14" s="9" t="n">
        <v>400</v>
      </c>
      <c r="J14" s="9" t="n">
        <v>400</v>
      </c>
      <c r="K14" s="9" t="n">
        <v>400</v>
      </c>
      <c r="L14" s="9" t="n">
        <v>400</v>
      </c>
      <c r="M14" s="9" t="n">
        <v>400</v>
      </c>
      <c r="N14" s="13">
        <f>SUM(B14:M14)</f>
        <v>4800.0</v>
      </c>
    </row>
    <row r="15">
      <c r="A15" s="12" t="inlineStr">
        <is>
          <t>TOTAL COSTES VARIABLES</t>
        </is>
      </c>
    </row>
    <row r="16">
      <c r="A16" s="7" t="inlineStr"/>
    </row>
    <row r="17">
      <c r="A17" s="12" t="inlineStr">
        <is>
          <t>COSTES FIJOS</t>
        </is>
      </c>
    </row>
    <row r="18">
      <c r="A18" s="7" t="inlineStr">
        <is>
          <t>Alquiler</t>
        </is>
      </c>
      <c r="B18" s="9" t="n">
        <v>4000</v>
      </c>
      <c r="C18" s="9" t="n">
        <v>4000</v>
      </c>
      <c r="D18" s="9" t="n">
        <v>4000</v>
      </c>
      <c r="E18" s="9" t="n">
        <v>4000</v>
      </c>
      <c r="F18" s="9" t="n">
        <v>4000</v>
      </c>
      <c r="G18" s="9" t="n">
        <v>4000</v>
      </c>
      <c r="H18" s="9" t="n">
        <v>4000</v>
      </c>
      <c r="I18" s="9" t="n">
        <v>4000</v>
      </c>
      <c r="J18" s="9" t="n">
        <v>4000</v>
      </c>
      <c r="K18" s="9" t="n">
        <v>4000</v>
      </c>
      <c r="L18" s="9" t="n">
        <v>4000</v>
      </c>
      <c r="M18" s="9" t="n">
        <v>4000</v>
      </c>
      <c r="N18" s="13">
        <f>SUM(B18:M18)</f>
        <v>48000.0</v>
      </c>
    </row>
    <row r="19">
      <c r="A19" s="7" t="inlineStr">
        <is>
          <t>Personal cocina (taquero, parrillero, equipo)</t>
        </is>
      </c>
      <c r="B19" s="9" t="n">
        <v>16000</v>
      </c>
      <c r="C19" s="9" t="n">
        <v>16000</v>
      </c>
      <c r="D19" s="9" t="n">
        <v>16000</v>
      </c>
      <c r="E19" s="9" t="n">
        <v>16000</v>
      </c>
      <c r="F19" s="9" t="n">
        <v>16000</v>
      </c>
      <c r="G19" s="9" t="n">
        <v>16000</v>
      </c>
      <c r="H19" s="9" t="n">
        <v>16000</v>
      </c>
      <c r="I19" s="9" t="n">
        <v>16000</v>
      </c>
      <c r="J19" s="9" t="n">
        <v>16000</v>
      </c>
      <c r="K19" s="9" t="n">
        <v>16000</v>
      </c>
      <c r="L19" s="9" t="n">
        <v>16000</v>
      </c>
      <c r="M19" s="9" t="n">
        <v>16000</v>
      </c>
      <c r="N19" s="13">
        <f>SUM(B19:M19)</f>
        <v>192000.0</v>
      </c>
    </row>
    <row r="20">
      <c r="A20" s="7" t="inlineStr">
        <is>
          <t>Personal sala (barman tequilas, camareros)</t>
        </is>
      </c>
      <c r="B20" s="9" t="n">
        <v>12000</v>
      </c>
      <c r="C20" s="9" t="n">
        <v>12000</v>
      </c>
      <c r="D20" s="9" t="n">
        <v>12000</v>
      </c>
      <c r="E20" s="9" t="n">
        <v>12000</v>
      </c>
      <c r="F20" s="9" t="n">
        <v>12000</v>
      </c>
      <c r="G20" s="9" t="n">
        <v>12000</v>
      </c>
      <c r="H20" s="9" t="n">
        <v>12000</v>
      </c>
      <c r="I20" s="9" t="n">
        <v>12000</v>
      </c>
      <c r="J20" s="9" t="n">
        <v>12000</v>
      </c>
      <c r="K20" s="9" t="n">
        <v>12000</v>
      </c>
      <c r="L20" s="9" t="n">
        <v>12000</v>
      </c>
      <c r="M20" s="9" t="n">
        <v>12000</v>
      </c>
      <c r="N20" s="13">
        <f>SUM(B20:M20)</f>
        <v>144000.0</v>
      </c>
    </row>
    <row r="21">
      <c r="A21" s="7" t="inlineStr">
        <is>
          <t>Suministros (luz, gas, agua)</t>
        </is>
      </c>
      <c r="B21" s="9" t="n">
        <v>2800</v>
      </c>
      <c r="C21" s="9" t="n">
        <v>2800</v>
      </c>
      <c r="D21" s="9" t="n">
        <v>2800</v>
      </c>
      <c r="E21" s="9" t="n">
        <v>2800</v>
      </c>
      <c r="F21" s="9" t="n">
        <v>2800</v>
      </c>
      <c r="G21" s="9" t="n">
        <v>2800</v>
      </c>
      <c r="H21" s="9" t="n">
        <v>2800</v>
      </c>
      <c r="I21" s="9" t="n">
        <v>2800</v>
      </c>
      <c r="J21" s="9" t="n">
        <v>2800</v>
      </c>
      <c r="K21" s="9" t="n">
        <v>2800</v>
      </c>
      <c r="L21" s="9" t="n">
        <v>2800</v>
      </c>
      <c r="M21" s="9" t="n">
        <v>2800</v>
      </c>
      <c r="N21" s="13">
        <f>SUM(B21:M21)</f>
        <v>33600.0</v>
      </c>
    </row>
    <row r="22">
      <c r="A22" s="7" t="inlineStr">
        <is>
          <t>Seguros</t>
        </is>
      </c>
      <c r="B22" s="9" t="n">
        <v>350</v>
      </c>
      <c r="C22" s="9" t="n">
        <v>350</v>
      </c>
      <c r="D22" s="9" t="n">
        <v>350</v>
      </c>
      <c r="E22" s="9" t="n">
        <v>350</v>
      </c>
      <c r="F22" s="9" t="n">
        <v>350</v>
      </c>
      <c r="G22" s="9" t="n">
        <v>350</v>
      </c>
      <c r="H22" s="9" t="n">
        <v>350</v>
      </c>
      <c r="I22" s="9" t="n">
        <v>350</v>
      </c>
      <c r="J22" s="9" t="n">
        <v>350</v>
      </c>
      <c r="K22" s="9" t="n">
        <v>350</v>
      </c>
      <c r="L22" s="9" t="n">
        <v>350</v>
      </c>
      <c r="M22" s="9" t="n">
        <v>350</v>
      </c>
      <c r="N22" s="13">
        <f>SUM(B22:M22)</f>
        <v>4200.0</v>
      </c>
    </row>
    <row r="23">
      <c r="A23" s="7" t="inlineStr">
        <is>
          <t>Gestoría + contabilidad</t>
        </is>
      </c>
      <c r="B23" s="9" t="n">
        <v>400</v>
      </c>
      <c r="C23" s="9" t="n">
        <v>400</v>
      </c>
      <c r="D23" s="9" t="n">
        <v>400</v>
      </c>
      <c r="E23" s="9" t="n">
        <v>400</v>
      </c>
      <c r="F23" s="9" t="n">
        <v>400</v>
      </c>
      <c r="G23" s="9" t="n">
        <v>400</v>
      </c>
      <c r="H23" s="9" t="n">
        <v>400</v>
      </c>
      <c r="I23" s="9" t="n">
        <v>400</v>
      </c>
      <c r="J23" s="9" t="n">
        <v>400</v>
      </c>
      <c r="K23" s="9" t="n">
        <v>400</v>
      </c>
      <c r="L23" s="9" t="n">
        <v>400</v>
      </c>
      <c r="M23" s="9" t="n">
        <v>400</v>
      </c>
      <c r="N23" s="13">
        <f>SUM(B23:M23)</f>
        <v>4800.0</v>
      </c>
    </row>
    <row r="24">
      <c r="A24" s="7" t="inlineStr">
        <is>
          <t>Marketing</t>
        </is>
      </c>
      <c r="B24" s="9" t="n">
        <v>900</v>
      </c>
      <c r="C24" s="9" t="n">
        <v>900</v>
      </c>
      <c r="D24" s="9" t="n">
        <v>900</v>
      </c>
      <c r="E24" s="9" t="n">
        <v>900</v>
      </c>
      <c r="F24" s="9" t="n">
        <v>900</v>
      </c>
      <c r="G24" s="9" t="n">
        <v>900</v>
      </c>
      <c r="H24" s="9" t="n">
        <v>900</v>
      </c>
      <c r="I24" s="9" t="n">
        <v>900</v>
      </c>
      <c r="J24" s="9" t="n">
        <v>900</v>
      </c>
      <c r="K24" s="9" t="n">
        <v>900</v>
      </c>
      <c r="L24" s="9" t="n">
        <v>900</v>
      </c>
      <c r="M24" s="9" t="n">
        <v>900</v>
      </c>
      <c r="N24" s="13">
        <f>SUM(B24:M24)</f>
        <v>10800.0</v>
      </c>
    </row>
    <row r="25">
      <c r="A25" s="7" t="inlineStr">
        <is>
          <t>Tecnología (TPV, delivery, web)</t>
        </is>
      </c>
      <c r="B25" s="9" t="n">
        <v>350</v>
      </c>
      <c r="C25" s="9" t="n">
        <v>350</v>
      </c>
      <c r="D25" s="9" t="n">
        <v>350</v>
      </c>
      <c r="E25" s="9" t="n">
        <v>350</v>
      </c>
      <c r="F25" s="9" t="n">
        <v>350</v>
      </c>
      <c r="G25" s="9" t="n">
        <v>350</v>
      </c>
      <c r="H25" s="9" t="n">
        <v>350</v>
      </c>
      <c r="I25" s="9" t="n">
        <v>350</v>
      </c>
      <c r="J25" s="9" t="n">
        <v>350</v>
      </c>
      <c r="K25" s="9" t="n">
        <v>350</v>
      </c>
      <c r="L25" s="9" t="n">
        <v>350</v>
      </c>
      <c r="M25" s="9" t="n">
        <v>350</v>
      </c>
      <c r="N25" s="13">
        <f>SUM(B25:M25)</f>
        <v>4200.0</v>
      </c>
    </row>
    <row r="26">
      <c r="A26" s="7" t="inlineStr">
        <is>
          <t>Mantenimiento</t>
        </is>
      </c>
      <c r="B26" s="9" t="n">
        <v>300</v>
      </c>
      <c r="C26" s="9" t="n">
        <v>300</v>
      </c>
      <c r="D26" s="9" t="n">
        <v>300</v>
      </c>
      <c r="E26" s="9" t="n">
        <v>300</v>
      </c>
      <c r="F26" s="9" t="n">
        <v>300</v>
      </c>
      <c r="G26" s="9" t="n">
        <v>300</v>
      </c>
      <c r="H26" s="9" t="n">
        <v>300</v>
      </c>
      <c r="I26" s="9" t="n">
        <v>300</v>
      </c>
      <c r="J26" s="9" t="n">
        <v>300</v>
      </c>
      <c r="K26" s="9" t="n">
        <v>300</v>
      </c>
      <c r="L26" s="9" t="n">
        <v>300</v>
      </c>
      <c r="M26" s="9" t="n">
        <v>300</v>
      </c>
      <c r="N26" s="13">
        <f>SUM(B26:M26)</f>
        <v>3600.0</v>
      </c>
    </row>
    <row r="27">
      <c r="A27" s="7" t="inlineStr">
        <is>
          <t>Reposición stock tequila/mezcal</t>
        </is>
      </c>
      <c r="B27" s="9" t="n">
        <v>1500</v>
      </c>
      <c r="C27" s="9" t="n">
        <v>1500</v>
      </c>
      <c r="D27" s="9" t="n">
        <v>1500</v>
      </c>
      <c r="E27" s="9" t="n">
        <v>1500</v>
      </c>
      <c r="F27" s="9" t="n">
        <v>1500</v>
      </c>
      <c r="G27" s="9" t="n">
        <v>1500</v>
      </c>
      <c r="H27" s="9" t="n">
        <v>1500</v>
      </c>
      <c r="I27" s="9" t="n">
        <v>1500</v>
      </c>
      <c r="J27" s="9" t="n">
        <v>1500</v>
      </c>
      <c r="K27" s="9" t="n">
        <v>1500</v>
      </c>
      <c r="L27" s="9" t="n">
        <v>1500</v>
      </c>
      <c r="M27" s="9" t="n">
        <v>1500</v>
      </c>
      <c r="N27" s="13">
        <f>SUM(B27:M27)</f>
        <v>18000.0</v>
      </c>
    </row>
    <row r="28">
      <c r="A28" s="7" t="inlineStr">
        <is>
          <t>Varios / imprevistos</t>
        </is>
      </c>
      <c r="B28" s="9" t="n">
        <v>500</v>
      </c>
      <c r="C28" s="9" t="n">
        <v>500</v>
      </c>
      <c r="D28" s="9" t="n">
        <v>500</v>
      </c>
      <c r="E28" s="9" t="n">
        <v>500</v>
      </c>
      <c r="F28" s="9" t="n">
        <v>500</v>
      </c>
      <c r="G28" s="9" t="n">
        <v>500</v>
      </c>
      <c r="H28" s="9" t="n">
        <v>500</v>
      </c>
      <c r="I28" s="9" t="n">
        <v>500</v>
      </c>
      <c r="J28" s="9" t="n">
        <v>500</v>
      </c>
      <c r="K28" s="9" t="n">
        <v>500</v>
      </c>
      <c r="L28" s="9" t="n">
        <v>500</v>
      </c>
      <c r="M28" s="9" t="n">
        <v>500</v>
      </c>
      <c r="N28" s="13">
        <f>SUM(B28:M28)</f>
        <v>6000.0</v>
      </c>
    </row>
    <row r="29">
      <c r="A29" s="12" t="inlineStr">
        <is>
          <t>TOTAL COSTES FIJOS</t>
        </is>
      </c>
    </row>
    <row r="30">
      <c r="A30" s="7" t="inlineStr"/>
    </row>
    <row r="31">
      <c r="A31" s="12" t="inlineStr">
        <is>
          <t>EBITDA</t>
        </is>
      </c>
    </row>
    <row r="32">
      <c r="A32" s="12" t="inlineStr">
        <is>
          <t>% EBITDA</t>
        </is>
      </c>
    </row>
    <row r="33"/>
    <row r="34">
      <c r="A34" s="14" t="inlineStr">
        <is>
          <t>AI Chef Pro · aichef.pro — Restaurante Mexicano</t>
        </is>
      </c>
    </row>
  </sheetData>
  <mergeCells count="3">
    <mergeCell ref="A1:N1"/>
    <mergeCell ref="A2:N2"/>
    <mergeCell ref="A34:N34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 Financiero 3 Años — Restaurante Mexicano 80 Plazas · Cómo Montar un Restaurante Mexicano 80 Plazas</dc:title>
  <dc:description xmlns:dc="http://purl.org/dc/elements/1.1/">aichef.pro/guia-restaurante-mexicano</dc:description>
  <dc:subject xmlns:dc="http://purl.org/dc/elements/1.1/">Cómo Montar un Restaurante Mexicano 80 Plazas · v1.1</dc:subject>
  <dcterms:created xmlns:dcterms="http://purl.org/dc/terms/" xmlns:xsi="http://www.w3.org/2001/XMLSchema-instance" xsi:type="dcterms:W3CDTF">2026-04-06T20:11:48Z</dcterms:created>
  <dcterms:modified xmlns:dcterms="http://purl.org/dc/terms/" xmlns:xsi="http://www.w3.org/2001/XMLSchema-instance" xsi:type="dcterms:W3CDTF">2026-08-22T09:12:47Z</dcterms:modified>
  <cp:lastModifiedBy>AI Chef Pro</cp:lastModifiedBy>
  <cp:category>AI Chef Pro · Productos digitales</cp:category>
  <cp:keywords>guia restaurante mexicano, AI Chef Pro</cp:keywords>
</cp:coreProperties>
</file>