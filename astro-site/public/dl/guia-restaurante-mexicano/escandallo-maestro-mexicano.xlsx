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ndallo" sheetId="2" state="visible" r:id="rId2"/>
  </sheets>
  <definedNames>
    <definedName name="_xlnm.Print_Titles" localSheetId="1">'Escandallo'!$4:$4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565C0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Escandallo Maestro — Restaurante Mexicano</t>
        </is>
      </c>
    </row>
    <row r="2">
      <c r="A2" s="2" t="inlineStr">
        <is>
          <t>AI Chef Pro · aichef.pro — Restaurante Mexicano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Una ficha técnica por plato.</t>
        </is>
      </c>
    </row>
    <row r="6">
      <c r="A6" s="4" t="inlineStr">
        <is>
          <t>2. Introduce ingredientes, cantidades y precios.</t>
        </is>
      </c>
    </row>
    <row r="7">
      <c r="A7" s="4" t="inlineStr">
        <is>
          <t>3. El food cost se calcula automáticamente.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aichef.pro/guia-restaurante-mexicano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30" customHeight="1">
      <c r="A1" s="1" t="inlineStr">
        <is>
          <t>Escandallo Maestro — Fichas Técnicas de Platos Mexicanos</t>
        </is>
      </c>
    </row>
    <row r="2">
      <c r="A2" s="2" t="inlineStr">
        <is>
          <t>AI Chef Pro · aichef.pro — Restaurante Mexicano</t>
        </is>
      </c>
    </row>
    <row r="3"/>
    <row r="4">
      <c r="A4" s="6" t="inlineStr">
        <is>
          <t>#</t>
        </is>
      </c>
      <c r="B4" s="6" t="inlineStr">
        <is>
          <t>Ingrediente</t>
        </is>
      </c>
      <c r="C4" s="6" t="inlineStr">
        <is>
          <t>Cantidad (g/ml)</t>
        </is>
      </c>
      <c r="D4" s="6" t="inlineStr">
        <is>
          <t>Precio/Kg (€)</t>
        </is>
      </c>
      <c r="E4" s="6" t="inlineStr">
        <is>
          <t>Coste (€)</t>
        </is>
      </c>
      <c r="F4" s="6" t="inlineStr">
        <is>
          <t>Merma (%)</t>
        </is>
      </c>
      <c r="G4" s="6" t="inlineStr">
        <is>
          <t>Coste Real (€)</t>
        </is>
      </c>
    </row>
    <row r="5">
      <c r="A5" s="7" t="n"/>
      <c r="B5" s="8" t="inlineStr">
        <is>
          <t>NOMBRE DEL PLATO:</t>
        </is>
      </c>
      <c r="C5" s="9" t="inlineStr">
        <is>
          <t>Ejemplo: Tacos al Pastor (3 uds)</t>
        </is>
      </c>
    </row>
    <row r="6">
      <c r="A6" s="10" t="n">
        <v>1</v>
      </c>
      <c r="B6" s="9" t="inlineStr">
        <is>
          <t>Tortillas de maíz nixtamalizado (3 uds)</t>
        </is>
      </c>
      <c r="C6" s="9" t="n">
        <v>90</v>
      </c>
      <c r="D6" s="11" t="n">
        <v>3</v>
      </c>
      <c r="E6" s="12">
        <f>(C6/1000)*D6</f>
        <v>0.27</v>
      </c>
      <c r="F6" s="13" t="n">
        <v>0.02</v>
      </c>
      <c r="G6" s="12">
        <f>E6*(1+F6)</f>
        <v>0.27540000000000003</v>
      </c>
    </row>
    <row r="7">
      <c r="A7" s="10" t="n">
        <v>2</v>
      </c>
      <c r="B7" s="9" t="inlineStr">
        <is>
          <t>Carne de cerdo adobada al pastor</t>
        </is>
      </c>
      <c r="C7" s="9" t="n">
        <v>180</v>
      </c>
      <c r="D7" s="11" t="n">
        <v>8.5</v>
      </c>
      <c r="E7" s="12">
        <f>(C7/1000)*D7</f>
        <v>1.53</v>
      </c>
      <c r="F7" s="13" t="n">
        <v>0.08</v>
      </c>
      <c r="G7" s="12">
        <f>E7*(1+F7)</f>
        <v>1.6524</v>
      </c>
    </row>
    <row r="8">
      <c r="A8" s="10" t="n">
        <v>3</v>
      </c>
      <c r="B8" s="9" t="inlineStr">
        <is>
          <t>Piña fresca (para trompo)</t>
        </is>
      </c>
      <c r="C8" s="9" t="n">
        <v>40</v>
      </c>
      <c r="D8" s="11" t="n">
        <v>2</v>
      </c>
      <c r="E8" s="12">
        <f>(C8/1000)*D8</f>
        <v>0.08</v>
      </c>
      <c r="F8" s="13" t="n">
        <v>0.15</v>
      </c>
      <c r="G8" s="12">
        <f>E8*(1+F8)</f>
        <v>0.092</v>
      </c>
    </row>
    <row r="9">
      <c r="A9" s="10" t="n">
        <v>4</v>
      </c>
      <c r="B9" s="9" t="inlineStr">
        <is>
          <t>Cebolla blanca picada</t>
        </is>
      </c>
      <c r="C9" s="9" t="n">
        <v>20</v>
      </c>
      <c r="D9" s="11" t="n">
        <v>1.5</v>
      </c>
      <c r="E9" s="12">
        <f>(C9/1000)*D9</f>
        <v>0.03</v>
      </c>
      <c r="F9" s="13" t="n">
        <v>0.1</v>
      </c>
      <c r="G9" s="12">
        <f>E9*(1+F9)</f>
        <v>0.033</v>
      </c>
    </row>
    <row r="10">
      <c r="A10" s="10" t="n">
        <v>5</v>
      </c>
      <c r="B10" s="9" t="inlineStr">
        <is>
          <t>Cilantro fresco</t>
        </is>
      </c>
      <c r="C10" s="9" t="n">
        <v>10</v>
      </c>
      <c r="D10" s="11" t="n">
        <v>6</v>
      </c>
      <c r="E10" s="12">
        <f>(C10/1000)*D10</f>
        <v>0.06</v>
      </c>
      <c r="F10" s="13" t="n">
        <v>0.2</v>
      </c>
      <c r="G10" s="12">
        <f>E10*(1+F10)</f>
        <v>0.072</v>
      </c>
    </row>
    <row r="11">
      <c r="A11" s="10" t="n">
        <v>6</v>
      </c>
      <c r="B11" s="9" t="inlineStr">
        <is>
          <t>Limón (zumo)</t>
        </is>
      </c>
      <c r="C11" s="9" t="n">
        <v>15</v>
      </c>
      <c r="D11" s="11" t="n">
        <v>3</v>
      </c>
      <c r="E11" s="12">
        <f>(C11/1000)*D11</f>
        <v>0.045</v>
      </c>
      <c r="F11" s="13" t="n">
        <v>0.3</v>
      </c>
      <c r="G11" s="12">
        <f>E11*(1+F11)</f>
        <v>0.058499999999999996</v>
      </c>
    </row>
    <row r="12">
      <c r="A12" s="10" t="n">
        <v>7</v>
      </c>
      <c r="B12" s="9" t="inlineStr">
        <is>
          <t>Chile guajillo (adobo)</t>
        </is>
      </c>
      <c r="C12" s="9" t="n">
        <v>5</v>
      </c>
      <c r="D12" s="11" t="n">
        <v>18</v>
      </c>
      <c r="E12" s="12">
        <f>(C12/1000)*D12</f>
        <v>0.09</v>
      </c>
      <c r="F12" s="13" t="n">
        <v>0</v>
      </c>
      <c r="G12" s="12">
        <f>E12*(1+F12)</f>
        <v>0.09</v>
      </c>
    </row>
    <row r="13">
      <c r="A13" s="10" t="n">
        <v>8</v>
      </c>
      <c r="B13" s="9" t="inlineStr">
        <is>
          <t>Achiote (pasta)</t>
        </is>
      </c>
      <c r="C13" s="9" t="n">
        <v>3</v>
      </c>
      <c r="D13" s="11" t="n">
        <v>15</v>
      </c>
      <c r="E13" s="12">
        <f>(C13/1000)*D13</f>
        <v>0.045</v>
      </c>
      <c r="F13" s="13" t="n">
        <v>0</v>
      </c>
      <c r="G13" s="12">
        <f>E13*(1+F13)</f>
        <v>0.045</v>
      </c>
    </row>
    <row r="14">
      <c r="A14" s="10" t="n">
        <v>9</v>
      </c>
      <c r="B14" s="9" t="inlineStr">
        <is>
          <t>Salsa verde taquera</t>
        </is>
      </c>
      <c r="C14" s="9" t="n">
        <v>30</v>
      </c>
      <c r="D14" s="11" t="n">
        <v>4</v>
      </c>
      <c r="E14" s="12">
        <f>(C14/1000)*D14</f>
        <v>0.12</v>
      </c>
      <c r="F14" s="13" t="n">
        <v>0</v>
      </c>
      <c r="G14" s="12">
        <f>E14*(1+F14)</f>
        <v>0.12</v>
      </c>
    </row>
    <row r="15"/>
    <row r="16">
      <c r="B16" s="8" t="inlineStr">
        <is>
          <t>COSTE TOTAL PLATO</t>
        </is>
      </c>
      <c r="G16" s="14">
        <f>SUM(G6:G14)</f>
        <v>2.4383</v>
      </c>
    </row>
    <row r="17">
      <c r="B17" s="8" t="inlineStr">
        <is>
          <t>PVP sugerido (food cost 30%)</t>
        </is>
      </c>
      <c r="G17" s="12">
        <f>G16/0.30</f>
        <v>8.127666666666666</v>
      </c>
    </row>
    <row r="18">
      <c r="B18" s="8" t="inlineStr">
        <is>
          <t>PVP con IVA (10%)</t>
        </is>
      </c>
      <c r="G18" s="12">
        <f>G17*1.10</f>
        <v>8.940433333333333</v>
      </c>
    </row>
    <row r="19"/>
    <row r="20">
      <c r="A20" s="15" t="inlineStr">
        <is>
          <t>AI Chef Pro · aichef.pro — Restaurante Mexicano</t>
        </is>
      </c>
    </row>
  </sheetData>
  <mergeCells count="3">
    <mergeCell ref="A20:G20"/>
    <mergeCell ref="A2:H2"/>
    <mergeCell ref="A1:H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Escandallo Maestro — Restaurante Mexicano · Cómo Montar un Restaurante Mexicano 80 Plazas</dc:title>
  <dc:description xmlns:dc="http://purl.org/dc/elements/1.1/">aichef.pro/guia-restaurante-mexicano</dc:description>
  <dc:subject xmlns:dc="http://purl.org/dc/elements/1.1/">Cómo Montar un Restaurante Mexicano 80 Plazas · v1.1</dc:subject>
  <dcterms:created xmlns:dcterms="http://purl.org/dc/terms/" xmlns:xsi="http://www.w3.org/2001/XMLSchema-instance" xsi:type="dcterms:W3CDTF">2026-04-06T20:11:48Z</dcterms:created>
  <dcterms:modified xmlns:dcterms="http://purl.org/dc/terms/" xmlns:xsi="http://www.w3.org/2001/XMLSchema-instance" xsi:type="dcterms:W3CDTF">2026-08-22T09:12:47Z</dcterms:modified>
  <cp:lastModifiedBy>AI Chef Pro</cp:lastModifiedBy>
  <cp:category>AI Chef Pro · Productos digitales</cp:category>
  <cp:keywords>guia restaurante mexicano, AI Chef Pro</cp:keywords>
</cp:coreProperties>
</file>