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Break-Even" sheetId="3" state="visible" r:id="rId3"/>
    <sheet xmlns:r="http://schemas.openxmlformats.org/officeDocument/2006/relationships" name="Scenarios" sheetId="4" state="visible" r:id="rId4"/>
  </sheets>
  <definedNames>
    <definedName name="_xlnm.Print_Titles" localSheetId="1">'Inputs'!$4:$4</definedName>
    <definedName name="_xlnm.Print_Titles" localSheetId="3">'Scenarios'!$3:$3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"/>
    <numFmt numFmtId="165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i val="1"/>
      <color rgb="00888888"/>
      <sz val="11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999999"/>
      <sz val="9"/>
    </font>
    <font>
      <name val="Calibri"/>
      <b val="1"/>
      <sz val="11"/>
    </font>
    <font>
      <name val="Calibri"/>
      <b val="1"/>
      <color rgb="001565C0"/>
      <sz val="11"/>
    </font>
    <font>
      <b val="1"/>
      <color rgb="009C6500"/>
      <sz val="9"/>
    </font>
    <font>
      <i val="1"/>
      <sz val="9"/>
    </font>
    <font>
      <b val="1"/>
    </font>
    <font>
      <sz val="8"/>
    </font>
    <font>
      <b val="1"/>
      <sz val="9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</patternFill>
    </fill>
    <fill>
      <patternFill patternType="solid">
        <fgColor rgb="002D2D2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1" pivotButton="0" quotePrefix="0" xfId="0"/>
    <xf numFmtId="164" fontId="8" fillId="3" borderId="1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1" pivotButton="0" quotePrefix="0" xfId="0"/>
    <xf numFmtId="164" fontId="10" fillId="0" borderId="1" applyAlignment="1" pivotButton="0" quotePrefix="0" xfId="0">
      <alignment horizontal="right" vertical="center"/>
    </xf>
    <xf numFmtId="165" fontId="8" fillId="3" borderId="1" applyAlignment="1" pivotButton="0" quotePrefix="0" xfId="0">
      <alignment horizontal="right" vertical="center"/>
    </xf>
    <xf numFmtId="3" fontId="8" fillId="3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3" fontId="8" fillId="4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/>
    </xf>
    <xf numFmtId="164" fontId="8" fillId="7" borderId="1" applyAlignment="1" applyProtection="1" pivotButton="0" quotePrefix="0" xfId="0">
      <alignment horizontal="right" vertical="center"/>
      <protection locked="0" hidden="0"/>
    </xf>
    <xf numFmtId="0" fontId="13" fillId="0" borderId="1" pivotButton="0" quotePrefix="0" xfId="0"/>
    <xf numFmtId="0" fontId="8" fillId="0" borderId="1" applyAlignment="1" pivotButton="0" quotePrefix="0" xfId="0">
      <alignment horizontal="right" vertical="center"/>
    </xf>
    <xf numFmtId="0" fontId="14" fillId="0" borderId="0" pivotButton="0" quotePrefix="0" xfId="0"/>
    <xf numFmtId="165" fontId="8" fillId="7" borderId="1" applyAlignment="1" applyProtection="1" pivotButton="0" quotePrefix="0" xfId="0">
      <alignment horizontal="right" vertical="center"/>
      <protection locked="0" hidden="0"/>
    </xf>
    <xf numFmtId="3" fontId="8" fillId="7" borderId="1" applyAlignment="1" applyProtection="1" pivotButton="0" quotePrefix="0" xfId="0">
      <alignment horizontal="right" vertical="center"/>
      <protection locked="0" hidden="0"/>
    </xf>
    <xf numFmtId="0" fontId="15" fillId="0" borderId="0" pivotButton="0" quotePrefix="0" xfId="0"/>
    <xf numFmtId="3" fontId="11" fillId="0" borderId="1" applyAlignment="1" pivotButton="0" quotePrefix="0" xfId="0">
      <alignment horizontal="right" vertical="center"/>
    </xf>
    <xf numFmtId="3" fontId="0" fillId="7" borderId="0" applyProtection="1" pivotButton="0" quotePrefix="0" xfId="0">
      <protection locked="0" hidden="0"/>
    </xf>
    <xf numFmtId="0" fontId="16" fillId="0" borderId="0" pivotButton="0" quotePrefix="0" xfId="0"/>
    <xf numFmtId="0" fontId="17" fillId="9" borderId="0" pivotButton="0" quotePrefix="0" xfId="0"/>
    <xf numFmtId="0" fontId="0" fillId="9" borderId="0" pivotButton="0" quotePrefix="0" xfId="0"/>
    <xf numFmtId="3" fontId="0" fillId="9" borderId="0" pivotButton="0" quotePrefix="0" xfId="0"/>
    <xf numFmtId="164" fontId="0" fillId="9" borderId="0" pivotButton="0" quotePrefix="0" xfId="0"/>
    <xf numFmtId="2" fontId="0" fillId="9" borderId="0" pivotButton="0" quotePrefix="0" xfId="0"/>
    <xf numFmtId="164" fontId="8" fillId="4" borderId="1" applyAlignment="1" applyProtection="1" pivotButton="0" quotePrefix="0" xfId="0">
      <alignment horizontal="right" vertical="center"/>
      <protection locked="0" hidden="0"/>
    </xf>
    <xf numFmtId="164" fontId="8" fillId="5" borderId="1" applyAlignment="1" applyProtection="1" pivotButton="0" quotePrefix="0" xfId="0">
      <alignment horizontal="right" vertical="center"/>
      <protection locked="0" hidden="0"/>
    </xf>
    <xf numFmtId="164" fontId="8" fillId="6" borderId="1" applyAlignment="1" applyProtection="1" pivotButton="0" quotePrefix="0" xfId="0">
      <alignment horizontal="right" vertical="center"/>
      <protection locked="0" hidden="0"/>
    </xf>
    <xf numFmtId="3" fontId="8" fillId="4" borderId="1" applyAlignment="1" applyProtection="1" pivotButton="0" quotePrefix="0" xfId="0">
      <alignment horizontal="right" vertical="center"/>
      <protection locked="0" hidden="0"/>
    </xf>
    <xf numFmtId="3" fontId="8" fillId="5" borderId="1" applyAlignment="1" applyProtection="1" pivotButton="0" quotePrefix="0" xfId="0">
      <alignment horizontal="right" vertical="center"/>
      <protection locked="0" hidden="0"/>
    </xf>
    <xf numFmtId="3" fontId="8" fillId="6" borderId="1" applyAlignment="1" applyProtection="1" pivotButton="0" quotePrefix="0" xfId="0">
      <alignment horizontal="right" vertical="center"/>
      <protection locked="0" hidden="0"/>
    </xf>
    <xf numFmtId="165" fontId="8" fillId="4" borderId="1" applyAlignment="1" applyProtection="1" pivotButton="0" quotePrefix="0" xfId="0">
      <alignment horizontal="right" vertical="center"/>
      <protection locked="0" hidden="0"/>
    </xf>
    <xf numFmtId="165" fontId="8" fillId="5" borderId="1" applyAlignment="1" applyProtection="1" pivotButton="0" quotePrefix="0" xfId="0">
      <alignment horizontal="right" vertical="center"/>
      <protection locked="0" hidden="0"/>
    </xf>
    <xf numFmtId="165" fontId="8" fillId="6" borderId="1" applyAlignment="1" applyProtection="1" pivotButton="0" quotePrefix="0" xfId="0">
      <alignment horizontal="right" vertical="center"/>
      <protection locked="0" hidden="0"/>
    </xf>
    <xf numFmtId="164" fontId="0" fillId="0" borderId="0" pivotButton="0" quotePrefix="0" xfId="0"/>
    <xf numFmtId="165" fontId="0" fillId="0" borderId="0" pivotButton="0" quotePrefix="0" xfId="0"/>
    <xf numFmtId="0" fontId="13" fillId="0" borderId="0" pivotButton="0" quotePrefix="0" xfId="0"/>
    <xf numFmtId="4" fontId="8" fillId="7" borderId="1" applyAlignment="1" applyProtection="1" pivotButton="0" quotePrefix="0" xfId="0">
      <alignment horizontal="right" vertical="center"/>
      <protection locked="0" hidden="0"/>
    </xf>
    <xf numFmtId="0" fontId="8" fillId="0" borderId="1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4" fontId="10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4" fontId="0" fillId="9" borderId="0" pivotButton="0" quotePrefix="0" xfId="0"/>
    <xf numFmtId="4" fontId="8" fillId="4" borderId="1" applyAlignment="1" applyProtection="1" pivotButton="0" quotePrefix="0" xfId="0">
      <alignment horizontal="right" vertical="center"/>
      <protection locked="0" hidden="0"/>
    </xf>
    <xf numFmtId="4" fontId="8" fillId="5" borderId="1" applyAlignment="1" applyProtection="1" pivotButton="0" quotePrefix="0" xfId="0">
      <alignment horizontal="right" vertical="center"/>
      <protection locked="0" hidden="0"/>
    </xf>
    <xf numFmtId="4" fontId="8" fillId="6" borderId="1" applyAlignment="1" applyProtection="1" pivotButton="0" quotePrefix="0" xfId="0">
      <alignment horizontal="right" vertical="center"/>
      <protection locked="0" hidden="0"/>
    </xf>
    <xf numFmtId="4" fontId="8" fillId="4" borderId="1" applyAlignment="1" pivotButton="0" quotePrefix="0" xfId="0">
      <alignment horizontal="right" vertical="center"/>
    </xf>
    <xf numFmtId="4" fontId="8" fillId="5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total costs by covers per day</a:t>
            </a:r>
          </a:p>
        </rich>
      </tx>
    </title>
    <plotArea>
      <lineChart>
        <grouping val="standard"/>
        <ser>
          <idx val="0"/>
          <order val="0"/>
          <tx>
            <strRef>
              <f>'Break-Even'!B20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'Break-Even'!$A$21:$A$28</f>
            </numRef>
          </cat>
          <val>
            <numRef>
              <f>'Break-Even'!$B$21:$B$28</f>
            </numRef>
          </val>
        </ser>
        <ser>
          <idx val="1"/>
          <order val="1"/>
          <tx>
            <strRef>
              <f>'Break-Even'!C20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'Break-Even'!$A$21:$A$28</f>
            </numRef>
          </cat>
          <val>
            <numRef>
              <f>'Break-Even'!$C$21:$C$28</f>
            </numRef>
          </val>
        </ser>
        <ser>
          <idx val="2"/>
          <order val="2"/>
          <tx>
            <strRef>
              <f>'Break-Even'!D20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'Break-Even'!$A$21:$A$28</f>
            </numRef>
          </cat>
          <val>
            <numRef>
              <f>'Break-Even'!$D$21:$D$28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9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02 · Restaurant Break-Even Calculator</t>
        </is>
      </c>
    </row>
    <row r="4">
      <c r="B4" s="2" t="inlineStr">
        <is>
          <t>AI Chef Pro · aichef.pro — Restaurant Financial Plan Kit Pro</t>
        </is>
      </c>
    </row>
    <row r="6">
      <c r="B6" s="3" t="inlineStr">
        <is>
          <t>How to use this template:</t>
        </is>
      </c>
    </row>
    <row r="7">
      <c r="B7" s="4" t="inlineStr">
        <is>
          <t>▸ "Inputs" holds the OPERATING fixed costs. The loan payment goes separately (row 15): EBITDA is measured before debt service.</t>
        </is>
      </c>
    </row>
    <row r="8">
      <c r="B8" s="4" t="inlineStr">
        <is>
          <t>▸ "Break-Even" gives two thresholds: operating (EBITDA = 0) and cash (with the loan payment included), plus the average check needed for your expected covers.</t>
        </is>
      </c>
    </row>
    <row r="9">
      <c r="B9" s="4" t="inlineStr">
        <is>
          <t>▸ The "Scenarios" tab shows 3 scenarios (pessimistic, base, optimistic).</t>
        </is>
      </c>
    </row>
    <row r="11">
      <c r="B11" s="3" t="inlineStr">
        <is>
          <t>Key concepts:</t>
        </is>
      </c>
    </row>
    <row r="12">
      <c r="B12" s="4" t="inlineStr">
        <is>
          <t>▸ Fixed costs: rent, fixed labor, insurance, accounting / bookkeeping — they do not change with activity. The loan payment is NOT included: it is financing, not operations.</t>
        </is>
      </c>
    </row>
    <row r="13">
      <c r="B13" s="4" t="inlineStr">
        <is>
          <t>▸ Variable Costs (%): food cost, extras, commissions — a share of every sale.</t>
        </is>
      </c>
    </row>
    <row r="14">
      <c r="B14" s="4" t="inlineStr">
        <is>
          <t>▸ Contribution Margin = 1 - Variable Cost %.</t>
        </is>
      </c>
    </row>
    <row r="16">
      <c r="B16" s="28" t="inlineStr">
        <is>
          <t>All figures EXCLUDE sales tax; only file 03 "Cash Flow Forecast" includes it, because it is cash.</t>
        </is>
      </c>
    </row>
    <row r="17">
      <c r="B17" s="28" t="inlineStr">
        <is>
          <t>To edit a cell that is not green: Review → Unprotect Sheet (there is no password).</t>
        </is>
      </c>
    </row>
    <row r="18">
      <c r="B18" s="28" t="inlineStr">
        <is>
          <t>Designed by John Guerrero — chef and restaurant consultant since 2010, in the kitchen since age 17 · johnguerrero.es</t>
        </is>
      </c>
    </row>
    <row r="19">
      <c r="B19" s="28" t="inlineStr">
        <is>
          <t>Version 2.0 · October 2026 · aichef.pro/en/digital-products/restaurant-financial-plan-templates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42" customWidth="1" min="2" max="2"/>
    <col width="20" customWidth="1" min="3" max="3"/>
    <col width="46" customWidth="1" min="4" max="4"/>
  </cols>
  <sheetData>
    <row r="1">
      <c r="B1" s="5" t="inlineStr">
        <is>
          <t>Input Data — Break-Even</t>
        </is>
      </c>
    </row>
    <row r="2">
      <c r="B2" s="2" t="inlineStr">
        <is>
          <t>AI Chef Pro · aichef.pro — Restaurant Financial Plan Kit Pro</t>
        </is>
      </c>
    </row>
    <row r="3">
      <c r="B3" s="29" t="inlineStr">
        <is>
          <t>SAMPLE VALUES — replace them with your own</t>
        </is>
      </c>
    </row>
    <row r="4">
      <c r="A4" s="6" t="inlineStr"/>
      <c r="B4" s="6" t="inlineStr">
        <is>
          <t>Line item</t>
        </is>
      </c>
      <c r="C4" s="6" t="inlineStr">
        <is>
          <t>Value</t>
        </is>
      </c>
      <c r="D4" s="6" t="inlineStr">
        <is>
          <t>Notes</t>
        </is>
      </c>
    </row>
    <row r="5">
      <c r="B5" s="7" t="inlineStr">
        <is>
          <t>MONTHLY FIXED COSTS</t>
        </is>
      </c>
    </row>
    <row r="6">
      <c r="B6" s="8" t="inlineStr">
        <is>
          <t>Monthly rent</t>
        </is>
      </c>
      <c r="C6" s="57" t="n">
        <v>3000</v>
      </c>
      <c r="D6" s="10" t="inlineStr">
        <is>
          <t>per month</t>
        </is>
      </c>
    </row>
    <row r="7" ht="30" customHeight="1">
      <c r="B7" s="58" t="inlineStr">
        <is>
          <t>Total fixed labor cost (gross wages + employer payroll taxes)</t>
        </is>
      </c>
      <c r="C7" s="57" t="n">
        <v>8800</v>
      </c>
      <c r="D7" s="59" t="inlineStr">
        <is>
          <t>per month — ≈ gross wages × 1.10 (more with benefits): the EMPLOYER cost, not gross pay</t>
        </is>
      </c>
    </row>
    <row r="8">
      <c r="B8" s="8" t="inlineStr">
        <is>
          <t>Insurance</t>
        </is>
      </c>
      <c r="C8" s="57" t="n">
        <v>400</v>
      </c>
      <c r="D8" s="10" t="inlineStr">
        <is>
          <t>per month</t>
        </is>
      </c>
    </row>
    <row r="9">
      <c r="B9" s="8" t="inlineStr">
        <is>
          <t>Utilities (electricity, water, gas)</t>
        </is>
      </c>
      <c r="C9" s="57" t="n">
        <v>1500</v>
      </c>
      <c r="D9" s="10" t="inlineStr">
        <is>
          <t>per month</t>
        </is>
      </c>
    </row>
    <row r="10">
      <c r="B10" s="8" t="inlineStr">
        <is>
          <t>Fixed marketing</t>
        </is>
      </c>
      <c r="C10" s="57" t="n">
        <v>500</v>
      </c>
      <c r="D10" s="10" t="inlineStr">
        <is>
          <t>per month</t>
        </is>
      </c>
    </row>
    <row r="11">
      <c r="B11" s="8" t="inlineStr">
        <is>
          <t>Accounting / Bookkeeping</t>
        </is>
      </c>
      <c r="C11" s="57" t="n">
        <v>300</v>
      </c>
      <c r="D11" s="10" t="inlineStr">
        <is>
          <t>per month</t>
        </is>
      </c>
    </row>
    <row r="12">
      <c r="B12" s="31" t="inlineStr">
        <is>
          <t>The loan payment is NOT an operating fixed cost: it goes in row 15, outside EBITDA.</t>
        </is>
      </c>
      <c r="C12" s="32" t="n"/>
      <c r="D12" s="10" t="n"/>
    </row>
    <row r="13">
      <c r="B13" s="8" t="inlineStr">
        <is>
          <t>Other fixed costs</t>
        </is>
      </c>
      <c r="C13" s="57" t="n">
        <v>500</v>
      </c>
      <c r="D13" s="10" t="inlineStr">
        <is>
          <t>per month</t>
        </is>
      </c>
    </row>
    <row r="14">
      <c r="B14" s="11" t="inlineStr">
        <is>
          <t>TOTAL OPERATING FIXED COSTS</t>
        </is>
      </c>
      <c r="C14" s="60">
        <f>SUM(C6:C11)+C13</f>
        <v>15000.0</v>
      </c>
    </row>
    <row r="15" ht="24.5" customHeight="1">
      <c r="B15" s="8" t="inlineStr">
        <is>
          <t>Loan payment (debt service)</t>
        </is>
      </c>
      <c r="C15" s="57" t="n">
        <v>800</v>
      </c>
      <c r="D15" s="59" t="inlineStr">
        <is>
          <t>Copy it from the amortization schedule: file 07 "Lender &amp; Investor Summary", "Loan Schedule" tab</t>
        </is>
      </c>
    </row>
    <row r="16">
      <c r="B16" s="33" t="inlineStr">
        <is>
          <t>VARIABLE COSTS</t>
        </is>
      </c>
    </row>
    <row r="17" ht="24.5" customHeight="1">
      <c r="B17" s="8" t="inlineStr">
        <is>
          <t>Variable cost % of sales</t>
        </is>
      </c>
      <c r="C17" s="34" t="n">
        <v>0.35</v>
      </c>
      <c r="D17" s="59" t="inlineStr">
        <is>
          <t>Food cost + delivery fees + other variable costs (30-40% typical). Does NOT include fixed labor.</t>
        </is>
      </c>
    </row>
    <row r="19">
      <c r="B19" s="33" t="inlineStr">
        <is>
          <t>AVERAGE CHECK (excl. sales tax)</t>
        </is>
      </c>
    </row>
    <row r="20">
      <c r="B20" s="8" t="inlineStr">
        <is>
          <t>Average check per guest (excl. sales tax)</t>
        </is>
      </c>
      <c r="C20" s="57" t="n">
        <v>22</v>
      </c>
    </row>
    <row r="21">
      <c r="B21" s="8" t="inlineStr">
        <is>
          <t>Opening days per month</t>
        </is>
      </c>
      <c r="C21" s="35" t="n">
        <v>26</v>
      </c>
    </row>
    <row r="24">
      <c r="A24" s="36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1">
    <mergeCell ref="B1:D1"/>
  </mergeCells>
  <dataValidations count="2">
    <dataValidation sqref="C6 C7 C8 C9 C10 C11 C13 C15 C20 C21" showDropDown="0" showInputMessage="0" showErrorMessage="1" allowBlank="1" errorTitle="Invalid amount" error="Enter a number greater than or equal to 0." type="decimal" operator="greaterThanOrEqual">
      <formula1>0</formula1>
    </dataValidation>
    <dataValidation sqref="C17" showDropDown="0" showInputMessage="0" showErrorMessage="1" allowBlank="1" errorTitle="Invalid percentage" error="Enter a percentage between 0 and 1 (0.35 = 35%)." type="decimal" operator="between">
      <formula1>0</formula1>
      <formula2>1</formula2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22" customWidth="1" min="3" max="3"/>
  </cols>
  <sheetData>
    <row r="1">
      <c r="B1" s="5" t="inlineStr">
        <is>
          <t>Break-Even Calculation</t>
        </is>
      </c>
    </row>
    <row r="2">
      <c r="B2" s="2" t="inlineStr">
        <is>
          <t>AI Chef Pro · aichef.pro — Restaurant Financial Plan Kit Pro</t>
        </is>
      </c>
    </row>
    <row r="4">
      <c r="A4" s="6" t="inlineStr"/>
      <c r="B4" s="6" t="inlineStr">
        <is>
          <t>Metric</t>
        </is>
      </c>
      <c r="C4" s="6" t="inlineStr">
        <is>
          <t>Result</t>
        </is>
      </c>
    </row>
    <row r="5">
      <c r="B5" s="8" t="inlineStr">
        <is>
          <t>Total operating fixed costs / month</t>
        </is>
      </c>
      <c r="C5" s="61">
        <f>Inputs!$C$14</f>
        <v>15000.0</v>
      </c>
    </row>
    <row r="6">
      <c r="B6" s="8" t="inlineStr">
        <is>
          <t>Variable cost %</t>
        </is>
      </c>
      <c r="C6" s="16">
        <f>Inputs!$C$17</f>
        <v>0.35</v>
      </c>
    </row>
    <row r="7">
      <c r="B7" s="8" t="inlineStr">
        <is>
          <t>Contribution margin</t>
        </is>
      </c>
      <c r="C7" s="16">
        <f>1-Inputs!$C$17</f>
        <v>0.65</v>
      </c>
    </row>
    <row r="8">
      <c r="B8" s="11" t="inlineStr">
        <is>
          <t>BREAK-EVEN REVENUE / month (excl. sales tax)</t>
        </is>
      </c>
      <c r="C8" s="62">
        <f>IFERROR(Inputs!$C$14/(1-Inputs!$C$17),"Check the variable cost % (it cannot be 100%)")</f>
        <v>23076.923076923074</v>
      </c>
    </row>
    <row r="9">
      <c r="B9" s="8" t="inlineStr">
        <is>
          <t>Break-even revenue / day (excl. sales tax)</t>
        </is>
      </c>
      <c r="C9" s="61">
        <f>IFERROR($C$8/Inputs!$C$21,"Enter the opening days")</f>
        <v>887.5739644970413</v>
      </c>
    </row>
    <row r="10">
      <c r="B10" s="11" t="inlineStr">
        <is>
          <t>Covers / day needed</t>
        </is>
      </c>
      <c r="C10" s="37">
        <f>IFERROR(ROUNDUP($C$9/Inputs!$C$20,0),"Enter the average check")</f>
        <v>41.0</v>
      </c>
    </row>
    <row r="11">
      <c r="B11" s="8" t="inlineStr">
        <is>
          <t>Covers / month needed</t>
        </is>
      </c>
      <c r="C11" s="18">
        <f>IFERROR(ROUNDUP($C$8/Inputs!$C$20,0),"—")</f>
        <v>1049.0</v>
      </c>
    </row>
    <row r="12">
      <c r="B12" s="8" t="inlineStr">
        <is>
          <t>Expected covers / day</t>
        </is>
      </c>
      <c r="C12" s="38" t="n">
        <v>55</v>
      </c>
    </row>
    <row r="13">
      <c r="B13" s="8" t="inlineStr">
        <is>
          <t>Average check needed (excl. sales tax)</t>
        </is>
      </c>
      <c r="C13" s="61">
        <f>IFERROR($C$9/$C$12,"Enter the expected covers/day")</f>
        <v>16.13770844540075</v>
      </c>
    </row>
    <row r="15">
      <c r="A15" s="10" t="n"/>
      <c r="B15" s="33" t="inlineStr">
        <is>
          <t>CASH BREAK-EVEN (includes the loan payment)</t>
        </is>
      </c>
    </row>
    <row r="16">
      <c r="B16" s="11" t="inlineStr">
        <is>
          <t>Cash break-even revenue / month (excl. sales tax)</t>
        </is>
      </c>
      <c r="C16" s="62">
        <f>IFERROR((Inputs!$C$14+Inputs!$C$15)/(1-Inputs!$C$17),"Check the variable cost % (it cannot be 100%)")</f>
        <v>24307.69230769231</v>
      </c>
    </row>
    <row r="17">
      <c r="B17" s="8" t="inlineStr">
        <is>
          <t>Covers / day for cash break-even</t>
        </is>
      </c>
      <c r="C17" s="18">
        <f>IFERROR(ROUNDUP($C$16/Inputs!$C$21/Inputs!$C$20,0),"Enter the average check")</f>
        <v>43.0</v>
      </c>
    </row>
    <row r="19">
      <c r="A19" s="39" t="inlineStr">
        <is>
          <t>CHART HELPER BLOCK — do not edit</t>
        </is>
      </c>
    </row>
    <row r="20">
      <c r="A20" s="40" t="inlineStr">
        <is>
          <t>Covers / day</t>
        </is>
      </c>
      <c r="B20" s="40" t="inlineStr">
        <is>
          <t>Revenue</t>
        </is>
      </c>
      <c r="C20" s="40" t="inlineStr">
        <is>
          <t>Total costs</t>
        </is>
      </c>
      <c r="D20" s="40" t="inlineStr">
        <is>
          <t>Break-even revenue</t>
        </is>
      </c>
      <c r="E20" s="41" t="n"/>
      <c r="F20" s="41" t="n"/>
    </row>
    <row r="21">
      <c r="A21" s="42">
        <f>IFERROR(ROUND($C$10*$F21,0),0)</f>
        <v>10.0</v>
      </c>
      <c r="B21" s="63">
        <f>IFERROR($A21*Inputs!$C$20*Inputs!$C$21,0)</f>
        <v>5720.0</v>
      </c>
      <c r="C21" s="63">
        <f>IFERROR(Inputs!$C$14+$B21*Inputs!$C$17,0)</f>
        <v>17002.0</v>
      </c>
      <c r="D21" s="63">
        <f>$C$8</f>
        <v>23076.923076923074</v>
      </c>
      <c r="E21" s="41" t="n"/>
      <c r="F21" s="44" t="n">
        <v>0.25</v>
      </c>
    </row>
    <row r="22">
      <c r="A22" s="42">
        <f>IFERROR(ROUND($C$10*$F22,0),0)</f>
        <v>21.0</v>
      </c>
      <c r="B22" s="63">
        <f>IFERROR($A22*Inputs!$C$20*Inputs!$C$21,0)</f>
        <v>12012.0</v>
      </c>
      <c r="C22" s="63">
        <f>IFERROR(Inputs!$C$14+$B22*Inputs!$C$17,0)</f>
        <v>19204.2</v>
      </c>
      <c r="D22" s="63">
        <f>$C$8</f>
        <v>23076.923076923074</v>
      </c>
      <c r="E22" s="41" t="n"/>
      <c r="F22" s="44" t="n">
        <v>0.5</v>
      </c>
    </row>
    <row r="23">
      <c r="A23" s="42">
        <f>IFERROR(ROUND($C$10*$F23,0),0)</f>
        <v>31.0</v>
      </c>
      <c r="B23" s="63">
        <f>IFERROR($A23*Inputs!$C$20*Inputs!$C$21,0)</f>
        <v>17732.0</v>
      </c>
      <c r="C23" s="63">
        <f>IFERROR(Inputs!$C$14+$B23*Inputs!$C$17,0)</f>
        <v>21206.2</v>
      </c>
      <c r="D23" s="63">
        <f>$C$8</f>
        <v>23076.923076923074</v>
      </c>
      <c r="E23" s="41" t="n"/>
      <c r="F23" s="44" t="n">
        <v>0.75</v>
      </c>
    </row>
    <row r="24">
      <c r="A24" s="42">
        <f>IFERROR(ROUND($C$10*$F24,0),0)</f>
        <v>41.0</v>
      </c>
      <c r="B24" s="63">
        <f>IFERROR($A24*Inputs!$C$20*Inputs!$C$21,0)</f>
        <v>23452.0</v>
      </c>
      <c r="C24" s="63">
        <f>IFERROR(Inputs!$C$14+$B24*Inputs!$C$17,0)</f>
        <v>23208.199999999997</v>
      </c>
      <c r="D24" s="63">
        <f>$C$8</f>
        <v>23076.923076923074</v>
      </c>
      <c r="E24" s="41" t="n"/>
      <c r="F24" s="44" t="n">
        <v>1</v>
      </c>
    </row>
    <row r="25">
      <c r="A25" s="42">
        <f>IFERROR(ROUND($C$10*$F25,0),0)</f>
        <v>51.0</v>
      </c>
      <c r="B25" s="63">
        <f>IFERROR($A25*Inputs!$C$20*Inputs!$C$21,0)</f>
        <v>29172.0</v>
      </c>
      <c r="C25" s="63">
        <f>IFERROR(Inputs!$C$14+$B25*Inputs!$C$17,0)</f>
        <v>25210.199999999997</v>
      </c>
      <c r="D25" s="63">
        <f>$C$8</f>
        <v>23076.923076923074</v>
      </c>
      <c r="E25" s="41" t="n"/>
      <c r="F25" s="44" t="n">
        <v>1.25</v>
      </c>
    </row>
    <row r="26">
      <c r="A26" s="42">
        <f>IFERROR(ROUND($C$10*$F26,0),0)</f>
        <v>62.0</v>
      </c>
      <c r="B26" s="63">
        <f>IFERROR($A26*Inputs!$C$20*Inputs!$C$21,0)</f>
        <v>35464.0</v>
      </c>
      <c r="C26" s="63">
        <f>IFERROR(Inputs!$C$14+$B26*Inputs!$C$17,0)</f>
        <v>27412.4</v>
      </c>
      <c r="D26" s="63">
        <f>$C$8</f>
        <v>23076.923076923074</v>
      </c>
      <c r="E26" s="41" t="n"/>
      <c r="F26" s="44" t="n">
        <v>1.5</v>
      </c>
    </row>
    <row r="27">
      <c r="A27" s="42">
        <f>IFERROR(ROUND($C$10*$F27,0),0)</f>
        <v>72.0</v>
      </c>
      <c r="B27" s="63">
        <f>IFERROR($A27*Inputs!$C$20*Inputs!$C$21,0)</f>
        <v>41184.0</v>
      </c>
      <c r="C27" s="63">
        <f>IFERROR(Inputs!$C$14+$B27*Inputs!$C$17,0)</f>
        <v>29414.4</v>
      </c>
      <c r="D27" s="63">
        <f>$C$8</f>
        <v>23076.923076923074</v>
      </c>
      <c r="E27" s="41" t="n"/>
      <c r="F27" s="44" t="n">
        <v>1.75</v>
      </c>
    </row>
    <row r="28">
      <c r="A28" s="42">
        <f>IFERROR(ROUND($C$10*$F28,0),0)</f>
        <v>82.0</v>
      </c>
      <c r="B28" s="63">
        <f>IFERROR($A28*Inputs!$C$20*Inputs!$C$21,0)</f>
        <v>46904.0</v>
      </c>
      <c r="C28" s="63">
        <f>IFERROR(Inputs!$C$14+$B28*Inputs!$C$17,0)</f>
        <v>31416.399999999998</v>
      </c>
      <c r="D28" s="63">
        <f>$C$8</f>
        <v>23076.923076923074</v>
      </c>
      <c r="E28" s="41" t="n"/>
      <c r="F28" s="44" t="n">
        <v>2</v>
      </c>
    </row>
    <row r="30">
      <c r="A30" s="36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1">
    <mergeCell ref="B1:C1"/>
  </mergeCells>
  <dataValidations count="1">
    <dataValidation sqref="C12" showDropDown="0" showInputMessage="0" showErrorMessage="1" allowBlank="1" errorTitle="Invalid amount" error="Enter a number greater than or equal to 0." type="decimal" operator="greaterThanOrEqual">
      <formula1>0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F6F00"/>
    <outlinePr summaryBelow="1" summaryRight="1"/>
    <pageSetUpPr fitToPage="1"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2" customWidth="1" min="2" max="2"/>
    <col width="18" customWidth="1" min="3" max="3"/>
    <col width="18" customWidth="1" min="4" max="4"/>
    <col width="18" customWidth="1" min="5" max="5"/>
  </cols>
  <sheetData>
    <row r="1">
      <c r="B1" s="5" t="inlineStr">
        <is>
          <t>Scenario Analysis</t>
        </is>
      </c>
    </row>
    <row r="3">
      <c r="A3" s="6" t="inlineStr"/>
      <c r="B3" s="6" t="inlineStr">
        <is>
          <t>Metric</t>
        </is>
      </c>
      <c r="C3" s="6" t="inlineStr">
        <is>
          <t>Pessimistic</t>
        </is>
      </c>
      <c r="D3" s="6" t="inlineStr">
        <is>
          <t>Base</t>
        </is>
      </c>
      <c r="E3" s="6" t="inlineStr">
        <is>
          <t>Optimistic</t>
        </is>
      </c>
    </row>
    <row r="4">
      <c r="B4" s="8" t="inlineStr">
        <is>
          <t>Average check (excl. sales tax)</t>
        </is>
      </c>
      <c r="C4" s="64" t="n">
        <v>18</v>
      </c>
      <c r="D4" s="65" t="n">
        <v>22</v>
      </c>
      <c r="E4" s="66" t="n">
        <v>28</v>
      </c>
    </row>
    <row r="5">
      <c r="B5" s="8" t="inlineStr">
        <is>
          <t>Covers / day</t>
        </is>
      </c>
      <c r="C5" s="48" t="n">
        <v>40</v>
      </c>
      <c r="D5" s="49" t="n">
        <v>55</v>
      </c>
      <c r="E5" s="50" t="n">
        <v>75</v>
      </c>
    </row>
    <row r="6">
      <c r="B6" s="8" t="inlineStr">
        <is>
          <t>Variable cost % (food + fees; does NOT include fixed labor)</t>
        </is>
      </c>
      <c r="C6" s="51" t="n">
        <v>0.4</v>
      </c>
      <c r="D6" s="52" t="n">
        <v>0.35</v>
      </c>
      <c r="E6" s="53" t="n">
        <v>0.3</v>
      </c>
    </row>
    <row r="7">
      <c r="B7" s="8" t="inlineStr">
        <is>
          <t>Operating fixed costs / month (from "Inputs" C14)</t>
        </is>
      </c>
      <c r="C7" s="67">
        <f>Inputs!$C$14</f>
        <v>15000.0</v>
      </c>
      <c r="D7" s="68">
        <f>Inputs!$C$14</f>
        <v>15000.0</v>
      </c>
      <c r="E7" s="69">
        <f>Inputs!$C$14</f>
        <v>15000.0</v>
      </c>
    </row>
    <row r="9">
      <c r="B9" s="7" t="inlineStr">
        <is>
          <t>RESULTS</t>
        </is>
      </c>
    </row>
    <row r="10">
      <c r="B10" s="8" t="inlineStr">
        <is>
          <t>Monthly revenue (excl. sales tax)</t>
        </is>
      </c>
      <c r="C10" s="62">
        <f>C4*C5*Inputs!$C$21</f>
        <v>18720.0</v>
      </c>
      <c r="D10" s="62">
        <f>D4*D5*Inputs!$C$21</f>
        <v>31460.0</v>
      </c>
      <c r="E10" s="62">
        <f>E4*E5*Inputs!$C$21</f>
        <v>54600.0</v>
      </c>
    </row>
    <row r="11">
      <c r="B11" s="8" t="inlineStr">
        <is>
          <t>Variable Costs</t>
        </is>
      </c>
      <c r="C11" s="62">
        <f>C10*C6</f>
        <v>7488.0</v>
      </c>
      <c r="D11" s="62">
        <f>D10*D6</f>
        <v>11011.0</v>
      </c>
      <c r="E11" s="62">
        <f>E10*E6</f>
        <v>16380.0</v>
      </c>
    </row>
    <row r="12">
      <c r="B12" s="8" t="inlineStr">
        <is>
          <t>Contribution Margin</t>
        </is>
      </c>
      <c r="C12" s="62">
        <f>C10-C11</f>
        <v>11232.0</v>
      </c>
      <c r="D12" s="62">
        <f>D10-D11</f>
        <v>20449.0</v>
      </c>
      <c r="E12" s="62">
        <f>E10-E11</f>
        <v>38220.0</v>
      </c>
    </row>
    <row r="13">
      <c r="B13" s="11" t="inlineStr">
        <is>
          <t>EBITDA</t>
        </is>
      </c>
      <c r="C13" s="60">
        <f>C12-C7</f>
        <v>-3768.0</v>
      </c>
      <c r="D13" s="60">
        <f>D12-D7</f>
        <v>5449.0</v>
      </c>
      <c r="E13" s="60">
        <f>E12-E7</f>
        <v>23220.0</v>
      </c>
    </row>
    <row r="14">
      <c r="B14" t="inlineStr">
        <is>
          <t>Loan payment (debt service)</t>
        </is>
      </c>
      <c r="C14" s="70">
        <f>Inputs!$C$15</f>
        <v>800.0</v>
      </c>
      <c r="D14" s="70">
        <f>Inputs!$C$15</f>
        <v>800.0</v>
      </c>
      <c r="E14" s="70">
        <f>Inputs!$C$15</f>
        <v>800.0</v>
      </c>
    </row>
    <row r="15">
      <c r="B15" s="33" t="inlineStr">
        <is>
          <t>RESULT AFTER DEBT SERVICE</t>
        </is>
      </c>
      <c r="C15" s="70">
        <f>C13-C14</f>
        <v>-4568.0</v>
      </c>
      <c r="D15" s="70">
        <f>D13-D14</f>
        <v>4649.0</v>
      </c>
      <c r="E15" s="70">
        <f>E13-E14</f>
        <v>22420.0</v>
      </c>
    </row>
    <row r="16">
      <c r="A16" s="10" t="n"/>
      <c r="B16" t="inlineStr">
        <is>
          <t>EBITDA Margin %</t>
        </is>
      </c>
      <c r="C16" s="55">
        <f>IF(C10=0,"",C13/C10)</f>
        <v>-0.2012820512820513</v>
      </c>
      <c r="D16" s="55">
        <f>IF(D10=0,"",D13/D10)</f>
        <v>0.17320406865861412</v>
      </c>
      <c r="E16" s="55">
        <f>IF(E10=0,"",E13/E10)</f>
        <v>0.42527472527472526</v>
      </c>
    </row>
    <row r="18">
      <c r="B18" s="56" t="inlineStr">
        <is>
          <t>The EBITDA in row 13 is BEFORE debt service: it is the one compared with the benchmarks in files 06 and 07.</t>
        </is>
      </c>
    </row>
    <row r="20">
      <c r="A20" s="36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1">
    <mergeCell ref="B1:E1"/>
  </mergeCells>
  <conditionalFormatting sqref="C13:E13">
    <cfRule type="expression" priority="1" dxfId="0" stopIfTrue="1">
      <formula>=C13&lt;0</formula>
    </cfRule>
  </conditionalFormatting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02 · Restaurant Break-Even Calculator · Restaurant Financial Plan Kit Pro</dc:title>
  <dc:description xmlns:dc="http://purl.org/dc/elements/1.1/">aichef.pro/en/digital-products/restaurant-financial-plan-templates</dc:description>
  <dc:subject xmlns:dc="http://purl.org/dc/elements/1.1/">Restaurant Financial Plan Kit Pro · v2.0</dc:subject>
  <dcterms:created xmlns:dcterms="http://purl.org/dc/terms/" xmlns:xsi="http://www.w3.org/2001/XMLSchema-instance" xsi:type="dcterms:W3CDTF">2026-04-05T10:13:00Z</dcterms:created>
  <dcterms:modified xmlns:dcterms="http://purl.org/dc/terms/" xmlns:xsi="http://www.w3.org/2001/XMLSchema-instance" xsi:type="dcterms:W3CDTF">2026-10-03T16:36:47Z</dcterms:modified>
  <cp:lastModifiedBy>AI Chef Pro</cp:lastModifiedBy>
  <cp:category>AI Chef Pro · Digital products</cp:category>
  <cp:keywords>restaurant p&amp;l template, restaurant financial projections, restaurant budget template, break-even, cash flow, AI Chef Pro</cp:keywords>
</cp:coreProperties>
</file>