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imulator" sheetId="2" state="visible" r:id="rId2"/>
    <sheet xmlns:r="http://schemas.openxmlformats.org/officeDocument/2006/relationships" name="Comparison" sheetId="3" state="visible" r:id="rId3"/>
  </sheets>
  <definedNames>
    <definedName name="_xlnm.Print_Titles" localSheetId="1">'Simulator'!$4:$4</definedName>
    <definedName name="_xlnm.Print_Titles" localSheetId="2">'Comparison'!$3:$3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88888"/>
      <sz val="11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b val="1"/>
      <color rgb="00FFFFFF"/>
      <sz val="11"/>
    </font>
    <font>
      <name val="Calibri"/>
      <b val="1"/>
      <color rgb="00FFD700"/>
      <sz val="12"/>
    </font>
    <font>
      <name val="Calibri"/>
      <sz val="11"/>
    </font>
    <font>
      <name val="Calibri"/>
      <b val="1"/>
      <color rgb="001565C0"/>
      <sz val="11"/>
    </font>
    <font>
      <name val="Calibri"/>
      <b val="1"/>
      <sz val="11"/>
    </font>
    <font>
      <name val="Calibri"/>
      <color rgb="00999999"/>
      <sz val="9"/>
    </font>
    <font>
      <b val="1"/>
      <color rgb="009C6500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1" pivotButton="0" quotePrefix="0" xfId="0"/>
    <xf numFmtId="164" fontId="8" fillId="3" borderId="1" applyAlignment="1" pivotButton="0" quotePrefix="0" xfId="0">
      <alignment horizontal="right" vertical="center"/>
    </xf>
    <xf numFmtId="3" fontId="8" fillId="3" borderId="1" applyAlignment="1" pivotButton="0" quotePrefix="0" xfId="0">
      <alignment horizontal="right" vertical="center"/>
    </xf>
    <xf numFmtId="165" fontId="8" fillId="3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0" fontId="10" fillId="0" borderId="1" pivotButton="0" quotePrefix="0" xfId="0"/>
    <xf numFmtId="164" fontId="7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11" fillId="0" borderId="0" pivotButton="0" quotePrefix="0" xfId="0"/>
    <xf numFmtId="0" fontId="4" fillId="0" borderId="0" applyAlignment="1" pivotButton="0" quotePrefix="0" xfId="0">
      <alignment horizontal="left" vertical="top"/>
    </xf>
    <xf numFmtId="0" fontId="12" fillId="0" borderId="0" applyAlignment="1" pivotButton="0" quotePrefix="0" xfId="0">
      <alignment horizontal="left"/>
    </xf>
    <xf numFmtId="164" fontId="8" fillId="4" borderId="1" applyAlignment="1" applyProtection="1" pivotButton="0" quotePrefix="0" xfId="0">
      <alignment horizontal="right" vertical="center"/>
      <protection locked="0" hidden="0"/>
    </xf>
    <xf numFmtId="3" fontId="8" fillId="4" borderId="1" applyAlignment="1" applyProtection="1" pivotButton="0" quotePrefix="0" xfId="0">
      <alignment horizontal="right" vertical="center"/>
      <protection locked="0" hidden="0"/>
    </xf>
    <xf numFmtId="165" fontId="8" fillId="4" borderId="1" applyAlignment="1" applyProtection="1" pivotButton="0" quotePrefix="0" xfId="0">
      <alignment horizontal="right" vertical="center"/>
      <protection locked="0" hidden="0"/>
    </xf>
    <xf numFmtId="0" fontId="13" fillId="0" borderId="0" pivotButton="0" quotePrefix="0" xfId="0"/>
    <xf numFmtId="4" fontId="8" fillId="4" borderId="1" applyAlignment="1" applyProtection="1" pivotButton="0" quotePrefix="0" xfId="0">
      <alignment horizontal="right" vertical="center"/>
      <protection locked="0" hidden="0"/>
    </xf>
    <xf numFmtId="0" fontId="8" fillId="0" borderId="1" applyAlignment="1" pivotButton="0" quotePrefix="0" xfId="0">
      <alignment wrapText="1"/>
    </xf>
    <xf numFmtId="4" fontId="9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EBITDA by scenario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Comparison!B7</f>
            </strRef>
          </tx>
          <spPr>
            <a:ln xmlns:a="http://schemas.openxmlformats.org/drawingml/2006/main">
              <a:prstDash val="solid"/>
            </a:ln>
          </spPr>
          <cat>
            <numRef>
              <f>Comparison!$C$3:$E$3</f>
            </numRef>
          </cat>
          <val>
            <numRef>
              <f>Comparison!$C$7:$E$7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19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>
      <c r="B2" s="1" t="inlineStr">
        <is>
          <t>BONUS 08 · What-If Scenario Simulator</t>
        </is>
      </c>
    </row>
    <row r="4">
      <c r="B4" s="2" t="inlineStr">
        <is>
          <t>AI Chef Pro · aichef.pro — Restaurant Financial Plan Kit Pro</t>
        </is>
      </c>
    </row>
    <row r="6">
      <c r="B6" s="3" t="inlineStr">
        <is>
          <t>How to use this template:</t>
        </is>
      </c>
    </row>
    <row r="7">
      <c r="B7" s="4" t="inlineStr">
        <is>
          <t>▸ Change the Average check, Covers / day and Food Cost values in the input area.</t>
        </is>
      </c>
    </row>
    <row r="8">
      <c r="B8" s="4" t="inlineStr">
        <is>
          <t>▸ The P&amp;L recalculates instantly for each scenario.</t>
        </is>
      </c>
    </row>
    <row r="9">
      <c r="B9" s="4" t="inlineStr">
        <is>
          <t>▸ Compare 3 scenarios side by side: Pessimistic, Base, Optimistic.</t>
        </is>
      </c>
    </row>
    <row r="11">
      <c r="B11" s="3" t="inlineStr">
        <is>
          <t>Ideal for:</t>
        </is>
      </c>
    </row>
    <row r="12">
      <c r="B12" s="4" t="inlineStr">
        <is>
          <t>▸ Building contingency plans.</t>
        </is>
      </c>
    </row>
    <row r="13">
      <c r="B13" s="4" t="inlineStr">
        <is>
          <t>▸ Negotiating with investors or partners.</t>
        </is>
      </c>
    </row>
    <row r="14">
      <c r="B14" s="4" t="inlineStr">
        <is>
          <t>▸ Testing the impact of price increases or menu changes.</t>
        </is>
      </c>
    </row>
    <row r="16">
      <c r="B16" s="17" t="inlineStr">
        <is>
          <t>All figures EXCLUDE sales tax; only file 03 "Cash Flow Forecast" includes it, because it is cash.</t>
        </is>
      </c>
    </row>
    <row r="17">
      <c r="B17" s="17" t="inlineStr">
        <is>
          <t>To edit a cell that is not green: Review → Unprotect Sheet (there is no password).</t>
        </is>
      </c>
    </row>
    <row r="18">
      <c r="B18" s="17" t="inlineStr">
        <is>
          <t>Designed by John Guerrero — chef and restaurant consultant since 2010, in the kitchen since age 17 · johnguerrero.es</t>
        </is>
      </c>
    </row>
    <row r="19">
      <c r="B19" s="17" t="inlineStr">
        <is>
          <t>Version 2.0 · October 2026 · aichef.pro/en/digital-products/restaurant-financial-plan-templates · info@aichef.pro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6F00"/>
    <outlinePr summaryBelow="1" summaryRight="1"/>
    <pageSetUpPr fitToPage="1"/>
  </sheetPr>
  <dimension ref="A1:D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Scenario Simulator — What If</t>
        </is>
      </c>
    </row>
    <row r="2">
      <c r="A2" s="2" t="inlineStr">
        <is>
          <t>AI Chef Pro · aichef.pro — Restaurant Financial Plan Kit Pro</t>
        </is>
      </c>
    </row>
    <row r="3">
      <c r="A3" s="18" t="inlineStr">
        <is>
          <t>SAMPLE VALUES — replace them with your own</t>
        </is>
      </c>
    </row>
    <row r="4">
      <c r="A4" s="6" t="inlineStr">
        <is>
          <t>Variable / Result</t>
        </is>
      </c>
      <c r="B4" s="6" t="inlineStr">
        <is>
          <t>Pessimistic</t>
        </is>
      </c>
      <c r="C4" s="6" t="inlineStr">
        <is>
          <t>Base</t>
        </is>
      </c>
      <c r="D4" s="6" t="inlineStr">
        <is>
          <t>Optimistic</t>
        </is>
      </c>
    </row>
    <row r="5">
      <c r="A5" s="7" t="inlineStr">
        <is>
          <t>INPUT VARIABLES</t>
        </is>
      </c>
    </row>
    <row r="6">
      <c r="A6" s="8" t="inlineStr">
        <is>
          <t>Average check (excl. sales tax)</t>
        </is>
      </c>
      <c r="B6" s="23" t="n">
        <v>18</v>
      </c>
      <c r="C6" s="23" t="n">
        <v>22</v>
      </c>
      <c r="D6" s="23" t="n">
        <v>28</v>
      </c>
    </row>
    <row r="7">
      <c r="A7" s="8" t="inlineStr">
        <is>
          <t>Covers / day</t>
        </is>
      </c>
      <c r="B7" s="20" t="n">
        <v>40</v>
      </c>
      <c r="C7" s="20" t="n">
        <v>55</v>
      </c>
      <c r="D7" s="20" t="n">
        <v>75</v>
      </c>
    </row>
    <row r="8">
      <c r="A8" s="8" t="inlineStr">
        <is>
          <t>Opening days / month</t>
        </is>
      </c>
      <c r="B8" s="20" t="n">
        <v>25</v>
      </c>
      <c r="C8" s="20" t="n">
        <v>26</v>
      </c>
      <c r="D8" s="20" t="n">
        <v>27</v>
      </c>
    </row>
    <row r="9">
      <c r="A9" s="8" t="inlineStr">
        <is>
          <t>Variable cost % (food + delivery platform fees)</t>
        </is>
      </c>
      <c r="B9" s="21" t="n">
        <v>0.4</v>
      </c>
      <c r="C9" s="21" t="n">
        <v>0.35</v>
      </c>
      <c r="D9" s="21" t="n">
        <v>0.3</v>
      </c>
    </row>
    <row r="10">
      <c r="A10" s="8" t="inlineStr">
        <is>
          <t>Labor Cost %</t>
        </is>
      </c>
      <c r="B10" s="21" t="n">
        <v>0.32</v>
      </c>
      <c r="C10" s="21" t="n">
        <v>0.28</v>
      </c>
      <c r="D10" s="21" t="n">
        <v>0.25</v>
      </c>
    </row>
    <row r="11" ht="45" customHeight="1">
      <c r="A11" s="24" t="inlineStr">
        <is>
          <t>Monthly fixed costs EXCLUDING labor and EXCLUDING the loan payment (rent, utilities, insurance, marketing, accounting / bookkeeping, other)</t>
        </is>
      </c>
      <c r="B11" s="23" t="n">
        <v>6500</v>
      </c>
      <c r="C11" s="23" t="n">
        <v>6200</v>
      </c>
      <c r="D11" s="23" t="n">
        <v>5900</v>
      </c>
    </row>
    <row r="12">
      <c r="A12" s="22" t="inlineStr">
        <is>
          <t>If you copy the fixed costs from file 02 "Break-Even Calculator", SUBTRACT payroll and the loan payment first: labor already enters above as a % of sales, and EBITDA is measured before debt service.</t>
        </is>
      </c>
    </row>
    <row r="13">
      <c r="A13" s="7" t="inlineStr">
        <is>
          <t>SIMULATED MONTHLY P&amp;L</t>
        </is>
      </c>
    </row>
    <row r="14">
      <c r="A14" s="8" t="inlineStr">
        <is>
          <t>Monthly revenue (excl. sales tax)</t>
        </is>
      </c>
      <c r="B14" s="25">
        <f>B6*B7*B8</f>
        <v>18000.0</v>
      </c>
      <c r="C14" s="25">
        <f>C6*C7*C8</f>
        <v>31460.0</v>
      </c>
      <c r="D14" s="25">
        <f>D6*D7*D8</f>
        <v>56700.0</v>
      </c>
    </row>
    <row r="15">
      <c r="A15" s="8" t="inlineStr">
        <is>
          <t>Food Cost</t>
        </is>
      </c>
      <c r="B15" s="25">
        <f>B14*B9</f>
        <v>7200.0</v>
      </c>
      <c r="C15" s="25">
        <f>C14*C9</f>
        <v>11011.0</v>
      </c>
      <c r="D15" s="25">
        <f>D14*D9</f>
        <v>17010.0</v>
      </c>
    </row>
    <row r="16">
      <c r="A16" s="8" t="inlineStr">
        <is>
          <t>Labor Cost</t>
        </is>
      </c>
      <c r="B16" s="25">
        <f>B14*B10</f>
        <v>5760.0</v>
      </c>
      <c r="C16" s="25">
        <f>C14*C10</f>
        <v>8808.800000000001</v>
      </c>
      <c r="D16" s="25">
        <f>D14*D10</f>
        <v>14175.0</v>
      </c>
    </row>
    <row r="17">
      <c r="A17" s="8" t="inlineStr">
        <is>
          <t>Fixed costs</t>
        </is>
      </c>
      <c r="B17" s="25">
        <f>B11</f>
        <v>6500.0</v>
      </c>
      <c r="C17" s="25">
        <f>C11</f>
        <v>6200.0</v>
      </c>
      <c r="D17" s="25">
        <f>D11</f>
        <v>5900.0</v>
      </c>
    </row>
    <row r="18">
      <c r="A18" s="13" t="inlineStr">
        <is>
          <t>TOTAL EXPENSES</t>
        </is>
      </c>
      <c r="B18" s="25">
        <f>B15+B16+B17</f>
        <v>19460.0</v>
      </c>
      <c r="C18" s="25">
        <f>C15+C16+C17</f>
        <v>26019.800000000003</v>
      </c>
      <c r="D18" s="25">
        <f>D15+D16+D17</f>
        <v>37085.0</v>
      </c>
    </row>
    <row r="19">
      <c r="A19" s="13" t="inlineStr">
        <is>
          <t>MONTHLY EBITDA</t>
        </is>
      </c>
      <c r="B19" s="26">
        <f>B14-B18</f>
        <v>-1460.0</v>
      </c>
      <c r="C19" s="26">
        <f>C14-C18</f>
        <v>5440.199999999997</v>
      </c>
      <c r="D19" s="26">
        <f>D14-D18</f>
        <v>19615.0</v>
      </c>
    </row>
    <row r="20">
      <c r="A20" s="13" t="inlineStr">
        <is>
          <t>EBITDA Margin %</t>
        </is>
      </c>
      <c r="B20" s="15">
        <f>IF(B14=0,"",B19/B14)</f>
        <v>-0.0811111111111111</v>
      </c>
      <c r="C20" s="15">
        <f>IF(C14=0,"",C19/C14)</f>
        <v>0.17292434837889373</v>
      </c>
      <c r="D20" s="15">
        <f>IF(D14=0,"",D19/D14)</f>
        <v>0.3459435626102293</v>
      </c>
    </row>
    <row r="21">
      <c r="A21" s="13" t="inlineStr">
        <is>
          <t>ANNUAL EBITDA</t>
        </is>
      </c>
      <c r="B21" s="26">
        <f>B19*12</f>
        <v>-17520.0</v>
      </c>
      <c r="C21" s="26">
        <f>C19*12</f>
        <v>65282.399999999965</v>
      </c>
      <c r="D21" s="26">
        <f>D19*12</f>
        <v>235380.0</v>
      </c>
    </row>
    <row r="22">
      <c r="A22" s="22" t="inlineStr">
        <is>
          <t>Common base with file 02 "Break-Even Calculator": same average check (22), same covers/day (55), same days (26), same variable cost % (35%) and same fixed costs excluding labor (6,200). The base EBITDA matches: about 17% of sales in both files.</t>
        </is>
      </c>
    </row>
    <row r="24">
      <c r="A24" s="1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3">
    <mergeCell ref="A1:D1"/>
    <mergeCell ref="A24:D24"/>
    <mergeCell ref="A2:D2"/>
  </mergeCells>
  <conditionalFormatting sqref="B19:D19">
    <cfRule type="expression" priority="1" dxfId="0" stopIfTrue="1">
      <formula>=B19&lt;0</formula>
    </cfRule>
  </conditionalFormatting>
  <dataValidations count="2">
    <dataValidation sqref="B6 B7 B8 B11 C6 C7 C8 C11 D6 D7 D8 D11" showDropDown="0" showInputMessage="0" showErrorMessage="1" allowBlank="1" errorTitle="Invalid amount" error="Enter a number greater than or equal to 0." type="decimal" operator="greaterThanOrEqual">
      <formula1>0</formula1>
    </dataValidation>
    <dataValidation sqref="B9 B10 C9 C10 D9 D10" showDropDown="0" showInputMessage="0" showErrorMessage="1" allowBlank="1" errorTitle="Invalid percentage" error="Enter a percentage between 0 and 1 (0.35 = 35%)." type="decimal" operator="between">
      <formula1>0</formula1>
      <formula2>1</formula2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</cols>
  <sheetData>
    <row r="1">
      <c r="B1" s="5" t="inlineStr">
        <is>
          <t>Scenario Comparison — Annual Summary</t>
        </is>
      </c>
    </row>
    <row r="3">
      <c r="A3" s="6" t="inlineStr"/>
      <c r="B3" s="6" t="inlineStr">
        <is>
          <t>Metric</t>
        </is>
      </c>
      <c r="C3" s="6" t="inlineStr">
        <is>
          <t>Pessimistic</t>
        </is>
      </c>
      <c r="D3" s="6" t="inlineStr">
        <is>
          <t>Base</t>
        </is>
      </c>
      <c r="E3" s="6" t="inlineStr">
        <is>
          <t>Optimistic</t>
        </is>
      </c>
    </row>
    <row r="4">
      <c r="B4" s="8" t="inlineStr">
        <is>
          <t>Annual revenue (excl. sales tax)</t>
        </is>
      </c>
      <c r="C4" s="25">
        <f>Simulator!B14*12</f>
        <v>216000.0</v>
      </c>
      <c r="D4" s="25">
        <f>Simulator!C14*12</f>
        <v>377520.0</v>
      </c>
      <c r="E4" s="25">
        <f>Simulator!D14*12</f>
        <v>680400.0</v>
      </c>
    </row>
    <row r="5">
      <c r="B5" s="8" t="inlineStr">
        <is>
          <t>Annual Food Cost</t>
        </is>
      </c>
      <c r="C5" s="25">
        <f>Simulator!B15*12</f>
        <v>86400.0</v>
      </c>
      <c r="D5" s="25">
        <f>Simulator!C15*12</f>
        <v>132132.0</v>
      </c>
      <c r="E5" s="25">
        <f>Simulator!D15*12</f>
        <v>204120.0</v>
      </c>
    </row>
    <row r="6">
      <c r="B6" s="8" t="inlineStr">
        <is>
          <t>Annual Labor Cost</t>
        </is>
      </c>
      <c r="C6" s="25">
        <f>Simulator!B16*12</f>
        <v>69120.0</v>
      </c>
      <c r="D6" s="25">
        <f>Simulator!C16*12</f>
        <v>105705.6</v>
      </c>
      <c r="E6" s="25">
        <f>Simulator!D16*12</f>
        <v>170100.0</v>
      </c>
    </row>
    <row r="7">
      <c r="B7" s="13" t="inlineStr">
        <is>
          <t>Annual EBITDA</t>
        </is>
      </c>
      <c r="C7" s="25">
        <f>Simulator!B21</f>
        <v>-17520.0</v>
      </c>
      <c r="D7" s="25">
        <f>Simulator!C21</f>
        <v>65282.399999999965</v>
      </c>
      <c r="E7" s="25">
        <f>Simulator!D21</f>
        <v>235380.0</v>
      </c>
    </row>
    <row r="8">
      <c r="B8" s="13" t="inlineStr">
        <is>
          <t>EBITDA Margin %</t>
        </is>
      </c>
      <c r="C8" s="15">
        <f>Simulator!B20</f>
        <v>-0.0811111111111111</v>
      </c>
      <c r="D8" s="15">
        <f>Simulator!C20</f>
        <v>0.17292434837889373</v>
      </c>
      <c r="E8" s="15">
        <f>Simulator!D20</f>
        <v>0.3459435626102293</v>
      </c>
    </row>
    <row r="11">
      <c r="A11" s="16" t="inlineStr">
        <is>
          <t>© 2026 AI Chef Pro · aichef.pro</t>
        </is>
      </c>
    </row>
  </sheetData>
  <sheetProtection selectLockedCells="0" selectUnlockedCells="0" sheet="1" objects="0" insertRows="0" insertHyperlinks="1" autoFilter="1" scenarios="0" formatColumns="0" deleteColumns="1" insertColumns="1" pivotTables="1" deleteRows="1" formatCells="1" formatRows="0" sort="0"/>
  <mergeCells count="2">
    <mergeCell ref="A11:E11"/>
    <mergeCell ref="B1:E1"/>
  </mergeCells>
  <conditionalFormatting sqref="C7:E7">
    <cfRule type="expression" priority="1" dxfId="0" stopIfTrue="1">
      <formula>=C7&lt;0</formula>
    </cfRule>
  </conditionalFormatting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08 · What-If Scenario Simulator · Restaurant Financial Plan Kit Pro</dc:title>
  <dc:description xmlns:dc="http://purl.org/dc/elements/1.1/">aichef.pro/en/digital-products/restaurant-financial-plan-templates</dc:description>
  <dc:subject xmlns:dc="http://purl.org/dc/elements/1.1/">Restaurant Financial Plan Kit Pro · v2.0</dc:subject>
  <dcterms:created xmlns:dcterms="http://purl.org/dc/terms/" xmlns:xsi="http://www.w3.org/2001/XMLSchema-instance" xsi:type="dcterms:W3CDTF">2026-04-05T10:13:01Z</dcterms:created>
  <dcterms:modified xmlns:dcterms="http://purl.org/dc/terms/" xmlns:xsi="http://www.w3.org/2001/XMLSchema-instance" xsi:type="dcterms:W3CDTF">2026-10-03T16:36:47Z</dcterms:modified>
  <cp:lastModifiedBy>AI Chef Pro</cp:lastModifiedBy>
  <cp:category>AI Chef Pro · Digital products</cp:category>
  <cp:keywords>restaurant p&amp;l template, restaurant financial projections, restaurant budget template, break-even, cash flow, AI Chef Pro</cp:keywords>
</cp:coreProperties>
</file>