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ild-Out" sheetId="2" state="visible" r:id="rId2"/>
    <sheet xmlns:r="http://schemas.openxmlformats.org/officeDocument/2006/relationships" name="Kitchen Equipment" sheetId="3" state="visible" r:id="rId3"/>
    <sheet xmlns:r="http://schemas.openxmlformats.org/officeDocument/2006/relationships" name="Dining Room FF&amp;E" sheetId="4" state="visible" r:id="rId4"/>
    <sheet xmlns:r="http://schemas.openxmlformats.org/officeDocument/2006/relationships" name="Technology" sheetId="5" state="visible" r:id="rId5"/>
    <sheet xmlns:r="http://schemas.openxmlformats.org/officeDocument/2006/relationships" name="Licenses &amp; Permits" sheetId="6" state="visible" r:id="rId6"/>
    <sheet xmlns:r="http://schemas.openxmlformats.org/officeDocument/2006/relationships" name="Other Opening Costs" sheetId="7" state="visible" r:id="rId7"/>
    <sheet xmlns:r="http://schemas.openxmlformats.org/officeDocument/2006/relationships" name="Summary" sheetId="8" state="visible" r:id="rId8"/>
  </sheets>
  <definedNames>
    <definedName name="_xlnm.Print_Titles" localSheetId="1">'Build-Out'!$4:$4</definedName>
    <definedName name="_xlnm.Print_Titles" localSheetId="2">'Kitchen Equipment'!$4:$4</definedName>
    <definedName name="_xlnm.Print_Titles" localSheetId="3">'Dining Room FF&amp;E'!$4:$4</definedName>
    <definedName name="_xlnm.Print_Titles" localSheetId="4">'Technology'!$4:$4</definedName>
    <definedName name="_xlnm.Print_Titles" localSheetId="5">'Licenses &amp; Permits'!$4:$4</definedName>
    <definedName name="_xlnm.Print_Titles" localSheetId="7">'Summary'!$4:$4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FFD700"/>
      <sz val="13"/>
    </font>
    <font>
      <name val="Calibri"/>
      <b val="1"/>
      <color rgb="00FFD700"/>
      <sz val="12"/>
    </font>
    <font>
      <b val="1"/>
      <color rgb="00FFFFFF"/>
      <sz val="10"/>
    </font>
    <font>
      <b val="1"/>
    </font>
    <font>
      <sz val="8"/>
    </font>
    <font>
      <b val="1"/>
      <sz val="13"/>
    </font>
    <font>
      <sz val="9"/>
    </font>
    <font>
      <i val="1"/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3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9" fillId="0" borderId="1" pivotButton="0" quotePrefix="0" xfId="0"/>
    <xf numFmtId="164" fontId="9" fillId="0" borderId="1" applyAlignment="1" pivotButton="0" quotePrefix="0" xfId="0">
      <alignment horizontal="right" vertical="center"/>
    </xf>
    <xf numFmtId="0" fontId="10" fillId="0" borderId="0" pivotButton="0" quotePrefix="0" xfId="0"/>
    <xf numFmtId="164" fontId="7" fillId="0" borderId="1" applyAlignment="1" pivotButton="0" quotePrefix="0" xfId="0">
      <alignment horizontal="right" vertical="center"/>
    </xf>
    <xf numFmtId="0" fontId="11" fillId="0" borderId="1" pivotButton="0" quotePrefix="0" xfId="0"/>
    <xf numFmtId="164" fontId="1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13" fillId="4" borderId="1" applyAlignment="1" pivotButton="0" quotePrefix="0" xfId="0">
      <alignment horizontal="center" wrapText="1"/>
    </xf>
    <xf numFmtId="0" fontId="13" fillId="4" borderId="0" applyAlignment="1" pivotButton="0" quotePrefix="0" xfId="0">
      <alignment horizontal="center" wrapText="1"/>
    </xf>
    <xf numFmtId="164" fontId="7" fillId="5" borderId="1" applyAlignment="1" applyProtection="1" pivotButton="0" quotePrefix="0" xfId="0">
      <alignment horizontal="right" vertical="center"/>
      <protection locked="0" hidden="0"/>
    </xf>
    <xf numFmtId="9" fontId="7" fillId="5" borderId="1" applyAlignment="1" applyProtection="1" pivotButton="0" quotePrefix="0" xfId="0">
      <alignment horizontal="right" vertical="center"/>
      <protection locked="0" hidden="0"/>
    </xf>
    <xf numFmtId="164" fontId="8" fillId="0" borderId="1" applyAlignment="1" pivotButton="0" quotePrefix="0" xfId="0">
      <alignment horizontal="right" vertical="center"/>
    </xf>
    <xf numFmtId="164" fontId="7" fillId="0" borderId="1" pivotButton="0" quotePrefix="0" xfId="0"/>
    <xf numFmtId="164" fontId="0" fillId="5" borderId="0" applyProtection="1" pivotButton="0" quotePrefix="0" xfId="0">
      <protection locked="0" hidden="0"/>
    </xf>
    <xf numFmtId="165" fontId="0" fillId="0" borderId="0" pivotButton="0" quotePrefix="0" xfId="0"/>
    <xf numFmtId="165" fontId="0" fillId="5" borderId="0" applyProtection="1" pivotButton="0" quotePrefix="0" xfId="0">
      <protection locked="0" hidden="0"/>
    </xf>
    <xf numFmtId="164" fontId="0" fillId="0" borderId="0" pivotButton="0" quotePrefix="0" xfId="0"/>
    <xf numFmtId="0" fontId="0" fillId="5" borderId="0" applyProtection="1" pivotButton="0" quotePrefix="0" xfId="0">
      <protection locked="0" hidden="0"/>
    </xf>
    <xf numFmtId="0" fontId="14" fillId="0" borderId="1" pivotButton="0" quotePrefix="0" xfId="0"/>
    <xf numFmtId="164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4" fontId="14" fillId="0" borderId="0" pivotButton="0" quotePrefix="0" xfId="0"/>
    <xf numFmtId="0" fontId="15" fillId="0" borderId="0" pivotButton="0" quotePrefix="0" xfId="0"/>
    <xf numFmtId="164" fontId="9" fillId="5" borderId="1" applyAlignment="1" applyProtection="1" pivotButton="0" quotePrefix="0" xfId="0">
      <alignment horizontal="right" vertical="center"/>
      <protection locked="0" hidden="0"/>
    </xf>
    <xf numFmtId="9" fontId="9" fillId="5" borderId="1" applyAlignment="1" applyProtection="1" pivotButton="0" quotePrefix="0" xfId="0">
      <alignment horizontal="right" vertical="center"/>
      <protection locked="0" hidden="0"/>
    </xf>
    <xf numFmtId="9" fontId="0" fillId="5" borderId="0" applyProtection="1" pivotButton="0" quotePrefix="0" xfId="0">
      <protection locked="0" hidden="0"/>
    </xf>
    <xf numFmtId="0" fontId="14" fillId="0" borderId="0" pivotButton="0" quotePrefix="0" xfId="0"/>
    <xf numFmtId="0" fontId="7" fillId="0" borderId="1" applyAlignment="1" pivotButton="0" quotePrefix="0" xfId="0">
      <alignment horizontal="right" vertical="center"/>
    </xf>
    <xf numFmtId="164" fontId="14" fillId="0" borderId="1" pivotButton="0" quotePrefix="0" xfId="0"/>
    <xf numFmtId="0" fontId="8" fillId="0" borderId="1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0" borderId="0" pivotButton="0" quotePrefix="0" xfId="0"/>
    <xf numFmtId="0" fontId="4" fillId="0" borderId="0" applyAlignment="1" pivotButton="0" quotePrefix="0" xfId="0">
      <alignment horizontal="left" vertical="top" wrapText="1"/>
    </xf>
    <xf numFmtId="4" fontId="7" fillId="5" borderId="1" applyAlignment="1" applyProtection="1" pivotButton="0" quotePrefix="0" xfId="0">
      <alignment horizontal="right" vertical="center"/>
      <protection locked="0" hidden="0"/>
    </xf>
    <xf numFmtId="4" fontId="8" fillId="0" borderId="1" applyAlignment="1" pivotButton="0" quotePrefix="0" xfId="0">
      <alignment horizontal="right" vertical="center"/>
    </xf>
    <xf numFmtId="4" fontId="7" fillId="0" borderId="1" pivotButton="0" quotePrefix="0" xfId="0"/>
    <xf numFmtId="4" fontId="0" fillId="5" borderId="0" applyProtection="1" pivotButton="0" quotePrefix="0" xfId="0">
      <protection locked="0" hidden="0"/>
    </xf>
    <xf numFmtId="4" fontId="0" fillId="0" borderId="0" pivotButton="0" quotePrefix="0" xfId="0"/>
    <xf numFmtId="4" fontId="14" fillId="0" borderId="1" applyAlignment="1" pivotButton="0" quotePrefix="0" xfId="0">
      <alignment horizontal="right" vertical="center"/>
    </xf>
    <xf numFmtId="4" fontId="14" fillId="0" borderId="0" pivotButton="0" quotePrefix="0" xfId="0"/>
    <xf numFmtId="0" fontId="9" fillId="0" borderId="1" applyAlignment="1" pivotButton="0" quotePrefix="0" xfId="0">
      <alignment wrapText="1"/>
    </xf>
    <xf numFmtId="4" fontId="9" fillId="5" borderId="1" applyAlignment="1" applyProtection="1" pivotButton="0" quotePrefix="0" xfId="0">
      <alignment horizontal="right" vertical="center"/>
      <protection locked="0" hidden="0"/>
    </xf>
    <xf numFmtId="4" fontId="14" fillId="0" borderId="1" pivotButton="0" quotePrefix="0" xfId="0"/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(cost)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Summary!B4</f>
            </strRef>
          </tx>
          <spPr>
            <a:ln xmlns:a="http://schemas.openxmlformats.org/drawingml/2006/main">
              <a:prstDash val="solid"/>
            </a:ln>
          </spPr>
          <cat>
            <numRef>
              <f>Summary!$A$5:$A$9</f>
            </numRef>
          </cat>
          <val>
            <numRef>
              <f>Summary!$B$5:$B$9</f>
            </numRef>
          </val>
        </ser>
        <ser>
          <idx val="1"/>
          <order val="1"/>
          <tx>
            <strRef>
              <f>Summary!E4</f>
            </strRef>
          </tx>
          <spPr>
            <a:ln xmlns:a="http://schemas.openxmlformats.org/drawingml/2006/main">
              <a:prstDash val="solid"/>
            </a:ln>
          </spPr>
          <cat>
            <numRef>
              <f>Summary!$A$5:$A$9</f>
            </numRef>
          </cat>
          <val>
            <numRef>
              <f>Summary!$E$5:$E$9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2:B2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04 · Restaurant Startup Costs &amp; Capex Budget</t>
        </is>
      </c>
    </row>
    <row r="4">
      <c r="B4" s="2" t="inlineStr">
        <is>
          <t>AI Chef Pro · aichef.pro — Restaurant Financial Plan Kit Pro</t>
        </is>
      </c>
    </row>
    <row r="6">
      <c r="B6" s="3" t="inlineStr">
        <is>
          <t>How to use this template:</t>
        </is>
      </c>
    </row>
    <row r="7">
      <c r="B7" s="4" t="inlineStr">
        <is>
          <t>▸ Each tab covers one startup cost category.</t>
        </is>
      </c>
    </row>
    <row r="8">
      <c r="B8" s="4" t="inlineStr">
        <is>
          <t>▸ Each line has Cost, Recoverable tax % and Tax. US: sales tax is NOT recoverable, so include it in the cost and leave the tax % at 0. UK (VAT-registered): type the net cost and 20%; "Total incl. tax" is the cash you advance.</t>
        </is>
      </c>
    </row>
    <row r="9">
      <c r="B9" s="4" t="inlineStr">
        <is>
          <t>▸ Variance is calculated automatically (% over or under budget).</t>
        </is>
      </c>
    </row>
    <row r="10">
      <c r="B10" s="4" t="inlineStr">
        <is>
          <t>▸ The Summary tab consolidates all categories.</t>
        </is>
      </c>
    </row>
    <row r="12">
      <c r="B12" s="3" t="inlineStr">
        <is>
          <t>Categories:</t>
        </is>
      </c>
    </row>
    <row r="13">
      <c r="B13" s="4" t="inlineStr">
        <is>
          <t>▸ Build-Out, Kitchen Equipment, Dining Room FF&amp;E, Technology, Licenses.</t>
        </is>
      </c>
    </row>
    <row r="15">
      <c r="B15" s="4" t="n"/>
    </row>
    <row r="17">
      <c r="B17" s="4" t="inlineStr">
        <is>
          <t>▸ Each line has a useful life in years (build-out 10, kitchen equipment 7, furniture 7, technology 5; straight line, book basis): it gives the annual depreciation that file 07 "Lender &amp; Investor Summary" needs. Tax depreciation (MACRS, Section 179, bonus) is a separate calculation for your CPA.</t>
        </is>
      </c>
    </row>
    <row r="19">
      <c r="B19" s="4" t="inlineStr">
        <is>
          <t>▸ What is not capex (key money, security deposit, opening inventory, pre-opening payroll, contingency and working capital) goes in the "Other Opening Costs" tab.</t>
        </is>
      </c>
    </row>
    <row r="21">
      <c r="B21" s="16" t="inlineStr">
        <is>
          <t>To edit a cell that is not green: Review → Unprotect Sheet (there is no password).</t>
        </is>
      </c>
    </row>
    <row r="22">
      <c r="B22" s="16" t="inlineStr">
        <is>
          <t>Designed by John Guerrero — chef and restaurant consultant since 2010, in the kitchen since age 17 · johnguerrero.es</t>
        </is>
      </c>
    </row>
    <row r="23">
      <c r="B23" s="16" t="inlineStr">
        <is>
          <t>Version 2.0 · October 2026 · aichef.pro/en/digital-products/restaurant-financial-plan-templates · info@aichef.pro</t>
        </is>
      </c>
    </row>
    <row r="24" ht="30" customHeight="1">
      <c r="B24" s="45" t="inlineStr">
        <is>
          <t>Planning tool, not financial, tax or legal advice. Requirements vary by state and city — check with your accountant and local authorities.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Startup Costs — Build-Out</t>
        </is>
      </c>
    </row>
    <row r="2">
      <c r="A2" s="2" t="inlineStr">
        <is>
          <t>AI Chef Pro · aichef.pro — Restaurant Financial Plan Kit Pro</t>
        </is>
      </c>
    </row>
    <row r="4">
      <c r="A4" s="17" t="inlineStr">
        <is>
          <t>Item</t>
        </is>
      </c>
      <c r="B4" s="17" t="inlineStr">
        <is>
          <t>Cost</t>
        </is>
      </c>
      <c r="C4" s="17" t="inlineStr">
        <is>
          <t>Recoverable tax %</t>
        </is>
      </c>
      <c r="D4" s="17" t="inlineStr">
        <is>
          <t>Tax</t>
        </is>
      </c>
      <c r="E4" s="17" t="inlineStr">
        <is>
          <t>Total incl. tax</t>
        </is>
      </c>
      <c r="F4" s="18" t="inlineStr">
        <is>
          <t>Actual</t>
        </is>
      </c>
      <c r="G4" s="18" t="inlineStr">
        <is>
          <t>Variance %</t>
        </is>
      </c>
      <c r="H4" s="18" t="inlineStr">
        <is>
          <t>Useful life (years)</t>
        </is>
      </c>
      <c r="I4" s="18" t="inlineStr">
        <is>
          <t>Annual depreciation</t>
        </is>
      </c>
      <c r="J4" s="18" t="inlineStr">
        <is>
          <t>Notes</t>
        </is>
      </c>
    </row>
    <row r="5">
      <c r="A5" s="7" t="inlineStr">
        <is>
          <t>Demolition and strip-out</t>
        </is>
      </c>
      <c r="B5" s="46" t="n">
        <v>0</v>
      </c>
      <c r="C5" s="20" t="n">
        <v>0</v>
      </c>
      <c r="D5" s="47">
        <f>$B5*$C5</f>
        <v>0.0</v>
      </c>
      <c r="E5" s="48">
        <f>$B5+$D5</f>
        <v>0.0</v>
      </c>
      <c r="F5" s="49" t="n">
        <v>0</v>
      </c>
      <c r="G5" s="24">
        <f>IFERROR(($F5-$B5)/$B5,"")</f>
        <v/>
      </c>
      <c r="H5" s="27" t="n">
        <v>10</v>
      </c>
      <c r="I5" s="50">
        <f>IFERROR($B5/$H5,0)</f>
        <v>0.0</v>
      </c>
      <c r="J5" s="27" t="n"/>
    </row>
    <row r="6">
      <c r="A6" s="7" t="inlineStr">
        <is>
          <t>Masonry and drywall</t>
        </is>
      </c>
      <c r="B6" s="46" t="n">
        <v>0</v>
      </c>
      <c r="C6" s="20" t="n">
        <v>0</v>
      </c>
      <c r="D6" s="47">
        <f>$B6*$C6</f>
        <v>0.0</v>
      </c>
      <c r="E6" s="48">
        <f>$B6+$D6</f>
        <v>0.0</v>
      </c>
      <c r="F6" s="49" t="n">
        <v>0</v>
      </c>
      <c r="G6" s="24">
        <f>IFERROR(($F6-$B6)/$B6,"")</f>
        <v/>
      </c>
      <c r="H6" s="27" t="n">
        <v>10</v>
      </c>
      <c r="I6" s="50">
        <f>IFERROR($B6/$H6,0)</f>
        <v>0.0</v>
      </c>
      <c r="J6" s="27" t="n"/>
    </row>
    <row r="7">
      <c r="A7" s="7" t="inlineStr">
        <is>
          <t>Plumbing</t>
        </is>
      </c>
      <c r="B7" s="46" t="n">
        <v>0</v>
      </c>
      <c r="C7" s="20" t="n">
        <v>0</v>
      </c>
      <c r="D7" s="47">
        <f>$B7*$C7</f>
        <v>0.0</v>
      </c>
      <c r="E7" s="48">
        <f>$B7+$D7</f>
        <v>0.0</v>
      </c>
      <c r="F7" s="49" t="n">
        <v>0</v>
      </c>
      <c r="G7" s="24">
        <f>IFERROR(($F7-$B7)/$B7,"")</f>
        <v/>
      </c>
      <c r="H7" s="27" t="n">
        <v>10</v>
      </c>
      <c r="I7" s="50">
        <f>IFERROR($B7/$H7,0)</f>
        <v>0.0</v>
      </c>
      <c r="J7" s="27" t="n"/>
    </row>
    <row r="8">
      <c r="A8" s="7" t="inlineStr">
        <is>
          <t>Electrical</t>
        </is>
      </c>
      <c r="B8" s="46" t="n">
        <v>0</v>
      </c>
      <c r="C8" s="20" t="n">
        <v>0</v>
      </c>
      <c r="D8" s="47">
        <f>$B8*$C8</f>
        <v>0.0</v>
      </c>
      <c r="E8" s="48">
        <f>$B8+$D8</f>
        <v>0.0</v>
      </c>
      <c r="F8" s="49" t="n">
        <v>0</v>
      </c>
      <c r="G8" s="24">
        <f>IFERROR(($F8-$B8)/$B8,"")</f>
        <v/>
      </c>
      <c r="H8" s="27" t="n">
        <v>10</v>
      </c>
      <c r="I8" s="50">
        <f>IFERROR($B8/$H8,0)</f>
        <v>0.0</v>
      </c>
      <c r="J8" s="27" t="n"/>
    </row>
    <row r="9">
      <c r="A9" s="7" t="inlineStr">
        <is>
          <t>HVAC / Exhaust</t>
        </is>
      </c>
      <c r="B9" s="46" t="n">
        <v>0</v>
      </c>
      <c r="C9" s="20" t="n">
        <v>0</v>
      </c>
      <c r="D9" s="47">
        <f>$B9*$C9</f>
        <v>0.0</v>
      </c>
      <c r="E9" s="48">
        <f>$B9+$D9</f>
        <v>0.0</v>
      </c>
      <c r="F9" s="49" t="n">
        <v>0</v>
      </c>
      <c r="G9" s="24">
        <f>IFERROR(($F9-$B9)/$B9,"")</f>
        <v/>
      </c>
      <c r="H9" s="27" t="n">
        <v>10</v>
      </c>
      <c r="I9" s="50">
        <f>IFERROR($B9/$H9,0)</f>
        <v>0.0</v>
      </c>
      <c r="J9" s="27" t="n"/>
    </row>
    <row r="10">
      <c r="A10" s="7" t="inlineStr">
        <is>
          <t>Painting and finishes</t>
        </is>
      </c>
      <c r="B10" s="46" t="n">
        <v>0</v>
      </c>
      <c r="C10" s="20" t="n">
        <v>0</v>
      </c>
      <c r="D10" s="47">
        <f>$B10*$C10</f>
        <v>0.0</v>
      </c>
      <c r="E10" s="48">
        <f>$B10+$D10</f>
        <v>0.0</v>
      </c>
      <c r="F10" s="49" t="n">
        <v>0</v>
      </c>
      <c r="G10" s="24">
        <f>IFERROR(($F10-$B10)/$B10,"")</f>
        <v/>
      </c>
      <c r="H10" s="27" t="n">
        <v>10</v>
      </c>
      <c r="I10" s="50">
        <f>IFERROR($B10/$H10,0)</f>
        <v>0.0</v>
      </c>
      <c r="J10" s="27" t="n"/>
    </row>
    <row r="11">
      <c r="A11" s="7" t="inlineStr">
        <is>
          <t>Flooring</t>
        </is>
      </c>
      <c r="B11" s="46" t="n">
        <v>0</v>
      </c>
      <c r="C11" s="20" t="n">
        <v>0</v>
      </c>
      <c r="D11" s="47">
        <f>$B11*$C11</f>
        <v>0.0</v>
      </c>
      <c r="E11" s="48">
        <f>$B11+$D11</f>
        <v>0.0</v>
      </c>
      <c r="F11" s="49" t="n">
        <v>0</v>
      </c>
      <c r="G11" s="24">
        <f>IFERROR(($F11-$B11)/$B11,"")</f>
        <v/>
      </c>
      <c r="H11" s="27" t="n">
        <v>10</v>
      </c>
      <c r="I11" s="50">
        <f>IFERROR($B11/$H11,0)</f>
        <v>0.0</v>
      </c>
      <c r="J11" s="27" t="n"/>
    </row>
    <row r="12">
      <c r="A12" s="7" t="inlineStr">
        <is>
          <t>Facade / Signage</t>
        </is>
      </c>
      <c r="B12" s="46" t="n">
        <v>0</v>
      </c>
      <c r="C12" s="20" t="n">
        <v>0</v>
      </c>
      <c r="D12" s="47">
        <f>$B12*$C12</f>
        <v>0.0</v>
      </c>
      <c r="E12" s="48">
        <f>$B12+$D12</f>
        <v>0.0</v>
      </c>
      <c r="F12" s="49" t="n">
        <v>0</v>
      </c>
      <c r="G12" s="24">
        <f>IFERROR(($F12-$B12)/$B12,"")</f>
        <v/>
      </c>
      <c r="H12" s="27" t="n">
        <v>10</v>
      </c>
      <c r="I12" s="50">
        <f>IFERROR($B12/$H12,0)</f>
        <v>0.0</v>
      </c>
      <c r="J12" s="27" t="n"/>
    </row>
    <row r="13">
      <c r="A13" s="7" t="inlineStr">
        <is>
          <t>Guest restrooms</t>
        </is>
      </c>
      <c r="B13" s="46" t="n">
        <v>0</v>
      </c>
      <c r="C13" s="20" t="n">
        <v>0</v>
      </c>
      <c r="D13" s="47">
        <f>$B13*$C13</f>
        <v>0.0</v>
      </c>
      <c r="E13" s="48">
        <f>$B13+$D13</f>
        <v>0.0</v>
      </c>
      <c r="F13" s="49" t="n">
        <v>0</v>
      </c>
      <c r="G13" s="24">
        <f>IFERROR(($F13-$B13)/$B13,"")</f>
        <v/>
      </c>
      <c r="H13" s="27" t="n">
        <v>10</v>
      </c>
      <c r="I13" s="50">
        <f>IFERROR($B13/$H13,0)</f>
        <v>0.0</v>
      </c>
      <c r="J13" s="27" t="n"/>
    </row>
    <row r="14">
      <c r="A14" s="7" t="inlineStr">
        <is>
          <t>Staff changing rooms</t>
        </is>
      </c>
      <c r="B14" s="46" t="n">
        <v>0</v>
      </c>
      <c r="C14" s="20" t="n">
        <v>0</v>
      </c>
      <c r="D14" s="47">
        <f>$B14*$C14</f>
        <v>0.0</v>
      </c>
      <c r="E14" s="48">
        <f>$B14+$D14</f>
        <v>0.0</v>
      </c>
      <c r="F14" s="49" t="n">
        <v>0</v>
      </c>
      <c r="G14" s="24">
        <f>IFERROR(($F14-$B14)/$B14,"")</f>
        <v/>
      </c>
      <c r="H14" s="27" t="n">
        <v>10</v>
      </c>
      <c r="I14" s="50">
        <f>IFERROR($B14/$H14,0)</f>
        <v>0.0</v>
      </c>
      <c r="J14" s="27" t="n"/>
    </row>
    <row r="15">
      <c r="A15" s="28" t="inlineStr">
        <is>
          <t>TOTAL BUILD-OUT</t>
        </is>
      </c>
      <c r="B15" s="51">
        <f>SUM(B5:B14)</f>
        <v>0.0</v>
      </c>
      <c r="C15" s="30" t="n"/>
      <c r="D15" s="51">
        <f>SUM(D5:D14)</f>
        <v>0.0</v>
      </c>
      <c r="E15" s="52">
        <f>SUM(E5:E14)</f>
        <v>0.0</v>
      </c>
      <c r="F15" s="52">
        <f>SUM(F5:F14)</f>
        <v>0.0</v>
      </c>
      <c r="G15" s="24">
        <f>IFERROR(($F15-$B15)/$B15,"")</f>
        <v/>
      </c>
      <c r="I15" s="52">
        <f>SUM(I5:I14)</f>
        <v>0.0</v>
      </c>
    </row>
    <row r="17">
      <c r="A17" s="32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E2"/>
    <mergeCell ref="A1:E1"/>
  </mergeCells>
  <dataValidations count="3">
    <dataValidation sqref="B5 B6 B7 B8 B9 B10 B11 B12 B13 B14 F5 F6 F7 F8 F9 F10 F11 F12 F13 F14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5 C6 C7 C8 C9 C10 C11 C12 C13 C14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  <dataValidation sqref="H5 H6 H7 H8 H9 H10 H11 H12 H13 H14" showDropDown="0" showInputMessage="0" showErrorMessage="1" allowBlank="1" errorTitle="Invalid useful life" error="Useful life in years (straight line). Leave blank for items you expense, such as license fees. Building permits and design fees are part of the build-out: same life." type="decimal" operator="between">
      <formula1>0</formula1>
      <formula2>50</formula2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Startup Costs — Kitchen Equipment</t>
        </is>
      </c>
    </row>
    <row r="2">
      <c r="A2" s="2" t="inlineStr">
        <is>
          <t>AI Chef Pro · aichef.pro — Restaurant Financial Plan Kit Pro</t>
        </is>
      </c>
    </row>
    <row r="4">
      <c r="A4" s="17" t="inlineStr">
        <is>
          <t>Item</t>
        </is>
      </c>
      <c r="B4" s="17" t="inlineStr">
        <is>
          <t>Cost</t>
        </is>
      </c>
      <c r="C4" s="17" t="inlineStr">
        <is>
          <t>Recoverable tax %</t>
        </is>
      </c>
      <c r="D4" s="17" t="inlineStr">
        <is>
          <t>Tax</t>
        </is>
      </c>
      <c r="E4" s="17" t="inlineStr">
        <is>
          <t>Total incl. tax</t>
        </is>
      </c>
      <c r="F4" s="18" t="inlineStr">
        <is>
          <t>Actual</t>
        </is>
      </c>
      <c r="G4" s="18" t="inlineStr">
        <is>
          <t>Variance %</t>
        </is>
      </c>
      <c r="H4" s="18" t="inlineStr">
        <is>
          <t>Useful life (years)</t>
        </is>
      </c>
      <c r="I4" s="18" t="inlineStr">
        <is>
          <t>Annual depreciation</t>
        </is>
      </c>
      <c r="J4" s="18" t="inlineStr">
        <is>
          <t>Notes</t>
        </is>
      </c>
    </row>
    <row r="5">
      <c r="A5" s="7" t="inlineStr">
        <is>
          <t>Commercial range (burners)</t>
        </is>
      </c>
      <c r="B5" s="46" t="n">
        <v>0</v>
      </c>
      <c r="C5" s="20" t="n">
        <v>0</v>
      </c>
      <c r="D5" s="47">
        <f>$B5*$C5</f>
        <v>0.0</v>
      </c>
      <c r="E5" s="48">
        <f>$B5+$D5</f>
        <v>0.0</v>
      </c>
      <c r="F5" s="49" t="n">
        <v>0</v>
      </c>
      <c r="G5" s="24">
        <f>IFERROR(($F5-$B5)/$B5,"")</f>
        <v/>
      </c>
      <c r="H5" s="27" t="n">
        <v>7</v>
      </c>
      <c r="I5" s="50">
        <f>IFERROR($B5/$H5,0)</f>
        <v>0.0</v>
      </c>
      <c r="J5" s="27" t="n"/>
    </row>
    <row r="6">
      <c r="A6" s="7" t="inlineStr">
        <is>
          <t>Combi oven</t>
        </is>
      </c>
      <c r="B6" s="46" t="n">
        <v>0</v>
      </c>
      <c r="C6" s="20" t="n">
        <v>0</v>
      </c>
      <c r="D6" s="47">
        <f>$B6*$C6</f>
        <v>0.0</v>
      </c>
      <c r="E6" s="48">
        <f>$B6+$D6</f>
        <v>0.0</v>
      </c>
      <c r="F6" s="49" t="n">
        <v>0</v>
      </c>
      <c r="G6" s="24">
        <f>IFERROR(($F6-$B6)/$B6,"")</f>
        <v/>
      </c>
      <c r="H6" s="27" t="n">
        <v>7</v>
      </c>
      <c r="I6" s="50">
        <f>IFERROR($B6/$H6,0)</f>
        <v>0.0</v>
      </c>
      <c r="J6" s="27" t="n"/>
    </row>
    <row r="7">
      <c r="A7" s="7" t="inlineStr">
        <is>
          <t>Flat-top / Grill</t>
        </is>
      </c>
      <c r="B7" s="46" t="n">
        <v>0</v>
      </c>
      <c r="C7" s="20" t="n">
        <v>0</v>
      </c>
      <c r="D7" s="47">
        <f>$B7*$C7</f>
        <v>0.0</v>
      </c>
      <c r="E7" s="48">
        <f>$B7+$D7</f>
        <v>0.0</v>
      </c>
      <c r="F7" s="49" t="n">
        <v>0</v>
      </c>
      <c r="G7" s="24">
        <f>IFERROR(($F7-$B7)/$B7,"")</f>
        <v/>
      </c>
      <c r="H7" s="27" t="n">
        <v>7</v>
      </c>
      <c r="I7" s="50">
        <f>IFERROR($B7/$H7,0)</f>
        <v>0.0</v>
      </c>
      <c r="J7" s="27" t="n"/>
    </row>
    <row r="8">
      <c r="A8" s="7" t="inlineStr">
        <is>
          <t>Fryer</t>
        </is>
      </c>
      <c r="B8" s="46" t="n">
        <v>0</v>
      </c>
      <c r="C8" s="20" t="n">
        <v>0</v>
      </c>
      <c r="D8" s="47">
        <f>$B8*$C8</f>
        <v>0.0</v>
      </c>
      <c r="E8" s="48">
        <f>$B8+$D8</f>
        <v>0.0</v>
      </c>
      <c r="F8" s="49" t="n">
        <v>0</v>
      </c>
      <c r="G8" s="24">
        <f>IFERROR(($F8-$B8)/$B8,"")</f>
        <v/>
      </c>
      <c r="H8" s="27" t="n">
        <v>7</v>
      </c>
      <c r="I8" s="50">
        <f>IFERROR($B8/$H8,0)</f>
        <v>0.0</v>
      </c>
      <c r="J8" s="27" t="n"/>
    </row>
    <row r="9">
      <c r="A9" s="7" t="inlineStr">
        <is>
          <t>Walk-in cooler</t>
        </is>
      </c>
      <c r="B9" s="46" t="n">
        <v>0</v>
      </c>
      <c r="C9" s="20" t="n">
        <v>0</v>
      </c>
      <c r="D9" s="47">
        <f>$B9*$C9</f>
        <v>0.0</v>
      </c>
      <c r="E9" s="48">
        <f>$B9+$D9</f>
        <v>0.0</v>
      </c>
      <c r="F9" s="49" t="n">
        <v>0</v>
      </c>
      <c r="G9" s="24">
        <f>IFERROR(($F9-$B9)/$B9,"")</f>
        <v/>
      </c>
      <c r="H9" s="27" t="n">
        <v>7</v>
      </c>
      <c r="I9" s="50">
        <f>IFERROR($B9/$H9,0)</f>
        <v>0.0</v>
      </c>
      <c r="J9" s="27" t="n"/>
    </row>
    <row r="10">
      <c r="A10" s="7" t="inlineStr">
        <is>
          <t>Freezer</t>
        </is>
      </c>
      <c r="B10" s="46" t="n">
        <v>0</v>
      </c>
      <c r="C10" s="20" t="n">
        <v>0</v>
      </c>
      <c r="D10" s="47">
        <f>$B10*$C10</f>
        <v>0.0</v>
      </c>
      <c r="E10" s="48">
        <f>$B10+$D10</f>
        <v>0.0</v>
      </c>
      <c r="F10" s="49" t="n">
        <v>0</v>
      </c>
      <c r="G10" s="24">
        <f>IFERROR(($F10-$B10)/$B10,"")</f>
        <v/>
      </c>
      <c r="H10" s="27" t="n">
        <v>7</v>
      </c>
      <c r="I10" s="50">
        <f>IFERROR($B10/$H10,0)</f>
        <v>0.0</v>
      </c>
      <c r="J10" s="27" t="n"/>
    </row>
    <row r="11">
      <c r="A11" s="7" t="inlineStr">
        <is>
          <t>Stainless steel work table</t>
        </is>
      </c>
      <c r="B11" s="46" t="n">
        <v>0</v>
      </c>
      <c r="C11" s="20" t="n">
        <v>0</v>
      </c>
      <c r="D11" s="47">
        <f>$B11*$C11</f>
        <v>0.0</v>
      </c>
      <c r="E11" s="48">
        <f>$B11+$D11</f>
        <v>0.0</v>
      </c>
      <c r="F11" s="49" t="n">
        <v>0</v>
      </c>
      <c r="G11" s="24">
        <f>IFERROR(($F11-$B11)/$B11,"")</f>
        <v/>
      </c>
      <c r="H11" s="27" t="n">
        <v>7</v>
      </c>
      <c r="I11" s="50">
        <f>IFERROR($B11/$H11,0)</f>
        <v>0.0</v>
      </c>
      <c r="J11" s="27" t="n"/>
    </row>
    <row r="12">
      <c r="A12" s="7" t="inlineStr">
        <is>
          <t>Commercial dishwasher</t>
        </is>
      </c>
      <c r="B12" s="46" t="n">
        <v>0</v>
      </c>
      <c r="C12" s="20" t="n">
        <v>0</v>
      </c>
      <c r="D12" s="47">
        <f>$B12*$C12</f>
        <v>0.0</v>
      </c>
      <c r="E12" s="48">
        <f>$B12+$D12</f>
        <v>0.0</v>
      </c>
      <c r="F12" s="49" t="n">
        <v>0</v>
      </c>
      <c r="G12" s="24">
        <f>IFERROR(($F12-$B12)/$B12,"")</f>
        <v/>
      </c>
      <c r="H12" s="27" t="n">
        <v>7</v>
      </c>
      <c r="I12" s="50">
        <f>IFERROR($B12/$H12,0)</f>
        <v>0.0</v>
      </c>
      <c r="J12" s="27" t="n"/>
    </row>
    <row r="13">
      <c r="A13" s="7" t="inlineStr">
        <is>
          <t>Exhaust hood</t>
        </is>
      </c>
      <c r="B13" s="46" t="n">
        <v>0</v>
      </c>
      <c r="C13" s="20" t="n">
        <v>0</v>
      </c>
      <c r="D13" s="47">
        <f>$B13*$C13</f>
        <v>0.0</v>
      </c>
      <c r="E13" s="48">
        <f>$B13+$D13</f>
        <v>0.0</v>
      </c>
      <c r="F13" s="49" t="n">
        <v>0</v>
      </c>
      <c r="G13" s="24">
        <f>IFERROR(($F13-$B13)/$B13,"")</f>
        <v/>
      </c>
      <c r="H13" s="27" t="n">
        <v>7</v>
      </c>
      <c r="I13" s="50">
        <f>IFERROR($B13/$H13,0)</f>
        <v>0.0</v>
      </c>
      <c r="J13" s="27" t="n"/>
    </row>
    <row r="14">
      <c r="A14" s="7" t="inlineStr">
        <is>
          <t>Small kitchen equipment</t>
        </is>
      </c>
      <c r="B14" s="46" t="n">
        <v>0</v>
      </c>
      <c r="C14" s="20" t="n">
        <v>0</v>
      </c>
      <c r="D14" s="47">
        <f>$B14*$C14</f>
        <v>0.0</v>
      </c>
      <c r="E14" s="48">
        <f>$B14+$D14</f>
        <v>0.0</v>
      </c>
      <c r="F14" s="49" t="n">
        <v>0</v>
      </c>
      <c r="G14" s="24">
        <f>IFERROR(($F14-$B14)/$B14,"")</f>
        <v/>
      </c>
      <c r="H14" s="27" t="n">
        <v>7</v>
      </c>
      <c r="I14" s="50">
        <f>IFERROR($B14/$H14,0)</f>
        <v>0.0</v>
      </c>
      <c r="J14" s="27" t="n"/>
    </row>
    <row r="15" ht="30" customHeight="1">
      <c r="A15" s="53" t="inlineStr">
        <is>
          <t>Kitchen smallwares and utensils (hotel pans, knives)</t>
        </is>
      </c>
      <c r="B15" s="54" t="n">
        <v>0</v>
      </c>
      <c r="C15" s="34" t="n">
        <v>0</v>
      </c>
      <c r="D15" s="47">
        <f>$B15*$C15</f>
        <v>0.0</v>
      </c>
      <c r="E15" s="50">
        <f>$B15+$D15</f>
        <v>0.0</v>
      </c>
      <c r="F15" s="49" t="n">
        <v>0</v>
      </c>
      <c r="G15" s="24">
        <f>IFERROR(($F15-$B15)/$B15,"")</f>
        <v/>
      </c>
      <c r="H15" s="27" t="n">
        <v>7</v>
      </c>
      <c r="I15" s="50">
        <f>IFERROR($B15/$H15,0)</f>
        <v>0.0</v>
      </c>
      <c r="J15" s="27" t="n"/>
    </row>
    <row r="16">
      <c r="A16" t="inlineStr">
        <is>
          <t>Dry storage shelving and beverage cooler</t>
        </is>
      </c>
      <c r="B16" s="49" t="n">
        <v>0</v>
      </c>
      <c r="C16" s="35" t="n">
        <v>0</v>
      </c>
      <c r="D16" s="50">
        <f>$B16*$C16</f>
        <v>0.0</v>
      </c>
      <c r="E16" s="50">
        <f>$B16+$D16</f>
        <v>0.0</v>
      </c>
      <c r="F16" s="49" t="n">
        <v>0</v>
      </c>
      <c r="G16" s="24">
        <f>IFERROR(($F16-$B16)/$B16,"")</f>
        <v/>
      </c>
      <c r="H16" s="27" t="n">
        <v>7</v>
      </c>
      <c r="I16" s="50">
        <f>IFERROR($B16/$H16,0)</f>
        <v>0.0</v>
      </c>
      <c r="J16" s="27" t="n"/>
    </row>
    <row r="17">
      <c r="A17" s="36" t="inlineStr">
        <is>
          <t>TOTAL KITCHEN EQUIPMENT</t>
        </is>
      </c>
      <c r="B17" s="52">
        <f>SUM(B5:B16)</f>
        <v>0.0</v>
      </c>
      <c r="D17" s="52">
        <f>SUM(D5:D16)</f>
        <v>0.0</v>
      </c>
      <c r="E17" s="52">
        <f>SUM(E5:E16)</f>
        <v>0.0</v>
      </c>
      <c r="F17" s="52">
        <f>SUM(F5:F16)</f>
        <v>0.0</v>
      </c>
      <c r="G17" s="24">
        <f>IFERROR(($F17-$B17)/$B17,"")</f>
        <v/>
      </c>
      <c r="I17" s="52">
        <f>SUM(I5:I16)</f>
        <v>0.0</v>
      </c>
    </row>
    <row r="19">
      <c r="A19" s="32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E2"/>
    <mergeCell ref="A1:E1"/>
  </mergeCells>
  <dataValidations count="3">
    <dataValidation sqref="B5 B6 B7 B8 B9 B10 B11 B12 B13 B14 B15 B16 F5 F6 F7 F8 F9 F10 F11 F12 F13 F14 F15 F16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5 C6 C7 C8 C9 C10 C11 C12 C13 C14 C15 C16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  <dataValidation sqref="H5 H6 H7 H8 H9 H10 H11 H12 H13 H14 H15 H16" showDropDown="0" showInputMessage="0" showErrorMessage="1" allowBlank="1" errorTitle="Invalid useful life" error="Useful life in years (straight line). Leave blank for items you expense, such as license fees. Building permits and design fees are part of the build-out: same life." type="decimal" operator="between">
      <formula1>0</formula1>
      <formula2>50</formula2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Startup Costs — Dining Room FF&amp;E</t>
        </is>
      </c>
    </row>
    <row r="2">
      <c r="A2" s="2" t="inlineStr">
        <is>
          <t>AI Chef Pro · aichef.pro — Restaurant Financial Plan Kit Pro</t>
        </is>
      </c>
    </row>
    <row r="4">
      <c r="A4" s="17" t="inlineStr">
        <is>
          <t>Item</t>
        </is>
      </c>
      <c r="B4" s="17" t="inlineStr">
        <is>
          <t>Cost</t>
        </is>
      </c>
      <c r="C4" s="17" t="inlineStr">
        <is>
          <t>Recoverable tax %</t>
        </is>
      </c>
      <c r="D4" s="17" t="inlineStr">
        <is>
          <t>Tax</t>
        </is>
      </c>
      <c r="E4" s="17" t="inlineStr">
        <is>
          <t>Total incl. tax</t>
        </is>
      </c>
      <c r="F4" s="18" t="inlineStr">
        <is>
          <t>Actual</t>
        </is>
      </c>
      <c r="G4" s="18" t="inlineStr">
        <is>
          <t>Variance %</t>
        </is>
      </c>
      <c r="H4" s="18" t="inlineStr">
        <is>
          <t>Useful life (years)</t>
        </is>
      </c>
      <c r="I4" s="18" t="inlineStr">
        <is>
          <t>Annual depreciation</t>
        </is>
      </c>
      <c r="J4" s="18" t="inlineStr">
        <is>
          <t>Notes</t>
        </is>
      </c>
    </row>
    <row r="5">
      <c r="A5" s="7" t="inlineStr">
        <is>
          <t>Tables</t>
        </is>
      </c>
      <c r="B5" s="46" t="n">
        <v>0</v>
      </c>
      <c r="C5" s="20" t="n">
        <v>0</v>
      </c>
      <c r="D5" s="47">
        <f>$B5*$C5</f>
        <v>0.0</v>
      </c>
      <c r="E5" s="48">
        <f>$B5+$D5</f>
        <v>0.0</v>
      </c>
      <c r="F5" s="49" t="n">
        <v>0</v>
      </c>
      <c r="G5" s="24">
        <f>IFERROR(($F5-$B5)/$B5,"")</f>
        <v/>
      </c>
      <c r="H5" s="27" t="n">
        <v>7</v>
      </c>
      <c r="I5" s="50">
        <f>IFERROR($B5/$H5,0)</f>
        <v>0.0</v>
      </c>
      <c r="J5" s="27" t="n"/>
    </row>
    <row r="6">
      <c r="A6" s="7" t="inlineStr">
        <is>
          <t>Chairs</t>
        </is>
      </c>
      <c r="B6" s="46" t="n">
        <v>0</v>
      </c>
      <c r="C6" s="20" t="n">
        <v>0</v>
      </c>
      <c r="D6" s="47">
        <f>$B6*$C6</f>
        <v>0.0</v>
      </c>
      <c r="E6" s="48">
        <f>$B6+$D6</f>
        <v>0.0</v>
      </c>
      <c r="F6" s="49" t="n">
        <v>0</v>
      </c>
      <c r="G6" s="24">
        <f>IFERROR(($F6-$B6)/$B6,"")</f>
        <v/>
      </c>
      <c r="H6" s="27" t="n">
        <v>7</v>
      </c>
      <c r="I6" s="50">
        <f>IFERROR($B6/$H6,0)</f>
        <v>0.0</v>
      </c>
      <c r="J6" s="27" t="n"/>
    </row>
    <row r="7">
      <c r="A7" s="7" t="inlineStr">
        <is>
          <t>Bar</t>
        </is>
      </c>
      <c r="B7" s="46" t="n">
        <v>0</v>
      </c>
      <c r="C7" s="20" t="n">
        <v>0</v>
      </c>
      <c r="D7" s="47">
        <f>$B7*$C7</f>
        <v>0.0</v>
      </c>
      <c r="E7" s="48">
        <f>$B7+$D7</f>
        <v>0.0</v>
      </c>
      <c r="F7" s="49" t="n">
        <v>0</v>
      </c>
      <c r="G7" s="24">
        <f>IFERROR(($F7-$B7)/$B7,"")</f>
        <v/>
      </c>
      <c r="H7" s="27" t="n">
        <v>7</v>
      </c>
      <c r="I7" s="50">
        <f>IFERROR($B7/$H7,0)</f>
        <v>0.0</v>
      </c>
      <c r="J7" s="27" t="n"/>
    </row>
    <row r="8">
      <c r="A8" s="7" t="inlineStr">
        <is>
          <t>Bar stools</t>
        </is>
      </c>
      <c r="B8" s="46" t="n">
        <v>0</v>
      </c>
      <c r="C8" s="20" t="n">
        <v>0</v>
      </c>
      <c r="D8" s="47">
        <f>$B8*$C8</f>
        <v>0.0</v>
      </c>
      <c r="E8" s="48">
        <f>$B8+$D8</f>
        <v>0.0</v>
      </c>
      <c r="F8" s="49" t="n">
        <v>0</v>
      </c>
      <c r="G8" s="24">
        <f>IFERROR(($F8-$B8)/$B8,"")</f>
        <v/>
      </c>
      <c r="H8" s="27" t="n">
        <v>7</v>
      </c>
      <c r="I8" s="50">
        <f>IFERROR($B8/$H8,0)</f>
        <v>0.0</v>
      </c>
      <c r="J8" s="27" t="n"/>
    </row>
    <row r="9">
      <c r="A9" s="7" t="inlineStr">
        <is>
          <t>Shelving / decor</t>
        </is>
      </c>
      <c r="B9" s="46" t="n">
        <v>0</v>
      </c>
      <c r="C9" s="20" t="n">
        <v>0</v>
      </c>
      <c r="D9" s="47">
        <f>$B9*$C9</f>
        <v>0.0</v>
      </c>
      <c r="E9" s="48">
        <f>$B9+$D9</f>
        <v>0.0</v>
      </c>
      <c r="F9" s="49" t="n">
        <v>0</v>
      </c>
      <c r="G9" s="24">
        <f>IFERROR(($F9-$B9)/$B9,"")</f>
        <v/>
      </c>
      <c r="H9" s="27" t="n">
        <v>7</v>
      </c>
      <c r="I9" s="50">
        <f>IFERROR($B9/$H9,0)</f>
        <v>0.0</v>
      </c>
      <c r="J9" s="27" t="n"/>
    </row>
    <row r="10">
      <c r="A10" s="7" t="inlineStr">
        <is>
          <t>Lighting</t>
        </is>
      </c>
      <c r="B10" s="46" t="n">
        <v>0</v>
      </c>
      <c r="C10" s="20" t="n">
        <v>0</v>
      </c>
      <c r="D10" s="47">
        <f>$B10*$C10</f>
        <v>0.0</v>
      </c>
      <c r="E10" s="48">
        <f>$B10+$D10</f>
        <v>0.0</v>
      </c>
      <c r="F10" s="49" t="n">
        <v>0</v>
      </c>
      <c r="G10" s="24">
        <f>IFERROR(($F10-$B10)/$B10,"")</f>
        <v/>
      </c>
      <c r="H10" s="27" t="n">
        <v>7</v>
      </c>
      <c r="I10" s="50">
        <f>IFERROR($B10/$H10,0)</f>
        <v>0.0</v>
      </c>
      <c r="J10" s="27" t="n"/>
    </row>
    <row r="11">
      <c r="A11" s="7" t="inlineStr">
        <is>
          <t>Patio (tables + chairs)</t>
        </is>
      </c>
      <c r="B11" s="46" t="n">
        <v>0</v>
      </c>
      <c r="C11" s="20" t="n">
        <v>0</v>
      </c>
      <c r="D11" s="47">
        <f>$B11*$C11</f>
        <v>0.0</v>
      </c>
      <c r="E11" s="48">
        <f>$B11+$D11</f>
        <v>0.0</v>
      </c>
      <c r="F11" s="49" t="n">
        <v>0</v>
      </c>
      <c r="G11" s="24">
        <f>IFERROR(($F11-$B11)/$B11,"")</f>
        <v/>
      </c>
      <c r="H11" s="27" t="n">
        <v>7</v>
      </c>
      <c r="I11" s="50">
        <f>IFERROR($B11/$H11,0)</f>
        <v>0.0</v>
      </c>
      <c r="J11" s="27" t="n"/>
    </row>
    <row r="12">
      <c r="A12" s="7" t="inlineStr">
        <is>
          <t>Linens (tablecloths, napkins)</t>
        </is>
      </c>
      <c r="B12" s="46" t="n">
        <v>0</v>
      </c>
      <c r="C12" s="20" t="n">
        <v>0</v>
      </c>
      <c r="D12" s="47">
        <f>$B12*$C12</f>
        <v>0.0</v>
      </c>
      <c r="E12" s="48">
        <f>$B12+$D12</f>
        <v>0.0</v>
      </c>
      <c r="F12" s="49" t="n">
        <v>0</v>
      </c>
      <c r="G12" s="24">
        <f>IFERROR(($F12-$B12)/$B12,"")</f>
        <v/>
      </c>
      <c r="H12" s="27" t="n">
        <v>7</v>
      </c>
      <c r="I12" s="50">
        <f>IFERROR($B12/$H12,0)</f>
        <v>0.0</v>
      </c>
      <c r="J12" s="27" t="n"/>
    </row>
    <row r="13" ht="30" customHeight="1">
      <c r="A13" s="53" t="inlineStr">
        <is>
          <t>Dinnerware, glassware and flatware (with replacement stock)</t>
        </is>
      </c>
      <c r="B13" s="54" t="n">
        <v>0</v>
      </c>
      <c r="C13" s="34" t="n">
        <v>0</v>
      </c>
      <c r="D13" s="47">
        <f>$B13*$C13</f>
        <v>0.0</v>
      </c>
      <c r="E13" s="50">
        <f>$B13+$D13</f>
        <v>0.0</v>
      </c>
      <c r="F13" s="49" t="n">
        <v>0</v>
      </c>
      <c r="G13" s="24">
        <f>IFERROR(($F13-$B13)/$B13,"")</f>
        <v/>
      </c>
      <c r="H13" s="27" t="n">
        <v>7</v>
      </c>
      <c r="I13" s="50">
        <f>IFERROR($B13/$H13,0)</f>
        <v>0.0</v>
      </c>
      <c r="J13" s="27" t="n"/>
    </row>
    <row r="14">
      <c r="A14" t="inlineStr">
        <is>
          <t>Uniforms and PPE</t>
        </is>
      </c>
      <c r="B14" s="49" t="n">
        <v>0</v>
      </c>
      <c r="C14" s="35" t="n">
        <v>0</v>
      </c>
      <c r="D14" s="50">
        <f>$B14*$C14</f>
        <v>0.0</v>
      </c>
      <c r="E14" s="50">
        <f>$B14+$D14</f>
        <v>0.0</v>
      </c>
      <c r="F14" s="49" t="n">
        <v>0</v>
      </c>
      <c r="G14" s="24">
        <f>IFERROR(($F14-$B14)/$B14,"")</f>
        <v/>
      </c>
      <c r="H14" s="27" t="n">
        <v>7</v>
      </c>
      <c r="I14" s="50">
        <f>IFERROR($B14/$H14,0)</f>
        <v>0.0</v>
      </c>
      <c r="J14" s="27" t="n"/>
    </row>
    <row r="15">
      <c r="A15" s="36" t="inlineStr">
        <is>
          <t>TOTAL DINING ROOM FF&amp;E</t>
        </is>
      </c>
      <c r="B15" s="52">
        <f>SUM(B5:B14)</f>
        <v>0.0</v>
      </c>
      <c r="D15" s="52">
        <f>SUM(D5:D14)</f>
        <v>0.0</v>
      </c>
      <c r="E15" s="52">
        <f>SUM(E5:E14)</f>
        <v>0.0</v>
      </c>
      <c r="F15" s="52">
        <f>SUM(F5:F14)</f>
        <v>0.0</v>
      </c>
      <c r="G15" s="24">
        <f>IFERROR(($F15-$B15)/$B15,"")</f>
        <v/>
      </c>
      <c r="I15" s="52">
        <f>SUM(I5:I14)</f>
        <v>0.0</v>
      </c>
    </row>
    <row r="17">
      <c r="A17" s="32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E2"/>
    <mergeCell ref="A1:E1"/>
  </mergeCells>
  <dataValidations count="3">
    <dataValidation sqref="B5 B6 B7 B8 B9 B10 B11 B12 B13 B14 F5 F6 F7 F8 F9 F10 F11 F12 F13 F14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5 C6 C7 C8 C9 C10 C11 C12 C13 C14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  <dataValidation sqref="H5 H6 H7 H8 H9 H10 H11 H12 H13 H14" showDropDown="0" showInputMessage="0" showErrorMessage="1" allowBlank="1" errorTitle="Invalid useful life" error="Useful life in years (straight line). Leave blank for items you expense, such as license fees. Building permits and design fees are part of the build-out: same life." type="decimal" operator="between">
      <formula1>0</formula1>
      <formula2>50</formula2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Startup Costs — Technology</t>
        </is>
      </c>
    </row>
    <row r="2">
      <c r="A2" s="2" t="inlineStr">
        <is>
          <t>AI Chef Pro · aichef.pro — Restaurant Financial Plan Kit Pro</t>
        </is>
      </c>
    </row>
    <row r="4">
      <c r="A4" s="17" t="inlineStr">
        <is>
          <t>Item</t>
        </is>
      </c>
      <c r="B4" s="17" t="inlineStr">
        <is>
          <t>Cost</t>
        </is>
      </c>
      <c r="C4" s="17" t="inlineStr">
        <is>
          <t>Recoverable tax %</t>
        </is>
      </c>
      <c r="D4" s="17" t="inlineStr">
        <is>
          <t>Tax</t>
        </is>
      </c>
      <c r="E4" s="17" t="inlineStr">
        <is>
          <t>Total incl. tax</t>
        </is>
      </c>
      <c r="F4" s="18" t="inlineStr">
        <is>
          <t>Actual</t>
        </is>
      </c>
      <c r="G4" s="18" t="inlineStr">
        <is>
          <t>Variance %</t>
        </is>
      </c>
      <c r="H4" s="18" t="inlineStr">
        <is>
          <t>Useful life (years)</t>
        </is>
      </c>
      <c r="I4" s="18" t="inlineStr">
        <is>
          <t>Annual depreciation</t>
        </is>
      </c>
      <c r="J4" s="18" t="inlineStr">
        <is>
          <t>Notes</t>
        </is>
      </c>
    </row>
    <row r="5">
      <c r="A5" s="7" t="inlineStr">
        <is>
          <t>POS (hardware + software)</t>
        </is>
      </c>
      <c r="B5" s="46" t="n">
        <v>0</v>
      </c>
      <c r="C5" s="20" t="n">
        <v>0</v>
      </c>
      <c r="D5" s="47">
        <f>$B5*$C5</f>
        <v>0.0</v>
      </c>
      <c r="E5" s="48">
        <f>$B5+$D5</f>
        <v>0.0</v>
      </c>
      <c r="F5" s="49" t="n">
        <v>0</v>
      </c>
      <c r="G5" s="24">
        <f>IFERROR(($F5-$B5)/$B5,"")</f>
        <v/>
      </c>
      <c r="H5" s="27" t="n">
        <v>5</v>
      </c>
      <c r="I5" s="50">
        <f>IFERROR($B5/$H5,0)</f>
        <v>0.0</v>
      </c>
      <c r="J5" s="27" t="n"/>
    </row>
    <row r="6">
      <c r="A6" s="7" t="inlineStr">
        <is>
          <t>Kitchen ticket printers</t>
        </is>
      </c>
      <c r="B6" s="46" t="n">
        <v>0</v>
      </c>
      <c r="C6" s="20" t="n">
        <v>0</v>
      </c>
      <c r="D6" s="47">
        <f>$B6*$C6</f>
        <v>0.0</v>
      </c>
      <c r="E6" s="48">
        <f>$B6+$D6</f>
        <v>0.0</v>
      </c>
      <c r="F6" s="49" t="n">
        <v>0</v>
      </c>
      <c r="G6" s="24">
        <f>IFERROR(($F6-$B6)/$B6,"")</f>
        <v/>
      </c>
      <c r="H6" s="27" t="n">
        <v>5</v>
      </c>
      <c r="I6" s="50">
        <f>IFERROR($B6/$H6,0)</f>
        <v>0.0</v>
      </c>
      <c r="J6" s="27" t="n"/>
    </row>
    <row r="7">
      <c r="A7" s="7" t="inlineStr">
        <is>
          <t>Card terminal</t>
        </is>
      </c>
      <c r="B7" s="46" t="n">
        <v>0</v>
      </c>
      <c r="C7" s="20" t="n">
        <v>0</v>
      </c>
      <c r="D7" s="47">
        <f>$B7*$C7</f>
        <v>0.0</v>
      </c>
      <c r="E7" s="48">
        <f>$B7+$D7</f>
        <v>0.0</v>
      </c>
      <c r="F7" s="49" t="n">
        <v>0</v>
      </c>
      <c r="G7" s="24">
        <f>IFERROR(($F7-$B7)/$B7,"")</f>
        <v/>
      </c>
      <c r="H7" s="27" t="n">
        <v>5</v>
      </c>
      <c r="I7" s="50">
        <f>IFERROR($B7/$H7,0)</f>
        <v>0.0</v>
      </c>
      <c r="J7" s="27" t="n"/>
    </row>
    <row r="8">
      <c r="A8" s="7" t="inlineStr">
        <is>
          <t>Reservation system</t>
        </is>
      </c>
      <c r="B8" s="46" t="n">
        <v>0</v>
      </c>
      <c r="C8" s="20" t="n">
        <v>0</v>
      </c>
      <c r="D8" s="47">
        <f>$B8*$C8</f>
        <v>0.0</v>
      </c>
      <c r="E8" s="48">
        <f>$B8+$D8</f>
        <v>0.0</v>
      </c>
      <c r="F8" s="49" t="n">
        <v>0</v>
      </c>
      <c r="G8" s="24">
        <f>IFERROR(($F8-$B8)/$B8,"")</f>
        <v/>
      </c>
      <c r="H8" s="27" t="n">
        <v>5</v>
      </c>
      <c r="I8" s="50">
        <f>IFERROR($B8/$H8,0)</f>
        <v>0.0</v>
      </c>
      <c r="J8" s="27" t="n"/>
    </row>
    <row r="9">
      <c r="A9" s="7" t="inlineStr">
        <is>
          <t>Wi-Fi / Network</t>
        </is>
      </c>
      <c r="B9" s="46" t="n">
        <v>0</v>
      </c>
      <c r="C9" s="20" t="n">
        <v>0</v>
      </c>
      <c r="D9" s="47">
        <f>$B9*$C9</f>
        <v>0.0</v>
      </c>
      <c r="E9" s="48">
        <f>$B9+$D9</f>
        <v>0.0</v>
      </c>
      <c r="F9" s="49" t="n">
        <v>0</v>
      </c>
      <c r="G9" s="24">
        <f>IFERROR(($F9-$B9)/$B9,"")</f>
        <v/>
      </c>
      <c r="H9" s="27" t="n">
        <v>5</v>
      </c>
      <c r="I9" s="50">
        <f>IFERROR($B9/$H9,0)</f>
        <v>0.0</v>
      </c>
      <c r="J9" s="27" t="n"/>
    </row>
    <row r="10">
      <c r="A10" s="7" t="inlineStr">
        <is>
          <t>Screens / Digital signage</t>
        </is>
      </c>
      <c r="B10" s="46" t="n">
        <v>0</v>
      </c>
      <c r="C10" s="20" t="n">
        <v>0</v>
      </c>
      <c r="D10" s="47">
        <f>$B10*$C10</f>
        <v>0.0</v>
      </c>
      <c r="E10" s="48">
        <f>$B10+$D10</f>
        <v>0.0</v>
      </c>
      <c r="F10" s="49" t="n">
        <v>0</v>
      </c>
      <c r="G10" s="24">
        <f>IFERROR(($F10-$B10)/$B10,"")</f>
        <v/>
      </c>
      <c r="H10" s="27" t="n">
        <v>5</v>
      </c>
      <c r="I10" s="50">
        <f>IFERROR($B10/$H10,0)</f>
        <v>0.0</v>
      </c>
      <c r="J10" s="27" t="n"/>
    </row>
    <row r="11">
      <c r="A11" s="7" t="inlineStr">
        <is>
          <t>Delivery website / app</t>
        </is>
      </c>
      <c r="B11" s="46" t="n">
        <v>0</v>
      </c>
      <c r="C11" s="20" t="n">
        <v>0</v>
      </c>
      <c r="D11" s="47">
        <f>$B11*$C11</f>
        <v>0.0</v>
      </c>
      <c r="E11" s="48">
        <f>$B11+$D11</f>
        <v>0.0</v>
      </c>
      <c r="F11" s="49" t="n">
        <v>0</v>
      </c>
      <c r="G11" s="24">
        <f>IFERROR(($F11-$B11)/$B11,"")</f>
        <v/>
      </c>
      <c r="H11" s="27" t="n">
        <v>5</v>
      </c>
      <c r="I11" s="50">
        <f>IFERROR($B11/$H11,0)</f>
        <v>0.0</v>
      </c>
      <c r="J11" s="27" t="n"/>
    </row>
    <row r="12">
      <c r="A12" s="7" t="inlineStr">
        <is>
          <t>Security system (cameras)</t>
        </is>
      </c>
      <c r="B12" s="46" t="n">
        <v>0</v>
      </c>
      <c r="C12" s="20" t="n">
        <v>0</v>
      </c>
      <c r="D12" s="47">
        <f>$B12*$C12</f>
        <v>0.0</v>
      </c>
      <c r="E12" s="48">
        <f>$B12+$D12</f>
        <v>0.0</v>
      </c>
      <c r="F12" s="49" t="n">
        <v>0</v>
      </c>
      <c r="G12" s="24">
        <f>IFERROR(($F12-$B12)/$B12,"")</f>
        <v/>
      </c>
      <c r="H12" s="27" t="n">
        <v>5</v>
      </c>
      <c r="I12" s="50">
        <f>IFERROR($B12/$H12,0)</f>
        <v>0.0</v>
      </c>
      <c r="J12" s="27" t="n"/>
    </row>
    <row r="13">
      <c r="A13" s="28" t="inlineStr">
        <is>
          <t>TOTAL TECHNOLOGY</t>
        </is>
      </c>
      <c r="B13" s="51">
        <f>SUM(B5:B12)</f>
        <v>0.0</v>
      </c>
      <c r="C13" s="30" t="n"/>
      <c r="D13" s="51">
        <f>SUM(D5:D12)</f>
        <v>0.0</v>
      </c>
      <c r="E13" s="52">
        <f>SUM(E5:E12)</f>
        <v>0.0</v>
      </c>
      <c r="F13" s="52">
        <f>SUM(F5:F12)</f>
        <v>0.0</v>
      </c>
      <c r="G13" s="24">
        <f>IFERROR(($F13-$B13)/$B13,"")</f>
        <v/>
      </c>
      <c r="I13" s="52">
        <f>SUM(I5:I12)</f>
        <v>0.0</v>
      </c>
    </row>
    <row r="15">
      <c r="A15" s="32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E2"/>
    <mergeCell ref="A1:E1"/>
  </mergeCells>
  <dataValidations count="3">
    <dataValidation sqref="B5 B6 B7 B8 B9 B10 B11 B12 F5 F6 F7 F8 F9 F10 F11 F12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5 C6 C7 C8 C9 C10 C11 C12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  <dataValidation sqref="H5 H6 H7 H8 H9 H10 H11 H12" showDropDown="0" showInputMessage="0" showErrorMessage="1" allowBlank="1" errorTitle="Invalid useful life" error="Useful life in years (straight line). Leave blank for items you expense, such as license fees. Building permits and design fees are part of the build-out: same life." type="decimal" operator="between">
      <formula1>0</formula1>
      <formula2>50</formula2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30" customWidth="1" min="5" max="5"/>
    <col width="15" customWidth="1" min="6" max="6"/>
    <col width="13" customWidth="1" min="7" max="7"/>
    <col width="15" customWidth="1" min="8" max="8"/>
    <col width="17" customWidth="1" min="9" max="9"/>
    <col width="34" customWidth="1" min="10" max="10"/>
  </cols>
  <sheetData>
    <row r="1">
      <c r="A1" s="5" t="inlineStr">
        <is>
          <t>Startup Costs — Licenses &amp; Permits</t>
        </is>
      </c>
    </row>
    <row r="2">
      <c r="A2" s="2" t="inlineStr">
        <is>
          <t>AI Chef Pro · aichef.pro — Restaurant Financial Plan Kit Pro</t>
        </is>
      </c>
    </row>
    <row r="4">
      <c r="A4" s="17" t="inlineStr">
        <is>
          <t>Item</t>
        </is>
      </c>
      <c r="B4" s="17" t="inlineStr">
        <is>
          <t>Cost</t>
        </is>
      </c>
      <c r="C4" s="17" t="inlineStr">
        <is>
          <t>Recoverable tax %</t>
        </is>
      </c>
      <c r="D4" s="17" t="inlineStr">
        <is>
          <t>Tax</t>
        </is>
      </c>
      <c r="E4" s="17" t="inlineStr">
        <is>
          <t>Total incl. tax</t>
        </is>
      </c>
      <c r="F4" s="18" t="inlineStr">
        <is>
          <t>Actual</t>
        </is>
      </c>
      <c r="G4" s="18" t="inlineStr">
        <is>
          <t>Variance %</t>
        </is>
      </c>
      <c r="H4" s="18" t="inlineStr">
        <is>
          <t>Useful life (years)</t>
        </is>
      </c>
      <c r="I4" s="18" t="inlineStr">
        <is>
          <t>Annual depreciation</t>
        </is>
      </c>
      <c r="J4" s="18" t="inlineStr">
        <is>
          <t>Notes</t>
        </is>
      </c>
    </row>
    <row r="5">
      <c r="A5" s="7" t="inlineStr">
        <is>
          <t>Business license &amp; certificate of occupancy</t>
        </is>
      </c>
      <c r="B5" s="46" t="n">
        <v>0</v>
      </c>
      <c r="C5" s="20" t="n">
        <v>0</v>
      </c>
      <c r="D5" s="47">
        <f>$B5*$C5</f>
        <v>0.0</v>
      </c>
      <c r="E5" s="48">
        <f>$B5+$D5</f>
        <v>0.0</v>
      </c>
      <c r="F5" s="49" t="n">
        <v>0</v>
      </c>
      <c r="G5" s="24">
        <f>IFERROR(($F5-$B5)/$B5,"")</f>
        <v/>
      </c>
      <c r="H5" s="27" t="n"/>
      <c r="I5" s="50">
        <f>IFERROR($B5/$H5,0)</f>
        <v>0.0</v>
      </c>
      <c r="J5" s="27" t="n"/>
    </row>
    <row r="6">
      <c r="A6" s="7" t="inlineStr">
        <is>
          <t>Building permits</t>
        </is>
      </c>
      <c r="B6" s="46" t="n">
        <v>0</v>
      </c>
      <c r="C6" s="20" t="n">
        <v>0</v>
      </c>
      <c r="D6" s="47">
        <f>$B6*$C6</f>
        <v>0.0</v>
      </c>
      <c r="E6" s="48">
        <f>$B6+$D6</f>
        <v>0.0</v>
      </c>
      <c r="F6" s="49" t="n">
        <v>0</v>
      </c>
      <c r="G6" s="24">
        <f>IFERROR(($F6-$B6)/$B6,"")</f>
        <v/>
      </c>
      <c r="H6" s="27" t="n">
        <v>10</v>
      </c>
      <c r="I6" s="50">
        <f>IFERROR($B6/$H6,0)</f>
        <v>0.0</v>
      </c>
      <c r="J6" s="27" t="inlineStr">
        <is>
          <t>Capitalized with the build-out: same useful life.</t>
        </is>
      </c>
    </row>
    <row r="7">
      <c r="A7" s="7" t="inlineStr">
        <is>
          <t>Architect / engineer drawings</t>
        </is>
      </c>
      <c r="B7" s="46" t="n">
        <v>0</v>
      </c>
      <c r="C7" s="20" t="n">
        <v>0</v>
      </c>
      <c r="D7" s="47">
        <f>$B7*$C7</f>
        <v>0.0</v>
      </c>
      <c r="E7" s="48">
        <f>$B7+$D7</f>
        <v>0.0</v>
      </c>
      <c r="F7" s="49" t="n">
        <v>0</v>
      </c>
      <c r="G7" s="24">
        <f>IFERROR(($F7-$B7)/$B7,"")</f>
        <v/>
      </c>
      <c r="H7" s="27" t="n">
        <v>10</v>
      </c>
      <c r="I7" s="50">
        <f>IFERROR($B7/$H7,0)</f>
        <v>0.0</v>
      </c>
      <c r="J7" s="27" t="inlineStr">
        <is>
          <t>Capitalized with the build-out: same useful life.</t>
        </is>
      </c>
    </row>
    <row r="8">
      <c r="A8" s="7" t="inlineStr">
        <is>
          <t>Health department plan review &amp; permit</t>
        </is>
      </c>
      <c r="B8" s="46" t="n">
        <v>0</v>
      </c>
      <c r="C8" s="20" t="n">
        <v>0</v>
      </c>
      <c r="D8" s="47">
        <f>$B8*$C8</f>
        <v>0.0</v>
      </c>
      <c r="E8" s="48">
        <f>$B8+$D8</f>
        <v>0.0</v>
      </c>
      <c r="F8" s="49" t="n">
        <v>0</v>
      </c>
      <c r="G8" s="24">
        <f>IFERROR(($F8-$B8)/$B8,"")</f>
        <v/>
      </c>
      <c r="H8" s="27" t="n"/>
      <c r="I8" s="50">
        <f>IFERROR($B8/$H8,0)</f>
        <v>0.0</v>
      </c>
      <c r="J8" s="27" t="n"/>
    </row>
    <row r="9">
      <c r="A9" s="7" t="inlineStr">
        <is>
          <t>Fire inspection &amp; occupancy permit</t>
        </is>
      </c>
      <c r="B9" s="46" t="n">
        <v>0</v>
      </c>
      <c r="C9" s="20" t="n">
        <v>0</v>
      </c>
      <c r="D9" s="47">
        <f>$B9*$C9</f>
        <v>0.0</v>
      </c>
      <c r="E9" s="48">
        <f>$B9+$D9</f>
        <v>0.0</v>
      </c>
      <c r="F9" s="49" t="n">
        <v>0</v>
      </c>
      <c r="G9" s="24">
        <f>IFERROR(($F9-$B9)/$B9,"")</f>
        <v/>
      </c>
      <c r="H9" s="27" t="n"/>
      <c r="I9" s="50">
        <f>IFERROR($B9/$H9,0)</f>
        <v>0.0</v>
      </c>
      <c r="J9" s="27" t="n"/>
    </row>
    <row r="10">
      <c r="A10" s="7" t="inlineStr">
        <is>
          <t>Liquor license</t>
        </is>
      </c>
      <c r="B10" s="46" t="n">
        <v>0</v>
      </c>
      <c r="C10" s="20" t="n">
        <v>0</v>
      </c>
      <c r="D10" s="47">
        <f>$B10*$C10</f>
        <v>0.0</v>
      </c>
      <c r="E10" s="48">
        <f>$B10+$D10</f>
        <v>0.0</v>
      </c>
      <c r="F10" s="49" t="n">
        <v>0</v>
      </c>
      <c r="G10" s="24">
        <f>IFERROR(($F10-$B10)/$B10,"")</f>
        <v/>
      </c>
      <c r="H10" s="27" t="n"/>
      <c r="I10" s="50">
        <f>IFERROR($B10/$H10,0)</f>
        <v>0.0</v>
      </c>
      <c r="J10" s="27" t="n"/>
    </row>
    <row r="11">
      <c r="A11" s="7" t="inlineStr">
        <is>
          <t>Sign permit</t>
        </is>
      </c>
      <c r="B11" s="46" t="n">
        <v>0</v>
      </c>
      <c r="C11" s="20" t="n">
        <v>0</v>
      </c>
      <c r="D11" s="47">
        <f>$B11*$C11</f>
        <v>0.0</v>
      </c>
      <c r="E11" s="48">
        <f>$B11+$D11</f>
        <v>0.0</v>
      </c>
      <c r="F11" s="49" t="n">
        <v>0</v>
      </c>
      <c r="G11" s="24">
        <f>IFERROR(($F11-$B11)/$B11,"")</f>
        <v/>
      </c>
      <c r="H11" s="27" t="n"/>
      <c r="I11" s="50">
        <f>IFERROR($B11/$H11,0)</f>
        <v>0.0</v>
      </c>
      <c r="J11" s="27" t="n"/>
    </row>
    <row r="12">
      <c r="A12" s="7" t="inlineStr">
        <is>
          <t>Music licensing (ASCAP, BMI, SESAC)</t>
        </is>
      </c>
      <c r="B12" s="46" t="n">
        <v>0</v>
      </c>
      <c r="C12" s="20" t="n">
        <v>0</v>
      </c>
      <c r="D12" s="47">
        <f>$B12*$C12</f>
        <v>0.0</v>
      </c>
      <c r="E12" s="48">
        <f>$B12+$D12</f>
        <v>0.0</v>
      </c>
      <c r="F12" s="49" t="n">
        <v>0</v>
      </c>
      <c r="G12" s="24">
        <f>IFERROR(($F12-$B12)/$B12,"")</f>
        <v/>
      </c>
      <c r="H12" s="27" t="n"/>
      <c r="I12" s="50">
        <f>IFERROR($B12/$H12,0)</f>
        <v>0.0</v>
      </c>
      <c r="J12" s="27" t="n"/>
    </row>
    <row r="13">
      <c r="A13" s="28" t="inlineStr">
        <is>
          <t>TOTAL LICENSES &amp; PERMITS</t>
        </is>
      </c>
      <c r="B13" s="51">
        <f>SUM(B5:B12)</f>
        <v>0.0</v>
      </c>
      <c r="C13" s="37" t="n"/>
      <c r="D13" s="51">
        <f>SUM(D5:D12)</f>
        <v>0.0</v>
      </c>
      <c r="E13" s="55">
        <f>SUM(E5:E12)</f>
        <v>0.0</v>
      </c>
      <c r="F13" s="52">
        <f>SUM(F5:F12)</f>
        <v>0.0</v>
      </c>
      <c r="G13" s="24">
        <f>IFERROR(($F13-$B13)/$B13,"")</f>
        <v/>
      </c>
      <c r="I13" s="52">
        <f>SUM(I5:I12)</f>
        <v>0.0</v>
      </c>
    </row>
    <row r="14">
      <c r="A14" s="10" t="n"/>
      <c r="B14" s="30" t="n"/>
      <c r="C14" s="30" t="n"/>
      <c r="D14" s="39" t="n"/>
    </row>
    <row r="15">
      <c r="A15" s="32" t="inlineStr">
        <is>
          <t>© 2026 AI Chef Pro · aichef.pro</t>
        </is>
      </c>
    </row>
    <row r="16">
      <c r="A16" s="12" t="n"/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E2"/>
    <mergeCell ref="A1:E1"/>
  </mergeCells>
  <dataValidations count="3">
    <dataValidation sqref="B5 B6 B7 B8 B9 B10 B11 B12 F5 F6 F7 F8 F9 F10 F11 F12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5 C6 C7 C8 C9 C10 C11 C12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  <dataValidation sqref="H5 H6 H7 H8 H9 H10 H11 H12" showDropDown="0" showInputMessage="0" showErrorMessage="1" allowBlank="1" errorTitle="Invalid useful life" error="Useful life in years (straight line). Leave blank for items you expense, such as license fees. Building permits and design fees are part of the build-out: same life." type="decimal" operator="between">
      <formula1>0</formula1>
      <formula2>50</formula2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3" customWidth="1" min="3" max="3"/>
    <col width="14" customWidth="1" min="4" max="4"/>
    <col width="17" customWidth="1" min="5" max="5"/>
    <col width="15" customWidth="1" min="6" max="6"/>
    <col width="13" customWidth="1" min="7" max="7"/>
    <col width="56" customWidth="1" min="8" max="8"/>
  </cols>
  <sheetData>
    <row r="1">
      <c r="A1" s="40" t="inlineStr">
        <is>
          <t>Other Opening Costs — what is not capex but still has to be paid</t>
        </is>
      </c>
    </row>
    <row r="2">
      <c r="A2" s="41" t="inlineStr">
        <is>
          <t>AI Chef Pro · aichef.pro — Restaurant Financial Plan Kit Pro</t>
        </is>
      </c>
    </row>
    <row r="4">
      <c r="A4" s="18" t="inlineStr">
        <is>
          <t>Line item</t>
        </is>
      </c>
      <c r="B4" s="18" t="inlineStr">
        <is>
          <t>Cost</t>
        </is>
      </c>
      <c r="C4" s="18" t="inlineStr">
        <is>
          <t>Recoverable tax %</t>
        </is>
      </c>
      <c r="D4" s="18" t="inlineStr">
        <is>
          <t>Tax</t>
        </is>
      </c>
      <c r="E4" s="18" t="inlineStr">
        <is>
          <t>Total incl. tax</t>
        </is>
      </c>
      <c r="F4" s="18" t="inlineStr">
        <is>
          <t>Actual</t>
        </is>
      </c>
      <c r="G4" s="18" t="inlineStr">
        <is>
          <t>Variance %</t>
        </is>
      </c>
      <c r="H4" s="18" t="inlineStr">
        <is>
          <t>Notes</t>
        </is>
      </c>
    </row>
    <row r="5">
      <c r="A5" t="inlineStr">
        <is>
          <t>Key money / business purchase (if any)</t>
        </is>
      </c>
      <c r="B5" s="49" t="n">
        <v>0</v>
      </c>
      <c r="C5" s="35" t="n">
        <v>0</v>
      </c>
      <c r="D5" s="50">
        <f>$B5*$C5</f>
        <v>0.0</v>
      </c>
      <c r="E5" s="50">
        <f>$B5+$D5</f>
        <v>0.0</v>
      </c>
      <c r="F5" s="49" t="n">
        <v>0</v>
      </c>
      <c r="G5" s="24">
        <f>IFERROR(($F5-$B5)/$B5,"")</f>
        <v/>
      </c>
      <c r="H5" s="42" t="n"/>
    </row>
    <row r="6">
      <c r="A6" t="inlineStr">
        <is>
          <t>Security deposit &amp; first rent</t>
        </is>
      </c>
      <c r="B6" s="49" t="n">
        <v>0</v>
      </c>
      <c r="C6" s="35" t="n">
        <v>0</v>
      </c>
      <c r="D6" s="50">
        <f>$B6*$C6</f>
        <v>0.0</v>
      </c>
      <c r="E6" s="50">
        <f>$B6+$D6</f>
        <v>0.0</v>
      </c>
      <c r="F6" s="49" t="n">
        <v>0</v>
      </c>
      <c r="G6" s="24">
        <f>IFERROR(($F6-$B6)/$B6,"")</f>
        <v/>
      </c>
      <c r="H6" s="42" t="inlineStr">
        <is>
          <t>The deposit is returned when you leave; prepaid rent is not.</t>
        </is>
      </c>
    </row>
    <row r="7">
      <c r="A7" t="inlineStr">
        <is>
          <t>Entity formation, legal &amp; filing fees</t>
        </is>
      </c>
      <c r="B7" s="49" t="n">
        <v>0</v>
      </c>
      <c r="C7" s="35" t="n">
        <v>0</v>
      </c>
      <c r="D7" s="50">
        <f>$B7*$C7</f>
        <v>0.0</v>
      </c>
      <c r="E7" s="50">
        <f>$B7+$D7</f>
        <v>0.0</v>
      </c>
      <c r="F7" s="49" t="n">
        <v>0</v>
      </c>
      <c r="G7" s="24">
        <f>IFERROR(($F7-$B7)/$B7,"")</f>
        <v/>
      </c>
      <c r="H7" s="42" t="n"/>
    </row>
    <row r="8">
      <c r="A8" t="inlineStr">
        <is>
          <t>OPENING INVENTORY of pantry and bar</t>
        </is>
      </c>
      <c r="B8" s="49" t="n">
        <v>0</v>
      </c>
      <c r="C8" s="35" t="n">
        <v>0</v>
      </c>
      <c r="D8" s="50">
        <f>$B8*$C8</f>
        <v>0.0</v>
      </c>
      <c r="E8" s="50">
        <f>$B8+$D8</f>
        <v>0.0</v>
      </c>
      <c r="F8" s="49" t="n">
        <v>0</v>
      </c>
      <c r="G8" s="24">
        <f>IFERROR(($F8-$B8)/$B8,"")</f>
        <v/>
      </c>
      <c r="H8" s="42" t="inlineStr">
        <is>
          <t>Weeks of usage × daily cost of ingredients. In a 60-seat casual restaurant, 2-4 weeks are often 8,000-15,000.</t>
        </is>
      </c>
    </row>
    <row r="9">
      <c r="A9" t="inlineStr">
        <is>
          <t>Pre-opening payroll and training</t>
        </is>
      </c>
      <c r="B9" s="49" t="n">
        <v>0</v>
      </c>
      <c r="C9" s="35" t="n">
        <v>0</v>
      </c>
      <c r="D9" s="50">
        <f>$B9*$C9</f>
        <v>0.0</v>
      </c>
      <c r="E9" s="50">
        <f>$B9+$D9</f>
        <v>0.0</v>
      </c>
      <c r="F9" s="49" t="n">
        <v>0</v>
      </c>
      <c r="G9" s="24">
        <f>IFERROR(($F9-$B9)/$B9,"")</f>
        <v/>
      </c>
      <c r="H9" s="42" t="inlineStr">
        <is>
          <t>The two or three weeks of staff you pay before the first sale.</t>
        </is>
      </c>
    </row>
    <row r="10">
      <c r="A10" t="inlineStr">
        <is>
          <t>Launch marketing</t>
        </is>
      </c>
      <c r="B10" s="49" t="n">
        <v>0</v>
      </c>
      <c r="C10" s="35" t="n">
        <v>0</v>
      </c>
      <c r="D10" s="50">
        <f>$B10*$C10</f>
        <v>0.0</v>
      </c>
      <c r="E10" s="50">
        <f>$B10+$D10</f>
        <v>0.0</v>
      </c>
      <c r="F10" s="49" t="n">
        <v>0</v>
      </c>
      <c r="G10" s="24">
        <f>IFERROR(($F10-$B10)/$B10,"")</f>
        <v/>
      </c>
      <c r="H10" s="42" t="n"/>
    </row>
    <row r="11">
      <c r="A11" t="inlineStr">
        <is>
          <t>Insurance (year 1)</t>
        </is>
      </c>
      <c r="B11" s="49" t="n">
        <v>0</v>
      </c>
      <c r="C11" s="35" t="n">
        <v>0</v>
      </c>
      <c r="D11" s="50">
        <f>$B11*$C11</f>
        <v>0.0</v>
      </c>
      <c r="E11" s="50">
        <f>$B11+$D11</f>
        <v>0.0</v>
      </c>
      <c r="F11" s="49" t="n">
        <v>0</v>
      </c>
      <c r="G11" s="24">
        <f>IFERROR(($F11-$B11)/$B11,"")</f>
        <v/>
      </c>
      <c r="H11" s="42" t="inlineStr">
        <is>
          <t>Prepaid expense, NOT depreciated. It is not capex, and file 02 "Break-Even Calculator" already counts monthly insurance in its "Inputs" tab, so do not count the same premium twice.</t>
        </is>
      </c>
    </row>
    <row r="12">
      <c r="A12" t="inlineStr">
        <is>
          <t>Contingency (5-10% of the investment)</t>
        </is>
      </c>
      <c r="B12" s="49" t="n">
        <v>0</v>
      </c>
      <c r="C12" s="35" t="n">
        <v>0</v>
      </c>
      <c r="D12" s="50">
        <f>$B12*$C12</f>
        <v>0.0</v>
      </c>
      <c r="E12" s="50">
        <f>$B12+$D12</f>
        <v>0.0</v>
      </c>
      <c r="F12" s="49" t="n">
        <v>0</v>
      </c>
      <c r="G12" s="24">
        <f>IFERROR(($F12-$B12)/$B12,"")</f>
        <v/>
      </c>
      <c r="H12" s="42" t="inlineStr">
        <is>
          <t>Usually 5-10% of "TOTAL STARTUP COSTS (CAPEX)" in the "Summary" tab; it is not included in that total.</t>
        </is>
      </c>
    </row>
    <row r="13">
      <c r="A13" t="inlineStr">
        <is>
          <t>WORKING CAPITAL (3-6 months of fixed costs)</t>
        </is>
      </c>
      <c r="B13" s="49" t="n">
        <v>0</v>
      </c>
      <c r="C13" s="35" t="n">
        <v>0</v>
      </c>
      <c r="D13" s="50">
        <f>$B13*$C13</f>
        <v>0.0</v>
      </c>
      <c r="E13" s="50">
        <f>$B13+$D13</f>
        <v>0.0</v>
      </c>
      <c r="F13" s="49" t="n">
        <v>0</v>
      </c>
      <c r="G13" s="24">
        <f>IFERROR(($F13-$B13)/$B13,"")</f>
        <v/>
      </c>
      <c r="H13" s="42" t="inlineStr">
        <is>
          <t>This is the cash cushion that file B09 "Pre-Opening Financial Checklist" asks you to set aside. Guide: monthly fixed costs from file 02 "Break-Even Calculator", "Inputs" tab, cell C14, × 3 to 6.</t>
        </is>
      </c>
    </row>
    <row r="14">
      <c r="A14" s="36" t="inlineStr">
        <is>
          <t>TOTAL OTHER OPENING COSTS</t>
        </is>
      </c>
      <c r="B14" s="52">
        <f>SUM(B5:B13)</f>
        <v>0.0</v>
      </c>
      <c r="D14" s="52">
        <f>SUM(D5:D13)</f>
        <v>0.0</v>
      </c>
      <c r="E14" s="52">
        <f>SUM(E5:E13)</f>
        <v>0.0</v>
      </c>
      <c r="F14" s="52">
        <f>SUM(F5:F13)</f>
        <v>0.0</v>
      </c>
      <c r="G14" s="24">
        <f>IFERROR(($F14-$B14)/$B14,"")</f>
        <v/>
      </c>
    </row>
    <row r="16">
      <c r="A16" s="43" t="inlineStr">
        <is>
          <t>None of these items is depreciated: they are expenses for the period or working capital. That is why they have no useful life.</t>
        </is>
      </c>
    </row>
    <row r="18">
      <c r="A18" s="32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dataValidations count="2">
    <dataValidation sqref="B5 B6 B7 B8 B9 B10 B11 B12 B13 F5 F6 F7 F8 F9 F10 F11 F12 F13" showDropDown="0" showInputMessage="0" showErrorMessage="1" allowBlank="1" errorTitle="Invalid amount" error="Enter a number greater than or equal to 0." type="decimal" operator="greaterThanOrEqual">
      <formula1>0</formula1>
    </dataValidation>
    <dataValidation sqref="C5 C6 C7 C8 C9 C10 C11 C12 C13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</dataValidations>
  <pageMargins left="0.59" right="0.59" top="0.59" bottom="0.59" header="0.3" footer="0.3"/>
  <pageSetup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8" customWidth="1" min="7" max="7"/>
  </cols>
  <sheetData>
    <row r="1">
      <c r="A1" s="5" t="inlineStr">
        <is>
          <t>Total Startup Costs Summary</t>
        </is>
      </c>
    </row>
    <row r="2">
      <c r="A2" s="2" t="inlineStr">
        <is>
          <t>AI Chef Pro · aichef.pro — Restaurant Financial Plan Kit Pro</t>
        </is>
      </c>
    </row>
    <row r="4">
      <c r="A4" s="17" t="inlineStr">
        <is>
          <t>Category</t>
        </is>
      </c>
      <c r="B4" s="17" t="inlineStr">
        <is>
          <t>Cost</t>
        </is>
      </c>
      <c r="C4" s="17" t="inlineStr">
        <is>
          <t>Tax</t>
        </is>
      </c>
      <c r="D4" s="17" t="inlineStr">
        <is>
          <t>Total incl. tax</t>
        </is>
      </c>
      <c r="E4" s="18" t="inlineStr">
        <is>
          <t>Actual</t>
        </is>
      </c>
      <c r="F4" s="18" t="inlineStr">
        <is>
          <t>Variance %</t>
        </is>
      </c>
      <c r="G4" s="18" t="inlineStr">
        <is>
          <t>Annual depreciation</t>
        </is>
      </c>
    </row>
    <row r="5">
      <c r="A5" s="7" t="inlineStr">
        <is>
          <t>Build-Out</t>
        </is>
      </c>
      <c r="B5" s="56">
        <f>'Build-Out'!B15</f>
        <v>0.0</v>
      </c>
      <c r="C5" s="56">
        <f>'Build-Out'!D15</f>
        <v>0.0</v>
      </c>
      <c r="D5" s="47">
        <f>'Build-Out'!E15</f>
        <v>0.0</v>
      </c>
      <c r="E5" s="50">
        <f>'Build-Out'!F15</f>
        <v>0.0</v>
      </c>
      <c r="F5" s="24">
        <f>IFERROR(($E5-$B5)/$B5,"")</f>
        <v/>
      </c>
      <c r="G5" s="50">
        <f>'Build-Out'!I15</f>
        <v>0.0</v>
      </c>
    </row>
    <row r="6">
      <c r="A6" s="7" t="inlineStr">
        <is>
          <t>Kitchen Equipment</t>
        </is>
      </c>
      <c r="B6" s="56">
        <f>'Kitchen Equipment'!B17</f>
        <v>0.0</v>
      </c>
      <c r="C6" s="56">
        <f>'Kitchen Equipment'!D17</f>
        <v>0.0</v>
      </c>
      <c r="D6" s="47">
        <f>'Kitchen Equipment'!E17</f>
        <v>0.0</v>
      </c>
      <c r="E6" s="50">
        <f>'Kitchen Equipment'!F17</f>
        <v>0.0</v>
      </c>
      <c r="F6" s="24">
        <f>IFERROR(($E6-$B6)/$B6,"")</f>
        <v/>
      </c>
      <c r="G6" s="50">
        <f>'Kitchen Equipment'!I17</f>
        <v>0.0</v>
      </c>
    </row>
    <row r="7">
      <c r="A7" s="7" t="inlineStr">
        <is>
          <t>Dining Room FF&amp;E</t>
        </is>
      </c>
      <c r="B7" s="56">
        <f>'Dining Room FF&amp;E'!B15</f>
        <v>0.0</v>
      </c>
      <c r="C7" s="56">
        <f>'Dining Room FF&amp;E'!D15</f>
        <v>0.0</v>
      </c>
      <c r="D7" s="47">
        <f>'Dining Room FF&amp;E'!E15</f>
        <v>0.0</v>
      </c>
      <c r="E7" s="50">
        <f>'Dining Room FF&amp;E'!F15</f>
        <v>0.0</v>
      </c>
      <c r="F7" s="24">
        <f>IFERROR(($E7-$B7)/$B7,"")</f>
        <v/>
      </c>
      <c r="G7" s="50">
        <f>'Dining Room FF&amp;E'!I15</f>
        <v>0.0</v>
      </c>
    </row>
    <row r="8">
      <c r="A8" s="7" t="inlineStr">
        <is>
          <t>Technology</t>
        </is>
      </c>
      <c r="B8" s="56">
        <f>Technology!B13</f>
        <v>0.0</v>
      </c>
      <c r="C8" s="56">
        <f>Technology!D13</f>
        <v>0.0</v>
      </c>
      <c r="D8" s="47">
        <f>Technology!E13</f>
        <v>0.0</v>
      </c>
      <c r="E8" s="50">
        <f>Technology!F13</f>
        <v>0.0</v>
      </c>
      <c r="F8" s="24">
        <f>IFERROR(($E8-$B8)/$B8,"")</f>
        <v/>
      </c>
      <c r="G8" s="50">
        <f>Technology!I13</f>
        <v>0.0</v>
      </c>
    </row>
    <row r="9">
      <c r="A9" s="7" t="inlineStr">
        <is>
          <t>Licenses &amp; Permits</t>
        </is>
      </c>
      <c r="B9" s="56">
        <f>'Licenses &amp; Permits'!B13</f>
        <v>0.0</v>
      </c>
      <c r="C9" s="56">
        <f>'Licenses &amp; Permits'!D13</f>
        <v>0.0</v>
      </c>
      <c r="D9" s="47">
        <f>'Licenses &amp; Permits'!E13</f>
        <v>0.0</v>
      </c>
      <c r="E9" s="50">
        <f>'Licenses &amp; Permits'!F13</f>
        <v>0.0</v>
      </c>
      <c r="F9" s="24">
        <f>IFERROR(($E9-$B9)/$B9,"")</f>
        <v/>
      </c>
      <c r="G9" s="50">
        <f>'Licenses &amp; Permits'!I13</f>
        <v>0.0</v>
      </c>
    </row>
    <row r="10">
      <c r="A10" s="28" t="inlineStr">
        <is>
          <t>TOTAL STARTUP COSTS (CAPEX)</t>
        </is>
      </c>
      <c r="B10" s="51">
        <f>SUM(B5:B9)</f>
        <v>0.0</v>
      </c>
      <c r="C10" s="51">
        <f>SUM(C5:C9)</f>
        <v>0.0</v>
      </c>
      <c r="D10" s="51">
        <f>SUM(D5:D9)</f>
        <v>0.0</v>
      </c>
      <c r="E10" s="52">
        <f>SUM(E5:E9)</f>
        <v>0.0</v>
      </c>
      <c r="F10" s="24">
        <f>IFERROR(($E10-$B10)/$B10,"")</f>
        <v/>
      </c>
      <c r="G10" s="52">
        <f>SUM(G5:G9)</f>
        <v>0.0</v>
      </c>
    </row>
    <row r="11">
      <c r="A11" t="inlineStr">
        <is>
          <t>Other Opening Costs</t>
        </is>
      </c>
      <c r="B11" s="50">
        <f>'Other Opening Costs'!B14</f>
        <v>0.0</v>
      </c>
      <c r="C11" s="50">
        <f>'Other Opening Costs'!D14</f>
        <v>0.0</v>
      </c>
      <c r="D11" s="50">
        <f>'Other Opening Costs'!E14</f>
        <v>0.0</v>
      </c>
      <c r="E11" s="50">
        <f>'Other Opening Costs'!F14</f>
        <v>0.0</v>
      </c>
      <c r="F11" s="24">
        <f>IFERROR(($E11-$B11)/$B11,"")</f>
        <v/>
      </c>
    </row>
    <row r="12">
      <c r="A12" s="36" t="inlineStr">
        <is>
          <t>TOTAL OPENING OUTLAY (cost + tax)</t>
        </is>
      </c>
      <c r="B12" s="52">
        <f>B10+B11</f>
        <v>0.0</v>
      </c>
      <c r="C12" s="52">
        <f>C10+C11</f>
        <v>0.0</v>
      </c>
      <c r="D12" s="52">
        <f>D10+D11</f>
        <v>0.0</v>
      </c>
      <c r="E12" s="52">
        <f>E10+E11</f>
        <v>0.0</v>
      </c>
      <c r="F12" s="24">
        <f>IFERROR(($E12-$B12)/$B12,"")</f>
        <v/>
      </c>
    </row>
    <row r="13">
      <c r="A13" s="12" t="n"/>
    </row>
    <row r="14">
      <c r="A14" s="44" t="inlineStr">
        <is>
          <t>Where each figure comes from (how the files connect):</t>
        </is>
      </c>
    </row>
    <row r="15">
      <c r="A15" s="41" t="inlineStr">
        <is>
          <t>▸ The "Annual depreciation" in row 10 is the figure you copy into file 07 "Lender &amp; Investor Summary", "Projections" tab, "Depreciation" row.</t>
        </is>
      </c>
    </row>
    <row r="16">
      <c r="A16" s="41" t="inlineStr">
        <is>
          <t>▸ The "Tax" in row 12 is recoverable VAT (UK): it comes back on your VAT return, but you pay it FIRST, so the loan has to cover it. US sales tax is not recoverable: it is already inside the cost.</t>
        </is>
      </c>
    </row>
    <row r="30">
      <c r="A30" s="32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D1"/>
    <mergeCell ref="A2:D2"/>
  </mergeCells>
  <conditionalFormatting sqref="F5:F12">
    <cfRule type="expression" priority="1" dxfId="0" stopIfTrue="1">
      <formula>=ABS(F5)&gt;0.1</formula>
    </cfRule>
  </conditionalFormatting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Restaurant Startup Costs &amp; Capex Budget · Restaurant Financial Plan Kit Pro</dc:title>
  <dc:description xmlns:dc="http://purl.org/dc/elements/1.1/">aichef.pro/en/digital-products/restaurant-financial-plan-templates</dc:description>
  <dc:subject xmlns:dc="http://purl.org/dc/elements/1.1/">Restaurant Financial Plan Kit Pro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2026-10-03T17:07:36Z</dcterms:modified>
  <cp:lastModifiedBy>AI Chef Pro</cp:lastModifiedBy>
  <cp:category>AI Chef Pro · Digital products</cp:category>
  <cp:keywords>restaurant p&amp;l template, restaurant financial projections, restaurant budget template, break-even, cash flow, AI Chef Pro</cp:keywords>
</cp:coreProperties>
</file>