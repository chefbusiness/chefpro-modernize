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Benchmarks" sheetId="3" state="visible" r:id="rId3"/>
  </sheets>
  <definedNames>
    <definedName name="_xlnm.Print_Titles" localSheetId="1">'Ratios'!$5:$5</definedName>
    <definedName name="_xlnm.Print_Titles" localSheetId="2">'Benchmarks'!$3:$3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name val="Calibri"/>
      <b val="1"/>
      <sz val="11"/>
    </font>
    <font>
      <name val="Calibri"/>
      <b val="1"/>
      <color rgb="001565C0"/>
      <sz val="11"/>
    </font>
    <font>
      <b val="1"/>
      <color rgb="009C6500"/>
      <sz val="9"/>
    </font>
    <font>
      <b val="1"/>
      <color rgb="00FFFFFF"/>
      <sz val="10"/>
    </font>
    <font>
      <i val="1"/>
      <sz val="9"/>
    </font>
    <font>
      <sz val="8"/>
    </font>
  </fonts>
  <fills count="12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2D2D2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164" fontId="8" fillId="3" borderId="1" applyAlignment="1" pivotButton="0" quotePrefix="0" xfId="0">
      <alignment horizontal="right" vertical="center"/>
    </xf>
    <xf numFmtId="0" fontId="9" fillId="0" borderId="0" pivotButton="0" quotePrefix="0" xfId="0"/>
    <xf numFmtId="3" fontId="8" fillId="3" borderId="1" applyAlignment="1" pivotButton="0" quotePrefix="0" xfId="0">
      <alignment horizontal="right" vertical="center"/>
    </xf>
    <xf numFmtId="0" fontId="10" fillId="0" borderId="1" pivotButton="0" quotePrefix="0" xfId="0"/>
    <xf numFmtId="165" fontId="11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/>
    </xf>
    <xf numFmtId="164" fontId="8" fillId="11" borderId="1" applyAlignment="1" applyProtection="1" pivotButton="0" quotePrefix="0" xfId="0">
      <alignment horizontal="right" vertical="center"/>
      <protection locked="0" hidden="0"/>
    </xf>
    <xf numFmtId="164" fontId="8" fillId="0" borderId="1" applyAlignment="1" pivotButton="0" quotePrefix="0" xfId="0">
      <alignment horizontal="right" vertical="center"/>
    </xf>
    <xf numFmtId="3" fontId="8" fillId="11" borderId="1" applyAlignment="1" applyProtection="1" pivotButton="0" quotePrefix="0" xfId="0">
      <alignment horizontal="right" vertical="center"/>
      <protection locked="0" hidden="0"/>
    </xf>
    <xf numFmtId="0" fontId="7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/>
    </xf>
    <xf numFmtId="0" fontId="13" fillId="7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top" wrapText="1"/>
    </xf>
    <xf numFmtId="0" fontId="15" fillId="0" borderId="0" pivotButton="0" quotePrefix="0" xfId="0"/>
    <xf numFmtId="0" fontId="13" fillId="7" borderId="1" applyAlignment="1" pivotButton="0" quotePrefix="0" xfId="0">
      <alignment horizontal="center" wrapText="1"/>
    </xf>
    <xf numFmtId="0" fontId="13" fillId="7" borderId="0" applyAlignment="1" pivotButton="0" quotePrefix="0" xfId="0">
      <alignment horizontal="center" wrapText="1"/>
    </xf>
    <xf numFmtId="0" fontId="8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14" fillId="0" borderId="0" pivotButton="0" quotePrefix="0" xfId="0"/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4" fontId="8" fillId="11" borderId="1" applyAlignment="1" applyProtection="1" pivotButton="0" quotePrefix="0" xfId="0">
      <alignment horizontal="right" vertical="center"/>
      <protection locked="0" hidden="0"/>
    </xf>
    <xf numFmtId="4" fontId="8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value vs industry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Ratios!C16</f>
            </strRef>
          </tx>
          <spPr>
            <a:ln xmlns:a="http://schemas.openxmlformats.org/drawingml/2006/main">
              <a:prstDash val="solid"/>
            </a:ln>
          </spPr>
          <cat>
            <numRef>
              <f>Ratios!$B$17:$B$20</f>
            </numRef>
          </cat>
          <val>
            <numRef>
              <f>Ratios!$C$17:$C$20</f>
            </numRef>
          </val>
        </ser>
        <ser>
          <idx val="1"/>
          <order val="1"/>
          <tx>
            <strRef>
              <f>Ratios!F16</f>
            </strRef>
          </tx>
          <spPr>
            <a:ln xmlns:a="http://schemas.openxmlformats.org/drawingml/2006/main">
              <a:prstDash val="solid"/>
            </a:ln>
          </spPr>
          <cat>
            <numRef>
              <f>Ratios!$B$17:$B$20</f>
            </numRef>
          </cat>
          <val>
            <numRef>
              <f>Ratios!$F$17:$F$20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4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06 · Restaurant Financial Ratios &amp; KPI Dashboard</t>
        </is>
      </c>
    </row>
    <row r="4">
      <c r="B4" s="2" t="inlineStr">
        <is>
          <t>AI Chef Pro · aichef.pro — Restaurant Financial Plan Kit Pro</t>
        </is>
      </c>
    </row>
    <row r="6">
      <c r="B6" s="3" t="inlineStr">
        <is>
          <t>How to use this template:</t>
        </is>
      </c>
    </row>
    <row r="7">
      <c r="B7" s="4" t="inlineStr">
        <is>
          <t>▸ Enter your real data in the "Value" column.</t>
        </is>
      </c>
    </row>
    <row r="8">
      <c r="B8" s="4" t="inlineStr">
        <is>
          <t>▸ "Food cost — usage" is not the month's invoices: it is opening inventory + purchases - ending inventory. The month you stock up heavily, purchases spike and usage does not.</t>
        </is>
      </c>
    </row>
    <row r="9">
      <c r="B9" s="4" t="inlineStr">
        <is>
          <t>▸ The traffic light shows whether each ratio is in the target range (green), acceptable (yellow) or in danger (red).</t>
        </is>
      </c>
    </row>
    <row r="11">
      <c r="B11" s="3" t="inlineStr">
        <is>
          <t>Key restaurant ratios:</t>
        </is>
      </c>
    </row>
    <row r="12">
      <c r="B12" s="4" t="inlineStr">
        <is>
          <t>▸ Food Cost %: target &lt; 28% · danger &gt; 32% (the numbers live in "Benchmarks" F:G).</t>
        </is>
      </c>
    </row>
    <row r="13">
      <c r="B13" s="4" t="inlineStr">
        <is>
          <t>▸ Labor Cost %: target &lt; 30% · danger &gt; 35% (the numbers live in "Benchmarks" F:G).</t>
        </is>
      </c>
    </row>
    <row r="14">
      <c r="B14" s="4" t="inlineStr">
        <is>
          <t>▸ Prime Cost %: target &lt; 60% · danger &gt; 65% (the numbers live in "Benchmarks" F:G).</t>
        </is>
      </c>
    </row>
    <row r="15">
      <c r="B15" s="4" t="inlineStr">
        <is>
          <t>▸ GOP %: target &gt; 20% · danger &lt; 15% (the numbers live in "Benchmarks" F:G).</t>
        </is>
      </c>
    </row>
    <row r="17">
      <c r="B17" s="4" t="n"/>
    </row>
    <row r="19">
      <c r="B19" s="4" t="inlineStr">
        <is>
          <t>▸ RevPASH is measured per SEAT and hour (seating capacity × service hours), not per sq ft. "Service hours" are the hours when guests are seated (e.g. 6 hours/day × 26 days = 156), not the hours the restaurant is open. Sales per sq ft have their own row.</t>
        </is>
      </c>
    </row>
    <row r="21">
      <c r="B21" s="20" t="inlineStr">
        <is>
          <t>All figures EXCLUDE sales tax; only file 03 "Cash Flow Forecast" includes it, because it is cash.</t>
        </is>
      </c>
    </row>
    <row r="22">
      <c r="B22" s="20" t="inlineStr">
        <is>
          <t>To edit a cell that is not green: Review → Unprotect Sheet (there is no password).</t>
        </is>
      </c>
    </row>
    <row r="23">
      <c r="B23" s="20" t="inlineStr">
        <is>
          <t>Designed by John Guerrero — chef and restaurant consultant since 2010, in the kitchen since age 17 · johnguerrero.es</t>
        </is>
      </c>
    </row>
    <row r="24">
      <c r="B24" s="20" t="inlineStr">
        <is>
          <t>Version 2.0 · October 2026 · aichef.pro/en/digital-products/restaurant-financial-plan-templates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30" customWidth="1" min="4" max="4"/>
    <col width="18" customWidth="1" min="5" max="5"/>
    <col width="14" customWidth="1" min="6" max="6"/>
  </cols>
  <sheetData>
    <row r="1">
      <c r="B1" s="5" t="inlineStr">
        <is>
          <t>Financial Ratios Dashboard</t>
        </is>
      </c>
    </row>
    <row r="2">
      <c r="B2" s="2" t="inlineStr">
        <is>
          <t>AI Chef Pro · aichef.pro — Restaurant Financial Plan Kit Pro</t>
        </is>
      </c>
    </row>
    <row r="3">
      <c r="B3" s="21" t="inlineStr">
        <is>
          <t>SAMPLE VALUES — replace them with your own</t>
        </is>
      </c>
    </row>
    <row r="4">
      <c r="B4" s="6" t="inlineStr">
        <is>
          <t>INPUT DATA</t>
        </is>
      </c>
    </row>
    <row r="5">
      <c r="A5" s="7" t="inlineStr"/>
      <c r="B5" s="7" t="inlineStr">
        <is>
          <t>Line item</t>
        </is>
      </c>
      <c r="C5" s="7" t="inlineStr">
        <is>
          <t>Value</t>
        </is>
      </c>
      <c r="D5" s="7" t="inlineStr">
        <is>
          <t>Period</t>
        </is>
      </c>
      <c r="E5" s="7" t="inlineStr"/>
    </row>
    <row r="6">
      <c r="B6" s="8" t="inlineStr">
        <is>
          <t>Total sales (excl. sales tax)</t>
        </is>
      </c>
      <c r="C6" s="43" t="n">
        <v>31460</v>
      </c>
      <c r="D6" s="10" t="inlineStr">
        <is>
          <t>Monthly</t>
        </is>
      </c>
    </row>
    <row r="7">
      <c r="B7" s="8" t="inlineStr">
        <is>
          <t>· of which, bar / beverage (excl. sales tax)</t>
        </is>
      </c>
      <c r="C7" s="43" t="n">
        <v>7865</v>
      </c>
      <c r="D7" s="10" t="inlineStr">
        <is>
          <t>Monthly</t>
        </is>
      </c>
    </row>
    <row r="8">
      <c r="B8" s="8" t="inlineStr">
        <is>
          <t>Food cost — usage</t>
        </is>
      </c>
      <c r="C8" s="44">
        <f>IFERROR($C$33+$C$34-$C$35,0)</f>
        <v>7078.5</v>
      </c>
      <c r="D8" s="10" t="inlineStr">
        <is>
          <t>Calculated</t>
        </is>
      </c>
    </row>
    <row r="9">
      <c r="B9" s="8" t="inlineStr">
        <is>
          <t>Total operating expenses</t>
        </is>
      </c>
      <c r="C9" s="44">
        <f>IFERROR($C$8+$C$36+$C$10+$C$37,0)</f>
        <v>23017.6</v>
      </c>
      <c r="D9" s="10" t="inlineStr">
        <is>
          <t>Calculated</t>
        </is>
      </c>
    </row>
    <row r="10">
      <c r="B10" s="8" t="inlineStr">
        <is>
          <t>Total labor cost</t>
        </is>
      </c>
      <c r="C10" s="43" t="n">
        <v>8808.799999999999</v>
      </c>
      <c r="D10" s="10" t="inlineStr">
        <is>
          <t>Monthly</t>
        </is>
      </c>
    </row>
    <row r="11">
      <c r="B11" s="8" t="inlineStr">
        <is>
          <t>Dining room area (sq ft)</t>
        </is>
      </c>
      <c r="C11" s="24" t="n">
        <v>860</v>
      </c>
      <c r="D11" s="10" t="n"/>
    </row>
    <row r="12">
      <c r="B12" s="8" t="inlineStr">
        <is>
          <t>SERVICE hours / month (guests seated)</t>
        </is>
      </c>
      <c r="C12" s="24" t="n">
        <v>156</v>
      </c>
      <c r="D12" s="10" t="n"/>
    </row>
    <row r="13">
      <c r="B13" s="8" t="inlineStr">
        <is>
          <t>Number of seats (capacity)</t>
        </is>
      </c>
      <c r="C13" s="24" t="n">
        <v>60</v>
      </c>
    </row>
    <row r="14">
      <c r="B14" s="8" t="inlineStr">
        <is>
          <t>Number of covers served</t>
        </is>
      </c>
      <c r="C14" s="24" t="n">
        <v>1430</v>
      </c>
      <c r="D14" t="inlineStr">
        <is>
          <t>Monthly</t>
        </is>
      </c>
    </row>
    <row r="15">
      <c r="B15" s="6" t="inlineStr">
        <is>
          <t>CALCULATED RATIOS</t>
        </is>
      </c>
    </row>
    <row r="16">
      <c r="A16" s="25" t="n"/>
      <c r="B16" s="26" t="inlineStr">
        <is>
          <t>Ratio</t>
        </is>
      </c>
      <c r="C16" s="26" t="inlineStr">
        <is>
          <t>Your Value</t>
        </is>
      </c>
      <c r="D16" s="26" t="inlineStr">
        <is>
          <t>Industry Benchmark</t>
        </is>
      </c>
      <c r="E16" s="26" t="inlineStr">
        <is>
          <t>Status</t>
        </is>
      </c>
      <c r="F16" s="27" t="inlineStr">
        <is>
          <t>Target</t>
        </is>
      </c>
    </row>
    <row r="17">
      <c r="B17" s="8" t="inlineStr">
        <is>
          <t>Food Cost % (of food sales)</t>
        </is>
      </c>
      <c r="C17" s="13">
        <f>IF(($C$6-$C$7)&lt;=0,"Enter sales",$C$8/($C$6-$C$7))</f>
        <v>0.3</v>
      </c>
      <c r="D17" s="28" t="str">
        <f>Benchmarks!$D$4</f>
        <v>28% - 32%</v>
      </c>
      <c r="E17" s="15" t="str">
        <f>IFERROR(IF(ISNUMBER($C17),IF($C17&lt;Benchmarks!$F$4,"✅ Excellent",IF($C17&lt;=Benchmarks!$G$4,"⚠️ Acceptable","🔴 High")),"—"),"—")</f>
        <v>⚠️ Acceptable</v>
      </c>
      <c r="F17" s="29">
        <f>Benchmarks!$F$4</f>
        <v>0.28</v>
      </c>
    </row>
    <row r="18">
      <c r="B18" s="8" t="inlineStr">
        <is>
          <t>Labor Cost %</t>
        </is>
      </c>
      <c r="C18" s="13">
        <f>IFERROR($C$10/$C$6,"Enter sales")</f>
        <v>0.27999999999999997</v>
      </c>
      <c r="D18" s="28" t="str">
        <f>Benchmarks!$D$5</f>
        <v>30% - 35%</v>
      </c>
      <c r="E18" s="15" t="str">
        <f>IFERROR(IF(ISNUMBER($C18),IF($C18&lt;Benchmarks!$F$5,"✅ Excellent",IF($C18&lt;=Benchmarks!$G$5,"⚠️ Acceptable","🔴 High")),"—"),"—")</f>
        <v>✅ Excellent</v>
      </c>
      <c r="F18" s="29">
        <f>Benchmarks!$F$5</f>
        <v>0.3</v>
      </c>
    </row>
    <row r="19">
      <c r="B19" s="8" t="inlineStr">
        <is>
          <t>Prime Cost % (food + beverage + labor)</t>
        </is>
      </c>
      <c r="C19" s="13">
        <f>IFERROR(($C$8+$C$36+$C$10)/$C$6,"Enter sales")</f>
        <v>0.5599999999999999</v>
      </c>
      <c r="D19" s="28" t="str">
        <f>Benchmarks!$D$6</f>
        <v>60% - 65%</v>
      </c>
      <c r="E19" s="15" t="str">
        <f>IFERROR(IF(ISNUMBER($C19),IF($C19&lt;Benchmarks!$F$6,"✅ Excellent",IF($C19&lt;=Benchmarks!$G$6,"⚠️ Acceptable","🔴 High")),"—"),"—")</f>
        <v>✅ Excellent</v>
      </c>
      <c r="F19" s="29">
        <f>Benchmarks!$F$6</f>
        <v>0.6</v>
      </c>
    </row>
    <row r="20">
      <c r="B20" s="8" t="inlineStr">
        <is>
          <t>GOP (Gross Operating Profit) %</t>
        </is>
      </c>
      <c r="C20" s="13">
        <f>IFERROR(($C$6-$C$9)/$C$6,"Enter sales")</f>
        <v>0.26835346471710114</v>
      </c>
      <c r="D20" s="28" t="str">
        <f>Benchmarks!$D$7</f>
        <v>15% - 20%</v>
      </c>
      <c r="E20" s="15" t="str">
        <f>IFERROR(IF(ISNUMBER($C20),IF($C20&gt;Benchmarks!$F$7,"✅ Healthy",IF($C20&gt;=Benchmarks!$G$7,"⚠️ Tight","🔴 Danger")),"—"),"—")</f>
        <v>✅ Healthy</v>
      </c>
      <c r="F20" s="29">
        <f>Benchmarks!$F$7</f>
        <v>0.2</v>
      </c>
    </row>
    <row r="21">
      <c r="B21" s="8" t="inlineStr">
        <is>
          <t>Beverage Cost % (of bar sales)</t>
        </is>
      </c>
      <c r="C21" s="13">
        <f>IFERROR($C$36/$C$7,"Enter bar sales")</f>
        <v>0.22</v>
      </c>
      <c r="D21" s="28" t="str">
        <f>Benchmarks!$D$12</f>
        <v>18% - 24%</v>
      </c>
      <c r="E21" s="15" t="str">
        <f>IFERROR(IF(ISNUMBER($C21),IF($C21&lt;Benchmarks!$F$12,"✅ Excellent",IF($C21&lt;=Benchmarks!$G$12,"⚠️ Acceptable","🔴 High")),"—"),"—")</f>
        <v>⚠️ Acceptable</v>
      </c>
      <c r="F21" s="29">
        <f>Benchmarks!$F$12</f>
        <v>0.18</v>
      </c>
    </row>
    <row r="22">
      <c r="B22" s="8" t="inlineStr">
        <is>
          <t>RevPASH (per seat-hour)</t>
        </is>
      </c>
      <c r="C22" s="45">
        <f>IFERROR($C$6/($C$13*$C$12),"Enter seats and hours")</f>
        <v>3.361111111111111</v>
      </c>
      <c r="D22" s="28" t="str">
        <f>Benchmarks!$D$13</f>
        <v>3 - 6</v>
      </c>
      <c r="E22" s="15" t="str">
        <f>IFERROR(IF(ISNUMBER($C22),IF($C22&gt;Benchmarks!$F$13,"✅ Healthy",IF($C22&gt;=Benchmarks!$G$13,"⚠️ Tight","🔴 Danger")),"—"),"—")</f>
        <v>⚠️ Tight</v>
      </c>
      <c r="F22" s="46">
        <f>Benchmarks!$F$13</f>
        <v>6.0</v>
      </c>
    </row>
    <row r="23">
      <c r="B23" s="8" t="inlineStr">
        <is>
          <t>EBITDA %</t>
        </is>
      </c>
      <c r="C23" s="13">
        <f>IFERROR(($C$6-$C$9-$C$38)/$C$6,"Enter sales")</f>
        <v>0.17299427844882395</v>
      </c>
      <c r="D23" s="28" t="str">
        <f>Benchmarks!$D$10</f>
        <v>10% - 15%</v>
      </c>
      <c r="E23" s="15" t="str">
        <f>IFERROR(IF(ISNUMBER($C23),IF($C23&gt;Benchmarks!$F$10,"✅ Healthy",IF($C23&gt;=Benchmarks!$G$10,"⚠️ Tight","🔴 Danger")),"—"),"—")</f>
        <v>✅ Healthy</v>
      </c>
      <c r="F23" s="29">
        <f>Benchmarks!$F$10</f>
        <v>0.15</v>
      </c>
    </row>
    <row r="24">
      <c r="B24" s="8" t="inlineStr">
        <is>
          <t>Cost per cover / Average check</t>
        </is>
      </c>
      <c r="C24" s="13">
        <f>IFERROR($C$28/$C$29,"Enter covers")</f>
        <v>0.7316465352828989</v>
      </c>
      <c r="D24" s="28" t="str">
        <f>Benchmarks!$D$11</f>
        <v>80% - 85%</v>
      </c>
      <c r="E24" s="15" t="str">
        <f>IFERROR(IF(ISNUMBER($C24),IF($C24&lt;Benchmarks!$F$11,"✅ Excellent",IF($C24&lt;=Benchmarks!$G$11,"⚠️ Acceptable","🔴 High")),"—"),"—")</f>
        <v>✅ Excellent</v>
      </c>
      <c r="F24" s="29">
        <f>Benchmarks!$F$11</f>
        <v>0.8</v>
      </c>
    </row>
    <row r="25">
      <c r="B25" s="8" t="inlineStr">
        <is>
          <t>Gross margin %</t>
        </is>
      </c>
      <c r="C25" s="29">
        <f>IFERROR(($C$6-$C$8-$C$36)/$C$6,"Enter sales")</f>
        <v>0.72</v>
      </c>
      <c r="D25" s="31" t="str">
        <f>Benchmarks!$D$14</f>
        <v>65% - 70%</v>
      </c>
      <c r="E25" t="str">
        <f>IFERROR(IF(ISNUMBER($C25),IF($C25&gt;Benchmarks!$F$14,"✅ Healthy",IF($C25&gt;=Benchmarks!$G$14,"⚠️ Tight","🔴 Danger")),"—"),"—")</f>
        <v>✅ Healthy</v>
      </c>
      <c r="F25" s="29">
        <f>Benchmarks!$F$14</f>
        <v>0.7</v>
      </c>
    </row>
    <row r="27">
      <c r="A27" s="10" t="n"/>
      <c r="B27" s="6" t="inlineStr">
        <is>
          <t>OTHER INDICATORS</t>
        </is>
      </c>
    </row>
    <row r="28">
      <c r="B28" s="8" t="inlineStr">
        <is>
          <t>Cost per cover</t>
        </is>
      </c>
      <c r="C28" s="46">
        <f>IFERROR($C$9/$C$14,"Enter covers")</f>
        <v>16.096223776223777</v>
      </c>
    </row>
    <row r="29">
      <c r="B29" s="8" t="inlineStr">
        <is>
          <t>Average check (excl. sales tax)</t>
        </is>
      </c>
      <c r="C29" s="46">
        <f>IFERROR($C$6/$C$14,"Enter covers")</f>
        <v>22.0</v>
      </c>
    </row>
    <row r="30">
      <c r="B30" s="8" t="inlineStr">
        <is>
          <t>Sales per sq ft (excl. sales tax)</t>
        </is>
      </c>
      <c r="C30" s="46">
        <f>IFERROR($C$6/$C$11,"Enter the dining room sq ft")</f>
        <v>36.58139534883721</v>
      </c>
    </row>
    <row r="32">
      <c r="B32" s="6" t="inlineStr">
        <is>
          <t>SUPPLEMENTARY DATA (inventory and expense breakdown)</t>
        </is>
      </c>
    </row>
    <row r="33">
      <c r="B33" s="8" t="inlineStr">
        <is>
          <t>Opening food inventory</t>
        </is>
      </c>
      <c r="C33" s="43" t="n">
        <v>0</v>
      </c>
      <c r="D33" s="32" t="inlineStr">
        <is>
          <t>What was in the pantry and walk-in on day 1.</t>
        </is>
      </c>
    </row>
    <row r="34">
      <c r="B34" s="8" t="inlineStr">
        <is>
          <t>Food purchases for the period</t>
        </is>
      </c>
      <c r="C34" s="43" t="n">
        <v>7078.5</v>
      </c>
      <c r="D34" s="32" t="inlineStr">
        <is>
          <t>Food invoices for the period.</t>
        </is>
      </c>
    </row>
    <row r="35">
      <c r="B35" s="8" t="inlineStr">
        <is>
          <t>Ending food inventory</t>
        </is>
      </c>
      <c r="C35" s="43" t="n">
        <v>0</v>
      </c>
      <c r="D35" s="32" t="inlineStr">
        <is>
          <t>Usage = opening inventory + purchases - ending inventory. The month of the big order, purchases spike and usage does NOT.</t>
        </is>
      </c>
    </row>
    <row r="36">
      <c r="B36" s="8" t="inlineStr">
        <is>
          <t>Beverage cost — usage</t>
        </is>
      </c>
      <c r="C36" s="43" t="n">
        <v>1730.3</v>
      </c>
      <c r="D36" s="32" t="inlineStr">
        <is>
          <t>Bar and cellar, separate from food.</t>
        </is>
      </c>
    </row>
    <row r="37">
      <c r="B37" s="8" t="inlineStr">
        <is>
          <t>Other operating expenses</t>
        </is>
      </c>
      <c r="C37" s="43" t="n">
        <v>5400</v>
      </c>
      <c r="D37" s="32" t="inlineStr">
        <is>
          <t>Utilities, marketing, accounting / bookkeeping, delivery platform fees… EXCLUDING rent and depreciation (they go separately, per USALI). With this value the sample EBITDA comes out at 17.3%, the same one shown in file 02 "Break-Even Calculator" and file B08 "What-If Scenario Simulator".</t>
        </is>
      </c>
    </row>
    <row r="38">
      <c r="B38" s="8" t="inlineStr">
        <is>
          <t>Rent</t>
        </is>
      </c>
      <c r="C38" s="43" t="n">
        <v>3000</v>
      </c>
      <c r="D38" s="32" t="inlineStr">
        <is>
          <t>Below GOP: under USALI it is a fixed charge.</t>
        </is>
      </c>
    </row>
    <row r="40">
      <c r="B40" s="32" t="inlineStr">
        <is>
          <t>GOP is measured BEFORE rent and depreciation (USALI convention): that is why rent has its own line and EBITDA % is calculated separately.</t>
        </is>
      </c>
    </row>
    <row r="50">
      <c r="A50" s="33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B1:E1"/>
    <mergeCell ref="B2:E2"/>
  </mergeCells>
  <conditionalFormatting sqref="E17:E25">
    <cfRule type="containsText" priority="1" operator="containsText" dxfId="0" stopIfTrue="1" text="🔴 High">
      <formula>NOT(ISERROR(SEARCH("🔴 High",E17)))</formula>
    </cfRule>
    <cfRule type="containsText" priority="2" operator="containsText" dxfId="1" stopIfTrue="1" text="⚠️ Acceptable">
      <formula>NOT(ISERROR(SEARCH("⚠️ Acceptable",E17)))</formula>
    </cfRule>
    <cfRule type="containsText" priority="3" operator="containsText" dxfId="2" stopIfTrue="1" text="✅ Excellent">
      <formula>NOT(ISERROR(SEARCH("✅ Excellent",E17)))</formula>
    </cfRule>
    <cfRule type="containsText" priority="4" operator="containsText" dxfId="0" stopIfTrue="1" text="🔴 Danger">
      <formula>NOT(ISERROR(SEARCH("🔴 Danger",E17)))</formula>
    </cfRule>
    <cfRule type="containsText" priority="5" operator="containsText" dxfId="1" stopIfTrue="1" text="⚠️ Tight">
      <formula>NOT(ISERROR(SEARCH("⚠️ Tight",E17)))</formula>
    </cfRule>
    <cfRule type="containsText" priority="6" operator="containsText" dxfId="2" stopIfTrue="1" text="✅ Healthy">
      <formula>NOT(ISERROR(SEARCH("✅ Healthy",E17)))</formula>
    </cfRule>
  </conditionalFormatting>
  <dataValidations count="1">
    <dataValidation sqref="C6 C7 C10 C11 C12 C13 C14 C33 C34 C35 C36 C37 C38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B1" s="5" t="inlineStr">
        <is>
          <t>Restaurant Industry Benchmarks</t>
        </is>
      </c>
    </row>
    <row r="3">
      <c r="A3" s="25" t="n"/>
      <c r="B3" s="34" t="inlineStr">
        <is>
          <t>Ratio</t>
        </is>
      </c>
      <c r="C3" s="34" t="inlineStr">
        <is>
          <t>Target</t>
        </is>
      </c>
      <c r="D3" s="34" t="inlineStr">
        <is>
          <t>Acceptable</t>
        </is>
      </c>
      <c r="E3" s="34" t="inlineStr">
        <is>
          <t>Danger</t>
        </is>
      </c>
      <c r="F3" s="35" t="inlineStr">
        <is>
          <t>Target (no.)</t>
        </is>
      </c>
      <c r="G3" s="35" t="inlineStr">
        <is>
          <t>Limit (no.)</t>
        </is>
      </c>
      <c r="H3" s="35" t="inlineStr">
        <is>
          <t>Direction</t>
        </is>
      </c>
    </row>
    <row r="4">
      <c r="B4" s="8" t="inlineStr">
        <is>
          <t>Food Cost %</t>
        </is>
      </c>
      <c r="C4" s="36" t="inlineStr">
        <is>
          <t>&lt; 28%</t>
        </is>
      </c>
      <c r="D4" s="37" t="inlineStr">
        <is>
          <t>28% - 32%</t>
        </is>
      </c>
      <c r="E4" s="38" t="inlineStr">
        <is>
          <t>&gt; 32%</t>
        </is>
      </c>
      <c r="F4" s="29" t="n">
        <v>0.28</v>
      </c>
      <c r="G4" s="29" t="n">
        <v>0.32</v>
      </c>
      <c r="H4" s="39" t="inlineStr">
        <is>
          <t>lower is better</t>
        </is>
      </c>
    </row>
    <row r="5">
      <c r="B5" s="8" t="inlineStr">
        <is>
          <t>Labor Cost %</t>
        </is>
      </c>
      <c r="C5" s="36" t="inlineStr">
        <is>
          <t>&lt; 30%</t>
        </is>
      </c>
      <c r="D5" s="37" t="inlineStr">
        <is>
          <t>30% - 35%</t>
        </is>
      </c>
      <c r="E5" s="38" t="inlineStr">
        <is>
          <t>&gt; 35%</t>
        </is>
      </c>
      <c r="F5" s="29" t="n">
        <v>0.3</v>
      </c>
      <c r="G5" s="29" t="n">
        <v>0.35</v>
      </c>
      <c r="H5" s="39" t="inlineStr">
        <is>
          <t>lower is better</t>
        </is>
      </c>
    </row>
    <row r="6">
      <c r="B6" s="8" t="inlineStr">
        <is>
          <t>Prime Cost %</t>
        </is>
      </c>
      <c r="C6" s="36" t="inlineStr">
        <is>
          <t>&lt; 60%</t>
        </is>
      </c>
      <c r="D6" s="37" t="inlineStr">
        <is>
          <t>60% - 65%</t>
        </is>
      </c>
      <c r="E6" s="38" t="inlineStr">
        <is>
          <t>&gt; 65%</t>
        </is>
      </c>
      <c r="F6" s="29" t="n">
        <v>0.6</v>
      </c>
      <c r="G6" s="29" t="n">
        <v>0.65</v>
      </c>
      <c r="H6" s="39" t="inlineStr">
        <is>
          <t>lower is better</t>
        </is>
      </c>
    </row>
    <row r="7">
      <c r="B7" s="8" t="inlineStr">
        <is>
          <t>GOP %</t>
        </is>
      </c>
      <c r="C7" s="36" t="inlineStr">
        <is>
          <t>&gt; 20%</t>
        </is>
      </c>
      <c r="D7" s="37" t="inlineStr">
        <is>
          <t>15% - 20%</t>
        </is>
      </c>
      <c r="E7" s="38" t="inlineStr">
        <is>
          <t>&lt; 15%</t>
        </is>
      </c>
      <c r="F7" s="29" t="n">
        <v>0.2</v>
      </c>
      <c r="G7" s="29" t="n">
        <v>0.15</v>
      </c>
      <c r="H7" s="39" t="inlineStr">
        <is>
          <t>higher is better</t>
        </is>
      </c>
    </row>
    <row r="8">
      <c r="B8" s="8" t="inlineStr">
        <is>
          <t>Occupancy (rent) / Sales</t>
        </is>
      </c>
      <c r="C8" s="36" t="inlineStr">
        <is>
          <t>&lt; 6%</t>
        </is>
      </c>
      <c r="D8" s="37" t="inlineStr">
        <is>
          <t>6% - 10%</t>
        </is>
      </c>
      <c r="E8" s="38" t="inlineStr">
        <is>
          <t>&gt; 10%</t>
        </is>
      </c>
      <c r="F8" s="29" t="n">
        <v>0.06</v>
      </c>
      <c r="G8" s="29" t="n">
        <v>0.1</v>
      </c>
      <c r="H8" s="39" t="inlineStr">
        <is>
          <t>lower is better</t>
        </is>
      </c>
    </row>
    <row r="9">
      <c r="B9" s="8" t="inlineStr">
        <is>
          <t>Marketing / Sales</t>
        </is>
      </c>
      <c r="C9" s="36" t="inlineStr">
        <is>
          <t>&lt; 5%</t>
        </is>
      </c>
      <c r="D9" s="37" t="inlineStr">
        <is>
          <t>5% - 8%</t>
        </is>
      </c>
      <c r="E9" s="38" t="inlineStr">
        <is>
          <t>&gt; 8%</t>
        </is>
      </c>
      <c r="F9" s="29" t="n">
        <v>0.05</v>
      </c>
      <c r="G9" s="29" t="n">
        <v>0.08</v>
      </c>
      <c r="H9" s="39" t="inlineStr">
        <is>
          <t>lower is better</t>
        </is>
      </c>
    </row>
    <row r="10">
      <c r="B10" s="8" t="inlineStr">
        <is>
          <t>EBITDA %</t>
        </is>
      </c>
      <c r="C10" s="36" t="inlineStr">
        <is>
          <t>&gt; 15%</t>
        </is>
      </c>
      <c r="D10" s="37" t="inlineStr">
        <is>
          <t>10% - 15%</t>
        </is>
      </c>
      <c r="E10" s="38" t="inlineStr">
        <is>
          <t>&lt; 10%</t>
        </is>
      </c>
      <c r="F10" s="29" t="n">
        <v>0.15</v>
      </c>
      <c r="G10" s="29" t="n">
        <v>0.1</v>
      </c>
      <c r="H10" s="39" t="inlineStr">
        <is>
          <t>higher is better</t>
        </is>
      </c>
    </row>
    <row r="11">
      <c r="B11" s="8" t="inlineStr">
        <is>
          <t>Cost per cover / Check</t>
        </is>
      </c>
      <c r="C11" s="36" t="inlineStr">
        <is>
          <t>&lt; 80%</t>
        </is>
      </c>
      <c r="D11" s="37" t="inlineStr">
        <is>
          <t>80% - 85%</t>
        </is>
      </c>
      <c r="E11" s="38" t="inlineStr">
        <is>
          <t>&gt; 85%</t>
        </is>
      </c>
      <c r="F11" s="29" t="n">
        <v>0.8</v>
      </c>
      <c r="G11" s="29" t="n">
        <v>0.85</v>
      </c>
      <c r="H11" s="39" t="inlineStr">
        <is>
          <t>lower is better</t>
        </is>
      </c>
    </row>
    <row r="12">
      <c r="B12" t="inlineStr">
        <is>
          <t>Beverage Cost %</t>
        </is>
      </c>
      <c r="C12" s="40" t="inlineStr">
        <is>
          <t>&lt; 18%</t>
        </is>
      </c>
      <c r="D12" s="41" t="inlineStr">
        <is>
          <t>18% - 24%</t>
        </is>
      </c>
      <c r="E12" s="42" t="inlineStr">
        <is>
          <t>&gt; 24%</t>
        </is>
      </c>
      <c r="F12" s="29" t="n">
        <v>0.18</v>
      </c>
      <c r="G12" s="29" t="n">
        <v>0.24</v>
      </c>
      <c r="H12" s="39" t="inlineStr">
        <is>
          <t>lower is better</t>
        </is>
      </c>
    </row>
    <row r="13">
      <c r="B13" t="inlineStr">
        <is>
          <t>RevPASH (per seat-hour)</t>
        </is>
      </c>
      <c r="C13" s="40" t="inlineStr">
        <is>
          <t>&gt; 6</t>
        </is>
      </c>
      <c r="D13" s="41" t="inlineStr">
        <is>
          <t>3 - 6</t>
        </is>
      </c>
      <c r="E13" s="42" t="inlineStr">
        <is>
          <t>&lt; 3</t>
        </is>
      </c>
      <c r="F13" s="46" t="n">
        <v>6</v>
      </c>
      <c r="G13" s="46" t="n">
        <v>3</v>
      </c>
      <c r="H13" s="39" t="inlineStr">
        <is>
          <t>higher is better</t>
        </is>
      </c>
    </row>
    <row r="14">
      <c r="A14" s="10" t="n"/>
      <c r="B14" t="inlineStr">
        <is>
          <t>Gross margin %</t>
        </is>
      </c>
      <c r="C14" s="40" t="inlineStr">
        <is>
          <t>&gt; 70%</t>
        </is>
      </c>
      <c r="D14" s="41" t="inlineStr">
        <is>
          <t>65% - 70%</t>
        </is>
      </c>
      <c r="E14" s="42" t="inlineStr">
        <is>
          <t>&lt; 65%</t>
        </is>
      </c>
      <c r="F14" s="29" t="n">
        <v>0.7</v>
      </c>
      <c r="G14" s="29" t="n">
        <v>0.65</v>
      </c>
      <c r="H14" s="39" t="inlineStr">
        <is>
          <t>higher is better</t>
        </is>
      </c>
    </row>
    <row r="17">
      <c r="B17" s="32" t="inlineStr">
        <is>
          <t>The "Target (no.)" and "Limit (no.)" columns are the kit's ONLY source of thresholds: the traffic light in the "Ratios" tab reads them. The text columns on the left are a reading guide: if you edit the numbers, update them too.</t>
        </is>
      </c>
    </row>
    <row r="20">
      <c r="A20" s="33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1">
    <mergeCell ref="B1:E1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06 · Restaurant Financial Ratios &amp; KPI Dashboard · Restaurant Financial Plan Kit Pro</dc:title>
  <dc:description xmlns:dc="http://purl.org/dc/elements/1.1/">aichef.pro/en/digital-products/restaurant-financial-plan-templates</dc:description>
  <dc:subject xmlns:dc="http://purl.org/dc/elements/1.1/">Restaurant Financial Plan Kit Pro · v2.0</dc:subject>
  <dcterms:created xmlns:dcterms="http://purl.org/dc/terms/" xmlns:xsi="http://www.w3.org/2001/XMLSchema-instance" xsi:type="dcterms:W3CDTF">2026-04-05T10:13:01Z</dcterms:created>
  <dcterms:modified xmlns:dcterms="http://purl.org/dc/terms/" xmlns:xsi="http://www.w3.org/2001/XMLSchema-instance" xsi:type="dcterms:W3CDTF">2026-10-03T16:36:47Z</dcterms:modified>
  <cp:lastModifiedBy>AI Chef Pro</cp:lastModifiedBy>
  <cp:category>AI Chef Pro · Digital products</cp:category>
  <cp:keywords>restaurant p&amp;l template, restaurant financial projections, restaurant budget template, break-even, cash flow, AI Chef Pro</cp:keywords>
</cp:coreProperties>
</file>