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Loan Schedule" sheetId="4" state="visible" r:id="rId4"/>
    <sheet xmlns:r="http://schemas.openxmlformats.org/officeDocument/2006/relationships" name="Ratios" sheetId="5" state="visible" r:id="rId5"/>
    <sheet xmlns:r="http://schemas.openxmlformats.org/officeDocument/2006/relationships" name="Collateral" sheetId="6" state="visible" r:id="rId6"/>
  </sheets>
  <definedNames>
    <definedName name="_xlnm.Print_Titles" localSheetId="2">'Projections'!$3:$3</definedName>
    <definedName name="_xlnm.Print_Titles" localSheetId="4">'Ratios'!$3:$3</definedName>
    <definedName name="_xlnm.Print_Titles" localSheetId="5">'Collateral'!$3:$3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0"/>
    <numFmt numFmtId="165" formatCode="0.0%"/>
    <numFmt numFmtId="166" formatCode="0.0"/>
    <numFmt numFmtId="167" formatCode="m/d/yyyy"/>
    <numFmt numFmtId="168" formatCode="0.0&quot; years&quot;;@"/>
    <numFmt numFmtId="169" formatCode="0.00&quot; years&quot;;@"/>
    <numFmt numFmtId="170" formatCode="0.00&quot;x&quot;"/>
    <numFmt numFmtId="171" formatCode="0.0&quot; years&quot;"/>
    <numFmt numFmtId="172" formatCode="0.00&quot; years&quot;"/>
  </numFmts>
  <fonts count="2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D700"/>
      <sz val="12"/>
    </font>
    <font>
      <name val="Calibri"/>
      <sz val="11"/>
    </font>
    <font>
      <name val="Calibri"/>
      <color rgb="00999999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D700"/>
      <sz val="13"/>
    </font>
    <font>
      <name val="Calibri"/>
      <b val="1"/>
      <color rgb="001565C0"/>
      <sz val="11"/>
    </font>
    <font>
      <b val="1"/>
      <color rgb="009C6500"/>
      <sz val="9"/>
    </font>
    <font>
      <b val="1"/>
      <sz val="14"/>
    </font>
    <font>
      <sz val="9"/>
    </font>
    <font>
      <b val="1"/>
    </font>
    <font>
      <i val="1"/>
      <sz val="9"/>
    </font>
    <font>
      <b val="1"/>
      <color rgb="00FFFFFF"/>
      <sz val="10"/>
    </font>
    <font>
      <sz val="8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</patternFill>
    </fill>
    <fill>
      <patternFill patternType="solid">
        <f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7" fillId="2" borderId="1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/>
    </xf>
    <xf numFmtId="0" fontId="10" fillId="0" borderId="1" pivotButton="0" quotePrefix="0" xfId="0"/>
    <xf numFmtId="164" fontId="7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166" fontId="7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/>
    </xf>
    <xf numFmtId="0" fontId="7" fillId="2" borderId="1" applyAlignment="1" applyProtection="1" pivotButton="0" quotePrefix="0" xfId="0">
      <alignment horizontal="left"/>
      <protection locked="0" hidden="0"/>
    </xf>
    <xf numFmtId="3" fontId="7" fillId="2" borderId="1" applyAlignment="1" applyProtection="1" pivotButton="0" quotePrefix="0" xfId="0">
      <alignment horizontal="left"/>
      <protection locked="0" hidden="0"/>
    </xf>
    <xf numFmtId="167" fontId="7" fillId="2" borderId="1" applyAlignment="1" applyProtection="1" pivotButton="0" quotePrefix="0" xfId="0">
      <alignment horizontal="left"/>
      <protection locked="0" hidden="0"/>
    </xf>
    <xf numFmtId="164" fontId="7" fillId="2" borderId="1" applyAlignment="1" applyProtection="1" pivotButton="0" quotePrefix="0" xfId="0">
      <alignment horizontal="left"/>
      <protection locked="0" hidden="0"/>
    </xf>
    <xf numFmtId="164" fontId="7" fillId="0" borderId="1" applyAlignment="1" pivotButton="0" quotePrefix="0" xfId="0">
      <alignment horizontal="left"/>
    </xf>
    <xf numFmtId="168" fontId="7" fillId="0" borderId="1" applyAlignment="1" pivotButton="0" quotePrefix="0" xfId="0">
      <alignment horizontal="left"/>
    </xf>
    <xf numFmtId="169" fontId="7" fillId="0" borderId="1" applyAlignment="1" pivotButton="0" quotePrefix="0" xfId="0">
      <alignment horizontal="left"/>
    </xf>
    <xf numFmtId="0" fontId="17" fillId="0" borderId="0" pivotButton="0" quotePrefix="0" xfId="0"/>
    <xf numFmtId="164" fontId="7" fillId="4" borderId="1" applyAlignment="1" applyProtection="1" pivotButton="0" quotePrefix="0" xfId="0">
      <alignment horizontal="right" vertical="center"/>
      <protection locked="0" hidden="0"/>
    </xf>
    <xf numFmtId="0" fontId="7" fillId="0" borderId="1" applyAlignment="1" pivotButton="0" quotePrefix="0" xfId="0">
      <alignment horizontal="right" vertical="center"/>
    </xf>
    <xf numFmtId="0" fontId="20" fillId="0" borderId="1" pivotButton="0" quotePrefix="0" xfId="0"/>
    <xf numFmtId="0" fontId="18" fillId="5" borderId="1" applyAlignment="1" pivotButton="0" quotePrefix="0" xfId="0">
      <alignment horizontal="center"/>
    </xf>
    <xf numFmtId="0" fontId="18" fillId="5" borderId="0" applyAlignment="1" pivotButton="0" quotePrefix="0" xfId="0">
      <alignment horizontal="center"/>
    </xf>
    <xf numFmtId="164" fontId="0" fillId="0" borderId="0" pivotButton="0" quotePrefix="0" xfId="0"/>
    <xf numFmtId="165" fontId="16" fillId="0" borderId="0" pivotButton="0" quotePrefix="0" xfId="0"/>
    <xf numFmtId="164" fontId="16" fillId="0" borderId="0" pivotButton="0" quotePrefix="0" xfId="0"/>
    <xf numFmtId="169" fontId="16" fillId="0" borderId="0" pivotButton="0" quotePrefix="0" xfId="0"/>
    <xf numFmtId="165" fontId="0" fillId="4" borderId="0" applyProtection="1" pivotButton="0" quotePrefix="0" xfId="0">
      <protection locked="0" hidden="0"/>
    </xf>
    <xf numFmtId="0" fontId="1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4" fontId="0" fillId="4" borderId="0" applyProtection="1" pivotButton="0" quotePrefix="0" xfId="0">
      <protection locked="0" hidden="0"/>
    </xf>
    <xf numFmtId="3" fontId="0" fillId="4" borderId="0" applyProtection="1" pivotButton="0" quotePrefix="0" xfId="0">
      <protection locked="0" hidden="0"/>
    </xf>
    <xf numFmtId="0" fontId="18" fillId="5" borderId="0" applyAlignment="1" pivotButton="0" quotePrefix="0" xfId="0">
      <alignment horizontal="center" wrapText="1"/>
    </xf>
    <xf numFmtId="0" fontId="9" fillId="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wrapText="1"/>
    </xf>
    <xf numFmtId="165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165" fontId="0" fillId="0" borderId="0" pivotButton="0" quotePrefix="0" xfId="0"/>
    <xf numFmtId="170" fontId="7" fillId="0" borderId="1" applyAlignment="1" pivotButton="0" quotePrefix="0" xfId="0">
      <alignment horizontal="center" vertical="center" wrapText="1"/>
    </xf>
    <xf numFmtId="170" fontId="0" fillId="0" borderId="0" pivotButton="0" quotePrefix="0" xfId="0"/>
    <xf numFmtId="0" fontId="17" fillId="0" borderId="0" applyAlignment="1" pivotButton="0" quotePrefix="0" xfId="0">
      <alignment vertical="top" wrapText="1"/>
    </xf>
    <xf numFmtId="164" fontId="7" fillId="2" borderId="1" applyAlignment="1" applyProtection="1" pivotButton="0" quotePrefix="0" xfId="0">
      <alignment horizontal="right" vertical="center"/>
      <protection locked="0" hidden="0"/>
    </xf>
    <xf numFmtId="0" fontId="7" fillId="2" borderId="1" applyProtection="1" pivotButton="0" quotePrefix="0" xfId="0">
      <protection locked="0" hidden="0"/>
    </xf>
    <xf numFmtId="14" fontId="7" fillId="2" borderId="1" applyAlignment="1" applyProtection="1" pivotButton="0" quotePrefix="0" xfId="0">
      <alignment horizontal="left"/>
      <protection locked="0" hidden="0"/>
    </xf>
    <xf numFmtId="4" fontId="7" fillId="2" borderId="1" applyAlignment="1" applyProtection="1" pivotButton="0" quotePrefix="0" xfId="0">
      <alignment horizontal="left"/>
      <protection locked="0" hidden="0"/>
    </xf>
    <xf numFmtId="4" fontId="7" fillId="0" borderId="1" applyAlignment="1" pivotButton="0" quotePrefix="0" xfId="0">
      <alignment horizontal="left"/>
    </xf>
    <xf numFmtId="171" fontId="7" fillId="0" borderId="1" applyAlignment="1" pivotButton="0" quotePrefix="0" xfId="0">
      <alignment horizontal="left"/>
    </xf>
    <xf numFmtId="172" fontId="7" fillId="0" borderId="1" applyAlignment="1" pivotButton="0" quotePrefix="0" xfId="0">
      <alignment horizontal="left"/>
    </xf>
    <xf numFmtId="4" fontId="7" fillId="4" borderId="1" applyAlignment="1" applyProtection="1" pivotButton="0" quotePrefix="0" xfId="0">
      <alignment horizontal="right" vertical="center"/>
      <protection locked="0" hidden="0"/>
    </xf>
    <xf numFmtId="4" fontId="7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4" fontId="0" fillId="0" borderId="0" pivotButton="0" quotePrefix="0" xfId="0"/>
    <xf numFmtId="4" fontId="16" fillId="0" borderId="0" pivotButton="0" quotePrefix="0" xfId="0"/>
    <xf numFmtId="172" fontId="16" fillId="0" borderId="0" pivotButton="0" quotePrefix="0" xfId="0"/>
    <xf numFmtId="4" fontId="0" fillId="4" borderId="0" applyProtection="1" pivotButton="0" quotePrefix="0" xfId="0">
      <protection locked="0" hidden="0"/>
    </xf>
    <xf numFmtId="0" fontId="17" fillId="0" borderId="0" applyAlignment="1" pivotButton="0" quotePrefix="0" xfId="0">
      <alignment wrapText="1"/>
    </xf>
    <xf numFmtId="4" fontId="7" fillId="2" borderId="1" applyAlignment="1" applyProtection="1" pivotButton="0" quotePrefix="0" xfId="0">
      <alignment horizontal="right" vertical="center"/>
      <protection locked="0" hidden="0"/>
    </xf>
    <xf numFmtId="4" fontId="10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and operating cash flow (years 1-5)</a:t>
            </a:r>
          </a:p>
        </rich>
      </tx>
    </title>
    <plotArea>
      <lineChart>
        <grouping val="standard"/>
        <ser>
          <idx val="0"/>
          <order val="0"/>
          <tx>
            <strRef>
              <f>Projections!A11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Projections!$B$3:$F$3</f>
            </numRef>
          </cat>
          <val>
            <numRef>
              <f>Projections!$B$11:$F$11</f>
            </numRef>
          </val>
        </ser>
        <ser>
          <idx val="1"/>
          <order val="1"/>
          <tx>
            <strRef>
              <f>Projections!A18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Projections!$B$3:$F$3</f>
            </numRef>
          </cat>
          <val>
            <numRef>
              <f>Projections!$B$18:$F$18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07 · Restaurant Loan Proposal: Lender &amp; Investor Summary</t>
        </is>
      </c>
    </row>
    <row r="4">
      <c r="B4" s="2" t="inlineStr">
        <is>
          <t>AI Chef Pro · aichef.pro — Restaurant Financial Plan Kit Pro</t>
        </is>
      </c>
    </row>
    <row r="6">
      <c r="B6" s="3" t="inlineStr">
        <is>
          <t>How to use this template:</t>
        </is>
      </c>
    </row>
    <row r="7">
      <c r="B7" s="4" t="inlineStr">
        <is>
          <t>▸ Fill in each tab with your project's data.</t>
        </is>
      </c>
    </row>
    <row r="8">
      <c r="B8" s="4" t="inlineStr">
        <is>
          <t>▸ The professional format is ready to hand directly to your lender or investors.</t>
        </is>
      </c>
    </row>
    <row r="9">
      <c r="B9" s="4" t="inlineStr">
        <is>
          <t>▸ IRR, NPV and payback period calculate themselves in "Projections" on the project's FREE CASH FLOW (before debt and interest) and the investment from "Executive Summary"; the ability to repay the loan is measured by the DSCR in "Ratios". The discount rate is yours (cell C27).</t>
        </is>
      </c>
    </row>
    <row r="10">
      <c r="B10" s="4" t="inlineStr">
        <is>
          <t>▸ Includes a section for collateral and personal guarantees.</t>
        </is>
      </c>
    </row>
    <row r="12">
      <c r="B12" s="3" t="inlineStr">
        <is>
          <t>Tabs:</t>
        </is>
      </c>
    </row>
    <row r="13">
      <c r="B13" s="4" t="inlineStr">
        <is>
          <t>▸ Executive Summary: key project data.</t>
        </is>
      </c>
    </row>
    <row r="14">
      <c r="B14" s="4" t="inlineStr">
        <is>
          <t>▸ Projections: P&amp;L + summary cash flow, 5 years.</t>
        </is>
      </c>
    </row>
    <row r="15">
      <c r="B15" s="4" t="inlineStr">
        <is>
          <t>▸ Loan Schedule: loan amortization schedule. It feeds the interest in the P&amp;L, the loan payment in the DSCR and the loan payment line of the cash flow in file 03 "Cash Flow Forecast".</t>
        </is>
      </c>
    </row>
    <row r="16">
      <c r="B16" s="4" t="inlineStr">
        <is>
          <t>▸ Ratios: solvency and profitability indicators. DSCR compares the project's year 1 free cash flow ("Projections", row 17) with that year's debt service ("Loan Schedule"): it measures whether the business covers the payment.</t>
        </is>
      </c>
    </row>
    <row r="17">
      <c r="B17" s="4" t="inlineStr">
        <is>
          <t>▸ Collateral: collateral and guarantees offered.</t>
        </is>
      </c>
    </row>
    <row r="18">
      <c r="B18" s="4" t="n"/>
    </row>
    <row r="20">
      <c r="B20" s="4" t="inlineStr">
        <is>
          <t>▸ Depreciation is copied from file 04 "Startup Costs &amp; Capex Budget", "Summary" tab, "Annual depreciation" column.</t>
        </is>
      </c>
    </row>
    <row r="22">
      <c r="B22" s="20" t="inlineStr">
        <is>
          <t>All figures EXCLUDE sales tax; only file 03 "Cash Flow Forecast" includes it, because it is cash.</t>
        </is>
      </c>
    </row>
    <row r="23">
      <c r="B23" s="20" t="inlineStr">
        <is>
          <t>To edit a cell that is not green: Review → Unprotect Sheet (there is no password).</t>
        </is>
      </c>
    </row>
    <row r="24">
      <c r="B24" s="20" t="inlineStr">
        <is>
          <t>Designed by John Guerrero — chef and restaurant consultant since 2010, in the kitchen since age 17 · johnguerrero.es</t>
        </is>
      </c>
    </row>
    <row r="25">
      <c r="B25" s="20" t="inlineStr">
        <is>
          <t>Version 2.0 · October 2026 · aichef.pro/en/digital-products/restaurant-financial-plan-templates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C2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40" customWidth="1" min="3" max="3"/>
  </cols>
  <sheetData>
    <row r="1">
      <c r="B1" s="5" t="inlineStr">
        <is>
          <t>Executive Summary of the Project</t>
        </is>
      </c>
    </row>
    <row r="2">
      <c r="B2" s="2" t="inlineStr">
        <is>
          <t>AI Chef Pro · aichef.pro — Restaurant Financial Plan Kit Pro</t>
        </is>
      </c>
    </row>
    <row r="3">
      <c r="B3" s="21" t="inlineStr">
        <is>
          <t>SAMPLE VALUES — replace them with your own</t>
        </is>
      </c>
    </row>
    <row r="4">
      <c r="B4" s="6" t="inlineStr">
        <is>
          <t>PROJECT DETAILS</t>
        </is>
      </c>
    </row>
    <row r="5">
      <c r="B5" s="7" t="inlineStr">
        <is>
          <t>Restaurant name</t>
        </is>
      </c>
      <c r="C5" s="22" t="n"/>
    </row>
    <row r="6">
      <c r="B6" s="7" t="inlineStr">
        <is>
          <t>Concept / Cuisine type</t>
        </is>
      </c>
      <c r="C6" s="22" t="n"/>
    </row>
    <row r="7">
      <c r="B7" s="7" t="inlineStr">
        <is>
          <t>Location</t>
        </is>
      </c>
      <c r="C7" s="22" t="n"/>
    </row>
    <row r="8">
      <c r="B8" s="7" t="inlineStr">
        <is>
          <t>Total area (sq ft)</t>
        </is>
      </c>
      <c r="C8" s="23" t="n"/>
    </row>
    <row r="9">
      <c r="B9" s="7" t="inlineStr">
        <is>
          <t>Seating capacity (covers)</t>
        </is>
      </c>
      <c r="C9" s="23" t="n"/>
    </row>
    <row r="10">
      <c r="B10" s="7" t="inlineStr">
        <is>
          <t>Planned opening date</t>
        </is>
      </c>
      <c r="C10" s="57" t="n"/>
    </row>
    <row r="12">
      <c r="B12" s="6" t="inlineStr">
        <is>
          <t>KEY FINANCIAL DATA</t>
        </is>
      </c>
    </row>
    <row r="13">
      <c r="B13" s="7" t="inlineStr">
        <is>
          <t>Total investment required</t>
        </is>
      </c>
      <c r="C13" s="58" t="n"/>
    </row>
    <row r="14">
      <c r="B14" s="7" t="inlineStr">
        <is>
          <t>Owner's equity contributed</t>
        </is>
      </c>
      <c r="C14" s="58" t="n"/>
    </row>
    <row r="15">
      <c r="B15" s="7" t="inlineStr">
        <is>
          <t>Financing requested</t>
        </is>
      </c>
      <c r="C15" s="59">
        <f>'Loan Schedule'!$C$4</f>
        <v>0.0</v>
      </c>
    </row>
    <row r="16">
      <c r="B16" s="7" t="inlineStr">
        <is>
          <t>Requested repayment term (years)</t>
        </is>
      </c>
      <c r="C16" s="60" t="str">
        <f>IF('Loan Schedule'!$C$4=0,"—",'Loan Schedule'!$C$6)</f>
        <v>—</v>
      </c>
    </row>
    <row r="17">
      <c r="B17" s="7" t="inlineStr">
        <is>
          <t>Projected Year 1 revenue (excl. sales tax)</t>
        </is>
      </c>
      <c r="C17" s="59">
        <f>Projections!$B$4</f>
        <v>0.0</v>
      </c>
    </row>
    <row r="18">
      <c r="B18" s="7" t="inlineStr">
        <is>
          <t>Projected Year 1 EBITDA</t>
        </is>
      </c>
      <c r="C18" s="59">
        <f>Projections!$B$11</f>
        <v>0.0</v>
      </c>
    </row>
    <row r="19">
      <c r="B19" s="7" t="inlineStr">
        <is>
          <t>Estimated payback period</t>
        </is>
      </c>
      <c r="C19" s="61" t="str">
        <f>Projections!$B$26</f>
        <v>—</v>
      </c>
    </row>
    <row r="21">
      <c r="B21" s="6" t="inlineStr">
        <is>
          <t>FOUNDING TEAM</t>
        </is>
      </c>
    </row>
    <row r="22">
      <c r="B22" s="7" t="inlineStr">
        <is>
          <t>Owner / founder name</t>
        </is>
      </c>
      <c r="C22" s="22" t="n"/>
    </row>
    <row r="23">
      <c r="B23" s="7" t="inlineStr">
        <is>
          <t>Restaurant industry experience</t>
        </is>
      </c>
      <c r="C23" s="22" t="n"/>
    </row>
    <row r="24">
      <c r="B24" s="7" t="inlineStr">
        <is>
          <t>Education and training</t>
        </is>
      </c>
      <c r="C24" s="22" t="n"/>
    </row>
    <row r="25">
      <c r="B25" s="7" t="inlineStr">
        <is>
          <t>Other partners</t>
        </is>
      </c>
      <c r="C25" s="22" t="n"/>
    </row>
    <row r="27">
      <c r="A27" s="9" t="inlineStr">
        <is>
          <t>© 2026 AI Chef Pro · aichef.pro</t>
        </is>
      </c>
    </row>
    <row r="29">
      <c r="B29" s="29" t="inlineStr">
        <is>
          <t>Financing, term, revenue, EBITDA and payback period are calculated from "Loan Schedule" and "Projections": you never type them twice.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B1:C1"/>
    <mergeCell ref="A27:C27"/>
  </mergeCells>
  <dataValidations count="1">
    <dataValidation sqref="C8 C9 C13 C14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1">
      <c r="A1" s="5" t="inlineStr">
        <is>
          <t>Financial Projections — 5 Years</t>
        </is>
      </c>
    </row>
    <row r="3">
      <c r="A3" s="10" t="inlineStr">
        <is>
          <t>Line item</t>
        </is>
      </c>
      <c r="B3" s="10" t="inlineStr">
        <is>
          <t>Year 1</t>
        </is>
      </c>
      <c r="C3" s="10" t="inlineStr">
        <is>
          <t>Year 2</t>
        </is>
      </c>
      <c r="D3" s="10" t="inlineStr">
        <is>
          <t>Year 3</t>
        </is>
      </c>
      <c r="E3" s="10" t="inlineStr">
        <is>
          <t>Year 4</t>
        </is>
      </c>
      <c r="F3" s="10" t="inlineStr">
        <is>
          <t>Year 5</t>
        </is>
      </c>
    </row>
    <row r="4">
      <c r="A4" s="7" t="inlineStr">
        <is>
          <t>Revenue (excl. sales tax)</t>
        </is>
      </c>
      <c r="B4" s="62" t="n">
        <v>0</v>
      </c>
      <c r="C4" s="62" t="n">
        <v>0</v>
      </c>
      <c r="D4" s="62" t="n">
        <v>0</v>
      </c>
      <c r="E4" s="62" t="n">
        <v>0</v>
      </c>
      <c r="F4" s="62" t="n">
        <v>0</v>
      </c>
    </row>
    <row r="5">
      <c r="A5" s="7" t="inlineStr">
        <is>
          <t>Food cost</t>
        </is>
      </c>
      <c r="B5" s="62" t="n">
        <v>0</v>
      </c>
      <c r="C5" s="62" t="n">
        <v>0</v>
      </c>
      <c r="D5" s="62" t="n">
        <v>0</v>
      </c>
      <c r="E5" s="62" t="n">
        <v>0</v>
      </c>
      <c r="F5" s="62" t="n">
        <v>0</v>
      </c>
    </row>
    <row r="6">
      <c r="A6" s="7" t="inlineStr">
        <is>
          <t>Beverage cost</t>
        </is>
      </c>
      <c r="B6" s="62" t="n">
        <v>0</v>
      </c>
      <c r="C6" s="62" t="n">
        <v>0</v>
      </c>
      <c r="D6" s="62" t="n">
        <v>0</v>
      </c>
      <c r="E6" s="62" t="n">
        <v>0</v>
      </c>
      <c r="F6" s="62" t="n">
        <v>0</v>
      </c>
    </row>
    <row r="7">
      <c r="A7" s="7" t="inlineStr">
        <is>
          <t>Labor</t>
        </is>
      </c>
      <c r="B7" s="62" t="n">
        <v>0</v>
      </c>
      <c r="C7" s="62" t="n">
        <v>0</v>
      </c>
      <c r="D7" s="62" t="n">
        <v>0</v>
      </c>
      <c r="E7" s="62" t="n">
        <v>0</v>
      </c>
      <c r="F7" s="62" t="n">
        <v>0</v>
      </c>
    </row>
    <row r="8">
      <c r="A8" s="7" t="inlineStr">
        <is>
          <t>Delivery platform fees</t>
        </is>
      </c>
      <c r="B8" s="62" t="n">
        <v>0</v>
      </c>
      <c r="C8" s="62" t="n">
        <v>0</v>
      </c>
      <c r="D8" s="62" t="n">
        <v>0</v>
      </c>
      <c r="E8" s="62" t="n">
        <v>0</v>
      </c>
      <c r="F8" s="62" t="n">
        <v>0</v>
      </c>
    </row>
    <row r="9">
      <c r="A9" s="7" t="inlineStr">
        <is>
          <t>Other operating expenses</t>
        </is>
      </c>
      <c r="B9" s="62" t="n">
        <v>0</v>
      </c>
      <c r="C9" s="62" t="n">
        <v>0</v>
      </c>
      <c r="D9" s="62" t="n">
        <v>0</v>
      </c>
      <c r="E9" s="62" t="n">
        <v>0</v>
      </c>
      <c r="F9" s="62" t="n">
        <v>0</v>
      </c>
    </row>
    <row r="10">
      <c r="A10" s="7" t="inlineStr">
        <is>
          <t>TOTAL EXPENSES</t>
        </is>
      </c>
      <c r="B10" s="63">
        <f>SUM(B5:B9)</f>
        <v>0.0</v>
      </c>
      <c r="C10" s="63">
        <f>SUM(C5:C9)</f>
        <v>0.0</v>
      </c>
      <c r="D10" s="63">
        <f>SUM(D5:D9)</f>
        <v>0.0</v>
      </c>
      <c r="E10" s="63">
        <f>SUM(E5:E9)</f>
        <v>0.0</v>
      </c>
      <c r="F10" s="63">
        <f>SUM(F5:F9)</f>
        <v>0.0</v>
      </c>
    </row>
    <row r="11">
      <c r="A11" s="7" t="inlineStr">
        <is>
          <t>EBITDA</t>
        </is>
      </c>
      <c r="B11" s="63">
        <f>B4-B10</f>
        <v>0.0</v>
      </c>
      <c r="C11" s="63">
        <f>C4-C10</f>
        <v>0.0</v>
      </c>
      <c r="D11" s="63">
        <f>D4-D10</f>
        <v>0.0</v>
      </c>
      <c r="E11" s="63">
        <f>E4-E10</f>
        <v>0.0</v>
      </c>
      <c r="F11" s="63">
        <f>F4-F10</f>
        <v>0.0</v>
      </c>
    </row>
    <row r="12">
      <c r="A12" s="7" t="inlineStr">
        <is>
          <t>Depreciation</t>
        </is>
      </c>
      <c r="B12" s="62" t="n">
        <v>0</v>
      </c>
      <c r="C12" s="62" t="n">
        <v>0</v>
      </c>
      <c r="D12" s="62" t="n">
        <v>0</v>
      </c>
      <c r="E12" s="62" t="n">
        <v>0</v>
      </c>
      <c r="F12" s="62" t="n">
        <v>0</v>
      </c>
      <c r="G12" s="29" t="inlineStr">
        <is>
          <t>Copy it from file 04 "Startup Costs &amp; Capex Budget", "Summary" tab: "Annual depreciation" column, "TOTAL STARTUP COSTS (CAPEX)" row.</t>
        </is>
      </c>
    </row>
    <row r="13">
      <c r="A13" s="7" t="inlineStr">
        <is>
          <t>Interest on debt</t>
        </is>
      </c>
      <c r="B13" s="63">
        <f>'Loan Schedule'!$D$12</f>
        <v>0.0</v>
      </c>
      <c r="C13" s="63">
        <f>'Loan Schedule'!$D$13</f>
        <v>0.0</v>
      </c>
      <c r="D13" s="63">
        <f>'Loan Schedule'!$D$14</f>
        <v>0.0</v>
      </c>
      <c r="E13" s="63">
        <f>'Loan Schedule'!$D$15</f>
        <v>0.0</v>
      </c>
      <c r="F13" s="63">
        <f>'Loan Schedule'!$D$16</f>
        <v>0.0</v>
      </c>
    </row>
    <row r="14">
      <c r="A14" s="7" t="inlineStr">
        <is>
          <t>EBT (Earnings Before Tax)</t>
        </is>
      </c>
      <c r="B14" s="63">
        <f>B11-B12-B13</f>
        <v>0.0</v>
      </c>
      <c r="C14" s="63">
        <f>C11-C12-C13</f>
        <v>0.0</v>
      </c>
      <c r="D14" s="63">
        <f>D11-D12-D13</f>
        <v>0.0</v>
      </c>
      <c r="E14" s="63">
        <f>E11-E12-E13</f>
        <v>0.0</v>
      </c>
      <c r="F14" s="63">
        <f>F11-F12-F13</f>
        <v>0.0</v>
      </c>
    </row>
    <row r="15">
      <c r="A15" s="7" t="inlineStr">
        <is>
          <t>Income tax</t>
        </is>
      </c>
      <c r="B15" s="63">
        <f>IF(B14&gt;0,B14*$C$29,0)</f>
        <v>0.0</v>
      </c>
      <c r="C15" s="63">
        <f>IF(C14&gt;0,C14*$C$29,0)</f>
        <v>0.0</v>
      </c>
      <c r="D15" s="63">
        <f>IF(D14&gt;0,D14*$C$29,0)</f>
        <v>0.0</v>
      </c>
      <c r="E15" s="63">
        <f>IF(E14&gt;0,E14*$C$29,0)</f>
        <v>0.0</v>
      </c>
      <c r="F15" s="63">
        <f>IF(F14&gt;0,F14*$C$29,0)</f>
        <v>0.0</v>
      </c>
    </row>
    <row r="16">
      <c r="A16" s="7" t="inlineStr">
        <is>
          <t>NET INCOME</t>
        </is>
      </c>
      <c r="B16" s="63">
        <f>B14-B15</f>
        <v>0.0</v>
      </c>
      <c r="C16" s="63">
        <f>C14-C15</f>
        <v>0.0</v>
      </c>
      <c r="D16" s="63">
        <f>D14-D15</f>
        <v>0.0</v>
      </c>
      <c r="E16" s="63">
        <f>E14-E15</f>
        <v>0.0</v>
      </c>
      <c r="F16" s="63">
        <f>F14-F15</f>
        <v>0.0</v>
      </c>
    </row>
    <row r="17">
      <c r="A17" s="7" t="inlineStr">
        <is>
          <t>Project free cash flow (no debt)</t>
        </is>
      </c>
      <c r="B17" s="63">
        <f>B11-MAX(0,(B11-B12)*$C$29)</f>
        <v>0.0</v>
      </c>
      <c r="C17" s="63">
        <f>C11-MAX(0,(C11-C12)*$C$29)</f>
        <v>0.0</v>
      </c>
      <c r="D17" s="63">
        <f>D11-MAX(0,(D11-D12)*$C$29)</f>
        <v>0.0</v>
      </c>
      <c r="E17" s="63">
        <f>E11-MAX(0,(E11-E12)*$C$29)</f>
        <v>0.0</v>
      </c>
      <c r="F17" s="63">
        <f>F11-MAX(0,(F11-F12)*$C$29)</f>
        <v>0.0</v>
      </c>
      <c r="G17" s="29" t="inlineStr">
        <is>
          <t>EBITDA minus income tax computed WITHOUT interest. This row feeds the IRR, NPV and payback below.</t>
        </is>
      </c>
    </row>
    <row r="18">
      <c r="A18" s="7" t="inlineStr">
        <is>
          <t>OPERATING CASH FLOW</t>
        </is>
      </c>
      <c r="B18" s="63">
        <f>B16+B12</f>
        <v>0.0</v>
      </c>
      <c r="C18" s="63">
        <f>C16+C12</f>
        <v>0.0</v>
      </c>
      <c r="D18" s="63">
        <f>D16+D12</f>
        <v>0.0</v>
      </c>
      <c r="E18" s="63">
        <f>E16+E12</f>
        <v>0.0</v>
      </c>
      <c r="F18" s="63">
        <f>F16+F12</f>
        <v>0.0</v>
      </c>
    </row>
    <row r="19">
      <c r="A19" s="7" t="n"/>
      <c r="B19" s="31" t="n"/>
    </row>
    <row r="20">
      <c r="A20" s="32" t="inlineStr">
        <is>
          <t>PROJECT CASH FLOWS AND RETURN METRICS</t>
        </is>
      </c>
      <c r="B20" s="9" t="n"/>
    </row>
    <row r="21">
      <c r="A21" s="33" t="inlineStr">
        <is>
          <t>Line item</t>
        </is>
      </c>
      <c r="B21" s="33" t="inlineStr">
        <is>
          <t>Year 0</t>
        </is>
      </c>
      <c r="C21" s="34" t="inlineStr">
        <is>
          <t>Year 1</t>
        </is>
      </c>
      <c r="D21" s="34" t="inlineStr">
        <is>
          <t>Year 2</t>
        </is>
      </c>
      <c r="E21" s="34" t="inlineStr">
        <is>
          <t>Year 3</t>
        </is>
      </c>
      <c r="F21" s="34" t="inlineStr">
        <is>
          <t>Year 4</t>
        </is>
      </c>
      <c r="G21" s="34" t="inlineStr">
        <is>
          <t>Year 5</t>
        </is>
      </c>
    </row>
    <row r="22">
      <c r="A22" s="7" t="inlineStr">
        <is>
          <t>Project cash flow</t>
        </is>
      </c>
      <c r="B22" s="64">
        <f>-'Executive Summary'!$C$13</f>
        <v>0.0</v>
      </c>
      <c r="C22" s="65">
        <f>B17</f>
        <v>0.0</v>
      </c>
      <c r="D22" s="65">
        <f>C17</f>
        <v>0.0</v>
      </c>
      <c r="E22" s="65">
        <f>D17</f>
        <v>0.0</v>
      </c>
      <c r="F22" s="65">
        <f>E17</f>
        <v>0.0</v>
      </c>
      <c r="G22" s="65">
        <f>F17</f>
        <v>0.0</v>
      </c>
    </row>
    <row r="23">
      <c r="A23" s="7" t="inlineStr">
        <is>
          <t>Cumulative cash flow</t>
        </is>
      </c>
      <c r="B23" s="63">
        <f>B22</f>
        <v>0.0</v>
      </c>
      <c r="C23" s="65">
        <f>$B23+C22</f>
        <v>0.0</v>
      </c>
      <c r="D23" s="65">
        <f>$C23+D22</f>
        <v>0.0</v>
      </c>
      <c r="E23" s="65">
        <f>$D23+E22</f>
        <v>0.0</v>
      </c>
      <c r="F23" s="65">
        <f>$E23+F22</f>
        <v>0.0</v>
      </c>
      <c r="G23" s="65">
        <f>$F23+G22</f>
        <v>0.0</v>
      </c>
    </row>
    <row r="24">
      <c r="A24" s="7" t="inlineStr">
        <is>
          <t>Project IRR (unlevered)</t>
        </is>
      </c>
      <c r="B24" s="36" t="str">
        <f>IFERROR(IRR($B$22:$G$22),"—")</f>
        <v>—</v>
      </c>
    </row>
    <row r="25">
      <c r="A25" s="7" t="inlineStr">
        <is>
          <t>Project NPV</t>
        </is>
      </c>
      <c r="B25" s="66">
        <f>IFERROR(NPV($C$27,$C$22:$G$22)+$B$22,"—")</f>
        <v>0.0</v>
      </c>
    </row>
    <row r="26">
      <c r="A26" s="7" t="inlineStr">
        <is>
          <t>Project payback period (years)</t>
        </is>
      </c>
      <c r="B26" s="67" t="str">
        <f>IFERROR(IF($G$23&lt;0,"Not paid back within 5 years",COUNTIF($B$23:$G$23,"&lt;0")-1+(-INDEX($B$23:$G$23,COUNTIF($B$23:$G$23,"&lt;0")))/INDEX($B$22:$G$22,COUNTIF($B$23:$G$23,"&lt;0")+1)),"—")</f>
        <v>—</v>
      </c>
    </row>
    <row r="27">
      <c r="A27" s="7" t="inlineStr">
        <is>
          <t>Annual discount rate (%) — used by the NPV</t>
        </is>
      </c>
      <c r="C27" s="39" t="n">
        <v>0.08</v>
      </c>
    </row>
    <row r="28">
      <c r="A28" s="29" t="inlineStr">
        <is>
          <t>It is the return expected by whoever puts in the money. 8% is the kit's starting point; raise it if your risk is higher.</t>
        </is>
      </c>
    </row>
    <row r="29">
      <c r="A29" s="7" t="inlineStr">
        <is>
          <t>Effective income tax rate (%)</t>
        </is>
      </c>
      <c r="C29" s="39" t="n">
        <v>0.25</v>
      </c>
    </row>
    <row r="30">
      <c r="A30" s="29" t="inlineStr">
        <is>
          <t>US C corp: 21% federal + your state's rate (25% is the kit's example). LLC, S corp or sole proprietor (pass-through): 0 here, the tax is paid on the owners' returns. UK: corporation tax 19% to 25%.</t>
        </is>
      </c>
    </row>
    <row r="32">
      <c r="A32" s="29" t="inlineStr">
        <is>
          <t>The year 0 investment comes from "Executive Summary": this report goes to a third party, so no sample data comes preloaded looking like real data.</t>
        </is>
      </c>
    </row>
    <row r="33">
      <c r="A33" s="29" t="inlineStr">
        <is>
          <t>IRR/NPV/payback period are calculated on the project's free cash flow, with no debt or interest: they measure whether the business sustains itself. The ability to repay the loan is measured by the DSCR in the "Ratios" tab.</t>
        </is>
      </c>
    </row>
    <row r="45">
      <c r="A45" s="40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1">
    <mergeCell ref="A1:F1"/>
  </mergeCells>
  <dataValidations count="2">
    <dataValidation sqref="B4 B5 B6 B7 B8 B9 B12 C4 C5 C6 C7 C8 C9 C12 D4 D5 D6 D7 D8 D9 D12 E4 E5 E6 E7 E8 E9 E12 F4 F5 F6 F7 F8 F9 F12" showDropDown="0" showInputMessage="0" showErrorMessage="1" allowBlank="1" errorTitle="Invalid amount" error="Enter a number greater than or equal to 0." type="decimal" operator="greaterThanOrEqual">
      <formula1>0</formula1>
    </dataValidation>
    <dataValidation sqref="C27 C29" showDropDown="0" showInputMessage="0" showErrorMessage="1" allowBlank="1" errorTitle="Invalid percentage" error="Enter a percentage between 0 and 1 (0.35 = 35%)." type="decimal" operator="between">
      <formula1>0</formula1>
      <formula2>1</formula2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18" customWidth="1" min="4" max="4"/>
    <col width="26" customWidth="1" min="5" max="5"/>
    <col width="24" customWidth="1" min="6" max="6"/>
  </cols>
  <sheetData>
    <row r="1">
      <c r="B1" s="41" t="inlineStr">
        <is>
          <t>Loan Schedule — Amortization Schedule</t>
        </is>
      </c>
    </row>
    <row r="2">
      <c r="B2" s="42" t="inlineStr">
        <is>
          <t>AI Chef Pro · aichef.pro — Restaurant Financial Plan Kit Pro</t>
        </is>
      </c>
    </row>
    <row r="3">
      <c r="B3" s="43" t="inlineStr">
        <is>
          <t>LOAN DETAILS</t>
        </is>
      </c>
    </row>
    <row r="4" ht="24.5" customHeight="1">
      <c r="B4" t="inlineStr">
        <is>
          <t>Amount requested</t>
        </is>
      </c>
      <c r="C4" s="68" t="n">
        <v>0</v>
      </c>
      <c r="D4" s="69" t="inlineStr">
        <is>
          <t>The amount you ask the lender for.</t>
        </is>
      </c>
    </row>
    <row r="5" ht="24.5" customHeight="1">
      <c r="B5" t="inlineStr">
        <is>
          <t>Nominal annual interest rate (%)</t>
        </is>
      </c>
      <c r="C5" s="39" t="n">
        <v>0.1</v>
      </c>
      <c r="D5" s="69" t="inlineStr">
        <is>
          <t>Nominal rate, not APR. (example: change it)</t>
        </is>
      </c>
    </row>
    <row r="6" ht="73.5" customHeight="1">
      <c r="B6" t="inlineStr">
        <is>
          <t>Term (years)</t>
        </is>
      </c>
      <c r="C6" s="45" t="n">
        <v>10</v>
      </c>
      <c r="D6" s="69" t="inlineStr">
        <is>
          <t>TOTAL term, interest-only period included. SBA 7(a): up to 10 years for equipment and working capital. (example: change it)</t>
        </is>
      </c>
    </row>
    <row r="7" ht="61.25" customHeight="1">
      <c r="B7" t="inlineStr">
        <is>
          <t>Interest-only period (years)</t>
        </is>
      </c>
      <c r="C7" s="45" t="n">
        <v>0</v>
      </c>
      <c r="D7" s="69" t="inlineStr">
        <is>
          <t>Initial years in which you pay interest only; afterwards the payment is calculated over the remaining term.</t>
        </is>
      </c>
    </row>
    <row r="8" ht="122.5" customHeight="1">
      <c r="B8" s="43" t="inlineStr">
        <is>
          <t>ANNUAL PAYMENT</t>
        </is>
      </c>
      <c r="C8" s="66">
        <f>IF(($C$6-$C$7)&lt;=0,"The interest-only period must be shorter than the term",IFERROR($C$4*$C$5/(1-(1+$C$5)^(-($C$6-$C$7))),0))</f>
        <v>0.0</v>
      </c>
      <c r="D8" s="69" t="inlineStr">
        <is>
          <t>Level annual payment (standard amortization) over the term left after the interest-only period, which must be SHORTER than the term: otherwise no year is left to repay the principal and you get a warning here instead.</t>
        </is>
      </c>
    </row>
    <row r="10">
      <c r="B10" s="43" t="inlineStr">
        <is>
          <t>AMORTIZATION SCHEDULE (years 1-5)</t>
        </is>
      </c>
    </row>
    <row r="11">
      <c r="A11" s="46" t="inlineStr">
        <is>
          <t>Year</t>
        </is>
      </c>
      <c r="B11" s="46" t="inlineStr">
        <is>
          <t>Opening balance</t>
        </is>
      </c>
      <c r="C11" s="46" t="inlineStr">
        <is>
          <t>Annual payment</t>
        </is>
      </c>
      <c r="D11" s="46" t="inlineStr">
        <is>
          <t>Interest</t>
        </is>
      </c>
      <c r="E11" s="46" t="inlineStr">
        <is>
          <t>Principal repaid</t>
        </is>
      </c>
      <c r="F11" s="46" t="inlineStr">
        <is>
          <t>Ending balance</t>
        </is>
      </c>
    </row>
    <row r="12">
      <c r="A12" t="n">
        <v>1</v>
      </c>
      <c r="B12" s="65">
        <f>$C$4</f>
        <v>0.0</v>
      </c>
      <c r="C12" s="65">
        <f>IF($C$6&lt;=$C$7,"—",IF($A12&gt;$C$6,0,IF($A12&lt;=$C$7,$B12*$C$5,$C$8)))</f>
        <v>0.0</v>
      </c>
      <c r="D12" s="65">
        <f>IF($A12&gt;$C$6,0,$B12*$C$5)</f>
        <v>0.0</v>
      </c>
      <c r="E12" s="65">
        <f>IF($C$6&lt;=$C$7,0,IF($A12&gt;$C$6,0,$C12-$D12))</f>
        <v>0.0</v>
      </c>
      <c r="F12" s="65">
        <f>$B12-$E12</f>
        <v>0.0</v>
      </c>
    </row>
    <row r="13">
      <c r="A13" t="n">
        <v>2</v>
      </c>
      <c r="B13" s="65">
        <f>$F$12</f>
        <v>0.0</v>
      </c>
      <c r="C13" s="65">
        <f>IF($C$6&lt;=$C$7,"—",IF($A13&gt;$C$6,0,IF($A13&lt;=$C$7,$B13*$C$5,$C$8)))</f>
        <v>0.0</v>
      </c>
      <c r="D13" s="65">
        <f>IF($A13&gt;$C$6,0,$B13*$C$5)</f>
        <v>0.0</v>
      </c>
      <c r="E13" s="65">
        <f>IF($C$6&lt;=$C$7,0,IF($A13&gt;$C$6,0,$C13-$D13))</f>
        <v>0.0</v>
      </c>
      <c r="F13" s="65">
        <f>$B13-$E13</f>
        <v>0.0</v>
      </c>
    </row>
    <row r="14">
      <c r="A14" t="n">
        <v>3</v>
      </c>
      <c r="B14" s="65">
        <f>$F$13</f>
        <v>0.0</v>
      </c>
      <c r="C14" s="65">
        <f>IF($C$6&lt;=$C$7,"—",IF($A14&gt;$C$6,0,IF($A14&lt;=$C$7,$B14*$C$5,$C$8)))</f>
        <v>0.0</v>
      </c>
      <c r="D14" s="65">
        <f>IF($A14&gt;$C$6,0,$B14*$C$5)</f>
        <v>0.0</v>
      </c>
      <c r="E14" s="65">
        <f>IF($C$6&lt;=$C$7,0,IF($A14&gt;$C$6,0,$C14-$D14))</f>
        <v>0.0</v>
      </c>
      <c r="F14" s="65">
        <f>$B14-$E14</f>
        <v>0.0</v>
      </c>
    </row>
    <row r="15">
      <c r="A15" t="n">
        <v>4</v>
      </c>
      <c r="B15" s="65">
        <f>$F$14</f>
        <v>0.0</v>
      </c>
      <c r="C15" s="65">
        <f>IF($C$6&lt;=$C$7,"—",IF($A15&gt;$C$6,0,IF($A15&lt;=$C$7,$B15*$C$5,$C$8)))</f>
        <v>0.0</v>
      </c>
      <c r="D15" s="65">
        <f>IF($A15&gt;$C$6,0,$B15*$C$5)</f>
        <v>0.0</v>
      </c>
      <c r="E15" s="65">
        <f>IF($C$6&lt;=$C$7,0,IF($A15&gt;$C$6,0,$C15-$D15))</f>
        <v>0.0</v>
      </c>
      <c r="F15" s="65">
        <f>$B15-$E15</f>
        <v>0.0</v>
      </c>
    </row>
    <row r="16">
      <c r="A16" t="n">
        <v>5</v>
      </c>
      <c r="B16" s="65">
        <f>$F$15</f>
        <v>0.0</v>
      </c>
      <c r="C16" s="65">
        <f>IF($C$6&lt;=$C$7,"—",IF($A16&gt;$C$6,0,IF($A16&lt;=$C$7,$B16*$C$5,$C$8)))</f>
        <v>0.0</v>
      </c>
      <c r="D16" s="65">
        <f>IF($A16&gt;$C$6,0,$B16*$C$5)</f>
        <v>0.0</v>
      </c>
      <c r="E16" s="65">
        <f>IF($C$6&lt;=$C$7,0,IF($A16&gt;$C$6,0,$C16-$D16))</f>
        <v>0.0</v>
      </c>
      <c r="F16" s="65">
        <f>$B16-$E16</f>
        <v>0.0</v>
      </c>
    </row>
    <row r="18">
      <c r="B18" s="29" t="inlineStr">
        <is>
          <t>The payment in column C is the one copied to file 03 "Cash Flow Forecast", "Monthly Cash Flow" tab, row 23 (divided by 12), and the one that divides the DSCR in the "Ratios" tab.</t>
        </is>
      </c>
    </row>
    <row r="19">
      <c r="B19" s="29" t="inlineStr">
        <is>
          <t>The interest in column D feeds the "Interest on debt" row of "Projections": do not type it twice.</t>
        </is>
      </c>
    </row>
    <row r="20">
      <c r="B20" s="29" t="inlineStr">
        <is>
          <t>With an interest-only period, "Principal repaid" shows 0 in the first years and the balance does not go down: that is how an interest-only start really works.</t>
        </is>
      </c>
    </row>
    <row r="22">
      <c r="A22" s="40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dataValidations count="2">
    <dataValidation sqref="C4 C6 C7" showDropDown="0" showInputMessage="0" showErrorMessage="1" allowBlank="1" errorTitle="Invalid amount" error="Enter a number greater than or equal to 0." type="decimal" operator="greaterThanOrEqual">
      <formula1>0</formula1>
    </dataValidation>
    <dataValidation sqref="C5" showDropDown="0" showInputMessage="0" showErrorMessage="1" allowBlank="1" errorTitle="Invalid percentage" error="Enter a percentage between 0 and 1 (0.35 = 35%)." type="decimal" operator="between">
      <formula1>0</formula1>
      <formula2>1</formula2>
    </dataValidation>
  </dataValidations>
  <pageMargins left="0.59" right="0.59" top="0.59" bottom="0.59" header="0.3" footer="0.3"/>
  <pageSetup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25" customWidth="1" min="4" max="4"/>
    <col width="16" customWidth="1" min="5" max="5"/>
    <col width="14" customWidth="1" min="6" max="6"/>
    <col width="14" customWidth="1" min="7" max="7"/>
    <col width="18" customWidth="1" min="8" max="8"/>
  </cols>
  <sheetData>
    <row r="1">
      <c r="B1" s="5" t="inlineStr">
        <is>
          <t>Solvency and Profitability Ratios</t>
        </is>
      </c>
    </row>
    <row r="3">
      <c r="A3" s="47" t="n"/>
      <c r="B3" s="48" t="inlineStr">
        <is>
          <t>Ratio</t>
        </is>
      </c>
      <c r="C3" s="48" t="inlineStr">
        <is>
          <t>Value</t>
        </is>
      </c>
      <c r="D3" s="48" t="inlineStr">
        <is>
          <t>Lender benchmark</t>
        </is>
      </c>
      <c r="E3" s="46" t="inlineStr">
        <is>
          <t>Status</t>
        </is>
      </c>
      <c r="F3" s="46" t="inlineStr">
        <is>
          <t>Target (no.)</t>
        </is>
      </c>
      <c r="G3" s="46" t="inlineStr">
        <is>
          <t>Limit (no.)</t>
        </is>
      </c>
      <c r="H3" s="46" t="inlineStr">
        <is>
          <t>Direction</t>
        </is>
      </c>
    </row>
    <row r="4">
      <c r="B4" s="7" t="inlineStr">
        <is>
          <t>Debt-to-capital ratio</t>
        </is>
      </c>
      <c r="C4" s="49" t="str">
        <f>IFERROR($C$16/($C$16+$C$15),"Enter debt and equity")</f>
        <v>Enter debt and equity</v>
      </c>
      <c r="D4" s="50" t="inlineStr">
        <is>
          <t>&lt; 60%</t>
        </is>
      </c>
      <c r="E4" t="str">
        <f>IFERROR(IF(ISNUMBER($C4),IF($C4&lt;=$F$4,"✅",IF($C4&lt;=$G$4,"⚠️","🔴")),"—"),"—")</f>
        <v>—</v>
      </c>
      <c r="F4" s="51" t="n">
        <v>0.6</v>
      </c>
      <c r="G4" s="51" t="n">
        <v>0.7</v>
      </c>
      <c r="H4" s="29" t="inlineStr">
        <is>
          <t>lower is better</t>
        </is>
      </c>
    </row>
    <row r="5">
      <c r="B5" s="7" t="inlineStr">
        <is>
          <t>Debt service coverage (DSCR)</t>
        </is>
      </c>
      <c r="C5" s="52" t="str">
        <f>IFERROR(Projections!$B$17/'Loan Schedule'!$C$12,"Enter the loan")</f>
        <v>Enter the loan</v>
      </c>
      <c r="D5" s="50" t="inlineStr">
        <is>
          <t>&gt; 1.25x</t>
        </is>
      </c>
      <c r="E5" t="str">
        <f>IFERROR(IF(ISNUMBER($C5),IF($C5&gt;=$F$5,"✅",IF($C5&gt;=$G$5,"⚠️","🔴")),"—"),"—")</f>
        <v>—</v>
      </c>
      <c r="F5" s="53" t="n">
        <v>1.25</v>
      </c>
      <c r="G5" s="53" t="n">
        <v>1.15</v>
      </c>
      <c r="H5" s="29" t="inlineStr">
        <is>
          <t>higher is better</t>
        </is>
      </c>
    </row>
    <row r="6">
      <c r="B6" s="7" t="inlineStr">
        <is>
          <t>Current ratio</t>
        </is>
      </c>
      <c r="C6" s="52" t="str">
        <f>IFERROR($C$13/$C$14,"Enter the balance sheet")</f>
        <v>Enter the balance sheet</v>
      </c>
      <c r="D6" s="50" t="inlineStr">
        <is>
          <t>&gt; 1.0x</t>
        </is>
      </c>
      <c r="E6" t="str">
        <f>IFERROR(IF(ISNUMBER($C6),IF($C6&gt;=$F$6,"✅",IF($C6&gt;=$G$6,"⚠️","🔴")),"—"),"—")</f>
        <v>—</v>
      </c>
      <c r="F6" s="53" t="n">
        <v>1</v>
      </c>
      <c r="G6" s="53" t="n">
        <v>0.9</v>
      </c>
      <c r="H6" s="29" t="inlineStr">
        <is>
          <t>higher is better</t>
        </is>
      </c>
    </row>
    <row r="7">
      <c r="B7" s="7" t="inlineStr">
        <is>
          <t>EBITDA margin (EBITDA / sales)</t>
        </is>
      </c>
      <c r="C7" s="49" t="str">
        <f>IFERROR(Projections!$B$11/Projections!$B$4,"Enter revenue")</f>
        <v>Enter revenue</v>
      </c>
      <c r="D7" s="50" t="inlineStr">
        <is>
          <t>&gt; 15%</t>
        </is>
      </c>
      <c r="E7" t="str">
        <f>IFERROR(IF(ISNUMBER($C7),IF($C7&gt;=$F$7,"✅",IF($C7&gt;=$G$7,"⚠️","🔴")),"—"),"—")</f>
        <v>—</v>
      </c>
      <c r="F7" s="51" t="n">
        <v>0.15</v>
      </c>
      <c r="G7" s="51" t="n">
        <v>0.1</v>
      </c>
      <c r="H7" s="29" t="inlineStr">
        <is>
          <t>higher is better</t>
        </is>
      </c>
    </row>
    <row r="8">
      <c r="B8" s="7" t="inlineStr">
        <is>
          <t>ROI (Return on Investment)</t>
        </is>
      </c>
      <c r="C8" s="49" t="str">
        <f>IFERROR(Projections!$B$16/$C$17,"Enter the investment")</f>
        <v>Enter the investment</v>
      </c>
      <c r="D8" s="50" t="inlineStr">
        <is>
          <t>&gt; 10%</t>
        </is>
      </c>
      <c r="E8" t="str">
        <f>IFERROR(IF(ISNUMBER($C8),IF($C8&gt;=$F$8,"✅",IF($C8&gt;=$G$8,"⚠️","🔴")),"—"),"—")</f>
        <v>—</v>
      </c>
      <c r="F8" s="51" t="n">
        <v>0.1</v>
      </c>
      <c r="G8" s="51" t="n">
        <v>0.05</v>
      </c>
      <c r="H8" s="29" t="inlineStr">
        <is>
          <t>higher is better</t>
        </is>
      </c>
    </row>
    <row r="9">
      <c r="B9" s="7" t="inlineStr">
        <is>
          <t>Owner's equity / Investment</t>
        </is>
      </c>
      <c r="C9" s="49" t="str">
        <f>IFERROR($C$15/$C$17,"Enter the investment")</f>
        <v>Enter the investment</v>
      </c>
      <c r="D9" s="50" t="inlineStr">
        <is>
          <t>&gt; 30%</t>
        </is>
      </c>
      <c r="E9" t="str">
        <f>IFERROR(IF(ISNUMBER($C9),IF($C9&gt;=$F$9,"✅",IF($C9&gt;=$G$9,"⚠️","🔴")),"—"),"—")</f>
        <v>—</v>
      </c>
      <c r="F9" s="51" t="n">
        <v>0.3</v>
      </c>
      <c r="G9" s="51" t="n">
        <v>0.1</v>
      </c>
      <c r="H9" s="29" t="inlineStr">
        <is>
          <t>higher is better</t>
        </is>
      </c>
    </row>
    <row r="10">
      <c r="B10" s="7" t="inlineStr">
        <is>
          <t>Debt / EBITDA</t>
        </is>
      </c>
      <c r="C10" s="52" t="str">
        <f>IFERROR($C$16/Projections!$B$11,"Enter EBITDA")</f>
        <v>Enter EBITDA</v>
      </c>
      <c r="D10" s="50" t="inlineStr">
        <is>
          <t>&lt; 3.5x</t>
        </is>
      </c>
      <c r="E10" t="str">
        <f>IFERROR(IF(ISNUMBER($C10),IF($C10&lt;=$F$10,"✅",IF($C10&lt;=$G$10,"⚠️","🔴")),"—"),"—")</f>
        <v>—</v>
      </c>
      <c r="F10" s="53" t="n">
        <v>3.5</v>
      </c>
      <c r="G10" s="53" t="n">
        <v>4.5</v>
      </c>
      <c r="H10" s="29" t="inlineStr">
        <is>
          <t>lower is better</t>
        </is>
      </c>
    </row>
    <row r="12">
      <c r="B12" s="43" t="inlineStr">
        <is>
          <t>BALANCE SHEET AND DEBT DATA</t>
        </is>
      </c>
    </row>
    <row r="13">
      <c r="A13" s="9" t="n"/>
      <c r="B13" t="inlineStr">
        <is>
          <t>Current assets</t>
        </is>
      </c>
      <c r="C13" s="68" t="n">
        <v>0</v>
      </c>
    </row>
    <row r="14">
      <c r="B14" t="inlineStr">
        <is>
          <t>Current liabilities</t>
        </is>
      </c>
      <c r="C14" s="68" t="n">
        <v>0</v>
      </c>
    </row>
    <row r="15">
      <c r="B15" t="inlineStr">
        <is>
          <t>Owner's equity</t>
        </is>
      </c>
      <c r="C15" s="68" t="n">
        <v>0</v>
      </c>
    </row>
    <row r="16">
      <c r="B16" t="inlineStr">
        <is>
          <t>Outstanding debt</t>
        </is>
      </c>
      <c r="C16" s="68" t="n">
        <v>0</v>
      </c>
    </row>
    <row r="17">
      <c r="B17" t="inlineStr">
        <is>
          <t>Total project investment</t>
        </is>
      </c>
      <c r="C17" s="65">
        <f>'Executive Summary'!$C$13</f>
        <v>0.0</v>
      </c>
    </row>
    <row r="20">
      <c r="B20" s="54" t="inlineStr">
        <is>
          <t>The EBITDA margin uses the SAME thresholds as file 06 "KPI &amp; Ratios Dashboard" (target &gt; 15%, tight 10-15%), so the same restaurant gets the same result in both files.</t>
        </is>
      </c>
    </row>
    <row r="21">
      <c r="B21" s="54" t="inlineStr">
        <is>
          <t>DSCR divides the project's year 1 FREE CASH FLOW ("Projections", row 17: EBITDA minus income tax, computed before interest) by that same year's debt service ("Loan Schedule", column "Annual payment", year 1). The numerator is taken BEFORE debt on purpose: if you subtracted interest from it, you would be counting it twice.</t>
        </is>
      </c>
    </row>
    <row r="24">
      <c r="A24" s="40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1">
    <mergeCell ref="B1:D1"/>
  </mergeCells>
  <conditionalFormatting sqref="E4:E10">
    <cfRule type="containsText" priority="1" operator="containsText" dxfId="0" stopIfTrue="1" text="🔴">
      <formula>NOT(ISERROR(SEARCH("🔴",E4)))</formula>
    </cfRule>
    <cfRule type="containsText" priority="2" operator="containsText" dxfId="1" stopIfTrue="1" text="⚠️">
      <formula>NOT(ISERROR(SEARCH("⚠️",E4)))</formula>
    </cfRule>
    <cfRule type="containsText" priority="3" operator="containsText" dxfId="2" stopIfTrue="1" text="✅">
      <formula>NOT(ISERROR(SEARCH("✅",E4)))</formula>
    </cfRule>
  </conditionalFormatting>
  <conditionalFormatting sqref="C5">
    <cfRule type="expression" priority="4" dxfId="0" stopIfTrue="1">
      <formula>=$C$5&lt;$G$5</formula>
    </cfRule>
  </conditionalFormatting>
  <dataValidations count="1">
    <dataValidation sqref="C13 C14 C15 C16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FF6F00"/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45" customWidth="1" min="2" max="2"/>
    <col width="20" customWidth="1" min="3" max="3"/>
    <col width="40" customWidth="1" min="4" max="4"/>
  </cols>
  <sheetData>
    <row r="1">
      <c r="B1" s="5" t="inlineStr">
        <is>
          <t>Collateral and Guarantees Offered</t>
        </is>
      </c>
    </row>
    <row r="3">
      <c r="A3" s="10" t="inlineStr"/>
      <c r="B3" s="10" t="inlineStr">
        <is>
          <t>Collateral Type</t>
        </is>
      </c>
      <c r="C3" s="10" t="inlineStr">
        <is>
          <t>Value</t>
        </is>
      </c>
      <c r="D3" s="10" t="inlineStr">
        <is>
          <t>Description</t>
        </is>
      </c>
    </row>
    <row r="4">
      <c r="B4" s="7" t="inlineStr">
        <is>
          <t>Personal guarantee (SBA: owners of 20%+)</t>
        </is>
      </c>
      <c r="C4" s="70" t="n">
        <v>0</v>
      </c>
      <c r="D4" s="56" t="n"/>
    </row>
    <row r="5">
      <c r="B5" s="7" t="inlineStr">
        <is>
          <t>Mortgage on the premises (if owned)</t>
        </is>
      </c>
      <c r="C5" s="70" t="n">
        <v>0</v>
      </c>
      <c r="D5" s="56" t="n"/>
    </row>
    <row r="6">
      <c r="B6" s="7" t="inlineStr">
        <is>
          <t>Pledged deposits / cash collateral</t>
        </is>
      </c>
      <c r="C6" s="70" t="n">
        <v>0</v>
      </c>
      <c r="D6" s="56" t="n"/>
    </row>
    <row r="7">
      <c r="B7" s="7" t="inlineStr">
        <is>
          <t>Blanket lien on business assets (UCC-1)</t>
        </is>
      </c>
      <c r="C7" s="70" t="n">
        <v>0</v>
      </c>
      <c r="D7" s="56" t="n"/>
    </row>
    <row r="8">
      <c r="B8" s="7" t="inlineStr">
        <is>
          <t>Assignment of life insurance (SBA lenders)</t>
        </is>
      </c>
      <c r="C8" s="70" t="n">
        <v>0</v>
      </c>
      <c r="D8" s="56" t="n"/>
    </row>
    <row r="9">
      <c r="B9" s="7" t="inlineStr">
        <is>
          <t>Additional deposit</t>
        </is>
      </c>
      <c r="C9" s="70" t="n">
        <v>0</v>
      </c>
      <c r="D9" s="56" t="n"/>
    </row>
    <row r="10">
      <c r="B10" s="12" t="inlineStr">
        <is>
          <t>TOTAL COLLATERAL</t>
        </is>
      </c>
      <c r="C10" s="71">
        <f>SUM(C4:C9)</f>
        <v>0.0</v>
      </c>
    </row>
    <row r="13">
      <c r="A13" s="9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B1:D1"/>
    <mergeCell ref="A13:D13"/>
  </mergeCells>
  <dataValidations count="1">
    <dataValidation sqref="C4 C5 C6 C7 C8 C9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07 · Restaurant Loan Proposal: Lender &amp; Investor Summary · Restaurant Financial Plan Kit Pro</dc:title>
  <dc:description xmlns:dc="http://purl.org/dc/elements/1.1/">aichef.pro/en/digital-products/restaurant-financial-plan-templates</dc:description>
  <dc:subject xmlns:dc="http://purl.org/dc/elements/1.1/">Restaurant Financial Plan Kit Pro · v2.0</dc:subject>
  <dcterms:created xmlns:dcterms="http://purl.org/dc/terms/" xmlns:xsi="http://www.w3.org/2001/XMLSchema-instance" xsi:type="dcterms:W3CDTF">2026-04-05T10:13:01Z</dcterms:created>
  <dcterms:modified xmlns:dcterms="http://purl.org/dc/terms/" xmlns:xsi="http://www.w3.org/2001/XMLSchema-instance" xsi:type="dcterms:W3CDTF">2026-10-03T16:36:47Z</dcterms:modified>
  <cp:lastModifiedBy>AI Chef Pro</cp:lastModifiedBy>
  <cp:category>AI Chef Pro · Digital products</cp:category>
  <cp:keywords>restaurant p&amp;l template, restaurant financial projections, restaurant budget template, break-even, cash flow, AI Chef Pro</cp:keywords>
</cp:coreProperties>
</file>