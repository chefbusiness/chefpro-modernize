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ecutive Summary" sheetId="2" state="visible" r:id="rId2"/>
    <sheet xmlns:r="http://schemas.openxmlformats.org/officeDocument/2006/relationships" name="Projections" sheetId="3" state="visible" r:id="rId3"/>
    <sheet xmlns:r="http://schemas.openxmlformats.org/officeDocument/2006/relationships" name="Loan Schedule" sheetId="4" state="visible" r:id="rId4"/>
    <sheet xmlns:r="http://schemas.openxmlformats.org/officeDocument/2006/relationships" name="Ratios" sheetId="5" state="visible" r:id="rId5"/>
    <sheet xmlns:r="http://schemas.openxmlformats.org/officeDocument/2006/relationships" name="Collateral" sheetId="6" state="visible" r:id="rId6"/>
  </sheets>
  <definedNames>
    <definedName name="_xlnm.Print_Titles" localSheetId="2">'Projections'!$3:$3</definedName>
    <definedName name="_xlnm.Print_Titles" localSheetId="4">'Ratios'!$3:$3</definedName>
    <definedName name="_xlnm.Print_Titles" localSheetId="5">'Collateral'!$3:$3</definedName>
  </definedNames>
  <calcPr calcId="124519" fullCalcOnLoad="1"/>
</workbook>
</file>

<file path=xl/styles.xml><?xml version="1.0" encoding="utf-8"?>
<styleSheet xmlns="http://schemas.openxmlformats.org/spreadsheetml/2006/main">
  <numFmts count="9">
    <numFmt numFmtId="164" formatCode="#,##0.00"/>
    <numFmt numFmtId="165" formatCode="0.0%"/>
    <numFmt numFmtId="166" formatCode="0.0"/>
    <numFmt numFmtId="167" formatCode="m/d/yyyy"/>
    <numFmt numFmtId="168" formatCode="0.0&quot; years&quot;;@"/>
    <numFmt numFmtId="169" formatCode="0.00&quot; years&quot;;@"/>
    <numFmt numFmtId="170" formatCode="0.00&quot;x&quot;"/>
    <numFmt numFmtId="171" formatCode="0.0&quot; years&quot;"/>
    <numFmt numFmtId="172" formatCode="0.00&quot; years&quot;"/>
  </numFmts>
  <fonts count="21">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D700"/>
      <sz val="12"/>
    </font>
    <font>
      <name val="Calibri"/>
      <sz val="11"/>
    </font>
    <font>
      <name val="Calibri"/>
      <color rgb="00999999"/>
      <sz val="9"/>
    </font>
    <font>
      <name val="Calibri"/>
      <b val="1"/>
      <color rgb="00FFFFFF"/>
      <sz val="11"/>
    </font>
    <font>
      <name val="Calibri"/>
      <b val="1"/>
      <sz val="11"/>
    </font>
    <font>
      <name val="Calibri"/>
      <b val="1"/>
      <color rgb="00FFD700"/>
      <sz val="13"/>
    </font>
    <font>
      <name val="Calibri"/>
      <b val="1"/>
      <color rgb="001565C0"/>
      <sz val="11"/>
    </font>
    <font>
      <b val="1"/>
      <color rgb="009C6500"/>
      <sz val="9"/>
    </font>
    <font>
      <b val="1"/>
      <sz val="14"/>
    </font>
    <font>
      <sz val="9"/>
    </font>
    <font>
      <b val="1"/>
    </font>
    <font>
      <i val="1"/>
      <sz val="9"/>
    </font>
    <font>
      <b val="1"/>
      <color rgb="00FFFFFF"/>
      <sz val="10"/>
    </font>
    <font>
      <sz val="8"/>
    </font>
    <font>
      <b val="1"/>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
      <patternFill patternType="solid">
        <f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1" pivotButton="0" quotePrefix="0" xfId="0"/>
    <xf numFmtId="0" fontId="7" fillId="2" borderId="1" pivotButton="0" quotePrefix="0" xfId="0"/>
    <xf numFmtId="0" fontId="8" fillId="0" borderId="0" pivotButton="0" quotePrefix="0" xfId="0"/>
    <xf numFmtId="0" fontId="9" fillId="3" borderId="1" applyAlignment="1" pivotButton="0" quotePrefix="0" xfId="0">
      <alignment horizontal="center" vertical="center" wrapText="1"/>
    </xf>
    <xf numFmtId="164" fontId="7" fillId="2" borderId="1" applyAlignment="1" pivotButton="0" quotePrefix="0" xfId="0">
      <alignment horizontal="right" vertical="center"/>
    </xf>
    <xf numFmtId="0" fontId="10" fillId="0" borderId="1" pivotButton="0" quotePrefix="0" xfId="0"/>
    <xf numFmtId="164" fontId="7" fillId="0" borderId="1" applyAlignment="1" pivotButton="0" quotePrefix="0" xfId="0">
      <alignment horizontal="right" vertical="center"/>
    </xf>
    <xf numFmtId="165" fontId="11" fillId="0" borderId="1" applyAlignment="1" pivotButton="0" quotePrefix="0" xfId="0">
      <alignment horizontal="right" vertical="center"/>
    </xf>
    <xf numFmtId="164" fontId="12" fillId="0" borderId="1" applyAlignment="1" pivotButton="0" quotePrefix="0" xfId="0">
      <alignment horizontal="right" vertical="center"/>
    </xf>
    <xf numFmtId="166" fontId="7" fillId="2" borderId="1" applyAlignment="1" pivotButton="0" quotePrefix="0" xfId="0">
      <alignment horizontal="right" vertical="center"/>
    </xf>
    <xf numFmtId="0" fontId="7" fillId="2" borderId="1" applyAlignment="1" pivotButton="0" quotePrefix="0" xfId="0">
      <alignment horizontal="center" vertical="center" wrapText="1"/>
    </xf>
    <xf numFmtId="0" fontId="7" fillId="0" borderId="1" applyAlignment="1" pivotButton="0" quotePrefix="0" xfId="0">
      <alignment horizontal="center" vertical="center" wrapText="1"/>
    </xf>
    <xf numFmtId="164" fontId="10" fillId="0" borderId="1" applyAlignment="1" pivotButton="0" quotePrefix="0" xfId="0">
      <alignment horizontal="right" vertical="center"/>
    </xf>
    <xf numFmtId="0" fontId="4" fillId="0" borderId="0" applyAlignment="1" pivotButton="0" quotePrefix="0" xfId="0">
      <alignment horizontal="left" vertical="top"/>
    </xf>
    <xf numFmtId="0" fontId="13" fillId="0" borderId="0" applyAlignment="1" pivotButton="0" quotePrefix="0" xfId="0">
      <alignment horizontal="left"/>
    </xf>
    <xf numFmtId="0" fontId="7" fillId="2" borderId="1" applyAlignment="1" applyProtection="1" pivotButton="0" quotePrefix="0" xfId="0">
      <alignment horizontal="left"/>
      <protection locked="0" hidden="0"/>
    </xf>
    <xf numFmtId="3" fontId="7" fillId="2" borderId="1" applyAlignment="1" applyProtection="1" pivotButton="0" quotePrefix="0" xfId="0">
      <alignment horizontal="left"/>
      <protection locked="0" hidden="0"/>
    </xf>
    <xf numFmtId="167" fontId="7" fillId="2" borderId="1" applyAlignment="1" applyProtection="1" pivotButton="0" quotePrefix="0" xfId="0">
      <alignment horizontal="left"/>
      <protection locked="0" hidden="0"/>
    </xf>
    <xf numFmtId="164" fontId="7" fillId="2" borderId="1" applyAlignment="1" applyProtection="1" pivotButton="0" quotePrefix="0" xfId="0">
      <alignment horizontal="left"/>
      <protection locked="0" hidden="0"/>
    </xf>
    <xf numFmtId="164" fontId="7" fillId="0" borderId="1" applyAlignment="1" pivotButton="0" quotePrefix="0" xfId="0">
      <alignment horizontal="left"/>
    </xf>
    <xf numFmtId="168" fontId="7" fillId="0" borderId="1" applyAlignment="1" pivotButton="0" quotePrefix="0" xfId="0">
      <alignment horizontal="left"/>
    </xf>
    <xf numFmtId="169" fontId="7" fillId="0" borderId="1" applyAlignment="1" pivotButton="0" quotePrefix="0" xfId="0">
      <alignment horizontal="left"/>
    </xf>
    <xf numFmtId="0" fontId="17" fillId="0" borderId="0" pivotButton="0" quotePrefix="0" xfId="0"/>
    <xf numFmtId="164" fontId="7" fillId="4" borderId="1" applyAlignment="1" applyProtection="1" pivotButton="0" quotePrefix="0" xfId="0">
      <alignment horizontal="right" vertical="center"/>
      <protection locked="0" hidden="0"/>
    </xf>
    <xf numFmtId="0" fontId="7" fillId="0" borderId="1" applyAlignment="1" pivotButton="0" quotePrefix="0" xfId="0">
      <alignment horizontal="right" vertical="center"/>
    </xf>
    <xf numFmtId="0" fontId="20" fillId="0" borderId="1" pivotButton="0" quotePrefix="0" xfId="0"/>
    <xf numFmtId="0" fontId="18" fillId="5" borderId="1" applyAlignment="1" pivotButton="0" quotePrefix="0" xfId="0">
      <alignment horizontal="center"/>
    </xf>
    <xf numFmtId="0" fontId="18" fillId="5" borderId="0" applyAlignment="1" pivotButton="0" quotePrefix="0" xfId="0">
      <alignment horizontal="center"/>
    </xf>
    <xf numFmtId="164" fontId="0" fillId="0" borderId="0" pivotButton="0" quotePrefix="0" xfId="0"/>
    <xf numFmtId="165" fontId="16" fillId="0" borderId="0" pivotButton="0" quotePrefix="0" xfId="0"/>
    <xf numFmtId="164" fontId="16" fillId="0" borderId="0" pivotButton="0" quotePrefix="0" xfId="0"/>
    <xf numFmtId="169" fontId="16" fillId="0" borderId="0" pivotButton="0" quotePrefix="0" xfId="0"/>
    <xf numFmtId="165" fontId="0" fillId="4" borderId="0" applyProtection="1" pivotButton="0" quotePrefix="0" xfId="0">
      <protection locked="0" hidden="0"/>
    </xf>
    <xf numFmtId="0" fontId="19" fillId="0" borderId="0" pivotButton="0" quotePrefix="0" xfId="0"/>
    <xf numFmtId="0" fontId="14" fillId="0" borderId="0" pivotButton="0" quotePrefix="0" xfId="0"/>
    <xf numFmtId="0" fontId="15" fillId="0" borderId="0" pivotButton="0" quotePrefix="0" xfId="0"/>
    <xf numFmtId="0" fontId="16" fillId="0" borderId="0" pivotButton="0" quotePrefix="0" xfId="0"/>
    <xf numFmtId="164" fontId="0" fillId="4" borderId="0" applyProtection="1" pivotButton="0" quotePrefix="0" xfId="0">
      <protection locked="0" hidden="0"/>
    </xf>
    <xf numFmtId="3" fontId="0" fillId="4" borderId="0" applyProtection="1" pivotButton="0" quotePrefix="0" xfId="0">
      <protection locked="0" hidden="0"/>
    </xf>
    <xf numFmtId="0" fontId="18" fillId="5" borderId="0" applyAlignment="1" pivotButton="0" quotePrefix="0" xfId="0">
      <alignment horizontal="center" wrapText="1"/>
    </xf>
    <xf numFmtId="0" fontId="9" fillId="0" borderId="1" applyAlignment="1" pivotButton="0" quotePrefix="0" xfId="0">
      <alignment horizontal="center" vertical="center" wrapText="1"/>
    </xf>
    <xf numFmtId="0" fontId="18" fillId="5" borderId="1" applyAlignment="1" pivotButton="0" quotePrefix="0" xfId="0">
      <alignment horizontal="center" wrapText="1"/>
    </xf>
    <xf numFmtId="165" fontId="7" fillId="0" borderId="1" applyAlignment="1" pivotButton="0" quotePrefix="0" xfId="0">
      <alignment horizontal="center" vertical="center" wrapText="1"/>
    </xf>
    <xf numFmtId="0" fontId="7" fillId="0" borderId="1" applyAlignment="1" pivotButton="0" quotePrefix="0" xfId="0">
      <alignment horizontal="center"/>
    </xf>
    <xf numFmtId="165" fontId="0" fillId="0" borderId="0" pivotButton="0" quotePrefix="0" xfId="0"/>
    <xf numFmtId="170" fontId="7" fillId="0" borderId="1" applyAlignment="1" pivotButton="0" quotePrefix="0" xfId="0">
      <alignment horizontal="center" vertical="center" wrapText="1"/>
    </xf>
    <xf numFmtId="170" fontId="0" fillId="0" borderId="0" pivotButton="0" quotePrefix="0" xfId="0"/>
    <xf numFmtId="0" fontId="17" fillId="0" borderId="0" applyAlignment="1" pivotButton="0" quotePrefix="0" xfId="0">
      <alignment vertical="top" wrapText="1"/>
    </xf>
    <xf numFmtId="164" fontId="7" fillId="2" borderId="1" applyAlignment="1" applyProtection="1" pivotButton="0" quotePrefix="0" xfId="0">
      <alignment horizontal="right" vertical="center"/>
      <protection locked="0" hidden="0"/>
    </xf>
    <xf numFmtId="0" fontId="7" fillId="2" borderId="1" applyProtection="1" pivotButton="0" quotePrefix="0" xfId="0">
      <protection locked="0" hidden="0"/>
    </xf>
    <xf numFmtId="0" fontId="4" fillId="0" borderId="0" applyAlignment="1" pivotButton="0" quotePrefix="0" xfId="0">
      <alignment horizontal="left" vertical="top" wrapText="1"/>
    </xf>
    <xf numFmtId="14" fontId="7" fillId="2" borderId="1" applyAlignment="1" applyProtection="1" pivotButton="0" quotePrefix="0" xfId="0">
      <alignment horizontal="left"/>
      <protection locked="0" hidden="0"/>
    </xf>
    <xf numFmtId="4" fontId="7" fillId="2" borderId="1" applyAlignment="1" applyProtection="1" pivotButton="0" quotePrefix="0" xfId="0">
      <alignment horizontal="left"/>
      <protection locked="0" hidden="0"/>
    </xf>
    <xf numFmtId="4" fontId="7" fillId="0" borderId="1" applyAlignment="1" pivotButton="0" quotePrefix="0" xfId="0">
      <alignment horizontal="left"/>
    </xf>
    <xf numFmtId="171" fontId="7" fillId="0" borderId="1" applyAlignment="1" pivotButton="0" quotePrefix="0" xfId="0">
      <alignment horizontal="left"/>
    </xf>
    <xf numFmtId="172" fontId="7" fillId="0" borderId="1" applyAlignment="1" pivotButton="0" quotePrefix="0" xfId="0">
      <alignment horizontal="left"/>
    </xf>
    <xf numFmtId="4" fontId="7" fillId="4" borderId="1" applyAlignment="1" applyProtection="1" pivotButton="0" quotePrefix="0" xfId="0">
      <alignment horizontal="right" vertical="center"/>
      <protection locked="0" hidden="0"/>
    </xf>
    <xf numFmtId="4" fontId="7" fillId="0" borderId="1" applyAlignment="1" pivotButton="0" quotePrefix="0" xfId="0">
      <alignment horizontal="right" vertical="center"/>
    </xf>
    <xf numFmtId="4" fontId="12" fillId="0" borderId="1" applyAlignment="1" pivotButton="0" quotePrefix="0" xfId="0">
      <alignment horizontal="right" vertical="center"/>
    </xf>
    <xf numFmtId="4" fontId="0" fillId="0" borderId="0" pivotButton="0" quotePrefix="0" xfId="0"/>
    <xf numFmtId="4" fontId="16" fillId="0" borderId="0" pivotButton="0" quotePrefix="0" xfId="0"/>
    <xf numFmtId="172" fontId="16" fillId="0" borderId="0" pivotButton="0" quotePrefix="0" xfId="0"/>
    <xf numFmtId="4" fontId="0" fillId="4" borderId="0" applyProtection="1" pivotButton="0" quotePrefix="0" xfId="0">
      <protection locked="0" hidden="0"/>
    </xf>
    <xf numFmtId="0" fontId="17" fillId="0" borderId="0" applyAlignment="1" pivotButton="0" quotePrefix="0" xfId="0">
      <alignment wrapText="1"/>
    </xf>
    <xf numFmtId="4" fontId="7" fillId="2" borderId="1" applyAlignment="1" applyProtection="1" pivotButton="0" quotePrefix="0" xfId="0">
      <alignment horizontal="right" vertical="center"/>
      <protection locked="0" hidden="0"/>
    </xf>
    <xf numFmtId="4" fontId="10" fillId="0" borderId="1" applyAlignment="1" pivotButton="0" quotePrefix="0" xfId="0">
      <alignment horizontal="right" vertical="center"/>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2"/>
  <chart>
    <title>
      <tx>
        <rich>
          <a:bodyPr xmlns:a="http://schemas.openxmlformats.org/drawingml/2006/main"/>
          <a:p xmlns:a="http://schemas.openxmlformats.org/drawingml/2006/main">
            <a:pPr>
              <a:defRPr/>
            </a:pPr>
            <a:r>
              <a:t>EBITDA and operating cash flow (years 1-5)</a:t>
            </a:r>
          </a:p>
        </rich>
      </tx>
    </title>
    <plotArea>
      <lineChart>
        <grouping val="standard"/>
        <ser>
          <idx val="0"/>
          <order val="0"/>
          <tx>
            <strRef>
              <f>Projections!A11</f>
            </strRef>
          </tx>
          <spPr>
            <a:ln xmlns:a="http://schemas.openxmlformats.org/drawingml/2006/main">
              <a:prstDash val="solid"/>
            </a:ln>
          </spPr>
          <marker>
            <symbol val="none"/>
            <spPr>
              <a:ln xmlns:a="http://schemas.openxmlformats.org/drawingml/2006/main">
                <a:prstDash val="solid"/>
              </a:ln>
            </spPr>
          </marker>
          <cat>
            <numRef>
              <f>Projections!$B$3:$F$3</f>
            </numRef>
          </cat>
          <val>
            <numRef>
              <f>Projections!$B$11:$F$11</f>
            </numRef>
          </val>
        </ser>
        <ser>
          <idx val="1"/>
          <order val="1"/>
          <tx>
            <strRef>
              <f>Projections!A18</f>
            </strRef>
          </tx>
          <spPr>
            <a:ln xmlns:a="http://schemas.openxmlformats.org/drawingml/2006/main">
              <a:prstDash val="solid"/>
            </a:ln>
          </spPr>
          <marker>
            <symbol val="none"/>
            <spPr>
              <a:ln xmlns:a="http://schemas.openxmlformats.org/drawingml/2006/main">
                <a:prstDash val="solid"/>
              </a:ln>
            </spPr>
          </marker>
          <cat>
            <numRef>
              <f>Projections!$B$3:$F$3</f>
            </numRef>
          </cat>
          <val>
            <numRef>
              <f>Projections!$B$18:$F$18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A2:B26"/>
  <sheetViews>
    <sheetView workbookViewId="0">
      <selection activeCell="A1" sqref="A1"/>
    </sheetView>
  </sheetViews>
  <sheetFormatPr baseColWidth="8" defaultRowHeight="15"/>
  <cols>
    <col width="3" customWidth="1" min="1" max="1"/>
    <col width="100" customWidth="1" min="2" max="2"/>
  </cols>
  <sheetData>
    <row r="2">
      <c r="B2" s="1" t="inlineStr">
        <is>
          <t>07 · Restaurant Loan Proposal: Lender &amp; Investor Summary</t>
        </is>
      </c>
    </row>
    <row r="4">
      <c r="B4" s="2" t="inlineStr">
        <is>
          <t>AI Chef Pro · aichef.pro — Restaurant Financial Plan Kit Pro</t>
        </is>
      </c>
    </row>
    <row r="6">
      <c r="B6" s="3" t="inlineStr">
        <is>
          <t>How to use this template:</t>
        </is>
      </c>
    </row>
    <row r="7">
      <c r="B7" s="4" t="inlineStr">
        <is>
          <t>▸ Fill in each tab with your project's data.</t>
        </is>
      </c>
    </row>
    <row r="8">
      <c r="B8" s="4" t="inlineStr">
        <is>
          <t>▸ The professional format is ready to hand directly to your lender or investors.</t>
        </is>
      </c>
    </row>
    <row r="9">
      <c r="B9" s="4" t="inlineStr">
        <is>
          <t>▸ IRR, NPV and payback period calculate themselves in "Projections" on the project's FREE CASH FLOW (before debt and interest) and the investment from "Executive Summary"; the ability to repay the loan is measured by the DSCR in "Ratios". The discount rate is yours (cell C27).</t>
        </is>
      </c>
    </row>
    <row r="10">
      <c r="B10" s="4" t="inlineStr">
        <is>
          <t>▸ Includes a section for collateral and personal guarantees.</t>
        </is>
      </c>
    </row>
    <row r="12">
      <c r="B12" s="3" t="inlineStr">
        <is>
          <t>Tabs:</t>
        </is>
      </c>
    </row>
    <row r="13">
      <c r="B13" s="4" t="inlineStr">
        <is>
          <t>▸ Executive Summary: key project data.</t>
        </is>
      </c>
    </row>
    <row r="14">
      <c r="B14" s="4" t="inlineStr">
        <is>
          <t>▸ Projections: P&amp;L + summary cash flow, 5 years.</t>
        </is>
      </c>
    </row>
    <row r="15">
      <c r="B15" s="4" t="inlineStr">
        <is>
          <t>▸ Loan Schedule: loan amortization schedule. It feeds the interest in the P&amp;L and the payment in the DSCR. Copy the payment into file 03 "Cash Flow Forecast" yourself ("Monthly Cash Flow" tab, row 23, divided by 12).</t>
        </is>
      </c>
    </row>
    <row r="16">
      <c r="B16" s="4" t="inlineStr">
        <is>
          <t>▸ Ratios: solvency and profitability indicators. The DSCR at full payment compares the project's year 1 free cash flow ("Projections", row 17) with the full annual loan payment ("Loan Schedule", "ANNUAL PAYMENT"), even during an interest-only period: it measures whether the business covers the payment.</t>
        </is>
      </c>
    </row>
    <row r="17">
      <c r="B17" s="4" t="inlineStr">
        <is>
          <t>▸ Collateral: collateral and guarantees offered.</t>
        </is>
      </c>
    </row>
    <row r="18">
      <c r="B18" s="4" t="n"/>
    </row>
    <row r="20">
      <c r="B20" s="4" t="inlineStr">
        <is>
          <t>▸ Depreciation is copied from file 04 "Startup Costs &amp; Capex Budget", "Summary" tab, "Annual depreciation" column.</t>
        </is>
      </c>
    </row>
    <row r="22">
      <c r="B22" s="20" t="inlineStr">
        <is>
          <t>All figures EXCLUDE sales tax; only file 03 "Cash Flow Forecast" includes it, because it is cash.</t>
        </is>
      </c>
    </row>
    <row r="23">
      <c r="B23" s="20" t="inlineStr">
        <is>
          <t>To edit a cell that is not green: Review → Unprotect Sheet (there is no password).</t>
        </is>
      </c>
    </row>
    <row r="24">
      <c r="B24" s="20" t="inlineStr">
        <is>
          <t>Designed by John Guerrero — chef and restaurant consultant since 2010, in the kitchen since age 17 · johnguerrero.es</t>
        </is>
      </c>
    </row>
    <row r="25">
      <c r="B25" s="20" t="inlineStr">
        <is>
          <t>Version 2.0 · October 2026 · aichef.pro/en/digital-products/restaurant-financial-plan-templates · info@aichef.pro</t>
        </is>
      </c>
    </row>
    <row r="26" ht="30" customHeight="1">
      <c r="B26" s="57" t="inlineStr">
        <is>
          <t>Planning tool, not financial, tax or legal advice. Requirements vary by state and city — check with your accountant and local authorities.</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C2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40" customWidth="1" min="3" max="3"/>
  </cols>
  <sheetData>
    <row r="1">
      <c r="B1" s="5" t="inlineStr">
        <is>
          <t>Executive Summary of the Project</t>
        </is>
      </c>
    </row>
    <row r="2">
      <c r="B2" s="2" t="inlineStr">
        <is>
          <t>AI Chef Pro · aichef.pro — Restaurant Financial Plan Kit Pro</t>
        </is>
      </c>
    </row>
    <row r="3">
      <c r="B3" s="21" t="inlineStr">
        <is>
          <t>SAMPLE VALUES — replace them with your own</t>
        </is>
      </c>
    </row>
    <row r="4">
      <c r="B4" s="6" t="inlineStr">
        <is>
          <t>PROJECT DETAILS</t>
        </is>
      </c>
    </row>
    <row r="5">
      <c r="B5" s="7" t="inlineStr">
        <is>
          <t>Restaurant name</t>
        </is>
      </c>
      <c r="C5" s="22" t="n"/>
    </row>
    <row r="6">
      <c r="B6" s="7" t="inlineStr">
        <is>
          <t>Concept / Cuisine type</t>
        </is>
      </c>
      <c r="C6" s="22" t="n"/>
    </row>
    <row r="7">
      <c r="B7" s="7" t="inlineStr">
        <is>
          <t>Location</t>
        </is>
      </c>
      <c r="C7" s="22" t="n"/>
    </row>
    <row r="8">
      <c r="B8" s="7" t="inlineStr">
        <is>
          <t>Total area (sq ft)</t>
        </is>
      </c>
      <c r="C8" s="23" t="n"/>
    </row>
    <row r="9">
      <c r="B9" s="7" t="inlineStr">
        <is>
          <t>Seating capacity (covers)</t>
        </is>
      </c>
      <c r="C9" s="23" t="n"/>
    </row>
    <row r="10">
      <c r="B10" s="7" t="inlineStr">
        <is>
          <t>Planned opening date</t>
        </is>
      </c>
      <c r="C10" s="58" t="n"/>
    </row>
    <row r="12">
      <c r="B12" s="6" t="inlineStr">
        <is>
          <t>KEY FINANCIAL DATA</t>
        </is>
      </c>
    </row>
    <row r="13">
      <c r="B13" s="7" t="inlineStr">
        <is>
          <t>Total investment required</t>
        </is>
      </c>
      <c r="C13" s="59" t="n"/>
    </row>
    <row r="14">
      <c r="B14" s="7" t="inlineStr">
        <is>
          <t>Owner's equity contributed</t>
        </is>
      </c>
      <c r="C14" s="59" t="n"/>
    </row>
    <row r="15">
      <c r="B15" s="7" t="inlineStr">
        <is>
          <t>Financing requested</t>
        </is>
      </c>
      <c r="C15" s="60">
        <f>'Loan Schedule'!$C$4</f>
        <v>0.0</v>
      </c>
    </row>
    <row r="16">
      <c r="B16" s="7" t="inlineStr">
        <is>
          <t>Requested repayment term (years)</t>
        </is>
      </c>
      <c r="C16" s="61" t="str">
        <f>IF('Loan Schedule'!$C$4=0,"—",'Loan Schedule'!$C$6)</f>
        <v>—</v>
      </c>
    </row>
    <row r="17">
      <c r="B17" s="7" t="inlineStr">
        <is>
          <t>Projected Year 1 revenue (excl. sales tax)</t>
        </is>
      </c>
      <c r="C17" s="60">
        <f>Projections!$B$4</f>
        <v>0.0</v>
      </c>
    </row>
    <row r="18">
      <c r="B18" s="7" t="inlineStr">
        <is>
          <t>Projected Year 1 EBITDA</t>
        </is>
      </c>
      <c r="C18" s="60">
        <f>Projections!$B$11</f>
        <v>0.0</v>
      </c>
    </row>
    <row r="19">
      <c r="B19" s="7" t="inlineStr">
        <is>
          <t>Estimated payback period</t>
        </is>
      </c>
      <c r="C19" s="62" t="str">
        <f>Projections!$B$26</f>
        <v>—</v>
      </c>
    </row>
    <row r="21">
      <c r="B21" s="6" t="inlineStr">
        <is>
          <t>FOUNDING TEAM</t>
        </is>
      </c>
    </row>
    <row r="22">
      <c r="B22" s="7" t="inlineStr">
        <is>
          <t>Owner / founder name</t>
        </is>
      </c>
      <c r="C22" s="22" t="n"/>
    </row>
    <row r="23">
      <c r="B23" s="7" t="inlineStr">
        <is>
          <t>Restaurant industry experience</t>
        </is>
      </c>
      <c r="C23" s="22" t="n"/>
    </row>
    <row r="24">
      <c r="B24" s="7" t="inlineStr">
        <is>
          <t>Education and training</t>
        </is>
      </c>
      <c r="C24" s="22" t="n"/>
    </row>
    <row r="25">
      <c r="B25" s="7" t="inlineStr">
        <is>
          <t>Other partners</t>
        </is>
      </c>
      <c r="C25" s="22" t="n"/>
    </row>
    <row r="27">
      <c r="A27" s="9" t="inlineStr">
        <is>
          <t>© 2026 AI Chef Pro · aichef.pro</t>
        </is>
      </c>
    </row>
    <row r="29">
      <c r="B29" s="29" t="inlineStr">
        <is>
          <t>Financing, term, revenue, EBITDA and payback period are calculated from "Loan Schedule" and "Projections": you never type them twice.</t>
        </is>
      </c>
    </row>
  </sheetData>
  <sheetProtection selectLockedCells="0" selectUnlockedCells="0" sheet="1" objects="0" insertRows="0" insertHyperlinks="1" autoFilter="1" scenarios="0" formatColumns="0" deleteColumns="1" insertColumns="1" pivotTables="1" deleteRows="1" formatCells="1" formatRows="0" sort="0"/>
  <mergeCells count="2">
    <mergeCell ref="B1:C1"/>
    <mergeCell ref="A27:C27"/>
  </mergeCells>
  <dataValidations count="1">
    <dataValidation sqref="C8 C9 C13 C1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G45"/>
  <sheetViews>
    <sheetView workbookViewId="0">
      <pane ySplit="3" topLeftCell="A4"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30" customWidth="1" min="7" max="7"/>
  </cols>
  <sheetData>
    <row r="1">
      <c r="A1" s="5" t="inlineStr">
        <is>
          <t>Financial Projections — 5 Years</t>
        </is>
      </c>
    </row>
    <row r="3">
      <c r="A3" s="10" t="inlineStr">
        <is>
          <t>Line item</t>
        </is>
      </c>
      <c r="B3" s="10" t="inlineStr">
        <is>
          <t>Year 1</t>
        </is>
      </c>
      <c r="C3" s="10" t="inlineStr">
        <is>
          <t>Year 2</t>
        </is>
      </c>
      <c r="D3" s="10" t="inlineStr">
        <is>
          <t>Year 3</t>
        </is>
      </c>
      <c r="E3" s="10" t="inlineStr">
        <is>
          <t>Year 4</t>
        </is>
      </c>
      <c r="F3" s="10" t="inlineStr">
        <is>
          <t>Year 5</t>
        </is>
      </c>
    </row>
    <row r="4">
      <c r="A4" s="7" t="inlineStr">
        <is>
          <t>Revenue (excl. sales tax)</t>
        </is>
      </c>
      <c r="B4" s="63" t="n">
        <v>0</v>
      </c>
      <c r="C4" s="63" t="n">
        <v>0</v>
      </c>
      <c r="D4" s="63" t="n">
        <v>0</v>
      </c>
      <c r="E4" s="63" t="n">
        <v>0</v>
      </c>
      <c r="F4" s="63" t="n">
        <v>0</v>
      </c>
    </row>
    <row r="5">
      <c r="A5" s="7" t="inlineStr">
        <is>
          <t>Food cost</t>
        </is>
      </c>
      <c r="B5" s="63" t="n">
        <v>0</v>
      </c>
      <c r="C5" s="63" t="n">
        <v>0</v>
      </c>
      <c r="D5" s="63" t="n">
        <v>0</v>
      </c>
      <c r="E5" s="63" t="n">
        <v>0</v>
      </c>
      <c r="F5" s="63" t="n">
        <v>0</v>
      </c>
    </row>
    <row r="6">
      <c r="A6" s="7" t="inlineStr">
        <is>
          <t>Beverage cost</t>
        </is>
      </c>
      <c r="B6" s="63" t="n">
        <v>0</v>
      </c>
      <c r="C6" s="63" t="n">
        <v>0</v>
      </c>
      <c r="D6" s="63" t="n">
        <v>0</v>
      </c>
      <c r="E6" s="63" t="n">
        <v>0</v>
      </c>
      <c r="F6" s="63" t="n">
        <v>0</v>
      </c>
    </row>
    <row r="7">
      <c r="A7" s="7" t="inlineStr">
        <is>
          <t>Labor</t>
        </is>
      </c>
      <c r="B7" s="63" t="n">
        <v>0</v>
      </c>
      <c r="C7" s="63" t="n">
        <v>0</v>
      </c>
      <c r="D7" s="63" t="n">
        <v>0</v>
      </c>
      <c r="E7" s="63" t="n">
        <v>0</v>
      </c>
      <c r="F7" s="63" t="n">
        <v>0</v>
      </c>
    </row>
    <row r="8">
      <c r="A8" s="7" t="inlineStr">
        <is>
          <t>Delivery platform fees</t>
        </is>
      </c>
      <c r="B8" s="63" t="n">
        <v>0</v>
      </c>
      <c r="C8" s="63" t="n">
        <v>0</v>
      </c>
      <c r="D8" s="63" t="n">
        <v>0</v>
      </c>
      <c r="E8" s="63" t="n">
        <v>0</v>
      </c>
      <c r="F8" s="63" t="n">
        <v>0</v>
      </c>
    </row>
    <row r="9">
      <c r="A9" s="7" t="inlineStr">
        <is>
          <t>Other operating expenses</t>
        </is>
      </c>
      <c r="B9" s="63" t="n">
        <v>0</v>
      </c>
      <c r="C9" s="63" t="n">
        <v>0</v>
      </c>
      <c r="D9" s="63" t="n">
        <v>0</v>
      </c>
      <c r="E9" s="63" t="n">
        <v>0</v>
      </c>
      <c r="F9" s="63" t="n">
        <v>0</v>
      </c>
    </row>
    <row r="10">
      <c r="A10" s="7" t="inlineStr">
        <is>
          <t>TOTAL EXPENSES</t>
        </is>
      </c>
      <c r="B10" s="64">
        <f>SUM(B5:B9)</f>
        <v>0.0</v>
      </c>
      <c r="C10" s="64">
        <f>SUM(C5:C9)</f>
        <v>0.0</v>
      </c>
      <c r="D10" s="64">
        <f>SUM(D5:D9)</f>
        <v>0.0</v>
      </c>
      <c r="E10" s="64">
        <f>SUM(E5:E9)</f>
        <v>0.0</v>
      </c>
      <c r="F10" s="64">
        <f>SUM(F5:F9)</f>
        <v>0.0</v>
      </c>
    </row>
    <row r="11">
      <c r="A11" s="7" t="inlineStr">
        <is>
          <t>EBITDA</t>
        </is>
      </c>
      <c r="B11" s="64">
        <f>B4-B10</f>
        <v>0.0</v>
      </c>
      <c r="C11" s="64">
        <f>C4-C10</f>
        <v>0.0</v>
      </c>
      <c r="D11" s="64">
        <f>D4-D10</f>
        <v>0.0</v>
      </c>
      <c r="E11" s="64">
        <f>E4-E10</f>
        <v>0.0</v>
      </c>
      <c r="F11" s="64">
        <f>F4-F10</f>
        <v>0.0</v>
      </c>
    </row>
    <row r="12">
      <c r="A12" s="7" t="inlineStr">
        <is>
          <t>Depreciation</t>
        </is>
      </c>
      <c r="B12" s="63" t="n">
        <v>0</v>
      </c>
      <c r="C12" s="63" t="n">
        <v>0</v>
      </c>
      <c r="D12" s="63" t="n">
        <v>0</v>
      </c>
      <c r="E12" s="63" t="n">
        <v>0</v>
      </c>
      <c r="F12" s="63" t="n">
        <v>0</v>
      </c>
      <c r="G12" s="29" t="inlineStr">
        <is>
          <t>Copy it from file 04 "Startup Costs &amp; Capex Budget", "Summary" tab: "Annual depreciation" column, "TOTAL STARTUP COSTS (CAPEX)" row.</t>
        </is>
      </c>
    </row>
    <row r="13">
      <c r="A13" s="7" t="inlineStr">
        <is>
          <t>Interest on debt</t>
        </is>
      </c>
      <c r="B13" s="64">
        <f>'Loan Schedule'!$D$12</f>
        <v>0.0</v>
      </c>
      <c r="C13" s="64">
        <f>'Loan Schedule'!$D$13</f>
        <v>0.0</v>
      </c>
      <c r="D13" s="64">
        <f>'Loan Schedule'!$D$14</f>
        <v>0.0</v>
      </c>
      <c r="E13" s="64">
        <f>'Loan Schedule'!$D$15</f>
        <v>0.0</v>
      </c>
      <c r="F13" s="64">
        <f>'Loan Schedule'!$D$16</f>
        <v>0.0</v>
      </c>
    </row>
    <row r="14">
      <c r="A14" s="7" t="inlineStr">
        <is>
          <t>EBT (Earnings Before Tax)</t>
        </is>
      </c>
      <c r="B14" s="64">
        <f>B11-B12-B13</f>
        <v>0.0</v>
      </c>
      <c r="C14" s="64">
        <f>C11-C12-C13</f>
        <v>0.0</v>
      </c>
      <c r="D14" s="64">
        <f>D11-D12-D13</f>
        <v>0.0</v>
      </c>
      <c r="E14" s="64">
        <f>E11-E12-E13</f>
        <v>0.0</v>
      </c>
      <c r="F14" s="64">
        <f>F11-F12-F13</f>
        <v>0.0</v>
      </c>
    </row>
    <row r="15">
      <c r="A15" s="7" t="inlineStr">
        <is>
          <t>Income tax</t>
        </is>
      </c>
      <c r="B15" s="64">
        <f>IF(B14&gt;0,B14*$C$29,0)</f>
        <v>0.0</v>
      </c>
      <c r="C15" s="64">
        <f>IF(C14&gt;0,C14*$C$29,0)</f>
        <v>0.0</v>
      </c>
      <c r="D15" s="64">
        <f>IF(D14&gt;0,D14*$C$29,0)</f>
        <v>0.0</v>
      </c>
      <c r="E15" s="64">
        <f>IF(E14&gt;0,E14*$C$29,0)</f>
        <v>0.0</v>
      </c>
      <c r="F15" s="64">
        <f>IF(F14&gt;0,F14*$C$29,0)</f>
        <v>0.0</v>
      </c>
    </row>
    <row r="16">
      <c r="A16" s="7" t="inlineStr">
        <is>
          <t>NET INCOME</t>
        </is>
      </c>
      <c r="B16" s="64">
        <f>B14-B15</f>
        <v>0.0</v>
      </c>
      <c r="C16" s="64">
        <f>C14-C15</f>
        <v>0.0</v>
      </c>
      <c r="D16" s="64">
        <f>D14-D15</f>
        <v>0.0</v>
      </c>
      <c r="E16" s="64">
        <f>E14-E15</f>
        <v>0.0</v>
      </c>
      <c r="F16" s="64">
        <f>F14-F15</f>
        <v>0.0</v>
      </c>
    </row>
    <row r="17">
      <c r="A17" s="7" t="inlineStr">
        <is>
          <t>Project free cash flow (no debt)</t>
        </is>
      </c>
      <c r="B17" s="64">
        <f>B11-MAX(0,(B11-B12)*$C$29)</f>
        <v>0.0</v>
      </c>
      <c r="C17" s="64">
        <f>C11-MAX(0,(C11-C12)*$C$29)</f>
        <v>0.0</v>
      </c>
      <c r="D17" s="64">
        <f>D11-MAX(0,(D11-D12)*$C$29)</f>
        <v>0.0</v>
      </c>
      <c r="E17" s="64">
        <f>E11-MAX(0,(E11-E12)*$C$29)</f>
        <v>0.0</v>
      </c>
      <c r="F17" s="64">
        <f>F11-MAX(0,(F11-F12)*$C$29)</f>
        <v>0.0</v>
      </c>
      <c r="G17" s="29" t="inlineStr">
        <is>
          <t>EBITDA minus income tax computed WITHOUT interest. This row feeds the IRR, NPV and payback below.</t>
        </is>
      </c>
    </row>
    <row r="18">
      <c r="A18" s="7" t="inlineStr">
        <is>
          <t>OPERATING CASH FLOW</t>
        </is>
      </c>
      <c r="B18" s="64">
        <f>B16+B12</f>
        <v>0.0</v>
      </c>
      <c r="C18" s="64">
        <f>C16+C12</f>
        <v>0.0</v>
      </c>
      <c r="D18" s="64">
        <f>D16+D12</f>
        <v>0.0</v>
      </c>
      <c r="E18" s="64">
        <f>E16+E12</f>
        <v>0.0</v>
      </c>
      <c r="F18" s="64">
        <f>F16+F12</f>
        <v>0.0</v>
      </c>
    </row>
    <row r="19">
      <c r="A19" s="7" t="n"/>
      <c r="B19" s="31" t="n"/>
    </row>
    <row r="20">
      <c r="A20" s="32" t="inlineStr">
        <is>
          <t>PROJECT CASH FLOWS AND RETURN METRICS</t>
        </is>
      </c>
      <c r="B20" s="9" t="n"/>
    </row>
    <row r="21">
      <c r="A21" s="33" t="inlineStr">
        <is>
          <t>Line item</t>
        </is>
      </c>
      <c r="B21" s="33" t="inlineStr">
        <is>
          <t>Year 0</t>
        </is>
      </c>
      <c r="C21" s="34" t="inlineStr">
        <is>
          <t>Year 1</t>
        </is>
      </c>
      <c r="D21" s="34" t="inlineStr">
        <is>
          <t>Year 2</t>
        </is>
      </c>
      <c r="E21" s="34" t="inlineStr">
        <is>
          <t>Year 3</t>
        </is>
      </c>
      <c r="F21" s="34" t="inlineStr">
        <is>
          <t>Year 4</t>
        </is>
      </c>
      <c r="G21" s="34" t="inlineStr">
        <is>
          <t>Year 5</t>
        </is>
      </c>
    </row>
    <row r="22">
      <c r="A22" s="7" t="inlineStr">
        <is>
          <t>Project cash flow</t>
        </is>
      </c>
      <c r="B22" s="65">
        <f>-'Executive Summary'!$C$13</f>
        <v>0.0</v>
      </c>
      <c r="C22" s="66">
        <f>B17</f>
        <v>0.0</v>
      </c>
      <c r="D22" s="66">
        <f>C17</f>
        <v>0.0</v>
      </c>
      <c r="E22" s="66">
        <f>D17</f>
        <v>0.0</v>
      </c>
      <c r="F22" s="66">
        <f>E17</f>
        <v>0.0</v>
      </c>
      <c r="G22" s="66">
        <f>F17</f>
        <v>0.0</v>
      </c>
    </row>
    <row r="23">
      <c r="A23" s="7" t="inlineStr">
        <is>
          <t>Cumulative cash flow</t>
        </is>
      </c>
      <c r="B23" s="64">
        <f>B22</f>
        <v>0.0</v>
      </c>
      <c r="C23" s="66">
        <f>$B23+C22</f>
        <v>0.0</v>
      </c>
      <c r="D23" s="66">
        <f>$C23+D22</f>
        <v>0.0</v>
      </c>
      <c r="E23" s="66">
        <f>$D23+E22</f>
        <v>0.0</v>
      </c>
      <c r="F23" s="66">
        <f>$E23+F22</f>
        <v>0.0</v>
      </c>
      <c r="G23" s="66">
        <f>$F23+G22</f>
        <v>0.0</v>
      </c>
    </row>
    <row r="24">
      <c r="A24" s="7" t="inlineStr">
        <is>
          <t>Project IRR (unlevered)</t>
        </is>
      </c>
      <c r="B24" s="36" t="str">
        <f>IFERROR(IRR($B$22:$G$22),"—")</f>
        <v>—</v>
      </c>
    </row>
    <row r="25">
      <c r="A25" s="7" t="inlineStr">
        <is>
          <t>Project NPV</t>
        </is>
      </c>
      <c r="B25" s="67">
        <f>IFERROR(NPV($C$27,$C$22:$G$22)+$B$22,"—")</f>
        <v>0.0</v>
      </c>
    </row>
    <row r="26">
      <c r="A26" s="7" t="inlineStr">
        <is>
          <t>Project payback period (years)</t>
        </is>
      </c>
      <c r="B26" s="68" t="str">
        <f>IFERROR(IF($G$23&lt;0,"Not paid back within 5 years",COUNTIF($B$23:$G$23,"&lt;0")-1+(-INDEX($B$23:$G$23,COUNTIF($B$23:$G$23,"&lt;0")))/INDEX($B$22:$G$22,COUNTIF($B$23:$G$23,"&lt;0")+1)),"—")</f>
        <v>—</v>
      </c>
    </row>
    <row r="27">
      <c r="A27" s="7" t="inlineStr">
        <is>
          <t>Annual discount rate (%) — used by the NPV</t>
        </is>
      </c>
      <c r="C27" s="39" t="n">
        <v>0.08</v>
      </c>
    </row>
    <row r="28">
      <c r="A28" s="29" t="inlineStr">
        <is>
          <t>It is the return expected by whoever puts in the money. 8% is the kit's starting point; raise it if your risk is higher.</t>
        </is>
      </c>
    </row>
    <row r="29">
      <c r="A29" s="7" t="inlineStr">
        <is>
          <t>Effective income tax rate (%)</t>
        </is>
      </c>
      <c r="C29" s="39" t="n">
        <v>0.25</v>
      </c>
    </row>
    <row r="30">
      <c r="A30" s="29" t="inlineStr">
        <is>
          <t>US C corp: 21% federal + your state's rate (25% is the kit's example). LLC, S corp or sole proprietor (pass-through): 0 here, the tax is paid on the owners' returns. UK: corporation tax 19% to 25%.</t>
        </is>
      </c>
    </row>
    <row r="32">
      <c r="A32" s="29" t="inlineStr">
        <is>
          <t>The year 0 investment comes from "Executive Summary": this report goes to a third party, so no sample data comes preloaded looking like real data.</t>
        </is>
      </c>
    </row>
    <row r="33">
      <c r="A33" s="29" t="inlineStr">
        <is>
          <t>IRR/NPV/payback period are calculated on the project's free cash flow, with no debt or interest: they measure whether the business sustains itself. The ability to repay the loan is measured by the DSCR in the "Ratios" tab.</t>
        </is>
      </c>
    </row>
    <row r="45">
      <c r="A45" s="40"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1:F1"/>
  </mergeCells>
  <dataValidations count="2">
    <dataValidation sqref="B4 B5 B6 B7 B8 B9 B12 C4 C5 C6 C7 C8 C9 C12 D4 D5 D6 D7 D8 D9 D12 E4 E5 E6 E7 E8 E9 E12 F4 F5 F6 F7 F8 F9 F12" showDropDown="0" showInputMessage="0" showErrorMessage="1" allowBlank="1" errorTitle="Invalid amount" error="Enter a number greater than or equal to 0." type="decimal" operator="greaterThanOrEqual">
      <formula1>0</formula1>
    </dataValidation>
    <dataValidation sqref="C27 C29"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22"/>
  <sheetViews>
    <sheetView workbookViewId="0">
      <selection activeCell="A1" sqref="A1"/>
    </sheetView>
  </sheetViews>
  <sheetFormatPr baseColWidth="8" defaultRowHeight="15"/>
  <cols>
    <col width="13" customWidth="1" min="1" max="1"/>
    <col width="30" customWidth="1" min="2" max="2"/>
    <col width="20" customWidth="1" min="3" max="3"/>
    <col width="18" customWidth="1" min="4" max="4"/>
    <col width="26" customWidth="1" min="5" max="5"/>
    <col width="24" customWidth="1" min="6" max="6"/>
  </cols>
  <sheetData>
    <row r="1">
      <c r="B1" s="41" t="inlineStr">
        <is>
          <t>Loan Schedule — Amortization Schedule</t>
        </is>
      </c>
    </row>
    <row r="2">
      <c r="B2" s="42" t="inlineStr">
        <is>
          <t>AI Chef Pro · aichef.pro — Restaurant Financial Plan Kit Pro</t>
        </is>
      </c>
    </row>
    <row r="3">
      <c r="B3" s="43" t="inlineStr">
        <is>
          <t>LOAN DETAILS</t>
        </is>
      </c>
    </row>
    <row r="4" ht="24.5" customHeight="1">
      <c r="B4" t="inlineStr">
        <is>
          <t>Amount requested</t>
        </is>
      </c>
      <c r="C4" s="69" t="n">
        <v>0</v>
      </c>
      <c r="D4" s="70" t="inlineStr">
        <is>
          <t>The amount you ask the lender for.</t>
        </is>
      </c>
    </row>
    <row r="5" ht="24.5" customHeight="1">
      <c r="B5" t="inlineStr">
        <is>
          <t>Nominal annual interest rate (%)</t>
        </is>
      </c>
      <c r="C5" s="39" t="n">
        <v>0.1</v>
      </c>
      <c r="D5" s="70" t="inlineStr">
        <is>
          <t>Nominal rate, not APR. (example: change it)</t>
        </is>
      </c>
    </row>
    <row r="6" ht="73.5" customHeight="1">
      <c r="B6" t="inlineStr">
        <is>
          <t>Term (years)</t>
        </is>
      </c>
      <c r="C6" s="45" t="n">
        <v>10</v>
      </c>
      <c r="D6" s="70" t="inlineStr">
        <is>
          <t>TOTAL term, interest-only period included. SBA 7(a): up to 10 years for equipment and working capital. (example: change it)</t>
        </is>
      </c>
    </row>
    <row r="7" ht="61.25" customHeight="1">
      <c r="B7" t="inlineStr">
        <is>
          <t>Interest-only period (years)</t>
        </is>
      </c>
      <c r="C7" s="45" t="n">
        <v>0</v>
      </c>
      <c r="D7" s="70" t="inlineStr">
        <is>
          <t>Initial years in which you pay interest only; afterwards the payment is calculated over the remaining term.</t>
        </is>
      </c>
    </row>
    <row r="8" ht="122.5" customHeight="1">
      <c r="B8" s="43" t="inlineStr">
        <is>
          <t>ANNUAL PAYMENT</t>
        </is>
      </c>
      <c r="C8" s="67">
        <f>IF(($C$6-$C$7)&lt;=0,"The interest-only period must be shorter than the term",IF($C$5=0,$C$4/($C$6-$C$7),IFERROR($C$4*$C$5/(1-(1+$C$5)^(-($C$6-$C$7))),0)))</f>
        <v>0.0</v>
      </c>
      <c r="D8" s="70" t="inlineStr">
        <is>
          <t>Level annual payment (standard amortization) over the term left after the interest-only period, which must be SHORTER than the term: otherwise no year is left to repay the principal and you get a warning here instead.</t>
        </is>
      </c>
    </row>
    <row r="10">
      <c r="B10" s="43" t="inlineStr">
        <is>
          <t>AMORTIZATION SCHEDULE (years 1-5)</t>
        </is>
      </c>
    </row>
    <row r="11">
      <c r="A11" s="46" t="inlineStr">
        <is>
          <t>Year</t>
        </is>
      </c>
      <c r="B11" s="46" t="inlineStr">
        <is>
          <t>Opening balance</t>
        </is>
      </c>
      <c r="C11" s="46" t="inlineStr">
        <is>
          <t>Annual payment</t>
        </is>
      </c>
      <c r="D11" s="46" t="inlineStr">
        <is>
          <t>Interest</t>
        </is>
      </c>
      <c r="E11" s="46" t="inlineStr">
        <is>
          <t>Principal repaid</t>
        </is>
      </c>
      <c r="F11" s="46" t="inlineStr">
        <is>
          <t>Ending balance</t>
        </is>
      </c>
    </row>
    <row r="12">
      <c r="A12" t="n">
        <v>1</v>
      </c>
      <c r="B12" s="66">
        <f>$C$4</f>
        <v>0.0</v>
      </c>
      <c r="C12" s="66">
        <f>IF($C$6&lt;=$C$7,"—",IF($A12&gt;$C$6,0,IF($A12&lt;=$C$7,$B12*$C$5,$C$8)))</f>
        <v>0.0</v>
      </c>
      <c r="D12" s="66">
        <f>IF($A12&gt;$C$6,0,$B12*$C$5)</f>
        <v>0.0</v>
      </c>
      <c r="E12" s="66">
        <f>IF($C$6&lt;=$C$7,0,IF($A12&gt;$C$6,0,$C12-$D12))</f>
        <v>0.0</v>
      </c>
      <c r="F12" s="66">
        <f>$B12-$E12</f>
        <v>0.0</v>
      </c>
    </row>
    <row r="13">
      <c r="A13" t="n">
        <v>2</v>
      </c>
      <c r="B13" s="66">
        <f>$F$12</f>
        <v>0.0</v>
      </c>
      <c r="C13" s="66">
        <f>IF($C$6&lt;=$C$7,"—",IF($A13&gt;$C$6,0,IF($A13&lt;=$C$7,$B13*$C$5,$C$8)))</f>
        <v>0.0</v>
      </c>
      <c r="D13" s="66">
        <f>IF($A13&gt;$C$6,0,$B13*$C$5)</f>
        <v>0.0</v>
      </c>
      <c r="E13" s="66">
        <f>IF($C$6&lt;=$C$7,0,IF($A13&gt;$C$6,0,$C13-$D13))</f>
        <v>0.0</v>
      </c>
      <c r="F13" s="66">
        <f>$B13-$E13</f>
        <v>0.0</v>
      </c>
    </row>
    <row r="14">
      <c r="A14" t="n">
        <v>3</v>
      </c>
      <c r="B14" s="66">
        <f>$F$13</f>
        <v>0.0</v>
      </c>
      <c r="C14" s="66">
        <f>IF($C$6&lt;=$C$7,"—",IF($A14&gt;$C$6,0,IF($A14&lt;=$C$7,$B14*$C$5,$C$8)))</f>
        <v>0.0</v>
      </c>
      <c r="D14" s="66">
        <f>IF($A14&gt;$C$6,0,$B14*$C$5)</f>
        <v>0.0</v>
      </c>
      <c r="E14" s="66">
        <f>IF($C$6&lt;=$C$7,0,IF($A14&gt;$C$6,0,$C14-$D14))</f>
        <v>0.0</v>
      </c>
      <c r="F14" s="66">
        <f>$B14-$E14</f>
        <v>0.0</v>
      </c>
    </row>
    <row r="15">
      <c r="A15" t="n">
        <v>4</v>
      </c>
      <c r="B15" s="66">
        <f>$F$14</f>
        <v>0.0</v>
      </c>
      <c r="C15" s="66">
        <f>IF($C$6&lt;=$C$7,"—",IF($A15&gt;$C$6,0,IF($A15&lt;=$C$7,$B15*$C$5,$C$8)))</f>
        <v>0.0</v>
      </c>
      <c r="D15" s="66">
        <f>IF($A15&gt;$C$6,0,$B15*$C$5)</f>
        <v>0.0</v>
      </c>
      <c r="E15" s="66">
        <f>IF($C$6&lt;=$C$7,0,IF($A15&gt;$C$6,0,$C15-$D15))</f>
        <v>0.0</v>
      </c>
      <c r="F15" s="66">
        <f>$B15-$E15</f>
        <v>0.0</v>
      </c>
    </row>
    <row r="16">
      <c r="A16" t="n">
        <v>5</v>
      </c>
      <c r="B16" s="66">
        <f>$F$15</f>
        <v>0.0</v>
      </c>
      <c r="C16" s="66">
        <f>IF($C$6&lt;=$C$7,"—",IF($A16&gt;$C$6,0,IF($A16&lt;=$C$7,$B16*$C$5,$C$8)))</f>
        <v>0.0</v>
      </c>
      <c r="D16" s="66">
        <f>IF($A16&gt;$C$6,0,$B16*$C$5)</f>
        <v>0.0</v>
      </c>
      <c r="E16" s="66">
        <f>IF($C$6&lt;=$C$7,0,IF($A16&gt;$C$6,0,$C16-$D16))</f>
        <v>0.0</v>
      </c>
      <c r="F16" s="66">
        <f>$B16-$E16</f>
        <v>0.0</v>
      </c>
    </row>
    <row r="18">
      <c r="B18" s="29" t="inlineStr">
        <is>
          <t>Copy the payment in column C into file 03 "Cash Flow Forecast", "Monthly Cash Flow" tab, row 23 (divided by 12). The DSCR in the "Ratios" tab divides by the full ANNUAL PAYMENT in cell C8, not by an interest-only year.</t>
        </is>
      </c>
    </row>
    <row r="19">
      <c r="B19" s="29" t="inlineStr">
        <is>
          <t>The interest in column D feeds the "Interest on debt" row of "Projections": do not type it twice.</t>
        </is>
      </c>
    </row>
    <row r="20">
      <c r="B20" s="29" t="inlineStr">
        <is>
          <t>With an interest-only period, "Principal repaid" shows 0 in the first years and the balance does not go down: that is how an interest-only start really works.</t>
        </is>
      </c>
    </row>
    <row r="22">
      <c r="A22" s="40"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dataValidations count="2">
    <dataValidation sqref="C4 C6 C7" showDropDown="0" showInputMessage="0" showErrorMessage="1" allowBlank="1" errorTitle="Invalid amount" error="Enter a number greater than or equal to 0." type="decimal" operator="greaterThanOrEqual">
      <formula1>0</formula1>
    </dataValidation>
    <dataValidation sqref="C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1565C0"/>
    <outlinePr summaryBelow="1" summaryRight="1"/>
    <pageSetUpPr fitToPage="1"/>
  </sheetPr>
  <dimension ref="A1:H24"/>
  <sheetViews>
    <sheetView workbookViewId="0">
      <pane ySplit="3" topLeftCell="A4" activePane="bottomLeft" state="frozen"/>
      <selection pane="bottomLeft" activeCell="A1" sqref="A1"/>
    </sheetView>
  </sheetViews>
  <sheetFormatPr baseColWidth="8" defaultRowHeight="15"/>
  <cols>
    <col width="3" customWidth="1" min="1" max="1"/>
    <col width="35" customWidth="1" min="2" max="2"/>
    <col width="18" customWidth="1" min="3" max="3"/>
    <col width="25" customWidth="1" min="4" max="4"/>
    <col width="16" customWidth="1" min="5" max="5"/>
    <col width="14" customWidth="1" min="6" max="6"/>
    <col width="14" customWidth="1" min="7" max="7"/>
    <col width="18" customWidth="1" min="8" max="8"/>
  </cols>
  <sheetData>
    <row r="1">
      <c r="B1" s="5" t="inlineStr">
        <is>
          <t>Solvency and Profitability Ratios</t>
        </is>
      </c>
    </row>
    <row r="3" ht="27.25" customHeight="1">
      <c r="A3" s="47" t="n"/>
      <c r="B3" s="48" t="inlineStr">
        <is>
          <t>Ratio</t>
        </is>
      </c>
      <c r="C3" s="48" t="inlineStr">
        <is>
          <t>Value</t>
        </is>
      </c>
      <c r="D3" s="48" t="inlineStr">
        <is>
          <t>Typical lender guideline (indicative)</t>
        </is>
      </c>
      <c r="E3" s="46" t="inlineStr">
        <is>
          <t>Status</t>
        </is>
      </c>
      <c r="F3" s="46" t="inlineStr">
        <is>
          <t>Target (no.)</t>
        </is>
      </c>
      <c r="G3" s="46" t="inlineStr">
        <is>
          <t>Limit (no.)</t>
        </is>
      </c>
      <c r="H3" s="46" t="inlineStr">
        <is>
          <t>Direction</t>
        </is>
      </c>
    </row>
    <row r="4">
      <c r="B4" s="7" t="inlineStr">
        <is>
          <t>Debt-to-capital ratio</t>
        </is>
      </c>
      <c r="C4" s="49" t="str">
        <f>IFERROR($C$16/($C$16+$C$15),"Enter debt and equity")</f>
        <v>Enter debt and equity</v>
      </c>
      <c r="D4" s="50" t="inlineStr">
        <is>
          <t>&lt; 60%</t>
        </is>
      </c>
      <c r="E4" t="str">
        <f>IFERROR(IF(ISNUMBER($C4),IF($C4&lt;=$F$4,"✅",IF($C4&lt;=$G$4,"⚠️","🔴")),"—"),"—")</f>
        <v>—</v>
      </c>
      <c r="F4" s="51" t="n">
        <v>0.6</v>
      </c>
      <c r="G4" s="51" t="n">
        <v>0.7</v>
      </c>
      <c r="H4" s="29" t="inlineStr">
        <is>
          <t>lower is better</t>
        </is>
      </c>
    </row>
    <row r="5">
      <c r="B5" s="7" t="inlineStr">
        <is>
          <t>DSCR at full payment</t>
        </is>
      </c>
      <c r="C5" s="52" t="str">
        <f>IFERROR(Projections!$B$17/'Loan Schedule'!$C$8,"Enter the loan")</f>
        <v>Enter the loan</v>
      </c>
      <c r="D5" s="50" t="inlineStr">
        <is>
          <t>&gt; 1.25x</t>
        </is>
      </c>
      <c r="E5" t="str">
        <f>IFERROR(IF(ISNUMBER($C5),IF($C5&gt;=$F$5,"✅",IF($C5&gt;=$G$5,"⚠️","🔴")),"—"),"—")</f>
        <v>—</v>
      </c>
      <c r="F5" s="53" t="n">
        <v>1.25</v>
      </c>
      <c r="G5" s="53" t="n">
        <v>1.15</v>
      </c>
      <c r="H5" s="29" t="inlineStr">
        <is>
          <t>higher is better</t>
        </is>
      </c>
    </row>
    <row r="6">
      <c r="B6" s="7" t="inlineStr">
        <is>
          <t>Current ratio</t>
        </is>
      </c>
      <c r="C6" s="52" t="str">
        <f>IFERROR($C$13/$C$14,"Enter the balance sheet")</f>
        <v>Enter the balance sheet</v>
      </c>
      <c r="D6" s="50" t="inlineStr">
        <is>
          <t>&gt; 1.0x</t>
        </is>
      </c>
      <c r="E6" t="str">
        <f>IFERROR(IF(ISNUMBER($C6),IF($C6&gt;=$F$6,"✅",IF($C6&gt;=$G$6,"⚠️","🔴")),"—"),"—")</f>
        <v>—</v>
      </c>
      <c r="F6" s="53" t="n">
        <v>1</v>
      </c>
      <c r="G6" s="53" t="n">
        <v>0.9</v>
      </c>
      <c r="H6" s="29" t="inlineStr">
        <is>
          <t>higher is better</t>
        </is>
      </c>
    </row>
    <row r="7">
      <c r="B7" s="7" t="inlineStr">
        <is>
          <t>EBITDA margin (EBITDA / sales)</t>
        </is>
      </c>
      <c r="C7" s="49" t="str">
        <f>IFERROR(Projections!$B$11/Projections!$B$4,"Enter revenue")</f>
        <v>Enter revenue</v>
      </c>
      <c r="D7" s="50" t="inlineStr">
        <is>
          <t>&gt; 15%</t>
        </is>
      </c>
      <c r="E7" t="str">
        <f>IFERROR(IF(ISNUMBER($C7),IF($C7&gt;=$F$7,"✅",IF($C7&gt;=$G$7,"⚠️","🔴")),"—"),"—")</f>
        <v>—</v>
      </c>
      <c r="F7" s="51" t="n">
        <v>0.15</v>
      </c>
      <c r="G7" s="51" t="n">
        <v>0.1</v>
      </c>
      <c r="H7" s="29" t="inlineStr">
        <is>
          <t>higher is better</t>
        </is>
      </c>
    </row>
    <row r="8">
      <c r="B8" s="7" t="inlineStr">
        <is>
          <t>ROI (Return on Investment)</t>
        </is>
      </c>
      <c r="C8" s="49" t="str">
        <f>IFERROR(Projections!$B$16/$C$17,"Enter the investment")</f>
        <v>Enter the investment</v>
      </c>
      <c r="D8" s="50" t="inlineStr">
        <is>
          <t>&gt; 10%</t>
        </is>
      </c>
      <c r="E8" t="str">
        <f>IFERROR(IF(ISNUMBER($C8),IF($C8&gt;=$F$8,"✅",IF($C8&gt;=$G$8,"⚠️","🔴")),"—"),"—")</f>
        <v>—</v>
      </c>
      <c r="F8" s="51" t="n">
        <v>0.1</v>
      </c>
      <c r="G8" s="51" t="n">
        <v>0.05</v>
      </c>
      <c r="H8" s="29" t="inlineStr">
        <is>
          <t>higher is better</t>
        </is>
      </c>
    </row>
    <row r="9">
      <c r="B9" s="7" t="inlineStr">
        <is>
          <t>Owner's equity / Investment</t>
        </is>
      </c>
      <c r="C9" s="49" t="str">
        <f>IFERROR($C$15/$C$17,"Enter the investment")</f>
        <v>Enter the investment</v>
      </c>
      <c r="D9" s="50" t="inlineStr">
        <is>
          <t>&gt; 30%</t>
        </is>
      </c>
      <c r="E9" t="str">
        <f>IFERROR(IF(ISNUMBER($C9),IF($C9&gt;=$F$9,"✅",IF($C9&gt;=$G$9,"⚠️","🔴")),"—"),"—")</f>
        <v>—</v>
      </c>
      <c r="F9" s="51" t="n">
        <v>0.3</v>
      </c>
      <c r="G9" s="51" t="n">
        <v>0.1</v>
      </c>
      <c r="H9" s="29" t="inlineStr">
        <is>
          <t>higher is better</t>
        </is>
      </c>
    </row>
    <row r="10">
      <c r="B10" s="7" t="inlineStr">
        <is>
          <t>Debt / EBITDA</t>
        </is>
      </c>
      <c r="C10" s="52" t="str">
        <f>IFERROR($C$16/Projections!$B$11,"Enter EBITDA")</f>
        <v>Enter EBITDA</v>
      </c>
      <c r="D10" s="50" t="inlineStr">
        <is>
          <t>&lt; 3.5x</t>
        </is>
      </c>
      <c r="E10" t="str">
        <f>IFERROR(IF(ISNUMBER($C10),IF($C10&lt;=$F$10,"✅",IF($C10&lt;=$G$10,"⚠️","🔴")),"—"),"—")</f>
        <v>—</v>
      </c>
      <c r="F10" s="53" t="n">
        <v>3.5</v>
      </c>
      <c r="G10" s="53" t="n">
        <v>4.5</v>
      </c>
      <c r="H10" s="29" t="inlineStr">
        <is>
          <t>lower is better</t>
        </is>
      </c>
    </row>
    <row r="12">
      <c r="B12" s="43" t="inlineStr">
        <is>
          <t>BALANCE SHEET AND DEBT DATA</t>
        </is>
      </c>
    </row>
    <row r="13">
      <c r="A13" s="9" t="n"/>
      <c r="B13" t="inlineStr">
        <is>
          <t>Current assets</t>
        </is>
      </c>
      <c r="C13" s="69" t="n">
        <v>0</v>
      </c>
    </row>
    <row r="14">
      <c r="B14" t="inlineStr">
        <is>
          <t>Current liabilities</t>
        </is>
      </c>
      <c r="C14" s="69" t="n">
        <v>0</v>
      </c>
    </row>
    <row r="15">
      <c r="B15" t="inlineStr">
        <is>
          <t>Owner's equity</t>
        </is>
      </c>
      <c r="C15" s="66">
        <f>'Executive Summary'!$C$14</f>
        <v>0.0</v>
      </c>
    </row>
    <row r="16">
      <c r="B16" t="inlineStr">
        <is>
          <t>Outstanding debt</t>
        </is>
      </c>
      <c r="C16" s="66">
        <f>'Loan Schedule'!$C$4</f>
        <v>0.0</v>
      </c>
    </row>
    <row r="17">
      <c r="B17" t="inlineStr">
        <is>
          <t>Total project investment</t>
        </is>
      </c>
      <c r="C17" s="66">
        <f>'Executive Summary'!$C$13</f>
        <v>0.0</v>
      </c>
    </row>
    <row r="20">
      <c r="B20" s="54" t="inlineStr">
        <is>
          <t>The EBITDA margin uses the SAME thresholds as file 06 "KPI &amp; Ratios Dashboard" (target &gt; 15%, tight 10-15%), so the same restaurant gets the same result in both files.</t>
        </is>
      </c>
    </row>
    <row r="21">
      <c r="B21" s="54" t="inlineStr">
        <is>
          <t>DSCR divides the project's year 1 FREE CASH FLOW ("Projections", row 17: EBITDA minus income tax, computed before interest) by the FULL annual loan payment ("Loan Schedule", "ANNUAL PAYMENT"), even if year 1 is interest-only: lenders look at the full payment. The numerator is taken BEFORE debt on purpose: if you subtracted interest from it, you would be counting it twice.</t>
        </is>
      </c>
    </row>
    <row r="24">
      <c r="A24" s="40"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B1:D1"/>
  </mergeCells>
  <conditionalFormatting sqref="E4:E10">
    <cfRule type="containsText" priority="1" operator="containsText" dxfId="0" stopIfTrue="1" text="🔴">
      <formula>NOT(ISERROR(SEARCH("🔴",E4)))</formula>
    </cfRule>
    <cfRule type="containsText" priority="2" operator="containsText" dxfId="1" stopIfTrue="1" text="⚠️">
      <formula>NOT(ISERROR(SEARCH("⚠️",E4)))</formula>
    </cfRule>
    <cfRule type="containsText" priority="3" operator="containsText" dxfId="2" stopIfTrue="1" text="✅">
      <formula>NOT(ISERROR(SEARCH("✅",E4)))</formula>
    </cfRule>
  </conditionalFormatting>
  <conditionalFormatting sqref="C5">
    <cfRule type="expression" priority="4" dxfId="0" stopIfTrue="1">
      <formula>=$C$5&lt;$G$5</formula>
    </cfRule>
  </conditionalFormatting>
  <dataValidations count="1">
    <dataValidation sqref="C13 C14 C15 C16"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FF6F00"/>
    <outlinePr summaryBelow="1" summaryRight="1"/>
    <pageSetUpPr fitToPage="1"/>
  </sheetPr>
  <dimension ref="A1:D13"/>
  <sheetViews>
    <sheetView workbookViewId="0">
      <pane ySplit="3" topLeftCell="A4" activePane="bottomLeft" state="frozen"/>
      <selection pane="bottomLeft" activeCell="A1" sqref="A1"/>
    </sheetView>
  </sheetViews>
  <sheetFormatPr baseColWidth="8" defaultRowHeight="15"/>
  <cols>
    <col width="3" customWidth="1" min="1" max="1"/>
    <col width="45" customWidth="1" min="2" max="2"/>
    <col width="20" customWidth="1" min="3" max="3"/>
    <col width="40" customWidth="1" min="4" max="4"/>
  </cols>
  <sheetData>
    <row r="1">
      <c r="B1" s="5" t="inlineStr">
        <is>
          <t>Collateral and Guarantees Offered</t>
        </is>
      </c>
    </row>
    <row r="3">
      <c r="A3" s="10" t="inlineStr"/>
      <c r="B3" s="10" t="inlineStr">
        <is>
          <t>Collateral Type</t>
        </is>
      </c>
      <c r="C3" s="10" t="inlineStr">
        <is>
          <t>Value</t>
        </is>
      </c>
      <c r="D3" s="10" t="inlineStr">
        <is>
          <t>Description</t>
        </is>
      </c>
    </row>
    <row r="4">
      <c r="B4" s="7" t="inlineStr">
        <is>
          <t>Personal guarantee (SBA: owners of 20%+)</t>
        </is>
      </c>
      <c r="C4" s="71" t="n">
        <v>0</v>
      </c>
      <c r="D4" s="56" t="n"/>
    </row>
    <row r="5">
      <c r="B5" s="7" t="inlineStr">
        <is>
          <t>Mortgage on the premises (if owned)</t>
        </is>
      </c>
      <c r="C5" s="71" t="n">
        <v>0</v>
      </c>
      <c r="D5" s="56" t="n"/>
    </row>
    <row r="6">
      <c r="B6" s="7" t="inlineStr">
        <is>
          <t>Pledged deposits / cash collateral</t>
        </is>
      </c>
      <c r="C6" s="71" t="n">
        <v>0</v>
      </c>
      <c r="D6" s="56" t="n"/>
    </row>
    <row r="7">
      <c r="B7" s="7" t="inlineStr">
        <is>
          <t>Blanket lien on business assets (UCC-1)</t>
        </is>
      </c>
      <c r="C7" s="71" t="n">
        <v>0</v>
      </c>
      <c r="D7" s="56" t="n"/>
    </row>
    <row r="8">
      <c r="B8" s="7" t="inlineStr">
        <is>
          <t>Assignment of life insurance (SBA lenders)</t>
        </is>
      </c>
      <c r="C8" s="71" t="n">
        <v>0</v>
      </c>
      <c r="D8" s="56" t="n"/>
    </row>
    <row r="9">
      <c r="B9" s="7" t="inlineStr">
        <is>
          <t>Additional deposit</t>
        </is>
      </c>
      <c r="C9" s="71" t="n">
        <v>0</v>
      </c>
      <c r="D9" s="56" t="n"/>
    </row>
    <row r="10">
      <c r="B10" s="12" t="inlineStr">
        <is>
          <t>TOTAL COLLATERAL</t>
        </is>
      </c>
      <c r="C10" s="72">
        <f>SUM(C4:C9)</f>
        <v>0.0</v>
      </c>
    </row>
    <row r="13">
      <c r="A13" s="9"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B1:D1"/>
    <mergeCell ref="A13:D13"/>
  </mergeCells>
  <dataValidations count="1">
    <dataValidation sqref="C4 C5 C6 C7 C8 C9"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07 · Restaurant Loan Proposal: Lender &amp; Investor Summary · Restaurant Financial Plan Kit Pro</dc:title>
  <dc:description xmlns:dc="http://purl.org/dc/elements/1.1/">aichef.pro/en/digital-products/restaurant-financial-plan-templates</dc:description>
  <dc:subject xmlns:dc="http://purl.org/dc/elements/1.1/">Restaurant Financial Plan Kit Pro · v2.0</dc:subject>
  <dcterms:created xmlns:dcterms="http://purl.org/dc/terms/" xmlns:xsi="http://www.w3.org/2001/XMLSchema-instance" xsi:type="dcterms:W3CDTF">2026-04-05T10:13:01Z</dcterms:created>
  <dcterms:modified xmlns:dcterms="http://purl.org/dc/terms/" xmlns:xsi="http://www.w3.org/2001/XMLSchema-instance" xsi:type="dcterms:W3CDTF">2026-10-03T17:07:36Z</dcterms:modified>
  <cp:lastModifiedBy>AI Chef Pro</cp:lastModifiedBy>
  <cp:category>AI Chef Pro · Digital products</cp:category>
  <cp:keywords>restaurant p&amp;l template, restaurant financial projections, restaurant budget template, break-even, cash flow, AI Chef Pro</cp:keywords>
</cp:coreProperties>
</file>