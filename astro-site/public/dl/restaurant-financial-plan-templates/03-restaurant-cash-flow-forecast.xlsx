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ssumptions" sheetId="2" state="visible" r:id="rId2"/>
    <sheet xmlns:r="http://schemas.openxmlformats.org/officeDocument/2006/relationships" name="Monthly Cash Flow" sheetId="3" state="visible" r:id="rId3"/>
    <sheet xmlns:r="http://schemas.openxmlformats.org/officeDocument/2006/relationships" name="Cash Alerts" sheetId="4" state="visible" r:id="rId4"/>
  </sheets>
  <definedNames>
    <definedName name="_xlnm.Print_Titles" localSheetId="2">'Monthly Cash Flow'!$4:$4</definedName>
    <definedName name="_xlnm.Print_Titles" localSheetId="3">'Cash Alerts'!$5:$5</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20">
    <font>
      <name val="Calibri"/>
      <family val="2"/>
      <color theme="1"/>
      <sz val="11"/>
      <scheme val="minor"/>
    </font>
    <font>
      <name val="Calibri"/>
      <b val="1"/>
      <color rgb="00FFD700"/>
      <sz val="18"/>
    </font>
    <font>
      <name val="Calibri"/>
      <i val="1"/>
      <color rgb="00888888"/>
      <sz val="11"/>
    </font>
    <font>
      <name val="Calibri"/>
      <b val="1"/>
      <color rgb="00333333"/>
      <sz val="12"/>
    </font>
    <font>
      <name val="Calibri"/>
      <color rgb="00555555"/>
      <sz val="11"/>
    </font>
    <font>
      <name val="Calibri"/>
      <b val="1"/>
      <color rgb="00FFD700"/>
      <sz val="16"/>
    </font>
    <font>
      <name val="Calibri"/>
      <b val="1"/>
      <color rgb="00FFFFFF"/>
      <sz val="11"/>
    </font>
    <font>
      <name val="Calibri"/>
      <b val="1"/>
      <sz val="11"/>
    </font>
    <font>
      <name val="Calibri"/>
      <sz val="11"/>
    </font>
    <font>
      <name val="Calibri"/>
      <b val="1"/>
      <color rgb="00FFD700"/>
      <sz val="12"/>
    </font>
    <font>
      <name val="Calibri"/>
      <b val="1"/>
      <color rgb="001565C0"/>
      <sz val="11"/>
    </font>
    <font>
      <name val="Calibri"/>
      <b val="1"/>
      <color rgb="00FFD700"/>
      <sz val="13"/>
    </font>
    <font>
      <name val="Calibri"/>
      <color rgb="00999999"/>
      <sz val="9"/>
    </font>
    <font>
      <b val="1"/>
      <color rgb="009C6500"/>
      <sz val="9"/>
    </font>
    <font>
      <b val="1"/>
      <sz val="14"/>
    </font>
    <font>
      <sz val="9"/>
    </font>
    <font>
      <b val="1"/>
      <color rgb="00FFFFFF"/>
    </font>
    <font>
      <i val="1"/>
      <sz val="9"/>
    </font>
    <font>
      <b val="1"/>
    </font>
    <font>
      <sz val="8"/>
    </font>
  </fonts>
  <fills count="7">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2D2D2D"/>
      </patternFill>
    </fill>
    <fill>
      <patternFill patternType="solid">
        <fgColor rgb="00E8F5E9"/>
      </patternFill>
    </fill>
    <fill>
      <patternFill patternType="solid">
        <fgColor rgb="00F2F2F2"/>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0" borderId="1" pivotButton="0" quotePrefix="0" xfId="0"/>
    <xf numFmtId="164" fontId="8" fillId="3" borderId="1" applyAlignment="1" pivotButton="0" quotePrefix="0" xfId="0">
      <alignment horizontal="right" vertical="center"/>
    </xf>
    <xf numFmtId="164" fontId="7" fillId="0" borderId="1" applyAlignment="1" pivotButton="0" quotePrefix="0" xfId="0">
      <alignment horizontal="right" vertical="center"/>
    </xf>
    <xf numFmtId="0" fontId="9" fillId="0" borderId="0" pivotButton="0" quotePrefix="0" xfId="0"/>
    <xf numFmtId="0" fontId="8" fillId="0" borderId="1" pivotButton="0" quotePrefix="0" xfId="0"/>
    <xf numFmtId="164" fontId="10" fillId="0" borderId="1" applyAlignment="1" pivotButton="0" quotePrefix="0" xfId="0">
      <alignment horizontal="right" vertical="center"/>
    </xf>
    <xf numFmtId="0" fontId="11" fillId="0" borderId="1" pivotButton="0" quotePrefix="0" xfId="0"/>
    <xf numFmtId="164" fontId="9" fillId="0" borderId="1" applyAlignment="1" pivotButton="0" quotePrefix="0" xfId="0">
      <alignment horizontal="right" vertical="center"/>
    </xf>
    <xf numFmtId="0" fontId="12" fillId="0" borderId="0" pivotButton="0" quotePrefix="0" xfId="0"/>
    <xf numFmtId="0" fontId="7" fillId="0" borderId="0" pivotButton="0" quotePrefix="0" xfId="0"/>
    <xf numFmtId="164" fontId="8" fillId="0" borderId="1" applyAlignment="1" pivotButton="0" quotePrefix="0" xfId="0">
      <alignment horizontal="right" vertical="center"/>
    </xf>
    <xf numFmtId="0" fontId="8" fillId="0" borderId="1" applyAlignment="1" pivotButton="0" quotePrefix="0" xfId="0">
      <alignment horizontal="center" vertical="center" wrapText="1"/>
    </xf>
    <xf numFmtId="0" fontId="4" fillId="0" borderId="0" applyAlignment="1" pivotButton="0" quotePrefix="0" xfId="0">
      <alignment horizontal="left" vertical="top"/>
    </xf>
    <xf numFmtId="0" fontId="14" fillId="0" borderId="0" pivotButton="0" quotePrefix="0" xfId="0"/>
    <xf numFmtId="0" fontId="15" fillId="0" borderId="0" pivotButton="0" quotePrefix="0" xfId="0"/>
    <xf numFmtId="0" fontId="16" fillId="4" borderId="0" pivotButton="0" quotePrefix="0" xfId="0"/>
    <xf numFmtId="9" fontId="0" fillId="5" borderId="0" applyProtection="1" pivotButton="0" quotePrefix="0" xfId="0">
      <protection locked="0" hidden="0"/>
    </xf>
    <xf numFmtId="0" fontId="17" fillId="0" borderId="0" pivotButton="0" quotePrefix="0" xfId="0"/>
    <xf numFmtId="3" fontId="0" fillId="5" borderId="0" applyProtection="1" pivotButton="0" quotePrefix="0" xfId="0">
      <protection locked="0" hidden="0"/>
    </xf>
    <xf numFmtId="165" fontId="0" fillId="5" borderId="0" applyProtection="1" pivotButton="0" quotePrefix="0" xfId="0">
      <protection locked="0" hidden="0"/>
    </xf>
    <xf numFmtId="0" fontId="18" fillId="0" borderId="0" pivotButton="0" quotePrefix="0" xfId="0"/>
    <xf numFmtId="2" fontId="0" fillId="5" borderId="0" applyProtection="1" pivotButton="0" quotePrefix="0" xfId="0">
      <protection locked="0" hidden="0"/>
    </xf>
    <xf numFmtId="164" fontId="0" fillId="0" borderId="0" pivotButton="0" quotePrefix="0" xfId="0"/>
    <xf numFmtId="164" fontId="0" fillId="5" borderId="0" applyProtection="1" pivotButton="0" quotePrefix="0" xfId="0">
      <protection locked="0" hidden="0"/>
    </xf>
    <xf numFmtId="0" fontId="19" fillId="0" borderId="0" pivotButton="0" quotePrefix="0" xfId="0"/>
    <xf numFmtId="0" fontId="13" fillId="0" borderId="0" applyAlignment="1" pivotButton="0" quotePrefix="0" xfId="0">
      <alignment horizontal="left"/>
    </xf>
    <xf numFmtId="164" fontId="8" fillId="5" borderId="1" applyAlignment="1" applyProtection="1" pivotButton="0" quotePrefix="0" xfId="0">
      <alignment horizontal="right" vertical="center"/>
      <protection locked="0" hidden="0"/>
    </xf>
    <xf numFmtId="0" fontId="8" fillId="0" borderId="1" applyAlignment="1" pivotButton="0" quotePrefix="0" xfId="0">
      <alignment horizontal="right" vertical="center"/>
    </xf>
    <xf numFmtId="0" fontId="9" fillId="6" borderId="0" pivotButton="0" quotePrefix="0" xfId="0"/>
    <xf numFmtId="0" fontId="0" fillId="6" borderId="0" pivotButton="0" quotePrefix="0" xfId="0"/>
    <xf numFmtId="0" fontId="8" fillId="6" borderId="1" pivotButton="0" quotePrefix="0" xfId="0"/>
    <xf numFmtId="164" fontId="0" fillId="6" borderId="0" pivotButton="0" quotePrefix="0" xfId="0"/>
    <xf numFmtId="164" fontId="8" fillId="3" borderId="1" applyAlignment="1" applyProtection="1" pivotButton="0" quotePrefix="0" xfId="0">
      <alignment horizontal="right" vertical="center"/>
      <protection locked="0" hidden="0"/>
    </xf>
    <xf numFmtId="0" fontId="17" fillId="0" borderId="0" applyAlignment="1" pivotButton="0" quotePrefix="0" xfId="0">
      <alignment wrapText="1"/>
    </xf>
    <xf numFmtId="4" fontId="0" fillId="0" borderId="0" pivotButton="0" quotePrefix="0" xfId="0"/>
    <xf numFmtId="4" fontId="0" fillId="5" borderId="0" applyProtection="1" pivotButton="0" quotePrefix="0" xfId="0">
      <protection locked="0" hidden="0"/>
    </xf>
    <xf numFmtId="4" fontId="8" fillId="5" borderId="1" applyAlignment="1" applyProtection="1" pivotButton="0" quotePrefix="0" xfId="0">
      <alignment horizontal="right" vertical="center"/>
      <protection locked="0" hidden="0"/>
    </xf>
    <xf numFmtId="4" fontId="7" fillId="0" borderId="1" applyAlignment="1" pivotButton="0" quotePrefix="0" xfId="0">
      <alignment horizontal="right" vertical="center"/>
    </xf>
    <xf numFmtId="4" fontId="8" fillId="0" borderId="1" applyAlignment="1" pivotButton="0" quotePrefix="0" xfId="0">
      <alignment horizontal="right" vertical="center"/>
    </xf>
    <xf numFmtId="4" fontId="9" fillId="0" borderId="1" applyAlignment="1" pivotButton="0" quotePrefix="0" xfId="0">
      <alignment horizontal="right" vertical="center"/>
    </xf>
    <xf numFmtId="4" fontId="0" fillId="6" borderId="0" pivotButton="0" quotePrefix="0" xfId="0"/>
    <xf numFmtId="4" fontId="8" fillId="3" borderId="1" applyAlignment="1" applyProtection="1" pivotButton="0" quotePrefix="0" xfId="0">
      <alignment horizontal="right" vertical="center"/>
      <protection locked="0" hidden="0"/>
    </xf>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2"/>
  <chart>
    <title>
      <tx>
        <rich>
          <a:bodyPr xmlns:a="http://schemas.openxmlformats.org/drawingml/2006/main"/>
          <a:p xmlns:a="http://schemas.openxmlformats.org/drawingml/2006/main">
            <a:pPr>
              <a:defRPr/>
            </a:pPr>
            <a:r>
              <a:t>Ending balance vs safety threshold</a:t>
            </a:r>
          </a:p>
        </rich>
      </tx>
    </title>
    <plotArea>
      <lineChart>
        <grouping val="standard"/>
        <ser>
          <idx val="0"/>
          <order val="0"/>
          <tx>
            <strRef>
              <f>'Cash Alerts'!C5</f>
            </strRef>
          </tx>
          <spPr>
            <a:ln xmlns:a="http://schemas.openxmlformats.org/drawingml/2006/main">
              <a:prstDash val="solid"/>
            </a:ln>
          </spPr>
          <marker>
            <symbol val="none"/>
            <spPr>
              <a:ln xmlns:a="http://schemas.openxmlformats.org/drawingml/2006/main">
                <a:prstDash val="solid"/>
              </a:ln>
            </spPr>
          </marker>
          <cat>
            <numRef>
              <f>'Cash Alerts'!$B$6:$B$17</f>
            </numRef>
          </cat>
          <val>
            <numRef>
              <f>'Cash Alerts'!$C$6:$C$17</f>
            </numRef>
          </val>
        </ser>
        <ser>
          <idx val="1"/>
          <order val="1"/>
          <tx>
            <strRef>
              <f>'Cash Alerts'!E5</f>
            </strRef>
          </tx>
          <spPr>
            <a:ln xmlns:a="http://schemas.openxmlformats.org/drawingml/2006/main">
              <a:prstDash val="solid"/>
            </a:ln>
          </spPr>
          <marker>
            <symbol val="none"/>
            <spPr>
              <a:ln xmlns:a="http://schemas.openxmlformats.org/drawingml/2006/main">
                <a:prstDash val="solid"/>
              </a:ln>
            </spPr>
          </marker>
          <cat>
            <numRef>
              <f>'Cash Alerts'!$B$6:$B$17</f>
            </numRef>
          </cat>
          <val>
            <numRef>
              <f>'Cash Alerts'!$E$6:$E$17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Amount</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AI Chef Pro</author>
  </authors>
  <commentList>
    <comment ref="B25" authorId="0" shapeId="0">
      <text>
        <t>Enero es input: aquí pagas el IVA del 4T del año ANTERIOR (modelo 303, del 1 al 30 de enero). Los demás meses los calcula la hoja sola en abril, julio y octubre.</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19</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FD700"/>
    <outlinePr summaryBelow="1" summaryRight="1"/>
    <pageSetUpPr fitToPage="1"/>
  </sheetPr>
  <dimension ref="B2:B25"/>
  <sheetViews>
    <sheetView workbookViewId="0">
      <selection activeCell="A1" sqref="A1"/>
    </sheetView>
  </sheetViews>
  <sheetFormatPr baseColWidth="8" defaultRowHeight="15"/>
  <cols>
    <col width="3" customWidth="1" min="1" max="1"/>
    <col width="100" customWidth="1" min="2" max="2"/>
  </cols>
  <sheetData>
    <row r="2">
      <c r="B2" s="1" t="inlineStr">
        <is>
          <t>03 · Restaurant Cash Flow Forecast (12 Months)</t>
        </is>
      </c>
    </row>
    <row r="4">
      <c r="B4" s="2" t="inlineStr">
        <is>
          <t>AI Chef Pro · aichef.pro — Restaurant Financial Plan Kit Pro</t>
        </is>
      </c>
    </row>
    <row r="6">
      <c r="B6" s="3" t="inlineStr">
        <is>
          <t>How to use this template:</t>
        </is>
      </c>
    </row>
    <row r="7">
      <c r="B7" s="4" t="inlineStr">
        <is>
          <t>▸ Enter the expected cash receipts and payments month by month.</t>
        </is>
      </c>
    </row>
    <row r="8">
      <c r="B8" s="4" t="inlineStr">
        <is>
          <t>▸ Sales tax / VAT is paid once a quarter: the payment row fills itself from the rates in "Assumptions" in April, July and October; January stays as an input because it pays last year's Q4.</t>
        </is>
      </c>
    </row>
    <row r="9">
      <c r="B9" s="4" t="inlineStr">
        <is>
          <t>▸ The "Cash Alerts" tab flags in red the months where the balance falls below the safety threshold.</t>
        </is>
      </c>
    </row>
    <row r="11">
      <c r="B11" s="3" t="inlineStr">
        <is>
          <t>Concepts:</t>
        </is>
      </c>
    </row>
    <row r="12">
      <c r="B12" s="4" t="inlineStr">
        <is>
          <t>▸ Receipts = actual cash coming in (sales tax included).</t>
        </is>
      </c>
    </row>
    <row r="13">
      <c r="B13" s="4" t="inlineStr">
        <is>
          <t>▸ Payments = actual cash going out (sales tax included).</t>
        </is>
      </c>
    </row>
    <row r="14">
      <c r="B14" s="4" t="inlineStr">
        <is>
          <t>▸ Ending Balance = Opening Balance + Receipts - Payments.</t>
        </is>
      </c>
    </row>
    <row r="16">
      <c r="B16" s="4" t="n"/>
    </row>
    <row r="18">
      <c r="B18" s="4" t="inlineStr">
        <is>
          <t>▸ In "Assumptions" you set the share of sales paid by card and its payout delay, the supplier payment terms and the seasonality: your cash flow stops being a wish list.</t>
        </is>
      </c>
    </row>
    <row r="20">
      <c r="B20" s="4" t="inlineStr">
        <is>
          <t>▸ The gray block at the bottom ("base data") is not cash: it holds the month's food purchases and accrued employer payroll taxes, which drive supplier payments, next month's payroll tax deposit and the tax rows.</t>
        </is>
      </c>
    </row>
    <row r="22">
      <c r="B22" s="19" t="inlineStr">
        <is>
          <t>Every figure in this template INCLUDES the sales tax you collect: it is cash. The rest of the kit (files 01, 01b, 02, 05, 06 and 07) EXCLUDES sales tax.</t>
        </is>
      </c>
    </row>
    <row r="23">
      <c r="B23" s="19" t="inlineStr">
        <is>
          <t>To edit a cell that is not green: Review → Unprotect Sheet (there is no password).</t>
        </is>
      </c>
    </row>
    <row r="24">
      <c r="B24" s="19" t="inlineStr">
        <is>
          <t>Designed by John Guerrero — chef and restaurant consultant since 2010, in the kitchen since age 17 · johnguerrero.es</t>
        </is>
      </c>
    </row>
    <row r="25">
      <c r="B25" s="19" t="inlineStr">
        <is>
          <t>Version 2.0 · October 2026 · aichef.pro/en/digital-products/restaurant-financial-plan-templates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31"/>
  <sheetViews>
    <sheetView workbookViewId="0">
      <selection activeCell="A1" sqref="A1"/>
    </sheetView>
  </sheetViews>
  <sheetFormatPr baseColWidth="8" defaultRowHeight="15"/>
  <cols>
    <col width="46" customWidth="1" min="2" max="2"/>
    <col width="16" customWidth="1" min="3" max="3"/>
    <col width="58" customWidth="1" min="4" max="4"/>
  </cols>
  <sheetData>
    <row r="1">
      <c r="B1" s="20" t="inlineStr">
        <is>
          <t>Cash Flow Assumptions</t>
        </is>
      </c>
    </row>
    <row r="2">
      <c r="B2" s="21" t="inlineStr">
        <is>
          <t>AI Chef Pro · aichef.pro — Restaurant Financial Plan Kit Pro</t>
        </is>
      </c>
    </row>
    <row r="3">
      <c r="B3" s="22" t="inlineStr">
        <is>
          <t>Line item</t>
        </is>
      </c>
      <c r="C3" s="22" t="inlineStr">
        <is>
          <t>Value</t>
        </is>
      </c>
      <c r="D3" s="22" t="inlineStr">
        <is>
          <t>Notes</t>
        </is>
      </c>
    </row>
    <row r="4">
      <c r="B4" t="inlineStr">
        <is>
          <t>% of sales paid by card</t>
        </is>
      </c>
      <c r="C4" s="23" t="n">
        <v>0.8</v>
      </c>
      <c r="D4" s="40" t="inlineStr">
        <is>
          <t>Cash comes in the same day; cards arrive with a delay.</t>
        </is>
      </c>
    </row>
    <row r="5" ht="24.5" customHeight="1">
      <c r="B5" t="inlineStr">
        <is>
          <t>Card payout days (D+n)</t>
        </is>
      </c>
      <c r="C5" s="25" t="n">
        <v>2</v>
      </c>
      <c r="D5" s="40" t="inlineStr">
        <is>
          <t>How long your POS and card processor take to deposit the money. Typical: D+1 or D+2.</t>
        </is>
      </c>
    </row>
    <row r="6">
      <c r="B6" t="inlineStr">
        <is>
          <t>Supplier payment terms (days)</t>
        </is>
      </c>
      <c r="C6" s="25" t="n">
        <v>30</v>
      </c>
      <c r="D6" s="40" t="inlineStr">
        <is>
          <t>Whatever you have negotiated. 0 = pay on delivery.</t>
        </is>
      </c>
    </row>
    <row r="7" ht="24.5" customHeight="1">
      <c r="B7" t="inlineStr">
        <is>
          <t>Sales tax / VAT charged on sales (%)</t>
        </is>
      </c>
      <c r="C7" s="26" t="n">
        <v>0.08</v>
      </c>
      <c r="D7" s="40" t="inlineStr">
        <is>
          <t>US: your combined state + local rate on meals (8% is the kit's example). UK: 20% VAT.</t>
        </is>
      </c>
    </row>
    <row r="8" ht="24.5" customHeight="1">
      <c r="B8" t="inlineStr">
        <is>
          <t>Recoverable tax on food purchases (%)</t>
        </is>
      </c>
      <c r="C8" s="26" t="n">
        <v>0</v>
      </c>
      <c r="D8" s="40" t="inlineStr">
        <is>
          <t>US: 0 (sales tax has no input credit; buy food for resale with a resale certificate). UK: most food is 0%.</t>
        </is>
      </c>
    </row>
    <row r="9" ht="24.5" customHeight="1">
      <c r="B9" t="inlineStr">
        <is>
          <t>Recoverable tax on other expenses (%)</t>
        </is>
      </c>
      <c r="C9" s="26" t="n">
        <v>0</v>
      </c>
      <c r="D9" s="40" t="inlineStr">
        <is>
          <t>US: 0. UK (VAT-registered): 20% on most expenses; on rent only if the landlord opted to tax.</t>
        </is>
      </c>
    </row>
    <row r="11">
      <c r="B11" s="27" t="inlineStr">
        <is>
          <t>SEASONALITY (index by month; 1.00 = typical month)</t>
        </is>
      </c>
    </row>
    <row r="12">
      <c r="B12" s="22" t="inlineStr">
        <is>
          <t>Month</t>
        </is>
      </c>
      <c r="C12" s="22" t="inlineStr">
        <is>
          <t>Index</t>
        </is>
      </c>
      <c r="D12" s="22" t="inlineStr">
        <is>
          <t>Suggested sales for the month (incl. sales tax)</t>
        </is>
      </c>
    </row>
    <row r="13">
      <c r="B13" t="inlineStr">
        <is>
          <t>Jan</t>
        </is>
      </c>
      <c r="C13" s="28" t="n">
        <v>1</v>
      </c>
      <c r="D13" s="41">
        <f>$C$26*$C13</f>
        <v>0.0</v>
      </c>
    </row>
    <row r="14">
      <c r="B14" t="inlineStr">
        <is>
          <t>Feb</t>
        </is>
      </c>
      <c r="C14" s="28" t="n">
        <v>1</v>
      </c>
      <c r="D14" s="41">
        <f>$C$26*$C14</f>
        <v>0.0</v>
      </c>
    </row>
    <row r="15">
      <c r="B15" t="inlineStr">
        <is>
          <t>Mar</t>
        </is>
      </c>
      <c r="C15" s="28" t="n">
        <v>1</v>
      </c>
      <c r="D15" s="41">
        <f>$C$26*$C15</f>
        <v>0.0</v>
      </c>
    </row>
    <row r="16">
      <c r="B16" t="inlineStr">
        <is>
          <t>Apr</t>
        </is>
      </c>
      <c r="C16" s="28" t="n">
        <v>1</v>
      </c>
      <c r="D16" s="41">
        <f>$C$26*$C16</f>
        <v>0.0</v>
      </c>
    </row>
    <row r="17">
      <c r="B17" t="inlineStr">
        <is>
          <t>May</t>
        </is>
      </c>
      <c r="C17" s="28" t="n">
        <v>1</v>
      </c>
      <c r="D17" s="41">
        <f>$C$26*$C17</f>
        <v>0.0</v>
      </c>
    </row>
    <row r="18">
      <c r="B18" t="inlineStr">
        <is>
          <t>Jun</t>
        </is>
      </c>
      <c r="C18" s="28" t="n">
        <v>1</v>
      </c>
      <c r="D18" s="41">
        <f>$C$26*$C18</f>
        <v>0.0</v>
      </c>
    </row>
    <row r="19">
      <c r="B19" t="inlineStr">
        <is>
          <t>Jul</t>
        </is>
      </c>
      <c r="C19" s="28" t="n">
        <v>1</v>
      </c>
      <c r="D19" s="41">
        <f>$C$26*$C19</f>
        <v>0.0</v>
      </c>
    </row>
    <row r="20">
      <c r="B20" t="inlineStr">
        <is>
          <t>Aug</t>
        </is>
      </c>
      <c r="C20" s="28" t="n">
        <v>1</v>
      </c>
      <c r="D20" s="41">
        <f>$C$26*$C20</f>
        <v>0.0</v>
      </c>
    </row>
    <row r="21">
      <c r="B21" t="inlineStr">
        <is>
          <t>Sep</t>
        </is>
      </c>
      <c r="C21" s="28" t="n">
        <v>1</v>
      </c>
      <c r="D21" s="41">
        <f>$C$26*$C21</f>
        <v>0.0</v>
      </c>
    </row>
    <row r="22">
      <c r="B22" t="inlineStr">
        <is>
          <t>Oct</t>
        </is>
      </c>
      <c r="C22" s="28" t="n">
        <v>1</v>
      </c>
      <c r="D22" s="41">
        <f>$C$26*$C22</f>
        <v>0.0</v>
      </c>
    </row>
    <row r="23">
      <c r="B23" t="inlineStr">
        <is>
          <t>Nov</t>
        </is>
      </c>
      <c r="C23" s="28" t="n">
        <v>1</v>
      </c>
      <c r="D23" s="41">
        <f>$C$26*$C23</f>
        <v>0.0</v>
      </c>
    </row>
    <row r="24">
      <c r="B24" t="inlineStr">
        <is>
          <t>Dec</t>
        </is>
      </c>
      <c r="C24" s="28" t="n">
        <v>1</v>
      </c>
      <c r="D24" s="41">
        <f>$C$26*$C24</f>
        <v>0.0</v>
      </c>
    </row>
    <row r="26">
      <c r="B26" s="27" t="inlineStr">
        <is>
          <t>Sales in a typical month (incl. sales tax)</t>
        </is>
      </c>
      <c r="C26" s="42" t="n">
        <v>0</v>
      </c>
      <c r="D26" s="24" t="inlineStr">
        <is>
          <t>Type it once and seasonality suggests all twelve months; then copy them into "Monthly Cash Flow".</t>
        </is>
      </c>
    </row>
    <row r="28">
      <c r="B28" s="24" t="inlineStr">
        <is>
          <t>Quarterly filer: each quarter's tax is paid the month after it ends (April, July, October; January = last year's Q4). Monthly filer? Unprotect the sheet and type each payment. UK VAT: due 1 month and 7 days after your VAT quarter ends.</t>
        </is>
      </c>
    </row>
    <row r="31">
      <c r="A31" s="31"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dataValidations count="2">
    <dataValidation sqref="C5 C6 C26" showDropDown="0" showInputMessage="0" showErrorMessage="1" allowBlank="1" errorTitle="Invalid amount" error="Enter a number greater than or equal to 0." type="decimal" operator="greaterThanOrEqual">
      <formula1>0</formula1>
    </dataValidation>
    <dataValidation sqref="C4 C7 C8 C9"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1565C0"/>
    <outlinePr summaryBelow="1" summaryRight="1"/>
    <pageSetUpPr fitToPage="1"/>
  </sheetPr>
  <dimension ref="A1:M41"/>
  <sheetViews>
    <sheetView workbookViewId="0">
      <pane ySplit="4" topLeftCell="A5" activePane="bottomLeft" state="frozen"/>
      <selection pane="bottomLef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5" t="inlineStr">
        <is>
          <t>Cash Flow Forecast — 12 Months</t>
        </is>
      </c>
    </row>
    <row r="2">
      <c r="A2" s="2" t="inlineStr">
        <is>
          <t>AI Chef Pro · aichef.pro — Restaurant Financial Plan Kit Pro</t>
        </is>
      </c>
    </row>
    <row r="3">
      <c r="A3" s="32" t="inlineStr">
        <is>
          <t>SAMPLE VALUES — replace them with your own</t>
        </is>
      </c>
    </row>
    <row r="4">
      <c r="A4" s="6" t="inlineStr">
        <is>
          <t>Line item</t>
        </is>
      </c>
      <c r="B4" s="6" t="inlineStr">
        <is>
          <t>Jan</t>
        </is>
      </c>
      <c r="C4" s="6" t="inlineStr">
        <is>
          <t>Feb</t>
        </is>
      </c>
      <c r="D4" s="6" t="inlineStr">
        <is>
          <t>Mar</t>
        </is>
      </c>
      <c r="E4" s="6" t="inlineStr">
        <is>
          <t>Apr</t>
        </is>
      </c>
      <c r="F4" s="6" t="inlineStr">
        <is>
          <t>May</t>
        </is>
      </c>
      <c r="G4" s="6" t="inlineStr">
        <is>
          <t>Jun</t>
        </is>
      </c>
      <c r="H4" s="6" t="inlineStr">
        <is>
          <t>Jul</t>
        </is>
      </c>
      <c r="I4" s="6" t="inlineStr">
        <is>
          <t>Aug</t>
        </is>
      </c>
      <c r="J4" s="6" t="inlineStr">
        <is>
          <t>Sep</t>
        </is>
      </c>
      <c r="K4" s="6" t="inlineStr">
        <is>
          <t>Oct</t>
        </is>
      </c>
      <c r="L4" s="6" t="inlineStr">
        <is>
          <t>Nov</t>
        </is>
      </c>
      <c r="M4" s="6" t="inlineStr">
        <is>
          <t>Dec</t>
        </is>
      </c>
    </row>
    <row r="5">
      <c r="A5" s="7" t="inlineStr">
        <is>
          <t>OPENING BALANCE</t>
        </is>
      </c>
      <c r="B5" s="43" t="n">
        <v>15000</v>
      </c>
      <c r="C5" s="44">
        <f>B29</f>
        <v>15000.0</v>
      </c>
      <c r="D5" s="44">
        <f>C29</f>
        <v>15000.0</v>
      </c>
      <c r="E5" s="44">
        <f>D29</f>
        <v>15000.0</v>
      </c>
      <c r="F5" s="44">
        <f>E29</f>
        <v>15000.0</v>
      </c>
      <c r="G5" s="44">
        <f>F29</f>
        <v>15000.0</v>
      </c>
      <c r="H5" s="44">
        <f>G29</f>
        <v>15000.0</v>
      </c>
      <c r="I5" s="44">
        <f>H29</f>
        <v>15000.0</v>
      </c>
      <c r="J5" s="44">
        <f>I29</f>
        <v>15000.0</v>
      </c>
      <c r="K5" s="44">
        <f>J29</f>
        <v>15000.0</v>
      </c>
      <c r="L5" s="44">
        <f>K29</f>
        <v>15000.0</v>
      </c>
      <c r="M5" s="44">
        <f>L29</f>
        <v>15000.0</v>
      </c>
    </row>
    <row r="6">
      <c r="A6" s="10" t="inlineStr">
        <is>
          <t>CASH IN (Receipts)</t>
        </is>
      </c>
    </row>
    <row r="7">
      <c r="A7" s="11" t="inlineStr">
        <is>
          <t>Dine-in sales (incl. sales tax)</t>
        </is>
      </c>
      <c r="B7" s="43" t="n">
        <v>0</v>
      </c>
      <c r="C7" s="43" t="n">
        <v>0</v>
      </c>
      <c r="D7" s="43" t="n">
        <v>0</v>
      </c>
      <c r="E7" s="43" t="n">
        <v>0</v>
      </c>
      <c r="F7" s="43" t="n">
        <v>0</v>
      </c>
      <c r="G7" s="43" t="n">
        <v>0</v>
      </c>
      <c r="H7" s="43" t="n">
        <v>0</v>
      </c>
      <c r="I7" s="43" t="n">
        <v>0</v>
      </c>
      <c r="J7" s="43" t="n">
        <v>0</v>
      </c>
      <c r="K7" s="43" t="n">
        <v>0</v>
      </c>
      <c r="L7" s="43" t="n">
        <v>0</v>
      </c>
      <c r="M7" s="43" t="n">
        <v>0</v>
      </c>
    </row>
    <row r="8">
      <c r="A8" s="11" t="inlineStr">
        <is>
          <t>Bar sales (incl. sales tax)</t>
        </is>
      </c>
      <c r="B8" s="43" t="n">
        <v>0</v>
      </c>
      <c r="C8" s="43" t="n">
        <v>0</v>
      </c>
      <c r="D8" s="43" t="n">
        <v>0</v>
      </c>
      <c r="E8" s="43" t="n">
        <v>0</v>
      </c>
      <c r="F8" s="43" t="n">
        <v>0</v>
      </c>
      <c r="G8" s="43" t="n">
        <v>0</v>
      </c>
      <c r="H8" s="43" t="n">
        <v>0</v>
      </c>
      <c r="I8" s="43" t="n">
        <v>0</v>
      </c>
      <c r="J8" s="43" t="n">
        <v>0</v>
      </c>
      <c r="K8" s="43" t="n">
        <v>0</v>
      </c>
      <c r="L8" s="43" t="n">
        <v>0</v>
      </c>
      <c r="M8" s="43" t="n">
        <v>0</v>
      </c>
    </row>
    <row r="9">
      <c r="A9" s="11" t="inlineStr">
        <is>
          <t>Delivery sales (incl. sales tax)</t>
        </is>
      </c>
      <c r="B9" s="43" t="n">
        <v>0</v>
      </c>
      <c r="C9" s="43" t="n">
        <v>0</v>
      </c>
      <c r="D9" s="43" t="n">
        <v>0</v>
      </c>
      <c r="E9" s="43" t="n">
        <v>0</v>
      </c>
      <c r="F9" s="43" t="n">
        <v>0</v>
      </c>
      <c r="G9" s="43" t="n">
        <v>0</v>
      </c>
      <c r="H9" s="43" t="n">
        <v>0</v>
      </c>
      <c r="I9" s="43" t="n">
        <v>0</v>
      </c>
      <c r="J9" s="43" t="n">
        <v>0</v>
      </c>
      <c r="K9" s="43" t="n">
        <v>0</v>
      </c>
      <c r="L9" s="43" t="n">
        <v>0</v>
      </c>
      <c r="M9" s="43" t="n">
        <v>0</v>
      </c>
    </row>
    <row r="10">
      <c r="A10" s="11" t="inlineStr">
        <is>
          <t>Events / Catering (incl. sales tax)</t>
        </is>
      </c>
      <c r="B10" s="43" t="n">
        <v>0</v>
      </c>
      <c r="C10" s="43" t="n">
        <v>0</v>
      </c>
      <c r="D10" s="43" t="n">
        <v>0</v>
      </c>
      <c r="E10" s="43" t="n">
        <v>0</v>
      </c>
      <c r="F10" s="43" t="n">
        <v>0</v>
      </c>
      <c r="G10" s="43" t="n">
        <v>0</v>
      </c>
      <c r="H10" s="43" t="n">
        <v>0</v>
      </c>
      <c r="I10" s="43" t="n">
        <v>0</v>
      </c>
      <c r="J10" s="43" t="n">
        <v>0</v>
      </c>
      <c r="K10" s="43" t="n">
        <v>0</v>
      </c>
      <c r="L10" s="43" t="n">
        <v>0</v>
      </c>
      <c r="M10" s="43" t="n">
        <v>0</v>
      </c>
    </row>
    <row r="11">
      <c r="A11" s="11" t="inlineStr">
        <is>
          <t>Other receipts</t>
        </is>
      </c>
      <c r="B11" s="43" t="n">
        <v>0</v>
      </c>
      <c r="C11" s="43" t="n">
        <v>0</v>
      </c>
      <c r="D11" s="43" t="n">
        <v>0</v>
      </c>
      <c r="E11" s="43" t="n">
        <v>0</v>
      </c>
      <c r="F11" s="43" t="n">
        <v>0</v>
      </c>
      <c r="G11" s="43" t="n">
        <v>0</v>
      </c>
      <c r="H11" s="43" t="n">
        <v>0</v>
      </c>
      <c r="I11" s="43" t="n">
        <v>0</v>
      </c>
      <c r="J11" s="43" t="n">
        <v>0</v>
      </c>
      <c r="K11" s="43" t="n">
        <v>0</v>
      </c>
      <c r="L11" s="43" t="n">
        <v>0</v>
      </c>
      <c r="M11" s="43" t="n">
        <v>0</v>
      </c>
    </row>
    <row r="12">
      <c r="A12" s="7" t="inlineStr">
        <is>
          <t>SALES FOR THE MONTH</t>
        </is>
      </c>
      <c r="B12" s="44">
        <f>SUM(B7:B11)</f>
        <v>0.0</v>
      </c>
      <c r="C12" s="44">
        <f>SUM(C7:C11)</f>
        <v>0.0</v>
      </c>
      <c r="D12" s="44">
        <f>SUM(D7:D11)</f>
        <v>0.0</v>
      </c>
      <c r="E12" s="44">
        <f>SUM(E7:E11)</f>
        <v>0.0</v>
      </c>
      <c r="F12" s="44">
        <f>SUM(F7:F11)</f>
        <v>0.0</v>
      </c>
      <c r="G12" s="44">
        <f>SUM(G7:G11)</f>
        <v>0.0</v>
      </c>
      <c r="H12" s="44">
        <f>SUM(H7:H11)</f>
        <v>0.0</v>
      </c>
      <c r="I12" s="44">
        <f>SUM(I7:I11)</f>
        <v>0.0</v>
      </c>
      <c r="J12" s="44">
        <f>SUM(J7:J11)</f>
        <v>0.0</v>
      </c>
      <c r="K12" s="44">
        <f>SUM(K7:K11)</f>
        <v>0.0</v>
      </c>
      <c r="L12" s="44">
        <f>SUM(L7:L11)</f>
        <v>0.0</v>
      </c>
      <c r="M12" s="44">
        <f>SUM(M7:M11)</f>
        <v>0.0</v>
      </c>
    </row>
    <row r="13">
      <c r="A13" s="11" t="inlineStr">
        <is>
          <t>Card payouts pending (collected next month)</t>
        </is>
      </c>
      <c r="B13" s="41">
        <f>IFERROR(B12*Assumptions!$C$4*Assumptions!$C$5/30,0)</f>
        <v>0.0</v>
      </c>
      <c r="C13" s="41">
        <f>IFERROR(C12*Assumptions!$C$4*Assumptions!$C$5/30,0)</f>
        <v>0.0</v>
      </c>
      <c r="D13" s="41">
        <f>IFERROR(D12*Assumptions!$C$4*Assumptions!$C$5/30,0)</f>
        <v>0.0</v>
      </c>
      <c r="E13" s="41">
        <f>IFERROR(E12*Assumptions!$C$4*Assumptions!$C$5/30,0)</f>
        <v>0.0</v>
      </c>
      <c r="F13" s="41">
        <f>IFERROR(F12*Assumptions!$C$4*Assumptions!$C$5/30,0)</f>
        <v>0.0</v>
      </c>
      <c r="G13" s="41">
        <f>IFERROR(G12*Assumptions!$C$4*Assumptions!$C$5/30,0)</f>
        <v>0.0</v>
      </c>
      <c r="H13" s="41">
        <f>IFERROR(H12*Assumptions!$C$4*Assumptions!$C$5/30,0)</f>
        <v>0.0</v>
      </c>
      <c r="I13" s="41">
        <f>IFERROR(I12*Assumptions!$C$4*Assumptions!$C$5/30,0)</f>
        <v>0.0</v>
      </c>
      <c r="J13" s="41">
        <f>IFERROR(J12*Assumptions!$C$4*Assumptions!$C$5/30,0)</f>
        <v>0.0</v>
      </c>
      <c r="K13" s="41">
        <f>IFERROR(K12*Assumptions!$C$4*Assumptions!$C$5/30,0)</f>
        <v>0.0</v>
      </c>
      <c r="L13" s="41">
        <f>IFERROR(L12*Assumptions!$C$4*Assumptions!$C$5/30,0)</f>
        <v>0.0</v>
      </c>
      <c r="M13" s="41">
        <f>IFERROR(M12*Assumptions!$C$4*Assumptions!$C$5/30,0)</f>
        <v>0.0</v>
      </c>
    </row>
    <row r="14">
      <c r="A14" s="7" t="inlineStr">
        <is>
          <t>TOTAL CASH RECEIVED</t>
        </is>
      </c>
      <c r="B14" s="44">
        <f>B12-B13</f>
        <v>0.0</v>
      </c>
      <c r="C14" s="44">
        <f>C12-C13+B13</f>
        <v>0.0</v>
      </c>
      <c r="D14" s="44">
        <f>D12-D13+C13</f>
        <v>0.0</v>
      </c>
      <c r="E14" s="44">
        <f>E12-E13+D13</f>
        <v>0.0</v>
      </c>
      <c r="F14" s="44">
        <f>F12-F13+E13</f>
        <v>0.0</v>
      </c>
      <c r="G14" s="44">
        <f>G12-G13+F13</f>
        <v>0.0</v>
      </c>
      <c r="H14" s="44">
        <f>H12-H13+G13</f>
        <v>0.0</v>
      </c>
      <c r="I14" s="44">
        <f>I12-I13+H13</f>
        <v>0.0</v>
      </c>
      <c r="J14" s="44">
        <f>J12-J13+I13</f>
        <v>0.0</v>
      </c>
      <c r="K14" s="44">
        <f>K12-K13+J13</f>
        <v>0.0</v>
      </c>
      <c r="L14" s="44">
        <f>L12-L13+K13</f>
        <v>0.0</v>
      </c>
      <c r="M14" s="44">
        <f>M12-M13+L13</f>
        <v>0.0</v>
      </c>
    </row>
    <row r="15">
      <c r="A15" s="10" t="inlineStr">
        <is>
          <t>CASH OUT (Payments)</t>
        </is>
      </c>
      <c r="B15" s="34" t="n"/>
      <c r="C15" s="34" t="n"/>
      <c r="D15" s="34" t="n"/>
      <c r="E15" s="34" t="n"/>
      <c r="F15" s="34" t="n"/>
      <c r="G15" s="34" t="n"/>
      <c r="H15" s="34" t="n"/>
      <c r="I15" s="34" t="n"/>
      <c r="J15" s="34" t="n"/>
      <c r="K15" s="34" t="n"/>
      <c r="L15" s="34" t="n"/>
      <c r="M15" s="34" t="n"/>
    </row>
    <row r="16">
      <c r="A16" s="11" t="inlineStr">
        <is>
          <t>Supplier payments (per negotiated terms)</t>
        </is>
      </c>
      <c r="B16" s="45">
        <f>IFERROR(B33*(1-Assumptions!$C$6/30),0)</f>
        <v>0.0</v>
      </c>
      <c r="C16" s="45">
        <f>IFERROR(C33*(1-Assumptions!$C$6/30)+B33*Assumptions!$C$6/30,0)</f>
        <v>0.0</v>
      </c>
      <c r="D16" s="45">
        <f>IFERROR(D33*(1-Assumptions!$C$6/30)+C33*Assumptions!$C$6/30,0)</f>
        <v>0.0</v>
      </c>
      <c r="E16" s="45">
        <f>IFERROR(E33*(1-Assumptions!$C$6/30)+D33*Assumptions!$C$6/30,0)</f>
        <v>0.0</v>
      </c>
      <c r="F16" s="45">
        <f>IFERROR(F33*(1-Assumptions!$C$6/30)+E33*Assumptions!$C$6/30,0)</f>
        <v>0.0</v>
      </c>
      <c r="G16" s="45">
        <f>IFERROR(G33*(1-Assumptions!$C$6/30)+F33*Assumptions!$C$6/30,0)</f>
        <v>0.0</v>
      </c>
      <c r="H16" s="45">
        <f>IFERROR(H33*(1-Assumptions!$C$6/30)+G33*Assumptions!$C$6/30,0)</f>
        <v>0.0</v>
      </c>
      <c r="I16" s="45">
        <f>IFERROR(I33*(1-Assumptions!$C$6/30)+H33*Assumptions!$C$6/30,0)</f>
        <v>0.0</v>
      </c>
      <c r="J16" s="45">
        <f>IFERROR(J33*(1-Assumptions!$C$6/30)+I33*Assumptions!$C$6/30,0)</f>
        <v>0.0</v>
      </c>
      <c r="K16" s="45">
        <f>IFERROR(K33*(1-Assumptions!$C$6/30)+J33*Assumptions!$C$6/30,0)</f>
        <v>0.0</v>
      </c>
      <c r="L16" s="45">
        <f>IFERROR(L33*(1-Assumptions!$C$6/30)+K33*Assumptions!$C$6/30,0)</f>
        <v>0.0</v>
      </c>
      <c r="M16" s="45">
        <f>IFERROR(M33*(1-Assumptions!$C$6/30)+L33*Assumptions!$C$6/30,0)</f>
        <v>0.0</v>
      </c>
    </row>
    <row r="17">
      <c r="A17" s="11" t="inlineStr">
        <is>
          <t>Payroll (net pay)</t>
        </is>
      </c>
      <c r="B17" s="43" t="n">
        <v>0</v>
      </c>
      <c r="C17" s="43" t="n">
        <v>0</v>
      </c>
      <c r="D17" s="43" t="n">
        <v>0</v>
      </c>
      <c r="E17" s="43" t="n">
        <v>0</v>
      </c>
      <c r="F17" s="43" t="n">
        <v>0</v>
      </c>
      <c r="G17" s="43" t="n">
        <v>0</v>
      </c>
      <c r="H17" s="43" t="n">
        <v>0</v>
      </c>
      <c r="I17" s="43" t="n">
        <v>0</v>
      </c>
      <c r="J17" s="43" t="n">
        <v>0</v>
      </c>
      <c r="K17" s="43" t="n">
        <v>0</v>
      </c>
      <c r="L17" s="43" t="n">
        <v>0</v>
      </c>
      <c r="M17" s="43" t="n">
        <v>0</v>
      </c>
    </row>
    <row r="18">
      <c r="A18" s="11" t="inlineStr">
        <is>
          <t>Employer payroll taxes deposited (last month's)</t>
        </is>
      </c>
      <c r="B18" s="43" t="n">
        <v>0</v>
      </c>
      <c r="C18" s="45">
        <f>B34</f>
        <v>0.0</v>
      </c>
      <c r="D18" s="45">
        <f>C34</f>
        <v>0.0</v>
      </c>
      <c r="E18" s="45">
        <f>D34</f>
        <v>0.0</v>
      </c>
      <c r="F18" s="45">
        <f>E34</f>
        <v>0.0</v>
      </c>
      <c r="G18" s="45">
        <f>F34</f>
        <v>0.0</v>
      </c>
      <c r="H18" s="45">
        <f>G34</f>
        <v>0.0</v>
      </c>
      <c r="I18" s="45">
        <f>H34</f>
        <v>0.0</v>
      </c>
      <c r="J18" s="45">
        <f>I34</f>
        <v>0.0</v>
      </c>
      <c r="K18" s="45">
        <f>J34</f>
        <v>0.0</v>
      </c>
      <c r="L18" s="45">
        <f>K34</f>
        <v>0.0</v>
      </c>
      <c r="M18" s="45">
        <f>L34</f>
        <v>0.0</v>
      </c>
    </row>
    <row r="19">
      <c r="A19" s="11" t="inlineStr">
        <is>
          <t>Rent</t>
        </is>
      </c>
      <c r="B19" s="43" t="n">
        <v>0</v>
      </c>
      <c r="C19" s="43" t="n">
        <v>0</v>
      </c>
      <c r="D19" s="43" t="n">
        <v>0</v>
      </c>
      <c r="E19" s="43" t="n">
        <v>0</v>
      </c>
      <c r="F19" s="43" t="n">
        <v>0</v>
      </c>
      <c r="G19" s="43" t="n">
        <v>0</v>
      </c>
      <c r="H19" s="43" t="n">
        <v>0</v>
      </c>
      <c r="I19" s="43" t="n">
        <v>0</v>
      </c>
      <c r="J19" s="43" t="n">
        <v>0</v>
      </c>
      <c r="K19" s="43" t="n">
        <v>0</v>
      </c>
      <c r="L19" s="43" t="n">
        <v>0</v>
      </c>
      <c r="M19" s="43" t="n">
        <v>0</v>
      </c>
    </row>
    <row r="20">
      <c r="A20" s="11" t="inlineStr">
        <is>
          <t>Utilities</t>
        </is>
      </c>
      <c r="B20" s="43" t="n">
        <v>0</v>
      </c>
      <c r="C20" s="43" t="n">
        <v>0</v>
      </c>
      <c r="D20" s="43" t="n">
        <v>0</v>
      </c>
      <c r="E20" s="43" t="n">
        <v>0</v>
      </c>
      <c r="F20" s="43" t="n">
        <v>0</v>
      </c>
      <c r="G20" s="43" t="n">
        <v>0</v>
      </c>
      <c r="H20" s="43" t="n">
        <v>0</v>
      </c>
      <c r="I20" s="43" t="n">
        <v>0</v>
      </c>
      <c r="J20" s="43" t="n">
        <v>0</v>
      </c>
      <c r="K20" s="43" t="n">
        <v>0</v>
      </c>
      <c r="L20" s="43" t="n">
        <v>0</v>
      </c>
      <c r="M20" s="43" t="n">
        <v>0</v>
      </c>
    </row>
    <row r="21">
      <c r="A21" s="11" t="inlineStr">
        <is>
          <t>Marketing</t>
        </is>
      </c>
      <c r="B21" s="43" t="n">
        <v>0</v>
      </c>
      <c r="C21" s="43" t="n">
        <v>0</v>
      </c>
      <c r="D21" s="43" t="n">
        <v>0</v>
      </c>
      <c r="E21" s="43" t="n">
        <v>0</v>
      </c>
      <c r="F21" s="43" t="n">
        <v>0</v>
      </c>
      <c r="G21" s="43" t="n">
        <v>0</v>
      </c>
      <c r="H21" s="43" t="n">
        <v>0</v>
      </c>
      <c r="I21" s="43" t="n">
        <v>0</v>
      </c>
      <c r="J21" s="43" t="n">
        <v>0</v>
      </c>
      <c r="K21" s="43" t="n">
        <v>0</v>
      </c>
      <c r="L21" s="43" t="n">
        <v>0</v>
      </c>
      <c r="M21" s="43" t="n">
        <v>0</v>
      </c>
    </row>
    <row r="22">
      <c r="A22" s="11" t="inlineStr">
        <is>
          <t>Accounting / Admin</t>
        </is>
      </c>
      <c r="B22" s="43" t="n">
        <v>0</v>
      </c>
      <c r="C22" s="43" t="n">
        <v>0</v>
      </c>
      <c r="D22" s="43" t="n">
        <v>0</v>
      </c>
      <c r="E22" s="43" t="n">
        <v>0</v>
      </c>
      <c r="F22" s="43" t="n">
        <v>0</v>
      </c>
      <c r="G22" s="43" t="n">
        <v>0</v>
      </c>
      <c r="H22" s="43" t="n">
        <v>0</v>
      </c>
      <c r="I22" s="43" t="n">
        <v>0</v>
      </c>
      <c r="J22" s="43" t="n">
        <v>0</v>
      </c>
      <c r="K22" s="43" t="n">
        <v>0</v>
      </c>
      <c r="L22" s="43" t="n">
        <v>0</v>
      </c>
      <c r="M22" s="43" t="n">
        <v>0</v>
      </c>
    </row>
    <row r="23">
      <c r="A23" s="11" t="inlineStr">
        <is>
          <t>Loan payment</t>
        </is>
      </c>
      <c r="B23" s="43" t="n">
        <v>0</v>
      </c>
      <c r="C23" s="43" t="n">
        <v>0</v>
      </c>
      <c r="D23" s="43" t="n">
        <v>0</v>
      </c>
      <c r="E23" s="43" t="n">
        <v>0</v>
      </c>
      <c r="F23" s="43" t="n">
        <v>0</v>
      </c>
      <c r="G23" s="43" t="n">
        <v>0</v>
      </c>
      <c r="H23" s="43" t="n">
        <v>0</v>
      </c>
      <c r="I23" s="43" t="n">
        <v>0</v>
      </c>
      <c r="J23" s="43" t="n">
        <v>0</v>
      </c>
      <c r="K23" s="43" t="n">
        <v>0</v>
      </c>
      <c r="L23" s="43" t="n">
        <v>0</v>
      </c>
      <c r="M23" s="43" t="n">
        <v>0</v>
      </c>
    </row>
    <row r="24">
      <c r="A24" s="11" t="inlineStr">
        <is>
          <t>Employee taxes withheld, deposited (income tax + FICA)</t>
        </is>
      </c>
      <c r="B24" s="43" t="n">
        <v>0</v>
      </c>
      <c r="C24" s="43" t="n">
        <v>0</v>
      </c>
      <c r="D24" s="43" t="n">
        <v>0</v>
      </c>
      <c r="E24" s="43" t="n">
        <v>0</v>
      </c>
      <c r="F24" s="43" t="n">
        <v>0</v>
      </c>
      <c r="G24" s="43" t="n">
        <v>0</v>
      </c>
      <c r="H24" s="43" t="n">
        <v>0</v>
      </c>
      <c r="I24" s="43" t="n">
        <v>0</v>
      </c>
      <c r="J24" s="43" t="n">
        <v>0</v>
      </c>
      <c r="K24" s="43" t="n">
        <v>0</v>
      </c>
      <c r="L24" s="43" t="n">
        <v>0</v>
      </c>
      <c r="M24" s="43" t="n">
        <v>0</v>
      </c>
    </row>
    <row r="25">
      <c r="A25" s="11" t="inlineStr">
        <is>
          <t>Sales tax / VAT payment (quarterly) · January = input (last Q4)</t>
        </is>
      </c>
      <c r="B25" s="43" t="n">
        <v>0</v>
      </c>
      <c r="C25" s="46">
        <f>""</f>
        <v/>
      </c>
      <c r="D25" s="46">
        <f>""</f>
        <v/>
      </c>
      <c r="E25" s="46">
        <f>MAX(0,SUM($B$36:$D$36)-SUM($B$37:$D$37))</f>
        <v>0.0</v>
      </c>
      <c r="F25" s="46">
        <f>""</f>
        <v/>
      </c>
      <c r="G25" s="46">
        <f>""</f>
        <v/>
      </c>
      <c r="H25" s="46">
        <f>MAX(0,SUM($E$36:$G$36)-SUM($E$37:$G$37))</f>
        <v>0.0</v>
      </c>
      <c r="I25" s="46">
        <f>""</f>
        <v/>
      </c>
      <c r="J25" s="46">
        <f>""</f>
        <v/>
      </c>
      <c r="K25" s="46">
        <f>MAX(0,SUM($H$36:$J$36)-SUM($H$37:$J$37))</f>
        <v>0.0</v>
      </c>
      <c r="L25" s="46">
        <f>""</f>
        <v/>
      </c>
      <c r="M25" s="46">
        <f>""</f>
        <v/>
      </c>
    </row>
    <row r="26">
      <c r="A26" s="11" t="inlineStr">
        <is>
          <t>Delivery platform fees and other payments</t>
        </is>
      </c>
      <c r="B26" s="43" t="n">
        <v>0</v>
      </c>
      <c r="C26" s="43" t="n">
        <v>0</v>
      </c>
      <c r="D26" s="43" t="n">
        <v>0</v>
      </c>
      <c r="E26" s="43" t="n">
        <v>0</v>
      </c>
      <c r="F26" s="43" t="n">
        <v>0</v>
      </c>
      <c r="G26" s="43" t="n">
        <v>0</v>
      </c>
      <c r="H26" s="43" t="n">
        <v>0</v>
      </c>
      <c r="I26" s="43" t="n">
        <v>0</v>
      </c>
      <c r="J26" s="43" t="n">
        <v>0</v>
      </c>
      <c r="K26" s="43" t="n">
        <v>0</v>
      </c>
      <c r="L26" s="43" t="n">
        <v>0</v>
      </c>
      <c r="M26" s="43" t="n">
        <v>0</v>
      </c>
    </row>
    <row r="27">
      <c r="A27" s="7" t="inlineStr">
        <is>
          <t>TOTAL PAYMENTS</t>
        </is>
      </c>
      <c r="B27" s="44">
        <f>SUM(B16:B26)</f>
        <v>0.0</v>
      </c>
      <c r="C27" s="44">
        <f>SUM(C16:C26)</f>
        <v>0.0</v>
      </c>
      <c r="D27" s="44">
        <f>SUM(D16:D26)</f>
        <v>0.0</v>
      </c>
      <c r="E27" s="44">
        <f>SUM(E16:E26)</f>
        <v>0.0</v>
      </c>
      <c r="F27" s="44">
        <f>SUM(F16:F26)</f>
        <v>0.0</v>
      </c>
      <c r="G27" s="44">
        <f>SUM(G16:G26)</f>
        <v>0.0</v>
      </c>
      <c r="H27" s="44">
        <f>SUM(H16:H26)</f>
        <v>0.0</v>
      </c>
      <c r="I27" s="44">
        <f>SUM(I16:I26)</f>
        <v>0.0</v>
      </c>
      <c r="J27" s="44">
        <f>SUM(J16:J26)</f>
        <v>0.0</v>
      </c>
      <c r="K27" s="44">
        <f>SUM(K16:K26)</f>
        <v>0.0</v>
      </c>
      <c r="L27" s="44">
        <f>SUM(L16:L26)</f>
        <v>0.0</v>
      </c>
      <c r="M27" s="44">
        <f>SUM(M16:M26)</f>
        <v>0.0</v>
      </c>
    </row>
    <row r="28">
      <c r="A28" s="7" t="inlineStr">
        <is>
          <t>NET CASH FLOW FOR THE MONTH</t>
        </is>
      </c>
      <c r="B28" s="44">
        <f>B14-B27</f>
        <v>0.0</v>
      </c>
      <c r="C28" s="44">
        <f>C14-C27</f>
        <v>0.0</v>
      </c>
      <c r="D28" s="44">
        <f>D14-D27</f>
        <v>0.0</v>
      </c>
      <c r="E28" s="44">
        <f>E14-E27</f>
        <v>0.0</v>
      </c>
      <c r="F28" s="44">
        <f>F14-F27</f>
        <v>0.0</v>
      </c>
      <c r="G28" s="44">
        <f>G14-G27</f>
        <v>0.0</v>
      </c>
      <c r="H28" s="44">
        <f>H14-H27</f>
        <v>0.0</v>
      </c>
      <c r="I28" s="44">
        <f>I14-I27</f>
        <v>0.0</v>
      </c>
      <c r="J28" s="44">
        <f>J14-J27</f>
        <v>0.0</v>
      </c>
      <c r="K28" s="44">
        <f>K14-K27</f>
        <v>0.0</v>
      </c>
      <c r="L28" s="44">
        <f>L14-L27</f>
        <v>0.0</v>
      </c>
      <c r="M28" s="44">
        <f>M14-M27</f>
        <v>0.0</v>
      </c>
    </row>
    <row r="29">
      <c r="A29" s="7" t="inlineStr">
        <is>
          <t>ENDING BALANCE</t>
        </is>
      </c>
      <c r="B29" s="44">
        <f>B5+B28</f>
        <v>15000.0</v>
      </c>
      <c r="C29" s="44">
        <f>C5+C28</f>
        <v>15000.0</v>
      </c>
      <c r="D29" s="44">
        <f>D5+D28</f>
        <v>15000.0</v>
      </c>
      <c r="E29" s="44">
        <f>E5+E28</f>
        <v>15000.0</v>
      </c>
      <c r="F29" s="44">
        <f>F5+F28</f>
        <v>15000.0</v>
      </c>
      <c r="G29" s="44">
        <f>G5+G28</f>
        <v>15000.0</v>
      </c>
      <c r="H29" s="44">
        <f>H5+H28</f>
        <v>15000.0</v>
      </c>
      <c r="I29" s="44">
        <f>I5+I28</f>
        <v>15000.0</v>
      </c>
      <c r="J29" s="44">
        <f>J5+J28</f>
        <v>15000.0</v>
      </c>
      <c r="K29" s="44">
        <f>K5+K28</f>
        <v>15000.0</v>
      </c>
      <c r="L29" s="44">
        <f>L5+L28</f>
        <v>15000.0</v>
      </c>
      <c r="M29" s="44">
        <f>M5+M28</f>
        <v>15000.0</v>
      </c>
    </row>
    <row r="31">
      <c r="A31" s="35" t="inlineStr">
        <is>
          <t>BASE DATA — not cash, but they feed the rows above</t>
        </is>
      </c>
      <c r="B31" s="36" t="n"/>
      <c r="C31" s="36" t="n"/>
      <c r="D31" s="36" t="n"/>
      <c r="E31" s="36" t="n"/>
      <c r="F31" s="36" t="n"/>
      <c r="G31" s="36" t="n"/>
      <c r="H31" s="36" t="n"/>
      <c r="I31" s="36" t="n"/>
      <c r="J31" s="36" t="n"/>
      <c r="K31" s="36" t="n"/>
      <c r="L31" s="36" t="n"/>
      <c r="M31" s="36" t="n"/>
    </row>
    <row r="33">
      <c r="A33" s="37" t="inlineStr">
        <is>
          <t>Food purchases for the month (incl. sales tax)</t>
        </is>
      </c>
      <c r="B33" s="43" t="n">
        <v>0</v>
      </c>
      <c r="C33" s="43" t="n">
        <v>0</v>
      </c>
      <c r="D33" s="43" t="n">
        <v>0</v>
      </c>
      <c r="E33" s="43" t="n">
        <v>0</v>
      </c>
      <c r="F33" s="43" t="n">
        <v>0</v>
      </c>
      <c r="G33" s="43" t="n">
        <v>0</v>
      </c>
      <c r="H33" s="43" t="n">
        <v>0</v>
      </c>
      <c r="I33" s="43" t="n">
        <v>0</v>
      </c>
      <c r="J33" s="43" t="n">
        <v>0</v>
      </c>
      <c r="K33" s="43" t="n">
        <v>0</v>
      </c>
      <c r="L33" s="43" t="n">
        <v>0</v>
      </c>
      <c r="M33" s="43" t="n">
        <v>0</v>
      </c>
    </row>
    <row r="34">
      <c r="A34" s="37" t="inlineStr">
        <is>
          <t>Employer payroll taxes accrued this month</t>
        </is>
      </c>
      <c r="B34" s="43" t="n">
        <v>0</v>
      </c>
      <c r="C34" s="43" t="n">
        <v>0</v>
      </c>
      <c r="D34" s="43" t="n">
        <v>0</v>
      </c>
      <c r="E34" s="43" t="n">
        <v>0</v>
      </c>
      <c r="F34" s="43" t="n">
        <v>0</v>
      </c>
      <c r="G34" s="43" t="n">
        <v>0</v>
      </c>
      <c r="H34" s="43" t="n">
        <v>0</v>
      </c>
      <c r="I34" s="43" t="n">
        <v>0</v>
      </c>
      <c r="J34" s="43" t="n">
        <v>0</v>
      </c>
      <c r="K34" s="43" t="n">
        <v>0</v>
      </c>
      <c r="L34" s="43" t="n">
        <v>0</v>
      </c>
      <c r="M34" s="43" t="n">
        <v>0</v>
      </c>
    </row>
    <row r="36">
      <c r="A36" s="37" t="inlineStr">
        <is>
          <t>Sales tax / VAT collected this month</t>
        </is>
      </c>
      <c r="B36" s="47">
        <f>IFERROR(B12-B12/(1+Assumptions!$C$7),0)</f>
        <v>0.0</v>
      </c>
      <c r="C36" s="47">
        <f>IFERROR(C12-C12/(1+Assumptions!$C$7),0)</f>
        <v>0.0</v>
      </c>
      <c r="D36" s="47">
        <f>IFERROR(D12-D12/(1+Assumptions!$C$7),0)</f>
        <v>0.0</v>
      </c>
      <c r="E36" s="47">
        <f>IFERROR(E12-E12/(1+Assumptions!$C$7),0)</f>
        <v>0.0</v>
      </c>
      <c r="F36" s="47">
        <f>IFERROR(F12-F12/(1+Assumptions!$C$7),0)</f>
        <v>0.0</v>
      </c>
      <c r="G36" s="47">
        <f>IFERROR(G12-G12/(1+Assumptions!$C$7),0)</f>
        <v>0.0</v>
      </c>
      <c r="H36" s="47">
        <f>IFERROR(H12-H12/(1+Assumptions!$C$7),0)</f>
        <v>0.0</v>
      </c>
      <c r="I36" s="47">
        <f>IFERROR(I12-I12/(1+Assumptions!$C$7),0)</f>
        <v>0.0</v>
      </c>
      <c r="J36" s="47">
        <f>IFERROR(J12-J12/(1+Assumptions!$C$7),0)</f>
        <v>0.0</v>
      </c>
      <c r="K36" s="47">
        <f>IFERROR(K12-K12/(1+Assumptions!$C$7),0)</f>
        <v>0.0</v>
      </c>
      <c r="L36" s="47">
        <f>IFERROR(L12-L12/(1+Assumptions!$C$7),0)</f>
        <v>0.0</v>
      </c>
      <c r="M36" s="47">
        <f>IFERROR(M12-M12/(1+Assumptions!$C$7),0)</f>
        <v>0.0</v>
      </c>
    </row>
    <row r="37">
      <c r="A37" s="37" t="inlineStr">
        <is>
          <t>Recoverable tax paid this month (UK VAT; US: 0)</t>
        </is>
      </c>
      <c r="B37" s="47">
        <f>IFERROR(B33-B33/(1+Assumptions!$C$8)+(B19+B20+B21+B22)-(B19+B20+B21+B22)/(1+Assumptions!$C$9),0)</f>
        <v>0.0</v>
      </c>
      <c r="C37" s="47">
        <f>IFERROR(C33-C33/(1+Assumptions!$C$8)+(C19+C20+C21+C22)-(C19+C20+C21+C22)/(1+Assumptions!$C$9),0)</f>
        <v>0.0</v>
      </c>
      <c r="D37" s="47">
        <f>IFERROR(D33-D33/(1+Assumptions!$C$8)+(D19+D20+D21+D22)-(D19+D20+D21+D22)/(1+Assumptions!$C$9),0)</f>
        <v>0.0</v>
      </c>
      <c r="E37" s="47">
        <f>IFERROR(E33-E33/(1+Assumptions!$C$8)+(E19+E20+E21+E22)-(E19+E20+E21+E22)/(1+Assumptions!$C$9),0)</f>
        <v>0.0</v>
      </c>
      <c r="F37" s="47">
        <f>IFERROR(F33-F33/(1+Assumptions!$C$8)+(F19+F20+F21+F22)-(F19+F20+F21+F22)/(1+Assumptions!$C$9),0)</f>
        <v>0.0</v>
      </c>
      <c r="G37" s="47">
        <f>IFERROR(G33-G33/(1+Assumptions!$C$8)+(G19+G20+G21+G22)-(G19+G20+G21+G22)/(1+Assumptions!$C$9),0)</f>
        <v>0.0</v>
      </c>
      <c r="H37" s="47">
        <f>IFERROR(H33-H33/(1+Assumptions!$C$8)+(H19+H20+H21+H22)-(H19+H20+H21+H22)/(1+Assumptions!$C$9),0)</f>
        <v>0.0</v>
      </c>
      <c r="I37" s="47">
        <f>IFERROR(I33-I33/(1+Assumptions!$C$8)+(I19+I20+I21+I22)-(I19+I20+I21+I22)/(1+Assumptions!$C$9),0)</f>
        <v>0.0</v>
      </c>
      <c r="J37" s="47">
        <f>IFERROR(J33-J33/(1+Assumptions!$C$8)+(J19+J20+J21+J22)-(J19+J20+J21+J22)/(1+Assumptions!$C$9),0)</f>
        <v>0.0</v>
      </c>
      <c r="K37" s="47">
        <f>IFERROR(K33-K33/(1+Assumptions!$C$8)+(K19+K20+K21+K22)-(K19+K20+K21+K22)/(1+Assumptions!$C$9),0)</f>
        <v>0.0</v>
      </c>
      <c r="L37" s="47">
        <f>IFERROR(L33-L33/(1+Assumptions!$C$8)+(L19+L20+L21+L22)-(L19+L20+L21+L22)/(1+Assumptions!$C$9),0)</f>
        <v>0.0</v>
      </c>
      <c r="M37" s="47">
        <f>IFERROR(M33-M33/(1+Assumptions!$C$8)+(M19+M20+M21+M22)-(M19+M20+M21+M22)/(1+Assumptions!$C$9),0)</f>
        <v>0.0</v>
      </c>
    </row>
    <row r="39">
      <c r="A39" s="37" t="inlineStr">
        <is>
          <t>Suggested sales by seasonality (for reference)</t>
        </is>
      </c>
      <c r="B39" s="47">
        <f>Assumptions!$D$13</f>
        <v>0.0</v>
      </c>
      <c r="C39" s="47">
        <f>Assumptions!$D$14</f>
        <v>0.0</v>
      </c>
      <c r="D39" s="47">
        <f>Assumptions!$D$15</f>
        <v>0.0</v>
      </c>
      <c r="E39" s="47">
        <f>Assumptions!$D$16</f>
        <v>0.0</v>
      </c>
      <c r="F39" s="47">
        <f>Assumptions!$D$17</f>
        <v>0.0</v>
      </c>
      <c r="G39" s="47">
        <f>Assumptions!$D$18</f>
        <v>0.0</v>
      </c>
      <c r="H39" s="47">
        <f>Assumptions!$D$19</f>
        <v>0.0</v>
      </c>
      <c r="I39" s="47">
        <f>Assumptions!$D$20</f>
        <v>0.0</v>
      </c>
      <c r="J39" s="47">
        <f>Assumptions!$D$21</f>
        <v>0.0</v>
      </c>
      <c r="K39" s="47">
        <f>Assumptions!$D$22</f>
        <v>0.0</v>
      </c>
      <c r="L39" s="47">
        <f>Assumptions!$D$23</f>
        <v>0.0</v>
      </c>
      <c r="M39" s="47">
        <f>Assumptions!$D$24</f>
        <v>0.0</v>
      </c>
    </row>
    <row r="41">
      <c r="A41" s="31"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M2"/>
    <mergeCell ref="A1:M1"/>
  </mergeCells>
  <dataValidations count="2">
    <dataValidation sqref="B7 B8 B9 B10 B11 B17 B18 B19 B20 B21 B22 B23 B24 B25 B26 B33 B34 C7 C8 C9 C10 C11 C17 C19 C20 C21 C22 C23 C24 C26 C33 C34 D7 D8 D9 D10 D11 D17 D19 D20 D21 D22 D23 D24 D26 D33 D34 E7 E8 E9 E10 E11 E17 E19 E20 E21 E22 E23 E24 E26 E33 E34 F7 F8 F9 F10 F11 F17 F19 F20 F21 F22 F23 F24 F26 F33 F34 G7 G8 G9 G10 G11 G17 G19 G20 G21 G22 G23 G24 G26 G33 G34 H7 H8 H9 H10 H11 H17 H19 H20 H21 H22 H23 H24 H26 H33 H34 I7 I8 I9 I10 I11 I17 I19 I20 I21 I22 I23 I24 I26 I33 I34 J7 J8 J9 J10 J11 J17 J19 J20 J21 J22 J23 J24 J26 J33 J34 K7 K8 K9 K10 K11 K17 K19 K20 K21 K22 K23 K24 K26 K33 K34 L7 L8 L9 L10 L11 L17 L19 L20 L21 L22 L23 L24 L26 L33 L34 M7 M8 M9 M10 M11 M17 M19 M20 M21 M22 M23 M24 M26 M33 M34" showDropDown="0" showInputMessage="0" showErrorMessage="1" allowBlank="1" errorTitle="Invalid amount" error="Enter a number greater than or equal to 0." type="decimal" operator="greaterThanOrEqual">
      <formula1>0</formula1>
    </dataValidation>
    <dataValidation sqref="B5" showDropDown="0" showInputMessage="0" showErrorMessage="1" allowBlank="1" errorTitle="Invalid amount" error="Enter a number (it can be negative)." type="decimal" operator="greaterThanOrEqual">
      <formula1>-1000000000000</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D32F2F"/>
    <outlinePr summaryBelow="1" summaryRight="1"/>
    <pageSetUpPr fitToPage="1"/>
  </sheetPr>
  <dimension ref="A1:E20"/>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18" customWidth="1" min="3" max="3"/>
    <col width="22" customWidth="1" min="4" max="4"/>
    <col width="18" customWidth="1" min="5" max="5"/>
  </cols>
  <sheetData>
    <row r="1">
      <c r="B1" s="5" t="inlineStr">
        <is>
          <t>Cash Alerts</t>
        </is>
      </c>
    </row>
    <row r="3">
      <c r="B3" s="16" t="inlineStr">
        <is>
          <t>Safety threshold:</t>
        </is>
      </c>
      <c r="C3" s="48" t="n">
        <v>5000</v>
      </c>
    </row>
    <row r="5">
      <c r="A5" s="6" t="inlineStr"/>
      <c r="B5" s="6" t="inlineStr">
        <is>
          <t>Month</t>
        </is>
      </c>
      <c r="C5" s="6" t="inlineStr">
        <is>
          <t>Ending Balance</t>
        </is>
      </c>
      <c r="D5" s="6" t="inlineStr">
        <is>
          <t>Alert</t>
        </is>
      </c>
      <c r="E5" s="6" t="inlineStr">
        <is>
          <t>Threshold</t>
        </is>
      </c>
    </row>
    <row r="6">
      <c r="B6" s="11" t="inlineStr">
        <is>
          <t>Jan</t>
        </is>
      </c>
      <c r="C6" s="45">
        <f>'Monthly Cash Flow'!B29</f>
        <v>15000.0</v>
      </c>
      <c r="D6" s="18" t="str">
        <f>IF('Monthly Cash Flow'!B12+'Monthly Cash Flow'!B27=0,"—",IF(C6&lt;$C$3,"⚠️ BELOW MINIMUM","OK"))</f>
        <v>—</v>
      </c>
      <c r="E6" s="41">
        <f>$C$3</f>
        <v>5000.0</v>
      </c>
    </row>
    <row r="7">
      <c r="B7" s="11" t="inlineStr">
        <is>
          <t>Feb</t>
        </is>
      </c>
      <c r="C7" s="45">
        <f>'Monthly Cash Flow'!C29</f>
        <v>15000.0</v>
      </c>
      <c r="D7" s="18" t="str">
        <f>IF('Monthly Cash Flow'!C12+'Monthly Cash Flow'!C27=0,"—",IF(C7&lt;$C$3,"⚠️ BELOW MINIMUM","OK"))</f>
        <v>—</v>
      </c>
      <c r="E7" s="41">
        <f>$C$3</f>
        <v>5000.0</v>
      </c>
    </row>
    <row r="8">
      <c r="B8" s="11" t="inlineStr">
        <is>
          <t>Mar</t>
        </is>
      </c>
      <c r="C8" s="45">
        <f>'Monthly Cash Flow'!D29</f>
        <v>15000.0</v>
      </c>
      <c r="D8" s="18" t="str">
        <f>IF('Monthly Cash Flow'!D12+'Monthly Cash Flow'!D27=0,"—",IF(C8&lt;$C$3,"⚠️ BELOW MINIMUM","OK"))</f>
        <v>—</v>
      </c>
      <c r="E8" s="41">
        <f>$C$3</f>
        <v>5000.0</v>
      </c>
    </row>
    <row r="9">
      <c r="B9" s="11" t="inlineStr">
        <is>
          <t>Apr</t>
        </is>
      </c>
      <c r="C9" s="45">
        <f>'Monthly Cash Flow'!E29</f>
        <v>15000.0</v>
      </c>
      <c r="D9" s="18" t="str">
        <f>IF('Monthly Cash Flow'!E12+'Monthly Cash Flow'!E27=0,"—",IF(C9&lt;$C$3,"⚠️ BELOW MINIMUM","OK"))</f>
        <v>—</v>
      </c>
      <c r="E9" s="41">
        <f>$C$3</f>
        <v>5000.0</v>
      </c>
    </row>
    <row r="10">
      <c r="B10" s="11" t="inlineStr">
        <is>
          <t>May</t>
        </is>
      </c>
      <c r="C10" s="45">
        <f>'Monthly Cash Flow'!F29</f>
        <v>15000.0</v>
      </c>
      <c r="D10" s="18" t="str">
        <f>IF('Monthly Cash Flow'!F12+'Monthly Cash Flow'!F27=0,"—",IF(C10&lt;$C$3,"⚠️ BELOW MINIMUM","OK"))</f>
        <v>—</v>
      </c>
      <c r="E10" s="41">
        <f>$C$3</f>
        <v>5000.0</v>
      </c>
    </row>
    <row r="11">
      <c r="B11" s="11" t="inlineStr">
        <is>
          <t>Jun</t>
        </is>
      </c>
      <c r="C11" s="45">
        <f>'Monthly Cash Flow'!G29</f>
        <v>15000.0</v>
      </c>
      <c r="D11" s="18" t="str">
        <f>IF('Monthly Cash Flow'!G12+'Monthly Cash Flow'!G27=0,"—",IF(C11&lt;$C$3,"⚠️ BELOW MINIMUM","OK"))</f>
        <v>—</v>
      </c>
      <c r="E11" s="41">
        <f>$C$3</f>
        <v>5000.0</v>
      </c>
    </row>
    <row r="12">
      <c r="B12" s="11" t="inlineStr">
        <is>
          <t>Jul</t>
        </is>
      </c>
      <c r="C12" s="45">
        <f>'Monthly Cash Flow'!H29</f>
        <v>15000.0</v>
      </c>
      <c r="D12" s="18" t="str">
        <f>IF('Monthly Cash Flow'!H12+'Monthly Cash Flow'!H27=0,"—",IF(C12&lt;$C$3,"⚠️ BELOW MINIMUM","OK"))</f>
        <v>—</v>
      </c>
      <c r="E12" s="41">
        <f>$C$3</f>
        <v>5000.0</v>
      </c>
    </row>
    <row r="13">
      <c r="B13" s="11" t="inlineStr">
        <is>
          <t>Aug</t>
        </is>
      </c>
      <c r="C13" s="45">
        <f>'Monthly Cash Flow'!I29</f>
        <v>15000.0</v>
      </c>
      <c r="D13" s="18" t="str">
        <f>IF('Monthly Cash Flow'!I12+'Monthly Cash Flow'!I27=0,"—",IF(C13&lt;$C$3,"⚠️ BELOW MINIMUM","OK"))</f>
        <v>—</v>
      </c>
      <c r="E13" s="41">
        <f>$C$3</f>
        <v>5000.0</v>
      </c>
    </row>
    <row r="14">
      <c r="B14" s="11" t="inlineStr">
        <is>
          <t>Sep</t>
        </is>
      </c>
      <c r="C14" s="45">
        <f>'Monthly Cash Flow'!J29</f>
        <v>15000.0</v>
      </c>
      <c r="D14" s="18" t="str">
        <f>IF('Monthly Cash Flow'!J12+'Monthly Cash Flow'!J27=0,"—",IF(C14&lt;$C$3,"⚠️ BELOW MINIMUM","OK"))</f>
        <v>—</v>
      </c>
      <c r="E14" s="41">
        <f>$C$3</f>
        <v>5000.0</v>
      </c>
    </row>
    <row r="15">
      <c r="B15" s="11" t="inlineStr">
        <is>
          <t>Oct</t>
        </is>
      </c>
      <c r="C15" s="45">
        <f>'Monthly Cash Flow'!K29</f>
        <v>15000.0</v>
      </c>
      <c r="D15" s="18" t="str">
        <f>IF('Monthly Cash Flow'!K12+'Monthly Cash Flow'!K27=0,"—",IF(C15&lt;$C$3,"⚠️ BELOW MINIMUM","OK"))</f>
        <v>—</v>
      </c>
      <c r="E15" s="41">
        <f>$C$3</f>
        <v>5000.0</v>
      </c>
    </row>
    <row r="16">
      <c r="B16" s="11" t="inlineStr">
        <is>
          <t>Nov</t>
        </is>
      </c>
      <c r="C16" s="45">
        <f>'Monthly Cash Flow'!L29</f>
        <v>15000.0</v>
      </c>
      <c r="D16" s="18" t="str">
        <f>IF('Monthly Cash Flow'!L12+'Monthly Cash Flow'!L27=0,"—",IF(C16&lt;$C$3,"⚠️ BELOW MINIMUM","OK"))</f>
        <v>—</v>
      </c>
      <c r="E16" s="41">
        <f>$C$3</f>
        <v>5000.0</v>
      </c>
    </row>
    <row r="17">
      <c r="B17" s="11" t="inlineStr">
        <is>
          <t>Dec</t>
        </is>
      </c>
      <c r="C17" s="45">
        <f>'Monthly Cash Flow'!M29</f>
        <v>15000.0</v>
      </c>
      <c r="D17" s="18" t="str">
        <f>IF('Monthly Cash Flow'!M12+'Monthly Cash Flow'!M27=0,"—",IF(C17&lt;$C$3,"⚠️ BELOW MINIMUM","OK"))</f>
        <v>—</v>
      </c>
      <c r="E17" s="41">
        <f>$C$3</f>
        <v>5000.0</v>
      </c>
    </row>
    <row r="19">
      <c r="B19" s="24" t="inlineStr">
        <is>
          <t>The "—" status means that month has no receipts or payments yet: the traffic light does not comment on an empty month.</t>
        </is>
      </c>
    </row>
    <row r="20">
      <c r="A20" s="1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B1:E1"/>
    <mergeCell ref="A20:E20"/>
  </mergeCells>
  <conditionalFormatting sqref="D6:D17">
    <cfRule type="containsText" priority="1" operator="containsText" dxfId="0" stopIfTrue="1" text="BELOW MINIMUM">
      <formula>NOT(ISERROR(SEARCH("BELOW MINIMUM",D6)))</formula>
    </cfRule>
    <cfRule type="containsText" priority="2" operator="containsText" dxfId="1" stopIfTrue="1" text="OK">
      <formula>NOT(ISERROR(SEARCH("OK",D6)))</formula>
    </cfRule>
  </conditionalFormatting>
  <conditionalFormatting sqref="C6:C17">
    <cfRule type="expression" priority="3" dxfId="0" stopIfTrue="1">
      <formula>=AND($C6&lt;$C$3,$D6&lt;&gt;"—")</formula>
    </cfRule>
  </conditionalFormatting>
  <dataValidations count="1">
    <dataValidation sqref="C3"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03 · Restaurant Cash Flow Forecast (12 Months) · Restaurant Financial Plan Kit Pro</dc:title>
  <dc:description xmlns:dc="http://purl.org/dc/elements/1.1/">aichef.pro/en/digital-products/restaurant-financial-plan-templates</dc:description>
  <dc:subject xmlns:dc="http://purl.org/dc/elements/1.1/">Restaurant Financial Plan Kit Pro · v2.0</dc:subject>
  <dcterms:created xmlns:dcterms="http://purl.org/dc/terms/" xmlns:xsi="http://www.w3.org/2001/XMLSchema-instance" xsi:type="dcterms:W3CDTF">2026-04-05T10:13:00Z</dcterms:created>
  <dcterms:modified xmlns:dcterms="http://purl.org/dc/terms/" xmlns:xsi="http://www.w3.org/2001/XMLSchema-instance" xsi:type="dcterms:W3CDTF">2026-10-03T16:36:47Z</dcterms:modified>
  <cp:lastModifiedBy>AI Chef Pro</cp:lastModifiedBy>
  <cp:category>AI Chef Pro · Digital products</cp:category>
  <cp:keywords>restaurant p&amp;l template, restaurant financial projections, restaurant budget template, break-even, cash flow, AI Chef Pro</cp:keywords>
</cp:coreProperties>
</file>