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steurizing" sheetId="2" state="visible" r:id="rId2"/>
    <sheet xmlns:r="http://schemas.openxmlformats.org/officeDocument/2006/relationships" name="Batch Freezing" sheetId="3" state="visible" r:id="rId3"/>
  </sheets>
  <definedNames>
    <definedName name="_xlnm.Print_Titles" localSheetId="1">'Pasteurizing'!$5:$5</definedName>
    <definedName name="_xlnm.Print_Titles" localSheetId="2">'Batch Freezing'!$5:$5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0F7FA"/>
        <bgColor rgb="00E0F7FA"/>
      </patternFill>
    </fill>
    <fill>
      <patternFill patternType="solid">
        <fgColor rgb="00EFEBE9"/>
        <bgColor rgb="00EFEBE9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4" t="inlineStr">
        <is>
          <t>02 · Ice Cream &amp; Gelato Production Checklists: Pasteurizing, Aging &amp; Batch Freezing</t>
        </is>
      </c>
    </row>
    <row r="4">
      <c r="B4" s="2" t="inlineStr">
        <is>
          <t>How to use this template:</t>
        </is>
      </c>
    </row>
    <row r="5">
      <c r="B5" s="3" t="inlineStr">
        <is>
          <t>▸ Checklist for the two key production phases of artisan ice cream.</t>
        </is>
      </c>
    </row>
    <row r="6">
      <c r="B6" s="25" t="inlineStr">
        <is>
          <t>▸ Pasteurizing: mix, heat treatment, cooling and aging. Note: pasteurizing your own mix usually requires a STATE frozen dessert or dairy manufacturer license (Vermont, Georgia, Arizona…), and some states also require one to batch-freeze pasteurized mix or run a soft serve machine (Vermont, Massachusetts); with bought pasteurized mix a health permit is usually enough. Check with your state department of agriculture.</t>
        </is>
      </c>
    </row>
    <row r="7">
      <c r="B7" s="3" t="inlineStr">
        <is>
          <t>▸ Batch freezing: texturizing, draw, hardening and storage.</t>
        </is>
      </c>
    </row>
    <row r="9">
      <c r="B9" s="2" t="inlineStr">
        <is>
          <t>Customization:</t>
        </is>
      </c>
    </row>
    <row r="10">
      <c r="B10" s="3" t="inlineStr">
        <is>
          <t>▸ Adjust temperatures and times to your equipment and recipes.</t>
        </is>
      </c>
    </row>
    <row r="11">
      <c r="B11" s="3" t="inlineStr">
        <is>
          <t>▸ Use the notes to log batches, yield and overrun.</t>
        </is>
      </c>
    </row>
    <row r="12">
      <c r="B12" s="3" t="inlineStr">
        <is>
          <t>▸ Print and keep it in the production room next to the recipe cards.</t>
        </is>
      </c>
    </row>
    <row r="14">
      <c r="B14" s="2" t="inlineStr">
        <is>
          <t>Shelf life and expiry:</t>
        </is>
      </c>
    </row>
    <row r="15">
      <c r="B15" s="25" t="inlineStr">
        <is>
          <t>▸ At the bottom of "Batch Freezing" there is an editable shelf life table by food group: adjust it to your product and supplier. It sits outside the counter because it is a reference, not a task.</t>
        </is>
      </c>
    </row>
    <row r="16">
      <c r="B16" s="25" t="inlineStr">
        <is>
          <t>▸ Pasteurized base mix is NOT frozen: it is aged at 36–39 °F (never above 41 °F) and batch-frozen within 3–5 days (kit criterion, inside the 7-day FDA date marking, 3-501.17). What gets frozen is the finished ice cream, at 0 °F or below.</t>
        </is>
      </c>
    </row>
    <row r="18">
      <c r="B18" s="25" t="inlineStr">
        <is>
          <t>Designed by John Guerrero — chef and restaurant consultant since 2010, in professional kitchens since age 17 · johnguerrero.es</t>
        </is>
      </c>
    </row>
    <row r="19">
      <c r="B19" s="25" t="inlineStr">
        <is>
          <t>Version 2.0 · October 2026 · aichef.pro/en/digital-products/ice-cream-shop-checklist-templates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Pasteurizing Station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Mix preparation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Weigh all ingredients per the flavor recipe card</t>
        </is>
      </c>
      <c r="C6" s="10" t="inlineStr">
        <is>
          <t>Production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Blend dry ingredients (sugars, stabilizers, milk powder)</t>
        </is>
      </c>
      <c r="C7" s="10" t="inlineStr">
        <is>
          <t>Production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Add liquids (milk, cream) to the pasteurizer</t>
        </is>
      </c>
      <c r="C8" s="10" t="inlineStr">
        <is>
          <t>Pasteurizer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Add the dry blend to the liquids with the mixer / high-shear blender</t>
        </is>
      </c>
      <c r="C9" s="10" t="inlineStr">
        <is>
          <t>Pasteurizer</t>
        </is>
      </c>
      <c r="D9" s="11" t="n"/>
      <c r="E9" s="12" t="n"/>
      <c r="F9" s="11" t="n"/>
      <c r="G9" s="13" t="n"/>
    </row>
    <row r="11">
      <c r="A11" s="6" t="inlineStr">
        <is>
          <t>Pasteurizing and cooling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Pasteurize at 185 °F for 15 seconds (high-temp); your pasteurizer's validated program and your state license minimums take precedence — log reading: ____ °F</t>
        </is>
      </c>
      <c r="C13" s="10" t="inlineStr">
        <is>
          <t>Pasteurizer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Add fats and emulsifiers when the mix cools to 104–122 °F — log reading: ____ °F</t>
        </is>
      </c>
      <c r="C14" s="10" t="inlineStr">
        <is>
          <t>Pasteurizer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Cool the mix fast to 41 °F or below: 135 → 70 °F within 2 h, then to 41 °F within 4 h (pasteurizer cooling cycle or blast freezer) — log reading: ____ °F</t>
        </is>
      </c>
      <c r="C15" s="14" t="inlineStr">
        <is>
          <t>Hardening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Verify the final mix temperature (41 °F or below, ideally 36–39 °F) — log reading: ____ °F</t>
        </is>
      </c>
      <c r="C16" s="10" t="inlineStr">
        <is>
          <t>Production</t>
        </is>
      </c>
      <c r="D16" s="11" t="n"/>
      <c r="E16" s="12" t="n"/>
      <c r="F16" s="11" t="n"/>
      <c r="G16" s="13" t="n"/>
    </row>
    <row r="18">
      <c r="A18" s="6" t="inlineStr">
        <is>
          <t>Aging</t>
        </is>
      </c>
    </row>
    <row r="19">
      <c r="A19" s="7" t="inlineStr">
        <is>
          <t>#</t>
        </is>
      </c>
      <c r="B19" s="7" t="inlineStr">
        <is>
          <t>Task</t>
        </is>
      </c>
      <c r="C19" s="7" t="inlineStr">
        <is>
          <t>Area</t>
        </is>
      </c>
      <c r="D19" s="7" t="inlineStr">
        <is>
          <t>Assigned to</t>
        </is>
      </c>
      <c r="E19" s="7" t="inlineStr">
        <is>
          <t>✓</t>
        </is>
      </c>
      <c r="F19" s="7" t="inlineStr">
        <is>
          <t>Time</t>
        </is>
      </c>
      <c r="G19" s="7" t="inlineStr">
        <is>
          <t>Notes</t>
        </is>
      </c>
    </row>
    <row r="20">
      <c r="A20" s="8" t="n">
        <v>1</v>
      </c>
      <c r="B20" s="9" t="inlineStr">
        <is>
          <t>Transfer the mix to a clean aging container</t>
        </is>
      </c>
      <c r="C20" s="14" t="inlineStr">
        <is>
          <t>Aging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Label: flavor, date, aging start time, batch</t>
        </is>
      </c>
      <c r="C21" s="14" t="inlineStr">
        <is>
          <t>Aging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Respect the aging time: minimum 4 h, ideal 8–12 h at 36–39 °F — log reading: ____ °F</t>
        </is>
      </c>
      <c r="C22" s="14" t="inlineStr">
        <is>
          <t>Aging</t>
        </is>
      </c>
      <c r="D22" s="11" t="n"/>
      <c r="E22" s="12" t="n"/>
      <c r="F22" s="11" t="n"/>
      <c r="G22" s="13" t="n"/>
    </row>
    <row r="23">
      <c r="A23" s="8" t="n">
        <v>4</v>
      </c>
      <c r="B23" s="9" t="inlineStr">
        <is>
          <t>Clean, then sanitize the pasteurizer after each use, per the manufacturer (test strip)</t>
        </is>
      </c>
      <c r="C23" s="15" t="inlineStr">
        <is>
          <t>Cleaning</t>
        </is>
      </c>
      <c r="D23" s="11" t="n"/>
      <c r="E23" s="12" t="n"/>
      <c r="F23" s="11" t="n"/>
      <c r="G23" s="13" t="n"/>
    </row>
    <row r="24">
      <c r="A24" s="8" t="n">
        <v>5</v>
      </c>
      <c r="B24" s="9" t="inlineStr">
        <is>
          <t>Record the production batch on the traceability sheet</t>
        </is>
      </c>
      <c r="C24" s="16" t="inlineStr">
        <is>
          <t>Office</t>
        </is>
      </c>
      <c r="D24" s="11" t="n"/>
      <c r="E24" s="12" t="n"/>
      <c r="F24" s="11" t="n"/>
      <c r="G24" s="13" t="n"/>
    </row>
    <row r="25">
      <c r="B25" s="18" t="inlineStr">
        <is>
          <t>Tasks done:</t>
        </is>
      </c>
      <c r="C25">
        <f>COUNTIFS(B6:B24,"?*",E6:E24,"✓")-COUNTIFS(B6:B24,"Task",E6:E24,"✓")</f>
        <v>0.0</v>
      </c>
      <c r="D25" t="inlineStr">
        <is>
          <t>of</t>
        </is>
      </c>
      <c r="E25">
        <f>COUNTIF(B6:B24,"?*")-COUNTIF(B6:B24,"Task")-COUNTIF(E6:E24,"N/A")</f>
        <v>13.0</v>
      </c>
    </row>
    <row r="26">
      <c r="A26" s="17" t="inlineStr">
        <is>
          <t>Signed off by: _________________  Date: ___/___/______</t>
        </is>
      </c>
    </row>
    <row r="27">
      <c r="A27" s="17" t="inlineStr">
        <is>
          <t>© 2026 AI Chef Pro · aichef.pro</t>
        </is>
      </c>
    </row>
  </sheetData>
  <mergeCells count="7">
    <mergeCell ref="A1:G1"/>
    <mergeCell ref="A18:G18"/>
    <mergeCell ref="A27:G27"/>
    <mergeCell ref="A4:G4"/>
    <mergeCell ref="A26:G26"/>
    <mergeCell ref="A2:G2"/>
    <mergeCell ref="A11:G11"/>
  </mergeCells>
  <conditionalFormatting sqref="A6:G24">
    <cfRule type="expression" priority="1" dxfId="0">
      <formula>AND($E6="✓",$B6&lt;&gt;"Task")</formula>
    </cfRule>
  </conditionalFormatting>
  <dataValidations count="1">
    <dataValidation sqref="E6 E7 E8 E9 E13 E14 E15 E16 E20 E21 E22 E23 E2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Batch Freezing Station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Batch freezing prep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that the mix has completed its aging time</t>
        </is>
      </c>
      <c r="C6" s="14" t="inlineStr">
        <is>
          <t>Aging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Stir the mix gently before pouring it into the batch freezer</t>
        </is>
      </c>
      <c r="C7" s="10" t="inlineStr">
        <is>
          <t>Production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Set the batch freezer draw temperature (per the manufacturer): ice cream 16–19 °F | sorbet 10–14 °F</t>
        </is>
      </c>
      <c r="C8" s="10" t="inlineStr">
        <is>
          <t>Batch freezer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Pre-chill pans in the freezer (−4 °F)</t>
        </is>
      </c>
      <c r="C9" s="14" t="inlineStr">
        <is>
          <t>Freezer</t>
        </is>
      </c>
      <c r="D9" s="11" t="n"/>
      <c r="E9" s="12" t="n"/>
      <c r="F9" s="11" t="n"/>
      <c r="G9" s="13" t="n"/>
    </row>
    <row r="11">
      <c r="A11" s="6" t="inlineStr">
        <is>
          <t>Batch freezing and draw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Pour the mix into the batch freezer and start the cycle</t>
        </is>
      </c>
      <c r="C13" s="10" t="inlineStr">
        <is>
          <t>Batch freezer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Add swirls, mix-ins or ripple in the last minute, if used</t>
        </is>
      </c>
      <c r="C14" s="10" t="inlineStr">
        <is>
          <t>Batch freezer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Draw the ice cream into a pre-chilled pan with a spade</t>
        </is>
      </c>
      <c r="C15" s="10" t="inlineStr">
        <is>
          <t>Production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Label the pan: flavor, production date, use-by date and batch — shelf life by food group is in the table at the bottom of this sheet</t>
        </is>
      </c>
      <c r="C16" s="10" t="inlineStr">
        <is>
          <t>Production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Weigh the pan and log yield / overrun (ice cream must weigh at least 4.5 lb per gallon, 21 CFR 135.110; gelato has no federal standard)</t>
        </is>
      </c>
      <c r="C17" s="10" t="inlineStr">
        <is>
          <t>Production</t>
        </is>
      </c>
      <c r="D17" s="11" t="n"/>
      <c r="E17" s="12" t="n"/>
      <c r="F17" s="11" t="n"/>
      <c r="G17" s="13" t="n"/>
    </row>
    <row r="19">
      <c r="A19" s="6" t="inlineStr">
        <is>
          <t>Hardening and storage</t>
        </is>
      </c>
    </row>
    <row r="20">
      <c r="A20" s="7" t="inlineStr">
        <is>
          <t>#</t>
        </is>
      </c>
      <c r="B20" s="7" t="inlineStr">
        <is>
          <t>Task</t>
        </is>
      </c>
      <c r="C20" s="7" t="inlineStr">
        <is>
          <t>Area</t>
        </is>
      </c>
      <c r="D20" s="7" t="inlineStr">
        <is>
          <t>Assigned to</t>
        </is>
      </c>
      <c r="E20" s="7" t="inlineStr">
        <is>
          <t>✓</t>
        </is>
      </c>
      <c r="F20" s="7" t="inlineStr">
        <is>
          <t>Time</t>
        </is>
      </c>
      <c r="G20" s="7" t="inlineStr">
        <is>
          <t>Notes</t>
        </is>
      </c>
    </row>
    <row r="21">
      <c r="A21" s="8" t="n">
        <v>1</v>
      </c>
      <c r="B21" s="9" t="inlineStr">
        <is>
          <t>Harden the pan to 0 °F or below in the blast freezer (freezing cycle) — log reading: ____ °F</t>
        </is>
      </c>
      <c r="C21" s="14" t="inlineStr">
        <is>
          <t>Hardening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Move the pan to the storage freezer, 0 °F to −4 °F — log reading: ____ °F</t>
        </is>
      </c>
      <c r="C22" s="14" t="inlineStr">
        <is>
          <t>Freezer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Log the day's production: flavor, lb, batch, destination</t>
        </is>
      </c>
      <c r="C23" s="16" t="inlineStr">
        <is>
          <t>Office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Clean the batch freezer per the manufacturer: remove dasher, gasket and cylinder, then sanitize</t>
        </is>
      </c>
      <c r="C24" s="15" t="inlineStr">
        <is>
          <t>Cleaning</t>
        </is>
      </c>
      <c r="D24" s="11" t="n"/>
      <c r="E24" s="12" t="n"/>
      <c r="F24" s="11" t="n"/>
      <c r="G24" s="13" t="n"/>
    </row>
    <row r="25">
      <c r="A25" s="8" t="n">
        <v>5</v>
      </c>
      <c r="B25" s="9" t="inlineStr">
        <is>
          <t>Clean, then sanitize production surfaces and utensils used (test strip)</t>
        </is>
      </c>
      <c r="C25" s="15" t="inlineStr">
        <is>
          <t>Cleaning</t>
        </is>
      </c>
      <c r="D25" s="11" t="n"/>
      <c r="E25" s="12" t="n"/>
      <c r="F25" s="11" t="n"/>
      <c r="G25" s="13" t="n"/>
    </row>
    <row r="26">
      <c r="B26" s="18" t="inlineStr">
        <is>
          <t>Tasks done:</t>
        </is>
      </c>
      <c r="C26">
        <f>COUNTIFS(B6:B25,"?*",E6:E25,"✓")-COUNTIFS(B6:B25,"Task",E6:E25,"✓")</f>
        <v>0.0</v>
      </c>
      <c r="D26" t="inlineStr">
        <is>
          <t>of</t>
        </is>
      </c>
      <c r="E26">
        <f>COUNTIF(B6:B25,"?*")-COUNTIF(B6:B25,"Task")-COUNTIF(E6:E25,"N/A")</f>
        <v>14.0</v>
      </c>
    </row>
    <row r="27">
      <c r="A27" s="17" t="inlineStr">
        <is>
          <t>Signed off by: _________________  Date: ___/___/______</t>
        </is>
      </c>
    </row>
    <row r="28">
      <c r="A28" s="17" t="n"/>
    </row>
    <row r="29">
      <c r="A29" s="6" t="inlineStr">
        <is>
          <t>SHELF LIFE GUIDE — adjust it to your product, equipment and supplier</t>
        </is>
      </c>
    </row>
    <row r="30">
      <c r="A30" s="7" t="n"/>
      <c r="B30" s="7" t="inlineStr">
        <is>
          <t>Food group</t>
        </is>
      </c>
      <c r="C30" s="7" t="inlineStr">
        <is>
          <t>Shelf life</t>
        </is>
      </c>
      <c r="D30" s="7" t="inlineStr">
        <is>
          <t>Notes</t>
        </is>
      </c>
      <c r="E30" s="19" t="n"/>
      <c r="F30" s="19" t="n"/>
      <c r="G30" s="20" t="n"/>
    </row>
    <row r="31" ht="30" customHeight="1">
      <c r="A31" s="8" t="n"/>
      <c r="B31" s="21" t="inlineStr">
        <is>
          <t>House-made ice cream and sorbet in a covered pan</t>
        </is>
      </c>
      <c r="C31" s="22" t="inlineStr">
        <is>
          <t>2–3 months at 0 °F</t>
        </is>
      </c>
      <c r="D31" s="23" t="inlineStr">
        <is>
          <t>In the dipping cabinet quality drops within 3–5 days: rotate by flavor, not by the long freezer date</t>
        </is>
      </c>
      <c r="E31" s="19" t="n"/>
      <c r="F31" s="19" t="n"/>
      <c r="G31" s="20" t="n"/>
    </row>
    <row r="32" ht="30" customHeight="1">
      <c r="A32" s="8" t="n"/>
      <c r="B32" s="21" t="inlineStr">
        <is>
          <t>Pasteurized base mix, not yet batch-frozen</t>
        </is>
      </c>
      <c r="C32" s="22" t="inlineStr">
        <is>
          <t>3–5 days at 36–39 °F</t>
        </is>
      </c>
      <c r="D32" s="23" t="inlineStr">
        <is>
          <t>Never freeze the base: it separates and loses structure when thawed</t>
        </is>
      </c>
      <c r="E32" s="19" t="n"/>
      <c r="F32" s="19" t="n"/>
      <c r="G32" s="20" t="n"/>
    </row>
    <row r="33">
      <c r="A33" s="8" t="n"/>
      <c r="B33" s="21" t="inlineStr">
        <is>
          <t>Assembled ice cream cakes and semifreddo</t>
        </is>
      </c>
      <c r="C33" s="22" t="inlineStr">
        <is>
          <t>1 month at 0 °F</t>
        </is>
      </c>
      <c r="D33" s="23" t="inlineStr">
        <is>
          <t>Wrapped and boxed: they soak up freezer odors very easily</t>
        </is>
      </c>
      <c r="E33" s="19" t="n"/>
      <c r="F33" s="19" t="n"/>
      <c r="G33" s="20" t="n"/>
    </row>
    <row r="34">
      <c r="A34" s="8" t="n"/>
      <c r="B34" s="21" t="inlineStr">
        <is>
          <t>Frozen fruit and fruit purees</t>
        </is>
      </c>
      <c r="C34" s="22" t="inlineStr">
        <is>
          <t>6–12 months at 0 °F</t>
        </is>
      </c>
      <c r="D34" s="23" t="inlineStr">
        <is>
          <t>Freeze in single-use portions: never thaw and refreeze</t>
        </is>
      </c>
      <c r="E34" s="19" t="n"/>
      <c r="F34" s="19" t="n"/>
      <c r="G34" s="20" t="n"/>
    </row>
    <row r="35" ht="45" customHeight="1">
      <c r="A35" s="8" t="n"/>
      <c r="B35" s="21" t="inlineStr">
        <is>
          <t>Nuts, pastes and pralines</t>
        </is>
      </c>
      <c r="C35" s="22" t="inlineStr">
        <is>
          <t>6 months at 0 °F · 2–3 months refrigerated</t>
        </is>
      </c>
      <c r="D35" s="23" t="inlineStr">
        <is>
          <t>Nut fat goes rancid without warning: always put the opening date on the jar</t>
        </is>
      </c>
      <c r="E35" s="19" t="n"/>
      <c r="F35" s="19" t="n"/>
      <c r="G35" s="20" t="n"/>
    </row>
    <row r="36" ht="30" customHeight="1">
      <c r="A36" s="8" t="n"/>
      <c r="B36" s="21" t="inlineStr">
        <is>
          <t>Opened swirls, sauces and toppings</t>
        </is>
      </c>
      <c r="C36" s="22" t="inlineStr">
        <is>
          <t>Per the manufacturer's label</t>
        </is>
      </c>
      <c r="D36" s="23" t="inlineStr">
        <is>
          <t>The clock starts at OPENING: write it on the container the same day</t>
        </is>
      </c>
      <c r="E36" s="19" t="n"/>
      <c r="F36" s="19" t="n"/>
      <c r="G36" s="20" t="n"/>
    </row>
    <row r="37">
      <c r="A37" s="17" t="inlineStr">
        <is>
          <t>© 2026 AI Chef Pro · aichef.pro</t>
        </is>
      </c>
    </row>
  </sheetData>
  <mergeCells count="15">
    <mergeCell ref="D31:G31"/>
    <mergeCell ref="A1:G1"/>
    <mergeCell ref="A27:G27"/>
    <mergeCell ref="D35:G35"/>
    <mergeCell ref="D36:G36"/>
    <mergeCell ref="A4:G4"/>
    <mergeCell ref="D30:G30"/>
    <mergeCell ref="A2:G2"/>
    <mergeCell ref="D33:G33"/>
    <mergeCell ref="D34:G34"/>
    <mergeCell ref="A29:G29"/>
    <mergeCell ref="A19:G19"/>
    <mergeCell ref="A11:G11"/>
    <mergeCell ref="D32:G32"/>
    <mergeCell ref="A37:G37"/>
  </mergeCells>
  <conditionalFormatting sqref="A6:G25">
    <cfRule type="expression" priority="1" dxfId="0">
      <formula>AND($E6="✓",$B6&lt;&gt;"Task")</formula>
    </cfRule>
  </conditionalFormatting>
  <dataValidations count="1">
    <dataValidation sqref="E6 E7 E8 E9 E13 E14 E15 E16 E17 E21 E22 E23 E24 E25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Ice Cream &amp; Gelato Production Checklists: Pasteurizing, Aging &amp; Batch Freezing</dc:title>
  <dc:description xmlns:dc="http://purl.org/dc/elements/1.1/">aichef.pro/en/digital-products/ice-cream-shop-checklist-templates</dc:description>
  <dc:subject xmlns:dc="http://purl.org/dc/elements/1.1/">Ice Cream Shop Checklists Kit Pro · v2.0</dc:subject>
  <dcterms:created xmlns:dcterms="http://purl.org/dc/terms/" xmlns:xsi="http://www.w3.org/2001/XMLSchema-instance" xsi:type="dcterms:W3CDTF">2026-03-22T03:34:35Z</dcterms:created>
  <dcterms:modified xmlns:dcterms="http://purl.org/dc/terms/" xmlns:xsi="http://www.w3.org/2001/XMLSchema-instance" xsi:type="dcterms:W3CDTF">2026-10-24T07:50:54Z</dcterms:modified>
  <cp:lastModifiedBy>AI Chef Pro</cp:lastModifiedBy>
  <cp:category>AI Chef Pro · Digital products</cp:category>
  <cp:keywords>ice cream shop checklist, ice cream shop opening checklist, ice cream parlor, scoop shop, gelato shop, ice cream production, batch freezer, dipping cabinet, AI Chef Pro</cp:keywords>
</cp:coreProperties>
</file>