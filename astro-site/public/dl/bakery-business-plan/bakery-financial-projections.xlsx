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2" fillId="0" borderId="0" pivotButton="0" quotePrefix="0" xfId="0"/>
    <xf numFmtId="164" fontId="0" fillId="0" borderId="0" pivotButton="0" quotePrefix="0" xfId="0"/>
    <xf numFmtId="164" fontId="11" fillId="0" borderId="0" pivotButton="0" quotePrefix="0" xfId="0"/>
    <xf numFmtId="166" fontId="11" fillId="0" borderId="0" pivotButton="0" quotePrefix="0" xfId="0"/>
    <xf numFmtId="0" fontId="11" fillId="0" borderId="0" pivotButton="0" quotePrefix="0" xfId="0"/>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166" fontId="9" fillId="4" borderId="3" applyProtection="1" pivotButton="0" quotePrefix="0" xfId="0">
      <protection locked="0" hidden="0"/>
    </xf>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4" fontId="9" fillId="0" borderId="3" pivotButton="0" quotePrefix="0" xfId="0"/>
    <xf numFmtId="4" fontId="10" fillId="0" borderId="3" pivotButton="0" quotePrefix="0" xfId="0"/>
    <xf numFmtId="166" fontId="0" fillId="4" borderId="0" applyProtection="1" pivotButton="0" quotePrefix="0" xfId="0">
      <protection locked="0" hidden="0"/>
    </xf>
    <xf numFmtId="4" fontId="0" fillId="0" borderId="0" pivotButton="0" quotePrefix="0" xfId="0"/>
    <xf numFmtId="166" fontId="0" fillId="0" borderId="0" pivotButton="0" quotePrefix="0" xfId="0"/>
    <xf numFmtId="3" fontId="10" fillId="0" borderId="3" pivotButton="0" quotePrefix="0" xfId="0"/>
    <xf numFmtId="166" fontId="10" fillId="0" borderId="3" pivotButton="0" quotePrefix="0" xfId="0"/>
    <xf numFmtId="166" fontId="9" fillId="0" borderId="3" pivotButton="0" quotePrefix="0" xfId="0"/>
    <xf numFmtId="166" fontId="11" fillId="0" borderId="0" pivotButton="0" quotePrefix="0" xfId="0"/>
    <xf numFmtId="166" fontId="9" fillId="4" borderId="3" applyProtection="1" pivotButton="0" quotePrefix="0" xfId="0">
      <protection locked="0" hidden="0"/>
    </xf>
    <xf numFmtId="166" fontId="12"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Transactions per day (average for year 1)</t>
        </is>
      </c>
      <c r="B4" s="18" t="n">
        <v>210</v>
      </c>
      <c r="C4" t="inlineStr">
        <is>
          <t>Transactions served per day on average over the year (bread, pastries and coffee at the counter, plus what the wholesale channel picks up). It is a driver, not a figure backed out of a revenue target, and it should sit between the pessimistic and optimistic scenarios published on the "Scenarios" tab. With fewer transactions, net income falls below the 5% floor this workbook sets, because fixed costs (labor, rent, insurance) do not grow with volume and each extra transaction goes almost entirely to the bottom line. WATCH OUT: the base case is demanding on both sides at once, volume and average check; if either one comes in lower in your area, net income drops below that floor. Compare it with your location before you trust it</t>
        </is>
      </c>
    </row>
    <row r="5">
      <c r="A5" t="inlineStr">
        <is>
          <t>Average check (excl. sales tax)</t>
        </is>
      </c>
      <c r="B5" s="24" t="n">
        <v>10</v>
      </c>
      <c r="C5" t="inlineStr">
        <is>
          <t>EXCL. SALES TAX. It sits in the upper part of the range that the industry benchmarks table on the "Instructions" tab gives for a bakery average check (kit estimate), because it combines pastries and coffee with the bread, not just the loaf. Check it against your own menu: if your real average check is lower, lower it here and see what happens to net income</t>
        </is>
      </c>
    </row>
    <row r="6">
      <c r="A6" t="inlineStr">
        <is>
          <t>Operating days per year</t>
        </is>
      </c>
      <c r="B6" s="18" t="n">
        <v>310</v>
      </c>
      <c r="C6" t="inlineStr">
        <is>
          <t>The SAME number feeds the "3-Year P&amp;L", the "Break-Even" tab and the "Scenarios" tab, so all three always work on the same operating calendar</t>
        </is>
      </c>
    </row>
    <row r="7">
      <c r="A7" t="inlineStr">
        <is>
          <t>Volume growth in year 2</t>
        </is>
      </c>
      <c r="B7" s="62" t="n">
        <v>0.12</v>
      </c>
      <c r="C7" t="inlineStr">
        <is>
          <t>Second year, with the wholesale channel (cafés and restaurants) already established and no launch spending. Kept moderate on purpose</t>
        </is>
      </c>
    </row>
    <row r="8">
      <c r="A8" t="inlineStr">
        <is>
          <t>Volume growth in year 3</t>
        </is>
      </c>
      <c r="B8" s="62" t="n">
        <v>0.07000000000000001</v>
      </c>
      <c r="C8" t="inlineStr">
        <is>
          <t>Third year, close to the production ceiling of the oven you installed</t>
        </is>
      </c>
    </row>
    <row r="9">
      <c r="A9" t="inlineStr">
        <is>
          <t>Menu price incl. sales tax (calculated)</t>
        </is>
      </c>
      <c r="B9" s="63">
        <f>IFERROR(IF($B$5="","",$B$5*(1+SUMPRODUCT('3-Year P&amp;L'!$E$10:$E$11,'3-Year P&amp;L'!$G$10:$G$11))),"")</f>
        <v>10.256</v>
      </c>
      <c r="C9" t="str">
        <f>IFERROR("Average check excl. sales tax plus the weighted sales tax of your sales lines ("&amp;TEXT(SUMPRODUCT('3-Year P&amp;L'!$E$10:$E$11,'3-Year P&amp;L'!$G$10:$G$11)*100,"0")&amp;"%), rounded: the tax-exempt share of the bakery line (column H of ""3-Year P&amp;L"") lowers it. In the US, prices usually exclude sales tax and it is added at the register; in the UK, prices include VAT.","")</f>
        <v>Average check excl. sales tax plus the weighted sales tax of your sales lines (3%), rounded: the tax-exempt share of the bakery line (column H of "3-Year P&amp;L") lowers it. In the US, prices usually exclude sales tax and it is added at the register; in the UK, prices include VAT.</v>
      </c>
    </row>
    <row r="10">
      <c r="A10" s="16" t="inlineStr">
        <is>
          <t>SALES MIX AND COST OF GOODS SOLD</t>
        </is>
      </c>
    </row>
    <row r="11">
      <c r="A11" t="inlineStr">
        <is>
          <t>FOOD share of total sales</t>
        </is>
      </c>
      <c r="B11" s="62" t="n">
        <v>0.85</v>
      </c>
      <c r="C11" t="inlineStr">
        <is>
          <t>Share of FOOD in total sales. It is an INPUT: change it here and the P&amp;L, the cash flow and the sales tax collected recalculate on their own</t>
        </is>
      </c>
    </row>
    <row r="12">
      <c r="A12" t="inlineStr">
        <is>
          <t>BEVERAGE share of total sales</t>
        </is>
      </c>
      <c r="B12" s="64">
        <f>IFERROR(IF(COUNT(B11)=0,"",1-B11),"")</f>
        <v>0.15000000000000002</v>
      </c>
      <c r="C12" t="inlineStr">
        <is>
          <t>Calculated as the remainder: food + beverage = 100%</t>
        </is>
      </c>
    </row>
    <row r="13">
      <c r="A13" t="inlineStr">
        <is>
          <t>Cost of goods sold on FOOD sales</t>
        </is>
      </c>
      <c r="B13" s="62" t="n">
        <v>0.3</v>
      </c>
      <c r="C13" t="inlineStr">
        <is>
          <t>Cost of goods sold on bread and pastries, weighted with the ranges in the industry benchmarks table on the "Instructions" tab. Bread (25-30%) weighs more in the mix than pastries (32-38%), so the blend sits close to the low end of the pastry range</t>
        </is>
      </c>
    </row>
    <row r="14">
      <c r="A14" t="inlineStr">
        <is>
          <t>Cost of goods sold on BEVERAGE sales</t>
        </is>
      </c>
      <c r="B14" s="62" t="n">
        <v>0.22</v>
      </c>
      <c r="C14" t="inlineStr">
        <is>
          <t>Cost of coffee and beverages against their own sales: inside the 20-30% that the industry benchmarks table on the "Instructions" tab gives for coffee (kit estimate)</t>
        </is>
      </c>
    </row>
    <row r="15">
      <c r="A15" t="inlineStr">
        <is>
          <t>Disposables and packaging as % of sales</t>
        </is>
      </c>
      <c r="B15" s="62" t="n">
        <v>0.03</v>
      </c>
      <c r="C15" t="inlineStr">
        <is>
          <t>Paper bags, pastry boxes and counter napkins</t>
        </is>
      </c>
    </row>
    <row r="16">
      <c r="A16" t="inlineStr">
        <is>
          <t>Delivery share of total sales</t>
        </is>
      </c>
      <c r="B16" s="62" t="n">
        <v>0</v>
      </c>
      <c r="C16" t="inlineStr">
        <is>
          <t>ZERO by default: fresh-baked bread does not travel well and this plan does not deliver on day one. Raise it if you turn on a delivery channel for pastries or breakfast orders</t>
        </is>
      </c>
    </row>
    <row r="17">
      <c r="A17" t="inlineStr">
        <is>
          <t>Delivery platform fee</t>
        </is>
      </c>
      <c r="B17" s="62" t="n">
        <v>0.25</v>
      </c>
      <c r="C17" t="inlineStr">
        <is>
          <t>Typical DoorDash / Uber Eats commission on orders served through that channel, if you ever turn it on</t>
        </is>
      </c>
    </row>
    <row r="18">
      <c r="A18" t="inlineStr">
        <is>
          <t>Card processing fee</t>
        </is>
      </c>
      <c r="B18" s="62" t="n">
        <v>0.035</v>
      </c>
      <c r="C18" t="inlineStr">
        <is>
          <t>Card and mobile wallet fees on total sales in the shop (the example, 3.5%, is a kit estimate: enter your effective rate)</t>
        </is>
      </c>
    </row>
    <row r="19">
      <c r="A19" s="16" t="inlineStr">
        <is>
          <t>LABOR</t>
        </is>
      </c>
    </row>
    <row r="20">
      <c r="A20" t="inlineStr">
        <is>
          <t>Employer payroll taxes</t>
        </is>
      </c>
      <c r="B20" s="62"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RENT AND FIXED COSTS</t>
        </is>
      </c>
    </row>
    <row r="24">
      <c r="A24" t="inlineStr">
        <is>
          <t>Monthly rent</t>
        </is>
      </c>
      <c r="B24" s="18" t="n">
        <v>4200</v>
      </c>
      <c r="C24" t="inlineStr">
        <is>
          <t>Space for a bakery with a production area and a storefront (see Phase 2 of the checklist: plan for about 860 sq ft or more for production, storefront and storage; the example is about 1,800 sq ft). Include NNN / CAM charges (property tax, building insurance, common-area maintenance) in this cell, not just the base rent. The workbook calculates the weight on sales in the "Rent / Sales" row of the ratios block on the "3-Year P&amp;L": in the base case it stays BELOW the 10% ceiling set in the industry benchmarks table on the "Instructions" tab</t>
        </is>
      </c>
    </row>
    <row r="25">
      <c r="A25" t="inlineStr">
        <is>
          <t>Security deposit (months of rent)</t>
        </is>
      </c>
      <c r="B25" s="18" t="n">
        <v>2</v>
      </c>
      <c r="C25" t="inlineStr">
        <is>
          <t>Months of rent held as a security deposit. It is set in your commercial lease, so check the terms before you sign</t>
        </is>
      </c>
    </row>
    <row r="26">
      <c r="A26" t="inlineStr">
        <is>
          <t>Monthly utilities (electricity, water, gas)</t>
        </is>
      </c>
      <c r="B26" s="18" t="n">
        <v>1500</v>
      </c>
      <c r="C26" t="inlineStr">
        <is>
          <t>Electricity, water and gas: ovens need a heavy electrical load, so ask your utility about three-phase service (see Phase 2 of the checklist). Ask for the space's utility history before you sign</t>
        </is>
      </c>
    </row>
    <row r="27">
      <c r="A27" t="inlineStr">
        <is>
          <t>Insurance (per year)</t>
        </is>
      </c>
      <c r="B27" s="18" t="n">
        <v>4500</v>
      </c>
      <c r="C27" t="inlineStr">
        <is>
          <t>General liability (landlords and events often require 1 million per occurrence) plus property coverage or a business owner's policy (BOP) for a space with ovens (fire risk from the ovens, see Phase 2 of the checklist)</t>
        </is>
      </c>
    </row>
    <row r="28">
      <c r="A28" t="inlineStr">
        <is>
          <t>Miscellaneous and contingency as % of sales</t>
        </is>
      </c>
      <c r="B28" s="62" t="n">
        <v>0.02</v>
      </c>
      <c r="C28" t="inlineStr">
        <is>
          <t>Cushion for operating expenses that are not budgeted</t>
        </is>
      </c>
    </row>
    <row r="29">
      <c r="A29" s="16" t="inlineStr">
        <is>
          <t>FINANCING</t>
        </is>
      </c>
    </row>
    <row r="30">
      <c r="A30" t="inlineStr">
        <is>
          <t>Owner's equity contributed</t>
        </is>
      </c>
      <c r="B30" s="18" t="n">
        <v>70000</v>
      </c>
      <c r="C30" t="inlineStr">
        <is>
          <t>Owners' contribution. With too little, lenders pass: they usually expect an owner equity injection (often around 10% for SBA start-ups; many want 20-30%) measured against the cash need calculated on the "Startup Costs" tab</t>
        </is>
      </c>
    </row>
    <row r="31">
      <c r="A31" t="inlineStr">
        <is>
          <t>Loan requested</t>
        </is>
      </c>
      <c r="B31" s="18" t="n">
        <v>197000</v>
      </c>
      <c r="C31" t="inlineStr">
        <is>
          <t>Principal requested — bank or SBA 7(a): if your loan is an SBA 7(a), this is the cell. It is the only loan that the amortization schedule, the P&amp;L interest and the DSCR use. The "Financing" tab checks that sources and uses match the cash need calculated on the "Startup Costs" tab, and has a cell that calculates the exact amount that balances them</t>
        </is>
      </c>
    </row>
    <row r="32">
      <c r="A32" t="inlineStr">
        <is>
          <t>Nominal annual interest rate (not APR)</t>
        </is>
      </c>
      <c r="B32" s="62" t="n">
        <v>0.1</v>
      </c>
      <c r="C32" t="inlineStr">
        <is>
          <t>Nominal annual rate, not APR; get offers from two lenders, including an SBA-guaranteed loan, before you fix it</t>
        </is>
      </c>
    </row>
    <row r="33">
      <c r="A33" t="inlineStr">
        <is>
          <t>Loan term (years)</t>
        </is>
      </c>
      <c r="B33" s="18" t="n">
        <v>10</v>
      </c>
      <c r="C33" t="inlineStr">
        <is>
          <t>Total years, interest-only period included</t>
        </is>
      </c>
    </row>
    <row r="34">
      <c r="A34" t="inlineStr">
        <is>
          <t>Interest-only period (years)</t>
        </is>
      </c>
      <c r="B34" s="18" t="n">
        <v>0</v>
      </c>
      <c r="C34" t="inlineStr">
        <is>
          <t>Years in which you pay only interest. ZERO by default: repayment starts in year 1, so the year-1 DSCR already measures the full loan payment. If you negotiate an interest-only period, the principal repayment hits all at once when it ends: the "Break-Even" tab measures that cushion year by year</t>
        </is>
      </c>
    </row>
    <row r="35">
      <c r="A35" t="inlineStr">
        <is>
          <t>Working capital (months of fixed costs)</t>
        </is>
      </c>
      <c r="B35" s="18" t="n">
        <v>3</v>
      </c>
      <c r="C35" t="inlineStr">
        <is>
          <t>The minimum this workbook requires (see "Instructions"): a cushion of less than 3 months will not cover a slow season</t>
        </is>
      </c>
    </row>
    <row r="36">
      <c r="A36" s="16" t="inlineStr">
        <is>
          <t>TAXES</t>
        </is>
      </c>
    </row>
    <row r="37">
      <c r="A37" t="inlineStr">
        <is>
          <t>Effective income tax rate (years 1-2)</t>
        </is>
      </c>
      <c r="B37" s="62"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2"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2" t="n">
        <v>0.08</v>
      </c>
      <c r="C39" t="inlineStr">
        <is>
          <t>Example rate: state + local sales tax combined. It varies widely by state and city: look up yours. UK: 20% VAT on hot food and dine-in</t>
        </is>
      </c>
    </row>
    <row r="40">
      <c r="A40" t="inlineStr">
        <is>
          <t>Sales tax rate on alcohol to go</t>
        </is>
      </c>
      <c r="B40" s="62" t="n">
        <v>0.08</v>
      </c>
      <c r="C40" t="inlineStr">
        <is>
          <t>Sales tax rate on alcohol sold to go or delivered. In this workbook it applies only to the ALCOHOLIC part of beverage sales that leaves through the delivery channel, and this bakery sells no alcohol by default, so it does not affect the result. Some states add a separate liquor tax: check yours</t>
        </is>
      </c>
    </row>
    <row r="41">
      <c r="A41" t="inlineStr">
        <is>
          <t>Recoverable input tax on purchases and capex</t>
        </is>
      </c>
      <c r="B41" s="62"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10</v>
      </c>
      <c r="C44" t="inlineStr">
        <is>
          <t>Build-out, electrical service and ventilation of a bakery production area. Book depreciation in this model is straight-line; MACRS and Section 179 are tax treatments handled outside the model, so confirm them with your accountant</t>
        </is>
      </c>
    </row>
    <row r="45">
      <c r="A45" t="inlineStr">
        <is>
          <t>Useful life of machinery, furniture and equipment (years)</t>
        </is>
      </c>
      <c r="B45" s="18" t="n">
        <v>7</v>
      </c>
      <c r="C45" t="inlineStr">
        <is>
          <t>Oven, mixer, divider, coolers and display case. Book depreciation in this model is straight-line; MACRS and Section 179 are tax treatments handled outside the model, so confirm them with your accountant</t>
        </is>
      </c>
    </row>
    <row r="47">
      <c r="A47" s="16" t="inlineStr">
        <is>
          <t>GROWTH AND COST INFLATION</t>
        </is>
      </c>
    </row>
    <row r="48">
      <c r="A48" t="inlineStr">
        <is>
          <t>Annual increase in fixed costs</t>
        </is>
      </c>
      <c r="B48" s="62" t="n">
        <v>0</v>
      </c>
      <c r="C48" t="inlineStr">
        <is>
          <t>SET TO ZERO: all three columns are in year-1 prices (real terms). Raise it if you want to project in nominal terms</t>
        </is>
      </c>
    </row>
    <row r="49">
      <c r="A49" s="16" t="inlineStr">
        <is>
          <t>RAMP-UP AND CAPACITY</t>
        </is>
      </c>
    </row>
    <row r="51">
      <c r="A51" t="inlineStr">
        <is>
          <t>Seating capacity (seats at tables + bar)</t>
        </is>
      </c>
      <c r="B51" s="18" t="n">
        <v>15</v>
      </c>
      <c r="C51" t="inlineStr">
        <is>
          <t>Most transactions are counter sales (to go), not table service: this number covers only the café corner with seats, not the line at the bread counter. It helps you size the seating area of the space; the volume of the business is projected from counter transactions, not from seat turns</t>
        </is>
      </c>
    </row>
    <row r="52">
      <c r="A52" t="inlineStr">
        <is>
          <t>Month-1 activity as a % of steady-state activity</t>
        </is>
      </c>
      <c r="B52" s="62" t="n">
        <v>0.55</v>
      </c>
      <c r="C52" t="inlineStr">
        <is>
          <t>A new business does not sell on day one what it sells six months later. The daily volume above is the year-1 AVERAGE: the ramp only spreads year 1's sales across the months (slower start, stronger finish) and keeps the annual total. At 100% there is no ramp</t>
        </is>
      </c>
    </row>
    <row r="53">
      <c r="A53" t="inlineStr">
        <is>
          <t>Months to reach steady state</t>
        </is>
      </c>
      <c r="B53" s="18" t="n">
        <v>6</v>
      </c>
      <c r="C53" t="inlineStr">
        <is>
          <t>The ramp rises in a straight line from the percentage above to 100% over this number of months</t>
        </is>
      </c>
    </row>
    <row r="54">
      <c r="A54" t="inlineStr">
        <is>
          <t>Months of rent BEFORE opening (build-out and permits)</t>
        </is>
      </c>
      <c r="B54" s="18" t="n">
        <v>1</v>
      </c>
      <c r="C54" t="inlineStr">
        <is>
          <t>You pay for the space from the day you sign. These months are a startup cost: they do NOT overlap the P&amp;L, which starts on opening day</t>
        </is>
      </c>
    </row>
    <row r="55">
      <c r="A55" t="inlineStr">
        <is>
          <t>Contingency on the BUILD-OUT lines of the space block (%)</t>
        </is>
      </c>
      <c r="B55" s="62" t="n">
        <v>0.1</v>
      </c>
      <c r="C55" t="inlineStr">
        <is>
          <t>Cushion on the build-out and fit-out line. A lender will not finance a renovation without it</t>
        </is>
      </c>
    </row>
    <row r="57">
      <c r="A57" s="16" t="inlineStr">
        <is>
          <t>RECEIPTS, PAYMENTS AND SALES TAX BREAKDOWN</t>
        </is>
      </c>
    </row>
    <row r="58">
      <c r="A58" t="inlineStr">
        <is>
          <t>Average collection days</t>
        </is>
      </c>
      <c r="B58" s="18" t="n">
        <v>1</v>
      </c>
      <c r="C58" t="inlineStr">
        <is>
          <t>Weighted average: the counter is paid on the spot (0 days) and wholesale accounts (cafés and restaurants) usually pay on terms, often 30 days. With the weight this plan gives to wholesale, it comes to about a day on average: raise it if your deliveries to other businesses weigh more</t>
        </is>
      </c>
    </row>
    <row r="59">
      <c r="A59" t="inlineStr">
        <is>
          <t>Average days to pay suppliers</t>
        </is>
      </c>
      <c r="B59" s="18" t="n">
        <v>14</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ALCOHOLIC beverages as a share of total beverage sales</t>
        </is>
      </c>
      <c r="B62" s="62" t="n">
        <v>0</v>
      </c>
      <c r="C62" t="inlineStr">
        <is>
          <t>ZERO: the beverage line of this plan is coffee and tea, with no alcohol (unlike a coffee shop with brunch, which may pour a celebratory mimosa). If you add sparkling wine for celebration breakfasts, raise this cell; you will also need your state liquor license</t>
        </is>
      </c>
    </row>
    <row r="63">
      <c r="A63" t="inlineStr">
        <is>
          <t>Sales tax rate on alcohol served at the counter</t>
        </is>
      </c>
      <c r="B63" s="62" t="n">
        <v>0.08</v>
      </c>
      <c r="C63" t="inlineStr">
        <is>
          <t>Rate for alcohol served at the counter: the same as the rest of on-site sales in this example (8%: state + local). Alcohol rates vary by state and some states add a separate liquor tax: check yours. The workbook applies the alcohol rates only to the ALCOHOLIC part of beverage sales, and this plan sells none by default</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2" t="n">
        <v>0.15</v>
      </c>
      <c r="C67" t="inlineStr">
        <is>
          <t>How far planned sales must sit above cash break-even (fixed costs and the loan payment). The drop you can absorb is somewhat smaller: with a 15% cushion, about 13% of plan</t>
        </is>
      </c>
    </row>
    <row r="68">
      <c r="A68" t="inlineStr">
        <is>
          <t>State / local minimum wage, annual full-time</t>
        </is>
      </c>
      <c r="B68" s="18" t="n"/>
      <c r="C68" t="inlineStr">
        <is>
          <t>Your STATE or LOCAL minimum wage can be higher than the federal one: enter it here as an annual full-time figure (hourly rate × 2,080 hours). The higher of the two applies. Leave it empty or at 0 and the traffic light compares only against the federal minimum</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8"/>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BAKERY</t>
        </is>
      </c>
    </row>
    <row r="2">
      <c r="A2" s="2" t="inlineStr">
        <is>
          <t>Startup Costs — US example (2026)</t>
        </is>
      </c>
    </row>
    <row r="3">
      <c r="A3" s="3" t="inlineStr">
        <is>
          <t>Adjust the figures to your project.</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65">
        <f>IFERROR(IF(COUNT(B7:B28)=0,"",SUM(B7:B28)),"")</f>
        <v>182500.0</v>
      </c>
      <c r="C6" s="66">
        <f>IFERROR(B6/$B$31,"")</f>
        <v>0.6842663727133318</v>
      </c>
      <c r="D6" s="28" t="n"/>
      <c r="E6" s="28" t="n"/>
    </row>
    <row r="7">
      <c r="A7" s="28" t="inlineStr">
        <is>
          <t>LLC formation and legal</t>
        </is>
      </c>
      <c r="B7" s="49" t="n">
        <v>1500</v>
      </c>
      <c r="C7" s="67">
        <f>IFERROR(B7/$B$31,"")</f>
        <v>0.005624107172986288</v>
      </c>
      <c r="D7" s="28" t="inlineStr">
        <is>
          <t>Single-member LLC: filing fee and attorney review (fees vary by state)</t>
        </is>
      </c>
      <c r="E7" s="31" t="inlineStr">
        <is>
          <t>No</t>
        </is>
      </c>
    </row>
    <row r="8">
      <c r="A8" s="28" t="inlineStr">
        <is>
          <t>Licenses and health plan review</t>
        </is>
      </c>
      <c r="B8" s="49" t="n">
        <v>2500</v>
      </c>
      <c r="C8" s="67">
        <f>IFERROR(B8/$B$31,"")</f>
        <v>0.009373511954977147</v>
      </c>
      <c r="D8" s="28" t="inlineStr">
        <is>
          <t>A bakery with ovens needs a certificate of occupancy and a health department plan review</t>
        </is>
      </c>
      <c r="E8" s="31" t="inlineStr">
        <is>
          <t>No</t>
        </is>
      </c>
    </row>
    <row r="9">
      <c r="A9" s="28" t="inlineStr">
        <is>
          <t>Architect and permit drawings</t>
        </is>
      </c>
      <c r="B9" s="49" t="n">
        <v>6000</v>
      </c>
      <c r="C9" s="67">
        <f>IFERROR(B9/$B$31,"")</f>
        <v>0.022496428691945153</v>
      </c>
      <c r="D9" s="28" t="inlineStr">
        <is>
          <t>Required: oven ventilation and electrical load drawings</t>
        </is>
      </c>
      <c r="E9" s="31" t="inlineStr">
        <is>
          <t>Yes</t>
        </is>
      </c>
    </row>
    <row r="10">
      <c r="A10" s="28" t="inlineStr">
        <is>
          <t>Build-out</t>
        </is>
      </c>
      <c r="B10" s="49" t="n">
        <v>35000</v>
      </c>
      <c r="C10" s="67">
        <f>IFERROR(B10/$B$31,"")</f>
        <v>0.13122916736968007</v>
      </c>
      <c r="D10" s="28" t="inlineStr">
        <is>
          <t>Technical flooring, washable wall finishes, production area</t>
        </is>
      </c>
      <c r="E10" s="31" t="inlineStr">
        <is>
          <t>Yes</t>
        </is>
      </c>
    </row>
    <row r="11">
      <c r="A11" s="28" t="inlineStr">
        <is>
          <t>Electrical service upgrade for the ovens</t>
        </is>
      </c>
      <c r="B11" s="49" t="n">
        <v>10000</v>
      </c>
      <c r="C11" s="67">
        <f>IFERROR(B11/$B$31,"")</f>
        <v>0.03749404781990859</v>
      </c>
      <c r="D11" s="28" t="inlineStr">
        <is>
          <t>Three-phase service, check with your utility</t>
        </is>
      </c>
      <c r="E11" s="31" t="inlineStr">
        <is>
          <t>Yes</t>
        </is>
      </c>
    </row>
    <row r="12">
      <c r="A12" s="28" t="inlineStr">
        <is>
          <t>Oven ventilation and exhaust</t>
        </is>
      </c>
      <c r="B12" s="49" t="n">
        <v>10000</v>
      </c>
      <c r="C12" s="67">
        <f>IFERROR(B12/$B$31,"")</f>
        <v>0.03749404781990859</v>
      </c>
      <c r="D12" s="28" t="inlineStr">
        <is>
          <t>Required: hood, exhaust fan and filters; ask the city whether a ventilation permit applies</t>
        </is>
      </c>
      <c r="E12" s="31" t="inlineStr">
        <is>
          <t>Yes</t>
        </is>
      </c>
    </row>
    <row r="13">
      <c r="A13" s="28" t="inlineStr">
        <is>
          <t>Deck / rack oven</t>
        </is>
      </c>
      <c r="B13" s="49" t="n">
        <v>25000</v>
      </c>
      <c r="C13" s="67">
        <f>IFERROR(B13/$B$31,"")</f>
        <v>0.09373511954977147</v>
      </c>
      <c r="D13" s="28" t="inlineStr">
        <is>
          <t>Deck oven (artisan) or rack oven (volume)</t>
        </is>
      </c>
      <c r="E13" s="31" t="inlineStr">
        <is>
          <t>Yes</t>
        </is>
      </c>
    </row>
    <row r="14">
      <c r="A14" s="28" t="inlineStr">
        <is>
          <t>Spiral mixer (55-110 lb)</t>
        </is>
      </c>
      <c r="B14" s="49" t="n">
        <v>9000</v>
      </c>
      <c r="C14" s="67">
        <f>IFERROR(B14/$B$31,"")</f>
        <v>0.03374464303791773</v>
      </c>
      <c r="D14" s="28" t="inlineStr">
        <is>
          <t>Capacity based on daily production</t>
        </is>
      </c>
      <c r="E14" s="31" t="inlineStr">
        <is>
          <t>Yes</t>
        </is>
      </c>
    </row>
    <row r="15">
      <c r="A15" s="28" t="inlineStr">
        <is>
          <t>Divider-rounder</t>
        </is>
      </c>
      <c r="B15" s="49" t="n">
        <v>7000</v>
      </c>
      <c r="C15" s="67">
        <f>IFERROR(B15/$B$31,"")</f>
        <v>0.02624583347393601</v>
      </c>
      <c r="D15" s="28" t="inlineStr">
        <is>
          <t>For batch production of uniform pieces</t>
        </is>
      </c>
      <c r="E15" s="31" t="inlineStr">
        <is>
          <t>Yes</t>
        </is>
      </c>
    </row>
    <row r="16">
      <c r="A16" s="28" t="inlineStr">
        <is>
          <t>Proofer / retarder</t>
        </is>
      </c>
      <c r="B16" s="49" t="n">
        <v>10000</v>
      </c>
      <c r="C16" s="67">
        <f>IFERROR(B16/$B$31,"")</f>
        <v>0.03749404781990859</v>
      </c>
      <c r="D16" s="28" t="inlineStr">
        <is>
          <t>Programmable slow fermentation: key to quality</t>
        </is>
      </c>
      <c r="E16" s="31" t="inlineStr">
        <is>
          <t>Yes</t>
        </is>
      </c>
    </row>
    <row r="17">
      <c r="A17" s="28" t="inlineStr">
        <is>
          <t>Walk-in cooler and freezer</t>
        </is>
      </c>
      <c r="B17" s="49" t="n">
        <v>9000</v>
      </c>
      <c r="C17" s="67">
        <f>IFERROR(B17/$B$31,"")</f>
        <v>0.03374464303791773</v>
      </c>
      <c r="D17" s="28" t="inlineStr">
        <is>
          <t>Storage for raw ingredients and frozen dough</t>
        </is>
      </c>
      <c r="E17" s="31" t="inlineStr">
        <is>
          <t>Yes</t>
        </is>
      </c>
    </row>
    <row r="18">
      <c r="A18" s="28" t="inlineStr">
        <is>
          <t>Stainless tables and shelving</t>
        </is>
      </c>
      <c r="B18" s="49" t="n">
        <v>5000</v>
      </c>
      <c r="C18" s="67">
        <f>IFERROR(B18/$B$31,"")</f>
        <v>0.018747023909954294</v>
      </c>
      <c r="D18" s="28" t="inlineStr">
        <is>
          <t>Production work surface</t>
        </is>
      </c>
      <c r="E18" s="31" t="inlineStr">
        <is>
          <t>Yes</t>
        </is>
      </c>
    </row>
    <row r="19">
      <c r="A19" s="28" t="inlineStr">
        <is>
          <t>Dough sheeter (for pastries)</t>
        </is>
      </c>
      <c r="B19" s="49" t="n">
        <v>8000</v>
      </c>
      <c r="C19" s="67">
        <f>IFERROR(B19/$B$31,"")</f>
        <v>0.02999523825592687</v>
      </c>
      <c r="D19" s="28" t="inlineStr">
        <is>
          <t>For croissants, puff pastry and pastries</t>
        </is>
      </c>
      <c r="E19" s="31" t="inlineStr">
        <is>
          <t>Yes</t>
        </is>
      </c>
    </row>
    <row r="20">
      <c r="A20" s="28" t="inlineStr">
        <is>
          <t>Display case and counter</t>
        </is>
      </c>
      <c r="B20" s="49" t="n">
        <v>9000</v>
      </c>
      <c r="C20" s="67">
        <f>IFERROR(B20/$B$31,"")</f>
        <v>0.03374464303791773</v>
      </c>
      <c r="D20" s="28" t="inlineStr">
        <is>
          <t>Bread and pastry display for customers</t>
        </is>
      </c>
      <c r="E20" s="31" t="inlineStr">
        <is>
          <t>Yes</t>
        </is>
      </c>
    </row>
    <row r="21">
      <c r="A21" s="28" t="inlineStr">
        <is>
          <t>Retail store fixtures</t>
        </is>
      </c>
      <c r="B21" s="49" t="n">
        <v>4000</v>
      </c>
      <c r="C21" s="67">
        <f>IFERROR(B21/$B$31,"")</f>
        <v>0.014997619127963435</v>
      </c>
      <c r="D21" s="28" t="inlineStr">
        <is>
          <t>Counter, shelving and register</t>
        </is>
      </c>
      <c r="E21" s="31" t="inlineStr">
        <is>
          <t>Yes</t>
        </is>
      </c>
    </row>
    <row r="22">
      <c r="A22" s="28" t="inlineStr">
        <is>
          <t>POS + scale + software</t>
        </is>
      </c>
      <c r="B22" s="49" t="n">
        <v>2500</v>
      </c>
      <c r="C22" s="67">
        <f>IFERROR(B22/$B$31,"")</f>
        <v>0.009373511954977147</v>
      </c>
      <c r="D22" s="28" t="inlineStr">
        <is>
          <t>POS that tracks production and sales</t>
        </is>
      </c>
      <c r="E22" s="31" t="inlineStr">
        <is>
          <t>Yes</t>
        </is>
      </c>
    </row>
    <row r="23">
      <c r="A23" s="28" t="inlineStr">
        <is>
          <t>Signage and exterior branding</t>
        </is>
      </c>
      <c r="B23" s="49" t="n">
        <v>3000</v>
      </c>
      <c r="C23" s="67">
        <f>IFERROR(B23/$B$31,"")</f>
        <v>0.011248214345972576</v>
      </c>
      <c r="D23" s="28" t="inlineStr">
        <is>
          <t>Sign and storefront window</t>
        </is>
      </c>
      <c r="E23" s="31" t="inlineStr">
        <is>
          <t>Yes</t>
        </is>
      </c>
    </row>
    <row r="24">
      <c r="A24" s="28" t="inlineStr">
        <is>
          <t>Launch marketing</t>
        </is>
      </c>
      <c r="B24" s="49" t="n">
        <v>4000</v>
      </c>
      <c r="C24" s="67">
        <f>IFERROR(B24/$B$31,"")</f>
        <v>0.014997619127963435</v>
      </c>
      <c r="D24" s="28" t="inlineStr">
        <is>
          <t>Website, Google Business Profile, social media, flyers</t>
        </is>
      </c>
      <c r="E24" s="31" t="inlineStr">
        <is>
          <t>Yes</t>
        </is>
      </c>
    </row>
    <row r="25">
      <c r="A25" s="28" t="inlineStr">
        <is>
          <t>Opening ingredients inventory (flour, yeast, etc.)</t>
        </is>
      </c>
      <c r="B25" s="49" t="n">
        <v>3000</v>
      </c>
      <c r="C25" s="67">
        <f>IFERROR(B25/$B$31,"")</f>
        <v>0.011248214345972576</v>
      </c>
      <c r="D25" s="28" t="inlineStr">
        <is>
          <t>Bread flour, rye, sourdough starter, yeast</t>
        </is>
      </c>
      <c r="E25" s="31" t="inlineStr">
        <is>
          <t>Yes</t>
        </is>
      </c>
    </row>
    <row r="26">
      <c r="A26" s="28" t="inlineStr">
        <is>
          <t>Security deposit</t>
        </is>
      </c>
      <c r="B26" s="39">
        <f>IFERROR(IF('0. Assumptions'!$B$24="","",'0. Assumptions'!$B$24*'0. Assumptions'!$B$25),"")</f>
        <v>8400.0</v>
      </c>
      <c r="C26" s="67">
        <f>IFERROR(B26/$B$31,"")</f>
        <v>0.03149500016872322</v>
      </c>
      <c r="D26" s="28"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6" s="28" t="inlineStr">
        <is>
          <t>No</t>
        </is>
      </c>
    </row>
    <row r="27">
      <c r="A27" s="28" t="inlineStr">
        <is>
          <t>Rent paid before opening</t>
        </is>
      </c>
      <c r="B27" s="39">
        <f>IFERROR(IF('0. Assumptions'!$B$24="","",'0. Assumptions'!$B$24*'0. Assumptions'!$B$54),"")</f>
        <v>4200.0</v>
      </c>
      <c r="C27" s="67">
        <f>IFERROR(B27/$B$31,"")</f>
        <v>0.01574750008436161</v>
      </c>
      <c r="D27" s="28" t="str">
        <f>IFERROR("Rent "&amp;IF('0. Assumptions'!$B$54=1,"for the month","for the "&amp;TEXT('0. Assumptions'!$B$54,"0")&amp;" months")&amp;" of build-out and permits before opening. It does not overlap the P&amp;L, which starts on opening day: its twelve months are twelve trading months","")</f>
        <v>Rent for the month of build-out and permits before opening. It does not overlap the P&amp;L, which starts on opening day: its twelve months are twelve trading months</v>
      </c>
      <c r="E27" s="28" t="inlineStr">
        <is>
          <t>Yes</t>
        </is>
      </c>
    </row>
    <row r="28">
      <c r="A28" s="33" t="inlineStr">
        <is>
          <t>Build-out and setup contingency</t>
        </is>
      </c>
      <c r="B28" s="42">
        <f>IFERROR(IF(COUNT(B9,B10,B11,B12,B23)=0,"",ROUND((B9+B10+B11+B12+B23)*'0. Assumptions'!$B$55,0)),"")</f>
        <v>6400.0</v>
      </c>
      <c r="C28" s="64">
        <f>IFERROR(B28/$B$31,"")</f>
        <v>0.023996190604741497</v>
      </c>
      <c r="D28" t="str">
        <f>IFERROR("At "&amp;TEXT('0. Assumptions'!$B$55,"0%")&amp;" of the BUILD-OUT items of this block (architect and building permits, construction, electrical service upgrade for the ovens, oven ventilation and exhaust, signage), not of the whole block: the other items are left out. No lender funds a "&amp;"build-out without a cushion: the percentage is in ""0. Assumptions""","")</f>
        <v>At 10% of the BUILD-OUT items of this block (architect and building permits, construction, electrical service upgrade for the ovens, oven ventilation and exhaust, signage), not of the whole block: the other items are left out. No lender funds a build-out without a cushion: the percentage is in "0. Assumptions"</v>
      </c>
      <c r="E28" s="33" t="inlineStr">
        <is>
          <t>Yes</t>
        </is>
      </c>
    </row>
    <row r="29">
      <c r="A29" s="16" t="inlineStr">
        <is>
          <t>WORKING CAPITAL</t>
        </is>
      </c>
      <c r="B29" s="52">
        <f>IFERROR(IF(B30="","",B30),"")</f>
        <v>84209.0</v>
      </c>
      <c r="C29" s="68">
        <f>IFERROR(B29/$B$31,"")</f>
        <v>0.31573362728666826</v>
      </c>
    </row>
    <row r="30">
      <c r="A30" s="33" t="inlineStr">
        <is>
          <t>Operating cushion until break-even</t>
        </is>
      </c>
      <c r="B30" s="42">
        <f>IFERROR(IF('0. Assumptions'!$B$35*('3-Year P&amp;L'!$B$38-'3-Year P&amp;L'!$B$36)=0,"",'0. Assumptions'!$B$35*('3-Year P&amp;L'!$B$38-'3-Year P&amp;L'!$B$36)/12),"")</f>
        <v>84209.0</v>
      </c>
      <c r="C30" s="64">
        <f>IFERROR(B30/$B$31,"")</f>
        <v>0.31573362728666826</v>
      </c>
      <c r="D30"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30" s="33" t="inlineStr">
        <is>
          <t>No</t>
        </is>
      </c>
    </row>
    <row r="31">
      <c r="A31" s="16" t="inlineStr">
        <is>
          <t>TOTAL STARTUP COSTS (sum of the blocks)</t>
        </is>
      </c>
      <c r="B31" s="52">
        <f>IFERROR(B6+B29,"")</f>
        <v>266709.0</v>
      </c>
      <c r="D31" s="37" t="str">
        <f>IFERROR("The percentages in column C are read on this figure, which includes the working capital ("&amp;TEXT(C29,"0%")&amp;" of the total). To compare the breakdown with another plan, use the CAPEX row below.","")</f>
        <v>The percentages in column C are read on this figure, which includes the working capital (32% of the total). To compare the breakdown with another plan, use the CAPEX row below.</v>
      </c>
    </row>
    <row r="32">
      <c r="A32" s="16" t="inlineStr">
        <is>
          <t>CAPEX (startup costs excluding working capital)</t>
        </is>
      </c>
      <c r="B32" s="52">
        <f>IFERROR(B31-B29,"")</f>
        <v>182500.0</v>
      </c>
      <c r="D32" s="16" t="inlineStr">
        <is>
          <t>What you buy: build-out, equipment, launch and formation costs. The cash cushion is not an investment: it is working capital</t>
        </is>
      </c>
    </row>
    <row r="33">
      <c r="A33" s="33" t="inlineStr">
        <is>
          <t>Recoverable input tax on capex</t>
        </is>
      </c>
      <c r="B33" s="42">
        <f>IFERROR(IF(B31="","",SUMIF($E$7:$E$28,"Yes",$B$7:$B$28)*'0. Assumptions'!$B$41),"")</f>
        <v>0.0</v>
      </c>
      <c r="D33"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34">
      <c r="A34" s="16" t="inlineStr">
        <is>
          <t>TOTAL CASH NEEDED AT LAUNCH</t>
        </is>
      </c>
      <c r="B34" s="52">
        <f>IFERROR(B31+B33,"")</f>
        <v>266709.0</v>
      </c>
      <c r="D34" s="16" t="inlineStr">
        <is>
          <t>This is the figure the Financing tab has to cover</t>
        </is>
      </c>
    </row>
    <row r="35">
      <c r="A35" s="16" t="inlineStr">
        <is>
          <t>DEPRECIATION BASES (not added to startup costs)</t>
        </is>
      </c>
    </row>
    <row r="36">
      <c r="A36" s="33" t="inlineStr">
        <is>
          <t>Build-out, fixtures and setup</t>
        </is>
      </c>
      <c r="B36" s="42">
        <f>IFERROR(IF(B9="","",B9+B10+B11+B12+B23+B28),"")</f>
        <v>70400.0</v>
      </c>
      <c r="D36" t="str">
        <f>IFERROR("Depreciated over "&amp;TEXT('0. Assumptions'!$B$44,"0")&amp;" years","")</f>
        <v>Depreciated over 10 years</v>
      </c>
    </row>
    <row r="37">
      <c r="A37" s="33" t="inlineStr">
        <is>
          <t>Machinery, furniture and equipment</t>
        </is>
      </c>
      <c r="B37" s="42">
        <f>IFERROR(IF(B13="","",B13+B14+B15+B16+B17+B18+B19+B20+B21+B22),"")</f>
        <v>88500.0</v>
      </c>
      <c r="D37" t="str">
        <f>IFERROR("Depreciated over "&amp;TEXT('0. Assumptions'!$B$45,"0")&amp;" years","")</f>
        <v>Depreciated over 7 years</v>
      </c>
    </row>
    <row r="38">
      <c r="A38" s="16" t="inlineStr">
        <is>
          <t>Annual depreciation of fixed assets</t>
        </is>
      </c>
      <c r="B38" s="52">
        <f>IFERROR(B36/MAX(1,'0. Assumptions'!$B$44)+B37/MAX(1,'0. Assumptions'!$B$45),"")</f>
        <v>19682.857142857145</v>
      </c>
      <c r="D38" s="37" t="str">
        <f>IFERROR("Not depreciated, because they are not fixed assets: entity formation and legal, licenses and health plan review, launch marketing, opening inventory, security deposit, pre-opening rent and the working capital reserve. They add up to "&amp;TEXT(B31-B36-B37,"#,##0")&amp;" of the "&amp;TEXT(B31,"#,##0")&amp;" total investment.","")</f>
        <v>Not depreciated, because they are not fixed assets: entity formation and legal, licenses and health plan review, launch marketing, opening inventory, security deposit, pre-opening rent and the working capital reserve. They add up to 107809 of the 266709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4">
    <cfRule type="expression" priority="1" dxfId="0" stopIfTrue="1">
      <formula>AND(ISNUMBER(B34),B34&gt;0)</formula>
    </cfRule>
  </conditionalFormatting>
  <dataValidations count="2">
    <dataValidation sqref="E7:E25"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c r="A1" s="1" t="inlineStr">
        <is>
          <t>PROFIT AND LOSS STATEMENT — 3 YEARS</t>
        </is>
      </c>
    </row>
    <row r="2">
      <c r="A2" s="3" t="inlineStr">
        <is>
          <t>Base scenario — Bakery with storefront, café corner and wholesale</t>
        </is>
      </c>
    </row>
    <row r="4">
      <c r="A4" s="38" t="inlineStr">
        <is>
          <t>Item</t>
        </is>
      </c>
      <c r="B4" s="38" t="inlineStr">
        <is>
          <t>Year 1</t>
        </is>
      </c>
      <c r="C4" s="38" t="inlineStr">
        <is>
          <t>Year 2</t>
        </is>
      </c>
      <c r="D4" s="38" t="inlineStr">
        <is>
          <t>Year 3</t>
        </is>
      </c>
      <c r="E4" s="38" t="inlineStr">
        <is>
          <t>% of sales (year 1)</t>
        </is>
      </c>
      <c r="F4" s="38" t="inlineStr">
        <is>
          <t>Notes</t>
        </is>
      </c>
      <c r="G4" s="38" t="inlineStr">
        <is>
          <t>Sales tax rate on the line (%)</t>
        </is>
      </c>
      <c r="H4" s="38" t="inlineStr">
        <is>
          <t>Tax-exempt share of the line (%)</t>
        </is>
      </c>
    </row>
    <row r="5">
      <c r="A5" s="25" t="inlineStr">
        <is>
          <t>REVENUE</t>
        </is>
      </c>
      <c r="B5" s="28" t="n"/>
      <c r="C5" s="28" t="n"/>
      <c r="D5" s="28" t="n"/>
      <c r="E5" s="28" t="n"/>
      <c r="F5" s="28" t="n"/>
      <c r="G5" s="28" t="n"/>
      <c r="H5" s="28" t="n"/>
    </row>
    <row r="6">
      <c r="A6" s="28" t="inlineStr">
        <is>
          <t>Transactions per day (average)</t>
        </is>
      </c>
      <c r="B6" s="39">
        <f>IFERROR(IF('0. Assumptions'!$B$4="","",'0. Assumptions'!$B$4),"")</f>
        <v>210.0</v>
      </c>
      <c r="C6" s="39">
        <f>IFERROR(B6*(1+'0. Assumptions'!$B$7),"")</f>
        <v>235.20000000000002</v>
      </c>
      <c r="D6" s="39">
        <f>IFERROR(C6*(1+'0. Assumptions'!$B$8),"")</f>
        <v>251.66400000000004</v>
      </c>
      <c r="E6" s="28" t="n"/>
      <c r="F6" s="28" t="inlineStr">
        <is>
          <t>Growth for years 2 and 3 is set in "0. Assumptions"</t>
        </is>
      </c>
      <c r="G6" s="28" t="n"/>
      <c r="H6" s="28" t="n"/>
    </row>
    <row r="7">
      <c r="A7" s="28" t="inlineStr">
        <is>
          <t>Average check (excl. sales tax)</t>
        </is>
      </c>
      <c r="B7" s="60">
        <f>IFERROR(IF('0. Assumptions'!$B$5="","",'0. Assumptions'!$B$5),"")</f>
        <v>10.0</v>
      </c>
      <c r="C7" s="60">
        <f>IFERROR(IF(B7="","",B7),"")</f>
        <v>10.0</v>
      </c>
      <c r="D7" s="60">
        <f>IFERROR(IF(C7="","",C7),"")</f>
        <v>10.0</v>
      </c>
      <c r="E7" s="28" t="n"/>
      <c r="F7" s="28" t="inlineStr">
        <is>
          <t>Held constant at year-1 prices: a price increase is a separate decision</t>
        </is>
      </c>
      <c r="G7" s="28" t="n"/>
      <c r="H7" s="28" t="n"/>
    </row>
    <row r="8">
      <c r="A8" s="28" t="inlineStr">
        <is>
          <t>Operating days per year</t>
        </is>
      </c>
      <c r="B8" s="39">
        <f>IFERROR(IF('0. Assumptions'!$B$6="","",'0. Assumptions'!$B$6),"")</f>
        <v>310.0</v>
      </c>
      <c r="C8" s="39">
        <f>IFERROR(IF(B8="","",B8),"")</f>
        <v>310.0</v>
      </c>
      <c r="D8" s="39">
        <f>IFERROR(IF(C8="","",C8),"")</f>
        <v>310.0</v>
      </c>
      <c r="E8" s="28" t="n"/>
      <c r="F8" s="28" t="n"/>
      <c r="G8" s="28" t="n"/>
      <c r="H8" s="28" t="n"/>
    </row>
    <row r="9">
      <c r="A9" s="25" t="inlineStr">
        <is>
          <t>TOTAL REVENUE (excl. sales tax)</t>
        </is>
      </c>
      <c r="B9" s="65">
        <f>IFERROR(IF(B6*B7*B8=0,"",B6*B7*B8),"")</f>
        <v>651000.0</v>
      </c>
      <c r="C9" s="65">
        <f>IFERROR(IF(C6*C7*C8=0,"",C6*C7*C8),"")</f>
        <v>729120.0</v>
      </c>
      <c r="D9" s="65">
        <f>IFERROR(IF(D6*D7*D8=0,"",D6*D7*D8),"")</f>
        <v>780158.4000000001</v>
      </c>
      <c r="E9" s="66">
        <f>IFERROR(IF(B9="","",1),"")</f>
        <v>1.0</v>
      </c>
      <c r="F9" s="28" t="n"/>
      <c r="G9" s="28" t="n"/>
      <c r="H9" s="28" t="n"/>
    </row>
    <row r="10">
      <c r="A10" s="28" t="inlineStr">
        <is>
          <t>Bakery sales: bread, pastries and wholesale to cafés</t>
        </is>
      </c>
      <c r="B10" s="39">
        <f>IFERROR(IF(B9="","",B9*$E$10),"")</f>
        <v>553350.0</v>
      </c>
      <c r="C10" s="39">
        <f>IFERROR(IF(C9="","",C9*$E$10),"")</f>
        <v>619752.0</v>
      </c>
      <c r="D10" s="39">
        <f>IFERROR(IF(D9="","",D9*$E$10),"")</f>
        <v>663134.6400000001</v>
      </c>
      <c r="E10" s="67">
        <f>IFERROR(IF('0. Assumptions'!$B$11="","",'0. Assumptions'!$B$11),"")</f>
        <v>0.85</v>
      </c>
      <c r="F10" s="28" t="inlineStr">
        <is>
          <t>Artisan bread and pastries from the shop, plus the wholesale channel to cafés and restaurants (the bread you sell to another business is the same product line as the bread you sell at the counter; only the channel changes). NOTE: the model projects sales with ONE engine — transactions × average check × days — so a delivery to another business enters here as one more transaction, not as a big order. What the workbook does capture is its effect on cash, through the average collection days on "0. Assumptions". If wholesale weighs heavily in your project, model it separately · The percentage on the right ("Tax-exempt share of the line (%)") is the part of this line that carries no sales tax: bakery goods to go, plus wholesale sales to a café that resells them (with a resale certificate on file). The example is 0.80. Many states exempt bakery goods sold to go and tax what is eaten in the shop, but the rules vary by state: check yours. At 0 the workbook taxes the whole line. In the UK, cold bakery goods to go are zero-rated and on-site consumption carries 20% VAT. It only affects cash flow: the P&amp;L is excl. sales tax</t>
        </is>
      </c>
      <c r="G10" s="67">
        <f>IFERROR(IF(B9="","",H10*0+(1-H10)*'0. Assumptions'!$B$39),"")</f>
        <v>0.015999999999999997</v>
      </c>
      <c r="H10" s="69" t="n">
        <v>0.8</v>
      </c>
    </row>
    <row r="11">
      <c r="A11" s="28" t="inlineStr">
        <is>
          <t>Coffee and beverage sales (no alcohol)</t>
        </is>
      </c>
      <c r="B11" s="39">
        <f>IFERROR(IF(B9="","",B9*$E$11),"")</f>
        <v>97650.00000000001</v>
      </c>
      <c r="C11" s="39">
        <f>IFERROR(IF(C9="","",C9*$E$11),"")</f>
        <v>109368.00000000001</v>
      </c>
      <c r="D11" s="39">
        <f>IFERROR(IF(D9="","",D9*$E$11),"")</f>
        <v>117023.76000000004</v>
      </c>
      <c r="E11" s="67">
        <f>IFERROR(IF('0. Assumptions'!$B$12="","",'0. Assumptions'!$B$12),"")</f>
        <v>0.15000000000000002</v>
      </c>
      <c r="F11" s="28" t="inlineStr">
        <is>
          <t>Whole-bean coffee, teas and infusions from the counter, to go with breakfast or an afternoon snack: specialty beans cost more than commodity coffee, and the benchmarks table on the "Instructions" tab puts beverage cost at 20-30% of its own sales (kit estimate)</t>
        </is>
      </c>
      <c r="G11" s="67">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sold — food</t>
        </is>
      </c>
      <c r="B13" s="39">
        <f>IFERROR(IF(B9="","",B9*'0. Assumptions'!$B$11*'0. Assumptions'!$B$13),"")</f>
        <v>166005.0</v>
      </c>
      <c r="C13" s="39">
        <f>IFERROR(IF(C9="","",C9*'0. Assumptions'!$B$11*'0. Assumptions'!$B$13),"")</f>
        <v>185925.6</v>
      </c>
      <c r="D13" s="39">
        <f>IFERROR(IF(D9="","",D9*'0. Assumptions'!$B$11*'0. Assumptions'!$B$13),"")</f>
        <v>198940.39200000002</v>
      </c>
      <c r="E13" s="67">
        <f>IFERROR(B13/$B$9,"")</f>
        <v>0.255</v>
      </c>
      <c r="F13" s="28" t="str">
        <f>IFERROR("At "&amp;TEXT('0. Assumptions'!$B$13,"0%")&amp;" of FOOD sales, not of total sales: beverages have their own line · In the US the sales tax you pay on ingredients is a cost, not a credit, so column G of this row is 0","")</f>
        <v>At 30% of FOOD sales, not of total sales: beverages have their own line · In the US the sales tax you pay on ingredients is a cost, not a credit, so column G of this row is 0</v>
      </c>
      <c r="G13" s="67">
        <f>IFERROR(IF(B9="","",'0. Assumptions'!$B$41),"")</f>
        <v>0.0</v>
      </c>
      <c r="H13" s="28" t="n"/>
    </row>
    <row r="14">
      <c r="A14" s="28" t="inlineStr">
        <is>
          <t>Cost of goods sold — beverage</t>
        </is>
      </c>
      <c r="B14" s="39">
        <f>IFERROR(IF(B9="","",B9*'0. Assumptions'!$B$12*'0. Assumptions'!$B$14),"")</f>
        <v>21483.000000000004</v>
      </c>
      <c r="C14" s="39">
        <f>IFERROR(IF(C9="","",C9*'0. Assumptions'!$B$12*'0. Assumptions'!$B$14),"")</f>
        <v>24060.960000000003</v>
      </c>
      <c r="D14" s="39">
        <f>IFERROR(IF(D9="","",D9*'0. Assumptions'!$B$12*'0. Assumptions'!$B$14),"")</f>
        <v>25745.22720000001</v>
      </c>
      <c r="E14" s="67">
        <f>IFERROR(B14/$B$9,"")</f>
        <v>0.03300000000000001</v>
      </c>
      <c r="F14" s="28" t="str">
        <f>IFERROR("At "&amp;TEXT('0. Assumptions'!$B$14,"0%")&amp;" of BEVERAGE sales","")</f>
        <v>At 22% of BEVERAGE sales</v>
      </c>
      <c r="G14" s="67">
        <f>IFERROR(IF(B9="","",'0. Assumptions'!$B$41),"")</f>
        <v>0.0</v>
      </c>
      <c r="H14" s="28" t="n"/>
    </row>
    <row r="15">
      <c r="A15" s="28" t="inlineStr">
        <is>
          <t>Disposables and packaging</t>
        </is>
      </c>
      <c r="B15" s="39">
        <f>IFERROR(IF(B9="","",B9*'0. Assumptions'!$B$15),"")</f>
        <v>19530.0</v>
      </c>
      <c r="C15" s="39">
        <f>IFERROR(IF(C9="","",C9*'0. Assumptions'!$B$15),"")</f>
        <v>21873.6</v>
      </c>
      <c r="D15" s="39">
        <f>IFERROR(IF(D9="","",D9*'0. Assumptions'!$B$15),"")</f>
        <v>23404.752000000004</v>
      </c>
      <c r="E15" s="67">
        <f>IFERROR(B15/$B$9,"")</f>
        <v>0.03</v>
      </c>
      <c r="F15" s="28" t="n"/>
      <c r="G15" s="67">
        <f>IFERROR(IF(B9="","",'0. Assumptions'!$B$41),"")</f>
        <v>0.0</v>
      </c>
      <c r="H15" s="28" t="n"/>
    </row>
    <row r="16">
      <c r="A16" s="28" t="inlineStr">
        <is>
          <t>Delivery platform fees</t>
        </is>
      </c>
      <c r="B16" s="39">
        <f>IFERROR(IF(B9="","",B9*'0. Assumptions'!$B$16*'0. Assumptions'!$B$17),"")</f>
        <v>0.0</v>
      </c>
      <c r="C16" s="39">
        <f>IFERROR(IF(C9="","",C9*'0. Assumptions'!$B$16*'0. Assumptions'!$B$17),"")</f>
        <v>0.0</v>
      </c>
      <c r="D16" s="39">
        <f>IFERROR(IF(D9="","",D9*'0. Assumptions'!$B$16*'0. Assumptions'!$B$17),"")</f>
        <v>0.0</v>
      </c>
      <c r="E16" s="67">
        <f>IFERROR(B16/$B$9,"")</f>
        <v>0.0</v>
      </c>
      <c r="F16" s="28" t="inlineStr">
        <is>
          <t>Applied to the sales of THAT CHANNEL. With 0% delivery in Assumptions, this line is zero</t>
        </is>
      </c>
      <c r="G16" s="67">
        <f>IFERROR(IF(B9="","",'0. Assumptions'!$B$41),"")</f>
        <v>0.0</v>
      </c>
      <c r="H16" s="28" t="n"/>
    </row>
    <row r="17">
      <c r="A17" s="28" t="inlineStr">
        <is>
          <t>Card processing fees</t>
        </is>
      </c>
      <c r="B17" s="39">
        <f>IFERROR(IF(B9="","",B9*'0. Assumptions'!$B$18),"")</f>
        <v>22785.000000000004</v>
      </c>
      <c r="C17" s="39">
        <f>IFERROR(IF(C9="","",C9*'0. Assumptions'!$B$18),"")</f>
        <v>25519.2</v>
      </c>
      <c r="D17" s="39">
        <f>IFERROR(IF(D9="","",D9*'0. Assumptions'!$B$18),"")</f>
        <v>27305.54400000001</v>
      </c>
      <c r="E17" s="67">
        <f>IFERROR(B17/$B$9,"")</f>
        <v>0.035</v>
      </c>
      <c r="F17" s="28" t="inlineStr">
        <is>
          <t>Card processing fees are not subject to sales tax: no tax is recovered or deducted for them</t>
        </is>
      </c>
      <c r="G17" s="67" t="n">
        <v>0</v>
      </c>
      <c r="H17" s="28" t="n"/>
    </row>
    <row r="18">
      <c r="A18" s="28" t="inlineStr">
        <is>
          <t>Miscellaneous and contingency</t>
        </is>
      </c>
      <c r="B18" s="39">
        <f>IFERROR(IF(B9="","",B9*'0. Assumptions'!$B$28),"")</f>
        <v>13020.0</v>
      </c>
      <c r="C18" s="39">
        <f>IFERROR(IF(C9="","",C9*'0. Assumptions'!$B$28),"")</f>
        <v>14582.4</v>
      </c>
      <c r="D18" s="39">
        <f>IFERROR(IF(D9="","",D9*'0. Assumptions'!$B$28),"")</f>
        <v>15603.168000000003</v>
      </c>
      <c r="E18" s="67">
        <f>IFERROR(B18/$B$9,"")</f>
        <v>0.02</v>
      </c>
      <c r="F18" s="28" t="str">
        <f>IFERROR("At "&amp;TEXT('0. Assumptions'!$B$28,"0%")&amp;" of sales. It is a VARIABLE cost: it moves with revenue, so it cannot sit in fixed costs","")</f>
        <v>At 2% of sales. It is a VARIABLE cost: it moves with revenue, so it cannot sit in fixed costs</v>
      </c>
      <c r="G18" s="67">
        <f>IFERROR(IF(B9="","",'0. Assumptions'!$B$41),"")</f>
        <v>0.0</v>
      </c>
      <c r="H18" s="28" t="n"/>
    </row>
    <row r="19">
      <c r="A19" s="25" t="inlineStr">
        <is>
          <t>TOTAL VARIABLE COSTS</t>
        </is>
      </c>
      <c r="B19" s="65">
        <f>IFERROR(IF(B9="","",SUM(B13:B18)),"")</f>
        <v>242823.0</v>
      </c>
      <c r="C19" s="65">
        <f>IFERROR(IF(C9="","",SUM(C13:C18)),"")</f>
        <v>271961.76</v>
      </c>
      <c r="D19" s="65">
        <f>IFERROR(IF(D9="","",SUM(D13:D18)),"")</f>
        <v>290999.08320000005</v>
      </c>
      <c r="E19" s="66">
        <f>IFERROR(B19/$B$9,"")</f>
        <v>0.373</v>
      </c>
      <c r="F19" s="28" t="n"/>
      <c r="G19" s="28" t="n"/>
      <c r="H19" s="28" t="n"/>
    </row>
    <row r="20">
      <c r="A20" s="25" t="inlineStr">
        <is>
          <t>GROSS MARGIN</t>
        </is>
      </c>
      <c r="B20" s="65">
        <f>IFERROR(IF(B9="","",B9-B19),"")</f>
        <v>408177.0</v>
      </c>
      <c r="C20" s="65">
        <f>IFERROR(IF(C9="","",C9-C19),"")</f>
        <v>457158.24</v>
      </c>
      <c r="D20" s="65">
        <f>IFERROR(IF(D9="","",D9-D19),"")</f>
        <v>489159.3168000001</v>
      </c>
      <c r="E20" s="66">
        <f>IFERROR(B20/$B$9,"")</f>
        <v>0.627</v>
      </c>
      <c r="F20" s="28" t="n"/>
      <c r="G20" s="28" t="n"/>
      <c r="H20" s="28" t="n"/>
    </row>
    <row r="21">
      <c r="A21" s="25" t="inlineStr">
        <is>
          <t>FIXED COSTS</t>
        </is>
      </c>
      <c r="B21" s="28" t="n"/>
      <c r="C21" s="28" t="n"/>
      <c r="D21" s="28" t="n"/>
      <c r="E21" s="28" t="n"/>
      <c r="F21" s="28" t="n"/>
      <c r="G21" s="28" t="n"/>
      <c r="H21" s="28" t="n"/>
    </row>
    <row r="22">
      <c r="A22" s="28" t="inlineStr">
        <is>
          <t>Rent</t>
        </is>
      </c>
      <c r="B22" s="39">
        <f>IFERROR(IF(B9="","",'0. Assumptions'!$B$24*12),"")</f>
        <v>50400.0</v>
      </c>
      <c r="C22" s="39">
        <f>IFERROR(IF(C9="","",B22*(1+'0. Assumptions'!$B$48)),"")</f>
        <v>50400.0</v>
      </c>
      <c r="D22" s="39">
        <f>IFERROR(IF(D9="","",C22*(1+'0. Assumptions'!$B$48)),"")</f>
        <v>50400.0</v>
      </c>
      <c r="E22" s="67">
        <f>IFERROR(B22/$B$9,"")</f>
        <v>0.07741935483870968</v>
      </c>
      <c r="F22" s="28" t="inlineStr">
        <is>
          <t>The monthly amount is on the "0. Assumptions" tab; here it is multiplied by twelve. Rent for the build-out months, which comes before opening, is on the Startup Costs tab and is NOT counted twice</t>
        </is>
      </c>
      <c r="G22" s="67">
        <f>IFERROR(IF(B9="","",'0. Assumptions'!$B$41),"")</f>
        <v>0.0</v>
      </c>
      <c r="H22" s="28" t="n"/>
    </row>
    <row r="23">
      <c r="A23" s="28" t="inlineStr">
        <is>
          <t>Labor (wages + employer payroll taxes)</t>
        </is>
      </c>
      <c r="B23" s="39">
        <f>IFERROR(IF(B9="","",Staffing!$G$11),"")</f>
        <v>220836.0</v>
      </c>
      <c r="C23" s="39">
        <f>IFERROR(IF(C9="","",Staffing!$B$15),"")</f>
        <v>226836.0</v>
      </c>
      <c r="D23" s="39">
        <f>IFERROR(IF(D9="","",Staffing!$B$16),"")</f>
        <v>232836.0</v>
      </c>
      <c r="E23" s="67">
        <f>IFERROR(B23/$B$9,"")</f>
        <v>0.3392258064516129</v>
      </c>
      <c r="F23" s="28" t="inlineStr">
        <is>
          <t>Comes from the Staffing tab: it is the SAME number, not a separate estimate. Years 2 and 3 add the new hires declared on that tab, not a percentage of volume</t>
        </is>
      </c>
      <c r="G23" s="67" t="n">
        <v>0</v>
      </c>
      <c r="H23" s="28" t="n"/>
    </row>
    <row r="24">
      <c r="A24" s="28" t="inlineStr">
        <is>
          <t>Utilities (electricity, water, gas)</t>
        </is>
      </c>
      <c r="B24" s="39">
        <f>IFERROR(IF(B9="","",'0. Assumptions'!$B$26*12),"")</f>
        <v>18000.0</v>
      </c>
      <c r="C24" s="39">
        <f>IFERROR(IF(C9="","",B24*(1+'0. Assumptions'!$B$48)),"")</f>
        <v>18000.0</v>
      </c>
      <c r="D24" s="39">
        <f>IFERROR(IF(D9="","",C24*(1+'0. Assumptions'!$B$48)),"")</f>
        <v>18000.0</v>
      </c>
      <c r="E24" s="67">
        <f>IFERROR(B24/$B$9,"")</f>
        <v>0.027649769585253458</v>
      </c>
      <c r="F24" s="28" t="inlineStr">
        <is>
          <t>Enter the monthly bills excl. sales tax. The workbook applies a single tax treatment to this whole line, the one in the column next to it; if one utility is taxed differently in your area, give it its own line</t>
        </is>
      </c>
      <c r="G24" s="67">
        <f>IFERROR(IF(B9="","",'0. Assumptions'!$B$41),"")</f>
        <v>0.0</v>
      </c>
      <c r="H24" s="28" t="n"/>
    </row>
    <row r="25">
      <c r="A25" s="28" t="inlineStr">
        <is>
          <t>Insurance (general liability + property / auto)</t>
        </is>
      </c>
      <c r="B25" s="39">
        <f>IFERROR(IF(B9="","",'0. Assumptions'!$B$27),"")</f>
        <v>4500.0</v>
      </c>
      <c r="C25" s="39">
        <f>IFERROR(IF(C9="","",B25*(1+'0. Assumptions'!$B$48)),"")</f>
        <v>4500.0</v>
      </c>
      <c r="D25" s="39">
        <f>IFERROR(IF(D9="","",C25*(1+'0. Assumptions'!$B$48)),"")</f>
        <v>4500.0</v>
      </c>
      <c r="E25" s="67">
        <f>IFERROR(B25/$B$9,"")</f>
        <v>0.0069124423963133645</v>
      </c>
      <c r="F25" s="28" t="inlineStr">
        <is>
          <t>Insurance premiums are not subject to sales tax: there is no recoverable tax on them</t>
        </is>
      </c>
      <c r="G25" s="67" t="n">
        <v>0</v>
      </c>
      <c r="H25" s="28" t="n"/>
    </row>
    <row r="26">
      <c r="A26" s="28" t="inlineStr">
        <is>
          <t>Accountant</t>
        </is>
      </c>
      <c r="B26" s="49" t="n">
        <v>3600</v>
      </c>
      <c r="C26" s="39">
        <f>IFERROR(IF(C9="","",B26*(1+'0. Assumptions'!$B$48)),"")</f>
        <v>3600.0</v>
      </c>
      <c r="D26" s="39">
        <f>IFERROR(IF(D9="","",C26*(1+'0. Assumptions'!$B$48)),"")</f>
        <v>3600.0</v>
      </c>
      <c r="E26" s="67">
        <f>IFERROR(B26/$B$9,"")</f>
        <v>0.005529953917050691</v>
      </c>
      <c r="F26" s="28" t="n"/>
      <c r="G26" s="67">
        <f>IFERROR(IF(B9="","",'0. Assumptions'!$B$41),"")</f>
        <v>0.0</v>
      </c>
      <c r="H26" s="28" t="n"/>
    </row>
    <row r="27">
      <c r="A27" s="28" t="inlineStr">
        <is>
          <t>Oven and equipment maintenance</t>
        </is>
      </c>
      <c r="B27" s="49" t="n">
        <v>4000</v>
      </c>
      <c r="C27" s="39">
        <f>IFERROR(IF(C9="","",B27*(1+'0. Assumptions'!$B$48)),"")</f>
        <v>4000.0</v>
      </c>
      <c r="D27" s="39">
        <f>IFERROR(IF(D9="","",C27*(1+'0. Assumptions'!$B$48)),"")</f>
        <v>4000.0</v>
      </c>
      <c r="E27" s="67">
        <f>IFERROR(B27/$B$9,"")</f>
        <v>0.006144393241167435</v>
      </c>
      <c r="F27" s="28" t="n"/>
      <c r="G27" s="67">
        <f>IFERROR(IF(B9="","",'0. Assumptions'!$B$41),"")</f>
        <v>0.0</v>
      </c>
      <c r="H27" s="28" t="n"/>
    </row>
    <row r="28">
      <c r="A28" s="28" t="inlineStr">
        <is>
          <t>Marketing</t>
        </is>
      </c>
      <c r="B28" s="49" t="n">
        <v>7200</v>
      </c>
      <c r="C28" s="39">
        <f>IFERROR(IF(C9="","",B28*(1+'0. Assumptions'!$B$48)),"")</f>
        <v>7200.0</v>
      </c>
      <c r="D28" s="39">
        <f>IFERROR(IF(D9="","",C28*(1+'0. Assumptions'!$B$48)),"")</f>
        <v>7200.0</v>
      </c>
      <c r="E28" s="67">
        <f>IFERROR(B28/$B$9,"")</f>
        <v>0.011059907834101382</v>
      </c>
      <c r="F28" s="28" t="n"/>
      <c r="G28" s="67">
        <f>IFERROR(IF(B9="","",'0. Assumptions'!$B$41),"")</f>
        <v>0.0</v>
      </c>
      <c r="H28" s="28" t="n"/>
    </row>
    <row r="29">
      <c r="A29" s="28" t="inlineStr">
        <is>
          <t>Software</t>
        </is>
      </c>
      <c r="B29" s="49" t="n">
        <v>1800</v>
      </c>
      <c r="C29" s="39">
        <f>IFERROR(IF(C9="","",B29*(1+'0. Assumptions'!$B$48)),"")</f>
        <v>1800.0</v>
      </c>
      <c r="D29" s="39">
        <f>IFERROR(IF(D9="","",C29*(1+'0. Assumptions'!$B$48)),"")</f>
        <v>1800.0</v>
      </c>
      <c r="E29" s="67">
        <f>IFERROR(B29/$B$9,"")</f>
        <v>0.0027649769585253456</v>
      </c>
      <c r="F29" s="28" t="n"/>
      <c r="G29" s="67">
        <f>IFERROR(IF(B9="","",'0. Assumptions'!$B$41),"")</f>
        <v>0.0</v>
      </c>
      <c r="H29" s="28" t="n"/>
    </row>
    <row r="30">
      <c r="A30" s="28" t="inlineStr">
        <is>
          <t>Cleaning</t>
        </is>
      </c>
      <c r="B30" s="49" t="n">
        <v>2400</v>
      </c>
      <c r="C30" s="39">
        <f>IFERROR(IF(C9="","",B30*(1+'0. Assumptions'!$B$48)),"")</f>
        <v>2400.0</v>
      </c>
      <c r="D30" s="39">
        <f>IFERROR(IF(D9="","",C30*(1+'0. Assumptions'!$B$48)),"")</f>
        <v>2400.0</v>
      </c>
      <c r="E30" s="67">
        <f>IFERROR(B30/$B$9,"")</f>
        <v>0.003686635944700461</v>
      </c>
      <c r="F30" s="28" t="n"/>
      <c r="G30" s="67">
        <f>IFERROR(IF(B9="","",'0. Assumptions'!$B$41),"")</f>
        <v>0.0</v>
      </c>
      <c r="H30" s="28" t="n"/>
    </row>
    <row r="31">
      <c r="A31" s="28" t="inlineStr">
        <is>
          <t>Miscellaneous</t>
        </is>
      </c>
      <c r="B31" s="49" t="n">
        <v>1200</v>
      </c>
      <c r="C31" s="39">
        <f>IFERROR(IF(C9="","",B31*(1+'0. Assumptions'!$B$48)),"")</f>
        <v>1200.0</v>
      </c>
      <c r="D31" s="39">
        <f>IFERROR(IF(D9="","",C31*(1+'0. Assumptions'!$B$48)),"")</f>
        <v>1200.0</v>
      </c>
      <c r="E31" s="67">
        <f>IFERROR(B31/$B$9,"")</f>
        <v>0.0018433179723502304</v>
      </c>
      <c r="F31" s="28" t="n"/>
      <c r="G31" s="67">
        <f>IFERROR(IF(B9="","",'0. Assumptions'!$B$41),"")</f>
        <v>0.0</v>
      </c>
      <c r="H31" s="28" t="n"/>
    </row>
    <row r="32">
      <c r="A32" s="28" t="inlineStr">
        <is>
          <t>Waste hauling (organic and cardboard)</t>
        </is>
      </c>
      <c r="B32" s="49" t="n">
        <v>1200</v>
      </c>
      <c r="C32" s="39">
        <f>IFERROR(IF(C9="","",B32*(1+'0. Assumptions'!$B$48)),"")</f>
        <v>1200.0</v>
      </c>
      <c r="D32" s="39">
        <f>IFERROR(IF(D9="","",C32*(1+'0. Assumptions'!$B$48)),"")</f>
        <v>1200.0</v>
      </c>
      <c r="E32" s="67">
        <f>IFERROR(B32/$B$9,"")</f>
        <v>0.0018433179723502304</v>
      </c>
      <c r="F32" s="28" t="inlineStr">
        <is>
          <t>Licensed waste / grease hauler; the checklist asks for the contract before you open. This plan does not fry, so the volume is lower than a restaurant's: get a quote in your area</t>
        </is>
      </c>
      <c r="G32" s="67">
        <f>IFERROR(IF(B9="","",'0. Assumptions'!$B$41),"")</f>
        <v>0.0</v>
      </c>
      <c r="H32" s="28" t="n"/>
    </row>
    <row r="33">
      <c r="A33" s="28" t="inlineStr">
        <is>
          <t>Pest control</t>
        </is>
      </c>
      <c r="B33" s="49" t="n">
        <v>900</v>
      </c>
      <c r="C33" s="39">
        <f>IFERROR(IF(C9="","",B33*(1+'0. Assumptions'!$B$48)),"")</f>
        <v>900.0</v>
      </c>
      <c r="D33" s="39">
        <f>IFERROR(IF(D9="","",C33*(1+'0. Assumptions'!$B$48)),"")</f>
        <v>900.0</v>
      </c>
      <c r="E33" s="67">
        <f>IFERROR(B33/$B$9,"")</f>
        <v>0.0013824884792626728</v>
      </c>
      <c r="F33" s="28" t="inlineStr">
        <is>
          <t>Licensed pest control company; part of the HACCP-based food safety plan that the checklist already requires in the staff phase. Stored flour attracts pests more easily than a restaurant pantry does, so the budget is slightly higher</t>
        </is>
      </c>
      <c r="G33" s="67">
        <f>IFERROR(IF(B9="","",'0. Assumptions'!$B$41),"")</f>
        <v>0.0</v>
      </c>
      <c r="H33" s="28" t="n"/>
    </row>
    <row r="34">
      <c r="A34" s="28" t="inlineStr">
        <is>
          <t>Music licensing (ASCAP, BMI, SESAC)</t>
        </is>
      </c>
      <c r="B34" s="49" t="n">
        <v>600</v>
      </c>
      <c r="C34" s="39">
        <f>IFERROR(IF(C9="","",B34*(1+'0. Assumptions'!$B$48)),"")</f>
        <v>600.0</v>
      </c>
      <c r="D34" s="39">
        <f>IFERROR(IF(D9="","",C34*(1+'0. Assumptions'!$B$48)),"")</f>
        <v>600.0</v>
      </c>
      <c r="E34" s="67">
        <f>IFERROR(B34/$B$9,"")</f>
        <v>0.0009216589861751152</v>
      </c>
      <c r="F34" s="28" t="inlineStr">
        <is>
          <t>ASCAP, BMI and SESAC are separate licensing organizations; the fee depends on the size and capacity of your shop. Only needed if you play music</t>
        </is>
      </c>
      <c r="G34" s="67">
        <f>IFERROR(IF(B9="","",'0. Assumptions'!$B$41),"")</f>
        <v>0.0</v>
      </c>
      <c r="H34" s="28" t="n"/>
    </row>
    <row r="35">
      <c r="A35" s="28" t="inlineStr">
        <is>
          <t>Training and certifications</t>
        </is>
      </c>
      <c r="B35" s="49" t="n">
        <v>500</v>
      </c>
      <c r="C35" s="39">
        <f>IFERROR(IF(C9="","",B35*(1+'0. Assumptions'!$B$48)),"")</f>
        <v>500.0</v>
      </c>
      <c r="D35" s="39">
        <f>IFERROR(IF(D9="","",C35*(1+'0. Assumptions'!$B$48)),"")</f>
        <v>500.0</v>
      </c>
      <c r="E35" s="67">
        <f>IFERROR(B35/$B$9,"")</f>
        <v>0.0007680491551459293</v>
      </c>
      <c r="F35" s="28" t="inlineStr">
        <is>
          <t>Food handler cards, Certified Food Protection Manager certification (for example ServSafe) and workplace safety training for the team. A bakery has specific hazards (burns, heavy lifting, flour dust in the air). Requirements vary by state and county</t>
        </is>
      </c>
      <c r="G35" s="67">
        <f>IFERROR(IF(B9="","",'0. Assumptions'!$B$41),"")</f>
        <v>0.0</v>
      </c>
      <c r="H35" s="28" t="n"/>
    </row>
    <row r="36">
      <c r="A36" s="28" t="inlineStr">
        <is>
          <t>Depreciation of fixed assets</t>
        </is>
      </c>
      <c r="B36" s="39">
        <f>IFERROR(IF(B9="","",'Startup Costs'!$B$38),"")</f>
        <v>19682.857142857145</v>
      </c>
      <c r="C36" s="39">
        <f>IFERROR(IF(C9="","",B36),"")</f>
        <v>19682.857142857145</v>
      </c>
      <c r="D36" s="39">
        <f>IFERROR(IF(D9="","",B36),"")</f>
        <v>19682.857142857145</v>
      </c>
      <c r="E36" s="67">
        <f>IFERROR(B36/$B$9,"")</f>
        <v>0.0302348035988589</v>
      </c>
      <c r="F36" s="28" t="inlineStr">
        <is>
          <t>Comes from the depreciation bases on the Startup Costs tab: real fixed assets only. It does NOT rise with inflation: it is a charge on the HISTORICAL cost of the assets</t>
        </is>
      </c>
      <c r="G36" s="67" t="n">
        <v>0</v>
      </c>
      <c r="H36" s="28" t="n"/>
    </row>
    <row r="37">
      <c r="A37" s="28" t="inlineStr">
        <is>
          <t>Interest expense (loan interest)</t>
        </is>
      </c>
      <c r="B37" s="39">
        <f>IFERROR(IF(B9="","",Financing!$B$44),"")</f>
        <v>19700.0</v>
      </c>
      <c r="C37" s="39">
        <f>IFERROR(IF(C9="","",Financing!$B$46),"")</f>
        <v>18463.915720814523</v>
      </c>
      <c r="D37" s="39">
        <f>IFERROR(IF(D9="","",Financing!$B$48),"")</f>
        <v>17104.2230137105</v>
      </c>
      <c r="E37" s="67">
        <f>IFERROR(B37/$B$9,"")</f>
        <v>0.030261136712749617</v>
      </c>
      <c r="F37" s="28" t="inlineStr">
        <is>
          <t>Only INTEREST is an expense. Principal repaid appears on the cash flow tab</t>
        </is>
      </c>
      <c r="G37" s="67" t="n">
        <v>0</v>
      </c>
      <c r="H37" s="28" t="n"/>
    </row>
    <row r="38">
      <c r="A38" s="25" t="inlineStr">
        <is>
          <t>TOTAL FIXED COSTS</t>
        </is>
      </c>
      <c r="B38" s="65">
        <f>IFERROR(IF(B9="","",SUM(B22:B37)),"")</f>
        <v>356518.85714285716</v>
      </c>
      <c r="C38" s="65">
        <f>IFERROR(IF(C9="","",SUM(C22:C37)),"")</f>
        <v>361282.7728636717</v>
      </c>
      <c r="D38" s="65">
        <f>IFERROR(IF(D9="","",SUM(D22:D37)),"")</f>
        <v>365923.0801565677</v>
      </c>
      <c r="E38" s="66">
        <f>IFERROR(B38/$B$9,"")</f>
        <v>0.5476480140443274</v>
      </c>
      <c r="F38" s="28" t="n"/>
      <c r="G38" s="28" t="n"/>
      <c r="H38" s="28" t="n"/>
    </row>
    <row r="39">
      <c r="A39" s="33" t="inlineStr">
        <is>
          <t>Recoverable input tax on variable costs</t>
        </is>
      </c>
      <c r="B39" s="42">
        <f>IFERROR(IF(B9="","",SUMPRODUCT(B13:B18,G13:G18)),"")</f>
        <v>0.0</v>
      </c>
      <c r="C39" s="42">
        <f>IFERROR(IF(C9="","",SUMPRODUCT(C13:C18,G13:G18)),"")</f>
        <v>0.0</v>
      </c>
      <c r="D39" s="42">
        <f>IFERROR(IF(D9="","",SUMPRODUCT(D13:D18,G13:G18)),"")</f>
        <v>0.0</v>
      </c>
      <c r="F39" s="33" t="inlineStr">
        <is>
          <t>Each line at ITS OWN rate, read from the column next to it. It is what the cash flow tab overpays to suppliers and later deducts (zero wherever no tax is recoverable)</t>
        </is>
      </c>
    </row>
    <row r="40">
      <c r="A40" s="33" t="inlineStr">
        <is>
          <t>Recoverable input tax on fixed costs</t>
        </is>
      </c>
      <c r="B40" s="42">
        <f>IFERROR(IF(B9="","",SUMPRODUCT(B22:B37,G22:G37)),"")</f>
        <v>0.0</v>
      </c>
      <c r="C40" s="42">
        <f>IFERROR(IF(C9="","",SUMPRODUCT(C22:C37,G22:G37)),"")</f>
        <v>0.0</v>
      </c>
      <c r="D40" s="42">
        <f>IFERROR(IF(D9="","",SUMPRODUCT(D22:D37,G22:G37)),"")</f>
        <v>0.0</v>
      </c>
    </row>
    <row r="41">
      <c r="A41" s="16" t="inlineStr">
        <is>
          <t>PRE-TAX INCOME (EBT)</t>
        </is>
      </c>
      <c r="B41" s="52">
        <f>IFERROR(IF(B9="","",B20-B38),"")</f>
        <v>51658.14285714284</v>
      </c>
      <c r="C41" s="52">
        <f>IFERROR(IF(C9="","",C20-C38),"")</f>
        <v>95875.46713632828</v>
      </c>
      <c r="D41" s="52">
        <f>IFERROR(IF(D9="","",D20-D38),"")</f>
        <v>123236.2366434324</v>
      </c>
      <c r="E41" s="68">
        <f>IFERROR(B41/$B$9,"")</f>
        <v>0.07935198595567257</v>
      </c>
    </row>
    <row r="42">
      <c r="A42" s="33" t="inlineStr">
        <is>
          <t>Net operating losses carried forward (opening)</t>
        </is>
      </c>
      <c r="B42" s="42">
        <f>IFERROR(IF(B9="","",'0. Assumptions'!$B$42),"")</f>
        <v>0.0</v>
      </c>
      <c r="C42" s="42">
        <f>IFERROR(IF(C9="","",B47),"")</f>
        <v>0.0</v>
      </c>
      <c r="D42" s="42">
        <f>IFERROR(IF(D9="","",C47),"")</f>
        <v>0.0</v>
      </c>
      <c r="F42" s="33" t="inlineStr">
        <is>
          <t>Federal rules let a year's losses offset the profits of later years (the federal limit is 80% of taxable income; this model offsets 100% as a simplification)</t>
        </is>
      </c>
    </row>
    <row r="43">
      <c r="A43" s="33" t="inlineStr">
        <is>
          <t>Taxable income (after loss offset)</t>
        </is>
      </c>
      <c r="B43" s="42">
        <f>IFERROR(IF(B9="","",MAX(0,B41-B42)),"")</f>
        <v>51658.14285714284</v>
      </c>
      <c r="C43" s="42">
        <f>IFERROR(IF(C9="","",MAX(0,C41-C42)),"")</f>
        <v>95875.46713632828</v>
      </c>
      <c r="D43" s="42">
        <f>IFERROR(IF(D9="","",MAX(0,D41-D42)),"")</f>
        <v>123236.2366434324</v>
      </c>
    </row>
    <row r="44">
      <c r="A44" s="33" t="inlineStr">
        <is>
          <t>Years with positive taxable income (cumulative)</t>
        </is>
      </c>
      <c r="B44" s="42">
        <f>IFERROR(IF(B9="","",IF(B43&gt;0,1,0)),"")</f>
        <v>1.0</v>
      </c>
      <c r="C44" s="42">
        <f>IFERROR(IF(C9="","",B44+IF(C43&gt;0,1,0)),"")</f>
        <v>2.0</v>
      </c>
      <c r="D44" s="42">
        <f>IFERROR(IF(D9="","",C44+IF(D43&gt;0,1,0)),"")</f>
        <v>3.0</v>
      </c>
    </row>
    <row r="45">
      <c r="A45" s="33" t="inlineStr">
        <is>
          <t>Effective income tax rate applied</t>
        </is>
      </c>
      <c r="B45" s="64">
        <f>IFERROR(IF(B9="","",IF(B43&lt;=0,"",IF(B44&lt;=2,'0. Assumptions'!$B$37,'0. Assumptions'!$B$38))),"")</f>
        <v>0.25</v>
      </c>
      <c r="C45" s="64">
        <f>IFERROR(IF(C9="","",IF(C43&lt;=0,"",IF(C44&lt;=2,'0. Assumptions'!$B$37,'0. Assumptions'!$B$38))),"")</f>
        <v>0.25</v>
      </c>
      <c r="D45" s="64">
        <f>IFERROR(IF(D9="","",IF(D43&lt;=0,"",IF(D44&lt;=2,'0. Assumptions'!$B$37,'0. Assumptions'!$B$38))),"")</f>
        <v>0.25</v>
      </c>
      <c r="F45" s="33" t="inlineStr">
        <is>
          <t>The "years 1-2" rate applies to the first two years with positive taxable income, not to the first two calendar years of the business. The model approximates this by counting the first two profitable years</t>
        </is>
      </c>
    </row>
    <row r="46">
      <c r="A46" s="33" t="inlineStr">
        <is>
          <t>Income tax</t>
        </is>
      </c>
      <c r="B46" s="42">
        <f>IFERROR(IF(B9="","",IF(B45="",0,B43*B45)),"")</f>
        <v>12914.53571428571</v>
      </c>
      <c r="C46" s="42">
        <f>IFERROR(IF(C9="","",IF(C45="",0,C43*C45)),"")</f>
        <v>23968.86678408207</v>
      </c>
      <c r="D46" s="42">
        <f>IFERROR(IF(D9="","",IF(D45="",0,D43*D45)),"")</f>
        <v>30809.0591608581</v>
      </c>
    </row>
    <row r="47">
      <c r="A47" s="33" t="inlineStr">
        <is>
          <t>Net operating losses carried forward (closing)</t>
        </is>
      </c>
      <c r="B47" s="42">
        <f>IFERROR(IF(B9="","",MAX(0,B42-B41)),"")</f>
        <v>0.0</v>
      </c>
      <c r="C47" s="42">
        <f>IFERROR(IF(C9="","",MAX(0,C42-C41)),"")</f>
        <v>0.0</v>
      </c>
      <c r="D47" s="42">
        <f>IFERROR(IF(D9="","",MAX(0,D42-D41)),"")</f>
        <v>0.0</v>
      </c>
    </row>
    <row r="48">
      <c r="A48" s="16" t="inlineStr">
        <is>
          <t>NET INCOME</t>
        </is>
      </c>
      <c r="B48" s="52">
        <f>IFERROR(IF(B9="","",B41-B46),"")</f>
        <v>38743.60714285713</v>
      </c>
      <c r="C48" s="52">
        <f>IFERROR(IF(C9="","",C41-C46),"")</f>
        <v>71906.60035224621</v>
      </c>
      <c r="D48" s="52">
        <f>IFERROR(IF(D9="","",D41-D46),"")</f>
        <v>92427.1774825743</v>
      </c>
      <c r="E48" s="68">
        <f>IFERROR(B48/$B$9,"")</f>
        <v>0.05951398946675442</v>
      </c>
    </row>
    <row r="49">
      <c r="A49" s="16" t="inlineStr">
        <is>
          <t>KEY RATIOS</t>
        </is>
      </c>
    </row>
    <row r="50">
      <c r="A50" s="16" t="inlineStr">
        <is>
          <t>Ratio</t>
        </is>
      </c>
      <c r="B50" s="16" t="inlineStr">
        <is>
          <t>Year 1</t>
        </is>
      </c>
      <c r="C50" s="16" t="inlineStr">
        <is>
          <t>Year 2</t>
        </is>
      </c>
      <c r="D50" s="16" t="inlineStr">
        <is>
          <t>Year 3</t>
        </is>
      </c>
      <c r="E50" s="16" t="inlineStr">
        <is>
          <t>Threshold</t>
        </is>
      </c>
      <c r="F50" s="16" t="inlineStr">
        <is>
          <t>Comment</t>
        </is>
      </c>
    </row>
    <row r="51">
      <c r="A51" s="33" t="inlineStr">
        <is>
          <t>Gross margin / Sales</t>
        </is>
      </c>
      <c r="B51" s="64">
        <f>IFERROR(IF(B9="","",B20/B9),"")</f>
        <v>0.627</v>
      </c>
      <c r="C51" s="64">
        <f>IFERROR(IF(C9="","",C20/C9),"")</f>
        <v>0.627</v>
      </c>
      <c r="D51" s="64">
        <f>IFERROR(IF(D9="","",D20/D9),"")</f>
        <v>0.627</v>
      </c>
      <c r="E51" s="70" t="n">
        <v>0.6</v>
      </c>
      <c r="F51" s="33" t="inlineStr">
        <is>
          <t>Kit benchmark (editable estimate): the floor this workbook sets for a bakery, a gross margin of at least 60%. Artisan bread earns a better margin than industrial bread</t>
        </is>
      </c>
    </row>
    <row r="52">
      <c r="A52" s="33" t="inlineStr">
        <is>
          <t>Cost of goods sold (food + beverage)</t>
        </is>
      </c>
      <c r="B52" s="42">
        <f>IFERROR(IF(B9="","",B13+B14),"")</f>
        <v>187488.0</v>
      </c>
      <c r="C52" s="42">
        <f>IFERROR(IF(C9="","",C13+C14),"")</f>
        <v>209986.56</v>
      </c>
      <c r="D52" s="42">
        <f>IFERROR(IF(D9="","",D13+D14),"")</f>
        <v>224685.61920000002</v>
      </c>
    </row>
    <row r="53">
      <c r="A53" s="33" t="inlineStr">
        <is>
          <t>Cost of goods sold / Sales</t>
        </is>
      </c>
      <c r="B53" s="64">
        <f>IFERROR(IF(B9="","",B52/B9),"")</f>
        <v>0.288</v>
      </c>
      <c r="C53" s="64">
        <f>IFERROR(IF(C9="","",C52/C9),"")</f>
        <v>0.288</v>
      </c>
      <c r="D53" s="64">
        <f>IFERROR(IF(D9="","",D52/D9),"")</f>
        <v>0.288</v>
      </c>
      <c r="E53" s="70" t="n">
        <v>0.33</v>
      </c>
      <c r="F53" s="33" t="inlineStr">
        <is>
          <t>Kit benchmark (editable estimate): ceiling for the blended cost of goods sold, inside the 28-35% range for bakeries (Toast). Bread, pastries and coffee each have their own range in the industry benchmarks table on the "Instructions" tab</t>
        </is>
      </c>
    </row>
    <row r="54">
      <c r="A54" s="33" t="inlineStr">
        <is>
          <t>Labor cost / Sales</t>
        </is>
      </c>
      <c r="B54" s="64">
        <f>IFERROR(IF(B9="","",B23/B9),"")</f>
        <v>0.3392258064516129</v>
      </c>
      <c r="C54" s="64">
        <f>IFERROR(IF(C9="","",C23/C9),"")</f>
        <v>0.31110928242264646</v>
      </c>
      <c r="D54" s="64">
        <f>IFERROR(IF(D9="","",D23/D9),"")</f>
        <v>0.29844708459205205</v>
      </c>
      <c r="E54" s="70" t="n">
        <v>0.38</v>
      </c>
      <c r="F54" s="33" t="inlineStr">
        <is>
          <t>Kit benchmark (editable estimate): 38% is inside the 24-40% labor range for bakeries (Toast), where artisan bread runs 34-40%. The reason it is higher than a coffee shop's is the early production shift and the double job (production plus selling). Using a lower ceiling would require a staff below the minimum a bakery that bakes every day can operate with</t>
        </is>
      </c>
    </row>
    <row r="55">
      <c r="A55" s="33" t="inlineStr">
        <is>
          <t>Rent / Sales</t>
        </is>
      </c>
      <c r="B55" s="64">
        <f>IFERROR(IF(B9="","",B22/B9),"")</f>
        <v>0.07741935483870968</v>
      </c>
      <c r="C55" s="64">
        <f>IFERROR(IF(C9="","",C22/C9),"")</f>
        <v>0.06912442396313365</v>
      </c>
      <c r="D55" s="64">
        <f>IFERROR(IF(D9="","",D22/D9),"")</f>
        <v>0.0646022653861062</v>
      </c>
      <c r="E55" s="70" t="n">
        <v>0.1</v>
      </c>
      <c r="F55" s="33" t="inlineStr">
        <is>
          <t>Kit benchmark (editable estimate): rent up to 10% of sales</t>
        </is>
      </c>
    </row>
    <row r="56">
      <c r="A56" s="33" t="inlineStr">
        <is>
          <t>Net income / Sales</t>
        </is>
      </c>
      <c r="B56" s="64">
        <f>IFERROR(IF(B9="","",B48/B9),"")</f>
        <v>0.05951398946675442</v>
      </c>
      <c r="C56" s="64">
        <f>IFERROR(IF(C9="","",C48/C9),"")</f>
        <v>0.0986210779463548</v>
      </c>
      <c r="D56" s="64">
        <f>IFERROR(IF(D9="","",D48/D9),"")</f>
        <v>0.11847232239321437</v>
      </c>
      <c r="E56" s="70" t="n">
        <v>0.05</v>
      </c>
      <c r="F56" s="33" t="inlineStr">
        <is>
          <t>Kit benchmark (editable estimate): 5% of sales, at the top of the 3-5% that is typical of the food sector (Toast); artisan and specialty bakeries can earn more. With EBITDA in the low part of the range in the industry benchmarks table, what is left after depreciation, interest and income tax is a net margin of about 5%</t>
        </is>
      </c>
    </row>
    <row r="57">
      <c r="A57" s="33" t="inlineStr">
        <is>
          <t>Break-even reached</t>
        </is>
      </c>
      <c r="B57" t="str">
        <f>IFERROR(IF(B9="","",IF(B9&gt;='Break-Even'!$B$16,"Yes","No")),"")</f>
        <v>Yes</v>
      </c>
      <c r="C57" t="str">
        <f>IFERROR(IF(C9="","",IF(C9&gt;='Break-Even'!$C$16,"Yes","No")),"")</f>
        <v>Yes</v>
      </c>
      <c r="D57" t="str">
        <f>IFERROR(IF(D9="","",IF(D9&gt;='Break-Even'!$D$16,"Yes","No")),"")</f>
        <v>Yes</v>
      </c>
      <c r="F57" s="33" t="inlineStr">
        <is>
          <t>Compares each year's sales with that same year's threshold, which the Break-Even tab calculates with that year's fixed costs</t>
        </is>
      </c>
    </row>
    <row r="59" ht="165" customHeight="1">
      <c r="A59"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H10"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0">
        <f>IFERROR(IF('3-Year P&amp;L'!$B$9="","",'3-Year P&amp;L'!$B$38),"")</f>
        <v>356518.85714285716</v>
      </c>
      <c r="C6" s="60">
        <f>IFERROR(IF('3-Year P&amp;L'!$C$9="","",'3-Year P&amp;L'!$C$38),"")</f>
        <v>361282.7728636717</v>
      </c>
      <c r="D6" s="60">
        <f>IFERROR(IF('3-Year P&amp;L'!$D$9="","",'3-Year P&amp;L'!$D$38),"")</f>
        <v>365923.0801565677</v>
      </c>
      <c r="E6" s="28" t="inlineStr">
        <is>
          <t>The SAME fixed costs as the P&amp;L. Each year has its own, which is why the threshold cannot be a single one for all three years</t>
        </is>
      </c>
      <c r="F6" s="28" t="n"/>
    </row>
    <row r="7">
      <c r="A7" s="28" t="inlineStr">
        <is>
          <t>Monthly fixed costs</t>
        </is>
      </c>
      <c r="B7" s="60">
        <f>IFERROR(IF('3-Year P&amp;L'!$B$9="","",B6/12),"")</f>
        <v>29709.904761904763</v>
      </c>
      <c r="C7" s="60">
        <f>IFERROR(IF('3-Year P&amp;L'!$C$9="","",C6/12),"")</f>
        <v>30106.89773863931</v>
      </c>
      <c r="D7" s="60">
        <f>IFERROR(IF('3-Year P&amp;L'!$D$9="","",D6/12),"")</f>
        <v>30493.590013047306</v>
      </c>
      <c r="E7" s="28" t="n"/>
      <c r="F7" s="28" t="n"/>
    </row>
    <row r="8">
      <c r="A8" s="28" t="inlineStr">
        <is>
          <t>Average check (excl. sales tax)</t>
        </is>
      </c>
      <c r="B8" s="60">
        <f>IFERROR(IF('3-Year P&amp;L'!$B$9="","",'3-Year P&amp;L'!$B$7),"")</f>
        <v>10.0</v>
      </c>
      <c r="C8" s="60">
        <f>IFERROR(IF('3-Year P&amp;L'!$C$9="","",'3-Year P&amp;L'!$C$7),"")</f>
        <v>10.0</v>
      </c>
      <c r="D8" s="60">
        <f>IFERROR(IF('3-Year P&amp;L'!$D$9="","",'3-Year P&amp;L'!$D$7),"")</f>
        <v>10.0</v>
      </c>
      <c r="E8" s="28" t="n"/>
      <c r="F8" s="28" t="n"/>
    </row>
    <row r="9">
      <c r="A9" s="28" t="inlineStr">
        <is>
          <t>Variable cost per transaction</t>
        </is>
      </c>
      <c r="B9" s="60">
        <f>IFERROR(IF('3-Year P&amp;L'!$B$9="","",'3-Year P&amp;L'!$B$19/('3-Year P&amp;L'!$B$6*'3-Year P&amp;L'!$B$8)),"")</f>
        <v>3.73</v>
      </c>
      <c r="C9" s="60">
        <f>IFERROR(IF('3-Year P&amp;L'!$C$9="","",'3-Year P&amp;L'!$C$19/('3-Year P&amp;L'!$C$6*'3-Year P&amp;L'!$C$8)),"")</f>
        <v>3.73</v>
      </c>
      <c r="D9" s="60">
        <f>IFERROR(IF('3-Year P&amp;L'!$D$9="","",'3-Year P&amp;L'!$D$19/('3-Year P&amp;L'!$D$6*'3-Year P&amp;L'!$D$8)),"")</f>
        <v>3.73</v>
      </c>
      <c r="E9" s="28" t="inlineStr">
        <is>
          <t>Comes from the P&amp;L total variable costs, not from a separate estimate. It includes miscellaneous and contingency, which is a percentage of sales</t>
        </is>
      </c>
      <c r="F9" s="28" t="n"/>
    </row>
    <row r="10">
      <c r="A10" s="28" t="inlineStr">
        <is>
          <t>Contribution margin per transaction</t>
        </is>
      </c>
      <c r="B10" s="60">
        <f>IFERROR(IF('3-Year P&amp;L'!$B$9="","",B8-B9),"")</f>
        <v>6.27</v>
      </c>
      <c r="C10" s="60">
        <f>IFERROR(IF('3-Year P&amp;L'!$C$9="","",C8-C9),"")</f>
        <v>6.27</v>
      </c>
      <c r="D10" s="60">
        <f>IFERROR(IF('3-Year P&amp;L'!$D$9="","",D8-D9),"")</f>
        <v>6.27</v>
      </c>
      <c r="E10" s="28" t="inlineStr">
        <is>
          <t>Average check minus unit variable cost</t>
        </is>
      </c>
      <c r="F10" s="28" t="n"/>
    </row>
    <row r="11">
      <c r="A11" s="28" t="inlineStr">
        <is>
          <t>Operating days per year</t>
        </is>
      </c>
      <c r="B11" s="39">
        <f>IFERROR(IF('3-Year P&amp;L'!$B$9="","",'3-Year P&amp;L'!$B$8),"")</f>
        <v>310.0</v>
      </c>
      <c r="C11" s="39">
        <f>IFERROR(IF('3-Year P&amp;L'!$C$9="","",'3-Year P&amp;L'!$C$8),"")</f>
        <v>310.0</v>
      </c>
      <c r="D11" s="39">
        <f>IFERROR(IF('3-Year P&amp;L'!$D$9="","",'3-Year P&amp;L'!$D$8),"")</f>
        <v>310.0</v>
      </c>
      <c r="E11" s="28" t="inlineStr">
        <is>
          <t>The same calendar as the P&amp;L and the scenarios</t>
        </is>
      </c>
      <c r="F11" s="28" t="n"/>
    </row>
    <row r="12">
      <c r="A12" s="28" t="inlineStr">
        <is>
          <t>Principal repaid in the year</t>
        </is>
      </c>
      <c r="B12" s="60">
        <f>IFERROR(IF('3-Year P&amp;L'!$B$9="","",Financing!$B$45),"")</f>
        <v>12360.842791854771</v>
      </c>
      <c r="C12" s="60">
        <f>IFERROR(IF('3-Year P&amp;L'!$C$9="","",Financing!$B$47),"")</f>
        <v>13596.927071040249</v>
      </c>
      <c r="D12" s="60">
        <f>IFERROR(IF('3-Year P&amp;L'!$D$9="","",Financing!$B$49),"")</f>
        <v>14956.619778144272</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Transactions needed per year</t>
        </is>
      </c>
      <c r="B14" s="39">
        <f>IFERROR(IF('3-Year P&amp;L'!$B$9="","",IF(B10&lt;=0,"",B6/B10)),"")</f>
        <v>56861.06174527228</v>
      </c>
      <c r="C14" s="39">
        <f>IFERROR(IF('3-Year P&amp;L'!$C$9="","",IF(C10&lt;=0,"",C6/C10)),"")</f>
        <v>57620.856916056095</v>
      </c>
      <c r="D14" s="39">
        <f>IFERROR(IF('3-Year P&amp;L'!$D$9="","",IF(D10&lt;=0,"",D6/D10)),"")</f>
        <v>58360.937824013985</v>
      </c>
      <c r="E14" s="28" t="n"/>
      <c r="F14" s="28" t="n"/>
    </row>
    <row r="15">
      <c r="A15" s="28" t="inlineStr">
        <is>
          <t>Transactions needed per day</t>
        </is>
      </c>
      <c r="B15" s="44">
        <f>IFERROR(IF('3-Year P&amp;L'!$B$9="","",B14/B11),"")</f>
        <v>183.42277982345897</v>
      </c>
      <c r="C15" s="44">
        <f>IFERROR(IF('3-Year P&amp;L'!$C$9="","",C14/C11),"")</f>
        <v>185.87373198727772</v>
      </c>
      <c r="D15" s="44">
        <f>IFERROR(IF('3-Year P&amp;L'!$D$9="","",D14/D11),"")</f>
        <v>188.2610897548838</v>
      </c>
      <c r="E15" s="28" t="n"/>
      <c r="F15" s="28" t="n"/>
    </row>
    <row r="16">
      <c r="A16" s="25" t="inlineStr">
        <is>
          <t>Revenue needed per year</t>
        </is>
      </c>
      <c r="B16" s="65">
        <f>IFERROR(IF('3-Year P&amp;L'!$B$9="","",B14*B8),"")</f>
        <v>568610.6174527227</v>
      </c>
      <c r="C16" s="65">
        <f>IFERROR(IF('3-Year P&amp;L'!$C$9="","",C14*C8),"")</f>
        <v>576208.569160561</v>
      </c>
      <c r="D16" s="65">
        <f>IFERROR(IF('3-Year P&amp;L'!$D$9="","",D14*D8),"")</f>
        <v>583609.3782401398</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0">
        <f>IFERROR(IF('3-Year P&amp;L'!$B$9="","",B6-'3-Year P&amp;L'!$B$36+B12),"")</f>
        <v>349196.84279185475</v>
      </c>
      <c r="C18" s="60">
        <f>IFERROR(IF('3-Year P&amp;L'!$C$9="","",C6-'3-Year P&amp;L'!$C$36+C12),"")</f>
        <v>355196.8427918548</v>
      </c>
      <c r="D18" s="60">
        <f>IFERROR(IF('3-Year P&amp;L'!$D$9="","",D6-'3-Year P&amp;L'!$D$36+D12),"")</f>
        <v>361196.8427918548</v>
      </c>
      <c r="E18" s="28" t="inlineStr">
        <is>
          <t>The P&amp;L fixed costs without depreciation (which is not paid in cash) and WITH principal repaid (which is). This is the threshold that decides whether cash holds up</t>
        </is>
      </c>
      <c r="F18" s="28" t="n"/>
    </row>
    <row r="19">
      <c r="A19" s="28" t="inlineStr">
        <is>
          <t>Transactions needed per year (cash)</t>
        </is>
      </c>
      <c r="B19" s="39">
        <f>IFERROR(IF('3-Year P&amp;L'!$B$9="","",IF(B10&lt;=0,"",B18/B10)),"")</f>
        <v>55693.27636233729</v>
      </c>
      <c r="C19" s="39">
        <f>IFERROR(IF('3-Year P&amp;L'!$C$9="","",IF(C10&lt;=0,"",C18/C10)),"")</f>
        <v>56650.214161380354</v>
      </c>
      <c r="D19" s="39">
        <f>IFERROR(IF('3-Year P&amp;L'!$D$9="","",IF(D10&lt;=0,"",D18/D10)),"")</f>
        <v>57607.15196042342</v>
      </c>
      <c r="E19" s="28" t="n"/>
      <c r="F19" s="28" t="n"/>
    </row>
    <row r="20">
      <c r="A20" s="25" t="inlineStr">
        <is>
          <t>Transactions needed per day (cash)</t>
        </is>
      </c>
      <c r="B20" s="45">
        <f>IFERROR(IF('3-Year P&amp;L'!$B$9="","",B19/B11),"")</f>
        <v>179.65573020108803</v>
      </c>
      <c r="C20" s="45">
        <f>IFERROR(IF('3-Year P&amp;L'!$C$9="","",C19/C11),"")</f>
        <v>182.7426263270334</v>
      </c>
      <c r="D20" s="45">
        <f>IFERROR(IF('3-Year P&amp;L'!$D$9="","",D19/D11),"")</f>
        <v>185.82952245297878</v>
      </c>
      <c r="E20" s="28" t="n"/>
      <c r="F20" s="28" t="n"/>
    </row>
    <row r="21">
      <c r="A21" s="28" t="inlineStr">
        <is>
          <t>Revenue needed per year (cash)</t>
        </is>
      </c>
      <c r="B21" s="39">
        <f>IFERROR(IF('3-Year P&amp;L'!$B$9="","",B19*B8),"")</f>
        <v>556932.7636233729</v>
      </c>
      <c r="C21" s="39">
        <f>IFERROR(IF('3-Year P&amp;L'!$C$9="","",C19*C8),"")</f>
        <v>566502.1416138036</v>
      </c>
      <c r="D21" s="39">
        <f>IFERROR(IF('3-Year P&amp;L'!$D$9="","",D19*D8),"")</f>
        <v>576071.5196042343</v>
      </c>
      <c r="E21" s="28" t="n"/>
      <c r="F21" s="28" t="n"/>
    </row>
    <row r="22">
      <c r="A22" s="25" t="inlineStr">
        <is>
          <t>COMPARISON WITH THE PLAN</t>
        </is>
      </c>
      <c r="B22" s="28" t="n"/>
      <c r="C22" s="28" t="n"/>
      <c r="D22" s="28" t="n"/>
      <c r="E22" s="28" t="n"/>
      <c r="F22" s="28" t="n"/>
    </row>
    <row r="23">
      <c r="A23" s="28" t="inlineStr">
        <is>
          <t>Transactions per day forecast in the plan</t>
        </is>
      </c>
      <c r="B23" s="39">
        <f>IFERROR(IF('3-Year P&amp;L'!$B$9="","",'3-Year P&amp;L'!$B$6),"")</f>
        <v>210.0</v>
      </c>
      <c r="C23" s="39">
        <f>IFERROR(IF('3-Year P&amp;L'!$C$9="","",'3-Year P&amp;L'!$C$6),"")</f>
        <v>235.20000000000002</v>
      </c>
      <c r="D23" s="39">
        <f>IFERROR(IF('3-Year P&amp;L'!$D$9="","",'3-Year P&amp;L'!$D$6),"")</f>
        <v>251.66400000000004</v>
      </c>
      <c r="E23" s="28" t="n"/>
      <c r="F23" s="28" t="n"/>
    </row>
    <row r="24">
      <c r="A24" s="28" t="inlineStr">
        <is>
          <t>Cushion above CASH break-even (%)</t>
        </is>
      </c>
      <c r="B24" s="67">
        <f>IFERROR(IF('3-Year P&amp;L'!$B$9="","",B23/B20-1),"")</f>
        <v>0.16890232092763058</v>
      </c>
      <c r="C24" s="67">
        <f>IFERROR(IF('3-Year P&amp;L'!$C$9="","",C23/C20-1),"")</f>
        <v>0.2870560346390649</v>
      </c>
      <c r="D24" s="67">
        <f>IFERROR(IF('3-Year P&amp;L'!$D$9="","",D23/D20-1),"")</f>
        <v>0.3542735119694431</v>
      </c>
      <c r="E24" s="28" t="inlineStr">
        <is>
          <t>How far planned sales sit above cash break-even. The drop you can absorb before you cannot pay the fixed costs and the loan payment is somewhat smaller: with a 25% cushion, 20%. The required minimum is set in the "0. Assumptions" tab</t>
        </is>
      </c>
      <c r="F24" s="28" t="n"/>
    </row>
    <row r="25">
      <c r="A25" s="25" t="inlineStr">
        <is>
          <t>INTERPRETATION</t>
        </is>
      </c>
      <c r="B25" s="28" t="n"/>
      <c r="C25" s="28" t="n"/>
      <c r="D25" s="28" t="n"/>
      <c r="E25" s="28" t="n"/>
      <c r="F25" s="28" t="n"/>
    </row>
    <row r="26" ht="46" customHeight="1">
      <c r="A26" s="28" t="str">
        <f>IFERROR("With the average check excl. sales tax above, you need "&amp;TEXT(ROUNDUP(B15,0),"0")&amp;" transactions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184 transactions a day over your 310 opening days to avoid losing money (accounting break-even, depreciation included), and 180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Transactions per day needed to cover costs, by average check (columns) and variable cost per transaction (rows). Green cells are below the transactions per day that the plan forecasts.</t>
        </is>
      </c>
      <c r="B29" s="28" t="n"/>
      <c r="C29" s="28" t="n"/>
      <c r="D29" s="28" t="n"/>
      <c r="E29" s="28" t="n"/>
      <c r="F29" s="28" t="n"/>
    </row>
    <row r="30">
      <c r="A30" s="28" t="n"/>
      <c r="B30" s="28" t="n"/>
      <c r="C30" s="28" t="n"/>
      <c r="D30" s="28" t="n"/>
      <c r="E30" s="28" t="n"/>
      <c r="F30" s="28" t="n"/>
    </row>
    <row r="31" ht="45" customHeight="1">
      <c r="A31" s="38" t="inlineStr">
        <is>
          <t>Transactions per day needed: average check excl. sales tax (columns) × variable cost per transaction (rows)</t>
        </is>
      </c>
      <c r="B31" s="61">
        <f>IFERROR($B$8-2,"")</f>
        <v>8.0</v>
      </c>
      <c r="C31" s="61">
        <f>IFERROR(IF($B$8="","",$B$8),"")</f>
        <v>10.0</v>
      </c>
      <c r="D31" s="61">
        <f>IFERROR($B$8+2,"")</f>
        <v>12.0</v>
      </c>
      <c r="E31" s="61">
        <f>IFERROR($B$8+4,"")</f>
        <v>14.0</v>
      </c>
      <c r="F31" s="28" t="n"/>
    </row>
    <row r="32">
      <c r="A32" s="60">
        <f>IFERROR($B$9*0.85,"")</f>
        <v>3.1705</v>
      </c>
      <c r="B32" s="44">
        <f>IFERROR(IF($B$31-$A32&lt;=0,"",$B$6/($B$31-$A32)/$B$11),"")</f>
        <v>238.13248358900253</v>
      </c>
      <c r="C32" s="44">
        <f>IFERROR(IF($C$31-$A32&lt;=0,"",$B$6/($C$31-$A32)/$B$11),"")</f>
        <v>168.3960508811901</v>
      </c>
      <c r="D32" s="44">
        <f>IFERROR(IF($D$31-$A32&lt;=0,"",$B$6/($D$31-$A32)/$B$11),"")</f>
        <v>130.25209009491903</v>
      </c>
      <c r="E32" s="44">
        <f>IFERROR(IF($E$31-$A32&lt;=0,"",$B$6/($E$31-$A32)/$B$11),"")</f>
        <v>106.19703859763496</v>
      </c>
      <c r="F32" s="28" t="n"/>
    </row>
    <row r="33">
      <c r="A33" s="60">
        <f>IFERROR($B$9*0.925,"")</f>
        <v>3.45025</v>
      </c>
      <c r="B33" s="44">
        <f>IFERROR(IF($B$31-$A33&lt;=0,"",$B$6/($B$31-$A33)/$B$11),"")</f>
        <v>252.774510575985</v>
      </c>
      <c r="C33" s="44">
        <f>IFERROR(IF($C$31-$A33&lt;=0,"",$B$6/($C$31-$A33)/$B$11),"")</f>
        <v>175.58850788092488</v>
      </c>
      <c r="D33" s="44">
        <f>IFERROR(IF($D$31-$A33&lt;=0,"",$B$6/($D$31-$A33)/$B$11),"")</f>
        <v>134.51397169427034</v>
      </c>
      <c r="E33" s="44">
        <f>IFERROR(IF($E$31-$A33&lt;=0,"",$B$6/($E$31-$A33)/$B$11),"")</f>
        <v>109.01308841376219</v>
      </c>
      <c r="F33" s="28" t="n"/>
    </row>
    <row r="34">
      <c r="A34" s="63">
        <f>IFERROR($B$9*1.0,"")</f>
        <v>3.73</v>
      </c>
      <c r="B34" s="48">
        <f>IFERROR(IF($B$31-$A34&lt;=0,"",$B$6/($B$31-$A34)/$B$11),"")</f>
        <v>269.3350888742594</v>
      </c>
      <c r="C34" s="48">
        <f>IFERROR(IF($C$31-$A34&lt;=0,"",$B$6/($C$31-$A34)/$B$11),"")</f>
        <v>183.42277982345897</v>
      </c>
      <c r="D34" s="48">
        <f>IFERROR(IF($D$31-$A34&lt;=0,"",$B$6/($D$31-$A34)/$B$11),"")</f>
        <v>139.06418736313032</v>
      </c>
      <c r="E34" s="48">
        <f>IFERROR(IF($E$31-$A34&lt;=0,"",$B$6/($E$31-$A34)/$B$11),"")</f>
        <v>111.98255399153724</v>
      </c>
    </row>
    <row r="35">
      <c r="A35" s="63">
        <f>IFERROR($B$9*1.075,"")</f>
        <v>4.0097499999999995</v>
      </c>
      <c r="B35" s="48">
        <f>IFERROR(IF($B$31-$A35&lt;=0,"",$B$6/($B$31-$A35)/$B$11),"")</f>
        <v>288.21773810991476</v>
      </c>
      <c r="C35" s="48">
        <f>IFERROR(IF($C$31-$A35&lt;=0,"",$B$6/($C$31-$A35)/$B$11),"")</f>
        <v>191.98878669389217</v>
      </c>
      <c r="D35" s="48">
        <f>IFERROR(IF($D$31-$A35&lt;=0,"",$B$6/($D$31-$A35)/$B$11),"")</f>
        <v>143.93302205726823</v>
      </c>
      <c r="E35" s="48">
        <f>IFERROR(IF($E$31-$A35&lt;=0,"",$B$6/($E$31-$A35)/$B$11),"")</f>
        <v>115.11832331454045</v>
      </c>
    </row>
    <row r="36">
      <c r="A36" s="63">
        <f>IFERROR($B$9*1.15,"")</f>
        <v>4.289499999999999</v>
      </c>
      <c r="B36" s="48">
        <f>IFERROR(IF($B$31-$A36&lt;=0,"",$B$6/($B$31-$A36)/$B$11),"")</f>
        <v>309.9476699887044</v>
      </c>
      <c r="C36" s="48">
        <f>IFERROR(IF($C$31-$A36&lt;=0,"",$B$6/($C$31-$A36)/$B$11),"")</f>
        <v>201.39406873182514</v>
      </c>
      <c r="D36" s="48">
        <f>IFERROR(IF($D$31-$A36&lt;=0,"",$B$6/($D$31-$A36)/$B$11),"")</f>
        <v>149.15515589042053</v>
      </c>
      <c r="E36" s="48">
        <f>IFERROR(IF($E$31-$A36&lt;=0,"",$B$6/($E$31-$A36)/$B$11),"")</f>
        <v>118.43476952711886</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SCENARIOS</t>
        </is>
      </c>
    </row>
    <row r="4">
      <c r="A4" s="25" t="inlineStr">
        <is>
          <t>Metric</t>
        </is>
      </c>
      <c r="B4" s="25" t="inlineStr">
        <is>
          <t>Pessimistic</t>
        </is>
      </c>
      <c r="C4" s="25" t="inlineStr">
        <is>
          <t>Base</t>
        </is>
      </c>
      <c r="D4" s="25" t="inlineStr">
        <is>
          <t>Optimistic</t>
        </is>
      </c>
      <c r="E4" s="25" t="inlineStr">
        <is>
          <t>Notes</t>
        </is>
      </c>
      <c r="F4" s="28" t="n"/>
    </row>
    <row r="5">
      <c r="A5" s="28" t="inlineStr">
        <is>
          <t>Transactions per day</t>
        </is>
      </c>
      <c r="B5" s="49" t="n">
        <v>140</v>
      </c>
      <c r="C5" s="39">
        <f>IFERROR(IF('3-Year P&amp;L'!$B$6="","",'3-Year P&amp;L'!$B$6),"")</f>
        <v>210.0</v>
      </c>
      <c r="D5" s="49" t="n">
        <v>233</v>
      </c>
      <c r="E5" s="28" t="n"/>
      <c r="F5" s="28" t="n"/>
    </row>
    <row r="6">
      <c r="A6" s="28" t="inlineStr">
        <is>
          <t>Average check (excl. sales tax)</t>
        </is>
      </c>
      <c r="B6" s="71" t="n">
        <v>7.64</v>
      </c>
      <c r="C6" s="60">
        <f>IFERROR(IF('3-Year P&amp;L'!$B$7="","",'3-Year P&amp;L'!$B$7),"")</f>
        <v>10.0</v>
      </c>
      <c r="D6" s="71" t="n">
        <v>10.91</v>
      </c>
      <c r="E6" s="28" t="n"/>
      <c r="F6" s="28" t="n"/>
    </row>
    <row r="7">
      <c r="A7" s="28" t="inlineStr">
        <is>
          <t>Operating days per year</t>
        </is>
      </c>
      <c r="B7" s="49" t="n">
        <v>300</v>
      </c>
      <c r="C7" s="39">
        <f>IFERROR(IF('3-Year P&amp;L'!$B$8="","",'3-Year P&amp;L'!$B$8),"")</f>
        <v>310.0</v>
      </c>
      <c r="D7" s="49" t="n">
        <v>320</v>
      </c>
      <c r="E7" s="28" t="n"/>
      <c r="F7" s="28" t="n"/>
    </row>
    <row r="8">
      <c r="A8" s="25" t="inlineStr">
        <is>
          <t>ANNUAL REVENUE (excl. sales tax)</t>
        </is>
      </c>
      <c r="B8" s="65">
        <f>IFERROR(IF(B5*B6*B7=0,"",B5*B6*B7),"")</f>
        <v>320880.0</v>
      </c>
      <c r="C8" s="65">
        <f>IFERROR(IF(C5*C6*C7=0,"",C5*C6*C7),"")</f>
        <v>651000.0</v>
      </c>
      <c r="D8" s="65">
        <f>IFERROR(IF(D5*D6*D7=0,"",D5*D6*D7),"")</f>
        <v>813449.6000000001</v>
      </c>
      <c r="E8" s="28" t="n"/>
      <c r="F8" s="28" t="n"/>
    </row>
    <row r="9">
      <c r="A9" s="28" t="inlineStr">
        <is>
          <t>Cost of goods sold — food</t>
        </is>
      </c>
      <c r="B9" s="39">
        <f>IFERROR(IF(B8="","",B8*'0. Assumptions'!$B$11*'0. Assumptions'!$B$13),"")</f>
        <v>81824.4</v>
      </c>
      <c r="C9" s="39">
        <f>IFERROR(IF(C8="","",C8*'0. Assumptions'!$B$11*'0. Assumptions'!$B$13),"")</f>
        <v>166005.0</v>
      </c>
      <c r="D9" s="39">
        <f>IFERROR(IF(D8="","",D8*'0. Assumptions'!$B$11*'0. Assumptions'!$B$13),"")</f>
        <v>207429.64800000002</v>
      </c>
      <c r="E9" s="28" t="n"/>
      <c r="F9" s="28" t="n"/>
    </row>
    <row r="10">
      <c r="A10" s="28" t="inlineStr">
        <is>
          <t>Cost of goods sold — beverage</t>
        </is>
      </c>
      <c r="B10" s="39">
        <f>IFERROR(IF(B8="","",B8*'0. Assumptions'!$B$12*'0. Assumptions'!$B$14),"")</f>
        <v>10589.04</v>
      </c>
      <c r="C10" s="39">
        <f>IFERROR(IF(C8="","",C8*'0. Assumptions'!$B$12*'0. Assumptions'!$B$14),"")</f>
        <v>21483.000000000004</v>
      </c>
      <c r="D10" s="39">
        <f>IFERROR(IF(D8="","",D8*'0. Assumptions'!$B$12*'0. Assumptions'!$B$14),"")</f>
        <v>26843.83680000001</v>
      </c>
      <c r="E10" s="28" t="n"/>
      <c r="F10" s="28" t="n"/>
    </row>
    <row r="11">
      <c r="A11" s="28" t="inlineStr">
        <is>
          <t>Disposables and packaging</t>
        </is>
      </c>
      <c r="B11" s="39">
        <f>IFERROR(IF(B8="","",B8*'0. Assumptions'!$B$15),"")</f>
        <v>9626.4</v>
      </c>
      <c r="C11" s="39">
        <f>IFERROR(IF(C8="","",C8*'0. Assumptions'!$B$15),"")</f>
        <v>19530.0</v>
      </c>
      <c r="D11" s="39">
        <f>IFERROR(IF(D8="","",D8*'0. Assumptions'!$B$15),"")</f>
        <v>24403.488</v>
      </c>
      <c r="E11" s="28" t="n"/>
      <c r="F11" s="28" t="n"/>
    </row>
    <row r="12">
      <c r="A12" s="28" t="inlineStr">
        <is>
          <t>Delivery platform fees</t>
        </is>
      </c>
      <c r="B12" s="39">
        <f>IFERROR(IF(B8="","",B8*'0. Assumptions'!$B$16*'0. Assumptions'!$B$17),"")</f>
        <v>0.0</v>
      </c>
      <c r="C12" s="39">
        <f>IFERROR(IF(C8="","",C8*'0. Assumptions'!$B$16*'0. Assumptions'!$B$17),"")</f>
        <v>0.0</v>
      </c>
      <c r="D12" s="39">
        <f>IFERROR(IF(D8="","",D8*'0. Assumptions'!$B$16*'0. Assumptions'!$B$17),"")</f>
        <v>0.0</v>
      </c>
      <c r="E12" s="28" t="n"/>
      <c r="F12" s="28" t="n"/>
    </row>
    <row r="13">
      <c r="A13" s="28" t="inlineStr">
        <is>
          <t>Card processing fees</t>
        </is>
      </c>
      <c r="B13" s="39">
        <f>IFERROR(IF(B8="","",B8*'0. Assumptions'!$B$18),"")</f>
        <v>11230.800000000001</v>
      </c>
      <c r="C13" s="39">
        <f>IFERROR(IF(C8="","",C8*'0. Assumptions'!$B$18),"")</f>
        <v>22785.000000000004</v>
      </c>
      <c r="D13" s="39">
        <f>IFERROR(IF(D8="","",D8*'0. Assumptions'!$B$18),"")</f>
        <v>28470.736000000004</v>
      </c>
      <c r="E13" s="28" t="n"/>
      <c r="F13" s="28" t="n"/>
    </row>
    <row r="14">
      <c r="A14" s="28" t="inlineStr">
        <is>
          <t>Miscellaneous and contingency</t>
        </is>
      </c>
      <c r="B14" s="39">
        <f>IFERROR(IF(B8="","",B8*'0. Assumptions'!$B$28),"")</f>
        <v>6417.6</v>
      </c>
      <c r="C14" s="39">
        <f>IFERROR(IF(C8="","",C8*'0. Assumptions'!$B$28),"")</f>
        <v>13020.0</v>
      </c>
      <c r="D14" s="39">
        <f>IFERROR(IF(D8="","",D8*'0. Assumptions'!$B$28),"")</f>
        <v>16268.992000000002</v>
      </c>
      <c r="E14" s="28" t="n"/>
      <c r="F14" s="28" t="n"/>
    </row>
    <row r="15">
      <c r="A15" s="33" t="inlineStr">
        <is>
          <t>TOTAL VARIABLE COSTS</t>
        </is>
      </c>
      <c r="B15" s="42">
        <f>IFERROR(IF(B8="","",SUM(B9:B14)),"")</f>
        <v>119688.23999999999</v>
      </c>
      <c r="C15" s="42">
        <f>IFERROR(IF(C8="","",SUM(C9:C14)),"")</f>
        <v>242823.0</v>
      </c>
      <c r="D15" s="42">
        <f>IFERROR(IF(D8="","",SUM(D9:D14)),"")</f>
        <v>303416.70080000005</v>
      </c>
    </row>
    <row r="16">
      <c r="A16" s="33" t="inlineStr">
        <is>
          <t>GROSS MARGIN</t>
        </is>
      </c>
      <c r="B16" s="42">
        <f>IFERROR(IF(B8="","",B8-B15),"")</f>
        <v>201191.76</v>
      </c>
      <c r="C16" s="42">
        <f>IFERROR(IF(C8="","",C8-C15),"")</f>
        <v>408177.0</v>
      </c>
      <c r="D16" s="42">
        <f>IFERROR(IF(D8="","",D8-D15),"")</f>
        <v>510032.89920000004</v>
      </c>
    </row>
    <row r="17">
      <c r="A17" s="33" t="inlineStr">
        <is>
          <t>FIXED COSTS (the P&amp;L's)</t>
        </is>
      </c>
      <c r="B17" s="42">
        <f>IFERROR(IF(B8="","",'3-Year P&amp;L'!$B$38),"")</f>
        <v>356518.85714285716</v>
      </c>
      <c r="C17" s="42">
        <f>IFERROR(IF(C8="","",'3-Year P&amp;L'!$B$38),"")</f>
        <v>356518.85714285716</v>
      </c>
      <c r="D17" s="42">
        <f>IFERROR(IF(D8="","",'3-Year P&amp;L'!$B$38),"")</f>
        <v>356518.85714285716</v>
      </c>
      <c r="E17" s="33" t="inlineStr">
        <is>
          <t>Fixed costs do not change with the scenario: that is why they are fixed</t>
        </is>
      </c>
    </row>
    <row r="18">
      <c r="A18" s="16" t="inlineStr">
        <is>
          <t>PRE-TAX INCOME (EBT)</t>
        </is>
      </c>
      <c r="B18" s="52">
        <f>IFERROR(IF(B8="","",B16-B17),"")</f>
        <v>-155327.09714285715</v>
      </c>
      <c r="C18" s="52">
        <f>IFERROR(IF(C8="","",C16-C17),"")</f>
        <v>51658.14285714284</v>
      </c>
      <c r="D18" s="52">
        <f>IFERROR(IF(D8="","",D16-D17),"")</f>
        <v>153514.04205714288</v>
      </c>
    </row>
    <row r="19">
      <c r="A19" s="33" t="inlineStr">
        <is>
          <t>Income tax</t>
        </is>
      </c>
      <c r="B19" s="42">
        <f>IFERROR(IF(B8="","",MAX(0,B18-'0. Assumptions'!$B$42)*'0. Assumptions'!$B$37),"")</f>
        <v>0.0</v>
      </c>
      <c r="C19" s="42">
        <f>IFERROR(IF(C8="","",MAX(0,C18-'0. Assumptions'!$B$42)*'0. Assumptions'!$B$37),"")</f>
        <v>12914.53571428571</v>
      </c>
      <c r="D19" s="42">
        <f>IFERROR(IF(D8="","",MAX(0,D18-'0. Assumptions'!$B$42)*'0. Assumptions'!$B$37),"")</f>
        <v>38378.51051428572</v>
      </c>
      <c r="E19" s="33" t="inlineStr">
        <is>
          <t>At the "years 1-2" effective income tax rate, offsetting prior net operating losses</t>
        </is>
      </c>
    </row>
    <row r="20">
      <c r="A20" s="16" t="inlineStr">
        <is>
          <t>NET INCOME</t>
        </is>
      </c>
      <c r="B20" s="52">
        <f>IFERROR(IF(B8="","",B18-B19),"")</f>
        <v>-155327.09714285715</v>
      </c>
      <c r="C20" s="52">
        <f>IFERROR(IF(C8="","",C18-C19),"")</f>
        <v>38743.60714285713</v>
      </c>
      <c r="D20" s="52">
        <f>IFERROR(IF(D8="","",D18-D19),"")</f>
        <v>115135.53154285716</v>
      </c>
    </row>
    <row r="21">
      <c r="A21" s="33" t="inlineStr">
        <is>
          <t>Transactions per day for break-even</t>
        </is>
      </c>
      <c r="B21" s="48">
        <f>IFERROR(IF(B8="","",IF(B6-B15/(B5*B7)&lt;=0,"",B17/(B6-B15/(B5*B7))/B7)),"")</f>
        <v>248.08491162858758</v>
      </c>
      <c r="C21" s="48">
        <f>IFERROR(IF(C8="","",IF(C6-C15/(C5*C7)&lt;=0,"",C17/(C6-C15/(C5*C7))/C7)),"")</f>
        <v>183.42277982345897</v>
      </c>
      <c r="D21" s="48">
        <f>IFERROR(IF(D8="","",IF(D6-D15/(D5*D7)&lt;=0,"",D17/(D6-D15/(D5*D7))/D7)),"")</f>
        <v>162.8696773180347</v>
      </c>
    </row>
    <row r="22">
      <c r="A22" s="16" t="inlineStr">
        <is>
          <t>WHAT EACH SCENARIO DEMANDS</t>
        </is>
      </c>
    </row>
    <row r="23">
      <c r="A23" s="33" t="inlineStr">
        <is>
          <t>Labor cost / Sales</t>
        </is>
      </c>
      <c r="B23" s="64">
        <f>IFERROR(IF(B8="","",'3-Year P&amp;L'!$B$23/B8),"")</f>
        <v>0.6882198952879581</v>
      </c>
      <c r="C23" s="64">
        <f>IFERROR(IF(C8="","",'3-Year P&amp;L'!$B$23/C8),"")</f>
        <v>0.3392258064516129</v>
      </c>
      <c r="D23" s="64">
        <f>IFERROR(IF(D8="","",'3-Year P&amp;L'!$B$23/D8),"")</f>
        <v>0.27148086371915353</v>
      </c>
      <c r="E23" s="33" t="inlineStr">
        <is>
          <t>The SAME staffing in all three scenarios. If labor cost blows up in the pessimistic case, adjust it in the Staffing tab, not here</t>
        </is>
      </c>
    </row>
    <row r="24">
      <c r="A24" s="33" t="inlineStr">
        <is>
          <t>Transactions per year per full-time equivalent</t>
        </is>
      </c>
      <c r="B24" s="42">
        <f>IFERROR(IF(B8="","",B5*B7/Staffing!$C$11),"")</f>
        <v>7553.956834532373</v>
      </c>
      <c r="C24" s="42">
        <f>IFERROR(IF(C8="","",C5*C7/Staffing!$C$11),"")</f>
        <v>11708.633093525179</v>
      </c>
      <c r="D24" s="42">
        <f>IFERROR(IF(D8="","",D5*D7/Staffing!$C$11),"")</f>
        <v>13410.071942446042</v>
      </c>
      <c r="E24" s="33" t="inlineStr">
        <is>
          <t>Transactions that each full-time equivalent on the "Staffing" tab would have to handle. In the optimistic scenario it tells you whether you need to hire</t>
        </is>
      </c>
    </row>
    <row r="25">
      <c r="A25" s="16" t="inlineStr">
        <is>
          <t>Year-1 closing cash balance (estimate, same method in all three scenarios)</t>
        </is>
      </c>
      <c r="B25" s="52">
        <f>IFERROR(IF(B8="","",'Startup Costs'!$B$30+B20+'3-Year P&amp;L'!$B$36-Financing!$B$45),"")</f>
        <v>-63796.08279185477</v>
      </c>
      <c r="C25" s="52">
        <f>IFERROR(IF(C8="","",'Startup Costs'!$B$30+C20+'3-Year P&amp;L'!$B$36-Financing!$B$45),"")</f>
        <v>130274.6214938595</v>
      </c>
      <c r="D25" s="52">
        <f>IFERROR(IF(D8="","",'Startup Costs'!$B$30+D20+'3-Year P&amp;L'!$B$36-Financing!$B$45),"")</f>
        <v>206666.54589385955</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3" t="inlineStr">
        <is>
          <t>Actual month-12 balance from the 12-Month Cash Flow tab (Base case only)</t>
        </is>
      </c>
      <c r="C26" s="42">
        <f>IFERROR(IF(C8="","",'12-Month Cash Flow'!$M$22),"")</f>
        <v>161114.4468561062</v>
      </c>
      <c r="E26" s="33"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from the "0. Assumptions" tab, so it reproduces EXACTLY year 1 of the P&amp;L. The other two scenarios use the same cost rates: the only things that change are transactions, average check and days. The FIXED COSTS are the same in all three: miscellaneous and contingency, which are a percentage of sales, sit at the top with the variable costs and each scenario carries its own.</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9"/>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AND LABOR COSTS</t>
        </is>
      </c>
    </row>
    <row r="2">
      <c r="A2" t="str">
        <f>IFERROR("Payroll — "&amp;TEXT('0. Assumptions'!$B$21,"0")&amp;" pay periods + employer taxes "&amp;TEXT('0. Assumptions'!$B$20*100,"0")&amp;"%","")</f>
        <v>Payroll — 12 pay periods + employer taxes 10%</v>
      </c>
    </row>
    <row r="4" ht="45" customHeight="1">
      <c r="A4" s="38" t="inlineStr">
        <is>
          <t>Position</t>
        </is>
      </c>
      <c r="B4" s="38" t="inlineStr">
        <is>
          <t>People</t>
        </is>
      </c>
      <c r="C4" s="38" t="inlineStr">
        <is>
          <t>FTE</t>
        </is>
      </c>
      <c r="D4" s="38" t="inlineStr">
        <is>
          <t>Gross pay per month (total for the position)</t>
        </is>
      </c>
      <c r="E4" s="38" t="inlineStr">
        <is>
          <t>Employer payroll taxes (total for the position)</t>
        </is>
      </c>
      <c r="F4" s="38" t="inlineStr">
        <is>
          <t>Cost per month (total for the position)</t>
        </is>
      </c>
      <c r="G4" s="38" t="inlineStr">
        <is>
          <t>Cost per year</t>
        </is>
      </c>
      <c r="H4" s="38" t="inlineStr">
        <is>
          <t>Hours per week per person</t>
        </is>
      </c>
      <c r="I4" s="38" t="inlineStr">
        <is>
          <t>Hours per year for the position</t>
        </is>
      </c>
      <c r="J4" s="38" t="inlineStr">
        <is>
          <t>Notes</t>
        </is>
      </c>
    </row>
    <row r="5">
      <c r="A5" s="28" t="inlineStr">
        <is>
          <t>Head baker / Owner</t>
        </is>
      </c>
      <c r="B5" s="49" t="n">
        <v>1</v>
      </c>
      <c r="C5" s="51" t="n">
        <v>1</v>
      </c>
      <c r="D5" s="71" t="n">
        <v>4000</v>
      </c>
      <c r="E5" s="60">
        <f>IFERROR(IF(D5="","",D5*'0. Assumptions'!$B$20),"")</f>
        <v>400.0</v>
      </c>
      <c r="F5" s="60">
        <f>IFERROR(IF(D5="","",D5+E5),"")</f>
        <v>4400.0</v>
      </c>
      <c r="G5" s="60">
        <f>IFERROR(IF(D5="","",F5*MAX(12,'0. Assumptions'!$B$21)),"")</f>
        <v>52800.0</v>
      </c>
      <c r="H5" s="44">
        <f>IFERROR(IF(D5="","",C5*$B$18),"")</f>
        <v>40.0</v>
      </c>
      <c r="I5" s="39">
        <f>IFERROR(IF(D5="","",H5*B5*$B$19),"")</f>
        <v>2000.0</v>
      </c>
      <c r="J5" s="28" t="inlineStr">
        <is>
          <t>Early production shift (4:00-5:00 AM start, see Phase 4 of the checklist): mixing, shaping and baking the first batch, plus management and purchasing. It is the most skilled position in the production area</t>
        </is>
      </c>
    </row>
    <row r="6">
      <c r="A6" s="28" t="inlineStr">
        <is>
          <t>Baker</t>
        </is>
      </c>
      <c r="B6" s="49" t="n">
        <v>1</v>
      </c>
      <c r="C6" s="51" t="n">
        <v>1</v>
      </c>
      <c r="D6" s="71" t="n">
        <v>3300</v>
      </c>
      <c r="E6" s="60">
        <f>IFERROR(IF(D6="","",D6*'0. Assumptions'!$B$20),"")</f>
        <v>330.0</v>
      </c>
      <c r="F6" s="60">
        <f>IFERROR(IF(D6="","",D6+E6),"")</f>
        <v>3630.0</v>
      </c>
      <c r="G6" s="60">
        <f>IFERROR(IF(D6="","",F6*MAX(12,'0. Assumptions'!$B$21)),"")</f>
        <v>43560.0</v>
      </c>
      <c r="H6" s="44">
        <f>IFERROR(IF(D6="","",C6*$B$18),"")</f>
        <v>40.0</v>
      </c>
      <c r="I6" s="39">
        <f>IFERROR(IF(D6="","",H6*B6*$B$19),"")</f>
        <v>2000.0</v>
      </c>
      <c r="J6" s="28" t="inlineStr">
        <is>
          <t>Second batch and morning pastries; covers the head baker on days off</t>
        </is>
      </c>
    </row>
    <row r="7">
      <c r="A7" s="28" t="inlineStr">
        <is>
          <t>Bakery assistant</t>
        </is>
      </c>
      <c r="B7" s="49" t="n">
        <v>1</v>
      </c>
      <c r="C7" s="51" t="n">
        <v>1</v>
      </c>
      <c r="D7" s="71" t="n">
        <v>2800</v>
      </c>
      <c r="E7" s="60">
        <f>IFERROR(IF(D7="","",D7*'0. Assumptions'!$B$20),"")</f>
        <v>280.0</v>
      </c>
      <c r="F7" s="60">
        <f>IFERROR(IF(D7="","",D7+E7),"")</f>
        <v>3080.0</v>
      </c>
      <c r="G7" s="60">
        <f>IFERROR(IF(D7="","",F7*MAX(12,'0. Assumptions'!$B$21)),"")</f>
        <v>36960.0</v>
      </c>
      <c r="H7" s="44">
        <f>IFERROR(IF(D7="","",C7*$B$18),"")</f>
        <v>40.0</v>
      </c>
      <c r="I7" s="39">
        <f>IFERROR(IF(D7="","",H7*B7*$B$19),"")</f>
        <v>2000.0</v>
      </c>
      <c r="J7" s="28" t="inlineStr">
        <is>
          <t>Weighing, cleaning, loading and unloading the ovens, and support with fermentation</t>
        </is>
      </c>
    </row>
    <row r="8">
      <c r="A8" s="28" t="inlineStr">
        <is>
          <t>Counter staff / baristas</t>
        </is>
      </c>
      <c r="B8" s="49" t="n">
        <v>3</v>
      </c>
      <c r="C8" s="51" t="n">
        <v>0.67</v>
      </c>
      <c r="D8" s="71" t="n">
        <v>5200</v>
      </c>
      <c r="E8" s="60">
        <f>IFERROR(IF(D8="","",D8*'0. Assumptions'!$B$20),"")</f>
        <v>520.0</v>
      </c>
      <c r="F8" s="60">
        <f>IFERROR(IF(D8="","",D8+E8),"")</f>
        <v>5720.0</v>
      </c>
      <c r="G8" s="60">
        <f>IFERROR(IF(D8="","",F8*MAX(12,'0. Assumptions'!$B$21)),"")</f>
        <v>68640.0</v>
      </c>
      <c r="H8" s="44">
        <f>IFERROR(IF(D8="","",C8*$B$18),"")</f>
        <v>26.8</v>
      </c>
      <c r="I8" s="39">
        <f>IFERROR(IF(D8="","",H8*B8*$B$19),"")</f>
        <v>4020.0000000000005</v>
      </c>
      <c r="J8" s="28" t="inlineStr">
        <is>
          <t>Customer service, register and restocking the display case during the whole opening day</t>
        </is>
      </c>
    </row>
    <row r="9">
      <c r="A9" s="28" t="inlineStr">
        <is>
          <t>Weekend extra</t>
        </is>
      </c>
      <c r="B9" s="49" t="n">
        <v>1</v>
      </c>
      <c r="C9" s="51" t="n">
        <v>0.4</v>
      </c>
      <c r="D9" s="71" t="n">
        <v>1040</v>
      </c>
      <c r="E9" s="60">
        <f>IFERROR(IF(D9="","",D9*'0. Assumptions'!$B$20),"")</f>
        <v>104.0</v>
      </c>
      <c r="F9" s="60">
        <f>IFERROR(IF(D9="","",D9+E9),"")</f>
        <v>1144.0</v>
      </c>
      <c r="G9" s="60">
        <f>IFERROR(IF(D9="","",F9*MAX(12,'0. Assumptions'!$B$21)),"")</f>
        <v>13728.0</v>
      </c>
      <c r="H9" s="44">
        <f>IFERROR(IF(D9="","",C9*$B$18),"")</f>
        <v>16.0</v>
      </c>
      <c r="I9" s="39">
        <f>IFERROR(IF(D9="","",H9*B9*$B$19),"")</f>
        <v>800.0</v>
      </c>
      <c r="J9" s="28" t="inlineStr">
        <is>
          <t>Reinforcement for the Saturday and Sunday morning peak, when pastry demand rises</t>
        </is>
      </c>
    </row>
    <row r="10">
      <c r="A10" s="28" t="inlineStr">
        <is>
          <t>Vacation and day-off relief</t>
        </is>
      </c>
      <c r="B10" s="49" t="n">
        <v>1</v>
      </c>
      <c r="C10" s="51" t="n">
        <v>0.15</v>
      </c>
      <c r="D10" s="71" t="n">
        <v>390</v>
      </c>
      <c r="E10" s="60">
        <f>IFERROR(IF(D10="","",D10*'0. Assumptions'!$B$20),"")</f>
        <v>39.0</v>
      </c>
      <c r="F10" s="60">
        <f>IFERROR(IF(D10="","",D10+E10),"")</f>
        <v>429.0</v>
      </c>
      <c r="G10" s="60">
        <f>IFERROR(IF(D10="","",F10*MAX(12,'0. Assumptions'!$B$21)),"")</f>
        <v>5148.0</v>
      </c>
      <c r="H10" s="44">
        <f>IFERROR(IF(D10="","",C10*$B$18),"")</f>
        <v>6.0</v>
      </c>
      <c r="I10" s="39">
        <f>IFERROR(IF(D10="","",H10*B10*$B$19),"")</f>
        <v>300.0</v>
      </c>
      <c r="J10" s="28" t="inlineStr">
        <is>
          <t>Covers paid time off and the weekly day off for the production team. The US sets no federal vacation requirement, so this follows your own policy</t>
        </is>
      </c>
    </row>
    <row r="11">
      <c r="A11" s="16" t="inlineStr">
        <is>
          <t>TOTAL STAFF</t>
        </is>
      </c>
      <c r="B11" s="52">
        <f>IFERROR(IF(COUNT(D5:D10)=0,"",SUM(B5:B10)),"")</f>
        <v>8.0</v>
      </c>
      <c r="C11" s="53">
        <f>IFERROR(IF(COUNT(D5:D10)=0,"",SUMPRODUCT(B5:B10,C5:C10)),"")</f>
        <v>5.5600000000000005</v>
      </c>
      <c r="D11" s="53">
        <f>IFERROR(IF(COUNT(D5:D10)=0,"",SUM(D5:D10)),"")</f>
        <v>16730.0</v>
      </c>
      <c r="E11" s="53">
        <f>IFERROR(IF(COUNT(D5:D10)=0,"",SUM(E5:E10)),"")</f>
        <v>1673.0</v>
      </c>
      <c r="F11" s="53">
        <f>IFERROR(IF(COUNT(D5:D10)=0,"",SUM(F5:F10)),"")</f>
        <v>18403.0</v>
      </c>
      <c r="G11" s="53">
        <f>IFERROR(IF(COUNT(D5:D10)=0,"",SUM(G5:G10)),"")</f>
        <v>220836.0</v>
      </c>
      <c r="I11" s="52">
        <f>IFERROR(IF(COUNT(D5:D10)=0,"",SUM(I5:I10)),"")</f>
        <v>11120.0</v>
      </c>
    </row>
    <row r="12">
      <c r="A12" s="16" t="inlineStr">
        <is>
          <t>STAFF GROWTH (stepped cost)</t>
        </is>
      </c>
    </row>
    <row r="13">
      <c r="A13" s="33" t="inlineStr">
        <is>
          <t>Annual cost of year-2 hires</t>
        </is>
      </c>
      <c r="B13" s="56" t="n">
        <v>6000</v>
      </c>
      <c r="J13" s="33" t="inlineStr">
        <is>
          <t>FULL ANNUAL cost (gross pay + employer payroll taxes, over all pay periods) of whoever you hire that year. The P&amp;L adds it to the previous year's cost: staffing grows by people, not by a percentage</t>
        </is>
      </c>
    </row>
    <row r="14">
      <c r="A14" s="33" t="inlineStr">
        <is>
          <t>Annual cost of year-3 hires</t>
        </is>
      </c>
      <c r="B14" s="56" t="n">
        <v>6000</v>
      </c>
      <c r="J14" s="33" t="inlineStr">
        <is>
          <t>FULL ANNUAL cost (gross pay + employer payroll taxes, over all pay periods) of whoever you hire that year. The P&amp;L adds it to the previous year's cost: staffing grows by people, not by a percentage</t>
        </is>
      </c>
    </row>
    <row r="15">
      <c r="A15" s="33" t="inlineStr">
        <is>
          <t>Labor cost, year 2</t>
        </is>
      </c>
      <c r="B15" s="42">
        <f>IFERROR(IF(G11="","",G11*(1+'0. Assumptions'!$B$48)+B13),"")</f>
        <v>226836.0</v>
      </c>
    </row>
    <row r="16">
      <c r="A16" s="33" t="inlineStr">
        <is>
          <t>Labor cost, year 3</t>
        </is>
      </c>
      <c r="B16" s="42">
        <f>IFERROR(IF(B15="","",B15*(1+'0. Assumptions'!$B$48)+B14),"")</f>
        <v>232836.0</v>
      </c>
    </row>
    <row r="17">
      <c r="A17" s="16" t="inlineStr">
        <is>
          <t>COVERAGE OF SERVICE HOURS</t>
        </is>
      </c>
    </row>
    <row r="18">
      <c r="A18" s="33" t="inlineStr">
        <is>
          <t>Full-time week (hours per week)</t>
        </is>
      </c>
      <c r="B18" s="56" t="n">
        <v>40</v>
      </c>
      <c r="J18" s="33" t="inlineStr">
        <is>
          <t>40 hours a week is the FLSA overtime threshold for non-exempt employees; some states add daily overtime rules. Change it if your own full-time week is different</t>
        </is>
      </c>
    </row>
    <row r="19">
      <c r="A19" s="33" t="inlineStr">
        <is>
          <t>Weeks worked per year per person</t>
        </is>
      </c>
      <c r="B19" s="56" t="n">
        <v>50</v>
      </c>
      <c r="J19" s="33" t="inlineStr">
        <is>
          <t>50 weeks: 52 minus about two weeks of vacation, holidays and average absences. There is no federal vacation requirement in the US: adjust it to your own policy</t>
        </is>
      </c>
    </row>
    <row r="20">
      <c r="A20" s="33" t="inlineStr">
        <is>
          <t>Service hours per day to cover</t>
        </is>
      </c>
      <c r="B20" s="57" t="n">
        <v>12</v>
      </c>
      <c r="J20" s="33" t="inlineStr">
        <is>
          <t>From opening to closing of the SHOP. The production shift goes in the row below and does not overlap with the counter. Count them on your real schedule</t>
        </is>
      </c>
    </row>
    <row r="21">
      <c r="A21" s="33" t="inlineStr">
        <is>
          <t>People needed at the same time in each shift</t>
        </is>
      </c>
      <c r="B21" s="57" t="n">
        <v>2</v>
      </c>
      <c r="J21" s="33" t="inlineStr">
        <is>
          <t>Average number of people at the counter at the same time through the day: two in this example, which covers the morning and afternoon peaks and the coffee corner</t>
        </is>
      </c>
    </row>
    <row r="22">
      <c r="A22" s="33" t="inlineStr">
        <is>
          <t>Production hours per day BEFORE opening</t>
        </is>
      </c>
      <c r="B22" s="57" t="n">
        <v>4</v>
      </c>
      <c r="J22" s="33" t="inlineStr">
        <is>
          <t>Early production shift (4:00-5:00 AM start, see Phase 4 of the checklist): mixing, shaping and baking the first batch BEFORE the shop opens</t>
        </is>
      </c>
    </row>
    <row r="23">
      <c r="A23" s="33" t="inlineStr">
        <is>
          <t>People on the production shift</t>
        </is>
      </c>
      <c r="B23" s="57" t="n">
        <v>2</v>
      </c>
      <c r="J23" s="33" t="inlineStr">
        <is>
          <t>The head baker and the baker. Change it if your production shift has a different number of people</t>
        </is>
      </c>
    </row>
    <row r="24">
      <c r="A24" s="33" t="inlineStr">
        <is>
          <t>Service hours to cover per year</t>
        </is>
      </c>
      <c r="B24" s="42">
        <f>IFERROR(IF(OR(B20="",B21="",'0. Assumptions'!$B$6=""),"",B20*B21*'0. Assumptions'!$B$6+B22*B23*'0. Assumptions'!$B$6),"")</f>
        <v>9920.0</v>
      </c>
    </row>
    <row r="25">
      <c r="A25" s="33" t="inlineStr">
        <is>
          <t>Hours hired per year</t>
        </is>
      </c>
      <c r="B25" s="42">
        <f>IFERROR(IF(I11="","",I11),"")</f>
        <v>11120.0</v>
      </c>
    </row>
    <row r="26">
      <c r="A26" s="16" t="inlineStr">
        <is>
          <t>Coverage (hired / needed)</t>
        </is>
      </c>
      <c r="B26" s="68">
        <f>IFERROR(B25/B24,"")</f>
        <v>1.1209677419354838</v>
      </c>
      <c r="J26" s="16" t="inlineStr">
        <is>
          <t>Below 100% the staff cannot cover the hours the plan declares: either hire more or cut the hours</t>
        </is>
      </c>
    </row>
    <row r="28" ht="194.5" customHeight="1">
      <c r="A28" s="17" t="inlineStr">
        <is>
          <t>The gross pay, employer payroll taxes, monthly cost and annual cost columns are TOTALS for the row: for a position with two people they include both. FTE is the share of a full-time week for each person, and it is used to compare pay with the legal minimum in proportion; the TOTAL row multiplies it by the people in each position, so it gives the full-time equivalents of the whole team. The payroll tax rate and the number of pay periods are in the "0. Assumptions" tab.</t>
        </is>
      </c>
    </row>
    <row r="29" ht="150" customHeight="1">
      <c r="A29"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5:D10">
    <cfRule type="expression" priority="4" dxfId="1" stopIfTrue="1">
      <formula>AND(ISNUMBER(D5),IFERROR(D5/B5,0)*'0. Assumptions'!$B$21&lt;MAX('0. Assumptions'!$B$22,'0. Assumptions'!$B$68)*C5)</formula>
    </cfRule>
  </conditionalFormatting>
  <dataValidations count="3">
    <dataValidation sqref="B5 B6 B7 B8 B9 B10 B13 B14 B18 B19 B20 B22 D5 D6 D7 D8 D9 D10" showDropDown="0" showInputMessage="0" showErrorMessage="1" allowBlank="1" errorTitle="Invalid amount" error="Enter a number greater than or equal to 0." type="decimal" operator="greaterThanOrEqual">
      <formula1>0</formula1>
    </dataValidation>
    <dataValidation sqref="B21 B23"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3"/>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INSTRUCTIONS FOR USE — Bakery Financial Projections</t>
        </is>
      </c>
      <c r="B1" s="28" t="n"/>
      <c r="C1" s="28" t="n"/>
      <c r="D1" s="28" t="n"/>
      <c r="E1" s="28" t="n"/>
    </row>
    <row r="2">
      <c r="A2" s="28" t="n"/>
      <c r="B2" s="28" t="n"/>
      <c r="C2" s="28" t="n"/>
      <c r="D2" s="28" t="n"/>
      <c r="E2" s="28" t="n"/>
    </row>
    <row r="3">
      <c r="A3" s="38"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45" customHeight="1">
      <c r="A5" s="46" t="inlineStr">
        <is>
          <t>1. "0. Assumptions" is the control sheet: transactions per day, average check excl. sales tax, operating days, food and beverage mix, cost of goods sold, rent,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40" customHeight="1">
      <c r="A8" s="46" t="inlineStr">
        <is>
          <t>4. All figures are EXCL. SALES TAX. To turn a menu price into a price excl. sales tax, divide it by 1 + your sales tax rate (with an 8% rate, divide by 1.08); if an item is taxed differently, use its own rate. The rate of each sales line is in the "Sales tax rate on the line (%)" column of the P&amp;L, and from it come the receipts, the sales tax collected and the equivalent menu price incl. sales tax. On the bakery line, the tax-exempt share (bakery goods to go and wholesale for resale) carries no sales tax: check how your state treats it. With the default 0% recoverable input tax, the sales tax you pay on purchases and startup costs is treated as a cost; in the UK, enter 20% if you are VAT-registered.</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45" customHeight="1">
      <c r="A10" s="46" t="inlineStr">
        <is>
          <t>6. The "12-Month Cash Flow" tab answers the question that decides a bank deal: in which month the cash runs out. The minimum balance of the year can never be in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59.75" customHeight="1">
      <c r="A12" s="46" t="inlineStr">
        <is>
          <t>8. The Word business plan in this kit uses the same example figures as this workbook. The workbook is the one that recalculates on its own when you change a green cell: if you change one, update the matching figures in the Word document.</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t="inlineStr">
        <is>
          <t>Cost of goods sold / Sales</t>
        </is>
      </c>
      <c r="B18" s="64">
        <f>IFERROR(IF('3-Year P&amp;L'!$B$53="","",'3-Year P&amp;L'!$B$53),"")</f>
        <v>0.288</v>
      </c>
      <c r="C18" s="64">
        <f>IFERROR(IF('3-Year P&amp;L'!$E$53="","",'3-Year P&amp;L'!$E$53),"")</f>
        <v>0.33</v>
      </c>
      <c r="D18" t="str">
        <f>IFERROR(IF(OR(B18="",C18=""),"",IF(B18&lt;=C18,"OK","REVIEW")),"")</f>
        <v>OK</v>
      </c>
    </row>
    <row r="19">
      <c r="A19" t="inlineStr">
        <is>
          <t>Labor cost / Sales</t>
        </is>
      </c>
      <c r="B19" s="64">
        <f>IFERROR(IF('3-Year P&amp;L'!$B$54="","",'3-Year P&amp;L'!$B$54),"")</f>
        <v>0.3392258064516129</v>
      </c>
      <c r="C19" s="64">
        <f>IFERROR(IF('3-Year P&amp;L'!$E$54="","",'3-Year P&amp;L'!$E$54),"")</f>
        <v>0.38</v>
      </c>
      <c r="D19" t="str">
        <f>IFERROR(IF(OR(B19="",C19=""),"",IF(B19&lt;=C19,"OK","REVIEW")),"")</f>
        <v>OK</v>
      </c>
    </row>
    <row r="20">
      <c r="A20" t="inlineStr">
        <is>
          <t>Rent / Sales</t>
        </is>
      </c>
      <c r="B20" s="64">
        <f>IFERROR(IF('3-Year P&amp;L'!$B$55="","",'3-Year P&amp;L'!$B$55),"")</f>
        <v>0.07741935483870968</v>
      </c>
      <c r="C20" s="64">
        <f>IFERROR(IF('3-Year P&amp;L'!$E$55="","",'3-Year P&amp;L'!$E$55),"")</f>
        <v>0.1</v>
      </c>
      <c r="D20" t="str">
        <f>IFERROR(IF(OR(B20="",C20=""),"",IF(B20&lt;=C20,"OK","REVIEW")),"")</f>
        <v>OK</v>
      </c>
    </row>
    <row r="21">
      <c r="A21" t="inlineStr">
        <is>
          <t>Net income / Sales</t>
        </is>
      </c>
      <c r="B21" s="64">
        <f>IFERROR(IF('3-Year P&amp;L'!$B$56="","",'3-Year P&amp;L'!$B$56),"")</f>
        <v>0.05951398946675442</v>
      </c>
      <c r="C21" s="64">
        <f>IFERROR(IF('3-Year P&amp;L'!$E$56="","",'3-Year P&amp;L'!$E$56),"")</f>
        <v>0.05</v>
      </c>
      <c r="D21" t="str">
        <f>IFERROR(IF(OR(B21="",C21=""),"",IF(B21&gt;=C21,"OK","REVIEW")),"")</f>
        <v>OK</v>
      </c>
    </row>
    <row r="22">
      <c r="A22" t="inlineStr">
        <is>
          <t>Gross margin / Sales</t>
        </is>
      </c>
      <c r="B22" s="64">
        <f>IFERROR(IF('3-Year P&amp;L'!$B$51="","",'3-Year P&amp;L'!$B$51),"")</f>
        <v>0.627</v>
      </c>
      <c r="C22" s="64">
        <f>IFERROR(IF('3-Year P&amp;L'!$E$51="","",'3-Year P&amp;L'!$E$51),"")</f>
        <v>0.6</v>
      </c>
      <c r="D22" t="str">
        <f>IFERROR(IF(OR(B22="",C22=""),"",IF(B22&gt;=C22,"OK","REVIEW")),"")</f>
        <v>OK</v>
      </c>
    </row>
    <row r="24">
      <c r="A24" s="16" t="inlineStr">
        <is>
          <t>THIS PLAN'S KEY FIGURES</t>
        </is>
      </c>
    </row>
    <row r="25">
      <c r="A25" t="inlineStr">
        <is>
          <t>Total startup costs (sum of the blocks)</t>
        </is>
      </c>
      <c r="B25" s="42">
        <f>IFERROR(IF('Startup Costs'!$B$31="","",'Startup Costs'!$B$31),"")</f>
        <v>266709.0</v>
      </c>
    </row>
    <row r="26">
      <c r="A26" t="inlineStr">
        <is>
          <t>Total cash needed at launch</t>
        </is>
      </c>
      <c r="B26" s="42">
        <f>IFERROR(IF('Startup Costs'!$B$34="","",'Startup Costs'!$B$34),"")</f>
        <v>266709.0</v>
      </c>
    </row>
    <row r="27">
      <c r="A27" t="inlineStr">
        <is>
          <t>Working capital funded</t>
        </is>
      </c>
      <c r="B27" s="42">
        <f>IFERROR(IF('Startup Costs'!$B$30="","",'Startup Costs'!$B$30),"")</f>
        <v>84209.0</v>
      </c>
    </row>
    <row r="28">
      <c r="A28" t="inlineStr">
        <is>
          <t>Forecast year-1 revenue</t>
        </is>
      </c>
      <c r="B28" s="42">
        <f>IFERROR(IF('3-Year P&amp;L'!$B$9="","",'3-Year P&amp;L'!$B$9),"")</f>
        <v>651000.0</v>
      </c>
    </row>
    <row r="29">
      <c r="A29" t="inlineStr">
        <is>
          <t>Year-1 net income</t>
        </is>
      </c>
      <c r="B29" s="42">
        <f>IFERROR(IF('3-Year P&amp;L'!$B$48="","",'3-Year P&amp;L'!$B$48),"")</f>
        <v>38743.60714285713</v>
      </c>
    </row>
    <row r="30">
      <c r="A30" t="inlineStr">
        <is>
          <t>Transactions per day for the ACCOUNTING break-even (depreciation included)</t>
        </is>
      </c>
      <c r="B30" s="48">
        <f>IFERROR(IF('Break-Even'!$B$15="","",'Break-Even'!$B$15),"")</f>
        <v>183.42277982345897</v>
      </c>
    </row>
    <row r="31">
      <c r="A31" t="inlineStr">
        <is>
          <t>Project payback (years), before debt</t>
        </is>
      </c>
      <c r="B31">
        <f>IFERROR(IF('12-Month Cash Flow'!$B$31="","",'12-Month Cash Flow'!$B$31),"")</f>
        <v>2.6</v>
      </c>
    </row>
    <row r="33">
      <c r="A33" s="16" t="inlineStr">
        <is>
          <t>WHY THIS MODEL IS BUILT THIS WAY</t>
        </is>
      </c>
    </row>
    <row r="34">
      <c r="A34" s="16" t="inlineStr">
        <is>
          <t>Item</t>
        </is>
      </c>
      <c r="B34" s="16" t="inlineStr">
        <is>
          <t>Common shortcut</t>
        </is>
      </c>
      <c r="C34" s="16" t="inlineStr">
        <is>
          <t>This workbook</t>
        </is>
      </c>
      <c r="D34" s="16" t="inlineStr">
        <is>
          <t>Why</t>
        </is>
      </c>
    </row>
    <row r="35" ht="75" customHeight="1">
      <c r="A35" s="58" t="inlineStr">
        <is>
          <t>Labor cost in the P&amp;L</t>
        </is>
      </c>
      <c r="B35" s="58" t="inlineStr">
        <is>
          <t>A typed-in number, disconnected from the staffing tab</t>
        </is>
      </c>
      <c r="C35" s="58" t="inlineStr">
        <is>
          <t>The total of the "Staffing" tab, by formula</t>
        </is>
      </c>
      <c r="D35" s="17" t="inlineStr">
        <is>
          <t>When the P&amp;L and the staffing tab disagree, nobody knows which one to trust. Here both say the same thing, and if you change a salary the result changes on its own.</t>
        </is>
      </c>
    </row>
    <row r="36" ht="105" customHeight="1">
      <c r="A36" s="58" t="inlineStr">
        <is>
          <t>Staffing</t>
        </is>
      </c>
      <c r="B36" s="58" t="inlineStr">
        <is>
          <t>A handful of full-time positions sized by guesswork</t>
        </is>
      </c>
      <c r="C36" s="58" t="inlineStr">
        <is>
          <t>Positions, including part-time lines, sized to the production shift and the shop hours you declare</t>
        </is>
      </c>
      <c r="D36" s="17" t="inlineStr">
        <is>
          <t>Sized to the hours that really have to be covered (the early production shift, the shop's opening hours and a line for vacation and day-off relief) and tested against the labor-cost ceiling in the P&amp;L. No payroll line falls below the minimum wage in proportion to its FTE</t>
        </is>
      </c>
    </row>
    <row r="37" ht="90" customHeight="1">
      <c r="A37" s="58" t="inlineStr">
        <is>
          <t>Transactions per day</t>
        </is>
      </c>
      <c r="B37" s="58" t="inlineStr">
        <is>
          <t>Backed out of a revenue target</t>
        </is>
      </c>
      <c r="C37" s="58" t="inlineStr">
        <is>
          <t>Typed in as an input and tested against the pessimistic and optimistic scenarios</t>
        </is>
      </c>
      <c r="D37" s="17" t="inlineStr">
        <is>
          <t>Transactions per day is a driver, not a plug. With fewer transactions, net income falls below the floor this workbook sets, because fixed costs do not grow with volume, so each extra transaction goes almost entirely to the bottom line. Compare it with the "Scenarios" tab.</t>
        </is>
      </c>
    </row>
    <row r="38" ht="60" customHeight="1">
      <c r="A38" s="58" t="inlineStr">
        <is>
          <t>Average check</t>
        </is>
      </c>
      <c r="B38" s="58" t="inlineStr">
        <is>
          <t>A single number, without saying whether it includes sales tax</t>
        </is>
      </c>
      <c r="C38" s="58" t="inlineStr">
        <is>
          <t>Entered excl. sales tax; the "0. Assumptions" tab calculates the equivalent menu price incl. sales tax</t>
        </is>
      </c>
      <c r="D38" s="17" t="inlineStr">
        <is>
          <t>Revenue is booked excl. sales tax, as a business is projected. The example sits in the upper part of the range in the benchmarks table because the check combines bread, pastries and coffee, not just the loaf.</t>
        </is>
      </c>
    </row>
    <row r="39" ht="75" customHeight="1">
      <c r="A39" s="58" t="inlineStr">
        <is>
          <t>Rent</t>
        </is>
      </c>
      <c r="B39" s="58" t="inlineStr">
        <is>
          <t>A monthly figure with no link to sales</t>
        </is>
      </c>
      <c r="C39" s="58" t="inlineStr">
        <is>
          <t>A monthly rent on the "0. Assumptions" tab, tested as a percentage of sales</t>
        </is>
      </c>
      <c r="D39" s="17" t="inlineStr">
        <is>
          <t>A bakery needs more square footage than a shop alone: production area, storefront and storage add up to the minimum the checklist suggests. The "3-Year P&amp;L" shows rent against its ceiling as a percentage of sales, so you see right away whether the location is viable.</t>
        </is>
      </c>
    </row>
    <row r="40" ht="45" customHeight="1">
      <c r="A40" s="58" t="inlineStr">
        <is>
          <t>Utilities</t>
        </is>
      </c>
      <c r="B40" s="58" t="inlineStr">
        <is>
          <t>A monthly figure typed in without checking what the ovens consume</t>
        </is>
      </c>
      <c r="C40" s="58" t="inlineStr">
        <is>
          <t>A monthly figure sized for ovens and refrigeration, on the "0. Assumptions" tab</t>
        </is>
      </c>
      <c r="D40" s="17" t="inlineStr">
        <is>
          <t>The electricity consumption of a bakery is not that of a shop: ovens need a heavy electrical load. Ask for the utility history of the space before you sign the lease.</t>
        </is>
      </c>
    </row>
    <row r="41" ht="60" customHeight="1">
      <c r="A41" s="58" t="inlineStr">
        <is>
          <t>Opening calendar</t>
        </is>
      </c>
      <c r="B41" s="58" t="inlineStr">
        <is>
          <t>Two different calendars in the same workbook: a monthly day count on one tab and an annual count on another</t>
        </is>
      </c>
      <c r="C41" s="58" t="inlineStr">
        <is>
          <t>A single operating-days input on the "0. Assumptions" tab</t>
        </is>
      </c>
      <c r="D41" s="17" t="inlineStr">
        <is>
          <t>The daily break-even, the P&amp;L and the scenarios all use the same number of days, so the daily break-even matches the days you actually plan to open.</t>
        </is>
      </c>
    </row>
    <row r="42" ht="59.75" customHeight="1">
      <c r="A42" s="58" t="inlineStr">
        <is>
          <t>Working capital</t>
        </is>
      </c>
      <c r="B42" s="58" t="inlineStr">
        <is>
          <t>A round number with a "3 months" label</t>
        </is>
      </c>
      <c r="C42" s="58" t="inlineStr">
        <is>
          <t>3 months of cash fixed costs, by formula</t>
        </is>
      </c>
      <c r="D42" s="17" t="inlineStr">
        <is>
          <t>A typed figure can cover far fewer months than its label says. A formula recalculates by itself whenever you change any expense: if you raise the rent or the staff, the cushion rises with them.</t>
        </is>
      </c>
    </row>
    <row r="43" ht="90" customHeight="1">
      <c r="A43" s="58" t="inlineStr">
        <is>
          <t>Depreciation</t>
        </is>
      </c>
      <c r="B43" s="58" t="inlineStr">
        <is>
          <t>One flat period over the WHOLE investment, working capital and opening inventory included</t>
        </is>
      </c>
      <c r="C43" s="58" t="inlineStr">
        <is>
          <t>Only on the build-out and the equipment, each with its own useful life</t>
        </is>
      </c>
      <c r="D43" s="17" t="inlineStr">
        <is>
          <t>Only fixed assets are depreciated: the cash cushion and the opening inventory are not assets that wear out. Depreciation here is straight-line book depreciation; MACRS and Section 179 are tax treatments handled outside the model, so confirm them with your accountant.</t>
        </is>
      </c>
    </row>
    <row r="44" ht="150" customHeight="1">
      <c r="A44" s="58" t="inlineStr">
        <is>
          <t>Build-out contingency</t>
        </is>
      </c>
      <c r="B44" s="58" t="inlineStr">
        <is>
          <t>A fixed amount with a percentage written inside the label</t>
        </is>
      </c>
      <c r="C44" s="58" t="inlineStr">
        <is>
          <t>A formula on the build-out lines, with the percentage on the "0. Assumptions" tab</t>
        </is>
      </c>
      <c r="D44" s="17" t="inlineStr">
        <is>
          <t>A percentage hidden in a label stops being true as soon as one line changes. Here the cushion is calculated only on what can really overrun in a renovation (drawings, build-out, electrical service, ventilation and signage), not on equipment bought at a closed price, and the percentage is an input: change it and the amount recalculates on its own instead of being redone by hand every time a quote changes.</t>
        </is>
      </c>
    </row>
    <row r="45" ht="74.75" customHeight="1">
      <c r="A45" s="58" t="inlineStr">
        <is>
          <t>Income tax</t>
        </is>
      </c>
      <c r="B45" s="58" t="inlineStr">
        <is>
          <t>A flat rate that ignores the losses of the first year</t>
        </is>
      </c>
      <c r="C45" s="58" t="inlineStr">
        <is>
          <t>An effective income tax rate (years 1-2 and from year 3), with net operating losses carried forward</t>
        </is>
      </c>
      <c r="D45" s="17" t="inlineStr">
        <is>
          <t>Early losses offset later profits, so the model carries them forward. Federal rules cap the offset at 80% of taxable income and the model offsets 100%, a declared simplification. If your business is a pass-through entity, set the rate to 0% and remember that you pay the tax on your personal return.</t>
        </is>
      </c>
    </row>
    <row r="46" ht="105" customHeight="1">
      <c r="A46" s="58" t="inlineStr">
        <is>
          <t>Year-2 growth</t>
        </is>
      </c>
      <c r="B46" s="58" t="inlineStr">
        <is>
          <t>An aggressive jump in volume in year 2</t>
        </is>
      </c>
      <c r="C46" s="58" t="inlineStr">
        <is>
          <t>A moderate growth input on the "0. Assumptions" tab</t>
        </is>
      </c>
      <c r="D46" s="17" t="inlineStr">
        <is>
          <t>Year 2 is kept moderate, which is the prudent choice, but not lower: with less growth the cushion over the cash break-even would fall below the 15% this workbook asks for.</t>
        </is>
      </c>
    </row>
    <row r="47" ht="75" customHeight="1">
      <c r="A47" s="58" t="inlineStr">
        <is>
          <t>Average collection days</t>
        </is>
      </c>
      <c r="B47" s="58" t="inlineStr">
        <is>
          <t>Zero days: everything collected on the spot</t>
        </is>
      </c>
      <c r="C47" s="58" t="inlineStr">
        <is>
          <t>A weighted average of counter sales (paid on the spot) and wholesale accounts (paid on terms)</t>
        </is>
      </c>
      <c r="D47" s="17" t="inlineStr">
        <is>
          <t>The counter is paid at the time of sale, but a café or restaurant that buys from you usually pays on terms, often 30 days. With the weight this business gives to wholesale, the weighted average is about a day, and the "12-Month Cash Flow" tab already takes it into account.</t>
        </is>
      </c>
    </row>
    <row r="48" ht="45" customHeight="1">
      <c r="A48" s="58" t="inlineStr">
        <is>
          <t>Financing plan</t>
        </is>
      </c>
      <c r="B48" s="58" t="inlineStr">
        <is>
          <t>Not included</t>
        </is>
      </c>
      <c r="C48" s="58" t="inlineStr">
        <is>
          <t>The "Financing" tab: sources of funds, uses and an amortization schedule</t>
        </is>
      </c>
      <c r="D48" s="17" t="inlineStr">
        <is>
          <t>A lender wants to see that the money coming in covers what has to be put on the table. The workbook checks it for you.</t>
        </is>
      </c>
    </row>
    <row r="49" ht="30" customHeight="1">
      <c r="A49" s="58" t="inlineStr">
        <is>
          <t>Month-by-month cash flow</t>
        </is>
      </c>
      <c r="B49" s="58" t="inlineStr">
        <is>
          <t>Not included</t>
        </is>
      </c>
      <c r="C49" s="58" t="inlineStr">
        <is>
          <t>The "12-Month Cash Flow" tab: receipts, payments, quarterly sales tax and running balance</t>
        </is>
      </c>
      <c r="D49" s="17" t="inlineStr">
        <is>
          <t>It is the tab that answers the question that decides a loan: in which month does the cash run out.</t>
        </is>
      </c>
    </row>
    <row r="50" ht="59.75" customHeight="1">
      <c r="A50" s="58" t="inlineStr">
        <is>
          <t>Retail vs wholesale</t>
        </is>
      </c>
      <c r="B50" s="58" t="inlineStr">
        <is>
          <t>One generic bakery license, without distinguishing the sales channel</t>
        </is>
      </c>
      <c r="C50" s="58" t="inlineStr">
        <is>
          <t>The checklist separates retail sales to the public from wholesale sales to other businesses (with a resale certificate), and flags it if wholesale grows</t>
        </is>
      </c>
      <c r="D50" s="17" t="inlineStr">
        <is>
          <t>Selling to the public and selling to other businesses are treated differently for sales tax and, in some states, for licensing. Your accountant and your state agency confirm which applies: it affects inspections and the permits you need.</t>
        </is>
      </c>
    </row>
    <row r="51" ht="89.75" customHeight="1">
      <c r="A51" s="58" t="inlineStr">
        <is>
          <t>Health permit</t>
        </is>
      </c>
      <c r="B51" s="58" t="inlineStr">
        <is>
          <t>Assumed a single registration for every bakery, without nuance</t>
        </is>
      </c>
      <c r="C51" s="58" t="inlineStr">
        <is>
          <t>Health department permit for the retail shop, with a flag for the wholesale channel</t>
        </is>
      </c>
      <c r="D51" s="17" t="inlineStr">
        <is>
          <t>A bakery that sells only to the public is licensed locally. Selling to other businesses can add requirements: a state agriculture department license and, if wholesale becomes your main channel, FDA food facility registration (retail food establishments, whose sales go mostly to consumers, are exempt). If wholesale grows, check with your accountant and your state agency.</t>
        </is>
      </c>
    </row>
    <row r="53">
      <c r="A53" s="16" t="inlineStr">
        <is>
          <t>INDUSTRY BENCHMARKS</t>
        </is>
      </c>
    </row>
    <row r="54">
      <c r="A54" s="16" t="inlineStr">
        <is>
          <t>Benchmark</t>
        </is>
      </c>
      <c r="B54" s="16" t="inlineStr">
        <is>
          <t>Value</t>
        </is>
      </c>
      <c r="C54" s="16" t="inlineStr">
        <is>
          <t>Source</t>
        </is>
      </c>
      <c r="D54" s="16" t="inlineStr">
        <is>
          <t>Note</t>
        </is>
      </c>
    </row>
    <row r="55" ht="30" customHeight="1">
      <c r="A55" t="inlineStr">
        <is>
          <t>Food cost: artisan bread</t>
        </is>
      </c>
      <c r="B55" t="inlineStr">
        <is>
          <t>25-30%</t>
        </is>
      </c>
      <c r="C55" t="inlineStr">
        <is>
          <t>Kit estimate</t>
        </is>
      </c>
      <c r="D55" s="17" t="inlineStr">
        <is>
          <t>Flour + yeast + water = low unit cost. Bakeries overall run 28-35% according to Toast</t>
        </is>
      </c>
    </row>
    <row r="56">
      <c r="A56" t="inlineStr">
        <is>
          <t>Food cost: pastries</t>
        </is>
      </c>
      <c r="B56" t="inlineStr">
        <is>
          <t>32-38%</t>
        </is>
      </c>
      <c r="C56" t="inlineStr">
        <is>
          <t>Kit estimate</t>
        </is>
      </c>
      <c r="D56" s="17" t="inlineStr">
        <is>
          <t>Butter and chocolate raise the cost</t>
        </is>
      </c>
    </row>
    <row r="57">
      <c r="A57" t="inlineStr">
        <is>
          <t>Beverage cost: coffee</t>
        </is>
      </c>
      <c r="B57" t="inlineStr">
        <is>
          <t>20-30%</t>
        </is>
      </c>
      <c r="C57" t="inlineStr">
        <is>
          <t>Kit estimate</t>
        </is>
      </c>
      <c r="D57" s="17" t="inlineStr">
        <is>
          <t>Whole-bean coffee, high margin</t>
        </is>
      </c>
    </row>
    <row r="58" ht="45" customHeight="1">
      <c r="A58" t="inlineStr">
        <is>
          <t>Labor cost / Sales</t>
        </is>
      </c>
      <c r="B58" t="inlineStr">
        <is>
          <t>24-40% (artisan bread 34-40%)</t>
        </is>
      </c>
      <c r="C58" t="inlineStr">
        <is>
          <t>Toast (pos.toasttab.com)</t>
        </is>
      </c>
      <c r="D58" s="17" t="inlineStr">
        <is>
          <t>Early production shift and a double job (production plus selling): the kit applies the top of this range as the ceiling in the "3-Year P&amp;L"</t>
        </is>
      </c>
    </row>
    <row r="59" ht="30" customHeight="1">
      <c r="A59" t="inlineStr">
        <is>
          <t>Rent / Sales</t>
        </is>
      </c>
      <c r="B59" t="inlineStr">
        <is>
          <t>Up to 10%</t>
        </is>
      </c>
      <c r="C59" t="inlineStr">
        <is>
          <t>Kit estimate</t>
        </is>
      </c>
      <c r="D59" s="17" t="inlineStr">
        <is>
          <t>A bakery needs more square footage than a shop alone, so rent weighs more than in a coffee shop</t>
        </is>
      </c>
    </row>
    <row r="60" ht="30" customHeight="1">
      <c r="A60" t="inlineStr">
        <is>
          <t>Average check: bakery</t>
        </is>
      </c>
      <c r="B60" t="inlineStr">
        <is>
          <t>7-12</t>
        </is>
      </c>
      <c r="C60" t="inlineStr">
        <is>
          <t>Kit estimate</t>
        </is>
      </c>
      <c r="D60" s="17" t="inlineStr">
        <is>
          <t>Bread + pastries + coffee. The average check excl. sales tax of THIS plan is on the "0. Assumptions" tab</t>
        </is>
      </c>
    </row>
    <row r="61" ht="15" customHeight="1">
      <c r="A61" t="inlineStr">
        <is>
          <t>Daily bread production (lb)</t>
        </is>
      </c>
      <c r="B61" t="inlineStr">
        <is>
          <t>175-440 lb</t>
        </is>
      </c>
      <c r="C61" t="inlineStr">
        <is>
          <t>Kit estimate</t>
        </is>
      </c>
      <c r="D61" s="17" t="inlineStr">
        <is>
          <t>Depends on the oven and the equipment installed</t>
        </is>
      </c>
    </row>
    <row r="62" ht="30" customHeight="1">
      <c r="A62" t="inlineStr">
        <is>
          <t>Bread waste (unsold)</t>
        </is>
      </c>
      <c r="B62" t="inlineStr">
        <is>
          <t>5-10%</t>
        </is>
      </c>
      <c r="C62" t="inlineStr">
        <is>
          <t>Kit estimate</t>
        </is>
      </c>
      <c r="D62" s="17" t="inlineStr">
        <is>
          <t>Day-old bread loses its value: whatever does not sell is lost, so measure it every week (Phase 6 of the checklist)</t>
        </is>
      </c>
    </row>
    <row r="63" ht="15" customHeight="1">
      <c r="A63" t="inlineStr">
        <is>
          <t>Target gross margin</t>
        </is>
      </c>
      <c r="B63" t="inlineStr">
        <is>
          <t>60% or more</t>
        </is>
      </c>
      <c r="C63" t="inlineStr">
        <is>
          <t>Kit estimate</t>
        </is>
      </c>
      <c r="D63" s="17" t="inlineStr">
        <is>
          <t>Artisan bread earns a better margin than industrial bread</t>
        </is>
      </c>
    </row>
    <row r="64" ht="30" customHeight="1">
      <c r="A64" t="inlineStr">
        <is>
          <t>Production start time</t>
        </is>
      </c>
      <c r="B64" t="inlineStr">
        <is>
          <t>4:00-5:00 AM</t>
        </is>
      </c>
      <c r="C64" t="inlineStr">
        <is>
          <t>Kit estimate</t>
        </is>
      </c>
      <c r="D64" s="17" t="inlineStr">
        <is>
          <t>The early shift is critical to have bread on the shelf by 7:30 am</t>
        </is>
      </c>
    </row>
    <row r="65" ht="45" customHeight="1">
      <c r="A65" t="inlineStr">
        <is>
          <t>EBITDA target (year 2)</t>
        </is>
      </c>
      <c r="B65" t="inlineStr">
        <is>
          <t>10-20%</t>
        </is>
      </c>
      <c r="C65" t="inlineStr">
        <is>
          <t>Kit estimate</t>
        </is>
      </c>
      <c r="D65" s="17" t="inlineStr">
        <is>
          <t>Year 1 can be negative, which is normal for a new bakery. Net margins in the food sector are typically 3-5%, and artisan bakeries can earn more (Toast)</t>
        </is>
      </c>
    </row>
    <row r="66" ht="120" customHeight="1">
      <c r="A66" t="inlineStr">
        <is>
          <t>Payback period</t>
        </is>
      </c>
      <c r="B66" t="inlineStr">
        <is>
          <t>Calculated by this workbook: the "Project payback (years), before debt" row</t>
        </is>
      </c>
      <c r="C66" t="inlineStr">
        <is>
          <t>Calculated by this workbook, not copied</t>
        </is>
      </c>
      <c r="D66" s="17" t="inlineStr">
        <is>
          <t>This workbook does not copy a payback from anyone: it calculates it with ITS investment and ITS cash flows before debt, and publishes it in the figures block, in the "Project payback (years), before debt" row.</t>
        </is>
      </c>
    </row>
    <row r="67" ht="45" customHeight="1">
      <c r="A67" t="inlineStr">
        <is>
          <t>Applicable state / local minimum wage</t>
        </is>
      </c>
      <c r="B67" t="inlineStr">
        <is>
          <t>7.25 per hour federal (15,080 per year full-time); state and local rates are often higher</t>
        </is>
      </c>
      <c r="C67" t="inlineStr">
        <is>
          <t>DOL (dol.gov/agencies/whd/minimum-wage)</t>
        </is>
      </c>
      <c r="D67" s="17" t="inlineStr">
        <is>
          <t>There is no single national table above the federal floor: look up the rate for your state and city and enter it on the "0. Assumptions" tab</t>
        </is>
      </c>
    </row>
    <row r="69">
      <c r="A69" s="59" t="inlineStr">
        <is>
          <t>To edit a cell that is not green: Review → Unprotect Sheet (there is no password).</t>
        </is>
      </c>
    </row>
    <row r="70">
      <c r="A70" s="59" t="inlineStr">
        <is>
          <t>More templates and kits in the catalog at aichef.pro/en/digital-products</t>
        </is>
      </c>
    </row>
    <row r="71">
      <c r="A71" s="59" t="inlineStr">
        <is>
          <t>Designed by John Guerrero — chef and restaurant consultant since 2010, in the kitchen since age 17 · johnguerrero.es</t>
        </is>
      </c>
    </row>
    <row r="72">
      <c r="A72" s="59" t="inlineStr">
        <is>
          <t>Version 2.2 · October 2026 · aichef.pro/en/digital-products/bakery-business-plan · info@aichef.pro</t>
        </is>
      </c>
    </row>
    <row r="73" ht="45" customHeight="1">
      <c r="A73" s="7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69" t="n">
        <v>0.083</v>
      </c>
      <c r="C5" s="69" t="n">
        <v>0.078</v>
      </c>
      <c r="D5" s="69" t="n">
        <v>0.083</v>
      </c>
      <c r="E5" s="69" t="n">
        <v>0.08500000000000001</v>
      </c>
      <c r="F5" s="69" t="n">
        <v>0.083</v>
      </c>
      <c r="G5" s="69" t="n">
        <v>0.08</v>
      </c>
      <c r="H5" s="69" t="n">
        <v>0.075</v>
      </c>
      <c r="I5" s="69" t="n">
        <v>0.06</v>
      </c>
      <c r="J5" s="69" t="n">
        <v>0.083</v>
      </c>
      <c r="K5" s="69" t="n">
        <v>0.08500000000000001</v>
      </c>
      <c r="L5" s="69" t="n">
        <v>0.083</v>
      </c>
      <c r="M5" s="69" t="n">
        <v>0.122</v>
      </c>
      <c r="N5" s="67">
        <f>IFERROR(IF('3-Year P&amp;L'!$B$9="","",SUM(B5:M5)),"")</f>
        <v>1.0</v>
      </c>
      <c r="O5" s="28" t="inlineStr">
        <is>
          <t>Profile for your area: adjust it to your own slow and busy months (weather, tourism, events). It must add up to 100%</t>
        </is>
      </c>
    </row>
    <row r="6">
      <c r="A6" s="28" t="inlineStr">
        <is>
          <t>Launch ramp-up (% of steady-state activity)</t>
        </is>
      </c>
      <c r="B6" s="67">
        <f>IFERROR(IF('3-Year P&amp;L'!$B$9="","",MIN(1,'0. Assumptions'!$B$52+(1-'0. Assumptions'!$B$52)*0/MAX(1,'0. Assumptions'!$B$53-1))),"")</f>
        <v>0.55</v>
      </c>
      <c r="C6" s="67">
        <f>IFERROR(IF('3-Year P&amp;L'!$B$9="","",MIN(1,'0. Assumptions'!$B$52+(1-'0. Assumptions'!$B$52)*1/MAX(1,'0. Assumptions'!$B$53-1))),"")</f>
        <v>0.64</v>
      </c>
      <c r="D6" s="67">
        <f>IFERROR(IF('3-Year P&amp;L'!$B$9="","",MIN(1,'0. Assumptions'!$B$52+(1-'0. Assumptions'!$B$52)*2/MAX(1,'0. Assumptions'!$B$53-1))),"")</f>
        <v>0.73</v>
      </c>
      <c r="E6" s="67">
        <f>IFERROR(IF('3-Year P&amp;L'!$B$9="","",MIN(1,'0. Assumptions'!$B$52+(1-'0. Assumptions'!$B$52)*3/MAX(1,'0. Assumptions'!$B$53-1))),"")</f>
        <v>0.8200000000000001</v>
      </c>
      <c r="F6" s="67">
        <f>IFERROR(IF('3-Year P&amp;L'!$B$9="","",MIN(1,'0. Assumptions'!$B$52+(1-'0. Assumptions'!$B$52)*4/MAX(1,'0. Assumptions'!$B$53-1))),"")</f>
        <v>0.91</v>
      </c>
      <c r="G6" s="67">
        <f>IFERROR(IF('3-Year P&amp;L'!$B$9="","",MIN(1,'0. Assumptions'!$B$52+(1-'0. Assumptions'!$B$52)*5/MAX(1,'0. Assumptions'!$B$53-1))),"")</f>
        <v>1.0</v>
      </c>
      <c r="H6" s="67">
        <f>IFERROR(IF('3-Year P&amp;L'!$B$9="","",MIN(1,'0. Assumptions'!$B$52+(1-'0. Assumptions'!$B$52)*6/MAX(1,'0. Assumptions'!$B$53-1))),"")</f>
        <v>1.0</v>
      </c>
      <c r="I6" s="67">
        <f>IFERROR(IF('3-Year P&amp;L'!$B$9="","",MIN(1,'0. Assumptions'!$B$52+(1-'0. Assumptions'!$B$52)*7/MAX(1,'0. Assumptions'!$B$53-1))),"")</f>
        <v>1.0</v>
      </c>
      <c r="J6" s="67">
        <f>IFERROR(IF('3-Year P&amp;L'!$B$9="","",MIN(1,'0. Assumptions'!$B$52+(1-'0. Assumptions'!$B$52)*8/MAX(1,'0. Assumptions'!$B$53-1))),"")</f>
        <v>1.0</v>
      </c>
      <c r="K6" s="67">
        <f>IFERROR(IF('3-Year P&amp;L'!$B$9="","",MIN(1,'0. Assumptions'!$B$52+(1-'0. Assumptions'!$B$52)*9/MAX(1,'0. Assumptions'!$B$53-1))),"")</f>
        <v>1.0</v>
      </c>
      <c r="L6" s="67">
        <f>IFERROR(IF('3-Year P&amp;L'!$B$9="","",MIN(1,'0. Assumptions'!$B$52+(1-'0. Assumptions'!$B$52)*10/MAX(1,'0. Assumptions'!$B$53-1))),"")</f>
        <v>1.0</v>
      </c>
      <c r="M6" s="67">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7">
        <f>IFERROR(IF('3-Year P&amp;L'!$B$9="","",B5*B6/SUMPRODUCT($B$5:$M$5,$B$6:$M$6)),"")</f>
        <v>0.05132731422660476</v>
      </c>
      <c r="C7" s="67">
        <f>IFERROR(IF('3-Year P&amp;L'!$B$9="","",C5*C6/SUMPRODUCT($B$5:$M$5,$B$6:$M$6)),"")</f>
        <v>0.056128357638381365</v>
      </c>
      <c r="D7" s="67">
        <f>IFERROR(IF('3-Year P&amp;L'!$B$9="","",D5*D6/SUMPRODUCT($B$5:$M$5,$B$6:$M$6)),"")</f>
        <v>0.06812534433712995</v>
      </c>
      <c r="E7" s="67">
        <f>IFERROR(IF('3-Year P&amp;L'!$B$9="","",E5*E6/SUMPRODUCT($B$5:$M$5,$B$6:$M$6)),"")</f>
        <v>0.07836831985967913</v>
      </c>
      <c r="F7" s="67">
        <f>IFERROR(IF('3-Year P&amp;L'!$B$9="","",F5*F6/SUMPRODUCT($B$5:$M$5,$B$6:$M$6)),"")</f>
        <v>0.08492337444765514</v>
      </c>
      <c r="G7" s="67">
        <f>IFERROR(IF('3-Year P&amp;L'!$B$9="","",G5*G6/SUMPRODUCT($B$5:$M$5,$B$6:$M$6)),"")</f>
        <v>0.08994929108714964</v>
      </c>
      <c r="H7" s="67">
        <f>IFERROR(IF('3-Year P&amp;L'!$B$9="","",H5*H6/SUMPRODUCT($B$5:$M$5,$B$6:$M$6)),"")</f>
        <v>0.08432746039420277</v>
      </c>
      <c r="I7" s="67">
        <f>IFERROR(IF('3-Year P&amp;L'!$B$9="","",I5*I6/SUMPRODUCT($B$5:$M$5,$B$6:$M$6)),"")</f>
        <v>0.06746196831536222</v>
      </c>
      <c r="J7" s="67">
        <f>IFERROR(IF('3-Year P&amp;L'!$B$9="","",J5*J6/SUMPRODUCT($B$5:$M$5,$B$6:$M$6)),"")</f>
        <v>0.09332238950291774</v>
      </c>
      <c r="K7" s="67">
        <f>IFERROR(IF('3-Year P&amp;L'!$B$9="","",K5*K6/SUMPRODUCT($B$5:$M$5,$B$6:$M$6)),"")</f>
        <v>0.09557112178009648</v>
      </c>
      <c r="L7" s="67">
        <f>IFERROR(IF('3-Year P&amp;L'!$B$9="","",L5*L6/SUMPRODUCT($B$5:$M$5,$B$6:$M$6)),"")</f>
        <v>0.09332238950291774</v>
      </c>
      <c r="M7" s="67">
        <f>IFERROR(IF('3-Year P&amp;L'!$B$9="","",M5*M6/SUMPRODUCT($B$5:$M$5,$B$6:$M$6)),"")</f>
        <v>0.1371726689079032</v>
      </c>
      <c r="N7" s="67">
        <f>IFERROR(IF('3-Year P&amp;L'!$B$9="","",SUM(B7:M7)),"")</f>
        <v>1.0000000000000002</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39">
        <f>IFERROR(IF('3-Year P&amp;L'!$B$9="","",('3-Year P&amp;L'!$B$9+'3-Year P&amp;L'!$B$9*SUMPRODUCT('3-Year P&amp;L'!$E$10:$E$11,'3-Year P&amp;L'!$G$10:$G$11))*B7*(1-MIN(30,'0. Assumptions'!$B$58)/30)),"")</f>
        <v>33127.165981178114</v>
      </c>
      <c r="C9" s="39">
        <f>IFERROR(IF('3-Year P&amp;L'!$B$9="","",('3-Year P&amp;L'!$B$9+'3-Year P&amp;L'!$B$9*SUMPRODUCT('3-Year P&amp;L'!$E$10:$E$11,'3-Year P&amp;L'!$G$10:$G$11))*(C7*(1-MIN(30,'0. Assumptions'!$B$58)/30)+B7*MIN(30,'0. Assumptions'!$B$58)/30)),"")</f>
        <v>37368.12386197282</v>
      </c>
      <c r="D9" s="39">
        <f>IFERROR(IF('3-Year P&amp;L'!$B$9="","",('3-Year P&amp;L'!$B$9+'3-Year P&amp;L'!$B$9*SUMPRODUCT('3-Year P&amp;L'!$E$10:$E$11,'3-Year P&amp;L'!$G$10:$G$11))*(D7*(1-MIN(30,'0. Assumptions'!$B$58)/30)+C7*MIN(30,'0. Assumptions'!$B$58)/30)),"")</f>
        <v>45217.94972464274</v>
      </c>
      <c r="E9" s="39">
        <f>IFERROR(IF('3-Year P&amp;L'!$B$9="","",('3-Year P&amp;L'!$B$9+'3-Year P&amp;L'!$B$9*SUMPRODUCT('3-Year P&amp;L'!$E$10:$E$11,'3-Year P&amp;L'!$G$10:$G$11))*(E7*(1-MIN(30,'0. Assumptions'!$B$58)/30)+D7*MIN(30,'0. Assumptions'!$B$58)/30)),"")</f>
        <v>52095.86855350297</v>
      </c>
      <c r="F9" s="39">
        <f>IFERROR(IF('3-Year P&amp;L'!$B$9="","",('3-Year P&amp;L'!$B$9+'3-Year P&amp;L'!$B$9*SUMPRODUCT('3-Year P&amp;L'!$E$10:$E$11,'3-Year P&amp;L'!$G$10:$G$11))*(F7*(1-MIN(30,'0. Assumptions'!$B$58)/30)+E7*MIN(30,'0. Assumptions'!$B$58)/30)),"")</f>
        <v>56554.52960613454</v>
      </c>
      <c r="G9" s="39">
        <f>IFERROR(IF('3-Year P&amp;L'!$B$9="","",('3-Year P&amp;L'!$B$9+'3-Year P&amp;L'!$B$9*SUMPRODUCT('3-Year P&amp;L'!$E$10:$E$11,'3-Year P&amp;L'!$G$10:$G$11))*(G7*(1-MIN(30,'0. Assumptions'!$B$58)/30)+F7*MIN(30,'0. Assumptions'!$B$58)/30)),"")</f>
        <v>59944.19301498781</v>
      </c>
      <c r="H9" s="39">
        <f>IFERROR(IF('3-Year P&amp;L'!$B$9="","",('3-Year P&amp;L'!$B$9+'3-Year P&amp;L'!$B$9*SUMPRODUCT('3-Year P&amp;L'!$E$10:$E$11,'3-Year P&amp;L'!$G$10:$G$11))*(H7*(1-MIN(30,'0. Assumptions'!$B$58)/30)+G7*MIN(30,'0. Assumptions'!$B$58)/30)),"")</f>
        <v>56427.66120599512</v>
      </c>
      <c r="I9" s="39">
        <f>IFERROR(IF('3-Year P&amp;L'!$B$9="","",('3-Year P&amp;L'!$B$9+'3-Year P&amp;L'!$B$9*SUMPRODUCT('3-Year P&amp;L'!$E$10:$E$11,'3-Year P&amp;L'!$G$10:$G$11))*(I7*(1-MIN(30,'0. Assumptions'!$B$58)/30)+H7*MIN(30,'0. Assumptions'!$B$58)/30)),"")</f>
        <v>45417.38584872778</v>
      </c>
      <c r="J9" s="39">
        <f>IFERROR(IF('3-Year P&amp;L'!$B$9="","",('3-Year P&amp;L'!$B$9+'3-Year P&amp;L'!$B$9*SUMPRODUCT('3-Year P&amp;L'!$E$10:$E$11,'3-Year P&amp;L'!$G$10:$G$11))*(J7*(1-MIN(30,'0. Assumptions'!$B$58)/30)+I7*MIN(30,'0. Assumptions'!$B$58)/30)),"")</f>
        <v>61732.612059951214</v>
      </c>
      <c r="K9" s="39">
        <f>IFERROR(IF('3-Year P&amp;L'!$B$9="","",('3-Year P&amp;L'!$B$9+'3-Year P&amp;L'!$B$9*SUMPRODUCT('3-Year P&amp;L'!$E$10:$E$11,'3-Year P&amp;L'!$G$10:$G$11))*(K7*(1-MIN(30,'0. Assumptions'!$B$58)/30)+J7*MIN(30,'0. Assumptions'!$B$58)/30)),"")</f>
        <v>63759.50365981178</v>
      </c>
      <c r="L9" s="39">
        <f>IFERROR(IF('3-Year P&amp;L'!$B$9="","",('3-Year P&amp;L'!$B$9+'3-Year P&amp;L'!$B$9*SUMPRODUCT('3-Year P&amp;L'!$E$10:$E$11,'3-Year P&amp;L'!$G$10:$G$11))*(L7*(1-MIN(30,'0. Assumptions'!$B$58)/30)+K7*MIN(30,'0. Assumptions'!$B$58)/30)),"")</f>
        <v>62358.19588706867</v>
      </c>
      <c r="M9" s="39">
        <f>IFERROR(IF('3-Year P&amp;L'!$B$9="","",('3-Year P&amp;L'!$B$9+'3-Year P&amp;L'!$B$9*SUMPRODUCT('3-Year P&amp;L'!$E$10:$E$11,'3-Year P&amp;L'!$G$10:$G$11))*(M7*(1-MIN(30,'0. Assumptions'!$B$58)/30)+L7*MIN(30,'0. Assumptions'!$B$58)/30)),"")</f>
        <v>90609.56151969328</v>
      </c>
      <c r="N9" s="39">
        <f>IFERROR(IF('3-Year P&amp;L'!$B$9="","",SUM(B9:M9)),"")</f>
        <v>664612.7509236669</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39">
        <f>IFERROR(IF('3-Year P&amp;L'!$B$9="","",-('3-Year P&amp;L'!$B$13*(1+'3-Year P&amp;L'!$G$13)+'3-Year P&amp;L'!$B$14*(1+'3-Year P&amp;L'!$G$14)+'3-Year P&amp;L'!$B$15*(1+'3-Year P&amp;L'!$G$15)+'3-Year P&amp;L'!$B$16*(1+'3-Year P&amp;L'!$G$16)+'3-Year P&amp;L'!$B$17*(1+'3-Year P&amp;L'!$G$17)+'3-Year P&amp;L'!$B$18*(1+'3-Year P&amp;L'!$G$18))*B7*(1-MIN(30,'0. Assumptions'!$B$59)/30)),"")</f>
        <v>-6647.174625304985</v>
      </c>
      <c r="C11" s="39">
        <f>IFERROR(IF('3-Year P&amp;L'!$B$9="","",-('3-Year P&amp;L'!$B$13*(1+'3-Year P&amp;L'!$G$13)+'3-Year P&amp;L'!$B$14*(1+'3-Year P&amp;L'!$G$14)+'3-Year P&amp;L'!$B$15*(1+'3-Year P&amp;L'!$G$15)+'3-Year P&amp;L'!$B$16*(1+'3-Year P&amp;L'!$G$16)+'3-Year P&amp;L'!$B$17*(1+'3-Year P&amp;L'!$G$17)+'3-Year P&amp;L'!$B$18*(1+'3-Year P&amp;L'!$G$18))*(C7*(1-MIN(30,'0. Assumptions'!$B$59)/30)+B7*MIN(30,'0. Assumptions'!$B$59)/30)),"")</f>
        <v>-13085.214430115024</v>
      </c>
      <c r="D11" s="39">
        <f>IFERROR(IF('3-Year P&amp;L'!$B$9="","",-('3-Year P&amp;L'!$B$13*(1+'3-Year P&amp;L'!$G$13)+'3-Year P&amp;L'!$B$14*(1+'3-Year P&amp;L'!$G$14)+'3-Year P&amp;L'!$B$15*(1+'3-Year P&amp;L'!$G$15)+'3-Year P&amp;L'!$B$16*(1+'3-Year P&amp;L'!$G$16)+'3-Year P&amp;L'!$B$17*(1+'3-Year P&amp;L'!$G$17)+'3-Year P&amp;L'!$B$18*(1+'3-Year P&amp;L'!$G$18))*(D7*(1-MIN(30,'0. Assumptions'!$B$59)/30)+C7*MIN(30,'0. Assumptions'!$B$59)/30)),"")</f>
        <v>-15182.933147438134</v>
      </c>
      <c r="E11" s="39">
        <f>IFERROR(IF('3-Year P&amp;L'!$B$9="","",-('3-Year P&amp;L'!$B$13*(1+'3-Year P&amp;L'!$G$13)+'3-Year P&amp;L'!$B$14*(1+'3-Year P&amp;L'!$G$14)+'3-Year P&amp;L'!$B$15*(1+'3-Year P&amp;L'!$G$15)+'3-Year P&amp;L'!$B$16*(1+'3-Year P&amp;L'!$G$16)+'3-Year P&amp;L'!$B$17*(1+'3-Year P&amp;L'!$G$17)+'3-Year P&amp;L'!$B$18*(1+'3-Year P&amp;L'!$G$18))*(E7*(1-MIN(30,'0. Assumptions'!$B$59)/30)+D7*MIN(30,'0. Assumptions'!$B$59)/30)),"")</f>
        <v>-17868.923178807952</v>
      </c>
      <c r="F11" s="39">
        <f>IFERROR(IF('3-Year P&amp;L'!$B$9="","",-('3-Year P&amp;L'!$B$13*(1+'3-Year P&amp;L'!$G$13)+'3-Year P&amp;L'!$B$14*(1+'3-Year P&amp;L'!$G$14)+'3-Year P&amp;L'!$B$15*(1+'3-Year P&amp;L'!$G$15)+'3-Year P&amp;L'!$B$16*(1+'3-Year P&amp;L'!$G$16)+'3-Year P&amp;L'!$B$17*(1+'3-Year P&amp;L'!$G$17)+'3-Year P&amp;L'!$B$18*(1+'3-Year P&amp;L'!$G$18))*(F7*(1-MIN(30,'0. Assumptions'!$B$59)/30)+E7*MIN(30,'0. Assumptions'!$B$59)/30)),"")</f>
        <v>-19878.54681073545</v>
      </c>
      <c r="G11" s="39">
        <f>IFERROR(IF('3-Year P&amp;L'!$B$9="","",-('3-Year P&amp;L'!$B$13*(1+'3-Year P&amp;L'!$G$13)+'3-Year P&amp;L'!$B$14*(1+'3-Year P&amp;L'!$G$14)+'3-Year P&amp;L'!$B$15*(1+'3-Year P&amp;L'!$G$15)+'3-Year P&amp;L'!$B$16*(1+'3-Year P&amp;L'!$G$16)+'3-Year P&amp;L'!$B$17*(1+'3-Year P&amp;L'!$G$17)+'3-Year P&amp;L'!$B$18*(1+'3-Year P&amp;L'!$G$18))*(G7*(1-MIN(30,'0. Assumptions'!$B$59)/30)+F7*MIN(30,'0. Assumptions'!$B$59)/30)),"")</f>
        <v>-21272.23290345068</v>
      </c>
      <c r="H11" s="39">
        <f>IFERROR(IF('3-Year P&amp;L'!$B$9="","",-('3-Year P&amp;L'!$B$13*(1+'3-Year P&amp;L'!$G$13)+'3-Year P&amp;L'!$B$14*(1+'3-Year P&amp;L'!$G$14)+'3-Year P&amp;L'!$B$15*(1+'3-Year P&amp;L'!$G$15)+'3-Year P&amp;L'!$B$16*(1+'3-Year P&amp;L'!$G$16)+'3-Year P&amp;L'!$B$17*(1+'3-Year P&amp;L'!$G$17)+'3-Year P&amp;L'!$B$18*(1+'3-Year P&amp;L'!$G$18))*(H7*(1-MIN(30,'0. Assumptions'!$B$59)/30)+G7*MIN(30,'0. Assumptions'!$B$59)/30)),"")</f>
        <v>-21113.69815266644</v>
      </c>
      <c r="I11" s="39">
        <f>IFERROR(IF('3-Year P&amp;L'!$B$9="","",-('3-Year P&amp;L'!$B$13*(1+'3-Year P&amp;L'!$G$13)+'3-Year P&amp;L'!$B$14*(1+'3-Year P&amp;L'!$G$14)+'3-Year P&amp;L'!$B$15*(1+'3-Year P&amp;L'!$G$15)+'3-Year P&amp;L'!$B$16*(1+'3-Year P&amp;L'!$G$16)+'3-Year P&amp;L'!$B$17*(1+'3-Year P&amp;L'!$G$17)+'3-Year P&amp;L'!$B$18*(1+'3-Year P&amp;L'!$G$18))*(I7*(1-MIN(30,'0. Assumptions'!$B$59)/30)+H7*MIN(30,'0. Assumptions'!$B$59)/30)),"")</f>
        <v>-18292.471244336008</v>
      </c>
      <c r="J11" s="39">
        <f>IFERROR(IF('3-Year P&amp;L'!$B$9="","",-('3-Year P&amp;L'!$B$13*(1+'3-Year P&amp;L'!$G$13)+'3-Year P&amp;L'!$B$14*(1+'3-Year P&amp;L'!$G$14)+'3-Year P&amp;L'!$B$15*(1+'3-Year P&amp;L'!$G$15)+'3-Year P&amp;L'!$B$16*(1+'3-Year P&amp;L'!$G$16)+'3-Year P&amp;L'!$B$17*(1+'3-Year P&amp;L'!$G$17)+'3-Year P&amp;L'!$B$18*(1+'3-Year P&amp;L'!$G$18))*(J7*(1-MIN(30,'0. Assumptions'!$B$59)/30)+I7*MIN(30,'0. Assumptions'!$B$59)/30)),"")</f>
        <v>-19730.386894388288</v>
      </c>
      <c r="K11" s="39">
        <f>IFERROR(IF('3-Year P&amp;L'!$B$9="","",-('3-Year P&amp;L'!$B$13*(1+'3-Year P&amp;L'!$G$13)+'3-Year P&amp;L'!$B$14*(1+'3-Year P&amp;L'!$G$14)+'3-Year P&amp;L'!$B$15*(1+'3-Year P&amp;L'!$G$15)+'3-Year P&amp;L'!$B$16*(1+'3-Year P&amp;L'!$G$16)+'3-Year P&amp;L'!$B$17*(1+'3-Year P&amp;L'!$G$17)+'3-Year P&amp;L'!$B$18*(1+'3-Year P&amp;L'!$G$18))*(K7*(1-MIN(30,'0. Assumptions'!$B$59)/30)+J7*MIN(30,'0. Assumptions'!$B$59)/30)),"")</f>
        <v>-22952.046009062393</v>
      </c>
      <c r="L11" s="39">
        <f>IFERROR(IF('3-Year P&amp;L'!$B$9="","",-('3-Year P&amp;L'!$B$13*(1+'3-Year P&amp;L'!$G$13)+'3-Year P&amp;L'!$B$14*(1+'3-Year P&amp;L'!$G$14)+'3-Year P&amp;L'!$B$15*(1+'3-Year P&amp;L'!$G$15)+'3-Year P&amp;L'!$B$16*(1+'3-Year P&amp;L'!$G$16)+'3-Year P&amp;L'!$B$17*(1+'3-Year P&amp;L'!$G$17)+'3-Year P&amp;L'!$B$18*(1+'3-Year P&amp;L'!$G$18))*(L7*(1-MIN(30,'0. Assumptions'!$B$59)/30)+K7*MIN(30,'0. Assumptions'!$B$59)/30)),"")</f>
        <v>-22915.64308121297</v>
      </c>
      <c r="M11" s="39">
        <f>IFERROR(IF('3-Year P&amp;L'!$B$9="","",-('3-Year P&amp;L'!$B$13*(1+'3-Year P&amp;L'!$G$13)+'3-Year P&amp;L'!$B$14*(1+'3-Year P&amp;L'!$G$14)+'3-Year P&amp;L'!$B$15*(1+'3-Year P&amp;L'!$G$15)+'3-Year P&amp;L'!$B$16*(1+'3-Year P&amp;L'!$G$16)+'3-Year P&amp;L'!$B$17*(1+'3-Year P&amp;L'!$G$17)+'3-Year P&amp;L'!$B$18*(1+'3-Year P&amp;L'!$G$18))*(M7*(1-MIN(30,'0. Assumptions'!$B$59)/30)+L7*MIN(30,'0. Assumptions'!$B$59)/30)),"")</f>
        <v>-28339.67933077728</v>
      </c>
      <c r="N11" s="39">
        <f>IFERROR(IF('3-Year P&amp;L'!$B$9="","",SUM(B11:M11)),"")</f>
        <v>-227278.94980829564</v>
      </c>
      <c r="O11" s="28"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8" t="inlineStr">
        <is>
          <t>Operating fixed costs (incl. sales tax)</t>
        </is>
      </c>
      <c r="B12" s="39">
        <f>IFERROR(IF('3-Year P&amp;L'!$B$9="","",-('3-Year P&amp;L'!$B$38-'3-Year P&amp;L'!$B$23-'3-Year P&amp;L'!$B$36-'3-Year P&amp;L'!$B$37+'3-Year P&amp;L'!$B$40)/12),"")</f>
        <v>-8025.000000000001</v>
      </c>
      <c r="C12" s="39">
        <f>IFERROR(IF('3-Year P&amp;L'!$B$9="","",-('3-Year P&amp;L'!$B$38-'3-Year P&amp;L'!$B$23-'3-Year P&amp;L'!$B$36-'3-Year P&amp;L'!$B$37+'3-Year P&amp;L'!$B$40)/12),"")</f>
        <v>-8025.000000000001</v>
      </c>
      <c r="D12" s="39">
        <f>IFERROR(IF('3-Year P&amp;L'!$B$9="","",-('3-Year P&amp;L'!$B$38-'3-Year P&amp;L'!$B$23-'3-Year P&amp;L'!$B$36-'3-Year P&amp;L'!$B$37+'3-Year P&amp;L'!$B$40)/12),"")</f>
        <v>-8025.000000000001</v>
      </c>
      <c r="E12" s="39">
        <f>IFERROR(IF('3-Year P&amp;L'!$B$9="","",-('3-Year P&amp;L'!$B$38-'3-Year P&amp;L'!$B$23-'3-Year P&amp;L'!$B$36-'3-Year P&amp;L'!$B$37+'3-Year P&amp;L'!$B$40)/12),"")</f>
        <v>-8025.000000000001</v>
      </c>
      <c r="F12" s="39">
        <f>IFERROR(IF('3-Year P&amp;L'!$B$9="","",-('3-Year P&amp;L'!$B$38-'3-Year P&amp;L'!$B$23-'3-Year P&amp;L'!$B$36-'3-Year P&amp;L'!$B$37+'3-Year P&amp;L'!$B$40)/12),"")</f>
        <v>-8025.000000000001</v>
      </c>
      <c r="G12" s="39">
        <f>IFERROR(IF('3-Year P&amp;L'!$B$9="","",-('3-Year P&amp;L'!$B$38-'3-Year P&amp;L'!$B$23-'3-Year P&amp;L'!$B$36-'3-Year P&amp;L'!$B$37+'3-Year P&amp;L'!$B$40)/12),"")</f>
        <v>-8025.000000000001</v>
      </c>
      <c r="H12" s="39">
        <f>IFERROR(IF('3-Year P&amp;L'!$B$9="","",-('3-Year P&amp;L'!$B$38-'3-Year P&amp;L'!$B$23-'3-Year P&amp;L'!$B$36-'3-Year P&amp;L'!$B$37+'3-Year P&amp;L'!$B$40)/12),"")</f>
        <v>-8025.000000000001</v>
      </c>
      <c r="I12" s="39">
        <f>IFERROR(IF('3-Year P&amp;L'!$B$9="","",-('3-Year P&amp;L'!$B$38-'3-Year P&amp;L'!$B$23-'3-Year P&amp;L'!$B$36-'3-Year P&amp;L'!$B$37+'3-Year P&amp;L'!$B$40)/12),"")</f>
        <v>-8025.000000000001</v>
      </c>
      <c r="J12" s="39">
        <f>IFERROR(IF('3-Year P&amp;L'!$B$9="","",-('3-Year P&amp;L'!$B$38-'3-Year P&amp;L'!$B$23-'3-Year P&amp;L'!$B$36-'3-Year P&amp;L'!$B$37+'3-Year P&amp;L'!$B$40)/12),"")</f>
        <v>-8025.000000000001</v>
      </c>
      <c r="K12" s="39">
        <f>IFERROR(IF('3-Year P&amp;L'!$B$9="","",-('3-Year P&amp;L'!$B$38-'3-Year P&amp;L'!$B$23-'3-Year P&amp;L'!$B$36-'3-Year P&amp;L'!$B$37+'3-Year P&amp;L'!$B$40)/12),"")</f>
        <v>-8025.000000000001</v>
      </c>
      <c r="L12" s="39">
        <f>IFERROR(IF('3-Year P&amp;L'!$B$9="","",-('3-Year P&amp;L'!$B$38-'3-Year P&amp;L'!$B$23-'3-Year P&amp;L'!$B$36-'3-Year P&amp;L'!$B$37+'3-Year P&amp;L'!$B$40)/12),"")</f>
        <v>-8025.000000000001</v>
      </c>
      <c r="M12" s="39">
        <f>IFERROR(IF('3-Year P&amp;L'!$B$9="","",-('3-Year P&amp;L'!$B$38-'3-Year P&amp;L'!$B$23-'3-Year P&amp;L'!$B$36-'3-Year P&amp;L'!$B$37+'3-Year P&amp;L'!$B$40)/12),"")</f>
        <v>-8025.000000000001</v>
      </c>
      <c r="N12" s="39">
        <f>IFERROR(IF('3-Year P&amp;L'!$B$9="","",SUM(B12:M12)),"")</f>
        <v>-96300.00000000001</v>
      </c>
      <c r="O12" s="28" t="inlineStr">
        <is>
          <t>The fixed costs that leave cash, each with its own tax rate: insurance carries none</t>
        </is>
      </c>
    </row>
    <row r="13">
      <c r="A13" s="28" t="inlineStr">
        <is>
          <t>Payroll and employer payroll taxes</t>
        </is>
      </c>
      <c r="B13" s="39">
        <f>IFERROR(IF('3-Year P&amp;L'!$B$9="","",-'3-Year P&amp;L'!$B$23/MAX(12,'0. Assumptions'!$B$21)*(1+IF(1='0. Assumptions'!$B$60,(MAX(12,'0. Assumptions'!$B$21)-12)/2,0)+IF(1='0. Assumptions'!$B$61,(MAX(12,'0. Assumptions'!$B$21)-12)/2,0))),"")</f>
        <v>-18403.0</v>
      </c>
      <c r="C13" s="39">
        <f>IFERROR(IF('3-Year P&amp;L'!$B$9="","",-'3-Year P&amp;L'!$B$23/MAX(12,'0. Assumptions'!$B$21)*(1+IF(2='0. Assumptions'!$B$60,(MAX(12,'0. Assumptions'!$B$21)-12)/2,0)+IF(2='0. Assumptions'!$B$61,(MAX(12,'0. Assumptions'!$B$21)-12)/2,0))),"")</f>
        <v>-18403.0</v>
      </c>
      <c r="D13" s="39">
        <f>IFERROR(IF('3-Year P&amp;L'!$B$9="","",-'3-Year P&amp;L'!$B$23/MAX(12,'0. Assumptions'!$B$21)*(1+IF(3='0. Assumptions'!$B$60,(MAX(12,'0. Assumptions'!$B$21)-12)/2,0)+IF(3='0. Assumptions'!$B$61,(MAX(12,'0. Assumptions'!$B$21)-12)/2,0))),"")</f>
        <v>-18403.0</v>
      </c>
      <c r="E13" s="39">
        <f>IFERROR(IF('3-Year P&amp;L'!$B$9="","",-'3-Year P&amp;L'!$B$23/MAX(12,'0. Assumptions'!$B$21)*(1+IF(4='0. Assumptions'!$B$60,(MAX(12,'0. Assumptions'!$B$21)-12)/2,0)+IF(4='0. Assumptions'!$B$61,(MAX(12,'0. Assumptions'!$B$21)-12)/2,0))),"")</f>
        <v>-18403.0</v>
      </c>
      <c r="F13" s="39">
        <f>IFERROR(IF('3-Year P&amp;L'!$B$9="","",-'3-Year P&amp;L'!$B$23/MAX(12,'0. Assumptions'!$B$21)*(1+IF(5='0. Assumptions'!$B$60,(MAX(12,'0. Assumptions'!$B$21)-12)/2,0)+IF(5='0. Assumptions'!$B$61,(MAX(12,'0. Assumptions'!$B$21)-12)/2,0))),"")</f>
        <v>-18403.0</v>
      </c>
      <c r="G13" s="39">
        <f>IFERROR(IF('3-Year P&amp;L'!$B$9="","",-'3-Year P&amp;L'!$B$23/MAX(12,'0. Assumptions'!$B$21)*(1+IF(6='0. Assumptions'!$B$60,(MAX(12,'0. Assumptions'!$B$21)-12)/2,0)+IF(6='0. Assumptions'!$B$61,(MAX(12,'0. Assumptions'!$B$21)-12)/2,0))),"")</f>
        <v>-18403.0</v>
      </c>
      <c r="H13" s="39">
        <f>IFERROR(IF('3-Year P&amp;L'!$B$9="","",-'3-Year P&amp;L'!$B$23/MAX(12,'0. Assumptions'!$B$21)*(1+IF(7='0. Assumptions'!$B$60,(MAX(12,'0. Assumptions'!$B$21)-12)/2,0)+IF(7='0. Assumptions'!$B$61,(MAX(12,'0. Assumptions'!$B$21)-12)/2,0))),"")</f>
        <v>-18403.0</v>
      </c>
      <c r="I13" s="39">
        <f>IFERROR(IF('3-Year P&amp;L'!$B$9="","",-'3-Year P&amp;L'!$B$23/MAX(12,'0. Assumptions'!$B$21)*(1+IF(8='0. Assumptions'!$B$60,(MAX(12,'0. Assumptions'!$B$21)-12)/2,0)+IF(8='0. Assumptions'!$B$61,(MAX(12,'0. Assumptions'!$B$21)-12)/2,0))),"")</f>
        <v>-18403.0</v>
      </c>
      <c r="J13" s="39">
        <f>IFERROR(IF('3-Year P&amp;L'!$B$9="","",-'3-Year P&amp;L'!$B$23/MAX(12,'0. Assumptions'!$B$21)*(1+IF(9='0. Assumptions'!$B$60,(MAX(12,'0. Assumptions'!$B$21)-12)/2,0)+IF(9='0. Assumptions'!$B$61,(MAX(12,'0. Assumptions'!$B$21)-12)/2,0))),"")</f>
        <v>-18403.0</v>
      </c>
      <c r="K13" s="39">
        <f>IFERROR(IF('3-Year P&amp;L'!$B$9="","",-'3-Year P&amp;L'!$B$23/MAX(12,'0. Assumptions'!$B$21)*(1+IF(10='0. Assumptions'!$B$60,(MAX(12,'0. Assumptions'!$B$21)-12)/2,0)+IF(10='0. Assumptions'!$B$61,(MAX(12,'0. Assumptions'!$B$21)-12)/2,0))),"")</f>
        <v>-18403.0</v>
      </c>
      <c r="L13" s="39">
        <f>IFERROR(IF('3-Year P&amp;L'!$B$9="","",-'3-Year P&amp;L'!$B$23/MAX(12,'0. Assumptions'!$B$21)*(1+IF(11='0. Assumptions'!$B$60,(MAX(12,'0. Assumptions'!$B$21)-12)/2,0)+IF(11='0. Assumptions'!$B$61,(MAX(12,'0. Assumptions'!$B$21)-12)/2,0))),"")</f>
        <v>-18403.0</v>
      </c>
      <c r="M13" s="39">
        <f>IFERROR(IF('3-Year P&amp;L'!$B$9="","",-'3-Year P&amp;L'!$B$23/MAX(12,'0. Assumptions'!$B$21)*(1+IF(12='0. Assumptions'!$B$60,(MAX(12,'0. Assumptions'!$B$21)-12)/2,0)+IF(12='0. Assumptions'!$B$61,(MAX(12,'0. Assumptions'!$B$21)-12)/2,0))),"")</f>
        <v>-18403.0</v>
      </c>
      <c r="N13" s="39">
        <f>IFERROR(IF('3-Year P&amp;L'!$B$9="","",SUM(B13:M13)),"")</f>
        <v>-220836.0</v>
      </c>
      <c r="O13" s="28" t="inlineStr">
        <is>
          <t>Twelve monthly installments plus extra pay periods in the months you set in Assumptions (only if pay periods &gt; 12). The total for the year is the same as the P&amp;L's</t>
        </is>
      </c>
    </row>
    <row r="14">
      <c r="A14" s="28" t="inlineStr">
        <is>
          <t>Loan interest</t>
        </is>
      </c>
      <c r="B14" s="39">
        <f>IFERROR(IF('3-Year P&amp;L'!$B$9="","",-Financing!$B$44/12),"")</f>
        <v>-1641.6666666666667</v>
      </c>
      <c r="C14" s="39">
        <f>IFERROR(IF('3-Year P&amp;L'!$B$9="","",-Financing!$B$44/12),"")</f>
        <v>-1641.6666666666667</v>
      </c>
      <c r="D14" s="39">
        <f>IFERROR(IF('3-Year P&amp;L'!$B$9="","",-Financing!$B$44/12),"")</f>
        <v>-1641.6666666666667</v>
      </c>
      <c r="E14" s="39">
        <f>IFERROR(IF('3-Year P&amp;L'!$B$9="","",-Financing!$B$44/12),"")</f>
        <v>-1641.6666666666667</v>
      </c>
      <c r="F14" s="39">
        <f>IFERROR(IF('3-Year P&amp;L'!$B$9="","",-Financing!$B$44/12),"")</f>
        <v>-1641.6666666666667</v>
      </c>
      <c r="G14" s="39">
        <f>IFERROR(IF('3-Year P&amp;L'!$B$9="","",-Financing!$B$44/12),"")</f>
        <v>-1641.6666666666667</v>
      </c>
      <c r="H14" s="39">
        <f>IFERROR(IF('3-Year P&amp;L'!$B$9="","",-Financing!$B$44/12),"")</f>
        <v>-1641.6666666666667</v>
      </c>
      <c r="I14" s="39">
        <f>IFERROR(IF('3-Year P&amp;L'!$B$9="","",-Financing!$B$44/12),"")</f>
        <v>-1641.6666666666667</v>
      </c>
      <c r="J14" s="39">
        <f>IFERROR(IF('3-Year P&amp;L'!$B$9="","",-Financing!$B$44/12),"")</f>
        <v>-1641.6666666666667</v>
      </c>
      <c r="K14" s="39">
        <f>IFERROR(IF('3-Year P&amp;L'!$B$9="","",-Financing!$B$44/12),"")</f>
        <v>-1641.6666666666667</v>
      </c>
      <c r="L14" s="39">
        <f>IFERROR(IF('3-Year P&amp;L'!$B$9="","",-Financing!$B$44/12),"")</f>
        <v>-1641.6666666666667</v>
      </c>
      <c r="M14" s="39">
        <f>IFERROR(IF('3-Year P&amp;L'!$B$9="","",-Financing!$B$44/12),"")</f>
        <v>-1641.6666666666667</v>
      </c>
      <c r="N14" s="39">
        <f>IFERROR(IF('3-Year P&amp;L'!$B$9="","",SUM(B14:M14)),"")</f>
        <v>-19700.0</v>
      </c>
      <c r="O14" s="28" t="n"/>
    </row>
    <row r="15">
      <c r="A15" s="28" t="inlineStr">
        <is>
          <t>Loan principal repaid</t>
        </is>
      </c>
      <c r="B15" s="39">
        <f>IFERROR(IF('3-Year P&amp;L'!$B$9="","",-Financing!$B$45/12),"")</f>
        <v>-1030.0702326545643</v>
      </c>
      <c r="C15" s="39">
        <f>IFERROR(IF('3-Year P&amp;L'!$B$9="","",-Financing!$B$45/12),"")</f>
        <v>-1030.0702326545643</v>
      </c>
      <c r="D15" s="39">
        <f>IFERROR(IF('3-Year P&amp;L'!$B$9="","",-Financing!$B$45/12),"")</f>
        <v>-1030.0702326545643</v>
      </c>
      <c r="E15" s="39">
        <f>IFERROR(IF('3-Year P&amp;L'!$B$9="","",-Financing!$B$45/12),"")</f>
        <v>-1030.0702326545643</v>
      </c>
      <c r="F15" s="39">
        <f>IFERROR(IF('3-Year P&amp;L'!$B$9="","",-Financing!$B$45/12),"")</f>
        <v>-1030.0702326545643</v>
      </c>
      <c r="G15" s="39">
        <f>IFERROR(IF('3-Year P&amp;L'!$B$9="","",-Financing!$B$45/12),"")</f>
        <v>-1030.0702326545643</v>
      </c>
      <c r="H15" s="39">
        <f>IFERROR(IF('3-Year P&amp;L'!$B$9="","",-Financing!$B$45/12),"")</f>
        <v>-1030.0702326545643</v>
      </c>
      <c r="I15" s="39">
        <f>IFERROR(IF('3-Year P&amp;L'!$B$9="","",-Financing!$B$45/12),"")</f>
        <v>-1030.0702326545643</v>
      </c>
      <c r="J15" s="39">
        <f>IFERROR(IF('3-Year P&amp;L'!$B$9="","",-Financing!$B$45/12),"")</f>
        <v>-1030.0702326545643</v>
      </c>
      <c r="K15" s="39">
        <f>IFERROR(IF('3-Year P&amp;L'!$B$9="","",-Financing!$B$45/12),"")</f>
        <v>-1030.0702326545643</v>
      </c>
      <c r="L15" s="39">
        <f>IFERROR(IF('3-Year P&amp;L'!$B$9="","",-Financing!$B$45/12),"")</f>
        <v>-1030.0702326545643</v>
      </c>
      <c r="M15" s="39">
        <f>IFERROR(IF('3-Year P&amp;L'!$B$9="","",-Financing!$B$45/12),"")</f>
        <v>-1030.0702326545643</v>
      </c>
      <c r="N15" s="39">
        <f>IFERROR(IF('3-Year P&amp;L'!$B$9="","",SUM(B15:M15)),"")</f>
        <v>-12360.842791854771</v>
      </c>
      <c r="O15" s="28" t="n"/>
    </row>
    <row r="16">
      <c r="A16" s="28" t="inlineStr">
        <is>
          <t>Sales tax collected (memo)</t>
        </is>
      </c>
      <c r="B16" s="39">
        <f>IFERROR(IF('3-Year P&amp;L'!$B$9="","",'3-Year P&amp;L'!$B$9*B7*SUMPRODUCT('3-Year P&amp;L'!$E$10:$E$11,'3-Year P&amp;L'!$G$10:$G$11)),"")</f>
        <v>855.4004879749042</v>
      </c>
      <c r="C16" s="39">
        <f>IFERROR(IF('3-Year P&amp;L'!$B$9="","",'3-Year P&amp;L'!$B$9*C7*SUMPRODUCT('3-Year P&amp;L'!$E$10:$E$11,'3-Year P&amp;L'!$G$10:$G$11)),"")</f>
        <v>935.4127570582084</v>
      </c>
      <c r="D16" s="39">
        <f>IFERROR(IF('3-Year P&amp;L'!$B$9="","",'3-Year P&amp;L'!$B$9*D7*SUMPRODUCT('3-Year P&amp;L'!$E$10:$E$11,'3-Year P&amp;L'!$G$10:$G$11)),"")</f>
        <v>1135.3497385848727</v>
      </c>
      <c r="E16" s="39">
        <f>IFERROR(IF('3-Year P&amp;L'!$B$9="","",'3-Year P&amp;L'!$B$9*E7*SUMPRODUCT('3-Year P&amp;L'!$E$10:$E$11,'3-Year P&amp;L'!$G$10:$G$11)),"")</f>
        <v>1306.0550714534684</v>
      </c>
      <c r="F16" s="39">
        <f>IFERROR(IF('3-Year P&amp;L'!$B$9="","",'3-Year P&amp;L'!$B$9*F7*SUMPRODUCT('3-Year P&amp;L'!$E$10:$E$11,'3-Year P&amp;L'!$G$10:$G$11)),"")</f>
        <v>1415.2989891948414</v>
      </c>
      <c r="G16" s="39">
        <f>IFERROR(IF('3-Year P&amp;L'!$B$9="","",'3-Year P&amp;L'!$B$9*G7*SUMPRODUCT('3-Year P&amp;L'!$E$10:$E$11,'3-Year P&amp;L'!$G$10:$G$11)),"")</f>
        <v>1499.0589055420007</v>
      </c>
      <c r="H16" s="39">
        <f>IFERROR(IF('3-Year P&amp;L'!$B$9="","",'3-Year P&amp;L'!$B$9*H7*SUMPRODUCT('3-Year P&amp;L'!$E$10:$E$11,'3-Year P&amp;L'!$G$10:$G$11)),"")</f>
        <v>1405.3677239456256</v>
      </c>
      <c r="I16" s="39">
        <f>IFERROR(IF('3-Year P&amp;L'!$B$9="","",'3-Year P&amp;L'!$B$9*I7*SUMPRODUCT('3-Year P&amp;L'!$E$10:$E$11,'3-Year P&amp;L'!$G$10:$G$11)),"")</f>
        <v>1124.2941791565006</v>
      </c>
      <c r="J16" s="39">
        <f>IFERROR(IF('3-Year P&amp;L'!$B$9="","",'3-Year P&amp;L'!$B$9*J7*SUMPRODUCT('3-Year P&amp;L'!$E$10:$E$11,'3-Year P&amp;L'!$G$10:$G$11)),"")</f>
        <v>1555.273614499826</v>
      </c>
      <c r="K16" s="39">
        <f>IFERROR(IF('3-Year P&amp;L'!$B$9="","",'3-Year P&amp;L'!$B$9*K7*SUMPRODUCT('3-Year P&amp;L'!$E$10:$E$11,'3-Year P&amp;L'!$G$10:$G$11)),"")</f>
        <v>1592.7500871383759</v>
      </c>
      <c r="L16" s="39">
        <f>IFERROR(IF('3-Year P&amp;L'!$B$9="","",'3-Year P&amp;L'!$B$9*L7*SUMPRODUCT('3-Year P&amp;L'!$E$10:$E$11,'3-Year P&amp;L'!$G$10:$G$11)),"")</f>
        <v>1555.273614499826</v>
      </c>
      <c r="M16" s="39">
        <f>IFERROR(IF('3-Year P&amp;L'!$B$9="","",'3-Year P&amp;L'!$B$9*M7*SUMPRODUCT('3-Year P&amp;L'!$E$10:$E$11,'3-Year P&amp;L'!$G$10:$G$11)),"")</f>
        <v>2286.0648309515514</v>
      </c>
      <c r="N16" s="39">
        <f>IFERROR(IF('3-Year P&amp;L'!$B$9="","",SUM(B16:M16)),"")</f>
        <v>16665.600000000002</v>
      </c>
      <c r="O16" s="28" t="inlineStr">
        <is>
          <t>Each sales line under ITS OWN tax treatment, read from the sales tax column of the P&amp;L: the tax-exempt share of the bakery line (goods to go and wholesale for resale) carries no sales tax and the rest takes the sales tax rate; alcohol to go would use its own rate cell on the "0. Assumptions" tab</t>
        </is>
      </c>
    </row>
    <row r="17">
      <c r="A17" s="28" t="inlineStr">
        <is>
          <t>Recoverable input tax (memo)</t>
        </is>
      </c>
      <c r="B17" s="39">
        <f>IFERROR(IF('3-Year P&amp;L'!$B$9="","",'3-Year P&amp;L'!$B$39*B7+'3-Year P&amp;L'!$B$40/12),"")</f>
        <v>0.0</v>
      </c>
      <c r="C17" s="39">
        <f>IFERROR(IF('3-Year P&amp;L'!$B$9="","",'3-Year P&amp;L'!$B$39*C7+'3-Year P&amp;L'!$B$40/12),"")</f>
        <v>0.0</v>
      </c>
      <c r="D17" s="39">
        <f>IFERROR(IF('3-Year P&amp;L'!$B$9="","",'3-Year P&amp;L'!$B$39*D7+'3-Year P&amp;L'!$B$40/12),"")</f>
        <v>0.0</v>
      </c>
      <c r="E17" s="39">
        <f>IFERROR(IF('3-Year P&amp;L'!$B$9="","",'3-Year P&amp;L'!$B$39*E7+'3-Year P&amp;L'!$B$40/12),"")</f>
        <v>0.0</v>
      </c>
      <c r="F17" s="39">
        <f>IFERROR(IF('3-Year P&amp;L'!$B$9="","",'3-Year P&amp;L'!$B$39*F7+'3-Year P&amp;L'!$B$40/12),"")</f>
        <v>0.0</v>
      </c>
      <c r="G17" s="39">
        <f>IFERROR(IF('3-Year P&amp;L'!$B$9="","",'3-Year P&amp;L'!$B$39*G7+'3-Year P&amp;L'!$B$40/12),"")</f>
        <v>0.0</v>
      </c>
      <c r="H17" s="39">
        <f>IFERROR(IF('3-Year P&amp;L'!$B$9="","",'3-Year P&amp;L'!$B$39*H7+'3-Year P&amp;L'!$B$40/12),"")</f>
        <v>0.0</v>
      </c>
      <c r="I17" s="39">
        <f>IFERROR(IF('3-Year P&amp;L'!$B$9="","",'3-Year P&amp;L'!$B$39*I7+'3-Year P&amp;L'!$B$40/12),"")</f>
        <v>0.0</v>
      </c>
      <c r="J17" s="39">
        <f>IFERROR(IF('3-Year P&amp;L'!$B$9="","",'3-Year P&amp;L'!$B$39*J7+'3-Year P&amp;L'!$B$40/12),"")</f>
        <v>0.0</v>
      </c>
      <c r="K17" s="39">
        <f>IFERROR(IF('3-Year P&amp;L'!$B$9="","",'3-Year P&amp;L'!$B$39*K7+'3-Year P&amp;L'!$B$40/12),"")</f>
        <v>0.0</v>
      </c>
      <c r="L17" s="39">
        <f>IFERROR(IF('3-Year P&amp;L'!$B$9="","",'3-Year P&amp;L'!$B$39*L7+'3-Year P&amp;L'!$B$40/12),"")</f>
        <v>0.0</v>
      </c>
      <c r="M17" s="39">
        <f>IFERROR(IF('3-Year P&amp;L'!$B$9="","",'3-Year P&amp;L'!$B$39*M7+'3-Year P&amp;L'!$B$40/12),"")</f>
        <v>0.0</v>
      </c>
      <c r="N17" s="39">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39">
        <f>IFERROR(IF('3-Year P&amp;L'!$B$9="","",'Startup Costs'!$B$33),"")</f>
        <v>0.0</v>
      </c>
      <c r="F18" s="28" t="n"/>
      <c r="G18" s="28" t="n"/>
      <c r="H18" s="39">
        <f>IFERROR(IF('3-Year P&amp;L'!$B$9="","",MAX(0,-E19)),"")</f>
        <v>0.0</v>
      </c>
      <c r="I18" s="28" t="n"/>
      <c r="J18" s="28" t="n"/>
      <c r="K18" s="39">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39">
        <f>IFERROR(IF('3-Year P&amp;L'!$B$9="","",SUM(B16:D16)-SUM(B17:D17)-E18),"")</f>
        <v>2926.1629836179854</v>
      </c>
      <c r="F19" s="28" t="n"/>
      <c r="G19" s="28" t="n"/>
      <c r="H19" s="39">
        <f>IFERROR(IF('3-Year P&amp;L'!$B$9="","",SUM(E16:G16)-SUM(E17:G17)-H18),"")</f>
        <v>4220.412966190311</v>
      </c>
      <c r="I19" s="28" t="n"/>
      <c r="J19" s="28" t="n"/>
      <c r="K19" s="39">
        <f>IFERROR(IF('3-Year P&amp;L'!$B$9="","",SUM(H16:J16)-SUM(H17:J17)-K18),"")</f>
        <v>4084.9355176019526</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39">
        <f>IFERROR(IF('3-Year P&amp;L'!$B$9="","",IF(E19&lt;=0,"",-E19)),"")</f>
        <v>-2926.1629836179854</v>
      </c>
      <c r="F20" s="28" t="n"/>
      <c r="G20" s="28" t="n"/>
      <c r="H20" s="39">
        <f>IFERROR(IF('3-Year P&amp;L'!$B$9="","",IF(H19&lt;=0,"",-H19)),"")</f>
        <v>-4220.412966190311</v>
      </c>
      <c r="I20" s="28" t="n"/>
      <c r="J20" s="28" t="n"/>
      <c r="K20" s="39">
        <f>IFERROR(IF('3-Year P&amp;L'!$B$9="","",IF(K19&lt;=0,"",-K19)),"")</f>
        <v>-4084.9355176019526</v>
      </c>
      <c r="L20" s="28" t="n"/>
      <c r="M20" s="28" t="n"/>
      <c r="N20" s="39">
        <f>IFERROR(IF('3-Year P&amp;L'!$B$9="","",SUM(B20:M20)),"")</f>
        <v>-11231.511467410248</v>
      </c>
      <c r="O20" s="28"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25" t="inlineStr">
        <is>
          <t>MONTHLY NET CASH FLOW</t>
        </is>
      </c>
      <c r="B21" s="65">
        <f>IFERROR(IF('3-Year P&amp;L'!$B$9="","",SUM(B9:B15)+IF(B20="",0,B20)),"")</f>
        <v>-2619.7455434481035</v>
      </c>
      <c r="C21" s="65">
        <f>IFERROR(IF('3-Year P&amp;L'!$B$9="","",SUM(C9:C15)+IF(C20="",0,C20)),"")</f>
        <v>-4816.8274674634395</v>
      </c>
      <c r="D21" s="65">
        <f>IFERROR(IF('3-Year P&amp;L'!$B$9="","",SUM(D9:D15)+IF(D20="",0,D20)),"")</f>
        <v>935.2796778833783</v>
      </c>
      <c r="E21" s="65">
        <f>IFERROR(IF('3-Year P&amp;L'!$B$9="","",SUM(E9:E15)+IF(E20="",0,E20)),"")</f>
        <v>2201.0454917558</v>
      </c>
      <c r="F21" s="65">
        <f>IFERROR(IF('3-Year P&amp;L'!$B$9="","",SUM(F9:F15)+IF(F20="",0,F20)),"")</f>
        <v>7576.2458960778595</v>
      </c>
      <c r="G21" s="65">
        <f>IFERROR(IF('3-Year P&amp;L'!$B$9="","",SUM(G9:G15)+IF(G20="",0,G20)),"")</f>
        <v>9572.223212215904</v>
      </c>
      <c r="H21" s="65">
        <f>IFERROR(IF('3-Year P&amp;L'!$B$9="","",SUM(H9:H15)+IF(H20="",0,H20)),"")</f>
        <v>1993.8131878171416</v>
      </c>
      <c r="I21" s="65">
        <f>IFERROR(IF('3-Year P&amp;L'!$B$9="","",SUM(I9:I15)+IF(I20="",0,I20)),"")</f>
        <v>-1974.8222949294557</v>
      </c>
      <c r="J21" s="65">
        <f>IFERROR(IF('3-Year P&amp;L'!$B$9="","",SUM(J9:J15)+IF(J20="",0,J20)),"")</f>
        <v>12902.488266241693</v>
      </c>
      <c r="K21" s="65">
        <f>IFERROR(IF('3-Year P&amp;L'!$B$9="","",SUM(K9:K15)+IF(K20="",0,K20)),"")</f>
        <v>7622.785233826209</v>
      </c>
      <c r="L21" s="65">
        <f>IFERROR(IF('3-Year P&amp;L'!$B$9="","",SUM(L9:L15)+IF(L20="",0,L20)),"")</f>
        <v>10342.815906534473</v>
      </c>
      <c r="M21" s="65">
        <f>IFERROR(IF('3-Year P&amp;L'!$B$9="","",SUM(M9:M15)+IF(M20="",0,M20)),"")</f>
        <v>33170.14528959477</v>
      </c>
      <c r="N21" s="65">
        <f>IFERROR(IF('3-Year P&amp;L'!$B$9="","",SUM(B21:M21)),"")</f>
        <v>76905.44685610622</v>
      </c>
      <c r="O21" s="28" t="n"/>
    </row>
    <row r="22">
      <c r="A22" s="25" t="inlineStr">
        <is>
          <t>CUMULATIVE CASH BALANCE</t>
        </is>
      </c>
      <c r="B22" s="65">
        <f>IFERROR(IF('3-Year P&amp;L'!$B$9="","",'Startup Costs'!$B$30+B21),"")</f>
        <v>81589.25445655189</v>
      </c>
      <c r="C22" s="65">
        <f>IFERROR(IF('3-Year P&amp;L'!$B$9="","",B22+C21),"")</f>
        <v>76772.42698908845</v>
      </c>
      <c r="D22" s="65">
        <f>IFERROR(IF('3-Year P&amp;L'!$B$9="","",C22+D21),"")</f>
        <v>77707.70666697182</v>
      </c>
      <c r="E22" s="65">
        <f>IFERROR(IF('3-Year P&amp;L'!$B$9="","",D22+E21),"")</f>
        <v>79908.75215872761</v>
      </c>
      <c r="F22" s="65">
        <f>IFERROR(IF('3-Year P&amp;L'!$B$9="","",E22+F21),"")</f>
        <v>87484.99805480547</v>
      </c>
      <c r="G22" s="65">
        <f>IFERROR(IF('3-Year P&amp;L'!$B$9="","",F22+G21),"")</f>
        <v>97057.22126702138</v>
      </c>
      <c r="H22" s="65">
        <f>IFERROR(IF('3-Year P&amp;L'!$B$9="","",G22+H21),"")</f>
        <v>99051.03445483852</v>
      </c>
      <c r="I22" s="65">
        <f>IFERROR(IF('3-Year P&amp;L'!$B$9="","",H22+I21),"")</f>
        <v>97076.21215990906</v>
      </c>
      <c r="J22" s="65">
        <f>IFERROR(IF('3-Year P&amp;L'!$B$9="","",I22+J21),"")</f>
        <v>109978.70042615075</v>
      </c>
      <c r="K22" s="65">
        <f>IFERROR(IF('3-Year P&amp;L'!$B$9="","",J22+K21),"")</f>
        <v>117601.48565997696</v>
      </c>
      <c r="L22" s="65">
        <f>IFERROR(IF('3-Year P&amp;L'!$B$9="","",K22+L21),"")</f>
        <v>127944.30156651142</v>
      </c>
      <c r="M22" s="65">
        <f>IFERROR(IF('3-Year P&amp;L'!$B$9="","",L22+M21),"")</f>
        <v>161114.4468561062</v>
      </c>
      <c r="N22" s="28" t="n"/>
      <c r="O22" s="28" t="n"/>
    </row>
    <row r="23">
      <c r="A23" s="28" t="inlineStr">
        <is>
          <t>Minimum balance of the year</t>
        </is>
      </c>
      <c r="B23" s="39">
        <f>IFERROR(IF('3-Year P&amp;L'!$B$9="","",IF(COUNT(B22:M22)=0,"",MIN(B22:M22))),"")</f>
        <v>76772.42698908845</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39">
        <f>IFERROR(IF('3-Year P&amp;L'!$B$9="","",IF(COUNT(B22:M22)=0,"",MATCH(MIN(B22:M22),B22:M22,0))),"")</f>
        <v>2.0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39">
        <f>IFERROR(IF('3-Year P&amp;L'!$B$9="","",'3-Year P&amp;L'!$B$48+'3-Year P&amp;L'!$B$36+Financing!$B$44),"")</f>
        <v>78126.46428571428</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39">
        <f>IFERROR(IF('3-Year P&amp;L'!$B$9="","",'3-Year P&amp;L'!$C$48+'3-Year P&amp;L'!$C$36+Financing!$B$46),"")</f>
        <v>110053.37321591788</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39">
        <f>IFERROR(IF('3-Year P&amp;L'!$B$9="","",'3-Year P&amp;L'!$D$48+'3-Year P&amp;L'!$D$36+Financing!$B$48),"")</f>
        <v>129214.25763914196</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39">
        <f>IFERROR(IF('3-Year P&amp;L'!$B$9="","",N21+Financing!$B$44+Financing!$B$45),"")</f>
        <v>108966.28964796099</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39">
        <f>IFERROR(IF('3-Year P&amp;L'!$B$9="","",'Startup Costs'!$B$34-'Startup Costs'!$B$33),"")</f>
        <v>266709.0</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f>IFERROR(IF('3-Year P&amp;L'!$B$9="","",IF(B26&gt;=B30,ROUND(B30/B26,1),IF(B26+B27&gt;=B30,ROUND(1+(B30-B26)/B27,1),IF(B26+B27+B28&gt;=B30,ROUND(2+(B30-B26-B27)/B28,1),"Over 3 years")))),"")</f>
        <v>2.6</v>
      </c>
      <c r="C31" s="28" t="n"/>
      <c r="D31" s="25" t="inlineStr">
        <is>
          <t>Measures how long the business takes to repay the investment with what it generates BEFORE paying the lender, on the SAME cash flow basis in all three years. Whether you can afford the loan payment is shown by the DSCR in the Financing tab</t>
        </is>
      </c>
      <c r="E31" s="28" t="n"/>
      <c r="F31" s="28" t="n"/>
      <c r="G31" s="28" t="n"/>
      <c r="H31" s="28" t="n"/>
      <c r="I31" s="28" t="n"/>
      <c r="J31" s="28" t="n"/>
      <c r="K31" s="28" t="n"/>
      <c r="L31" s="28" t="n"/>
      <c r="M31" s="28" t="n"/>
      <c r="N31" s="28" t="n"/>
      <c r="O31" s="28" t="n"/>
    </row>
    <row r="32">
      <c r="A32" s="28" t="inlineStr">
        <is>
          <t>Payback on CAPEX, excluding working capital (years)</t>
        </is>
      </c>
      <c r="B32" s="28">
        <f>IFERROR(IF('3-Year P&amp;L'!$B$9="","",IF(B26&gt;='Startup Costs'!$B$32,ROUND('Startup Costs'!$B$32/B26,1),IF(B26+B27&gt;='Startup Costs'!$B$32,ROUND(1+('Startup Costs'!$B$32-B26)/B27,1),IF(B26+B27+B28&gt;='Startup Costs'!$B$32,ROUND(2+('Startup Costs'!$B$32-B26-B27)/B28,1),"Over 3 years")))),"")</f>
        <v>1.9</v>
      </c>
      <c r="C32" s="28" t="n"/>
      <c r="D32" s="28" t="inlineStr">
        <is>
          <t>The same calculation on what you BUY (build-out, equipment,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34.75" customHeight="1">
      <c r="A34" s="46"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39">
        <f>IFERROR(IF('0. Assumptions'!$B$30="","",'0. Assumptions'!$B$30),"")</f>
        <v>70000.0</v>
      </c>
      <c r="C6" s="28" t="n"/>
      <c r="D6" s="28" t="n"/>
      <c r="E6" s="28" t="n"/>
      <c r="F6" s="28" t="n"/>
      <c r="G6" s="28" t="n"/>
      <c r="H6" s="28" t="n"/>
    </row>
    <row r="7">
      <c r="A7" s="28" t="inlineStr">
        <is>
          <t>Loan requested — bank or SBA 7(a) (amortized below)</t>
        </is>
      </c>
      <c r="B7" s="39">
        <f>IFERROR(IF('0. Assumptions'!$B$31="","",'0. Assumptions'!$B$31),"")</f>
        <v>197000.0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65">
        <f>IFERROR(IF(COUNT(B6:B11)=0,"",SUM(B6:B11)),"")</f>
        <v>267000.0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39">
        <f>IFERROR(IF('Startup Costs'!$B$34="","",'Startup Costs'!$B$34),"")</f>
        <v>266709.0</v>
      </c>
      <c r="C14" s="28" t="inlineStr">
        <is>
          <t>Startup costs plus any recoverable tax you have to advance (zero by default in the US)</t>
        </is>
      </c>
      <c r="D14" s="28" t="n"/>
      <c r="E14" s="28" t="n"/>
      <c r="F14" s="28" t="n"/>
      <c r="G14" s="28" t="n"/>
      <c r="H14" s="28" t="n"/>
    </row>
    <row r="15">
      <c r="A15" s="25" t="inlineStr">
        <is>
          <t>Difference (sources - uses)</t>
        </is>
      </c>
      <c r="B15" s="65">
        <f>IFERROR(B12-B14,"")</f>
        <v>291.0</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7">
        <f>IFERROR(B15/B14,"")</f>
        <v>0.00109107679155934</v>
      </c>
      <c r="C16" s="28" t="inlineStr">
        <is>
          <t>Amber above the margin you set: it is debt you pay for without needing it</t>
        </is>
      </c>
      <c r="D16" s="28" t="n"/>
      <c r="E16" s="28" t="n"/>
      <c r="F16" s="28" t="n"/>
      <c r="G16" s="28" t="n"/>
      <c r="H16" s="28" t="n"/>
    </row>
    <row r="17">
      <c r="A17" s="28" t="inlineStr">
        <is>
          <t>Acceptable over-funding (%)</t>
        </is>
      </c>
      <c r="B17" s="69" t="n">
        <v>0.05</v>
      </c>
      <c r="C17" s="28" t="inlineStr">
        <is>
          <t>A small cushion over the need is healthy; 20% extra is interest thrown away</t>
        </is>
      </c>
      <c r="D17" s="28" t="n"/>
      <c r="E17" s="28" t="n"/>
      <c r="F17" s="28" t="n"/>
      <c r="G17" s="28" t="n"/>
      <c r="H17" s="28" t="n"/>
    </row>
    <row r="18">
      <c r="A18" s="28" t="inlineStr">
        <is>
          <t>Loan that would match sources to needs</t>
        </is>
      </c>
      <c r="B18" s="39">
        <f>IFERROR(MAX(0,B14-B12+B7),"")</f>
        <v>196709.0</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39">
        <f>IFERROR(IF('0. Assumptions'!$B$31=0,"",'0. Assumptions'!$B$31),"")</f>
        <v>197000.0</v>
      </c>
      <c r="C20" s="28" t="n"/>
      <c r="D20" s="28" t="n"/>
      <c r="E20" s="28" t="n"/>
      <c r="F20" s="28" t="n"/>
      <c r="G20" s="28" t="n"/>
      <c r="H20" s="28" t="n"/>
    </row>
    <row r="21">
      <c r="A21" s="28" t="inlineStr">
        <is>
          <t>Nominal annual interest rate (not APR)</t>
        </is>
      </c>
      <c r="B21" s="67">
        <f>IFERROR(IF('0. Assumptions'!$B$32="","",'0. Assumptions'!$B$32),"")</f>
        <v>0.1</v>
      </c>
      <c r="C21" s="28" t="n"/>
      <c r="D21" s="28" t="n"/>
      <c r="E21" s="28" t="n"/>
      <c r="F21" s="28" t="n"/>
      <c r="G21" s="28" t="n"/>
      <c r="H21" s="28" t="n"/>
    </row>
    <row r="22">
      <c r="A22" s="28" t="inlineStr">
        <is>
          <t>Total term (years)</t>
        </is>
      </c>
      <c r="B22" s="39">
        <f>IFERROR(IF('0. Assumptions'!$B$33="","",'0. Assumptions'!$B$33),"")</f>
        <v>10.0</v>
      </c>
      <c r="C22" s="28" t="n"/>
      <c r="D22" s="28" t="n"/>
      <c r="E22" s="28" t="n"/>
      <c r="F22" s="28" t="n"/>
      <c r="G22" s="28" t="n"/>
      <c r="H22" s="28" t="n"/>
    </row>
    <row r="23">
      <c r="A23" s="28" t="inlineStr">
        <is>
          <t>Interest-only period applied (years)</t>
        </is>
      </c>
      <c r="B23" s="39">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1">
        <f>IFERROR(IF(B22-B23&lt;=0,"",IF(B21=0,B20/(B22-B23),B20*B21/(1-(1+B21)^-(B22-B23)))),"")</f>
        <v>32060.84279185477</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39" t="n">
        <v>1</v>
      </c>
      <c r="B27" s="60">
        <f>IFERROR(IF(B20="","",B20),"")</f>
        <v>197000.0</v>
      </c>
      <c r="C27" s="60">
        <f>IFERROR(IF(OR(1&gt;B22,B27=""),"",B27*B21),"")</f>
        <v>19700.0</v>
      </c>
      <c r="D27" s="60">
        <f>IFERROR(IF(OR(1&gt;B22,B27=""),"",IF(1&lt;=B23,0,MIN(B27,B24-C27))),"")</f>
        <v>12360.842791854771</v>
      </c>
      <c r="E27" s="60">
        <f>IFERROR(IF(C27="","",C27+D27),"")</f>
        <v>32060.84279185477</v>
      </c>
      <c r="F27" s="60">
        <f>IFERROR(IF(D27="","",B27-D27),"")</f>
        <v>184639.15720814522</v>
      </c>
      <c r="G27" s="60">
        <f>IFERROR(IF(E27="","",'3-Year P&amp;L'!$B$41-'3-Year P&amp;L'!$B$46+'3-Year P&amp;L'!$B$36+'3-Year P&amp;L'!$B$37),"")</f>
        <v>78126.46428571428</v>
      </c>
      <c r="H27" s="60">
        <f>IFERROR(IF(OR(E27="",E27=0),"",G27/E27),"")</f>
        <v>2.4368187945939686</v>
      </c>
    </row>
    <row r="28">
      <c r="A28" s="39" t="n">
        <v>2</v>
      </c>
      <c r="B28" s="60">
        <f>IFERROR(IF(OR(2&gt;B22,F27=""),"",F27),"")</f>
        <v>184639.15720814522</v>
      </c>
      <c r="C28" s="60">
        <f>IFERROR(IF(OR(2&gt;B22,B28=""),"",B28*B21),"")</f>
        <v>18463.915720814523</v>
      </c>
      <c r="D28" s="60">
        <f>IFERROR(IF(OR(2&gt;B22,B28=""),"",IF(2&lt;=B23,0,MIN(B28,B24-C28))),"")</f>
        <v>13596.927071040249</v>
      </c>
      <c r="E28" s="60">
        <f>IFERROR(IF(C28="","",C28+D28),"")</f>
        <v>32060.84279185477</v>
      </c>
      <c r="F28" s="60">
        <f>IFERROR(IF(D28="","",B28-D28),"")</f>
        <v>171042.23013710498</v>
      </c>
      <c r="G28" s="60">
        <f>IFERROR(IF(E28="","",'3-Year P&amp;L'!$C$41-'3-Year P&amp;L'!$C$46+'3-Year P&amp;L'!$C$36+'3-Year P&amp;L'!$C$37),"")</f>
        <v>110053.37321591788</v>
      </c>
      <c r="H28" s="60">
        <f>IFERROR(IF(OR(E28="",E28=0),"",G28/E28),"")</f>
        <v>3.432641304235381</v>
      </c>
    </row>
    <row r="29">
      <c r="A29" s="39" t="n">
        <v>3</v>
      </c>
      <c r="B29" s="60">
        <f>IFERROR(IF(OR(3&gt;B22,F28=""),"",F28),"")</f>
        <v>171042.23013710498</v>
      </c>
      <c r="C29" s="60">
        <f>IFERROR(IF(OR(3&gt;B22,B29=""),"",B29*B21),"")</f>
        <v>17104.2230137105</v>
      </c>
      <c r="D29" s="60">
        <f>IFERROR(IF(OR(3&gt;B22,B29=""),"",IF(3&lt;=B23,0,MIN(B29,B24-C29))),"")</f>
        <v>14956.619778144272</v>
      </c>
      <c r="E29" s="60">
        <f>IFERROR(IF(C29="","",C29+D29),"")</f>
        <v>32060.84279185477</v>
      </c>
      <c r="F29" s="60">
        <f>IFERROR(IF(D29="","",B29-D29),"")</f>
        <v>156085.61035896072</v>
      </c>
      <c r="G29" s="60">
        <f>IFERROR(IF(E29="","",'3-Year P&amp;L'!$D$41-'3-Year P&amp;L'!$D$46+'3-Year P&amp;L'!$D$36+'3-Year P&amp;L'!$D$37),"")</f>
        <v>129214.25763914196</v>
      </c>
      <c r="H29" s="60">
        <f>IFERROR(IF(OR(E29="",E29=0),"",G29/E29),"")</f>
        <v>4.030282624758995</v>
      </c>
    </row>
    <row r="30">
      <c r="A30" s="39" t="n">
        <v>4</v>
      </c>
      <c r="B30" s="60">
        <f>IFERROR(IF(OR(4&gt;B22,F29=""),"",F29),"")</f>
        <v>156085.61035896072</v>
      </c>
      <c r="C30" s="60">
        <f>IFERROR(IF(OR(4&gt;B22,B30=""),"",B30*B21),"")</f>
        <v>15608.561035896073</v>
      </c>
      <c r="D30" s="60">
        <f>IFERROR(IF(OR(4&gt;B22,B30=""),"",IF(4&lt;=B23,0,MIN(B30,B24-C30))),"")</f>
        <v>16452.2817559587</v>
      </c>
      <c r="E30" s="60">
        <f>IFERROR(IF(C30="","",C30+D30),"")</f>
        <v>32060.84279185477</v>
      </c>
      <c r="F30" s="60">
        <f>IFERROR(IF(D30="","",B30-D30),"")</f>
        <v>139633.328603002</v>
      </c>
      <c r="G30" s="60">
        <f>IFERROR(IF(E30="","",'3-Year P&amp;L'!$D$41-'3-Year P&amp;L'!$D$46+'3-Year P&amp;L'!$D$36+'3-Year P&amp;L'!$D$37),"")</f>
        <v>129214.25763914196</v>
      </c>
      <c r="H30" s="60">
        <f>IFERROR(IF(OR(E30="",E30=0),"",G30/E30),"")</f>
        <v>4.030282624758995</v>
      </c>
    </row>
    <row r="31">
      <c r="A31" s="39" t="n">
        <v>5</v>
      </c>
      <c r="B31" s="60">
        <f>IFERROR(IF(OR(5&gt;B22,F30=""),"",F30),"")</f>
        <v>139633.328603002</v>
      </c>
      <c r="C31" s="60">
        <f>IFERROR(IF(OR(5&gt;B22,B31=""),"",B31*B21),"")</f>
        <v>13963.332860300201</v>
      </c>
      <c r="D31" s="60">
        <f>IFERROR(IF(OR(5&gt;B22,B31=""),"",IF(5&lt;=B23,0,MIN(B31,B24-C31))),"")</f>
        <v>18097.50993155457</v>
      </c>
      <c r="E31" s="60">
        <f>IFERROR(IF(C31="","",C31+D31),"")</f>
        <v>32060.84279185477</v>
      </c>
      <c r="F31" s="60">
        <f>IFERROR(IF(D31="","",B31-D31),"")</f>
        <v>121535.81867144744</v>
      </c>
      <c r="G31" s="60">
        <f>IFERROR(IF(E31="","",'3-Year P&amp;L'!$D$41-'3-Year P&amp;L'!$D$46+'3-Year P&amp;L'!$D$36+'3-Year P&amp;L'!$D$37),"")</f>
        <v>129214.25763914196</v>
      </c>
      <c r="H31" s="60">
        <f>IFERROR(IF(OR(E31="",E31=0),"",G31/E31),"")</f>
        <v>4.030282624758995</v>
      </c>
    </row>
    <row r="32">
      <c r="A32" s="39" t="n">
        <v>6</v>
      </c>
      <c r="B32" s="60">
        <f>IFERROR(IF(OR(6&gt;B22,F31=""),"",F31),"")</f>
        <v>121535.81867144744</v>
      </c>
      <c r="C32" s="60">
        <f>IFERROR(IF(OR(6&gt;B22,B32=""),"",B32*B21),"")</f>
        <v>12153.581867144745</v>
      </c>
      <c r="D32" s="60">
        <f>IFERROR(IF(OR(6&gt;B22,B32=""),"",IF(6&lt;=B23,0,MIN(B32,B24-C32))),"")</f>
        <v>19907.260924710026</v>
      </c>
      <c r="E32" s="60">
        <f>IFERROR(IF(C32="","",C32+D32),"")</f>
        <v>32060.84279185477</v>
      </c>
      <c r="F32" s="60">
        <f>IFERROR(IF(D32="","",B32-D32),"")</f>
        <v>101628.55774673741</v>
      </c>
      <c r="G32" s="60">
        <f>IFERROR(IF(E32="","",'3-Year P&amp;L'!$D$41-'3-Year P&amp;L'!$D$46+'3-Year P&amp;L'!$D$36+'3-Year P&amp;L'!$D$37),"")</f>
        <v>129214.25763914196</v>
      </c>
      <c r="H32" s="60">
        <f>IFERROR(IF(OR(E32="",E32=0),"",G32/E32),"")</f>
        <v>4.030282624758995</v>
      </c>
    </row>
    <row r="33">
      <c r="A33" s="39" t="n">
        <v>7</v>
      </c>
      <c r="B33" s="60">
        <f>IFERROR(IF(OR(7&gt;B22,F32=""),"",F32),"")</f>
        <v>101628.55774673741</v>
      </c>
      <c r="C33" s="60">
        <f>IFERROR(IF(OR(7&gt;B22,B33=""),"",B33*B21),"")</f>
        <v>10162.855774673742</v>
      </c>
      <c r="D33" s="60">
        <f>IFERROR(IF(OR(7&gt;B22,B33=""),"",IF(7&lt;=B23,0,MIN(B33,B24-C33))),"")</f>
        <v>21897.98701718103</v>
      </c>
      <c r="E33" s="60">
        <f>IFERROR(IF(C33="","",C33+D33),"")</f>
        <v>32060.84279185477</v>
      </c>
      <c r="F33" s="60">
        <f>IFERROR(IF(D33="","",B33-D33),"")</f>
        <v>79730.57072955638</v>
      </c>
      <c r="G33" s="60">
        <f>IFERROR(IF(E33="","",'3-Year P&amp;L'!$D$41-'3-Year P&amp;L'!$D$46+'3-Year P&amp;L'!$D$36+'3-Year P&amp;L'!$D$37),"")</f>
        <v>129214.25763914196</v>
      </c>
      <c r="H33" s="60">
        <f>IFERROR(IF(OR(E33="",E33=0),"",G33/E33),"")</f>
        <v>4.030282624758995</v>
      </c>
    </row>
    <row r="34">
      <c r="A34" s="39" t="n">
        <v>8</v>
      </c>
      <c r="B34" s="60">
        <f>IFERROR(IF(OR(8&gt;B22,F33=""),"",F33),"")</f>
        <v>79730.57072955638</v>
      </c>
      <c r="C34" s="60">
        <f>IFERROR(IF(OR(8&gt;B22,B34=""),"",B34*B21),"")</f>
        <v>7973.057072955638</v>
      </c>
      <c r="D34" s="60">
        <f>IFERROR(IF(OR(8&gt;B22,B34=""),"",IF(8&lt;=B23,0,MIN(B34,B24-C34))),"")</f>
        <v>24087.785718899133</v>
      </c>
      <c r="E34" s="60">
        <f>IFERROR(IF(C34="","",C34+D34),"")</f>
        <v>32060.84279185477</v>
      </c>
      <c r="F34" s="60">
        <f>IFERROR(IF(D34="","",B34-D34),"")</f>
        <v>55642.785010657244</v>
      </c>
      <c r="G34" s="60">
        <f>IFERROR(IF(E34="","",'3-Year P&amp;L'!$D$41-'3-Year P&amp;L'!$D$46+'3-Year P&amp;L'!$D$36+'3-Year P&amp;L'!$D$37),"")</f>
        <v>129214.25763914196</v>
      </c>
      <c r="H34" s="60">
        <f>IFERROR(IF(OR(E34="",E34=0),"",G34/E34),"")</f>
        <v>4.030282624758995</v>
      </c>
    </row>
    <row r="35">
      <c r="A35" s="39" t="n">
        <v>9</v>
      </c>
      <c r="B35" s="60">
        <f>IFERROR(IF(OR(9&gt;B22,F34=""),"",F34),"")</f>
        <v>55642.785010657244</v>
      </c>
      <c r="C35" s="60">
        <f>IFERROR(IF(OR(9&gt;B22,B35=""),"",B35*B21),"")</f>
        <v>5564.278501065724</v>
      </c>
      <c r="D35" s="60">
        <f>IFERROR(IF(OR(9&gt;B22,B35=""),"",IF(9&lt;=B23,0,MIN(B35,B24-C35))),"")</f>
        <v>26496.564290789047</v>
      </c>
      <c r="E35" s="60">
        <f>IFERROR(IF(C35="","",C35+D35),"")</f>
        <v>32060.84279185477</v>
      </c>
      <c r="F35" s="60">
        <f>IFERROR(IF(D35="","",B35-D35),"")</f>
        <v>29146.220719868197</v>
      </c>
      <c r="G35" s="60">
        <f>IFERROR(IF(E35="","",'3-Year P&amp;L'!$D$41-'3-Year P&amp;L'!$D$46+'3-Year P&amp;L'!$D$36+'3-Year P&amp;L'!$D$37),"")</f>
        <v>129214.25763914196</v>
      </c>
      <c r="H35" s="60">
        <f>IFERROR(IF(OR(E35="",E35=0),"",G35/E35),"")</f>
        <v>4.030282624758995</v>
      </c>
    </row>
    <row r="36">
      <c r="A36" s="39" t="n">
        <v>10</v>
      </c>
      <c r="B36" s="60">
        <f>IFERROR(IF(OR(10&gt;B22,F35=""),"",F35),"")</f>
        <v>29146.220719868197</v>
      </c>
      <c r="C36" s="60">
        <f>IFERROR(IF(OR(10&gt;B22,B36=""),"",B36*B21),"")</f>
        <v>2914.6220719868197</v>
      </c>
      <c r="D36" s="60">
        <f>IFERROR(IF(OR(10&gt;B22,B36=""),"",IF(10&lt;=B23,0,MIN(B36,B24-C36))),"")</f>
        <v>29146.220719867953</v>
      </c>
      <c r="E36" s="60">
        <f>IFERROR(IF(C36="","",C36+D36),"")</f>
        <v>32060.842791854775</v>
      </c>
      <c r="F36" s="60">
        <f>IFERROR(IF(D36="","",B36-D36),"")</f>
        <v>2.4374458007514477e-10</v>
      </c>
      <c r="G36" s="60">
        <f>IFERROR(IF(E36="","",'3-Year P&amp;L'!$D$41-'3-Year P&amp;L'!$D$46+'3-Year P&amp;L'!$D$36+'3-Year P&amp;L'!$D$37),"")</f>
        <v>129214.25763914196</v>
      </c>
      <c r="H36" s="60">
        <f>IFERROR(IF(OR(E36="",E36=0),"",G36/E36),"")</f>
        <v>4.0302826247589945</v>
      </c>
    </row>
    <row r="37">
      <c r="A37" s="39" t="n">
        <v>11</v>
      </c>
      <c r="B37" s="60">
        <f>IFERROR(IF(OR(11&gt;B22,F36=""),"",F36),"")</f>
        <v/>
      </c>
      <c r="C37" s="60">
        <f>IFERROR(IF(OR(11&gt;B22,B37=""),"",B37*B21),"")</f>
        <v/>
      </c>
      <c r="D37" s="60">
        <f>IFERROR(IF(OR(11&gt;B22,B37=""),"",IF(11&lt;=B23,0,MIN(B37,B24-C37))),"")</f>
        <v/>
      </c>
      <c r="E37" s="60">
        <f>IFERROR(IF(C37="","",C37+D37),"")</f>
        <v/>
      </c>
      <c r="F37" s="60">
        <f>IFERROR(IF(D37="","",B37-D37),"")</f>
        <v/>
      </c>
      <c r="G37" s="60">
        <f>IFERROR(IF(E37="","",'3-Year P&amp;L'!$D$41-'3-Year P&amp;L'!$D$46+'3-Year P&amp;L'!$D$36+'3-Year P&amp;L'!$D$37),"")</f>
        <v/>
      </c>
      <c r="H37" s="60">
        <f>IFERROR(IF(OR(E37="",E37=0),"",G37/E37),"")</f>
        <v/>
      </c>
    </row>
    <row r="38">
      <c r="A38" s="39" t="n">
        <v>12</v>
      </c>
      <c r="B38" s="60">
        <f>IFERROR(IF(OR(12&gt;B22,F37=""),"",F37),"")</f>
        <v/>
      </c>
      <c r="C38" s="60">
        <f>IFERROR(IF(OR(12&gt;B22,B38=""),"",B38*B21),"")</f>
        <v/>
      </c>
      <c r="D38" s="60">
        <f>IFERROR(IF(OR(12&gt;B22,B38=""),"",IF(12&lt;=B23,0,MIN(B38,B24-C38))),"")</f>
        <v/>
      </c>
      <c r="E38" s="60">
        <f>IFERROR(IF(C38="","",C38+D38),"")</f>
        <v/>
      </c>
      <c r="F38" s="60">
        <f>IFERROR(IF(D38="","",B38-D38),"")</f>
        <v/>
      </c>
      <c r="G38" s="60">
        <f>IFERROR(IF(E38="","",'3-Year P&amp;L'!$D$41-'3-Year P&amp;L'!$D$46+'3-Year P&amp;L'!$D$36+'3-Year P&amp;L'!$D$37),"")</f>
        <v/>
      </c>
      <c r="H38" s="60">
        <f>IFERROR(IF(OR(E38="",E38=0),"",G38/E38),"")</f>
        <v/>
      </c>
    </row>
    <row r="39">
      <c r="A39" s="39" t="n">
        <v>13</v>
      </c>
      <c r="B39" s="60">
        <f>IFERROR(IF(OR(13&gt;B22,F38=""),"",F38),"")</f>
        <v/>
      </c>
      <c r="C39" s="60">
        <f>IFERROR(IF(OR(13&gt;B22,B39=""),"",B39*B21),"")</f>
        <v/>
      </c>
      <c r="D39" s="60">
        <f>IFERROR(IF(OR(13&gt;B22,B39=""),"",IF(13&lt;=B23,0,MIN(B39,B24-C39))),"")</f>
        <v/>
      </c>
      <c r="E39" s="60">
        <f>IFERROR(IF(C39="","",C39+D39),"")</f>
        <v/>
      </c>
      <c r="F39" s="60">
        <f>IFERROR(IF(D39="","",B39-D39),"")</f>
        <v/>
      </c>
      <c r="G39" s="60">
        <f>IFERROR(IF(E39="","",'3-Year P&amp;L'!$D$41-'3-Year P&amp;L'!$D$46+'3-Year P&amp;L'!$D$36+'3-Year P&amp;L'!$D$37),"")</f>
        <v/>
      </c>
      <c r="H39" s="60">
        <f>IFERROR(IF(OR(E39="",E39=0),"",G39/E39),"")</f>
        <v/>
      </c>
    </row>
    <row r="40">
      <c r="A40" s="39" t="n">
        <v>14</v>
      </c>
      <c r="B40" s="60">
        <f>IFERROR(IF(OR(14&gt;B22,F39=""),"",F39),"")</f>
        <v/>
      </c>
      <c r="C40" s="60">
        <f>IFERROR(IF(OR(14&gt;B22,B40=""),"",B40*B21),"")</f>
        <v/>
      </c>
      <c r="D40" s="60">
        <f>IFERROR(IF(OR(14&gt;B22,B40=""),"",IF(14&lt;=B23,0,MIN(B40,B24-C40))),"")</f>
        <v/>
      </c>
      <c r="E40" s="60">
        <f>IFERROR(IF(C40="","",C40+D40),"")</f>
        <v/>
      </c>
      <c r="F40" s="60">
        <f>IFERROR(IF(D40="","",B40-D40),"")</f>
        <v/>
      </c>
      <c r="G40" s="60">
        <f>IFERROR(IF(E40="","",'3-Year P&amp;L'!$D$41-'3-Year P&amp;L'!$D$46+'3-Year P&amp;L'!$D$36+'3-Year P&amp;L'!$D$37),"")</f>
        <v/>
      </c>
      <c r="H40" s="60">
        <f>IFERROR(IF(OR(E40="",E40=0),"",G40/E40),"")</f>
        <v/>
      </c>
    </row>
    <row r="41">
      <c r="A41" s="39" t="n">
        <v>15</v>
      </c>
      <c r="B41" s="60">
        <f>IFERROR(IF(OR(15&gt;B22,F40=""),"",F40),"")</f>
        <v/>
      </c>
      <c r="C41" s="60">
        <f>IFERROR(IF(OR(15&gt;B22,B41=""),"",B41*B21),"")</f>
        <v/>
      </c>
      <c r="D41" s="60">
        <f>IFERROR(IF(OR(15&gt;B22,B41=""),"",IF(15&lt;=B23,0,MIN(B41,B24-C41))),"")</f>
        <v/>
      </c>
      <c r="E41" s="60">
        <f>IFERROR(IF(C41="","",C41+D41),"")</f>
        <v/>
      </c>
      <c r="F41" s="60">
        <f>IFERROR(IF(D41="","",B41-D41),"")</f>
        <v/>
      </c>
      <c r="G41" s="60">
        <f>IFERROR(IF(E41="","",'3-Year P&amp;L'!$D$41-'3-Year P&amp;L'!$D$46+'3-Year P&amp;L'!$D$36+'3-Year P&amp;L'!$D$37),"")</f>
        <v/>
      </c>
      <c r="H41" s="60">
        <f>IFERROR(IF(OR(E41="",E41=0),"",G41/E41),"")</f>
        <v/>
      </c>
    </row>
    <row r="42">
      <c r="A42" s="28" t="inlineStr">
        <is>
          <t>Schedule closing tolerance</t>
        </is>
      </c>
      <c r="B42" s="7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0">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39">
        <f>IFERROR(IF(B20="","",IF(C27="",0,C27)),"")</f>
        <v>19700.0</v>
      </c>
      <c r="C44" s="28" t="n"/>
      <c r="D44" s="28" t="n"/>
      <c r="E44" s="28" t="n"/>
      <c r="F44" s="28" t="n"/>
      <c r="G44" s="28" t="n"/>
      <c r="H44" s="28" t="n"/>
    </row>
    <row r="45">
      <c r="A45" s="28" t="inlineStr">
        <is>
          <t>Year-1 principal repaid</t>
        </is>
      </c>
      <c r="B45" s="39">
        <f>IFERROR(IF(B20="","",IF(D27="",0,D27)),"")</f>
        <v>12360.842791854771</v>
      </c>
      <c r="C45" s="28" t="n"/>
      <c r="D45" s="28" t="n"/>
      <c r="E45" s="28" t="n"/>
      <c r="F45" s="28" t="n"/>
      <c r="G45" s="28" t="n"/>
      <c r="H45" s="28" t="n"/>
    </row>
    <row r="46">
      <c r="A46" s="28" t="inlineStr">
        <is>
          <t>Year-2 interest</t>
        </is>
      </c>
      <c r="B46" s="39">
        <f>IFERROR(IF(B20="","",IF(C28="",0,C28)),"")</f>
        <v>18463.915720814523</v>
      </c>
      <c r="C46" s="28" t="n"/>
      <c r="D46" s="28" t="n"/>
      <c r="E46" s="28" t="n"/>
      <c r="F46" s="28" t="n"/>
      <c r="G46" s="28" t="n"/>
      <c r="H46" s="28" t="n"/>
    </row>
    <row r="47">
      <c r="A47" s="28" t="inlineStr">
        <is>
          <t>Year-2 principal repaid</t>
        </is>
      </c>
      <c r="B47" s="39">
        <f>IFERROR(IF(B20="","",IF(D28="",0,D28)),"")</f>
        <v>13596.927071040249</v>
      </c>
      <c r="C47" s="28" t="n"/>
      <c r="D47" s="28" t="n"/>
      <c r="E47" s="28" t="n"/>
      <c r="F47" s="28" t="n"/>
      <c r="G47" s="28" t="n"/>
      <c r="H47" s="28" t="n"/>
    </row>
    <row r="48">
      <c r="A48" s="28" t="inlineStr">
        <is>
          <t>Year-3 interest</t>
        </is>
      </c>
      <c r="B48" s="39">
        <f>IFERROR(IF(B20="","",IF(C29="",0,C29)),"")</f>
        <v>17104.2230137105</v>
      </c>
      <c r="C48" s="28" t="n"/>
      <c r="D48" s="28" t="n"/>
      <c r="E48" s="28" t="n"/>
      <c r="F48" s="28" t="n"/>
      <c r="G48" s="28" t="n"/>
      <c r="H48" s="28" t="n"/>
    </row>
    <row r="49">
      <c r="A49" s="28" t="inlineStr">
        <is>
          <t>Year-3 principal repaid</t>
        </is>
      </c>
      <c r="B49" s="39">
        <f>IFERROR(IF(B20="","",IF(D29="",0,D29)),"")</f>
        <v>14956.619778144272</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0">
        <f>IFERROR(('3-Year P&amp;L'!$B$41-'3-Year P&amp;L'!$B$46+'3-Year P&amp;L'!$B$36+B44)/(B44+B45),"")</f>
        <v>2.4368187945939686</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0">
        <f>IFERROR(('3-Year P&amp;L'!$C$41-'3-Year P&amp;L'!$C$46+'3-Year P&amp;L'!$C$36+B46)/(B46+B47),"")</f>
        <v>3.432641304235381</v>
      </c>
      <c r="C52" s="28" t="n"/>
      <c r="D52" s="28" t="n"/>
      <c r="E52" s="28" t="n"/>
      <c r="F52" s="28" t="n"/>
      <c r="G52" s="28" t="n"/>
      <c r="H52" s="28" t="n"/>
    </row>
    <row r="53">
      <c r="A53" s="28" t="inlineStr">
        <is>
          <t>Year-3 DSCR</t>
        </is>
      </c>
      <c r="B53" s="60">
        <f>IFERROR(('3-Year P&amp;L'!$D$41-'3-Year P&amp;L'!$D$46+'3-Year P&amp;L'!$D$36+B48)/(B48+B49),"")</f>
        <v>4.030282624758995</v>
      </c>
      <c r="C53" s="28" t="n"/>
      <c r="D53" s="28" t="n"/>
      <c r="E53" s="28" t="n"/>
      <c r="F53" s="28" t="n"/>
      <c r="G53" s="28" t="n"/>
      <c r="H53" s="28" t="n"/>
    </row>
    <row r="54">
      <c r="A54" s="25" t="inlineStr">
        <is>
          <t>Minimum DSCR across the whole schedule</t>
        </is>
      </c>
      <c r="B54" s="61">
        <f>IFERROR(IF(COUNT(H27:H41)=0,"",MIN(H27:H41)),"")</f>
        <v>2.4368187945939686</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Bakery Financial Projections: 3-Year P&amp;L, Cash Flow &amp; Financing · Bakery Business Plan Kit</dc:title>
  <dc:description xmlns:dc="http://purl.org/dc/elements/1.1/">aichef.pro/en/digital-products/bakery-business-plan</dc:description>
  <dc:subject xmlns:dc="http://purl.org/dc/elements/1.1/">Bakery Business Plan Kit · v2.2</dc:subject>
  <dcterms:created xmlns:dcterms="http://purl.org/dc/terms/" xmlns:xsi="http://www.w3.org/2001/XMLSchema-instance" xsi:type="dcterms:W3CDTF">2026-03-26T15:52:23Z</dcterms:created>
  <dcterms:modified xmlns:dcterms="http://purl.org/dc/terms/" xmlns:xsi="http://www.w3.org/2001/XMLSchema-instance" xsi:type="dcterms:W3CDTF">2026-10-04T20:03:25Z</dcterms:modified>
  <cp:lastModifiedBy>AI Chef Pro</cp:lastModifiedBy>
  <cp:category>AI Chef Pro · Digital products</cp:category>
  <cp:keywords>bakery business plan, bakery business plan template, how to start a bakery business, bakery startup costs, AI Chef Pro</cp:keywords>
</cp:coreProperties>
</file>