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8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2" fillId="0" borderId="0" pivotButton="0" quotePrefix="0" xfId="0"/>
    <xf numFmtId="164" fontId="0" fillId="0" borderId="0" pivotButton="0" quotePrefix="0" xfId="0"/>
    <xf numFmtId="164" fontId="11" fillId="0" borderId="0" pivotButton="0" quotePrefix="0" xfId="0"/>
    <xf numFmtId="166" fontId="11" fillId="0" borderId="0" pivotButton="0" quotePrefix="0" xfId="0"/>
    <xf numFmtId="0" fontId="11" fillId="0" borderId="0" pivotButton="0" quotePrefix="0" xfId="0"/>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166" fontId="9" fillId="4" borderId="3" applyProtection="1" pivotButton="0" quotePrefix="0" xfId="0">
      <protection locked="0" hidden="0"/>
    </xf>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4" fontId="9" fillId="0" borderId="3" pivotButton="0" quotePrefix="0" xfId="0"/>
    <xf numFmtId="4" fontId="10"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1" fillId="0" borderId="0" pivotButton="0" quotePrefix="0" xfId="0"/>
    <xf numFmtId="165" fontId="9" fillId="0" borderId="3" pivotButton="0" quotePrefix="0" xfId="0"/>
    <xf numFmtId="166" fontId="9" fillId="0" borderId="3" applyProtection="1" pivotButton="0" quotePrefix="0" xfId="0">
      <protection locked="0" hidden="0"/>
    </xf>
    <xf numFmtId="166" fontId="12"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5" fontId="11" fillId="0" borderId="0" pivotButton="0" quotePrefix="0" xfId="0"/>
    <xf numFmtId="166" fontId="9" fillId="4" borderId="3" applyProtection="1" pivotButton="0" quotePrefix="0" xfId="0">
      <protection locked="0" hidden="0"/>
    </xf>
    <xf numFmtId="0" fontId="1" fillId="0" borderId="0" applyAlignment="1" pivotButton="0" quotePrefix="0" xfId="0">
      <alignment horizontal="left" vertical="top" wrapText="1"/>
    </xf>
    <xf numFmtId="3"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Invitados por evento (media del año 1)</t>
        </is>
      </c>
      <c r="B4" s="18" t="n">
        <v>82</v>
      </c>
      <c r="C4" t="inlineStr">
        <is>
          <t>Invitados de media por evento en el año 1. Sale de la mezcla de la tabla de referencias de la hoja de Instrucciones: bodas de 120, eventos de empresa de 80, celebraciones privadas de 70 y eventos pequeños de 40. Es una media: el aforo de la finca está más abajo</t>
        </is>
      </c>
    </row>
    <row r="5">
      <c r="A5" t="inlineStr">
        <is>
          <t>Precio medio por invitado SIN IVA (€)</t>
        </is>
      </c>
      <c r="B5" s="62" t="n">
        <v>37</v>
      </c>
      <c r="C5" t="inlineStr">
        <is>
          <t>SIN IVA, por invitado: lo que factura la FINCA, no lo que pagan los novios por la boda entera. Suma el espacio y los servicios (ceremonia, montaje, coordinación, limpieza y aparcamiento) y el canon que te paga el catering por cada invitado. Media de la mezcla: 47 € la boda, 34 € el evento de empresa, 29 € la celebración privada y 30 € el evento pequeño. El precio con IVA (21 %) está en la fila de abajo</t>
        </is>
      </c>
    </row>
    <row r="6">
      <c r="A6" t="inlineStr">
        <is>
          <t>Eventos al año</t>
        </is>
      </c>
      <c r="B6" s="18" t="n">
        <v>120</v>
      </c>
      <c r="C6" t="inlineStr">
        <is>
          <t>Eventos celebrados en el año: 30 bodas, 35 de empresa (jornadas, comidas, Navidad), 40 celebraciones privadas (comuniones, bautizos, cumpleaños) y 15 pequeños (preboda, brunch, bodas íntimas). Es el MISMO dato para la cuenta de resultados, el punto de equilibrio, los escenarios y las horas de personal</t>
        </is>
      </c>
    </row>
    <row r="7">
      <c r="A7" t="inlineStr">
        <is>
          <t>Crecimiento de volumen del año 2</t>
        </is>
      </c>
      <c r="B7" s="63" t="n">
        <v>0.08</v>
      </c>
      <c r="C7" t="inlineStr">
        <is>
          <t>Más actividad el segundo año: bodas que llegan por recomendación, empresas que repiten y planners que ya te conocen. El libro lo aplica a los invitados por evento con los mismos eventos; en euros es lo mismo que un 8 % más de eventos del mismo tamaño (unos 130). El personal no sube con este porcentaje: crece con las incorporaciones de la hoja Personal</t>
        </is>
      </c>
    </row>
    <row r="8">
      <c r="A8" t="inlineStr">
        <is>
          <t>Crecimiento de volumen del año 3</t>
        </is>
      </c>
      <c r="B8" s="63" t="n">
        <v>0.05</v>
      </c>
      <c r="C8" t="inlineStr">
        <is>
          <t>Sobre el año 2 (unos 136 eventos equivalentes). Conservador: el techo lo ponen los sábados de temporada y el aforo de la finca</t>
        </is>
      </c>
    </row>
    <row r="9">
      <c r="A9" t="inlineStr">
        <is>
          <t>PVP equivalente con IVA (calculado)</t>
        </is>
      </c>
      <c r="B9" s="64">
        <f>IFERROR(IF($B$5="","",$B$5*(1+SUMPRODUCT('PyG 3 Años'!$E$10:$E$11,'PyG 3 Años'!$G$10:$G$11))),"")</f>
        <v>44.769999999999996</v>
      </c>
      <c r="C9" t="str">
        <f>IFERROR("Precio por invitado sin IVA más el IVA medio ponderado de tus líneas de venta: "&amp;TEXT(SUMPRODUCT('PyG 3 Años'!$E$10:$E$11,'PyG 3 Años'!$G$10:$G$11)*100,"0")&amp;" %. La finca factura el espacio, los servicios y el canon al 21 %, el tipo general; el menú y la barra los factura el catering a los novios, al 10 % (art. 91.Uno.2.2.º de la Ley 37/1992), y no entran en este libro. Aquí va redondeado. "&amp;"Compáralo con el rango del sector, que va con IVA.","")</f>
        <v>Precio por invitado sin IVA más el IVA medio ponderado de tus líneas de venta: 21 %. La finca factura el espacio, los servicios y el canon al 21 %, el tipo general; el menú y la barra los factura el catering a los novios, al 10 % (art. 91.Uno.2.2.º de la Ley 37/1992), y no entran en este libro. Aquí va redondeado. Compáralo con el rango del sector, que va con IVA.</v>
      </c>
    </row>
    <row r="10">
      <c r="A10" s="16" t="inlineStr">
        <is>
          <t>MEZCLA DE VENTAS Y COSTE DIRECTO</t>
        </is>
      </c>
    </row>
    <row r="11">
      <c r="A11" t="inlineStr">
        <is>
          <t>Ventas de ESPACIO Y SERVICIOS sobre el total</t>
        </is>
      </c>
      <c r="B11" s="63" t="n">
        <v>0.78</v>
      </c>
      <c r="C11" t="inlineStr">
        <is>
          <t>Peso del ESPACIO Y LOS SERVICIOS sobre el total de ventas. Es un INPUT: cámbialo aquí y el P&amp;L, la tesorería y el IVA repercutido se recalculan solos</t>
        </is>
      </c>
    </row>
    <row r="12">
      <c r="A12" t="inlineStr">
        <is>
          <t>Ventas del CANON DEL CATERING sobre el total</t>
        </is>
      </c>
      <c r="B12" s="65">
        <f>IFERROR(IF(COUNT(B11)=0,"",1-B11),"")</f>
        <v>0.21999999999999997</v>
      </c>
      <c r="C12" t="inlineStr">
        <is>
          <t>Se calcula como el resto: espacio y servicios + canon = 100 %</t>
        </is>
      </c>
    </row>
    <row r="13">
      <c r="A13" t="inlineStr">
        <is>
          <t>Coste directo del evento sobre las ventas de ESPACIO Y SERVICIOS</t>
        </is>
      </c>
      <c r="B13" s="63" t="n">
        <v>0.163</v>
      </c>
      <c r="C13" t="inlineStr">
        <is>
          <t>Coste directo del evento sobre las ventas de espacio y servicios: limpieza tras el evento, reposición de aseos y consumibles, gasoil del grupo electrógeno, vigilancia y aparcamiento, y la tarifa de SGAE y AGEDI-AIE de cada evento. Unos 650 € por boda, 350 € por evento de empresa, 300 € por celebración privada y 150 € por evento pequeño: 46.000 € al año</t>
        </is>
      </c>
    </row>
    <row r="14">
      <c r="A14" t="inlineStr">
        <is>
          <t>Coste del canon sobre las ventas del CANON</t>
        </is>
      </c>
      <c r="B14" s="63" t="n">
        <v>0</v>
      </c>
      <c r="C14" t="inlineStr">
        <is>
          <t>A CERO: el canon no tiene coste para la finca. La comida y la bebida las compra el catering, que es quien las vende a los novios</t>
        </is>
      </c>
    </row>
    <row r="15">
      <c r="A15" t="inlineStr">
        <is>
          <t>Consumibles sobre ventas</t>
        </is>
      </c>
      <c r="B15" s="63" t="n">
        <v>0.02</v>
      </c>
      <c r="C15" t="inlineStr">
        <is>
          <t>Velas, flores base, papel y productos de los aseos, y los pequeños consumibles de cada montaje</t>
        </is>
      </c>
    </row>
    <row r="16">
      <c r="A16" t="inlineStr">
        <is>
          <t>Ventas que llegan por wedding planners y agencias sobre el total</t>
        </is>
      </c>
      <c r="B16" s="63" t="n">
        <v>0.2</v>
      </c>
      <c r="C16" t="inlineStr">
        <is>
          <t>Parte de las ventas que llega por un wedding planner o una agencia de eventos, que cobra una comisión. No cambia el IVA: todo lo que factura la finca va al 21 %</t>
        </is>
      </c>
    </row>
    <row r="17">
      <c r="A17" t="inlineStr">
        <is>
          <t>Comisión de los wedding planners y agencias</t>
        </is>
      </c>
      <c r="B17" s="63" t="n">
        <v>0.125</v>
      </c>
      <c r="C17" t="inlineStr">
        <is>
          <t>Comisión media sobre lo que vende ese canal: el punto medio de un 10-15 %. Si todas las reservas te llegan directas, pon 0</t>
        </is>
      </c>
    </row>
    <row r="18">
      <c r="A18" t="inlineStr">
        <is>
          <t>Comisión de los medios de pago</t>
        </is>
      </c>
      <c r="B18" s="63" t="n">
        <v>0.003</v>
      </c>
      <c r="C18" t="inlineStr">
        <is>
          <t>Casi todo se cobra por transferencia (señales, pagos de los novios y facturas de empresa); el datáfono queda para los extras del día</t>
        </is>
      </c>
    </row>
    <row r="19">
      <c r="A19" s="16" t="inlineStr">
        <is>
          <t>PERSONAL</t>
        </is>
      </c>
    </row>
    <row r="20">
      <c r="A20" t="inlineStr">
        <is>
          <t>Seguridad Social a cargo de la empresa</t>
        </is>
      </c>
      <c r="B20" s="63"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FINCA Y FIJOS</t>
        </is>
      </c>
    </row>
    <row r="24">
      <c r="A24" t="inlineStr">
        <is>
          <t>Renta mensual de la finca (€)</t>
        </is>
      </c>
      <c r="B24" s="23" t="n">
        <v>3500</v>
      </c>
      <c r="C24" t="inlineStr">
        <is>
          <t>Renta de mercado de una finca con edificaciones existentes (salón, aseos y office) arrendada a una SL, con contrato de quince años o más. Lleva IVA al 21 %. Si la finca es de tu familia, la renta tiene que ser la de mercado igual. El peso sobre las ventas lo calcula el libro en la fila «Renta de la finca / Ventas» del P&amp;L</t>
        </is>
      </c>
    </row>
    <row r="25">
      <c r="A25" t="inlineStr">
        <is>
          <t>Fianza del arrendamiento (meses)</t>
        </is>
      </c>
      <c r="B25" s="18" t="n">
        <v>2</v>
      </c>
      <c r="C25" t="inlineStr">
        <is>
          <t>Dos meses de renta como fianza, lo habitual en un arrendamiento de uso distinto del de vivienda; los avales o garantías adicionales se negocian aparte. Compruébalo con tu abogado antes de firmar</t>
        </is>
      </c>
    </row>
    <row r="26">
      <c r="A26" t="inlineStr">
        <is>
          <t>Suministros mensuales (luz, agua, gasoil y teléfono) (€)</t>
        </is>
      </c>
      <c r="B26" s="23" t="n">
        <v>1600</v>
      </c>
      <c r="C26" t="inlineStr">
        <is>
          <t>Luz con potencia para el salón y el exterior, agua de riego, gasoil del grupo electrógeno fuera de los eventos y teléfono. Pide al propietario el histórico de consumos</t>
        </is>
      </c>
    </row>
    <row r="27">
      <c r="A27" t="inlineStr">
        <is>
          <t>Seguros (€/año)</t>
        </is>
      </c>
      <c r="B27" s="23" t="n">
        <v>5500</v>
      </c>
      <c r="C27" t="inlineStr">
        <is>
          <t>Responsabilidad civil de la actividad con el capital que fije tu comunidad por aforo (en Andalucía, 526.000 € para 101-300 personas), daños a las mejoras de la finca, pérdida de beneficio y accidentes. Exige además al catering su propio seguro de responsabilidad civil e intoxicación</t>
        </is>
      </c>
    </row>
    <row r="28">
      <c r="A28" t="inlineStr">
        <is>
          <t>Varios e imprevistos sobre ventas</t>
        </is>
      </c>
      <c r="B28" s="63" t="n">
        <v>0.02</v>
      </c>
      <c r="C28" t="inlineStr">
        <is>
          <t>Roturas, imprevistos de cada montaje y desplazamientos comerciales (ferias y visitas a planners)</t>
        </is>
      </c>
    </row>
    <row r="29">
      <c r="A29" s="16" t="inlineStr">
        <is>
          <t>FINANCIACIÓN</t>
        </is>
      </c>
    </row>
    <row r="30">
      <c r="A30" t="inlineStr">
        <is>
          <t>Recursos propios aportados (€)</t>
        </is>
      </c>
      <c r="B30" s="23" t="n">
        <v>100000</v>
      </c>
      <c r="C30" t="inlineStr">
        <is>
          <t>Aportación de los socios. Un banco pide entre el 25 y el 30 % de la necesidad de caja con dinero propio</t>
        </is>
      </c>
    </row>
    <row r="31">
      <c r="A31" t="inlineStr">
        <is>
          <t>Préstamo bancario solicitado (€)</t>
        </is>
      </c>
      <c r="B31" s="23" t="n">
        <v>263000</v>
      </c>
      <c r="C31" t="inlineStr">
        <is>
          <t>Principal solicitado. La hoja de Financiación compara lo que aportas con la necesidad de caja de la hoja de inversión y te dice si sobra o falta: ajústalo con ese dato. La finca no es tuya, así que no hay garantía inmobiliaria: pregunta por avales y por líneas públicas</t>
        </is>
      </c>
    </row>
    <row r="32">
      <c r="A32" t="inlineStr">
        <is>
          <t>Tipo de interés nominal anual</t>
        </is>
      </c>
      <c r="B32" s="63" t="n">
        <v>0.065</v>
      </c>
      <c r="C32" t="inlineStr">
        <is>
          <t>Tipo nominal anual de un préstamo de empresa sin garantía inmobiliaria. Pide oferta a dos entidades y a una línea ICO antes de fijarlo</t>
        </is>
      </c>
    </row>
    <row r="33">
      <c r="A33" t="inlineStr">
        <is>
          <t>Plazo del préstamo (años)</t>
        </is>
      </c>
      <c r="B33" s="18" t="n">
        <v>8</v>
      </c>
      <c r="C33" t="inlineStr">
        <is>
          <t>Años totales, carencia incluida. Con seis años la cuota no cabe en un negocio con tanta estructura fija</t>
        </is>
      </c>
    </row>
    <row r="34">
      <c r="A34" t="inlineStr">
        <is>
          <t>Carencia de principal (años)</t>
        </is>
      </c>
      <c r="B34" s="18" t="n">
        <v>1</v>
      </c>
      <c r="C34" t="inlineStr">
        <is>
          <t>El primer año, sólo intereses: es el año de arranque y la caja va más justa. Desde el segundo año se devuelve el principal: mira la holgura de caja de ese año en el Punto de Equilibrio</t>
        </is>
      </c>
    </row>
    <row r="35">
      <c r="A35" t="inlineStr">
        <is>
          <t>Fondo de maniobra (meses de costes fijos)</t>
        </is>
      </c>
      <c r="B35" s="18" t="n">
        <v>3</v>
      </c>
      <c r="C35" t="inlineStr">
        <is>
          <t>Tres meses de costes fijos: son el colchón de los primeros meses, recién pagada la inversión y antes de las bodas de mayo y junio. En un año normal, de noviembre a febrero entra alrededor del 23 % de la venta con la renta y la plantilla planas: ese invierno se pasa con la caja de la temporada</t>
        </is>
      </c>
    </row>
    <row r="36">
      <c r="A36" s="16" t="inlineStr">
        <is>
          <t>FISCAL</t>
        </is>
      </c>
    </row>
    <row r="37">
      <c r="A37" t="inlineStr">
        <is>
          <t>Impuesto de Sociedades, nueva creación</t>
        </is>
      </c>
      <c r="B37" s="63"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3"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3" t="n">
        <v>0.1</v>
      </c>
      <c r="C39" t="inlineStr">
        <is>
          <t>No se usa en este plan: la finca no vende comida ni bebida. Es el tipo del menú del catering</t>
        </is>
      </c>
    </row>
    <row r="40">
      <c r="A40" t="inlineStr">
        <is>
          <t>IVA repercutido/soportado general</t>
        </is>
      </c>
      <c r="B40" s="63" t="n">
        <v>0.21</v>
      </c>
      <c r="C40" t="inlineStr">
        <is>
          <t>Tipo general. En este plan es el de todo lo que factura la finca (espacio, servicios y canon) y el de casi todo lo que compra; suministros, equipamiento y servicios tienen su tipo en la celda de abajo. La finca no vende comida ni bebida: el menú y la barra los factura el catering, al 10 % (art. 91.Uno.2.2.º de la Ley 37/1992)</t>
        </is>
      </c>
    </row>
    <row r="41">
      <c r="A41" t="inlineStr">
        <is>
          <t>IVA soportado en compras e inversión</t>
        </is>
      </c>
      <c r="B41" s="63"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15</v>
      </c>
      <c r="C44" t="inlineStr">
        <is>
          <t>Obra en una finca ARRENDADA: se amortiza en el plazo del contrato si es menor que la vida útil del bien. Por eso el plan pide un arrendamiento de quince años o más; con un contrato más corto, la amortización anual sube. Confírmalo con tu asesoría</t>
        </is>
      </c>
    </row>
    <row r="45">
      <c r="A45" t="inlineStr">
        <is>
          <t>Vida útil de maquinaria y mobiliario (años)</t>
        </is>
      </c>
      <c r="B45" s="18" t="n">
        <v>10</v>
      </c>
      <c r="C45" t="inlineStr">
        <is>
          <t>Carpa, grupo electrógeno, mobiliario y sonido: un 10 % anual, dentro del coeficiente máximo de la tabla del art. 12.1 de la Ley del Impuesto sobre Sociedades para el mobiliario. Confírmalo con tu asesoría</t>
        </is>
      </c>
    </row>
    <row r="46"/>
    <row r="47">
      <c r="A47" s="16" t="inlineStr">
        <is>
          <t>CRECIMIENTO Y ACTUALIZACIÓN DE COSTES</t>
        </is>
      </c>
    </row>
    <row r="48">
      <c r="A48" t="inlineStr">
        <is>
          <t>Subida anual de los costes fijos</t>
        </is>
      </c>
      <c r="B48" s="63" t="n">
        <v>0</v>
      </c>
      <c r="C48" t="inlineStr">
        <is>
          <t>A CERO: las tres columnas están en euros del año 1 (términos reales). Súbela si quieres proyectar en euros corrientes</t>
        </is>
      </c>
    </row>
    <row r="49">
      <c r="A49" s="16" t="inlineStr">
        <is>
          <t>ARRANQUE Y AFORO</t>
        </is>
      </c>
    </row>
    <row r="50"/>
    <row r="51">
      <c r="A51" t="inlineStr">
        <is>
          <t>Aforo de la finca (invitados sentados en el salón y la carpa)</t>
        </is>
      </c>
      <c r="B51" s="18" t="n">
        <v>300</v>
      </c>
      <c r="C51" t="inlineStr">
        <is>
          <t>DATO INFORMATIVO: no entra en ningún cálculo. Es el banquete más grande que caben sentado entre el salón y la carpa; el aforo legal lo fija tu licencia. Con 300 invitados la finca queda por debajo del plan de autoprotección estatal (Orden INT/1068/2026: 1.000 personas en edificio cerrado o carpa)</t>
        </is>
      </c>
    </row>
    <row r="52">
      <c r="A52" t="inlineStr">
        <is>
          <t>Actividad del mes 1 sobre la de crucero</t>
        </is>
      </c>
      <c r="B52" s="63" t="n">
        <v>0.45</v>
      </c>
      <c r="C52" t="inlineStr">
        <is>
          <t>Una finca que acaba de abrir no factura el primer mes lo que factura al año: las bodas se reservan con 12-18 meses de antelación y la primera temporada sólo trae lo que se reservó, condicionado a la licencia, durante la tramitación y la obra. Con 100 % se elimina la rampa</t>
        </is>
      </c>
    </row>
    <row r="53">
      <c r="A53" t="inlineStr">
        <is>
          <t>Meses hasta alcanzar el régimen de crucero</t>
        </is>
      </c>
      <c r="B53" s="18" t="n">
        <v>12</v>
      </c>
      <c r="C53" t="inlineStr">
        <is>
          <t>Doce meses hasta el ritmo de crucero: la primera temporada entera</t>
        </is>
      </c>
    </row>
    <row r="54">
      <c r="A54" t="inlineStr">
        <is>
          <t>Meses de renta ANTES de abrir (obra y licencias)</t>
        </is>
      </c>
      <c r="B54" s="18" t="n">
        <v>1</v>
      </c>
      <c r="C54" t="inlineStr">
        <is>
          <t>Un mes de renta antes de abrir. La carencia de renta durante la obra y la licencia se negocia aparte en el arrendamiento: sin ella, súmale los meses que dure la tramitación (de 6 a 12 o más en suelo rústico)</t>
        </is>
      </c>
    </row>
    <row r="55">
      <c r="A55" t="inlineStr">
        <is>
          <t>Imprevistos sobre las partidas de OBRA del bloque de la finca (%)</t>
        </is>
      </c>
      <c r="B55" s="63" t="n">
        <v>0.08</v>
      </c>
      <c r="C55" t="inlineStr">
        <is>
          <t>Colchón sobre la obra y las instalaciones de unas edificaciones que no son nuevas, que es donde aparecen las sorpresas (tejados, acometida eléctrica, saneamiento y agua). Un banco no financia una reforma sin él</t>
        </is>
      </c>
    </row>
    <row r="56"/>
    <row r="57">
      <c r="A57" s="16" t="inlineStr">
        <is>
          <t>COBROS, PAGOS Y DESGLOSE DEL IVA</t>
        </is>
      </c>
    </row>
    <row r="58">
      <c r="A58" t="inlineStr">
        <is>
          <t>Días medios de cobro</t>
        </is>
      </c>
      <c r="B58" s="18" t="n">
        <v>10</v>
      </c>
      <c r="C58" t="inlineStr">
        <is>
          <t>Media ponderada: los novios pagan la señal y el resto antes de la boda, y las empresas a 30-45 días de la factura. El libro no admite días negativos, así que las señales no se modelan: tu caja real será algo MEJOR que la de la hoja de Tesorería</t>
        </is>
      </c>
    </row>
    <row r="59">
      <c r="A59" t="inlineStr">
        <is>
          <t>Días medios de pago a proveedor</t>
        </is>
      </c>
      <c r="B59" s="18" t="n">
        <v>30</v>
      </c>
      <c r="C59" t="inlineStr">
        <is>
          <t>Plazo de pago a proveedores de limpieza, mantenimiento y consumibles: lo que te financian. Es lo primero que se pierde si te retrasas en un pago</t>
        </is>
      </c>
    </row>
    <row r="60">
      <c r="A60" t="inlineStr">
        <is>
          <t>Mes de la paga extra de verano</t>
        </is>
      </c>
      <c r="B60" s="18" t="n">
        <v>5</v>
      </c>
      <c r="C60" t="inlineStr">
        <is>
          <t>Mes de la TESORERÍA en el que sale la paga extra de verano: julio es el Mes 5, porque el Mes 1 del plan es marzo</t>
        </is>
      </c>
    </row>
    <row r="61">
      <c r="A61" t="inlineStr">
        <is>
          <t>Mes de la paga extra de Navidad</t>
        </is>
      </c>
      <c r="B61" s="18" t="n">
        <v>10</v>
      </c>
      <c r="C61" t="inlineStr">
        <is>
          <t>Mes de la TESORERÍA en el que sale la paga extra de Navidad: diciembre es el Mes 10, porque el Mes 1 del plan es marzo</t>
        </is>
      </c>
    </row>
    <row r="62">
      <c r="A62" t="inlineStr">
        <is>
          <t>Bebida ALCOHÓLICA vendida por la finca (no la vende: a cero)</t>
        </is>
      </c>
      <c r="B62" s="63" t="n">
        <v>0</v>
      </c>
      <c r="C62" t="inlineStr">
        <is>
          <t>A CERO: la finca no vende bebida. La barra es del catering, que la factura él; la segunda línea de ventas del P&amp;L es el canon que te paga</t>
        </is>
      </c>
    </row>
    <row r="63">
      <c r="A63" t="inlineStr">
        <is>
          <t>IVA de la bebida ALCOHÓLICA (la finca no la vende)</t>
        </is>
      </c>
      <c r="B63" s="63" t="n">
        <v>0.21</v>
      </c>
      <c r="C63" t="inlineStr">
        <is>
          <t>Esta celda no mueve nada en este plan: la finca no vende bebida (la vende el catering, que la factura él) y la línea del canon lleva su propio tipo, el 21 %, en el P&amp;L</t>
        </is>
      </c>
    </row>
    <row r="64">
      <c r="A64" s="16" t="inlineStr">
        <is>
          <t>UMBRALES Y SUELOS DE CONTROL</t>
        </is>
      </c>
    </row>
    <row r="65">
      <c r="A65" t="inlineStr">
        <is>
          <t>DSCR mínimo aceptable</t>
        </is>
      </c>
      <c r="B65" s="24" t="n">
        <v>1</v>
      </c>
      <c r="C65" t="inlineStr">
        <is>
          <t>Por debajo de 1 el negocio no genera para pagar el préstamo. Ponlo en el covenant que te exija tu banco</t>
        </is>
      </c>
    </row>
    <row r="66">
      <c r="A66" t="inlineStr">
        <is>
          <t>DSCR objetivo (verde)</t>
        </is>
      </c>
      <c r="B66" s="24" t="n">
        <v>1.25</v>
      </c>
      <c r="C66" t="inlineStr">
        <is>
          <t>Lo que suele pedir una entidad para dar el préstamo sin garantías adicionales</t>
        </is>
      </c>
    </row>
    <row r="67">
      <c r="A67" t="inlineStr">
        <is>
          <t>Holgura mínima sobre el punto de equilibrio</t>
        </is>
      </c>
      <c r="B67" s="63" t="n">
        <v>0.15</v>
      </c>
      <c r="C67" t="inlineStr">
        <is>
          <t>Cuánto deben superar las ventas previstas a las del punto de equilibrio. La caída que aguantas antes de entrar en pérdidas es algo menor: con un 15 % de holgura, un 13 % de lo previsto</t>
        </is>
      </c>
    </row>
    <row r="68">
      <c r="A68" t="inlineStr">
        <is>
          <t>Suelo salarial anual del convenio provincial (€)</t>
        </is>
      </c>
      <c r="B68" s="23" t="n">
        <v>0</v>
      </c>
      <c r="C68" t="inlineStr">
        <is>
          <t>El VI Acuerdo Laboral de ámbito Estatal para el sector de Hostelería (art. 4) nombra el catering, pero no el alquiler de espacios, y su lista no es exhaustiva: usa el convenio provincial de hostelería como referencia prudente y confírmalo con tu asesoría. Copia aquí el salario base del grupo más bajo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4 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6 B25 B35 B51 B54"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8"/>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ht="15" customHeight="1">
      <c r="A1" s="76" t="inlineStr">
        <is>
          <t>PLAN DE NEGOCIO: FINCA DE EVENTOS Y BODAS</t>
        </is>
      </c>
    </row>
    <row r="2">
      <c r="A2" s="2" t="inlineStr">
        <is>
          <t>Inversión inicial estimada — finca arrendada con edificaciones existentes y catering exclusivo concesionado</t>
        </is>
      </c>
    </row>
    <row r="3">
      <c r="A3" s="3" t="inlineStr">
        <is>
          <t>Ajusta las cifras a tu proyecto.</t>
        </is>
      </c>
    </row>
    <row r="4"/>
    <row r="5">
      <c r="A5" s="25" t="inlineStr">
        <is>
          <t>Concepto</t>
        </is>
      </c>
      <c r="B5" s="25" t="inlineStr">
        <is>
          <t>Importe</t>
        </is>
      </c>
      <c r="C5" s="25" t="inlineStr">
        <is>
          <t>% s/inversión</t>
        </is>
      </c>
      <c r="D5" s="25" t="inlineStr">
        <is>
          <t>Notas</t>
        </is>
      </c>
      <c r="E5" s="25" t="inlineStr">
        <is>
          <t>¿Lleva IVA?</t>
        </is>
      </c>
    </row>
    <row r="6">
      <c r="A6" s="25" t="inlineStr">
        <is>
          <t>INVERSIÓN</t>
        </is>
      </c>
      <c r="B6" s="26">
        <f>IFERROR(IF(COUNT(B7:B28)=0,"",SUM(B7:B28)),"")</f>
        <v>251780.0</v>
      </c>
      <c r="C6" s="66">
        <f>IFERROR(B6/$B$31,"")</f>
        <v>0.8085193495686939</v>
      </c>
      <c r="D6" s="28" t="n"/>
      <c r="E6" s="28" t="n"/>
    </row>
    <row r="7">
      <c r="A7" s="28" t="inlineStr">
        <is>
          <t>Proyecto técnico y dirección de obra</t>
        </is>
      </c>
      <c r="B7" s="29" t="n">
        <v>7000</v>
      </c>
      <c r="C7" s="67">
        <f>IFERROR(B7/$B$31,"")</f>
        <v>0.022478494904205486</v>
      </c>
      <c r="D7" s="28" t="inlineStr">
        <is>
          <t>Proyecto de adecuación y de la actividad, dirección de obra y certificado final. Es la base de la calificación o autorización urbanística y de la licencia</t>
        </is>
      </c>
      <c r="E7" s="31" t="inlineStr">
        <is>
          <t>Sí</t>
        </is>
      </c>
    </row>
    <row r="8">
      <c r="A8" s="28" t="inlineStr">
        <is>
          <t>Licencias, tasas, calificación urbanística y prestación compensatoria o canon</t>
        </is>
      </c>
      <c r="B8" s="29" t="n">
        <v>10000</v>
      </c>
      <c r="C8" s="67">
        <f>IFERROR(B8/$B$31,"")</f>
        <v>0.03211213557743641</v>
      </c>
      <c r="D8" s="28" t="inlineStr">
        <is>
          <t>Lo que cobra la administración en suelo rústico, distinto en cada comunidad: en Andalucía, prestación compensatoria del 10 % de las obras sin maquinaria (LISTA, art. 22.5); en la C. Valenciana, canon del 2 % (TRLOTUP, art. 221). En Andalucía, sólo la prestación serían unos 13.000 € con la obra del caso: súbela si es tu comunidad. No lleva IVA. Ajusta esta partida a la tuya: compruébalo en tu ayuntamiento y en tu comunidad</t>
        </is>
      </c>
      <c r="E8" s="31" t="inlineStr">
        <is>
          <t>No</t>
        </is>
      </c>
    </row>
    <row r="9">
      <c r="A9" s="28" t="inlineStr">
        <is>
          <t>Adecuación del salón: suelos, cerramientos, carpintería y pintura</t>
        </is>
      </c>
      <c r="B9" s="29" t="n">
        <v>30000</v>
      </c>
      <c r="C9" s="67">
        <f>IFERROR(B9/$B$31,"")</f>
        <v>0.09633640673230923</v>
      </c>
      <c r="D9" s="28" t="inlineStr">
        <is>
          <t>Sobre edificaciones EXISTENTES: en suelo rústico es lo que exigen Madrid y Cataluña y la vía rápida de la C. Valenciana. Pide dos presupuestos sobre el proyecto</t>
        </is>
      </c>
      <c r="E9" s="31" t="inlineStr">
        <is>
          <t>Sí</t>
        </is>
      </c>
    </row>
    <row r="10">
      <c r="A10" s="28" t="inlineStr">
        <is>
          <t>Acústica y aislamiento del salón</t>
        </is>
      </c>
      <c r="B10" s="29" t="n">
        <v>9000</v>
      </c>
      <c r="C10" s="67">
        <f>IFERROR(B10/$B$31,"")</f>
        <v>0.028900922019692767</v>
      </c>
      <c r="D10" s="28" t="inlineStr">
        <is>
          <t>Para que el baile final pueda ir dentro y cumplir los 45 dBA de noche al exterior en zona residencial (RD 1367/2007, anexo III)</t>
        </is>
      </c>
      <c r="E10" s="31" t="inlineStr">
        <is>
          <t>Sí</t>
        </is>
      </c>
    </row>
    <row r="11">
      <c r="A11" s="28" t="inlineStr">
        <is>
          <t>Carpa estructural o pérgola para ceremonia y cóctel</t>
        </is>
      </c>
      <c r="B11" s="29" t="n">
        <v>28000</v>
      </c>
      <c r="C11" s="67">
        <f>IFERROR(B11/$B$31,"")</f>
        <v>0.08991397961682195</v>
      </c>
      <c r="D11" s="28" t="inlineStr">
        <is>
          <t>Es el plan B de lluvia: inversión, no extra. Una carpa es una instalación desmontable: para el plan de autoprotección estatal tiene el mismo umbral que un edificio cerrado, 1.000 personas (Orden INT/1068/2026)</t>
        </is>
      </c>
      <c r="E11" s="31" t="inlineStr">
        <is>
          <t>Sí</t>
        </is>
      </c>
    </row>
    <row r="12">
      <c r="A12" s="28" t="inlineStr">
        <is>
          <t>Aseos: dos bloques y uno adaptado</t>
        </is>
      </c>
      <c r="B12" s="29" t="n">
        <v>22000</v>
      </c>
      <c r="C12" s="67">
        <f>IFERROR(B12/$B$31,"")</f>
        <v>0.0706466982703601</v>
      </c>
      <c r="D12" s="28" t="inlineStr">
        <is>
          <t>Con un aseo adaptado e itinerario accesible: compruébalo con tu técnico sobre el Código Técnico. Incluye la conexión al saneamiento (fosa séptica o depuradora); si hay que hacerla nueva o ampliarla para el aforo, súbela</t>
        </is>
      </c>
      <c r="E12" s="31" t="inlineStr">
        <is>
          <t>Sí</t>
        </is>
      </c>
    </row>
    <row r="13">
      <c r="A13" s="28" t="inlineStr">
        <is>
          <t>Instalación eléctrica: cuadro, alumbrado exterior y de emergencia</t>
        </is>
      </c>
      <c r="B13" s="29" t="n">
        <v>15000</v>
      </c>
      <c r="C13" s="67">
        <f>IFERROR(B13/$B$31,"")</f>
        <v>0.04816820336615461</v>
      </c>
      <c r="D13" s="28" t="inlineStr">
        <is>
          <t>Potencia para el salón, la carpa, el office y el exterior, con su boletín. Pregunta la potencia disponible ANTES de firmar: una acometida nueva en el campo tarda</t>
        </is>
      </c>
      <c r="E13" s="31" t="inlineStr">
        <is>
          <t>Sí</t>
        </is>
      </c>
    </row>
    <row r="14">
      <c r="A14" s="28" t="inlineStr">
        <is>
          <t>Grupo electrógeno</t>
        </is>
      </c>
      <c r="B14" s="29" t="n">
        <v>10000</v>
      </c>
      <c r="C14" s="67">
        <f>IFERROR(B14/$B$31,"")</f>
        <v>0.03211213557743641</v>
      </c>
      <c r="D14" s="28" t="inlineStr">
        <is>
          <t>Respaldo si la red falla o no llega la potencia: un corte de luz en mitad de una boda no tiene arreglo</t>
        </is>
      </c>
      <c r="E14" s="31" t="inlineStr">
        <is>
          <t>Sí</t>
        </is>
      </c>
    </row>
    <row r="15">
      <c r="A15" s="28" t="inlineStr">
        <is>
          <t>Climatización del salón</t>
        </is>
      </c>
      <c r="B15" s="29" t="n">
        <v>17000</v>
      </c>
      <c r="C15" s="67">
        <f>IFERROR(B15/$B$31,"")</f>
        <v>0.054590630481641894</v>
      </c>
      <c r="D15" s="28" t="inlineStr">
        <is>
          <t>Frío y calor para usar el salón todo el año, también en las bodas de agosto</t>
        </is>
      </c>
      <c r="E15" s="31" t="inlineStr">
        <is>
          <t>Sí</t>
        </is>
      </c>
    </row>
    <row r="16">
      <c r="A16" s="28" t="inlineStr">
        <is>
          <t>Office del catering: cámara, fregaderos, mesas inox, agua y desagüe</t>
        </is>
      </c>
      <c r="B16" s="29" t="n">
        <v>16000</v>
      </c>
      <c r="C16" s="67">
        <f>IFERROR(B16/$B$31,"")</f>
        <v>0.051379416923898254</v>
      </c>
      <c r="D16" s="28" t="inlineStr">
        <is>
          <t>El espacio donde el catering emplata y friega. La cocina de producción la pone él: por eso el plan no lleva cocina. Lo inscribe en el registro sanitario quien lo usa; compruébalo en tu comunidad</t>
        </is>
      </c>
      <c r="E16" s="31" t="inlineStr">
        <is>
          <t>Sí</t>
        </is>
      </c>
    </row>
    <row r="17">
      <c r="A17" s="28" t="inlineStr">
        <is>
          <t>Mobiliario de ceremonia y banquete: mesas, sillas y mantelería base</t>
        </is>
      </c>
      <c r="B17" s="29" t="n">
        <v>18000</v>
      </c>
      <c r="C17" s="67">
        <f>IFERROR(B17/$B$31,"")</f>
        <v>0.057801844039385535</v>
      </c>
      <c r="D17" s="28" t="inlineStr">
        <is>
          <t>Mesas redondas e imperiales, 300 sillas y mantelería base. La decoración especial la contratan los novios</t>
        </is>
      </c>
      <c r="E17" s="31" t="inlineStr">
        <is>
          <t>Sí</t>
        </is>
      </c>
    </row>
    <row r="18">
      <c r="A18" s="28" t="inlineStr">
        <is>
          <t>Zona chill-out y decoración base</t>
        </is>
      </c>
      <c r="B18" s="29" t="n">
        <v>4000</v>
      </c>
      <c r="C18" s="67">
        <f>IFERROR(B18/$B$31,"")</f>
        <v>0.012844854230974563</v>
      </c>
      <c r="D18" s="28" t="inlineStr">
        <is>
          <t>Sofás, iluminación ambiental y elementos fijos de decoración</t>
        </is>
      </c>
      <c r="E18" s="31" t="inlineStr">
        <is>
          <t>Sí</t>
        </is>
      </c>
    </row>
    <row r="19">
      <c r="A19" s="28" t="inlineStr">
        <is>
          <t>Sonido, limitador-registrador y proyector</t>
        </is>
      </c>
      <c r="B19" s="29" t="n">
        <v>6000</v>
      </c>
      <c r="C19" s="67">
        <f>IFERROR(B19/$B$31,"")</f>
        <v>0.019267281346461846</v>
      </c>
      <c r="D19" s="28" t="inlineStr">
        <is>
          <t>El limitador-registrador es tu seguro frente a las denuncias por ruido: muchas ordenanzas lo exigen. Compruébalo en la tuya</t>
        </is>
      </c>
      <c r="E19" s="31" t="inlineStr">
        <is>
          <t>Sí</t>
        </is>
      </c>
    </row>
    <row r="20">
      <c r="A20" s="28" t="inlineStr">
        <is>
          <t>Aparcamiento y caminos: zahorra, señalización e iluminación</t>
        </is>
      </c>
      <c r="B20" s="29" t="n">
        <v>10000</v>
      </c>
      <c r="C20" s="67">
        <f>IFERROR(B20/$B$31,"")</f>
        <v>0.03211213557743641</v>
      </c>
      <c r="D20" s="28" t="inlineStr">
        <is>
          <t>Calcula una plaza por cada 2,5-3 invitados (estimación del kit) y un acceso que aguante la lluvia</t>
        </is>
      </c>
      <c r="E20" s="31" t="inlineStr">
        <is>
          <t>Sí</t>
        </is>
      </c>
    </row>
    <row r="21">
      <c r="A21" s="28" t="inlineStr">
        <is>
          <t>Jardinería, paisajismo y riego inicial</t>
        </is>
      </c>
      <c r="B21" s="29" t="n">
        <v>8000</v>
      </c>
      <c r="C21" s="67">
        <f>IFERROR(B21/$B$31,"")</f>
        <v>0.025689708461949127</v>
      </c>
      <c r="D21" s="28" t="inlineStr">
        <is>
          <t>Zona de ceremonia, cóctel y fotos. El mantenimiento anual va en los costes fijos</t>
        </is>
      </c>
      <c r="E21" s="31" t="inlineStr">
        <is>
          <t>Sí</t>
        </is>
      </c>
    </row>
    <row r="22">
      <c r="A22" s="28" t="inlineStr">
        <is>
          <t>Protección contra incendios, señalización de evacuación y accesibilidad</t>
        </is>
      </c>
      <c r="B22" s="29" t="n">
        <v>7000</v>
      </c>
      <c r="C22" s="67">
        <f>IFERROR(B22/$B$31,"")</f>
        <v>0.022478494904205486</v>
      </c>
      <c r="D22" s="28" t="inlineStr">
        <is>
          <t>Extintores, alumbrado y señales de evacuación y los ajustes de accesibilidad que pida la licencia</t>
        </is>
      </c>
      <c r="E22" s="31" t="inlineStr">
        <is>
          <t>Sí</t>
        </is>
      </c>
    </row>
    <row r="23">
      <c r="A23" s="28" t="inlineStr">
        <is>
          <t>Web, fotos, vídeo y marca</t>
        </is>
      </c>
      <c r="B23" s="29" t="n">
        <v>6000</v>
      </c>
      <c r="C23" s="67">
        <f>IFERROR(B23/$B$31,"")</f>
        <v>0.019267281346461846</v>
      </c>
      <c r="D23" s="28" t="inlineStr">
        <is>
          <t>Identidad, web con calendario de fechas, sesión de fotos y vídeo de la finca montada</t>
        </is>
      </c>
      <c r="E23" s="31" t="inlineStr">
        <is>
          <t>Sí</t>
        </is>
      </c>
    </row>
    <row r="24">
      <c r="A24" s="28" t="inlineStr">
        <is>
          <t>Constitución de la SL</t>
        </is>
      </c>
      <c r="B24" s="29" t="n">
        <v>1000</v>
      </c>
      <c r="C24" s="67">
        <f>IFERROR(B24/$B$31,"")</f>
        <v>0.003211213557743641</v>
      </c>
      <c r="D24" s="28" t="inlineStr">
        <is>
          <t>Notaría, registro mercantil y gestoría</t>
        </is>
      </c>
      <c r="E24" s="31" t="inlineStr">
        <is>
          <t>No</t>
        </is>
      </c>
    </row>
    <row r="25">
      <c r="A25" s="28" t="inlineStr">
        <is>
          <t>Lanzamiento: feria nupcial, puertas abiertas y escaparate premium</t>
        </is>
      </c>
      <c r="B25" s="29" t="n">
        <v>6000</v>
      </c>
      <c r="C25" s="67">
        <f>IFERROR(B25/$B$31,"")</f>
        <v>0.019267281346461846</v>
      </c>
      <c r="D25" s="28" t="inlineStr">
        <is>
          <t>La primera feria de novios, la jornada de puertas abiertas con el catering y el escaparate de pago en un portal de bodas durante el primer año</t>
        </is>
      </c>
      <c r="E25" s="31" t="inlineStr">
        <is>
          <t>Sí</t>
        </is>
      </c>
    </row>
    <row r="26">
      <c r="A26" s="28" t="inlineStr">
        <is>
          <t>Fianza del arrendamiento</t>
        </is>
      </c>
      <c r="B26" s="32">
        <f>IFERROR(IF('0. Supuestos'!$B$24="","",'0. Supuestos'!$B$24*'0. Supuestos'!$B$25),"")</f>
        <v>7000.0</v>
      </c>
      <c r="C26" s="67">
        <f>IFERROR(B26/$B$31,"")</f>
        <v>0.022478494904205486</v>
      </c>
      <c r="D26" s="28" t="str">
        <f>IFERROR(""&amp;TEXT('0. Supuestos'!$B$25,"0")&amp;" meses de renta, al tipo de la hoja de Supuestos. Es un activo recuperable al cerrar: ni se amortiza ni lleva IVA","")</f>
        <v>2 meses de renta, al tipo de la hoja de Supuestos. Es un activo recuperable al cerrar: ni se amortiza ni lleva IVA</v>
      </c>
      <c r="E26" s="28" t="inlineStr">
        <is>
          <t>No</t>
        </is>
      </c>
    </row>
    <row r="27">
      <c r="A27" s="28" t="inlineStr">
        <is>
          <t>Renta de la finca durante la obra</t>
        </is>
      </c>
      <c r="B27" s="32">
        <f>IFERROR(IF('0. Supuestos'!$B$24="","",'0. Supuestos'!$B$24*'0. Supuestos'!$B$54),"")</f>
        <v>3500.0</v>
      </c>
      <c r="C27" s="67">
        <f>IFERROR(B27/$B$31,"")</f>
        <v>0.011239247452102743</v>
      </c>
      <c r="D27" s="28" t="str">
        <f>IFERROR("Renta "&amp;IF('0. Supuestos'!$B$54=1,"del mes","de los "&amp;TEXT('0. Supuestos'!$B$54,"0")&amp;" meses")&amp;" de obra y licencias. NO se solapa con el P&amp;L, que arranca el día de la apertura: los doce meses del P&amp;L son los doce de explotación","")</f>
        <v>Renta del mes de obra y licencias. NO se solapa con el P&amp;L, que arranca el día de la apertura: los doce meses del P&amp;L son los doce de explotación</v>
      </c>
      <c r="E27" s="28" t="inlineStr">
        <is>
          <t>Sí</t>
        </is>
      </c>
    </row>
    <row r="28">
      <c r="A28" s="28" t="inlineStr">
        <is>
          <t>Imprevistos de obra y acondicionamiento</t>
        </is>
      </c>
      <c r="B28" s="32">
        <f>IFERROR(IF(COUNT(B7,B9,B10,B12,B13,B15,B16,B20,B21,B22)=0,"",ROUND((B7+B9+B10+B12+B13+B15+B16+B20+B21+B22)*'0. Supuestos'!$B$55,0)),"")</f>
        <v>11280.0</v>
      </c>
      <c r="C28" s="67">
        <f>IFERROR(B28/$B$31,"")</f>
        <v>0.036222488931348266</v>
      </c>
      <c r="D28" s="28" t="str">
        <f>IFERROR("Al "&amp;TEXT('0. Supuestos'!$B$55,"0%")&amp;" de las partidas de OBRA Y ACONDICIONAMIENTO de este bloque (Proyecto técnico y dirección de obra, Adecuación del salón: suelos, cerramientos, carpintería y pintura, Acústica y aislamiento del salón, Aseos: dos bloques y uno adaptado, "&amp;"Instalación eléctrica: cuadro, alumbrado exterior y de emergencia, Climatización del salón, Office del catering: cámara, fregaderos, mesas inox, agua y desagüe, Aparcamiento y caminos: zahorra, señalización e iluminación, Jardinería, "&amp;"paisajismo y riego inicial y Protección contra incendios, señalización de evacuación y accesibilidad), no del bloque entero: el resto de partidas del bloque quedan fuera. Un banco no financia una reforma sin colchón: el porcentaje está en "&amp;"la hoja de Supuestos","")</f>
        <v>Al 8% de las partidas de OBRA Y ACONDICIONAMIENTO de este bloque (Proyecto técnico y dirección de obra, Adecuación del salón: suelos, cerramientos, carpintería y pintura, Acústica y aislamiento del salón, Aseos: dos bloques y uno adaptado, Instalación eléctrica: cuadro, alumbrado exterior y de emergencia, Climatización del salón, Office del catering: cámara, fregaderos, mesas inox, agua y desagüe, Aparcamiento y caminos: zahorra, señalización e iluminación, Jardinería, paisajismo y riego inicial y Protección contra incendios, señalización de evacuación y accesibilidad), no del bloque entero: el resto de partidas del bloque quedan fuera. Un banco no financia una reforma sin colchón: el porcentaje está en la hoja de Supuestos</v>
      </c>
      <c r="E28" s="28" t="inlineStr">
        <is>
          <t>Sí</t>
        </is>
      </c>
    </row>
    <row r="29">
      <c r="A29" s="25" t="inlineStr">
        <is>
          <t>FONDO DE MANIOBRA</t>
        </is>
      </c>
      <c r="B29" s="26">
        <f>IFERROR(IF(B30="","",B30),"")</f>
        <v>59628.75</v>
      </c>
      <c r="C29" s="66">
        <f>IFERROR(B29/$B$31,"")</f>
        <v>0.19148065043130613</v>
      </c>
      <c r="D29" s="28" t="n"/>
      <c r="E29" s="28" t="n"/>
    </row>
    <row r="30">
      <c r="A30" s="28" t="inlineStr">
        <is>
          <t>Colchón operativo hasta alcanzar el equilibrio</t>
        </is>
      </c>
      <c r="B30" s="32">
        <f>IFERROR(IF('0. Supuestos'!$B$35*('PyG 3 Años'!$B$38-'PyG 3 Años'!$B$36)=0,"",'0. Supuestos'!$B$35*('PyG 3 Años'!$B$38-'PyG 3 Años'!$B$36)/12),"")</f>
        <v>59628.75</v>
      </c>
      <c r="C30" s="67">
        <f>IFERROR(B30/$B$31,"")</f>
        <v>0.19148065043130613</v>
      </c>
      <c r="D30" s="28"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30" s="28" t="inlineStr">
        <is>
          <t>No</t>
        </is>
      </c>
    </row>
    <row r="31">
      <c r="A31" s="25" t="inlineStr">
        <is>
          <t>INVERSIÓN TOTAL (suma de los bloques)</t>
        </is>
      </c>
      <c r="B31" s="26">
        <f>IFERROR(B6+B29,"")</f>
        <v>311408.75</v>
      </c>
      <c r="C31" s="28" t="n"/>
      <c r="D31" s="25" t="str">
        <f>IFERROR("Los porcentajes de la columna C se leen sobre esta cifra, que incluye el fondo de maniobra ("&amp;TEXT(C29,"0%")&amp;" del total). Para comparar el desglose con otro plan, usa la fila de CAPEX de abajo.","")</f>
        <v>Los porcentajes de la columna C se leen sobre esta cifra, que incluye el fondo de maniobra (19% del total). Para comparar el desglose con otro plan, usa la fila de CAPEX de abajo.</v>
      </c>
      <c r="E31" s="28" t="n"/>
    </row>
    <row r="32">
      <c r="A32" s="25" t="inlineStr">
        <is>
          <t>CAPEX (inversión sin el fondo de maniobra)</t>
        </is>
      </c>
      <c r="B32" s="26">
        <f>IFERROR(B31-B29,"")</f>
        <v>251780.0</v>
      </c>
      <c r="C32" s="28" t="n"/>
      <c r="D32" s="25" t="inlineStr">
        <is>
          <t>Es lo que se compra: obra, equipamiento, lanzamiento y gastos de constitución. El colchón de caja no es inversión, es circulante</t>
        </is>
      </c>
      <c r="E32" s="28" t="n"/>
    </row>
    <row r="33">
      <c r="A33" s="28" t="inlineStr">
        <is>
          <t>IVA soportado sobre la inversión (recuperable)</t>
        </is>
      </c>
      <c r="B33" s="32">
        <f>IFERROR(IF(B31="","",SUMIF($E$7:$E$28,"Sí",$B$7:$B$28)*'0. Supuestos'!$B$41),"")</f>
        <v>49093.799999999996</v>
      </c>
      <c r="C33" s="28" t="n"/>
      <c r="D33" s="28"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33" s="28" t="n"/>
    </row>
    <row r="34">
      <c r="A34" s="25" t="inlineStr">
        <is>
          <t>NECESIDAD TOTAL DE CAJA AL ARRANQUE</t>
        </is>
      </c>
      <c r="B34" s="26">
        <f>IFERROR(B31+B33,"")</f>
        <v>360502.55</v>
      </c>
      <c r="C34" s="28" t="n"/>
      <c r="D34" s="25" t="inlineStr">
        <is>
          <t>Es la cifra que tiene que cubrir la hoja de Financiación</t>
        </is>
      </c>
      <c r="E34" s="28" t="n"/>
    </row>
    <row r="35">
      <c r="A35" s="25" t="inlineStr">
        <is>
          <t>BASES DE AMORTIZACIÓN (no suman a la inversión)</t>
        </is>
      </c>
      <c r="B35" s="28" t="n"/>
      <c r="C35" s="28" t="n"/>
      <c r="D35" s="28" t="n"/>
      <c r="E35" s="28" t="n"/>
    </row>
    <row r="36">
      <c r="A36" s="28" t="inlineStr">
        <is>
          <t>Obra, instalaciones y acondicionamiento</t>
        </is>
      </c>
      <c r="B36" s="32">
        <f>IFERROR(IF(B7="","",B7+B9+B10+B12+B13+B15+B16+B20+B21+B22+B28),"")</f>
        <v>152280.0</v>
      </c>
      <c r="C36" s="28" t="n"/>
      <c r="D36" s="28" t="str">
        <f>IFERROR("Se amortiza en "&amp;TEXT('0. Supuestos'!$B$44,"0")&amp;" años","")</f>
        <v>Se amortiza en 15 años</v>
      </c>
      <c r="E36" s="28" t="n"/>
    </row>
    <row r="37">
      <c r="A37" s="28" t="inlineStr">
        <is>
          <t>Maquinaria, mobiliario y equipos</t>
        </is>
      </c>
      <c r="B37" s="32">
        <f>IFERROR(IF(B11="","",B11+B14+B17+B18+B19),"")</f>
        <v>66000.0</v>
      </c>
      <c r="C37" s="28" t="n"/>
      <c r="D37" s="28" t="str">
        <f>IFERROR("Se amortiza en "&amp;TEXT('0. Supuestos'!$B$45,"0")&amp;" años","")</f>
        <v>Se amortiza en 10 años</v>
      </c>
      <c r="E37" s="28" t="n"/>
    </row>
    <row r="38">
      <c r="A38" s="25" t="inlineStr">
        <is>
          <t>Amortización anual del inmovilizado</t>
        </is>
      </c>
      <c r="B38" s="26">
        <f>IFERROR(B36/MAX(1,'0. Supuestos'!$B$44)+B37/MAX(1,'0. Supuestos'!$B$45),"")</f>
        <v>16752.0</v>
      </c>
      <c r="C38" s="28" t="n"/>
      <c r="D38" s="25" t="str">
        <f>IFERROR("No se amortizan, por no ser inmovilizado, Licencias, tasas, calificación urbanística y prestación compensatoria o canon, Web, fotos, vídeo y marca, Constitución de la SL, Lanzamiento: feria nupcial, puertas abiertas y escaparate premium, "&amp;"Fianza del arrendamiento, Renta de la finca durante la obra ni Colchón operativo hasta alcanzar el equilibrio. Suman "&amp;TEXT(B31-B36-B37,"0")&amp;" € de los "&amp;TEXT(B31,"0")&amp;" € de inversión.","")</f>
        <v>No se amortizan, por no ser inmovilizado, Licencias, tasas, calificación urbanística y prestación compensatoria o canon, Web, fotos, vídeo y marca, Constitución de la SL, Lanzamiento: feria nupcial, puertas abiertas y escaparate premium, Fianza del arrendamiento, Renta de la finca durante la obra ni Colchón operativo hasta alcanzar el equilibrio. Suman 93129 € de los 311409 € de inversión.</v>
      </c>
      <c r="E3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4">
    <cfRule type="expression" priority="1" dxfId="0" stopIfTrue="1">
      <formula>AND(ISNUMBER(B34),B34&gt;0)</formula>
    </cfRule>
  </conditionalFormatting>
  <dataValidations count="2">
    <dataValidation sqref="E7:E25"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B2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c r="A1" s="1" t="inlineStr">
        <is>
          <t>CUENTA DE RESULTADOS — 3 AÑOS</t>
        </is>
      </c>
    </row>
    <row r="2">
      <c r="A2" s="3" t="inlineStr">
        <is>
          <t>Escenario realista — finca de eventos y bodas</t>
        </is>
      </c>
    </row>
    <row r="3"/>
    <row r="4">
      <c r="A4" s="38" t="inlineStr">
        <is>
          <t>Concepto</t>
        </is>
      </c>
      <c r="B4" s="38" t="inlineStr">
        <is>
          <t>Año 1</t>
        </is>
      </c>
      <c r="C4" s="38" t="inlineStr">
        <is>
          <t>Año 2</t>
        </is>
      </c>
      <c r="D4" s="38" t="inlineStr">
        <is>
          <t>Año 3</t>
        </is>
      </c>
      <c r="E4" s="38" t="inlineStr">
        <is>
          <t>% s/ventas (año 1)</t>
        </is>
      </c>
      <c r="F4" s="38" t="inlineStr">
        <is>
          <t>Notas</t>
        </is>
      </c>
      <c r="G4" s="38" t="inlineStr">
        <is>
          <t>Tipo de IVA de la línea (%)</t>
        </is>
      </c>
      <c r="H4" s="28" t="n"/>
    </row>
    <row r="5">
      <c r="A5" s="25" t="inlineStr">
        <is>
          <t>INGRESOS</t>
        </is>
      </c>
      <c r="B5" s="28" t="n"/>
      <c r="C5" s="28" t="n"/>
      <c r="D5" s="28" t="n"/>
      <c r="E5" s="28" t="n"/>
      <c r="F5" s="28" t="n"/>
      <c r="G5" s="28" t="n"/>
      <c r="H5" s="28" t="n"/>
    </row>
    <row r="6">
      <c r="A6" s="28" t="inlineStr">
        <is>
          <t>Invitados por evento (media)</t>
        </is>
      </c>
      <c r="B6" s="39">
        <f>IFERROR(IF('0. Supuestos'!$B$4="","",'0. Supuestos'!$B$4),"")</f>
        <v>82.0</v>
      </c>
      <c r="C6" s="39">
        <f>IFERROR(B6*(1+'0. Supuestos'!$B$7),"")</f>
        <v>88.56</v>
      </c>
      <c r="D6" s="39">
        <f>IFERROR(C6*(1+'0. Supuestos'!$B$8),"")</f>
        <v>92.988</v>
      </c>
      <c r="E6" s="28" t="n"/>
      <c r="F6" s="28" t="inlineStr">
        <is>
          <t>El crecimiento de los años 2 y 3 está en la hoja de Supuestos</t>
        </is>
      </c>
      <c r="G6" s="28" t="n"/>
      <c r="H6" s="28" t="n"/>
    </row>
    <row r="7">
      <c r="A7" s="28" t="inlineStr">
        <is>
          <t>Precio medio por invitado sin IVA</t>
        </is>
      </c>
      <c r="B7" s="69">
        <f>IFERROR(IF('0. Supuestos'!$B$5="","",'0. Supuestos'!$B$5),"")</f>
        <v>37.0</v>
      </c>
      <c r="C7" s="69">
        <f>IFERROR(IF(B7="","",B7),"")</f>
        <v>37.0</v>
      </c>
      <c r="D7" s="69">
        <f>IFERROR(IF(C7="","",C7),"")</f>
        <v>37.0</v>
      </c>
      <c r="E7" s="28" t="n"/>
      <c r="F7" s="28" t="inlineStr">
        <is>
          <t>Constante en euros del año 1: una subida de precios es una decisión aparte</t>
        </is>
      </c>
      <c r="G7" s="28" t="n"/>
      <c r="H7" s="28" t="n"/>
    </row>
    <row r="8">
      <c r="A8" s="28" t="inlineStr">
        <is>
          <t>Eventos al año</t>
        </is>
      </c>
      <c r="B8" s="39">
        <f>IFERROR(IF('0. Supuestos'!$B$6="","",'0. Supuestos'!$B$6),"")</f>
        <v>120.0</v>
      </c>
      <c r="C8" s="39">
        <f>IFERROR(IF(B8="","",B8),"")</f>
        <v>120.0</v>
      </c>
      <c r="D8" s="39">
        <f>IFERROR(IF(C8="","",C8),"")</f>
        <v>120.0</v>
      </c>
      <c r="E8" s="28" t="n"/>
      <c r="F8" s="28" t="n"/>
      <c r="G8" s="28" t="n"/>
      <c r="H8" s="28" t="n"/>
    </row>
    <row r="9">
      <c r="A9" s="25" t="inlineStr">
        <is>
          <t>INGRESOS TOTALES (sin IVA)</t>
        </is>
      </c>
      <c r="B9" s="26">
        <f>IFERROR(IF(B6*B7*B8=0,"",B6*B7*B8),"")</f>
        <v>364080.0</v>
      </c>
      <c r="C9" s="26">
        <f>IFERROR(IF(C6*C7*C8=0,"",C6*C7*C8),"")</f>
        <v>393206.4</v>
      </c>
      <c r="D9" s="26">
        <f>IFERROR(IF(D6*D7*D8=0,"",D6*D7*D8),"")</f>
        <v>412866.72000000003</v>
      </c>
      <c r="E9" s="66">
        <f>IFERROR(IF(B9="","",1),"")</f>
        <v>1.0</v>
      </c>
      <c r="F9" s="28" t="n"/>
      <c r="G9" s="28" t="n"/>
      <c r="H9" s="28" t="n"/>
    </row>
    <row r="10">
      <c r="A10" s="28" t="inlineStr">
        <is>
          <t>Ventas de alquiler del espacio y servicios del evento</t>
        </is>
      </c>
      <c r="B10" s="32">
        <f>IFERROR(IF(B9="","",B9*$E$10),"")</f>
        <v>283982.4</v>
      </c>
      <c r="C10" s="32">
        <f>IFERROR(IF(C9="","",C9*$E$10),"")</f>
        <v>306700.992</v>
      </c>
      <c r="D10" s="32">
        <f>IFERROR(IF(D9="","",D9*$E$10),"")</f>
        <v>322036.04160000006</v>
      </c>
      <c r="E10" s="67">
        <f>IFERROR(IF('0. Supuestos'!$B$11="","",'0. Supuestos'!$B$11),"")</f>
        <v>0.78</v>
      </c>
      <c r="F10" s="28" t="inlineStr">
        <is>
          <t>Lo que pagan los novios y las empresas a la finca: el espacio, la ceremonia, el montaje, la coordinación del día, la limpieza y el aparcamiento. Con precio propio va al 21 % · El tipo de IVA que REPERCUTE esta línea es un input (celda verde de la derecha): cámbialo sólo si tu asesoría te confirma otro tipo.</t>
        </is>
      </c>
      <c r="G10" s="75" t="n">
        <v>0.21</v>
      </c>
      <c r="H10" s="28" t="n"/>
    </row>
    <row r="11">
      <c r="A11" s="28" t="inlineStr">
        <is>
          <t>Canon del catering exclusivo</t>
        </is>
      </c>
      <c r="B11" s="32">
        <f>IFERROR(IF(B9="","",B9*$E$11),"")</f>
        <v>80097.59999999999</v>
      </c>
      <c r="C11" s="32">
        <f>IFERROR(IF(C9="","",C9*$E$11),"")</f>
        <v>86505.408</v>
      </c>
      <c r="D11" s="32">
        <f>IFERROR(IF(D9="","",D9*$E$11),"")</f>
        <v>90830.67839999999</v>
      </c>
      <c r="E11" s="67">
        <f>IFERROR(IF('0. Supuestos'!$B$12="","",'0. Supuestos'!$B$12),"")</f>
        <v>0.21999999999999997</v>
      </c>
      <c r="F11" s="28" t="inlineStr">
        <is>
          <t>Lo que te paga el catering de la casa por servir en la finca. El plan supone el 12 % de lo que factura en ella, unos 13 € por invitado en una boda: es un supuesto, negócialo. Factura de la finca al catering, al 21 % · El tipo de IVA que REPERCUTE esta línea es un input (celda verde de la derecha): cámbialo sólo si tu asesoría te confirma otro tipo.</t>
        </is>
      </c>
      <c r="G11" s="75" t="n">
        <v>0.21</v>
      </c>
      <c r="H11" s="28" t="n"/>
    </row>
    <row r="12">
      <c r="A12" s="25" t="inlineStr">
        <is>
          <t>COSTES VARIABLES</t>
        </is>
      </c>
      <c r="B12" s="28" t="n"/>
      <c r="C12" s="28" t="n"/>
      <c r="D12" s="28" t="n"/>
      <c r="E12" s="28" t="n"/>
      <c r="F12" s="28" t="n"/>
      <c r="G12" s="28" t="n"/>
      <c r="H12" s="28" t="n"/>
    </row>
    <row r="13">
      <c r="A13" s="28" t="inlineStr">
        <is>
          <t>Coste directo del evento</t>
        </is>
      </c>
      <c r="B13" s="32">
        <f>IFERROR(IF(B9="","",B9*'0. Supuestos'!$B$11*'0. Supuestos'!$B$13),"")</f>
        <v>46289.1312</v>
      </c>
      <c r="C13" s="32">
        <f>IFERROR(IF(C9="","",C9*'0. Supuestos'!$B$11*'0. Supuestos'!$B$13),"")</f>
        <v>49992.26169600001</v>
      </c>
      <c r="D13" s="32">
        <f>IFERROR(IF(D9="","",D9*'0. Supuestos'!$B$11*'0. Supuestos'!$B$13),"")</f>
        <v>52491.87478080001</v>
      </c>
      <c r="E13" s="67">
        <f>IFERROR(B13/$B$9,"")</f>
        <v>0.12714</v>
      </c>
      <c r="F13" s="28" t="str">
        <f>IFERROR("Al "&amp;TEXT('0. Supuestos'!$B$13,"0%")&amp;" de las ventas de ESPACIO Y SERVICIOS, no del total: el canon tiene su propia línea · El IVA que SOPORTAS en el coste directo del evento: limpieza, consumibles, gasoil, vigilancia y la tarifa de SGAE van al 21 %. Ajústalo a tus facturas","")</f>
        <v>Al 16% de las ventas de ESPACIO Y SERVICIOS, no del total: el canon tiene su propia línea · El IVA que SOPORTAS en el coste directo del evento: limpieza, consumibles, gasoil, vigilancia y la tarifa de SGAE van al 21 %. Ajústalo a tus facturas</v>
      </c>
      <c r="G13" s="75" t="n">
        <v>0.21</v>
      </c>
      <c r="H13" s="28" t="n"/>
    </row>
    <row r="14">
      <c r="A14" s="28" t="inlineStr">
        <is>
          <t>Coste del canon (no tiene)</t>
        </is>
      </c>
      <c r="B14" s="32">
        <f>IFERROR(IF(B9="","",B9*'0. Supuestos'!$B$12*'0. Supuestos'!$B$14),"")</f>
        <v>0.0</v>
      </c>
      <c r="C14" s="32">
        <f>IFERROR(IF(C9="","",C9*'0. Supuestos'!$B$12*'0. Supuestos'!$B$14),"")</f>
        <v>0.0</v>
      </c>
      <c r="D14" s="32">
        <f>IFERROR(IF(D9="","",D9*'0. Supuestos'!$B$12*'0. Supuestos'!$B$14),"")</f>
        <v>0.0</v>
      </c>
      <c r="E14" s="67">
        <f>IFERROR(B14/$B$9,"")</f>
        <v>0.0</v>
      </c>
      <c r="F14" s="28" t="str">
        <f>IFERROR("Al "&amp;TEXT('0. Supuestos'!$B$14,"0%")&amp;" de las ventas del CANON","")</f>
        <v>Al 0% de las ventas del CANON</v>
      </c>
      <c r="G14" s="67">
        <f>IFERROR(IF(B9="","",('0. Supuestos'!$B$62*'0. Supuestos'!$B$40+(1-'0. Supuestos'!$B$62)*'0. Supuestos'!$B$39)),"")</f>
        <v>0.1</v>
      </c>
      <c r="H14" s="28" t="n"/>
    </row>
    <row r="15">
      <c r="A15" s="28" t="inlineStr">
        <is>
          <t>Consumibles de los montajes</t>
        </is>
      </c>
      <c r="B15" s="32">
        <f>IFERROR(IF(B9="","",B9*'0. Supuestos'!$B$15),"")</f>
        <v>7281.6</v>
      </c>
      <c r="C15" s="32">
        <f>IFERROR(IF(C9="","",C9*'0. Supuestos'!$B$15),"")</f>
        <v>7864.128000000001</v>
      </c>
      <c r="D15" s="32">
        <f>IFERROR(IF(D9="","",D9*'0. Supuestos'!$B$15),"")</f>
        <v>8257.334400000002</v>
      </c>
      <c r="E15" s="67">
        <f>IFERROR(B15/$B$9,"")</f>
        <v>0.02</v>
      </c>
      <c r="F15" s="28" t="n"/>
      <c r="G15" s="67">
        <f>IFERROR(IF(B9="","",'0. Supuestos'!$B$41),"")</f>
        <v>0.21</v>
      </c>
      <c r="H15" s="28" t="n"/>
    </row>
    <row r="16">
      <c r="A16" s="28" t="inlineStr">
        <is>
          <t>Comisiones de wedding planners y agencias</t>
        </is>
      </c>
      <c r="B16" s="32">
        <f>IFERROR(IF(B9="","",B9*'0. Supuestos'!$B$16*'0. Supuestos'!$B$17),"")</f>
        <v>9102.0</v>
      </c>
      <c r="C16" s="32">
        <f>IFERROR(IF(C9="","",C9*'0. Supuestos'!$B$16*'0. Supuestos'!$B$17),"")</f>
        <v>9830.160000000002</v>
      </c>
      <c r="D16" s="32">
        <f>IFERROR(IF(D9="","",D9*'0. Supuestos'!$B$16*'0. Supuestos'!$B$17),"")</f>
        <v>10321.668000000001</v>
      </c>
      <c r="E16" s="67">
        <f>IFERROR(B16/$B$9,"")</f>
        <v>0.025</v>
      </c>
      <c r="F16" s="28" t="inlineStr">
        <is>
          <t>Sobre las ventas DEL CANAL. Con 0 % de intermediarios en Supuestos, esta línea vale cero</t>
        </is>
      </c>
      <c r="G16" s="67">
        <f>IFERROR(IF(B9="","",'0. Supuestos'!$B$41),"")</f>
        <v>0.21</v>
      </c>
      <c r="H16" s="28" t="n"/>
    </row>
    <row r="17">
      <c r="A17" s="28" t="inlineStr">
        <is>
          <t>Comisiones de los medios de pago</t>
        </is>
      </c>
      <c r="B17" s="32">
        <f>IFERROR(IF(B9="","",B9*'0. Supuestos'!$B$18),"")</f>
        <v>1092.24</v>
      </c>
      <c r="C17" s="32">
        <f>IFERROR(IF(C9="","",C9*'0. Supuestos'!$B$18),"")</f>
        <v>1179.6192</v>
      </c>
      <c r="D17" s="32">
        <f>IFERROR(IF(D9="","",D9*'0. Supuestos'!$B$18),"")</f>
        <v>1238.6001600000002</v>
      </c>
      <c r="E17" s="67">
        <f>IFERROR(B17/$B$9,"")</f>
        <v>0.003</v>
      </c>
      <c r="F17" s="28" t="inlineStr">
        <is>
          <t>Las comisiones de los medios de pago están EXENTAS de IVA (art. 20.Uno.18 LIVA): no se deduce nada por ellas</t>
        </is>
      </c>
      <c r="G17" s="67" t="n">
        <v>0</v>
      </c>
      <c r="H17" s="28" t="n"/>
    </row>
    <row r="18">
      <c r="A18" s="28" t="inlineStr">
        <is>
          <t>Varios e imprevistos</t>
        </is>
      </c>
      <c r="B18" s="32">
        <f>IFERROR(IF(B9="","",B9*'0. Supuestos'!$B$28),"")</f>
        <v>7281.6</v>
      </c>
      <c r="C18" s="32">
        <f>IFERROR(IF(C9="","",C9*'0. Supuestos'!$B$28),"")</f>
        <v>7864.128000000001</v>
      </c>
      <c r="D18" s="32">
        <f>IFERROR(IF(D9="","",D9*'0. Supuestos'!$B$28),"")</f>
        <v>8257.334400000002</v>
      </c>
      <c r="E18" s="67">
        <f>IFERROR(B18/$B$9,"")</f>
        <v>0.02</v>
      </c>
      <c r="F18" s="28"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8" s="67">
        <f>IFERROR(IF(B9="","",'0. Supuestos'!$B$41),"")</f>
        <v>0.21</v>
      </c>
      <c r="H18" s="28" t="n"/>
    </row>
    <row r="19">
      <c r="A19" s="25" t="inlineStr">
        <is>
          <t>TOTAL COSTES VARIABLES</t>
        </is>
      </c>
      <c r="B19" s="26">
        <f>IFERROR(IF(B9="","",SUM(B13:B18)),"")</f>
        <v>71046.5712</v>
      </c>
      <c r="C19" s="26">
        <f>IFERROR(IF(C9="","",SUM(C13:C18)),"")</f>
        <v>76730.29689600001</v>
      </c>
      <c r="D19" s="26">
        <f>IFERROR(IF(D9="","",SUM(D13:D18)),"")</f>
        <v>80566.81174080001</v>
      </c>
      <c r="E19" s="66">
        <f>IFERROR(B19/$B$9,"")</f>
        <v>0.19514</v>
      </c>
      <c r="F19" s="28" t="n"/>
      <c r="G19" s="28" t="n"/>
      <c r="H19" s="28" t="n"/>
    </row>
    <row r="20">
      <c r="A20" s="25" t="inlineStr">
        <is>
          <t>MARGEN BRUTO</t>
        </is>
      </c>
      <c r="B20" s="26">
        <f>IFERROR(IF(B9="","",B9-B19),"")</f>
        <v>293033.4288</v>
      </c>
      <c r="C20" s="26">
        <f>IFERROR(IF(C9="","",C9-C19),"")</f>
        <v>316476.103104</v>
      </c>
      <c r="D20" s="26">
        <f>IFERROR(IF(D9="","",D9-D19),"")</f>
        <v>332299.90825920005</v>
      </c>
      <c r="E20" s="66">
        <f>IFERROR(B20/$B$9,"")</f>
        <v>0.80486</v>
      </c>
      <c r="F20" s="28" t="n"/>
      <c r="G20" s="28" t="n"/>
      <c r="H20" s="28" t="n"/>
    </row>
    <row r="21">
      <c r="A21" s="25" t="inlineStr">
        <is>
          <t>COSTES FIJOS</t>
        </is>
      </c>
      <c r="B21" s="28" t="n"/>
      <c r="C21" s="28" t="n"/>
      <c r="D21" s="28" t="n"/>
      <c r="E21" s="28" t="n"/>
      <c r="F21" s="28" t="n"/>
      <c r="G21" s="28" t="n"/>
      <c r="H21" s="28" t="n"/>
    </row>
    <row r="22">
      <c r="A22" s="28" t="inlineStr">
        <is>
          <t>Renta de la finca</t>
        </is>
      </c>
      <c r="B22" s="32">
        <f>IFERROR(IF(B9="","",'0. Supuestos'!$B$24*12),"")</f>
        <v>42000.0</v>
      </c>
      <c r="C22" s="32">
        <f>IFERROR(IF(C9="","",B22*(1+'0. Supuestos'!$B$48)),"")</f>
        <v>42000.0</v>
      </c>
      <c r="D22" s="32">
        <f>IFERROR(IF(D9="","",C22*(1+'0. Supuestos'!$B$48)),"")</f>
        <v>42000.0</v>
      </c>
      <c r="E22" s="67">
        <f>IFERROR(B22/$B$9,"")</f>
        <v>0.11535926170072512</v>
      </c>
      <c r="F22" s="28" t="inlineStr">
        <is>
          <t>El importe mensual está en la hoja de Supuestos; aquí se multiplica por doce. Lleva IVA al 21 %. El mes de renta previo a la apertura está en la hoja de Inversión y NO se cuenta dos veces</t>
        </is>
      </c>
      <c r="G22" s="67">
        <f>IFERROR(IF(B9="","",'0. Supuestos'!$B$41),"")</f>
        <v>0.21</v>
      </c>
      <c r="H22" s="28" t="n"/>
    </row>
    <row r="23">
      <c r="A23" s="28" t="inlineStr">
        <is>
          <t>Personal (nóminas + Seguridad Social)</t>
        </is>
      </c>
      <c r="B23" s="32">
        <f>IFERROR(IF(B9="","",'Personal'!$G$11),"")</f>
        <v>111720.0</v>
      </c>
      <c r="C23" s="32">
        <f>IFERROR(IF(C9="","",'Personal'!$B$15),"")</f>
        <v>117720.0</v>
      </c>
      <c r="D23" s="32">
        <f>IFERROR(IF(D9="","",'Personal'!$B$16),"")</f>
        <v>123720.0</v>
      </c>
      <c r="E23" s="67">
        <f>IFERROR(B23/$B$9,"")</f>
        <v>0.3068556361239288</v>
      </c>
      <c r="F23" s="28" t="inlineStr">
        <is>
          <t>Sale de la hoja de Personal: es el MISMO número, no una estimación aparte. Los años 2 y 3 suman las INCORPORACIONES declaradas en esa hoja, no un porcentaje de volumen</t>
        </is>
      </c>
      <c r="G23" s="67" t="n">
        <v>0</v>
      </c>
      <c r="H23" s="28" t="n"/>
    </row>
    <row r="24">
      <c r="A24" s="28" t="inlineStr">
        <is>
          <t>Suministros (luz, agua, gasoil y teléfono)</t>
        </is>
      </c>
      <c r="B24" s="32">
        <f>IFERROR(IF(B9="","",'0. Supuestos'!$B$26*12),"")</f>
        <v>19200.0</v>
      </c>
      <c r="C24" s="32">
        <f>IFERROR(IF(C9="","",B24*(1+'0. Supuestos'!$B$48)),"")</f>
        <v>19200.0</v>
      </c>
      <c r="D24" s="32">
        <f>IFERROR(IF(D9="","",C24*(1+'0. Supuestos'!$B$48)),"")</f>
        <v>19200.0</v>
      </c>
      <c r="E24" s="67">
        <f>IFERROR(B24/$B$9,"")</f>
        <v>0.05273566249176005</v>
      </c>
      <c r="F24" s="28" t="inlineStr">
        <is>
          <t>Luz y gas van al 21 %; la factura del agua, al 10 %. El libro aplica a toda esta partida el tipo de la columna de al lado (21 %): si el agua pesa mucho en tu finca, sepárala en su línea</t>
        </is>
      </c>
      <c r="G24" s="67">
        <f>IFERROR(IF(B9="","",'0. Supuestos'!$B$41),"")</f>
        <v>0.21</v>
      </c>
      <c r="H24" s="28" t="n"/>
    </row>
    <row r="25">
      <c r="A25" s="28" t="inlineStr">
        <is>
          <t>Seguros (RC + multirriesgo)</t>
        </is>
      </c>
      <c r="B25" s="32">
        <f>IFERROR(IF(B9="","",'0. Supuestos'!$B$27),"")</f>
        <v>5500.0</v>
      </c>
      <c r="C25" s="32">
        <f>IFERROR(IF(C9="","",B25*(1+'0. Supuestos'!$B$48)),"")</f>
        <v>5500.0</v>
      </c>
      <c r="D25" s="32">
        <f>IFERROR(IF(D9="","",C25*(1+'0. Supuestos'!$B$48)),"")</f>
        <v>5500.0</v>
      </c>
      <c r="E25" s="67">
        <f>IFERROR(B25/$B$9,"")</f>
        <v>0.015106569984618765</v>
      </c>
      <c r="F25" s="28" t="inlineStr">
        <is>
          <t>Las operaciones de seguro están EXENTAS de IVA (art. 20.Uno.16 LIVA): la prima no lleva IVA deducible</t>
        </is>
      </c>
      <c r="G25" s="67" t="n">
        <v>0</v>
      </c>
      <c r="H25" s="28" t="n"/>
    </row>
    <row r="26">
      <c r="A26" s="28" t="inlineStr">
        <is>
          <t>Marketing: portales de bodas, Google Ads y redes</t>
        </is>
      </c>
      <c r="B26" s="29" t="n">
        <v>12000</v>
      </c>
      <c r="C26" s="32">
        <f>IFERROR(IF(C9="","",B26*(1+'0. Supuestos'!$B$48)),"")</f>
        <v>12000.0</v>
      </c>
      <c r="D26" s="32">
        <f>IFERROR(IF(D9="","",C26*(1+'0. Supuestos'!$B$48)),"")</f>
        <v>12000.0</v>
      </c>
      <c r="E26" s="67">
        <f>IFERROR(B26/$B$9,"")</f>
        <v>0.03295978905735003</v>
      </c>
      <c r="F26" s="28" t="inlineStr">
        <is>
          <t>Escaparate en los portales de bodas, Google Ads y redes sociales. Mide el coste por contacto de cada canal antes de renovar el escaparate premium</t>
        </is>
      </c>
      <c r="G26" s="67">
        <f>IFERROR(IF(B9="","",'0. Supuestos'!$B$41),"")</f>
        <v>0.21</v>
      </c>
      <c r="H26" s="28" t="n"/>
    </row>
    <row r="27">
      <c r="A27" s="28" t="inlineStr">
        <is>
          <t>Ferias nupciales y jornadas de puertas abiertas</t>
        </is>
      </c>
      <c r="B27" s="29" t="n">
        <v>6000</v>
      </c>
      <c r="C27" s="32">
        <f>IFERROR(IF(C9="","",B27*(1+'0. Supuestos'!$B$48)),"")</f>
        <v>6000.0</v>
      </c>
      <c r="D27" s="32">
        <f>IFERROR(IF(D9="","",C27*(1+'0. Supuestos'!$B$48)),"")</f>
        <v>6000.0</v>
      </c>
      <c r="E27" s="67">
        <f>IFERROR(B27/$B$9,"")</f>
        <v>0.016479894528675015</v>
      </c>
      <c r="F27" s="28" t="inlineStr">
        <is>
          <t>Dos ferias de novios al año y las jornadas de puertas abiertas de la finca, con el catering</t>
        </is>
      </c>
      <c r="G27" s="67">
        <f>IFERROR(IF(B9="","",'0. Supuestos'!$B$41),"")</f>
        <v>0.21</v>
      </c>
      <c r="H27" s="28" t="n"/>
    </row>
    <row r="28">
      <c r="A28" s="28" t="inlineStr">
        <is>
          <t>Jardinería y mantenimiento externo (poda, césped y riego)</t>
        </is>
      </c>
      <c r="B28" s="29" t="n">
        <v>8000</v>
      </c>
      <c r="C28" s="32">
        <f>IFERROR(IF(C9="","",B28*(1+'0. Supuestos'!$B$48)),"")</f>
        <v>8000.0</v>
      </c>
      <c r="D28" s="32">
        <f>IFERROR(IF(D9="","",C28*(1+'0. Supuestos'!$B$48)),"")</f>
        <v>8000.0</v>
      </c>
      <c r="E28" s="67">
        <f>IFERROR(B28/$B$9,"")</f>
        <v>0.021973192704900023</v>
      </c>
      <c r="F28" s="28" t="inlineStr">
        <is>
          <t>Los trabajos grandes que no hace el personal propio: poda, césped, riego y tratamientos</t>
        </is>
      </c>
      <c r="G28" s="67">
        <f>IFERROR(IF(B9="","",'0. Supuestos'!$B$41),"")</f>
        <v>0.21</v>
      </c>
      <c r="H28" s="28" t="n"/>
    </row>
    <row r="29">
      <c r="A29" s="28" t="inlineStr">
        <is>
          <t>Reparaciones, pintura y reposición de mobiliario</t>
        </is>
      </c>
      <c r="B29" s="29" t="n">
        <v>6000</v>
      </c>
      <c r="C29" s="32">
        <f>IFERROR(IF(C9="","",B29*(1+'0. Supuestos'!$B$48)),"")</f>
        <v>6000.0</v>
      </c>
      <c r="D29" s="32">
        <f>IFERROR(IF(D9="","",C29*(1+'0. Supuestos'!$B$48)),"")</f>
        <v>6000.0</v>
      </c>
      <c r="E29" s="67">
        <f>IFERROR(B29/$B$9,"")</f>
        <v>0.016479894528675015</v>
      </c>
      <c r="F29" s="28" t="inlineStr">
        <is>
          <t>Pintura, pequeñas obras entre temporadas y reposición de sillas, mesas y mantelería</t>
        </is>
      </c>
      <c r="G29" s="67">
        <f>IFERROR(IF(B9="","",'0. Supuestos'!$B$41),"")</f>
        <v>0.21</v>
      </c>
      <c r="H29" s="28" t="n"/>
    </row>
    <row r="30">
      <c r="A30" s="28" t="inlineStr">
        <is>
          <t>Gestoría laboral, fiscal y contable</t>
        </is>
      </c>
      <c r="B30" s="29" t="n">
        <v>3000</v>
      </c>
      <c r="C30" s="32">
        <f>IFERROR(IF(C9="","",B30*(1+'0. Supuestos'!$B$48)),"")</f>
        <v>3000.0</v>
      </c>
      <c r="D30" s="32">
        <f>IFERROR(IF(D9="","",C30*(1+'0. Supuestos'!$B$48)),"")</f>
        <v>3000.0</v>
      </c>
      <c r="E30" s="67">
        <f>IFERROR(B30/$B$9,"")</f>
        <v>0.008239947264337508</v>
      </c>
      <c r="F30" s="28" t="inlineStr">
        <is>
          <t>Contabilidad, impuestos de la SL y nóminas de los fijos discontinuos, con sus llamamientos de cada temporada</t>
        </is>
      </c>
      <c r="G30" s="67">
        <f>IFERROR(IF(B9="","",'0. Supuestos'!$B$41),"")</f>
        <v>0.21</v>
      </c>
      <c r="H30" s="28" t="n"/>
    </row>
    <row r="31">
      <c r="A31" s="28" t="inlineStr">
        <is>
          <t>Software de reservas, CRM, web y teléfono</t>
        </is>
      </c>
      <c r="B31" s="29" t="n">
        <v>1800</v>
      </c>
      <c r="C31" s="32">
        <f>IFERROR(IF(C9="","",B31*(1+'0. Supuestos'!$B$48)),"")</f>
        <v>1800.0</v>
      </c>
      <c r="D31" s="32">
        <f>IFERROR(IF(D9="","",C31*(1+'0. Supuestos'!$B$48)),"")</f>
        <v>1800.0</v>
      </c>
      <c r="E31" s="67">
        <f>IFERROR(B31/$B$9,"")</f>
        <v>0.004943968358602505</v>
      </c>
      <c r="F31" s="28" t="inlineStr">
        <is>
          <t>Calendario de fechas, presupuestos, CRM de novios y empresas, alojamiento de la web y teléfono</t>
        </is>
      </c>
      <c r="G31" s="67">
        <f>IFERROR(IF(B9="","",'0. Supuestos'!$B$41),"")</f>
        <v>0.21</v>
      </c>
      <c r="H31" s="28" t="n"/>
    </row>
    <row r="32">
      <c r="A32" s="28" t="inlineStr">
        <is>
          <t>Prevención de riesgos laborales y vigilancia de la salud</t>
        </is>
      </c>
      <c r="B32" s="29" t="n">
        <v>500</v>
      </c>
      <c r="C32" s="32">
        <f>IFERROR(IF(C9="","",B32*(1+'0. Supuestos'!$B$48)),"")</f>
        <v>500.0</v>
      </c>
      <c r="D32" s="32">
        <f>IFERROR(IF(D9="","",C32*(1+'0. Supuestos'!$B$48)),"")</f>
        <v>500.0</v>
      </c>
      <c r="E32" s="67">
        <f>IFERROR(B32/$B$9,"")</f>
        <v>0.0013733245440562514</v>
      </c>
      <c r="F32" s="28" t="inlineStr">
        <is>
          <t>El plan de prevención es obligatorio (Ley 31/1995): montaje, cargas, trabajo en altura y jardinería, y reconocimientos médicos de la plantilla</t>
        </is>
      </c>
      <c r="G32" s="67">
        <f>IFERROR(IF(B9="","",'0. Supuestos'!$B$41),"")</f>
        <v>0.21</v>
      </c>
      <c r="H32" s="28" t="n"/>
    </row>
    <row r="33">
      <c r="A33" s="28" t="inlineStr">
        <is>
          <t>Tasas municipales e IBI repercutido</t>
        </is>
      </c>
      <c r="B33" s="29" t="n">
        <v>2500</v>
      </c>
      <c r="C33" s="32">
        <f>IFERROR(IF(C9="","",B33*(1+'0. Supuestos'!$B$48)),"")</f>
        <v>2500.0</v>
      </c>
      <c r="D33" s="32">
        <f>IFERROR(IF(D9="","",C33*(1+'0. Supuestos'!$B$48)),"")</f>
        <v>2500.0</v>
      </c>
      <c r="E33" s="67">
        <f>IFERROR(B33/$B$9,"")</f>
        <v>0.006866622720281257</v>
      </c>
      <c r="F33" s="28" t="inlineStr">
        <is>
          <t>Basuras y otras tasas municipales y el IBI que el propietario te repercuta según el contrato. Pon las de tu ayuntamiento</t>
        </is>
      </c>
      <c r="G33" s="67">
        <f>IFERROR(IF(B9="","",'0. Supuestos'!$B$41),"")</f>
        <v>0.21</v>
      </c>
      <c r="H33" s="28" t="n"/>
    </row>
    <row r="34">
      <c r="A34" s="28" t="inlineStr">
        <is>
          <t>Revisiones de baja tensión, protección contra incendios y grupo electrógeno</t>
        </is>
      </c>
      <c r="B34" s="29" t="n">
        <v>1200</v>
      </c>
      <c r="C34" s="32">
        <f>IFERROR(IF(C9="","",B34*(1+'0. Supuestos'!$B$48)),"")</f>
        <v>1200.0</v>
      </c>
      <c r="D34" s="32">
        <f>IFERROR(IF(D9="","",C34*(1+'0. Supuestos'!$B$48)),"")</f>
        <v>1200.0</v>
      </c>
      <c r="E34" s="67">
        <f>IFERROR(B34/$B$9,"")</f>
        <v>0.0032959789057350032</v>
      </c>
      <c r="F34" s="28" t="inlineStr">
        <is>
          <t>Inspecciones periódicas de la instalación eléctrica, mantenimiento de extintores y del sistema contra incendios por una empresa mantenedora y revisión del grupo electrógeno</t>
        </is>
      </c>
      <c r="G34" s="67">
        <f>IFERROR(IF(B9="","",'0. Supuestos'!$B$41),"")</f>
        <v>0.21</v>
      </c>
      <c r="H34" s="28" t="n"/>
    </row>
    <row r="35">
      <c r="A35" s="28" t="inlineStr">
        <is>
          <t>Limpieza general, desinsectación y desratización (DDD)</t>
        </is>
      </c>
      <c r="B35" s="29" t="n">
        <v>2000</v>
      </c>
      <c r="C35" s="32">
        <f>IFERROR(IF(C9="","",B35*(1+'0. Supuestos'!$B$48)),"")</f>
        <v>2000.0</v>
      </c>
      <c r="D35" s="32">
        <f>IFERROR(IF(D9="","",C35*(1+'0. Supuestos'!$B$48)),"")</f>
        <v>2000.0</v>
      </c>
      <c r="E35" s="67">
        <f>IFERROR(B35/$B$9,"")</f>
        <v>0.005493298176225006</v>
      </c>
      <c r="F35" s="28" t="inlineStr">
        <is>
          <t>Limpieza a fondo de temporada, productos y control de plagas por una empresa inscrita</t>
        </is>
      </c>
      <c r="G35" s="67">
        <f>IFERROR(IF(B9="","",'0. Supuestos'!$B$41),"")</f>
        <v>0.21</v>
      </c>
      <c r="H35" s="28" t="n"/>
    </row>
    <row r="36">
      <c r="A36" s="28" t="inlineStr">
        <is>
          <t>Amortización del inmovilizado</t>
        </is>
      </c>
      <c r="B36" s="32">
        <f>IFERROR(IF(B9="","",'Inversión Inicial'!$B$38),"")</f>
        <v>16752.0</v>
      </c>
      <c r="C36" s="32">
        <f>IFERROR(IF(C9="","",B36),"")</f>
        <v>16752.0</v>
      </c>
      <c r="D36" s="32">
        <f>IFERROR(IF(D9="","",B36),"")</f>
        <v>16752.0</v>
      </c>
      <c r="E36" s="67">
        <f>IFERROR(B36/$B$9,"")</f>
        <v>0.04601186552406065</v>
      </c>
      <c r="F36" s="28" t="inlineStr">
        <is>
          <t>Sale de las bases de amortización de la hoja de Inversión: sólo inmovilizado real. NO sube con el IPC: es una cuota sobre el coste HISTÓRICO del inmovilizado</t>
        </is>
      </c>
      <c r="G36" s="67" t="n">
        <v>0</v>
      </c>
      <c r="H36" s="28" t="n"/>
    </row>
    <row r="37">
      <c r="A37" s="28" t="inlineStr">
        <is>
          <t>Gastos financieros (intereses del préstamo)</t>
        </is>
      </c>
      <c r="B37" s="32">
        <f>IFERROR(IF(B9="","",'Financiación'!$B$44),"")</f>
        <v>17095.0</v>
      </c>
      <c r="C37" s="32">
        <f>IFERROR(IF(C9="","",'Financiación'!$B$46),"")</f>
        <v>17095.0</v>
      </c>
      <c r="D37" s="32">
        <f>IFERROR(IF(D9="","",'Financiación'!$B$48),"")</f>
        <v>15089.220241630364</v>
      </c>
      <c r="E37" s="67">
        <f>IFERROR(B37/$B$9,"")</f>
        <v>0.046953966161283237</v>
      </c>
      <c r="F37" s="28" t="inlineStr">
        <is>
          <t>Sólo los INTERESES son gasto. La devolución del principal va en la hoja de Tesorería</t>
        </is>
      </c>
      <c r="G37" s="67" t="n">
        <v>0</v>
      </c>
      <c r="H37" s="28" t="n"/>
    </row>
    <row r="38">
      <c r="A38" s="25" t="inlineStr">
        <is>
          <t>TOTAL COSTES FIJOS</t>
        </is>
      </c>
      <c r="B38" s="26">
        <f>IFERROR(IF(B9="","",SUM(B22:B37)),"")</f>
        <v>255267.0</v>
      </c>
      <c r="C38" s="26">
        <f>IFERROR(IF(C9="","",SUM(C22:C37)),"")</f>
        <v>261267.0</v>
      </c>
      <c r="D38" s="26">
        <f>IFERROR(IF(D9="","",SUM(D22:D37)),"")</f>
        <v>265261.2202416304</v>
      </c>
      <c r="E38" s="66">
        <f>IFERROR(B38/$B$9,"")</f>
        <v>0.7011288727752142</v>
      </c>
      <c r="F38" s="28" t="n"/>
      <c r="G38" s="28" t="n"/>
      <c r="H38" s="28" t="n"/>
    </row>
    <row r="39">
      <c r="A39" s="28" t="inlineStr">
        <is>
          <t>IVA soportado de los costes variables</t>
        </is>
      </c>
      <c r="B39" s="32">
        <f>IFERROR(IF(B9="","",SUMPRODUCT(B13:B18,G13:G18)),"")</f>
        <v>14690.409552000001</v>
      </c>
      <c r="C39" s="32">
        <f>IFERROR(IF(C9="","",SUMPRODUCT(C13:C18,G13:G18)),"")</f>
        <v>15865.642316160001</v>
      </c>
      <c r="D39" s="32">
        <f>IFERROR(IF(D9="","",SUMPRODUCT(D13:D18,G13:G18)),"")</f>
        <v>16658.924431968004</v>
      </c>
      <c r="E39" s="28" t="n"/>
      <c r="F39" s="28" t="inlineStr">
        <is>
          <t>Cada línea a SU tipo, leído de la columna de al lado. Es lo que la hoja de Tesorería paga de más a los proveedores y luego se deduce</t>
        </is>
      </c>
      <c r="G39" s="28" t="n"/>
      <c r="H39" s="28" t="n"/>
    </row>
    <row r="40">
      <c r="A40" s="28" t="inlineStr">
        <is>
          <t>IVA soportado de los costes fijos</t>
        </is>
      </c>
      <c r="B40" s="32">
        <f>IFERROR(IF(B9="","",SUMPRODUCT(B22:B37,G22:G37)),"")</f>
        <v>21882.0</v>
      </c>
      <c r="C40" s="32">
        <f>IFERROR(IF(C9="","",SUMPRODUCT(C22:C37,G22:G37)),"")</f>
        <v>21882.0</v>
      </c>
      <c r="D40" s="32">
        <f>IFERROR(IF(D9="","",SUMPRODUCT(D22:D37,G22:G37)),"")</f>
        <v>21882.0</v>
      </c>
      <c r="E40" s="28" t="n"/>
      <c r="F40" s="28" t="n"/>
      <c r="G40" s="28" t="n"/>
      <c r="H40" s="28" t="n"/>
    </row>
    <row r="41">
      <c r="A41" s="25" t="inlineStr">
        <is>
          <t>RESULTADO ANTES DE IMPUESTOS</t>
        </is>
      </c>
      <c r="B41" s="26">
        <f>IFERROR(IF(B9="","",B20-B38),"")</f>
        <v>37766.428799999994</v>
      </c>
      <c r="C41" s="26">
        <f>IFERROR(IF(C9="","",C20-C38),"")</f>
        <v>55209.10310399998</v>
      </c>
      <c r="D41" s="26">
        <f>IFERROR(IF(D9="","",D20-D38),"")</f>
        <v>67038.68801756966</v>
      </c>
      <c r="E41" s="66">
        <f>IFERROR(B41/$B$9,"")</f>
        <v>0.10373112722478575</v>
      </c>
      <c r="F41" s="28" t="n"/>
      <c r="G41" s="28" t="n"/>
      <c r="H41" s="28" t="n"/>
    </row>
    <row r="42">
      <c r="A42" s="28" t="inlineStr">
        <is>
          <t>Bases negativas pendientes al inicio</t>
        </is>
      </c>
      <c r="B42" s="32">
        <f>IFERROR(IF(B9="","",'0. Supuestos'!$B$42),"")</f>
        <v>0.0</v>
      </c>
      <c r="C42" s="32">
        <f>IFERROR(IF(C9="","",B47),"")</f>
        <v>0.0</v>
      </c>
      <c r="D42" s="32">
        <f>IFERROR(IF(D9="","",C47),"")</f>
        <v>0.0</v>
      </c>
      <c r="E42" s="28" t="n"/>
      <c r="F42" s="28" t="inlineStr">
        <is>
          <t>Art. 26 LIS: las pérdidas de un ejercicio se compensan con los beneficios de los siguientes</t>
        </is>
      </c>
      <c r="G42" s="28" t="n"/>
      <c r="H42" s="28" t="n"/>
    </row>
    <row r="43">
      <c r="A43" s="28" t="inlineStr">
        <is>
          <t>Base imponible (después de compensar)</t>
        </is>
      </c>
      <c r="B43" s="32">
        <f>IFERROR(IF(B9="","",MAX(0,B41-B42)),"")</f>
        <v>37766.428799999994</v>
      </c>
      <c r="C43" s="32">
        <f>IFERROR(IF(C9="","",MAX(0,C41-C42)),"")</f>
        <v>55209.10310399998</v>
      </c>
      <c r="D43" s="32">
        <f>IFERROR(IF(D9="","",MAX(0,D41-D42)),"")</f>
        <v>67038.68801756966</v>
      </c>
      <c r="E43" s="28" t="n"/>
      <c r="F43" s="28" t="n"/>
      <c r="G43" s="28" t="n"/>
      <c r="H43" s="28" t="n"/>
    </row>
    <row r="44">
      <c r="A44" s="28" t="inlineStr">
        <is>
          <t>Ejercicios con base positiva (acumulado)</t>
        </is>
      </c>
      <c r="B44" s="39">
        <f>IFERROR(IF(B9="","",IF(B43&gt;0,1,0)),"")</f>
        <v>1.0</v>
      </c>
      <c r="C44" s="39">
        <f>IFERROR(IF(C9="","",B44+IF(C43&gt;0,1,0)),"")</f>
        <v>2.0</v>
      </c>
      <c r="D44" s="39">
        <f>IFERROR(IF(D9="","",C44+IF(D43&gt;0,1,0)),"")</f>
        <v>3.0</v>
      </c>
      <c r="E44" s="28" t="n"/>
      <c r="F44" s="28" t="n"/>
      <c r="G44" s="28" t="n"/>
      <c r="H44" s="28" t="n"/>
    </row>
    <row r="45">
      <c r="A45" s="28" t="inlineStr">
        <is>
          <t>Tipo de Impuesto de Sociedades aplicado</t>
        </is>
      </c>
      <c r="B45" s="67">
        <f>IFERROR(IF(B9="","",IF(B43&lt;=0,"",IF(B44&lt;=2,'0. Supuestos'!$B$37,'0. Supuestos'!$B$38))),"")</f>
        <v>0.15</v>
      </c>
      <c r="C45" s="67">
        <f>IFERROR(IF(C9="","",IF(C43&lt;=0,"",IF(C44&lt;=2,'0. Supuestos'!$B$37,'0. Supuestos'!$B$38))),"")</f>
        <v>0.15</v>
      </c>
      <c r="D45" s="67">
        <f>IFERROR(IF(D9="","",IF(D43&lt;=0,"",IF(D44&lt;=2,'0. Supuestos'!$B$37,'0. Supuestos'!$B$38))),"")</f>
        <v>0.25</v>
      </c>
      <c r="E45" s="28" t="n"/>
      <c r="F45" s="28" t="inlineStr">
        <is>
          <t>Art. 29.1 LIS: el 15 % de entidad de nueva creación se aplica al PRIMER ejercicio con base positiva y al SIGUIENTE, no al primer año de vida. El libro lo aproxima contando los dos primeros ejercicios con base positiva</t>
        </is>
      </c>
      <c r="G45" s="28" t="n"/>
      <c r="H45" s="28" t="n"/>
    </row>
    <row r="46">
      <c r="A46" s="28" t="inlineStr">
        <is>
          <t>Impuesto de Sociedades</t>
        </is>
      </c>
      <c r="B46" s="32">
        <f>IFERROR(IF(B9="","",IF(B45="",0,B43*B45)),"")</f>
        <v>5664.964319999999</v>
      </c>
      <c r="C46" s="32">
        <f>IFERROR(IF(C9="","",IF(C45="",0,C43*C45)),"")</f>
        <v>8281.365465599996</v>
      </c>
      <c r="D46" s="32">
        <f>IFERROR(IF(D9="","",IF(D45="",0,D43*D45)),"")</f>
        <v>16759.672004392414</v>
      </c>
      <c r="E46" s="28" t="n"/>
      <c r="F46" s="28" t="n"/>
      <c r="G46" s="28" t="n"/>
      <c r="H46" s="28" t="n"/>
    </row>
    <row r="47">
      <c r="A47" s="28" t="inlineStr">
        <is>
          <t>Bases negativas pendientes al cierre</t>
        </is>
      </c>
      <c r="B47" s="32">
        <f>IFERROR(IF(B9="","",MAX(0,B42-B41)),"")</f>
        <v>0.0</v>
      </c>
      <c r="C47" s="32">
        <f>IFERROR(IF(C9="","",MAX(0,C42-C41)),"")</f>
        <v>0.0</v>
      </c>
      <c r="D47" s="32">
        <f>IFERROR(IF(D9="","",MAX(0,D42-D41)),"")</f>
        <v>0.0</v>
      </c>
      <c r="E47" s="28" t="n"/>
      <c r="F47" s="28" t="n"/>
      <c r="G47" s="28" t="n"/>
      <c r="H47" s="28" t="n"/>
    </row>
    <row r="48">
      <c r="A48" s="25" t="inlineStr">
        <is>
          <t>RESULTADO NETO</t>
        </is>
      </c>
      <c r="B48" s="26">
        <f>IFERROR(IF(B9="","",B41-B46),"")</f>
        <v>32101.464479999995</v>
      </c>
      <c r="C48" s="26">
        <f>IFERROR(IF(C9="","",C41-C46),"")</f>
        <v>46927.73763839998</v>
      </c>
      <c r="D48" s="26">
        <f>IFERROR(IF(D9="","",D41-D46),"")</f>
        <v>50279.01601317724</v>
      </c>
      <c r="E48" s="66">
        <f>IFERROR(B48/$B$9,"")</f>
        <v>0.08817145814106789</v>
      </c>
      <c r="F48" s="28" t="n"/>
      <c r="G48" s="28" t="n"/>
      <c r="H48" s="28" t="n"/>
    </row>
    <row r="49">
      <c r="A49" s="25" t="inlineStr">
        <is>
          <t>RATIOS CLAVE</t>
        </is>
      </c>
      <c r="B49" s="28" t="n"/>
      <c r="C49" s="28" t="n"/>
      <c r="D49" s="28" t="n"/>
      <c r="E49" s="28" t="n"/>
      <c r="F49" s="28" t="n"/>
      <c r="G49" s="28" t="n"/>
      <c r="H49" s="28" t="n"/>
    </row>
    <row r="50">
      <c r="A50" s="25" t="inlineStr">
        <is>
          <t>Ratio</t>
        </is>
      </c>
      <c r="B50" s="25" t="inlineStr">
        <is>
          <t>Año 1</t>
        </is>
      </c>
      <c r="C50" s="25" t="inlineStr">
        <is>
          <t>Año 2</t>
        </is>
      </c>
      <c r="D50" s="25" t="inlineStr">
        <is>
          <t>Año 3</t>
        </is>
      </c>
      <c r="E50" s="25" t="inlineStr">
        <is>
          <t>Umbral</t>
        </is>
      </c>
      <c r="F50" s="25" t="inlineStr">
        <is>
          <t>Comentario</t>
        </is>
      </c>
      <c r="G50" s="28" t="n"/>
      <c r="H50" s="28" t="n"/>
    </row>
    <row r="51">
      <c r="A51" s="28" t="inlineStr">
        <is>
          <t>Margen bruto / Ventas</t>
        </is>
      </c>
      <c r="B51" s="67">
        <f>IFERROR(IF(B9="","",B20/B9),"")</f>
        <v>0.80486</v>
      </c>
      <c r="C51" s="67">
        <f>IFERROR(IF(C9="","",C20/C9),"")</f>
        <v>0.8048599999999999</v>
      </c>
      <c r="D51" s="67">
        <f>IFERROR(IF(D9="","",D20/D9),"")</f>
        <v>0.80486</v>
      </c>
      <c r="E51" s="75" t="n">
        <v>0.75</v>
      </c>
      <c r="F51" s="28" t="inlineStr">
        <is>
          <t>Suelo del margen tras TODOS los costes variables (coste directo del evento, consumibles, comisiones, medios de pago y varios): sin mercancía que comprar, una finca deja más del 75 %. Estimación del kit</t>
        </is>
      </c>
      <c r="G51" s="28" t="n"/>
      <c r="H51" s="28" t="n"/>
    </row>
    <row r="52">
      <c r="A52" s="28" t="inlineStr">
        <is>
          <t>Coste directo del evento (el canon no tiene coste)</t>
        </is>
      </c>
      <c r="B52" s="32">
        <f>IFERROR(IF(B9="","",B13+B14),"")</f>
        <v>46289.1312</v>
      </c>
      <c r="C52" s="32">
        <f>IFERROR(IF(C9="","",C13+C14),"")</f>
        <v>49992.26169600001</v>
      </c>
      <c r="D52" s="32">
        <f>IFERROR(IF(D9="","",D13+D14),"")</f>
        <v>52491.87478080001</v>
      </c>
      <c r="E52" s="28" t="n"/>
      <c r="F52" s="28" t="n"/>
      <c r="G52" s="28" t="n"/>
      <c r="H52" s="28" t="n"/>
    </row>
    <row r="53">
      <c r="A53" s="28" t="inlineStr">
        <is>
          <t>Coste directo del evento / Ventas</t>
        </is>
      </c>
      <c r="B53" s="67">
        <f>IFERROR(IF(B9="","",B52/B9),"")</f>
        <v>0.12714</v>
      </c>
      <c r="C53" s="67">
        <f>IFERROR(IF(C9="","",C52/C9),"")</f>
        <v>0.12714</v>
      </c>
      <c r="D53" s="67">
        <f>IFERROR(IF(D9="","",D52/D9),"")</f>
        <v>0.12714000000000003</v>
      </c>
      <c r="E53" s="75" t="n">
        <v>0.14</v>
      </c>
      <c r="F53" s="28" t="inlineStr">
        <is>
          <t>Limpieza, aseos, gasoil, vigilancia y SGAE de cada evento sobre las ventas. Por encima del 14 %, algo se escapa en cada montaje. Estimación del kit</t>
        </is>
      </c>
      <c r="G53" s="28" t="n"/>
      <c r="H53" s="28" t="n"/>
    </row>
    <row r="54">
      <c r="A54" s="28" t="inlineStr">
        <is>
          <t>Coste de personal / Ventas</t>
        </is>
      </c>
      <c r="B54" s="67">
        <f>IFERROR(IF(B9="","",B23/B9),"")</f>
        <v>0.3068556361239288</v>
      </c>
      <c r="C54" s="67">
        <f>IFERROR(IF(C9="","",C23/C9),"")</f>
        <v>0.2993847506042628</v>
      </c>
      <c r="D54" s="67">
        <f>IFERROR(IF(D9="","",D23/D9),"")</f>
        <v>0.2996608687665598</v>
      </c>
      <c r="E54" s="75" t="n">
        <v>0.33</v>
      </c>
      <c r="F54" s="28" t="inlineStr">
        <is>
          <t>Techo del personal propio sobre ventas, sin camareros ni cocina (los pone el catering). Estimación del kit</t>
        </is>
      </c>
      <c r="G54" s="28" t="n"/>
      <c r="H54" s="28" t="n"/>
    </row>
    <row r="55">
      <c r="A55" s="28" t="inlineStr">
        <is>
          <t>Renta de la finca / Ventas</t>
        </is>
      </c>
      <c r="B55" s="67">
        <f>IFERROR(IF(B9="","",B22/B9),"")</f>
        <v>0.11535926170072512</v>
      </c>
      <c r="C55" s="67">
        <f>IFERROR(IF(C9="","",C22/C9),"")</f>
        <v>0.1068141312043751</v>
      </c>
      <c r="D55" s="67">
        <f>IFERROR(IF(D9="","",D22/D9),"")</f>
        <v>0.10172774400416676</v>
      </c>
      <c r="E55" s="75" t="n">
        <v>0.13</v>
      </c>
      <c r="F55" s="28" t="inlineStr">
        <is>
          <t>Techo de la renta de la finca sobre las ventas: por encima, la ocupación tiene que ser altísima para pagarla. Estimación del kit</t>
        </is>
      </c>
      <c r="G55" s="28" t="n"/>
      <c r="H55" s="28" t="n"/>
    </row>
    <row r="56">
      <c r="A56" s="28" t="inlineStr">
        <is>
          <t>Resultado neto / Ventas</t>
        </is>
      </c>
      <c r="B56" s="67">
        <f>IFERROR(IF(B9="","",B48/B9),"")</f>
        <v>0.08817145814106789</v>
      </c>
      <c r="C56" s="67">
        <f>IFERROR(IF(C9="","",C48/C9),"")</f>
        <v>0.11934632202934636</v>
      </c>
      <c r="D56" s="67">
        <f>IFERROR(IF(D9="","",D48/D9),"")</f>
        <v>0.12178025880404514</v>
      </c>
      <c r="E56" s="75" t="n">
        <v>0.05</v>
      </c>
      <c r="F56" s="28" t="inlineStr">
        <is>
          <t>Suelo de resultado neto a régimen para que el plan se sostenga: estimación del kit</t>
        </is>
      </c>
      <c r="G56" s="28" t="n"/>
      <c r="H56" s="28" t="n"/>
    </row>
    <row r="57">
      <c r="A57" s="28" t="inlineStr">
        <is>
          <t>Punto de equilibrio alcanzado</t>
        </is>
      </c>
      <c r="B57" s="28" t="str">
        <f>IFERROR(IF(B9="","",IF(B9&gt;='Punto Equilibrio'!$B$16,"Sí","No")),"")</f>
        <v>Sí</v>
      </c>
      <c r="C57" s="28" t="str">
        <f>IFERROR(IF(C9="","",IF(C9&gt;='Punto Equilibrio'!$C$16,"Sí","No")),"")</f>
        <v>Sí</v>
      </c>
      <c r="D57" s="28" t="str">
        <f>IFERROR(IF(D9="","",IF(D9&gt;='Punto Equilibrio'!$D$16,"Sí","No")),"")</f>
        <v>Sí</v>
      </c>
      <c r="E57" s="28" t="n"/>
      <c r="F57" s="28" t="inlineStr">
        <is>
          <t>Compara las ventas de CADA año con el umbral de ese mismo año, que calcula la hoja de Punto de Equilibrio con los costes fijos del año</t>
        </is>
      </c>
      <c r="G57" s="28" t="n"/>
      <c r="H57" s="28" t="n"/>
    </row>
    <row r="58">
      <c r="A58" s="28" t="n"/>
      <c r="B58" s="28" t="n"/>
      <c r="C58" s="28" t="n"/>
      <c r="D58" s="28" t="n"/>
      <c r="E58" s="28" t="n"/>
      <c r="F58" s="28" t="n"/>
      <c r="G58" s="28" t="n"/>
      <c r="H58" s="28" t="n"/>
    </row>
    <row r="59" ht="165" customHeight="1">
      <c r="A59" s="46"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9" s="28" t="n"/>
      <c r="C59" s="28" t="n"/>
      <c r="D59" s="28" t="n"/>
      <c r="E59" s="28" t="n"/>
      <c r="F59" s="28" t="n"/>
      <c r="G59" s="28" t="n"/>
      <c r="H5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Sí">
      <formula>NOT(ISERROR(SEARCH("Sí",B57)))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mporte no válido" error="Escribe un número mayor o igual que 0." type="decimal" operator="greaterThanOrEqual">
      <formula1>0</formula1>
    </dataValidation>
    <dataValidation sqref="E51 E53 E54 E55 E56 G10 G11 G13"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PUNTO DE EQUILIBRIO</t>
        </is>
      </c>
    </row>
    <row r="2">
      <c r="A2" t="inlineStr">
        <is>
          <t>Punto de equilibrio — finca de eventos y bodas</t>
        </is>
      </c>
    </row>
    <row r="3"/>
    <row r="4">
      <c r="A4" s="25" t="inlineStr">
        <is>
          <t>Variable</t>
        </is>
      </c>
      <c r="B4" s="25" t="inlineStr">
        <is>
          <t>Año 1</t>
        </is>
      </c>
      <c r="C4" s="25" t="inlineStr">
        <is>
          <t>Año 2</t>
        </is>
      </c>
      <c r="D4" s="25" t="inlineStr">
        <is>
          <t>Año 3</t>
        </is>
      </c>
      <c r="E4" s="25" t="inlineStr">
        <is>
          <t>Notas</t>
        </is>
      </c>
      <c r="F4" s="28" t="n"/>
    </row>
    <row r="5">
      <c r="A5" s="25" t="inlineStr">
        <is>
          <t>DATOS BASE POR AÑO</t>
        </is>
      </c>
      <c r="B5" s="28" t="n"/>
      <c r="C5" s="28" t="n"/>
      <c r="D5" s="28" t="n"/>
      <c r="E5" s="28" t="n"/>
      <c r="F5" s="28" t="n"/>
    </row>
    <row r="6">
      <c r="A6" s="28" t="inlineStr">
        <is>
          <t>Costes fijos anuales</t>
        </is>
      </c>
      <c r="B6" s="69">
        <f>IFERROR(IF('PyG 3 Años'!$B$9="","",'PyG 3 Años'!$B$38),"")</f>
        <v>255267.0</v>
      </c>
      <c r="C6" s="69">
        <f>IFERROR(IF('PyG 3 Años'!$C$9="","",'PyG 3 Años'!$C$38),"")</f>
        <v>261267.0</v>
      </c>
      <c r="D6" s="69">
        <f>IFERROR(IF('PyG 3 Años'!$D$9="","",'PyG 3 Años'!$D$38),"")</f>
        <v>265261.2202416304</v>
      </c>
      <c r="E6" s="28" t="inlineStr">
        <is>
          <t>Los MISMOS costes fijos del P&amp;L. Cada año tiene los suyos: por eso el umbral no puede ser uno solo para los tres</t>
        </is>
      </c>
      <c r="F6" s="28" t="n"/>
    </row>
    <row r="7">
      <c r="A7" s="28" t="inlineStr">
        <is>
          <t>Costes fijos mensuales</t>
        </is>
      </c>
      <c r="B7" s="69">
        <f>IFERROR(IF('PyG 3 Años'!$B$9="","",B6/12),"")</f>
        <v>21272.25</v>
      </c>
      <c r="C7" s="69">
        <f>IFERROR(IF('PyG 3 Años'!$C$9="","",C6/12),"")</f>
        <v>21772.25</v>
      </c>
      <c r="D7" s="69">
        <f>IFERROR(IF('PyG 3 Años'!$D$9="","",D6/12),"")</f>
        <v>22105.101686802533</v>
      </c>
      <c r="E7" s="28" t="n"/>
      <c r="F7" s="28" t="n"/>
    </row>
    <row r="8">
      <c r="A8" s="28" t="inlineStr">
        <is>
          <t>Precio medio por invitado sin IVA</t>
        </is>
      </c>
      <c r="B8" s="69">
        <f>IFERROR(IF('PyG 3 Años'!$B$9="","",'PyG 3 Años'!$B$7),"")</f>
        <v>37.0</v>
      </c>
      <c r="C8" s="69">
        <f>IFERROR(IF('PyG 3 Años'!$C$9="","",'PyG 3 Años'!$C$7),"")</f>
        <v>37.0</v>
      </c>
      <c r="D8" s="69">
        <f>IFERROR(IF('PyG 3 Años'!$D$9="","",'PyG 3 Años'!$D$7),"")</f>
        <v>37.0</v>
      </c>
      <c r="E8" s="28" t="n"/>
      <c r="F8" s="28" t="n"/>
    </row>
    <row r="9">
      <c r="A9" s="28" t="inlineStr">
        <is>
          <t>Coste variable por invitado</t>
        </is>
      </c>
      <c r="B9" s="69">
        <f>IFERROR(IF('PyG 3 Años'!$B$9="","",'PyG 3 Años'!$B$19/('PyG 3 Años'!$B$6*'PyG 3 Años'!$B$8)),"")</f>
        <v>7.220180000000001</v>
      </c>
      <c r="C9" s="69">
        <f>IFERROR(IF('PyG 3 Años'!$C$9="","",'PyG 3 Años'!$C$19/('PyG 3 Años'!$C$6*'PyG 3 Años'!$C$8)),"")</f>
        <v>7.220180000000001</v>
      </c>
      <c r="D9" s="69">
        <f>IFERROR(IF('PyG 3 Años'!$D$9="","",'PyG 3 Años'!$D$19/('PyG 3 Años'!$D$6*'PyG 3 Años'!$D$8)),"")</f>
        <v>7.220180000000001</v>
      </c>
      <c r="E9" s="28" t="inlineStr">
        <is>
          <t>Sale del total de costes variables del P&amp;L, no de una estimación aparte. Incluye los varios e imprevistos, que son un porcentaje de las ventas</t>
        </is>
      </c>
      <c r="F9" s="28" t="n"/>
    </row>
    <row r="10">
      <c r="A10" s="28" t="inlineStr">
        <is>
          <t>Margen de contribución por invitado</t>
        </is>
      </c>
      <c r="B10" s="69">
        <f>IFERROR(IF('PyG 3 Años'!$B$9="","",B8-B9),"")</f>
        <v>29.77982</v>
      </c>
      <c r="C10" s="69">
        <f>IFERROR(IF('PyG 3 Años'!$C$9="","",C8-C9),"")</f>
        <v>29.77982</v>
      </c>
      <c r="D10" s="69">
        <f>IFERROR(IF('PyG 3 Años'!$D$9="","",D8-D9),"")</f>
        <v>29.77982</v>
      </c>
      <c r="E10" s="28" t="inlineStr">
        <is>
          <t>Precio por invitado menos coste variable unitario</t>
        </is>
      </c>
      <c r="F10" s="28" t="n"/>
    </row>
    <row r="11">
      <c r="A11" s="28" t="inlineStr">
        <is>
          <t>Eventos al año</t>
        </is>
      </c>
      <c r="B11" s="39">
        <f>IFERROR(IF('PyG 3 Años'!$B$9="","",'PyG 3 Años'!$B$8),"")</f>
        <v>120.0</v>
      </c>
      <c r="C11" s="39">
        <f>IFERROR(IF('PyG 3 Años'!$C$9="","",'PyG 3 Años'!$C$8),"")</f>
        <v>120.0</v>
      </c>
      <c r="D11" s="39">
        <f>IFERROR(IF('PyG 3 Años'!$D$9="","",'PyG 3 Años'!$D$8),"")</f>
        <v>120.0</v>
      </c>
      <c r="E11" s="28" t="inlineStr">
        <is>
          <t>El mismo calendario que el P&amp;L y que los escenarios</t>
        </is>
      </c>
      <c r="F11" s="28" t="n"/>
    </row>
    <row r="12">
      <c r="A12" s="28" t="inlineStr">
        <is>
          <t>Devolución de principal del año (cuota)</t>
        </is>
      </c>
      <c r="B12" s="69">
        <f>IFERROR(IF('PyG 3 Años'!$B$9="","",'Financiación'!$B$45),"")</f>
        <v>0.0</v>
      </c>
      <c r="C12" s="69">
        <f>IFERROR(IF('PyG 3 Años'!$C$9="","",'Financiación'!$B$47),"")</f>
        <v>30858.15012876365</v>
      </c>
      <c r="D12" s="69">
        <f>IFERROR(IF('PyG 3 Años'!$D$9="","",'Financiación'!$B$49),"")</f>
        <v>32863.92988713329</v>
      </c>
      <c r="E12" s="28" t="inlineStr">
        <is>
          <t>El principal NO es gasto del P&amp;L, pero sale de la caja. Sin él, el umbral de equilibrio se publica por debajo del real</t>
        </is>
      </c>
      <c r="F12" s="28" t="n"/>
    </row>
    <row r="13">
      <c r="A13" s="25" t="inlineStr">
        <is>
          <t>PUNTO DE EQUILIBRIO CONTABLE (incluye amortización)</t>
        </is>
      </c>
      <c r="B13" s="28" t="n"/>
      <c r="C13" s="28" t="n"/>
      <c r="D13" s="28" t="n"/>
      <c r="E13" s="28" t="n"/>
      <c r="F13" s="28" t="n"/>
    </row>
    <row r="14">
      <c r="A14" s="28" t="inlineStr">
        <is>
          <t>Invitados necesarios al año</t>
        </is>
      </c>
      <c r="B14" s="39">
        <f>IFERROR(IF('PyG 3 Años'!$B$9="","",IF(B10&lt;=0,"",B6/B10)),"")</f>
        <v>8571.811380995587</v>
      </c>
      <c r="C14" s="39">
        <f>IFERROR(IF('PyG 3 Años'!$C$9="","",IF(C10&lt;=0,"",C6/C10)),"")</f>
        <v>8773.290100477438</v>
      </c>
      <c r="D14" s="39">
        <f>IFERROR(IF('PyG 3 Años'!$D$9="","",IF(D10&lt;=0,"",D6/D10)),"")</f>
        <v>8907.415163746133</v>
      </c>
      <c r="E14" s="28" t="n"/>
      <c r="F14" s="28" t="n"/>
    </row>
    <row r="15">
      <c r="A15" s="28" t="inlineStr">
        <is>
          <t>Invitados necesarios por evento</t>
        </is>
      </c>
      <c r="B15" s="44">
        <f>IFERROR(IF('PyG 3 Años'!$B$9="","",B14/B11),"")</f>
        <v>71.43176150829656</v>
      </c>
      <c r="C15" s="44">
        <f>IFERROR(IF('PyG 3 Años'!$C$9="","",C14/C11),"")</f>
        <v>73.11075083731198</v>
      </c>
      <c r="D15" s="44">
        <f>IFERROR(IF('PyG 3 Años'!$D$9="","",D14/D11),"")</f>
        <v>74.22845969788445</v>
      </c>
      <c r="E15" s="28" t="n"/>
      <c r="F15" s="28" t="n"/>
    </row>
    <row r="16">
      <c r="A16" s="25" t="inlineStr">
        <is>
          <t>Ingresos necesarios al año</t>
        </is>
      </c>
      <c r="B16" s="26">
        <f>IFERROR(IF('PyG 3 Años'!$B$9="","",B14*B8),"")</f>
        <v>317157.0210968367</v>
      </c>
      <c r="C16" s="26">
        <f>IFERROR(IF('PyG 3 Años'!$C$9="","",C14*C8),"")</f>
        <v>324611.7337176652</v>
      </c>
      <c r="D16" s="26">
        <f>IFERROR(IF('PyG 3 Años'!$D$9="","",D14*D8),"")</f>
        <v>329574.3610586069</v>
      </c>
      <c r="E16" s="28" t="n"/>
      <c r="F16" s="28" t="n"/>
    </row>
    <row r="17">
      <c r="A17" s="25" t="inlineStr">
        <is>
          <t>PUNTO DE EQUILIBRIO DE CAJA (incluye la cuota del préstamo)</t>
        </is>
      </c>
      <c r="B17" s="28" t="n"/>
      <c r="C17" s="28" t="n"/>
      <c r="D17" s="28" t="n"/>
      <c r="E17" s="28" t="n"/>
      <c r="F17" s="28" t="n"/>
    </row>
    <row r="18">
      <c r="A18" s="28" t="inlineStr">
        <is>
          <t>Costes fijos de caja + principal del año</t>
        </is>
      </c>
      <c r="B18" s="69">
        <f>IFERROR(IF('PyG 3 Años'!$B$9="","",B6-'PyG 3 Años'!$B$36+B12),"")</f>
        <v>238515.0</v>
      </c>
      <c r="C18" s="69">
        <f>IFERROR(IF('PyG 3 Años'!$C$9="","",C6-'PyG 3 Años'!$C$36+C12),"")</f>
        <v>275373.15012876363</v>
      </c>
      <c r="D18" s="69">
        <f>IFERROR(IF('PyG 3 Años'!$D$9="","",D6-'PyG 3 Años'!$D$36+D12),"")</f>
        <v>281373.1501287637</v>
      </c>
      <c r="E18" s="28" t="inlineStr">
        <is>
          <t>Los fijos del P&amp;L sin la amortización (que no se paga) y CON la devolución de principal (que sí). Es el umbral que decide si la caja aguanta</t>
        </is>
      </c>
      <c r="F18" s="28" t="n"/>
    </row>
    <row r="19">
      <c r="A19" s="28" t="inlineStr">
        <is>
          <t>Invitados necesarios al año (caja)</t>
        </is>
      </c>
      <c r="B19" s="39">
        <f>IFERROR(IF('PyG 3 Años'!$B$9="","",IF(B10&lt;=0,"",B18/B10)),"")</f>
        <v>8009.28279620226</v>
      </c>
      <c r="C19" s="39">
        <f>IFERROR(IF('PyG 3 Años'!$C$9="","",IF(C10&lt;=0,"",C18/C10)),"")</f>
        <v>9246.97161127111</v>
      </c>
      <c r="D19" s="39">
        <f>IFERROR(IF('PyG 3 Años'!$D$9="","",IF(D10&lt;=0,"",D18/D10)),"")</f>
        <v>9448.450330752963</v>
      </c>
      <c r="E19" s="28" t="n"/>
      <c r="F19" s="28" t="n"/>
    </row>
    <row r="20">
      <c r="A20" s="25" t="inlineStr">
        <is>
          <t>Invitados necesarios por evento (caja)</t>
        </is>
      </c>
      <c r="B20" s="45">
        <f>IFERROR(IF('PyG 3 Años'!$B$9="","",B19/B11),"")</f>
        <v>66.7440233016855</v>
      </c>
      <c r="C20" s="45">
        <f>IFERROR(IF('PyG 3 Años'!$C$9="","",C19/C11),"")</f>
        <v>77.05809676059259</v>
      </c>
      <c r="D20" s="45">
        <f>IFERROR(IF('PyG 3 Años'!$D$9="","",D19/D11),"")</f>
        <v>78.73708608960803</v>
      </c>
      <c r="E20" s="28" t="n"/>
      <c r="F20" s="28" t="n"/>
    </row>
    <row r="21">
      <c r="A21" s="28" t="inlineStr">
        <is>
          <t>Ingresos necesarios al año (caja)</t>
        </is>
      </c>
      <c r="B21" s="32">
        <f>IFERROR(IF('PyG 3 Años'!$B$9="","",B19*B8),"")</f>
        <v>296343.46345948364</v>
      </c>
      <c r="C21" s="32">
        <f>IFERROR(IF('PyG 3 Años'!$C$9="","",C19*C8),"")</f>
        <v>342137.9496170311</v>
      </c>
      <c r="D21" s="32">
        <f>IFERROR(IF('PyG 3 Años'!$D$9="","",D19*D8),"")</f>
        <v>349592.6622378596</v>
      </c>
      <c r="E21" s="28" t="n"/>
      <c r="F21" s="28" t="n"/>
    </row>
    <row r="22">
      <c r="A22" s="25" t="inlineStr">
        <is>
          <t>CONTRASTE CON EL PLAN</t>
        </is>
      </c>
      <c r="B22" s="28" t="n"/>
      <c r="C22" s="28" t="n"/>
      <c r="D22" s="28" t="n"/>
      <c r="E22" s="28" t="n"/>
      <c r="F22" s="28" t="n"/>
    </row>
    <row r="23">
      <c r="A23" s="28" t="inlineStr">
        <is>
          <t>Invitados por evento previstos en el plan</t>
        </is>
      </c>
      <c r="B23" s="39">
        <f>IFERROR(IF('PyG 3 Años'!$B$9="","",'PyG 3 Años'!$B$6),"")</f>
        <v>82.0</v>
      </c>
      <c r="C23" s="39">
        <f>IFERROR(IF('PyG 3 Años'!$C$9="","",'PyG 3 Años'!$C$6),"")</f>
        <v>88.56</v>
      </c>
      <c r="D23" s="39">
        <f>IFERROR(IF('PyG 3 Años'!$D$9="","",'PyG 3 Años'!$D$6),"")</f>
        <v>92.988</v>
      </c>
      <c r="E23" s="28" t="n"/>
      <c r="F23" s="28" t="n"/>
    </row>
    <row r="24">
      <c r="A24" s="28" t="inlineStr">
        <is>
          <t>Holgura sobre el equilibrio de CAJA (%)</t>
        </is>
      </c>
      <c r="B24" s="67">
        <f>IFERROR(IF('PyG 3 Años'!$B$9="","",B23/B20-1),"")</f>
        <v>0.22857442425004715</v>
      </c>
      <c r="C24" s="67">
        <f>IFERROR(IF('PyG 3 Años'!$C$9="","",C23/C20-1),"")</f>
        <v>0.1492627474974113</v>
      </c>
      <c r="D24" s="67">
        <f>IFERROR(IF('PyG 3 Años'!$D$9="","",D23/D20-1),"")</f>
        <v>0.1809936666207521</v>
      </c>
      <c r="E24" s="28" t="inlineStr">
        <is>
          <t>Cuánto superan tus ventas previstas a las del equilibrio de caja. La caída que aguantas antes de no poder pagar los costes fijos y la cuota es algo menor: con un 25 % de holgura, un 20 %. El mínimo exigible está en la hoja de Supuestos</t>
        </is>
      </c>
      <c r="F24" s="28" t="n"/>
    </row>
    <row r="25">
      <c r="A25" s="25" t="inlineStr">
        <is>
          <t>INTERPRETACIÓN</t>
        </is>
      </c>
      <c r="B25" s="28" t="n"/>
      <c r="C25" s="28" t="n"/>
      <c r="D25" s="28" t="n"/>
      <c r="E25" s="28" t="n"/>
      <c r="F25" s="28" t="n"/>
    </row>
    <row r="26" ht="46" customHeight="1">
      <c r="A26" s="28" t="str">
        <f>IFERROR("Con el precio medio por invitado sin IVA de la fila de arriba necesitas "&amp;TEXT(ROUNDUP(B15,0),"0")&amp;" invitados por evento durante los "&amp;TEXT(B11,"0")&amp;" eventos del año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precio medio por invitado sin IVA de la fila de arriba necesitas 72 invitados por evento durante los 120 eventos del año para no perder dinero (equilibrio contable, con la amortización dentro), y 67 para que la caja aguante (equilibrio de caja: sin la amortización, que no se paga, y con la cuota del préstamo del año; este año sólo intereses, porque el préstamo está en carencia). En las filas «Ingresos necesarios al año» tienes esas mismas cifras en euros.</v>
      </c>
      <c r="B26" s="28" t="n"/>
      <c r="C26" s="28" t="n"/>
      <c r="D26" s="28" t="n"/>
      <c r="E26" s="28" t="n"/>
      <c r="F26" s="28" t="n"/>
    </row>
    <row r="27">
      <c r="A27" s="28" t="n"/>
      <c r="B27" s="28" t="n"/>
      <c r="C27" s="28" t="n"/>
      <c r="D27" s="28" t="n"/>
      <c r="E27" s="28" t="n"/>
      <c r="F27" s="28" t="n"/>
    </row>
    <row r="28">
      <c r="A28" s="25" t="inlineStr">
        <is>
          <t>SENSIBILIDAD DEL PUNTO DE EQUILIBRIO</t>
        </is>
      </c>
      <c r="B28" s="28" t="n"/>
      <c r="C28" s="28" t="n"/>
      <c r="D28" s="28" t="n"/>
      <c r="E28" s="28" t="n"/>
      <c r="F28" s="28" t="n"/>
    </row>
    <row r="29" ht="75" customHeight="1">
      <c r="A29" s="46" t="inlineStr">
        <is>
          <t>Invitados por evento necesarios para cubrir costes según el precio medio por invitado (columnas) y el coste variable por invitado (filas). En verde, los que están por debajo de los invitados que prevé el plan.</t>
        </is>
      </c>
      <c r="B29" s="28" t="n"/>
      <c r="C29" s="28" t="n"/>
      <c r="D29" s="28" t="n"/>
      <c r="E29" s="28" t="n"/>
      <c r="F29" s="28" t="n"/>
    </row>
    <row r="30">
      <c r="A30" s="28" t="n"/>
      <c r="B30" s="28" t="n"/>
      <c r="C30" s="28" t="n"/>
      <c r="D30" s="28" t="n"/>
      <c r="E30" s="28" t="n"/>
      <c r="F30" s="28" t="n"/>
    </row>
    <row r="31" ht="45" customHeight="1">
      <c r="A31" s="38" t="inlineStr">
        <is>
          <t>Invitados por evento necesarios: precio medio por invitado sin IVA (columnas) × coste variable por invitado (filas)</t>
        </is>
      </c>
      <c r="B31" s="72">
        <f>IFERROR($B$8-2,"")</f>
        <v>35.0</v>
      </c>
      <c r="C31" s="72">
        <f>IFERROR(IF($B$8="","",$B$8),"")</f>
        <v>37.0</v>
      </c>
      <c r="D31" s="72">
        <f>IFERROR($B$8+2,"")</f>
        <v>39.0</v>
      </c>
      <c r="E31" s="72">
        <f>IFERROR($B$8+4,"")</f>
        <v>41.0</v>
      </c>
      <c r="F31" s="28" t="n"/>
    </row>
    <row r="32">
      <c r="A32" s="69">
        <f>IFERROR($B$9*0.85,"")</f>
        <v>6.1371530000000005</v>
      </c>
      <c r="B32" s="44">
        <f>IFERROR(IF($B$31-$A32&lt;=0,"",$B$6/($B$31-$A32)/$B$11),"")</f>
        <v>73.70114943962389</v>
      </c>
      <c r="C32" s="44">
        <f>IFERROR(IF($C$31-$A32&lt;=0,"",$B$6/($C$31-$A32)/$B$11),"")</f>
        <v>68.92510596964694</v>
      </c>
      <c r="D32" s="44">
        <f>IFERROR(IF($D$31-$A32&lt;=0,"",$B$6/($D$31-$A32)/$B$11),"")</f>
        <v>64.73039295712876</v>
      </c>
      <c r="E32" s="44">
        <f>IFERROR(IF($E$31-$A32&lt;=0,"",$B$6/($E$31-$A32)/$B$11),"")</f>
        <v>61.0169616956412</v>
      </c>
      <c r="F32" s="28" t="n"/>
    </row>
    <row r="33">
      <c r="A33" s="69">
        <f>IFERROR($B$9*0.925,"")</f>
        <v>6.678666500000001</v>
      </c>
      <c r="B33" s="44">
        <f>IFERROR(IF($B$31-$A33&lt;=0,"",$B$6/($B$31-$A33)/$B$11),"")</f>
        <v>75.11034040822973</v>
      </c>
      <c r="C33" s="44">
        <f>IFERROR(IF($C$31-$A33&lt;=0,"",$B$6/($C$31-$A33)/$B$11),"")</f>
        <v>70.15605035972446</v>
      </c>
      <c r="D33" s="44">
        <f>IFERROR(IF($D$31-$A33&lt;=0,"",$B$6/($D$31-$A33)/$B$11),"")</f>
        <v>65.8148897229132</v>
      </c>
      <c r="E33" s="44">
        <f>IFERROR(IF($E$31-$A33&lt;=0,"",$B$6/($E$31-$A33)/$B$11),"")</f>
        <v>61.97967220591822</v>
      </c>
      <c r="F33" s="28" t="n"/>
    </row>
    <row r="34">
      <c r="A34" s="69">
        <f>IFERROR($B$9*1.0,"")</f>
        <v>7.220180000000001</v>
      </c>
      <c r="B34" s="44">
        <f>IFERROR(IF($B$31-$A34&lt;=0,"",$B$6/($B$31-$A34)/$B$11),"")</f>
        <v>76.57447024494759</v>
      </c>
      <c r="C34" s="44">
        <f>IFERROR(IF($C$31-$A34&lt;=0,"",$B$6/($C$31-$A34)/$B$11),"")</f>
        <v>71.43176150829656</v>
      </c>
      <c r="D34" s="44">
        <f>IFERROR(IF($D$31-$A34&lt;=0,"",$B$6/($D$31-$A34)/$B$11),"")</f>
        <v>66.93634513977739</v>
      </c>
      <c r="E34" s="44">
        <f>IFERROR(IF($E$31-$A34&lt;=0,"",$B$6/($E$31-$A34)/$B$11),"")</f>
        <v>62.97324852530298</v>
      </c>
      <c r="F34" s="28" t="n"/>
    </row>
    <row r="35">
      <c r="A35" s="69">
        <f>IFERROR($B$9*1.075,"")</f>
        <v>7.761693500000001</v>
      </c>
      <c r="B35" s="44">
        <f>IFERROR(IF($B$31-$A35&lt;=0,"",$B$6/($B$31-$A35)/$B$11),"")</f>
        <v>78.0968156004853</v>
      </c>
      <c r="C35" s="44">
        <f>IFERROR(IF($C$31-$A35&lt;=0,"",$B$6/($C$31-$A35)/$B$11),"")</f>
        <v>72.75472674862341</v>
      </c>
      <c r="D35" s="44">
        <f>IFERROR(IF($D$31-$A35&lt;=0,"",$B$6/($D$31-$A35)/$B$11),"")</f>
        <v>68.09668123334407</v>
      </c>
      <c r="E35" s="44">
        <f>IFERROR(IF($E$31-$A35&lt;=0,"",$B$6/($E$31-$A35)/$B$11),"")</f>
        <v>63.99919923718135</v>
      </c>
      <c r="F35" s="28" t="n"/>
    </row>
    <row r="36">
      <c r="A36" s="69">
        <f>IFERROR($B$9*1.15,"")</f>
        <v>8.303207</v>
      </c>
      <c r="B36" s="44">
        <f>IFERROR(IF($B$31-$A36&lt;=0,"",$B$6/($B$31-$A36)/$B$11),"")</f>
        <v>79.68091897779632</v>
      </c>
      <c r="C36" s="44">
        <f>IFERROR(IF($C$31-$A36&lt;=0,"",$B$6/($C$31-$A36)/$B$11),"")</f>
        <v>74.12762115961877</v>
      </c>
      <c r="D36" s="44">
        <f>IFERROR(IF($D$31-$A36&lt;=0,"",$B$6/($D$31-$A36)/$B$11),"")</f>
        <v>69.29795565289183</v>
      </c>
      <c r="E36" s="44">
        <f>IFERROR(IF($E$31-$A36&lt;=0,"",$B$6/($E$31-$A36)/$B$11),"")</f>
        <v>65.05913286358084</v>
      </c>
      <c r="F36" s="28" t="n"/>
    </row>
    <row r="37">
      <c r="A37" s="28" t="n"/>
      <c r="B37" s="28" t="n"/>
      <c r="C37" s="28" t="n"/>
      <c r="D37" s="28" t="n"/>
      <c r="E37" s="28" t="n"/>
      <c r="F37" s="28" t="n"/>
    </row>
    <row r="38">
      <c r="A38" s="28" t="n"/>
      <c r="B38" s="28" t="n"/>
      <c r="C38" s="28" t="n"/>
      <c r="D38" s="28" t="n"/>
      <c r="E38" s="28" t="n"/>
      <c r="F38" s="28" t="n"/>
    </row>
    <row r="39">
      <c r="A39" s="28" t="n"/>
      <c r="B39" s="28" t="n"/>
      <c r="C39" s="28" t="n"/>
      <c r="D39" s="28" t="n"/>
      <c r="E39" s="28" t="n"/>
      <c r="F39" s="28" t="n"/>
    </row>
    <row r="40">
      <c r="A40" s="28" t="n"/>
      <c r="B40" s="28" t="n"/>
      <c r="C40" s="28" t="n"/>
      <c r="D40" s="28" t="n"/>
      <c r="E40" s="28" t="n"/>
      <c r="F40" s="28" t="n"/>
    </row>
    <row r="41">
      <c r="A41" s="28" t="n"/>
      <c r="B41" s="28" t="n"/>
      <c r="C41" s="28" t="n"/>
      <c r="D41" s="28" t="n"/>
      <c r="E41" s="28" t="n"/>
      <c r="F41" s="28" t="n"/>
    </row>
    <row r="42">
      <c r="A42" s="28" t="n"/>
      <c r="B42" s="28" t="n"/>
      <c r="C42" s="28" t="n"/>
      <c r="D42" s="28" t="n"/>
      <c r="E42" s="28" t="n"/>
      <c r="F42" s="28" t="n"/>
    </row>
    <row r="43">
      <c r="A43" s="28" t="n"/>
      <c r="B43" s="28" t="n"/>
      <c r="C43" s="28" t="n"/>
      <c r="D43" s="28" t="n"/>
      <c r="E43" s="28" t="n"/>
      <c r="F43" s="28" t="n"/>
    </row>
    <row r="44">
      <c r="A44" s="28" t="n"/>
      <c r="B44" s="28" t="n"/>
      <c r="C44" s="28" t="n"/>
      <c r="D44" s="28" t="n"/>
      <c r="E44" s="28" t="n"/>
      <c r="F44" s="28" t="n"/>
    </row>
    <row r="45">
      <c r="A45" s="28" t="n"/>
      <c r="B45" s="28" t="n"/>
      <c r="C45" s="28" t="n"/>
      <c r="D45" s="28" t="n"/>
      <c r="E45" s="28" t="n"/>
      <c r="F45" s="28" t="n"/>
    </row>
    <row r="46">
      <c r="A46" s="28" t="n"/>
      <c r="B46" s="28" t="n"/>
      <c r="C46" s="28" t="n"/>
      <c r="D46" s="28" t="n"/>
      <c r="E46" s="28" t="n"/>
      <c r="F46" s="28" t="n"/>
    </row>
    <row r="47">
      <c r="A47" s="28" t="n"/>
      <c r="B47" s="28" t="n"/>
      <c r="C47" s="28" t="n"/>
      <c r="D47" s="28" t="n"/>
      <c r="E47" s="28" t="n"/>
      <c r="F47" s="28" t="n"/>
    </row>
    <row r="48">
      <c r="A48" s="28" t="n"/>
      <c r="B48" s="28" t="n"/>
      <c r="C48" s="28" t="n"/>
      <c r="D48" s="28" t="n"/>
      <c r="E48" s="28" t="n"/>
      <c r="F48" s="28" t="n"/>
    </row>
    <row r="49">
      <c r="A49" s="28" t="n"/>
      <c r="B49" s="28" t="n"/>
      <c r="C49" s="28" t="n"/>
      <c r="D49" s="28" t="n"/>
      <c r="E49" s="28" t="n"/>
      <c r="F49" s="28" t="n"/>
    </row>
    <row r="50">
      <c r="A50" s="28" t="n"/>
      <c r="B50" s="28" t="n"/>
      <c r="C50" s="28" t="n"/>
      <c r="D50" s="28" t="n"/>
      <c r="E50" s="28" t="n"/>
      <c r="F50" s="28" t="n"/>
    </row>
    <row r="51">
      <c r="A51" s="28" t="n"/>
      <c r="B51" s="28" t="n"/>
      <c r="C51" s="28" t="n"/>
      <c r="D51" s="28" t="n"/>
      <c r="E51" s="28" t="n"/>
      <c r="F51" s="28" t="n"/>
    </row>
    <row r="52">
      <c r="A52" s="28" t="n"/>
      <c r="B52" s="28" t="n"/>
      <c r="C52" s="28" t="n"/>
      <c r="D52" s="28" t="n"/>
      <c r="E52" s="28" t="n"/>
      <c r="F52" s="28" t="n"/>
    </row>
    <row r="53">
      <c r="A53" s="28" t="n"/>
      <c r="B53" s="28" t="n"/>
      <c r="C53" s="28" t="n"/>
      <c r="D53" s="28" t="n"/>
      <c r="E53" s="28" t="n"/>
      <c r="F53" s="28" t="n"/>
    </row>
    <row r="54">
      <c r="A54" s="28" t="n"/>
      <c r="B54" s="28" t="n"/>
      <c r="C54" s="28" t="n"/>
      <c r="D54" s="28" t="n"/>
      <c r="E54" s="28" t="n"/>
      <c r="F54" s="28" t="n"/>
    </row>
    <row r="55">
      <c r="A55" s="28" t="n"/>
      <c r="B55" s="28" t="n"/>
      <c r="C55" s="28" t="n"/>
      <c r="D55" s="28" t="n"/>
      <c r="E55" s="28" t="n"/>
      <c r="F55" s="28" t="n"/>
    </row>
    <row r="56">
      <c r="A56" s="28" t="n"/>
      <c r="B56" s="28" t="n"/>
      <c r="C56" s="28" t="n"/>
      <c r="D56" s="28" t="n"/>
      <c r="E56" s="28" t="n"/>
      <c r="F56"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ESCENARIOS</t>
        </is>
      </c>
    </row>
    <row r="2"/>
    <row r="3"/>
    <row r="4">
      <c r="A4" s="25" t="inlineStr">
        <is>
          <t>Métrica</t>
        </is>
      </c>
      <c r="B4" s="25" t="inlineStr">
        <is>
          <t>Pesimista</t>
        </is>
      </c>
      <c r="C4" s="25" t="inlineStr">
        <is>
          <t>Realista</t>
        </is>
      </c>
      <c r="D4" s="25" t="inlineStr">
        <is>
          <t>Optimista</t>
        </is>
      </c>
      <c r="E4" s="25" t="inlineStr">
        <is>
          <t>Notas</t>
        </is>
      </c>
      <c r="F4" s="28" t="n"/>
    </row>
    <row r="5">
      <c r="A5" s="28" t="inlineStr">
        <is>
          <t>Invitados por evento</t>
        </is>
      </c>
      <c r="B5" s="49" t="n">
        <v>78</v>
      </c>
      <c r="C5" s="39">
        <f>IFERROR(IF('PyG 3 Años'!$B$6="","",'PyG 3 Años'!$B$6),"")</f>
        <v>82.0</v>
      </c>
      <c r="D5" s="49" t="n">
        <v>85</v>
      </c>
      <c r="E5" s="28" t="n"/>
      <c r="F5" s="28" t="n"/>
    </row>
    <row r="6">
      <c r="A6" s="28" t="inlineStr">
        <is>
          <t>Precio medio por invitado sin IVA</t>
        </is>
      </c>
      <c r="B6" s="73" t="n">
        <v>34</v>
      </c>
      <c r="C6" s="69">
        <f>IFERROR(IF('PyG 3 Años'!$B$7="","",'PyG 3 Años'!$B$7),"")</f>
        <v>37.0</v>
      </c>
      <c r="D6" s="73" t="n">
        <v>39</v>
      </c>
      <c r="E6" s="28" t="n"/>
      <c r="F6" s="28" t="n"/>
    </row>
    <row r="7">
      <c r="A7" s="28" t="inlineStr">
        <is>
          <t>Eventos al año</t>
        </is>
      </c>
      <c r="B7" s="49" t="n">
        <v>100</v>
      </c>
      <c r="C7" s="39">
        <f>IFERROR(IF('PyG 3 Años'!$B$8="","",'PyG 3 Años'!$B$8),"")</f>
        <v>120.0</v>
      </c>
      <c r="D7" s="49" t="n">
        <v>135</v>
      </c>
      <c r="E7" s="28" t="n"/>
      <c r="F7" s="28" t="n"/>
    </row>
    <row r="8">
      <c r="A8" s="25" t="inlineStr">
        <is>
          <t>INGRESOS ANUALES (sin IVA)</t>
        </is>
      </c>
      <c r="B8" s="26">
        <f>IFERROR(IF(B5*B6*B7=0,"",B5*B6*B7),"")</f>
        <v>265200.0</v>
      </c>
      <c r="C8" s="26">
        <f>IFERROR(IF(C5*C6*C7=0,"",C5*C6*C7),"")</f>
        <v>364080.0</v>
      </c>
      <c r="D8" s="26">
        <f>IFERROR(IF(D5*D6*D7=0,"",D5*D6*D7),"")</f>
        <v>447525.0</v>
      </c>
      <c r="E8" s="28" t="n"/>
      <c r="F8" s="28" t="n"/>
    </row>
    <row r="9">
      <c r="A9" s="28" t="inlineStr">
        <is>
          <t>Coste directo del evento</t>
        </is>
      </c>
      <c r="B9" s="32">
        <f>IFERROR(IF(B8="","",B8*'0. Supuestos'!$B$11*'0. Supuestos'!$B$13),"")</f>
        <v>33717.528</v>
      </c>
      <c r="C9" s="32">
        <f>IFERROR(IF(C8="","",C8*'0. Supuestos'!$B$11*'0. Supuestos'!$B$13),"")</f>
        <v>46289.1312</v>
      </c>
      <c r="D9" s="32">
        <f>IFERROR(IF(D8="","",D8*'0. Supuestos'!$B$11*'0. Supuestos'!$B$13),"")</f>
        <v>56898.3285</v>
      </c>
      <c r="E9" s="28" t="n"/>
      <c r="F9" s="28" t="n"/>
    </row>
    <row r="10">
      <c r="A10" s="28" t="inlineStr">
        <is>
          <t>Coste del canon (no tiene)</t>
        </is>
      </c>
      <c r="B10" s="32">
        <f>IFERROR(IF(B8="","",B8*'0. Supuestos'!$B$12*'0. Supuestos'!$B$14),"")</f>
        <v>0.0</v>
      </c>
      <c r="C10" s="32">
        <f>IFERROR(IF(C8="","",C8*'0. Supuestos'!$B$12*'0. Supuestos'!$B$14),"")</f>
        <v>0.0</v>
      </c>
      <c r="D10" s="32">
        <f>IFERROR(IF(D8="","",D8*'0. Supuestos'!$B$12*'0. Supuestos'!$B$14),"")</f>
        <v>0.0</v>
      </c>
      <c r="E10" s="28" t="n"/>
      <c r="F10" s="28" t="n"/>
    </row>
    <row r="11">
      <c r="A11" s="28" t="inlineStr">
        <is>
          <t>Consumibles de los montajes</t>
        </is>
      </c>
      <c r="B11" s="32">
        <f>IFERROR(IF(B8="","",B8*'0. Supuestos'!$B$15),"")</f>
        <v>5304.0</v>
      </c>
      <c r="C11" s="32">
        <f>IFERROR(IF(C8="","",C8*'0. Supuestos'!$B$15),"")</f>
        <v>7281.6</v>
      </c>
      <c r="D11" s="32">
        <f>IFERROR(IF(D8="","",D8*'0. Supuestos'!$B$15),"")</f>
        <v>8950.5</v>
      </c>
      <c r="E11" s="28" t="n"/>
      <c r="F11" s="28" t="n"/>
    </row>
    <row r="12">
      <c r="A12" s="28" t="inlineStr">
        <is>
          <t>Comisiones de wedding planners y agencias</t>
        </is>
      </c>
      <c r="B12" s="32">
        <f>IFERROR(IF(B8="","",B8*'0. Supuestos'!$B$16*'0. Supuestos'!$B$17),"")</f>
        <v>6630.0</v>
      </c>
      <c r="C12" s="32">
        <f>IFERROR(IF(C8="","",C8*'0. Supuestos'!$B$16*'0. Supuestos'!$B$17),"")</f>
        <v>9102.0</v>
      </c>
      <c r="D12" s="32">
        <f>IFERROR(IF(D8="","",D8*'0. Supuestos'!$B$16*'0. Supuestos'!$B$17),"")</f>
        <v>11188.125</v>
      </c>
      <c r="E12" s="28" t="n"/>
      <c r="F12" s="28" t="n"/>
    </row>
    <row r="13">
      <c r="A13" s="28" t="inlineStr">
        <is>
          <t>Comisiones de los medios de pago</t>
        </is>
      </c>
      <c r="B13" s="32">
        <f>IFERROR(IF(B8="","",B8*'0. Supuestos'!$B$18),"")</f>
        <v>795.6</v>
      </c>
      <c r="C13" s="32">
        <f>IFERROR(IF(C8="","",C8*'0. Supuestos'!$B$18),"")</f>
        <v>1092.24</v>
      </c>
      <c r="D13" s="32">
        <f>IFERROR(IF(D8="","",D8*'0. Supuestos'!$B$18),"")</f>
        <v>1342.575</v>
      </c>
      <c r="E13" s="28" t="n"/>
      <c r="F13" s="28" t="n"/>
    </row>
    <row r="14">
      <c r="A14" s="28" t="inlineStr">
        <is>
          <t>Varios e imprevistos</t>
        </is>
      </c>
      <c r="B14" s="32">
        <f>IFERROR(IF(B8="","",B8*'0. Supuestos'!$B$28),"")</f>
        <v>5304.0</v>
      </c>
      <c r="C14" s="32">
        <f>IFERROR(IF(C8="","",C8*'0. Supuestos'!$B$28),"")</f>
        <v>7281.6</v>
      </c>
      <c r="D14" s="32">
        <f>IFERROR(IF(D8="","",D8*'0. Supuestos'!$B$28),"")</f>
        <v>8950.5</v>
      </c>
      <c r="E14" s="28" t="n"/>
      <c r="F14" s="28" t="n"/>
    </row>
    <row r="15">
      <c r="A15" s="28" t="inlineStr">
        <is>
          <t>TOTAL COSTES VARIABLES</t>
        </is>
      </c>
      <c r="B15" s="32">
        <f>IFERROR(IF(B8="","",SUM(B9:B14)),"")</f>
        <v>51751.128</v>
      </c>
      <c r="C15" s="32">
        <f>IFERROR(IF(C8="","",SUM(C9:C14)),"")</f>
        <v>71046.5712</v>
      </c>
      <c r="D15" s="32">
        <f>IFERROR(IF(D8="","",SUM(D9:D14)),"")</f>
        <v>87330.0285</v>
      </c>
      <c r="E15" s="28" t="n"/>
      <c r="F15" s="28" t="n"/>
    </row>
    <row r="16">
      <c r="A16" s="28" t="inlineStr">
        <is>
          <t>MARGEN BRUTO</t>
        </is>
      </c>
      <c r="B16" s="32">
        <f>IFERROR(IF(B8="","",B8-B15),"")</f>
        <v>213448.872</v>
      </c>
      <c r="C16" s="32">
        <f>IFERROR(IF(C8="","",C8-C15),"")</f>
        <v>293033.4288</v>
      </c>
      <c r="D16" s="32">
        <f>IFERROR(IF(D8="","",D8-D15),"")</f>
        <v>360194.9715</v>
      </c>
      <c r="E16" s="28" t="n"/>
      <c r="F16" s="28" t="n"/>
    </row>
    <row r="17">
      <c r="A17" s="28" t="inlineStr">
        <is>
          <t>COSTES FIJOS (los del P&amp;L)</t>
        </is>
      </c>
      <c r="B17" s="32">
        <f>IFERROR(IF(B8="","",'PyG 3 Años'!$B$38),"")</f>
        <v>255267.0</v>
      </c>
      <c r="C17" s="32">
        <f>IFERROR(IF(C8="","",'PyG 3 Años'!$B$38),"")</f>
        <v>255267.0</v>
      </c>
      <c r="D17" s="32">
        <f>IFERROR(IF(D8="","",'PyG 3 Años'!$B$38),"")</f>
        <v>255267.0</v>
      </c>
      <c r="E17" s="28" t="inlineStr">
        <is>
          <t>Los costes fijos no cambian con el escenario: por eso son fijos</t>
        </is>
      </c>
      <c r="F17" s="28" t="n"/>
    </row>
    <row r="18">
      <c r="A18" s="25" t="inlineStr">
        <is>
          <t>RESULTADO ANTES DE IMPUESTOS</t>
        </is>
      </c>
      <c r="B18" s="26">
        <f>IFERROR(IF(B8="","",B16-B17),"")</f>
        <v>-41818.128</v>
      </c>
      <c r="C18" s="26">
        <f>IFERROR(IF(C8="","",C16-C17),"")</f>
        <v>37766.428799999994</v>
      </c>
      <c r="D18" s="26">
        <f>IFERROR(IF(D8="","",D16-D17),"")</f>
        <v>104927.97149999999</v>
      </c>
      <c r="E18" s="28" t="n"/>
      <c r="F18" s="28" t="n"/>
    </row>
    <row r="19">
      <c r="A19" s="28" t="inlineStr">
        <is>
          <t>Impuesto de Sociedades</t>
        </is>
      </c>
      <c r="B19" s="32">
        <f>IFERROR(IF(B8="","",MAX(0,B18-'0. Supuestos'!$B$42)*'0. Supuestos'!$B$37),"")</f>
        <v>0.0</v>
      </c>
      <c r="C19" s="32">
        <f>IFERROR(IF(C8="","",MAX(0,C18-'0. Supuestos'!$B$42)*'0. Supuestos'!$B$37),"")</f>
        <v>5664.964319999999</v>
      </c>
      <c r="D19" s="32">
        <f>IFERROR(IF(D8="","",MAX(0,D18-'0. Supuestos'!$B$42)*'0. Supuestos'!$B$37),"")</f>
        <v>15739.195724999998</v>
      </c>
      <c r="E19" s="28" t="inlineStr">
        <is>
          <t>Al tipo de entidad de nueva creación, compensando las bases negativas anteriores</t>
        </is>
      </c>
      <c r="F19" s="28" t="n"/>
    </row>
    <row r="20">
      <c r="A20" s="25" t="inlineStr">
        <is>
          <t>RESULTADO NETO</t>
        </is>
      </c>
      <c r="B20" s="26">
        <f>IFERROR(IF(B8="","",B18-B19),"")</f>
        <v>-41818.128</v>
      </c>
      <c r="C20" s="26">
        <f>IFERROR(IF(C8="","",C18-C19),"")</f>
        <v>32101.464479999995</v>
      </c>
      <c r="D20" s="26">
        <f>IFERROR(IF(D8="","",D18-D19),"")</f>
        <v>89188.77577499999</v>
      </c>
      <c r="E20" s="28" t="n"/>
      <c r="F20" s="28" t="n"/>
    </row>
    <row r="21">
      <c r="A21" s="28" t="inlineStr">
        <is>
          <t>Invitados por evento para el equilibrio</t>
        </is>
      </c>
      <c r="B21" s="44">
        <f>IFERROR(IF(B8="","",IF(B6-B15/(B5*B7)&lt;=0,"",B17/(B6-B15/(B5*B7))/B7)),"")</f>
        <v>93.28147679318727</v>
      </c>
      <c r="C21" s="44">
        <f>IFERROR(IF(C8="","",IF(C6-C15/(C5*C7)&lt;=0,"",C17/(C6-C15/(C5*C7))/C7)),"")</f>
        <v>71.43176150829656</v>
      </c>
      <c r="D21" s="44">
        <f>IFERROR(IF(D8="","",IF(D6-D15/(D5*D7)&lt;=0,"",D17/(D6-D15/(D5*D7))/D7)),"")</f>
        <v>60.238750445742966</v>
      </c>
      <c r="E21" s="28" t="n"/>
      <c r="F21" s="28" t="n"/>
    </row>
    <row r="22">
      <c r="A22" s="25" t="inlineStr">
        <is>
          <t>LO QUE CADA ESCENARIO EXIGE</t>
        </is>
      </c>
      <c r="B22" s="28" t="n"/>
      <c r="C22" s="28" t="n"/>
      <c r="D22" s="28" t="n"/>
      <c r="E22" s="28" t="n"/>
      <c r="F22" s="28" t="n"/>
    </row>
    <row r="23">
      <c r="A23" s="28" t="inlineStr">
        <is>
          <t>Coste de personal / Ventas</t>
        </is>
      </c>
      <c r="B23" s="67">
        <f>IFERROR(IF(B8="","",'PyG 3 Años'!$B$23/B8),"")</f>
        <v>0.42126696832579186</v>
      </c>
      <c r="C23" s="67">
        <f>IFERROR(IF(C8="","",'PyG 3 Años'!$B$23/C8),"")</f>
        <v>0.3068556361239288</v>
      </c>
      <c r="D23" s="67">
        <f>IFERROR(IF(D8="","",'PyG 3 Años'!$B$23/D8),"")</f>
        <v>0.2496396849338026</v>
      </c>
      <c r="E23" s="28" t="inlineStr">
        <is>
          <t>La MISMA plantilla en los tres escenarios. Si en el pesimista se dispara, el ajuste hay que hacerlo en la hoja de Personal, no aquí</t>
        </is>
      </c>
      <c r="F23" s="28" t="n"/>
    </row>
    <row r="24">
      <c r="A24" s="28" t="inlineStr">
        <is>
          <t>Invitados al año por jornada equivalente</t>
        </is>
      </c>
      <c r="B24" s="39">
        <f>IFERROR(IF(B8="","",B5*B7/'Personal'!$C$11),"")</f>
        <v>2328.3582089552237</v>
      </c>
      <c r="C24" s="39">
        <f>IFERROR(IF(C8="","",C5*C7/'Personal'!$C$11),"")</f>
        <v>2937.313432835821</v>
      </c>
      <c r="D24" s="39">
        <f>IFERROR(IF(D8="","",D5*D7/'Personal'!$C$11),"")</f>
        <v>3425.373134328358</v>
      </c>
      <c r="E24" s="28" t="inlineStr">
        <is>
          <t>Invitados que tendría que recibir cada jornada completa del cuadro de Personal. En el optimista dice si hace falta contratar</t>
        </is>
      </c>
      <c r="F24" s="28" t="n"/>
    </row>
    <row r="25">
      <c r="A25" s="25" t="inlineStr">
        <is>
          <t>Saldo de caja al cierre del año 1 (estimado, el mismo método en los tres escenarios)</t>
        </is>
      </c>
      <c r="B25" s="26">
        <f>IFERROR(IF(B8="","",'Inversión Inicial'!$B$30+B20+'PyG 3 Años'!$B$36-'Financiación'!$B$45),"")</f>
        <v>34562.622</v>
      </c>
      <c r="C25" s="26">
        <f>IFERROR(IF(C8="","",'Inversión Inicial'!$B$30+C20+'PyG 3 Años'!$B$36-'Financiación'!$B$45),"")</f>
        <v>108482.21448</v>
      </c>
      <c r="D25" s="26">
        <f>IFERROR(IF(D8="","",'Inversión Inicial'!$B$30+D20+'PyG 3 Años'!$B$36-'Financiación'!$B$45),"")</f>
        <v>165569.525775</v>
      </c>
      <c r="E25" s="25"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8" t="n"/>
    </row>
    <row r="26">
      <c r="A26" s="28" t="inlineStr">
        <is>
          <t>Saldo real del mes 12 de la hoja de Tesorería (sólo realista)</t>
        </is>
      </c>
      <c r="B26" s="28" t="n"/>
      <c r="C26" s="32">
        <f>IFERROR(IF(C8="","",'Tesorería 12 meses'!$M$22),"")</f>
        <v>149910.01496134434</v>
      </c>
      <c r="D26" s="28" t="n"/>
      <c r="E26" s="28"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8" t="n"/>
    </row>
    <row r="27">
      <c r="A27" s="28" t="n"/>
      <c r="B27" s="28" t="n"/>
      <c r="C27" s="28" t="n"/>
      <c r="D27" s="28" t="n"/>
      <c r="E27" s="28" t="n"/>
      <c r="F27" s="28" t="n"/>
    </row>
    <row r="28" ht="165" customHeight="1">
      <c r="A28" s="46" t="inlineStr">
        <is>
          <t>La columna «Realista» lee sus tres datos de la hoja de Supuestos, así que reproduce EXACTAMENTE el año 1 del P&amp;L. Los otros dos escenarios usan las mismas tasas de coste: lo único que cambia son los invitados, el precio por invitado y los eventos. Los COSTES FIJOS sí son los mismos en los tres: los varios e imprevistos, que son un porcentaje de las ventas, van arriba con los variables y cada escenario carga los suyos.</t>
        </is>
      </c>
      <c r="B28" s="28" t="n"/>
      <c r="C28" s="28" t="n"/>
      <c r="D28" s="28" t="n"/>
      <c r="E28" s="28" t="n"/>
      <c r="F2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Años'!$E$54)</formula>
    </cfRule>
    <cfRule type="expression" priority="2" dxfId="0" stopIfTrue="1">
      <formula>AND(ISNUMBER(B23),B23&lt;='PyG 3 Años'!$E$54)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2">
    <dataValidation sqref="B5 B6 D5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9"/>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PERSONAL Y COSTES</t>
        </is>
      </c>
    </row>
    <row r="2">
      <c r="A2" t="str">
        <f>IFERROR("Convenio Hostelería — "&amp;TEXT('0. Supuestos'!$B$21,"0")&amp;" pagas + SS "&amp;TEXT('0. Supuestos'!$B$20*100,"0")&amp;" %","")</f>
        <v>Convenio Hostelería — 14 pagas + SS 33 %</v>
      </c>
    </row>
    <row r="3"/>
    <row r="4">
      <c r="A4" s="38" t="inlineStr">
        <is>
          <t>Puesto</t>
        </is>
      </c>
      <c r="B4" s="38" t="inlineStr">
        <is>
          <t>Personas</t>
        </is>
      </c>
      <c r="C4" s="38" t="inlineStr">
        <is>
          <t>Jornada</t>
        </is>
      </c>
      <c r="D4" s="38" t="inlineStr">
        <is>
          <t>Bruto mes (€, total del puesto)</t>
        </is>
      </c>
      <c r="E4" s="38" t="inlineStr">
        <is>
          <t>Seg. Social a cargo de la empresa (€)</t>
        </is>
      </c>
      <c r="F4" s="38" t="inlineStr">
        <is>
          <t>Coste mes (€, total del puesto)</t>
        </is>
      </c>
      <c r="G4" s="38" t="inlineStr">
        <is>
          <t>Coste año (€)</t>
        </is>
      </c>
      <c r="H4" s="38" t="inlineStr">
        <is>
          <t>Horas/semana por persona</t>
        </is>
      </c>
      <c r="I4" s="38" t="inlineStr">
        <is>
          <t>Horas/año del puesto</t>
        </is>
      </c>
      <c r="J4" s="38" t="inlineStr">
        <is>
          <t>Notas</t>
        </is>
      </c>
    </row>
    <row r="5">
      <c r="A5" s="28" t="inlineStr">
        <is>
          <t>Titular — gerencia, ventas y visitas</t>
        </is>
      </c>
      <c r="B5" s="49" t="n">
        <v>1</v>
      </c>
      <c r="C5" s="51" t="n">
        <v>1</v>
      </c>
      <c r="D5" s="73" t="n">
        <v>2000</v>
      </c>
      <c r="E5" s="69">
        <f>IFERROR(IF(D5="","",D5*'0. Supuestos'!$B$20),"")</f>
        <v>660.0</v>
      </c>
      <c r="F5" s="69">
        <f>IFERROR(IF(D5="","",D5+E5),"")</f>
        <v>2660.0</v>
      </c>
      <c r="G5" s="69">
        <f>IFERROR(IF(D5="","",F5*MAX(12,'0. Supuestos'!$B$21)),"")</f>
        <v>37240.0</v>
      </c>
      <c r="H5" s="44">
        <f>IFERROR(IF(D5="","",C5*$B$18),"")</f>
        <v>40.0</v>
      </c>
      <c r="I5" s="39">
        <f>IFERROR(IF(D5="","",H5*B5*$B$19),"")</f>
        <v>1840.0</v>
      </c>
      <c r="J5" s="28" t="inlineStr">
        <is>
          <t>Vende, enseña la finca, firma los contratos, lleva el calendario y coordina al catering. Como administrador de la SL cotiza en el régimen de autónomos: el libro le imputa el 33 % de Seguridad Social sobre 14 pagas como si fuera nómina, que es el lado prudente. Confirma con tu gestoría la cuota real</t>
        </is>
      </c>
    </row>
    <row r="6">
      <c r="A6" s="28" t="inlineStr">
        <is>
          <t>Coordinación de bodas y celebraciones (fijo discontinuo, marzo-noviembre)</t>
        </is>
      </c>
      <c r="B6" s="49" t="n">
        <v>1</v>
      </c>
      <c r="C6" s="51" t="n">
        <v>0.75</v>
      </c>
      <c r="D6" s="73" t="n">
        <v>1240</v>
      </c>
      <c r="E6" s="69">
        <f>IFERROR(IF(D6="","",D6*'0. Supuestos'!$B$20),"")</f>
        <v>409.20000000000005</v>
      </c>
      <c r="F6" s="69">
        <f>IFERROR(IF(D6="","",D6+E6),"")</f>
        <v>1649.2</v>
      </c>
      <c r="G6" s="69">
        <f>IFERROR(IF(D6="","",F6*MAX(12,'0. Supuestos'!$B$21)),"")</f>
        <v>23088.8</v>
      </c>
      <c r="H6" s="44">
        <f>IFERROR(IF(D6="","",C6*$B$18),"")</f>
        <v>30.0</v>
      </c>
      <c r="I6" s="39">
        <f>IFERROR(IF(D6="","",H6*B6*$B$19),"")</f>
        <v>1380.0</v>
      </c>
      <c r="J6" s="28" t="inlineStr">
        <is>
          <t>Contrato fijo discontinuo (art. 16 del Estatuto de los Trabajadores) a jornada completa de marzo a noviembre: equivale al 75 % en cómputo anual. Prepara cada evento con los novios y el catering y lo dirige el día. De diciembre a febrero (comidas de Navidad y eventos de invierno) coordina el titular. Bruto a jornada completa: unos 1.650 €</t>
        </is>
      </c>
    </row>
    <row r="7">
      <c r="A7" s="28" t="inlineStr">
        <is>
          <t>Mantenimiento y jardinería</t>
        </is>
      </c>
      <c r="B7" s="49" t="n">
        <v>1</v>
      </c>
      <c r="C7" s="51" t="n">
        <v>0.8</v>
      </c>
      <c r="D7" s="73" t="n">
        <v>1120</v>
      </c>
      <c r="E7" s="69">
        <f>IFERROR(IF(D7="","",D7*'0. Supuestos'!$B$20),"")</f>
        <v>369.6</v>
      </c>
      <c r="F7" s="69">
        <f>IFERROR(IF(D7="","",D7+E7),"")</f>
        <v>1489.6</v>
      </c>
      <c r="G7" s="69">
        <f>IFERROR(IF(D7="","",F7*MAX(12,'0. Supuestos'!$B$21)),"")</f>
        <v>20854.399999999998</v>
      </c>
      <c r="H7" s="44">
        <f>IFERROR(IF(D7="","",C7*$B$18),"")</f>
        <v>32.0</v>
      </c>
      <c r="I7" s="39">
        <f>IFERROR(IF(D7="","",H7*B7*$B$19),"")</f>
        <v>1472.0</v>
      </c>
      <c r="J7" s="28" t="inlineStr">
        <is>
          <t>Jardines, riego, caminos, pequeñas reparaciones, grupo electrógeno y puesta a punto del salón y de la carpa. Al 80 % de jornada; lo grande (poda, pintura) va en los costes fijos. Bruto a jornada completa: 1.400 €</t>
        </is>
      </c>
    </row>
    <row r="8">
      <c r="A8" s="28" t="inlineStr">
        <is>
          <t>Auxiliares de montaje, acceso y aseos (fijos discontinuos)</t>
        </is>
      </c>
      <c r="B8" s="49" t="n">
        <v>2</v>
      </c>
      <c r="C8" s="51" t="n">
        <v>0.4</v>
      </c>
      <c r="D8" s="73" t="n">
        <v>1080</v>
      </c>
      <c r="E8" s="69">
        <f>IFERROR(IF(D8="","",D8*'0. Supuestos'!$B$20),"")</f>
        <v>356.40000000000003</v>
      </c>
      <c r="F8" s="69">
        <f>IFERROR(IF(D8="","",D8+E8),"")</f>
        <v>1436.4</v>
      </c>
      <c r="G8" s="69">
        <f>IFERROR(IF(D8="","",F8*MAX(12,'0. Supuestos'!$B$21)),"")</f>
        <v>20109.600000000002</v>
      </c>
      <c r="H8" s="44">
        <f>IFERROR(IF(D8="","",C8*$B$18),"")</f>
        <v>16.0</v>
      </c>
      <c r="I8" s="39">
        <f>IFERROR(IF(D8="","",H8*B8*$B$19),"")</f>
        <v>1472.0</v>
      </c>
      <c r="J8" s="28" t="inlineStr">
        <is>
          <t>Dos personas al 40 % de jornada en cómputo anual: montaje, control de acceso y aparcamiento, reposición de aseos y recogida. Dos en cada boda y una en el resto. Nunca como autónomos que te facturan: con tu horario y tu dirección es falso autónomo (art. 1.1 ET). Bruto a jornada completa: 1.350 €</t>
        </is>
      </c>
    </row>
    <row r="9">
      <c r="A9" s="28" t="inlineStr">
        <is>
          <t>Comercial de bodas a tiempo parcial</t>
        </is>
      </c>
      <c r="B9" s="49" t="n">
        <v>1</v>
      </c>
      <c r="C9" s="51" t="n">
        <v>0.2</v>
      </c>
      <c r="D9" s="73" t="n">
        <v>300</v>
      </c>
      <c r="E9" s="69">
        <f>IFERROR(IF(D9="","",D9*'0. Supuestos'!$B$20),"")</f>
        <v>99.0</v>
      </c>
      <c r="F9" s="69">
        <f>IFERROR(IF(D9="","",D9+E9),"")</f>
        <v>399.0</v>
      </c>
      <c r="G9" s="69">
        <f>IFERROR(IF(D9="","",F9*MAX(12,'0. Supuestos'!$B$21)),"")</f>
        <v>5586.0</v>
      </c>
      <c r="H9" s="44">
        <f>IFERROR(IF(D9="","",C9*$B$18),"")</f>
        <v>8.0</v>
      </c>
      <c r="I9" s="39">
        <f>IFERROR(IF(D9="","",H9*B9*$B$19),"")</f>
        <v>368.0</v>
      </c>
      <c r="J9" s="28" t="inlineStr">
        <is>
          <t>Al 20 % de jornada: visitas de los sábados por la mañana, ferias nupciales y seguimiento de las peticiones de los portales. Bruto a jornada completa: 1.500 €</t>
        </is>
      </c>
    </row>
    <row r="10">
      <c r="A10" s="28" t="inlineStr">
        <is>
          <t>Limpieza y puesta a punto a tiempo parcial</t>
        </is>
      </c>
      <c r="B10" s="49" t="n">
        <v>1</v>
      </c>
      <c r="C10" s="51" t="n">
        <v>0.2</v>
      </c>
      <c r="D10" s="73" t="n">
        <v>260</v>
      </c>
      <c r="E10" s="69">
        <f>IFERROR(IF(D10="","",D10*'0. Supuestos'!$B$20),"")</f>
        <v>85.8</v>
      </c>
      <c r="F10" s="69">
        <f>IFERROR(IF(D10="","",D10+E10),"")</f>
        <v>345.8</v>
      </c>
      <c r="G10" s="69">
        <f>IFERROR(IF(D10="","",F10*MAX(12,'0. Supuestos'!$B$21)),"")</f>
        <v>4841.2</v>
      </c>
      <c r="H10" s="44">
        <f>IFERROR(IF(D10="","",C10*$B$18),"")</f>
        <v>8.0</v>
      </c>
      <c r="I10" s="39">
        <f>IFERROR(IF(D10="","",H10*B10*$B$19),"")</f>
        <v>368.0</v>
      </c>
      <c r="J10" s="28" t="inlineStr">
        <is>
          <t>Al 20 % de jornada: limpieza entre eventos del salón, los aseos y el office. La limpieza a fondo tras cada boda va en el coste directo del evento. Bruto a jornada completa: 1.300 €</t>
        </is>
      </c>
    </row>
    <row r="11">
      <c r="A11" s="25" t="inlineStr">
        <is>
          <t>TOTAL PLANTILLA</t>
        </is>
      </c>
      <c r="B11" s="77">
        <f>IFERROR(IF(COUNT(D5:D10)=0,"",SUM(B5:B10)),"")</f>
        <v>7.0</v>
      </c>
      <c r="C11" s="61">
        <f>IFERROR(IF(COUNT(D5:D10)=0,"",SUM(C5:C10)),"")</f>
        <v>3.35</v>
      </c>
      <c r="D11" s="72">
        <f>IFERROR(IF(COUNT(D5:D10)=0,"",SUM(D5:D10)),"")</f>
        <v>6000.0</v>
      </c>
      <c r="E11" s="72">
        <f>IFERROR(IF(COUNT(D5:D10)=0,"",SUM(E5:E10)),"")</f>
        <v>1980.0</v>
      </c>
      <c r="F11" s="72">
        <f>IFERROR(IF(COUNT(D5:D10)=0,"",SUM(F5:F10)),"")</f>
        <v>7980.0</v>
      </c>
      <c r="G11" s="72">
        <f>IFERROR(IF(COUNT(D5:D10)=0,"",SUM(G5:G10)),"")</f>
        <v>111720.0</v>
      </c>
      <c r="H11" s="28" t="n"/>
      <c r="I11" s="77">
        <f>IFERROR(IF(COUNT(D5:D10)=0,"",SUM(I5:I10)),"")</f>
        <v>6900.0</v>
      </c>
      <c r="J11" s="28" t="n"/>
    </row>
    <row r="12">
      <c r="A12" s="25" t="inlineStr">
        <is>
          <t>CRECIMIENTO DE LA PLANTILLA (coste escalonado)</t>
        </is>
      </c>
      <c r="B12" s="28" t="n"/>
      <c r="C12" s="28" t="n"/>
      <c r="D12" s="28" t="n"/>
      <c r="E12" s="28" t="n"/>
      <c r="F12" s="28" t="n"/>
      <c r="G12" s="28" t="n"/>
      <c r="H12" s="28" t="n"/>
      <c r="I12" s="28" t="n"/>
      <c r="J12" s="28" t="n"/>
    </row>
    <row r="13">
      <c r="A13" s="28" t="inlineStr">
        <is>
          <t>Coste anual de las incorporaciones del año 2 (€)</t>
        </is>
      </c>
      <c r="B13" s="29" t="n">
        <v>6000</v>
      </c>
      <c r="C13" s="28" t="n"/>
      <c r="D13" s="28" t="n"/>
      <c r="E13" s="28" t="n"/>
      <c r="F13" s="28" t="n"/>
      <c r="G13" s="28" t="n"/>
      <c r="H13" s="28" t="n"/>
      <c r="I13" s="28" t="n"/>
      <c r="J13" s="28" t="inlineStr">
        <is>
          <t>Coste ANUAL completo (bruto + Seguridad Social × pagas) de lo que se contrate ese año. El P&amp;L lo suma al coste del año anterior: la plantilla no crece con un porcentaje, crece con personas</t>
        </is>
      </c>
    </row>
    <row r="14">
      <c r="A14" s="28" t="inlineStr">
        <is>
          <t>Coste anual de las incorporaciones del año 3 (€)</t>
        </is>
      </c>
      <c r="B14" s="29" t="n">
        <v>6000</v>
      </c>
      <c r="C14" s="28" t="n"/>
      <c r="D14" s="28" t="n"/>
      <c r="E14" s="28" t="n"/>
      <c r="F14" s="28" t="n"/>
      <c r="G14" s="28" t="n"/>
      <c r="H14" s="28" t="n"/>
      <c r="I14" s="28" t="n"/>
      <c r="J14" s="28" t="inlineStr">
        <is>
          <t>Coste ANUAL completo (bruto + Seguridad Social × pagas) de lo que se contrate ese año. El P&amp;L lo suma al coste del año anterior: la plantilla no crece con un porcentaje, crece con personas</t>
        </is>
      </c>
    </row>
    <row r="15">
      <c r="A15" s="28" t="inlineStr">
        <is>
          <t>Coste de personal del año 2</t>
        </is>
      </c>
      <c r="B15" s="32">
        <f>IFERROR(IF(G11="","",G11*(1+'0. Supuestos'!$B$48)+B13),"")</f>
        <v>117720.0</v>
      </c>
      <c r="C15" s="28" t="n"/>
      <c r="D15" s="28" t="n"/>
      <c r="E15" s="28" t="n"/>
      <c r="F15" s="28" t="n"/>
      <c r="G15" s="28" t="n"/>
      <c r="H15" s="28" t="n"/>
      <c r="I15" s="28" t="n"/>
      <c r="J15" s="28" t="n"/>
    </row>
    <row r="16">
      <c r="A16" s="28" t="inlineStr">
        <is>
          <t>Coste de personal del año 3</t>
        </is>
      </c>
      <c r="B16" s="32">
        <f>IFERROR(IF(B15="","",B15*(1+'0. Supuestos'!$B$48)+B14),"")</f>
        <v>123720.0</v>
      </c>
      <c r="C16" s="28" t="n"/>
      <c r="D16" s="28" t="n"/>
      <c r="E16" s="28" t="n"/>
      <c r="F16" s="28" t="n"/>
      <c r="G16" s="28" t="n"/>
      <c r="H16" s="28" t="n"/>
      <c r="I16" s="28" t="n"/>
      <c r="J16" s="28" t="n"/>
    </row>
    <row r="17">
      <c r="A17" s="25" t="inlineStr">
        <is>
          <t>COBERTURA POR HORAS DE SERVICIO</t>
        </is>
      </c>
      <c r="B17" s="28" t="n"/>
      <c r="C17" s="28" t="n"/>
      <c r="D17" s="28" t="n"/>
      <c r="E17" s="28" t="n"/>
      <c r="F17" s="28" t="n"/>
      <c r="G17" s="28" t="n"/>
      <c r="H17" s="28" t="n"/>
      <c r="I17" s="28" t="n"/>
      <c r="J17" s="28" t="n"/>
    </row>
    <row r="18">
      <c r="A18" s="28" t="inlineStr">
        <is>
          <t>Jornada completa del convenio (horas/semana)</t>
        </is>
      </c>
      <c r="B18" s="49" t="n">
        <v>40</v>
      </c>
      <c r="C18" s="28" t="n"/>
      <c r="D18" s="28" t="n"/>
      <c r="E18" s="28" t="n"/>
      <c r="F18" s="28" t="n"/>
      <c r="G18" s="28" t="n"/>
      <c r="H18" s="28" t="n"/>
      <c r="I18" s="28" t="n"/>
      <c r="J18" s="28" t="inlineStr">
        <is>
          <t>Art. 34.1 del Estatuto de los Trabajadores; tu convenio provincial puede fijar menos</t>
        </is>
      </c>
    </row>
    <row r="19">
      <c r="A19" s="28" t="inlineStr">
        <is>
          <t>Semanas trabajadas al año por persona</t>
        </is>
      </c>
      <c r="B19" s="49" t="n">
        <v>46</v>
      </c>
      <c r="C19" s="28" t="n"/>
      <c r="D19" s="28" t="n"/>
      <c r="E19" s="28" t="n"/>
      <c r="F19" s="28" t="n"/>
      <c r="G19" s="28" t="n"/>
      <c r="H19" s="28" t="n"/>
      <c r="I19" s="28" t="n"/>
      <c r="J19" s="28" t="inlineStr">
        <is>
          <t>46 semanas: 52 menos las vacaciones (30 días naturales, art. 38 ET), los festivos y las ausencias medias</t>
        </is>
      </c>
    </row>
    <row r="20">
      <c r="A20" s="28" t="inlineStr">
        <is>
          <t>Horas de trabajo por evento que hay que cubrir</t>
        </is>
      </c>
      <c r="B20" s="78" t="n">
        <v>9.199999999999999</v>
      </c>
      <c r="C20" s="28" t="n"/>
      <c r="D20" s="28" t="n"/>
      <c r="E20" s="28" t="n"/>
      <c r="F20" s="28" t="n"/>
      <c r="G20" s="28" t="n"/>
      <c r="H20" s="28" t="n"/>
      <c r="I20" s="28" t="n"/>
      <c r="J20" s="28" t="inlineStr">
        <is>
          <t>Media del día del evento, de montaje a recogida: boda 13 h, empresa 9 h, celebración privada 8 h y evento pequeño 5 h (9,2 h de media con la mezcla del plan)</t>
        </is>
      </c>
    </row>
    <row r="21">
      <c r="A21" s="28" t="inlineStr">
        <is>
          <t>Personas necesarias a la vez en cada evento</t>
        </is>
      </c>
      <c r="B21" s="78" t="n">
        <v>2.3</v>
      </c>
      <c r="C21" s="28" t="n"/>
      <c r="D21" s="28" t="n"/>
      <c r="E21" s="28" t="n"/>
      <c r="F21" s="28" t="n"/>
      <c r="G21" s="28" t="n"/>
      <c r="H21" s="28" t="n"/>
      <c r="I21" s="28" t="n"/>
      <c r="J21" s="28" t="inlineStr">
        <is>
          <t>Personal de la finca a la vez en el evento: coordinación y dos auxiliares en las bodas, y coordinación y un auxiliar en el resto (2,3 de media). Camareros y cocina los pone el catering</t>
        </is>
      </c>
    </row>
    <row r="22">
      <c r="A22" s="28" t="inlineStr">
        <is>
          <t>Horas de estructura por evento, fuera del día del evento</t>
        </is>
      </c>
      <c r="B22" s="78" t="n">
        <v>12</v>
      </c>
      <c r="C22" s="28" t="n"/>
      <c r="D22" s="28" t="n"/>
      <c r="E22" s="28" t="n"/>
      <c r="F22" s="28" t="n"/>
      <c r="G22" s="28" t="n"/>
      <c r="H22" s="28" t="n"/>
      <c r="I22" s="28" t="n"/>
      <c r="J22" s="28" t="inlineStr">
        <is>
          <t>Horas por evento fuera del día del evento: visitas y reuniones con los novios, preparación con el catering, mantenimiento, jardín, limpieza y gestión. Es la parte de la plantilla que trabaja todo el año, repartida entre los eventos</t>
        </is>
      </c>
    </row>
    <row r="23">
      <c r="A23" s="28" t="inlineStr">
        <is>
          <t>Personas de estructura por evento</t>
        </is>
      </c>
      <c r="B23" s="78" t="n">
        <v>3</v>
      </c>
      <c r="C23" s="28" t="n"/>
      <c r="D23" s="28" t="n"/>
      <c r="E23" s="28" t="n"/>
      <c r="F23" s="28" t="n"/>
      <c r="G23" s="28" t="n"/>
      <c r="H23" s="28" t="n"/>
      <c r="I23" s="28" t="n"/>
      <c r="J23" s="28" t="inlineStr">
        <is>
          <t>Gerencia, mantenimiento y apoyo (comercial o limpieza) a la vez</t>
        </is>
      </c>
    </row>
    <row r="24">
      <c r="A24" s="28" t="inlineStr">
        <is>
          <t>Horas de servicio a cubrir al año</t>
        </is>
      </c>
      <c r="B24" s="39">
        <f>IFERROR(IF(OR(B20="",B21="",'0. Supuestos'!$B$6=""),"",B20*B21*'0. Supuestos'!$B$6+B22*B23*'0. Supuestos'!$B$6),"")</f>
        <v>6859.2</v>
      </c>
      <c r="C24" s="28" t="n"/>
      <c r="D24" s="28" t="n"/>
      <c r="E24" s="28" t="n"/>
      <c r="F24" s="28" t="n"/>
      <c r="G24" s="28" t="n"/>
      <c r="H24" s="28" t="n"/>
      <c r="I24" s="28" t="n"/>
      <c r="J24" s="28" t="n"/>
    </row>
    <row r="25">
      <c r="A25" s="28" t="inlineStr">
        <is>
          <t>Horas contratadas al año</t>
        </is>
      </c>
      <c r="B25" s="39">
        <f>IFERROR(IF(I11="","",I11),"")</f>
        <v>6900.0</v>
      </c>
      <c r="C25" s="28" t="n"/>
      <c r="D25" s="28" t="n"/>
      <c r="E25" s="28" t="n"/>
      <c r="F25" s="28" t="n"/>
      <c r="G25" s="28" t="n"/>
      <c r="H25" s="28" t="n"/>
      <c r="I25" s="28" t="n"/>
      <c r="J25" s="28" t="n"/>
    </row>
    <row r="26">
      <c r="A26" s="25" t="inlineStr">
        <is>
          <t>Cobertura (contratadas / necesarias)</t>
        </is>
      </c>
      <c r="B26" s="66">
        <f>IFERROR(B25/B24,"")</f>
        <v>1.0059482155353394</v>
      </c>
      <c r="C26" s="28" t="n"/>
      <c r="D26" s="28" t="n"/>
      <c r="E26" s="28" t="n"/>
      <c r="F26" s="28" t="n"/>
      <c r="G26" s="28" t="n"/>
      <c r="H26" s="28" t="n"/>
      <c r="I26" s="28" t="n"/>
      <c r="J26" s="25" t="inlineStr">
        <is>
          <t>Por debajo del 100 % la plantilla no llega a cubrir el horario que declara el plan: o se contrata más o se recorta el horario</t>
        </is>
      </c>
    </row>
    <row r="27">
      <c r="A27" s="28" t="n"/>
      <c r="B27" s="28" t="n"/>
      <c r="C27" s="28" t="n"/>
      <c r="D27" s="28" t="n"/>
      <c r="E27" s="28" t="n"/>
      <c r="F27" s="28" t="n"/>
      <c r="G27" s="28" t="n"/>
      <c r="H27" s="28" t="n"/>
      <c r="I27" s="28" t="n"/>
      <c r="J27" s="28" t="n"/>
    </row>
    <row r="28" ht="150" customHeight="1">
      <c r="A28" s="46"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8" s="28" t="n"/>
      <c r="C28" s="28" t="n"/>
      <c r="D28" s="28" t="n"/>
      <c r="E28" s="28" t="n"/>
      <c r="F28" s="28" t="n"/>
      <c r="G28" s="28" t="n"/>
      <c r="H28" s="28" t="n"/>
      <c r="I28" s="28" t="n"/>
      <c r="J28" s="28" t="n"/>
    </row>
    <row r="29" ht="150" customHeight="1">
      <c r="A29" s="46"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29" s="28" t="n"/>
      <c r="C29" s="28" t="n"/>
      <c r="D29" s="28" t="n"/>
      <c r="E29" s="28" t="n"/>
      <c r="F29" s="28" t="n"/>
      <c r="G29" s="28" t="n"/>
      <c r="H29" s="28" t="n"/>
      <c r="I29" s="28" t="n"/>
      <c r="J2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6">
    <cfRule type="expression" priority="1" dxfId="1" stopIfTrue="1">
      <formula>AND(ISNUMBER(B26),B26&lt;0.9)</formula>
    </cfRule>
    <cfRule type="expression" priority="2" dxfId="2" stopIfTrue="1">
      <formula>AND(ISNUMBER(B26),B26&gt;=0.9)</formula>
    </cfRule>
    <cfRule type="expression" priority="3" dxfId="0" stopIfTrue="1">
      <formula>AND(ISNUMBER(B26),B26&gt;=1)</formula>
    </cfRule>
  </conditionalFormatting>
  <conditionalFormatting sqref="D5:D10">
    <cfRule type="expression" priority="4" dxfId="1" stopIfTrue="1">
      <formula>AND(ISNUMBER(D5),IFERROR(D5/B5,0)*'0. Supuestos'!$B$21&lt;MAX('0. Supuestos'!$B$22,'0. Supuestos'!$B$68)*C5)</formula>
    </cfRule>
  </conditionalFormatting>
  <dataValidations count="3">
    <dataValidation sqref="B5 B6 B7 B8 B9 B10 B13 B14 B18 B19 B20 B22 D5 D6 D7 D8 D9 D10" showDropDown="0" showInputMessage="0" showErrorMessage="1" allowBlank="1" errorTitle="Importe no válido" error="Escribe un número mayor o igual que 0." type="decimal" operator="greaterThanOrEqual">
      <formula1>0</formula1>
    </dataValidation>
    <dataValidation sqref="B21 B23"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2"/>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INSTRUCCIONES DE USO — Plan financiero Finca de Eventos y Bodas</t>
        </is>
      </c>
      <c r="B1" s="28" t="n"/>
      <c r="C1" s="28" t="n"/>
      <c r="D1" s="28" t="n"/>
      <c r="E1" s="28" t="n"/>
    </row>
    <row r="2">
      <c r="A2" s="28" t="n"/>
      <c r="B2" s="28" t="n"/>
      <c r="C2" s="28" t="n"/>
      <c r="D2" s="28" t="n"/>
      <c r="E2" s="28" t="n"/>
    </row>
    <row r="3">
      <c r="A3" s="38" t="inlineStr">
        <is>
          <t>CÓMO SE USA ESTE LIBRO</t>
        </is>
      </c>
      <c r="B3" s="28" t="n"/>
      <c r="C3" s="28" t="n"/>
      <c r="D3" s="28" t="n"/>
      <c r="E3" s="28" t="n"/>
    </row>
    <row r="4" ht="30" customHeight="1">
      <c r="A4" s="46" t="inlineStr">
        <is>
          <t>Este plan financiero es un MODELO: sólo se teclea en las celdas VERDES y el resto se recalcula solo.</t>
        </is>
      </c>
      <c r="B4" s="28" t="n"/>
      <c r="C4" s="28" t="n"/>
      <c r="D4" s="28" t="n"/>
      <c r="E4" s="28" t="n"/>
    </row>
    <row r="5" ht="45" customHeight="1">
      <c r="A5" s="46" t="inlineStr">
        <is>
          <t>1. «0. Supuestos» es la hoja de mando: invitados, precio por invitado sin IVA, eventos, mezcla de espacio y canon, coste directo del evento, renta de la finca, financiación e impuestos.</t>
        </is>
      </c>
      <c r="B5" s="28" t="n"/>
      <c r="C5" s="28" t="n"/>
      <c r="D5" s="28" t="n"/>
      <c r="E5" s="28" t="n"/>
    </row>
    <row r="6" ht="45" customHeight="1">
      <c r="A6" s="46" t="inlineStr">
        <is>
          <t>2. Las partidas de la inversión, los costes fijos y la plantilla se teclean en su propia hoja, también en verde. Ningún número se escribe dos veces.</t>
        </is>
      </c>
      <c r="B6" s="28" t="n"/>
      <c r="C6" s="28" t="n"/>
      <c r="D6" s="28" t="n"/>
      <c r="E6" s="28" t="n"/>
    </row>
    <row r="7" ht="90" customHeight="1">
      <c r="A7" s="46" t="inlineStr">
        <is>
          <t>3. Sólo «Punto Equilibrio» se deriva entera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8" t="n"/>
      <c r="C7" s="28" t="n"/>
      <c r="D7" s="28" t="n"/>
      <c r="E7" s="28" t="n"/>
    </row>
    <row r="8" ht="120" customHeight="1">
      <c r="A8" s="46" t="inlineStr">
        <is>
          <t>4. Todas las cifras van SIN IVA. Para pasar un PVP a precio sin IVA, divide entre 1,21: todo lo que factura la finca —espacio, servicios y canon— va al tipo general. El menú y la barra los factura el catering a los novios, al 10 % (art. 91.Uno.2.2.º de la Ley 37/1992), y no entran en este libro. El tipo de cada línea de venta está en la columna «Tipo de IVA de la línea» del P&amp;L y de ahí salen los cobros, el IVA repercutido y el PVP equivalente. El IVA de la inversión se adelanta y se recupera con el modelo 303.</t>
        </is>
      </c>
      <c r="B8" s="28" t="n"/>
      <c r="C8" s="28" t="n"/>
      <c r="D8" s="28" t="n"/>
      <c r="E8" s="28" t="n"/>
    </row>
    <row r="9" ht="30" customHeight="1">
      <c r="A9" s="46" t="inlineStr">
        <is>
          <t>5. Si cambias la plantilla, el P&amp;L la lee sola: el coste de personal sale de la hoja «Personal», no de una estimación aparte.</t>
        </is>
      </c>
      <c r="B9" s="28" t="n"/>
      <c r="C9" s="28" t="n"/>
      <c r="D9" s="28" t="n"/>
      <c r="E9" s="28" t="n"/>
    </row>
    <row r="10" ht="90" customHeight="1">
      <c r="A10" s="46" t="inlineStr">
        <is>
          <t>6. La hoja «Tesorería 12 meses» responde la pregunta que decide una operación bancaria: en qué mes se agota la caja. Su Mes 1 es MARZO: la finca abre en primavera y llega al primer invierno con la caja de la temporada. El saldo mínimo del año nunca puede salir en rojo. Las señales de los novios no se modelan: tu caja real será algo mejor.</t>
        </is>
      </c>
      <c r="B10" s="28" t="n"/>
      <c r="C10" s="28" t="n"/>
      <c r="D10" s="28" t="n"/>
      <c r="E10" s="28" t="n"/>
    </row>
    <row r="11" ht="45" customHeight="1">
      <c r="A11" s="46" t="inlineStr">
        <is>
          <t>7. La hoja «Financiación» cuadra lo que hace falta con lo que se aporta y monta el cuadro de amortización del préstamo. Si la diferencia sale en rojo, el plan no está financiado.</t>
        </is>
      </c>
      <c r="B11" s="28" t="n"/>
      <c r="C11" s="28" t="n"/>
      <c r="D11" s="28" t="n"/>
      <c r="E11" s="28" t="n"/>
    </row>
    <row r="12" ht="60" customHeight="1">
      <c r="A12" s="46" t="inlineStr">
        <is>
          <t>8. El documento Word de este pack usa las cifras de este Excel; la calculadora de presupuestos y los modelos de contrato usan los mismos porcentajes de cobro y de cancelación. Si cambias una celda verde, el Excel manda.</t>
        </is>
      </c>
      <c r="B12" s="28" t="n"/>
      <c r="C12" s="28" t="n"/>
      <c r="D12" s="28" t="n"/>
      <c r="E12" s="28" t="n"/>
    </row>
    <row r="13">
      <c r="A13" s="28" t="n"/>
      <c r="B13" s="28" t="n"/>
      <c r="C13" s="28" t="n"/>
      <c r="D13" s="28" t="n"/>
      <c r="E13" s="28" t="n"/>
    </row>
    <row r="14">
      <c r="A14" s="25" t="inlineStr">
        <is>
          <t>RATIOS QUE AUDITA EL LIBRO</t>
        </is>
      </c>
      <c r="B14" s="28" t="n"/>
      <c r="C14" s="28" t="n"/>
      <c r="D14" s="28" t="n"/>
      <c r="E14" s="28" t="n"/>
    </row>
    <row r="15" ht="30" customHeight="1">
      <c r="A15" s="46" t="inlineStr">
        <is>
          <t>Los umbrales viven en la columna «Umbral» del bloque RATIOS CLAVE del P&amp;L: cámbialos ahí y el semáforo cambia con ellos.</t>
        </is>
      </c>
      <c r="B15" s="28" t="n"/>
      <c r="C15" s="28" t="n"/>
      <c r="D15" s="28" t="n"/>
      <c r="E15" s="28" t="n"/>
    </row>
    <row r="16">
      <c r="A16" s="28" t="n"/>
      <c r="B16" s="28" t="n"/>
      <c r="C16" s="28" t="n"/>
      <c r="D16" s="28" t="n"/>
      <c r="E16" s="28" t="n"/>
    </row>
    <row r="17">
      <c r="A17" s="25" t="inlineStr">
        <is>
          <t>Ratio</t>
        </is>
      </c>
      <c r="B17" s="25" t="inlineStr">
        <is>
          <t>Valor del año 1</t>
        </is>
      </c>
      <c r="C17" s="25" t="inlineStr">
        <is>
          <t>Umbral</t>
        </is>
      </c>
      <c r="D17" s="25" t="inlineStr">
        <is>
          <t>Estado</t>
        </is>
      </c>
      <c r="E17" s="28" t="n"/>
    </row>
    <row r="18">
      <c r="A18" s="28" t="inlineStr">
        <is>
          <t>Coste directo del evento / Ventas</t>
        </is>
      </c>
      <c r="B18" s="67">
        <f>IFERROR(IF('PyG 3 Años'!$B$53="","",'PyG 3 Años'!$B$53),"")</f>
        <v>0.12714</v>
      </c>
      <c r="C18" s="67">
        <f>IFERROR(IF('PyG 3 Años'!$E$53="","",'PyG 3 Años'!$E$53),"")</f>
        <v>0.14</v>
      </c>
      <c r="D18" s="28" t="str">
        <f>IFERROR(IF(OR(B18="",C18=""),"",IF(B18&lt;=C18,"CUMPLE","REVISAR")),"")</f>
        <v>CUMPLE</v>
      </c>
      <c r="E18" s="28" t="n"/>
    </row>
    <row r="19">
      <c r="A19" s="28" t="inlineStr">
        <is>
          <t>Coste de personal / Ventas</t>
        </is>
      </c>
      <c r="B19" s="67">
        <f>IFERROR(IF('PyG 3 Años'!$B$54="","",'PyG 3 Años'!$B$54),"")</f>
        <v>0.3068556361239288</v>
      </c>
      <c r="C19" s="67">
        <f>IFERROR(IF('PyG 3 Años'!$E$54="","",'PyG 3 Años'!$E$54),"")</f>
        <v>0.33</v>
      </c>
      <c r="D19" s="28" t="str">
        <f>IFERROR(IF(OR(B19="",C19=""),"",IF(B19&lt;=C19,"CUMPLE","REVISAR")),"")</f>
        <v>CUMPLE</v>
      </c>
      <c r="E19" s="28" t="n"/>
    </row>
    <row r="20">
      <c r="A20" s="28" t="inlineStr">
        <is>
          <t>Renta de la finca / Ventas</t>
        </is>
      </c>
      <c r="B20" s="67">
        <f>IFERROR(IF('PyG 3 Años'!$B$55="","",'PyG 3 Años'!$B$55),"")</f>
        <v>0.11535926170072512</v>
      </c>
      <c r="C20" s="67">
        <f>IFERROR(IF('PyG 3 Años'!$E$55="","",'PyG 3 Años'!$E$55),"")</f>
        <v>0.13</v>
      </c>
      <c r="D20" s="28" t="str">
        <f>IFERROR(IF(OR(B20="",C20=""),"",IF(B20&lt;=C20,"CUMPLE","REVISAR")),"")</f>
        <v>CUMPLE</v>
      </c>
      <c r="E20" s="28" t="n"/>
    </row>
    <row r="21">
      <c r="A21" s="28" t="inlineStr">
        <is>
          <t>Resultado neto / Ventas</t>
        </is>
      </c>
      <c r="B21" s="67">
        <f>IFERROR(IF('PyG 3 Años'!$B$56="","",'PyG 3 Años'!$B$56),"")</f>
        <v>0.08817145814106789</v>
      </c>
      <c r="C21" s="67">
        <f>IFERROR(IF('PyG 3 Años'!$E$56="","",'PyG 3 Años'!$E$56),"")</f>
        <v>0.05</v>
      </c>
      <c r="D21" s="28" t="str">
        <f>IFERROR(IF(OR(B21="",C21=""),"",IF(B21&gt;=C21,"CUMPLE","REVISAR")),"")</f>
        <v>CUMPLE</v>
      </c>
      <c r="E21" s="28" t="n"/>
    </row>
    <row r="22">
      <c r="A22" s="28" t="inlineStr">
        <is>
          <t>Margen bruto / Ventas</t>
        </is>
      </c>
      <c r="B22" s="67">
        <f>IFERROR(IF('PyG 3 Años'!$B$51="","",'PyG 3 Años'!$B$51),"")</f>
        <v>0.80486</v>
      </c>
      <c r="C22" s="67">
        <f>IFERROR(IF('PyG 3 Años'!$E$51="","",'PyG 3 Años'!$E$51),"")</f>
        <v>0.75</v>
      </c>
      <c r="D22" s="28" t="str">
        <f>IFERROR(IF(OR(B22="",C22=""),"",IF(B22&gt;=C22,"CUMPLE","REVISAR")),"")</f>
        <v>CUMPLE</v>
      </c>
      <c r="E22" s="28" t="n"/>
    </row>
    <row r="23">
      <c r="A23" s="28" t="n"/>
      <c r="B23" s="28" t="n"/>
      <c r="C23" s="28" t="n"/>
      <c r="D23" s="28" t="n"/>
      <c r="E23" s="28" t="n"/>
    </row>
    <row r="24">
      <c r="A24" s="25" t="inlineStr">
        <is>
          <t>CIFRAS DE ESTE PLAN</t>
        </is>
      </c>
      <c r="B24" s="28" t="n"/>
      <c r="C24" s="28" t="n"/>
      <c r="D24" s="28" t="n"/>
      <c r="E24" s="28" t="n"/>
    </row>
    <row r="25">
      <c r="A25" s="28" t="inlineStr">
        <is>
          <t>Inversión total (suma de los bloques)</t>
        </is>
      </c>
      <c r="B25" s="32">
        <f>IFERROR(IF('Inversión Inicial'!$B$31="","",'Inversión Inicial'!$B$31),"")</f>
        <v>311408.75</v>
      </c>
      <c r="C25" s="28" t="n"/>
      <c r="D25" s="28" t="n"/>
      <c r="E25" s="28" t="n"/>
    </row>
    <row r="26">
      <c r="A26" s="28" t="inlineStr">
        <is>
          <t>Necesidad total de caja al arranque</t>
        </is>
      </c>
      <c r="B26" s="32">
        <f>IFERROR(IF('Inversión Inicial'!$B$34="","",'Inversión Inicial'!$B$34),"")</f>
        <v>360502.55</v>
      </c>
      <c r="C26" s="28" t="n"/>
      <c r="D26" s="28" t="n"/>
      <c r="E26" s="28" t="n"/>
    </row>
    <row r="27">
      <c r="A27" s="28" t="inlineStr">
        <is>
          <t>Fondo de maniobra dotado</t>
        </is>
      </c>
      <c r="B27" s="32">
        <f>IFERROR(IF('Inversión Inicial'!$B$30="","",'Inversión Inicial'!$B$30),"")</f>
        <v>59628.75</v>
      </c>
      <c r="C27" s="28" t="n"/>
      <c r="D27" s="28" t="n"/>
      <c r="E27" s="28" t="n"/>
    </row>
    <row r="28">
      <c r="A28" s="28" t="inlineStr">
        <is>
          <t>Facturación prevista del año 1</t>
        </is>
      </c>
      <c r="B28" s="32">
        <f>IFERROR(IF('PyG 3 Años'!$B$9="","",'PyG 3 Años'!$B$9),"")</f>
        <v>364080.0</v>
      </c>
      <c r="C28" s="28" t="n"/>
      <c r="D28" s="28" t="n"/>
      <c r="E28" s="28" t="n"/>
    </row>
    <row r="29">
      <c r="A29" s="28" t="inlineStr">
        <is>
          <t>Resultado neto del año 1</t>
        </is>
      </c>
      <c r="B29" s="32">
        <f>IFERROR(IF('PyG 3 Años'!$B$48="","",'PyG 3 Años'!$B$48),"")</f>
        <v>32101.464479999995</v>
      </c>
      <c r="C29" s="28" t="n"/>
      <c r="D29" s="28" t="n"/>
      <c r="E29" s="28" t="n"/>
    </row>
    <row r="30">
      <c r="A30" s="28" t="inlineStr">
        <is>
          <t>Invitados por evento para el punto de equilibrio CONTABLE (con la amortización dentro)</t>
        </is>
      </c>
      <c r="B30" s="44">
        <f>IFERROR(IF('Punto Equilibrio'!$B$15="","",'Punto Equilibrio'!$B$15),"")</f>
        <v>71.43176150829656</v>
      </c>
      <c r="C30" s="28" t="n"/>
      <c r="D30" s="28" t="n"/>
      <c r="E30" s="28" t="n"/>
    </row>
    <row r="31">
      <c r="A31" s="28" t="inlineStr">
        <is>
          <t>Payback del proyecto (años), antes de la deuda</t>
        </is>
      </c>
      <c r="B31" s="28" t="str">
        <f>IFERROR(IF('Tesorería 12 meses'!$B$31="","",'Tesorería 12 meses'!$B$31),"")</f>
        <v>Más de 3 años</v>
      </c>
      <c r="C31" s="28" t="n"/>
      <c r="D31" s="28" t="n"/>
      <c r="E31" s="28" t="n"/>
    </row>
    <row r="32">
      <c r="A32" s="28" t="n"/>
      <c r="B32" s="28" t="n"/>
      <c r="C32" s="28" t="n"/>
      <c r="D32" s="28" t="n"/>
      <c r="E32" s="28" t="n"/>
    </row>
    <row r="33">
      <c r="A33" s="25" t="inlineStr">
        <is>
          <t>DATOS DE REFERENCIA DEL SECTOR</t>
        </is>
      </c>
      <c r="B33" s="28" t="n"/>
      <c r="C33" s="28" t="n"/>
      <c r="D33" s="28" t="n"/>
      <c r="E33" s="28" t="n"/>
    </row>
    <row r="34">
      <c r="A34" s="25" t="inlineStr">
        <is>
          <t>Referencia</t>
        </is>
      </c>
      <c r="B34" s="25" t="inlineStr">
        <is>
          <t>Valor</t>
        </is>
      </c>
      <c r="C34" s="25" t="inlineStr">
        <is>
          <t>Fuente</t>
        </is>
      </c>
      <c r="D34" s="25" t="inlineStr">
        <is>
          <t>Nota</t>
        </is>
      </c>
      <c r="E34" s="28" t="n"/>
    </row>
    <row r="35" ht="60" customHeight="1">
      <c r="A35" s="28" t="inlineStr">
        <is>
          <t>Mes 1 del plan</t>
        </is>
      </c>
      <c r="B35" s="28" t="inlineStr">
        <is>
          <t>Marzo</t>
        </is>
      </c>
      <c r="C35" s="28" t="inlineStr">
        <is>
          <t>Decisión del plan</t>
        </is>
      </c>
      <c r="D35" s="46" t="inlineStr">
        <is>
          <t>La licencia (de 6 a 12 meses o más) y la obra se cierran durante el invierno anterior, y se abre con las comuniones y la empresa de primavera. La fila de estacionalidad de la Tesorería ya va girada</t>
        </is>
      </c>
      <c r="E35" s="28" t="n"/>
    </row>
    <row r="36" ht="60" customHeight="1">
      <c r="A36" s="28" t="inlineStr">
        <is>
          <t>Mezcla de eventos del plan</t>
        </is>
      </c>
      <c r="B36" s="28" t="inlineStr">
        <is>
          <t>120 eventos: 30 bodas, 35 de empresa, 40 celebraciones privadas y 15 pequeños</t>
        </is>
      </c>
      <c r="C36" s="28" t="inlineStr">
        <is>
          <t>Estimación del kit</t>
        </is>
      </c>
      <c r="D36" s="46" t="inlineStr">
        <is>
          <t>Bodas (30 × 120 invitados × 47 €), empresa (35 × 80 × 34 €), celebraciones privadas (40 × 70 × 29 €) y pequeños (15 × 40 × 30 €), sin IVA, de espacio, servicios y canon. Media: 82 invitados a 37 €</t>
        </is>
      </c>
      <c r="E36" s="28" t="n"/>
    </row>
    <row r="37" ht="60" customHeight="1">
      <c r="A37" s="28" t="inlineStr">
        <is>
          <t>Techo de fechas</t>
        </is>
      </c>
      <c r="B37" s="28" t="inlineStr">
        <is>
          <t>Unos 26 sábados de mayo a octubre</t>
        </is>
      </c>
      <c r="C37" s="28" t="inlineStr">
        <is>
          <t>Estimación del kit</t>
        </is>
      </c>
      <c r="D37" s="46" t="inlineStr">
        <is>
          <t>Las 30 bodas son unas 24 en sábados de temporada (el 80 %) y el resto en viernes, domingos o fuera de temporada. El libro no comprueba este techo: compruébalo tú en tu calendario</t>
        </is>
      </c>
      <c r="E37" s="28" t="n"/>
    </row>
    <row r="38" ht="45" customHeight="1">
      <c r="A38" s="28" t="inlineStr">
        <is>
          <t>Bodas en España en 2024</t>
        </is>
      </c>
      <c r="B38" s="28" t="inlineStr">
        <is>
          <t>175.364, el 83,6 % civiles</t>
        </is>
      </c>
      <c r="C38" s="28" t="inlineStr">
        <is>
          <t>INE, Movimiento Natural de la Población 2024</t>
        </is>
      </c>
      <c r="D38" s="46" t="inlineStr">
        <is>
          <t>De mayo a octubre se celebra el 63,7 %; septiembre (13,1 %) y junio (12,8 %) son los picos y enero se queda en el 3,8 %</t>
        </is>
      </c>
      <c r="E38" s="28" t="n"/>
    </row>
    <row r="39" ht="45" customHeight="1">
      <c r="A39" s="28" t="inlineStr">
        <is>
          <t>Antelación de la reserva de una boda</t>
        </is>
      </c>
      <c r="B39" s="28" t="inlineStr">
        <is>
          <t>12-18 meses (13 de media)</t>
        </is>
      </c>
      <c r="C39" s="28" t="inlineStr">
        <is>
          <t>Bodas.net, Informe del Sector Nupcial 2026</t>
        </is>
      </c>
      <c r="D39" s="46" t="inlineStr">
        <is>
          <t>Por eso la primera temporada se reserva antes de abrir, condicionada a la licencia, y la rampa del plan dura 12 meses</t>
        </is>
      </c>
      <c r="E39" s="28" t="n"/>
    </row>
    <row r="40" ht="45" customHeight="1">
      <c r="A40" s="28" t="inlineStr">
        <is>
          <t>Coste directo por evento</t>
        </is>
      </c>
      <c r="B40" s="28" t="inlineStr">
        <is>
          <t>650 € boda · 350 € empresa · 300 € celebración · 150 € pequeño</t>
        </is>
      </c>
      <c r="C40" s="28" t="inlineStr">
        <is>
          <t>Estimación del kit</t>
        </is>
      </c>
      <c r="D40" s="46" t="inlineStr">
        <is>
          <t>Limpieza tras el evento, reposición de aseos y consumibles, gasoil del grupo electrógeno, vigilancia y aparcamiento, y la tarifa de SGAE y AGEDI-AIE de cada evento</t>
        </is>
      </c>
      <c r="E40" s="28" t="n"/>
    </row>
    <row r="41" ht="45" customHeight="1">
      <c r="A41" s="28" t="inlineStr">
        <is>
          <t>Canon del catering exclusivo</t>
        </is>
      </c>
      <c r="B41" s="28" t="inlineStr">
        <is>
          <t>12 % de lo que factura el catering en la finca</t>
        </is>
      </c>
      <c r="C41" s="28" t="inlineStr">
        <is>
          <t>Supuesto del kit, sin fuente pública</t>
        </is>
      </c>
      <c r="D41" s="46" t="inlineStr">
        <is>
          <t>Unos 13 € por invitado en una boda. Negócialo y pon el tuyo: en este plan, cada punto de canon son unos 6.700 € de ventas al año</t>
        </is>
      </c>
      <c r="E41" s="28" t="n"/>
    </row>
    <row r="42" ht="45" customHeight="1">
      <c r="A42" s="28" t="inlineStr">
        <is>
          <t>Personal de la finca en un evento</t>
        </is>
      </c>
      <c r="B42" s="28" t="inlineStr">
        <is>
          <t>Coordinación y 1 auxiliar (2 en las bodas)</t>
        </is>
      </c>
      <c r="C42" s="28" t="inlineStr">
        <is>
          <t>Estimación del kit</t>
        </is>
      </c>
      <c r="D42" s="46" t="inlineStr">
        <is>
          <t>Boda: 2 auxiliares × 13 h · empresa 1 × 9 h · celebración 1 × 8 h · pequeño 1 × 5 h. Camareros y cocina los pone el catering</t>
        </is>
      </c>
      <c r="E42" s="28" t="n"/>
    </row>
    <row r="43" ht="90" customHeight="1">
      <c r="A43" s="28" t="inlineStr">
        <is>
          <t>IVA de lo que factura la finca</t>
        </is>
      </c>
      <c r="B43" s="28" t="inlineStr">
        <is>
          <t>21 %</t>
        </is>
      </c>
      <c r="C43" s="28" t="inlineStr">
        <is>
          <t>Ley 37/1992 del IVA</t>
        </is>
      </c>
      <c r="D43" s="46" t="inlineStr">
        <is>
          <t>El espacio y los servicios con precio propio y el canon que cobras al catering, al tipo general. El menú lo factura el catering a los novios, al 10 % (art. 91.Uno.2.2.º). Meter el espacio al 10 % dentro de un pack es arriesgado: confírmalo con tu asesoría o pide una consulta vinculante</t>
        </is>
      </c>
      <c r="E43" s="28" t="n"/>
    </row>
    <row r="44" ht="45" customHeight="1">
      <c r="A44" s="28" t="inlineStr">
        <is>
          <t>Plan de autoprotección</t>
        </is>
      </c>
      <c r="B44" s="28" t="inlineStr">
        <is>
          <t>Desde 1.000 personas en edificio cerrado o carpa · 5.000 al aire libre en recinto delimitado</t>
        </is>
      </c>
      <c r="C44" s="28" t="inlineStr">
        <is>
          <t>Orden INT/1068/2026, Directriz Básica de Autoprotección (BOE del 10-10-2026)</t>
        </is>
      </c>
      <c r="D44" s="46" t="inlineStr">
        <is>
          <t>Una finca de 300 invitados queda por debajo de la norma estatal; tu comunidad o tu ayuntamiento pueden pedir más, por ejemplo en un entorno forestal</t>
        </is>
      </c>
      <c r="E44" s="28" t="n"/>
    </row>
    <row r="45" ht="60" customHeight="1">
      <c r="A45" s="28" t="inlineStr">
        <is>
          <t>Ruido al exterior en zona residencial</t>
        </is>
      </c>
      <c r="B45" s="28" t="inlineStr">
        <is>
          <t>55 dBA de día y de tarde · 45 dBA de noche</t>
        </is>
      </c>
      <c r="C45" s="28" t="inlineStr">
        <is>
          <t>RD 1367/2007, art. 24 y anexo III</t>
        </is>
      </c>
      <c r="D45" s="46" t="inlineStr">
        <is>
          <t>Limitador-registrador, baile final dentro y altavoces de espaldas a las viviendas. El horario de la música lo fijan tu comunidad y la ordenanza de tu ayuntamiento: compruébalo</t>
        </is>
      </c>
      <c r="E45" s="28" t="n"/>
    </row>
    <row r="46" ht="30" customHeight="1">
      <c r="A46" s="28" t="inlineStr">
        <is>
          <t>Comida testigo</t>
        </is>
      </c>
      <c r="B46" s="28" t="inlineStr">
        <is>
          <t>Una ración de 100 g o más durante 7 días, a 4 °C o menos (o a −18 °C)</t>
        </is>
      </c>
      <c r="C46" s="28" t="inlineStr">
        <is>
          <t>RD 1086/2020, art. 30</t>
        </is>
      </c>
      <c r="D46" s="46" t="inlineStr">
        <is>
          <t>En bodas y encargos de más de 40 personas. La guarda quien sirve, el catering: exígelo en su contrato</t>
        </is>
      </c>
      <c r="E46" s="28" t="n"/>
    </row>
    <row r="47" ht="30" customHeight="1">
      <c r="A47" s="28" t="inlineStr">
        <is>
          <t>Agua de pozo propio</t>
        </is>
      </c>
      <c r="B47" s="28" t="inlineStr">
        <is>
          <t>Zona de abastecimiento de tipo 1</t>
        </is>
      </c>
      <c r="C47" s="28" t="inlineStr">
        <is>
          <t>RD 3/2023, arts. 2 y 4.3</t>
        </is>
      </c>
      <c r="D47" s="46" t="inlineStr">
        <is>
          <t>Con actividad comercial, el titular responde de la calidad del agua hasta el grifo: analíticas y protocolo</t>
        </is>
      </c>
      <c r="E47" s="28" t="n"/>
    </row>
    <row r="48" ht="45" customHeight="1">
      <c r="A48" s="28" t="inlineStr">
        <is>
          <t>Convenio colectivo de referencia</t>
        </is>
      </c>
      <c r="B48" s="28" t="inlineStr">
        <is>
          <t>Provincial de hostelería</t>
        </is>
      </c>
      <c r="C48" s="28" t="inlineStr">
        <is>
          <t>VI Acuerdo Laboral de ámbito Estatal para el sector de Hostelería, art. 4</t>
        </is>
      </c>
      <c r="D48" s="46" t="inlineStr">
        <is>
          <t>Su lista nombra el catering, no el alquiler de espacios, y no es exhaustiva: es la referencia salarial prudente. Confírmalo con tu asesoría</t>
        </is>
      </c>
      <c r="E48" s="28" t="n"/>
    </row>
    <row r="49">
      <c r="A49" s="28" t="n"/>
      <c r="B49" s="28" t="n"/>
      <c r="C49" s="28" t="n"/>
      <c r="D49" s="28" t="n"/>
      <c r="E49" s="28" t="n"/>
    </row>
    <row r="50">
      <c r="A50" s="79" t="inlineStr">
        <is>
          <t>Para editar una celda que no esté en verde: Revisar → Desproteger hoja (no tiene contraseña).</t>
        </is>
      </c>
      <c r="B50" s="28" t="n"/>
      <c r="C50" s="28" t="n"/>
      <c r="D50" s="28" t="n"/>
      <c r="E50" s="28" t="n"/>
    </row>
    <row r="51">
      <c r="A51" s="79" t="inlineStr">
        <is>
          <t>Más plantillas y kits del catálogo en aichef.pro/productos-digitales</t>
        </is>
      </c>
      <c r="B51" s="28" t="n"/>
      <c r="C51" s="28" t="n"/>
      <c r="D51" s="28" t="n"/>
      <c r="E51" s="28" t="n"/>
    </row>
    <row r="52">
      <c r="A52" s="79" t="inlineStr">
        <is>
          <t>Diseñado por John Guerrero — chef y consultor gastronómico desde 2010, en cocina desde los 17 años · johnguerrero.es</t>
        </is>
      </c>
      <c r="B52" s="28" t="n"/>
      <c r="C52" s="28" t="n"/>
      <c r="D52" s="28" t="n"/>
      <c r="E52" s="28" t="n"/>
    </row>
    <row r="53">
      <c r="A53" s="79" t="inlineStr">
        <is>
          <t>Versión 1.0 · noviembre 2026 · aichef.pro/plan-negocio-finca-eventos-bodas · info@aichef.pro</t>
        </is>
      </c>
      <c r="B53" s="28" t="n"/>
      <c r="C53" s="28" t="n"/>
      <c r="D53" s="28" t="n"/>
      <c r="E53" s="28" t="n"/>
    </row>
    <row r="54">
      <c r="A54" s="28" t="n"/>
      <c r="B54" s="28" t="n"/>
      <c r="C54" s="28" t="n"/>
      <c r="D54" s="28" t="n"/>
      <c r="E54" s="28" t="n"/>
    </row>
    <row r="55">
      <c r="A55" s="28" t="n"/>
      <c r="B55" s="28" t="n"/>
      <c r="C55" s="28" t="n"/>
      <c r="D55" s="28" t="n"/>
      <c r="E55" s="28" t="n"/>
    </row>
    <row r="56">
      <c r="A56" s="28" t="n"/>
      <c r="B56" s="28" t="n"/>
      <c r="C56" s="28" t="n"/>
      <c r="D56" s="28" t="n"/>
      <c r="E56" s="28" t="n"/>
    </row>
    <row r="57">
      <c r="A57" s="28" t="n"/>
      <c r="B57" s="28" t="n"/>
      <c r="C57" s="28" t="n"/>
      <c r="D57" s="28" t="n"/>
      <c r="E57" s="28" t="n"/>
    </row>
    <row r="58">
      <c r="A58" s="28" t="n"/>
      <c r="B58" s="28" t="n"/>
      <c r="C58" s="28" t="n"/>
      <c r="D58" s="28" t="n"/>
      <c r="E58" s="28" t="n"/>
    </row>
    <row r="59">
      <c r="A59" s="28" t="n"/>
      <c r="B59" s="28" t="n"/>
      <c r="C59" s="28" t="n"/>
      <c r="D59" s="28" t="n"/>
      <c r="E59" s="28" t="n"/>
    </row>
    <row r="60">
      <c r="A60" s="28" t="n"/>
      <c r="B60" s="28" t="n"/>
      <c r="C60" s="28" t="n"/>
      <c r="D60" s="28" t="n"/>
      <c r="E60" s="28" t="n"/>
    </row>
    <row r="61">
      <c r="A61" s="28" t="n"/>
      <c r="B61" s="28" t="n"/>
      <c r="C61" s="28" t="n"/>
      <c r="D61" s="28" t="n"/>
      <c r="E61" s="28" t="n"/>
    </row>
    <row r="62">
      <c r="A62" s="28" t="n"/>
      <c r="B62" s="28" t="n"/>
      <c r="C62" s="28" t="n"/>
      <c r="D62" s="28" t="n"/>
      <c r="E62" s="28" t="n"/>
    </row>
    <row r="63">
      <c r="A63" s="28" t="n"/>
      <c r="B63" s="28" t="n"/>
      <c r="C63" s="28" t="n"/>
      <c r="D63" s="28" t="n"/>
      <c r="E63" s="28" t="n"/>
    </row>
    <row r="64">
      <c r="A64" s="28" t="n"/>
      <c r="B64" s="28" t="n"/>
      <c r="C64" s="28" t="n"/>
      <c r="D64" s="28" t="n"/>
      <c r="E64" s="28" t="n"/>
    </row>
    <row r="65">
      <c r="A65" s="28" t="n"/>
      <c r="B65" s="28" t="n"/>
      <c r="C65" s="28" t="n"/>
      <c r="D65" s="28" t="n"/>
      <c r="E65" s="28" t="n"/>
    </row>
    <row r="66">
      <c r="A66" s="28" t="n"/>
      <c r="B66" s="28" t="n"/>
      <c r="C66" s="28" t="n"/>
      <c r="D66" s="28" t="n"/>
      <c r="E66" s="28" t="n"/>
    </row>
    <row r="67">
      <c r="A67" s="28" t="n"/>
      <c r="B67" s="28" t="n"/>
      <c r="C67" s="28" t="n"/>
      <c r="D67" s="28" t="n"/>
      <c r="E67" s="28" t="n"/>
    </row>
    <row r="68">
      <c r="A68" s="28" t="n"/>
      <c r="B68" s="28" t="n"/>
      <c r="C68" s="28" t="n"/>
      <c r="D68" s="28" t="n"/>
      <c r="E68" s="28" t="n"/>
    </row>
    <row r="69">
      <c r="A69" s="28" t="n"/>
      <c r="B69" s="28" t="n"/>
      <c r="C69" s="28" t="n"/>
      <c r="D69" s="28" t="n"/>
      <c r="E69" s="28" t="n"/>
    </row>
    <row r="70">
      <c r="A70" s="28" t="n"/>
      <c r="B70" s="28" t="n"/>
      <c r="C70" s="28" t="n"/>
      <c r="D70" s="28" t="n"/>
      <c r="E70" s="28" t="n"/>
    </row>
    <row r="71">
      <c r="A71" s="28" t="n"/>
      <c r="B71" s="28" t="n"/>
      <c r="C71" s="28" t="n"/>
      <c r="D71" s="28" t="n"/>
      <c r="E71" s="28" t="n"/>
    </row>
    <row r="72">
      <c r="A72" s="28" t="n"/>
      <c r="B72" s="28" t="n"/>
      <c r="C72" s="28" t="n"/>
      <c r="D72" s="28" t="n"/>
      <c r="E72" s="28"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PREVISIÓN DE TESORERÍA — AÑO 1</t>
        </is>
      </c>
      <c r="B1" s="28" t="n"/>
      <c r="C1" s="28" t="n"/>
      <c r="D1" s="28" t="n"/>
      <c r="E1" s="28" t="n"/>
      <c r="F1" s="28" t="n"/>
      <c r="G1" s="28" t="n"/>
      <c r="H1" s="28" t="n"/>
      <c r="I1" s="28" t="n"/>
      <c r="J1" s="28" t="n"/>
      <c r="K1" s="28" t="n"/>
      <c r="L1" s="28" t="n"/>
      <c r="M1" s="28" t="n"/>
      <c r="N1" s="28" t="n"/>
      <c r="O1" s="28" t="n"/>
    </row>
    <row r="2" ht="45" customHeight="1">
      <c r="A2" s="46" t="inlineStr">
        <is>
          <t>El P&amp;L dice si el negocio gana dinero; esta hoja dice si le queda caja para llegar a fin de mes. Es la primera que mira un banco.</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Concepto</t>
        </is>
      </c>
      <c r="B4" s="25" t="inlineStr">
        <is>
          <t>Mes 1 (€)</t>
        </is>
      </c>
      <c r="C4" s="25" t="inlineStr">
        <is>
          <t>Mes 2 (€)</t>
        </is>
      </c>
      <c r="D4" s="25" t="inlineStr">
        <is>
          <t>Mes 3 (€)</t>
        </is>
      </c>
      <c r="E4" s="25" t="inlineStr">
        <is>
          <t>Mes 4 (€)</t>
        </is>
      </c>
      <c r="F4" s="25" t="inlineStr">
        <is>
          <t>Mes 5 (€)</t>
        </is>
      </c>
      <c r="G4" s="25" t="inlineStr">
        <is>
          <t>Mes 6 (€)</t>
        </is>
      </c>
      <c r="H4" s="25" t="inlineStr">
        <is>
          <t>Mes 7 (€)</t>
        </is>
      </c>
      <c r="I4" s="25" t="inlineStr">
        <is>
          <t>Mes 8 (€)</t>
        </is>
      </c>
      <c r="J4" s="25" t="inlineStr">
        <is>
          <t>Mes 9 (€)</t>
        </is>
      </c>
      <c r="K4" s="25" t="inlineStr">
        <is>
          <t>Mes 10 (€)</t>
        </is>
      </c>
      <c r="L4" s="25" t="inlineStr">
        <is>
          <t>Mes 11 (€)</t>
        </is>
      </c>
      <c r="M4" s="25" t="inlineStr">
        <is>
          <t>Mes 12 (€)</t>
        </is>
      </c>
      <c r="N4" s="25" t="inlineStr">
        <is>
          <t>Año (€)</t>
        </is>
      </c>
      <c r="O4" s="28" t="n"/>
    </row>
    <row r="5">
      <c r="A5" s="28" t="inlineStr">
        <is>
          <t>Estacionalidad del mes (suma 100 %)</t>
        </is>
      </c>
      <c r="B5" s="75" t="n">
        <v>0.063</v>
      </c>
      <c r="C5" s="75" t="n">
        <v>0.08400000000000001</v>
      </c>
      <c r="D5" s="75" t="n">
        <v>0.124</v>
      </c>
      <c r="E5" s="75" t="n">
        <v>0.135</v>
      </c>
      <c r="F5" s="75" t="n">
        <v>0.078</v>
      </c>
      <c r="G5" s="75" t="n">
        <v>0.055</v>
      </c>
      <c r="H5" s="75" t="n">
        <v>0.122</v>
      </c>
      <c r="I5" s="75" t="n">
        <v>0.111</v>
      </c>
      <c r="J5" s="75" t="n">
        <v>0.073</v>
      </c>
      <c r="K5" s="75" t="n">
        <v>0.077</v>
      </c>
      <c r="L5" s="75" t="n">
        <v>0.031</v>
      </c>
      <c r="M5" s="75" t="n">
        <v>0.047</v>
      </c>
      <c r="N5" s="67">
        <f>IFERROR(IF('PyG 3 Años'!$B$9="","",SUM(B5:M5)),"")</f>
        <v>1.0</v>
      </c>
      <c r="O5" s="28" t="inlineStr">
        <is>
          <t>Mes 1 = MARZO: la licencia (de 6 a 12 meses o más) y la obra se cierran durante el invierno anterior, y se abre con las comuniones y la empresa de primavera. Los picos son junio (Mes 4) y septiembre (Mes 7); el valle, enero (Mes 11). Si abres en otro mes, gira la fila. Tiene que sumar 100 %</t>
        </is>
      </c>
    </row>
    <row r="6">
      <c r="A6" s="28" t="inlineStr">
        <is>
          <t>Rampa de arranque (% de la actividad de crucero)</t>
        </is>
      </c>
      <c r="B6" s="67">
        <f>IFERROR(IF('PyG 3 Años'!$B$9="","",MIN(1,'0. Supuestos'!$B$52+(1-'0. Supuestos'!$B$52)*0/MAX(1,'0. Supuestos'!$B$53-1))),"")</f>
        <v>0.45</v>
      </c>
      <c r="C6" s="67">
        <f>IFERROR(IF('PyG 3 Años'!$B$9="","",MIN(1,'0. Supuestos'!$B$52+(1-'0. Supuestos'!$B$52)*1/MAX(1,'0. Supuestos'!$B$53-1))),"")</f>
        <v>0.5</v>
      </c>
      <c r="D6" s="67">
        <f>IFERROR(IF('PyG 3 Años'!$B$9="","",MIN(1,'0. Supuestos'!$B$52+(1-'0. Supuestos'!$B$52)*2/MAX(1,'0. Supuestos'!$B$53-1))),"")</f>
        <v>0.55</v>
      </c>
      <c r="E6" s="67">
        <f>IFERROR(IF('PyG 3 Años'!$B$9="","",MIN(1,'0. Supuestos'!$B$52+(1-'0. Supuestos'!$B$52)*3/MAX(1,'0. Supuestos'!$B$53-1))),"")</f>
        <v>0.6000000000000001</v>
      </c>
      <c r="F6" s="67">
        <f>IFERROR(IF('PyG 3 Años'!$B$9="","",MIN(1,'0. Supuestos'!$B$52+(1-'0. Supuestos'!$B$52)*4/MAX(1,'0. Supuestos'!$B$53-1))),"")</f>
        <v>0.65</v>
      </c>
      <c r="G6" s="67">
        <f>IFERROR(IF('PyG 3 Años'!$B$9="","",MIN(1,'0. Supuestos'!$B$52+(1-'0. Supuestos'!$B$52)*5/MAX(1,'0. Supuestos'!$B$53-1))),"")</f>
        <v>0.7</v>
      </c>
      <c r="H6" s="67">
        <f>IFERROR(IF('PyG 3 Años'!$B$9="","",MIN(1,'0. Supuestos'!$B$52+(1-'0. Supuestos'!$B$52)*6/MAX(1,'0. Supuestos'!$B$53-1))),"")</f>
        <v>0.75</v>
      </c>
      <c r="I6" s="67">
        <f>IFERROR(IF('PyG 3 Años'!$B$9="","",MIN(1,'0. Supuestos'!$B$52+(1-'0. Supuestos'!$B$52)*7/MAX(1,'0. Supuestos'!$B$53-1))),"")</f>
        <v>0.8</v>
      </c>
      <c r="J6" s="67">
        <f>IFERROR(IF('PyG 3 Años'!$B$9="","",MIN(1,'0. Supuestos'!$B$52+(1-'0. Supuestos'!$B$52)*8/MAX(1,'0. Supuestos'!$B$53-1))),"")</f>
        <v>0.8500000000000001</v>
      </c>
      <c r="K6" s="67">
        <f>IFERROR(IF('PyG 3 Años'!$B$9="","",MIN(1,'0. Supuestos'!$B$52+(1-'0. Supuestos'!$B$52)*9/MAX(1,'0. Supuestos'!$B$53-1))),"")</f>
        <v>0.9</v>
      </c>
      <c r="L6" s="67">
        <f>IFERROR(IF('PyG 3 Años'!$B$9="","",MIN(1,'0. Supuestos'!$B$52+(1-'0. Supuestos'!$B$52)*10/MAX(1,'0. Supuestos'!$B$53-1))),"")</f>
        <v>0.95</v>
      </c>
      <c r="M6" s="67">
        <f>IFERROR(IF('PyG 3 Años'!$B$9="","",MIN(1,'0. Supuestos'!$B$52+(1-'0. Supuestos'!$B$52)*11/MAX(1,'0. Supuestos'!$B$53-1))),"")</f>
        <v>1.0</v>
      </c>
      <c r="N6" s="28" t="n"/>
      <c r="O6" s="28" t="inlineStr">
        <is>
          <t>Sube en línea recta desde el porcentaje del mes 1 hasta el 100 % en los meses que digas en Supuestos. Con el mes 1 al 100 % la rampa desaparece</t>
        </is>
      </c>
    </row>
    <row r="7">
      <c r="A7" s="28" t="inlineStr">
        <is>
          <t>Reparto de la actividad por mes (calculado)</t>
        </is>
      </c>
      <c r="B7" s="67">
        <f>IFERROR(IF('PyG 3 Años'!$B$9="","",B5*B6/SUMPRODUCT($B$5:$M$5,$B$6:$M$6)),"")</f>
        <v>0.0406830738322451</v>
      </c>
      <c r="C7" s="67">
        <f>IFERROR(IF('PyG 3 Años'!$B$9="","",C5*C6/SUMPRODUCT($B$5:$M$5,$B$6:$M$6)),"")</f>
        <v>0.060271220492214964</v>
      </c>
      <c r="D7" s="67">
        <f>IFERROR(IF('PyG 3 Años'!$B$9="","",D5*D6/SUMPRODUCT($B$5:$M$5,$B$6:$M$6)),"")</f>
        <v>0.0978689818468824</v>
      </c>
      <c r="E7" s="67">
        <f>IFERROR(IF('PyG 3 Años'!$B$9="","",E5*E6/SUMPRODUCT($B$5:$M$5,$B$6:$M$6)),"")</f>
        <v>0.11623735380641459</v>
      </c>
      <c r="F7" s="67">
        <f>IFERROR(IF('PyG 3 Años'!$B$9="","",F5*F6/SUMPRODUCT($B$5:$M$5,$B$6:$M$6)),"")</f>
        <v>0.0727559733084595</v>
      </c>
      <c r="G7" s="67">
        <f>IFERROR(IF('PyG 3 Años'!$B$9="","",G5*G6/SUMPRODUCT($B$5:$M$5,$B$6:$M$6)),"")</f>
        <v>0.05524861878453038</v>
      </c>
      <c r="H7" s="67">
        <f>IFERROR(IF('PyG 3 Años'!$B$9="","",H5*H6/SUMPRODUCT($B$5:$M$5,$B$6:$M$6)),"")</f>
        <v>0.1313051589294683</v>
      </c>
      <c r="I7" s="67">
        <f>IFERROR(IF('PyG 3 Años'!$B$9="","",I5*I6/SUMPRODUCT($B$5:$M$5,$B$6:$M$6)),"")</f>
        <v>0.12743058046925448</v>
      </c>
      <c r="J7" s="67">
        <f>IFERROR(IF('PyG 3 Años'!$B$9="","",J5*J6/SUMPRODUCT($B$5:$M$5,$B$6:$M$6)),"")</f>
        <v>0.08904355313195092</v>
      </c>
      <c r="K7" s="67">
        <f>IFERROR(IF('PyG 3 Años'!$B$9="","",K5*K6/SUMPRODUCT($B$5:$M$5,$B$6:$M$6)),"")</f>
        <v>0.09944751381215469</v>
      </c>
      <c r="L7" s="67">
        <f>IFERROR(IF('PyG 3 Años'!$B$9="","",L5*L6/SUMPRODUCT($B$5:$M$5,$B$6:$M$6)),"")</f>
        <v>0.04226160579751739</v>
      </c>
      <c r="M7" s="67">
        <f>IFERROR(IF('PyG 3 Años'!$B$9="","",M5*M6/SUMPRODUCT($B$5:$M$5,$B$6:$M$6)),"")</f>
        <v>0.06744636578890721</v>
      </c>
      <c r="N7" s="67">
        <f>IFERROR(IF('PyG 3 Años'!$B$9="","",SUM(B7:M7)),"")</f>
        <v>0.9999999999999998</v>
      </c>
      <c r="O7" s="28" t="inlineStr">
        <is>
          <t>Estacionalidad × rampa, normalizado a 100 %: el AÑO factura lo que dice el P&amp;L, pero repartido como lo reparte una finca que acaba de abrir</t>
        </is>
      </c>
    </row>
    <row r="8">
      <c r="A8" s="25" t="inlineStr">
        <is>
          <t>COBROS</t>
        </is>
      </c>
      <c r="B8" s="28" t="n"/>
      <c r="C8" s="28" t="n"/>
      <c r="D8" s="28" t="n"/>
      <c r="E8" s="28" t="n"/>
      <c r="F8" s="28" t="n"/>
      <c r="G8" s="28" t="n"/>
      <c r="H8" s="28" t="n"/>
      <c r="I8" s="28" t="n"/>
      <c r="J8" s="28" t="n"/>
      <c r="K8" s="28" t="n"/>
      <c r="L8" s="28" t="n"/>
      <c r="M8" s="28" t="n"/>
      <c r="N8" s="28" t="n"/>
      <c r="O8" s="28" t="n"/>
    </row>
    <row r="9">
      <c r="A9" s="28" t="inlineStr">
        <is>
          <t>Ventas cobradas (con IVA repercutido)</t>
        </is>
      </c>
      <c r="B9" s="32">
        <f>IFERROR(IF('PyG 3 Años'!$B$9="","",('PyG 3 Años'!$B$9+'PyG 3 Años'!$B$9*SUMPRODUCT('PyG 3 Años'!$E$10:$E$11,'PyG 3 Años'!$G$10:$G$11))*B7*(1-MIN(30,'0. Supuestos'!$B$58)/30)),"")</f>
        <v>11948.260773480662</v>
      </c>
      <c r="C9" s="32">
        <f>IFERROR(IF('PyG 3 Años'!$B$9="","",('PyG 3 Años'!$B$9+'PyG 3 Años'!$B$9*SUMPRODUCT('PyG 3 Años'!$E$10:$E$11,'PyG 3 Años'!$G$10:$G$11))*(C7*(1-MIN(30,'0. Supuestos'!$B$58)/30)+B7*MIN(30,'0. Supuestos'!$B$58)/30)),"")</f>
        <v>23675.257458563534</v>
      </c>
      <c r="D9" s="32">
        <f>IFERROR(IF('PyG 3 Años'!$B$9="","",('PyG 3 Años'!$B$9+'PyG 3 Años'!$B$9*SUMPRODUCT('PyG 3 Años'!$E$10:$E$11,'PyG 3 Años'!$G$10:$G$11))*(D7*(1-MIN(30,'0. Supuestos'!$B$58)/30)+C7*MIN(30,'0. Supuestos'!$B$58)/30)),"")</f>
        <v>37593.822257300715</v>
      </c>
      <c r="E9" s="32">
        <f>IFERROR(IF('PyG 3 Años'!$B$9="","",('PyG 3 Años'!$B$9+'PyG 3 Años'!$B$9*SUMPRODUCT('PyG 3 Años'!$E$10:$E$11,'PyG 3 Años'!$G$10:$G$11))*(E7*(1-MIN(30,'0. Supuestos'!$B$58)/30)+D7*MIN(30,'0. Supuestos'!$B$58)/30)),"")</f>
        <v>48509.51728492502</v>
      </c>
      <c r="F9" s="32">
        <f>IFERROR(IF('PyG 3 Años'!$B$9="","",('PyG 3 Años'!$B$9+'PyG 3 Años'!$B$9*SUMPRODUCT('PyG 3 Años'!$E$10:$E$11,'PyG 3 Años'!$G$10:$G$11))*(F7*(1-MIN(30,'0. Supuestos'!$B$58)/30)+E7*MIN(30,'0. Supuestos'!$B$58)/30)),"")</f>
        <v>38436.73307024467</v>
      </c>
      <c r="G9" s="32">
        <f>IFERROR(IF('PyG 3 Años'!$B$9="","",('PyG 3 Años'!$B$9+'PyG 3 Años'!$B$9*SUMPRODUCT('PyG 3 Años'!$E$10:$E$11,'PyG 3 Años'!$G$10:$G$11))*(G7*(1-MIN(30,'0. Supuestos'!$B$58)/30)+F7*MIN(30,'0. Supuestos'!$B$58)/30)),"")</f>
        <v>26909.927703235986</v>
      </c>
      <c r="H9" s="32">
        <f>IFERROR(IF('PyG 3 Años'!$B$9="","",('PyG 3 Años'!$B$9+'PyG 3 Años'!$B$9*SUMPRODUCT('PyG 3 Años'!$E$10:$E$11,'PyG 3 Años'!$G$10:$G$11))*(H7*(1-MIN(30,'0. Supuestos'!$B$58)/30)+G7*MIN(30,'0. Supuestos'!$B$58)/30)),"")</f>
        <v>46676.1862667719</v>
      </c>
      <c r="I9" s="32">
        <f>IFERROR(IF('PyG 3 Años'!$B$9="","",('PyG 3 Años'!$B$9+'PyG 3 Años'!$B$9*SUMPRODUCT('PyG 3 Años'!$E$10:$E$11,'PyG 3 Años'!$G$10:$G$11))*(I7*(1-MIN(30,'0. Supuestos'!$B$58)/30)+H7*MIN(30,'0. Supuestos'!$B$58)/30)),"")</f>
        <v>56706.82494080504</v>
      </c>
      <c r="J9" s="32">
        <f>IFERROR(IF('PyG 3 Años'!$B$9="","",('PyG 3 Años'!$B$9+'PyG 3 Años'!$B$9*SUMPRODUCT('PyG 3 Años'!$E$10:$E$11,'PyG 3 Años'!$G$10:$G$11))*(J7*(1-MIN(30,'0. Supuestos'!$B$58)/30)+I7*MIN(30,'0. Supuestos'!$B$58)/30)),"")</f>
        <v>44863.92801894238</v>
      </c>
      <c r="K9" s="32">
        <f>IFERROR(IF('PyG 3 Años'!$B$9="","",('PyG 3 Años'!$B$9+'PyG 3 Años'!$B$9*SUMPRODUCT('PyG 3 Años'!$E$10:$E$11,'PyG 3 Años'!$G$10:$G$11))*(K7*(1-MIN(30,'0. Supuestos'!$B$58)/30)+J7*MIN(30,'0. Supuestos'!$B$58)/30)),"")</f>
        <v>42282.5136543015</v>
      </c>
      <c r="L9" s="32">
        <f>IFERROR(IF('PyG 3 Años'!$B$9="","",('PyG 3 Años'!$B$9+'PyG 3 Años'!$B$9*SUMPRODUCT('PyG 3 Años'!$E$10:$E$11,'PyG 3 Años'!$G$10:$G$11))*(L7*(1-MIN(30,'0. Supuestos'!$B$58)/30)+K7*MIN(30,'0. Supuestos'!$B$58)/30)),"")</f>
        <v>27015.291554853982</v>
      </c>
      <c r="M9" s="32">
        <f>IFERROR(IF('PyG 3 Años'!$B$9="","",('PyG 3 Años'!$B$9+'PyG 3 Años'!$B$9*SUMPRODUCT('PyG 3 Años'!$E$10:$E$11,'PyG 3 Años'!$G$10:$G$11))*(M7*(1-MIN(30,'0. Supuestos'!$B$58)/30)+L7*MIN(30,'0. Supuestos'!$B$58)/30)),"")</f>
        <v>26014.334964483027</v>
      </c>
      <c r="N9" s="32">
        <f>IFERROR(IF('PyG 3 Años'!$B$9="","",SUM(B9:M9)),"")</f>
        <v>430632.59794790845</v>
      </c>
      <c r="O9" s="28" t="inlineStr">
        <is>
          <t>Ventas del mes con el IVA repercutido, corregidas por los días medios de cobro de la hoja de Supuestos</t>
        </is>
      </c>
    </row>
    <row r="10">
      <c r="A10" s="25" t="inlineStr">
        <is>
          <t>PAGOS</t>
        </is>
      </c>
      <c r="B10" s="28" t="n"/>
      <c r="C10" s="28" t="n"/>
      <c r="D10" s="28" t="n"/>
      <c r="E10" s="28" t="n"/>
      <c r="F10" s="28" t="n"/>
      <c r="G10" s="28" t="n"/>
      <c r="H10" s="28" t="n"/>
      <c r="I10" s="28" t="n"/>
      <c r="J10" s="28" t="n"/>
      <c r="K10" s="28" t="n"/>
      <c r="L10" s="28" t="n"/>
      <c r="M10" s="28" t="n"/>
      <c r="N10" s="28" t="n"/>
      <c r="O10" s="28" t="n"/>
    </row>
    <row r="11">
      <c r="A11" s="28" t="inlineStr">
        <is>
          <t>Compras y costes variables (IVA incluido)</t>
        </is>
      </c>
      <c r="B11" s="32">
        <f>IFERROR(IF('PyG 3 Años'!$B$9="","",-('PyG 3 Años'!$B$13*(1+'PyG 3 Años'!$G$13)+'PyG 3 Años'!$B$14*(1+'PyG 3 Años'!$G$14)+'PyG 3 Años'!$B$15*(1+'PyG 3 Años'!$G$15)+'PyG 3 Años'!$B$16*(1+'PyG 3 Años'!$G$16)+'PyG 3 Años'!$B$17*(1+'PyG 3 Años'!$G$17)+'PyG 3 Años'!$B$18*(1+'PyG 3 Años'!$G$18))*B7*(1-MIN(30,'0. Supuestos'!$B$59)/30)),"")</f>
        <v>-0.0</v>
      </c>
      <c r="C11" s="32">
        <f>IFERROR(IF('PyG 3 Años'!$B$9="","",-('PyG 3 Años'!$B$13*(1+'PyG 3 Años'!$G$13)+'PyG 3 Años'!$B$14*(1+'PyG 3 Años'!$G$14)+'PyG 3 Años'!$B$15*(1+'PyG 3 Años'!$G$15)+'PyG 3 Años'!$B$16*(1+'PyG 3 Años'!$G$16)+'PyG 3 Años'!$B$17*(1+'PyG 3 Años'!$G$17)+'PyG 3 Años'!$B$18*(1+'PyG 3 Años'!$G$18))*(C7*(1-MIN(30,'0. Supuestos'!$B$59)/30)+B7*MIN(30,'0. Supuestos'!$B$59)/30)),"")</f>
        <v>-3488.0439180873936</v>
      </c>
      <c r="D11" s="32">
        <f>IFERROR(IF('PyG 3 Años'!$B$9="","",-('PyG 3 Años'!$B$13*(1+'PyG 3 Años'!$G$13)+'PyG 3 Años'!$B$14*(1+'PyG 3 Años'!$G$14)+'PyG 3 Años'!$B$15*(1+'PyG 3 Años'!$G$15)+'PyG 3 Años'!$B$16*(1+'PyG 3 Años'!$G$16)+'PyG 3 Años'!$B$17*(1+'PyG 3 Años'!$G$17)+'PyG 3 Años'!$B$18*(1+'PyG 3 Años'!$G$18))*(D7*(1-MIN(30,'0. Supuestos'!$B$59)/30)+C7*MIN(30,'0. Supuestos'!$B$59)/30)),"")</f>
        <v>-5167.472471240583</v>
      </c>
      <c r="E11" s="32">
        <f>IFERROR(IF('PyG 3 Años'!$B$9="","",-('PyG 3 Años'!$B$13*(1+'PyG 3 Años'!$G$13)+'PyG 3 Años'!$B$14*(1+'PyG 3 Años'!$G$14)+'PyG 3 Años'!$B$15*(1+'PyG 3 Años'!$G$15)+'PyG 3 Años'!$B$16*(1+'PyG 3 Años'!$G$16)+'PyG 3 Años'!$B$17*(1+'PyG 3 Años'!$G$17)+'PyG 3 Años'!$B$18*(1+'PyG 3 Años'!$G$18))*(E7*(1-MIN(30,'0. Supuestos'!$B$59)/30)+D7*MIN(30,'0. Supuestos'!$B$59)/30)),"")</f>
        <v>-8390.991012823995</v>
      </c>
      <c r="F11" s="32">
        <f>IFERROR(IF('PyG 3 Años'!$B$9="","",-('PyG 3 Años'!$B$13*(1+'PyG 3 Años'!$G$13)+'PyG 3 Años'!$B$14*(1+'PyG 3 Años'!$G$14)+'PyG 3 Años'!$B$15*(1+'PyG 3 Años'!$G$15)+'PyG 3 Años'!$B$16*(1+'PyG 3 Años'!$G$16)+'PyG 3 Años'!$B$17*(1+'PyG 3 Años'!$G$17)+'PyG 3 Años'!$B$18*(1+'PyG 3 Años'!$G$18))*(F7*(1-MIN(30,'0. Supuestos'!$B$59)/30)+E7*MIN(30,'0. Supuestos'!$B$59)/30)),"")</f>
        <v>-9965.839765963983</v>
      </c>
      <c r="G11" s="32">
        <f>IFERROR(IF('PyG 3 Años'!$B$9="","",-('PyG 3 Años'!$B$13*(1+'PyG 3 Años'!$G$13)+'PyG 3 Años'!$B$14*(1+'PyG 3 Años'!$G$14)+'PyG 3 Años'!$B$15*(1+'PyG 3 Años'!$G$15)+'PyG 3 Años'!$B$16*(1+'PyG 3 Años'!$G$16)+'PyG 3 Años'!$B$17*(1+'PyG 3 Años'!$G$17)+'PyG 3 Años'!$B$18*(1+'PyG 3 Años'!$G$18))*(G7*(1-MIN(30,'0. Supuestos'!$B$59)/30)+F7*MIN(30,'0. Supuestos'!$B$59)/30)),"")</f>
        <v>-6237.877483140419</v>
      </c>
      <c r="H11" s="32">
        <f>IFERROR(IF('PyG 3 Años'!$B$9="","",-('PyG 3 Años'!$B$13*(1+'PyG 3 Años'!$G$13)+'PyG 3 Años'!$B$14*(1+'PyG 3 Años'!$G$14)+'PyG 3 Años'!$B$15*(1+'PyG 3 Años'!$G$15)+'PyG 3 Años'!$B$16*(1+'PyG 3 Años'!$G$16)+'PyG 3 Años'!$B$17*(1+'PyG 3 Años'!$G$17)+'PyG 3 Años'!$B$18*(1+'PyG 3 Años'!$G$18))*(H7*(1-MIN(30,'0. Supuestos'!$B$59)/30)+G7*MIN(30,'0. Supuestos'!$B$59)/30)),"")</f>
        <v>-4736.849765303868</v>
      </c>
      <c r="I11" s="32">
        <f>IFERROR(IF('PyG 3 Años'!$B$9="","",-('PyG 3 Años'!$B$13*(1+'PyG 3 Años'!$G$13)+'PyG 3 Años'!$B$14*(1+'PyG 3 Años'!$G$14)+'PyG 3 Años'!$B$15*(1+'PyG 3 Años'!$G$15)+'PyG 3 Años'!$B$16*(1+'PyG 3 Años'!$G$16)+'PyG 3 Años'!$B$17*(1+'PyG 3 Años'!$G$17)+'PyG 3 Años'!$B$18*(1+'PyG 3 Años'!$G$18))*(I7*(1-MIN(30,'0. Supuestos'!$B$59)/30)+H7*MIN(30,'0. Supuestos'!$B$59)/30)),"")</f>
        <v>-11257.707883774128</v>
      </c>
      <c r="J11" s="32">
        <f>IFERROR(IF('PyG 3 Años'!$B$9="","",-('PyG 3 Años'!$B$13*(1+'PyG 3 Años'!$G$13)+'PyG 3 Años'!$B$14*(1+'PyG 3 Años'!$G$14)+'PyG 3 Años'!$B$15*(1+'PyG 3 Años'!$G$15)+'PyG 3 Años'!$B$16*(1+'PyG 3 Años'!$G$16)+'PyG 3 Años'!$B$17*(1+'PyG 3 Años'!$G$17)+'PyG 3 Años'!$B$18*(1+'PyG 3 Años'!$G$18))*(J7*(1-MIN(30,'0. Supuestos'!$B$59)/30)+I7*MIN(30,'0. Supuestos'!$B$59)/30)),"")</f>
        <v>-10925.513224908662</v>
      </c>
      <c r="K11" s="32">
        <f>IFERROR(IF('PyG 3 Años'!$B$9="","",-('PyG 3 Años'!$B$13*(1+'PyG 3 Años'!$G$13)+'PyG 3 Años'!$B$14*(1+'PyG 3 Años'!$G$14)+'PyG 3 Años'!$B$15*(1+'PyG 3 Años'!$G$15)+'PyG 3 Años'!$B$16*(1+'PyG 3 Años'!$G$16)+'PyG 3 Años'!$B$17*(1+'PyG 3 Años'!$G$17)+'PyG 3 Años'!$B$18*(1+'PyG 3 Años'!$G$18))*(K7*(1-MIN(30,'0. Supuestos'!$B$59)/30)+J7*MIN(30,'0. Supuestos'!$B$59)/30)),"")</f>
        <v>-7634.325400963767</v>
      </c>
      <c r="L11" s="32">
        <f>IFERROR(IF('PyG 3 Años'!$B$9="","",-('PyG 3 Años'!$B$13*(1+'PyG 3 Años'!$G$13)+'PyG 3 Años'!$B$14*(1+'PyG 3 Años'!$G$14)+'PyG 3 Años'!$B$15*(1+'PyG 3 Años'!$G$15)+'PyG 3 Años'!$B$16*(1+'PyG 3 Años'!$G$16)+'PyG 3 Años'!$B$17*(1+'PyG 3 Años'!$G$17)+'PyG 3 Años'!$B$18*(1+'PyG 3 Años'!$G$18))*(L7*(1-MIN(30,'0. Supuestos'!$B$59)/30)+K7*MIN(30,'0. Supuestos'!$B$59)/30)),"")</f>
        <v>-8526.329577546963</v>
      </c>
      <c r="M11" s="32">
        <f>IFERROR(IF('PyG 3 Años'!$B$9="","",-('PyG 3 Años'!$B$13*(1+'PyG 3 Años'!$G$13)+'PyG 3 Años'!$B$14*(1+'PyG 3 Años'!$G$14)+'PyG 3 Años'!$B$15*(1+'PyG 3 Años'!$G$15)+'PyG 3 Años'!$B$16*(1+'PyG 3 Años'!$G$16)+'PyG 3 Años'!$B$17*(1+'PyG 3 Años'!$G$17)+'PyG 3 Años'!$B$18*(1+'PyG 3 Años'!$G$18))*(M7*(1-MIN(30,'0. Supuestos'!$B$59)/30)+L7*MIN(30,'0. Supuestos'!$B$59)/30)),"")</f>
        <v>-3623.382482810361</v>
      </c>
      <c r="N11" s="32">
        <f>IFERROR(IF('PyG 3 Años'!$B$9="","",SUM(B11:M11)),"")</f>
        <v>-79954.33298656411</v>
      </c>
      <c r="O11" s="28" t="str">
        <f>IFERROR("Coste directo del evento,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Coste directo del evento,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8" t="inlineStr">
        <is>
          <t>Costes fijos de explotación (IVA incluido)</t>
        </is>
      </c>
      <c r="B12" s="32">
        <f>IFERROR(IF('PyG 3 Años'!$B$9="","",-('PyG 3 Años'!$B$38-'PyG 3 Años'!$B$23-'PyG 3 Años'!$B$36-'PyG 3 Años'!$B$37+'PyG 3 Años'!$B$40)/12),"")</f>
        <v>-10965.166666666666</v>
      </c>
      <c r="C12" s="32">
        <f>IFERROR(IF('PyG 3 Años'!$B$9="","",-('PyG 3 Años'!$B$38-'PyG 3 Años'!$B$23-'PyG 3 Años'!$B$36-'PyG 3 Años'!$B$37+'PyG 3 Años'!$B$40)/12),"")</f>
        <v>-10965.166666666666</v>
      </c>
      <c r="D12" s="32">
        <f>IFERROR(IF('PyG 3 Años'!$B$9="","",-('PyG 3 Años'!$B$38-'PyG 3 Años'!$B$23-'PyG 3 Años'!$B$36-'PyG 3 Años'!$B$37+'PyG 3 Años'!$B$40)/12),"")</f>
        <v>-10965.166666666666</v>
      </c>
      <c r="E12" s="32">
        <f>IFERROR(IF('PyG 3 Años'!$B$9="","",-('PyG 3 Años'!$B$38-'PyG 3 Años'!$B$23-'PyG 3 Años'!$B$36-'PyG 3 Años'!$B$37+'PyG 3 Años'!$B$40)/12),"")</f>
        <v>-10965.166666666666</v>
      </c>
      <c r="F12" s="32">
        <f>IFERROR(IF('PyG 3 Años'!$B$9="","",-('PyG 3 Años'!$B$38-'PyG 3 Años'!$B$23-'PyG 3 Años'!$B$36-'PyG 3 Años'!$B$37+'PyG 3 Años'!$B$40)/12),"")</f>
        <v>-10965.166666666666</v>
      </c>
      <c r="G12" s="32">
        <f>IFERROR(IF('PyG 3 Años'!$B$9="","",-('PyG 3 Años'!$B$38-'PyG 3 Años'!$B$23-'PyG 3 Años'!$B$36-'PyG 3 Años'!$B$37+'PyG 3 Años'!$B$40)/12),"")</f>
        <v>-10965.166666666666</v>
      </c>
      <c r="H12" s="32">
        <f>IFERROR(IF('PyG 3 Años'!$B$9="","",-('PyG 3 Años'!$B$38-'PyG 3 Años'!$B$23-'PyG 3 Años'!$B$36-'PyG 3 Años'!$B$37+'PyG 3 Años'!$B$40)/12),"")</f>
        <v>-10965.166666666666</v>
      </c>
      <c r="I12" s="32">
        <f>IFERROR(IF('PyG 3 Años'!$B$9="","",-('PyG 3 Años'!$B$38-'PyG 3 Años'!$B$23-'PyG 3 Años'!$B$36-'PyG 3 Años'!$B$37+'PyG 3 Años'!$B$40)/12),"")</f>
        <v>-10965.166666666666</v>
      </c>
      <c r="J12" s="32">
        <f>IFERROR(IF('PyG 3 Años'!$B$9="","",-('PyG 3 Años'!$B$38-'PyG 3 Años'!$B$23-'PyG 3 Años'!$B$36-'PyG 3 Años'!$B$37+'PyG 3 Años'!$B$40)/12),"")</f>
        <v>-10965.166666666666</v>
      </c>
      <c r="K12" s="32">
        <f>IFERROR(IF('PyG 3 Años'!$B$9="","",-('PyG 3 Años'!$B$38-'PyG 3 Años'!$B$23-'PyG 3 Años'!$B$36-'PyG 3 Años'!$B$37+'PyG 3 Años'!$B$40)/12),"")</f>
        <v>-10965.166666666666</v>
      </c>
      <c r="L12" s="32">
        <f>IFERROR(IF('PyG 3 Años'!$B$9="","",-('PyG 3 Años'!$B$38-'PyG 3 Años'!$B$23-'PyG 3 Años'!$B$36-'PyG 3 Años'!$B$37+'PyG 3 Años'!$B$40)/12),"")</f>
        <v>-10965.166666666666</v>
      </c>
      <c r="M12" s="32">
        <f>IFERROR(IF('PyG 3 Años'!$B$9="","",-('PyG 3 Años'!$B$38-'PyG 3 Años'!$B$23-'PyG 3 Años'!$B$36-'PyG 3 Años'!$B$37+'PyG 3 Años'!$B$40)/12),"")</f>
        <v>-10965.166666666666</v>
      </c>
      <c r="N12" s="32">
        <f>IFERROR(IF('PyG 3 Años'!$B$9="","",SUM(B12:M12)),"")</f>
        <v>-131582.0</v>
      </c>
      <c r="O12" s="28" t="inlineStr">
        <is>
          <t>Los fijos que salen de caja, cada uno con su tipo de IVA: los seguros están exentos y no llevan</t>
        </is>
      </c>
    </row>
    <row r="13">
      <c r="A13" s="28" t="inlineStr">
        <is>
          <t>Nóminas y Seguridad Social</t>
        </is>
      </c>
      <c r="B13" s="32">
        <f>IFERROR(IF('PyG 3 Años'!$B$9="","",-'PyG 3 Años'!$B$23/MAX(12,'0. Supuestos'!$B$21)*(1+IF(1='0. Supuestos'!$B$60,(MAX(12,'0. Supuestos'!$B$21)-12)/2,0)+IF(1='0. Supuestos'!$B$61,(MAX(12,'0. Supuestos'!$B$21)-12)/2,0))),"")</f>
        <v>-7980.0</v>
      </c>
      <c r="C13" s="32">
        <f>IFERROR(IF('PyG 3 Años'!$B$9="","",-'PyG 3 Años'!$B$23/MAX(12,'0. Supuestos'!$B$21)*(1+IF(2='0. Supuestos'!$B$60,(MAX(12,'0. Supuestos'!$B$21)-12)/2,0)+IF(2='0. Supuestos'!$B$61,(MAX(12,'0. Supuestos'!$B$21)-12)/2,0))),"")</f>
        <v>-7980.0</v>
      </c>
      <c r="D13" s="32">
        <f>IFERROR(IF('PyG 3 Años'!$B$9="","",-'PyG 3 Años'!$B$23/MAX(12,'0. Supuestos'!$B$21)*(1+IF(3='0. Supuestos'!$B$60,(MAX(12,'0. Supuestos'!$B$21)-12)/2,0)+IF(3='0. Supuestos'!$B$61,(MAX(12,'0. Supuestos'!$B$21)-12)/2,0))),"")</f>
        <v>-7980.0</v>
      </c>
      <c r="E13" s="32">
        <f>IFERROR(IF('PyG 3 Años'!$B$9="","",-'PyG 3 Años'!$B$23/MAX(12,'0. Supuestos'!$B$21)*(1+IF(4='0. Supuestos'!$B$60,(MAX(12,'0. Supuestos'!$B$21)-12)/2,0)+IF(4='0. Supuestos'!$B$61,(MAX(12,'0. Supuestos'!$B$21)-12)/2,0))),"")</f>
        <v>-7980.0</v>
      </c>
      <c r="F13" s="32">
        <f>IFERROR(IF('PyG 3 Años'!$B$9="","",-'PyG 3 Años'!$B$23/MAX(12,'0. Supuestos'!$B$21)*(1+IF(5='0. Supuestos'!$B$60,(MAX(12,'0. Supuestos'!$B$21)-12)/2,0)+IF(5='0. Supuestos'!$B$61,(MAX(12,'0. Supuestos'!$B$21)-12)/2,0))),"")</f>
        <v>-15960.0</v>
      </c>
      <c r="G13" s="32">
        <f>IFERROR(IF('PyG 3 Años'!$B$9="","",-'PyG 3 Años'!$B$23/MAX(12,'0. Supuestos'!$B$21)*(1+IF(6='0. Supuestos'!$B$60,(MAX(12,'0. Supuestos'!$B$21)-12)/2,0)+IF(6='0. Supuestos'!$B$61,(MAX(12,'0. Supuestos'!$B$21)-12)/2,0))),"")</f>
        <v>-7980.0</v>
      </c>
      <c r="H13" s="32">
        <f>IFERROR(IF('PyG 3 Años'!$B$9="","",-'PyG 3 Años'!$B$23/MAX(12,'0. Supuestos'!$B$21)*(1+IF(7='0. Supuestos'!$B$60,(MAX(12,'0. Supuestos'!$B$21)-12)/2,0)+IF(7='0. Supuestos'!$B$61,(MAX(12,'0. Supuestos'!$B$21)-12)/2,0))),"")</f>
        <v>-7980.0</v>
      </c>
      <c r="I13" s="32">
        <f>IFERROR(IF('PyG 3 Años'!$B$9="","",-'PyG 3 Años'!$B$23/MAX(12,'0. Supuestos'!$B$21)*(1+IF(8='0. Supuestos'!$B$60,(MAX(12,'0. Supuestos'!$B$21)-12)/2,0)+IF(8='0. Supuestos'!$B$61,(MAX(12,'0. Supuestos'!$B$21)-12)/2,0))),"")</f>
        <v>-7980.0</v>
      </c>
      <c r="J13" s="32">
        <f>IFERROR(IF('PyG 3 Años'!$B$9="","",-'PyG 3 Años'!$B$23/MAX(12,'0. Supuestos'!$B$21)*(1+IF(9='0. Supuestos'!$B$60,(MAX(12,'0. Supuestos'!$B$21)-12)/2,0)+IF(9='0. Supuestos'!$B$61,(MAX(12,'0. Supuestos'!$B$21)-12)/2,0))),"")</f>
        <v>-7980.0</v>
      </c>
      <c r="K13" s="32">
        <f>IFERROR(IF('PyG 3 Años'!$B$9="","",-'PyG 3 Años'!$B$23/MAX(12,'0. Supuestos'!$B$21)*(1+IF(10='0. Supuestos'!$B$60,(MAX(12,'0. Supuestos'!$B$21)-12)/2,0)+IF(10='0. Supuestos'!$B$61,(MAX(12,'0. Supuestos'!$B$21)-12)/2,0))),"")</f>
        <v>-15960.0</v>
      </c>
      <c r="L13" s="32">
        <f>IFERROR(IF('PyG 3 Años'!$B$9="","",-'PyG 3 Años'!$B$23/MAX(12,'0. Supuestos'!$B$21)*(1+IF(11='0. Supuestos'!$B$60,(MAX(12,'0. Supuestos'!$B$21)-12)/2,0)+IF(11='0. Supuestos'!$B$61,(MAX(12,'0. Supuestos'!$B$21)-12)/2,0))),"")</f>
        <v>-7980.0</v>
      </c>
      <c r="M13" s="32">
        <f>IFERROR(IF('PyG 3 Años'!$B$9="","",-'PyG 3 Años'!$B$23/MAX(12,'0. Supuestos'!$B$21)*(1+IF(12='0. Supuestos'!$B$60,(MAX(12,'0. Supuestos'!$B$21)-12)/2,0)+IF(12='0. Supuestos'!$B$61,(MAX(12,'0. Supuestos'!$B$21)-12)/2,0))),"")</f>
        <v>-7980.0</v>
      </c>
      <c r="N13" s="32">
        <f>IFERROR(IF('PyG 3 Años'!$B$9="","",SUM(B13:M13)),"")</f>
        <v>-111720.0</v>
      </c>
      <c r="O13" s="28" t="inlineStr">
        <is>
          <t>Doce mensualidades más las pagas extra en los meses que digas en Supuestos. La suma del año es la misma que la del P&amp;L. El personal se reparte en doce meses, pero la coordinación y los auxiliares fijos discontinuos sólo trabajan de marzo a noviembre: aquí la temporada sale más barata y el invierno más caro que en la realidad. A final de noviembre tu caja real será unos 9.000 € menor que la de esta hoja (tres mensualidades de esos dos puestos), y en febrero se iguala</t>
        </is>
      </c>
    </row>
    <row r="14">
      <c r="A14" s="28" t="inlineStr">
        <is>
          <t>Intereses del préstamo</t>
        </is>
      </c>
      <c r="B14" s="32">
        <f>IFERROR(IF('PyG 3 Años'!$B$9="","",-'Financiación'!$B$44/12),"")</f>
        <v>-1424.5833333333333</v>
      </c>
      <c r="C14" s="32">
        <f>IFERROR(IF('PyG 3 Años'!$B$9="","",-'Financiación'!$B$44/12),"")</f>
        <v>-1424.5833333333333</v>
      </c>
      <c r="D14" s="32">
        <f>IFERROR(IF('PyG 3 Años'!$B$9="","",-'Financiación'!$B$44/12),"")</f>
        <v>-1424.5833333333333</v>
      </c>
      <c r="E14" s="32">
        <f>IFERROR(IF('PyG 3 Años'!$B$9="","",-'Financiación'!$B$44/12),"")</f>
        <v>-1424.5833333333333</v>
      </c>
      <c r="F14" s="32">
        <f>IFERROR(IF('PyG 3 Años'!$B$9="","",-'Financiación'!$B$44/12),"")</f>
        <v>-1424.5833333333333</v>
      </c>
      <c r="G14" s="32">
        <f>IFERROR(IF('PyG 3 Años'!$B$9="","",-'Financiación'!$B$44/12),"")</f>
        <v>-1424.5833333333333</v>
      </c>
      <c r="H14" s="32">
        <f>IFERROR(IF('PyG 3 Años'!$B$9="","",-'Financiación'!$B$44/12),"")</f>
        <v>-1424.5833333333333</v>
      </c>
      <c r="I14" s="32">
        <f>IFERROR(IF('PyG 3 Años'!$B$9="","",-'Financiación'!$B$44/12),"")</f>
        <v>-1424.5833333333333</v>
      </c>
      <c r="J14" s="32">
        <f>IFERROR(IF('PyG 3 Años'!$B$9="","",-'Financiación'!$B$44/12),"")</f>
        <v>-1424.5833333333333</v>
      </c>
      <c r="K14" s="32">
        <f>IFERROR(IF('PyG 3 Años'!$B$9="","",-'Financiación'!$B$44/12),"")</f>
        <v>-1424.5833333333333</v>
      </c>
      <c r="L14" s="32">
        <f>IFERROR(IF('PyG 3 Años'!$B$9="","",-'Financiación'!$B$44/12),"")</f>
        <v>-1424.5833333333333</v>
      </c>
      <c r="M14" s="32">
        <f>IFERROR(IF('PyG 3 Años'!$B$9="","",-'Financiación'!$B$44/12),"")</f>
        <v>-1424.5833333333333</v>
      </c>
      <c r="N14" s="32">
        <f>IFERROR(IF('PyG 3 Años'!$B$9="","",SUM(B14:M14)),"")</f>
        <v>-17095.0</v>
      </c>
      <c r="O14" s="28" t="n"/>
    </row>
    <row r="15">
      <c r="A15" s="28" t="inlineStr">
        <is>
          <t>Devolución de principal del préstamo</t>
        </is>
      </c>
      <c r="B15" s="32">
        <f>IFERROR(IF('PyG 3 Años'!$B$9="","",-'Financiación'!$B$45/12),"")</f>
        <v>0.0</v>
      </c>
      <c r="C15" s="32">
        <f>IFERROR(IF('PyG 3 Años'!$B$9="","",-'Financiación'!$B$45/12),"")</f>
        <v>0.0</v>
      </c>
      <c r="D15" s="32">
        <f>IFERROR(IF('PyG 3 Años'!$B$9="","",-'Financiación'!$B$45/12),"")</f>
        <v>0.0</v>
      </c>
      <c r="E15" s="32">
        <f>IFERROR(IF('PyG 3 Años'!$B$9="","",-'Financiación'!$B$45/12),"")</f>
        <v>0.0</v>
      </c>
      <c r="F15" s="32">
        <f>IFERROR(IF('PyG 3 Años'!$B$9="","",-'Financiación'!$B$45/12),"")</f>
        <v>0.0</v>
      </c>
      <c r="G15" s="32">
        <f>IFERROR(IF('PyG 3 Años'!$B$9="","",-'Financiación'!$B$45/12),"")</f>
        <v>0.0</v>
      </c>
      <c r="H15" s="32">
        <f>IFERROR(IF('PyG 3 Años'!$B$9="","",-'Financiación'!$B$45/12),"")</f>
        <v>0.0</v>
      </c>
      <c r="I15" s="32">
        <f>IFERROR(IF('PyG 3 Años'!$B$9="","",-'Financiación'!$B$45/12),"")</f>
        <v>0.0</v>
      </c>
      <c r="J15" s="32">
        <f>IFERROR(IF('PyG 3 Años'!$B$9="","",-'Financiación'!$B$45/12),"")</f>
        <v>0.0</v>
      </c>
      <c r="K15" s="32">
        <f>IFERROR(IF('PyG 3 Años'!$B$9="","",-'Financiación'!$B$45/12),"")</f>
        <v>0.0</v>
      </c>
      <c r="L15" s="32">
        <f>IFERROR(IF('PyG 3 Años'!$B$9="","",-'Financiación'!$B$45/12),"")</f>
        <v>0.0</v>
      </c>
      <c r="M15" s="32">
        <f>IFERROR(IF('PyG 3 Años'!$B$9="","",-'Financiación'!$B$45/12),"")</f>
        <v>0.0</v>
      </c>
      <c r="N15" s="32">
        <f>IFERROR(IF('PyG 3 Años'!$B$9="","",SUM(B15:M15)),"")</f>
        <v>0.0</v>
      </c>
      <c r="O15" s="28" t="n"/>
    </row>
    <row r="16">
      <c r="A16" s="28" t="inlineStr">
        <is>
          <t>IVA repercutido del mes (memoria)</t>
        </is>
      </c>
      <c r="B16" s="32">
        <f>IFERROR(IF('PyG 3 Años'!$B$9="","",'PyG 3 Años'!$B$9*B7*SUMPRODUCT('PyG 3 Años'!$E$10:$E$11,'PyG 3 Años'!$G$10:$G$11)),"")</f>
        <v>3110.497639377197</v>
      </c>
      <c r="C16" s="32">
        <f>IFERROR(IF('PyG 3 Años'!$B$9="","",'PyG 3 Años'!$B$9*C7*SUMPRODUCT('PyG 3 Años'!$E$10:$E$11,'PyG 3 Años'!$G$10:$G$11)),"")</f>
        <v>4608.144650929181</v>
      </c>
      <c r="D16" s="32">
        <f>IFERROR(IF('PyG 3 Años'!$B$9="","",'PyG 3 Años'!$B$9*D7*SUMPRODUCT('PyG 3 Años'!$E$10:$E$11,'PyG 3 Años'!$G$10:$G$11)),"")</f>
        <v>7482.749171270718</v>
      </c>
      <c r="E16" s="32">
        <f>IFERROR(IF('PyG 3 Años'!$B$9="","",'PyG 3 Años'!$B$9*E7*SUMPRODUCT('PyG 3 Años'!$E$10:$E$11,'PyG 3 Años'!$G$10:$G$11)),"")</f>
        <v>8887.13611250628</v>
      </c>
      <c r="F16" s="32">
        <f>IFERROR(IF('PyG 3 Años'!$B$9="","",'PyG 3 Años'!$B$9*F7*SUMPRODUCT('PyG 3 Años'!$E$10:$E$11,'PyG 3 Años'!$G$10:$G$11)),"")</f>
        <v>5562.688900050225</v>
      </c>
      <c r="G16" s="32">
        <f>IFERROR(IF('PyG 3 Años'!$B$9="","",'PyG 3 Años'!$B$9*G7*SUMPRODUCT('PyG 3 Años'!$E$10:$E$11,'PyG 3 Años'!$G$10:$G$11)),"")</f>
        <v>4224.132596685083</v>
      </c>
      <c r="H16" s="32">
        <f>IFERROR(IF('PyG 3 Años'!$B$9="","",'PyG 3 Años'!$B$9*H7*SUMPRODUCT('PyG 3 Años'!$E$10:$E$11,'PyG 3 Años'!$G$10:$G$11)),"")</f>
        <v>10039.172275238572</v>
      </c>
      <c r="I16" s="32">
        <f>IFERROR(IF('PyG 3 Años'!$B$9="","",'PyG 3 Años'!$B$9*I7*SUMPRODUCT('PyG 3 Años'!$E$10:$E$11,'PyG 3 Años'!$G$10:$G$11)),"")</f>
        <v>9742.934404821695</v>
      </c>
      <c r="J16" s="32">
        <f>IFERROR(IF('PyG 3 Años'!$B$9="","",'PyG 3 Años'!$B$9*J7*SUMPRODUCT('PyG 3 Años'!$E$10:$E$11,'PyG 3 Años'!$G$10:$G$11)),"")</f>
        <v>6807.985133098945</v>
      </c>
      <c r="K16" s="32">
        <f>IFERROR(IF('PyG 3 Años'!$B$9="","",'PyG 3 Años'!$B$9*K7*SUMPRODUCT('PyG 3 Años'!$E$10:$E$11,'PyG 3 Años'!$G$10:$G$11)),"")</f>
        <v>7603.438674033148</v>
      </c>
      <c r="L16" s="32">
        <f>IFERROR(IF('PyG 3 Años'!$B$9="","",'PyG 3 Años'!$B$9*L7*SUMPRODUCT('PyG 3 Años'!$E$10:$E$11,'PyG 3 Años'!$G$10:$G$11)),"")</f>
        <v>3231.1871421396277</v>
      </c>
      <c r="M16" s="32">
        <f>IFERROR(IF('PyG 3 Años'!$B$9="","",'PyG 3 Años'!$B$9*M7*SUMPRODUCT('PyG 3 Años'!$E$10:$E$11,'PyG 3 Años'!$G$10:$G$11)),"")</f>
        <v>5156.73329984932</v>
      </c>
      <c r="N16" s="32">
        <f>IFERROR(IF('PyG 3 Años'!$B$9="","",SUM(B16:M16)),"")</f>
        <v>76456.79999999999</v>
      </c>
      <c r="O16" s="28" t="inlineStr">
        <is>
          <t>Cada línea de venta a SU tipo, leído de la columna de IVA del P&amp;L: el espacio, los servicios y el canon de la finca, al general (21 %). La finca no vende comida ni bebida: el menú y la barra los factura el catering, al 10 % (art. 91.Uno.2.2.º de la Ley 37/1992)</t>
        </is>
      </c>
    </row>
    <row r="17">
      <c r="A17" s="28" t="inlineStr">
        <is>
          <t>IVA soportado del mes (memoria)</t>
        </is>
      </c>
      <c r="B17" s="32">
        <f>IFERROR(IF('PyG 3 Años'!$B$9="","",'PyG 3 Años'!$B$39*B7+'PyG 3 Años'!$B$40/12),"")</f>
        <v>2421.1510164299348</v>
      </c>
      <c r="C17" s="32">
        <f>IFERROR(IF('PyG 3 Años'!$B$9="","",'PyG 3 Años'!$B$39*C7+'PyG 3 Años'!$B$40/12),"")</f>
        <v>2708.908913229533</v>
      </c>
      <c r="D17" s="32">
        <f>IFERROR(IF('PyG 3 Años'!$B$9="","",'PyG 3 Años'!$B$39*D7+'PyG 3 Años'!$B$40/12),"")</f>
        <v>3261.2354257679563</v>
      </c>
      <c r="E17" s="32">
        <f>IFERROR(IF('PyG 3 Años'!$B$9="","",'PyG 3 Años'!$B$39*E7+'PyG 3 Años'!$B$40/12),"")</f>
        <v>3531.0743326569564</v>
      </c>
      <c r="F17" s="32">
        <f>IFERROR(IF('PyG 3 Años'!$B$9="","",'PyG 3 Años'!$B$39*F7+'PyG 3 Años'!$B$40/12),"")</f>
        <v>2892.31504525565</v>
      </c>
      <c r="G17" s="32">
        <f>IFERROR(IF('PyG 3 Años'!$B$9="","",'PyG 3 Años'!$B$39*G7+'PyG 3 Años'!$B$40/12),"")</f>
        <v>2635.1248371270717</v>
      </c>
      <c r="H17" s="32">
        <f>IFERROR(IF('PyG 3 Años'!$B$9="","",'PyG 3 Años'!$B$39*H7+'PyG 3 Años'!$B$40/12),"")</f>
        <v>3752.42656096434</v>
      </c>
      <c r="I17" s="32">
        <f>IFERROR(IF('PyG 3 Años'!$B$9="","",'PyG 3 Años'!$B$39*I7+'PyG 3 Años'!$B$40/12),"")</f>
        <v>3695.5074165424408</v>
      </c>
      <c r="J17" s="32">
        <f>IFERROR(IF('PyG 3 Años'!$B$9="","",'PyG 3 Años'!$B$39*J7+'PyG 3 Años'!$B$40/12),"")</f>
        <v>3131.5862634736313</v>
      </c>
      <c r="K17" s="32">
        <f>IFERROR(IF('PyG 3 Años'!$B$9="","",'PyG 3 Años'!$B$39*K7+'PyG 3 Años'!$B$40/12),"")</f>
        <v>3284.4247068287295</v>
      </c>
      <c r="L17" s="32">
        <f>IFERROR(IF('PyG 3 Años'!$B$9="","",'PyG 3 Años'!$B$39*L7+'PyG 3 Años'!$B$40/12),"")</f>
        <v>2444.340297490708</v>
      </c>
      <c r="M17" s="32">
        <f>IFERROR(IF('PyG 3 Años'!$B$9="","",'PyG 3 Años'!$B$39*M7+'PyG 3 Años'!$B$40/12),"")</f>
        <v>2814.3147362330487</v>
      </c>
      <c r="N17" s="32">
        <f>IFERROR(IF('PyG 3 Años'!$B$9="","",SUM(B17:M17)),"")</f>
        <v>36572.409552000005</v>
      </c>
      <c r="O17" s="28" t="inlineStr">
        <is>
          <t>Cada partida a su tipo, leído de la columna de IVA del P&amp;L: los seguros y las comisiones de los medios de pago están exentos</t>
        </is>
      </c>
    </row>
    <row r="18">
      <c r="A18" s="28" t="inlineStr">
        <is>
          <t>IVA a compensar arrastrado (inversión incluida)</t>
        </is>
      </c>
      <c r="B18" s="28" t="n"/>
      <c r="C18" s="28" t="n"/>
      <c r="D18" s="28" t="n"/>
      <c r="E18" s="32">
        <f>IFERROR(IF('PyG 3 Años'!$B$9="","",'Inversión Inicial'!$B$33),"")</f>
        <v>49093.799999999996</v>
      </c>
      <c r="F18" s="28" t="n"/>
      <c r="G18" s="28" t="n"/>
      <c r="H18" s="32">
        <f>IFERROR(IF('PyG 3 Años'!$B$9="","",MAX(0,-E19)),"")</f>
        <v>42283.703893850325</v>
      </c>
      <c r="I18" s="28" t="n"/>
      <c r="J18" s="28" t="n"/>
      <c r="K18" s="32">
        <f>IFERROR(IF('PyG 3 Años'!$B$9="","",MAX(0,-H19)),"")</f>
        <v>32668.260499648415</v>
      </c>
      <c r="L18" s="28" t="n"/>
      <c r="M18" s="28" t="n"/>
      <c r="N18" s="28" t="n"/>
      <c r="O18" s="28" t="inlineStr">
        <is>
          <t>El IVA soportado de la INVERSIÓN entra aquí: se compensa contra el repercutido de los trimestres siguientes hasta agotarlo (modelo 303)</t>
        </is>
      </c>
    </row>
    <row r="19">
      <c r="A19" s="28" t="inlineStr">
        <is>
          <t>Resultado de la liquidación trimestral</t>
        </is>
      </c>
      <c r="B19" s="28" t="n"/>
      <c r="C19" s="28" t="n"/>
      <c r="D19" s="28" t="n"/>
      <c r="E19" s="32">
        <f>IFERROR(IF('PyG 3 Años'!$B$9="","",SUM(B16:D16)-SUM(B17:D17)-E18),"")</f>
        <v>-42283.703893850325</v>
      </c>
      <c r="F19" s="28" t="n"/>
      <c r="G19" s="28" t="n"/>
      <c r="H19" s="32">
        <f>IFERROR(IF('PyG 3 Años'!$B$9="","",SUM(E16:G16)-SUM(E17:G17)-H18),"")</f>
        <v>-32668.260499648415</v>
      </c>
      <c r="I19" s="28" t="n"/>
      <c r="J19" s="28" t="n"/>
      <c r="K19" s="32">
        <f>IFERROR(IF('PyG 3 Años'!$B$9="","",SUM(H16:J16)-SUM(H17:J17)-K18),"")</f>
        <v>-16657.688927469615</v>
      </c>
      <c r="L19" s="28" t="n"/>
      <c r="M19" s="28" t="n"/>
      <c r="N19" s="28" t="n"/>
      <c r="O19" s="28" t="inlineStr">
        <is>
          <t>Repercutido menos soportado del trimestre menos lo que venía arrastrado. En negativo NO se paga: se compensa en el trimestre siguiente</t>
        </is>
      </c>
    </row>
    <row r="20">
      <c r="A20" s="28" t="inlineStr">
        <is>
          <t>Pago del IVA (modelo 303)</t>
        </is>
      </c>
      <c r="B20" s="28" t="n"/>
      <c r="C20" s="28" t="n"/>
      <c r="D20" s="28" t="n"/>
      <c r="E20" s="32">
        <f>IFERROR(IF('PyG 3 Años'!$B$9="","",IF(E19&lt;=0,"",-E19)),"")</f>
        <v/>
      </c>
      <c r="F20" s="28" t="n"/>
      <c r="G20" s="28" t="n"/>
      <c r="H20" s="32">
        <f>IFERROR(IF('PyG 3 Años'!$B$9="","",IF(H19&lt;=0,"",-H19)),"")</f>
        <v/>
      </c>
      <c r="I20" s="28" t="n"/>
      <c r="J20" s="28" t="n"/>
      <c r="K20" s="32">
        <f>IFERROR(IF('PyG 3 Años'!$B$9="","",IF(K19&lt;=0,"",-K19)),"")</f>
        <v/>
      </c>
      <c r="L20" s="28" t="n"/>
      <c r="M20" s="28" t="n"/>
      <c r="N20" s="32">
        <f>IFERROR(IF('PyG 3 Años'!$B$9="","",SUM(B20:M20)),"")</f>
        <v>0.0</v>
      </c>
      <c r="O20" s="28" t="inlineStr">
        <is>
          <t>Sólo sale caja cuando el resultado del trimestre es positivo. Los meses sin liquidación van en blanco, no a cero. La celda se pinta en ROJO cuando el pago del 303 se lleva más caja de la que queda ese mes</t>
        </is>
      </c>
    </row>
    <row r="21">
      <c r="A21" s="25" t="inlineStr">
        <is>
          <t>FLUJO DEL MES</t>
        </is>
      </c>
      <c r="B21" s="26">
        <f>IFERROR(IF('PyG 3 Años'!$B$9="","",SUM(B9:B15)+IF(B20="",0,B20)),"")</f>
        <v>-8421.489226519338</v>
      </c>
      <c r="C21" s="26">
        <f>IFERROR(IF('PyG 3 Años'!$B$9="","",SUM(C9:C15)+IF(C20="",0,C20)),"")</f>
        <v>-182.53645952386</v>
      </c>
      <c r="D21" s="26">
        <f>IFERROR(IF('PyG 3 Años'!$B$9="","",SUM(D9:D15)+IF(D20="",0,D20)),"")</f>
        <v>12056.59978606013</v>
      </c>
      <c r="E21" s="26">
        <f>IFERROR(IF('PyG 3 Años'!$B$9="","",SUM(E9:E15)+IF(E20="",0,E20)),"")</f>
        <v>19748.776272101033</v>
      </c>
      <c r="F21" s="26">
        <f>IFERROR(IF('PyG 3 Años'!$B$9="","",SUM(F9:F15)+IF(F20="",0,F20)),"")</f>
        <v>121.14330428069184</v>
      </c>
      <c r="G21" s="26">
        <f>IFERROR(IF('PyG 3 Años'!$B$9="","",SUM(G9:G15)+IF(G20="",0,G20)),"")</f>
        <v>302.30022009556774</v>
      </c>
      <c r="H21" s="26">
        <f>IFERROR(IF('PyG 3 Años'!$B$9="","",SUM(H9:H15)+IF(H20="",0,H20)),"")</f>
        <v>21569.586501468042</v>
      </c>
      <c r="I21" s="26">
        <f>IFERROR(IF('PyG 3 Años'!$B$9="","",SUM(I9:I15)+IF(I20="",0,I20)),"")</f>
        <v>25079.367057030915</v>
      </c>
      <c r="J21" s="26">
        <f>IFERROR(IF('PyG 3 Años'!$B$9="","",SUM(J9:J15)+IF(J20="",0,J20)),"")</f>
        <v>13568.664794033723</v>
      </c>
      <c r="K21" s="26">
        <f>IFERROR(IF('PyG 3 Años'!$B$9="","",SUM(K9:K15)+IF(K20="",0,K20)),"")</f>
        <v>6298.438253337738</v>
      </c>
      <c r="L21" s="26">
        <f>IFERROR(IF('PyG 3 Años'!$B$9="","",SUM(L9:L15)+IF(L20="",0,L20)),"")</f>
        <v>-1880.7880226929803</v>
      </c>
      <c r="M21" s="26">
        <f>IFERROR(IF('PyG 3 Años'!$B$9="","",SUM(M9:M15)+IF(M20="",0,M20)),"")</f>
        <v>2021.2024816726669</v>
      </c>
      <c r="N21" s="26">
        <f>IFERROR(IF('PyG 3 Años'!$B$9="","",SUM(B21:M21)),"")</f>
        <v>90281.26496134432</v>
      </c>
      <c r="O21" s="28" t="n"/>
    </row>
    <row r="22">
      <c r="A22" s="25" t="inlineStr">
        <is>
          <t>SALDO ACUMULADO DE CAJA</t>
        </is>
      </c>
      <c r="B22" s="26">
        <f>IFERROR(IF('PyG 3 Años'!$B$9="","",'Inversión Inicial'!$B$30+B21),"")</f>
        <v>51207.260773480666</v>
      </c>
      <c r="C22" s="26">
        <f>IFERROR(IF('PyG 3 Años'!$B$9="","",B22+C21),"")</f>
        <v>51024.72431395681</v>
      </c>
      <c r="D22" s="26">
        <f>IFERROR(IF('PyG 3 Años'!$B$9="","",C22+D21),"")</f>
        <v>63081.32410001694</v>
      </c>
      <c r="E22" s="26">
        <f>IFERROR(IF('PyG 3 Años'!$B$9="","",D22+E21),"")</f>
        <v>82830.10037211797</v>
      </c>
      <c r="F22" s="26">
        <f>IFERROR(IF('PyG 3 Años'!$B$9="","",E22+F21),"")</f>
        <v>82951.24367639866</v>
      </c>
      <c r="G22" s="26">
        <f>IFERROR(IF('PyG 3 Años'!$B$9="","",F22+G21),"")</f>
        <v>83253.54389649423</v>
      </c>
      <c r="H22" s="26">
        <f>IFERROR(IF('PyG 3 Años'!$B$9="","",G22+H21),"")</f>
        <v>104823.13039796228</v>
      </c>
      <c r="I22" s="26">
        <f>IFERROR(IF('PyG 3 Años'!$B$9="","",H22+I21),"")</f>
        <v>129902.4974549932</v>
      </c>
      <c r="J22" s="26">
        <f>IFERROR(IF('PyG 3 Años'!$B$9="","",I22+J21),"")</f>
        <v>143471.1622490269</v>
      </c>
      <c r="K22" s="26">
        <f>IFERROR(IF('PyG 3 Años'!$B$9="","",J22+K21),"")</f>
        <v>149769.60050236466</v>
      </c>
      <c r="L22" s="26">
        <f>IFERROR(IF('PyG 3 Años'!$B$9="","",K22+L21),"")</f>
        <v>147888.81247967167</v>
      </c>
      <c r="M22" s="26">
        <f>IFERROR(IF('PyG 3 Años'!$B$9="","",L22+M21),"")</f>
        <v>149910.01496134434</v>
      </c>
      <c r="N22" s="28" t="n"/>
      <c r="O22" s="28" t="n"/>
    </row>
    <row r="23">
      <c r="A23" s="28" t="inlineStr">
        <is>
          <t>Saldo mínimo del año</t>
        </is>
      </c>
      <c r="B23" s="32">
        <f>IFERROR(IF('PyG 3 Años'!$B$9="","",IF(COUNT(B22:M22)=0,"",MIN(B22:M22))),"")</f>
        <v>51024.72431395681</v>
      </c>
      <c r="C23" s="28" t="n"/>
      <c r="D23" s="28" t="inlineStr">
        <is>
          <t>Si es negativo, sube el fondo de maniobra o el préstamo: te quedas sin caja</t>
        </is>
      </c>
      <c r="E23" s="28" t="n"/>
      <c r="F23" s="28" t="n"/>
      <c r="G23" s="28" t="n"/>
      <c r="H23" s="28" t="n"/>
      <c r="I23" s="28" t="n"/>
      <c r="J23" s="28" t="n"/>
      <c r="K23" s="28" t="n"/>
      <c r="L23" s="28" t="n"/>
      <c r="M23" s="28" t="n"/>
      <c r="N23" s="28" t="n"/>
      <c r="O23" s="28" t="n"/>
    </row>
    <row r="24">
      <c r="A24" s="28" t="inlineStr">
        <is>
          <t>Mes en el que la caja toca fondo</t>
        </is>
      </c>
      <c r="B24" s="39">
        <f>IFERROR(IF('PyG 3 Años'!$B$9="","",IF(COUNT(B22:M22)=0,"",MATCH(MIN(B22:M22),B22:M22,0))),"")</f>
        <v>2.0</v>
      </c>
      <c r="C24" s="28" t="n"/>
      <c r="D24" s="28" t="inlineStr">
        <is>
          <t>Es la respuesta a la pregunta que decide una operación bancaria: en qué mes se agota la caja</t>
        </is>
      </c>
      <c r="E24" s="28" t="n"/>
      <c r="F24" s="28" t="n"/>
      <c r="G24" s="28" t="n"/>
      <c r="H24" s="28" t="n"/>
      <c r="I24" s="28" t="n"/>
      <c r="J24" s="28" t="n"/>
      <c r="K24" s="28" t="n"/>
      <c r="L24" s="28" t="n"/>
      <c r="M24" s="28" t="n"/>
      <c r="N24" s="28" t="n"/>
      <c r="O24" s="28" t="n"/>
    </row>
    <row r="25">
      <c r="A25" s="25" t="inlineStr">
        <is>
          <t>RETORNO DE LA INVERSIÓN</t>
        </is>
      </c>
      <c r="B25" s="28" t="n"/>
      <c r="C25" s="28" t="n"/>
      <c r="D25" s="28" t="n"/>
      <c r="E25" s="28" t="n"/>
      <c r="F25" s="28" t="n"/>
      <c r="G25" s="28" t="n"/>
      <c r="H25" s="28" t="n"/>
      <c r="I25" s="28" t="n"/>
      <c r="J25" s="28" t="n"/>
      <c r="K25" s="28" t="n"/>
      <c r="L25" s="28" t="n"/>
      <c r="M25" s="28" t="n"/>
      <c r="N25" s="28" t="n"/>
      <c r="O25" s="28" t="n"/>
    </row>
    <row r="26">
      <c r="A26" s="28" t="inlineStr">
        <is>
          <t>Flujo de caja libre antes de la deuda, año 1</t>
        </is>
      </c>
      <c r="B26" s="32">
        <f>IFERROR(IF('PyG 3 Años'!$B$9="","",'PyG 3 Años'!$B$48+'PyG 3 Años'!$B$36+'Financiación'!$B$44),"")</f>
        <v>65948.46448</v>
      </c>
      <c r="C26" s="28" t="n"/>
      <c r="D26" s="28" t="inlineStr">
        <is>
          <t>Resultado neto más amortización (que no se paga) más los intereses de ese año: el principal no se resta porque este flujo es ANTES de la deuda. La MISMA base que los años 2 y 3, para que el payback compare peras con peras</t>
        </is>
      </c>
      <c r="E26" s="28" t="n"/>
      <c r="F26" s="28" t="n"/>
      <c r="G26" s="28" t="n"/>
      <c r="H26" s="28" t="n"/>
      <c r="I26" s="28" t="n"/>
      <c r="J26" s="28" t="n"/>
      <c r="K26" s="28" t="n"/>
      <c r="L26" s="28" t="n"/>
      <c r="M26" s="28" t="n"/>
      <c r="N26" s="28" t="n"/>
      <c r="O26" s="28" t="n"/>
    </row>
    <row r="27">
      <c r="A27" s="28" t="inlineStr">
        <is>
          <t>Flujo de caja libre antes de la deuda, año 2</t>
        </is>
      </c>
      <c r="B27" s="32">
        <f>IFERROR(IF('PyG 3 Años'!$B$9="","",'PyG 3 Años'!$C$48+'PyG 3 Años'!$C$36+'Financiación'!$B$46),"")</f>
        <v>80774.73763839998</v>
      </c>
      <c r="C27" s="28" t="n"/>
      <c r="D27" s="28" t="inlineStr">
        <is>
          <t>Resultado neto más amortización (que no se paga) más los intereses de ese año: el principal no se resta porque este flujo es ANTES de la deuda. Sin tabla mensual, es una estimación</t>
        </is>
      </c>
      <c r="E27" s="28" t="n"/>
      <c r="F27" s="28" t="n"/>
      <c r="G27" s="28" t="n"/>
      <c r="H27" s="28" t="n"/>
      <c r="I27" s="28" t="n"/>
      <c r="J27" s="28" t="n"/>
      <c r="K27" s="28" t="n"/>
      <c r="L27" s="28" t="n"/>
      <c r="M27" s="28" t="n"/>
      <c r="N27" s="28" t="n"/>
      <c r="O27" s="28" t="n"/>
    </row>
    <row r="28">
      <c r="A28" s="28" t="inlineStr">
        <is>
          <t>Flujo de caja libre antes de la deuda, año 3</t>
        </is>
      </c>
      <c r="B28" s="32">
        <f>IFERROR(IF('PyG 3 Años'!$B$9="","",'PyG 3 Años'!$D$48+'PyG 3 Años'!$D$36+'Financiación'!$B$48),"")</f>
        <v>82120.2362548076</v>
      </c>
      <c r="C28" s="28" t="n"/>
      <c r="D28" s="28" t="inlineStr">
        <is>
          <t>Resultado neto más amortización (que no se paga) más los intereses de ese año: el principal no se resta porque este flujo es ANTES de la deuda. Sin tabla mensual, es una estimación</t>
        </is>
      </c>
      <c r="E28" s="28" t="n"/>
      <c r="F28" s="28" t="n"/>
      <c r="G28" s="28" t="n"/>
      <c r="H28" s="28" t="n"/>
      <c r="I28" s="28" t="n"/>
      <c r="J28" s="28" t="n"/>
      <c r="K28" s="28" t="n"/>
      <c r="L28" s="28" t="n"/>
      <c r="M28" s="28" t="n"/>
      <c r="N28" s="28" t="n"/>
      <c r="O28" s="28" t="n"/>
    </row>
    <row r="29">
      <c r="A29" s="28" t="inlineStr">
        <is>
          <t>Informativo: flujo REAL de caja del año 1 (tabla mensual, antes de la deuda)</t>
        </is>
      </c>
      <c r="B29" s="32">
        <f>IFERROR(IF('PyG 3 Años'!$B$9="","",N21+'Financiación'!$B$44+'Financiación'!$B$45),"")</f>
        <v>107376.26496134432</v>
      </c>
      <c r="C29" s="28" t="n"/>
      <c r="D29" s="28"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8" t="n"/>
      <c r="F29" s="28" t="n"/>
      <c r="G29" s="28" t="n"/>
      <c r="H29" s="28" t="n"/>
      <c r="I29" s="28" t="n"/>
      <c r="J29" s="28" t="n"/>
      <c r="K29" s="28" t="n"/>
      <c r="L29" s="28" t="n"/>
      <c r="M29" s="28" t="n"/>
      <c r="N29" s="28" t="n"/>
      <c r="O29" s="28" t="n"/>
    </row>
    <row r="30">
      <c r="A30" s="28" t="inlineStr">
        <is>
          <t>Inversión a recuperar (sin el IVA, que se recupera por el 303)</t>
        </is>
      </c>
      <c r="B30" s="32">
        <f>IFERROR(IF('PyG 3 Años'!$B$9="","",'Inversión Inicial'!$B$34-'Inversión Inicial'!$B$33),"")</f>
        <v>311408.75</v>
      </c>
      <c r="C30" s="28" t="n"/>
      <c r="D30" s="28"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8" t="n"/>
      <c r="F30" s="28" t="n"/>
      <c r="G30" s="28" t="n"/>
      <c r="H30" s="28" t="n"/>
      <c r="I30" s="28" t="n"/>
      <c r="J30" s="28" t="n"/>
      <c r="K30" s="28" t="n"/>
      <c r="L30" s="28" t="n"/>
      <c r="M30" s="28" t="n"/>
      <c r="N30" s="28" t="n"/>
      <c r="O30" s="28" t="n"/>
    </row>
    <row r="31">
      <c r="A31" s="25" t="inlineStr">
        <is>
          <t>Payback del proyecto (años), antes de la deuda</t>
        </is>
      </c>
      <c r="B31" s="25" t="str">
        <f>IFERROR(IF('PyG 3 Años'!$B$9="","",IF(B26&gt;=B30,ROUND(B30/B26,1),IF(B26+B27&gt;=B30,ROUND(1+(B30-B26)/B27,1),IF(B26+B27+B28&gt;=B30,ROUND(2+(B30-B26-B27)/B28,1),"Más de 3 años")))),"")</f>
        <v>Más de 3 años</v>
      </c>
      <c r="C31" s="28" t="n"/>
      <c r="D31" s="25"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8" t="n"/>
      <c r="F31" s="28" t="n"/>
      <c r="G31" s="28" t="n"/>
      <c r="H31" s="28" t="n"/>
      <c r="I31" s="28" t="n"/>
      <c r="J31" s="28" t="n"/>
      <c r="K31" s="28" t="n"/>
      <c r="L31" s="28" t="n"/>
      <c r="M31" s="28" t="n"/>
      <c r="N31" s="28" t="n"/>
      <c r="O31" s="28" t="n"/>
    </row>
    <row r="32">
      <c r="A32" s="28" t="inlineStr">
        <is>
          <t>Payback sobre el CAPEX, sin fondo de maniobra (años)</t>
        </is>
      </c>
      <c r="B32" s="28" t="str">
        <f>IFERROR(IF('PyG 3 Años'!$B$9="","",IF(B26&gt;='Inversión Inicial'!$B$32,ROUND('Inversión Inicial'!$B$32/B26,1),IF(B26+B27&gt;='Inversión Inicial'!$B$32,ROUND(1+('Inversión Inicial'!$B$32-B26)/B27,1),IF(B26+B27+B28&gt;='Inversión Inicial'!$B$32,ROUND(2+('Inversión Inicial'!$B$32-B26-B27)/B28,1),"Más de 3 años")))),"")</f>
        <v>Más de 3 años</v>
      </c>
      <c r="C32" s="28" t="n"/>
      <c r="D32" s="28" t="inlineStr">
        <is>
          <t>El mismo cálculo sobre lo que se COMPRA (obra, equipamiento, lanzamiento y constitución), sin el fondo de maniobra: ese dinero no se gasta, se inmoviliza y vuelve al cerrar el negocio. Informativo: el payback que se publica es el de arriba</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225" customHeight="1">
      <c r="A34" s="46" t="inlineStr">
        <is>
          <t>Los trimestres de esta hoja son de tres meses del plan (marzo-mayo, junio-agosto y septiembre-noviembre), no los naturales: con el Mes 1 en marzo, el modelo 303 se presenta en abril (por marzo), julio, octubre y enero (por octubre-diciembre, ya en el Mes 11). En el caso todos los trimestres salen a compensar y la finca no paga IVA en su primer año: el de la obra se descuenta de lo que repercutes, y tras el tercer trimestre del plan aún quedan unos 16.660 € por compensar. El Impuesto de Sociedades del año 1 se paga en julio del año 2. La cuota del préstamo se reparte en doce partes iguales siguiendo el cuadro ANUAL de la hoja de Financiación, y las nóminas en doce mensualidades más las dos pagas extra en su mes.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PLAN DE FINANCIACIÓN</t>
        </is>
      </c>
      <c r="B1" s="28" t="n"/>
      <c r="C1" s="28" t="n"/>
      <c r="D1" s="28" t="n"/>
      <c r="E1" s="28" t="n"/>
      <c r="F1" s="28" t="n"/>
      <c r="G1" s="28" t="n"/>
      <c r="H1" s="28" t="n"/>
    </row>
    <row r="2" ht="45" customHeight="1">
      <c r="A2" s="46" t="inlineStr">
        <is>
          <t>Qué hace falta, de dónde sale y cuánto cuesta devolverlo. Es la hoja que el banco pide junto con el P&amp;L.</t>
        </is>
      </c>
      <c r="B2" s="28" t="n"/>
      <c r="C2" s="28" t="n"/>
      <c r="D2" s="28" t="n"/>
      <c r="E2" s="28" t="n"/>
      <c r="F2" s="28" t="n"/>
      <c r="G2" s="28" t="n"/>
      <c r="H2" s="28" t="n"/>
    </row>
    <row r="3">
      <c r="A3" s="28" t="n"/>
      <c r="B3" s="28" t="n"/>
      <c r="C3" s="28" t="n"/>
      <c r="D3" s="28" t="n"/>
      <c r="E3" s="28" t="n"/>
      <c r="F3" s="28" t="n"/>
      <c r="G3" s="28" t="n"/>
      <c r="H3" s="28" t="n"/>
    </row>
    <row r="4">
      <c r="A4" s="25" t="inlineStr">
        <is>
          <t>Concepto</t>
        </is>
      </c>
      <c r="B4" s="25" t="inlineStr">
        <is>
          <t>Importe</t>
        </is>
      </c>
      <c r="C4" s="25" t="inlineStr">
        <is>
          <t>Notas</t>
        </is>
      </c>
      <c r="D4" s="28" t="n"/>
      <c r="E4" s="28" t="n"/>
      <c r="F4" s="28" t="n"/>
      <c r="G4" s="28" t="n"/>
      <c r="H4" s="28" t="n"/>
    </row>
    <row r="5">
      <c r="A5" s="25" t="inlineStr">
        <is>
          <t>ORIGEN DE FONDOS</t>
        </is>
      </c>
      <c r="B5" s="28" t="n"/>
      <c r="C5" s="28" t="n"/>
      <c r="D5" s="28" t="n"/>
      <c r="E5" s="28" t="n"/>
      <c r="F5" s="28" t="n"/>
      <c r="G5" s="28" t="n"/>
      <c r="H5" s="28" t="n"/>
    </row>
    <row r="6">
      <c r="A6" s="28" t="inlineStr">
        <is>
          <t>Recursos propios de los socios</t>
        </is>
      </c>
      <c r="B6" s="32">
        <f>IFERROR(IF('0. Supuestos'!$B$30="","",'0. Supuestos'!$B$30),"")</f>
        <v>100000.0</v>
      </c>
      <c r="C6" s="28" t="n"/>
      <c r="D6" s="28" t="n"/>
      <c r="E6" s="28" t="n"/>
      <c r="F6" s="28" t="n"/>
      <c r="G6" s="28" t="n"/>
      <c r="H6" s="28" t="n"/>
    </row>
    <row r="7">
      <c r="A7" s="28" t="inlineStr">
        <is>
          <t>Préstamo bancario</t>
        </is>
      </c>
      <c r="B7" s="32">
        <f>IFERROR(IF('0. Supuestos'!$B$31="","",'0. Supuestos'!$B$31),"")</f>
        <v>263000.0</v>
      </c>
      <c r="C7" s="28" t="n"/>
      <c r="D7" s="28" t="n"/>
      <c r="E7" s="28" t="n"/>
      <c r="F7" s="28" t="n"/>
      <c r="G7" s="28" t="n"/>
      <c r="H7" s="28" t="n"/>
    </row>
    <row r="8">
      <c r="A8" s="28" t="inlineStr">
        <is>
          <t>Línea ICO (avalada por el ICO, la concede tu banco)</t>
        </is>
      </c>
      <c r="B8" s="29" t="n">
        <v>0</v>
      </c>
      <c r="C8" s="28" t="inlineStr">
        <is>
          <t>Consulta las líneas del ejercicio en curso en ico.es</t>
        </is>
      </c>
      <c r="D8" s="28" t="n"/>
      <c r="E8" s="28" t="n"/>
      <c r="F8" s="28" t="n"/>
      <c r="G8" s="28" t="n"/>
      <c r="H8" s="28" t="n"/>
    </row>
    <row r="9">
      <c r="A9" s="28" t="inlineStr">
        <is>
          <t>Préstamo participativo ENISA</t>
        </is>
      </c>
      <c r="B9" s="29" t="n">
        <v>0</v>
      </c>
      <c r="C9" s="28" t="inlineStr">
        <is>
          <t>Para sociedades; sin garantías personales</t>
        </is>
      </c>
      <c r="D9" s="28" t="n"/>
      <c r="E9" s="28" t="n"/>
      <c r="F9" s="28" t="n"/>
      <c r="G9" s="28" t="n"/>
      <c r="H9" s="28" t="n"/>
    </row>
    <row r="10">
      <c r="A10" s="28" t="inlineStr">
        <is>
          <t>Business angels o socios inversores</t>
        </is>
      </c>
      <c r="B10" s="29" t="n">
        <v>0</v>
      </c>
      <c r="C10" s="28" t="inlineStr">
        <is>
          <t>Entra en el capital: diluye, no se devuelve</t>
        </is>
      </c>
      <c r="D10" s="28" t="n"/>
      <c r="E10" s="28" t="n"/>
      <c r="F10" s="28" t="n"/>
      <c r="G10" s="28" t="n"/>
      <c r="H10" s="28" t="n"/>
    </row>
    <row r="11">
      <c r="A11" s="28" t="inlineStr">
        <is>
          <t>Subvenciones autonómicas o locales</t>
        </is>
      </c>
      <c r="B11" s="29" t="n">
        <v>0</v>
      </c>
      <c r="C11" s="28" t="inlineStr">
        <is>
          <t>Suelen cobrarse DESPUÉS de justificar el gasto</t>
        </is>
      </c>
      <c r="D11" s="28" t="n"/>
      <c r="E11" s="28" t="n"/>
      <c r="F11" s="28" t="n"/>
      <c r="G11" s="28" t="n"/>
      <c r="H11" s="28" t="n"/>
    </row>
    <row r="12">
      <c r="A12" s="25" t="inlineStr">
        <is>
          <t>TOTAL ORIGEN DE FONDOS</t>
        </is>
      </c>
      <c r="B12" s="26">
        <f>IFERROR(IF(COUNT(B6:B11)=0,"",SUM(B6:B11)),"")</f>
        <v>363000.0</v>
      </c>
      <c r="C12" s="28" t="n"/>
      <c r="D12" s="28" t="n"/>
      <c r="E12" s="28" t="n"/>
      <c r="F12" s="28" t="n"/>
      <c r="G12" s="28" t="n"/>
      <c r="H12" s="28" t="n"/>
    </row>
    <row r="13">
      <c r="A13" s="25" t="inlineStr">
        <is>
          <t>USOS</t>
        </is>
      </c>
      <c r="B13" s="28" t="n"/>
      <c r="C13" s="28" t="n"/>
      <c r="D13" s="28" t="n"/>
      <c r="E13" s="28" t="n"/>
      <c r="F13" s="28" t="n"/>
      <c r="G13" s="28" t="n"/>
      <c r="H13" s="28" t="n"/>
    </row>
    <row r="14">
      <c r="A14" s="28" t="inlineStr">
        <is>
          <t>Necesidad total de caja al arranque</t>
        </is>
      </c>
      <c r="B14" s="32">
        <f>IFERROR(IF('Inversión Inicial'!$B$34="","",'Inversión Inicial'!$B$34),"")</f>
        <v>360502.55</v>
      </c>
      <c r="C14" s="28" t="inlineStr">
        <is>
          <t>Inversión más el IVA que hay que adelantar</t>
        </is>
      </c>
      <c r="D14" s="28" t="n"/>
      <c r="E14" s="28" t="n"/>
      <c r="F14" s="28" t="n"/>
      <c r="G14" s="28" t="n"/>
      <c r="H14" s="28" t="n"/>
    </row>
    <row r="15">
      <c r="A15" s="25" t="inlineStr">
        <is>
          <t>Diferencia (origen - usos)</t>
        </is>
      </c>
      <c r="B15" s="26">
        <f>IFERROR(B12-B14,"")</f>
        <v>2497.4500000000116</v>
      </c>
      <c r="C15" s="25" t="inlineStr">
        <is>
          <t>En rojo (negativa) el plan NO está financiado. Muy por encima de cero tampoco es gratis: se pagan intereses por un dinero que no se usa</t>
        </is>
      </c>
      <c r="D15" s="28" t="n"/>
      <c r="E15" s="28" t="n"/>
      <c r="F15" s="28" t="n"/>
      <c r="G15" s="28" t="n"/>
      <c r="H15" s="28" t="n"/>
    </row>
    <row r="16">
      <c r="A16" s="28" t="inlineStr">
        <is>
          <t>Diferencia sobre los usos (%)</t>
        </is>
      </c>
      <c r="B16" s="67">
        <f>IFERROR(B15/B14,"")</f>
        <v>0.006927690247960831</v>
      </c>
      <c r="C16" s="28" t="inlineStr">
        <is>
          <t>Ámbar por encima del margen que fijes: es deuda que pagas sin necesitarla</t>
        </is>
      </c>
      <c r="D16" s="28" t="n"/>
      <c r="E16" s="28" t="n"/>
      <c r="F16" s="28" t="n"/>
      <c r="G16" s="28" t="n"/>
      <c r="H16" s="28" t="n"/>
    </row>
    <row r="17">
      <c r="A17" s="28" t="inlineStr">
        <is>
          <t>Exceso de financiación admisible (%)</t>
        </is>
      </c>
      <c r="B17" s="75" t="n">
        <v>0.05</v>
      </c>
      <c r="C17" s="28" t="inlineStr">
        <is>
          <t>Un pequeño colchón sobre la necesidad es sano; un 20 % de más son intereses tirados</t>
        </is>
      </c>
      <c r="D17" s="28" t="n"/>
      <c r="E17" s="28" t="n"/>
      <c r="F17" s="28" t="n"/>
      <c r="G17" s="28" t="n"/>
      <c r="H17" s="28" t="n"/>
    </row>
    <row r="18">
      <c r="A18" s="28" t="inlineStr">
        <is>
          <t>Préstamo que ajustaría el origen a la necesidad</t>
        </is>
      </c>
      <c r="B18" s="32">
        <f>IFERROR(MAX(0,B14-B12+B7),"")</f>
        <v>260502.55</v>
      </c>
      <c r="C18" s="28" t="inlineStr">
        <is>
          <t>Cópialo en «Préstamo bancario solicitado» de la hoja de Supuestos y la diferencia se pone a cero</t>
        </is>
      </c>
      <c r="D18" s="28" t="n"/>
      <c r="E18" s="28" t="n"/>
      <c r="F18" s="28" t="n"/>
      <c r="G18" s="28" t="n"/>
      <c r="H18" s="28" t="n"/>
    </row>
    <row r="19">
      <c r="A19" s="25" t="inlineStr">
        <is>
          <t>CONDICIONES DEL PRÉSTAMO</t>
        </is>
      </c>
      <c r="B19" s="28" t="n"/>
      <c r="C19" s="28" t="n"/>
      <c r="D19" s="28" t="n"/>
      <c r="E19" s="28" t="n"/>
      <c r="F19" s="28" t="n"/>
      <c r="G19" s="28" t="n"/>
      <c r="H19" s="28" t="n"/>
    </row>
    <row r="20">
      <c r="A20" s="28" t="inlineStr">
        <is>
          <t>Importe del principal</t>
        </is>
      </c>
      <c r="B20" s="32">
        <f>IFERROR(IF('0. Supuestos'!$B$31=0,"",'0. Supuestos'!$B$31),"")</f>
        <v>263000.0</v>
      </c>
      <c r="C20" s="28" t="n"/>
      <c r="D20" s="28" t="n"/>
      <c r="E20" s="28" t="n"/>
      <c r="F20" s="28" t="n"/>
      <c r="G20" s="28" t="n"/>
      <c r="H20" s="28" t="n"/>
    </row>
    <row r="21">
      <c r="A21" s="28" t="inlineStr">
        <is>
          <t>Tipo de interés nominal anual</t>
        </is>
      </c>
      <c r="B21" s="67">
        <f>IFERROR(IF('0. Supuestos'!$B$32="","",'0. Supuestos'!$B$32),"")</f>
        <v>0.065</v>
      </c>
      <c r="C21" s="28" t="n"/>
      <c r="D21" s="28" t="n"/>
      <c r="E21" s="28" t="n"/>
      <c r="F21" s="28" t="n"/>
      <c r="G21" s="28" t="n"/>
      <c r="H21" s="28" t="n"/>
    </row>
    <row r="22">
      <c r="A22" s="28" t="inlineStr">
        <is>
          <t>Plazo total (años)</t>
        </is>
      </c>
      <c r="B22" s="39">
        <f>IFERROR(IF('0. Supuestos'!$B$33="","",'0. Supuestos'!$B$33),"")</f>
        <v>8.0</v>
      </c>
      <c r="C22" s="28" t="n"/>
      <c r="D22" s="28" t="n"/>
      <c r="E22" s="28" t="n"/>
      <c r="F22" s="28" t="n"/>
      <c r="G22" s="28" t="n"/>
      <c r="H22" s="28" t="n"/>
    </row>
    <row r="23">
      <c r="A23" s="28" t="inlineStr">
        <is>
          <t>Carencia de principal aplicada (años)</t>
        </is>
      </c>
      <c r="B23" s="39">
        <f>IFERROR(IF(OR('0. Supuestos'!$B$34="",'0. Supuestos'!$B$33=""),"",IF('0. Supuestos'!$B$34&gt;='0. Supuestos'!$B$33,0,'0. Supuestos'!$B$34)),"")</f>
        <v>1.0</v>
      </c>
      <c r="C23" s="28" t="inlineStr">
        <is>
          <t>Una carencia igual o mayor que el plazo no existe: la hoja la anula en origen</t>
        </is>
      </c>
      <c r="D23" s="28" t="n"/>
      <c r="E23" s="28" t="n"/>
      <c r="F23" s="28" t="n"/>
      <c r="G23" s="28" t="n"/>
      <c r="H23" s="28" t="n"/>
    </row>
    <row r="24">
      <c r="A24" s="25" t="inlineStr">
        <is>
          <t>Cuota anual durante la amortización</t>
        </is>
      </c>
      <c r="B24" s="72">
        <f>IFERROR(IF(B22-B23&lt;=0,"",IF(B21=0,B20/(B22-B23),B20*B21/(1-(1+B21)^-(B22-B23)))),"")</f>
        <v>47953.15012876365</v>
      </c>
      <c r="C24" s="25" t="inlineStr">
        <is>
          <t>Sistema francés, anualidad algebraica. Con el tipo al 0 % es el principal entre los años de amortización: sin esa rama el cuadro se apagaba entero</t>
        </is>
      </c>
      <c r="D24" s="28" t="n"/>
      <c r="E24" s="28" t="n"/>
      <c r="F24" s="28" t="n"/>
      <c r="G24" s="28" t="n"/>
      <c r="H24" s="28" t="n"/>
    </row>
    <row r="25">
      <c r="A25" s="25" t="inlineStr">
        <is>
          <t>CUADRO DE AMORTIZACIÓN</t>
        </is>
      </c>
      <c r="B25" s="28" t="n"/>
      <c r="C25" s="28" t="n"/>
      <c r="D25" s="28" t="n"/>
      <c r="E25" s="28" t="n"/>
      <c r="F25" s="28" t="n"/>
      <c r="G25" s="28" t="n"/>
      <c r="H25" s="28" t="n"/>
    </row>
    <row r="26">
      <c r="A26" s="25" t="inlineStr">
        <is>
          <t>Año</t>
        </is>
      </c>
      <c r="B26" s="25" t="inlineStr">
        <is>
          <t>Capital pendiente</t>
        </is>
      </c>
      <c r="C26" s="25" t="inlineStr">
        <is>
          <t>Intereses</t>
        </is>
      </c>
      <c r="D26" s="25" t="inlineStr">
        <is>
          <t>Amortización de principal</t>
        </is>
      </c>
      <c r="E26" s="25" t="inlineStr">
        <is>
          <t>Cuota total</t>
        </is>
      </c>
      <c r="F26" s="25" t="inlineStr">
        <is>
          <t>Capital al cierre</t>
        </is>
      </c>
      <c r="G26" s="25" t="inlineStr">
        <is>
          <t>Flujo disponible para la deuda (después de impuestos; del año 4 en adelante, el del año 3 mantenido)</t>
        </is>
      </c>
      <c r="H26" s="25" t="inlineStr">
        <is>
          <t>DSCR del año</t>
        </is>
      </c>
    </row>
    <row r="27">
      <c r="A27" s="39" t="n">
        <v>1</v>
      </c>
      <c r="B27" s="69">
        <f>IFERROR(IF(B20="","",B20),"")</f>
        <v>263000.0</v>
      </c>
      <c r="C27" s="69">
        <f>IFERROR(IF(OR(1&gt;B22,B27=""),"",B27*B21),"")</f>
        <v>17095.0</v>
      </c>
      <c r="D27" s="69">
        <f>IFERROR(IF(OR(1&gt;B22,B27=""),"",IF(1&lt;=B23,0,MIN(B27,B24-C27))),"")</f>
        <v>0.0</v>
      </c>
      <c r="E27" s="69">
        <f>IFERROR(IF(C27="","",C27+D27),"")</f>
        <v>17095.0</v>
      </c>
      <c r="F27" s="69">
        <f>IFERROR(IF(D27="","",B27-D27),"")</f>
        <v>263000.0</v>
      </c>
      <c r="G27" s="69">
        <f>IFERROR(IF(E27="","",'PyG 3 Años'!$B$41-'PyG 3 Años'!$B$46+'PyG 3 Años'!$B$36+'PyG 3 Años'!$B$37),"")</f>
        <v>65948.46448</v>
      </c>
      <c r="H27" s="60">
        <f>IFERROR(IF(OR(E27="",E27=0),"",G27/E27),"")</f>
        <v>3.857763350687335</v>
      </c>
    </row>
    <row r="28">
      <c r="A28" s="39" t="n">
        <v>2</v>
      </c>
      <c r="B28" s="69">
        <f>IFERROR(IF(OR(2&gt;B22,F27=""),"",F27),"")</f>
        <v>263000.0</v>
      </c>
      <c r="C28" s="69">
        <f>IFERROR(IF(OR(2&gt;B22,B28=""),"",B28*B21),"")</f>
        <v>17095.0</v>
      </c>
      <c r="D28" s="69">
        <f>IFERROR(IF(OR(2&gt;B22,B28=""),"",IF(2&lt;=B23,0,MIN(B28,B24-C28))),"")</f>
        <v>30858.15012876365</v>
      </c>
      <c r="E28" s="69">
        <f>IFERROR(IF(C28="","",C28+D28),"")</f>
        <v>47953.15012876365</v>
      </c>
      <c r="F28" s="69">
        <f>IFERROR(IF(D28="","",B28-D28),"")</f>
        <v>232141.84987123637</v>
      </c>
      <c r="G28" s="69">
        <f>IFERROR(IF(E28="","",'PyG 3 Años'!$C$41-'PyG 3 Años'!$C$46+'PyG 3 Años'!$C$36+'PyG 3 Años'!$C$37),"")</f>
        <v>80774.73763839998</v>
      </c>
      <c r="H28" s="60">
        <f>IFERROR(IF(OR(E28="",E28=0),"",G28/E28),"")</f>
        <v>1.684451124097247</v>
      </c>
    </row>
    <row r="29">
      <c r="A29" s="39" t="n">
        <v>3</v>
      </c>
      <c r="B29" s="69">
        <f>IFERROR(IF(OR(3&gt;B22,F28=""),"",F28),"")</f>
        <v>232141.84987123637</v>
      </c>
      <c r="C29" s="69">
        <f>IFERROR(IF(OR(3&gt;B22,B29=""),"",B29*B21),"")</f>
        <v>15089.220241630364</v>
      </c>
      <c r="D29" s="69">
        <f>IFERROR(IF(OR(3&gt;B22,B29=""),"",IF(3&lt;=B23,0,MIN(B29,B24-C29))),"")</f>
        <v>32863.92988713329</v>
      </c>
      <c r="E29" s="69">
        <f>IFERROR(IF(C29="","",C29+D29),"")</f>
        <v>47953.15012876365</v>
      </c>
      <c r="F29" s="69">
        <f>IFERROR(IF(D29="","",B29-D29),"")</f>
        <v>199277.91998410306</v>
      </c>
      <c r="G29" s="69">
        <f>IFERROR(IF(E29="","",'PyG 3 Años'!$D$41-'PyG 3 Años'!$D$46+'PyG 3 Años'!$D$36+'PyG 3 Años'!$D$37),"")</f>
        <v>82120.2362548076</v>
      </c>
      <c r="H29" s="60">
        <f>IFERROR(IF(OR(E29="",E29=0),"",G29/E29),"")</f>
        <v>1.7125097315671358</v>
      </c>
    </row>
    <row r="30">
      <c r="A30" s="39" t="n">
        <v>4</v>
      </c>
      <c r="B30" s="69">
        <f>IFERROR(IF(OR(4&gt;B22,F29=""),"",F29),"")</f>
        <v>199277.91998410306</v>
      </c>
      <c r="C30" s="69">
        <f>IFERROR(IF(OR(4&gt;B22,B30=""),"",B30*B21),"")</f>
        <v>12953.0647989667</v>
      </c>
      <c r="D30" s="69">
        <f>IFERROR(IF(OR(4&gt;B22,B30=""),"",IF(4&lt;=B23,0,MIN(B30,B24-C30))),"")</f>
        <v>35000.08532979695</v>
      </c>
      <c r="E30" s="69">
        <f>IFERROR(IF(C30="","",C30+D30),"")</f>
        <v>47953.15012876365</v>
      </c>
      <c r="F30" s="69">
        <f>IFERROR(IF(D30="","",B30-D30),"")</f>
        <v>164277.83465430612</v>
      </c>
      <c r="G30" s="69">
        <f>IFERROR(IF(E30="","",'PyG 3 Años'!$D$41-'PyG 3 Años'!$D$46+'PyG 3 Años'!$D$36+'PyG 3 Años'!$D$37),"")</f>
        <v>82120.2362548076</v>
      </c>
      <c r="H30" s="60">
        <f>IFERROR(IF(OR(E30="",E30=0),"",G30/E30),"")</f>
        <v>1.7125097315671358</v>
      </c>
    </row>
    <row r="31">
      <c r="A31" s="39" t="n">
        <v>5</v>
      </c>
      <c r="B31" s="69">
        <f>IFERROR(IF(OR(5&gt;B22,F30=""),"",F30),"")</f>
        <v>164277.83465430612</v>
      </c>
      <c r="C31" s="69">
        <f>IFERROR(IF(OR(5&gt;B22,B31=""),"",B31*B21),"")</f>
        <v>10678.059252529898</v>
      </c>
      <c r="D31" s="69">
        <f>IFERROR(IF(OR(5&gt;B22,B31=""),"",IF(5&lt;=B23,0,MIN(B31,B24-C31))),"")</f>
        <v>37275.09087623375</v>
      </c>
      <c r="E31" s="69">
        <f>IFERROR(IF(C31="","",C31+D31),"")</f>
        <v>47953.15012876365</v>
      </c>
      <c r="F31" s="69">
        <f>IFERROR(IF(D31="","",B31-D31),"")</f>
        <v>127002.74377807237</v>
      </c>
      <c r="G31" s="69">
        <f>IFERROR(IF(E31="","",'PyG 3 Años'!$D$41-'PyG 3 Años'!$D$46+'PyG 3 Años'!$D$36+'PyG 3 Años'!$D$37),"")</f>
        <v>82120.2362548076</v>
      </c>
      <c r="H31" s="60">
        <f>IFERROR(IF(OR(E31="",E31=0),"",G31/E31),"")</f>
        <v>1.7125097315671358</v>
      </c>
    </row>
    <row r="32">
      <c r="A32" s="39" t="n">
        <v>6</v>
      </c>
      <c r="B32" s="69">
        <f>IFERROR(IF(OR(6&gt;B22,F31=""),"",F31),"")</f>
        <v>127002.74377807237</v>
      </c>
      <c r="C32" s="69">
        <f>IFERROR(IF(OR(6&gt;B22,B32=""),"",B32*B21),"")</f>
        <v>8255.178345574705</v>
      </c>
      <c r="D32" s="69">
        <f>IFERROR(IF(OR(6&gt;B22,B32=""),"",IF(6&lt;=B23,0,MIN(B32,B24-C32))),"")</f>
        <v>39697.97178318894</v>
      </c>
      <c r="E32" s="69">
        <f>IFERROR(IF(C32="","",C32+D32),"")</f>
        <v>47953.15012876365</v>
      </c>
      <c r="F32" s="69">
        <f>IFERROR(IF(D32="","",B32-D32),"")</f>
        <v>87304.77199488343</v>
      </c>
      <c r="G32" s="69">
        <f>IFERROR(IF(E32="","",'PyG 3 Años'!$D$41-'PyG 3 Años'!$D$46+'PyG 3 Años'!$D$36+'PyG 3 Años'!$D$37),"")</f>
        <v>82120.2362548076</v>
      </c>
      <c r="H32" s="60">
        <f>IFERROR(IF(OR(E32="",E32=0),"",G32/E32),"")</f>
        <v>1.7125097315671358</v>
      </c>
    </row>
    <row r="33">
      <c r="A33" s="39" t="n">
        <v>7</v>
      </c>
      <c r="B33" s="69">
        <f>IFERROR(IF(OR(7&gt;B22,F32=""),"",F32),"")</f>
        <v>87304.77199488343</v>
      </c>
      <c r="C33" s="69">
        <f>IFERROR(IF(OR(7&gt;B22,B33=""),"",B33*B21),"")</f>
        <v>5674.810179667423</v>
      </c>
      <c r="D33" s="69">
        <f>IFERROR(IF(OR(7&gt;B22,B33=""),"",IF(7&lt;=B23,0,MIN(B33,B24-C33))),"")</f>
        <v>42278.339949096226</v>
      </c>
      <c r="E33" s="69">
        <f>IFERROR(IF(C33="","",C33+D33),"")</f>
        <v>47953.15012876365</v>
      </c>
      <c r="F33" s="69">
        <f>IFERROR(IF(D33="","",B33-D33),"")</f>
        <v>45026.4320457872</v>
      </c>
      <c r="G33" s="69">
        <f>IFERROR(IF(E33="","",'PyG 3 Años'!$D$41-'PyG 3 Años'!$D$46+'PyG 3 Años'!$D$36+'PyG 3 Años'!$D$37),"")</f>
        <v>82120.2362548076</v>
      </c>
      <c r="H33" s="60">
        <f>IFERROR(IF(OR(E33="",E33=0),"",G33/E33),"")</f>
        <v>1.7125097315671358</v>
      </c>
    </row>
    <row r="34">
      <c r="A34" s="39" t="n">
        <v>8</v>
      </c>
      <c r="B34" s="69">
        <f>IFERROR(IF(OR(8&gt;B22,F33=""),"",F33),"")</f>
        <v>45026.4320457872</v>
      </c>
      <c r="C34" s="69">
        <f>IFERROR(IF(OR(8&gt;B22,B34=""),"",B34*B21),"")</f>
        <v>2926.7180829761683</v>
      </c>
      <c r="D34" s="69">
        <f>IFERROR(IF(OR(8&gt;B22,B34=""),"",IF(8&lt;=B23,0,MIN(B34,B24-C34))),"")</f>
        <v>45026.4320457872</v>
      </c>
      <c r="E34" s="69">
        <f>IFERROR(IF(C34="","",C34+D34),"")</f>
        <v>47953.15012876337</v>
      </c>
      <c r="F34" s="69">
        <f>IFERROR(IF(D34="","",B34-D34),"")</f>
        <v>0.0</v>
      </c>
      <c r="G34" s="69">
        <f>IFERROR(IF(E34="","",'PyG 3 Años'!$D$41-'PyG 3 Años'!$D$46+'PyG 3 Años'!$D$36+'PyG 3 Años'!$D$37),"")</f>
        <v>82120.2362548076</v>
      </c>
      <c r="H34" s="60">
        <f>IFERROR(IF(OR(E34="",E34=0),"",G34/E34),"")</f>
        <v>1.7125097315671458</v>
      </c>
    </row>
    <row r="35">
      <c r="A35" s="39" t="n">
        <v>9</v>
      </c>
      <c r="B35" s="69">
        <f>IFERROR(IF(OR(9&gt;B22,F34=""),"",F34),"")</f>
        <v/>
      </c>
      <c r="C35" s="69">
        <f>IFERROR(IF(OR(9&gt;B22,B35=""),"",B35*B21),"")</f>
        <v/>
      </c>
      <c r="D35" s="69">
        <f>IFERROR(IF(OR(9&gt;B22,B35=""),"",IF(9&lt;=B23,0,MIN(B35,B24-C35))),"")</f>
        <v/>
      </c>
      <c r="E35" s="69">
        <f>IFERROR(IF(C35="","",C35+D35),"")</f>
        <v/>
      </c>
      <c r="F35" s="69">
        <f>IFERROR(IF(D35="","",B35-D35),"")</f>
        <v/>
      </c>
      <c r="G35" s="69">
        <f>IFERROR(IF(E35="","",'PyG 3 Años'!$D$41-'PyG 3 Años'!$D$46+'PyG 3 Años'!$D$36+'PyG 3 Años'!$D$37),"")</f>
        <v/>
      </c>
      <c r="H35" s="60">
        <f>IFERROR(IF(OR(E35="",E35=0),"",G35/E35),"")</f>
        <v/>
      </c>
    </row>
    <row r="36">
      <c r="A36" s="39" t="n">
        <v>10</v>
      </c>
      <c r="B36" s="69">
        <f>IFERROR(IF(OR(10&gt;B22,F35=""),"",F35),"")</f>
        <v/>
      </c>
      <c r="C36" s="69">
        <f>IFERROR(IF(OR(10&gt;B22,B36=""),"",B36*B21),"")</f>
        <v/>
      </c>
      <c r="D36" s="69">
        <f>IFERROR(IF(OR(10&gt;B22,B36=""),"",IF(10&lt;=B23,0,MIN(B36,B24-C36))),"")</f>
        <v/>
      </c>
      <c r="E36" s="69">
        <f>IFERROR(IF(C36="","",C36+D36),"")</f>
        <v/>
      </c>
      <c r="F36" s="69">
        <f>IFERROR(IF(D36="","",B36-D36),"")</f>
        <v/>
      </c>
      <c r="G36" s="69">
        <f>IFERROR(IF(E36="","",'PyG 3 Años'!$D$41-'PyG 3 Años'!$D$46+'PyG 3 Años'!$D$36+'PyG 3 Años'!$D$37),"")</f>
        <v/>
      </c>
      <c r="H36" s="60">
        <f>IFERROR(IF(OR(E36="",E36=0),"",G36/E36),"")</f>
        <v/>
      </c>
    </row>
    <row r="37">
      <c r="A37" s="39" t="n">
        <v>11</v>
      </c>
      <c r="B37" s="69">
        <f>IFERROR(IF(OR(11&gt;B22,F36=""),"",F36),"")</f>
        <v/>
      </c>
      <c r="C37" s="69">
        <f>IFERROR(IF(OR(11&gt;B22,B37=""),"",B37*B21),"")</f>
        <v/>
      </c>
      <c r="D37" s="69">
        <f>IFERROR(IF(OR(11&gt;B22,B37=""),"",IF(11&lt;=B23,0,MIN(B37,B24-C37))),"")</f>
        <v/>
      </c>
      <c r="E37" s="69">
        <f>IFERROR(IF(C37="","",C37+D37),"")</f>
        <v/>
      </c>
      <c r="F37" s="69">
        <f>IFERROR(IF(D37="","",B37-D37),"")</f>
        <v/>
      </c>
      <c r="G37" s="69">
        <f>IFERROR(IF(E37="","",'PyG 3 Años'!$D$41-'PyG 3 Años'!$D$46+'PyG 3 Años'!$D$36+'PyG 3 Años'!$D$37),"")</f>
        <v/>
      </c>
      <c r="H37" s="60">
        <f>IFERROR(IF(OR(E37="",E37=0),"",G37/E37),"")</f>
        <v/>
      </c>
    </row>
    <row r="38">
      <c r="A38" s="39" t="n">
        <v>12</v>
      </c>
      <c r="B38" s="69">
        <f>IFERROR(IF(OR(12&gt;B22,F37=""),"",F37),"")</f>
        <v/>
      </c>
      <c r="C38" s="69">
        <f>IFERROR(IF(OR(12&gt;B22,B38=""),"",B38*B21),"")</f>
        <v/>
      </c>
      <c r="D38" s="69">
        <f>IFERROR(IF(OR(12&gt;B22,B38=""),"",IF(12&lt;=B23,0,MIN(B38,B24-C38))),"")</f>
        <v/>
      </c>
      <c r="E38" s="69">
        <f>IFERROR(IF(C38="","",C38+D38),"")</f>
        <v/>
      </c>
      <c r="F38" s="69">
        <f>IFERROR(IF(D38="","",B38-D38),"")</f>
        <v/>
      </c>
      <c r="G38" s="69">
        <f>IFERROR(IF(E38="","",'PyG 3 Años'!$D$41-'PyG 3 Años'!$D$46+'PyG 3 Años'!$D$36+'PyG 3 Años'!$D$37),"")</f>
        <v/>
      </c>
      <c r="H38" s="60">
        <f>IFERROR(IF(OR(E38="",E38=0),"",G38/E38),"")</f>
        <v/>
      </c>
    </row>
    <row r="39">
      <c r="A39" s="39" t="n">
        <v>13</v>
      </c>
      <c r="B39" s="69">
        <f>IFERROR(IF(OR(13&gt;B22,F38=""),"",F38),"")</f>
        <v/>
      </c>
      <c r="C39" s="69">
        <f>IFERROR(IF(OR(13&gt;B22,B39=""),"",B39*B21),"")</f>
        <v/>
      </c>
      <c r="D39" s="69">
        <f>IFERROR(IF(OR(13&gt;B22,B39=""),"",IF(13&lt;=B23,0,MIN(B39,B24-C39))),"")</f>
        <v/>
      </c>
      <c r="E39" s="69">
        <f>IFERROR(IF(C39="","",C39+D39),"")</f>
        <v/>
      </c>
      <c r="F39" s="69">
        <f>IFERROR(IF(D39="","",B39-D39),"")</f>
        <v/>
      </c>
      <c r="G39" s="69">
        <f>IFERROR(IF(E39="","",'PyG 3 Años'!$D$41-'PyG 3 Años'!$D$46+'PyG 3 Años'!$D$36+'PyG 3 Años'!$D$37),"")</f>
        <v/>
      </c>
      <c r="H39" s="60">
        <f>IFERROR(IF(OR(E39="",E39=0),"",G39/E39),"")</f>
        <v/>
      </c>
    </row>
    <row r="40">
      <c r="A40" s="39" t="n">
        <v>14</v>
      </c>
      <c r="B40" s="69">
        <f>IFERROR(IF(OR(14&gt;B22,F39=""),"",F39),"")</f>
        <v/>
      </c>
      <c r="C40" s="69">
        <f>IFERROR(IF(OR(14&gt;B22,B40=""),"",B40*B21),"")</f>
        <v/>
      </c>
      <c r="D40" s="69">
        <f>IFERROR(IF(OR(14&gt;B22,B40=""),"",IF(14&lt;=B23,0,MIN(B40,B24-C40))),"")</f>
        <v/>
      </c>
      <c r="E40" s="69">
        <f>IFERROR(IF(C40="","",C40+D40),"")</f>
        <v/>
      </c>
      <c r="F40" s="69">
        <f>IFERROR(IF(D40="","",B40-D40),"")</f>
        <v/>
      </c>
      <c r="G40" s="69">
        <f>IFERROR(IF(E40="","",'PyG 3 Años'!$D$41-'PyG 3 Años'!$D$46+'PyG 3 Años'!$D$36+'PyG 3 Años'!$D$37),"")</f>
        <v/>
      </c>
      <c r="H40" s="60">
        <f>IFERROR(IF(OR(E40="",E40=0),"",G40/E40),"")</f>
        <v/>
      </c>
    </row>
    <row r="41">
      <c r="A41" s="39" t="n">
        <v>15</v>
      </c>
      <c r="B41" s="69">
        <f>IFERROR(IF(OR(15&gt;B22,F40=""),"",F40),"")</f>
        <v/>
      </c>
      <c r="C41" s="69">
        <f>IFERROR(IF(OR(15&gt;B22,B41=""),"",B41*B21),"")</f>
        <v/>
      </c>
      <c r="D41" s="69">
        <f>IFERROR(IF(OR(15&gt;B22,B41=""),"",IF(15&lt;=B23,0,MIN(B41,B24-C41))),"")</f>
        <v/>
      </c>
      <c r="E41" s="69">
        <f>IFERROR(IF(C41="","",C41+D41),"")</f>
        <v/>
      </c>
      <c r="F41" s="69">
        <f>IFERROR(IF(D41="","",B41-D41),"")</f>
        <v/>
      </c>
      <c r="G41" s="69">
        <f>IFERROR(IF(E41="","",'PyG 3 Años'!$D$41-'PyG 3 Años'!$D$46+'PyG 3 Años'!$D$36+'PyG 3 Años'!$D$37),"")</f>
        <v/>
      </c>
      <c r="H41" s="60">
        <f>IFERROR(IF(OR(E41="",E41=0),"",G41/E41),"")</f>
        <v/>
      </c>
    </row>
    <row r="42">
      <c r="A42" s="28" t="inlineStr">
        <is>
          <t>Tolerancia de cierre del cuadro (€)</t>
        </is>
      </c>
      <c r="B42" s="73" t="n">
        <v>0.01</v>
      </c>
      <c r="C42" s="28" t="inlineStr">
        <is>
          <t>Margen por redondeo. Por encima, el cuadro no cierra y hay capital sin devolver</t>
        </is>
      </c>
      <c r="D42" s="28" t="n"/>
      <c r="E42" s="28" t="n"/>
      <c r="F42" s="28" t="n"/>
      <c r="G42" s="28" t="n"/>
      <c r="H42" s="28" t="n"/>
    </row>
    <row r="43">
      <c r="A43" s="28" t="inlineStr">
        <is>
          <t>Capital pendiente al vencimiento</t>
        </is>
      </c>
      <c r="B43" s="69">
        <f>IFERROR(IF(B20="","",ROUND(B20-SUM(D27:D41),2)),"")</f>
        <v>0.0</v>
      </c>
      <c r="C43" s="28" t="inlineStr">
        <is>
          <t>Tiene que ser cero: el principal devuelto en el cuadro tiene que ser el prestado. Si sale positivo, el plazo no llega</t>
        </is>
      </c>
      <c r="D43" s="28" t="n"/>
      <c r="E43" s="28" t="n"/>
      <c r="F43" s="28" t="n"/>
      <c r="G43" s="28" t="n"/>
      <c r="H43" s="28" t="n"/>
    </row>
    <row r="44">
      <c r="A44" s="28" t="inlineStr">
        <is>
          <t>Intereses del año 1</t>
        </is>
      </c>
      <c r="B44" s="32">
        <f>IFERROR(IF(B20="","",IF(C27="",0,C27)),"")</f>
        <v>17095.0</v>
      </c>
      <c r="C44" s="28" t="n"/>
      <c r="D44" s="28" t="n"/>
      <c r="E44" s="28" t="n"/>
      <c r="F44" s="28" t="n"/>
      <c r="G44" s="28" t="n"/>
      <c r="H44" s="28" t="n"/>
    </row>
    <row r="45">
      <c r="A45" s="28" t="inlineStr">
        <is>
          <t>Devolución de principal del año 1</t>
        </is>
      </c>
      <c r="B45" s="32">
        <f>IFERROR(IF(B20="","",IF(D27="",0,D27)),"")</f>
        <v>0.0</v>
      </c>
      <c r="C45" s="28" t="n"/>
      <c r="D45" s="28" t="n"/>
      <c r="E45" s="28" t="n"/>
      <c r="F45" s="28" t="n"/>
      <c r="G45" s="28" t="n"/>
      <c r="H45" s="28" t="n"/>
    </row>
    <row r="46">
      <c r="A46" s="28" t="inlineStr">
        <is>
          <t>Intereses del año 2</t>
        </is>
      </c>
      <c r="B46" s="32">
        <f>IFERROR(IF(B20="","",IF(C28="",0,C28)),"")</f>
        <v>17095.0</v>
      </c>
      <c r="C46" s="28" t="n"/>
      <c r="D46" s="28" t="n"/>
      <c r="E46" s="28" t="n"/>
      <c r="F46" s="28" t="n"/>
      <c r="G46" s="28" t="n"/>
      <c r="H46" s="28" t="n"/>
    </row>
    <row r="47">
      <c r="A47" s="28" t="inlineStr">
        <is>
          <t>Devolución de principal del año 2</t>
        </is>
      </c>
      <c r="B47" s="32">
        <f>IFERROR(IF(B20="","",IF(D28="",0,D28)),"")</f>
        <v>30858.15012876365</v>
      </c>
      <c r="C47" s="28" t="n"/>
      <c r="D47" s="28" t="n"/>
      <c r="E47" s="28" t="n"/>
      <c r="F47" s="28" t="n"/>
      <c r="G47" s="28" t="n"/>
      <c r="H47" s="28" t="n"/>
    </row>
    <row r="48">
      <c r="A48" s="28" t="inlineStr">
        <is>
          <t>Intereses del año 3</t>
        </is>
      </c>
      <c r="B48" s="32">
        <f>IFERROR(IF(B20="","",IF(C29="",0,C29)),"")</f>
        <v>15089.220241630364</v>
      </c>
      <c r="C48" s="28" t="n"/>
      <c r="D48" s="28" t="n"/>
      <c r="E48" s="28" t="n"/>
      <c r="F48" s="28" t="n"/>
      <c r="G48" s="28" t="n"/>
      <c r="H48" s="28" t="n"/>
    </row>
    <row r="49">
      <c r="A49" s="28" t="inlineStr">
        <is>
          <t>Devolución de principal del año 3</t>
        </is>
      </c>
      <c r="B49" s="32">
        <f>IFERROR(IF(B20="","",IF(D29="",0,D29)),"")</f>
        <v>32863.92988713329</v>
      </c>
      <c r="C49" s="28" t="n"/>
      <c r="D49" s="28" t="n"/>
      <c r="E49" s="28" t="n"/>
      <c r="F49" s="28" t="n"/>
      <c r="G49" s="28" t="n"/>
      <c r="H49" s="28" t="n"/>
    </row>
    <row r="50">
      <c r="A50" s="25" t="inlineStr">
        <is>
          <t>COBERTURA DEL SERVICIO DE LA DEUDA (DSCR)</t>
        </is>
      </c>
      <c r="B50" s="28" t="n"/>
      <c r="C50" s="28" t="n"/>
      <c r="D50" s="28" t="n"/>
      <c r="E50" s="28" t="n"/>
      <c r="F50" s="28" t="n"/>
      <c r="G50" s="28" t="n"/>
      <c r="H50" s="28" t="n"/>
    </row>
    <row r="51">
      <c r="A51" s="28" t="inlineStr">
        <is>
          <t>DSCR del año 1</t>
        </is>
      </c>
      <c r="B51" s="60">
        <f>IFERROR(('PyG 3 Años'!$B$41-'PyG 3 Años'!$B$46+'PyG 3 Años'!$B$36+B44)/(B44+B45),"")</f>
        <v>3.857763350687335</v>
      </c>
      <c r="C51" s="28" t="inlineStr">
        <is>
          <t>Año de CARENCIA si la hay: con sólo intereses en el denominador el ratio se dispara y no mide el negocio</t>
        </is>
      </c>
      <c r="D51" s="28" t="n"/>
      <c r="E51" s="28" t="n"/>
      <c r="F51" s="28" t="n"/>
      <c r="G51" s="28" t="n"/>
      <c r="H51" s="28" t="n"/>
    </row>
    <row r="52">
      <c r="A52" s="28" t="inlineStr">
        <is>
          <t>DSCR del año 2</t>
        </is>
      </c>
      <c r="B52" s="60">
        <f>IFERROR(('PyG 3 Años'!$C$41-'PyG 3 Años'!$C$46+'PyG 3 Años'!$C$36+B46)/(B46+B47),"")</f>
        <v>1.684451124097247</v>
      </c>
      <c r="C52" s="28" t="n"/>
      <c r="D52" s="28" t="n"/>
      <c r="E52" s="28" t="n"/>
      <c r="F52" s="28" t="n"/>
      <c r="G52" s="28" t="n"/>
      <c r="H52" s="28" t="n"/>
    </row>
    <row r="53">
      <c r="A53" s="28" t="inlineStr">
        <is>
          <t>DSCR del año 3</t>
        </is>
      </c>
      <c r="B53" s="60">
        <f>IFERROR(('PyG 3 Años'!$D$41-'PyG 3 Años'!$D$46+'PyG 3 Años'!$D$36+B48)/(B48+B49),"")</f>
        <v>1.7125097315671358</v>
      </c>
      <c r="C53" s="28" t="n"/>
      <c r="D53" s="28" t="n"/>
      <c r="E53" s="28" t="n"/>
      <c r="F53" s="28" t="n"/>
      <c r="G53" s="28" t="n"/>
      <c r="H53" s="28" t="n"/>
    </row>
    <row r="54">
      <c r="A54" s="25" t="inlineStr">
        <is>
          <t>DSCR mínimo de todo el cuadro</t>
        </is>
      </c>
      <c r="B54" s="61">
        <f>IFERROR(IF(COUNT(H27:H41)=0,"",MIN(H27:H41)),"")</f>
        <v>1.684451124097247</v>
      </c>
      <c r="C54" s="25"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8" t="n"/>
      <c r="E54" s="28" t="n"/>
      <c r="F54" s="28" t="n"/>
      <c r="G54" s="28" t="n"/>
      <c r="H54" s="28" t="n"/>
    </row>
    <row r="55">
      <c r="A55" s="28" t="n"/>
      <c r="B55" s="28" t="n"/>
      <c r="C55" s="28" t="n"/>
      <c r="D55" s="28" t="n"/>
      <c r="E55" s="28" t="n"/>
      <c r="F55" s="28" t="n"/>
      <c r="G55" s="28" t="n"/>
      <c r="H55" s="28" t="n"/>
    </row>
    <row r="56" ht="165" customHeight="1">
      <c r="A56" s="46"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Finca de Eventos y Bodas · v1.0</dc:title>
  <dc:description xmlns:dc="http://purl.org/dc/elements/1.1/">aichef.pro/plan-negocio-finca-eventos-bodas</dc:description>
  <dc:subject xmlns:dc="http://purl.org/dc/elements/1.1/">Plan financiero — Finca de Eventos y Bodas · v1.0</dc:subject>
  <dcterms:created xmlns:dcterms="http://purl.org/dc/terms/" xmlns:xsi="http://www.w3.org/2001/XMLSchema-instance" xsi:type="dcterms:W3CDTF">2026-03-26T15:52:23Z</dcterms:created>
  <dcterms:modified xmlns:dcterms="http://purl.org/dc/terms/" xmlns:xsi="http://www.w3.org/2001/XMLSchema-instance" xsi:type="dcterms:W3CDTF">2026-10-25T17:11:04Z</dcterms:modified>
  <cp:lastModifiedBy>AI Chef Pro</cp:lastModifiedBy>
  <cp:category>AI Chef Pro · Productos digitales</cp:category>
  <cp:keywords>plan de negocio finca de eventos y bodas, AI Chef Pro</cp:keywords>
</cp:coreProperties>
</file>