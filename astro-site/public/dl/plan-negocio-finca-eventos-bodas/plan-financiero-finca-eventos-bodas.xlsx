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0" fontId="1" fillId="0" borderId="0" applyAlignment="1" pivotButton="0" quotePrefix="0" xfId="0">
      <alignment horizontal="left" vertical="top" wrapText="1"/>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82</v>
      </c>
      <c r="C4" t="inlineStr">
        <is>
          <t>Invitados de media por evento en el año 1. Sale de la mezcla de la tabla de referencias de la hoja de Instrucciones: bodas de 120, eventos de empresa de 80, celebraciones privadas de 70 y eventos pequeños de 40. Es una media: el aforo de la finca está más abajo</t>
        </is>
      </c>
    </row>
    <row r="5">
      <c r="A5" t="inlineStr">
        <is>
          <t>Precio medio por invitado SIN IVA (€)</t>
        </is>
      </c>
      <c r="B5" s="62" t="n">
        <v>37</v>
      </c>
      <c r="C5" t="inlineStr">
        <is>
          <t>SIN IVA, por invitado: lo que factura la FINCA, no lo que pagan los novios por la boda entera. Suma el espacio y los servicios (ceremonia, montaje, coordinación, limpieza y aparcamiento) y el canon que te paga el catering por cada invitado. Media de la mezcla: 47 € la boda, 34 € el evento de empresa, 29 € la celebración privada y 30 € el evento pequeño. El precio con IVA (21 %) está en la fila de abajo</t>
        </is>
      </c>
    </row>
    <row r="6">
      <c r="A6" t="inlineStr">
        <is>
          <t>Eventos al año</t>
        </is>
      </c>
      <c r="B6" s="18" t="n">
        <v>120</v>
      </c>
      <c r="C6" t="inlineStr">
        <is>
          <t>Eventos celebrados en el año: 30 bodas, 35 de empresa (jornadas, comidas, Navidad), 40 celebraciones privadas (comuniones, bautizos, cumpleaños) y 15 pequeños (preboda, brunch, bodas íntimas). Es el MISMO dato para la cuenta de resultados, el punto de equilibrio, los escenarios y las horas de personal</t>
        </is>
      </c>
    </row>
    <row r="7">
      <c r="A7" t="inlineStr">
        <is>
          <t>Crecimiento de volumen del año 2</t>
        </is>
      </c>
      <c r="B7" s="63" t="n">
        <v>0.08</v>
      </c>
      <c r="C7" t="inlineStr">
        <is>
          <t>Más actividad el segundo año: bodas que llegan por recomendación, empresas que repiten y planners que ya te conocen. El libro lo aplica a los invitados por evento con los mismos eventos; en euros es lo mismo que un 8 % más de eventos del mismo tamaño (unos 130). El personal no sube con este porcentaje: crece con las incorporaciones de la hoja Personal</t>
        </is>
      </c>
    </row>
    <row r="8">
      <c r="A8" t="inlineStr">
        <is>
          <t>Crecimiento de volumen del año 3</t>
        </is>
      </c>
      <c r="B8" s="63" t="n">
        <v>0.05</v>
      </c>
      <c r="C8" t="inlineStr">
        <is>
          <t>Sobre el año 2 (unos 136 eventos equivalentes). Conservador: el techo lo ponen los sábados de temporada y el aforo de la finca</t>
        </is>
      </c>
    </row>
    <row r="9">
      <c r="A9" t="inlineStr">
        <is>
          <t>PVP equivalente con IVA (calculado)</t>
        </is>
      </c>
      <c r="B9" s="64">
        <f>IFERROR(IF($B$5="","",$B$5*(1+SUMPRODUCT('PyG 3 Años'!$E$10:$E$11,'PyG 3 Años'!$G$10:$G$11))),"")</f>
        <v>44.769999999999996</v>
      </c>
      <c r="C9" t="str">
        <f>IFERROR("Precio por invitado sin IVA más el IVA medio ponderado de tus líneas de venta: "&amp;TEXT(SUMPRODUCT('PyG 3 Años'!$E$10:$E$11,'PyG 3 Años'!$G$10:$G$11)*100,"0")&amp;" %. La finca factura el espacio, los servicios y el canon al 21 %, el tipo general; el menú y la barra los factura el catering a los novios, al 10 % (art. 91.Uno.2.2.º de la Ley 37/1992), y no entran en este libro. Aquí va redondeado. Compáralo con el rango del sector, que va con IVA.","")</f>
        <v>Precio por invitado sin IVA más el IVA medio ponderado de tus líneas de venta: 21 %. La finca factura el espacio, los servicios y el canon al 21 %, el tipo general; el menú y la barra los factura el catering a los novios, al 10 % (art. 91.Uno.2.2.º de la Ley 37/1992), y no entran en este libro. Aquí va redondeado. Compáralo con el rango del sector, que va con IVA.</v>
      </c>
    </row>
    <row r="10">
      <c r="A10" s="16" t="inlineStr">
        <is>
          <t>MEZCLA DE VENTAS Y COSTE DIRECTO</t>
        </is>
      </c>
    </row>
    <row r="11">
      <c r="A11" t="inlineStr">
        <is>
          <t>Ventas de ESPACIO Y SERVICIOS sobre el total</t>
        </is>
      </c>
      <c r="B11" s="63" t="n">
        <v>0.78</v>
      </c>
      <c r="C11" t="inlineStr">
        <is>
          <t>Peso del ESPACIO Y LOS SERVICIOS sobre el total de ventas. Es un INPUT: cámbialo aquí y el P&amp;L, la tesorería y el IVA repercutido se recalculan solos</t>
        </is>
      </c>
    </row>
    <row r="12">
      <c r="A12" t="inlineStr">
        <is>
          <t>Ventas del CANON DEL CATERING sobre el total</t>
        </is>
      </c>
      <c r="B12" s="65">
        <f>IFERROR(IF(COUNT(B11)=0,"",1-B11),"")</f>
        <v>0.21999999999999997</v>
      </c>
      <c r="C12" t="inlineStr">
        <is>
          <t>Se calcula como el resto: espacio y servicios + canon = 100 %</t>
        </is>
      </c>
    </row>
    <row r="13">
      <c r="A13" t="inlineStr">
        <is>
          <t>Coste directo del evento sobre las ventas de ESPACIO Y SERVICIOS</t>
        </is>
      </c>
      <c r="B13" s="63" t="n">
        <v>0.163</v>
      </c>
      <c r="C13" t="inlineStr">
        <is>
          <t>Coste directo del evento sobre las ventas de espacio y servicios: limpieza tras el evento, reposición de aseos y consumibles, gasoil del grupo electrógeno, vigilancia y aparcamiento, y la tarifa de SGAE y AGEDI-AIE de cada evento. Unos 650 € por boda, 350 € por evento de empresa, 300 € por celebración privada y 150 € por evento pequeño: 46.000 € al año</t>
        </is>
      </c>
    </row>
    <row r="14">
      <c r="A14" t="inlineStr">
        <is>
          <t>Coste del canon sobre las ventas del CANON</t>
        </is>
      </c>
      <c r="B14" s="63" t="n">
        <v>0</v>
      </c>
      <c r="C14" t="inlineStr">
        <is>
          <t>A CERO: el canon no tiene coste para la finca. La comida y la bebida las compra el catering, que es quien las vende a los novios</t>
        </is>
      </c>
    </row>
    <row r="15">
      <c r="A15" t="inlineStr">
        <is>
          <t>Consumibles sobre ventas</t>
        </is>
      </c>
      <c r="B15" s="63" t="n">
        <v>0.02</v>
      </c>
      <c r="C15" t="inlineStr">
        <is>
          <t>Velas, flores base, papel y productos de los aseos, y los pequeños consumibles de cada montaje</t>
        </is>
      </c>
    </row>
    <row r="16">
      <c r="A16" t="inlineStr">
        <is>
          <t>Ventas que llegan por wedding planners y agencias sobre el total</t>
        </is>
      </c>
      <c r="B16" s="63" t="n">
        <v>0.2</v>
      </c>
      <c r="C16" t="inlineStr">
        <is>
          <t>Parte de las ventas que llega por un wedding planner o una agencia de eventos, que cobra una comisión. No cambia el IVA: todo lo que factura la finca va al 21 %</t>
        </is>
      </c>
    </row>
    <row r="17">
      <c r="A17" t="inlineStr">
        <is>
          <t>Comisión de los wedding planners y agencias</t>
        </is>
      </c>
      <c r="B17" s="63" t="n">
        <v>0.125</v>
      </c>
      <c r="C17" t="inlineStr">
        <is>
          <t>Comisión media sobre lo que vende ese canal: el punto medio de un 10-15 %. Si todas las reservas te llegan directas, pon 0</t>
        </is>
      </c>
    </row>
    <row r="18">
      <c r="A18" t="inlineStr">
        <is>
          <t>Comisión de los medios de pago</t>
        </is>
      </c>
      <c r="B18" s="63" t="n">
        <v>0.003</v>
      </c>
      <c r="C18" t="inlineStr">
        <is>
          <t>Casi todo se cobra por transferencia (señales, pagos de los novios y facturas de empresa); el datáfono queda para los extras del día</t>
        </is>
      </c>
    </row>
    <row r="19">
      <c r="A19" s="16" t="inlineStr">
        <is>
          <t>PERSONAL</t>
        </is>
      </c>
    </row>
    <row r="20">
      <c r="A20" t="inlineStr">
        <is>
          <t>Seguridad Social a cargo de la empresa</t>
        </is>
      </c>
      <c r="B20" s="63"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FINCA Y FIJOS</t>
        </is>
      </c>
    </row>
    <row r="24">
      <c r="A24" t="inlineStr">
        <is>
          <t>Renta mensual de la finca (€)</t>
        </is>
      </c>
      <c r="B24" s="23" t="n">
        <v>3500</v>
      </c>
      <c r="C24" t="inlineStr">
        <is>
          <t>Renta de mercado de una finca con edificaciones existentes (salón, aseos y office) arrendada a una SL, con contrato de quince años o más. Lleva IVA al 21 %. Si la finca es de tu familia, la renta tiene que ser la de mercado igual. El peso sobre las ventas lo calcula el libro en la fila «Renta de la finca / Ventas» del P&amp;L</t>
        </is>
      </c>
    </row>
    <row r="25">
      <c r="A25" t="inlineStr">
        <is>
          <t>Fianza del arrendamiento (meses)</t>
        </is>
      </c>
      <c r="B25" s="18" t="n">
        <v>2</v>
      </c>
      <c r="C25" t="inlineStr">
        <is>
          <t>Dos meses de renta como fianza, lo habitual en un arrendamiento de uso distinto del de vivienda; los avales o garantías adicionales se negocian aparte. Compruébalo con tu abogado antes de firmar</t>
        </is>
      </c>
    </row>
    <row r="26">
      <c r="A26" t="inlineStr">
        <is>
          <t>Suministros mensuales (luz, agua, gasoil y teléfono) (€)</t>
        </is>
      </c>
      <c r="B26" s="23" t="n">
        <v>1600</v>
      </c>
      <c r="C26" t="inlineStr">
        <is>
          <t>Luz con potencia para el salón y el exterior, agua de riego, gasoil del grupo electrógeno fuera de los eventos y teléfono. Pide al propietario el histórico de consumos</t>
        </is>
      </c>
    </row>
    <row r="27">
      <c r="A27" t="inlineStr">
        <is>
          <t>Seguros (€/año)</t>
        </is>
      </c>
      <c r="B27" s="23" t="n">
        <v>5500</v>
      </c>
      <c r="C27" t="inlineStr">
        <is>
          <t>Responsabilidad civil de la actividad con el capital que fije tu comunidad por aforo (en Andalucía, 526.000 € para 101-300 personas), daños a las mejoras de la finca, pérdida de beneficio y accidentes. Exige además al catering su propio seguro de responsabilidad civil e intoxicación</t>
        </is>
      </c>
    </row>
    <row r="28">
      <c r="A28" t="inlineStr">
        <is>
          <t>Varios e imprevistos sobre ventas</t>
        </is>
      </c>
      <c r="B28" s="63" t="n">
        <v>0.02</v>
      </c>
      <c r="C28" t="inlineStr">
        <is>
          <t>Roturas, imprevistos de cada montaje y desplazamientos comerciales (ferias y visitas a planners)</t>
        </is>
      </c>
    </row>
    <row r="29">
      <c r="A29" s="16" t="inlineStr">
        <is>
          <t>FINANCIACIÓN</t>
        </is>
      </c>
    </row>
    <row r="30">
      <c r="A30" t="inlineStr">
        <is>
          <t>Recursos propios aportados (€)</t>
        </is>
      </c>
      <c r="B30" s="23" t="n">
        <v>100000</v>
      </c>
      <c r="C30" t="inlineStr">
        <is>
          <t>Aportación de los socios. Un banco pide entre el 25 y el 30 % de la necesidad de caja con dinero propio</t>
        </is>
      </c>
    </row>
    <row r="31">
      <c r="A31" t="inlineStr">
        <is>
          <t>Préstamo bancario solicitado (€)</t>
        </is>
      </c>
      <c r="B31" s="23" t="n">
        <v>263000</v>
      </c>
      <c r="C31" t="inlineStr">
        <is>
          <t>Principal solicitado. La hoja de Financiación compara lo que aportas con la necesidad de caja de la hoja de inversión y te dice si sobra o falta: ajústalo con ese dato. La finca no es tuya, así que no hay garantía inmobiliaria: pregunta por avales y por líneas públicas</t>
        </is>
      </c>
    </row>
    <row r="32">
      <c r="A32" t="inlineStr">
        <is>
          <t>Tipo de interés nominal anual</t>
        </is>
      </c>
      <c r="B32" s="63" t="n">
        <v>0.065</v>
      </c>
      <c r="C32" t="inlineStr">
        <is>
          <t>Tipo nominal anual de un préstamo de empresa sin garantía inmobiliaria. Pide oferta a dos entidades y a una línea ICO antes de fijarlo</t>
        </is>
      </c>
    </row>
    <row r="33">
      <c r="A33" t="inlineStr">
        <is>
          <t>Plazo del préstamo (años)</t>
        </is>
      </c>
      <c r="B33" s="18" t="n">
        <v>8</v>
      </c>
      <c r="C33" t="inlineStr">
        <is>
          <t>Años totales, carencia incluida. Con seis años la cuota no cabe en un negocio con tanta estructura fija</t>
        </is>
      </c>
    </row>
    <row r="34">
      <c r="A34" t="inlineStr">
        <is>
          <t>Carencia de principal (años)</t>
        </is>
      </c>
      <c r="B34" s="18" t="n">
        <v>1</v>
      </c>
      <c r="C34" t="inlineStr">
        <is>
          <t>El primer año sólo intereses: la primera temporada se vendió antes de tener la licencia y llega corta. Desde el segundo año se devuelve el principal: mira la holgura de caja de ese año en el Punto de Equilibrio</t>
        </is>
      </c>
    </row>
    <row r="35">
      <c r="A35" t="inlineStr">
        <is>
          <t>Fondo de maniobra (meses de costes fijos)</t>
        </is>
      </c>
      <c r="B35" s="18" t="n">
        <v>3</v>
      </c>
      <c r="C35" t="inlineStr">
        <is>
          <t>Tres meses de costes fijos: son el colchón del primer invierno. En un año normal, de noviembre a febrero entra alrededor del 23 % de la venta con la renta y la plantilla planas</t>
        </is>
      </c>
    </row>
    <row r="36">
      <c r="A36" s="16" t="inlineStr">
        <is>
          <t>FISCAL</t>
        </is>
      </c>
    </row>
    <row r="37">
      <c r="A37" t="inlineStr">
        <is>
          <t>Impuesto de Sociedades, nueva creación</t>
        </is>
      </c>
      <c r="B37" s="63"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3"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3" t="n">
        <v>0.1</v>
      </c>
      <c r="C39" t="inlineStr">
        <is>
          <t>Tipo reducido de hostelería</t>
        </is>
      </c>
    </row>
    <row r="40">
      <c r="A40" t="inlineStr">
        <is>
          <t>IVA repercutido/soportado general</t>
        </is>
      </c>
      <c r="B40" s="63" t="n">
        <v>0.21</v>
      </c>
      <c r="C40" t="inlineStr">
        <is>
          <t>Tipo general. En este libro lo usan dos cosas: el IVA que soportas al comprar el alcohol (el proveedor lo factura al 21 %) y el que repercutes por el alcohol que sale por intermediarios (es una entrega de bienes). El alcohol servido en la finca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3"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15</v>
      </c>
      <c r="C44" t="inlineStr">
        <is>
          <t>Obra en una finca ARRENDADA: se amortiza en el plazo del contrato si es menor que la vida útil del bien. Por eso el plan pide un arrendamiento de quince años o más; con un contrato más corto, la amortización anual sube. Confírmalo con tu asesoría</t>
        </is>
      </c>
    </row>
    <row r="45">
      <c r="A45" t="inlineStr">
        <is>
          <t>Vida útil de maquinaria y mobiliario (años)</t>
        </is>
      </c>
      <c r="B45" s="18" t="n">
        <v>10</v>
      </c>
      <c r="C45" t="inlineStr">
        <is>
          <t>Carpa, grupo electrógeno, mobiliario y sonido: un 10 % anual, dentro del coeficiente máximo de la tabla del art. 12.1 de la Ley del Impuesto sobre Sociedades para el mobiliario. Confírmalo con tu asesoría</t>
        </is>
      </c>
    </row>
    <row r="46"/>
    <row r="47">
      <c r="A47" s="16" t="inlineStr">
        <is>
          <t>CRECIMIENTO Y ACTUALIZACIÓN DE COSTES</t>
        </is>
      </c>
    </row>
    <row r="48">
      <c r="A48" t="inlineStr">
        <is>
          <t>Subida anual de los costes fijos</t>
        </is>
      </c>
      <c r="B48" s="63" t="n">
        <v>0</v>
      </c>
      <c r="C48" t="inlineStr">
        <is>
          <t>A CERO: las tres columnas están en euros del año 1 (términos reales). Súbela si quieres proyectar en euros corrientes</t>
        </is>
      </c>
    </row>
    <row r="49">
      <c r="A49" s="16" t="inlineStr">
        <is>
          <t>ARRANQUE Y AFORO</t>
        </is>
      </c>
    </row>
    <row r="50"/>
    <row r="51">
      <c r="A51" t="inlineStr">
        <is>
          <t>Aforo de la finca (invitados sentados en el salón y la carpa)</t>
        </is>
      </c>
      <c r="B51" s="18" t="n">
        <v>300</v>
      </c>
      <c r="C51" t="inlineStr">
        <is>
          <t>DATO INFORMATIVO: no entra en ningún cálculo. Es el banquete más grande que caben sentado entre el salón y la carpa; el aforo legal lo fija tu licencia. Con 300 invitados la finca queda por debajo del plan de autoprotección estatal (Orden INT/1068/2026: 1.000 personas en edificio cerrado o carpa)</t>
        </is>
      </c>
    </row>
    <row r="52">
      <c r="A52" t="inlineStr">
        <is>
          <t>Actividad del mes 1 sobre la de crucero</t>
        </is>
      </c>
      <c r="B52" s="63" t="n">
        <v>0.45</v>
      </c>
      <c r="C52" t="inlineStr">
        <is>
          <t>Una finca que acaba de abrir no factura el primer mes lo que factura al año: las bodas se reservan con 12-18 meses de antelación y la primera temporada sólo trae lo que se vendió desde la licencia. Con 100 % se elimina la rampa</t>
        </is>
      </c>
    </row>
    <row r="53">
      <c r="A53" t="inlineStr">
        <is>
          <t>Meses hasta alcanzar el régimen de crucero</t>
        </is>
      </c>
      <c r="B53" s="18" t="n">
        <v>12</v>
      </c>
      <c r="C53" t="inlineStr">
        <is>
          <t>Doce meses hasta el ritmo de crucero: la primera temporada entera</t>
        </is>
      </c>
    </row>
    <row r="54">
      <c r="A54" t="inlineStr">
        <is>
          <t>Meses de renta ANTES de abrir (obra y licencias)</t>
        </is>
      </c>
      <c r="B54" s="18" t="n">
        <v>1</v>
      </c>
      <c r="C54" t="inlineStr">
        <is>
          <t>Un mes de renta antes de abrir. La carencia de renta durante la obra y la licencia se negocia aparte en el arrendamiento: sin ella, súmale los meses que dure la tramitación (de 6 a 12 o más en suelo rústico)</t>
        </is>
      </c>
    </row>
    <row r="55">
      <c r="A55" t="inlineStr">
        <is>
          <t>Imprevistos sobre las partidas de OBRA del bloque de la finca (%)</t>
        </is>
      </c>
      <c r="B55" s="63" t="n">
        <v>0.08</v>
      </c>
      <c r="C55" t="inlineStr">
        <is>
          <t>Colchón sobre la obra y las instalaciones de unas edificaciones que no son nuevas, que es donde aparecen las sorpresas (tejados, acometida eléctrica, saneamiento y agua). Un banco no financia una reforma sin él</t>
        </is>
      </c>
    </row>
    <row r="56"/>
    <row r="57">
      <c r="A57" s="16" t="inlineStr">
        <is>
          <t>COBROS, PAGOS Y DESGLOSE DEL IVA</t>
        </is>
      </c>
    </row>
    <row r="58">
      <c r="A58" t="inlineStr">
        <is>
          <t>Días medios de cobro</t>
        </is>
      </c>
      <c r="B58" s="18" t="n">
        <v>10</v>
      </c>
      <c r="C58" t="inlineStr">
        <is>
          <t>Media ponderada: los novios pagan la señal y el resto antes de la boda, y las empresas a 30-45 días de la factura. El libro no admite días negativos, así que las señales no se modelan: tu caja real será algo MEJOR que la de la hoja de Tesorería</t>
        </is>
      </c>
    </row>
    <row r="59">
      <c r="A59" t="inlineStr">
        <is>
          <t>Días medios de pago a proveedor</t>
        </is>
      </c>
      <c r="B59" s="18" t="n">
        <v>30</v>
      </c>
      <c r="C59" t="inlineStr">
        <is>
          <t>Plazo de pago a proveedores de limpieza, mantenimiento y consumibles: lo que te financian. Es lo primero que se pierde si te retrasas en un pago</t>
        </is>
      </c>
    </row>
    <row r="60">
      <c r="A60" t="inlineStr">
        <is>
          <t>Mes de la paga extra de verano</t>
        </is>
      </c>
      <c r="B60" s="18" t="n">
        <v>5</v>
      </c>
      <c r="C60" t="inlineStr">
        <is>
          <t>Mes de la TESORERÍA en el que sale la paga extra de verano: julio es el Mes 5, porque el Mes 1 del plan es marzo</t>
        </is>
      </c>
    </row>
    <row r="61">
      <c r="A61" t="inlineStr">
        <is>
          <t>Mes de la paga extra de Navidad</t>
        </is>
      </c>
      <c r="B61" s="18" t="n">
        <v>10</v>
      </c>
      <c r="C61" t="inlineStr">
        <is>
          <t>Mes de la TESORERÍA en el que sale la paga extra de Navidad: diciembre es el Mes 10, porque el Mes 1 del plan es marzo</t>
        </is>
      </c>
    </row>
    <row r="62">
      <c r="A62" t="inlineStr">
        <is>
          <t>Bebida ALCOHÓLICA vendida por la finca (no la vende: a cero)</t>
        </is>
      </c>
      <c r="B62" s="63" t="n">
        <v>0</v>
      </c>
      <c r="C62" t="inlineStr">
        <is>
          <t>A CERO: la finca no vende bebida. La barra es del catering, que la factura él; la segunda línea de ventas del P&amp;L es el canon que te paga</t>
        </is>
      </c>
    </row>
    <row r="63">
      <c r="A63" t="inlineStr">
        <is>
          <t>IVA de la bebida ALCOHÓLICA (la finca no la vende)</t>
        </is>
      </c>
      <c r="B63" s="63" t="n">
        <v>0.21</v>
      </c>
      <c r="C63" t="inlineStr">
        <is>
          <t>Esta celda no mueve nada en este plan: la finca no vende bebida (la vende el catering, que la factura él) y la línea del canon lleva su propio tipo, el 21 %, en el P&amp;L</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3" t="n">
        <v>0.15</v>
      </c>
      <c r="C67" t="inlineStr">
        <is>
          <t>Cuánto puedes caer sobre lo previsto antes de entrar en pérdidas</t>
        </is>
      </c>
    </row>
    <row r="68">
      <c r="A68" t="inlineStr">
        <is>
          <t>Suelo salarial anual del convenio provincial (€)</t>
        </is>
      </c>
      <c r="B68" s="23" t="n">
        <v>0</v>
      </c>
      <c r="C68" t="inlineStr">
        <is>
          <t>El VI Acuerdo Laboral de ámbito Estatal para el sector de Hostelería (art. 4) nombra el catering, pero no el alquiler de espacios, y su lista no es exhaustiva: usa el convenio provincial de hostelería como referencia prudente y confírmalo con tu asesoría. Copia aquí el salario base del grupo más bajo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1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76" t="inlineStr">
        <is>
          <t>PLAN DE NEGOCIO: FINCA DE EVENTOS Y BODAS</t>
        </is>
      </c>
    </row>
    <row r="2">
      <c r="A2" s="2" t="inlineStr">
        <is>
          <t>Inversión inicial estimada — finca arrendada con edificaciones existentes y catering exclusivo concesionado</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IFERROR(IF(COUNT(B7:B28)=0,"",SUM(B7:B28)),"")</f>
        <v>251780.0</v>
      </c>
      <c r="C6" s="66">
        <f>IFERROR(B6/$B$31,"")</f>
        <v>0.8085193495686939</v>
      </c>
      <c r="D6" s="28" t="n"/>
      <c r="E6" s="28" t="n"/>
    </row>
    <row r="7">
      <c r="A7" s="28" t="inlineStr">
        <is>
          <t>Proyecto técnico y dirección de obra</t>
        </is>
      </c>
      <c r="B7" s="29" t="n">
        <v>7000</v>
      </c>
      <c r="C7" s="67">
        <f>IFERROR(B7/$B$31,"")</f>
        <v>0.022478494904205486</v>
      </c>
      <c r="D7" s="28" t="inlineStr">
        <is>
          <t>Proyecto de adecuación y de la actividad, dirección de obra y certificado final. Es la base de la calificación o autorización urbanística y de la licencia</t>
        </is>
      </c>
      <c r="E7" s="31" t="inlineStr">
        <is>
          <t>Sí</t>
        </is>
      </c>
    </row>
    <row r="8">
      <c r="A8" s="28" t="inlineStr">
        <is>
          <t>Calificación urbanística, licencia, tasas y prestación compensatoria o canon</t>
        </is>
      </c>
      <c r="B8" s="29" t="n">
        <v>10000</v>
      </c>
      <c r="C8" s="67">
        <f>IFERROR(B8/$B$31,"")</f>
        <v>0.03211213557743641</v>
      </c>
      <c r="D8" s="28" t="inlineStr">
        <is>
          <t>Lo que cobra la administración en suelo rústico, distinto en cada comunidad: en Andalucía, prestación compensatoria del 10 % de las obras sin maquinaria (LISTA, art. 22.5); en la C. Valenciana, canon del 2 % (TRLOTUP, art. 221). Ajusta esta partida a la tuya: compruébalo en tu ayuntamiento y en tu comunidad</t>
        </is>
      </c>
      <c r="E8" s="31" t="inlineStr">
        <is>
          <t>Sí</t>
        </is>
      </c>
    </row>
    <row r="9">
      <c r="A9" s="28" t="inlineStr">
        <is>
          <t>Adecuación del salón: suelos, cerramientos, carpintería y pintura</t>
        </is>
      </c>
      <c r="B9" s="29" t="n">
        <v>30000</v>
      </c>
      <c r="C9" s="67">
        <f>IFERROR(B9/$B$31,"")</f>
        <v>0.09633640673230923</v>
      </c>
      <c r="D9" s="28" t="inlineStr">
        <is>
          <t>Sobre edificaciones EXISTENTES: en suelo rústico es lo que exigen Madrid y Cataluña y la vía rápida de la C. Valenciana. Pide dos presupuestos sobre el proyecto</t>
        </is>
      </c>
      <c r="E9" s="31" t="inlineStr">
        <is>
          <t>Sí</t>
        </is>
      </c>
    </row>
    <row r="10">
      <c r="A10" s="28" t="inlineStr">
        <is>
          <t>Acústica y aislamiento del salón</t>
        </is>
      </c>
      <c r="B10" s="29" t="n">
        <v>9000</v>
      </c>
      <c r="C10" s="67">
        <f>IFERROR(B10/$B$31,"")</f>
        <v>0.028900922019692767</v>
      </c>
      <c r="D10" s="28" t="inlineStr">
        <is>
          <t>Para que el baile final pueda ir dentro y cumplir los 45 dBA de noche al exterior en zona residencial (RD 1367/2007, anexo III)</t>
        </is>
      </c>
      <c r="E10" s="31" t="inlineStr">
        <is>
          <t>Sí</t>
        </is>
      </c>
    </row>
    <row r="11">
      <c r="A11" s="28" t="inlineStr">
        <is>
          <t>Carpa estructural o pérgola para ceremonia y cóctel</t>
        </is>
      </c>
      <c r="B11" s="29" t="n">
        <v>28000</v>
      </c>
      <c r="C11" s="67">
        <f>IFERROR(B11/$B$31,"")</f>
        <v>0.08991397961682195</v>
      </c>
      <c r="D11" s="28" t="inlineStr">
        <is>
          <t>Es el plan B de lluvia: inversión, no extra. Una carpa es una instalación desmontable: para el plan de autoprotección estatal tiene el mismo umbral que un edificio cerrado, 1.000 personas (Orden INT/1068/2026)</t>
        </is>
      </c>
      <c r="E11" s="31" t="inlineStr">
        <is>
          <t>Sí</t>
        </is>
      </c>
    </row>
    <row r="12">
      <c r="A12" s="28" t="inlineStr">
        <is>
          <t>Aseos: dos bloques y uno adaptado</t>
        </is>
      </c>
      <c r="B12" s="29" t="n">
        <v>22000</v>
      </c>
      <c r="C12" s="67">
        <f>IFERROR(B12/$B$31,"")</f>
        <v>0.0706466982703601</v>
      </c>
      <c r="D12" s="28" t="inlineStr">
        <is>
          <t>Con un aseo adaptado e itinerario accesible: compruébalo con tu técnico sobre el Código Técnico</t>
        </is>
      </c>
      <c r="E12" s="31" t="inlineStr">
        <is>
          <t>Sí</t>
        </is>
      </c>
    </row>
    <row r="13">
      <c r="A13" s="28" t="inlineStr">
        <is>
          <t>Instalación eléctrica: cuadro, alumbrado exterior y de emergencia</t>
        </is>
      </c>
      <c r="B13" s="29" t="n">
        <v>15000</v>
      </c>
      <c r="C13" s="67">
        <f>IFERROR(B13/$B$31,"")</f>
        <v>0.04816820336615461</v>
      </c>
      <c r="D13" s="28" t="inlineStr">
        <is>
          <t>Potencia para el salón, la carpa, el office y el exterior, con su boletín. Pregunta la potencia disponible ANTES de firmar: una acometida nueva en el campo tarda</t>
        </is>
      </c>
      <c r="E13" s="31" t="inlineStr">
        <is>
          <t>Sí</t>
        </is>
      </c>
    </row>
    <row r="14">
      <c r="A14" s="28" t="inlineStr">
        <is>
          <t>Grupo electrógeno</t>
        </is>
      </c>
      <c r="B14" s="29" t="n">
        <v>10000</v>
      </c>
      <c r="C14" s="67">
        <f>IFERROR(B14/$B$31,"")</f>
        <v>0.03211213557743641</v>
      </c>
      <c r="D14" s="28" t="inlineStr">
        <is>
          <t>Respaldo si la red falla o no llega la potencia: un corte de luz en mitad de una boda no tiene arreglo</t>
        </is>
      </c>
      <c r="E14" s="31" t="inlineStr">
        <is>
          <t>Sí</t>
        </is>
      </c>
    </row>
    <row r="15">
      <c r="A15" s="28" t="inlineStr">
        <is>
          <t>Climatización del salón</t>
        </is>
      </c>
      <c r="B15" s="29" t="n">
        <v>17000</v>
      </c>
      <c r="C15" s="67">
        <f>IFERROR(B15/$B$31,"")</f>
        <v>0.054590630481641894</v>
      </c>
      <c r="D15" s="28" t="inlineStr">
        <is>
          <t>Frío y calor para usar el salón todo el año, también en las bodas de agosto</t>
        </is>
      </c>
      <c r="E15" s="31" t="inlineStr">
        <is>
          <t>Sí</t>
        </is>
      </c>
    </row>
    <row r="16">
      <c r="A16" s="28" t="inlineStr">
        <is>
          <t>Office del catering: cámara, fregaderos, mesas inox, agua y desagüe</t>
        </is>
      </c>
      <c r="B16" s="29" t="n">
        <v>16000</v>
      </c>
      <c r="C16" s="67">
        <f>IFERROR(B16/$B$31,"")</f>
        <v>0.051379416923898254</v>
      </c>
      <c r="D16" s="28" t="inlineStr">
        <is>
          <t>El espacio donde el catering emplata y friega. La cocina de producción la pone él: por eso el plan no lleva cocina. Lo inscribe en el registro sanitario quien lo usa; compruébalo en tu comunidad</t>
        </is>
      </c>
      <c r="E16" s="31" t="inlineStr">
        <is>
          <t>Sí</t>
        </is>
      </c>
    </row>
    <row r="17">
      <c r="A17" s="28" t="inlineStr">
        <is>
          <t>Mobiliario de ceremonia y banquete: mesas, sillas y mantelería base</t>
        </is>
      </c>
      <c r="B17" s="29" t="n">
        <v>18000</v>
      </c>
      <c r="C17" s="67">
        <f>IFERROR(B17/$B$31,"")</f>
        <v>0.057801844039385535</v>
      </c>
      <c r="D17" s="28" t="inlineStr">
        <is>
          <t>Mesas redondas e imperiales, 250 sillas y mantelería base. La decoración especial la contratan los novios</t>
        </is>
      </c>
      <c r="E17" s="31" t="inlineStr">
        <is>
          <t>Sí</t>
        </is>
      </c>
    </row>
    <row r="18">
      <c r="A18" s="28" t="inlineStr">
        <is>
          <t>Zona chill-out y decoración base</t>
        </is>
      </c>
      <c r="B18" s="29" t="n">
        <v>4000</v>
      </c>
      <c r="C18" s="67">
        <f>IFERROR(B18/$B$31,"")</f>
        <v>0.012844854230974563</v>
      </c>
      <c r="D18" s="28" t="inlineStr">
        <is>
          <t>Sofás, iluminación ambiental y elementos fijos de decoración</t>
        </is>
      </c>
      <c r="E18" s="31" t="inlineStr">
        <is>
          <t>Sí</t>
        </is>
      </c>
    </row>
    <row r="19">
      <c r="A19" s="28" t="inlineStr">
        <is>
          <t>Sonido, limitador-registrador y proyector</t>
        </is>
      </c>
      <c r="B19" s="29" t="n">
        <v>6000</v>
      </c>
      <c r="C19" s="67">
        <f>IFERROR(B19/$B$31,"")</f>
        <v>0.019267281346461846</v>
      </c>
      <c r="D19" s="28" t="inlineStr">
        <is>
          <t>El limitador-registrador es tu seguro frente a las denuncias por ruido: muchas ordenanzas lo exigen. Compruébalo en la tuya</t>
        </is>
      </c>
      <c r="E19" s="31" t="inlineStr">
        <is>
          <t>Sí</t>
        </is>
      </c>
    </row>
    <row r="20">
      <c r="A20" s="28" t="inlineStr">
        <is>
          <t>Aparcamiento y caminos: zahorra, señalización e iluminación</t>
        </is>
      </c>
      <c r="B20" s="29" t="n">
        <v>10000</v>
      </c>
      <c r="C20" s="67">
        <f>IFERROR(B20/$B$31,"")</f>
        <v>0.03211213557743641</v>
      </c>
      <c r="D20" s="28" t="inlineStr">
        <is>
          <t>Calcula una plaza por cada 2,5-3 invitados (estimación del kit) y un acceso que aguante la lluvia</t>
        </is>
      </c>
      <c r="E20" s="31" t="inlineStr">
        <is>
          <t>Sí</t>
        </is>
      </c>
    </row>
    <row r="21">
      <c r="A21" s="28" t="inlineStr">
        <is>
          <t>Jardinería, paisajismo y riego inicial</t>
        </is>
      </c>
      <c r="B21" s="29" t="n">
        <v>8000</v>
      </c>
      <c r="C21" s="67">
        <f>IFERROR(B21/$B$31,"")</f>
        <v>0.025689708461949127</v>
      </c>
      <c r="D21" s="28" t="inlineStr">
        <is>
          <t>Zona de ceremonia, cóctel y fotos. El mantenimiento anual va en los costes fijos</t>
        </is>
      </c>
      <c r="E21" s="31" t="inlineStr">
        <is>
          <t>Sí</t>
        </is>
      </c>
    </row>
    <row r="22">
      <c r="A22" s="28" t="inlineStr">
        <is>
          <t>Protección contra incendios, señalización de evacuación y accesibilidad</t>
        </is>
      </c>
      <c r="B22" s="29" t="n">
        <v>7000</v>
      </c>
      <c r="C22" s="67">
        <f>IFERROR(B22/$B$31,"")</f>
        <v>0.022478494904205486</v>
      </c>
      <c r="D22" s="28" t="inlineStr">
        <is>
          <t>Extintores, alumbrado y señales de evacuación y los ajustes de accesibilidad que pida la licencia</t>
        </is>
      </c>
      <c r="E22" s="31" t="inlineStr">
        <is>
          <t>Sí</t>
        </is>
      </c>
    </row>
    <row r="23">
      <c r="A23" s="28" t="inlineStr">
        <is>
          <t>Web, fotos, vídeo y marca</t>
        </is>
      </c>
      <c r="B23" s="29" t="n">
        <v>6000</v>
      </c>
      <c r="C23" s="67">
        <f>IFERROR(B23/$B$31,"")</f>
        <v>0.019267281346461846</v>
      </c>
      <c r="D23" s="28" t="inlineStr">
        <is>
          <t>Identidad, web con calendario de fechas, sesión de fotos y vídeo de la finca montada</t>
        </is>
      </c>
      <c r="E23" s="31" t="inlineStr">
        <is>
          <t>Sí</t>
        </is>
      </c>
    </row>
    <row r="24">
      <c r="A24" s="28" t="inlineStr">
        <is>
          <t>Constitución de la SL</t>
        </is>
      </c>
      <c r="B24" s="29" t="n">
        <v>1000</v>
      </c>
      <c r="C24" s="67">
        <f>IFERROR(B24/$B$31,"")</f>
        <v>0.003211213557743641</v>
      </c>
      <c r="D24" s="28" t="inlineStr">
        <is>
          <t>Notaría, registro mercantil y gestoría</t>
        </is>
      </c>
      <c r="E24" s="31" t="inlineStr">
        <is>
          <t>No</t>
        </is>
      </c>
    </row>
    <row r="25">
      <c r="A25" s="28" t="inlineStr">
        <is>
          <t>Lanzamiento: feria nupcial, puertas abiertas y escaparate premium</t>
        </is>
      </c>
      <c r="B25" s="29" t="n">
        <v>6000</v>
      </c>
      <c r="C25" s="67">
        <f>IFERROR(B25/$B$31,"")</f>
        <v>0.019267281346461846</v>
      </c>
      <c r="D25" s="28" t="inlineStr">
        <is>
          <t>La primera feria de novios, la jornada de puertas abiertas con el catering y el escaparate de pago en un portal de bodas durante el primer año</t>
        </is>
      </c>
      <c r="E25" s="31" t="inlineStr">
        <is>
          <t>Sí</t>
        </is>
      </c>
    </row>
    <row r="26">
      <c r="A26" s="28" t="inlineStr">
        <is>
          <t>Fianza del arrendamiento</t>
        </is>
      </c>
      <c r="B26" s="32">
        <f>IFERROR(IF('0. Supuestos'!$B$24="","",'0. Supuestos'!$B$24*'0. Supuestos'!$B$25),"")</f>
        <v>7000.0</v>
      </c>
      <c r="C26" s="67">
        <f>IFERROR(B26/$B$31,"")</f>
        <v>0.022478494904205486</v>
      </c>
      <c r="D26" s="28" t="str">
        <f>IFERROR(""&amp;TEXT('0. Supuestos'!$B$25,"0")&amp;" meses de renta, al tipo de la hoja de Supuestos. Es un activo recuperable al cerrar: ni se amortiza ni lleva IVA","")</f>
        <v>2 meses de renta, al tipo de la hoja de Supuestos. Es un activo recuperable al cerrar: ni se amortiza ni lleva IVA</v>
      </c>
      <c r="E26" s="28" t="inlineStr">
        <is>
          <t>No</t>
        </is>
      </c>
    </row>
    <row r="27">
      <c r="A27" s="28" t="inlineStr">
        <is>
          <t>Renta de la finca durante la obra</t>
        </is>
      </c>
      <c r="B27" s="32">
        <f>IFERROR(IF('0. Supuestos'!$B$24="","",'0. Supuestos'!$B$24*'0. Supuestos'!$B$54),"")</f>
        <v>3500.0</v>
      </c>
      <c r="C27" s="67">
        <f>IFERROR(B27/$B$31,"")</f>
        <v>0.011239247452102743</v>
      </c>
      <c r="D27" s="28"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27" s="28" t="inlineStr">
        <is>
          <t>Sí</t>
        </is>
      </c>
    </row>
    <row r="28">
      <c r="A28" s="28" t="inlineStr">
        <is>
          <t>Imprevistos de obra y acondicionamiento</t>
        </is>
      </c>
      <c r="B28" s="32">
        <f>IFERROR(IF(COUNT(B7,B9,B10,B12,B13,B15,B16,B20,B21,B22)=0,"",ROUND((B7+B9+B10+B12+B13+B15+B16+B20+B21+B22)*'0. Supuestos'!$B$55,0)),"")</f>
        <v>11280.0</v>
      </c>
      <c r="C28" s="67">
        <f>IFERROR(B28/$B$31,"")</f>
        <v>0.036222488931348266</v>
      </c>
      <c r="D28" s="28" t="str">
        <f>IFERROR("Al "&amp;TEXT('0. Supuestos'!$B$55,"0%")&amp;" de las partidas de OBRA Y ACONDICIONAMIENTO de este bloque (Proyecto técnico y dirección de obra, Adecuación del salón: suelos, cerramientos, carpintería y pintura, Acústica y aislamiento del salón, Aseos: dos bloques y uno adaptado, Instalación eléctrica: cuadro, alumbrado exterior y de emergencia, Climatización del salón, Office del catering: cámara, fregaderos, mesas inox, agua y desagüe, Aparcamiento y caminos: zahorra, señalización e iluminación, Jardinería, paisajismo y riego inicial y Protección contra incendios, señalización de evacuación y accesibilidad), no del bloque entero: el resto de partidas del bloque quedan fuera. Un banco no financia una reforma sin colchón: el porcentaje está en la hoja de Supuestos","")</f>
        <v>Al 8% de las partidas de OBRA Y ACONDICIONAMIENTO de este bloque (Proyecto técnico y dirección de obra, Adecuación del salón: suelos, cerramientos, carpintería y pintura, Acústica y aislamiento del salón, Aseos: dos bloques y uno adaptado, Instalación eléctrica: cuadro, alumbrado exterior y de emergencia, Climatización del salón, Office del catering: cámara, fregaderos, mesas inox, agua y desagüe, Aparcamiento y caminos: zahorra, señalización e iluminación, Jardinería, paisajismo y riego inicial y Protección contra incendios, señalización de evacuación y accesibilidad), no del bloque entero: el resto de partidas del bloque quedan fuera. Un banco no financia una reforma sin colchón: el porcentaje está en la hoja de Supuestos</v>
      </c>
      <c r="E28" s="28" t="inlineStr">
        <is>
          <t>Sí</t>
        </is>
      </c>
    </row>
    <row r="29">
      <c r="A29" s="25" t="inlineStr">
        <is>
          <t>FONDO DE MANIOBRA</t>
        </is>
      </c>
      <c r="B29" s="26">
        <f>IFERROR(IF(B30="","",B30),"")</f>
        <v>59628.75</v>
      </c>
      <c r="C29" s="66">
        <f>IFERROR(B29/$B$31,"")</f>
        <v>0.19148065043130613</v>
      </c>
      <c r="D29" s="28" t="n"/>
      <c r="E29" s="28" t="n"/>
    </row>
    <row r="30">
      <c r="A30" s="28" t="inlineStr">
        <is>
          <t>Colchón operativo hasta alcanzar el equilibrio</t>
        </is>
      </c>
      <c r="B30" s="32">
        <f>IFERROR(IF('0. Supuestos'!$B$35*('PyG 3 Años'!$B$38-'PyG 3 Años'!$B$36)=0,"",'0. Supuestos'!$B$35*('PyG 3 Años'!$B$38-'PyG 3 Años'!$B$36)/12),"")</f>
        <v>59628.75</v>
      </c>
      <c r="C30" s="67">
        <f>IFERROR(B30/$B$31,"")</f>
        <v>0.19148065043130613</v>
      </c>
      <c r="D30"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30" s="28" t="inlineStr">
        <is>
          <t>No</t>
        </is>
      </c>
    </row>
    <row r="31">
      <c r="A31" s="25" t="inlineStr">
        <is>
          <t>INVERSIÓN TOTAL (suma de los bloques)</t>
        </is>
      </c>
      <c r="B31" s="26">
        <f>IFERROR(B6+B29,"")</f>
        <v>311408.75</v>
      </c>
      <c r="C31" s="28" t="n"/>
      <c r="D31" s="25" t="str">
        <f>IFERROR("Los porcentajes de la columna C se leen sobre esta cifra, que incluye el fondo de maniobra ("&amp;TEXT(C29,"0%")&amp;" del total). Para comparar el desglose con otro plan, usa la fila de CAPEX de abajo.","")</f>
        <v>Los porcentajes de la columna C se leen sobre esta cifra, que incluye el fondo de maniobra (19% del total). Para comparar el desglose con otro plan, usa la fila de CAPEX de abajo.</v>
      </c>
      <c r="E31" s="28" t="n"/>
    </row>
    <row r="32">
      <c r="A32" s="25" t="inlineStr">
        <is>
          <t>CAPEX (inversión sin el fondo de maniobra)</t>
        </is>
      </c>
      <c r="B32" s="26">
        <f>IFERROR(B31-B29,"")</f>
        <v>251780.0</v>
      </c>
      <c r="C32" s="28" t="n"/>
      <c r="D32" s="25" t="inlineStr">
        <is>
          <t>Es lo que se compra: obra, equipamiento, lanzamiento y gastos de constitución. El colchón de caja no es inversión, es circulante</t>
        </is>
      </c>
      <c r="E32" s="28" t="n"/>
    </row>
    <row r="33">
      <c r="A33" s="28" t="inlineStr">
        <is>
          <t>IVA soportado sobre la inversión (recuperable)</t>
        </is>
      </c>
      <c r="B33" s="32">
        <f>IFERROR(IF(B31="","",SUMIF($E$7:$E$28,"Sí",$B$7:$B$28)*'0. Supuestos'!$B$41),"")</f>
        <v>51193.799999999996</v>
      </c>
      <c r="C33" s="28" t="n"/>
      <c r="D33"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3" s="28" t="n"/>
    </row>
    <row r="34">
      <c r="A34" s="25" t="inlineStr">
        <is>
          <t>NECESIDAD TOTAL DE CAJA AL ARRANQUE</t>
        </is>
      </c>
      <c r="B34" s="26">
        <f>IFERROR(B31+B33,"")</f>
        <v>362602.55</v>
      </c>
      <c r="C34" s="28" t="n"/>
      <c r="D34" s="25" t="inlineStr">
        <is>
          <t>Es la cifra que tiene que cubrir la hoja de Financiación</t>
        </is>
      </c>
      <c r="E34" s="28" t="n"/>
    </row>
    <row r="35">
      <c r="A35" s="25" t="inlineStr">
        <is>
          <t>BASES DE AMORTIZACIÓN (no suman a la inversión)</t>
        </is>
      </c>
      <c r="B35" s="28" t="n"/>
      <c r="C35" s="28" t="n"/>
      <c r="D35" s="28" t="n"/>
      <c r="E35" s="28" t="n"/>
    </row>
    <row r="36">
      <c r="A36" s="28" t="inlineStr">
        <is>
          <t>Obra, instalaciones y acondicionamiento</t>
        </is>
      </c>
      <c r="B36" s="32">
        <f>IFERROR(IF(B7="","",B7+B9+B10+B12+B13+B15+B16+B20+B21+B22+B28),"")</f>
        <v>152280.0</v>
      </c>
      <c r="C36" s="28" t="n"/>
      <c r="D36" s="28" t="str">
        <f>IFERROR("Se amortiza en "&amp;TEXT('0. Supuestos'!$B$44,"0")&amp;" años","")</f>
        <v>Se amortiza en 15 años</v>
      </c>
      <c r="E36" s="28" t="n"/>
    </row>
    <row r="37">
      <c r="A37" s="28" t="inlineStr">
        <is>
          <t>Maquinaria, mobiliario y equipos</t>
        </is>
      </c>
      <c r="B37" s="32">
        <f>IFERROR(IF(B11="","",B11+B14+B17+B18+B19),"")</f>
        <v>66000.0</v>
      </c>
      <c r="C37" s="28" t="n"/>
      <c r="D37" s="28" t="str">
        <f>IFERROR("Se amortiza en "&amp;TEXT('0. Supuestos'!$B$45,"0")&amp;" años","")</f>
        <v>Se amortiza en 10 años</v>
      </c>
      <c r="E37" s="28" t="n"/>
    </row>
    <row r="38">
      <c r="A38" s="25" t="inlineStr">
        <is>
          <t>Amortización anual del inmovilizado</t>
        </is>
      </c>
      <c r="B38" s="26">
        <f>IFERROR(B36/MAX(1,'0. Supuestos'!$B$44)+B37/MAX(1,'0. Supuestos'!$B$45),"")</f>
        <v>16752.0</v>
      </c>
      <c r="C38" s="28" t="n"/>
      <c r="D38" s="25" t="str">
        <f>IFERROR("No se amortizan, por no ser inmovilizado, Calificación urbanística, licencia, tasas y prestación compensatoria o canon, Web, fotos, vídeo y marca, Constitución de la SL, Lanzamiento: feria nupcial, puertas abiertas y escaparate premium, Fianza del arrendamiento, Renta de la finca durante la obra ni Colchón operativo hasta alcanzar el equilibrio. Suman "&amp;TEXT(B31-B36-B37,"0")&amp;" € de los "&amp;TEXT(B31,"0")&amp;" € de inversión.","")</f>
        <v>No se amortizan, por no ser inmovilizado, Calificación urbanística, licencia, tasas y prestación compensatoria o canon, Web, fotos, vídeo y marca, Constitución de la SL, Lanzamiento: feria nupcial, puertas abiertas y escaparate premium, Fianza del arrendamiento, Renta de la finca durante la obra ni Colchón operativo hasta alcanzar el equilibrio. Suman 93129 € de los 311409 € de inversión.</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CUENTA DE RESULTADOS — 3 AÑOS</t>
        </is>
      </c>
    </row>
    <row r="2">
      <c r="A2" s="3" t="inlineStr">
        <is>
          <t>Escenario realista — finca de eventos y bodas</t>
        </is>
      </c>
    </row>
    <row r="3"/>
    <row r="4">
      <c r="A4" s="38" t="inlineStr">
        <is>
          <t>Concepto</t>
        </is>
      </c>
      <c r="B4" s="38" t="inlineStr">
        <is>
          <t>Año 1</t>
        </is>
      </c>
      <c r="C4" s="38" t="inlineStr">
        <is>
          <t>Año 2</t>
        </is>
      </c>
      <c r="D4" s="38" t="inlineStr">
        <is>
          <t>Año 3</t>
        </is>
      </c>
      <c r="E4" s="38" t="inlineStr">
        <is>
          <t>% s/ventas (año 1)</t>
        </is>
      </c>
      <c r="F4" s="38" t="inlineStr">
        <is>
          <t>Notas</t>
        </is>
      </c>
      <c r="G4" s="38" t="inlineStr">
        <is>
          <t>Tipo de IVA de la línea (%)</t>
        </is>
      </c>
      <c r="H4" s="28" t="n"/>
    </row>
    <row r="5">
      <c r="A5" s="25" t="inlineStr">
        <is>
          <t>INGRESOS</t>
        </is>
      </c>
      <c r="B5" s="28" t="n"/>
      <c r="C5" s="28" t="n"/>
      <c r="D5" s="28" t="n"/>
      <c r="E5" s="28" t="n"/>
      <c r="F5" s="28" t="n"/>
      <c r="G5" s="28" t="n"/>
      <c r="H5" s="28" t="n"/>
    </row>
    <row r="6">
      <c r="A6" s="28" t="inlineStr">
        <is>
          <t>Invitados por evento (media)</t>
        </is>
      </c>
      <c r="B6" s="39">
        <f>IFERROR(IF('0. Supuestos'!$B$4="","",'0. Supuestos'!$B$4),"")</f>
        <v>82.0</v>
      </c>
      <c r="C6" s="39">
        <f>IFERROR(B6*(1+'0. Supuestos'!$B$7),"")</f>
        <v>88.56</v>
      </c>
      <c r="D6" s="39">
        <f>IFERROR(C6*(1+'0. Supuestos'!$B$8),"")</f>
        <v>92.988</v>
      </c>
      <c r="E6" s="28" t="n"/>
      <c r="F6" s="28" t="inlineStr">
        <is>
          <t>El crecimiento de los años 2 y 3 está en la hoja de Supuestos</t>
        </is>
      </c>
      <c r="G6" s="28" t="n"/>
      <c r="H6" s="28" t="n"/>
    </row>
    <row r="7">
      <c r="A7" s="28" t="inlineStr">
        <is>
          <t>Precio medio por invitado sin IVA</t>
        </is>
      </c>
      <c r="B7" s="69">
        <f>IFERROR(IF('0. Supuestos'!$B$5="","",'0. Supuestos'!$B$5),"")</f>
        <v>37.0</v>
      </c>
      <c r="C7" s="69">
        <f>IFERROR(IF(B7="","",B7),"")</f>
        <v>37.0</v>
      </c>
      <c r="D7" s="69">
        <f>IFERROR(IF(C7="","",C7),"")</f>
        <v>37.0</v>
      </c>
      <c r="E7" s="28" t="n"/>
      <c r="F7" s="28" t="inlineStr">
        <is>
          <t>Constante en euros del año 1: una subida de precios es una decisión aparte</t>
        </is>
      </c>
      <c r="G7" s="28" t="n"/>
      <c r="H7" s="28" t="n"/>
    </row>
    <row r="8">
      <c r="A8" s="28" t="inlineStr">
        <is>
          <t>Eventos al año</t>
        </is>
      </c>
      <c r="B8" s="39">
        <f>IFERROR(IF('0. Supuestos'!$B$6="","",'0. Supuestos'!$B$6),"")</f>
        <v>120.0</v>
      </c>
      <c r="C8" s="39">
        <f>IFERROR(IF(B8="","",B8),"")</f>
        <v>120.0</v>
      </c>
      <c r="D8" s="39">
        <f>IFERROR(IF(C8="","",C8),"")</f>
        <v>120.0</v>
      </c>
      <c r="E8" s="28" t="n"/>
      <c r="F8" s="28" t="n"/>
      <c r="G8" s="28" t="n"/>
      <c r="H8" s="28" t="n"/>
    </row>
    <row r="9">
      <c r="A9" s="25" t="inlineStr">
        <is>
          <t>INGRESOS TOTALES (sin IVA)</t>
        </is>
      </c>
      <c r="B9" s="26">
        <f>IFERROR(IF(B6*B7*B8=0,"",B6*B7*B8),"")</f>
        <v>364080.0</v>
      </c>
      <c r="C9" s="26">
        <f>IFERROR(IF(C6*C7*C8=0,"",C6*C7*C8),"")</f>
        <v>393206.4</v>
      </c>
      <c r="D9" s="26">
        <f>IFERROR(IF(D6*D7*D8=0,"",D6*D7*D8),"")</f>
        <v>412866.72000000003</v>
      </c>
      <c r="E9" s="66">
        <f>IFERROR(IF(B9="","",1),"")</f>
        <v>1.0</v>
      </c>
      <c r="F9" s="28" t="n"/>
      <c r="G9" s="28" t="n"/>
      <c r="H9" s="28" t="n"/>
    </row>
    <row r="10">
      <c r="A10" s="28" t="inlineStr">
        <is>
          <t>Ventas de alquiler del espacio y servicios del evento</t>
        </is>
      </c>
      <c r="B10" s="32">
        <f>IFERROR(IF(B9="","",B9*$E$10),"")</f>
        <v>283982.4</v>
      </c>
      <c r="C10" s="32">
        <f>IFERROR(IF(C9="","",C9*$E$10),"")</f>
        <v>306700.992</v>
      </c>
      <c r="D10" s="32">
        <f>IFERROR(IF(D9="","",D9*$E$10),"")</f>
        <v>322036.04160000006</v>
      </c>
      <c r="E10" s="67">
        <f>IFERROR(IF('0. Supuestos'!$B$11="","",'0. Supuestos'!$B$11),"")</f>
        <v>0.78</v>
      </c>
      <c r="F10" s="28" t="inlineStr">
        <is>
          <t>Lo que pagan los novios y las empresas a la finca: el espacio, la ceremonia, el montaje, la coordinación del día, la limpieza y el aparcamiento. Con precio propio va al 21 % · El tipo de IVA que REPERCUTE esta línea es un input (celda verde de la derecha): cámbialo sólo si tu asesoría te confirma otro tipo.</t>
        </is>
      </c>
      <c r="G10" s="75" t="n">
        <v>0.21</v>
      </c>
      <c r="H10" s="28" t="n"/>
    </row>
    <row r="11">
      <c r="A11" s="28" t="inlineStr">
        <is>
          <t>Canon del catering exclusivo</t>
        </is>
      </c>
      <c r="B11" s="32">
        <f>IFERROR(IF(B9="","",B9*$E$11),"")</f>
        <v>80097.59999999999</v>
      </c>
      <c r="C11" s="32">
        <f>IFERROR(IF(C9="","",C9*$E$11),"")</f>
        <v>86505.408</v>
      </c>
      <c r="D11" s="32">
        <f>IFERROR(IF(D9="","",D9*$E$11),"")</f>
        <v>90830.67839999999</v>
      </c>
      <c r="E11" s="67">
        <f>IFERROR(IF('0. Supuestos'!$B$12="","",'0. Supuestos'!$B$12),"")</f>
        <v>0.21999999999999997</v>
      </c>
      <c r="F11" s="28" t="inlineStr">
        <is>
          <t>Lo que te paga el catering de la casa por servir en la finca. El plan supone el 12 % de lo que factura en ella, unos 13 € por invitado en una boda: es un supuesto, negócialo. Factura de la finca al catering, al 21 % · El tipo de IVA que REPERCUTE esta línea es un input (celda verde de la derecha): cámbialo sólo si tu asesoría te confirma otro tipo.</t>
        </is>
      </c>
      <c r="G11" s="75" t="n">
        <v>0.21</v>
      </c>
      <c r="H11" s="28" t="n"/>
    </row>
    <row r="12">
      <c r="A12" s="25" t="inlineStr">
        <is>
          <t>COSTES VARIABLES</t>
        </is>
      </c>
      <c r="B12" s="28" t="n"/>
      <c r="C12" s="28" t="n"/>
      <c r="D12" s="28" t="n"/>
      <c r="E12" s="28" t="n"/>
      <c r="F12" s="28" t="n"/>
      <c r="G12" s="28" t="n"/>
      <c r="H12" s="28" t="n"/>
    </row>
    <row r="13">
      <c r="A13" s="28" t="inlineStr">
        <is>
          <t>Coste directo del evento</t>
        </is>
      </c>
      <c r="B13" s="32">
        <f>IFERROR(IF(B9="","",B9*'0. Supuestos'!$B$11*'0. Supuestos'!$B$13),"")</f>
        <v>46289.1312</v>
      </c>
      <c r="C13" s="32">
        <f>IFERROR(IF(C9="","",C9*'0. Supuestos'!$B$11*'0. Supuestos'!$B$13),"")</f>
        <v>49992.26169600001</v>
      </c>
      <c r="D13" s="32">
        <f>IFERROR(IF(D9="","",D9*'0. Supuestos'!$B$11*'0. Supuestos'!$B$13),"")</f>
        <v>52491.87478080001</v>
      </c>
      <c r="E13" s="67">
        <f>IFERROR(B13/$B$9,"")</f>
        <v>0.12714</v>
      </c>
      <c r="F13" s="28" t="str">
        <f>IFERROR("Al "&amp;TEXT('0. Supuestos'!$B$13,"0%")&amp;" de las ventas de ESPACIO Y SERVICIOS, no del total: el canon tiene su propia línea · El IVA que SOPORTAS en el coste directo del evento: limpieza, consumibles, gasoil, vigilancia y la tarifa de SGAE van al 21 %. Ajústalo a tus facturas","")</f>
        <v>Al 16% de las ventas de ESPACIO Y SERVICIOS, no del total: el canon tiene su propia línea · El IVA que SOPORTAS en el coste directo del evento: limpieza, consumibles, gasoil, vigilancia y la tarifa de SGAE van al 21 %. Ajústalo a tus facturas</v>
      </c>
      <c r="G13" s="75" t="n">
        <v>0.21</v>
      </c>
      <c r="H13" s="28" t="n"/>
    </row>
    <row r="14">
      <c r="A14" s="28" t="inlineStr">
        <is>
          <t>Coste del canon (no tiene)</t>
        </is>
      </c>
      <c r="B14" s="32">
        <f>IFERROR(IF(B9="","",B9*'0. Supuestos'!$B$12*'0. Supuestos'!$B$14),"")</f>
        <v>0.0</v>
      </c>
      <c r="C14" s="32">
        <f>IFERROR(IF(C9="","",C9*'0. Supuestos'!$B$12*'0. Supuestos'!$B$14),"")</f>
        <v>0.0</v>
      </c>
      <c r="D14" s="32">
        <f>IFERROR(IF(D9="","",D9*'0. Supuestos'!$B$12*'0. Supuestos'!$B$14),"")</f>
        <v>0.0</v>
      </c>
      <c r="E14" s="67">
        <f>IFERROR(B14/$B$9,"")</f>
        <v>0.0</v>
      </c>
      <c r="F14" s="28" t="str">
        <f>IFERROR("Al "&amp;TEXT('0. Supuestos'!$B$14,"0%")&amp;" de las ventas del CANON","")</f>
        <v>Al 0% de las ventas del CANON</v>
      </c>
      <c r="G14" s="67">
        <f>IFERROR(IF(B9="","",('0. Supuestos'!$B$62*'0. Supuestos'!$B$40+(1-'0. Supuestos'!$B$62)*'0. Supuestos'!$B$39)),"")</f>
        <v>0.1</v>
      </c>
      <c r="H14" s="28" t="n"/>
    </row>
    <row r="15">
      <c r="A15" s="28" t="inlineStr">
        <is>
          <t>Consumibles de los montajes</t>
        </is>
      </c>
      <c r="B15" s="32">
        <f>IFERROR(IF(B9="","",B9*'0. Supuestos'!$B$15),"")</f>
        <v>7281.6</v>
      </c>
      <c r="C15" s="32">
        <f>IFERROR(IF(C9="","",C9*'0. Supuestos'!$B$15),"")</f>
        <v>7864.128000000001</v>
      </c>
      <c r="D15" s="32">
        <f>IFERROR(IF(D9="","",D9*'0. Supuestos'!$B$15),"")</f>
        <v>8257.334400000002</v>
      </c>
      <c r="E15" s="67">
        <f>IFERROR(B15/$B$9,"")</f>
        <v>0.02</v>
      </c>
      <c r="F15" s="28" t="n"/>
      <c r="G15" s="67">
        <f>IFERROR(IF(B9="","",'0. Supuestos'!$B$41),"")</f>
        <v>0.21</v>
      </c>
      <c r="H15" s="28" t="n"/>
    </row>
    <row r="16">
      <c r="A16" s="28" t="inlineStr">
        <is>
          <t>Comisiones de wedding planners y agencias</t>
        </is>
      </c>
      <c r="B16" s="32">
        <f>IFERROR(IF(B9="","",B9*'0. Supuestos'!$B$16*'0. Supuestos'!$B$17),"")</f>
        <v>9102.0</v>
      </c>
      <c r="C16" s="32">
        <f>IFERROR(IF(C9="","",C9*'0. Supuestos'!$B$16*'0. Supuestos'!$B$17),"")</f>
        <v>9830.160000000002</v>
      </c>
      <c r="D16" s="32">
        <f>IFERROR(IF(D9="","",D9*'0. Supuestos'!$B$16*'0. Supuestos'!$B$17),"")</f>
        <v>10321.668000000001</v>
      </c>
      <c r="E16" s="67">
        <f>IFERROR(B16/$B$9,"")</f>
        <v>0.025</v>
      </c>
      <c r="F16" s="28" t="inlineStr">
        <is>
          <t>Sobre las ventas DEL CANAL. Con 0 % de intermediarios en Supuestos, esta línea vale cero</t>
        </is>
      </c>
      <c r="G16" s="67">
        <f>IFERROR(IF(B9="","",'0. Supuestos'!$B$41),"")</f>
        <v>0.21</v>
      </c>
      <c r="H16" s="28" t="n"/>
    </row>
    <row r="17">
      <c r="A17" s="28" t="inlineStr">
        <is>
          <t>Comisiones de los medios de pago</t>
        </is>
      </c>
      <c r="B17" s="32">
        <f>IFERROR(IF(B9="","",B9*'0. Supuestos'!$B$18),"")</f>
        <v>1092.24</v>
      </c>
      <c r="C17" s="32">
        <f>IFERROR(IF(C9="","",C9*'0. Supuestos'!$B$18),"")</f>
        <v>1179.6192</v>
      </c>
      <c r="D17" s="32">
        <f>IFERROR(IF(D9="","",D9*'0. Supuestos'!$B$18),"")</f>
        <v>1238.6001600000002</v>
      </c>
      <c r="E17" s="67">
        <f>IFERROR(B17/$B$9,"")</f>
        <v>0.003</v>
      </c>
      <c r="F17" s="28" t="inlineStr">
        <is>
          <t>Las comisiones de los medios de pago están EXENTAS de IVA (art. 20.Uno.18 LIVA): no se deduce nada por ellas</t>
        </is>
      </c>
      <c r="G17" s="67" t="n">
        <v>0</v>
      </c>
      <c r="H17" s="28" t="n"/>
    </row>
    <row r="18">
      <c r="A18" s="28" t="inlineStr">
        <is>
          <t>Varios e imprevistos</t>
        </is>
      </c>
      <c r="B18" s="32">
        <f>IFERROR(IF(B9="","",B9*'0. Supuestos'!$B$28),"")</f>
        <v>7281.6</v>
      </c>
      <c r="C18" s="32">
        <f>IFERROR(IF(C9="","",C9*'0. Supuestos'!$B$28),"")</f>
        <v>7864.128000000001</v>
      </c>
      <c r="D18" s="32">
        <f>IFERROR(IF(D9="","",D9*'0. Supuestos'!$B$28),"")</f>
        <v>8257.334400000002</v>
      </c>
      <c r="E18" s="67">
        <f>IFERROR(B18/$B$9,"")</f>
        <v>0.02</v>
      </c>
      <c r="F18" s="28"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7">
        <f>IFERROR(IF(B9="","",'0. Supuestos'!$B$41),"")</f>
        <v>0.21</v>
      </c>
      <c r="H18" s="28" t="n"/>
    </row>
    <row r="19">
      <c r="A19" s="25" t="inlineStr">
        <is>
          <t>TOTAL COSTES VARIABLES</t>
        </is>
      </c>
      <c r="B19" s="26">
        <f>IFERROR(IF(B9="","",SUM(B13:B18)),"")</f>
        <v>71046.5712</v>
      </c>
      <c r="C19" s="26">
        <f>IFERROR(IF(C9="","",SUM(C13:C18)),"")</f>
        <v>76730.29689600001</v>
      </c>
      <c r="D19" s="26">
        <f>IFERROR(IF(D9="","",SUM(D13:D18)),"")</f>
        <v>80566.81174080001</v>
      </c>
      <c r="E19" s="66">
        <f>IFERROR(B19/$B$9,"")</f>
        <v>0.19514</v>
      </c>
      <c r="F19" s="28" t="n"/>
      <c r="G19" s="28" t="n"/>
      <c r="H19" s="28" t="n"/>
    </row>
    <row r="20">
      <c r="A20" s="25" t="inlineStr">
        <is>
          <t>MARGEN BRUTO</t>
        </is>
      </c>
      <c r="B20" s="26">
        <f>IFERROR(IF(B9="","",B9-B19),"")</f>
        <v>293033.4288</v>
      </c>
      <c r="C20" s="26">
        <f>IFERROR(IF(C9="","",C9-C19),"")</f>
        <v>316476.103104</v>
      </c>
      <c r="D20" s="26">
        <f>IFERROR(IF(D9="","",D9-D19),"")</f>
        <v>332299.90825920005</v>
      </c>
      <c r="E20" s="66">
        <f>IFERROR(B20/$B$9,"")</f>
        <v>0.80486</v>
      </c>
      <c r="F20" s="28" t="n"/>
      <c r="G20" s="28" t="n"/>
      <c r="H20" s="28" t="n"/>
    </row>
    <row r="21">
      <c r="A21" s="25" t="inlineStr">
        <is>
          <t>COSTES FIJOS</t>
        </is>
      </c>
      <c r="B21" s="28" t="n"/>
      <c r="C21" s="28" t="n"/>
      <c r="D21" s="28" t="n"/>
      <c r="E21" s="28" t="n"/>
      <c r="F21" s="28" t="n"/>
      <c r="G21" s="28" t="n"/>
      <c r="H21" s="28" t="n"/>
    </row>
    <row r="22">
      <c r="A22" s="28" t="inlineStr">
        <is>
          <t>Renta de la finca</t>
        </is>
      </c>
      <c r="B22" s="32">
        <f>IFERROR(IF(B9="","",'0. Supuestos'!$B$24*12),"")</f>
        <v>42000.0</v>
      </c>
      <c r="C22" s="32">
        <f>IFERROR(IF(C9="","",B22*(1+'0. Supuestos'!$B$48)),"")</f>
        <v>42000.0</v>
      </c>
      <c r="D22" s="32">
        <f>IFERROR(IF(D9="","",C22*(1+'0. Supuestos'!$B$48)),"")</f>
        <v>42000.0</v>
      </c>
      <c r="E22" s="67">
        <f>IFERROR(B22/$B$9,"")</f>
        <v>0.11535926170072512</v>
      </c>
      <c r="F22" s="28" t="inlineStr">
        <is>
          <t>El importe mensual está en la hoja de Supuestos; aquí se multiplica por doce. Lleva IVA al 21 %. El mes de renta previo a la apertura está en la hoja de Inversión y NO se cuenta dos veces</t>
        </is>
      </c>
      <c r="G22" s="67">
        <f>IFERROR(IF(B9="","",'0. Supuestos'!$B$41),"")</f>
        <v>0.21</v>
      </c>
      <c r="H22" s="28" t="n"/>
    </row>
    <row r="23">
      <c r="A23" s="28" t="inlineStr">
        <is>
          <t>Personal (nóminas + Seguridad Social)</t>
        </is>
      </c>
      <c r="B23" s="32">
        <f>IFERROR(IF(B9="","",'Personal'!$G$11),"")</f>
        <v>111720.0</v>
      </c>
      <c r="C23" s="32">
        <f>IFERROR(IF(C9="","",'Personal'!$B$15),"")</f>
        <v>117720.0</v>
      </c>
      <c r="D23" s="32">
        <f>IFERROR(IF(D9="","",'Personal'!$B$16),"")</f>
        <v>123720.0</v>
      </c>
      <c r="E23" s="67">
        <f>IFERROR(B23/$B$9,"")</f>
        <v>0.3068556361239288</v>
      </c>
      <c r="F23" s="28" t="inlineStr">
        <is>
          <t>Sale de la hoja de Personal: es el MISMO número, no una estimación aparte. Los años 2 y 3 suman las INCORPORACIONES declaradas en esa hoja, no un porcentaje de volumen</t>
        </is>
      </c>
      <c r="G23" s="67" t="n">
        <v>0</v>
      </c>
      <c r="H23" s="28" t="n"/>
    </row>
    <row r="24">
      <c r="A24" s="28" t="inlineStr">
        <is>
          <t>Suministros (luz, agua, gasoil y teléfono)</t>
        </is>
      </c>
      <c r="B24" s="32">
        <f>IFERROR(IF(B9="","",'0. Supuestos'!$B$26*12),"")</f>
        <v>19200.0</v>
      </c>
      <c r="C24" s="32">
        <f>IFERROR(IF(C9="","",B24*(1+'0. Supuestos'!$B$48)),"")</f>
        <v>19200.0</v>
      </c>
      <c r="D24" s="32">
        <f>IFERROR(IF(D9="","",C24*(1+'0. Supuestos'!$B$48)),"")</f>
        <v>19200.0</v>
      </c>
      <c r="E24" s="67">
        <f>IFERROR(B24/$B$9,"")</f>
        <v>0.05273566249176005</v>
      </c>
      <c r="F24" s="28" t="inlineStr">
        <is>
          <t>Luz y gas van al 21 %; la factura del agua, al 10 %. El libro aplica a toda esta partida el tipo de la columna de al lado (21 %): si el agua pesa mucho en tu finca, sepárala en su línea</t>
        </is>
      </c>
      <c r="G24" s="67">
        <f>IFERROR(IF(B9="","",'0. Supuestos'!$B$41),"")</f>
        <v>0.21</v>
      </c>
      <c r="H24" s="28" t="n"/>
    </row>
    <row r="25">
      <c r="A25" s="28" t="inlineStr">
        <is>
          <t>Seguros (RC + multirriesgo)</t>
        </is>
      </c>
      <c r="B25" s="32">
        <f>IFERROR(IF(B9="","",'0. Supuestos'!$B$27),"")</f>
        <v>5500.0</v>
      </c>
      <c r="C25" s="32">
        <f>IFERROR(IF(C9="","",B25*(1+'0. Supuestos'!$B$48)),"")</f>
        <v>5500.0</v>
      </c>
      <c r="D25" s="32">
        <f>IFERROR(IF(D9="","",C25*(1+'0. Supuestos'!$B$48)),"")</f>
        <v>5500.0</v>
      </c>
      <c r="E25" s="67">
        <f>IFERROR(B25/$B$9,"")</f>
        <v>0.015106569984618765</v>
      </c>
      <c r="F25" s="28" t="inlineStr">
        <is>
          <t>Las operaciones de seguro están EXENTAS de IVA (art. 20.Uno.16 LIVA): la prima no lleva IVA deducible</t>
        </is>
      </c>
      <c r="G25" s="67" t="n">
        <v>0</v>
      </c>
      <c r="H25" s="28" t="n"/>
    </row>
    <row r="26">
      <c r="A26" s="28" t="inlineStr">
        <is>
          <t>Marketing: portales de bodas, Google Ads y redes</t>
        </is>
      </c>
      <c r="B26" s="29" t="n">
        <v>12000</v>
      </c>
      <c r="C26" s="32">
        <f>IFERROR(IF(C9="","",B26*(1+'0. Supuestos'!$B$48)),"")</f>
        <v>12000.0</v>
      </c>
      <c r="D26" s="32">
        <f>IFERROR(IF(D9="","",C26*(1+'0. Supuestos'!$B$48)),"")</f>
        <v>12000.0</v>
      </c>
      <c r="E26" s="67">
        <f>IFERROR(B26/$B$9,"")</f>
        <v>0.03295978905735003</v>
      </c>
      <c r="F26" s="28" t="inlineStr">
        <is>
          <t>Escaparate en los portales de bodas, Google Ads y redes sociales. Mide el coste por contacto de cada canal antes de renovar el escaparate premium</t>
        </is>
      </c>
      <c r="G26" s="67">
        <f>IFERROR(IF(B9="","",'0. Supuestos'!$B$41),"")</f>
        <v>0.21</v>
      </c>
      <c r="H26" s="28" t="n"/>
    </row>
    <row r="27">
      <c r="A27" s="28" t="inlineStr">
        <is>
          <t>Ferias nupciales y jornadas de puertas abiertas</t>
        </is>
      </c>
      <c r="B27" s="29" t="n">
        <v>6000</v>
      </c>
      <c r="C27" s="32">
        <f>IFERROR(IF(C9="","",B27*(1+'0. Supuestos'!$B$48)),"")</f>
        <v>6000.0</v>
      </c>
      <c r="D27" s="32">
        <f>IFERROR(IF(D9="","",C27*(1+'0. Supuestos'!$B$48)),"")</f>
        <v>6000.0</v>
      </c>
      <c r="E27" s="67">
        <f>IFERROR(B27/$B$9,"")</f>
        <v>0.016479894528675015</v>
      </c>
      <c r="F27" s="28" t="inlineStr">
        <is>
          <t>Dos ferias de novios al año y las jornadas de puertas abiertas de la finca, con el catering</t>
        </is>
      </c>
      <c r="G27" s="67">
        <f>IFERROR(IF(B9="","",'0. Supuestos'!$B$41),"")</f>
        <v>0.21</v>
      </c>
      <c r="H27" s="28" t="n"/>
    </row>
    <row r="28">
      <c r="A28" s="28" t="inlineStr">
        <is>
          <t>Jardinería y mantenimiento externo (poda, césped y riego)</t>
        </is>
      </c>
      <c r="B28" s="29" t="n">
        <v>8000</v>
      </c>
      <c r="C28" s="32">
        <f>IFERROR(IF(C9="","",B28*(1+'0. Supuestos'!$B$48)),"")</f>
        <v>8000.0</v>
      </c>
      <c r="D28" s="32">
        <f>IFERROR(IF(D9="","",C28*(1+'0. Supuestos'!$B$48)),"")</f>
        <v>8000.0</v>
      </c>
      <c r="E28" s="67">
        <f>IFERROR(B28/$B$9,"")</f>
        <v>0.021973192704900023</v>
      </c>
      <c r="F28" s="28" t="inlineStr">
        <is>
          <t>Los trabajos grandes que no hace el personal propio: poda, césped, riego y tratamientos</t>
        </is>
      </c>
      <c r="G28" s="67">
        <f>IFERROR(IF(B9="","",'0. Supuestos'!$B$41),"")</f>
        <v>0.21</v>
      </c>
      <c r="H28" s="28" t="n"/>
    </row>
    <row r="29">
      <c r="A29" s="28" t="inlineStr">
        <is>
          <t>Reparaciones, pintura y reposición de mobiliario</t>
        </is>
      </c>
      <c r="B29" s="29" t="n">
        <v>6000</v>
      </c>
      <c r="C29" s="32">
        <f>IFERROR(IF(C9="","",B29*(1+'0. Supuestos'!$B$48)),"")</f>
        <v>6000.0</v>
      </c>
      <c r="D29" s="32">
        <f>IFERROR(IF(D9="","",C29*(1+'0. Supuestos'!$B$48)),"")</f>
        <v>6000.0</v>
      </c>
      <c r="E29" s="67">
        <f>IFERROR(B29/$B$9,"")</f>
        <v>0.016479894528675015</v>
      </c>
      <c r="F29" s="28" t="inlineStr">
        <is>
          <t>Pintura, pequeñas obras entre temporadas y reposición de sillas, mesas y mantelería</t>
        </is>
      </c>
      <c r="G29" s="67">
        <f>IFERROR(IF(B9="","",'0. Supuestos'!$B$41),"")</f>
        <v>0.21</v>
      </c>
      <c r="H29" s="28" t="n"/>
    </row>
    <row r="30">
      <c r="A30" s="28" t="inlineStr">
        <is>
          <t>Gestoría laboral, fiscal y contable</t>
        </is>
      </c>
      <c r="B30" s="29" t="n">
        <v>3000</v>
      </c>
      <c r="C30" s="32">
        <f>IFERROR(IF(C9="","",B30*(1+'0. Supuestos'!$B$48)),"")</f>
        <v>3000.0</v>
      </c>
      <c r="D30" s="32">
        <f>IFERROR(IF(D9="","",C30*(1+'0. Supuestos'!$B$48)),"")</f>
        <v>3000.0</v>
      </c>
      <c r="E30" s="67">
        <f>IFERROR(B30/$B$9,"")</f>
        <v>0.008239947264337508</v>
      </c>
      <c r="F30" s="28" t="inlineStr">
        <is>
          <t>Contabilidad, impuestos de la SL y nóminas de los fijos discontinuos, con sus llamamientos de cada temporada</t>
        </is>
      </c>
      <c r="G30" s="67">
        <f>IFERROR(IF(B9="","",'0. Supuestos'!$B$41),"")</f>
        <v>0.21</v>
      </c>
      <c r="H30" s="28" t="n"/>
    </row>
    <row r="31">
      <c r="A31" s="28" t="inlineStr">
        <is>
          <t>Software de reservas, CRM, web y teléfono</t>
        </is>
      </c>
      <c r="B31" s="29" t="n">
        <v>1800</v>
      </c>
      <c r="C31" s="32">
        <f>IFERROR(IF(C9="","",B31*(1+'0. Supuestos'!$B$48)),"")</f>
        <v>1800.0</v>
      </c>
      <c r="D31" s="32">
        <f>IFERROR(IF(D9="","",C31*(1+'0. Supuestos'!$B$48)),"")</f>
        <v>1800.0</v>
      </c>
      <c r="E31" s="67">
        <f>IFERROR(B31/$B$9,"")</f>
        <v>0.004943968358602505</v>
      </c>
      <c r="F31" s="28" t="inlineStr">
        <is>
          <t>Calendario de fechas, presupuestos, CRM de novios y empresas, alojamiento de la web y teléfono</t>
        </is>
      </c>
      <c r="G31" s="67">
        <f>IFERROR(IF(B9="","",'0. Supuestos'!$B$41),"")</f>
        <v>0.21</v>
      </c>
      <c r="H31" s="28" t="n"/>
    </row>
    <row r="32">
      <c r="A32" s="28" t="inlineStr">
        <is>
          <t>Prevención de riesgos laborales y vigilancia de la salud</t>
        </is>
      </c>
      <c r="B32" s="29" t="n">
        <v>500</v>
      </c>
      <c r="C32" s="32">
        <f>IFERROR(IF(C9="","",B32*(1+'0. Supuestos'!$B$48)),"")</f>
        <v>500.0</v>
      </c>
      <c r="D32" s="32">
        <f>IFERROR(IF(D9="","",C32*(1+'0. Supuestos'!$B$48)),"")</f>
        <v>500.0</v>
      </c>
      <c r="E32" s="67">
        <f>IFERROR(B32/$B$9,"")</f>
        <v>0.0013733245440562514</v>
      </c>
      <c r="F32" s="28" t="inlineStr">
        <is>
          <t>El plan de prevención es obligatorio (Ley 31/1995): montaje, cargas, trabajo en altura y jardinería, y reconocimientos médicos de la plantilla</t>
        </is>
      </c>
      <c r="G32" s="67">
        <f>IFERROR(IF(B9="","",'0. Supuestos'!$B$41),"")</f>
        <v>0.21</v>
      </c>
      <c r="H32" s="28" t="n"/>
    </row>
    <row r="33">
      <c r="A33" s="28" t="inlineStr">
        <is>
          <t>Tasas municipales e IBI repercutido</t>
        </is>
      </c>
      <c r="B33" s="29" t="n">
        <v>2500</v>
      </c>
      <c r="C33" s="32">
        <f>IFERROR(IF(C9="","",B33*(1+'0. Supuestos'!$B$48)),"")</f>
        <v>2500.0</v>
      </c>
      <c r="D33" s="32">
        <f>IFERROR(IF(D9="","",C33*(1+'0. Supuestos'!$B$48)),"")</f>
        <v>2500.0</v>
      </c>
      <c r="E33" s="67">
        <f>IFERROR(B33/$B$9,"")</f>
        <v>0.006866622720281257</v>
      </c>
      <c r="F33" s="28" t="inlineStr">
        <is>
          <t>Basuras y otras tasas municipales y el IBI que el propietario te repercuta según el contrato. Pon las de tu ayuntamiento</t>
        </is>
      </c>
      <c r="G33" s="67">
        <f>IFERROR(IF(B9="","",'0. Supuestos'!$B$41),"")</f>
        <v>0.21</v>
      </c>
      <c r="H33" s="28" t="n"/>
    </row>
    <row r="34">
      <c r="A34" s="28" t="inlineStr">
        <is>
          <t>Revisiones de baja tensión, protección contra incendios y grupo electrógeno</t>
        </is>
      </c>
      <c r="B34" s="29" t="n">
        <v>1200</v>
      </c>
      <c r="C34" s="32">
        <f>IFERROR(IF(C9="","",B34*(1+'0. Supuestos'!$B$48)),"")</f>
        <v>1200.0</v>
      </c>
      <c r="D34" s="32">
        <f>IFERROR(IF(D9="","",C34*(1+'0. Supuestos'!$B$48)),"")</f>
        <v>1200.0</v>
      </c>
      <c r="E34" s="67">
        <f>IFERROR(B34/$B$9,"")</f>
        <v>0.0032959789057350032</v>
      </c>
      <c r="F34" s="28" t="inlineStr">
        <is>
          <t>Inspecciones periódicas de la instalación eléctrica, mantenimiento de extintores y del sistema contra incendios por una empresa mantenedora y revisión del grupo electrógeno</t>
        </is>
      </c>
      <c r="G34" s="67">
        <f>IFERROR(IF(B9="","",'0. Supuestos'!$B$41),"")</f>
        <v>0.21</v>
      </c>
      <c r="H34" s="28" t="n"/>
    </row>
    <row r="35">
      <c r="A35" s="28" t="inlineStr">
        <is>
          <t>Limpieza general, desinsectación y desratización (DDD)</t>
        </is>
      </c>
      <c r="B35" s="29" t="n">
        <v>2000</v>
      </c>
      <c r="C35" s="32">
        <f>IFERROR(IF(C9="","",B35*(1+'0. Supuestos'!$B$48)),"")</f>
        <v>2000.0</v>
      </c>
      <c r="D35" s="32">
        <f>IFERROR(IF(D9="","",C35*(1+'0. Supuestos'!$B$48)),"")</f>
        <v>2000.0</v>
      </c>
      <c r="E35" s="67">
        <f>IFERROR(B35/$B$9,"")</f>
        <v>0.005493298176225006</v>
      </c>
      <c r="F35" s="28" t="inlineStr">
        <is>
          <t>Limpieza a fondo de temporada, productos y control de plagas por una empresa inscrita</t>
        </is>
      </c>
      <c r="G35" s="67">
        <f>IFERROR(IF(B9="","",'0. Supuestos'!$B$41),"")</f>
        <v>0.21</v>
      </c>
      <c r="H35" s="28" t="n"/>
    </row>
    <row r="36">
      <c r="A36" s="28" t="inlineStr">
        <is>
          <t>Amortización del inmovilizado</t>
        </is>
      </c>
      <c r="B36" s="32">
        <f>IFERROR(IF(B9="","",'Inversión Inicial'!$B$38),"")</f>
        <v>16752.0</v>
      </c>
      <c r="C36" s="32">
        <f>IFERROR(IF(C9="","",B36),"")</f>
        <v>16752.0</v>
      </c>
      <c r="D36" s="32">
        <f>IFERROR(IF(D9="","",B36),"")</f>
        <v>16752.0</v>
      </c>
      <c r="E36" s="67">
        <f>IFERROR(B36/$B$9,"")</f>
        <v>0.04601186552406065</v>
      </c>
      <c r="F36" s="28" t="inlineStr">
        <is>
          <t>Sale de las bases de amortización de la hoja de Inversión: sólo inmovilizado real. NO sube con el IPC: es una cuota sobre el coste HISTÓRICO del inmovilizado</t>
        </is>
      </c>
      <c r="G36" s="67" t="n">
        <v>0</v>
      </c>
      <c r="H36" s="28" t="n"/>
    </row>
    <row r="37">
      <c r="A37" s="28" t="inlineStr">
        <is>
          <t>Gastos financieros (intereses del préstamo)</t>
        </is>
      </c>
      <c r="B37" s="32">
        <f>IFERROR(IF(B9="","",'Financiación'!$B$44),"")</f>
        <v>17095.0</v>
      </c>
      <c r="C37" s="32">
        <f>IFERROR(IF(C9="","",'Financiación'!$B$46),"")</f>
        <v>17095.0</v>
      </c>
      <c r="D37" s="32">
        <f>IFERROR(IF(D9="","",'Financiación'!$B$48),"")</f>
        <v>15089.220241630364</v>
      </c>
      <c r="E37" s="67">
        <f>IFERROR(B37/$B$9,"")</f>
        <v>0.046953966161283237</v>
      </c>
      <c r="F37" s="28" t="inlineStr">
        <is>
          <t>Sólo los INTERESES son gasto. La devolución del principal va en la hoja de Tesorería</t>
        </is>
      </c>
      <c r="G37" s="67" t="n">
        <v>0</v>
      </c>
      <c r="H37" s="28" t="n"/>
    </row>
    <row r="38">
      <c r="A38" s="25" t="inlineStr">
        <is>
          <t>TOTAL COSTES FIJOS</t>
        </is>
      </c>
      <c r="B38" s="26">
        <f>IFERROR(IF(B9="","",SUM(B22:B37)),"")</f>
        <v>255267.0</v>
      </c>
      <c r="C38" s="26">
        <f>IFERROR(IF(C9="","",SUM(C22:C37)),"")</f>
        <v>261267.0</v>
      </c>
      <c r="D38" s="26">
        <f>IFERROR(IF(D9="","",SUM(D22:D37)),"")</f>
        <v>265261.2202416304</v>
      </c>
      <c r="E38" s="66">
        <f>IFERROR(B38/$B$9,"")</f>
        <v>0.7011288727752142</v>
      </c>
      <c r="F38" s="28" t="n"/>
      <c r="G38" s="28" t="n"/>
      <c r="H38" s="28" t="n"/>
    </row>
    <row r="39">
      <c r="A39" s="28" t="inlineStr">
        <is>
          <t>IVA soportado de los costes variables</t>
        </is>
      </c>
      <c r="B39" s="32">
        <f>IFERROR(IF(B9="","",SUMPRODUCT(B13:B18,G13:G18)),"")</f>
        <v>14690.409552000001</v>
      </c>
      <c r="C39" s="32">
        <f>IFERROR(IF(C9="","",SUMPRODUCT(C13:C18,G13:G18)),"")</f>
        <v>15865.642316160001</v>
      </c>
      <c r="D39" s="32">
        <f>IFERROR(IF(D9="","",SUMPRODUCT(D13:D18,G13:G18)),"")</f>
        <v>16658.924431968004</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21882.0</v>
      </c>
      <c r="C40" s="32">
        <f>IFERROR(IF(C9="","",SUMPRODUCT(C22:C37,G22:G37)),"")</f>
        <v>21882.0</v>
      </c>
      <c r="D40" s="32">
        <f>IFERROR(IF(D9="","",SUMPRODUCT(D22:D37,G22:G37)),"")</f>
        <v>21882.0</v>
      </c>
      <c r="E40" s="28" t="n"/>
      <c r="F40" s="28" t="n"/>
      <c r="G40" s="28" t="n"/>
      <c r="H40" s="28" t="n"/>
    </row>
    <row r="41">
      <c r="A41" s="25" t="inlineStr">
        <is>
          <t>RESULTADO ANTES DE IMPUESTOS</t>
        </is>
      </c>
      <c r="B41" s="26">
        <f>IFERROR(IF(B9="","",B20-B38),"")</f>
        <v>37766.428799999994</v>
      </c>
      <c r="C41" s="26">
        <f>IFERROR(IF(C9="","",C20-C38),"")</f>
        <v>55209.10310399998</v>
      </c>
      <c r="D41" s="26">
        <f>IFERROR(IF(D9="","",D20-D38),"")</f>
        <v>67038.68801756966</v>
      </c>
      <c r="E41" s="66">
        <f>IFERROR(B41/$B$9,"")</f>
        <v>0.10373112722478575</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37766.428799999994</v>
      </c>
      <c r="C43" s="32">
        <f>IFERROR(IF(C9="","",MAX(0,C41-C42)),"")</f>
        <v>55209.10310399998</v>
      </c>
      <c r="D43" s="32">
        <f>IFERROR(IF(D9="","",MAX(0,D41-D42)),"")</f>
        <v>67038.68801756966</v>
      </c>
      <c r="E43" s="28" t="n"/>
      <c r="F43" s="28" t="n"/>
      <c r="G43" s="28" t="n"/>
      <c r="H43" s="28" t="n"/>
    </row>
    <row r="44">
      <c r="A44" s="28" t="inlineStr">
        <is>
          <t>Ejercicios con base positiva (acumulado)</t>
        </is>
      </c>
      <c r="B44" s="39">
        <f>IFERROR(IF(B9="","",IF(B43&gt;0,1,0)),"")</f>
        <v>1.0</v>
      </c>
      <c r="C44" s="39">
        <f>IFERROR(IF(C9="","",B44+IF(C43&gt;0,1,0)),"")</f>
        <v>2.0</v>
      </c>
      <c r="D44" s="39">
        <f>IFERROR(IF(D9="","",C44+IF(D43&gt;0,1,0)),"")</f>
        <v>3.0</v>
      </c>
      <c r="E44" s="28" t="n"/>
      <c r="F44" s="28" t="n"/>
      <c r="G44" s="28" t="n"/>
      <c r="H44" s="28" t="n"/>
    </row>
    <row r="45">
      <c r="A45" s="28" t="inlineStr">
        <is>
          <t>Tipo de Impuesto de Sociedades aplicado</t>
        </is>
      </c>
      <c r="B45" s="67">
        <f>IFERROR(IF(B9="","",IF(B43&lt;=0,"",IF(B44&lt;=2,'0. Supuestos'!$B$37,'0. Supuestos'!$B$38))),"")</f>
        <v>0.15</v>
      </c>
      <c r="C45" s="67">
        <f>IFERROR(IF(C9="","",IF(C43&lt;=0,"",IF(C44&lt;=2,'0. Supuestos'!$B$37,'0. Supuestos'!$B$38))),"")</f>
        <v>0.15</v>
      </c>
      <c r="D45" s="67">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5664.964319999999</v>
      </c>
      <c r="C46" s="32">
        <f>IFERROR(IF(C9="","",IF(C45="",0,C43*C45)),"")</f>
        <v>8281.365465599996</v>
      </c>
      <c r="D46" s="32">
        <f>IFERROR(IF(D9="","",IF(D45="",0,D43*D45)),"")</f>
        <v>16759.672004392414</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32101.464479999995</v>
      </c>
      <c r="C48" s="26">
        <f>IFERROR(IF(C9="","",C41-C46),"")</f>
        <v>46927.73763839998</v>
      </c>
      <c r="D48" s="26">
        <f>IFERROR(IF(D9="","",D41-D46),"")</f>
        <v>50279.01601317724</v>
      </c>
      <c r="E48" s="66">
        <f>IFERROR(B48/$B$9,"")</f>
        <v>0.08817145814106789</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7">
        <f>IFERROR(IF(B9="","",B20/B9),"")</f>
        <v>0.80486</v>
      </c>
      <c r="C51" s="67">
        <f>IFERROR(IF(C9="","",C20/C9),"")</f>
        <v>0.8048599999999999</v>
      </c>
      <c r="D51" s="67">
        <f>IFERROR(IF(D9="","",D20/D9),"")</f>
        <v>0.80486</v>
      </c>
      <c r="E51" s="75" t="n">
        <v>0.75</v>
      </c>
      <c r="F51" s="28" t="inlineStr">
        <is>
          <t>Suelo del margen tras TODOS los costes variables (coste directo del evento, consumibles, comisiones, medios de pago y varios): sin mercancía que comprar, una finca deja más del 75 %. Estimación del kit</t>
        </is>
      </c>
      <c r="G51" s="28" t="n"/>
      <c r="H51" s="28" t="n"/>
    </row>
    <row r="52">
      <c r="A52" s="28" t="inlineStr">
        <is>
          <t>Coste directo del evento (el canon no tiene coste)</t>
        </is>
      </c>
      <c r="B52" s="32">
        <f>IFERROR(IF(B9="","",B13+B14),"")</f>
        <v>46289.1312</v>
      </c>
      <c r="C52" s="32">
        <f>IFERROR(IF(C9="","",C13+C14),"")</f>
        <v>49992.26169600001</v>
      </c>
      <c r="D52" s="32">
        <f>IFERROR(IF(D9="","",D13+D14),"")</f>
        <v>52491.87478080001</v>
      </c>
      <c r="E52" s="28" t="n"/>
      <c r="F52" s="28" t="n"/>
      <c r="G52" s="28" t="n"/>
      <c r="H52" s="28" t="n"/>
    </row>
    <row r="53">
      <c r="A53" s="28" t="inlineStr">
        <is>
          <t>Coste directo del evento / Ventas</t>
        </is>
      </c>
      <c r="B53" s="67">
        <f>IFERROR(IF(B9="","",B52/B9),"")</f>
        <v>0.12714</v>
      </c>
      <c r="C53" s="67">
        <f>IFERROR(IF(C9="","",C52/C9),"")</f>
        <v>0.12714</v>
      </c>
      <c r="D53" s="67">
        <f>IFERROR(IF(D9="","",D52/D9),"")</f>
        <v>0.12714000000000003</v>
      </c>
      <c r="E53" s="75" t="n">
        <v>0.14</v>
      </c>
      <c r="F53" s="28" t="inlineStr">
        <is>
          <t>Limpieza, aseos, gasoil, vigilancia y SGAE de cada evento sobre las ventas. Por encima del 14 %, algo se escapa en cada montaje. Estimación del kit</t>
        </is>
      </c>
      <c r="G53" s="28" t="n"/>
      <c r="H53" s="28" t="n"/>
    </row>
    <row r="54">
      <c r="A54" s="28" t="inlineStr">
        <is>
          <t>Coste de personal / Ventas</t>
        </is>
      </c>
      <c r="B54" s="67">
        <f>IFERROR(IF(B9="","",B23/B9),"")</f>
        <v>0.3068556361239288</v>
      </c>
      <c r="C54" s="67">
        <f>IFERROR(IF(C9="","",C23/C9),"")</f>
        <v>0.2993847506042628</v>
      </c>
      <c r="D54" s="67">
        <f>IFERROR(IF(D9="","",D23/D9),"")</f>
        <v>0.2996608687665598</v>
      </c>
      <c r="E54" s="75" t="n">
        <v>0.33</v>
      </c>
      <c r="F54" s="28" t="inlineStr">
        <is>
          <t>Techo del personal propio sobre ventas, sin camareros ni cocina (los pone el catering). Estimación del kit</t>
        </is>
      </c>
      <c r="G54" s="28" t="n"/>
      <c r="H54" s="28" t="n"/>
    </row>
    <row r="55">
      <c r="A55" s="28" t="inlineStr">
        <is>
          <t>Renta de la finca / Ventas</t>
        </is>
      </c>
      <c r="B55" s="67">
        <f>IFERROR(IF(B9="","",B22/B9),"")</f>
        <v>0.11535926170072512</v>
      </c>
      <c r="C55" s="67">
        <f>IFERROR(IF(C9="","",C22/C9),"")</f>
        <v>0.1068141312043751</v>
      </c>
      <c r="D55" s="67">
        <f>IFERROR(IF(D9="","",D22/D9),"")</f>
        <v>0.10172774400416676</v>
      </c>
      <c r="E55" s="75" t="n">
        <v>0.13</v>
      </c>
      <c r="F55" s="28" t="inlineStr">
        <is>
          <t>Techo de la renta de la finca sobre las ventas: por encima, la ocupación tiene que ser altísima para pagarla. Estimación del kit</t>
        </is>
      </c>
      <c r="G55" s="28" t="n"/>
      <c r="H55" s="28" t="n"/>
    </row>
    <row r="56">
      <c r="A56" s="28" t="inlineStr">
        <is>
          <t>Resultado neto / Ventas</t>
        </is>
      </c>
      <c r="B56" s="67">
        <f>IFERROR(IF(B9="","",B48/B9),"")</f>
        <v>0.08817145814106789</v>
      </c>
      <c r="C56" s="67">
        <f>IFERROR(IF(C9="","",C48/C9),"")</f>
        <v>0.11934632202934636</v>
      </c>
      <c r="D56" s="67">
        <f>IFERROR(IF(D9="","",D48/D9),"")</f>
        <v>0.12178025880404514</v>
      </c>
      <c r="E56" s="75" t="n">
        <v>0.05</v>
      </c>
      <c r="F56" s="28" t="inlineStr">
        <is>
          <t>Suelo de resultado neto a régimen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G10 G11 G13"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PUNTO DE EQUILIBRIO</t>
        </is>
      </c>
    </row>
    <row r="2">
      <c r="A2" t="inlineStr">
        <is>
          <t>Punto de equilibrio — finca de eventos y bodas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69">
        <f>IFERROR(IF('PyG 3 Años'!$B$9="","",'PyG 3 Años'!$B$38),"")</f>
        <v>255267.0</v>
      </c>
      <c r="C6" s="69">
        <f>IFERROR(IF('PyG 3 Años'!$C$9="","",'PyG 3 Años'!$C$38),"")</f>
        <v>261267.0</v>
      </c>
      <c r="D6" s="69">
        <f>IFERROR(IF('PyG 3 Años'!$D$9="","",'PyG 3 Años'!$D$38),"")</f>
        <v>265261.2202416304</v>
      </c>
      <c r="E6" s="28" t="inlineStr">
        <is>
          <t>Los MISMOS costes fijos del P&amp;L. Cada año tiene los suyos: por eso el umbral no puede ser uno solo para los tres</t>
        </is>
      </c>
      <c r="F6" s="28" t="n"/>
    </row>
    <row r="7">
      <c r="A7" s="28" t="inlineStr">
        <is>
          <t>Costes fijos mensuales</t>
        </is>
      </c>
      <c r="B7" s="69">
        <f>IFERROR(IF('PyG 3 Años'!$B$9="","",B6/12),"")</f>
        <v>21272.25</v>
      </c>
      <c r="C7" s="69">
        <f>IFERROR(IF('PyG 3 Años'!$C$9="","",C6/12),"")</f>
        <v>21772.25</v>
      </c>
      <c r="D7" s="69">
        <f>IFERROR(IF('PyG 3 Años'!$D$9="","",D6/12),"")</f>
        <v>22105.101686802533</v>
      </c>
      <c r="E7" s="28" t="n"/>
      <c r="F7" s="28" t="n"/>
    </row>
    <row r="8">
      <c r="A8" s="28" t="inlineStr">
        <is>
          <t>Precio medio por invitado sin IVA</t>
        </is>
      </c>
      <c r="B8" s="69">
        <f>IFERROR(IF('PyG 3 Años'!$B$9="","",'PyG 3 Años'!$B$7),"")</f>
        <v>37.0</v>
      </c>
      <c r="C8" s="69">
        <f>IFERROR(IF('PyG 3 Años'!$C$9="","",'PyG 3 Años'!$C$7),"")</f>
        <v>37.0</v>
      </c>
      <c r="D8" s="69">
        <f>IFERROR(IF('PyG 3 Años'!$D$9="","",'PyG 3 Años'!$D$7),"")</f>
        <v>37.0</v>
      </c>
      <c r="E8" s="28" t="n"/>
      <c r="F8" s="28" t="n"/>
    </row>
    <row r="9">
      <c r="A9" s="28" t="inlineStr">
        <is>
          <t>Coste variable por invitado</t>
        </is>
      </c>
      <c r="B9" s="69">
        <f>IFERROR(IF('PyG 3 Años'!$B$9="","",'PyG 3 Años'!$B$19/('PyG 3 Años'!$B$6*'PyG 3 Años'!$B$8)),"")</f>
        <v>7.220180000000001</v>
      </c>
      <c r="C9" s="69">
        <f>IFERROR(IF('PyG 3 Años'!$C$9="","",'PyG 3 Años'!$C$19/('PyG 3 Años'!$C$6*'PyG 3 Años'!$C$8)),"")</f>
        <v>7.220180000000001</v>
      </c>
      <c r="D9" s="69">
        <f>IFERROR(IF('PyG 3 Años'!$D$9="","",'PyG 3 Años'!$D$19/('PyG 3 Años'!$D$6*'PyG 3 Años'!$D$8)),"")</f>
        <v>7.220180000000001</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69">
        <f>IFERROR(IF('PyG 3 Años'!$B$9="","",B8-B9),"")</f>
        <v>29.77982</v>
      </c>
      <c r="C10" s="69">
        <f>IFERROR(IF('PyG 3 Años'!$C$9="","",C8-C9),"")</f>
        <v>29.77982</v>
      </c>
      <c r="D10" s="69">
        <f>IFERROR(IF('PyG 3 Años'!$D$9="","",D8-D9),"")</f>
        <v>29.77982</v>
      </c>
      <c r="E10" s="28" t="inlineStr">
        <is>
          <t>Precio por invitado menos coste variable unitario</t>
        </is>
      </c>
      <c r="F10" s="28" t="n"/>
    </row>
    <row r="11">
      <c r="A11" s="28" t="inlineStr">
        <is>
          <t>Eventos al año</t>
        </is>
      </c>
      <c r="B11" s="39">
        <f>IFERROR(IF('PyG 3 Años'!$B$9="","",'PyG 3 Años'!$B$8),"")</f>
        <v>120.0</v>
      </c>
      <c r="C11" s="39">
        <f>IFERROR(IF('PyG 3 Años'!$C$9="","",'PyG 3 Años'!$C$8),"")</f>
        <v>120.0</v>
      </c>
      <c r="D11" s="39">
        <f>IFERROR(IF('PyG 3 Años'!$D$9="","",'PyG 3 Años'!$D$8),"")</f>
        <v>120.0</v>
      </c>
      <c r="E11" s="28" t="inlineStr">
        <is>
          <t>El mismo calendario que el P&amp;L y que los escenarios</t>
        </is>
      </c>
      <c r="F11" s="28" t="n"/>
    </row>
    <row r="12">
      <c r="A12" s="28" t="inlineStr">
        <is>
          <t>Devolución de principal del año (cuota)</t>
        </is>
      </c>
      <c r="B12" s="69">
        <f>IFERROR(IF('PyG 3 Años'!$B$9="","",'Financiación'!$B$45),"")</f>
        <v>0.0</v>
      </c>
      <c r="C12" s="69">
        <f>IFERROR(IF('PyG 3 Años'!$C$9="","",'Financiación'!$B$47),"")</f>
        <v>30858.15012876365</v>
      </c>
      <c r="D12" s="69">
        <f>IFERROR(IF('PyG 3 Años'!$D$9="","",'Financiación'!$B$49),"")</f>
        <v>32863.92988713329</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39">
        <f>IFERROR(IF('PyG 3 Años'!$B$9="","",IF(B10&lt;=0,"",B6/B10)),"")</f>
        <v>8571.811380995587</v>
      </c>
      <c r="C14" s="39">
        <f>IFERROR(IF('PyG 3 Años'!$C$9="","",IF(C10&lt;=0,"",C6/C10)),"")</f>
        <v>8773.290100477438</v>
      </c>
      <c r="D14" s="39">
        <f>IFERROR(IF('PyG 3 Años'!$D$9="","",IF(D10&lt;=0,"",D6/D10)),"")</f>
        <v>8907.415163746133</v>
      </c>
      <c r="E14" s="28" t="n"/>
      <c r="F14" s="28" t="n"/>
    </row>
    <row r="15">
      <c r="A15" s="28" t="inlineStr">
        <is>
          <t>Invitados necesarios por evento</t>
        </is>
      </c>
      <c r="B15" s="44">
        <f>IFERROR(IF('PyG 3 Años'!$B$9="","",B14/B11),"")</f>
        <v>71.43176150829656</v>
      </c>
      <c r="C15" s="44">
        <f>IFERROR(IF('PyG 3 Años'!$C$9="","",C14/C11),"")</f>
        <v>73.11075083731198</v>
      </c>
      <c r="D15" s="44">
        <f>IFERROR(IF('PyG 3 Años'!$D$9="","",D14/D11),"")</f>
        <v>74.22845969788445</v>
      </c>
      <c r="E15" s="28" t="n"/>
      <c r="F15" s="28" t="n"/>
    </row>
    <row r="16">
      <c r="A16" s="25" t="inlineStr">
        <is>
          <t>Ingresos necesarios al año</t>
        </is>
      </c>
      <c r="B16" s="26">
        <f>IFERROR(IF('PyG 3 Años'!$B$9="","",B14*B8),"")</f>
        <v>317157.0210968367</v>
      </c>
      <c r="C16" s="26">
        <f>IFERROR(IF('PyG 3 Años'!$C$9="","",C14*C8),"")</f>
        <v>324611.7337176652</v>
      </c>
      <c r="D16" s="26">
        <f>IFERROR(IF('PyG 3 Años'!$D$9="","",D14*D8),"")</f>
        <v>329574.3610586069</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69">
        <f>IFERROR(IF('PyG 3 Años'!$B$9="","",B6-'PyG 3 Años'!$B$36+B12),"")</f>
        <v>238515.0</v>
      </c>
      <c r="C18" s="69">
        <f>IFERROR(IF('PyG 3 Años'!$C$9="","",C6-'PyG 3 Años'!$C$36+C12),"")</f>
        <v>275373.15012876363</v>
      </c>
      <c r="D18" s="69">
        <f>IFERROR(IF('PyG 3 Años'!$D$9="","",D6-'PyG 3 Años'!$D$36+D12),"")</f>
        <v>281373.1501287637</v>
      </c>
      <c r="E18" s="28" t="inlineStr">
        <is>
          <t>Los fijos del P&amp;L sin la amortización (que no se paga) y CON la devolución de principal (que sí). Es el umbral que decide si la caja aguanta</t>
        </is>
      </c>
      <c r="F18" s="28" t="n"/>
    </row>
    <row r="19">
      <c r="A19" s="28" t="inlineStr">
        <is>
          <t>Invitados necesarios al año (caja)</t>
        </is>
      </c>
      <c r="B19" s="39">
        <f>IFERROR(IF('PyG 3 Años'!$B$9="","",IF(B10&lt;=0,"",B18/B10)),"")</f>
        <v>8009.28279620226</v>
      </c>
      <c r="C19" s="39">
        <f>IFERROR(IF('PyG 3 Años'!$C$9="","",IF(C10&lt;=0,"",C18/C10)),"")</f>
        <v>9246.97161127111</v>
      </c>
      <c r="D19" s="39">
        <f>IFERROR(IF('PyG 3 Años'!$D$9="","",IF(D10&lt;=0,"",D18/D10)),"")</f>
        <v>9448.450330752963</v>
      </c>
      <c r="E19" s="28" t="n"/>
      <c r="F19" s="28" t="n"/>
    </row>
    <row r="20">
      <c r="A20" s="25" t="inlineStr">
        <is>
          <t>Invitados necesarios por evento (caja)</t>
        </is>
      </c>
      <c r="B20" s="45">
        <f>IFERROR(IF('PyG 3 Años'!$B$9="","",B19/B11),"")</f>
        <v>66.7440233016855</v>
      </c>
      <c r="C20" s="45">
        <f>IFERROR(IF('PyG 3 Años'!$C$9="","",C19/C11),"")</f>
        <v>77.05809676059259</v>
      </c>
      <c r="D20" s="45">
        <f>IFERROR(IF('PyG 3 Años'!$D$9="","",D19/D11),"")</f>
        <v>78.73708608960803</v>
      </c>
      <c r="E20" s="28" t="n"/>
      <c r="F20" s="28" t="n"/>
    </row>
    <row r="21">
      <c r="A21" s="28" t="inlineStr">
        <is>
          <t>Ingresos necesarios al año (caja)</t>
        </is>
      </c>
      <c r="B21" s="32">
        <f>IFERROR(IF('PyG 3 Años'!$B$9="","",B19*B8),"")</f>
        <v>296343.46345948364</v>
      </c>
      <c r="C21" s="32">
        <f>IFERROR(IF('PyG 3 Años'!$C$9="","",C19*C8),"")</f>
        <v>342137.9496170311</v>
      </c>
      <c r="D21" s="32">
        <f>IFERROR(IF('PyG 3 Años'!$D$9="","",D19*D8),"")</f>
        <v>349592.6622378596</v>
      </c>
      <c r="E21" s="28" t="n"/>
      <c r="F21" s="28" t="n"/>
    </row>
    <row r="22">
      <c r="A22" s="25" t="inlineStr">
        <is>
          <t>CONTRASTE CON EL PLAN</t>
        </is>
      </c>
      <c r="B22" s="28" t="n"/>
      <c r="C22" s="28" t="n"/>
      <c r="D22" s="28" t="n"/>
      <c r="E22" s="28" t="n"/>
      <c r="F22" s="28" t="n"/>
    </row>
    <row r="23">
      <c r="A23" s="28" t="inlineStr">
        <is>
          <t>Invitados por evento previstos en el plan</t>
        </is>
      </c>
      <c r="B23" s="39">
        <f>IFERROR(IF('PyG 3 Años'!$B$9="","",'PyG 3 Años'!$B$6),"")</f>
        <v>82.0</v>
      </c>
      <c r="C23" s="39">
        <f>IFERROR(IF('PyG 3 Años'!$C$9="","",'PyG 3 Años'!$C$6),"")</f>
        <v>88.56</v>
      </c>
      <c r="D23" s="39">
        <f>IFERROR(IF('PyG 3 Años'!$D$9="","",'PyG 3 Años'!$D$6),"")</f>
        <v>92.988</v>
      </c>
      <c r="E23" s="28" t="n"/>
      <c r="F23" s="28" t="n"/>
    </row>
    <row r="24">
      <c r="A24" s="28" t="inlineStr">
        <is>
          <t>Holgura sobre el equilibrio de CAJA (%)</t>
        </is>
      </c>
      <c r="B24" s="67">
        <f>IFERROR(IF('PyG 3 Años'!$B$9="","",B23/B20-1),"")</f>
        <v>0.22857442425004715</v>
      </c>
      <c r="C24" s="67">
        <f>IFERROR(IF('PyG 3 Años'!$C$9="","",C23/C20-1),"")</f>
        <v>0.1492627474974113</v>
      </c>
      <c r="D24" s="67">
        <f>IFERROR(IF('PyG 3 Años'!$D$9="","",D23/D20-1),"")</f>
        <v>0.1809936666207521</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72 invitados por evento durante los 120 eventos del año para no perder dinero (equilibrio contable, con la amortización dentro), y 67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8" t="inlineStr">
        <is>
          <t>Invitados por evento necesarios: precio medio por invitado sin IVA (columnas) × coste variable por invitado (filas)</t>
        </is>
      </c>
      <c r="B31" s="72">
        <f>IFERROR($B$8-2,"")</f>
        <v>35.0</v>
      </c>
      <c r="C31" s="72">
        <f>IFERROR(IF($B$8="","",$B$8),"")</f>
        <v>37.0</v>
      </c>
      <c r="D31" s="72">
        <f>IFERROR($B$8+2,"")</f>
        <v>39.0</v>
      </c>
      <c r="E31" s="72">
        <f>IFERROR($B$8+4,"")</f>
        <v>41.0</v>
      </c>
      <c r="F31" s="28" t="n"/>
    </row>
    <row r="32">
      <c r="A32" s="69">
        <f>IFERROR($B$9*0.85,"")</f>
        <v>6.1371530000000005</v>
      </c>
      <c r="B32" s="44">
        <f>IFERROR(IF($B$31-$A32&lt;=0,"",$B$6/($B$31-$A32)/$B$11),"")</f>
        <v>73.70114943962389</v>
      </c>
      <c r="C32" s="44">
        <f>IFERROR(IF($C$31-$A32&lt;=0,"",$B$6/($C$31-$A32)/$B$11),"")</f>
        <v>68.92510596964694</v>
      </c>
      <c r="D32" s="44">
        <f>IFERROR(IF($D$31-$A32&lt;=0,"",$B$6/($D$31-$A32)/$B$11),"")</f>
        <v>64.73039295712876</v>
      </c>
      <c r="E32" s="44">
        <f>IFERROR(IF($E$31-$A32&lt;=0,"",$B$6/($E$31-$A32)/$B$11),"")</f>
        <v>61.0169616956412</v>
      </c>
      <c r="F32" s="28" t="n"/>
    </row>
    <row r="33">
      <c r="A33" s="69">
        <f>IFERROR($B$9*0.925,"")</f>
        <v>6.678666500000001</v>
      </c>
      <c r="B33" s="44">
        <f>IFERROR(IF($B$31-$A33&lt;=0,"",$B$6/($B$31-$A33)/$B$11),"")</f>
        <v>75.11034040822973</v>
      </c>
      <c r="C33" s="44">
        <f>IFERROR(IF($C$31-$A33&lt;=0,"",$B$6/($C$31-$A33)/$B$11),"")</f>
        <v>70.15605035972446</v>
      </c>
      <c r="D33" s="44">
        <f>IFERROR(IF($D$31-$A33&lt;=0,"",$B$6/($D$31-$A33)/$B$11),"")</f>
        <v>65.8148897229132</v>
      </c>
      <c r="E33" s="44">
        <f>IFERROR(IF($E$31-$A33&lt;=0,"",$B$6/($E$31-$A33)/$B$11),"")</f>
        <v>61.97967220591822</v>
      </c>
      <c r="F33" s="28" t="n"/>
    </row>
    <row r="34">
      <c r="A34" s="69">
        <f>IFERROR($B$9*1.0,"")</f>
        <v>7.220180000000001</v>
      </c>
      <c r="B34" s="44">
        <f>IFERROR(IF($B$31-$A34&lt;=0,"",$B$6/($B$31-$A34)/$B$11),"")</f>
        <v>76.57447024494759</v>
      </c>
      <c r="C34" s="44">
        <f>IFERROR(IF($C$31-$A34&lt;=0,"",$B$6/($C$31-$A34)/$B$11),"")</f>
        <v>71.43176150829656</v>
      </c>
      <c r="D34" s="44">
        <f>IFERROR(IF($D$31-$A34&lt;=0,"",$B$6/($D$31-$A34)/$B$11),"")</f>
        <v>66.93634513977739</v>
      </c>
      <c r="E34" s="44">
        <f>IFERROR(IF($E$31-$A34&lt;=0,"",$B$6/($E$31-$A34)/$B$11),"")</f>
        <v>62.97324852530298</v>
      </c>
      <c r="F34" s="28" t="n"/>
    </row>
    <row r="35">
      <c r="A35" s="69">
        <f>IFERROR($B$9*1.075,"")</f>
        <v>7.761693500000001</v>
      </c>
      <c r="B35" s="44">
        <f>IFERROR(IF($B$31-$A35&lt;=0,"",$B$6/($B$31-$A35)/$B$11),"")</f>
        <v>78.0968156004853</v>
      </c>
      <c r="C35" s="44">
        <f>IFERROR(IF($C$31-$A35&lt;=0,"",$B$6/($C$31-$A35)/$B$11),"")</f>
        <v>72.75472674862341</v>
      </c>
      <c r="D35" s="44">
        <f>IFERROR(IF($D$31-$A35&lt;=0,"",$B$6/($D$31-$A35)/$B$11),"")</f>
        <v>68.09668123334407</v>
      </c>
      <c r="E35" s="44">
        <f>IFERROR(IF($E$31-$A35&lt;=0,"",$B$6/($E$31-$A35)/$B$11),"")</f>
        <v>63.99919923718135</v>
      </c>
      <c r="F35" s="28" t="n"/>
    </row>
    <row r="36">
      <c r="A36" s="69">
        <f>IFERROR($B$9*1.15,"")</f>
        <v>8.303207</v>
      </c>
      <c r="B36" s="44">
        <f>IFERROR(IF($B$31-$A36&lt;=0,"",$B$6/($B$31-$A36)/$B$11),"")</f>
        <v>79.68091897779632</v>
      </c>
      <c r="C36" s="44">
        <f>IFERROR(IF($C$31-$A36&lt;=0,"",$B$6/($C$31-$A36)/$B$11),"")</f>
        <v>74.12762115961877</v>
      </c>
      <c r="D36" s="44">
        <f>IFERROR(IF($D$31-$A36&lt;=0,"",$B$6/($D$31-$A36)/$B$11),"")</f>
        <v>69.29795565289183</v>
      </c>
      <c r="E36" s="44">
        <f>IFERROR(IF($E$31-$A36&lt;=0,"",$B$6/($E$31-$A36)/$B$11),"")</f>
        <v>65.05913286358084</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78</v>
      </c>
      <c r="C5" s="39">
        <f>IFERROR(IF('PyG 3 Años'!$B$6="","",'PyG 3 Años'!$B$6),"")</f>
        <v>82.0</v>
      </c>
      <c r="D5" s="49" t="n">
        <v>85</v>
      </c>
      <c r="E5" s="28" t="n"/>
      <c r="F5" s="28" t="n"/>
    </row>
    <row r="6">
      <c r="A6" s="28" t="inlineStr">
        <is>
          <t>Precio medio por invitado sin IVA</t>
        </is>
      </c>
      <c r="B6" s="73" t="n">
        <v>34</v>
      </c>
      <c r="C6" s="69">
        <f>IFERROR(IF('PyG 3 Años'!$B$7="","",'PyG 3 Años'!$B$7),"")</f>
        <v>37.0</v>
      </c>
      <c r="D6" s="73" t="n">
        <v>39</v>
      </c>
      <c r="E6" s="28" t="n"/>
      <c r="F6" s="28" t="n"/>
    </row>
    <row r="7">
      <c r="A7" s="28" t="inlineStr">
        <is>
          <t>Eventos al año</t>
        </is>
      </c>
      <c r="B7" s="49" t="n">
        <v>100</v>
      </c>
      <c r="C7" s="39">
        <f>IFERROR(IF('PyG 3 Años'!$B$8="","",'PyG 3 Años'!$B$8),"")</f>
        <v>120.0</v>
      </c>
      <c r="D7" s="49" t="n">
        <v>135</v>
      </c>
      <c r="E7" s="28" t="n"/>
      <c r="F7" s="28" t="n"/>
    </row>
    <row r="8">
      <c r="A8" s="25" t="inlineStr">
        <is>
          <t>INGRESOS ANUALES (sin IVA)</t>
        </is>
      </c>
      <c r="B8" s="26">
        <f>IFERROR(IF(B5*B6*B7=0,"",B5*B6*B7),"")</f>
        <v>265200.0</v>
      </c>
      <c r="C8" s="26">
        <f>IFERROR(IF(C5*C6*C7=0,"",C5*C6*C7),"")</f>
        <v>364080.0</v>
      </c>
      <c r="D8" s="26">
        <f>IFERROR(IF(D5*D6*D7=0,"",D5*D6*D7),"")</f>
        <v>447525.0</v>
      </c>
      <c r="E8" s="28" t="n"/>
      <c r="F8" s="28" t="n"/>
    </row>
    <row r="9">
      <c r="A9" s="28" t="inlineStr">
        <is>
          <t>Coste directo del evento</t>
        </is>
      </c>
      <c r="B9" s="32">
        <f>IFERROR(IF(B8="","",B8*'0. Supuestos'!$B$11*'0. Supuestos'!$B$13),"")</f>
        <v>33717.528</v>
      </c>
      <c r="C9" s="32">
        <f>IFERROR(IF(C8="","",C8*'0. Supuestos'!$B$11*'0. Supuestos'!$B$13),"")</f>
        <v>46289.1312</v>
      </c>
      <c r="D9" s="32">
        <f>IFERROR(IF(D8="","",D8*'0. Supuestos'!$B$11*'0. Supuestos'!$B$13),"")</f>
        <v>56898.3285</v>
      </c>
      <c r="E9" s="28" t="n"/>
      <c r="F9" s="28" t="n"/>
    </row>
    <row r="10">
      <c r="A10" s="28" t="inlineStr">
        <is>
          <t>Coste del canon (no tiene)</t>
        </is>
      </c>
      <c r="B10" s="32">
        <f>IFERROR(IF(B8="","",B8*'0. Supuestos'!$B$12*'0. Supuestos'!$B$14),"")</f>
        <v>0.0</v>
      </c>
      <c r="C10" s="32">
        <f>IFERROR(IF(C8="","",C8*'0. Supuestos'!$B$12*'0. Supuestos'!$B$14),"")</f>
        <v>0.0</v>
      </c>
      <c r="D10" s="32">
        <f>IFERROR(IF(D8="","",D8*'0. Supuestos'!$B$12*'0. Supuestos'!$B$14),"")</f>
        <v>0.0</v>
      </c>
      <c r="E10" s="28" t="n"/>
      <c r="F10" s="28" t="n"/>
    </row>
    <row r="11">
      <c r="A11" s="28" t="inlineStr">
        <is>
          <t>Consumibles de los montajes</t>
        </is>
      </c>
      <c r="B11" s="32">
        <f>IFERROR(IF(B8="","",B8*'0. Supuestos'!$B$15),"")</f>
        <v>5304.0</v>
      </c>
      <c r="C11" s="32">
        <f>IFERROR(IF(C8="","",C8*'0. Supuestos'!$B$15),"")</f>
        <v>7281.6</v>
      </c>
      <c r="D11" s="32">
        <f>IFERROR(IF(D8="","",D8*'0. Supuestos'!$B$15),"")</f>
        <v>8950.5</v>
      </c>
      <c r="E11" s="28" t="n"/>
      <c r="F11" s="28" t="n"/>
    </row>
    <row r="12">
      <c r="A12" s="28" t="inlineStr">
        <is>
          <t>Comisiones de wedding planners y agencias</t>
        </is>
      </c>
      <c r="B12" s="32">
        <f>IFERROR(IF(B8="","",B8*'0. Supuestos'!$B$16*'0. Supuestos'!$B$17),"")</f>
        <v>6630.0</v>
      </c>
      <c r="C12" s="32">
        <f>IFERROR(IF(C8="","",C8*'0. Supuestos'!$B$16*'0. Supuestos'!$B$17),"")</f>
        <v>9102.0</v>
      </c>
      <c r="D12" s="32">
        <f>IFERROR(IF(D8="","",D8*'0. Supuestos'!$B$16*'0. Supuestos'!$B$17),"")</f>
        <v>11188.125</v>
      </c>
      <c r="E12" s="28" t="n"/>
      <c r="F12" s="28" t="n"/>
    </row>
    <row r="13">
      <c r="A13" s="28" t="inlineStr">
        <is>
          <t>Comisiones de los medios de pago</t>
        </is>
      </c>
      <c r="B13" s="32">
        <f>IFERROR(IF(B8="","",B8*'0. Supuestos'!$B$18),"")</f>
        <v>795.6</v>
      </c>
      <c r="C13" s="32">
        <f>IFERROR(IF(C8="","",C8*'0. Supuestos'!$B$18),"")</f>
        <v>1092.24</v>
      </c>
      <c r="D13" s="32">
        <f>IFERROR(IF(D8="","",D8*'0. Supuestos'!$B$18),"")</f>
        <v>1342.575</v>
      </c>
      <c r="E13" s="28" t="n"/>
      <c r="F13" s="28" t="n"/>
    </row>
    <row r="14">
      <c r="A14" s="28" t="inlineStr">
        <is>
          <t>Varios e imprevistos</t>
        </is>
      </c>
      <c r="B14" s="32">
        <f>IFERROR(IF(B8="","",B8*'0. Supuestos'!$B$28),"")</f>
        <v>5304.0</v>
      </c>
      <c r="C14" s="32">
        <f>IFERROR(IF(C8="","",C8*'0. Supuestos'!$B$28),"")</f>
        <v>7281.6</v>
      </c>
      <c r="D14" s="32">
        <f>IFERROR(IF(D8="","",D8*'0. Supuestos'!$B$28),"")</f>
        <v>8950.5</v>
      </c>
      <c r="E14" s="28" t="n"/>
      <c r="F14" s="28" t="n"/>
    </row>
    <row r="15">
      <c r="A15" s="28" t="inlineStr">
        <is>
          <t>TOTAL COSTES VARIABLES</t>
        </is>
      </c>
      <c r="B15" s="32">
        <f>IFERROR(IF(B8="","",SUM(B9:B14)),"")</f>
        <v>51751.128</v>
      </c>
      <c r="C15" s="32">
        <f>IFERROR(IF(C8="","",SUM(C9:C14)),"")</f>
        <v>71046.5712</v>
      </c>
      <c r="D15" s="32">
        <f>IFERROR(IF(D8="","",SUM(D9:D14)),"")</f>
        <v>87330.0285</v>
      </c>
      <c r="E15" s="28" t="n"/>
      <c r="F15" s="28" t="n"/>
    </row>
    <row r="16">
      <c r="A16" s="28" t="inlineStr">
        <is>
          <t>MARGEN BRUTO</t>
        </is>
      </c>
      <c r="B16" s="32">
        <f>IFERROR(IF(B8="","",B8-B15),"")</f>
        <v>213448.872</v>
      </c>
      <c r="C16" s="32">
        <f>IFERROR(IF(C8="","",C8-C15),"")</f>
        <v>293033.4288</v>
      </c>
      <c r="D16" s="32">
        <f>IFERROR(IF(D8="","",D8-D15),"")</f>
        <v>360194.9715</v>
      </c>
      <c r="E16" s="28" t="n"/>
      <c r="F16" s="28" t="n"/>
    </row>
    <row r="17">
      <c r="A17" s="28" t="inlineStr">
        <is>
          <t>COSTES FIJOS (los del P&amp;L)</t>
        </is>
      </c>
      <c r="B17" s="32">
        <f>IFERROR(IF(B8="","",'PyG 3 Años'!$B$38),"")</f>
        <v>255267.0</v>
      </c>
      <c r="C17" s="32">
        <f>IFERROR(IF(C8="","",'PyG 3 Años'!$B$38),"")</f>
        <v>255267.0</v>
      </c>
      <c r="D17" s="32">
        <f>IFERROR(IF(D8="","",'PyG 3 Años'!$B$38),"")</f>
        <v>255267.0</v>
      </c>
      <c r="E17" s="28" t="inlineStr">
        <is>
          <t>Los costes fijos no cambian con el escenario: por eso son fijos</t>
        </is>
      </c>
      <c r="F17" s="28" t="n"/>
    </row>
    <row r="18">
      <c r="A18" s="25" t="inlineStr">
        <is>
          <t>RESULTADO ANTES DE IMPUESTOS</t>
        </is>
      </c>
      <c r="B18" s="26">
        <f>IFERROR(IF(B8="","",B16-B17),"")</f>
        <v>-41818.128</v>
      </c>
      <c r="C18" s="26">
        <f>IFERROR(IF(C8="","",C16-C17),"")</f>
        <v>37766.428799999994</v>
      </c>
      <c r="D18" s="26">
        <f>IFERROR(IF(D8="","",D16-D17),"")</f>
        <v>104927.97149999999</v>
      </c>
      <c r="E18" s="28" t="n"/>
      <c r="F18" s="28" t="n"/>
    </row>
    <row r="19">
      <c r="A19" s="28" t="inlineStr">
        <is>
          <t>Impuesto de Sociedades</t>
        </is>
      </c>
      <c r="B19" s="32">
        <f>IFERROR(IF(B8="","",MAX(0,B18-'0. Supuestos'!$B$42)*'0. Supuestos'!$B$37),"")</f>
        <v>0.0</v>
      </c>
      <c r="C19" s="32">
        <f>IFERROR(IF(C8="","",MAX(0,C18-'0. Supuestos'!$B$42)*'0. Supuestos'!$B$37),"")</f>
        <v>5664.964319999999</v>
      </c>
      <c r="D19" s="32">
        <f>IFERROR(IF(D8="","",MAX(0,D18-'0. Supuestos'!$B$42)*'0. Supuestos'!$B$37),"")</f>
        <v>15739.195724999998</v>
      </c>
      <c r="E19" s="28" t="inlineStr">
        <is>
          <t>Al tipo de entidad de nueva creación, compensando las bases negativas anteriores</t>
        </is>
      </c>
      <c r="F19" s="28" t="n"/>
    </row>
    <row r="20">
      <c r="A20" s="25" t="inlineStr">
        <is>
          <t>RESULTADO NETO</t>
        </is>
      </c>
      <c r="B20" s="26">
        <f>IFERROR(IF(B8="","",B18-B19),"")</f>
        <v>-41818.128</v>
      </c>
      <c r="C20" s="26">
        <f>IFERROR(IF(C8="","",C18-C19),"")</f>
        <v>32101.464479999995</v>
      </c>
      <c r="D20" s="26">
        <f>IFERROR(IF(D8="","",D18-D19),"")</f>
        <v>89188.77577499999</v>
      </c>
      <c r="E20" s="28" t="n"/>
      <c r="F20" s="28" t="n"/>
    </row>
    <row r="21">
      <c r="A21" s="28" t="inlineStr">
        <is>
          <t>Invitados por evento para el equilibrio</t>
        </is>
      </c>
      <c r="B21" s="44">
        <f>IFERROR(IF(B8="","",IF(B6-B15/(B5*B7)&lt;=0,"",B17/(B6-B15/(B5*B7))/B7)),"")</f>
        <v>93.28147679318727</v>
      </c>
      <c r="C21" s="44">
        <f>IFERROR(IF(C8="","",IF(C6-C15/(C5*C7)&lt;=0,"",C17/(C6-C15/(C5*C7))/C7)),"")</f>
        <v>71.43176150829656</v>
      </c>
      <c r="D21" s="44">
        <f>IFERROR(IF(D8="","",IF(D6-D15/(D5*D7)&lt;=0,"",D17/(D6-D15/(D5*D7))/D7)),"")</f>
        <v>60.238750445742966</v>
      </c>
      <c r="E21" s="28" t="n"/>
      <c r="F21" s="28" t="n"/>
    </row>
    <row r="22">
      <c r="A22" s="25" t="inlineStr">
        <is>
          <t>LO QUE CADA ESCENARIO EXIGE</t>
        </is>
      </c>
      <c r="B22" s="28" t="n"/>
      <c r="C22" s="28" t="n"/>
      <c r="D22" s="28" t="n"/>
      <c r="E22" s="28" t="n"/>
      <c r="F22" s="28" t="n"/>
    </row>
    <row r="23">
      <c r="A23" s="28" t="inlineStr">
        <is>
          <t>Coste de personal / Ventas</t>
        </is>
      </c>
      <c r="B23" s="67">
        <f>IFERROR(IF(B8="","",'PyG 3 Años'!$B$23/B8),"")</f>
        <v>0.42126696832579186</v>
      </c>
      <c r="C23" s="67">
        <f>IFERROR(IF(C8="","",'PyG 3 Años'!$B$23/C8),"")</f>
        <v>0.3068556361239288</v>
      </c>
      <c r="D23" s="67">
        <f>IFERROR(IF(D8="","",'PyG 3 Años'!$B$23/D8),"")</f>
        <v>0.2496396849338026</v>
      </c>
      <c r="E23" s="28" t="inlineStr">
        <is>
          <t>La MISMA plantilla en los tres escenarios. Si en el pesimista se dispara, el ajuste hay que hacerlo en la hoja de Personal, no aquí</t>
        </is>
      </c>
      <c r="F23" s="28" t="n"/>
    </row>
    <row r="24">
      <c r="A24" s="28" t="inlineStr">
        <is>
          <t>Invitados al año por jornada equivalente</t>
        </is>
      </c>
      <c r="B24" s="39">
        <f>IFERROR(IF(B8="","",B5*B7/'Personal'!$C$11),"")</f>
        <v>2328.3582089552237</v>
      </c>
      <c r="C24" s="39">
        <f>IFERROR(IF(C8="","",C5*C7/'Personal'!$C$11),"")</f>
        <v>2937.313432835821</v>
      </c>
      <c r="D24" s="39">
        <f>IFERROR(IF(D8="","",D5*D7/'Personal'!$C$11),"")</f>
        <v>3425.373134328358</v>
      </c>
      <c r="E24" s="28" t="inlineStr">
        <is>
          <t>Invitados que tendría que recibir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Inicial'!$B$30+B20+'PyG 3 Años'!$B$36-'Financiación'!$B$45),"")</f>
        <v>34562.622</v>
      </c>
      <c r="C25" s="26">
        <f>IFERROR(IF(C8="","",'Inversión Inicial'!$B$30+C20+'PyG 3 Años'!$B$36-'Financiación'!$B$45),"")</f>
        <v>108482.21448</v>
      </c>
      <c r="D25" s="26">
        <f>IFERROR(IF(D8="","",'Inversión Inicial'!$B$30+D20+'PyG 3 Años'!$B$36-'Financiación'!$B$45),"")</f>
        <v>165569.525775</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149910.01496134434</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PERSONAL Y COSTES</t>
        </is>
      </c>
    </row>
    <row r="2">
      <c r="A2" t="str">
        <f>IFERROR("Convenio Hostelería — "&amp;TEXT('0. Supuestos'!$B$21,"0")&amp;" pagas + SS "&amp;TEXT('0. Supuestos'!$B$20*100,"0")&amp;" %","")</f>
        <v>Convenio Hostelería — 14 pagas + SS 33 %</v>
      </c>
    </row>
    <row r="3"/>
    <row r="4">
      <c r="A4" s="38" t="inlineStr">
        <is>
          <t>Puesto</t>
        </is>
      </c>
      <c r="B4" s="38" t="inlineStr">
        <is>
          <t>Personas</t>
        </is>
      </c>
      <c r="C4" s="38" t="inlineStr">
        <is>
          <t>Jornada</t>
        </is>
      </c>
      <c r="D4" s="38" t="inlineStr">
        <is>
          <t>Bruto mes (€, total del puesto)</t>
        </is>
      </c>
      <c r="E4" s="38" t="inlineStr">
        <is>
          <t>Seg. Social a cargo de la empresa (€)</t>
        </is>
      </c>
      <c r="F4" s="38" t="inlineStr">
        <is>
          <t>Coste mes (€, total del puesto)</t>
        </is>
      </c>
      <c r="G4" s="38" t="inlineStr">
        <is>
          <t>Coste año (€)</t>
        </is>
      </c>
      <c r="H4" s="38" t="inlineStr">
        <is>
          <t>Horas/semana por persona</t>
        </is>
      </c>
      <c r="I4" s="38" t="inlineStr">
        <is>
          <t>Horas/año del puesto</t>
        </is>
      </c>
      <c r="J4" s="38" t="inlineStr">
        <is>
          <t>Notas</t>
        </is>
      </c>
    </row>
    <row r="5">
      <c r="A5" s="28" t="inlineStr">
        <is>
          <t>Titular — gerencia, ventas y visitas</t>
        </is>
      </c>
      <c r="B5" s="49" t="n">
        <v>1</v>
      </c>
      <c r="C5" s="51" t="n">
        <v>1</v>
      </c>
      <c r="D5" s="73" t="n">
        <v>2000</v>
      </c>
      <c r="E5" s="69">
        <f>IFERROR(IF(D5="","",D5*'0. Supuestos'!$B$20),"")</f>
        <v>660.0</v>
      </c>
      <c r="F5" s="69">
        <f>IFERROR(IF(D5="","",D5+E5),"")</f>
        <v>2660.0</v>
      </c>
      <c r="G5" s="69">
        <f>IFERROR(IF(D5="","",F5*MAX(12,'0. Supuestos'!$B$21)),"")</f>
        <v>37240.0</v>
      </c>
      <c r="H5" s="44">
        <f>IFERROR(IF(D5="","",C5*$B$18),"")</f>
        <v>40.0</v>
      </c>
      <c r="I5" s="39">
        <f>IFERROR(IF(D5="","",H5*B5*$B$19),"")</f>
        <v>1840.0</v>
      </c>
      <c r="J5" s="28" t="inlineStr">
        <is>
          <t>Vende, enseña la finca, firma los contratos, lleva el calendario y coordina al catering. Como administrador de la SL cotiza en el régimen de autónomos: el libro le imputa el 33 % de Seguridad Social sobre 14 pagas como si fuera nómina, que es el lado prudente. Confirma con tu gestoría la cuota real</t>
        </is>
      </c>
    </row>
    <row r="6">
      <c r="A6" s="28" t="inlineStr">
        <is>
          <t>Coordinación de bodas y celebraciones (fijo discontinuo, marzo-noviembre)</t>
        </is>
      </c>
      <c r="B6" s="49" t="n">
        <v>1</v>
      </c>
      <c r="C6" s="51" t="n">
        <v>0.75</v>
      </c>
      <c r="D6" s="73" t="n">
        <v>1240</v>
      </c>
      <c r="E6" s="69">
        <f>IFERROR(IF(D6="","",D6*'0. Supuestos'!$B$20),"")</f>
        <v>409.20000000000005</v>
      </c>
      <c r="F6" s="69">
        <f>IFERROR(IF(D6="","",D6+E6),"")</f>
        <v>1649.2</v>
      </c>
      <c r="G6" s="69">
        <f>IFERROR(IF(D6="","",F6*MAX(12,'0. Supuestos'!$B$21)),"")</f>
        <v>23088.8</v>
      </c>
      <c r="H6" s="44">
        <f>IFERROR(IF(D6="","",C6*$B$18),"")</f>
        <v>30.0</v>
      </c>
      <c r="I6" s="39">
        <f>IFERROR(IF(D6="","",H6*B6*$B$19),"")</f>
        <v>1380.0</v>
      </c>
      <c r="J6" s="28" t="inlineStr">
        <is>
          <t>Contrato fijo discontinuo (art. 16 del Estatuto de los Trabajadores) a jornada completa de marzo a noviembre: equivale al 75 % en cómputo anual. Prepara cada evento con los novios y el catering y lo dirige el día. Bruto a jornada completa: unos 1.650 €</t>
        </is>
      </c>
    </row>
    <row r="7">
      <c r="A7" s="28" t="inlineStr">
        <is>
          <t>Mantenimiento y jardinería</t>
        </is>
      </c>
      <c r="B7" s="49" t="n">
        <v>1</v>
      </c>
      <c r="C7" s="51" t="n">
        <v>0.8</v>
      </c>
      <c r="D7" s="73" t="n">
        <v>1120</v>
      </c>
      <c r="E7" s="69">
        <f>IFERROR(IF(D7="","",D7*'0. Supuestos'!$B$20),"")</f>
        <v>369.6</v>
      </c>
      <c r="F7" s="69">
        <f>IFERROR(IF(D7="","",D7+E7),"")</f>
        <v>1489.6</v>
      </c>
      <c r="G7" s="69">
        <f>IFERROR(IF(D7="","",F7*MAX(12,'0. Supuestos'!$B$21)),"")</f>
        <v>20854.399999999998</v>
      </c>
      <c r="H7" s="44">
        <f>IFERROR(IF(D7="","",C7*$B$18),"")</f>
        <v>32.0</v>
      </c>
      <c r="I7" s="39">
        <f>IFERROR(IF(D7="","",H7*B7*$B$19),"")</f>
        <v>1472.0</v>
      </c>
      <c r="J7" s="28" t="inlineStr">
        <is>
          <t>Jardines, riego, caminos, pequeñas reparaciones, grupo electrógeno y puesta a punto del salón y de la carpa. Al 80 % de jornada; lo grande (poda, pintura) va en los costes fijos. Bruto a jornada completa: 1.400 €</t>
        </is>
      </c>
    </row>
    <row r="8">
      <c r="A8" s="28" t="inlineStr">
        <is>
          <t>Auxiliares de montaje, acceso y aseos (fijos discontinuos)</t>
        </is>
      </c>
      <c r="B8" s="49" t="n">
        <v>2</v>
      </c>
      <c r="C8" s="51" t="n">
        <v>0.4</v>
      </c>
      <c r="D8" s="73" t="n">
        <v>1080</v>
      </c>
      <c r="E8" s="69">
        <f>IFERROR(IF(D8="","",D8*'0. Supuestos'!$B$20),"")</f>
        <v>356.40000000000003</v>
      </c>
      <c r="F8" s="69">
        <f>IFERROR(IF(D8="","",D8+E8),"")</f>
        <v>1436.4</v>
      </c>
      <c r="G8" s="69">
        <f>IFERROR(IF(D8="","",F8*MAX(12,'0. Supuestos'!$B$21)),"")</f>
        <v>20109.600000000002</v>
      </c>
      <c r="H8" s="44">
        <f>IFERROR(IF(D8="","",C8*$B$18),"")</f>
        <v>16.0</v>
      </c>
      <c r="I8" s="39">
        <f>IFERROR(IF(D8="","",H8*B8*$B$19),"")</f>
        <v>1472.0</v>
      </c>
      <c r="J8" s="28" t="inlineStr">
        <is>
          <t>Dos personas al 40 % de jornada en cómputo anual: montaje, control de acceso y aparcamiento, reposición de aseos y recogida. Dos en cada boda y una en el resto. Nunca como autónomos que te facturan: con tu horario y tu dirección es falso autónomo (art. 1.1 ET). Bruto a jornada completa: 1.350 €</t>
        </is>
      </c>
    </row>
    <row r="9">
      <c r="A9" s="28" t="inlineStr">
        <is>
          <t>Comercial de bodas a tiempo parcial</t>
        </is>
      </c>
      <c r="B9" s="49" t="n">
        <v>1</v>
      </c>
      <c r="C9" s="51" t="n">
        <v>0.2</v>
      </c>
      <c r="D9" s="73" t="n">
        <v>300</v>
      </c>
      <c r="E9" s="69">
        <f>IFERROR(IF(D9="","",D9*'0. Supuestos'!$B$20),"")</f>
        <v>99.0</v>
      </c>
      <c r="F9" s="69">
        <f>IFERROR(IF(D9="","",D9+E9),"")</f>
        <v>399.0</v>
      </c>
      <c r="G9" s="69">
        <f>IFERROR(IF(D9="","",F9*MAX(12,'0. Supuestos'!$B$21)),"")</f>
        <v>5586.0</v>
      </c>
      <c r="H9" s="44">
        <f>IFERROR(IF(D9="","",C9*$B$18),"")</f>
        <v>8.0</v>
      </c>
      <c r="I9" s="39">
        <f>IFERROR(IF(D9="","",H9*B9*$B$19),"")</f>
        <v>368.0</v>
      </c>
      <c r="J9" s="28" t="inlineStr">
        <is>
          <t>Al 20 % de jornada: visitas de los sábados por la mañana, ferias nupciales y seguimiento de las peticiones de los portales. Bruto a jornada completa: 1.500 €</t>
        </is>
      </c>
    </row>
    <row r="10">
      <c r="A10" s="28" t="inlineStr">
        <is>
          <t>Limpieza y puesta a punto a tiempo parcial</t>
        </is>
      </c>
      <c r="B10" s="49" t="n">
        <v>1</v>
      </c>
      <c r="C10" s="51" t="n">
        <v>0.2</v>
      </c>
      <c r="D10" s="73" t="n">
        <v>260</v>
      </c>
      <c r="E10" s="69">
        <f>IFERROR(IF(D10="","",D10*'0. Supuestos'!$B$20),"")</f>
        <v>85.8</v>
      </c>
      <c r="F10" s="69">
        <f>IFERROR(IF(D10="","",D10+E10),"")</f>
        <v>345.8</v>
      </c>
      <c r="G10" s="69">
        <f>IFERROR(IF(D10="","",F10*MAX(12,'0. Supuestos'!$B$21)),"")</f>
        <v>4841.2</v>
      </c>
      <c r="H10" s="44">
        <f>IFERROR(IF(D10="","",C10*$B$18),"")</f>
        <v>8.0</v>
      </c>
      <c r="I10" s="39">
        <f>IFERROR(IF(D10="","",H10*B10*$B$19),"")</f>
        <v>368.0</v>
      </c>
      <c r="J10" s="28" t="inlineStr">
        <is>
          <t>Al 20 % de jornada: limpieza entre eventos del salón, los aseos y el office. La limpieza a fondo tras cada boda va en el coste directo del evento. Bruto a jornada completa: 1.300 €</t>
        </is>
      </c>
    </row>
    <row r="11">
      <c r="A11" s="25" t="inlineStr">
        <is>
          <t>TOTAL PLANTILLA</t>
        </is>
      </c>
      <c r="B11" s="77">
        <f>IFERROR(IF(COUNT(D5:D10)=0,"",SUM(B5:B10)),"")</f>
        <v>7.0</v>
      </c>
      <c r="C11" s="61">
        <f>IFERROR(IF(COUNT(D5:D10)=0,"",SUM(C5:C10)),"")</f>
        <v>3.35</v>
      </c>
      <c r="D11" s="72">
        <f>IFERROR(IF(COUNT(D5:D10)=0,"",SUM(D5:D10)),"")</f>
        <v>6000.0</v>
      </c>
      <c r="E11" s="72">
        <f>IFERROR(IF(COUNT(D5:D10)=0,"",SUM(E5:E10)),"")</f>
        <v>1980.0</v>
      </c>
      <c r="F11" s="72">
        <f>IFERROR(IF(COUNT(D5:D10)=0,"",SUM(F5:F10)),"")</f>
        <v>7980.0</v>
      </c>
      <c r="G11" s="72">
        <f>IFERROR(IF(COUNT(D5:D10)=0,"",SUM(G5:G10)),"")</f>
        <v>111720.0</v>
      </c>
      <c r="H11" s="28" t="n"/>
      <c r="I11" s="77">
        <f>IFERROR(IF(COUNT(D5:D10)=0,"",SUM(I5:I10)),"")</f>
        <v>6900.0</v>
      </c>
      <c r="J11" s="28" t="n"/>
    </row>
    <row r="12">
      <c r="A12" s="25" t="inlineStr">
        <is>
          <t>CRECIMIENTO DE LA PLANTILLA (coste escalonado)</t>
        </is>
      </c>
      <c r="B12" s="28" t="n"/>
      <c r="C12" s="28" t="n"/>
      <c r="D12" s="28" t="n"/>
      <c r="E12" s="28" t="n"/>
      <c r="F12" s="28" t="n"/>
      <c r="G12" s="28" t="n"/>
      <c r="H12" s="28" t="n"/>
      <c r="I12" s="28" t="n"/>
      <c r="J12" s="28" t="n"/>
    </row>
    <row r="13">
      <c r="A13" s="28" t="inlineStr">
        <is>
          <t>Coste anual de las incorporaciones del año 2 (€)</t>
        </is>
      </c>
      <c r="B13" s="29" t="n">
        <v>6000</v>
      </c>
      <c r="C13" s="28" t="n"/>
      <c r="D13" s="28" t="n"/>
      <c r="E13" s="28" t="n"/>
      <c r="F13" s="28" t="n"/>
      <c r="G13" s="28" t="n"/>
      <c r="H13" s="28" t="n"/>
      <c r="I13" s="28" t="n"/>
      <c r="J13" s="28" t="inlineStr">
        <is>
          <t>Coste ANUAL completo (bruto + Seguridad Social × pagas) de lo que se contrate ese año. El P&amp;L lo suma al coste del año anterior: la plantilla no crece con un porcentaje, crece con personas</t>
        </is>
      </c>
    </row>
    <row r="14">
      <c r="A14" s="28" t="inlineStr">
        <is>
          <t>Coste anual de las incorporaciones del año 3 (€)</t>
        </is>
      </c>
      <c r="B14" s="29" t="n">
        <v>6000</v>
      </c>
      <c r="C14" s="28" t="n"/>
      <c r="D14" s="28" t="n"/>
      <c r="E14" s="28" t="n"/>
      <c r="F14" s="28" t="n"/>
      <c r="G14" s="28" t="n"/>
      <c r="H14" s="28" t="n"/>
      <c r="I14" s="28" t="n"/>
      <c r="J14" s="28" t="inlineStr">
        <is>
          <t>Coste ANUAL completo (bruto + Seguridad Social × pagas) de lo que se contrate ese año. El P&amp;L lo suma al coste del año anterior: la plantilla no crece con un porcentaje, crece con personas</t>
        </is>
      </c>
    </row>
    <row r="15">
      <c r="A15" s="28" t="inlineStr">
        <is>
          <t>Coste de personal del año 2</t>
        </is>
      </c>
      <c r="B15" s="32">
        <f>IFERROR(IF(G11="","",G11*(1+'0. Supuestos'!$B$48)+B13),"")</f>
        <v>117720.0</v>
      </c>
      <c r="C15" s="28" t="n"/>
      <c r="D15" s="28" t="n"/>
      <c r="E15" s="28" t="n"/>
      <c r="F15" s="28" t="n"/>
      <c r="G15" s="28" t="n"/>
      <c r="H15" s="28" t="n"/>
      <c r="I15" s="28" t="n"/>
      <c r="J15" s="28" t="n"/>
    </row>
    <row r="16">
      <c r="A16" s="28" t="inlineStr">
        <is>
          <t>Coste de personal del año 3</t>
        </is>
      </c>
      <c r="B16" s="32">
        <f>IFERROR(IF(B15="","",B15*(1+'0. Supuestos'!$B$48)+B14),"")</f>
        <v>123720.0</v>
      </c>
      <c r="C16" s="28" t="n"/>
      <c r="D16" s="28" t="n"/>
      <c r="E16" s="28" t="n"/>
      <c r="F16" s="28" t="n"/>
      <c r="G16" s="28" t="n"/>
      <c r="H16" s="28" t="n"/>
      <c r="I16" s="28" t="n"/>
      <c r="J16" s="28" t="n"/>
    </row>
    <row r="17">
      <c r="A17" s="25" t="inlineStr">
        <is>
          <t>COBERTURA POR HORAS DE SERVICIO</t>
        </is>
      </c>
      <c r="B17" s="28" t="n"/>
      <c r="C17" s="28" t="n"/>
      <c r="D17" s="28" t="n"/>
      <c r="E17" s="28" t="n"/>
      <c r="F17" s="28" t="n"/>
      <c r="G17" s="28" t="n"/>
      <c r="H17" s="28" t="n"/>
      <c r="I17" s="28" t="n"/>
      <c r="J17" s="28" t="n"/>
    </row>
    <row r="18">
      <c r="A18" s="28" t="inlineStr">
        <is>
          <t>Jornada completa del convenio (horas/semana)</t>
        </is>
      </c>
      <c r="B18" s="49" t="n">
        <v>40</v>
      </c>
      <c r="C18" s="28" t="n"/>
      <c r="D18" s="28" t="n"/>
      <c r="E18" s="28" t="n"/>
      <c r="F18" s="28" t="n"/>
      <c r="G18" s="28" t="n"/>
      <c r="H18" s="28" t="n"/>
      <c r="I18" s="28" t="n"/>
      <c r="J18" s="28" t="inlineStr">
        <is>
          <t>Art. 34.1 del Estatuto de los Trabajadores; tu convenio provincial puede fijar menos</t>
        </is>
      </c>
    </row>
    <row r="19">
      <c r="A19" s="28" t="inlineStr">
        <is>
          <t>Semanas trabajadas al año por persona</t>
        </is>
      </c>
      <c r="B19" s="49" t="n">
        <v>46</v>
      </c>
      <c r="C19" s="28" t="n"/>
      <c r="D19" s="28" t="n"/>
      <c r="E19" s="28" t="n"/>
      <c r="F19" s="28" t="n"/>
      <c r="G19" s="28" t="n"/>
      <c r="H19" s="28" t="n"/>
      <c r="I19" s="28" t="n"/>
      <c r="J19" s="28" t="inlineStr">
        <is>
          <t>46 semanas: 52 menos las vacaciones (30 días naturales, art. 38 ET), los festivos y las ausencias medias</t>
        </is>
      </c>
    </row>
    <row r="20">
      <c r="A20" s="28" t="inlineStr">
        <is>
          <t>Horas de trabajo por evento que hay que cubrir</t>
        </is>
      </c>
      <c r="B20" s="78" t="n">
        <v>9.199999999999999</v>
      </c>
      <c r="C20" s="28" t="n"/>
      <c r="D20" s="28" t="n"/>
      <c r="E20" s="28" t="n"/>
      <c r="F20" s="28" t="n"/>
      <c r="G20" s="28" t="n"/>
      <c r="H20" s="28" t="n"/>
      <c r="I20" s="28" t="n"/>
      <c r="J20" s="28" t="inlineStr">
        <is>
          <t>Media del día del evento, de montaje a recogida: boda 13 h, empresa 9 h, celebración privada 8 h y evento pequeño 5 h (9,2 h de media con la mezcla del plan)</t>
        </is>
      </c>
    </row>
    <row r="21">
      <c r="A21" s="28" t="inlineStr">
        <is>
          <t>Personas necesarias a la vez en cada evento</t>
        </is>
      </c>
      <c r="B21" s="78" t="n">
        <v>2.3</v>
      </c>
      <c r="C21" s="28" t="n"/>
      <c r="D21" s="28" t="n"/>
      <c r="E21" s="28" t="n"/>
      <c r="F21" s="28" t="n"/>
      <c r="G21" s="28" t="n"/>
      <c r="H21" s="28" t="n"/>
      <c r="I21" s="28" t="n"/>
      <c r="J21" s="28" t="inlineStr">
        <is>
          <t>Personal de la finca a la vez en el evento: coordinación y dos auxiliares en las bodas, y coordinación y un auxiliar en el resto (2,3 de media). Camareros y cocina los pone el catering</t>
        </is>
      </c>
    </row>
    <row r="22">
      <c r="A22" s="28" t="inlineStr">
        <is>
          <t>Horas de estructura por evento, fuera del día del evento</t>
        </is>
      </c>
      <c r="B22" s="78" t="n">
        <v>12</v>
      </c>
      <c r="C22" s="28" t="n"/>
      <c r="D22" s="28" t="n"/>
      <c r="E22" s="28" t="n"/>
      <c r="F22" s="28" t="n"/>
      <c r="G22" s="28" t="n"/>
      <c r="H22" s="28" t="n"/>
      <c r="I22" s="28" t="n"/>
      <c r="J22" s="28" t="inlineStr">
        <is>
          <t>Horas por evento fuera del día del evento: visitas y reuniones con los novios, preparación con el catering, mantenimiento, jardín, limpieza y gestión. Es la parte de la plantilla que trabaja todo el año, repartida entre los eventos</t>
        </is>
      </c>
    </row>
    <row r="23">
      <c r="A23" s="28" t="inlineStr">
        <is>
          <t>Personas de estructura por evento</t>
        </is>
      </c>
      <c r="B23" s="78" t="n">
        <v>3</v>
      </c>
      <c r="C23" s="28" t="n"/>
      <c r="D23" s="28" t="n"/>
      <c r="E23" s="28" t="n"/>
      <c r="F23" s="28" t="n"/>
      <c r="G23" s="28" t="n"/>
      <c r="H23" s="28" t="n"/>
      <c r="I23" s="28" t="n"/>
      <c r="J23" s="28" t="inlineStr">
        <is>
          <t>Gerencia, mantenimiento y apoyo (comercial o limpieza) a la vez</t>
        </is>
      </c>
    </row>
    <row r="24">
      <c r="A24" s="28" t="inlineStr">
        <is>
          <t>Horas de servicio a cubrir al año</t>
        </is>
      </c>
      <c r="B24" s="39">
        <f>IFERROR(IF(OR(B20="",B21="",'0. Supuestos'!$B$6=""),"",B20*B21*'0. Supuestos'!$B$6+B22*B23*'0. Supuestos'!$B$6),"")</f>
        <v>6859.2</v>
      </c>
      <c r="C24" s="28" t="n"/>
      <c r="D24" s="28" t="n"/>
      <c r="E24" s="28" t="n"/>
      <c r="F24" s="28" t="n"/>
      <c r="G24" s="28" t="n"/>
      <c r="H24" s="28" t="n"/>
      <c r="I24" s="28" t="n"/>
      <c r="J24" s="28" t="n"/>
    </row>
    <row r="25">
      <c r="A25" s="28" t="inlineStr">
        <is>
          <t>Horas contratadas al año</t>
        </is>
      </c>
      <c r="B25" s="39">
        <f>IFERROR(IF(I11="","",I11),"")</f>
        <v>6900.0</v>
      </c>
      <c r="C25" s="28" t="n"/>
      <c r="D25" s="28" t="n"/>
      <c r="E25" s="28" t="n"/>
      <c r="F25" s="28" t="n"/>
      <c r="G25" s="28" t="n"/>
      <c r="H25" s="28" t="n"/>
      <c r="I25" s="28" t="n"/>
      <c r="J25" s="28" t="n"/>
    </row>
    <row r="26">
      <c r="A26" s="25" t="inlineStr">
        <is>
          <t>Cobertura (contratadas / necesarias)</t>
        </is>
      </c>
      <c r="B26" s="66">
        <f>IFERROR(B25/B24,"")</f>
        <v>1.0059482155353394</v>
      </c>
      <c r="C26" s="28" t="n"/>
      <c r="D26" s="28" t="n"/>
      <c r="E26" s="28" t="n"/>
      <c r="F26" s="28" t="n"/>
      <c r="G26" s="28" t="n"/>
      <c r="H26" s="28" t="n"/>
      <c r="I26" s="28" t="n"/>
      <c r="J26" s="25" t="inlineStr">
        <is>
          <t>Por debajo del 100 % la plantilla no llega a cubrir el horario que declara el plan: o se contrata más o se recorta el horario</t>
        </is>
      </c>
    </row>
    <row r="27">
      <c r="A27" s="28" t="n"/>
      <c r="B27" s="28" t="n"/>
      <c r="C27" s="28" t="n"/>
      <c r="D27" s="28" t="n"/>
      <c r="E27" s="28" t="n"/>
      <c r="F27" s="28" t="n"/>
      <c r="G27" s="28" t="n"/>
      <c r="H27" s="28" t="n"/>
      <c r="I27" s="28" t="n"/>
      <c r="J27" s="28" t="n"/>
    </row>
    <row r="28" ht="150" customHeight="1">
      <c r="A28"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8" s="28" t="n"/>
      <c r="C28" s="28" t="n"/>
      <c r="D28" s="28" t="n"/>
      <c r="E28" s="28" t="n"/>
      <c r="F28" s="28" t="n"/>
      <c r="G28" s="28" t="n"/>
      <c r="H28" s="28" t="n"/>
      <c r="I28" s="28" t="n"/>
      <c r="J28" s="28" t="n"/>
    </row>
    <row r="29" ht="150" customHeight="1">
      <c r="A29"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Supuestos'!$B$21&lt;MAX('0. Supuestos'!$B$22,'0. Supuestos'!$B$68)*C5)</formula>
    </cfRule>
  </conditionalFormatting>
  <dataValidations count="3">
    <dataValidation sqref="B5 B6 B7 B8 B9 B10 B13 B14 B18 B19 B20 B22 D5 D6 D7 D8 D9 D10" showDropDown="0" showInputMessage="0" showErrorMessage="1" allowBlank="1" errorTitle="Importe no válido" error="Escribe un número mayor o igual que 0." type="decimal" operator="greaterThanOrEqual">
      <formula1>0</formula1>
    </dataValidation>
    <dataValidation sqref="B21 B23"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Finca de Eventos y Bodas</t>
        </is>
      </c>
      <c r="B1" s="28" t="n"/>
      <c r="C1" s="28" t="n"/>
      <c r="D1" s="28" t="n"/>
      <c r="E1" s="28" t="n"/>
    </row>
    <row r="2">
      <c r="A2" s="28" t="n"/>
      <c r="B2" s="28" t="n"/>
      <c r="C2" s="28" t="n"/>
      <c r="D2" s="28" t="n"/>
      <c r="E2" s="28" t="n"/>
    </row>
    <row r="3">
      <c r="A3" s="38"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espacio y canon, coste directo del evento, renta de la finca,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120" customHeight="1">
      <c r="A8" s="46" t="inlineStr">
        <is>
          <t>4. Todas las cifras van SIN IVA. Para pasar un PVP a precio sin IVA, divide entre 1,21: todo lo que factura la finca —espacio, servicios y canon— va al tipo general. El menú y la barra los factura el catering a los novios, al 10 % (art. 91.Uno.2.2.º de la Ley 37/1992), y no entran en este libro.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90" customHeight="1">
      <c r="A10" s="46" t="inlineStr">
        <is>
          <t>6. La hoja «Tesorería 12 meses» responde la pregunta que decide una operación bancaria: en qué mes se agota la caja. Su Mes 1 es MARZO: la finca abre en primavera y llega al primer invierno con la caja de la temporada. El saldo mínimo del año nunca puede salir en rojo. Las señales de los novios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la calculadora de presupuestos y los modelos de contrato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directo del evento / Ventas</t>
        </is>
      </c>
      <c r="B18" s="67">
        <f>IFERROR(IF('PyG 3 Años'!$B$53="","",'PyG 3 Años'!$B$53),"")</f>
        <v>0.12714</v>
      </c>
      <c r="C18" s="67">
        <f>IFERROR(IF('PyG 3 Años'!$E$53="","",'PyG 3 Años'!$E$53),"")</f>
        <v>0.14</v>
      </c>
      <c r="D18" s="28" t="str">
        <f>IFERROR(IF(OR(B18="",C18=""),"",IF(B18&lt;=C18,"CUMPLE","REVISAR")),"")</f>
        <v>CUMPLE</v>
      </c>
      <c r="E18" s="28" t="n"/>
    </row>
    <row r="19">
      <c r="A19" s="28" t="inlineStr">
        <is>
          <t>Coste de personal / Ventas</t>
        </is>
      </c>
      <c r="B19" s="67">
        <f>IFERROR(IF('PyG 3 Años'!$B$54="","",'PyG 3 Años'!$B$54),"")</f>
        <v>0.3068556361239288</v>
      </c>
      <c r="C19" s="67">
        <f>IFERROR(IF('PyG 3 Años'!$E$54="","",'PyG 3 Años'!$E$54),"")</f>
        <v>0.33</v>
      </c>
      <c r="D19" s="28" t="str">
        <f>IFERROR(IF(OR(B19="",C19=""),"",IF(B19&lt;=C19,"CUMPLE","REVISAR")),"")</f>
        <v>CUMPLE</v>
      </c>
      <c r="E19" s="28" t="n"/>
    </row>
    <row r="20">
      <c r="A20" s="28" t="inlineStr">
        <is>
          <t>Renta de la finca / Ventas</t>
        </is>
      </c>
      <c r="B20" s="67">
        <f>IFERROR(IF('PyG 3 Años'!$B$55="","",'PyG 3 Años'!$B$55),"")</f>
        <v>0.11535926170072512</v>
      </c>
      <c r="C20" s="67">
        <f>IFERROR(IF('PyG 3 Años'!$E$55="","",'PyG 3 Años'!$E$55),"")</f>
        <v>0.13</v>
      </c>
      <c r="D20" s="28" t="str">
        <f>IFERROR(IF(OR(B20="",C20=""),"",IF(B20&lt;=C20,"CUMPLE","REVISAR")),"")</f>
        <v>CUMPLE</v>
      </c>
      <c r="E20" s="28" t="n"/>
    </row>
    <row r="21">
      <c r="A21" s="28" t="inlineStr">
        <is>
          <t>Resultado neto / Ventas</t>
        </is>
      </c>
      <c r="B21" s="67">
        <f>IFERROR(IF('PyG 3 Años'!$B$56="","",'PyG 3 Años'!$B$56),"")</f>
        <v>0.08817145814106789</v>
      </c>
      <c r="C21" s="67">
        <f>IFERROR(IF('PyG 3 Años'!$E$56="","",'PyG 3 Años'!$E$56),"")</f>
        <v>0.05</v>
      </c>
      <c r="D21" s="28" t="str">
        <f>IFERROR(IF(OR(B21="",C21=""),"",IF(B21&gt;=C21,"CUMPLE","REVISAR")),"")</f>
        <v>CUMPLE</v>
      </c>
      <c r="E21" s="28" t="n"/>
    </row>
    <row r="22">
      <c r="A22" s="28" t="inlineStr">
        <is>
          <t>Margen bruto / Ventas</t>
        </is>
      </c>
      <c r="B22" s="67">
        <f>IFERROR(IF('PyG 3 Años'!$B$51="","",'PyG 3 Años'!$B$51),"")</f>
        <v>0.80486</v>
      </c>
      <c r="C22" s="67">
        <f>IFERROR(IF('PyG 3 Años'!$E$51="","",'PyG 3 Años'!$E$51),"")</f>
        <v>0.75</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Inicial'!$B$31="","",'Inversión Inicial'!$B$31),"")</f>
        <v>311408.75</v>
      </c>
      <c r="C25" s="28" t="n"/>
      <c r="D25" s="28" t="n"/>
      <c r="E25" s="28" t="n"/>
    </row>
    <row r="26">
      <c r="A26" s="28" t="inlineStr">
        <is>
          <t>Necesidad total de caja al arranque</t>
        </is>
      </c>
      <c r="B26" s="32">
        <f>IFERROR(IF('Inversión Inicial'!$B$34="","",'Inversión Inicial'!$B$34),"")</f>
        <v>362602.55</v>
      </c>
      <c r="C26" s="28" t="n"/>
      <c r="D26" s="28" t="n"/>
      <c r="E26" s="28" t="n"/>
    </row>
    <row r="27">
      <c r="A27" s="28" t="inlineStr">
        <is>
          <t>Fondo de maniobra dotado</t>
        </is>
      </c>
      <c r="B27" s="32">
        <f>IFERROR(IF('Inversión Inicial'!$B$30="","",'Inversión Inicial'!$B$30),"")</f>
        <v>59628.75</v>
      </c>
      <c r="C27" s="28" t="n"/>
      <c r="D27" s="28" t="n"/>
      <c r="E27" s="28" t="n"/>
    </row>
    <row r="28">
      <c r="A28" s="28" t="inlineStr">
        <is>
          <t>Facturación prevista del año 1</t>
        </is>
      </c>
      <c r="B28" s="32">
        <f>IFERROR(IF('PyG 3 Años'!$B$9="","",'PyG 3 Años'!$B$9),"")</f>
        <v>364080.0</v>
      </c>
      <c r="C28" s="28" t="n"/>
      <c r="D28" s="28" t="n"/>
      <c r="E28" s="28" t="n"/>
    </row>
    <row r="29">
      <c r="A29" s="28" t="inlineStr">
        <is>
          <t>Resultado neto del año 1</t>
        </is>
      </c>
      <c r="B29" s="32">
        <f>IFERROR(IF('PyG 3 Años'!$B$48="","",'PyG 3 Años'!$B$48),"")</f>
        <v>32101.464479999995</v>
      </c>
      <c r="C29" s="28" t="n"/>
      <c r="D29" s="28" t="n"/>
      <c r="E29" s="28" t="n"/>
    </row>
    <row r="30">
      <c r="A30" s="28" t="inlineStr">
        <is>
          <t>Invitados por evento para el punto de equilibrio CONTABLE (con la amortización dentro)</t>
        </is>
      </c>
      <c r="B30" s="44">
        <f>IFERROR(IF('Punto Equilibrio'!$B$15="","",'Punto Equilibrio'!$B$15),"")</f>
        <v>71.43176150829656</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DATOS DE REFERENCIA DEL SECTOR</t>
        </is>
      </c>
      <c r="B33" s="28" t="n"/>
      <c r="C33" s="28" t="n"/>
      <c r="D33" s="28" t="n"/>
      <c r="E33" s="28" t="n"/>
    </row>
    <row r="34">
      <c r="A34" s="25" t="inlineStr">
        <is>
          <t>Referencia</t>
        </is>
      </c>
      <c r="B34" s="25" t="inlineStr">
        <is>
          <t>Valor</t>
        </is>
      </c>
      <c r="C34" s="25" t="inlineStr">
        <is>
          <t>Fuente</t>
        </is>
      </c>
      <c r="D34" s="25" t="inlineStr">
        <is>
          <t>Nota</t>
        </is>
      </c>
      <c r="E34" s="28" t="n"/>
    </row>
    <row r="35" ht="45" customHeight="1">
      <c r="A35" s="28" t="inlineStr">
        <is>
          <t>Mes 1 del plan</t>
        </is>
      </c>
      <c r="B35" s="28" t="inlineStr">
        <is>
          <t>Marzo</t>
        </is>
      </c>
      <c r="C35" s="28" t="inlineStr">
        <is>
          <t>Decisión del plan</t>
        </is>
      </c>
      <c r="D35" s="46" t="inlineStr">
        <is>
          <t>La obra y la licencia se hacen en otoño e invierno y se abre con las comuniones y la empresa de primavera. La fila de estacionalidad de la Tesorería ya va girada</t>
        </is>
      </c>
      <c r="E35" s="28" t="n"/>
    </row>
    <row r="36" ht="60" customHeight="1">
      <c r="A36" s="28" t="inlineStr">
        <is>
          <t>Mezcla de eventos del plan</t>
        </is>
      </c>
      <c r="B36" s="28" t="inlineStr">
        <is>
          <t>120 eventos: 30 bodas, 35 de empresa, 40 celebraciones privadas y 15 pequeños</t>
        </is>
      </c>
      <c r="C36" s="28" t="inlineStr">
        <is>
          <t>Estimación del kit</t>
        </is>
      </c>
      <c r="D36" s="46" t="inlineStr">
        <is>
          <t>Bodas (30 × 120 invitados × 47 €), empresa (35 × 80 × 34 €), celebraciones privadas (40 × 70 × 29 €) y pequeños (15 × 40 × 30 €), sin IVA, de espacio, servicios y canon. Media: 82 invitados a 37 €</t>
        </is>
      </c>
      <c r="E36" s="28" t="n"/>
    </row>
    <row r="37" ht="60" customHeight="1">
      <c r="A37" s="28" t="inlineStr">
        <is>
          <t>Techo de fechas</t>
        </is>
      </c>
      <c r="B37" s="28" t="inlineStr">
        <is>
          <t>Unos 26 sábados de mayo a octubre</t>
        </is>
      </c>
      <c r="C37" s="28" t="inlineStr">
        <is>
          <t>Estimación del kit</t>
        </is>
      </c>
      <c r="D37" s="46" t="inlineStr">
        <is>
          <t>Las 30 bodas son unas 21 en sábados de temporada (el 80 %) y el resto en viernes, domingos o fuera de temporada. El libro no comprueba este techo: compruébalo tú en tu calendario</t>
        </is>
      </c>
      <c r="E37" s="28" t="n"/>
    </row>
    <row r="38" ht="45" customHeight="1">
      <c r="A38" s="28" t="inlineStr">
        <is>
          <t>Bodas en España en 2024</t>
        </is>
      </c>
      <c r="B38" s="28" t="inlineStr">
        <is>
          <t>175.364, el 83,6 % civiles</t>
        </is>
      </c>
      <c r="C38" s="28" t="inlineStr">
        <is>
          <t>INE, Movimiento Natural de la Población 2024</t>
        </is>
      </c>
      <c r="D38" s="46" t="inlineStr">
        <is>
          <t>De mayo a octubre se celebra el 63,7 %; septiembre (13,1 %) y junio (12,8 %) son los picos y enero se queda en el 3,8 %</t>
        </is>
      </c>
      <c r="E38" s="28" t="n"/>
    </row>
    <row r="39" ht="30" customHeight="1">
      <c r="A39" s="28" t="inlineStr">
        <is>
          <t>Antelación de la reserva de una boda</t>
        </is>
      </c>
      <c r="B39" s="28" t="inlineStr">
        <is>
          <t>12-18 meses (13 de media)</t>
        </is>
      </c>
      <c r="C39" s="28" t="inlineStr">
        <is>
          <t>Bodas.net, Informe del Sector Nupcial 2026</t>
        </is>
      </c>
      <c r="D39" s="46" t="inlineStr">
        <is>
          <t>Por eso la primera temporada se vende antes de abrir y la rampa del plan dura 12 meses</t>
        </is>
      </c>
      <c r="E39" s="28" t="n"/>
    </row>
    <row r="40" ht="45" customHeight="1">
      <c r="A40" s="28" t="inlineStr">
        <is>
          <t>Coste directo por evento</t>
        </is>
      </c>
      <c r="B40" s="28" t="inlineStr">
        <is>
          <t>650 € boda · 350 € empresa · 300 € celebración · 150 € pequeño</t>
        </is>
      </c>
      <c r="C40" s="28" t="inlineStr">
        <is>
          <t>Estimación del kit</t>
        </is>
      </c>
      <c r="D40" s="46" t="inlineStr">
        <is>
          <t>Limpieza tras el evento, reposición de aseos y consumibles, gasoil del grupo electrógeno, vigilancia y aparcamiento, y la tarifa de SGAE y AGEDI-AIE de cada evento</t>
        </is>
      </c>
      <c r="E40" s="28" t="n"/>
    </row>
    <row r="41" ht="45" customHeight="1">
      <c r="A41" s="28" t="inlineStr">
        <is>
          <t>Canon del catering exclusivo</t>
        </is>
      </c>
      <c r="B41" s="28" t="inlineStr">
        <is>
          <t>12 % de lo que factura el catering en la finca</t>
        </is>
      </c>
      <c r="C41" s="28" t="inlineStr">
        <is>
          <t>Supuesto del kit, sin fuente pública</t>
        </is>
      </c>
      <c r="D41" s="46" t="inlineStr">
        <is>
          <t>Unos 13 € por invitado en una boda. Negócialo y pon el tuyo: en este plan, cada punto de canon son unos 6.700 € de ventas al año</t>
        </is>
      </c>
      <c r="E41" s="28" t="n"/>
    </row>
    <row r="42" ht="45" customHeight="1">
      <c r="A42" s="28" t="inlineStr">
        <is>
          <t>Personal de la finca en un evento</t>
        </is>
      </c>
      <c r="B42" s="28" t="inlineStr">
        <is>
          <t>Coordinación y 1 auxiliar (2 en las bodas)</t>
        </is>
      </c>
      <c r="C42" s="28" t="inlineStr">
        <is>
          <t>Estimación del kit</t>
        </is>
      </c>
      <c r="D42" s="46" t="inlineStr">
        <is>
          <t>Boda: 2 auxiliares × 12 h · empresa 1 × 9 h · celebración 1 × 8 h · pequeño 1 × 5 h. Camareros y cocina los pone el catering</t>
        </is>
      </c>
      <c r="E42" s="28" t="n"/>
    </row>
    <row r="43" ht="90" customHeight="1">
      <c r="A43" s="28" t="inlineStr">
        <is>
          <t>IVA de lo que factura la finca</t>
        </is>
      </c>
      <c r="B43" s="28" t="inlineStr">
        <is>
          <t>21 %</t>
        </is>
      </c>
      <c r="C43" s="28" t="inlineStr">
        <is>
          <t>Ley 37/1992 del IVA</t>
        </is>
      </c>
      <c r="D43" s="46" t="inlineStr">
        <is>
          <t>El espacio y los servicios con precio propio y el canon que cobras al catering, al tipo general. El menú lo factura el catering a los novios, al 10 % (art. 91.Uno.2.2.º). Meter el espacio al 10 % dentro de un pack es arriesgado: confírmalo con tu asesoría o pide una consulta vinculante</t>
        </is>
      </c>
      <c r="E43" s="28" t="n"/>
    </row>
    <row r="44" ht="45" customHeight="1">
      <c r="A44" s="28" t="inlineStr">
        <is>
          <t>Plan de autoprotección</t>
        </is>
      </c>
      <c r="B44" s="28" t="inlineStr">
        <is>
          <t>Desde 1.000 personas en edificio cerrado o carpa · 5.000 al aire libre</t>
        </is>
      </c>
      <c r="C44" s="28" t="inlineStr">
        <is>
          <t>Orden INT/1068/2026, Directriz Básica de Autoprotección (BOE del 10-10-2026)</t>
        </is>
      </c>
      <c r="D44" s="46" t="inlineStr">
        <is>
          <t>Una finca de 300 invitados queda por debajo de la norma estatal; tu comunidad o tu ayuntamiento pueden pedir más, por ejemplo en un entorno forestal</t>
        </is>
      </c>
      <c r="E44" s="28" t="n"/>
    </row>
    <row r="45" ht="60" customHeight="1">
      <c r="A45" s="28" t="inlineStr">
        <is>
          <t>Ruido al exterior en zona residencial</t>
        </is>
      </c>
      <c r="B45" s="28" t="inlineStr">
        <is>
          <t>55 dBA de día y de tarde · 45 dBA de noche</t>
        </is>
      </c>
      <c r="C45" s="28" t="inlineStr">
        <is>
          <t>RD 1367/2007, art. 24 y anexo III</t>
        </is>
      </c>
      <c r="D45" s="46" t="inlineStr">
        <is>
          <t>Limitador-registrador, baile final dentro y altavoces de espaldas a las viviendas. El horario de la música lo fijan tu comunidad y la ordenanza de tu ayuntamiento: compruébalo</t>
        </is>
      </c>
      <c r="E45" s="28" t="n"/>
    </row>
    <row r="46" ht="30" customHeight="1">
      <c r="A46" s="28" t="inlineStr">
        <is>
          <t>Comida testigo</t>
        </is>
      </c>
      <c r="B46" s="28" t="inlineStr">
        <is>
          <t>Una ración de 100 g o más durante 7 días, a 4 °C o menos (o a −18 °C)</t>
        </is>
      </c>
      <c r="C46" s="28" t="inlineStr">
        <is>
          <t>RD 1086/2020, art. 30</t>
        </is>
      </c>
      <c r="D46" s="46" t="inlineStr">
        <is>
          <t>En bodas y encargos de más de 40 personas. La guarda quien sirve, el catering: exígelo en su contrato</t>
        </is>
      </c>
      <c r="E46" s="28" t="n"/>
    </row>
    <row r="47" ht="30" customHeight="1">
      <c r="A47" s="28" t="inlineStr">
        <is>
          <t>Agua de pozo propio</t>
        </is>
      </c>
      <c r="B47" s="28" t="inlineStr">
        <is>
          <t>Zona de abastecimiento de tipo 1</t>
        </is>
      </c>
      <c r="C47" s="28" t="inlineStr">
        <is>
          <t>RD 3/2023, arts. 2 y 4.3</t>
        </is>
      </c>
      <c r="D47" s="46" t="inlineStr">
        <is>
          <t>Con actividad comercial, el titular responde de la calidad del agua hasta el grifo: analíticas y protocolo</t>
        </is>
      </c>
      <c r="E47" s="28" t="n"/>
    </row>
    <row r="48" ht="45" customHeight="1">
      <c r="A48" s="28" t="inlineStr">
        <is>
          <t>Convenio colectivo de referencia</t>
        </is>
      </c>
      <c r="B48" s="28" t="inlineStr">
        <is>
          <t>Provincial de hostelería</t>
        </is>
      </c>
      <c r="C48" s="28" t="inlineStr">
        <is>
          <t>VI Acuerdo Laboral de ámbito Estatal para el sector de Hostelería, art. 4</t>
        </is>
      </c>
      <c r="D48" s="46" t="inlineStr">
        <is>
          <t>Su lista nombra el catering, no el alquiler de espacios, y no es exhaustiva: es la referencia salarial prudente. Confírmalo con tu asesoría</t>
        </is>
      </c>
      <c r="E48" s="28" t="n"/>
    </row>
    <row r="49">
      <c r="A49" s="28" t="n"/>
      <c r="B49" s="28" t="n"/>
      <c r="C49" s="28" t="n"/>
      <c r="D49" s="28" t="n"/>
      <c r="E49" s="28" t="n"/>
    </row>
    <row r="50">
      <c r="A50" s="79" t="inlineStr">
        <is>
          <t>Para editar una celda que no esté en verde: Revisar → Desproteger hoja (no tiene contraseña).</t>
        </is>
      </c>
      <c r="B50" s="28" t="n"/>
      <c r="C50" s="28" t="n"/>
      <c r="D50" s="28" t="n"/>
      <c r="E50" s="28" t="n"/>
    </row>
    <row r="51">
      <c r="A51" s="79" t="inlineStr">
        <is>
          <t>Más plantillas y kits del catálogo en aichef.pro/productos-digitales</t>
        </is>
      </c>
      <c r="B51" s="28" t="n"/>
      <c r="C51" s="28" t="n"/>
      <c r="D51" s="28" t="n"/>
      <c r="E51" s="28" t="n"/>
    </row>
    <row r="52">
      <c r="A52" s="79" t="inlineStr">
        <is>
          <t>Diseñado por John Guerrero — chef y consultor gastronómico desde 2010, en cocina desde los 17 años · johnguerrero.es</t>
        </is>
      </c>
      <c r="B52" s="28" t="n"/>
      <c r="C52" s="28" t="n"/>
      <c r="D52" s="28" t="n"/>
      <c r="E52" s="28" t="n"/>
    </row>
    <row r="53">
      <c r="A53" s="79" t="inlineStr">
        <is>
          <t>Versión 1.0 · noviembre 2026 · aichef.pro/plan-negocio-finca-eventos-bodas · info@aichef.pro</t>
        </is>
      </c>
      <c r="B53" s="28" t="n"/>
      <c r="C53" s="28" t="n"/>
      <c r="D53" s="28" t="n"/>
      <c r="E53" s="28" t="n"/>
    </row>
    <row r="54">
      <c r="A54" s="28" t="n"/>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0.063</v>
      </c>
      <c r="C5" s="75" t="n">
        <v>0.08400000000000001</v>
      </c>
      <c r="D5" s="75" t="n">
        <v>0.124</v>
      </c>
      <c r="E5" s="75" t="n">
        <v>0.135</v>
      </c>
      <c r="F5" s="75" t="n">
        <v>0.078</v>
      </c>
      <c r="G5" s="75" t="n">
        <v>0.055</v>
      </c>
      <c r="H5" s="75" t="n">
        <v>0.122</v>
      </c>
      <c r="I5" s="75" t="n">
        <v>0.111</v>
      </c>
      <c r="J5" s="75" t="n">
        <v>0.073</v>
      </c>
      <c r="K5" s="75" t="n">
        <v>0.077</v>
      </c>
      <c r="L5" s="75" t="n">
        <v>0.031</v>
      </c>
      <c r="M5" s="75" t="n">
        <v>0.047</v>
      </c>
      <c r="N5" s="67">
        <f>IFERROR(IF('PyG 3 Años'!$B$9="","",SUM(B5:M5)),"")</f>
        <v>1.0</v>
      </c>
      <c r="O5" s="28" t="inlineStr">
        <is>
          <t>Mes 1 = MARZO: la obra y la licencia se hacen en otoño e invierno y se abre con las comuniones y la empresa de primavera. Los picos son junio (Mes 4) y septiembre (Mes 7); el valle, enero (Mes 11). Si abres en otro mes, gira la fila. Tiene que sumar 100 %</t>
        </is>
      </c>
    </row>
    <row r="6">
      <c r="A6" s="28" t="inlineStr">
        <is>
          <t>Rampa de arranque (% de la actividad de crucero)</t>
        </is>
      </c>
      <c r="B6" s="67">
        <f>IFERROR(IF('PyG 3 Años'!$B$9="","",MIN(1,'0. Supuestos'!$B$52+(1-'0. Supuestos'!$B$52)*0/MAX(1,'0. Supuestos'!$B$53-1))),"")</f>
        <v>0.45</v>
      </c>
      <c r="C6" s="67">
        <f>IFERROR(IF('PyG 3 Años'!$B$9="","",MIN(1,'0. Supuestos'!$B$52+(1-'0. Supuestos'!$B$52)*1/MAX(1,'0. Supuestos'!$B$53-1))),"")</f>
        <v>0.5</v>
      </c>
      <c r="D6" s="67">
        <f>IFERROR(IF('PyG 3 Años'!$B$9="","",MIN(1,'0. Supuestos'!$B$52+(1-'0. Supuestos'!$B$52)*2/MAX(1,'0. Supuestos'!$B$53-1))),"")</f>
        <v>0.55</v>
      </c>
      <c r="E6" s="67">
        <f>IFERROR(IF('PyG 3 Años'!$B$9="","",MIN(1,'0. Supuestos'!$B$52+(1-'0. Supuestos'!$B$52)*3/MAX(1,'0. Supuestos'!$B$53-1))),"")</f>
        <v>0.6000000000000001</v>
      </c>
      <c r="F6" s="67">
        <f>IFERROR(IF('PyG 3 Años'!$B$9="","",MIN(1,'0. Supuestos'!$B$52+(1-'0. Supuestos'!$B$52)*4/MAX(1,'0. Supuestos'!$B$53-1))),"")</f>
        <v>0.65</v>
      </c>
      <c r="G6" s="67">
        <f>IFERROR(IF('PyG 3 Años'!$B$9="","",MIN(1,'0. Supuestos'!$B$52+(1-'0. Supuestos'!$B$52)*5/MAX(1,'0. Supuestos'!$B$53-1))),"")</f>
        <v>0.7</v>
      </c>
      <c r="H6" s="67">
        <f>IFERROR(IF('PyG 3 Años'!$B$9="","",MIN(1,'0. Supuestos'!$B$52+(1-'0. Supuestos'!$B$52)*6/MAX(1,'0. Supuestos'!$B$53-1))),"")</f>
        <v>0.75</v>
      </c>
      <c r="I6" s="67">
        <f>IFERROR(IF('PyG 3 Años'!$B$9="","",MIN(1,'0. Supuestos'!$B$52+(1-'0. Supuestos'!$B$52)*7/MAX(1,'0. Supuestos'!$B$53-1))),"")</f>
        <v>0.8</v>
      </c>
      <c r="J6" s="67">
        <f>IFERROR(IF('PyG 3 Años'!$B$9="","",MIN(1,'0. Supuestos'!$B$52+(1-'0. Supuestos'!$B$52)*8/MAX(1,'0. Supuestos'!$B$53-1))),"")</f>
        <v>0.8500000000000001</v>
      </c>
      <c r="K6" s="67">
        <f>IFERROR(IF('PyG 3 Años'!$B$9="","",MIN(1,'0. Supuestos'!$B$52+(1-'0. Supuestos'!$B$52)*9/MAX(1,'0. Supuestos'!$B$53-1))),"")</f>
        <v>0.9</v>
      </c>
      <c r="L6" s="67">
        <f>IFERROR(IF('PyG 3 Años'!$B$9="","",MIN(1,'0. Supuestos'!$B$52+(1-'0. Supuestos'!$B$52)*10/MAX(1,'0. Supuestos'!$B$53-1))),"")</f>
        <v>0.95</v>
      </c>
      <c r="M6" s="67">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7">
        <f>IFERROR(IF('PyG 3 Años'!$B$9="","",B5*B6/SUMPRODUCT($B$5:$M$5,$B$6:$M$6)),"")</f>
        <v>0.0406830738322451</v>
      </c>
      <c r="C7" s="67">
        <f>IFERROR(IF('PyG 3 Años'!$B$9="","",C5*C6/SUMPRODUCT($B$5:$M$5,$B$6:$M$6)),"")</f>
        <v>0.060271220492214964</v>
      </c>
      <c r="D7" s="67">
        <f>IFERROR(IF('PyG 3 Años'!$B$9="","",D5*D6/SUMPRODUCT($B$5:$M$5,$B$6:$M$6)),"")</f>
        <v>0.0978689818468824</v>
      </c>
      <c r="E7" s="67">
        <f>IFERROR(IF('PyG 3 Años'!$B$9="","",E5*E6/SUMPRODUCT($B$5:$M$5,$B$6:$M$6)),"")</f>
        <v>0.11623735380641459</v>
      </c>
      <c r="F7" s="67">
        <f>IFERROR(IF('PyG 3 Años'!$B$9="","",F5*F6/SUMPRODUCT($B$5:$M$5,$B$6:$M$6)),"")</f>
        <v>0.0727559733084595</v>
      </c>
      <c r="G7" s="67">
        <f>IFERROR(IF('PyG 3 Años'!$B$9="","",G5*G6/SUMPRODUCT($B$5:$M$5,$B$6:$M$6)),"")</f>
        <v>0.05524861878453038</v>
      </c>
      <c r="H7" s="67">
        <f>IFERROR(IF('PyG 3 Años'!$B$9="","",H5*H6/SUMPRODUCT($B$5:$M$5,$B$6:$M$6)),"")</f>
        <v>0.1313051589294683</v>
      </c>
      <c r="I7" s="67">
        <f>IFERROR(IF('PyG 3 Años'!$B$9="","",I5*I6/SUMPRODUCT($B$5:$M$5,$B$6:$M$6)),"")</f>
        <v>0.12743058046925448</v>
      </c>
      <c r="J7" s="67">
        <f>IFERROR(IF('PyG 3 Años'!$B$9="","",J5*J6/SUMPRODUCT($B$5:$M$5,$B$6:$M$6)),"")</f>
        <v>0.08904355313195092</v>
      </c>
      <c r="K7" s="67">
        <f>IFERROR(IF('PyG 3 Años'!$B$9="","",K5*K6/SUMPRODUCT($B$5:$M$5,$B$6:$M$6)),"")</f>
        <v>0.09944751381215469</v>
      </c>
      <c r="L7" s="67">
        <f>IFERROR(IF('PyG 3 Años'!$B$9="","",L5*L6/SUMPRODUCT($B$5:$M$5,$B$6:$M$6)),"")</f>
        <v>0.04226160579751739</v>
      </c>
      <c r="M7" s="67">
        <f>IFERROR(IF('PyG 3 Años'!$B$9="","",M5*M6/SUMPRODUCT($B$5:$M$5,$B$6:$M$6)),"")</f>
        <v>0.06744636578890721</v>
      </c>
      <c r="N7" s="67">
        <f>IFERROR(IF('PyG 3 Años'!$B$9="","",SUM(B7:M7)),"")</f>
        <v>0.9999999999999998</v>
      </c>
      <c r="O7" s="28" t="inlineStr">
        <is>
          <t>Estacionalidad × rampa, normalizado a 100 %: el AÑO factura lo que dice el P&amp;L, pero repartido como lo reparte una finca que acaba de abrir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11948.260773480662</v>
      </c>
      <c r="C9" s="32">
        <f>IFERROR(IF('PyG 3 Años'!$B$9="","",('PyG 3 Años'!$B$9+'PyG 3 Años'!$B$9*SUMPRODUCT('PyG 3 Años'!$E$10:$E$11,'PyG 3 Años'!$G$10:$G$11))*(C7*(1-MIN(30,'0. Supuestos'!$B$58)/30)+B7*MIN(30,'0. Supuestos'!$B$58)/30)),"")</f>
        <v>23675.257458563534</v>
      </c>
      <c r="D9" s="32">
        <f>IFERROR(IF('PyG 3 Años'!$B$9="","",('PyG 3 Años'!$B$9+'PyG 3 Años'!$B$9*SUMPRODUCT('PyG 3 Años'!$E$10:$E$11,'PyG 3 Años'!$G$10:$G$11))*(D7*(1-MIN(30,'0. Supuestos'!$B$58)/30)+C7*MIN(30,'0. Supuestos'!$B$58)/30)),"")</f>
        <v>37593.822257300715</v>
      </c>
      <c r="E9" s="32">
        <f>IFERROR(IF('PyG 3 Años'!$B$9="","",('PyG 3 Años'!$B$9+'PyG 3 Años'!$B$9*SUMPRODUCT('PyG 3 Años'!$E$10:$E$11,'PyG 3 Años'!$G$10:$G$11))*(E7*(1-MIN(30,'0. Supuestos'!$B$58)/30)+D7*MIN(30,'0. Supuestos'!$B$58)/30)),"")</f>
        <v>48509.51728492502</v>
      </c>
      <c r="F9" s="32">
        <f>IFERROR(IF('PyG 3 Años'!$B$9="","",('PyG 3 Años'!$B$9+'PyG 3 Años'!$B$9*SUMPRODUCT('PyG 3 Años'!$E$10:$E$11,'PyG 3 Años'!$G$10:$G$11))*(F7*(1-MIN(30,'0. Supuestos'!$B$58)/30)+E7*MIN(30,'0. Supuestos'!$B$58)/30)),"")</f>
        <v>38436.73307024467</v>
      </c>
      <c r="G9" s="32">
        <f>IFERROR(IF('PyG 3 Años'!$B$9="","",('PyG 3 Años'!$B$9+'PyG 3 Años'!$B$9*SUMPRODUCT('PyG 3 Años'!$E$10:$E$11,'PyG 3 Años'!$G$10:$G$11))*(G7*(1-MIN(30,'0. Supuestos'!$B$58)/30)+F7*MIN(30,'0. Supuestos'!$B$58)/30)),"")</f>
        <v>26909.927703235986</v>
      </c>
      <c r="H9" s="32">
        <f>IFERROR(IF('PyG 3 Años'!$B$9="","",('PyG 3 Años'!$B$9+'PyG 3 Años'!$B$9*SUMPRODUCT('PyG 3 Años'!$E$10:$E$11,'PyG 3 Años'!$G$10:$G$11))*(H7*(1-MIN(30,'0. Supuestos'!$B$58)/30)+G7*MIN(30,'0. Supuestos'!$B$58)/30)),"")</f>
        <v>46676.1862667719</v>
      </c>
      <c r="I9" s="32">
        <f>IFERROR(IF('PyG 3 Años'!$B$9="","",('PyG 3 Años'!$B$9+'PyG 3 Años'!$B$9*SUMPRODUCT('PyG 3 Años'!$E$10:$E$11,'PyG 3 Años'!$G$10:$G$11))*(I7*(1-MIN(30,'0. Supuestos'!$B$58)/30)+H7*MIN(30,'0. Supuestos'!$B$58)/30)),"")</f>
        <v>56706.82494080504</v>
      </c>
      <c r="J9" s="32">
        <f>IFERROR(IF('PyG 3 Años'!$B$9="","",('PyG 3 Años'!$B$9+'PyG 3 Años'!$B$9*SUMPRODUCT('PyG 3 Años'!$E$10:$E$11,'PyG 3 Años'!$G$10:$G$11))*(J7*(1-MIN(30,'0. Supuestos'!$B$58)/30)+I7*MIN(30,'0. Supuestos'!$B$58)/30)),"")</f>
        <v>44863.92801894238</v>
      </c>
      <c r="K9" s="32">
        <f>IFERROR(IF('PyG 3 Años'!$B$9="","",('PyG 3 Años'!$B$9+'PyG 3 Años'!$B$9*SUMPRODUCT('PyG 3 Años'!$E$10:$E$11,'PyG 3 Años'!$G$10:$G$11))*(K7*(1-MIN(30,'0. Supuestos'!$B$58)/30)+J7*MIN(30,'0. Supuestos'!$B$58)/30)),"")</f>
        <v>42282.5136543015</v>
      </c>
      <c r="L9" s="32">
        <f>IFERROR(IF('PyG 3 Años'!$B$9="","",('PyG 3 Años'!$B$9+'PyG 3 Años'!$B$9*SUMPRODUCT('PyG 3 Años'!$E$10:$E$11,'PyG 3 Años'!$G$10:$G$11))*(L7*(1-MIN(30,'0. Supuestos'!$B$58)/30)+K7*MIN(30,'0. Supuestos'!$B$58)/30)),"")</f>
        <v>27015.291554853982</v>
      </c>
      <c r="M9" s="32">
        <f>IFERROR(IF('PyG 3 Años'!$B$9="","",('PyG 3 Años'!$B$9+'PyG 3 Años'!$B$9*SUMPRODUCT('PyG 3 Años'!$E$10:$E$11,'PyG 3 Años'!$G$10:$G$11))*(M7*(1-MIN(30,'0. Supuestos'!$B$58)/30)+L7*MIN(30,'0. Supuestos'!$B$58)/30)),"")</f>
        <v>26014.334964483027</v>
      </c>
      <c r="N9" s="32">
        <f>IFERROR(IF('PyG 3 Años'!$B$9="","",SUM(B9:M9)),"")</f>
        <v>430632.59794790845</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-3488.0439180873936</v>
      </c>
      <c r="D11" s="32">
        <f>IFERROR(IF('PyG 3 Años'!$B$9="","",-('PyG 3 Años'!$B$13*(1+'PyG 3 Años'!$G$13)+'PyG 3 Años'!$B$14*(1+'PyG 3 Años'!$G$14)+'PyG 3 Años'!$B$15*(1+'PyG 3 Años'!$G$15)+'PyG 3 Años'!$B$16*(1+'PyG 3 Años'!$G$16)+'PyG 3 Años'!$B$17*(1+'PyG 3 Años'!$G$17)+'PyG 3 Años'!$B$18*(1+'PyG 3 Años'!$G$18))*(D7*(1-MIN(30,'0. Supuestos'!$B$59)/30)+C7*MIN(30,'0. Supuestos'!$B$59)/30)),"")</f>
        <v>-5167.472471240583</v>
      </c>
      <c r="E11" s="32">
        <f>IFERROR(IF('PyG 3 Años'!$B$9="","",-('PyG 3 Años'!$B$13*(1+'PyG 3 Años'!$G$13)+'PyG 3 Años'!$B$14*(1+'PyG 3 Años'!$G$14)+'PyG 3 Años'!$B$15*(1+'PyG 3 Años'!$G$15)+'PyG 3 Años'!$B$16*(1+'PyG 3 Años'!$G$16)+'PyG 3 Años'!$B$17*(1+'PyG 3 Años'!$G$17)+'PyG 3 Años'!$B$18*(1+'PyG 3 Años'!$G$18))*(E7*(1-MIN(30,'0. Supuestos'!$B$59)/30)+D7*MIN(30,'0. Supuestos'!$B$59)/30)),"")</f>
        <v>-8390.991012823995</v>
      </c>
      <c r="F11" s="32">
        <f>IFERROR(IF('PyG 3 Años'!$B$9="","",-('PyG 3 Años'!$B$13*(1+'PyG 3 Años'!$G$13)+'PyG 3 Años'!$B$14*(1+'PyG 3 Años'!$G$14)+'PyG 3 Años'!$B$15*(1+'PyG 3 Años'!$G$15)+'PyG 3 Años'!$B$16*(1+'PyG 3 Años'!$G$16)+'PyG 3 Años'!$B$17*(1+'PyG 3 Años'!$G$17)+'PyG 3 Años'!$B$18*(1+'PyG 3 Años'!$G$18))*(F7*(1-MIN(30,'0. Supuestos'!$B$59)/30)+E7*MIN(30,'0. Supuestos'!$B$59)/30)),"")</f>
        <v>-9965.839765963983</v>
      </c>
      <c r="G11" s="32">
        <f>IFERROR(IF('PyG 3 Años'!$B$9="","",-('PyG 3 Años'!$B$13*(1+'PyG 3 Años'!$G$13)+'PyG 3 Años'!$B$14*(1+'PyG 3 Años'!$G$14)+'PyG 3 Años'!$B$15*(1+'PyG 3 Años'!$G$15)+'PyG 3 Años'!$B$16*(1+'PyG 3 Años'!$G$16)+'PyG 3 Años'!$B$17*(1+'PyG 3 Años'!$G$17)+'PyG 3 Años'!$B$18*(1+'PyG 3 Años'!$G$18))*(G7*(1-MIN(30,'0. Supuestos'!$B$59)/30)+F7*MIN(30,'0. Supuestos'!$B$59)/30)),"")</f>
        <v>-6237.877483140419</v>
      </c>
      <c r="H11" s="32">
        <f>IFERROR(IF('PyG 3 Años'!$B$9="","",-('PyG 3 Años'!$B$13*(1+'PyG 3 Años'!$G$13)+'PyG 3 Años'!$B$14*(1+'PyG 3 Años'!$G$14)+'PyG 3 Años'!$B$15*(1+'PyG 3 Años'!$G$15)+'PyG 3 Años'!$B$16*(1+'PyG 3 Años'!$G$16)+'PyG 3 Años'!$B$17*(1+'PyG 3 Años'!$G$17)+'PyG 3 Años'!$B$18*(1+'PyG 3 Años'!$G$18))*(H7*(1-MIN(30,'0. Supuestos'!$B$59)/30)+G7*MIN(30,'0. Supuestos'!$B$59)/30)),"")</f>
        <v>-4736.849765303868</v>
      </c>
      <c r="I11" s="32">
        <f>IFERROR(IF('PyG 3 Años'!$B$9="","",-('PyG 3 Años'!$B$13*(1+'PyG 3 Años'!$G$13)+'PyG 3 Años'!$B$14*(1+'PyG 3 Años'!$G$14)+'PyG 3 Años'!$B$15*(1+'PyG 3 Años'!$G$15)+'PyG 3 Años'!$B$16*(1+'PyG 3 Años'!$G$16)+'PyG 3 Años'!$B$17*(1+'PyG 3 Años'!$G$17)+'PyG 3 Años'!$B$18*(1+'PyG 3 Años'!$G$18))*(I7*(1-MIN(30,'0. Supuestos'!$B$59)/30)+H7*MIN(30,'0. Supuestos'!$B$59)/30)),"")</f>
        <v>-11257.707883774128</v>
      </c>
      <c r="J11" s="32">
        <f>IFERROR(IF('PyG 3 Años'!$B$9="","",-('PyG 3 Años'!$B$13*(1+'PyG 3 Años'!$G$13)+'PyG 3 Años'!$B$14*(1+'PyG 3 Años'!$G$14)+'PyG 3 Años'!$B$15*(1+'PyG 3 Años'!$G$15)+'PyG 3 Años'!$B$16*(1+'PyG 3 Años'!$G$16)+'PyG 3 Años'!$B$17*(1+'PyG 3 Años'!$G$17)+'PyG 3 Años'!$B$18*(1+'PyG 3 Años'!$G$18))*(J7*(1-MIN(30,'0. Supuestos'!$B$59)/30)+I7*MIN(30,'0. Supuestos'!$B$59)/30)),"")</f>
        <v>-10925.513224908662</v>
      </c>
      <c r="K11" s="32">
        <f>IFERROR(IF('PyG 3 Años'!$B$9="","",-('PyG 3 Años'!$B$13*(1+'PyG 3 Años'!$G$13)+'PyG 3 Años'!$B$14*(1+'PyG 3 Años'!$G$14)+'PyG 3 Años'!$B$15*(1+'PyG 3 Años'!$G$15)+'PyG 3 Años'!$B$16*(1+'PyG 3 Años'!$G$16)+'PyG 3 Años'!$B$17*(1+'PyG 3 Años'!$G$17)+'PyG 3 Años'!$B$18*(1+'PyG 3 Años'!$G$18))*(K7*(1-MIN(30,'0. Supuestos'!$B$59)/30)+J7*MIN(30,'0. Supuestos'!$B$59)/30)),"")</f>
        <v>-7634.325400963767</v>
      </c>
      <c r="L11" s="32">
        <f>IFERROR(IF('PyG 3 Años'!$B$9="","",-('PyG 3 Años'!$B$13*(1+'PyG 3 Años'!$G$13)+'PyG 3 Años'!$B$14*(1+'PyG 3 Años'!$G$14)+'PyG 3 Años'!$B$15*(1+'PyG 3 Años'!$G$15)+'PyG 3 Años'!$B$16*(1+'PyG 3 Años'!$G$16)+'PyG 3 Años'!$B$17*(1+'PyG 3 Años'!$G$17)+'PyG 3 Años'!$B$18*(1+'PyG 3 Años'!$G$18))*(L7*(1-MIN(30,'0. Supuestos'!$B$59)/30)+K7*MIN(30,'0. Supuestos'!$B$59)/30)),"")</f>
        <v>-8526.329577546963</v>
      </c>
      <c r="M11" s="32">
        <f>IFERROR(IF('PyG 3 Años'!$B$9="","",-('PyG 3 Años'!$B$13*(1+'PyG 3 Años'!$G$13)+'PyG 3 Años'!$B$14*(1+'PyG 3 Años'!$G$14)+'PyG 3 Años'!$B$15*(1+'PyG 3 Años'!$G$15)+'PyG 3 Años'!$B$16*(1+'PyG 3 Años'!$G$16)+'PyG 3 Años'!$B$17*(1+'PyG 3 Años'!$G$17)+'PyG 3 Años'!$B$18*(1+'PyG 3 Años'!$G$18))*(M7*(1-MIN(30,'0. Supuestos'!$B$59)/30)+L7*MIN(30,'0. Supuestos'!$B$59)/30)),"")</f>
        <v>-3623.382482810361</v>
      </c>
      <c r="N11" s="32">
        <f>IFERROR(IF('PyG 3 Años'!$B$9="","",SUM(B11:M11)),"")</f>
        <v>-79954.33298656411</v>
      </c>
      <c r="O11" s="28" t="str">
        <f>IFERROR("Coste directo del evento,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Coste directo del evento,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-10965.166666666666</v>
      </c>
      <c r="C12" s="32">
        <f>IFERROR(IF('PyG 3 Años'!$B$9="","",-('PyG 3 Años'!$B$38-'PyG 3 Años'!$B$23-'PyG 3 Años'!$B$36-'PyG 3 Años'!$B$37+'PyG 3 Años'!$B$40)/12),"")</f>
        <v>-10965.166666666666</v>
      </c>
      <c r="D12" s="32">
        <f>IFERROR(IF('PyG 3 Años'!$B$9="","",-('PyG 3 Años'!$B$38-'PyG 3 Años'!$B$23-'PyG 3 Años'!$B$36-'PyG 3 Años'!$B$37+'PyG 3 Años'!$B$40)/12),"")</f>
        <v>-10965.166666666666</v>
      </c>
      <c r="E12" s="32">
        <f>IFERROR(IF('PyG 3 Años'!$B$9="","",-('PyG 3 Años'!$B$38-'PyG 3 Años'!$B$23-'PyG 3 Años'!$B$36-'PyG 3 Años'!$B$37+'PyG 3 Años'!$B$40)/12),"")</f>
        <v>-10965.166666666666</v>
      </c>
      <c r="F12" s="32">
        <f>IFERROR(IF('PyG 3 Años'!$B$9="","",-('PyG 3 Años'!$B$38-'PyG 3 Años'!$B$23-'PyG 3 Años'!$B$36-'PyG 3 Años'!$B$37+'PyG 3 Años'!$B$40)/12),"")</f>
        <v>-10965.166666666666</v>
      </c>
      <c r="G12" s="32">
        <f>IFERROR(IF('PyG 3 Años'!$B$9="","",-('PyG 3 Años'!$B$38-'PyG 3 Años'!$B$23-'PyG 3 Años'!$B$36-'PyG 3 Años'!$B$37+'PyG 3 Años'!$B$40)/12),"")</f>
        <v>-10965.166666666666</v>
      </c>
      <c r="H12" s="32">
        <f>IFERROR(IF('PyG 3 Años'!$B$9="","",-('PyG 3 Años'!$B$38-'PyG 3 Años'!$B$23-'PyG 3 Años'!$B$36-'PyG 3 Años'!$B$37+'PyG 3 Años'!$B$40)/12),"")</f>
        <v>-10965.166666666666</v>
      </c>
      <c r="I12" s="32">
        <f>IFERROR(IF('PyG 3 Años'!$B$9="","",-('PyG 3 Años'!$B$38-'PyG 3 Años'!$B$23-'PyG 3 Años'!$B$36-'PyG 3 Años'!$B$37+'PyG 3 Años'!$B$40)/12),"")</f>
        <v>-10965.166666666666</v>
      </c>
      <c r="J12" s="32">
        <f>IFERROR(IF('PyG 3 Años'!$B$9="","",-('PyG 3 Años'!$B$38-'PyG 3 Años'!$B$23-'PyG 3 Años'!$B$36-'PyG 3 Años'!$B$37+'PyG 3 Años'!$B$40)/12),"")</f>
        <v>-10965.166666666666</v>
      </c>
      <c r="K12" s="32">
        <f>IFERROR(IF('PyG 3 Años'!$B$9="","",-('PyG 3 Años'!$B$38-'PyG 3 Años'!$B$23-'PyG 3 Años'!$B$36-'PyG 3 Años'!$B$37+'PyG 3 Años'!$B$40)/12),"")</f>
        <v>-10965.166666666666</v>
      </c>
      <c r="L12" s="32">
        <f>IFERROR(IF('PyG 3 Años'!$B$9="","",-('PyG 3 Años'!$B$38-'PyG 3 Años'!$B$23-'PyG 3 Años'!$B$36-'PyG 3 Años'!$B$37+'PyG 3 Años'!$B$40)/12),"")</f>
        <v>-10965.166666666666</v>
      </c>
      <c r="M12" s="32">
        <f>IFERROR(IF('PyG 3 Años'!$B$9="","",-('PyG 3 Años'!$B$38-'PyG 3 Años'!$B$23-'PyG 3 Años'!$B$36-'PyG 3 Años'!$B$37+'PyG 3 Años'!$B$40)/12),"")</f>
        <v>-10965.166666666666</v>
      </c>
      <c r="N12" s="32">
        <f>IFERROR(IF('PyG 3 Años'!$B$9="","",SUM(B12:M12)),"")</f>
        <v>-131582.0</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-7980.0</v>
      </c>
      <c r="C13" s="32">
        <f>IFERROR(IF('PyG 3 Años'!$B$9="","",-'PyG 3 Años'!$B$23/MAX(12,'0. Supuestos'!$B$21)*(1+IF(2='0. Supuestos'!$B$60,(MAX(12,'0. Supuestos'!$B$21)-12)/2,0)+IF(2='0. Supuestos'!$B$61,(MAX(12,'0. Supuestos'!$B$21)-12)/2,0))),"")</f>
        <v>-7980.0</v>
      </c>
      <c r="D13" s="32">
        <f>IFERROR(IF('PyG 3 Años'!$B$9="","",-'PyG 3 Años'!$B$23/MAX(12,'0. Supuestos'!$B$21)*(1+IF(3='0. Supuestos'!$B$60,(MAX(12,'0. Supuestos'!$B$21)-12)/2,0)+IF(3='0. Supuestos'!$B$61,(MAX(12,'0. Supuestos'!$B$21)-12)/2,0))),"")</f>
        <v>-7980.0</v>
      </c>
      <c r="E13" s="32">
        <f>IFERROR(IF('PyG 3 Años'!$B$9="","",-'PyG 3 Años'!$B$23/MAX(12,'0. Supuestos'!$B$21)*(1+IF(4='0. Supuestos'!$B$60,(MAX(12,'0. Supuestos'!$B$21)-12)/2,0)+IF(4='0. Supuestos'!$B$61,(MAX(12,'0. Supuestos'!$B$21)-12)/2,0))),"")</f>
        <v>-7980.0</v>
      </c>
      <c r="F13" s="32">
        <f>IFERROR(IF('PyG 3 Años'!$B$9="","",-'PyG 3 Años'!$B$23/MAX(12,'0. Supuestos'!$B$21)*(1+IF(5='0. Supuestos'!$B$60,(MAX(12,'0. Supuestos'!$B$21)-12)/2,0)+IF(5='0. Supuestos'!$B$61,(MAX(12,'0. Supuestos'!$B$21)-12)/2,0))),"")</f>
        <v>-15960.0</v>
      </c>
      <c r="G13" s="32">
        <f>IFERROR(IF('PyG 3 Años'!$B$9="","",-'PyG 3 Años'!$B$23/MAX(12,'0. Supuestos'!$B$21)*(1+IF(6='0. Supuestos'!$B$60,(MAX(12,'0. Supuestos'!$B$21)-12)/2,0)+IF(6='0. Supuestos'!$B$61,(MAX(12,'0. Supuestos'!$B$21)-12)/2,0))),"")</f>
        <v>-7980.0</v>
      </c>
      <c r="H13" s="32">
        <f>IFERROR(IF('PyG 3 Años'!$B$9="","",-'PyG 3 Años'!$B$23/MAX(12,'0. Supuestos'!$B$21)*(1+IF(7='0. Supuestos'!$B$60,(MAX(12,'0. Supuestos'!$B$21)-12)/2,0)+IF(7='0. Supuestos'!$B$61,(MAX(12,'0. Supuestos'!$B$21)-12)/2,0))),"")</f>
        <v>-7980.0</v>
      </c>
      <c r="I13" s="32">
        <f>IFERROR(IF('PyG 3 Años'!$B$9="","",-'PyG 3 Años'!$B$23/MAX(12,'0. Supuestos'!$B$21)*(1+IF(8='0. Supuestos'!$B$60,(MAX(12,'0. Supuestos'!$B$21)-12)/2,0)+IF(8='0. Supuestos'!$B$61,(MAX(12,'0. Supuestos'!$B$21)-12)/2,0))),"")</f>
        <v>-7980.0</v>
      </c>
      <c r="J13" s="32">
        <f>IFERROR(IF('PyG 3 Años'!$B$9="","",-'PyG 3 Años'!$B$23/MAX(12,'0. Supuestos'!$B$21)*(1+IF(9='0. Supuestos'!$B$60,(MAX(12,'0. Supuestos'!$B$21)-12)/2,0)+IF(9='0. Supuestos'!$B$61,(MAX(12,'0. Supuestos'!$B$21)-12)/2,0))),"")</f>
        <v>-7980.0</v>
      </c>
      <c r="K13" s="32">
        <f>IFERROR(IF('PyG 3 Años'!$B$9="","",-'PyG 3 Años'!$B$23/MAX(12,'0. Supuestos'!$B$21)*(1+IF(10='0. Supuestos'!$B$60,(MAX(12,'0. Supuestos'!$B$21)-12)/2,0)+IF(10='0. Supuestos'!$B$61,(MAX(12,'0. Supuestos'!$B$21)-12)/2,0))),"")</f>
        <v>-15960.0</v>
      </c>
      <c r="L13" s="32">
        <f>IFERROR(IF('PyG 3 Años'!$B$9="","",-'PyG 3 Años'!$B$23/MAX(12,'0. Supuestos'!$B$21)*(1+IF(11='0. Supuestos'!$B$60,(MAX(12,'0. Supuestos'!$B$21)-12)/2,0)+IF(11='0. Supuestos'!$B$61,(MAX(12,'0. Supuestos'!$B$21)-12)/2,0))),"")</f>
        <v>-7980.0</v>
      </c>
      <c r="M13" s="32">
        <f>IFERROR(IF('PyG 3 Años'!$B$9="","",-'PyG 3 Años'!$B$23/MAX(12,'0. Supuestos'!$B$21)*(1+IF(12='0. Supuestos'!$B$60,(MAX(12,'0. Supuestos'!$B$21)-12)/2,0)+IF(12='0. Supuestos'!$B$61,(MAX(12,'0. Supuestos'!$B$21)-12)/2,0))),"")</f>
        <v>-7980.0</v>
      </c>
      <c r="N13" s="32">
        <f>IFERROR(IF('PyG 3 Años'!$B$9="","",SUM(B13:M13)),"")</f>
        <v>-111720.0</v>
      </c>
      <c r="O13" s="28" t="inlineStr">
        <is>
          <t>Doce mensualidades más las pagas extra en los meses que digas en Supuestos. La suma del año es la misma que la del P&amp;L. El personal se reparte en doce meses, pero la coordinación y los auxiliares fijos discontinuos sólo trabajan de marzo a noviembre: aquí la temporada sale más barata y el invierno más caro que en la realidad. A final de noviembre tu caja real será unos 9.000 € menor que la de esta hoja (tres mensualidades de esos dos puestos), y en febrero se iguala</t>
        </is>
      </c>
    </row>
    <row r="14">
      <c r="A14" s="28" t="inlineStr">
        <is>
          <t>Intereses del préstamo</t>
        </is>
      </c>
      <c r="B14" s="32">
        <f>IFERROR(IF('PyG 3 Años'!$B$9="","",-'Financiación'!$B$44/12),"")</f>
        <v>-1424.5833333333333</v>
      </c>
      <c r="C14" s="32">
        <f>IFERROR(IF('PyG 3 Años'!$B$9="","",-'Financiación'!$B$44/12),"")</f>
        <v>-1424.5833333333333</v>
      </c>
      <c r="D14" s="32">
        <f>IFERROR(IF('PyG 3 Años'!$B$9="","",-'Financiación'!$B$44/12),"")</f>
        <v>-1424.5833333333333</v>
      </c>
      <c r="E14" s="32">
        <f>IFERROR(IF('PyG 3 Años'!$B$9="","",-'Financiación'!$B$44/12),"")</f>
        <v>-1424.5833333333333</v>
      </c>
      <c r="F14" s="32">
        <f>IFERROR(IF('PyG 3 Años'!$B$9="","",-'Financiación'!$B$44/12),"")</f>
        <v>-1424.5833333333333</v>
      </c>
      <c r="G14" s="32">
        <f>IFERROR(IF('PyG 3 Años'!$B$9="","",-'Financiación'!$B$44/12),"")</f>
        <v>-1424.5833333333333</v>
      </c>
      <c r="H14" s="32">
        <f>IFERROR(IF('PyG 3 Años'!$B$9="","",-'Financiación'!$B$44/12),"")</f>
        <v>-1424.5833333333333</v>
      </c>
      <c r="I14" s="32">
        <f>IFERROR(IF('PyG 3 Años'!$B$9="","",-'Financiación'!$B$44/12),"")</f>
        <v>-1424.5833333333333</v>
      </c>
      <c r="J14" s="32">
        <f>IFERROR(IF('PyG 3 Años'!$B$9="","",-'Financiación'!$B$44/12),"")</f>
        <v>-1424.5833333333333</v>
      </c>
      <c r="K14" s="32">
        <f>IFERROR(IF('PyG 3 Años'!$B$9="","",-'Financiación'!$B$44/12),"")</f>
        <v>-1424.5833333333333</v>
      </c>
      <c r="L14" s="32">
        <f>IFERROR(IF('PyG 3 Años'!$B$9="","",-'Financiación'!$B$44/12),"")</f>
        <v>-1424.5833333333333</v>
      </c>
      <c r="M14" s="32">
        <f>IFERROR(IF('PyG 3 Años'!$B$9="","",-'Financiación'!$B$44/12),"")</f>
        <v>-1424.5833333333333</v>
      </c>
      <c r="N14" s="32">
        <f>IFERROR(IF('PyG 3 Años'!$B$9="","",SUM(B14:M14)),"")</f>
        <v>-17095.0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3110.497639377197</v>
      </c>
      <c r="C16" s="32">
        <f>IFERROR(IF('PyG 3 Años'!$B$9="","",'PyG 3 Años'!$B$9*C7*SUMPRODUCT('PyG 3 Años'!$E$10:$E$11,'PyG 3 Años'!$G$10:$G$11)),"")</f>
        <v>4608.144650929181</v>
      </c>
      <c r="D16" s="32">
        <f>IFERROR(IF('PyG 3 Años'!$B$9="","",'PyG 3 Años'!$B$9*D7*SUMPRODUCT('PyG 3 Años'!$E$10:$E$11,'PyG 3 Años'!$G$10:$G$11)),"")</f>
        <v>7482.749171270718</v>
      </c>
      <c r="E16" s="32">
        <f>IFERROR(IF('PyG 3 Años'!$B$9="","",'PyG 3 Años'!$B$9*E7*SUMPRODUCT('PyG 3 Años'!$E$10:$E$11,'PyG 3 Años'!$G$10:$G$11)),"")</f>
        <v>8887.13611250628</v>
      </c>
      <c r="F16" s="32">
        <f>IFERROR(IF('PyG 3 Años'!$B$9="","",'PyG 3 Años'!$B$9*F7*SUMPRODUCT('PyG 3 Años'!$E$10:$E$11,'PyG 3 Años'!$G$10:$G$11)),"")</f>
        <v>5562.688900050225</v>
      </c>
      <c r="G16" s="32">
        <f>IFERROR(IF('PyG 3 Años'!$B$9="","",'PyG 3 Años'!$B$9*G7*SUMPRODUCT('PyG 3 Años'!$E$10:$E$11,'PyG 3 Años'!$G$10:$G$11)),"")</f>
        <v>4224.132596685083</v>
      </c>
      <c r="H16" s="32">
        <f>IFERROR(IF('PyG 3 Años'!$B$9="","",'PyG 3 Años'!$B$9*H7*SUMPRODUCT('PyG 3 Años'!$E$10:$E$11,'PyG 3 Años'!$G$10:$G$11)),"")</f>
        <v>10039.172275238572</v>
      </c>
      <c r="I16" s="32">
        <f>IFERROR(IF('PyG 3 Años'!$B$9="","",'PyG 3 Años'!$B$9*I7*SUMPRODUCT('PyG 3 Años'!$E$10:$E$11,'PyG 3 Años'!$G$10:$G$11)),"")</f>
        <v>9742.934404821695</v>
      </c>
      <c r="J16" s="32">
        <f>IFERROR(IF('PyG 3 Años'!$B$9="","",'PyG 3 Años'!$B$9*J7*SUMPRODUCT('PyG 3 Años'!$E$10:$E$11,'PyG 3 Años'!$G$10:$G$11)),"")</f>
        <v>6807.985133098945</v>
      </c>
      <c r="K16" s="32">
        <f>IFERROR(IF('PyG 3 Años'!$B$9="","",'PyG 3 Años'!$B$9*K7*SUMPRODUCT('PyG 3 Años'!$E$10:$E$11,'PyG 3 Años'!$G$10:$G$11)),"")</f>
        <v>7603.438674033148</v>
      </c>
      <c r="L16" s="32">
        <f>IFERROR(IF('PyG 3 Años'!$B$9="","",'PyG 3 Años'!$B$9*L7*SUMPRODUCT('PyG 3 Años'!$E$10:$E$11,'PyG 3 Años'!$G$10:$G$11)),"")</f>
        <v>3231.1871421396277</v>
      </c>
      <c r="M16" s="32">
        <f>IFERROR(IF('PyG 3 Años'!$B$9="","",'PyG 3 Años'!$B$9*M7*SUMPRODUCT('PyG 3 Años'!$E$10:$E$11,'PyG 3 Años'!$G$10:$G$11)),"")</f>
        <v>5156.73329984932</v>
      </c>
      <c r="N16" s="32">
        <f>IFERROR(IF('PyG 3 Años'!$B$9="","",SUM(B16:M16)),"")</f>
        <v>76456.79999999999</v>
      </c>
      <c r="O16" s="28" t="inlineStr">
        <is>
          <t>Cada línea de venta a SU tipo, leído de la columna de IVA del P&amp;L: en la finca, alcohol incluido, el reducido (art. 91.Uno.2.2.º de la Ley 37/1992 del IVA); el alcohol que sale por intermediarios, al general; el espacio, los servicios y el canon de la finca, al general (el 21 %)</t>
        </is>
      </c>
    </row>
    <row r="17">
      <c r="A17" s="28" t="inlineStr">
        <is>
          <t>IVA soportado del mes (memoria)</t>
        </is>
      </c>
      <c r="B17" s="32">
        <f>IFERROR(IF('PyG 3 Años'!$B$9="","",'PyG 3 Años'!$B$39*B7+'PyG 3 Años'!$B$40/12),"")</f>
        <v>2421.1510164299348</v>
      </c>
      <c r="C17" s="32">
        <f>IFERROR(IF('PyG 3 Años'!$B$9="","",'PyG 3 Años'!$B$39*C7+'PyG 3 Años'!$B$40/12),"")</f>
        <v>2708.908913229533</v>
      </c>
      <c r="D17" s="32">
        <f>IFERROR(IF('PyG 3 Años'!$B$9="","",'PyG 3 Años'!$B$39*D7+'PyG 3 Años'!$B$40/12),"")</f>
        <v>3261.2354257679563</v>
      </c>
      <c r="E17" s="32">
        <f>IFERROR(IF('PyG 3 Años'!$B$9="","",'PyG 3 Años'!$B$39*E7+'PyG 3 Años'!$B$40/12),"")</f>
        <v>3531.0743326569564</v>
      </c>
      <c r="F17" s="32">
        <f>IFERROR(IF('PyG 3 Años'!$B$9="","",'PyG 3 Años'!$B$39*F7+'PyG 3 Años'!$B$40/12),"")</f>
        <v>2892.31504525565</v>
      </c>
      <c r="G17" s="32">
        <f>IFERROR(IF('PyG 3 Años'!$B$9="","",'PyG 3 Años'!$B$39*G7+'PyG 3 Años'!$B$40/12),"")</f>
        <v>2635.1248371270717</v>
      </c>
      <c r="H17" s="32">
        <f>IFERROR(IF('PyG 3 Años'!$B$9="","",'PyG 3 Años'!$B$39*H7+'PyG 3 Años'!$B$40/12),"")</f>
        <v>3752.42656096434</v>
      </c>
      <c r="I17" s="32">
        <f>IFERROR(IF('PyG 3 Años'!$B$9="","",'PyG 3 Años'!$B$39*I7+'PyG 3 Años'!$B$40/12),"")</f>
        <v>3695.5074165424408</v>
      </c>
      <c r="J17" s="32">
        <f>IFERROR(IF('PyG 3 Años'!$B$9="","",'PyG 3 Años'!$B$39*J7+'PyG 3 Años'!$B$40/12),"")</f>
        <v>3131.5862634736313</v>
      </c>
      <c r="K17" s="32">
        <f>IFERROR(IF('PyG 3 Años'!$B$9="","",'PyG 3 Años'!$B$39*K7+'PyG 3 Años'!$B$40/12),"")</f>
        <v>3284.4247068287295</v>
      </c>
      <c r="L17" s="32">
        <f>IFERROR(IF('PyG 3 Años'!$B$9="","",'PyG 3 Años'!$B$39*L7+'PyG 3 Años'!$B$40/12),"")</f>
        <v>2444.340297490708</v>
      </c>
      <c r="M17" s="32">
        <f>IFERROR(IF('PyG 3 Años'!$B$9="","",'PyG 3 Años'!$B$39*M7+'PyG 3 Años'!$B$40/12),"")</f>
        <v>2814.3147362330487</v>
      </c>
      <c r="N17" s="32">
        <f>IFERROR(IF('PyG 3 Años'!$B$9="","",SUM(B17:M17)),"")</f>
        <v>36572.409552000005</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Inicial'!$B$33),"")</f>
        <v>51193.799999999996</v>
      </c>
      <c r="F18" s="28" t="n"/>
      <c r="G18" s="28" t="n"/>
      <c r="H18" s="32">
        <f>IFERROR(IF('PyG 3 Años'!$B$9="","",MAX(0,-E19)),"")</f>
        <v>44383.703893850325</v>
      </c>
      <c r="I18" s="28" t="n"/>
      <c r="J18" s="28" t="n"/>
      <c r="K18" s="32">
        <f>IFERROR(IF('PyG 3 Años'!$B$9="","",MAX(0,-H19)),"")</f>
        <v>34768.260499648415</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-44383.703893850325</v>
      </c>
      <c r="F19" s="28" t="n"/>
      <c r="G19" s="28" t="n"/>
      <c r="H19" s="32">
        <f>IFERROR(IF('PyG 3 Años'!$B$9="","",SUM(E16:G16)-SUM(E17:G17)-H18),"")</f>
        <v>-34768.260499648415</v>
      </c>
      <c r="I19" s="28" t="n"/>
      <c r="J19" s="28" t="n"/>
      <c r="K19" s="32">
        <f>IFERROR(IF('PyG 3 Años'!$B$9="","",SUM(H16:J16)-SUM(H17:J17)-K18),"")</f>
        <v>-18757.688927469615</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-8421.489226519338</v>
      </c>
      <c r="C21" s="26">
        <f>IFERROR(IF('PyG 3 Años'!$B$9="","",SUM(C9:C15)+IF(C20="",0,C20)),"")</f>
        <v>-182.53645952386</v>
      </c>
      <c r="D21" s="26">
        <f>IFERROR(IF('PyG 3 Años'!$B$9="","",SUM(D9:D15)+IF(D20="",0,D20)),"")</f>
        <v>12056.59978606013</v>
      </c>
      <c r="E21" s="26">
        <f>IFERROR(IF('PyG 3 Años'!$B$9="","",SUM(E9:E15)+IF(E20="",0,E20)),"")</f>
        <v>19748.776272101033</v>
      </c>
      <c r="F21" s="26">
        <f>IFERROR(IF('PyG 3 Años'!$B$9="","",SUM(F9:F15)+IF(F20="",0,F20)),"")</f>
        <v>121.14330428069184</v>
      </c>
      <c r="G21" s="26">
        <f>IFERROR(IF('PyG 3 Años'!$B$9="","",SUM(G9:G15)+IF(G20="",0,G20)),"")</f>
        <v>302.30022009556774</v>
      </c>
      <c r="H21" s="26">
        <f>IFERROR(IF('PyG 3 Años'!$B$9="","",SUM(H9:H15)+IF(H20="",0,H20)),"")</f>
        <v>21569.586501468042</v>
      </c>
      <c r="I21" s="26">
        <f>IFERROR(IF('PyG 3 Años'!$B$9="","",SUM(I9:I15)+IF(I20="",0,I20)),"")</f>
        <v>25079.367057030915</v>
      </c>
      <c r="J21" s="26">
        <f>IFERROR(IF('PyG 3 Años'!$B$9="","",SUM(J9:J15)+IF(J20="",0,J20)),"")</f>
        <v>13568.664794033723</v>
      </c>
      <c r="K21" s="26">
        <f>IFERROR(IF('PyG 3 Años'!$B$9="","",SUM(K9:K15)+IF(K20="",0,K20)),"")</f>
        <v>6298.438253337738</v>
      </c>
      <c r="L21" s="26">
        <f>IFERROR(IF('PyG 3 Años'!$B$9="","",SUM(L9:L15)+IF(L20="",0,L20)),"")</f>
        <v>-1880.7880226929803</v>
      </c>
      <c r="M21" s="26">
        <f>IFERROR(IF('PyG 3 Años'!$B$9="","",SUM(M9:M15)+IF(M20="",0,M20)),"")</f>
        <v>2021.2024816726669</v>
      </c>
      <c r="N21" s="26">
        <f>IFERROR(IF('PyG 3 Años'!$B$9="","",SUM(B21:M21)),"")</f>
        <v>90281.26496134432</v>
      </c>
      <c r="O21" s="28" t="n"/>
    </row>
    <row r="22">
      <c r="A22" s="25" t="inlineStr">
        <is>
          <t>SALDO ACUMULADO DE CAJA</t>
        </is>
      </c>
      <c r="B22" s="26">
        <f>IFERROR(IF('PyG 3 Años'!$B$9="","",'Inversión Inicial'!$B$30+B21),"")</f>
        <v>51207.260773480666</v>
      </c>
      <c r="C22" s="26">
        <f>IFERROR(IF('PyG 3 Años'!$B$9="","",B22+C21),"")</f>
        <v>51024.72431395681</v>
      </c>
      <c r="D22" s="26">
        <f>IFERROR(IF('PyG 3 Años'!$B$9="","",C22+D21),"")</f>
        <v>63081.32410001694</v>
      </c>
      <c r="E22" s="26">
        <f>IFERROR(IF('PyG 3 Años'!$B$9="","",D22+E21),"")</f>
        <v>82830.10037211797</v>
      </c>
      <c r="F22" s="26">
        <f>IFERROR(IF('PyG 3 Años'!$B$9="","",E22+F21),"")</f>
        <v>82951.24367639866</v>
      </c>
      <c r="G22" s="26">
        <f>IFERROR(IF('PyG 3 Años'!$B$9="","",F22+G21),"")</f>
        <v>83253.54389649423</v>
      </c>
      <c r="H22" s="26">
        <f>IFERROR(IF('PyG 3 Años'!$B$9="","",G22+H21),"")</f>
        <v>104823.13039796228</v>
      </c>
      <c r="I22" s="26">
        <f>IFERROR(IF('PyG 3 Años'!$B$9="","",H22+I21),"")</f>
        <v>129902.4974549932</v>
      </c>
      <c r="J22" s="26">
        <f>IFERROR(IF('PyG 3 Años'!$B$9="","",I22+J21),"")</f>
        <v>143471.1622490269</v>
      </c>
      <c r="K22" s="26">
        <f>IFERROR(IF('PyG 3 Años'!$B$9="","",J22+K21),"")</f>
        <v>149769.60050236466</v>
      </c>
      <c r="L22" s="26">
        <f>IFERROR(IF('PyG 3 Años'!$B$9="","",K22+L21),"")</f>
        <v>147888.81247967167</v>
      </c>
      <c r="M22" s="26">
        <f>IFERROR(IF('PyG 3 Años'!$B$9="","",L22+M21),"")</f>
        <v>149910.01496134434</v>
      </c>
      <c r="N22" s="28" t="n"/>
      <c r="O22" s="28" t="n"/>
    </row>
    <row r="23">
      <c r="A23" s="28" t="inlineStr">
        <is>
          <t>Saldo mínimo del año</t>
        </is>
      </c>
      <c r="B23" s="32">
        <f>IFERROR(IF('PyG 3 Años'!$B$9="","",IF(COUNT(B22:M22)=0,"",MIN(B22:M22))),"")</f>
        <v>51024.72431395681</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39">
        <f>IFERROR(IF('PyG 3 Años'!$B$9="","",IF(COUNT(B22:M22)=0,"",MATCH(MIN(B22:M22),B22:M22,0))),"")</f>
        <v>2.0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65948.46448</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80774.73763839998</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82120.2362548076</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107376.26496134432</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Inicial'!$B$34-'Inversión Inicial'!$B$33),"")</f>
        <v>311408.75</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t="str">
        <f>IFERROR(IF('PyG 3 Años'!$B$9="","",IF(B26&gt;='Inversión Inicial'!$B$32,ROUND('Inversión Inicial'!$B$32/B26,1),IF(B26+B27&gt;='Inversión Inicial'!$B$32,ROUND(1+('Inversión Inicial'!$B$32-B26)/B27,1),IF(B26+B27+B28&gt;='Inversión Inicial'!$B$32,ROUND(2+('Inversión Inicial'!$B$32-B26-B27)/B28,1),"Más de 3 años")))),"")</f>
        <v>Más de 3 años</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Los trimestres de esta hoja son de tres meses del plan (marzo-mayo, junio-agosto y septiembre-noviembre), no los naturales: con el Mes 1 en marzo, el modelo 303 se presenta en abril (por marzo), julio, octubre y enero (por octubre-diciembre, ya en el Mes 11). En el caso todos los trimestres salen a compensar y la finca no paga IVA en su primer año: el de la obra se descuenta de lo que repercutes, y tras el tercer trimestre del plan aún quedan unos 18.760 € por compensar.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100000.0</v>
      </c>
      <c r="C6" s="28" t="n"/>
      <c r="D6" s="28" t="n"/>
      <c r="E6" s="28" t="n"/>
      <c r="F6" s="28" t="n"/>
      <c r="G6" s="28" t="n"/>
      <c r="H6" s="28" t="n"/>
    </row>
    <row r="7">
      <c r="A7" s="28" t="inlineStr">
        <is>
          <t>Préstamo bancario</t>
        </is>
      </c>
      <c r="B7" s="32">
        <f>IFERROR(IF('0. Supuestos'!$B$31="","",'0. Supuestos'!$B$31),"")</f>
        <v>263000.0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363000.0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Inicial'!$B$34="","",'Inversión Inicial'!$B$34),"")</f>
        <v>362602.55</v>
      </c>
      <c r="C14" s="28" t="inlineStr">
        <is>
          <t>Inversión más el IVA que hay que adelantar</t>
        </is>
      </c>
      <c r="D14" s="28" t="n"/>
      <c r="E14" s="28" t="n"/>
      <c r="F14" s="28" t="n"/>
      <c r="G14" s="28" t="n"/>
      <c r="H14" s="28" t="n"/>
    </row>
    <row r="15">
      <c r="A15" s="25" t="inlineStr">
        <is>
          <t>Diferencia (origen - usos)</t>
        </is>
      </c>
      <c r="B15" s="26">
        <f>IFERROR(B12-B14,"")</f>
        <v>397.45000000001164</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7">
        <f>IFERROR(B15/B14,"")</f>
        <v>0.0010961037091438315</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262602.55</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263000.0</v>
      </c>
      <c r="C20" s="28" t="n"/>
      <c r="D20" s="28" t="n"/>
      <c r="E20" s="28" t="n"/>
      <c r="F20" s="28" t="n"/>
      <c r="G20" s="28" t="n"/>
      <c r="H20" s="28" t="n"/>
    </row>
    <row r="21">
      <c r="A21" s="28" t="inlineStr">
        <is>
          <t>Tipo de interés nominal anual</t>
        </is>
      </c>
      <c r="B21" s="67">
        <f>IFERROR(IF('0. Supuestos'!$B$32="","",'0. Supuestos'!$B$32),"")</f>
        <v>0.065</v>
      </c>
      <c r="C21" s="28" t="n"/>
      <c r="D21" s="28" t="n"/>
      <c r="E21" s="28" t="n"/>
      <c r="F21" s="28" t="n"/>
      <c r="G21" s="28" t="n"/>
      <c r="H21" s="28" t="n"/>
    </row>
    <row r="22">
      <c r="A22" s="28" t="inlineStr">
        <is>
          <t>Plazo total (años)</t>
        </is>
      </c>
      <c r="B22" s="39">
        <f>IFERROR(IF('0. Supuestos'!$B$33="","",'0. Supuestos'!$B$33),"")</f>
        <v>8.0</v>
      </c>
      <c r="C22" s="28" t="n"/>
      <c r="D22" s="28" t="n"/>
      <c r="E22" s="28" t="n"/>
      <c r="F22" s="28" t="n"/>
      <c r="G22" s="28" t="n"/>
      <c r="H22" s="28" t="n"/>
    </row>
    <row r="23">
      <c r="A23" s="28" t="inlineStr">
        <is>
          <t>Carencia de principal aplicada (años)</t>
        </is>
      </c>
      <c r="B23" s="39">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47953.15012876365</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39" t="n">
        <v>1</v>
      </c>
      <c r="B27" s="69">
        <f>IFERROR(IF(B20="","",B20),"")</f>
        <v>263000.0</v>
      </c>
      <c r="C27" s="69">
        <f>IFERROR(IF(OR(1&gt;B22,B27=""),"",B27*B21),"")</f>
        <v>17095.0</v>
      </c>
      <c r="D27" s="69">
        <f>IFERROR(IF(OR(1&gt;B22,B27=""),"",IF(1&lt;=B23,0,MIN(B27,B24-C27))),"")</f>
        <v>0.0</v>
      </c>
      <c r="E27" s="69">
        <f>IFERROR(IF(C27="","",C27+D27),"")</f>
        <v>17095.0</v>
      </c>
      <c r="F27" s="69">
        <f>IFERROR(IF(D27="","",B27-D27),"")</f>
        <v>263000.0</v>
      </c>
      <c r="G27" s="69">
        <f>IFERROR(IF(E27="","",'PyG 3 Años'!$B$41-'PyG 3 Años'!$B$46+'PyG 3 Años'!$B$36+'PyG 3 Años'!$B$37),"")</f>
        <v>65948.46448</v>
      </c>
      <c r="H27" s="60">
        <f>IFERROR(IF(OR(E27="",E27=0),"",G27/E27),"")</f>
        <v>3.857763350687335</v>
      </c>
    </row>
    <row r="28">
      <c r="A28" s="39" t="n">
        <v>2</v>
      </c>
      <c r="B28" s="69">
        <f>IFERROR(IF(OR(2&gt;B22,F27=""),"",F27),"")</f>
        <v>263000.0</v>
      </c>
      <c r="C28" s="69">
        <f>IFERROR(IF(OR(2&gt;B22,B28=""),"",B28*B21),"")</f>
        <v>17095.0</v>
      </c>
      <c r="D28" s="69">
        <f>IFERROR(IF(OR(2&gt;B22,B28=""),"",IF(2&lt;=B23,0,MIN(B28,B24-C28))),"")</f>
        <v>30858.15012876365</v>
      </c>
      <c r="E28" s="69">
        <f>IFERROR(IF(C28="","",C28+D28),"")</f>
        <v>47953.15012876365</v>
      </c>
      <c r="F28" s="69">
        <f>IFERROR(IF(D28="","",B28-D28),"")</f>
        <v>232141.84987123637</v>
      </c>
      <c r="G28" s="69">
        <f>IFERROR(IF(E28="","",'PyG 3 Años'!$C$41-'PyG 3 Años'!$C$46+'PyG 3 Años'!$C$36+'PyG 3 Años'!$C$37),"")</f>
        <v>80774.73763839998</v>
      </c>
      <c r="H28" s="60">
        <f>IFERROR(IF(OR(E28="",E28=0),"",G28/E28),"")</f>
        <v>1.684451124097247</v>
      </c>
    </row>
    <row r="29">
      <c r="A29" s="39" t="n">
        <v>3</v>
      </c>
      <c r="B29" s="69">
        <f>IFERROR(IF(OR(3&gt;B22,F28=""),"",F28),"")</f>
        <v>232141.84987123637</v>
      </c>
      <c r="C29" s="69">
        <f>IFERROR(IF(OR(3&gt;B22,B29=""),"",B29*B21),"")</f>
        <v>15089.220241630364</v>
      </c>
      <c r="D29" s="69">
        <f>IFERROR(IF(OR(3&gt;B22,B29=""),"",IF(3&lt;=B23,0,MIN(B29,B24-C29))),"")</f>
        <v>32863.92988713329</v>
      </c>
      <c r="E29" s="69">
        <f>IFERROR(IF(C29="","",C29+D29),"")</f>
        <v>47953.15012876365</v>
      </c>
      <c r="F29" s="69">
        <f>IFERROR(IF(D29="","",B29-D29),"")</f>
        <v>199277.91998410306</v>
      </c>
      <c r="G29" s="69">
        <f>IFERROR(IF(E29="","",'PyG 3 Años'!$D$41-'PyG 3 Años'!$D$46+'PyG 3 Años'!$D$36+'PyG 3 Años'!$D$37),"")</f>
        <v>82120.2362548076</v>
      </c>
      <c r="H29" s="60">
        <f>IFERROR(IF(OR(E29="",E29=0),"",G29/E29),"")</f>
        <v>1.7125097315671358</v>
      </c>
    </row>
    <row r="30">
      <c r="A30" s="39" t="n">
        <v>4</v>
      </c>
      <c r="B30" s="69">
        <f>IFERROR(IF(OR(4&gt;B22,F29=""),"",F29),"")</f>
        <v>199277.91998410306</v>
      </c>
      <c r="C30" s="69">
        <f>IFERROR(IF(OR(4&gt;B22,B30=""),"",B30*B21),"")</f>
        <v>12953.0647989667</v>
      </c>
      <c r="D30" s="69">
        <f>IFERROR(IF(OR(4&gt;B22,B30=""),"",IF(4&lt;=B23,0,MIN(B30,B24-C30))),"")</f>
        <v>35000.08532979695</v>
      </c>
      <c r="E30" s="69">
        <f>IFERROR(IF(C30="","",C30+D30),"")</f>
        <v>47953.15012876365</v>
      </c>
      <c r="F30" s="69">
        <f>IFERROR(IF(D30="","",B30-D30),"")</f>
        <v>164277.83465430612</v>
      </c>
      <c r="G30" s="69">
        <f>IFERROR(IF(E30="","",'PyG 3 Años'!$D$41-'PyG 3 Años'!$D$46+'PyG 3 Años'!$D$36+'PyG 3 Años'!$D$37),"")</f>
        <v>82120.2362548076</v>
      </c>
      <c r="H30" s="60">
        <f>IFERROR(IF(OR(E30="",E30=0),"",G30/E30),"")</f>
        <v>1.7125097315671358</v>
      </c>
    </row>
    <row r="31">
      <c r="A31" s="39" t="n">
        <v>5</v>
      </c>
      <c r="B31" s="69">
        <f>IFERROR(IF(OR(5&gt;B22,F30=""),"",F30),"")</f>
        <v>164277.83465430612</v>
      </c>
      <c r="C31" s="69">
        <f>IFERROR(IF(OR(5&gt;B22,B31=""),"",B31*B21),"")</f>
        <v>10678.059252529898</v>
      </c>
      <c r="D31" s="69">
        <f>IFERROR(IF(OR(5&gt;B22,B31=""),"",IF(5&lt;=B23,0,MIN(B31,B24-C31))),"")</f>
        <v>37275.09087623375</v>
      </c>
      <c r="E31" s="69">
        <f>IFERROR(IF(C31="","",C31+D31),"")</f>
        <v>47953.15012876365</v>
      </c>
      <c r="F31" s="69">
        <f>IFERROR(IF(D31="","",B31-D31),"")</f>
        <v>127002.74377807237</v>
      </c>
      <c r="G31" s="69">
        <f>IFERROR(IF(E31="","",'PyG 3 Años'!$D$41-'PyG 3 Años'!$D$46+'PyG 3 Años'!$D$36+'PyG 3 Años'!$D$37),"")</f>
        <v>82120.2362548076</v>
      </c>
      <c r="H31" s="60">
        <f>IFERROR(IF(OR(E31="",E31=0),"",G31/E31),"")</f>
        <v>1.7125097315671358</v>
      </c>
    </row>
    <row r="32">
      <c r="A32" s="39" t="n">
        <v>6</v>
      </c>
      <c r="B32" s="69">
        <f>IFERROR(IF(OR(6&gt;B22,F31=""),"",F31),"")</f>
        <v>127002.74377807237</v>
      </c>
      <c r="C32" s="69">
        <f>IFERROR(IF(OR(6&gt;B22,B32=""),"",B32*B21),"")</f>
        <v>8255.178345574705</v>
      </c>
      <c r="D32" s="69">
        <f>IFERROR(IF(OR(6&gt;B22,B32=""),"",IF(6&lt;=B23,0,MIN(B32,B24-C32))),"")</f>
        <v>39697.97178318894</v>
      </c>
      <c r="E32" s="69">
        <f>IFERROR(IF(C32="","",C32+D32),"")</f>
        <v>47953.15012876365</v>
      </c>
      <c r="F32" s="69">
        <f>IFERROR(IF(D32="","",B32-D32),"")</f>
        <v>87304.77199488343</v>
      </c>
      <c r="G32" s="69">
        <f>IFERROR(IF(E32="","",'PyG 3 Años'!$D$41-'PyG 3 Años'!$D$46+'PyG 3 Años'!$D$36+'PyG 3 Años'!$D$37),"")</f>
        <v>82120.2362548076</v>
      </c>
      <c r="H32" s="60">
        <f>IFERROR(IF(OR(E32="",E32=0),"",G32/E32),"")</f>
        <v>1.7125097315671358</v>
      </c>
    </row>
    <row r="33">
      <c r="A33" s="39" t="n">
        <v>7</v>
      </c>
      <c r="B33" s="69">
        <f>IFERROR(IF(OR(7&gt;B22,F32=""),"",F32),"")</f>
        <v>87304.77199488343</v>
      </c>
      <c r="C33" s="69">
        <f>IFERROR(IF(OR(7&gt;B22,B33=""),"",B33*B21),"")</f>
        <v>5674.810179667423</v>
      </c>
      <c r="D33" s="69">
        <f>IFERROR(IF(OR(7&gt;B22,B33=""),"",IF(7&lt;=B23,0,MIN(B33,B24-C33))),"")</f>
        <v>42278.339949096226</v>
      </c>
      <c r="E33" s="69">
        <f>IFERROR(IF(C33="","",C33+D33),"")</f>
        <v>47953.15012876365</v>
      </c>
      <c r="F33" s="69">
        <f>IFERROR(IF(D33="","",B33-D33),"")</f>
        <v>45026.4320457872</v>
      </c>
      <c r="G33" s="69">
        <f>IFERROR(IF(E33="","",'PyG 3 Años'!$D$41-'PyG 3 Años'!$D$46+'PyG 3 Años'!$D$36+'PyG 3 Años'!$D$37),"")</f>
        <v>82120.2362548076</v>
      </c>
      <c r="H33" s="60">
        <f>IFERROR(IF(OR(E33="",E33=0),"",G33/E33),"")</f>
        <v>1.7125097315671358</v>
      </c>
    </row>
    <row r="34">
      <c r="A34" s="39" t="n">
        <v>8</v>
      </c>
      <c r="B34" s="69">
        <f>IFERROR(IF(OR(8&gt;B22,F33=""),"",F33),"")</f>
        <v>45026.4320457872</v>
      </c>
      <c r="C34" s="69">
        <f>IFERROR(IF(OR(8&gt;B22,B34=""),"",B34*B21),"")</f>
        <v>2926.7180829761683</v>
      </c>
      <c r="D34" s="69">
        <f>IFERROR(IF(OR(8&gt;B22,B34=""),"",IF(8&lt;=B23,0,MIN(B34,B24-C34))),"")</f>
        <v>45026.4320457872</v>
      </c>
      <c r="E34" s="69">
        <f>IFERROR(IF(C34="","",C34+D34),"")</f>
        <v>47953.15012876337</v>
      </c>
      <c r="F34" s="69">
        <f>IFERROR(IF(D34="","",B34-D34),"")</f>
        <v>0.0</v>
      </c>
      <c r="G34" s="69">
        <f>IFERROR(IF(E34="","",'PyG 3 Años'!$D$41-'PyG 3 Años'!$D$46+'PyG 3 Años'!$D$36+'PyG 3 Años'!$D$37),"")</f>
        <v>82120.2362548076</v>
      </c>
      <c r="H34" s="60">
        <f>IFERROR(IF(OR(E34="",E34=0),"",G34/E34),"")</f>
        <v>1.7125097315671458</v>
      </c>
    </row>
    <row r="35">
      <c r="A35" s="39" t="n">
        <v>9</v>
      </c>
      <c r="B35" s="69">
        <f>IFERROR(IF(OR(9&gt;B22,F34=""),"",F34),"")</f>
        <v/>
      </c>
      <c r="C35" s="69">
        <f>IFERROR(IF(OR(9&gt;B22,B35=""),"",B35*B21),"")</f>
        <v/>
      </c>
      <c r="D35" s="69">
        <f>IFERROR(IF(OR(9&gt;B22,B35=""),"",IF(9&lt;=B23,0,MIN(B35,B24-C35))),"")</f>
        <v/>
      </c>
      <c r="E35" s="69">
        <f>IFERROR(IF(C35="","",C35+D35),"")</f>
        <v/>
      </c>
      <c r="F35" s="69">
        <f>IFERROR(IF(D35="","",B35-D35),"")</f>
        <v/>
      </c>
      <c r="G35" s="69">
        <f>IFERROR(IF(E35="","",'PyG 3 Años'!$D$41-'PyG 3 Años'!$D$46+'PyG 3 Años'!$D$36+'PyG 3 Años'!$D$37),"")</f>
        <v/>
      </c>
      <c r="H35" s="60">
        <f>IFERROR(IF(OR(E35="",E35=0),"",G35/E35),"")</f>
        <v/>
      </c>
    </row>
    <row r="36">
      <c r="A36" s="39" t="n">
        <v>10</v>
      </c>
      <c r="B36" s="69">
        <f>IFERROR(IF(OR(10&gt;B22,F35=""),"",F35),"")</f>
        <v/>
      </c>
      <c r="C36" s="69">
        <f>IFERROR(IF(OR(10&gt;B22,B36=""),"",B36*B21),"")</f>
        <v/>
      </c>
      <c r="D36" s="69">
        <f>IFERROR(IF(OR(10&gt;B22,B36=""),"",IF(10&lt;=B23,0,MIN(B36,B24-C36))),"")</f>
        <v/>
      </c>
      <c r="E36" s="69">
        <f>IFERROR(IF(C36="","",C36+D36),"")</f>
        <v/>
      </c>
      <c r="F36" s="69">
        <f>IFERROR(IF(D36="","",B36-D36),"")</f>
        <v/>
      </c>
      <c r="G36" s="69">
        <f>IFERROR(IF(E36="","",'PyG 3 Años'!$D$41-'PyG 3 Años'!$D$46+'PyG 3 Años'!$D$36+'PyG 3 Años'!$D$37),"")</f>
        <v/>
      </c>
      <c r="H36" s="60">
        <f>IFERROR(IF(OR(E36="",E36=0),"",G36/E36),"")</f>
        <v/>
      </c>
    </row>
    <row r="37">
      <c r="A37" s="39" t="n">
        <v>11</v>
      </c>
      <c r="B37" s="69">
        <f>IFERROR(IF(OR(11&gt;B22,F36=""),"",F36),"")</f>
        <v/>
      </c>
      <c r="C37" s="69">
        <f>IFERROR(IF(OR(11&gt;B22,B37=""),"",B37*B21),"")</f>
        <v/>
      </c>
      <c r="D37" s="69">
        <f>IFERROR(IF(OR(11&gt;B22,B37=""),"",IF(11&lt;=B23,0,MIN(B37,B24-C37))),"")</f>
        <v/>
      </c>
      <c r="E37" s="69">
        <f>IFERROR(IF(C37="","",C37+D37),"")</f>
        <v/>
      </c>
      <c r="F37" s="69">
        <f>IFERROR(IF(D37="","",B37-D37),"")</f>
        <v/>
      </c>
      <c r="G37" s="69">
        <f>IFERROR(IF(E37="","",'PyG 3 Años'!$D$41-'PyG 3 Años'!$D$46+'PyG 3 Años'!$D$36+'PyG 3 Años'!$D$37),"")</f>
        <v/>
      </c>
      <c r="H37" s="60">
        <f>IFERROR(IF(OR(E37="",E37=0),"",G37/E37),"")</f>
        <v/>
      </c>
    </row>
    <row r="38">
      <c r="A38" s="39" t="n">
        <v>12</v>
      </c>
      <c r="B38" s="69">
        <f>IFERROR(IF(OR(12&gt;B22,F37=""),"",F37),"")</f>
        <v/>
      </c>
      <c r="C38" s="69">
        <f>IFERROR(IF(OR(12&gt;B22,B38=""),"",B38*B21),"")</f>
        <v/>
      </c>
      <c r="D38" s="69">
        <f>IFERROR(IF(OR(12&gt;B22,B38=""),"",IF(12&lt;=B23,0,MIN(B38,B24-C38))),"")</f>
        <v/>
      </c>
      <c r="E38" s="69">
        <f>IFERROR(IF(C38="","",C38+D38),"")</f>
        <v/>
      </c>
      <c r="F38" s="69">
        <f>IFERROR(IF(D38="","",B38-D38),"")</f>
        <v/>
      </c>
      <c r="G38" s="69">
        <f>IFERROR(IF(E38="","",'PyG 3 Años'!$D$41-'PyG 3 Años'!$D$46+'PyG 3 Años'!$D$36+'PyG 3 Años'!$D$37),"")</f>
        <v/>
      </c>
      <c r="H38" s="60">
        <f>IFERROR(IF(OR(E38="",E38=0),"",G38/E38),"")</f>
        <v/>
      </c>
    </row>
    <row r="39">
      <c r="A39" s="39" t="n">
        <v>13</v>
      </c>
      <c r="B39" s="69">
        <f>IFERROR(IF(OR(13&gt;B22,F38=""),"",F38),"")</f>
        <v/>
      </c>
      <c r="C39" s="69">
        <f>IFERROR(IF(OR(13&gt;B22,B39=""),"",B39*B21),"")</f>
        <v/>
      </c>
      <c r="D39" s="69">
        <f>IFERROR(IF(OR(13&gt;B22,B39=""),"",IF(13&lt;=B23,0,MIN(B39,B24-C39))),"")</f>
        <v/>
      </c>
      <c r="E39" s="69">
        <f>IFERROR(IF(C39="","",C39+D39),"")</f>
        <v/>
      </c>
      <c r="F39" s="69">
        <f>IFERROR(IF(D39="","",B39-D39),"")</f>
        <v/>
      </c>
      <c r="G39" s="69">
        <f>IFERROR(IF(E39="","",'PyG 3 Años'!$D$41-'PyG 3 Años'!$D$46+'PyG 3 Años'!$D$36+'PyG 3 Años'!$D$37),"")</f>
        <v/>
      </c>
      <c r="H39" s="60">
        <f>IFERROR(IF(OR(E39="",E39=0),"",G39/E39),"")</f>
        <v/>
      </c>
    </row>
    <row r="40">
      <c r="A40" s="39" t="n">
        <v>14</v>
      </c>
      <c r="B40" s="69">
        <f>IFERROR(IF(OR(14&gt;B22,F39=""),"",F39),"")</f>
        <v/>
      </c>
      <c r="C40" s="69">
        <f>IFERROR(IF(OR(14&gt;B22,B40=""),"",B40*B21),"")</f>
        <v/>
      </c>
      <c r="D40" s="69">
        <f>IFERROR(IF(OR(14&gt;B22,B40=""),"",IF(14&lt;=B23,0,MIN(B40,B24-C40))),"")</f>
        <v/>
      </c>
      <c r="E40" s="69">
        <f>IFERROR(IF(C40="","",C40+D40),"")</f>
        <v/>
      </c>
      <c r="F40" s="69">
        <f>IFERROR(IF(D40="","",B40-D40),"")</f>
        <v/>
      </c>
      <c r="G40" s="69">
        <f>IFERROR(IF(E40="","",'PyG 3 Años'!$D$41-'PyG 3 Años'!$D$46+'PyG 3 Años'!$D$36+'PyG 3 Años'!$D$37),"")</f>
        <v/>
      </c>
      <c r="H40" s="60">
        <f>IFERROR(IF(OR(E40="",E40=0),"",G40/E40),"")</f>
        <v/>
      </c>
    </row>
    <row r="41">
      <c r="A41" s="39" t="n">
        <v>15</v>
      </c>
      <c r="B41" s="69">
        <f>IFERROR(IF(OR(15&gt;B22,F40=""),"",F40),"")</f>
        <v/>
      </c>
      <c r="C41" s="69">
        <f>IFERROR(IF(OR(15&gt;B22,B41=""),"",B41*B21),"")</f>
        <v/>
      </c>
      <c r="D41" s="69">
        <f>IFERROR(IF(OR(15&gt;B22,B41=""),"",IF(15&lt;=B23,0,MIN(B41,B24-C41))),"")</f>
        <v/>
      </c>
      <c r="E41" s="69">
        <f>IFERROR(IF(C41="","",C41+D41),"")</f>
        <v/>
      </c>
      <c r="F41" s="69">
        <f>IFERROR(IF(D41="","",B41-D41),"")</f>
        <v/>
      </c>
      <c r="G41" s="69">
        <f>IFERROR(IF(E41="","",'PyG 3 Años'!$D$41-'PyG 3 Años'!$D$46+'PyG 3 Años'!$D$36+'PyG 3 Años'!$D$37),"")</f>
        <v/>
      </c>
      <c r="H41" s="60">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69">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17095.0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17095.0</v>
      </c>
      <c r="C46" s="28" t="n"/>
      <c r="D46" s="28" t="n"/>
      <c r="E46" s="28" t="n"/>
      <c r="F46" s="28" t="n"/>
      <c r="G46" s="28" t="n"/>
      <c r="H46" s="28" t="n"/>
    </row>
    <row r="47">
      <c r="A47" s="28" t="inlineStr">
        <is>
          <t>Devolución de principal del año 2</t>
        </is>
      </c>
      <c r="B47" s="32">
        <f>IFERROR(IF(B20="","",IF(D28="",0,D28)),"")</f>
        <v>30858.15012876365</v>
      </c>
      <c r="C47" s="28" t="n"/>
      <c r="D47" s="28" t="n"/>
      <c r="E47" s="28" t="n"/>
      <c r="F47" s="28" t="n"/>
      <c r="G47" s="28" t="n"/>
      <c r="H47" s="28" t="n"/>
    </row>
    <row r="48">
      <c r="A48" s="28" t="inlineStr">
        <is>
          <t>Intereses del año 3</t>
        </is>
      </c>
      <c r="B48" s="32">
        <f>IFERROR(IF(B20="","",IF(C29="",0,C29)),"")</f>
        <v>15089.220241630364</v>
      </c>
      <c r="C48" s="28" t="n"/>
      <c r="D48" s="28" t="n"/>
      <c r="E48" s="28" t="n"/>
      <c r="F48" s="28" t="n"/>
      <c r="G48" s="28" t="n"/>
      <c r="H48" s="28" t="n"/>
    </row>
    <row r="49">
      <c r="A49" s="28" t="inlineStr">
        <is>
          <t>Devolución de principal del año 3</t>
        </is>
      </c>
      <c r="B49" s="32">
        <f>IFERROR(IF(B20="","",IF(D29="",0,D29)),"")</f>
        <v>32863.92988713329</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0">
        <f>IFERROR(('PyG 3 Años'!$B$41-'PyG 3 Años'!$B$46+'PyG 3 Años'!$B$36+B44)/(B44+B45),"")</f>
        <v>3.857763350687335</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0">
        <f>IFERROR(('PyG 3 Años'!$C$41-'PyG 3 Años'!$C$46+'PyG 3 Años'!$C$36+B46)/(B46+B47),"")</f>
        <v>1.684451124097247</v>
      </c>
      <c r="C52" s="28" t="n"/>
      <c r="D52" s="28" t="n"/>
      <c r="E52" s="28" t="n"/>
      <c r="F52" s="28" t="n"/>
      <c r="G52" s="28" t="n"/>
      <c r="H52" s="28" t="n"/>
    </row>
    <row r="53">
      <c r="A53" s="28" t="inlineStr">
        <is>
          <t>DSCR del año 3</t>
        </is>
      </c>
      <c r="B53" s="60">
        <f>IFERROR(('PyG 3 Años'!$D$41-'PyG 3 Años'!$D$46+'PyG 3 Años'!$D$36+B48)/(B48+B49),"")</f>
        <v>1.7125097315671358</v>
      </c>
      <c r="C53" s="28" t="n"/>
      <c r="D53" s="28" t="n"/>
      <c r="E53" s="28" t="n"/>
      <c r="F53" s="28" t="n"/>
      <c r="G53" s="28" t="n"/>
      <c r="H53" s="28" t="n"/>
    </row>
    <row r="54">
      <c r="A54" s="25" t="inlineStr">
        <is>
          <t>DSCR mínimo de todo el cuadro</t>
        </is>
      </c>
      <c r="B54" s="61">
        <f>IFERROR(IF(COUNT(H27:H41)=0,"",MIN(H27:H41)),"")</f>
        <v>1.684451124097247</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Finca de Eventos y Bodas · v1.0</dc:title>
  <dc:description xmlns:dc="http://purl.org/dc/elements/1.1/">aichef.pro/plan-negocio-finca-eventos-bodas</dc:description>
  <dc:subject xmlns:dc="http://purl.org/dc/elements/1.1/">Plan financiero — Finca de Eventos y Bodas · v1.0</dc:subject>
  <dcterms:created xmlns:dcterms="http://purl.org/dc/terms/" xmlns:xsi="http://www.w3.org/2001/XMLSchema-instance" xsi:type="dcterms:W3CDTF">2026-03-26T15:52:23Z</dcterms:created>
  <dcterms:modified xmlns:dcterms="http://purl.org/dc/terms/" xmlns:xsi="http://www.w3.org/2001/XMLSchema-instance" xsi:type="dcterms:W3CDTF">2026-10-25T16:18:53Z</dcterms:modified>
  <cp:lastModifiedBy>AI Chef Pro</cp:lastModifiedBy>
  <cp:category>AI Chef Pro · Productos digitales</cp:category>
  <cp:keywords>plan de negocio finca de eventos y bodas, AI Chef Pro</cp:keywords>
</cp:coreProperties>
</file>