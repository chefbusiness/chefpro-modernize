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"/>
    <numFmt numFmtId="166" formatCode="#,##0.00 €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b val="1"/>
      <sz val="13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3" borderId="0" applyAlignment="1" applyProtection="1" pivotButton="0" quotePrefix="0" xfId="0">
      <alignment vertical="top"/>
      <protection locked="0" hidden="0"/>
    </xf>
    <xf numFmtId="164" fontId="2" fillId="3" borderId="0" applyAlignment="1" applyProtection="1" pivotButton="0" quotePrefix="0" xfId="0">
      <alignment vertical="top"/>
      <protection locked="0" hidden="0"/>
    </xf>
    <xf numFmtId="3" fontId="2" fillId="3" borderId="0" applyAlignment="1" applyProtection="1" pivotButton="0" quotePrefix="0" xfId="0">
      <alignment vertical="top"/>
      <protection locked="0" hidden="0"/>
    </xf>
    <xf numFmtId="165" fontId="2" fillId="3" borderId="0" applyAlignment="1" applyProtection="1" pivotButton="0" quotePrefix="0" xfId="0">
      <alignment vertical="top"/>
      <protection locked="0" hidden="0"/>
    </xf>
    <xf numFmtId="166" fontId="2" fillId="3" borderId="0" applyAlignment="1" applyProtection="1" pivotButton="0" quotePrefix="0" xfId="0">
      <alignment vertical="top"/>
      <protection locked="0" hidden="0"/>
    </xf>
    <xf numFmtId="9" fontId="2" fillId="3" borderId="0" applyAlignment="1" applyProtection="1" pivotButton="0" quotePrefix="0" xfId="0">
      <alignment vertical="top"/>
      <protection locked="0" hidden="0"/>
    </xf>
    <xf numFmtId="9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7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22" customWidth="1" min="2" max="2"/>
    <col width="17" customWidth="1" min="3" max="3"/>
    <col width="17" customWidth="1" min="4" max="4"/>
    <col width="17" customWidth="1" min="5" max="5"/>
    <col width="56" customWidth="1" min="6" max="6"/>
  </cols>
  <sheetData>
    <row r="1">
      <c r="A1" s="1" t="inlineStr">
        <is>
          <t>CALCULADORA DE PRESUPUESTO DEL ESPACIO PARA BODAS Y EVENTOS EN FINCA</t>
        </is>
      </c>
    </row>
    <row r="2" ht="32" customHeight="1">
      <c r="A2" s="2" t="inlineStr">
        <is>
          <t>Escribe sólo en las celdas VERDES: todo lo demás se calcula. Importes sin IVA salvo donde la fila diga lo contrario. Los valores por defecto son estimaciones de ejemplo del kit: cámbialos por los de tu finca.</t>
        </is>
      </c>
    </row>
    <row r="4">
      <c r="A4" s="3" t="inlineStr">
        <is>
          <t>DATOS DEL EVENTO</t>
        </is>
      </c>
      <c r="B4" s="3" t="inlineStr">
        <is>
          <t>Valor</t>
        </is>
      </c>
      <c r="C4" s="3" t="inlineStr">
        <is>
          <t>Notas</t>
        </is>
      </c>
    </row>
    <row r="5" ht="30" customHeight="1">
      <c r="A5" s="4" t="inlineStr">
        <is>
          <t>Cliente</t>
        </is>
      </c>
      <c r="B5" s="5" t="inlineStr">
        <is>
          <t>Particular</t>
        </is>
      </c>
      <c r="C5" s="2" t="inlineStr">
        <is>
          <t>Particular o Empresa: cambian el calendario de cobros y los tramos de cancelación (tabla del final). Una empresa recibe el presupuesto «más IVA»; un particular, con el IVA incluido.</t>
        </is>
      </c>
    </row>
    <row r="6" ht="45" customHeight="1">
      <c r="A6" s="4" t="inlineStr">
        <is>
          <t>Tipología del evento</t>
        </is>
      </c>
      <c r="B6" s="5" t="inlineStr">
        <is>
          <t>Boda</t>
        </is>
      </c>
      <c r="C6" s="2" t="inlineStr">
        <is>
          <t>Boda, empresa (jornada, comida, Navidad), celebración privada (comunión, bautizo, cumpleaños) o celebración pequeña (preboda, brunch, boda íntima). Fija la tarifa del espacio, el menú del catering y el coste directo con las tablas del final.</t>
        </is>
      </c>
    </row>
    <row r="7" ht="30" customHeight="1">
      <c r="A7" s="4" t="inlineStr">
        <is>
          <t>Fecha del evento</t>
        </is>
      </c>
      <c r="B7" s="6" t="n">
        <v>46557</v>
      </c>
      <c r="C7" s="2" t="inlineStr">
        <is>
          <t>Escribe la fecha completa (dd/mm/aaaa). Fija la temporada y el tipo de día con las tablas de meses y de días de la semana.</t>
        </is>
      </c>
    </row>
    <row r="8" ht="16" customHeight="1">
      <c r="A8" s="4" t="inlineStr">
        <is>
          <t>Invitados previstos</t>
        </is>
      </c>
      <c r="B8" s="7" t="n">
        <v>110</v>
      </c>
      <c r="C8" s="2" t="inlineStr">
        <is>
          <t>Número entero de invitados. Se garantiza el mayor entre este número y el mínimo de la temporada.</t>
        </is>
      </c>
    </row>
    <row r="9" ht="16" customHeight="1">
      <c r="A9" s="4" t="inlineStr">
        <is>
          <t>Ceremonias en la finca (nº)</t>
        </is>
      </c>
      <c r="B9" s="7" t="n">
        <v>1</v>
      </c>
      <c r="C9" s="2" t="inlineStr">
        <is>
          <t>Civil o simbólica, a precio de la tabla de servicios extra.</t>
        </is>
      </c>
    </row>
    <row r="10" ht="16" customHeight="1">
      <c r="A10" s="4" t="inlineStr">
        <is>
          <t>Horas extra de uso del espacio (nº)</t>
        </is>
      </c>
      <c r="B10" s="7" t="n">
        <v>2</v>
      </c>
      <c r="C10" s="2" t="inlineStr">
        <is>
          <t>Las horas que pasan del horario base de tu contrato.</t>
        </is>
      </c>
    </row>
    <row r="11" ht="16" customHeight="1">
      <c r="A11" s="4" t="inlineStr">
        <is>
          <t>Montajes premium (nº)</t>
        </is>
      </c>
      <c r="B11" s="7" t="n">
        <v>1</v>
      </c>
      <c r="C11" s="2" t="inlineStr">
        <is>
          <t>Decoración, mobiliario y luces por encima del montaje básico.</t>
        </is>
      </c>
    </row>
    <row r="12" ht="16" customHeight="1">
      <c r="A12" s="4" t="inlineStr">
        <is>
          <t>Alojamiento: habitaciones-noche (nº)</t>
        </is>
      </c>
      <c r="B12" s="7" t="n">
        <v>0</v>
      </c>
      <c r="C12" s="2" t="inlineStr">
        <is>
          <t>0 si la finca no tiene habitaciones. Ejemplo: 6 habitaciones × 2 noches = 12.</t>
        </is>
      </c>
    </row>
    <row r="13" ht="16" customHeight="1">
      <c r="A13" s="4" t="inlineStr">
        <is>
          <t>Horas de personal de la finca en el evento (coordinación y auxiliares)</t>
        </is>
      </c>
      <c r="B13" s="8" t="n">
        <v>16</v>
      </c>
      <c r="C13" s="2" t="inlineStr">
        <is>
          <t>Estimación del kit: pon las horas reales de tu equipo (no incluye cocina ni sala: las pone el catering).</t>
        </is>
      </c>
    </row>
    <row r="14" ht="16" customHeight="1">
      <c r="A14" s="4" t="inlineStr">
        <is>
          <t>Coste bruto por hora del personal</t>
        </is>
      </c>
      <c r="B14" s="9" t="n">
        <v>13</v>
      </c>
      <c r="C14" s="2" t="inlineStr">
        <is>
          <t>Estimación del kit. Copia tu convenio provincial de hostelería.</t>
        </is>
      </c>
    </row>
    <row r="15" ht="16" customHeight="1">
      <c r="A15" s="4" t="inlineStr">
        <is>
          <t>Seguridad Social a cargo de la empresa</t>
        </is>
      </c>
      <c r="B15" s="10" t="n">
        <v>0.33</v>
      </c>
      <c r="C15" s="2" t="inlineStr">
        <is>
          <t>30,65 % de contingencias, desempleo, FOGASA, formación y MEI, más AT/EP (fijos discontinuos, art. 16 ET).</t>
        </is>
      </c>
    </row>
    <row r="16" ht="16" customHeight="1">
      <c r="A16" s="4" t="inlineStr">
        <is>
          <t>Coste directo de los servicios extra (% sobre su precio)</t>
        </is>
      </c>
      <c r="B16" s="10" t="n">
        <v>0.4</v>
      </c>
      <c r="C16" s="2" t="inlineStr">
        <is>
          <t>Estimación del kit: lo que te cuesta prestar la ceremonia, el montaje, las horas extra y el alojamiento.</t>
        </is>
      </c>
    </row>
    <row r="17" ht="16" customHeight="1">
      <c r="A17" s="4" t="inlineStr">
        <is>
          <t>Redondeo del precio del espacio (múltiplo, en euros)</t>
        </is>
      </c>
      <c r="B17" s="7" t="n">
        <v>50</v>
      </c>
      <c r="C17" s="2" t="inlineStr">
        <is>
          <t>El precio del espacio se redondea a este múltiplo, al más cercano.</t>
        </is>
      </c>
    </row>
    <row r="18" ht="30" customHeight="1">
      <c r="A18" s="4" t="inlineStr">
        <is>
          <t>Canon del catering exclusivo (% de lo que factura el catering)</t>
        </is>
      </c>
      <c r="B18" s="10" t="n">
        <v>0.12</v>
      </c>
      <c r="C18" s="2" t="inlineStr">
        <is>
          <t>SUPUESTO editable, no un dato: negócialo con tu catering. Informativo: lo paga el catering a la finca, no el cliente.</t>
        </is>
      </c>
    </row>
    <row r="19" ht="30" customHeight="1">
      <c r="A19" s="4" t="inlineStr">
        <is>
          <t>IVA de la finca (espacio, servicios y canon)</t>
        </is>
      </c>
      <c r="B19" s="10" t="n">
        <v>0.21</v>
      </c>
      <c r="C19" s="2" t="inlineStr">
        <is>
          <t>El espacio y los servicios tienen precio propio: la finca los factura al 21 %. El canon también lleva IVA.</t>
        </is>
      </c>
    </row>
    <row r="20" ht="30" customHeight="1">
      <c r="A20" s="4" t="inlineStr">
        <is>
          <t>IVA del menú del catering (solo orientativo)</t>
        </is>
      </c>
      <c r="B20" s="10" t="n">
        <v>0.1</v>
      </c>
      <c r="C20" s="2" t="inlineStr">
        <is>
          <t>El menú lo factura el catering, no la finca (comida y bebida para consumir en el acto, art. 91.Uno.2.2.º de la Ley 37/1992).</t>
        </is>
      </c>
    </row>
    <row r="22">
      <c r="A22" s="3" t="inlineStr">
        <is>
          <t>CÁLCULO</t>
        </is>
      </c>
      <c r="B22" s="3" t="inlineStr">
        <is>
          <t>Valor</t>
        </is>
      </c>
      <c r="C22" s="3" t="inlineStr">
        <is>
          <t>Notas</t>
        </is>
      </c>
    </row>
    <row r="23" ht="16" customHeight="1">
      <c r="A23" s="4" t="inlineStr">
        <is>
          <t>Temporada de la fecha (de la tabla de meses)</t>
        </is>
      </c>
      <c r="B23" s="4" t="str">
        <f>INDEX('Calculadora'!$B$83:$B$94,MONTH($B$7))</f>
        <v>Alta</v>
      </c>
      <c r="C23" s="2" t="inlineStr">
        <is>
          <t>Busca el mes de la fecha en la tabla del final.</t>
        </is>
      </c>
    </row>
    <row r="24" ht="16" customHeight="1">
      <c r="A24" s="4" t="inlineStr">
        <is>
          <t>Tipo de día (de la tabla de días de la semana)</t>
        </is>
      </c>
      <c r="B24" s="4" t="str">
        <f>INDEX('Calculadora'!$B$97:$B$103,WEEKDAY($B$7))</f>
        <v>Sábado</v>
      </c>
      <c r="C24" s="2" t="inlineStr">
        <is>
          <t>Busca el día de la semana de la fecha en la tabla del final.</t>
        </is>
      </c>
    </row>
    <row r="25" ht="16" customHeight="1">
      <c r="A25" s="4" t="inlineStr">
        <is>
          <t>Ajuste de temporada (suplemento + / descuento −)</t>
        </is>
      </c>
      <c r="B25" s="11">
        <f>INDEX('Calculadora'!$B$73:$B$75,MATCH($B$23,'Calculadora'!$A$73:$A$75,0))</f>
        <v>0.2</v>
      </c>
      <c r="C25" s="2" t="inlineStr">
        <is>
          <t>De la tabla de temporadas.</t>
        </is>
      </c>
    </row>
    <row r="26" ht="16" customHeight="1">
      <c r="A26" s="4" t="inlineStr">
        <is>
          <t>Ajuste de día (suplemento + / descuento −)</t>
        </is>
      </c>
      <c r="B26" s="11">
        <f>INDEX('Calculadora'!$B$78:$B$80,MATCH($B$24,'Calculadora'!$A$78:$A$80,0))</f>
        <v>0.0</v>
      </c>
      <c r="C26" s="2" t="inlineStr">
        <is>
          <t>De la tabla de días.</t>
        </is>
      </c>
    </row>
    <row r="27" ht="16" customHeight="1">
      <c r="A27" s="4" t="inlineStr">
        <is>
          <t>Tarifa del espacio de la tipología (sábado, temporada media)</t>
        </is>
      </c>
      <c r="B27" s="12">
        <f>INDEX('Calculadora'!$B$67:$B$70,MATCH($B$6,'Calculadora'!$A$67:$A$70,0))</f>
        <v>3600.0</v>
      </c>
      <c r="C27" s="2" t="inlineStr">
        <is>
          <t>De la tabla de tipologías.</t>
        </is>
      </c>
    </row>
    <row r="28" ht="16" customHeight="1">
      <c r="A28" s="13" t="inlineStr">
        <is>
          <t>ALQUILER DEL ESPACIO SIN IVA</t>
        </is>
      </c>
      <c r="B28" s="14">
        <f>ROUND($B$27*(1+$B$25)*(1+$B$26)/$B$17,0)*$B$17</f>
        <v>4300.0</v>
      </c>
      <c r="C28" s="2" t="inlineStr">
        <is>
          <t>Tarifa × (1 + ajuste de temporada) × (1 + ajuste de día), redondeada al múltiplo elegido.</t>
        </is>
      </c>
    </row>
    <row r="29" ht="16" customHeight="1">
      <c r="A29" s="4" t="inlineStr">
        <is>
          <t>Mínimo de invitados de la temporada</t>
        </is>
      </c>
      <c r="B29" s="15">
        <f>INDEX('Calculadora'!$C$73:$C$75,MATCH($B$23,'Calculadora'!$A$73:$A$75,0))</f>
        <v>80.0</v>
      </c>
      <c r="C29" s="2" t="inlineStr">
        <is>
          <t>De la tabla de temporadas.</t>
        </is>
      </c>
    </row>
    <row r="30" ht="16" customHeight="1">
      <c r="A30" s="4" t="inlineStr">
        <is>
          <t>Invitados garantizados</t>
        </is>
      </c>
      <c r="B30" s="15">
        <f>MAX($B$8,$B$29)</f>
        <v>110.0</v>
      </c>
      <c r="C30" s="2" t="inlineStr">
        <is>
          <t>El mayor entre los invitados previstos y el mínimo de la temporada.</t>
        </is>
      </c>
    </row>
    <row r="31">
      <c r="A31" s="4" t="inlineStr">
        <is>
          <t>Aviso del mínimo</t>
        </is>
      </c>
      <c r="B31" s="4" t="str">
        <f>IF($B$8&lt;$B$29,"Por debajo del mínimo: se garantiza el mínimo de la temporada","Cumple el mínimo")</f>
        <v>Cumple el mínimo</v>
      </c>
    </row>
    <row r="32" ht="16" customHeight="1">
      <c r="A32" s="4" t="inlineStr">
        <is>
          <t>Ceremonias</t>
        </is>
      </c>
      <c r="B32" s="12">
        <f>$B$9*'Calculadora'!$B$106</f>
        <v>450.0</v>
      </c>
      <c r="C32" s="2" t="inlineStr">
        <is>
          <t>Nº × precio de la tabla de servicios extra.</t>
        </is>
      </c>
    </row>
    <row r="33">
      <c r="A33" s="4" t="inlineStr">
        <is>
          <t>Horas extra</t>
        </is>
      </c>
      <c r="B33" s="12">
        <f>$B$10*'Calculadora'!$B$107</f>
        <v>600.0</v>
      </c>
    </row>
    <row r="34">
      <c r="A34" s="4" t="inlineStr">
        <is>
          <t>Montajes premium</t>
        </is>
      </c>
      <c r="B34" s="12">
        <f>$B$11*'Calculadora'!$B$108</f>
        <v>600.0</v>
      </c>
    </row>
    <row r="35">
      <c r="A35" s="4" t="inlineStr">
        <is>
          <t>Alojamiento</t>
        </is>
      </c>
      <c r="B35" s="12">
        <f>$B$12*'Calculadora'!$B$109</f>
        <v>0.0</v>
      </c>
    </row>
    <row r="36">
      <c r="A36" s="4" t="inlineStr">
        <is>
          <t>Servicios extra sin IVA</t>
        </is>
      </c>
      <c r="B36" s="12">
        <f>$B$32+$B$33+$B$34+$B$35</f>
        <v>1650.0</v>
      </c>
    </row>
    <row r="37">
      <c r="A37" s="4" t="inlineStr">
        <is>
          <t>Base imponible (espacio + servicios)</t>
        </is>
      </c>
      <c r="B37" s="12">
        <f>$B$28+$B$36</f>
        <v>5950.0</v>
      </c>
    </row>
    <row r="38">
      <c r="A38" s="4" t="inlineStr">
        <is>
          <t>IVA de la finca</t>
        </is>
      </c>
      <c r="B38" s="12">
        <f>$B$37*$B$19</f>
        <v>1249.5</v>
      </c>
    </row>
    <row r="39" ht="16" customHeight="1">
      <c r="A39" s="13" t="inlineStr">
        <is>
          <t>TOTAL DE LA FINCA (con IVA)</t>
        </is>
      </c>
      <c r="B39" s="14">
        <f>$B$37+$B$38</f>
        <v>7199.5</v>
      </c>
      <c r="C39" s="2" t="inlineStr">
        <is>
          <t>No incluye el menú ni la bebida: los factura el catering exclusivo, aparte.</t>
        </is>
      </c>
    </row>
    <row r="40" ht="16" customHeight="1">
      <c r="A40" s="13" t="inlineStr">
        <is>
          <t>Importe que presupuestas (Particular: con IVA · Empresa: más IVA)</t>
        </is>
      </c>
      <c r="B40" s="14">
        <f>IF($B$5="Particular",$B$39,$B$37)</f>
        <v>7199.5</v>
      </c>
      <c r="C40" s="2" t="inlineStr">
        <is>
          <t>A una empresa se le presupuesta sin IVA («+ IVA»); a un particular, con los impuestos incluidos.</t>
        </is>
      </c>
    </row>
    <row r="41" ht="16" customHeight="1">
      <c r="A41" s="4" t="inlineStr">
        <is>
          <t>Precio del espacio y servicios por invitado garantizado (sin IVA)</t>
        </is>
      </c>
      <c r="B41" s="12">
        <f>$B$37/$B$30</f>
        <v>54.09090909090909</v>
      </c>
      <c r="C41" s="2" t="inlineStr">
        <is>
          <t>Para comparar con otras fincas.</t>
        </is>
      </c>
    </row>
    <row r="42" ht="16" customHeight="1">
      <c r="A42" s="4" t="inlineStr">
        <is>
          <t>Importe del cobro 1: reserva</t>
        </is>
      </c>
      <c r="B42" s="12">
        <f>$B$39*INDEX('Calculadora'!$B$112:$C$112,MATCH($B$5,'Calculadora'!$B$111:$C$111,0))</f>
        <v>1799.875</v>
      </c>
      <c r="C42" s="2" t="inlineStr">
        <is>
          <t>Al firmar el contrato.</t>
        </is>
      </c>
    </row>
    <row r="43">
      <c r="A43" s="4" t="inlineStr">
        <is>
          <t>Importe del cobro 2: segundo pago</t>
        </is>
      </c>
      <c r="B43" s="12">
        <f>$B$39*INDEX('Calculadora'!$B$113:$C$113,MATCH($B$5,'Calculadora'!$B$111:$C$111,0))</f>
        <v>2519.825</v>
      </c>
    </row>
    <row r="44" ht="16" customHeight="1">
      <c r="A44" s="4" t="inlineStr">
        <is>
          <t>Fecha límite del segundo pago</t>
        </is>
      </c>
      <c r="B44" s="16">
        <f>$B$7-INDEX('Calculadora'!$B$115:$C$115,MATCH($B$5,'Calculadora'!$B$111:$C$111,0))</f>
        <v>46377.0</v>
      </c>
      <c r="C44" s="2" t="inlineStr">
        <is>
          <t>Fecha del evento menos los días de la tabla.</t>
        </is>
      </c>
    </row>
    <row r="45">
      <c r="A45" s="4" t="inlineStr">
        <is>
          <t>Importe del cobro 3: liquidación</t>
        </is>
      </c>
      <c r="B45" s="12">
        <f>$B$39*INDEX('Calculadora'!$B$114:$C$114,MATCH($B$5,'Calculadora'!$B$111:$C$111,0))</f>
        <v>2879.8</v>
      </c>
    </row>
    <row r="46" ht="16" customHeight="1">
      <c r="A46" s="4" t="inlineStr">
        <is>
          <t>Fecha límite de la liquidación</t>
        </is>
      </c>
      <c r="B46" s="16">
        <f>$B$7-INDEX('Calculadora'!$B$116:$C$116,MATCH($B$5,'Calculadora'!$B$111:$C$111,0))</f>
        <v>46527.0</v>
      </c>
      <c r="C46" s="2" t="inlineStr">
        <is>
          <t>Fecha del evento menos los días de la tabla.</t>
        </is>
      </c>
    </row>
    <row r="47" ht="30" customHeight="1">
      <c r="A47" s="4" t="inlineStr">
        <is>
          <t>Importe del menú del catering sin IVA (estimado, invitados garantizados)</t>
        </is>
      </c>
      <c r="B47" s="12">
        <f>INDEX('Calculadora'!$C$67:$C$70,MATCH($B$6,'Calculadora'!$A$67:$A$70,0))*$B$30</f>
        <v>12100.0</v>
      </c>
      <c r="C47" s="2" t="inlineStr">
        <is>
          <t>INFORMATIVO. Menú por invitado de la tabla de tipologías × invitados garantizados. No es ingreso de la finca.</t>
        </is>
      </c>
    </row>
    <row r="48" ht="16" customHeight="1">
      <c r="A48" s="13" t="inlineStr">
        <is>
          <t>CANON ESTIMADO DEL CATERING sin IVA (informativo)</t>
        </is>
      </c>
      <c r="B48" s="14">
        <f>$B$47*$B$18</f>
        <v>1452.0</v>
      </c>
      <c r="C48" s="2" t="inlineStr">
        <is>
          <t>Lo paga el catering exclusivo a la finca, no el cliente. Es un supuesto: negócialo.</t>
        </is>
      </c>
    </row>
    <row r="49" ht="16" customHeight="1">
      <c r="A49" s="4" t="inlineStr">
        <is>
          <t>Canon estimado con IVA</t>
        </is>
      </c>
      <c r="B49" s="12">
        <f>$B$48*(1+$B$19)</f>
        <v>1756.9199999999998</v>
      </c>
      <c r="C49" s="2" t="inlineStr">
        <is>
          <t>La finca factura el canon al catering con IVA.</t>
        </is>
      </c>
    </row>
    <row r="50" ht="16" customHeight="1">
      <c r="A50" s="4" t="inlineStr">
        <is>
          <t>Menú del catering con IVA (orientativo, lo cobra el catering)</t>
        </is>
      </c>
      <c r="B50" s="12">
        <f>$B$47*(1+$B$20)</f>
        <v>13310.000000000002</v>
      </c>
      <c r="C50" s="2" t="inlineStr">
        <is>
          <t>Para que el cliente vea el coste completo.</t>
        </is>
      </c>
    </row>
    <row r="51" ht="16" customHeight="1">
      <c r="A51" s="13" t="inlineStr">
        <is>
          <t>Importe orientativo completo para el cliente (finca con IVA + menú)</t>
        </is>
      </c>
      <c r="B51" s="14">
        <f>$B$39+$B$50</f>
        <v>20509.5</v>
      </c>
      <c r="C51" s="2" t="inlineStr">
        <is>
          <t>Suma lo que paga a la finca y lo que paga al catering.</t>
        </is>
      </c>
    </row>
    <row r="52" ht="16" customHeight="1">
      <c r="A52" s="4" t="inlineStr">
        <is>
          <t>Coste directo del evento: limpieza, aseos, gasoil, vigilancia y música</t>
        </is>
      </c>
      <c r="B52" s="12">
        <f>INDEX('Calculadora'!$D$67:$D$70,MATCH($B$6,'Calculadora'!$A$67:$A$70,0))</f>
        <v>650.0</v>
      </c>
      <c r="C52" s="2" t="inlineStr">
        <is>
          <t>De la tabla de tipologías (estimación del kit, sin tarifas públicas).</t>
        </is>
      </c>
    </row>
    <row r="53">
      <c r="A53" s="4" t="inlineStr">
        <is>
          <t>Coste de personal de la finca (salario + Seguridad Social)</t>
        </is>
      </c>
      <c r="B53" s="12">
        <f>$B$13*$B$14*(1+$B$15)</f>
        <v>276.64</v>
      </c>
    </row>
    <row r="54">
      <c r="A54" s="4" t="inlineStr">
        <is>
          <t>Coste directo de los servicios extra</t>
        </is>
      </c>
      <c r="B54" s="12">
        <f>$B$36*$B$16</f>
        <v>660.0</v>
      </c>
    </row>
    <row r="55">
      <c r="A55" s="4" t="inlineStr">
        <is>
          <t>Coste directo total del evento</t>
        </is>
      </c>
      <c r="B55" s="12">
        <f>$B$52+$B$53+$B$54</f>
        <v>1586.6399999999999</v>
      </c>
    </row>
    <row r="56" ht="16" customHeight="1">
      <c r="A56" s="4" t="inlineStr">
        <is>
          <t>Ingresos de la finca por el evento (sin IVA, con canon)</t>
        </is>
      </c>
      <c r="B56" s="12">
        <f>$B$37+$B$48</f>
        <v>7402.0</v>
      </c>
      <c r="C56" s="2" t="inlineStr">
        <is>
          <t>Espacio + servicios + canon estimado.</t>
        </is>
      </c>
    </row>
    <row r="57" ht="30" customHeight="1">
      <c r="A57" s="4" t="inlineStr">
        <is>
          <t>Margen del evento para la finca (euros)</t>
        </is>
      </c>
      <c r="B57" s="12">
        <f>$B$56-$B$55</f>
        <v>5815.360000000001</v>
      </c>
      <c r="C57" s="2" t="inlineStr">
        <is>
          <t>Contribución: antes de la renta, el personal fijo, los suministros, los seguros y la estructura del plan financiero.</t>
        </is>
      </c>
    </row>
    <row r="58" ht="16" customHeight="1">
      <c r="A58" s="13" t="inlineStr">
        <is>
          <t>Margen del evento (calculado)</t>
        </is>
      </c>
      <c r="B58" s="17">
        <f>IF($B$56=0,0,$B$57/$B$56)</f>
        <v>0.7856471223993516</v>
      </c>
      <c r="C58" s="2" t="inlineStr">
        <is>
          <t>Sale de los costes, nunca se teclea.</t>
        </is>
      </c>
    </row>
    <row r="59" ht="16" customHeight="1">
      <c r="A59" s="4" t="inlineStr">
        <is>
          <t>Margen del evento sin el canon (euros)</t>
        </is>
      </c>
      <c r="B59" s="12">
        <f>$B$37-$B$55</f>
        <v>4363.360000000001</v>
      </c>
      <c r="C59" s="2" t="inlineStr">
        <is>
          <t>Cuánto dejaría el evento si el catering no pagara canon.</t>
        </is>
      </c>
    </row>
    <row r="60" ht="30" customHeight="1">
      <c r="A60" s="4" t="inlineStr">
        <is>
          <t>Importe retenido si cancela: tramo 1</t>
        </is>
      </c>
      <c r="B60" s="12">
        <f>$B$39*INDEX('Calculadora'!$B$117:$C$117,MATCH($B$5,'Calculadora'!$B$111:$C$111,0))</f>
        <v>719.95</v>
      </c>
      <c r="C60" s="2" t="inlineStr">
        <is>
          <t>Tramo más lejano al evento (ver tabla de tramos). Si cancela la finca: devuelve lo cobrado y paga lo mismo.</t>
        </is>
      </c>
    </row>
    <row r="61">
      <c r="A61" s="4" t="inlineStr">
        <is>
          <t>Importe retenido si cancela: tramo 2</t>
        </is>
      </c>
      <c r="B61" s="12">
        <f>$B$39*INDEX('Calculadora'!$B$118:$C$118,MATCH($B$5,'Calculadora'!$B$111:$C$111,0))</f>
        <v>1799.875</v>
      </c>
    </row>
    <row r="62">
      <c r="A62" s="4" t="inlineStr">
        <is>
          <t>Importe retenido si cancela: tramo 3</t>
        </is>
      </c>
      <c r="B62" s="12">
        <f>$B$39*INDEX('Calculadora'!$B$119:$C$119,MATCH($B$5,'Calculadora'!$B$111:$C$111,0))</f>
        <v>3599.75</v>
      </c>
    </row>
    <row r="63">
      <c r="A63" s="4" t="inlineStr">
        <is>
          <t>Importe retenido si cancela: tramo 4</t>
        </is>
      </c>
      <c r="B63" s="12">
        <f>$B$39*INDEX('Calculadora'!$B$120:$C$120,MATCH($B$5,'Calculadora'!$B$111:$C$111,0))</f>
        <v>5399.625</v>
      </c>
    </row>
    <row r="64" ht="16" customHeight="1">
      <c r="A64" s="4" t="inlineStr">
        <is>
          <t>Importe retenido si cancela: tramo 5</t>
        </is>
      </c>
      <c r="B64" s="12">
        <f>$B$39*INDEX('Calculadora'!$B$121:$C$121,MATCH($B$5,'Calculadora'!$B$111:$C$111,0))</f>
        <v>7199.5</v>
      </c>
      <c r="C64" s="2" t="inlineStr">
        <is>
          <t>Último tramo, hasta el día del evento.</t>
        </is>
      </c>
    </row>
    <row r="66" ht="32" customHeight="1">
      <c r="A66" s="3" t="inlineStr">
        <is>
          <t>TIPOLOGÍA → TARIFA, MENÚ DEL CATERING Y COSTE DIRECTO (sin IVA)</t>
        </is>
      </c>
      <c r="B66" s="18" t="inlineStr">
        <is>
          <t>Tarifa del espacio (sábado, temporada media)</t>
        </is>
      </c>
      <c r="C66" s="18" t="inlineStr">
        <is>
          <t>Menú del catering por invitado</t>
        </is>
      </c>
      <c r="D66" s="18" t="inlineStr">
        <is>
          <t>Coste directo del evento</t>
        </is>
      </c>
    </row>
    <row r="67">
      <c r="A67" s="4" t="inlineStr">
        <is>
          <t>Boda</t>
        </is>
      </c>
      <c r="B67" s="9" t="n">
        <v>3600</v>
      </c>
      <c r="C67" s="9" t="n">
        <v>110</v>
      </c>
      <c r="D67" s="9" t="n">
        <v>650</v>
      </c>
      <c r="E67" s="19" t="inlineStr">
        <is>
          <t>Cifras de EJEMPLO del kit (precios de escaparate y estimaciones, no tarifas de mercado). Coste directo: limpieza, aseos, gasoil del grupo, vigilancia y música (SGAE/AGEDI).</t>
        </is>
      </c>
    </row>
    <row r="68">
      <c r="A68" s="4" t="inlineStr">
        <is>
          <t>Empresa</t>
        </is>
      </c>
      <c r="B68" s="9" t="n">
        <v>2300</v>
      </c>
      <c r="C68" s="9" t="n">
        <v>42</v>
      </c>
      <c r="D68" s="9" t="n">
        <v>350</v>
      </c>
    </row>
    <row r="69">
      <c r="A69" s="4" t="inlineStr">
        <is>
          <t>Celebración privada</t>
        </is>
      </c>
      <c r="B69" s="9" t="n">
        <v>1600</v>
      </c>
      <c r="C69" s="9" t="n">
        <v>50</v>
      </c>
      <c r="D69" s="9" t="n">
        <v>300</v>
      </c>
    </row>
    <row r="70">
      <c r="A70" s="4" t="inlineStr">
        <is>
          <t>Celebración pequeña</t>
        </is>
      </c>
      <c r="B70" s="9" t="n">
        <v>1050</v>
      </c>
      <c r="C70" s="9" t="n">
        <v>33</v>
      </c>
      <c r="D70" s="9" t="n">
        <v>150</v>
      </c>
    </row>
    <row r="72" ht="32" customHeight="1">
      <c r="A72" s="3" t="inlineStr">
        <is>
          <t>TEMPORADA → AJUSTE DE TARIFA Y MÍNIMO DE INVITADOS</t>
        </is>
      </c>
      <c r="B72" s="18" t="inlineStr">
        <is>
          <t>Ajuste (+ suplemento / − descuento)</t>
        </is>
      </c>
      <c r="C72" s="18" t="inlineStr">
        <is>
          <t>Mínimo de invitados</t>
        </is>
      </c>
    </row>
    <row r="73">
      <c r="A73" s="4" t="inlineStr">
        <is>
          <t>Alta</t>
        </is>
      </c>
      <c r="B73" s="10" t="n">
        <v>0.2</v>
      </c>
      <c r="C73" s="7" t="n">
        <v>80</v>
      </c>
      <c r="D73" s="19" t="inlineStr">
        <is>
          <t>Ejemplo del kit. La temporada alta cobra suplemento y la baja descuenta; la tarifa de las tipologías es la de un sábado de temporada media.</t>
        </is>
      </c>
    </row>
    <row r="74">
      <c r="A74" s="4" t="inlineStr">
        <is>
          <t>Media</t>
        </is>
      </c>
      <c r="B74" s="10" t="n">
        <v>0</v>
      </c>
      <c r="C74" s="7" t="n">
        <v>60</v>
      </c>
    </row>
    <row r="75">
      <c r="A75" s="4" t="inlineStr">
        <is>
          <t>Baja</t>
        </is>
      </c>
      <c r="B75" s="10" t="n">
        <v>-0.2</v>
      </c>
      <c r="C75" s="7" t="n">
        <v>40</v>
      </c>
    </row>
    <row r="77" ht="32" customHeight="1">
      <c r="A77" s="3" t="inlineStr">
        <is>
          <t>TIPO DE DÍA → AJUSTE DE TARIFA</t>
        </is>
      </c>
      <c r="B77" s="18" t="inlineStr">
        <is>
          <t>Ajuste (+ suplemento / − descuento)</t>
        </is>
      </c>
    </row>
    <row r="78">
      <c r="A78" s="4" t="inlineStr">
        <is>
          <t>Sábado</t>
        </is>
      </c>
      <c r="B78" s="10" t="n">
        <v>0</v>
      </c>
      <c r="C78" s="19" t="inlineStr">
        <is>
          <t>Ejemplo del kit: las fichas de fincas publican descuentos de hasta el 30 % en viernes, domingo y de noviembre a marzo. Los ajustes se multiplican entre sí.</t>
        </is>
      </c>
    </row>
    <row r="79">
      <c r="A79" s="4" t="inlineStr">
        <is>
          <t>Viernes o domingo</t>
        </is>
      </c>
      <c r="B79" s="10" t="n">
        <v>-0.2</v>
      </c>
    </row>
    <row r="80">
      <c r="A80" s="4" t="inlineStr">
        <is>
          <t>Entre semana</t>
        </is>
      </c>
      <c r="B80" s="10" t="n">
        <v>-0.3</v>
      </c>
    </row>
    <row r="82" ht="32" customHeight="1">
      <c r="A82" s="3" t="inlineStr">
        <is>
          <t>MES → TEMPORADA</t>
        </is>
      </c>
      <c r="B82" s="18" t="inlineStr">
        <is>
          <t>Temporada</t>
        </is>
      </c>
    </row>
    <row r="83">
      <c r="A83" s="4" t="inlineStr">
        <is>
          <t>Enero</t>
        </is>
      </c>
      <c r="B83" s="5" t="inlineStr">
        <is>
          <t>Baja</t>
        </is>
      </c>
      <c r="C83" s="19" t="inlineStr">
        <is>
          <t>Mayo-octubre concentra el 63,7 % de los matrimonios y septiembre y junio son los picos (INE, 2024). Ajusta los meses a tu zona.</t>
        </is>
      </c>
    </row>
    <row r="84">
      <c r="A84" s="4" t="inlineStr">
        <is>
          <t>Febrero</t>
        </is>
      </c>
      <c r="B84" s="5" t="inlineStr">
        <is>
          <t>Baja</t>
        </is>
      </c>
    </row>
    <row r="85">
      <c r="A85" s="4" t="inlineStr">
        <is>
          <t>Marzo</t>
        </is>
      </c>
      <c r="B85" s="5" t="inlineStr">
        <is>
          <t>Baja</t>
        </is>
      </c>
    </row>
    <row r="86">
      <c r="A86" s="4" t="inlineStr">
        <is>
          <t>Abril</t>
        </is>
      </c>
      <c r="B86" s="5" t="inlineStr">
        <is>
          <t>Media</t>
        </is>
      </c>
    </row>
    <row r="87">
      <c r="A87" s="4" t="inlineStr">
        <is>
          <t>Mayo</t>
        </is>
      </c>
      <c r="B87" s="5" t="inlineStr">
        <is>
          <t>Alta</t>
        </is>
      </c>
    </row>
    <row r="88">
      <c r="A88" s="4" t="inlineStr">
        <is>
          <t>Junio</t>
        </is>
      </c>
      <c r="B88" s="5" t="inlineStr">
        <is>
          <t>Alta</t>
        </is>
      </c>
    </row>
    <row r="89">
      <c r="A89" s="4" t="inlineStr">
        <is>
          <t>Julio</t>
        </is>
      </c>
      <c r="B89" s="5" t="inlineStr">
        <is>
          <t>Media</t>
        </is>
      </c>
    </row>
    <row r="90">
      <c r="A90" s="4" t="inlineStr">
        <is>
          <t>Agosto</t>
        </is>
      </c>
      <c r="B90" s="5" t="inlineStr">
        <is>
          <t>Media</t>
        </is>
      </c>
    </row>
    <row r="91">
      <c r="A91" s="4" t="inlineStr">
        <is>
          <t>Septiembre</t>
        </is>
      </c>
      <c r="B91" s="5" t="inlineStr">
        <is>
          <t>Alta</t>
        </is>
      </c>
    </row>
    <row r="92">
      <c r="A92" s="4" t="inlineStr">
        <is>
          <t>Octubre</t>
        </is>
      </c>
      <c r="B92" s="5" t="inlineStr">
        <is>
          <t>Alta</t>
        </is>
      </c>
    </row>
    <row r="93">
      <c r="A93" s="4" t="inlineStr">
        <is>
          <t>Noviembre</t>
        </is>
      </c>
      <c r="B93" s="5" t="inlineStr">
        <is>
          <t>Baja</t>
        </is>
      </c>
    </row>
    <row r="94">
      <c r="A94" s="4" t="inlineStr">
        <is>
          <t>Diciembre</t>
        </is>
      </c>
      <c r="B94" s="5" t="inlineStr">
        <is>
          <t>Baja</t>
        </is>
      </c>
    </row>
    <row r="96" ht="32" customHeight="1">
      <c r="A96" s="3" t="inlineStr">
        <is>
          <t>DÍA DE LA SEMANA → TIPO DE DÍA</t>
        </is>
      </c>
      <c r="B96" s="18" t="inlineStr">
        <is>
          <t>Tipo de día</t>
        </is>
      </c>
    </row>
    <row r="97">
      <c r="A97" s="4" t="inlineStr">
        <is>
          <t>Domingo</t>
        </is>
      </c>
      <c r="B97" s="5" t="inlineStr">
        <is>
          <t>Viernes o domingo</t>
        </is>
      </c>
    </row>
    <row r="98">
      <c r="A98" s="4" t="inlineStr">
        <is>
          <t>Lunes</t>
        </is>
      </c>
      <c r="B98" s="5" t="inlineStr">
        <is>
          <t>Entre semana</t>
        </is>
      </c>
    </row>
    <row r="99">
      <c r="A99" s="4" t="inlineStr">
        <is>
          <t>Martes</t>
        </is>
      </c>
      <c r="B99" s="5" t="inlineStr">
        <is>
          <t>Entre semana</t>
        </is>
      </c>
    </row>
    <row r="100">
      <c r="A100" s="4" t="inlineStr">
        <is>
          <t>Miércoles</t>
        </is>
      </c>
      <c r="B100" s="5" t="inlineStr">
        <is>
          <t>Entre semana</t>
        </is>
      </c>
    </row>
    <row r="101">
      <c r="A101" s="4" t="inlineStr">
        <is>
          <t>Jueves</t>
        </is>
      </c>
      <c r="B101" s="5" t="inlineStr">
        <is>
          <t>Entre semana</t>
        </is>
      </c>
    </row>
    <row r="102">
      <c r="A102" s="4" t="inlineStr">
        <is>
          <t>Viernes</t>
        </is>
      </c>
      <c r="B102" s="5" t="inlineStr">
        <is>
          <t>Viernes o domingo</t>
        </is>
      </c>
    </row>
    <row r="103">
      <c r="A103" s="4" t="inlineStr">
        <is>
          <t>Sábado</t>
        </is>
      </c>
      <c r="B103" s="5" t="inlineStr">
        <is>
          <t>Sábado</t>
        </is>
      </c>
    </row>
    <row r="105" ht="32" customHeight="1">
      <c r="A105" s="3" t="inlineStr">
        <is>
          <t>SERVICIOS EXTRA DE LA FINCA (precio sin IVA)</t>
        </is>
      </c>
      <c r="B105" s="18" t="inlineStr">
        <is>
          <t>Precio</t>
        </is>
      </c>
    </row>
    <row r="106">
      <c r="A106" s="4" t="inlineStr">
        <is>
          <t>Ceremonia civil o simbólica en la finca (por ceremonia)</t>
        </is>
      </c>
      <c r="B106" s="9" t="n">
        <v>450</v>
      </c>
      <c r="C106" s="19" t="inlineStr">
        <is>
          <t>Precios de EJEMPLO del kit: pon los de tu finca. El alojamiento sólo si la finca tiene habitaciones.</t>
        </is>
      </c>
    </row>
    <row r="107">
      <c r="A107" s="4" t="inlineStr">
        <is>
          <t>Hora extra de uso del espacio (por hora)</t>
        </is>
      </c>
      <c r="B107" s="9" t="n">
        <v>300</v>
      </c>
    </row>
    <row r="108">
      <c r="A108" s="4" t="inlineStr">
        <is>
          <t>Montaje premium: decoración, mobiliario y luces (por montaje)</t>
        </is>
      </c>
      <c r="B108" s="9" t="n">
        <v>600</v>
      </c>
    </row>
    <row r="109">
      <c r="A109" s="4" t="inlineStr">
        <is>
          <t>Alojamiento, si la finca lo tiene (por habitación y noche)</t>
        </is>
      </c>
      <c r="B109" s="9" t="n">
        <v>150</v>
      </c>
    </row>
    <row r="111" ht="32" customHeight="1">
      <c r="A111" s="3" t="inlineStr">
        <is>
          <t>POLÍTICA POR CLIENTE</t>
        </is>
      </c>
      <c r="B111" s="18" t="inlineStr">
        <is>
          <t>Particular</t>
        </is>
      </c>
      <c r="C111" s="18" t="inlineStr">
        <is>
          <t>Empresa</t>
        </is>
      </c>
    </row>
    <row r="112" ht="30" customHeight="1">
      <c r="A112" s="4" t="inlineStr">
        <is>
          <t>Cobro 1: reserva de la fecha (% del total)</t>
        </is>
      </c>
      <c r="B112" s="10" t="n">
        <v>0.25</v>
      </c>
      <c r="C112" s="10" t="n">
        <v>0.3</v>
      </c>
      <c r="D112" s="2" t="inlineStr">
        <is>
          <t>Al firmar. Es la señal: tiene que ser proporcionada al coste de bloquear la fecha (art. 85.6 del TRLGDCU).</t>
        </is>
      </c>
    </row>
    <row r="113" ht="16" customHeight="1">
      <c r="A113" s="4" t="inlineStr">
        <is>
          <t>Cobro 2: segundo pago (% del total)</t>
        </is>
      </c>
      <c r="B113" s="10" t="n">
        <v>0.35</v>
      </c>
      <c r="C113" s="10" t="n">
        <v>0.3</v>
      </c>
      <c r="D113" s="2" t="inlineStr">
        <is>
          <t>Pago intermedio, en la fecha de la fila siguiente.</t>
        </is>
      </c>
    </row>
    <row r="114" ht="16" customHeight="1">
      <c r="A114" s="4" t="inlineStr">
        <is>
          <t>Cobro 3: liquidación antes del evento (% del total)</t>
        </is>
      </c>
      <c r="B114" s="10" t="n">
        <v>0.4</v>
      </c>
      <c r="C114" s="10" t="n">
        <v>0.4</v>
      </c>
      <c r="D114" s="2" t="inlineStr">
        <is>
          <t>El resto, antes del evento. Emite factura de cada pago, también de la reserva.</t>
        </is>
      </c>
    </row>
    <row r="115" ht="30" customHeight="1">
      <c r="A115" s="4" t="inlineStr">
        <is>
          <t>Segundo pago: días antes del evento</t>
        </is>
      </c>
      <c r="B115" s="7" t="n">
        <v>180</v>
      </c>
      <c r="C115" s="7" t="n">
        <v>60</v>
      </c>
      <c r="D115" s="2" t="inlineStr">
        <is>
          <t>Particular, unos seis meses antes; empresa, dos meses. Si firman con menos antelación, se cobran juntos.</t>
        </is>
      </c>
    </row>
    <row r="116" ht="16" customHeight="1">
      <c r="A116" s="4" t="inlineStr">
        <is>
          <t>Liquidación: días antes del evento</t>
        </is>
      </c>
      <c r="B116" s="7" t="n">
        <v>30</v>
      </c>
      <c r="C116" s="7" t="n">
        <v>15</v>
      </c>
      <c r="D116" s="2" t="inlineStr">
        <is>
          <t>Particular, 30 días antes; empresa, 15.</t>
        </is>
      </c>
    </row>
    <row r="117" ht="16" customHeight="1">
      <c r="A117" s="4" t="inlineStr">
        <is>
          <t>Cancelación tramo 1: lo que retienes (% del total)</t>
        </is>
      </c>
      <c r="B117" s="10" t="n">
        <v>0.1</v>
      </c>
      <c r="C117" s="10" t="n">
        <v>0.05</v>
      </c>
      <c r="D117" s="2" t="inlineStr">
        <is>
          <t>Tramo más lejano del evento. Nunca más de lo cobrado en la reserva.</t>
        </is>
      </c>
    </row>
    <row r="118" ht="16" customHeight="1">
      <c r="A118" s="4" t="inlineStr">
        <is>
          <t>Cancelación tramo 2: lo que retienes (% del total)</t>
        </is>
      </c>
      <c r="B118" s="10" t="n">
        <v>0.25</v>
      </c>
      <c r="C118" s="10" t="n">
        <v>0.15</v>
      </c>
      <c r="D118" s="2" t="inlineStr">
        <is>
          <t>Sube con la cercanía del evento.</t>
        </is>
      </c>
    </row>
    <row r="119" ht="16" customHeight="1">
      <c r="A119" s="4" t="inlineStr">
        <is>
          <t>Cancelación tramo 3: lo que retienes (% del total)</t>
        </is>
      </c>
      <c r="B119" s="10" t="n">
        <v>0.5</v>
      </c>
      <c r="C119" s="10" t="n">
        <v>0.35</v>
      </c>
      <c r="D119" s="2" t="inlineStr">
        <is>
          <t>Cada tramo repone menos opciones de volver a vender la fecha.</t>
        </is>
      </c>
    </row>
    <row r="120" ht="16" customHeight="1">
      <c r="A120" s="4" t="inlineStr">
        <is>
          <t>Cancelación tramo 4: lo que retienes (% del total)</t>
        </is>
      </c>
      <c r="B120" s="10" t="n">
        <v>0.75</v>
      </c>
      <c r="C120" s="10" t="n">
        <v>0.6</v>
      </c>
      <c r="D120" s="2" t="inlineStr">
        <is>
          <t>Últimos meses.</t>
        </is>
      </c>
    </row>
    <row r="121" ht="16" customHeight="1">
      <c r="A121" s="4" t="inlineStr">
        <is>
          <t>Cancelación tramo 5: lo que retienes (% del total)</t>
        </is>
      </c>
      <c r="B121" s="10" t="n">
        <v>1</v>
      </c>
      <c r="C121" s="10" t="n">
        <v>1</v>
      </c>
      <c r="D121" s="2" t="inlineStr">
        <is>
          <t>Último mes o no presentación: el 100 %.</t>
        </is>
      </c>
    </row>
    <row r="123" ht="32" customHeight="1">
      <c r="A123" s="3" t="inlineStr">
        <is>
          <t>TRAMOS DE CANCELACIÓN (meses de antelación al evento)</t>
        </is>
      </c>
      <c r="B123" s="18" t="inlineStr">
        <is>
          <t>Desde (meses, incluido)</t>
        </is>
      </c>
      <c r="C123" s="18" t="inlineStr">
        <is>
          <t>Hasta (meses, sin llegar a)</t>
        </is>
      </c>
    </row>
    <row r="124">
      <c r="A124" s="4" t="inlineStr">
        <is>
          <t>Tramo 1</t>
        </is>
      </c>
      <c r="B124" s="7" t="n">
        <v>12</v>
      </c>
      <c r="C124" s="4" t="inlineStr">
        <is>
          <t>sin límite</t>
        </is>
      </c>
    </row>
    <row r="125">
      <c r="A125" s="4" t="inlineStr">
        <is>
          <t>Tramo 2</t>
        </is>
      </c>
      <c r="B125" s="7" t="n">
        <v>6</v>
      </c>
      <c r="C125" s="15">
        <f>$B$124</f>
        <v>12.0</v>
      </c>
    </row>
    <row r="126">
      <c r="A126" s="4" t="inlineStr">
        <is>
          <t>Tramo 3</t>
        </is>
      </c>
      <c r="B126" s="7" t="n">
        <v>3</v>
      </c>
      <c r="C126" s="15">
        <f>$B$125</f>
        <v>6.0</v>
      </c>
    </row>
    <row r="127">
      <c r="A127" s="4" t="inlineStr">
        <is>
          <t>Tramo 4</t>
        </is>
      </c>
      <c r="B127" s="7" t="n">
        <v>1</v>
      </c>
      <c r="C127" s="15">
        <f>$B$126</f>
        <v>3.0</v>
      </c>
    </row>
    <row r="128">
      <c r="A128" s="4" t="inlineStr">
        <is>
          <t>Tramo 5</t>
        </is>
      </c>
      <c r="B128" s="7" t="n">
        <v>0</v>
      </c>
      <c r="C128" s="15">
        <f>$B$127</f>
        <v>1.0</v>
      </c>
    </row>
    <row r="129" ht="62" customHeight="1">
      <c r="A129" s="19" t="inlineStr">
        <is>
          <t>Sin huecos: cada tramo empieza donde termina el anterior y el último llega hasta el día del evento. Los porcentajes retenidos son proporcionados y recíprocos: si cancela la finca, devuelve todo lo cobrado y abona al cliente la misma penalización (art. 85.6 y 87.2 del TRLGDCU). Los porcentajes y los tramos son ejemplos del kit: ajústalos a tu coste real de perder la fecha.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0">
    <mergeCell ref="C52:F52"/>
    <mergeCell ref="C48:F48"/>
    <mergeCell ref="C17:F17"/>
    <mergeCell ref="C23:F23"/>
    <mergeCell ref="C39:F39"/>
    <mergeCell ref="C8:F8"/>
    <mergeCell ref="D116:F116"/>
    <mergeCell ref="D120:F120"/>
    <mergeCell ref="C7:F7"/>
    <mergeCell ref="C32:F32"/>
    <mergeCell ref="C19:F19"/>
    <mergeCell ref="C57:F57"/>
    <mergeCell ref="C28:F28"/>
    <mergeCell ref="C13:F13"/>
    <mergeCell ref="A2:F2"/>
    <mergeCell ref="C18:F18"/>
    <mergeCell ref="A129:F129"/>
    <mergeCell ref="D112:F112"/>
    <mergeCell ref="C49:F49"/>
    <mergeCell ref="C78:F80"/>
    <mergeCell ref="D118:F118"/>
    <mergeCell ref="C6:F6"/>
    <mergeCell ref="C30:F30"/>
    <mergeCell ref="C15:F15"/>
    <mergeCell ref="C24:F24"/>
    <mergeCell ref="C5:F5"/>
    <mergeCell ref="C42:F42"/>
    <mergeCell ref="C58:F58"/>
    <mergeCell ref="D114:F114"/>
    <mergeCell ref="C14:F14"/>
    <mergeCell ref="D117:F117"/>
    <mergeCell ref="D121:F121"/>
    <mergeCell ref="C83:F85"/>
    <mergeCell ref="D113:F113"/>
    <mergeCell ref="C64:F64"/>
    <mergeCell ref="C20:F20"/>
    <mergeCell ref="C26:F26"/>
    <mergeCell ref="C29:F29"/>
    <mergeCell ref="C16:F16"/>
    <mergeCell ref="D73:F75"/>
    <mergeCell ref="C25:F25"/>
    <mergeCell ref="D115:F115"/>
    <mergeCell ref="C10:F10"/>
    <mergeCell ref="C41:F41"/>
    <mergeCell ref="C47:F47"/>
    <mergeCell ref="C50:F50"/>
    <mergeCell ref="C106:F107"/>
    <mergeCell ref="C44:F44"/>
    <mergeCell ref="C40:F40"/>
    <mergeCell ref="C9:F9"/>
    <mergeCell ref="D119:F119"/>
    <mergeCell ref="C56:F56"/>
    <mergeCell ref="E67:F70"/>
    <mergeCell ref="C12:F12"/>
    <mergeCell ref="C46:F46"/>
    <mergeCell ref="C59:F59"/>
    <mergeCell ref="C11:F11"/>
    <mergeCell ref="C51:F51"/>
    <mergeCell ref="C27:F27"/>
    <mergeCell ref="C60:F60"/>
  </mergeCells>
  <dataValidations count="11">
    <dataValidation sqref="B5" showDropDown="0" showInputMessage="0" showErrorMessage="1" allowBlank="0" errorTitle="Cliente no válido" error="Elige Particular o Empresa." type="list">
      <formula1>"Particular,Empresa"</formula1>
    </dataValidation>
    <dataValidation sqref="B6" showDropDown="0" showInputMessage="0" showErrorMessage="1" allowBlank="0" errorTitle="Tipología no válida" error="Elige una tipología de la lista." type="list">
      <formula1>=$A$67:$A$70</formula1>
    </dataValidation>
    <dataValidation sqref="B7" showDropDown="0" showInputMessage="0" showErrorMessage="1" allowBlank="0" errorTitle="Fecha no válida" error="Escribe una fecha completa a partir de 2026 (dd/mm/aaaa)." type="date" operator="greaterThanOrEqual">
      <formula1>46023</formula1>
    </dataValidation>
    <dataValidation sqref="B8" showDropDown="0" showInputMessage="0" showErrorMessage="1" allowBlank="0" errorTitle="Número no válido" error="Escribe un número entero de 1 o más." type="whole" operator="between">
      <formula1>1</formula1>
      <formula2>100000</formula2>
    </dataValidation>
    <dataValidation sqref="B9 B10 B11 B12 B115 B116 B124 B125 B126 B127 B128 C73 C74 C75 C115 C116" showDropDown="0" showInputMessage="0" showErrorMessage="1" allowBlank="0" errorTitle="Número no válido" error="Escribe un número entero de 0 o más." type="whole" operator="between">
      <formula1>0</formula1>
      <formula2>100000</formula2>
    </dataValidation>
    <dataValidation sqref="B13 B14 B67 B68 B69 B70 B106 B107 B108 B109 C67 C68 C69 C70 D67 D68 D69 D70" showDropDown="0" showInputMessage="0" showErrorMessage="1" allowBlank="0" errorTitle="Importe no válido" error="Escribe un número mayor o igual que 0." type="decimal" operator="greaterThanOrEqual">
      <formula1>0</formula1>
    </dataValidation>
    <dataValidation sqref="B15 B16 B18 B19 B20 B112 B113 B114 B117 B118 B119 B120 B121 C112 C113 C114 C117 C118 C119 C120 C121" showDropDown="0" showInputMessage="0" showErrorMessage="1" allowBlank="0" errorTitle="Porcentaje no válido" error="Escribe un porcentaje entre 0 y 1 (0,21 = 21 %)." type="decimal" operator="between">
      <formula1>0</formula1>
      <formula2>1</formula2>
    </dataValidation>
    <dataValidation sqref="B73 B74 B75 B78 B79 B80" showDropDown="0" showInputMessage="0" showErrorMessage="1" allowBlank="0" errorTitle="Ajuste no válido" error="Escribe un ajuste entre −90 % y +200 % (−0,20 = −20 %)." type="decimal" operator="between">
      <formula1>-0.9</formula1>
      <formula2>2</formula2>
    </dataValidation>
    <dataValidation sqref="B83 B84 B85 B86 B87 B88 B89 B90 B91 B92 B93 B94" showDropDown="0" showInputMessage="0" showErrorMessage="1" allowBlank="0" errorTitle="Temporada no válida" error="Elige Alta, Media o Baja." type="list">
      <formula1>"Alta,Media,Baja"</formula1>
    </dataValidation>
    <dataValidation sqref="B97 B98 B99 B100 B101 B102 B103" showDropDown="0" showInputMessage="0" showErrorMessage="1" allowBlank="0" errorTitle="Tipo de día no válido" error="Elige Sábado, Viernes o domingo o Entre semana." type="list">
      <formula1>"Sábado,Viernes o domingo,Entre semana"</formula1>
    </dataValidation>
    <dataValidation sqref="B17" showDropDown="0" showInputMessage="0" showErrorMessage="1" allowBlank="0" errorTitle="Redondeo no válido" error="Escribe un múltiplo de 1 euro o más (se divide entre él)." type="whole" operator="between">
      <formula1>1</formula1>
      <formula2>100000</formula2>
    </dataValidation>
  </dataValidations>
  <printOptions horizontalCentered="1"/>
  <pageMargins left="0.75" right="0.75" top="1" bottom="1" header="0.5" footer="0.5"/>
  <pageSetup orientation="portrait" paperSize="9" fitToHeight="0" fitToWidth="1"/>
  <headerFooter>
    <oddHeader/>
    <oddFooter>&amp;Caichef.pro/plan-negocio-finca-eventos-bodas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3 PRESUPUESTOS DE EJEMPLO — con las mismas fórmulas de la hoja «Calculadora»</t>
        </is>
      </c>
    </row>
    <row r="2" ht="32" customHeight="1">
      <c r="A2" s="2" t="inlineStr">
        <is>
          <t>Estimaciones del kit para ilustrar el cálculo, no precios de mercado: cambia los datos en «Calculadora» para presupuestar tus eventos. Las tablas (tarifas, temporadas, días, extras, cobros y cancelación) están al final de esa hoja y también mueven estos ejemplos.</t>
        </is>
      </c>
    </row>
    <row r="4" ht="48" customHeight="1">
      <c r="A4" s="3" t="inlineStr">
        <is>
          <t>DATOS DEL EVENTO</t>
        </is>
      </c>
      <c r="B4" s="18" t="inlineStr">
        <is>
          <t>Boda de sábado en temporada alta</t>
        </is>
      </c>
      <c r="C4" s="18" t="inlineStr">
        <is>
          <t>Boda de viernes en temporada media</t>
        </is>
      </c>
      <c r="D4" s="18" t="inlineStr">
        <is>
          <t>Jornada de empresa entre semana</t>
        </is>
      </c>
    </row>
    <row r="5">
      <c r="A5" s="4" t="inlineStr">
        <is>
          <t>Cliente</t>
        </is>
      </c>
      <c r="B5" s="2" t="inlineStr">
        <is>
          <t>Particular</t>
        </is>
      </c>
      <c r="C5" s="2" t="inlineStr">
        <is>
          <t>Particular</t>
        </is>
      </c>
      <c r="D5" s="2" t="inlineStr">
        <is>
          <t>Empresa</t>
        </is>
      </c>
    </row>
    <row r="6">
      <c r="A6" s="4" t="inlineStr">
        <is>
          <t>Tipología del evento</t>
        </is>
      </c>
      <c r="B6" s="2" t="inlineStr">
        <is>
          <t>Boda</t>
        </is>
      </c>
      <c r="C6" s="2" t="inlineStr">
        <is>
          <t>Boda</t>
        </is>
      </c>
      <c r="D6" s="2" t="inlineStr">
        <is>
          <t>Empresa</t>
        </is>
      </c>
    </row>
    <row r="7">
      <c r="A7" s="4" t="inlineStr">
        <is>
          <t>Fecha del evento</t>
        </is>
      </c>
      <c r="B7" s="16" t="n">
        <v>46557</v>
      </c>
      <c r="C7" s="16" t="n">
        <v>46584</v>
      </c>
      <c r="D7" s="16" t="n">
        <v>46498</v>
      </c>
    </row>
    <row r="8">
      <c r="A8" s="4" t="inlineStr">
        <is>
          <t>Invitados previstos</t>
        </is>
      </c>
      <c r="B8" s="15" t="n">
        <v>110</v>
      </c>
      <c r="C8" s="15" t="n">
        <v>90</v>
      </c>
      <c r="D8" s="15" t="n">
        <v>50</v>
      </c>
    </row>
    <row r="9">
      <c r="A9" s="4" t="inlineStr">
        <is>
          <t>Ceremonias en la finca (nº)</t>
        </is>
      </c>
      <c r="B9" s="15" t="n">
        <v>1</v>
      </c>
      <c r="C9" s="15" t="n">
        <v>1</v>
      </c>
      <c r="D9" s="15" t="n">
        <v>0</v>
      </c>
    </row>
    <row r="10">
      <c r="A10" s="4" t="inlineStr">
        <is>
          <t>Horas extra de uso del espacio (nº)</t>
        </is>
      </c>
      <c r="B10" s="15" t="n">
        <v>2</v>
      </c>
      <c r="C10" s="15" t="n">
        <v>0</v>
      </c>
      <c r="D10" s="15" t="n">
        <v>1</v>
      </c>
    </row>
    <row r="11">
      <c r="A11" s="4" t="inlineStr">
        <is>
          <t>Montajes premium (nº)</t>
        </is>
      </c>
      <c r="B11" s="15" t="n">
        <v>1</v>
      </c>
      <c r="C11" s="15" t="n">
        <v>0</v>
      </c>
      <c r="D11" s="15" t="n">
        <v>0</v>
      </c>
    </row>
    <row r="12">
      <c r="A12" s="4" t="inlineStr">
        <is>
          <t>Alojamiento: habitaciones-noche (nº)</t>
        </is>
      </c>
      <c r="B12" s="15" t="n">
        <v>0</v>
      </c>
      <c r="C12" s="15" t="n">
        <v>12</v>
      </c>
      <c r="D12" s="15" t="n">
        <v>0</v>
      </c>
    </row>
    <row r="13">
      <c r="A13" s="4" t="inlineStr">
        <is>
          <t>Horas de personal de la finca en el evento (coordinación y auxiliares)</t>
        </is>
      </c>
      <c r="B13" s="20" t="n">
        <v>16</v>
      </c>
      <c r="C13" s="20" t="n">
        <v>14</v>
      </c>
      <c r="D13" s="20" t="n">
        <v>10</v>
      </c>
    </row>
    <row r="14">
      <c r="A14" s="4" t="inlineStr">
        <is>
          <t>Coste bruto por hora del personal</t>
        </is>
      </c>
      <c r="B14" s="12" t="n">
        <v>13</v>
      </c>
      <c r="C14" s="12" t="n">
        <v>13</v>
      </c>
      <c r="D14" s="12" t="n">
        <v>13</v>
      </c>
    </row>
    <row r="15">
      <c r="A15" s="4" t="inlineStr">
        <is>
          <t>Seguridad Social a cargo de la empresa</t>
        </is>
      </c>
      <c r="B15" s="11" t="n">
        <v>0.33</v>
      </c>
      <c r="C15" s="11" t="n">
        <v>0.33</v>
      </c>
      <c r="D15" s="11" t="n">
        <v>0.33</v>
      </c>
    </row>
    <row r="16">
      <c r="A16" s="4" t="inlineStr">
        <is>
          <t>Coste directo de los servicios extra (% sobre su precio)</t>
        </is>
      </c>
      <c r="B16" s="11" t="n">
        <v>0.4</v>
      </c>
      <c r="C16" s="11" t="n">
        <v>0.4</v>
      </c>
      <c r="D16" s="11" t="n">
        <v>0.4</v>
      </c>
    </row>
    <row r="17">
      <c r="A17" s="4" t="inlineStr">
        <is>
          <t>Redondeo del precio del espacio (múltiplo, en euros)</t>
        </is>
      </c>
      <c r="B17" s="15" t="n">
        <v>50</v>
      </c>
      <c r="C17" s="15" t="n">
        <v>50</v>
      </c>
      <c r="D17" s="15" t="n">
        <v>50</v>
      </c>
    </row>
    <row r="18">
      <c r="A18" s="4" t="inlineStr">
        <is>
          <t>Canon del catering exclusivo (% de lo que factura el catering)</t>
        </is>
      </c>
      <c r="B18" s="11" t="n">
        <v>0.12</v>
      </c>
      <c r="C18" s="11" t="n">
        <v>0.12</v>
      </c>
      <c r="D18" s="11" t="n">
        <v>0.12</v>
      </c>
    </row>
    <row r="19">
      <c r="A19" s="4" t="inlineStr">
        <is>
          <t>IVA de la finca (espacio, servicios y canon)</t>
        </is>
      </c>
      <c r="B19" s="11" t="n">
        <v>0.21</v>
      </c>
      <c r="C19" s="11" t="n">
        <v>0.21</v>
      </c>
      <c r="D19" s="11" t="n">
        <v>0.21</v>
      </c>
    </row>
    <row r="20">
      <c r="A20" s="4" t="inlineStr">
        <is>
          <t>IVA del menú del catering (solo orientativo)</t>
        </is>
      </c>
      <c r="B20" s="11" t="n">
        <v>0.1</v>
      </c>
      <c r="C20" s="11" t="n">
        <v>0.1</v>
      </c>
      <c r="D20" s="11" t="n">
        <v>0.1</v>
      </c>
    </row>
    <row r="22" ht="48" customHeight="1">
      <c r="A22" s="3" t="inlineStr">
        <is>
          <t>RESULTADO</t>
        </is>
      </c>
      <c r="B22" s="18" t="inlineStr">
        <is>
          <t>Boda de sábado en temporada alta</t>
        </is>
      </c>
      <c r="C22" s="18" t="inlineStr">
        <is>
          <t>Boda de viernes en temporada media</t>
        </is>
      </c>
      <c r="D22" s="18" t="inlineStr">
        <is>
          <t>Jornada de empresa entre semana</t>
        </is>
      </c>
    </row>
    <row r="23">
      <c r="A23" s="4" t="inlineStr">
        <is>
          <t>Temporada de la fecha (de la tabla de meses)</t>
        </is>
      </c>
      <c r="B23" s="2" t="str">
        <f>INDEX('Calculadora'!$B$83:$B$94,MONTH($B$7))</f>
        <v>Alta</v>
      </c>
      <c r="C23" s="2" t="str">
        <f>INDEX('Calculadora'!$B$83:$B$94,MONTH($C$7))</f>
        <v>Media</v>
      </c>
      <c r="D23" s="2" t="str">
        <f>INDEX('Calculadora'!$B$83:$B$94,MONTH($D$7))</f>
        <v>Media</v>
      </c>
    </row>
    <row r="24">
      <c r="A24" s="4" t="inlineStr">
        <is>
          <t>Tipo de día (de la tabla de días de la semana)</t>
        </is>
      </c>
      <c r="B24" s="2" t="str">
        <f>INDEX('Calculadora'!$B$97:$B$103,WEEKDAY($B$7))</f>
        <v>Sábado</v>
      </c>
      <c r="C24" s="2" t="str">
        <f>INDEX('Calculadora'!$B$97:$B$103,WEEKDAY($C$7))</f>
        <v>Viernes o domingo</v>
      </c>
      <c r="D24" s="2" t="str">
        <f>INDEX('Calculadora'!$B$97:$B$103,WEEKDAY($D$7))</f>
        <v>Entre semana</v>
      </c>
    </row>
    <row r="25">
      <c r="A25" s="4" t="inlineStr">
        <is>
          <t>Ajuste de temporada (suplemento + / descuento −)</t>
        </is>
      </c>
      <c r="B25" s="11">
        <f>INDEX('Calculadora'!$B$73:$B$75,MATCH($B$23,'Calculadora'!$A$73:$A$75,0))</f>
        <v>0.2</v>
      </c>
      <c r="C25" s="11">
        <f>INDEX('Calculadora'!$B$73:$B$75,MATCH($C$23,'Calculadora'!$A$73:$A$75,0))</f>
        <v>0.0</v>
      </c>
      <c r="D25" s="11">
        <f>INDEX('Calculadora'!$B$73:$B$75,MATCH($D$23,'Calculadora'!$A$73:$A$75,0))</f>
        <v>0.0</v>
      </c>
    </row>
    <row r="26">
      <c r="A26" s="4" t="inlineStr">
        <is>
          <t>Ajuste de día (suplemento + / descuento −)</t>
        </is>
      </c>
      <c r="B26" s="11">
        <f>INDEX('Calculadora'!$B$78:$B$80,MATCH($B$24,'Calculadora'!$A$78:$A$80,0))</f>
        <v>0.0</v>
      </c>
      <c r="C26" s="11">
        <f>INDEX('Calculadora'!$B$78:$B$80,MATCH($C$24,'Calculadora'!$A$78:$A$80,0))</f>
        <v>-0.2</v>
      </c>
      <c r="D26" s="11">
        <f>INDEX('Calculadora'!$B$78:$B$80,MATCH($D$24,'Calculadora'!$A$78:$A$80,0))</f>
        <v>-0.3</v>
      </c>
    </row>
    <row r="27">
      <c r="A27" s="4" t="inlineStr">
        <is>
          <t>Tarifa del espacio de la tipología (sábado, temporada media)</t>
        </is>
      </c>
      <c r="B27" s="12">
        <f>INDEX('Calculadora'!$B$67:$B$70,MATCH($B$6,'Calculadora'!$A$67:$A$70,0))</f>
        <v>3600.0</v>
      </c>
      <c r="C27" s="12">
        <f>INDEX('Calculadora'!$B$67:$B$70,MATCH($C$6,'Calculadora'!$A$67:$A$70,0))</f>
        <v>3600.0</v>
      </c>
      <c r="D27" s="12">
        <f>INDEX('Calculadora'!$B$67:$B$70,MATCH($D$6,'Calculadora'!$A$67:$A$70,0))</f>
        <v>2300.0</v>
      </c>
    </row>
    <row r="28">
      <c r="A28" s="13" t="inlineStr">
        <is>
          <t>ALQUILER DEL ESPACIO SIN IVA</t>
        </is>
      </c>
      <c r="B28" s="14">
        <f>ROUND($B$27*(1+$B$25)*(1+$B$26)/$B$17,0)*$B$17</f>
        <v>4300.0</v>
      </c>
      <c r="C28" s="14">
        <f>ROUND($C$27*(1+$C$25)*(1+$C$26)/$C$17,0)*$C$17</f>
        <v>2900.0</v>
      </c>
      <c r="D28" s="14">
        <f>ROUND($D$27*(1+$D$25)*(1+$D$26)/$D$17,0)*$D$17</f>
        <v>1600.0</v>
      </c>
    </row>
    <row r="29">
      <c r="A29" s="4" t="inlineStr">
        <is>
          <t>Mínimo de invitados de la temporada</t>
        </is>
      </c>
      <c r="B29" s="15">
        <f>INDEX('Calculadora'!$C$73:$C$75,MATCH($B$23,'Calculadora'!$A$73:$A$75,0))</f>
        <v>80.0</v>
      </c>
      <c r="C29" s="15">
        <f>INDEX('Calculadora'!$C$73:$C$75,MATCH($C$23,'Calculadora'!$A$73:$A$75,0))</f>
        <v>60.0</v>
      </c>
      <c r="D29" s="15">
        <f>INDEX('Calculadora'!$C$73:$C$75,MATCH($D$23,'Calculadora'!$A$73:$A$75,0))</f>
        <v>60.0</v>
      </c>
    </row>
    <row r="30">
      <c r="A30" s="4" t="inlineStr">
        <is>
          <t>Invitados garantizados</t>
        </is>
      </c>
      <c r="B30" s="15">
        <f>MAX($B$8,$B$29)</f>
        <v>110.0</v>
      </c>
      <c r="C30" s="15">
        <f>MAX($C$8,$C$29)</f>
        <v>90.0</v>
      </c>
      <c r="D30" s="15">
        <f>MAX($D$8,$D$29)</f>
        <v>60.0</v>
      </c>
    </row>
    <row r="31">
      <c r="A31" s="4" t="inlineStr">
        <is>
          <t>Aviso del mínimo</t>
        </is>
      </c>
      <c r="B31" s="2" t="str">
        <f>IF($B$8&lt;$B$29,"Por debajo del mínimo: se garantiza el mínimo de la temporada","Cumple el mínimo")</f>
        <v>Cumple el mínimo</v>
      </c>
      <c r="C31" s="2" t="str">
        <f>IF($C$8&lt;$C$29,"Por debajo del mínimo: se garantiza el mínimo de la temporada","Cumple el mínimo")</f>
        <v>Cumple el mínimo</v>
      </c>
      <c r="D31" s="2" t="str">
        <f>IF($D$8&lt;$D$29,"Por debajo del mínimo: se garantiza el mínimo de la temporada","Cumple el mínimo")</f>
        <v>Por debajo del mínimo: se garantiza el mínimo de la temporada</v>
      </c>
    </row>
    <row r="32">
      <c r="A32" s="4" t="inlineStr">
        <is>
          <t>Ceremonias</t>
        </is>
      </c>
      <c r="B32" s="12">
        <f>$B$9*'Calculadora'!$B$106</f>
        <v>450.0</v>
      </c>
      <c r="C32" s="12">
        <f>$C$9*'Calculadora'!$B$106</f>
        <v>450.0</v>
      </c>
      <c r="D32" s="12">
        <f>$D$9*'Calculadora'!$B$106</f>
        <v>0.0</v>
      </c>
    </row>
    <row r="33">
      <c r="A33" s="4" t="inlineStr">
        <is>
          <t>Horas extra</t>
        </is>
      </c>
      <c r="B33" s="12">
        <f>$B$10*'Calculadora'!$B$107</f>
        <v>600.0</v>
      </c>
      <c r="C33" s="12">
        <f>$C$10*'Calculadora'!$B$107</f>
        <v>0.0</v>
      </c>
      <c r="D33" s="12">
        <f>$D$10*'Calculadora'!$B$107</f>
        <v>300.0</v>
      </c>
    </row>
    <row r="34">
      <c r="A34" s="4" t="inlineStr">
        <is>
          <t>Montajes premium</t>
        </is>
      </c>
      <c r="B34" s="12">
        <f>$B$11*'Calculadora'!$B$108</f>
        <v>600.0</v>
      </c>
      <c r="C34" s="12">
        <f>$C$11*'Calculadora'!$B$108</f>
        <v>0.0</v>
      </c>
      <c r="D34" s="12">
        <f>$D$11*'Calculadora'!$B$108</f>
        <v>0.0</v>
      </c>
    </row>
    <row r="35">
      <c r="A35" s="4" t="inlineStr">
        <is>
          <t>Alojamiento</t>
        </is>
      </c>
      <c r="B35" s="12">
        <f>$B$12*'Calculadora'!$B$109</f>
        <v>0.0</v>
      </c>
      <c r="C35" s="12">
        <f>$C$12*'Calculadora'!$B$109</f>
        <v>1800.0</v>
      </c>
      <c r="D35" s="12">
        <f>$D$12*'Calculadora'!$B$109</f>
        <v>0.0</v>
      </c>
    </row>
    <row r="36">
      <c r="A36" s="4" t="inlineStr">
        <is>
          <t>Servicios extra sin IVA</t>
        </is>
      </c>
      <c r="B36" s="12">
        <f>$B$32+$B$33+$B$34+$B$35</f>
        <v>1650.0</v>
      </c>
      <c r="C36" s="12">
        <f>$C$32+$C$33+$C$34+$C$35</f>
        <v>2250.0</v>
      </c>
      <c r="D36" s="12">
        <f>$D$32+$D$33+$D$34+$D$35</f>
        <v>300.0</v>
      </c>
    </row>
    <row r="37">
      <c r="A37" s="4" t="inlineStr">
        <is>
          <t>Base imponible (espacio + servicios)</t>
        </is>
      </c>
      <c r="B37" s="12">
        <f>$B$28+$B$36</f>
        <v>5950.0</v>
      </c>
      <c r="C37" s="12">
        <f>$C$28+$C$36</f>
        <v>5150.0</v>
      </c>
      <c r="D37" s="12">
        <f>$D$28+$D$36</f>
        <v>1900.0</v>
      </c>
    </row>
    <row r="38">
      <c r="A38" s="4" t="inlineStr">
        <is>
          <t>IVA de la finca</t>
        </is>
      </c>
      <c r="B38" s="12">
        <f>$B$37*$B$19</f>
        <v>1249.5</v>
      </c>
      <c r="C38" s="12">
        <f>$C$37*$C$19</f>
        <v>1081.5</v>
      </c>
      <c r="D38" s="12">
        <f>$D$37*$D$19</f>
        <v>399.0</v>
      </c>
    </row>
    <row r="39">
      <c r="A39" s="13" t="inlineStr">
        <is>
          <t>TOTAL DE LA FINCA (con IVA)</t>
        </is>
      </c>
      <c r="B39" s="14">
        <f>$B$37+$B$38</f>
        <v>7199.5</v>
      </c>
      <c r="C39" s="14">
        <f>$C$37+$C$38</f>
        <v>6231.5</v>
      </c>
      <c r="D39" s="14">
        <f>$D$37+$D$38</f>
        <v>2299.0</v>
      </c>
    </row>
    <row r="40">
      <c r="A40" s="13" t="inlineStr">
        <is>
          <t>Importe que presupuestas (Particular: con IVA · Empresa: más IVA)</t>
        </is>
      </c>
      <c r="B40" s="14">
        <f>IF($B$5="Particular",$B$39,$B$37)</f>
        <v>7199.5</v>
      </c>
      <c r="C40" s="14">
        <f>IF($C$5="Particular",$C$39,$C$37)</f>
        <v>6231.5</v>
      </c>
      <c r="D40" s="14">
        <f>IF($D$5="Particular",$D$39,$D$37)</f>
        <v>1900.0</v>
      </c>
    </row>
    <row r="41">
      <c r="A41" s="4" t="inlineStr">
        <is>
          <t>Precio del espacio y servicios por invitado garantizado (sin IVA)</t>
        </is>
      </c>
      <c r="B41" s="12">
        <f>$B$37/$B$30</f>
        <v>54.09090909090909</v>
      </c>
      <c r="C41" s="12">
        <f>$C$37/$C$30</f>
        <v>57.22222222222222</v>
      </c>
      <c r="D41" s="12">
        <f>$D$37/$D$30</f>
        <v>31.666666666666668</v>
      </c>
    </row>
    <row r="42">
      <c r="A42" s="4" t="inlineStr">
        <is>
          <t>Importe del cobro 1: reserva</t>
        </is>
      </c>
      <c r="B42" s="12">
        <f>$B$39*INDEX('Calculadora'!$B$112:$C$112,MATCH($B$5,'Calculadora'!$B$111:$C$111,0))</f>
        <v>1799.875</v>
      </c>
      <c r="C42" s="12">
        <f>$C$39*INDEX('Calculadora'!$B$112:$C$112,MATCH($C$5,'Calculadora'!$B$111:$C$111,0))</f>
        <v>1557.875</v>
      </c>
      <c r="D42" s="12">
        <f>$D$39*INDEX('Calculadora'!$B$112:$C$112,MATCH($D$5,'Calculadora'!$B$111:$C$111,0))</f>
        <v>689.6999999999999</v>
      </c>
    </row>
    <row r="43">
      <c r="A43" s="4" t="inlineStr">
        <is>
          <t>Importe del cobro 2: segundo pago</t>
        </is>
      </c>
      <c r="B43" s="12">
        <f>$B$39*INDEX('Calculadora'!$B$113:$C$113,MATCH($B$5,'Calculadora'!$B$111:$C$111,0))</f>
        <v>2519.825</v>
      </c>
      <c r="C43" s="12">
        <f>$C$39*INDEX('Calculadora'!$B$113:$C$113,MATCH($C$5,'Calculadora'!$B$111:$C$111,0))</f>
        <v>2181.0249999999996</v>
      </c>
      <c r="D43" s="12">
        <f>$D$39*INDEX('Calculadora'!$B$113:$C$113,MATCH($D$5,'Calculadora'!$B$111:$C$111,0))</f>
        <v>689.6999999999999</v>
      </c>
    </row>
    <row r="44">
      <c r="A44" s="4" t="inlineStr">
        <is>
          <t>Fecha límite del segundo pago</t>
        </is>
      </c>
      <c r="B44" s="16">
        <f>$B$7-INDEX('Calculadora'!$B$115:$C$115,MATCH($B$5,'Calculadora'!$B$111:$C$111,0))</f>
        <v>46377.0</v>
      </c>
      <c r="C44" s="16">
        <f>$C$7-INDEX('Calculadora'!$B$115:$C$115,MATCH($C$5,'Calculadora'!$B$111:$C$111,0))</f>
        <v>46404.0</v>
      </c>
      <c r="D44" s="16">
        <f>$D$7-INDEX('Calculadora'!$B$115:$C$115,MATCH($D$5,'Calculadora'!$B$111:$C$111,0))</f>
        <v>46438.0</v>
      </c>
    </row>
    <row r="45">
      <c r="A45" s="4" t="inlineStr">
        <is>
          <t>Importe del cobro 3: liquidación</t>
        </is>
      </c>
      <c r="B45" s="12">
        <f>$B$39*INDEX('Calculadora'!$B$114:$C$114,MATCH($B$5,'Calculadora'!$B$111:$C$111,0))</f>
        <v>2879.8</v>
      </c>
      <c r="C45" s="12">
        <f>$C$39*INDEX('Calculadora'!$B$114:$C$114,MATCH($C$5,'Calculadora'!$B$111:$C$111,0))</f>
        <v>2492.6000000000004</v>
      </c>
      <c r="D45" s="12">
        <f>$D$39*INDEX('Calculadora'!$B$114:$C$114,MATCH($D$5,'Calculadora'!$B$111:$C$111,0))</f>
        <v>919.6</v>
      </c>
    </row>
    <row r="46">
      <c r="A46" s="4" t="inlineStr">
        <is>
          <t>Fecha límite de la liquidación</t>
        </is>
      </c>
      <c r="B46" s="16">
        <f>$B$7-INDEX('Calculadora'!$B$116:$C$116,MATCH($B$5,'Calculadora'!$B$111:$C$111,0))</f>
        <v>46527.0</v>
      </c>
      <c r="C46" s="16">
        <f>$C$7-INDEX('Calculadora'!$B$116:$C$116,MATCH($C$5,'Calculadora'!$B$111:$C$111,0))</f>
        <v>46554.0</v>
      </c>
      <c r="D46" s="16">
        <f>$D$7-INDEX('Calculadora'!$B$116:$C$116,MATCH($D$5,'Calculadora'!$B$111:$C$111,0))</f>
        <v>46483.0</v>
      </c>
    </row>
    <row r="47">
      <c r="A47" s="4" t="inlineStr">
        <is>
          <t>Importe del menú del catering sin IVA (estimado, invitados garantizados)</t>
        </is>
      </c>
      <c r="B47" s="12">
        <f>INDEX('Calculadora'!$C$67:$C$70,MATCH($B$6,'Calculadora'!$A$67:$A$70,0))*$B$30</f>
        <v>12100.0</v>
      </c>
      <c r="C47" s="12">
        <f>INDEX('Calculadora'!$C$67:$C$70,MATCH($C$6,'Calculadora'!$A$67:$A$70,0))*$C$30</f>
        <v>9900.0</v>
      </c>
      <c r="D47" s="12">
        <f>INDEX('Calculadora'!$C$67:$C$70,MATCH($D$6,'Calculadora'!$A$67:$A$70,0))*$D$30</f>
        <v>2520.0</v>
      </c>
    </row>
    <row r="48">
      <c r="A48" s="13" t="inlineStr">
        <is>
          <t>CANON ESTIMADO DEL CATERING sin IVA (informativo)</t>
        </is>
      </c>
      <c r="B48" s="14">
        <f>$B$47*$B$18</f>
        <v>1452.0</v>
      </c>
      <c r="C48" s="14">
        <f>$C$47*$C$18</f>
        <v>1188.0</v>
      </c>
      <c r="D48" s="14">
        <f>$D$47*$D$18</f>
        <v>302.4</v>
      </c>
    </row>
    <row r="49">
      <c r="A49" s="4" t="inlineStr">
        <is>
          <t>Canon estimado con IVA</t>
        </is>
      </c>
      <c r="B49" s="12">
        <f>$B$48*(1+$B$19)</f>
        <v>1756.9199999999998</v>
      </c>
      <c r="C49" s="12">
        <f>$C$48*(1+$C$19)</f>
        <v>1437.48</v>
      </c>
      <c r="D49" s="12">
        <f>$D$48*(1+$D$19)</f>
        <v>365.90399999999994</v>
      </c>
    </row>
    <row r="50">
      <c r="A50" s="4" t="inlineStr">
        <is>
          <t>Menú del catering con IVA (orientativo, lo cobra el catering)</t>
        </is>
      </c>
      <c r="B50" s="12">
        <f>$B$47*(1+$B$20)</f>
        <v>13310.000000000002</v>
      </c>
      <c r="C50" s="12">
        <f>$C$47*(1+$C$20)</f>
        <v>10890.0</v>
      </c>
      <c r="D50" s="12">
        <f>$D$47*(1+$D$20)</f>
        <v>2772.0</v>
      </c>
    </row>
    <row r="51">
      <c r="A51" s="13" t="inlineStr">
        <is>
          <t>Importe orientativo completo para el cliente (finca con IVA + menú)</t>
        </is>
      </c>
      <c r="B51" s="14">
        <f>$B$39+$B$50</f>
        <v>20509.5</v>
      </c>
      <c r="C51" s="14">
        <f>$C$39+$C$50</f>
        <v>17121.5</v>
      </c>
      <c r="D51" s="14">
        <f>$D$39+$D$50</f>
        <v>5071.0</v>
      </c>
    </row>
    <row r="52">
      <c r="A52" s="4" t="inlineStr">
        <is>
          <t>Coste directo del evento: limpieza, aseos, gasoil, vigilancia y música</t>
        </is>
      </c>
      <c r="B52" s="12">
        <f>INDEX('Calculadora'!$D$67:$D$70,MATCH($B$6,'Calculadora'!$A$67:$A$70,0))</f>
        <v>650.0</v>
      </c>
      <c r="C52" s="12">
        <f>INDEX('Calculadora'!$D$67:$D$70,MATCH($C$6,'Calculadora'!$A$67:$A$70,0))</f>
        <v>650.0</v>
      </c>
      <c r="D52" s="12">
        <f>INDEX('Calculadora'!$D$67:$D$70,MATCH($D$6,'Calculadora'!$A$67:$A$70,0))</f>
        <v>350.0</v>
      </c>
    </row>
    <row r="53">
      <c r="A53" s="4" t="inlineStr">
        <is>
          <t>Coste de personal de la finca (salario + Seguridad Social)</t>
        </is>
      </c>
      <c r="B53" s="12">
        <f>$B$13*$B$14*(1+$B$15)</f>
        <v>276.64</v>
      </c>
      <c r="C53" s="12">
        <f>$C$13*$C$14*(1+$C$15)</f>
        <v>242.06</v>
      </c>
      <c r="D53" s="12">
        <f>$D$13*$D$14*(1+$D$15)</f>
        <v>172.9</v>
      </c>
    </row>
    <row r="54">
      <c r="A54" s="4" t="inlineStr">
        <is>
          <t>Coste directo de los servicios extra</t>
        </is>
      </c>
      <c r="B54" s="12">
        <f>$B$36*$B$16</f>
        <v>660.0</v>
      </c>
      <c r="C54" s="12">
        <f>$C$36*$C$16</f>
        <v>900.0</v>
      </c>
      <c r="D54" s="12">
        <f>$D$36*$D$16</f>
        <v>120.0</v>
      </c>
    </row>
    <row r="55">
      <c r="A55" s="4" t="inlineStr">
        <is>
          <t>Coste directo total del evento</t>
        </is>
      </c>
      <c r="B55" s="12">
        <f>$B$52+$B$53+$B$54</f>
        <v>1586.6399999999999</v>
      </c>
      <c r="C55" s="12">
        <f>$C$52+$C$53+$C$54</f>
        <v>1792.06</v>
      </c>
      <c r="D55" s="12">
        <f>$D$52+$D$53+$D$54</f>
        <v>642.9</v>
      </c>
    </row>
    <row r="56">
      <c r="A56" s="4" t="inlineStr">
        <is>
          <t>Ingresos de la finca por el evento (sin IVA, con canon)</t>
        </is>
      </c>
      <c r="B56" s="12">
        <f>$B$37+$B$48</f>
        <v>7402.0</v>
      </c>
      <c r="C56" s="12">
        <f>$C$37+$C$48</f>
        <v>6338.0</v>
      </c>
      <c r="D56" s="12">
        <f>$D$37+$D$48</f>
        <v>2202.4</v>
      </c>
    </row>
    <row r="57">
      <c r="A57" s="4" t="inlineStr">
        <is>
          <t>Margen del evento para la finca (euros)</t>
        </is>
      </c>
      <c r="B57" s="12">
        <f>$B$56-$B$55</f>
        <v>5815.360000000001</v>
      </c>
      <c r="C57" s="12">
        <f>$C$56-$C$55</f>
        <v>4545.9400000000005</v>
      </c>
      <c r="D57" s="12">
        <f>$D$56-$D$55</f>
        <v>1559.5</v>
      </c>
    </row>
    <row r="58">
      <c r="A58" s="13" t="inlineStr">
        <is>
          <t>Margen del evento (calculado)</t>
        </is>
      </c>
      <c r="B58" s="17">
        <f>IF($B$56=0,0,$B$57/$B$56)</f>
        <v>0.7856471223993516</v>
      </c>
      <c r="C58" s="17">
        <f>IF($C$56=0,0,$C$57/$C$56)</f>
        <v>0.7172514988955507</v>
      </c>
      <c r="D58" s="17">
        <f>IF($D$56=0,0,$D$57/$D$56)</f>
        <v>0.7080911732655285</v>
      </c>
    </row>
    <row r="59">
      <c r="A59" s="4" t="inlineStr">
        <is>
          <t>Margen del evento sin el canon (euros)</t>
        </is>
      </c>
      <c r="B59" s="12">
        <f>$B$37-$B$55</f>
        <v>4363.360000000001</v>
      </c>
      <c r="C59" s="12">
        <f>$C$37-$C$55</f>
        <v>3357.94</v>
      </c>
      <c r="D59" s="12">
        <f>$D$37-$D$55</f>
        <v>1257.1</v>
      </c>
    </row>
    <row r="60">
      <c r="A60" s="4" t="inlineStr">
        <is>
          <t>Importe retenido si cancela: tramo 1</t>
        </is>
      </c>
      <c r="B60" s="12">
        <f>$B$39*INDEX('Calculadora'!$B$117:$C$117,MATCH($B$5,'Calculadora'!$B$111:$C$111,0))</f>
        <v>719.95</v>
      </c>
      <c r="C60" s="12">
        <f>$C$39*INDEX('Calculadora'!$B$117:$C$117,MATCH($C$5,'Calculadora'!$B$111:$C$111,0))</f>
        <v>623.1500000000001</v>
      </c>
      <c r="D60" s="12">
        <f>$D$39*INDEX('Calculadora'!$B$117:$C$117,MATCH($D$5,'Calculadora'!$B$111:$C$111,0))</f>
        <v>114.95</v>
      </c>
    </row>
    <row r="61">
      <c r="A61" s="4" t="inlineStr">
        <is>
          <t>Importe retenido si cancela: tramo 2</t>
        </is>
      </c>
      <c r="B61" s="12">
        <f>$B$39*INDEX('Calculadora'!$B$118:$C$118,MATCH($B$5,'Calculadora'!$B$111:$C$111,0))</f>
        <v>1799.875</v>
      </c>
      <c r="C61" s="12">
        <f>$C$39*INDEX('Calculadora'!$B$118:$C$118,MATCH($C$5,'Calculadora'!$B$111:$C$111,0))</f>
        <v>1557.875</v>
      </c>
      <c r="D61" s="12">
        <f>$D$39*INDEX('Calculadora'!$B$118:$C$118,MATCH($D$5,'Calculadora'!$B$111:$C$111,0))</f>
        <v>344.84999999999997</v>
      </c>
    </row>
    <row r="62">
      <c r="A62" s="4" t="inlineStr">
        <is>
          <t>Importe retenido si cancela: tramo 3</t>
        </is>
      </c>
      <c r="B62" s="12">
        <f>$B$39*INDEX('Calculadora'!$B$119:$C$119,MATCH($B$5,'Calculadora'!$B$111:$C$111,0))</f>
        <v>3599.75</v>
      </c>
      <c r="C62" s="12">
        <f>$C$39*INDEX('Calculadora'!$B$119:$C$119,MATCH($C$5,'Calculadora'!$B$111:$C$111,0))</f>
        <v>3115.75</v>
      </c>
      <c r="D62" s="12">
        <f>$D$39*INDEX('Calculadora'!$B$119:$C$119,MATCH($D$5,'Calculadora'!$B$111:$C$111,0))</f>
        <v>804.65</v>
      </c>
    </row>
    <row r="63">
      <c r="A63" s="4" t="inlineStr">
        <is>
          <t>Importe retenido si cancela: tramo 4</t>
        </is>
      </c>
      <c r="B63" s="12">
        <f>$B$39*INDEX('Calculadora'!$B$120:$C$120,MATCH($B$5,'Calculadora'!$B$111:$C$111,0))</f>
        <v>5399.625</v>
      </c>
      <c r="C63" s="12">
        <f>$C$39*INDEX('Calculadora'!$B$120:$C$120,MATCH($C$5,'Calculadora'!$B$111:$C$111,0))</f>
        <v>4673.625</v>
      </c>
      <c r="D63" s="12">
        <f>$D$39*INDEX('Calculadora'!$B$120:$C$120,MATCH($D$5,'Calculadora'!$B$111:$C$111,0))</f>
        <v>1379.3999999999999</v>
      </c>
    </row>
    <row r="64">
      <c r="A64" s="4" t="inlineStr">
        <is>
          <t>Importe retenido si cancela: tramo 5</t>
        </is>
      </c>
      <c r="B64" s="12">
        <f>$B$39*INDEX('Calculadora'!$B$121:$C$121,MATCH($B$5,'Calculadora'!$B$111:$C$111,0))</f>
        <v>7199.5</v>
      </c>
      <c r="C64" s="12">
        <f>$C$39*INDEX('Calculadora'!$B$121:$C$121,MATCH($C$5,'Calculadora'!$B$111:$C$111,0))</f>
        <v>6231.5</v>
      </c>
      <c r="D64" s="12">
        <f>$D$39*INDEX('Calculadora'!$B$121:$C$121,MATCH($D$5,'Calculadora'!$B$111:$C$111,0))</f>
        <v>2299.0</v>
      </c>
    </row>
    <row r="66">
      <c r="A66" s="3" t="inlineStr">
        <is>
          <t>QUÉ ENSEÑA CADA EJEMPLO</t>
        </is>
      </c>
    </row>
    <row r="67" ht="90" customHeight="1">
      <c r="A67" s="21" t="inlineStr">
        <is>
          <t>Boda de sábado en temporada alta</t>
        </is>
      </c>
      <c r="B67" s="2" t="inlineStr">
        <is>
          <t>Particular, 110 invitados, un sábado de junio: temporada alta (+20 %) y día de referencia (sábado, sin ajuste). Lleva ceremonia en la finca, dos horas extra y montaje premium. El precio con IVA es el que ve el particular. El canon es lo que el catering exclusivo pagaría a la finca con un 12 % (supuesto): no lo paga el novio. Cobro en tres pagos: reserva, segundo pago seis meses antes y liquidación 30 días antes.</t>
        </is>
      </c>
    </row>
    <row r="68" ht="60" customHeight="1">
      <c r="A68" s="21" t="inlineStr">
        <is>
          <t>Boda de viernes en temporada media</t>
        </is>
      </c>
      <c r="B68" s="2" t="inlineStr">
        <is>
          <t>Particular, 90 invitados, un viernes de julio: temporada media (sin ajuste) y viernes (−20 %). Lleva ceremonia y 12 habitaciones-noche de alojamiento (6 habitaciones, 2 noches). Mismo calendario de cobros y mismos tramos que la anterior: cambia solo la tarifa del espacio.</t>
        </is>
      </c>
    </row>
    <row r="69" ht="75" customHeight="1">
      <c r="A69" s="21" t="inlineStr">
        <is>
          <t>Jornada de empresa entre semana</t>
        </is>
      </c>
      <c r="B69" s="2" t="inlineStr">
        <is>
          <t>Empresa, 50 invitados, un miércoles de abril: temporada media y día entre semana (−30 %). Los 50 invitados quedan por debajo del mínimo de la temporada (60): se garantizan 60 y el canon se calcula sobre ellos. Se presupuesta «más IVA» y se cobra con otro calendario (30 % al reservar, 30 % a dos meses y 40 % a 15 días) y otros tramos de cancelación.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B69:D69"/>
    <mergeCell ref="B67:D67"/>
    <mergeCell ref="B68:D68"/>
    <mergeCell ref="A2:D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&amp;Caichef.pro/plan-negocio-finca-eventos-bodas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2" t="inlineStr">
        <is>
          <t>INSTRUCCIONES DE USO — Calculadora de presupuesto del espacio para bodas y eventos en finca</t>
        </is>
      </c>
    </row>
    <row r="2" ht="45" customHeight="1">
      <c r="A2" s="2" t="inlineStr">
        <is>
          <t>Convierte tu tarifa de alquiler en un presupuesto completo para un evento concreto: temporada y día de la fecha, mínimo de invitados, servicios extra, IVA, total, calendario de cobros, canon estimado del catering, margen del evento y lo que retienes si el cliente cancela. Sólo se escribe en las celdas VERDES; el margen se calcula.</t>
        </is>
      </c>
    </row>
    <row r="3" ht="16" customHeight="1">
      <c r="A3" s="2" t="inlineStr">
        <is>
          <t>1. Elige el cliente (Particular o Empresa), la tipología del evento, la fecha completa y los invitados previstos.</t>
        </is>
      </c>
    </row>
    <row r="4" ht="30" customHeight="1">
      <c r="A4" s="2" t="inlineStr">
        <is>
          <t>2. La fecha fija la temporada (tabla de meses) y el tipo de día (tabla de días de la semana). Cada una lleva un suplemento o un descuento visible en su tabla; los dos se multiplican con la tarifa de la tipología.</t>
        </is>
      </c>
    </row>
    <row r="5" ht="30" customHeight="1">
      <c r="A5" s="2" t="inlineStr">
        <is>
          <t>3. Cada temporada tiene un mínimo de invitados: se garantiza el mayor entre los previstos y el mínimo, y sobre esos invitados garantizados se estima el canon.</t>
        </is>
      </c>
    </row>
    <row r="6" ht="30" customHeight="1">
      <c r="A6" s="2" t="inlineStr">
        <is>
          <t>4. Escribe cuántos servicios extra llevas (ceremonia, horas extra, montaje premium, alojamiento). Sus precios están en la tabla «Servicios extra de la finca» y son de ejemplo: pon los tuyos.</t>
        </is>
      </c>
    </row>
    <row r="7" ht="30" customHeight="1">
      <c r="A7" s="2" t="inlineStr">
        <is>
          <t>5. Escribe las horas de personal de la finca, el coste bruto por hora, la Seguridad Social y el coste directo de los extras. El coste directo del evento (limpieza, aseos, gasoil, vigilancia y música) está en la tabla de tipologías.</t>
        </is>
      </c>
    </row>
    <row r="8">
      <c r="A8" s="21" t="inlineStr">
        <is>
          <t>IVA, CANON Y MENÚ</t>
        </is>
      </c>
    </row>
    <row r="10" ht="60" customHeight="1">
      <c r="A10" s="2" t="inlineStr">
        <is>
          <t>La finca factura el espacio y los servicios con precio propio al 21 %. El menú y la bebida los factura el catering exclusivo: comida y bebida para consumir en el acto van al 10 % (Ley 37/1992, art. 91.Uno.2.2.º), y no son ingreso de la finca. La calculadora los muestra sólo como orientación para el cliente. Si vendes un paquete que mezcla ambos, consúltalo con tu asesoría.</t>
        </is>
      </c>
    </row>
    <row r="11" ht="45" customHeight="1">
      <c r="A11" s="2" t="inlineStr">
        <is>
          <t>El canon es lo que el catering exclusivo paga a la finca por tener la exclusiva. Aquí es un supuesto editable (12 % de lo que factura el catering): no es un dato de mercado, negócialo. Lo paga el catering, no el cliente; la finca lo factura con IVA.</t>
        </is>
      </c>
    </row>
    <row r="12" ht="30" customHeight="1">
      <c r="A12" s="2" t="inlineStr">
        <is>
          <t>El margen del evento es una contribución: no descuenta la renta, el personal fijo, los suministros, los seguros ni la estructura. Eso está en el plan financiero.</t>
        </is>
      </c>
    </row>
    <row r="13">
      <c r="A13" s="21" t="inlineStr">
        <is>
          <t>COBRO Y CANCELACIÓN</t>
        </is>
      </c>
    </row>
    <row r="15" ht="45" customHeight="1">
      <c r="A15" s="2" t="inlineStr">
        <is>
          <t>Cobro en tres pagos: reserva al firmar, segundo pago y liquidación antes del evento, con sus fechas límite. Emite factura de cada pago, también de la reserva. Particular: 25 %, 35 % a seis meses y 40 % a 30 días. Empresa: 30 %, 30 % a dos meses y 40 % a 15 días. Son ejemplos del kit.</t>
        </is>
      </c>
    </row>
    <row r="16" ht="60" customHeight="1">
      <c r="A16" s="2" t="inlineStr">
        <is>
          <t>La cancelación se escribe por tramos en meses, sin huecos: el primero empieza a los 12 meses o más y el último llega hasta el día del evento. Los porcentajes retenidos suben con la cercanía y son proporcionados al coste de perder la fecha (art. 85.6 del TRLGDCU). Tienen que ser recíprocos: si cancela la finca, devuelve lo cobrado y paga al cliente la misma penalización; retener lo pagado sin prever esa indemnización es abusivo (art. 87.2).</t>
        </is>
      </c>
    </row>
    <row r="17" ht="30" customHeight="1">
      <c r="A17" s="2" t="inlineStr">
        <is>
          <t>Un servicio de celebración con fecha fijada puede quedar fuera del derecho de desistimiento de la contratación a distancia (art. 103.l del TRLGDCU): por eso la política de cancelación tiene que estar firmada en el contrato.</t>
        </is>
      </c>
    </row>
    <row r="18">
      <c r="A18" s="21" t="inlineStr">
        <is>
          <t>ESTIMACIONES DEL KIT</t>
        </is>
      </c>
    </row>
    <row r="20" ht="30" customHeight="1">
      <c r="A20" s="2" t="inlineStr">
        <is>
          <t>Los valores por defecto y los tres ejemplos son estimaciones para ilustrar el cálculo, no precios de mercado. Cámbialos por tus tarifas, tus extras, tus costes y tus tramos antes de presupuestar.</t>
        </is>
      </c>
    </row>
    <row r="22">
      <c r="A22" s="2" t="inlineStr">
        <is>
          <t>Para editar una celda que no esté en verde: Revisar → Desproteger hoja (no tiene contraseña).</t>
        </is>
      </c>
    </row>
    <row r="23">
      <c r="A23" s="2" t="inlineStr">
        <is>
          <t>Más plantillas y kits del catálogo en aichef.pro/productos-digitales</t>
        </is>
      </c>
    </row>
    <row r="24">
      <c r="A24" s="2" t="inlineStr">
        <is>
          <t>Diseñado por John Guerrero — chef y consultor gastronómico desde 2010, en cocina desde los 17 años · johnguerrero.es</t>
        </is>
      </c>
    </row>
    <row r="25">
      <c r="A25" s="2" t="inlineStr">
        <is>
          <t>Versión 1.0 · noviembre 2026 · aichef.pro/plan-negocio-finca-eventos-bodas · info@aichef.pro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1"/>
  <pageMargins left="0.75" right="0.75" top="1" bottom="1" header="0.5" footer="0.5"/>
  <pageSetup orientation="portrait" paperSize="9" fitToHeight="0" fitToWidth="1"/>
  <headerFooter>
    <oddHeader/>
    <oddFooter>&amp;Caichef.pro/plan-negocio-finca-eventos-bodas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de presupuesto del espacio para bodas y eventos en finca · v1.0</dc:title>
  <dc:description xmlns:dc="http://purl.org/dc/elements/1.1/">aichef.pro/plan-negocio-finca-eventos-bodas</dc:description>
  <dc:subject xmlns:dc="http://purl.org/dc/elements/1.1/">Plan de Negocio: Finca de Eventos y Bodas</dc:subject>
  <dcterms:created xmlns:dcterms="http://purl.org/dc/terms/" xmlns:xsi="http://www.w3.org/2001/XMLSchema-instance" xsi:type="dcterms:W3CDTF">2026-10-25T15:58:25Z</dcterms:created>
  <dcterms:modified xmlns:dcterms="http://purl.org/dc/terms/" xmlns:xsi="http://www.w3.org/2001/XMLSchema-instance" xsi:type="dcterms:W3CDTF">2026-10-25T15:58:25Z</dcterms:modified>
  <cp:lastModifiedBy>AI Chef Pro</cp:lastModifiedBy>
  <cp:keywords>plan negocio finca eventos bodas, AI Chef Pro</cp:keywords>
</cp:coreProperties>
</file>