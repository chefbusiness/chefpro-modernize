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gelación Anisakis" sheetId="2" state="visible" r:id="rId2"/>
  </sheets>
  <definedNames>
    <definedName name="_xlnm.Print_Area" localSheetId="0">'Instrucciones'!$A$1:$B$37</definedName>
    <definedName name="_xlnm.Print_Titles" localSheetId="1">'Congelación Anisakis'!$4:$4</definedName>
    <definedName name="_xlnm.Print_Area" localSheetId="1">'Congelación Anisakis'!$A$1:$K$51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sz val="9"/>
    </font>
    <font>
      <b val="1"/>
      <sz val="18"/>
    </font>
    <font>
      <b val="1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horizontal="center" vertical="center" wrapText="1"/>
      <protection locked="0" hidden="0"/>
    </xf>
    <xf numFmtId="165" fontId="0" fillId="3" borderId="1" applyAlignment="1" applyProtection="1" pivotButton="0" quotePrefix="0" xfId="0">
      <alignment horizontal="center" vertical="center" wrapText="1"/>
      <protection locked="0" hidden="0"/>
    </xf>
    <xf numFmtId="166" fontId="0" fillId="3" borderId="1" applyAlignment="1" applyProtection="1" pivotButton="0" quotePrefix="0" xfId="0">
      <alignment horizontal="center" vertical="center" wrapText="1"/>
      <protection locked="0" hidden="0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" t="inlineStr">
        <is>
          <t>Registro de Congelación Preventiva de Anisakis</t>
        </is>
      </c>
    </row>
    <row r="3"/>
    <row r="4">
      <c r="B4" s="2" t="inlineStr">
        <is>
          <t>Para qué sirve esta plantilla</t>
        </is>
      </c>
    </row>
    <row r="5"/>
    <row r="6">
      <c r="B6" s="3" t="inlineStr">
        <is>
          <t>Es el registro que acredita la congelación preventiva del pescado destinado a consumirse crudo o prácticamente crudo. Es una obligación legal con sanción y uno de los primeros papeles que pide el inspector en un local que sirva boquerones en vinagre, ceviche o sushi.</t>
        </is>
      </c>
    </row>
    <row r="7"/>
    <row r="8">
      <c r="B8" s="2" t="inlineStr">
        <is>
          <t>Cómo usarla</t>
        </is>
      </c>
    </row>
    <row r="9"/>
    <row r="10">
      <c r="B10" s="3" t="inlineStr">
        <is>
          <t>▸ Una línea por lote y por tratamiento. Anota la especie, el lote y la fecha y hora de entrada y de salida del congelador.</t>
        </is>
      </c>
    </row>
    <row r="11">
      <c r="B11" s="3" t="inlineStr">
        <is>
          <t>▸ Escribe entrada y salida con FECHA Y HORA (por ejemplo 05/09/2026 10:00). La columna «Horas» las resta sola.</t>
        </is>
      </c>
    </row>
    <row r="12">
      <c r="B12" s="3" t="inlineStr">
        <is>
          <t>▸ Mide y anota la temperatura del congelador en cada tratamiento; el veredicto la usa.</t>
        </is>
      </c>
    </row>
    <row r="13">
      <c r="B13" s="3" t="inlineStr">
        <is>
          <t>▸ El «Estado» dice OK con -20 °C durante 24 h o más, o con -35 °C durante 15 h o más. Cualquier otra combinación es ALERTA y el pescado no se puede servir crudo.</t>
        </is>
      </c>
    </row>
    <row r="14"/>
    <row r="15">
      <c r="B15" s="2" t="inlineStr">
        <is>
          <t>Cuándo es obligatorio</t>
        </is>
      </c>
    </row>
    <row r="16"/>
    <row r="17">
      <c r="B17" s="3" t="inlineStr">
        <is>
          <t>▸ Pescado que se sirva crudo o casi crudo: sashimi, sushi, tartar, carpaccio, ceviche.</t>
        </is>
      </c>
    </row>
    <row r="18">
      <c r="B18" s="3" t="inlineStr">
        <is>
          <t>▸ Marinados, escabeches poco cocinados, salazones ligeras, ahumados en frío y arenques.</t>
        </is>
      </c>
    </row>
    <row r="19">
      <c r="B19" s="3" t="inlineStr">
        <is>
          <t>▸ Boquerones en vinagre: el caso más frecuente de anisakiasis en España.</t>
        </is>
      </c>
    </row>
    <row r="20"/>
    <row r="21">
      <c r="B21" s="2" t="inlineStr">
        <is>
          <t>Cuándo NO hace falta</t>
        </is>
      </c>
    </row>
    <row r="22"/>
    <row r="23">
      <c r="B23" s="3" t="inlineStr">
        <is>
          <t>▸ Pescado cocinado a 60 °C o más en el centro durante al menos un minuto (regístralo en el fichero 16).</t>
        </is>
      </c>
    </row>
    <row r="24">
      <c r="B24" s="3" t="inlineStr">
        <is>
          <t>▸ Pescado de acuicultura criado a partir de embriones y alimentado exclusivamente con una dieta que no pueda contener parásitos viables, siempre que el productor lo acredite POR ESCRITO: guarda esa ficha del proveedor, es lo que pide el inspector. Y los moluscos bivalvos.</t>
        </is>
      </c>
    </row>
    <row r="25"/>
    <row r="26">
      <c r="B26" s="2" t="inlineStr">
        <is>
          <t>Obligación de informar</t>
        </is>
      </c>
    </row>
    <row r="27"/>
    <row r="28">
      <c r="B28" s="3" t="inlineStr">
        <is>
          <t>El RD 1420/2006 obliga a informar al consumidor, con un cartel visible o en la carta, de que el pescado servido crudo o poco cocinado ha sido congelado previamente.</t>
        </is>
      </c>
    </row>
    <row r="29"/>
    <row r="30">
      <c r="B30" s="2" t="inlineStr">
        <is>
          <t>Frecuencia y archivo</t>
        </is>
      </c>
    </row>
    <row r="31"/>
    <row r="32">
      <c r="B32" s="3" t="inlineStr">
        <is>
          <t>▸ Frecuencia: cada lote de pescado que vaya a servirse crudo. La hoja trae 40 filas.</t>
        </is>
      </c>
    </row>
    <row r="33">
      <c r="B33" s="3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34"/>
    <row r="35">
      <c r="B35" s="2" t="inlineStr">
        <is>
          <t>— Pack de Plantillas APPCC · AI Chef Pro · aichef.pro</t>
        </is>
      </c>
    </row>
    <row r="36"/>
    <row r="37">
      <c r="B37" s="2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4" customWidth="1" min="4" max="4"/>
    <col width="24" customWidth="1" min="5" max="5"/>
    <col width="20" customWidth="1" min="6" max="6"/>
    <col width="10" customWidth="1" min="7" max="7"/>
    <col width="14" customWidth="1" min="8" max="8"/>
    <col width="30" customWidth="1" min="9" max="9"/>
    <col width="14" customWidth="1" min="10" max="10"/>
    <col width="28" customWidth="1" min="11" max="11"/>
  </cols>
  <sheetData>
    <row r="1">
      <c r="A1" s="4" t="inlineStr">
        <is>
          <t>Registro de Congelación Preventiva de Anisakis</t>
        </is>
      </c>
    </row>
    <row r="2">
      <c r="A2" t="inlineStr">
        <is>
          <t>Mes: _______________    Obligatorio para todo el pescado que se sirva crudo, marinado, en escabeche o en salazón ligera.</t>
        </is>
      </c>
    </row>
    <row r="3"/>
    <row r="4" ht="30" customHeight="1">
      <c r="A4" s="5" t="inlineStr">
        <is>
          <t>Fecha</t>
        </is>
      </c>
      <c r="B4" s="5" t="inlineStr">
        <is>
          <t>Especie / pescado</t>
        </is>
      </c>
      <c r="C4" s="5" t="inlineStr">
        <is>
          <t>Nº lote</t>
        </is>
      </c>
      <c r="D4" s="5" t="inlineStr">
        <is>
          <t>Entrada (fecha y hora)</t>
        </is>
      </c>
      <c r="E4" s="5" t="inlineStr">
        <is>
          <t>Salida (fecha y hora)</t>
        </is>
      </c>
      <c r="F4" s="5" t="inlineStr">
        <is>
          <t>T.ª del congelador (°C)</t>
        </is>
      </c>
      <c r="G4" s="5" t="inlineStr">
        <is>
          <t>Horas</t>
        </is>
      </c>
      <c r="H4" s="5" t="inlineStr">
        <is>
          <t>Estado</t>
        </is>
      </c>
      <c r="I4" s="5" t="inlineStr">
        <is>
          <t>Destino / elaboración</t>
        </is>
      </c>
      <c r="J4" s="5" t="inlineStr">
        <is>
          <t>Firma</t>
        </is>
      </c>
      <c r="K4" s="5" t="inlineStr">
        <is>
          <t>Observaciones</t>
        </is>
      </c>
    </row>
    <row r="5" ht="20" customHeight="1">
      <c r="A5" s="6" t="n">
        <v>46270</v>
      </c>
      <c r="B5" s="7" t="inlineStr">
        <is>
          <t>Boquerón (Engraulis encrasicolus)</t>
        </is>
      </c>
      <c r="C5" s="8" t="inlineStr">
        <is>
          <t>L-2026-0930</t>
        </is>
      </c>
      <c r="D5" s="9" t="n">
        <v>46270.41666666666</v>
      </c>
      <c r="E5" s="9" t="n">
        <v>46271.45833333334</v>
      </c>
      <c r="F5" s="10" t="n">
        <v>-22</v>
      </c>
      <c r="G5" s="11">
        <f>IF(NOT(AND(ISNUMBER($D5),ISNUMBER($E5))),"",ROUND(($E5-$D5)*24,1))</f>
        <v>25.0</v>
      </c>
      <c r="H5" s="12" t="str">
        <f>IF(OR($F5="",$G5=""),"",IF(OR(AND($F5&lt;=-20,$G5&gt;=24),AND($F5&lt;=-35,$G5&gt;=15)),"OK","ALERTA"))</f>
        <v>OK</v>
      </c>
      <c r="I5" s="7" t="inlineStr">
        <is>
          <t>Boquerones en vinagre</t>
        </is>
      </c>
      <c r="J5" s="8" t="inlineStr">
        <is>
          <t>A.R.</t>
        </is>
      </c>
      <c r="K5" s="7" t="inlineStr">
        <is>
          <t>(ejemplo)</t>
        </is>
      </c>
    </row>
    <row r="6" ht="20" customHeight="1">
      <c r="A6" s="6" t="n">
        <v>46274</v>
      </c>
      <c r="B6" s="7" t="inlineStr">
        <is>
          <t>Salmón (Salmo salar)</t>
        </is>
      </c>
      <c r="C6" s="8" t="inlineStr">
        <is>
          <t>L-2026-0941</t>
        </is>
      </c>
      <c r="D6" s="9" t="n">
        <v>46274.375</v>
      </c>
      <c r="E6" s="9" t="n">
        <v>46275.41666666666</v>
      </c>
      <c r="F6" s="10" t="n">
        <v>-21</v>
      </c>
      <c r="G6" s="11">
        <f>IF(NOT(AND(ISNUMBER($D6),ISNUMBER($E6))),"",ROUND(($E6-$D6)*24,1))</f>
        <v>25.0</v>
      </c>
      <c r="H6" s="12" t="str">
        <f>IF(OR($F6="",$G6=""),"",IF(OR(AND($F6&lt;=-20,$G6&gt;=24),AND($F6&lt;=-35,$G6&gt;=15)),"OK","ALERTA"))</f>
        <v>OK</v>
      </c>
      <c r="I6" s="7" t="inlineStr">
        <is>
          <t>Tartar de salmón</t>
        </is>
      </c>
      <c r="J6" s="8" t="inlineStr">
        <is>
          <t>M.S.</t>
        </is>
      </c>
      <c r="K6" s="7" t="inlineStr">
        <is>
          <t>(ejemplo)</t>
        </is>
      </c>
    </row>
    <row r="7" ht="20" customHeight="1">
      <c r="A7" s="6" t="n"/>
      <c r="B7" s="7" t="n"/>
      <c r="C7" s="8" t="n"/>
      <c r="D7" s="9" t="n"/>
      <c r="E7" s="9" t="n"/>
      <c r="F7" s="10" t="n"/>
      <c r="G7" s="11">
        <f>IF(NOT(AND(ISNUMBER($D7),ISNUMBER($E7))),"",ROUND(($E7-$D7)*24,1))</f>
      </c>
      <c r="H7" s="12">
        <f>IF(OR($F7="",$G7=""),"",IF(OR(AND($F7&lt;=-20,$G7&gt;=24),AND($F7&lt;=-35,$G7&gt;=15)),"OK","ALERTA"))</f>
      </c>
      <c r="I7" s="7" t="n"/>
      <c r="J7" s="8" t="n"/>
      <c r="K7" s="7" t="n"/>
    </row>
    <row r="8" ht="20" customHeight="1">
      <c r="A8" s="6" t="n"/>
      <c r="B8" s="7" t="n"/>
      <c r="C8" s="8" t="n"/>
      <c r="D8" s="9" t="n"/>
      <c r="E8" s="9" t="n"/>
      <c r="F8" s="10" t="n"/>
      <c r="G8" s="11">
        <f>IF(NOT(AND(ISNUMBER($D8),ISNUMBER($E8))),"",ROUND(($E8-$D8)*24,1))</f>
      </c>
      <c r="H8" s="12">
        <f>IF(OR($F8="",$G8=""),"",IF(OR(AND($F8&lt;=-20,$G8&gt;=24),AND($F8&lt;=-35,$G8&gt;=15)),"OK","ALERTA"))</f>
      </c>
      <c r="I8" s="7" t="n"/>
      <c r="J8" s="8" t="n"/>
      <c r="K8" s="7" t="n"/>
    </row>
    <row r="9" ht="20" customHeight="1">
      <c r="A9" s="6" t="n"/>
      <c r="B9" s="7" t="n"/>
      <c r="C9" s="8" t="n"/>
      <c r="D9" s="9" t="n"/>
      <c r="E9" s="9" t="n"/>
      <c r="F9" s="10" t="n"/>
      <c r="G9" s="11">
        <f>IF(NOT(AND(ISNUMBER($D9),ISNUMBER($E9))),"",ROUND(($E9-$D9)*24,1))</f>
      </c>
      <c r="H9" s="12">
        <f>IF(OR($F9="",$G9=""),"",IF(OR(AND($F9&lt;=-20,$G9&gt;=24),AND($F9&lt;=-35,$G9&gt;=15)),"OK","ALERTA"))</f>
      </c>
      <c r="I9" s="7" t="n"/>
      <c r="J9" s="8" t="n"/>
      <c r="K9" s="7" t="n"/>
    </row>
    <row r="10" ht="20" customHeight="1">
      <c r="A10" s="6" t="n"/>
      <c r="B10" s="7" t="n"/>
      <c r="C10" s="8" t="n"/>
      <c r="D10" s="9" t="n"/>
      <c r="E10" s="9" t="n"/>
      <c r="F10" s="10" t="n"/>
      <c r="G10" s="11">
        <f>IF(NOT(AND(ISNUMBER($D10),ISNUMBER($E10))),"",ROUND(($E10-$D10)*24,1))</f>
      </c>
      <c r="H10" s="12">
        <f>IF(OR($F10="",$G10=""),"",IF(OR(AND($F10&lt;=-20,$G10&gt;=24),AND($F10&lt;=-35,$G10&gt;=15)),"OK","ALERTA"))</f>
      </c>
      <c r="I10" s="7" t="n"/>
      <c r="J10" s="8" t="n"/>
      <c r="K10" s="7" t="n"/>
    </row>
    <row r="11" ht="20" customHeight="1">
      <c r="A11" s="6" t="n"/>
      <c r="B11" s="7" t="n"/>
      <c r="C11" s="8" t="n"/>
      <c r="D11" s="9" t="n"/>
      <c r="E11" s="9" t="n"/>
      <c r="F11" s="10" t="n"/>
      <c r="G11" s="11">
        <f>IF(NOT(AND(ISNUMBER($D11),ISNUMBER($E11))),"",ROUND(($E11-$D11)*24,1))</f>
      </c>
      <c r="H11" s="12">
        <f>IF(OR($F11="",$G11=""),"",IF(OR(AND($F11&lt;=-20,$G11&gt;=24),AND($F11&lt;=-35,$G11&gt;=15)),"OK","ALERTA"))</f>
      </c>
      <c r="I11" s="7" t="n"/>
      <c r="J11" s="8" t="n"/>
      <c r="K11" s="7" t="n"/>
    </row>
    <row r="12" ht="20" customHeight="1">
      <c r="A12" s="6" t="n"/>
      <c r="B12" s="7" t="n"/>
      <c r="C12" s="8" t="n"/>
      <c r="D12" s="9" t="n"/>
      <c r="E12" s="9" t="n"/>
      <c r="F12" s="10" t="n"/>
      <c r="G12" s="11">
        <f>IF(NOT(AND(ISNUMBER($D12),ISNUMBER($E12))),"",ROUND(($E12-$D12)*24,1))</f>
      </c>
      <c r="H12" s="12">
        <f>IF(OR($F12="",$G12=""),"",IF(OR(AND($F12&lt;=-20,$G12&gt;=24),AND($F12&lt;=-35,$G12&gt;=15)),"OK","ALERTA"))</f>
      </c>
      <c r="I12" s="7" t="n"/>
      <c r="J12" s="8" t="n"/>
      <c r="K12" s="7" t="n"/>
    </row>
    <row r="13" ht="20" customHeight="1">
      <c r="A13" s="6" t="n"/>
      <c r="B13" s="7" t="n"/>
      <c r="C13" s="8" t="n"/>
      <c r="D13" s="9" t="n"/>
      <c r="E13" s="9" t="n"/>
      <c r="F13" s="10" t="n"/>
      <c r="G13" s="11">
        <f>IF(NOT(AND(ISNUMBER($D13),ISNUMBER($E13))),"",ROUND(($E13-$D13)*24,1))</f>
      </c>
      <c r="H13" s="12">
        <f>IF(OR($F13="",$G13=""),"",IF(OR(AND($F13&lt;=-20,$G13&gt;=24),AND($F13&lt;=-35,$G13&gt;=15)),"OK","ALERTA"))</f>
      </c>
      <c r="I13" s="7" t="n"/>
      <c r="J13" s="8" t="n"/>
      <c r="K13" s="7" t="n"/>
    </row>
    <row r="14" ht="20" customHeight="1">
      <c r="A14" s="6" t="n"/>
      <c r="B14" s="7" t="n"/>
      <c r="C14" s="8" t="n"/>
      <c r="D14" s="9" t="n"/>
      <c r="E14" s="9" t="n"/>
      <c r="F14" s="10" t="n"/>
      <c r="G14" s="11">
        <f>IF(NOT(AND(ISNUMBER($D14),ISNUMBER($E14))),"",ROUND(($E14-$D14)*24,1))</f>
      </c>
      <c r="H14" s="12">
        <f>IF(OR($F14="",$G14=""),"",IF(OR(AND($F14&lt;=-20,$G14&gt;=24),AND($F14&lt;=-35,$G14&gt;=15)),"OK","ALERTA"))</f>
      </c>
      <c r="I14" s="7" t="n"/>
      <c r="J14" s="8" t="n"/>
      <c r="K14" s="7" t="n"/>
    </row>
    <row r="15" ht="20" customHeight="1">
      <c r="A15" s="6" t="n"/>
      <c r="B15" s="7" t="n"/>
      <c r="C15" s="8" t="n"/>
      <c r="D15" s="9" t="n"/>
      <c r="E15" s="9" t="n"/>
      <c r="F15" s="10" t="n"/>
      <c r="G15" s="11">
        <f>IF(NOT(AND(ISNUMBER($D15),ISNUMBER($E15))),"",ROUND(($E15-$D15)*24,1))</f>
      </c>
      <c r="H15" s="12">
        <f>IF(OR($F15="",$G15=""),"",IF(OR(AND($F15&lt;=-20,$G15&gt;=24),AND($F15&lt;=-35,$G15&gt;=15)),"OK","ALERTA"))</f>
      </c>
      <c r="I15" s="7" t="n"/>
      <c r="J15" s="8" t="n"/>
      <c r="K15" s="7" t="n"/>
    </row>
    <row r="16" ht="20" customHeight="1">
      <c r="A16" s="6" t="n"/>
      <c r="B16" s="7" t="n"/>
      <c r="C16" s="8" t="n"/>
      <c r="D16" s="9" t="n"/>
      <c r="E16" s="9" t="n"/>
      <c r="F16" s="10" t="n"/>
      <c r="G16" s="11">
        <f>IF(NOT(AND(ISNUMBER($D16),ISNUMBER($E16))),"",ROUND(($E16-$D16)*24,1))</f>
      </c>
      <c r="H16" s="12">
        <f>IF(OR($F16="",$G16=""),"",IF(OR(AND($F16&lt;=-20,$G16&gt;=24),AND($F16&lt;=-35,$G16&gt;=15)),"OK","ALERTA"))</f>
      </c>
      <c r="I16" s="7" t="n"/>
      <c r="J16" s="8" t="n"/>
      <c r="K16" s="7" t="n"/>
    </row>
    <row r="17" ht="20" customHeight="1">
      <c r="A17" s="6" t="n"/>
      <c r="B17" s="7" t="n"/>
      <c r="C17" s="8" t="n"/>
      <c r="D17" s="9" t="n"/>
      <c r="E17" s="9" t="n"/>
      <c r="F17" s="10" t="n"/>
      <c r="G17" s="11">
        <f>IF(NOT(AND(ISNUMBER($D17),ISNUMBER($E17))),"",ROUND(($E17-$D17)*24,1))</f>
      </c>
      <c r="H17" s="12">
        <f>IF(OR($F17="",$G17=""),"",IF(OR(AND($F17&lt;=-20,$G17&gt;=24),AND($F17&lt;=-35,$G17&gt;=15)),"OK","ALERTA"))</f>
      </c>
      <c r="I17" s="7" t="n"/>
      <c r="J17" s="8" t="n"/>
      <c r="K17" s="7" t="n"/>
    </row>
    <row r="18" ht="20" customHeight="1">
      <c r="A18" s="6" t="n"/>
      <c r="B18" s="7" t="n"/>
      <c r="C18" s="8" t="n"/>
      <c r="D18" s="9" t="n"/>
      <c r="E18" s="9" t="n"/>
      <c r="F18" s="10" t="n"/>
      <c r="G18" s="11">
        <f>IF(NOT(AND(ISNUMBER($D18),ISNUMBER($E18))),"",ROUND(($E18-$D18)*24,1))</f>
      </c>
      <c r="H18" s="12">
        <f>IF(OR($F18="",$G18=""),"",IF(OR(AND($F18&lt;=-20,$G18&gt;=24),AND($F18&lt;=-35,$G18&gt;=15)),"OK","ALERTA"))</f>
      </c>
      <c r="I18" s="7" t="n"/>
      <c r="J18" s="8" t="n"/>
      <c r="K18" s="7" t="n"/>
    </row>
    <row r="19" ht="20" customHeight="1">
      <c r="A19" s="6" t="n"/>
      <c r="B19" s="7" t="n"/>
      <c r="C19" s="8" t="n"/>
      <c r="D19" s="9" t="n"/>
      <c r="E19" s="9" t="n"/>
      <c r="F19" s="10" t="n"/>
      <c r="G19" s="11">
        <f>IF(NOT(AND(ISNUMBER($D19),ISNUMBER($E19))),"",ROUND(($E19-$D19)*24,1))</f>
      </c>
      <c r="H19" s="12">
        <f>IF(OR($F19="",$G19=""),"",IF(OR(AND($F19&lt;=-20,$G19&gt;=24),AND($F19&lt;=-35,$G19&gt;=15)),"OK","ALERTA"))</f>
      </c>
      <c r="I19" s="7" t="n"/>
      <c r="J19" s="8" t="n"/>
      <c r="K19" s="7" t="n"/>
    </row>
    <row r="20" ht="20" customHeight="1">
      <c r="A20" s="6" t="n"/>
      <c r="B20" s="7" t="n"/>
      <c r="C20" s="8" t="n"/>
      <c r="D20" s="9" t="n"/>
      <c r="E20" s="9" t="n"/>
      <c r="F20" s="10" t="n"/>
      <c r="G20" s="11">
        <f>IF(NOT(AND(ISNUMBER($D20),ISNUMBER($E20))),"",ROUND(($E20-$D20)*24,1))</f>
      </c>
      <c r="H20" s="12">
        <f>IF(OR($F20="",$G20=""),"",IF(OR(AND($F20&lt;=-20,$G20&gt;=24),AND($F20&lt;=-35,$G20&gt;=15)),"OK","ALERTA"))</f>
      </c>
      <c r="I20" s="7" t="n"/>
      <c r="J20" s="8" t="n"/>
      <c r="K20" s="7" t="n"/>
    </row>
    <row r="21" ht="20" customHeight="1">
      <c r="A21" s="6" t="n"/>
      <c r="B21" s="7" t="n"/>
      <c r="C21" s="8" t="n"/>
      <c r="D21" s="9" t="n"/>
      <c r="E21" s="9" t="n"/>
      <c r="F21" s="10" t="n"/>
      <c r="G21" s="11">
        <f>IF(NOT(AND(ISNUMBER($D21),ISNUMBER($E21))),"",ROUND(($E21-$D21)*24,1))</f>
      </c>
      <c r="H21" s="12">
        <f>IF(OR($F21="",$G21=""),"",IF(OR(AND($F21&lt;=-20,$G21&gt;=24),AND($F21&lt;=-35,$G21&gt;=15)),"OK","ALERTA"))</f>
      </c>
      <c r="I21" s="7" t="n"/>
      <c r="J21" s="8" t="n"/>
      <c r="K21" s="7" t="n"/>
    </row>
    <row r="22" ht="20" customHeight="1">
      <c r="A22" s="6" t="n"/>
      <c r="B22" s="7" t="n"/>
      <c r="C22" s="8" t="n"/>
      <c r="D22" s="9" t="n"/>
      <c r="E22" s="9" t="n"/>
      <c r="F22" s="10" t="n"/>
      <c r="G22" s="11">
        <f>IF(NOT(AND(ISNUMBER($D22),ISNUMBER($E22))),"",ROUND(($E22-$D22)*24,1))</f>
      </c>
      <c r="H22" s="12">
        <f>IF(OR($F22="",$G22=""),"",IF(OR(AND($F22&lt;=-20,$G22&gt;=24),AND($F22&lt;=-35,$G22&gt;=15)),"OK","ALERTA"))</f>
      </c>
      <c r="I22" s="7" t="n"/>
      <c r="J22" s="8" t="n"/>
      <c r="K22" s="7" t="n"/>
    </row>
    <row r="23" ht="20" customHeight="1">
      <c r="A23" s="6" t="n"/>
      <c r="B23" s="7" t="n"/>
      <c r="C23" s="8" t="n"/>
      <c r="D23" s="9" t="n"/>
      <c r="E23" s="9" t="n"/>
      <c r="F23" s="10" t="n"/>
      <c r="G23" s="11">
        <f>IF(NOT(AND(ISNUMBER($D23),ISNUMBER($E23))),"",ROUND(($E23-$D23)*24,1))</f>
      </c>
      <c r="H23" s="12">
        <f>IF(OR($F23="",$G23=""),"",IF(OR(AND($F23&lt;=-20,$G23&gt;=24),AND($F23&lt;=-35,$G23&gt;=15)),"OK","ALERTA"))</f>
      </c>
      <c r="I23" s="7" t="n"/>
      <c r="J23" s="8" t="n"/>
      <c r="K23" s="7" t="n"/>
    </row>
    <row r="24" ht="20" customHeight="1">
      <c r="A24" s="6" t="n"/>
      <c r="B24" s="7" t="n"/>
      <c r="C24" s="8" t="n"/>
      <c r="D24" s="9" t="n"/>
      <c r="E24" s="9" t="n"/>
      <c r="F24" s="10" t="n"/>
      <c r="G24" s="11">
        <f>IF(NOT(AND(ISNUMBER($D24),ISNUMBER($E24))),"",ROUND(($E24-$D24)*24,1))</f>
      </c>
      <c r="H24" s="12">
        <f>IF(OR($F24="",$G24=""),"",IF(OR(AND($F24&lt;=-20,$G24&gt;=24),AND($F24&lt;=-35,$G24&gt;=15)),"OK","ALERTA"))</f>
      </c>
      <c r="I24" s="7" t="n"/>
      <c r="J24" s="8" t="n"/>
      <c r="K24" s="7" t="n"/>
    </row>
    <row r="25" ht="20" customHeight="1">
      <c r="A25" s="6" t="n"/>
      <c r="B25" s="7" t="n"/>
      <c r="C25" s="8" t="n"/>
      <c r="D25" s="9" t="n"/>
      <c r="E25" s="9" t="n"/>
      <c r="F25" s="10" t="n"/>
      <c r="G25" s="11">
        <f>IF(NOT(AND(ISNUMBER($D25),ISNUMBER($E25))),"",ROUND(($E25-$D25)*24,1))</f>
      </c>
      <c r="H25" s="12">
        <f>IF(OR($F25="",$G25=""),"",IF(OR(AND($F25&lt;=-20,$G25&gt;=24),AND($F25&lt;=-35,$G25&gt;=15)),"OK","ALERTA"))</f>
      </c>
      <c r="I25" s="7" t="n"/>
      <c r="J25" s="8" t="n"/>
      <c r="K25" s="7" t="n"/>
    </row>
    <row r="26" ht="20" customHeight="1">
      <c r="A26" s="6" t="n"/>
      <c r="B26" s="7" t="n"/>
      <c r="C26" s="8" t="n"/>
      <c r="D26" s="9" t="n"/>
      <c r="E26" s="9" t="n"/>
      <c r="F26" s="10" t="n"/>
      <c r="G26" s="11">
        <f>IF(NOT(AND(ISNUMBER($D26),ISNUMBER($E26))),"",ROUND(($E26-$D26)*24,1))</f>
      </c>
      <c r="H26" s="12">
        <f>IF(OR($F26="",$G26=""),"",IF(OR(AND($F26&lt;=-20,$G26&gt;=24),AND($F26&lt;=-35,$G26&gt;=15)),"OK","ALERTA"))</f>
      </c>
      <c r="I26" s="7" t="n"/>
      <c r="J26" s="8" t="n"/>
      <c r="K26" s="7" t="n"/>
    </row>
    <row r="27" ht="20" customHeight="1">
      <c r="A27" s="6" t="n"/>
      <c r="B27" s="7" t="n"/>
      <c r="C27" s="8" t="n"/>
      <c r="D27" s="9" t="n"/>
      <c r="E27" s="9" t="n"/>
      <c r="F27" s="10" t="n"/>
      <c r="G27" s="11">
        <f>IF(NOT(AND(ISNUMBER($D27),ISNUMBER($E27))),"",ROUND(($E27-$D27)*24,1))</f>
      </c>
      <c r="H27" s="12">
        <f>IF(OR($F27="",$G27=""),"",IF(OR(AND($F27&lt;=-20,$G27&gt;=24),AND($F27&lt;=-35,$G27&gt;=15)),"OK","ALERTA"))</f>
      </c>
      <c r="I27" s="7" t="n"/>
      <c r="J27" s="8" t="n"/>
      <c r="K27" s="7" t="n"/>
    </row>
    <row r="28" ht="20" customHeight="1">
      <c r="A28" s="6" t="n"/>
      <c r="B28" s="7" t="n"/>
      <c r="C28" s="8" t="n"/>
      <c r="D28" s="9" t="n"/>
      <c r="E28" s="9" t="n"/>
      <c r="F28" s="10" t="n"/>
      <c r="G28" s="11">
        <f>IF(NOT(AND(ISNUMBER($D28),ISNUMBER($E28))),"",ROUND(($E28-$D28)*24,1))</f>
      </c>
      <c r="H28" s="12">
        <f>IF(OR($F28="",$G28=""),"",IF(OR(AND($F28&lt;=-20,$G28&gt;=24),AND($F28&lt;=-35,$G28&gt;=15)),"OK","ALERTA"))</f>
      </c>
      <c r="I28" s="7" t="n"/>
      <c r="J28" s="8" t="n"/>
      <c r="K28" s="7" t="n"/>
    </row>
    <row r="29" ht="20" customHeight="1">
      <c r="A29" s="6" t="n"/>
      <c r="B29" s="7" t="n"/>
      <c r="C29" s="8" t="n"/>
      <c r="D29" s="9" t="n"/>
      <c r="E29" s="9" t="n"/>
      <c r="F29" s="10" t="n"/>
      <c r="G29" s="11">
        <f>IF(NOT(AND(ISNUMBER($D29),ISNUMBER($E29))),"",ROUND(($E29-$D29)*24,1))</f>
      </c>
      <c r="H29" s="12">
        <f>IF(OR($F29="",$G29=""),"",IF(OR(AND($F29&lt;=-20,$G29&gt;=24),AND($F29&lt;=-35,$G29&gt;=15)),"OK","ALERTA"))</f>
      </c>
      <c r="I29" s="7" t="n"/>
      <c r="J29" s="8" t="n"/>
      <c r="K29" s="7" t="n"/>
    </row>
    <row r="30" ht="20" customHeight="1">
      <c r="A30" s="6" t="n"/>
      <c r="B30" s="7" t="n"/>
      <c r="C30" s="8" t="n"/>
      <c r="D30" s="9" t="n"/>
      <c r="E30" s="9" t="n"/>
      <c r="F30" s="10" t="n"/>
      <c r="G30" s="11">
        <f>IF(NOT(AND(ISNUMBER($D30),ISNUMBER($E30))),"",ROUND(($E30-$D30)*24,1))</f>
      </c>
      <c r="H30" s="12">
        <f>IF(OR($F30="",$G30=""),"",IF(OR(AND($F30&lt;=-20,$G30&gt;=24),AND($F30&lt;=-35,$G30&gt;=15)),"OK","ALERTA"))</f>
      </c>
      <c r="I30" s="7" t="n"/>
      <c r="J30" s="8" t="n"/>
      <c r="K30" s="7" t="n"/>
    </row>
    <row r="31" ht="20" customHeight="1">
      <c r="A31" s="6" t="n"/>
      <c r="B31" s="7" t="n"/>
      <c r="C31" s="8" t="n"/>
      <c r="D31" s="9" t="n"/>
      <c r="E31" s="9" t="n"/>
      <c r="F31" s="10" t="n"/>
      <c r="G31" s="11">
        <f>IF(NOT(AND(ISNUMBER($D31),ISNUMBER($E31))),"",ROUND(($E31-$D31)*24,1))</f>
      </c>
      <c r="H31" s="12">
        <f>IF(OR($F31="",$G31=""),"",IF(OR(AND($F31&lt;=-20,$G31&gt;=24),AND($F31&lt;=-35,$G31&gt;=15)),"OK","ALERTA"))</f>
      </c>
      <c r="I31" s="7" t="n"/>
      <c r="J31" s="8" t="n"/>
      <c r="K31" s="7" t="n"/>
    </row>
    <row r="32" ht="20" customHeight="1">
      <c r="A32" s="6" t="n"/>
      <c r="B32" s="7" t="n"/>
      <c r="C32" s="8" t="n"/>
      <c r="D32" s="9" t="n"/>
      <c r="E32" s="9" t="n"/>
      <c r="F32" s="10" t="n"/>
      <c r="G32" s="11">
        <f>IF(NOT(AND(ISNUMBER($D32),ISNUMBER($E32))),"",ROUND(($E32-$D32)*24,1))</f>
      </c>
      <c r="H32" s="12">
        <f>IF(OR($F32="",$G32=""),"",IF(OR(AND($F32&lt;=-20,$G32&gt;=24),AND($F32&lt;=-35,$G32&gt;=15)),"OK","ALERTA"))</f>
      </c>
      <c r="I32" s="7" t="n"/>
      <c r="J32" s="8" t="n"/>
      <c r="K32" s="7" t="n"/>
    </row>
    <row r="33" ht="20" customHeight="1">
      <c r="A33" s="6" t="n"/>
      <c r="B33" s="7" t="n"/>
      <c r="C33" s="8" t="n"/>
      <c r="D33" s="9" t="n"/>
      <c r="E33" s="9" t="n"/>
      <c r="F33" s="10" t="n"/>
      <c r="G33" s="11">
        <f>IF(NOT(AND(ISNUMBER($D33),ISNUMBER($E33))),"",ROUND(($E33-$D33)*24,1))</f>
      </c>
      <c r="H33" s="12">
        <f>IF(OR($F33="",$G33=""),"",IF(OR(AND($F33&lt;=-20,$G33&gt;=24),AND($F33&lt;=-35,$G33&gt;=15)),"OK","ALERTA"))</f>
      </c>
      <c r="I33" s="7" t="n"/>
      <c r="J33" s="8" t="n"/>
      <c r="K33" s="7" t="n"/>
    </row>
    <row r="34" ht="20" customHeight="1">
      <c r="A34" s="6" t="n"/>
      <c r="B34" s="7" t="n"/>
      <c r="C34" s="8" t="n"/>
      <c r="D34" s="9" t="n"/>
      <c r="E34" s="9" t="n"/>
      <c r="F34" s="10" t="n"/>
      <c r="G34" s="11">
        <f>IF(NOT(AND(ISNUMBER($D34),ISNUMBER($E34))),"",ROUND(($E34-$D34)*24,1))</f>
      </c>
      <c r="H34" s="12">
        <f>IF(OR($F34="",$G34=""),"",IF(OR(AND($F34&lt;=-20,$G34&gt;=24),AND($F34&lt;=-35,$G34&gt;=15)),"OK","ALERTA"))</f>
      </c>
      <c r="I34" s="7" t="n"/>
      <c r="J34" s="8" t="n"/>
      <c r="K34" s="7" t="n"/>
    </row>
    <row r="35" ht="20" customHeight="1">
      <c r="A35" s="6" t="n"/>
      <c r="B35" s="7" t="n"/>
      <c r="C35" s="8" t="n"/>
      <c r="D35" s="9" t="n"/>
      <c r="E35" s="9" t="n"/>
      <c r="F35" s="10" t="n"/>
      <c r="G35" s="11">
        <f>IF(NOT(AND(ISNUMBER($D35),ISNUMBER($E35))),"",ROUND(($E35-$D35)*24,1))</f>
      </c>
      <c r="H35" s="12">
        <f>IF(OR($F35="",$G35=""),"",IF(OR(AND($F35&lt;=-20,$G35&gt;=24),AND($F35&lt;=-35,$G35&gt;=15)),"OK","ALERTA"))</f>
      </c>
      <c r="I35" s="7" t="n"/>
      <c r="J35" s="8" t="n"/>
      <c r="K35" s="7" t="n"/>
    </row>
    <row r="36" ht="20" customHeight="1">
      <c r="A36" s="6" t="n"/>
      <c r="B36" s="7" t="n"/>
      <c r="C36" s="8" t="n"/>
      <c r="D36" s="9" t="n"/>
      <c r="E36" s="9" t="n"/>
      <c r="F36" s="10" t="n"/>
      <c r="G36" s="11">
        <f>IF(NOT(AND(ISNUMBER($D36),ISNUMBER($E36))),"",ROUND(($E36-$D36)*24,1))</f>
      </c>
      <c r="H36" s="12">
        <f>IF(OR($F36="",$G36=""),"",IF(OR(AND($F36&lt;=-20,$G36&gt;=24),AND($F36&lt;=-35,$G36&gt;=15)),"OK","ALERTA"))</f>
      </c>
      <c r="I36" s="7" t="n"/>
      <c r="J36" s="8" t="n"/>
      <c r="K36" s="7" t="n"/>
    </row>
    <row r="37" ht="20" customHeight="1">
      <c r="A37" s="6" t="n"/>
      <c r="B37" s="7" t="n"/>
      <c r="C37" s="8" t="n"/>
      <c r="D37" s="9" t="n"/>
      <c r="E37" s="9" t="n"/>
      <c r="F37" s="10" t="n"/>
      <c r="G37" s="11">
        <f>IF(NOT(AND(ISNUMBER($D37),ISNUMBER($E37))),"",ROUND(($E37-$D37)*24,1))</f>
      </c>
      <c r="H37" s="12">
        <f>IF(OR($F37="",$G37=""),"",IF(OR(AND($F37&lt;=-20,$G37&gt;=24),AND($F37&lt;=-35,$G37&gt;=15)),"OK","ALERTA"))</f>
      </c>
      <c r="I37" s="7" t="n"/>
      <c r="J37" s="8" t="n"/>
      <c r="K37" s="7" t="n"/>
    </row>
    <row r="38" ht="20" customHeight="1">
      <c r="A38" s="6" t="n"/>
      <c r="B38" s="7" t="n"/>
      <c r="C38" s="8" t="n"/>
      <c r="D38" s="9" t="n"/>
      <c r="E38" s="9" t="n"/>
      <c r="F38" s="10" t="n"/>
      <c r="G38" s="11">
        <f>IF(NOT(AND(ISNUMBER($D38),ISNUMBER($E38))),"",ROUND(($E38-$D38)*24,1))</f>
      </c>
      <c r="H38" s="12">
        <f>IF(OR($F38="",$G38=""),"",IF(OR(AND($F38&lt;=-20,$G38&gt;=24),AND($F38&lt;=-35,$G38&gt;=15)),"OK","ALERTA"))</f>
      </c>
      <c r="I38" s="7" t="n"/>
      <c r="J38" s="8" t="n"/>
      <c r="K38" s="7" t="n"/>
    </row>
    <row r="39" ht="20" customHeight="1">
      <c r="A39" s="6" t="n"/>
      <c r="B39" s="7" t="n"/>
      <c r="C39" s="8" t="n"/>
      <c r="D39" s="9" t="n"/>
      <c r="E39" s="9" t="n"/>
      <c r="F39" s="10" t="n"/>
      <c r="G39" s="11">
        <f>IF(NOT(AND(ISNUMBER($D39),ISNUMBER($E39))),"",ROUND(($E39-$D39)*24,1))</f>
      </c>
      <c r="H39" s="12">
        <f>IF(OR($F39="",$G39=""),"",IF(OR(AND($F39&lt;=-20,$G39&gt;=24),AND($F39&lt;=-35,$G39&gt;=15)),"OK","ALERTA"))</f>
      </c>
      <c r="I39" s="7" t="n"/>
      <c r="J39" s="8" t="n"/>
      <c r="K39" s="7" t="n"/>
    </row>
    <row r="40" ht="20" customHeight="1">
      <c r="A40" s="6" t="n"/>
      <c r="B40" s="7" t="n"/>
      <c r="C40" s="8" t="n"/>
      <c r="D40" s="9" t="n"/>
      <c r="E40" s="9" t="n"/>
      <c r="F40" s="10" t="n"/>
      <c r="G40" s="11">
        <f>IF(NOT(AND(ISNUMBER($D40),ISNUMBER($E40))),"",ROUND(($E40-$D40)*24,1))</f>
      </c>
      <c r="H40" s="12">
        <f>IF(OR($F40="",$G40=""),"",IF(OR(AND($F40&lt;=-20,$G40&gt;=24),AND($F40&lt;=-35,$G40&gt;=15)),"OK","ALERTA"))</f>
      </c>
      <c r="I40" s="7" t="n"/>
      <c r="J40" s="8" t="n"/>
      <c r="K40" s="7" t="n"/>
    </row>
    <row r="41" ht="20" customHeight="1">
      <c r="A41" s="6" t="n"/>
      <c r="B41" s="7" t="n"/>
      <c r="C41" s="8" t="n"/>
      <c r="D41" s="9" t="n"/>
      <c r="E41" s="9" t="n"/>
      <c r="F41" s="10" t="n"/>
      <c r="G41" s="11">
        <f>IF(NOT(AND(ISNUMBER($D41),ISNUMBER($E41))),"",ROUND(($E41-$D41)*24,1))</f>
      </c>
      <c r="H41" s="12">
        <f>IF(OR($F41="",$G41=""),"",IF(OR(AND($F41&lt;=-20,$G41&gt;=24),AND($F41&lt;=-35,$G41&gt;=15)),"OK","ALERTA"))</f>
      </c>
      <c r="I41" s="7" t="n"/>
      <c r="J41" s="8" t="n"/>
      <c r="K41" s="7" t="n"/>
    </row>
    <row r="42" ht="20" customHeight="1">
      <c r="A42" s="6" t="n"/>
      <c r="B42" s="7" t="n"/>
      <c r="C42" s="8" t="n"/>
      <c r="D42" s="9" t="n"/>
      <c r="E42" s="9" t="n"/>
      <c r="F42" s="10" t="n"/>
      <c r="G42" s="11">
        <f>IF(NOT(AND(ISNUMBER($D42),ISNUMBER($E42))),"",ROUND(($E42-$D42)*24,1))</f>
      </c>
      <c r="H42" s="12">
        <f>IF(OR($F42="",$G42=""),"",IF(OR(AND($F42&lt;=-20,$G42&gt;=24),AND($F42&lt;=-35,$G42&gt;=15)),"OK","ALERTA"))</f>
      </c>
      <c r="I42" s="7" t="n"/>
      <c r="J42" s="8" t="n"/>
      <c r="K42" s="7" t="n"/>
    </row>
    <row r="43" ht="20" customHeight="1">
      <c r="A43" s="6" t="n"/>
      <c r="B43" s="7" t="n"/>
      <c r="C43" s="8" t="n"/>
      <c r="D43" s="9" t="n"/>
      <c r="E43" s="9" t="n"/>
      <c r="F43" s="10" t="n"/>
      <c r="G43" s="11">
        <f>IF(NOT(AND(ISNUMBER($D43),ISNUMBER($E43))),"",ROUND(($E43-$D43)*24,1))</f>
      </c>
      <c r="H43" s="12">
        <f>IF(OR($F43="",$G43=""),"",IF(OR(AND($F43&lt;=-20,$G43&gt;=24),AND($F43&lt;=-35,$G43&gt;=15)),"OK","ALERTA"))</f>
      </c>
      <c r="I43" s="7" t="n"/>
      <c r="J43" s="8" t="n"/>
      <c r="K43" s="7" t="n"/>
    </row>
    <row r="44" ht="20" customHeight="1">
      <c r="A44" s="6" t="n"/>
      <c r="B44" s="7" t="n"/>
      <c r="C44" s="8" t="n"/>
      <c r="D44" s="9" t="n"/>
      <c r="E44" s="9" t="n"/>
      <c r="F44" s="10" t="n"/>
      <c r="G44" s="11">
        <f>IF(NOT(AND(ISNUMBER($D44),ISNUMBER($E44))),"",ROUND(($E44-$D44)*24,1))</f>
      </c>
      <c r="H44" s="12">
        <f>IF(OR($F44="",$G44=""),"",IF(OR(AND($F44&lt;=-20,$G44&gt;=24),AND($F44&lt;=-35,$G44&gt;=15)),"OK","ALERTA"))</f>
      </c>
      <c r="I44" s="7" t="n"/>
      <c r="J44" s="8" t="n"/>
      <c r="K44" s="7" t="n"/>
    </row>
    <row r="45"/>
    <row r="46" ht="12.2" customHeight="1">
      <c r="A46" s="13" t="inlineStr">
        <is>
          <t>Base legal: Reg. (CE) 853/2004, Anexo III, Secc. VIII, Cap. III, D y RD 1420/2006, de 1 de diciembre. El tratamiento debe alcanzar -20 °C durante al menos 24 horas EN TODAS LAS PARTES de la pieza, o -35 °C durante al menos 15 horas.</t>
        </is>
      </c>
    </row>
    <row r="47" ht="12.2" customHeight="1">
      <c r="A47" s="13" t="inlineStr">
        <is>
          <t>Un congelador doméstico de tres estrellas no llega a -20 °C con carga: mide la temperatura del equipo cada vez y anótala, porque es la columna que el inspector cruza con este registro y con el fichero 01.</t>
        </is>
      </c>
    </row>
    <row r="48" ht="24.5" customHeight="1">
      <c r="A48" s="13" t="inlineStr">
        <is>
          <t>Se aplica a boquerones en vinagre, ceviche, tartar, sashimi, sushi, marinados, escabeches poco cocinados, salazones ligeras y arenques. NO hace falta en pescado que se cocina a 60 °C o más en el centro durante al menos un minuto, ni en el pescado de acuicultura que cumpla la exención del Reg. (CE) 853/2004 con la acreditación escrita del productor, ni en moluscos bivalvos.</t>
        </is>
      </c>
    </row>
    <row r="49" ht="12.2" customHeight="1">
      <c r="A49" s="13" t="inlineStr">
        <is>
          <t>Informa al cliente: el RD 1420/2006 obliga a poner un cartel visible diciendo que el pescado servido crudo o poco cocinado ha sido congelado previamente.</t>
        </is>
      </c>
    </row>
    <row r="50" ht="12.2" customHeight="1">
      <c r="A50" s="13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51" ht="12.2" customHeight="1">
      <c r="A51" s="13" t="inlineStr">
        <is>
          <t>— Pack de Plantillas APPCC · AI Chef Pro · aichef.pro</t>
        </is>
      </c>
    </row>
  </sheetData>
  <mergeCells count="7">
    <mergeCell ref="A49:K49"/>
    <mergeCell ref="A47:K47"/>
    <mergeCell ref="A1:K1"/>
    <mergeCell ref="A50:K50"/>
    <mergeCell ref="A51:K51"/>
    <mergeCell ref="A46:K46"/>
    <mergeCell ref="A48:K48"/>
  </mergeCells>
  <conditionalFormatting sqref="H5:H44">
    <cfRule type="expression" priority="1" dxfId="0" stopIfTrue="1">
      <formula>OR(H5="ALERTA",H5="RECHAZAR",H5="CAMBIAR",H5="REVISAR",H5="✗",H5="CADUCADO",H5="EXCESO")</formula>
    </cfRule>
    <cfRule type="expression" priority="2" dxfId="1" stopIfTrue="1">
      <formula>OR(H5="VIGILAR",H5="⚠",H5="INCOMPLETO",H5="CADUCA PRONTO",H5="RENOVAR",H5="FALTA CLORO",H5="FALTA TEST")</formula>
    </cfRule>
    <cfRule type="expression" priority="3" dxfId="2" stopIfTrue="1">
      <formula>OR(H5="OK",H5="✓",H5="Cumple",H5="VIGENTE",H5="Completo",H5="APTO")</formula>
    </cfRule>
  </conditionalFormatting>
  <dataValidations count="3">
    <dataValidation sqref="A5:A44" showDropDown="0" showInputMessage="0" showErrorMessage="1" allowBlank="1" errorTitle="Fecha" error="Escribe una fecha (por ejemplo 05/09/2026)." type="date" errorStyle="stop" operator="between">
      <formula1>DATE(2000,1,1)</formula1>
      <formula2>DATE(2100,12,31)</formula2>
    </dataValidation>
    <dataValidation sqref="F5:F44" showDropDown="0" showInputMessage="0" showErrorMessage="1" allowBlank="1" errorTitle="Temperatura del congelador" error="Introduce la temperatura del congelador en °C, entre -60 y 0." type="decimal" errorStyle="stop" operator="between">
      <formula1>-60</formula1>
      <formula2>0</formula2>
    </dataValidation>
    <dataValidation sqref="D5:D44 E5:E44" showDropDown="0" showInputMessage="0" showErrorMessage="1" allowBlank="1" errorTitle="Fecha y hora" error="Escribe la fecha CON la hora (por ejemplo 05/09/2026 10:00). Si la celda queda como texto, las «Horas» no se pueden calcular y el Estado se queda en blanco." type="date" errorStyle="stop" operator="between">
      <formula1>DATE(2000,1,1)</formula1>
      <formula2>DATE(2100,12,31)</formula2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Registro de Congelación Preventiva de Anisakis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2026-08-22T19:31:21Z</dcterms:created>
  <dcterms:modified xmlns:dcterms="http://purl.org/dc/terms/" xmlns:xsi="http://www.w3.org/2001/XMLSchema-instance" xsi:type="dcterms:W3CDTF">2026-08-22T19:31:21Z</dcterms:modified>
  <cp:lastModifiedBy>AI Chef Pro</cp:lastModifiedBy>
  <cp:category>AI Chef Pro · Productos digitales</cp:category>
  <cp:keywords>pack appcc, AI Chef Pro</cp:keywords>
</cp:coreProperties>
</file>