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Semanal" sheetId="2" state="visible" r:id="rId2"/>
  </sheets>
  <definedNames>
    <definedName name="_xlnm.Print_Area" localSheetId="0">'Instrucciones'!$A$1:$B$27</definedName>
    <definedName name="_xlnm.Print_Titles" localSheetId="1">'Registro Semanal'!$1:$3</definedName>
    <definedName name="_xlnm.Print_Area" localSheetId="1">'Registro Semanal'!$A$1:$K$68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sz val="11"/>
    </font>
    <font>
      <b val="1"/>
      <color rgb="00FFFFFF"/>
      <sz val="11"/>
    </font>
    <font>
      <b val="1"/>
      <sz val="12"/>
    </font>
    <font>
      <sz val="9"/>
    </font>
    <font>
      <b val="1"/>
      <sz val="18"/>
    </font>
    <font>
      <sz val="11"/>
    </font>
  </fonts>
  <fills count="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0" fillId="4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0" applyAlignment="1" pivotButton="0" quotePrefix="0" xfId="0">
      <alignment vertical="center" wrapText="1"/>
    </xf>
    <xf numFmtId="0" fontId="13" fillId="0" borderId="0" pivotButton="0" quotePrefix="0" xfId="0"/>
    <xf numFmtId="0" fontId="16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5" borderId="1" pivotButton="0" quotePrefix="0" xfId="0"/>
    <xf numFmtId="0" fontId="12" fillId="6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/>
    </xf>
    <xf numFmtId="164" fontId="0" fillId="7" borderId="6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pivotButton="0" quotePrefix="0" xfId="0">
      <alignment horizontal="center" vertical="center" wrapText="1"/>
    </xf>
    <xf numFmtId="49" fontId="0" fillId="7" borderId="6" applyAlignment="1" applyProtection="1" pivotButton="0" quotePrefix="0" xfId="0">
      <alignment horizontal="center" vertical="center" wrapText="1"/>
      <protection locked="0" hidden="0"/>
    </xf>
    <xf numFmtId="49" fontId="8" fillId="7" borderId="6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pivotButton="0" quotePrefix="0" xfId="0">
      <alignment horizontal="center" vertical="center" wrapText="1"/>
    </xf>
    <xf numFmtId="0" fontId="11" fillId="0" borderId="0" pivotButton="0" quotePrefix="0" xfId="0"/>
    <xf numFmtId="1" fontId="13" fillId="0" borderId="6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7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5" t="inlineStr">
        <is>
          <t>Registro de Temperaturas — Control Diario</t>
        </is>
      </c>
    </row>
    <row r="3"/>
    <row r="4">
      <c r="B4" s="16" t="inlineStr">
        <is>
          <t>Cómo usar esta plantilla</t>
        </is>
      </c>
    </row>
    <row r="5"/>
    <row r="6">
      <c r="B6" s="17" t="inlineStr">
        <is>
          <t>▸ Registra la temperatura de cada equipo 2 veces al día (mañana y tarde) en las celdas verdes.</t>
        </is>
      </c>
    </row>
    <row r="7">
      <c r="B7" s="17" t="inlineStr">
        <is>
          <t>▸ Cada lectura tiene su propia hora y su propia firma: Hora M / Firma M para la mañana y Hora T / Firma T para la tarde. Si los turnos son distintos, la hoja acredita quién tomó cada medida.</t>
        </is>
      </c>
    </row>
    <row r="8">
      <c r="B8" s="17" t="inlineStr">
        <is>
          <t>▸ Las columnas «Estado» se calculan solas y se pintan: verde OK, rojo ALERTA. No se escriben a mano.</t>
        </is>
      </c>
    </row>
    <row r="9">
      <c r="B9" s="17" t="inlineStr">
        <is>
          <t>▸ Cada lectura tiene su propia columna de incidencia: «Nº inc. M» para la mañana y «Nº inc. T» para la tarde. Las dos enlazan con el registro 11 de Acciones Correctivas — un mismo día puede tener dos desviaciones distintas, y cada una es una incidencia.</t>
        </is>
      </c>
    </row>
    <row r="10">
      <c r="B10" s="17" t="inlineStr">
        <is>
          <t>▸ La celda C65 cuenta todas las lecturas fuera de límite de la semana y se pone en rojo si hay alguna.</t>
        </is>
      </c>
    </row>
    <row r="11">
      <c r="B11" s="17" t="inlineStr">
        <is>
          <t>▸ Imprime la hoja semanal en A4 apaisado y archívala firmada. Cada equipo tiene su propia fila de cabecera cada pocas filas, así que lo que se repite arriba de cada página es el encabezado del documento (título, semana y responsable).</t>
        </is>
      </c>
    </row>
    <row r="12">
      <c r="B12" s="2" t="n"/>
    </row>
    <row r="13">
      <c r="B13" s="16" t="inlineStr">
        <is>
          <t>Límites de temperatura que aplica la hoja</t>
        </is>
      </c>
    </row>
    <row r="14">
      <c r="B14" s="3" t="n"/>
    </row>
    <row r="15">
      <c r="B15" s="17" t="inlineStr">
        <is>
          <t>▸ Cámaras de refrigeración: 0 °C a 4 °C.</t>
        </is>
      </c>
    </row>
    <row r="16">
      <c r="B16" s="17" t="inlineStr">
        <is>
          <t>▸ Congeladores: -18 °C o inferior. NO hay límite por abajo: un arcón a -26 °C o un abatidor a -30 °C están conformes.</t>
        </is>
      </c>
    </row>
    <row r="17">
      <c r="B17" s="17" t="inlineStr">
        <is>
          <t>▸ Exposición fría (vitrina): 0 °C a 8 °C.</t>
        </is>
      </c>
    </row>
    <row r="18">
      <c r="B18" s="17" t="inlineStr">
        <is>
          <t>▸ Exposición caliente (baño maría): 65 °C o superior. NO hay límite por arriba: 102 °C en un baño maría con agua hirviendo es normal y no es una desviación.</t>
        </is>
      </c>
    </row>
    <row r="19">
      <c r="B19" s="2" t="n"/>
    </row>
    <row r="20">
      <c r="B20" s="16" t="inlineStr">
        <is>
          <t>Frecuencia y archivo</t>
        </is>
      </c>
    </row>
    <row r="21">
      <c r="B21" s="2" t="n"/>
    </row>
    <row r="22">
      <c r="B22" s="17" t="inlineStr">
        <is>
          <t>▸ Frecuencia recomendada: 2 lecturas diarias por equipo, al abrir y antes de cerrar; una tercera tras cada carga grande.</t>
        </is>
      </c>
    </row>
    <row r="23">
      <c r="B23" s="17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4"/>
    <row r="25">
      <c r="B25" s="16" t="inlineStr">
        <is>
          <t>— Pack de Plantillas APPCC · AI Chef Pro · aichef.pro</t>
        </is>
      </c>
    </row>
    <row r="26"/>
    <row r="27">
      <c r="B27" s="16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L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" customWidth="1" min="4" max="4"/>
    <col width="14" customWidth="1" min="5" max="5"/>
    <col width="16" customWidth="1" min="6" max="6"/>
    <col width="14" customWidth="1" min="7" max="7"/>
    <col width="12" customWidth="1" min="8" max="8"/>
    <col width="9" customWidth="1" min="9" max="9"/>
    <col width="14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8" t="inlineStr">
        <is>
          <t>Registro de Temperaturas — Control Diario</t>
        </is>
      </c>
    </row>
    <row r="2">
      <c r="A2" s="5" t="inlineStr">
        <is>
          <t>Semana del: ___/___/______ al ___/___/______</t>
        </is>
      </c>
    </row>
    <row r="3">
      <c r="A3" s="5" t="inlineStr">
        <is>
          <t>Responsable: _________________________________     Termómetro / sonda nº: ______________</t>
        </is>
      </c>
    </row>
    <row r="4"/>
    <row r="5">
      <c r="A5" s="19" t="inlineStr">
        <is>
          <t>📍 Cámara 1 (Refrigeración)  |  Rango: 0 °C a 4 °C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30" customHeight="1">
      <c r="A6" s="20" t="inlineStr">
        <is>
          <t>Día</t>
        </is>
      </c>
      <c r="B6" s="20" t="inlineStr">
        <is>
          <t>Temp. Mañana (°C)</t>
        </is>
      </c>
      <c r="C6" s="20" t="inlineStr">
        <is>
          <t>Estado</t>
        </is>
      </c>
      <c r="D6" s="20" t="inlineStr">
        <is>
          <t>Hora M</t>
        </is>
      </c>
      <c r="E6" s="20" t="inlineStr">
        <is>
          <t>Firma M</t>
        </is>
      </c>
      <c r="F6" s="20" t="inlineStr">
        <is>
          <t>Nº inc. M (→ 11)</t>
        </is>
      </c>
      <c r="G6" s="20" t="inlineStr">
        <is>
          <t>Temp. Tarde (°C)</t>
        </is>
      </c>
      <c r="H6" s="20" t="inlineStr">
        <is>
          <t>Estado</t>
        </is>
      </c>
      <c r="I6" s="20" t="inlineStr">
        <is>
          <t>Hora T</t>
        </is>
      </c>
      <c r="J6" s="20" t="inlineStr">
        <is>
          <t>Firma T</t>
        </is>
      </c>
      <c r="K6" s="20" t="inlineStr">
        <is>
          <t>Nº inc. T (→ 11)</t>
        </is>
      </c>
    </row>
    <row r="7" ht="18" customHeight="1">
      <c r="A7" s="21" t="inlineStr">
        <is>
          <t>Lunes</t>
        </is>
      </c>
      <c r="B7" s="22" t="n">
        <v>3.2</v>
      </c>
      <c r="C7" s="23" t="str">
        <f>IF($B7="","",IF(AND($B7&gt;=0,$B7&lt;=4),"OK","ALERTA"))</f>
        <v>OK</v>
      </c>
      <c r="D7" s="24" t="inlineStr">
        <is>
          <t>08:15</t>
        </is>
      </c>
      <c r="E7" s="24" t="inlineStr">
        <is>
          <t>A.R.</t>
        </is>
      </c>
      <c r="F7" s="25" t="n"/>
      <c r="G7" s="22" t="n">
        <v>3.8</v>
      </c>
      <c r="H7" s="26" t="str">
        <f>IF($G7="","",IF(AND($G7&gt;=0,$G7&lt;=4),"OK","ALERTA"))</f>
        <v>OK</v>
      </c>
      <c r="I7" s="24" t="inlineStr">
        <is>
          <t>19:40</t>
        </is>
      </c>
      <c r="J7" s="24" t="inlineStr">
        <is>
          <t>M.S.</t>
        </is>
      </c>
      <c r="K7" s="24" t="inlineStr">
        <is>
          <t>(ejemplo)</t>
        </is>
      </c>
    </row>
    <row r="8" ht="18" customHeight="1">
      <c r="A8" s="21" t="inlineStr">
        <is>
          <t>Martes</t>
        </is>
      </c>
      <c r="B8" s="22" t="n">
        <v>2.8</v>
      </c>
      <c r="C8" s="23" t="str">
        <f>IF($B8="","",IF(AND($B8&gt;=0,$B8&lt;=4),"OK","ALERTA"))</f>
        <v>OK</v>
      </c>
      <c r="D8" s="24" t="inlineStr">
        <is>
          <t>08:10</t>
        </is>
      </c>
      <c r="E8" s="24" t="inlineStr">
        <is>
          <t>A.R.</t>
        </is>
      </c>
      <c r="F8" s="25" t="n"/>
      <c r="G8" s="22" t="n">
        <v>4</v>
      </c>
      <c r="H8" s="26" t="str">
        <f>IF($G8="","",IF(AND($G8&gt;=0,$G8&lt;=4),"OK","ALERTA"))</f>
        <v>OK</v>
      </c>
      <c r="I8" s="24" t="inlineStr">
        <is>
          <t>19:35</t>
        </is>
      </c>
      <c r="J8" s="24" t="inlineStr">
        <is>
          <t>M.S.</t>
        </is>
      </c>
      <c r="K8" s="24" t="inlineStr">
        <is>
          <t>(ejemplo)</t>
        </is>
      </c>
    </row>
    <row r="9" ht="18" customHeight="1">
      <c r="A9" s="21" t="inlineStr">
        <is>
          <t>Miércoles</t>
        </is>
      </c>
      <c r="B9" s="22" t="n">
        <v>6.5</v>
      </c>
      <c r="C9" s="23" t="str">
        <f>IF($B9="","",IF(AND($B9&gt;=0,$B9&lt;=4),"OK","ALERTA"))</f>
        <v>ALERTA</v>
      </c>
      <c r="D9" s="24" t="inlineStr">
        <is>
          <t>08:20</t>
        </is>
      </c>
      <c r="E9" s="24" t="inlineStr">
        <is>
          <t>A.R.</t>
        </is>
      </c>
      <c r="F9" s="25" t="inlineStr">
        <is>
          <t>INC-001</t>
        </is>
      </c>
      <c r="G9" s="22" t="n">
        <v>3.5</v>
      </c>
      <c r="H9" s="26" t="str">
        <f>IF($G9="","",IF(AND($G9&gt;=0,$G9&lt;=4),"OK","ALERTA"))</f>
        <v>OK</v>
      </c>
      <c r="I9" s="24" t="inlineStr">
        <is>
          <t>19:45</t>
        </is>
      </c>
      <c r="J9" s="24" t="inlineStr">
        <is>
          <t>M.S.</t>
        </is>
      </c>
      <c r="K9" s="24" t="inlineStr">
        <is>
          <t>(ejemplo)</t>
        </is>
      </c>
    </row>
    <row r="10" ht="18" customHeight="1">
      <c r="A10" s="21" t="inlineStr">
        <is>
          <t>Jueves</t>
        </is>
      </c>
      <c r="B10" s="22" t="n"/>
      <c r="C10" s="23">
        <f>IF($B10="","",IF(AND($B10&gt;=0,$B10&lt;=4),"OK","ALERTA"))</f>
      </c>
      <c r="D10" s="24" t="n"/>
      <c r="E10" s="24" t="n"/>
      <c r="F10" s="25" t="n"/>
      <c r="G10" s="22" t="n"/>
      <c r="H10" s="26">
        <f>IF($G10="","",IF(AND($G10&gt;=0,$G10&lt;=4),"OK","ALERTA"))</f>
      </c>
      <c r="I10" s="24" t="n"/>
      <c r="J10" s="24" t="n"/>
      <c r="K10" s="24" t="n"/>
    </row>
    <row r="11" ht="18" customHeight="1">
      <c r="A11" s="21" t="inlineStr">
        <is>
          <t>Viernes</t>
        </is>
      </c>
      <c r="B11" s="22" t="n"/>
      <c r="C11" s="23">
        <f>IF($B11="","",IF(AND($B11&gt;=0,$B11&lt;=4),"OK","ALERTA"))</f>
      </c>
      <c r="D11" s="24" t="n"/>
      <c r="E11" s="24" t="n"/>
      <c r="F11" s="25" t="n"/>
      <c r="G11" s="22" t="n"/>
      <c r="H11" s="26">
        <f>IF($G11="","",IF(AND($G11&gt;=0,$G11&lt;=4),"OK","ALERTA"))</f>
      </c>
      <c r="I11" s="24" t="n"/>
      <c r="J11" s="24" t="n"/>
      <c r="K11" s="24" t="n"/>
    </row>
    <row r="12" ht="18" customHeight="1">
      <c r="A12" s="21" t="inlineStr">
        <is>
          <t>Sábado</t>
        </is>
      </c>
      <c r="B12" s="22" t="n"/>
      <c r="C12" s="23">
        <f>IF($B12="","",IF(AND($B12&gt;=0,$B12&lt;=4),"OK","ALERTA"))</f>
      </c>
      <c r="D12" s="24" t="n"/>
      <c r="E12" s="24" t="n"/>
      <c r="F12" s="25" t="n"/>
      <c r="G12" s="22" t="n"/>
      <c r="H12" s="26">
        <f>IF($G12="","",IF(AND($G12&gt;=0,$G12&lt;=4),"OK","ALERTA"))</f>
      </c>
      <c r="I12" s="24" t="n"/>
      <c r="J12" s="24" t="n"/>
      <c r="K12" s="24" t="n"/>
    </row>
    <row r="13" ht="18" customHeight="1">
      <c r="A13" s="21" t="inlineStr">
        <is>
          <t>Domingo</t>
        </is>
      </c>
      <c r="B13" s="22" t="n"/>
      <c r="C13" s="23">
        <f>IF($B13="","",IF(AND($B13&gt;=0,$B13&lt;=4),"OK","ALERTA"))</f>
      </c>
      <c r="D13" s="24" t="n"/>
      <c r="E13" s="24" t="n"/>
      <c r="F13" s="25" t="n"/>
      <c r="G13" s="22" t="n"/>
      <c r="H13" s="26">
        <f>IF($G13="","",IF(AND($G13&gt;=0,$G13&lt;=4),"OK","ALERTA"))</f>
      </c>
      <c r="I13" s="24" t="n"/>
      <c r="J13" s="24" t="n"/>
      <c r="K13" s="24" t="n"/>
    </row>
    <row r="14"/>
    <row r="15">
      <c r="A15" s="19" t="inlineStr">
        <is>
          <t>📍 Cámara 2 (Refrigeración)  |  Rango: 0 °C a 4 °C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</row>
    <row r="16" ht="30" customHeight="1">
      <c r="A16" s="20" t="inlineStr">
        <is>
          <t>Día</t>
        </is>
      </c>
      <c r="B16" s="20" t="inlineStr">
        <is>
          <t>Temp. Mañana (°C)</t>
        </is>
      </c>
      <c r="C16" s="20" t="inlineStr">
        <is>
          <t>Estado</t>
        </is>
      </c>
      <c r="D16" s="20" t="inlineStr">
        <is>
          <t>Hora M</t>
        </is>
      </c>
      <c r="E16" s="20" t="inlineStr">
        <is>
          <t>Firma M</t>
        </is>
      </c>
      <c r="F16" s="20" t="inlineStr">
        <is>
          <t>Nº inc. M (→ 11)</t>
        </is>
      </c>
      <c r="G16" s="20" t="inlineStr">
        <is>
          <t>Temp. Tarde (°C)</t>
        </is>
      </c>
      <c r="H16" s="20" t="inlineStr">
        <is>
          <t>Estado</t>
        </is>
      </c>
      <c r="I16" s="20" t="inlineStr">
        <is>
          <t>Hora T</t>
        </is>
      </c>
      <c r="J16" s="20" t="inlineStr">
        <is>
          <t>Firma T</t>
        </is>
      </c>
      <c r="K16" s="20" t="inlineStr">
        <is>
          <t>Nº inc. T (→ 11)</t>
        </is>
      </c>
    </row>
    <row r="17" ht="18" customHeight="1">
      <c r="A17" s="21" t="inlineStr">
        <is>
          <t>Lunes</t>
        </is>
      </c>
      <c r="B17" s="22" t="n"/>
      <c r="C17" s="23">
        <f>IF($B17="","",IF(AND($B17&gt;=0,$B17&lt;=4),"OK","ALERTA"))</f>
      </c>
      <c r="D17" s="24" t="n"/>
      <c r="E17" s="24" t="n"/>
      <c r="F17" s="25" t="n"/>
      <c r="G17" s="22" t="n"/>
      <c r="H17" s="26">
        <f>IF($G17="","",IF(AND($G17&gt;=0,$G17&lt;=4),"OK","ALERTA"))</f>
      </c>
      <c r="I17" s="24" t="n"/>
      <c r="J17" s="24" t="n"/>
      <c r="K17" s="24" t="n"/>
    </row>
    <row r="18" ht="18" customHeight="1">
      <c r="A18" s="21" t="inlineStr">
        <is>
          <t>Martes</t>
        </is>
      </c>
      <c r="B18" s="22" t="n"/>
      <c r="C18" s="23">
        <f>IF($B18="","",IF(AND($B18&gt;=0,$B18&lt;=4),"OK","ALERTA"))</f>
      </c>
      <c r="D18" s="24" t="n"/>
      <c r="E18" s="24" t="n"/>
      <c r="F18" s="25" t="n"/>
      <c r="G18" s="22" t="n"/>
      <c r="H18" s="26">
        <f>IF($G18="","",IF(AND($G18&gt;=0,$G18&lt;=4),"OK","ALERTA"))</f>
      </c>
      <c r="I18" s="24" t="n"/>
      <c r="J18" s="24" t="n"/>
      <c r="K18" s="24" t="n"/>
    </row>
    <row r="19" ht="18" customHeight="1">
      <c r="A19" s="21" t="inlineStr">
        <is>
          <t>Miércoles</t>
        </is>
      </c>
      <c r="B19" s="22" t="n"/>
      <c r="C19" s="23">
        <f>IF($B19="","",IF(AND($B19&gt;=0,$B19&lt;=4),"OK","ALERTA"))</f>
      </c>
      <c r="D19" s="24" t="n"/>
      <c r="E19" s="24" t="n"/>
      <c r="F19" s="25" t="n"/>
      <c r="G19" s="22" t="n"/>
      <c r="H19" s="26">
        <f>IF($G19="","",IF(AND($G19&gt;=0,$G19&lt;=4),"OK","ALERTA"))</f>
      </c>
      <c r="I19" s="24" t="n"/>
      <c r="J19" s="24" t="n"/>
      <c r="K19" s="24" t="n"/>
    </row>
    <row r="20" ht="18" customHeight="1">
      <c r="A20" s="21" t="inlineStr">
        <is>
          <t>Jueves</t>
        </is>
      </c>
      <c r="B20" s="22" t="n"/>
      <c r="C20" s="23">
        <f>IF($B20="","",IF(AND($B20&gt;=0,$B20&lt;=4),"OK","ALERTA"))</f>
      </c>
      <c r="D20" s="24" t="n"/>
      <c r="E20" s="24" t="n"/>
      <c r="F20" s="25" t="n"/>
      <c r="G20" s="22" t="n"/>
      <c r="H20" s="26">
        <f>IF($G20="","",IF(AND($G20&gt;=0,$G20&lt;=4),"OK","ALERTA"))</f>
      </c>
      <c r="I20" s="24" t="n"/>
      <c r="J20" s="24" t="n"/>
      <c r="K20" s="24" t="n"/>
    </row>
    <row r="21" ht="18" customHeight="1">
      <c r="A21" s="21" t="inlineStr">
        <is>
          <t>Viernes</t>
        </is>
      </c>
      <c r="B21" s="22" t="n"/>
      <c r="C21" s="23">
        <f>IF($B21="","",IF(AND($B21&gt;=0,$B21&lt;=4),"OK","ALERTA"))</f>
      </c>
      <c r="D21" s="24" t="n"/>
      <c r="E21" s="24" t="n"/>
      <c r="F21" s="25" t="n"/>
      <c r="G21" s="22" t="n"/>
      <c r="H21" s="26">
        <f>IF($G21="","",IF(AND($G21&gt;=0,$G21&lt;=4),"OK","ALERTA"))</f>
      </c>
      <c r="I21" s="24" t="n"/>
      <c r="J21" s="24" t="n"/>
      <c r="K21" s="24" t="n"/>
    </row>
    <row r="22" ht="18" customHeight="1">
      <c r="A22" s="21" t="inlineStr">
        <is>
          <t>Sábado</t>
        </is>
      </c>
      <c r="B22" s="22" t="n"/>
      <c r="C22" s="23">
        <f>IF($B22="","",IF(AND($B22&gt;=0,$B22&lt;=4),"OK","ALERTA"))</f>
      </c>
      <c r="D22" s="24" t="n"/>
      <c r="E22" s="24" t="n"/>
      <c r="F22" s="25" t="n"/>
      <c r="G22" s="22" t="n"/>
      <c r="H22" s="26">
        <f>IF($G22="","",IF(AND($G22&gt;=0,$G22&lt;=4),"OK","ALERTA"))</f>
      </c>
      <c r="I22" s="24" t="n"/>
      <c r="J22" s="24" t="n"/>
      <c r="K22" s="24" t="n"/>
    </row>
    <row r="23" ht="18" customHeight="1">
      <c r="A23" s="21" t="inlineStr">
        <is>
          <t>Domingo</t>
        </is>
      </c>
      <c r="B23" s="22" t="n"/>
      <c r="C23" s="23">
        <f>IF($B23="","",IF(AND($B23&gt;=0,$B23&lt;=4),"OK","ALERTA"))</f>
      </c>
      <c r="D23" s="24" t="n"/>
      <c r="E23" s="24" t="n"/>
      <c r="F23" s="25" t="n"/>
      <c r="G23" s="22" t="n"/>
      <c r="H23" s="26">
        <f>IF($G23="","",IF(AND($G23&gt;=0,$G23&lt;=4),"OK","ALERTA"))</f>
      </c>
      <c r="I23" s="24" t="n"/>
      <c r="J23" s="24" t="n"/>
      <c r="K23" s="24" t="n"/>
    </row>
    <row r="24"/>
    <row r="25">
      <c r="A25" s="19" t="inlineStr">
        <is>
          <t>📍 Congelador 1  |  Rango: -18 °C o inferior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4" t="n"/>
    </row>
    <row r="26" ht="30" customHeight="1">
      <c r="A26" s="20" t="inlineStr">
        <is>
          <t>Día</t>
        </is>
      </c>
      <c r="B26" s="20" t="inlineStr">
        <is>
          <t>Temp. Mañana (°C)</t>
        </is>
      </c>
      <c r="C26" s="20" t="inlineStr">
        <is>
          <t>Estado</t>
        </is>
      </c>
      <c r="D26" s="20" t="inlineStr">
        <is>
          <t>Hora M</t>
        </is>
      </c>
      <c r="E26" s="20" t="inlineStr">
        <is>
          <t>Firma M</t>
        </is>
      </c>
      <c r="F26" s="20" t="inlineStr">
        <is>
          <t>Nº inc. M (→ 11)</t>
        </is>
      </c>
      <c r="G26" s="20" t="inlineStr">
        <is>
          <t>Temp. Tarde (°C)</t>
        </is>
      </c>
      <c r="H26" s="20" t="inlineStr">
        <is>
          <t>Estado</t>
        </is>
      </c>
      <c r="I26" s="20" t="inlineStr">
        <is>
          <t>Hora T</t>
        </is>
      </c>
      <c r="J26" s="20" t="inlineStr">
        <is>
          <t>Firma T</t>
        </is>
      </c>
      <c r="K26" s="20" t="inlineStr">
        <is>
          <t>Nº inc. T (→ 11)</t>
        </is>
      </c>
    </row>
    <row r="27" ht="18" customHeight="1">
      <c r="A27" s="21" t="inlineStr">
        <is>
          <t>Lunes</t>
        </is>
      </c>
      <c r="B27" s="22" t="n"/>
      <c r="C27" s="23">
        <f>IF($B27="","",IF($B27&lt;=-18,"OK","ALERTA"))</f>
      </c>
      <c r="D27" s="24" t="n"/>
      <c r="E27" s="24" t="n"/>
      <c r="F27" s="25" t="n"/>
      <c r="G27" s="22" t="n"/>
      <c r="H27" s="26">
        <f>IF($G27="","",IF($G27&lt;=-18,"OK","ALERTA"))</f>
      </c>
      <c r="I27" s="24" t="n"/>
      <c r="J27" s="24" t="n"/>
      <c r="K27" s="24" t="n"/>
    </row>
    <row r="28" ht="18" customHeight="1">
      <c r="A28" s="21" t="inlineStr">
        <is>
          <t>Martes</t>
        </is>
      </c>
      <c r="B28" s="22" t="n"/>
      <c r="C28" s="23">
        <f>IF($B28="","",IF($B28&lt;=-18,"OK","ALERTA"))</f>
      </c>
      <c r="D28" s="24" t="n"/>
      <c r="E28" s="24" t="n"/>
      <c r="F28" s="25" t="n"/>
      <c r="G28" s="22" t="n"/>
      <c r="H28" s="26">
        <f>IF($G28="","",IF($G28&lt;=-18,"OK","ALERTA"))</f>
      </c>
      <c r="I28" s="24" t="n"/>
      <c r="J28" s="24" t="n"/>
      <c r="K28" s="24" t="n"/>
    </row>
    <row r="29" ht="18" customHeight="1">
      <c r="A29" s="21" t="inlineStr">
        <is>
          <t>Miércoles</t>
        </is>
      </c>
      <c r="B29" s="22" t="n"/>
      <c r="C29" s="23">
        <f>IF($B29="","",IF($B29&lt;=-18,"OK","ALERTA"))</f>
      </c>
      <c r="D29" s="24" t="n"/>
      <c r="E29" s="24" t="n"/>
      <c r="F29" s="25" t="n"/>
      <c r="G29" s="22" t="n"/>
      <c r="H29" s="26">
        <f>IF($G29="","",IF($G29&lt;=-18,"OK","ALERTA"))</f>
      </c>
      <c r="I29" s="24" t="n"/>
      <c r="J29" s="24" t="n"/>
      <c r="K29" s="24" t="n"/>
    </row>
    <row r="30" ht="18" customHeight="1">
      <c r="A30" s="21" t="inlineStr">
        <is>
          <t>Jueves</t>
        </is>
      </c>
      <c r="B30" s="22" t="n"/>
      <c r="C30" s="23">
        <f>IF($B30="","",IF($B30&lt;=-18,"OK","ALERTA"))</f>
      </c>
      <c r="D30" s="24" t="n"/>
      <c r="E30" s="24" t="n"/>
      <c r="F30" s="25" t="n"/>
      <c r="G30" s="22" t="n"/>
      <c r="H30" s="26">
        <f>IF($G30="","",IF($G30&lt;=-18,"OK","ALERTA"))</f>
      </c>
      <c r="I30" s="24" t="n"/>
      <c r="J30" s="24" t="n"/>
      <c r="K30" s="24" t="n"/>
    </row>
    <row r="31" ht="18" customHeight="1">
      <c r="A31" s="21" t="inlineStr">
        <is>
          <t>Viernes</t>
        </is>
      </c>
      <c r="B31" s="22" t="n"/>
      <c r="C31" s="23">
        <f>IF($B31="","",IF($B31&lt;=-18,"OK","ALERTA"))</f>
      </c>
      <c r="D31" s="24" t="n"/>
      <c r="E31" s="24" t="n"/>
      <c r="F31" s="25" t="n"/>
      <c r="G31" s="22" t="n"/>
      <c r="H31" s="26">
        <f>IF($G31="","",IF($G31&lt;=-18,"OK","ALERTA"))</f>
      </c>
      <c r="I31" s="24" t="n"/>
      <c r="J31" s="24" t="n"/>
      <c r="K31" s="24" t="n"/>
    </row>
    <row r="32" ht="18" customHeight="1">
      <c r="A32" s="21" t="inlineStr">
        <is>
          <t>Sábado</t>
        </is>
      </c>
      <c r="B32" s="22" t="n"/>
      <c r="C32" s="23">
        <f>IF($B32="","",IF($B32&lt;=-18,"OK","ALERTA"))</f>
      </c>
      <c r="D32" s="24" t="n"/>
      <c r="E32" s="24" t="n"/>
      <c r="F32" s="25" t="n"/>
      <c r="G32" s="22" t="n"/>
      <c r="H32" s="26">
        <f>IF($G32="","",IF($G32&lt;=-18,"OK","ALERTA"))</f>
      </c>
      <c r="I32" s="24" t="n"/>
      <c r="J32" s="24" t="n"/>
      <c r="K32" s="24" t="n"/>
    </row>
    <row r="33" ht="18" customHeight="1">
      <c r="A33" s="21" t="inlineStr">
        <is>
          <t>Domingo</t>
        </is>
      </c>
      <c r="B33" s="22" t="n"/>
      <c r="C33" s="23">
        <f>IF($B33="","",IF($B33&lt;=-18,"OK","ALERTA"))</f>
      </c>
      <c r="D33" s="24" t="n"/>
      <c r="E33" s="24" t="n"/>
      <c r="F33" s="25" t="n"/>
      <c r="G33" s="22" t="n"/>
      <c r="H33" s="26">
        <f>IF($G33="","",IF($G33&lt;=-18,"OK","ALERTA"))</f>
      </c>
      <c r="I33" s="24" t="n"/>
      <c r="J33" s="24" t="n"/>
      <c r="K33" s="24" t="n"/>
    </row>
    <row r="34"/>
    <row r="35">
      <c r="A35" s="19" t="inlineStr">
        <is>
          <t>📍 Congelador 2  |  Rango: -18 °C o inferior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4" t="n"/>
    </row>
    <row r="36" ht="30" customHeight="1">
      <c r="A36" s="20" t="inlineStr">
        <is>
          <t>Día</t>
        </is>
      </c>
      <c r="B36" s="20" t="inlineStr">
        <is>
          <t>Temp. Mañana (°C)</t>
        </is>
      </c>
      <c r="C36" s="20" t="inlineStr">
        <is>
          <t>Estado</t>
        </is>
      </c>
      <c r="D36" s="20" t="inlineStr">
        <is>
          <t>Hora M</t>
        </is>
      </c>
      <c r="E36" s="20" t="inlineStr">
        <is>
          <t>Firma M</t>
        </is>
      </c>
      <c r="F36" s="20" t="inlineStr">
        <is>
          <t>Nº inc. M (→ 11)</t>
        </is>
      </c>
      <c r="G36" s="20" t="inlineStr">
        <is>
          <t>Temp. Tarde (°C)</t>
        </is>
      </c>
      <c r="H36" s="20" t="inlineStr">
        <is>
          <t>Estado</t>
        </is>
      </c>
      <c r="I36" s="20" t="inlineStr">
        <is>
          <t>Hora T</t>
        </is>
      </c>
      <c r="J36" s="20" t="inlineStr">
        <is>
          <t>Firma T</t>
        </is>
      </c>
      <c r="K36" s="20" t="inlineStr">
        <is>
          <t>Nº inc. T (→ 11)</t>
        </is>
      </c>
    </row>
    <row r="37" ht="18" customHeight="1">
      <c r="A37" s="21" t="inlineStr">
        <is>
          <t>Lunes</t>
        </is>
      </c>
      <c r="B37" s="22" t="n"/>
      <c r="C37" s="23">
        <f>IF($B37="","",IF($B37&lt;=-18,"OK","ALERTA"))</f>
      </c>
      <c r="D37" s="24" t="n"/>
      <c r="E37" s="24" t="n"/>
      <c r="F37" s="25" t="n"/>
      <c r="G37" s="22" t="n"/>
      <c r="H37" s="26">
        <f>IF($G37="","",IF($G37&lt;=-18,"OK","ALERTA"))</f>
      </c>
      <c r="I37" s="24" t="n"/>
      <c r="J37" s="24" t="n"/>
      <c r="K37" s="24" t="n"/>
    </row>
    <row r="38" ht="18" customHeight="1">
      <c r="A38" s="21" t="inlineStr">
        <is>
          <t>Martes</t>
        </is>
      </c>
      <c r="B38" s="22" t="n"/>
      <c r="C38" s="23">
        <f>IF($B38="","",IF($B38&lt;=-18,"OK","ALERTA"))</f>
      </c>
      <c r="D38" s="24" t="n"/>
      <c r="E38" s="24" t="n"/>
      <c r="F38" s="25" t="n"/>
      <c r="G38" s="22" t="n"/>
      <c r="H38" s="26">
        <f>IF($G38="","",IF($G38&lt;=-18,"OK","ALERTA"))</f>
      </c>
      <c r="I38" s="24" t="n"/>
      <c r="J38" s="24" t="n"/>
      <c r="K38" s="24" t="n"/>
    </row>
    <row r="39" ht="18" customHeight="1">
      <c r="A39" s="21" t="inlineStr">
        <is>
          <t>Miércoles</t>
        </is>
      </c>
      <c r="B39" s="22" t="n"/>
      <c r="C39" s="23">
        <f>IF($B39="","",IF($B39&lt;=-18,"OK","ALERTA"))</f>
      </c>
      <c r="D39" s="24" t="n"/>
      <c r="E39" s="24" t="n"/>
      <c r="F39" s="25" t="n"/>
      <c r="G39" s="22" t="n"/>
      <c r="H39" s="26">
        <f>IF($G39="","",IF($G39&lt;=-18,"OK","ALERTA"))</f>
      </c>
      <c r="I39" s="24" t="n"/>
      <c r="J39" s="24" t="n"/>
      <c r="K39" s="24" t="n"/>
    </row>
    <row r="40" ht="18" customHeight="1">
      <c r="A40" s="21" t="inlineStr">
        <is>
          <t>Jueves</t>
        </is>
      </c>
      <c r="B40" s="22" t="n"/>
      <c r="C40" s="23">
        <f>IF($B40="","",IF($B40&lt;=-18,"OK","ALERTA"))</f>
      </c>
      <c r="D40" s="24" t="n"/>
      <c r="E40" s="24" t="n"/>
      <c r="F40" s="25" t="n"/>
      <c r="G40" s="22" t="n"/>
      <c r="H40" s="26">
        <f>IF($G40="","",IF($G40&lt;=-18,"OK","ALERTA"))</f>
      </c>
      <c r="I40" s="24" t="n"/>
      <c r="J40" s="24" t="n"/>
      <c r="K40" s="24" t="n"/>
    </row>
    <row r="41" ht="18" customHeight="1">
      <c r="A41" s="21" t="inlineStr">
        <is>
          <t>Viernes</t>
        </is>
      </c>
      <c r="B41" s="22" t="n"/>
      <c r="C41" s="23">
        <f>IF($B41="","",IF($B41&lt;=-18,"OK","ALERTA"))</f>
      </c>
      <c r="D41" s="24" t="n"/>
      <c r="E41" s="24" t="n"/>
      <c r="F41" s="25" t="n"/>
      <c r="G41" s="22" t="n"/>
      <c r="H41" s="26">
        <f>IF($G41="","",IF($G41&lt;=-18,"OK","ALERTA"))</f>
      </c>
      <c r="I41" s="24" t="n"/>
      <c r="J41" s="24" t="n"/>
      <c r="K41" s="24" t="n"/>
    </row>
    <row r="42" ht="18" customHeight="1">
      <c r="A42" s="21" t="inlineStr">
        <is>
          <t>Sábado</t>
        </is>
      </c>
      <c r="B42" s="22" t="n"/>
      <c r="C42" s="23">
        <f>IF($B42="","",IF($B42&lt;=-18,"OK","ALERTA"))</f>
      </c>
      <c r="D42" s="24" t="n"/>
      <c r="E42" s="24" t="n"/>
      <c r="F42" s="25" t="n"/>
      <c r="G42" s="22" t="n"/>
      <c r="H42" s="26">
        <f>IF($G42="","",IF($G42&lt;=-18,"OK","ALERTA"))</f>
      </c>
      <c r="I42" s="24" t="n"/>
      <c r="J42" s="24" t="n"/>
      <c r="K42" s="24" t="n"/>
    </row>
    <row r="43" ht="18" customHeight="1">
      <c r="A43" s="21" t="inlineStr">
        <is>
          <t>Domingo</t>
        </is>
      </c>
      <c r="B43" s="22" t="n"/>
      <c r="C43" s="23">
        <f>IF($B43="","",IF($B43&lt;=-18,"OK","ALERTA"))</f>
      </c>
      <c r="D43" s="24" t="n"/>
      <c r="E43" s="24" t="n"/>
      <c r="F43" s="25" t="n"/>
      <c r="G43" s="22" t="n"/>
      <c r="H43" s="26">
        <f>IF($G43="","",IF($G43&lt;=-18,"OK","ALERTA"))</f>
      </c>
      <c r="I43" s="24" t="n"/>
      <c r="J43" s="24" t="n"/>
      <c r="K43" s="24" t="n"/>
    </row>
    <row r="44"/>
    <row r="45">
      <c r="A45" s="19" t="inlineStr">
        <is>
          <t>📍 Exposición Fría (Vitrina)  |  Rango: 0 °C a 8 °C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4" t="n"/>
    </row>
    <row r="46" ht="30" customHeight="1">
      <c r="A46" s="20" t="inlineStr">
        <is>
          <t>Día</t>
        </is>
      </c>
      <c r="B46" s="20" t="inlineStr">
        <is>
          <t>Temp. Mañana (°C)</t>
        </is>
      </c>
      <c r="C46" s="20" t="inlineStr">
        <is>
          <t>Estado</t>
        </is>
      </c>
      <c r="D46" s="20" t="inlineStr">
        <is>
          <t>Hora M</t>
        </is>
      </c>
      <c r="E46" s="20" t="inlineStr">
        <is>
          <t>Firma M</t>
        </is>
      </c>
      <c r="F46" s="20" t="inlineStr">
        <is>
          <t>Nº inc. M (→ 11)</t>
        </is>
      </c>
      <c r="G46" s="20" t="inlineStr">
        <is>
          <t>Temp. Tarde (°C)</t>
        </is>
      </c>
      <c r="H46" s="20" t="inlineStr">
        <is>
          <t>Estado</t>
        </is>
      </c>
      <c r="I46" s="20" t="inlineStr">
        <is>
          <t>Hora T</t>
        </is>
      </c>
      <c r="J46" s="20" t="inlineStr">
        <is>
          <t>Firma T</t>
        </is>
      </c>
      <c r="K46" s="20" t="inlineStr">
        <is>
          <t>Nº inc. T (→ 11)</t>
        </is>
      </c>
    </row>
    <row r="47" ht="18" customHeight="1">
      <c r="A47" s="21" t="inlineStr">
        <is>
          <t>Lunes</t>
        </is>
      </c>
      <c r="B47" s="22" t="n"/>
      <c r="C47" s="23">
        <f>IF($B47="","",IF(AND($B47&gt;=0,$B47&lt;=8),"OK","ALERTA"))</f>
      </c>
      <c r="D47" s="24" t="n"/>
      <c r="E47" s="24" t="n"/>
      <c r="F47" s="25" t="n"/>
      <c r="G47" s="22" t="n"/>
      <c r="H47" s="26">
        <f>IF($G47="","",IF(AND($G47&gt;=0,$G47&lt;=8),"OK","ALERTA"))</f>
      </c>
      <c r="I47" s="24" t="n"/>
      <c r="J47" s="24" t="n"/>
      <c r="K47" s="24" t="n"/>
    </row>
    <row r="48" ht="18" customHeight="1">
      <c r="A48" s="21" t="inlineStr">
        <is>
          <t>Martes</t>
        </is>
      </c>
      <c r="B48" s="22" t="n"/>
      <c r="C48" s="23">
        <f>IF($B48="","",IF(AND($B48&gt;=0,$B48&lt;=8),"OK","ALERTA"))</f>
      </c>
      <c r="D48" s="24" t="n"/>
      <c r="E48" s="24" t="n"/>
      <c r="F48" s="25" t="n"/>
      <c r="G48" s="22" t="n"/>
      <c r="H48" s="26">
        <f>IF($G48="","",IF(AND($G48&gt;=0,$G48&lt;=8),"OK","ALERTA"))</f>
      </c>
      <c r="I48" s="24" t="n"/>
      <c r="J48" s="24" t="n"/>
      <c r="K48" s="24" t="n"/>
    </row>
    <row r="49" ht="18" customHeight="1">
      <c r="A49" s="21" t="inlineStr">
        <is>
          <t>Miércoles</t>
        </is>
      </c>
      <c r="B49" s="22" t="n"/>
      <c r="C49" s="23">
        <f>IF($B49="","",IF(AND($B49&gt;=0,$B49&lt;=8),"OK","ALERTA"))</f>
      </c>
      <c r="D49" s="24" t="n"/>
      <c r="E49" s="24" t="n"/>
      <c r="F49" s="25" t="n"/>
      <c r="G49" s="22" t="n"/>
      <c r="H49" s="26">
        <f>IF($G49="","",IF(AND($G49&gt;=0,$G49&lt;=8),"OK","ALERTA"))</f>
      </c>
      <c r="I49" s="24" t="n"/>
      <c r="J49" s="24" t="n"/>
      <c r="K49" s="24" t="n"/>
    </row>
    <row r="50" ht="18" customHeight="1">
      <c r="A50" s="21" t="inlineStr">
        <is>
          <t>Jueves</t>
        </is>
      </c>
      <c r="B50" s="22" t="n"/>
      <c r="C50" s="23">
        <f>IF($B50="","",IF(AND($B50&gt;=0,$B50&lt;=8),"OK","ALERTA"))</f>
      </c>
      <c r="D50" s="24" t="n"/>
      <c r="E50" s="24" t="n"/>
      <c r="F50" s="25" t="n"/>
      <c r="G50" s="22" t="n"/>
      <c r="H50" s="26">
        <f>IF($G50="","",IF(AND($G50&gt;=0,$G50&lt;=8),"OK","ALERTA"))</f>
      </c>
      <c r="I50" s="24" t="n"/>
      <c r="J50" s="24" t="n"/>
      <c r="K50" s="24" t="n"/>
    </row>
    <row r="51" ht="18" customHeight="1">
      <c r="A51" s="21" t="inlineStr">
        <is>
          <t>Viernes</t>
        </is>
      </c>
      <c r="B51" s="22" t="n"/>
      <c r="C51" s="23">
        <f>IF($B51="","",IF(AND($B51&gt;=0,$B51&lt;=8),"OK","ALERTA"))</f>
      </c>
      <c r="D51" s="24" t="n"/>
      <c r="E51" s="24" t="n"/>
      <c r="F51" s="25" t="n"/>
      <c r="G51" s="22" t="n"/>
      <c r="H51" s="26">
        <f>IF($G51="","",IF(AND($G51&gt;=0,$G51&lt;=8),"OK","ALERTA"))</f>
      </c>
      <c r="I51" s="24" t="n"/>
      <c r="J51" s="24" t="n"/>
      <c r="K51" s="24" t="n"/>
    </row>
    <row r="52" ht="18" customHeight="1">
      <c r="A52" s="21" t="inlineStr">
        <is>
          <t>Sábado</t>
        </is>
      </c>
      <c r="B52" s="22" t="n"/>
      <c r="C52" s="23">
        <f>IF($B52="","",IF(AND($B52&gt;=0,$B52&lt;=8),"OK","ALERTA"))</f>
      </c>
      <c r="D52" s="24" t="n"/>
      <c r="E52" s="24" t="n"/>
      <c r="F52" s="25" t="n"/>
      <c r="G52" s="22" t="n"/>
      <c r="H52" s="26">
        <f>IF($G52="","",IF(AND($G52&gt;=0,$G52&lt;=8),"OK","ALERTA"))</f>
      </c>
      <c r="I52" s="24" t="n"/>
      <c r="J52" s="24" t="n"/>
      <c r="K52" s="24" t="n"/>
    </row>
    <row r="53" ht="18" customHeight="1">
      <c r="A53" s="21" t="inlineStr">
        <is>
          <t>Domingo</t>
        </is>
      </c>
      <c r="B53" s="22" t="n"/>
      <c r="C53" s="23">
        <f>IF($B53="","",IF(AND($B53&gt;=0,$B53&lt;=8),"OK","ALERTA"))</f>
      </c>
      <c r="D53" s="24" t="n"/>
      <c r="E53" s="24" t="n"/>
      <c r="F53" s="25" t="n"/>
      <c r="G53" s="22" t="n"/>
      <c r="H53" s="26">
        <f>IF($G53="","",IF(AND($G53&gt;=0,$G53&lt;=8),"OK","ALERTA"))</f>
      </c>
      <c r="I53" s="24" t="n"/>
      <c r="J53" s="24" t="n"/>
      <c r="K53" s="24" t="n"/>
    </row>
    <row r="54"/>
    <row r="55">
      <c r="A55" s="19" t="inlineStr">
        <is>
          <t>📍 Exposición Caliente (Baño María)  |  Rango: 65 °C o superior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4" t="n"/>
    </row>
    <row r="56" ht="30" customHeight="1">
      <c r="A56" s="20" t="inlineStr">
        <is>
          <t>Día</t>
        </is>
      </c>
      <c r="B56" s="20" t="inlineStr">
        <is>
          <t>Temp. Mañana (°C)</t>
        </is>
      </c>
      <c r="C56" s="20" t="inlineStr">
        <is>
          <t>Estado</t>
        </is>
      </c>
      <c r="D56" s="20" t="inlineStr">
        <is>
          <t>Hora M</t>
        </is>
      </c>
      <c r="E56" s="20" t="inlineStr">
        <is>
          <t>Firma M</t>
        </is>
      </c>
      <c r="F56" s="20" t="inlineStr">
        <is>
          <t>Nº inc. M (→ 11)</t>
        </is>
      </c>
      <c r="G56" s="20" t="inlineStr">
        <is>
          <t>Temp. Tarde (°C)</t>
        </is>
      </c>
      <c r="H56" s="20" t="inlineStr">
        <is>
          <t>Estado</t>
        </is>
      </c>
      <c r="I56" s="20" t="inlineStr">
        <is>
          <t>Hora T</t>
        </is>
      </c>
      <c r="J56" s="20" t="inlineStr">
        <is>
          <t>Firma T</t>
        </is>
      </c>
      <c r="K56" s="20" t="inlineStr">
        <is>
          <t>Nº inc. T (→ 11)</t>
        </is>
      </c>
    </row>
    <row r="57" ht="18" customHeight="1">
      <c r="A57" s="21" t="inlineStr">
        <is>
          <t>Lunes</t>
        </is>
      </c>
      <c r="B57" s="22" t="n"/>
      <c r="C57" s="23">
        <f>IF($B57="","",IF($B57&gt;=65,"OK","ALERTA"))</f>
      </c>
      <c r="D57" s="24" t="n"/>
      <c r="E57" s="24" t="n"/>
      <c r="F57" s="25" t="n"/>
      <c r="G57" s="22" t="n"/>
      <c r="H57" s="26">
        <f>IF($G57="","",IF($G57&gt;=65,"OK","ALERTA"))</f>
      </c>
      <c r="I57" s="24" t="n"/>
      <c r="J57" s="24" t="n"/>
      <c r="K57" s="24" t="n"/>
    </row>
    <row r="58" ht="18" customHeight="1">
      <c r="A58" s="21" t="inlineStr">
        <is>
          <t>Martes</t>
        </is>
      </c>
      <c r="B58" s="22" t="n"/>
      <c r="C58" s="23">
        <f>IF($B58="","",IF($B58&gt;=65,"OK","ALERTA"))</f>
      </c>
      <c r="D58" s="24" t="n"/>
      <c r="E58" s="24" t="n"/>
      <c r="F58" s="25" t="n"/>
      <c r="G58" s="22" t="n"/>
      <c r="H58" s="26">
        <f>IF($G58="","",IF($G58&gt;=65,"OK","ALERTA"))</f>
      </c>
      <c r="I58" s="24" t="n"/>
      <c r="J58" s="24" t="n"/>
      <c r="K58" s="24" t="n"/>
    </row>
    <row r="59" ht="18" customHeight="1">
      <c r="A59" s="21" t="inlineStr">
        <is>
          <t>Miércoles</t>
        </is>
      </c>
      <c r="B59" s="22" t="n"/>
      <c r="C59" s="23">
        <f>IF($B59="","",IF($B59&gt;=65,"OK","ALERTA"))</f>
      </c>
      <c r="D59" s="24" t="n"/>
      <c r="E59" s="24" t="n"/>
      <c r="F59" s="25" t="n"/>
      <c r="G59" s="22" t="n"/>
      <c r="H59" s="26">
        <f>IF($G59="","",IF($G59&gt;=65,"OK","ALERTA"))</f>
      </c>
      <c r="I59" s="24" t="n"/>
      <c r="J59" s="24" t="n"/>
      <c r="K59" s="24" t="n"/>
    </row>
    <row r="60" ht="18" customHeight="1">
      <c r="A60" s="21" t="inlineStr">
        <is>
          <t>Jueves</t>
        </is>
      </c>
      <c r="B60" s="22" t="n"/>
      <c r="C60" s="23">
        <f>IF($B60="","",IF($B60&gt;=65,"OK","ALERTA"))</f>
      </c>
      <c r="D60" s="24" t="n"/>
      <c r="E60" s="24" t="n"/>
      <c r="F60" s="25" t="n"/>
      <c r="G60" s="22" t="n"/>
      <c r="H60" s="26">
        <f>IF($G60="","",IF($G60&gt;=65,"OK","ALERTA"))</f>
      </c>
      <c r="I60" s="24" t="n"/>
      <c r="J60" s="24" t="n"/>
      <c r="K60" s="24" t="n"/>
    </row>
    <row r="61" ht="18" customHeight="1">
      <c r="A61" s="21" t="inlineStr">
        <is>
          <t>Viernes</t>
        </is>
      </c>
      <c r="B61" s="22" t="n"/>
      <c r="C61" s="23">
        <f>IF($B61="","",IF($B61&gt;=65,"OK","ALERTA"))</f>
      </c>
      <c r="D61" s="24" t="n"/>
      <c r="E61" s="24" t="n"/>
      <c r="F61" s="25" t="n"/>
      <c r="G61" s="22" t="n"/>
      <c r="H61" s="26">
        <f>IF($G61="","",IF($G61&gt;=65,"OK","ALERTA"))</f>
      </c>
      <c r="I61" s="24" t="n"/>
      <c r="J61" s="24" t="n"/>
      <c r="K61" s="24" t="n"/>
    </row>
    <row r="62" ht="18" customHeight="1">
      <c r="A62" s="21" t="inlineStr">
        <is>
          <t>Sábado</t>
        </is>
      </c>
      <c r="B62" s="22" t="n"/>
      <c r="C62" s="23">
        <f>IF($B62="","",IF($B62&gt;=65,"OK","ALERTA"))</f>
      </c>
      <c r="D62" s="24" t="n"/>
      <c r="E62" s="24" t="n"/>
      <c r="F62" s="25" t="n"/>
      <c r="G62" s="22" t="n"/>
      <c r="H62" s="26">
        <f>IF($G62="","",IF($G62&gt;=65,"OK","ALERTA"))</f>
      </c>
      <c r="I62" s="24" t="n"/>
      <c r="J62" s="24" t="n"/>
      <c r="K62" s="24" t="n"/>
    </row>
    <row r="63" ht="18" customHeight="1">
      <c r="A63" s="21" t="inlineStr">
        <is>
          <t>Domingo</t>
        </is>
      </c>
      <c r="B63" s="22" t="n"/>
      <c r="C63" s="23">
        <f>IF($B63="","",IF($B63&gt;=65,"OK","ALERTA"))</f>
      </c>
      <c r="D63" s="24" t="n"/>
      <c r="E63" s="24" t="n"/>
      <c r="F63" s="25" t="n"/>
      <c r="G63" s="22" t="n"/>
      <c r="H63" s="26">
        <f>IF($G63="","",IF($G63&gt;=65,"OK","ALERTA"))</f>
      </c>
      <c r="I63" s="24" t="n"/>
      <c r="J63" s="24" t="n"/>
      <c r="K63" s="24" t="n"/>
    </row>
    <row r="64"/>
    <row r="65">
      <c r="A65" s="27" t="inlineStr">
        <is>
          <t>Lecturas fuera de límite en la semana (todas las secciones)</t>
        </is>
      </c>
      <c r="C65" s="28">
        <f>COUNTIF(C7:C13,"ALERTA")+COUNTIF(H7:H13,"ALERTA")+COUNTIF(C17:C23,"ALERTA")+COUNTIF(H17:H23,"ALERTA")+COUNTIF(C27:C33,"ALERTA")+COUNTIF(H27:H33,"ALERTA")+COUNTIF(C37:C43,"ALERTA")+COUNTIF(H37:H43,"ALERTA")+COUNTIF(C47:C53,"ALERTA")+COUNTIF(H47:H53,"ALERTA")+COUNTIF(C57:C63,"ALERTA")+COUNTIF(H57:H63,"ALERTA")</f>
        <v>1.0</v>
      </c>
    </row>
    <row r="66" ht="24.5" customHeight="1">
      <c r="A66" s="29" t="inlineStr">
        <is>
          <t>Si aparece ALERTA: registrar la incidencia en el registro 11 (Acciones Correctivas) con su nº, anotarlo en «Nº inc. M» o «Nº inc. T» según la lectura que se haya desviado, y avisar al responsable.</t>
        </is>
      </c>
    </row>
    <row r="67" ht="24.5" customHeight="1">
      <c r="A67" s="29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68" ht="12.2" customHeight="1">
      <c r="A68" s="29" t="inlineStr">
        <is>
          <t>— Pack de Plantillas APPCC · AI Chef Pro · aichef.pro</t>
        </is>
      </c>
    </row>
    <row r="69"/>
    <row r="70"/>
  </sheetData>
  <mergeCells count="10">
    <mergeCell ref="A68:K68"/>
    <mergeCell ref="A15:K15"/>
    <mergeCell ref="A1:K1"/>
    <mergeCell ref="A67:K67"/>
    <mergeCell ref="A45:K45"/>
    <mergeCell ref="A35:K35"/>
    <mergeCell ref="A25:K25"/>
    <mergeCell ref="A5:K5"/>
    <mergeCell ref="A66:K66"/>
    <mergeCell ref="A55:K55"/>
  </mergeCells>
  <conditionalFormatting sqref="C7:C13">
    <cfRule type="expression" priority="1" dxfId="0" stopIfTrue="1">
      <formula>OR(C7="ALERTA",C7="RECHAZAR",C7="CAMBIAR",C7="REVISAR",C7="✗",C7="CADUCADO",C7="EXCESO")</formula>
    </cfRule>
    <cfRule type="expression" priority="2" dxfId="1" stopIfTrue="1">
      <formula>OR(C7="VIGILAR",C7="⚠",C7="INCOMPLETO",C7="CADUCA PRONTO",C7="RENOVAR",C7="FALTA CLORO",C7="FALTA TEST")</formula>
    </cfRule>
    <cfRule type="expression" priority="3" dxfId="2" stopIfTrue="1">
      <formula>OR(C7="OK",C7="✓",C7="Cumple",C7="VIGENTE",C7="Completo",C7="APTO")</formula>
    </cfRule>
  </conditionalFormatting>
  <conditionalFormatting sqref="H7:H13">
    <cfRule type="expression" priority="4" dxfId="0" stopIfTrue="1">
      <formula>OR(H7="ALERTA",H7="RECHAZAR",H7="CAMBIAR",H7="REVISAR",H7="✗",H7="CADUCADO",H7="EXCESO")</formula>
    </cfRule>
    <cfRule type="expression" priority="5" dxfId="1" stopIfTrue="1">
      <formula>OR(H7="VIGILAR",H7="⚠",H7="INCOMPLETO",H7="CADUCA PRONTO",H7="RENOVAR",H7="FALTA CLORO",H7="FALTA TEST")</formula>
    </cfRule>
    <cfRule type="expression" priority="6" dxfId="2" stopIfTrue="1">
      <formula>OR(H7="OK",H7="✓",H7="Cumple",H7="VIGENTE",H7="Completo",H7="APTO")</formula>
    </cfRule>
  </conditionalFormatting>
  <conditionalFormatting sqref="C17:C23">
    <cfRule type="expression" priority="7" dxfId="0" stopIfTrue="1">
      <formula>OR(C17="ALERTA",C17="RECHAZAR",C17="CAMBIAR",C17="REVISAR",C17="✗",C17="CADUCADO",C17="EXCESO")</formula>
    </cfRule>
    <cfRule type="expression" priority="8" dxfId="1" stopIfTrue="1">
      <formula>OR(C17="VIGILAR",C17="⚠",C17="INCOMPLETO",C17="CADUCA PRONTO",C17="RENOVAR",C17="FALTA CLORO",C17="FALTA TEST")</formula>
    </cfRule>
    <cfRule type="expression" priority="9" dxfId="2" stopIfTrue="1">
      <formula>OR(C17="OK",C17="✓",C17="Cumple",C17="VIGENTE",C17="Completo",C17="APTO")</formula>
    </cfRule>
  </conditionalFormatting>
  <conditionalFormatting sqref="H17:H23">
    <cfRule type="expression" priority="10" dxfId="0" stopIfTrue="1">
      <formula>OR(H17="ALERTA",H17="RECHAZAR",H17="CAMBIAR",H17="REVISAR",H17="✗",H17="CADUCADO",H17="EXCESO")</formula>
    </cfRule>
    <cfRule type="expression" priority="11" dxfId="1" stopIfTrue="1">
      <formula>OR(H17="VIGILAR",H17="⚠",H17="INCOMPLETO",H17="CADUCA PRONTO",H17="RENOVAR",H17="FALTA CLORO",H17="FALTA TEST")</formula>
    </cfRule>
    <cfRule type="expression" priority="12" dxfId="2" stopIfTrue="1">
      <formula>OR(H17="OK",H17="✓",H17="Cumple",H17="VIGENTE",H17="Completo",H17="APTO")</formula>
    </cfRule>
  </conditionalFormatting>
  <conditionalFormatting sqref="C27:C33">
    <cfRule type="expression" priority="13" dxfId="0" stopIfTrue="1">
      <formula>OR(C27="ALERTA",C27="RECHAZAR",C27="CAMBIAR",C27="REVISAR",C27="✗",C27="CADUCADO",C27="EXCESO")</formula>
    </cfRule>
    <cfRule type="expression" priority="14" dxfId="1" stopIfTrue="1">
      <formula>OR(C27="VIGILAR",C27="⚠",C27="INCOMPLETO",C27="CADUCA PRONTO",C27="RENOVAR",C27="FALTA CLORO",C27="FALTA TEST")</formula>
    </cfRule>
    <cfRule type="expression" priority="15" dxfId="2" stopIfTrue="1">
      <formula>OR(C27="OK",C27="✓",C27="Cumple",C27="VIGENTE",C27="Completo",C27="APTO")</formula>
    </cfRule>
  </conditionalFormatting>
  <conditionalFormatting sqref="H27:H33">
    <cfRule type="expression" priority="16" dxfId="0" stopIfTrue="1">
      <formula>OR(H27="ALERTA",H27="RECHAZAR",H27="CAMBIAR",H27="REVISAR",H27="✗",H27="CADUCADO",H27="EXCESO")</formula>
    </cfRule>
    <cfRule type="expression" priority="17" dxfId="1" stopIfTrue="1">
      <formula>OR(H27="VIGILAR",H27="⚠",H27="INCOMPLETO",H27="CADUCA PRONTO",H27="RENOVAR",H27="FALTA CLORO",H27="FALTA TEST")</formula>
    </cfRule>
    <cfRule type="expression" priority="18" dxfId="2" stopIfTrue="1">
      <formula>OR(H27="OK",H27="✓",H27="Cumple",H27="VIGENTE",H27="Completo",H27="APTO")</formula>
    </cfRule>
  </conditionalFormatting>
  <conditionalFormatting sqref="C37:C43">
    <cfRule type="expression" priority="19" dxfId="0" stopIfTrue="1">
      <formula>OR(C37="ALERTA",C37="RECHAZAR",C37="CAMBIAR",C37="REVISAR",C37="✗",C37="CADUCADO",C37="EXCESO")</formula>
    </cfRule>
    <cfRule type="expression" priority="20" dxfId="1" stopIfTrue="1">
      <formula>OR(C37="VIGILAR",C37="⚠",C37="INCOMPLETO",C37="CADUCA PRONTO",C37="RENOVAR",C37="FALTA CLORO",C37="FALTA TEST")</formula>
    </cfRule>
    <cfRule type="expression" priority="21" dxfId="2" stopIfTrue="1">
      <formula>OR(C37="OK",C37="✓",C37="Cumple",C37="VIGENTE",C37="Completo",C37="APTO")</formula>
    </cfRule>
  </conditionalFormatting>
  <conditionalFormatting sqref="H37:H43">
    <cfRule type="expression" priority="22" dxfId="0" stopIfTrue="1">
      <formula>OR(H37="ALERTA",H37="RECHAZAR",H37="CAMBIAR",H37="REVISAR",H37="✗",H37="CADUCADO",H37="EXCESO")</formula>
    </cfRule>
    <cfRule type="expression" priority="23" dxfId="1" stopIfTrue="1">
      <formula>OR(H37="VIGILAR",H37="⚠",H37="INCOMPLETO",H37="CADUCA PRONTO",H37="RENOVAR",H37="FALTA CLORO",H37="FALTA TEST")</formula>
    </cfRule>
    <cfRule type="expression" priority="24" dxfId="2" stopIfTrue="1">
      <formula>OR(H37="OK",H37="✓",H37="Cumple",H37="VIGENTE",H37="Completo",H37="APTO")</formula>
    </cfRule>
  </conditionalFormatting>
  <conditionalFormatting sqref="C47:C53">
    <cfRule type="expression" priority="25" dxfId="0" stopIfTrue="1">
      <formula>OR(C47="ALERTA",C47="RECHAZAR",C47="CAMBIAR",C47="REVISAR",C47="✗",C47="CADUCADO",C47="EXCESO")</formula>
    </cfRule>
    <cfRule type="expression" priority="26" dxfId="1" stopIfTrue="1">
      <formula>OR(C47="VIGILAR",C47="⚠",C47="INCOMPLETO",C47="CADUCA PRONTO",C47="RENOVAR",C47="FALTA CLORO",C47="FALTA TEST")</formula>
    </cfRule>
    <cfRule type="expression" priority="27" dxfId="2" stopIfTrue="1">
      <formula>OR(C47="OK",C47="✓",C47="Cumple",C47="VIGENTE",C47="Completo",C47="APTO")</formula>
    </cfRule>
  </conditionalFormatting>
  <conditionalFormatting sqref="H47:H53">
    <cfRule type="expression" priority="28" dxfId="0" stopIfTrue="1">
      <formula>OR(H47="ALERTA",H47="RECHAZAR",H47="CAMBIAR",H47="REVISAR",H47="✗",H47="CADUCADO",H47="EXCESO")</formula>
    </cfRule>
    <cfRule type="expression" priority="29" dxfId="1" stopIfTrue="1">
      <formula>OR(H47="VIGILAR",H47="⚠",H47="INCOMPLETO",H47="CADUCA PRONTO",H47="RENOVAR",H47="FALTA CLORO",H47="FALTA TEST")</formula>
    </cfRule>
    <cfRule type="expression" priority="30" dxfId="2" stopIfTrue="1">
      <formula>OR(H47="OK",H47="✓",H47="Cumple",H47="VIGENTE",H47="Completo",H47="APTO")</formula>
    </cfRule>
  </conditionalFormatting>
  <conditionalFormatting sqref="C57:C63">
    <cfRule type="expression" priority="31" dxfId="0" stopIfTrue="1">
      <formula>OR(C57="ALERTA",C57="RECHAZAR",C57="CAMBIAR",C57="REVISAR",C57="✗",C57="CADUCADO",C57="EXCESO")</formula>
    </cfRule>
    <cfRule type="expression" priority="32" dxfId="1" stopIfTrue="1">
      <formula>OR(C57="VIGILAR",C57="⚠",C57="INCOMPLETO",C57="CADUCA PRONTO",C57="RENOVAR",C57="FALTA CLORO",C57="FALTA TEST")</formula>
    </cfRule>
    <cfRule type="expression" priority="33" dxfId="2" stopIfTrue="1">
      <formula>OR(C57="OK",C57="✓",C57="Cumple",C57="VIGENTE",C57="Completo",C57="APTO")</formula>
    </cfRule>
  </conditionalFormatting>
  <conditionalFormatting sqref="H57:H63">
    <cfRule type="expression" priority="34" dxfId="0" stopIfTrue="1">
      <formula>OR(H57="ALERTA",H57="RECHAZAR",H57="CAMBIAR",H57="REVISAR",H57="✗",H57="CADUCADO",H57="EXCESO")</formula>
    </cfRule>
    <cfRule type="expression" priority="35" dxfId="1" stopIfTrue="1">
      <formula>OR(H57="VIGILAR",H57="⚠",H57="INCOMPLETO",H57="CADUCA PRONTO",H57="RENOVAR",H57="FALTA CLORO",H57="FALTA TEST")</formula>
    </cfRule>
    <cfRule type="expression" priority="36" dxfId="2" stopIfTrue="1">
      <formula>OR(H57="OK",H57="✓",H57="Cumple",H57="VIGENTE",H57="Completo",H57="APTO")</formula>
    </cfRule>
  </conditionalFormatting>
  <conditionalFormatting sqref="C65">
    <cfRule type="expression" priority="37" dxfId="0" stopIfTrue="1">
      <formula>C65&gt;0</formula>
    </cfRule>
  </conditionalFormatting>
  <dataValidations count="1">
    <dataValidation sqref="B7:B13 B17:B23 B27:B33 B37:B43 B47:B53 B57:B63 G7:G13 G17:G23 G27:G33 G37:G43 G47:G53 G57:G63" showDropDown="0" showInputMessage="0" showErrorMessage="1" allowBlank="1" errorTitle="Temperatura leída" error="Introduce la temperatura en °C, entre -40 y 130. Si el valor es correcto y aun así se rechaza, revisa que no estés escribiendo el punto decimal como separador de miles." type="decimal" errorStyle="stop" operator="between">
      <formula1>-40</formula1>
      <formula2>130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rowBreaks count="5" manualBreakCount="5">
    <brk id="14" min="0" max="16383" man="1"/>
    <brk id="24" min="0" max="16383" man="1"/>
    <brk id="34" min="0" max="16383" man="1"/>
    <brk id="44" min="0" max="16383" man="1"/>
    <brk id="54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Temperaturas — Control Diario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2026-03-18T23:13:38Z</dcterms:created>
  <dcterms:modified xmlns:dcterms="http://purl.org/dc/terms/" xmlns:xsi="http://www.w3.org/2001/XMLSchema-instance" xsi:type="dcterms:W3CDTF">2026-08-29T08:35:08Z</dcterms:modified>
  <cp:lastModifiedBy>AI Chef Pro</cp:lastModifiedBy>
  <cp:category>AI Chef Pro · Productos digitales</cp:category>
  <cp:keywords>pack appcc, AI Chef Pro</cp:keywords>
</cp:coreProperties>
</file>