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nálisis Peligros" sheetId="2" state="visible" r:id="rId2"/>
  </sheets>
  <definedNames>
    <definedName name="_xlnm.Print_Area" localSheetId="0">'Instrucciones'!$A$1:$B$39</definedName>
    <definedName name="_xlnm.Print_Titles" localSheetId="1">'Análisis Peligros'!$4:$4</definedName>
    <definedName name="_xlnm.Print_Area" localSheetId="1">'Análisis Peligros'!$A$1:$M$46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4444"/>
      <sz val="11"/>
    </font>
    <font>
      <name val="Calibri"/>
      <color rgb="00999999"/>
      <sz val="9"/>
    </font>
    <font>
      <b val="1"/>
      <sz val="16"/>
    </font>
    <font>
      <sz val="10"/>
    </font>
    <font>
      <b val="1"/>
      <color rgb="00FFFFFF"/>
      <sz val="11"/>
    </font>
    <font>
      <b val="1"/>
      <sz val="11"/>
    </font>
    <font>
      <b val="1"/>
      <sz val="12"/>
    </font>
    <font>
      <sz val="9"/>
    </font>
    <font>
      <b val="1"/>
      <sz val="18"/>
    </font>
    <font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2D2D2D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7" fillId="0" borderId="0" applyAlignment="1" pivotButton="0" quotePrefix="0" xfId="0">
      <alignment vertical="center" wrapText="1"/>
    </xf>
    <xf numFmtId="0" fontId="15" fillId="0" borderId="0" pivotButton="0" quotePrefix="0" xfId="0"/>
    <xf numFmtId="0" fontId="18" fillId="0" borderId="0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13" fillId="4" borderId="2" applyAlignment="1" pivotButton="0" quotePrefix="0" xfId="0">
      <alignment horizontal="center" vertical="center" wrapText="1"/>
    </xf>
    <xf numFmtId="0" fontId="0" fillId="5" borderId="2" applyAlignment="1" applyProtection="1" pivotButton="0" quotePrefix="0" xfId="0">
      <alignment horizontal="left" vertical="center" wrapText="1"/>
      <protection locked="0" hidden="0"/>
    </xf>
    <xf numFmtId="0" fontId="0" fillId="5" borderId="2" applyAlignment="1" applyProtection="1" pivotButton="0" quotePrefix="0" xfId="0">
      <alignment horizontal="center" vertical="center" wrapText="1"/>
      <protection locked="0" hidden="0"/>
    </xf>
    <xf numFmtId="0" fontId="0" fillId="0" borderId="2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1" fontId="15" fillId="0" borderId="2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39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1"/>
    <row r="2" ht="26" customHeight="1">
      <c r="B2" s="13" t="inlineStr">
        <is>
          <t>Análisis de Peligros — Plan APPCC</t>
        </is>
      </c>
    </row>
    <row r="3"/>
    <row r="4">
      <c r="B4" s="14" t="inlineStr">
        <is>
          <t>Qué es este documento</t>
        </is>
      </c>
    </row>
    <row r="5"/>
    <row r="6">
      <c r="B6" s="15" t="inlineStr">
        <is>
          <t>Es el corazón del sistema APPCC: identifica los peligros de cada fase del proceso, decide cuáles son puntos de control crítico y dice, para cada uno, qué límite no se puede rebasar, quién lo vigila, qué se hace si se rebasa, dónde se anota y quién comprueba que todo eso se cumple.</t>
        </is>
      </c>
    </row>
    <row r="7">
      <c r="B7" s="15" t="inlineStr">
        <is>
          <t>▸ Trae 21 peligros analizados en 7 fases: Recepción, Almacenamiento, Descongelación, Preparación, Cocción, Mantenimiento y enfriamiento, Servicio.</t>
        </is>
      </c>
    </row>
    <row r="8">
      <c r="B8" s="15" t="inlineStr">
        <is>
          <t>▸ Adáptalo a TU local: todas las celdas verdes son editables y los desplegables funcionan en todas las filas, incluidas las que vienen rellenadas.</t>
        </is>
      </c>
    </row>
    <row r="9">
      <c r="B9" s="3" t="n"/>
    </row>
    <row r="10">
      <c r="B10" s="14" t="inlineStr">
        <is>
          <t>Cómo se calcula el nivel de riesgo</t>
        </is>
      </c>
    </row>
    <row r="11"/>
    <row r="12">
      <c r="B12" s="15" t="inlineStr">
        <is>
          <t>▸ Probabilidad y Gravedad son desplegables (Alta / Media / Baja). El «Nivel de riesgo» se calcula solo: Alta=3, Media=2, Baja=1, y el producto de las dos da Crítico (9), Alto (6), Medio (3-4) o Bajo (1-2). Se pinta con semáforo.</t>
        </is>
      </c>
    </row>
    <row r="13">
      <c r="B13" s="15" t="inlineStr">
        <is>
          <t>▸ La decisión de PCC sigue una regla, no el criterio del día: riesgo Alto o Crítico sin fase posterior que elimine el peligro → PCC; riesgo Alto o Crítico controlado por un prerrequisito (proveedores, limpieza, formación) y sin límite medible en tiempo real → PPRo; riesgo Bajo o Medio → NO.</t>
        </is>
      </c>
    </row>
    <row r="14">
      <c r="B14" s="15" t="inlineStr">
        <is>
          <t>▸ Por eso el etiquetado de alérgenos en recepción y la carta de alérgenos en servicio figuran como PPRo y no como PCC: «etiqueta completa» y «carta actualizada» no son límites críticos medibles. El control real del alérgeno está en cocina, y ahí sí es PCC.</t>
        </is>
      </c>
    </row>
    <row r="15">
      <c r="B15" s="3" t="n"/>
    </row>
    <row r="16">
      <c r="B16" s="14" t="inlineStr">
        <is>
          <t>Los 7 principios del APPCC y dónde vive cada uno</t>
        </is>
      </c>
    </row>
    <row r="17">
      <c r="B17" s="3" t="n"/>
    </row>
    <row r="18">
      <c r="B18" s="15" t="inlineStr">
        <is>
          <t>▸ 1. Análisis de peligros → columnas «Peligro identificado», «Probabilidad», «Gravedad» y «Nivel de riesgo».</t>
        </is>
      </c>
    </row>
    <row r="19">
      <c r="B19" s="15" t="inlineStr">
        <is>
          <t>▸ 2. Determinación de los PCC → columna «¿Es PCC?».</t>
        </is>
      </c>
    </row>
    <row r="20">
      <c r="B20" s="15" t="inlineStr">
        <is>
          <t>▸ 3. Límites críticos → columna «Límite crítico».</t>
        </is>
      </c>
    </row>
    <row r="21">
      <c r="B21" s="15" t="inlineStr">
        <is>
          <t>▸ 4. Vigilancia → columna «Vigilancia (frecuencia y responsable)» y los registros del pack.</t>
        </is>
      </c>
    </row>
    <row r="22">
      <c r="B22" s="15" t="inlineStr">
        <is>
          <t>▸ 5. Medidas correctivas → columna «Acción correctiva» y el registro 11.</t>
        </is>
      </c>
    </row>
    <row r="23">
      <c r="B23" s="15" t="inlineStr">
        <is>
          <t>▸ 6. Verificación → columna «Verificación (qué, quién, cuándo)».</t>
        </is>
      </c>
    </row>
    <row r="24">
      <c r="B24" s="15" t="inlineStr">
        <is>
          <t>▸ 7. Documentación y registro → columna «Registro (dónde se anota)», que apunta sólo a ficheros que este pack entrega.</t>
        </is>
      </c>
    </row>
    <row r="25"/>
    <row r="26">
      <c r="B26" s="14" t="inlineStr">
        <is>
          <t>Marco normativo</t>
        </is>
      </c>
    </row>
    <row r="27"/>
    <row r="28">
      <c r="B28" s="15" t="inlineStr">
        <is>
          <t>▸ Reg. (CE) 852/2004, art. 5 — obligación de implantar procedimientos basados en los principios del APPCC.</t>
        </is>
      </c>
    </row>
    <row r="29">
      <c r="B29" s="15" t="inlineStr">
        <is>
          <t>▸ RD 1021/2022, de 13 de diciembre — normas sanitarias de elaboración y comercialización de comidas preparadas. Derogó al RD 3484/2000 y ya no fija temperaturas ni tiempos: los establece y justifica el operador en su propio APPCC, que es lo que hace esta tabla.</t>
        </is>
      </c>
    </row>
    <row r="30">
      <c r="B30" s="15" t="inlineStr">
        <is>
          <t>▸ Reg. (CE) 178/2002, arts. 18 y 19 — trazabilidad, retirada e información inmediata a la autoridad competente.</t>
        </is>
      </c>
    </row>
    <row r="31">
      <c r="B31" s="15" t="inlineStr">
        <is>
          <t>▸ Reg. (UE) 1169/2011 y RD 126/2015 — información alimentaria facilitada al consumidor, incluidos los alérgenos.</t>
        </is>
      </c>
    </row>
    <row r="32">
      <c r="B32" s="15" t="inlineStr">
        <is>
          <t>▸ Reg. (CE) 853/2004, Anexo III y RD 1420/2006 — congelación preventiva del pescado destinado a consumo en crudo (anisakis).</t>
        </is>
      </c>
    </row>
    <row r="33">
      <c r="B33" s="15" t="inlineStr">
        <is>
          <t>▸ Reg. (CE) 2073/2005 — criterios microbiológicos aplicables a los productos alimenticios.</t>
        </is>
      </c>
    </row>
    <row r="34">
      <c r="B34" s="15" t="inlineStr">
        <is>
          <t>▸ Ley 17/2011, de seguridad alimentaria y nutrición — régimen sancionador (arts. 50-52).</t>
        </is>
      </c>
    </row>
    <row r="35">
      <c r="B35" s="15" t="inlineStr">
        <is>
          <t>▸ Conservar al menos 2 años (trazabilidad y proveedores: 5); el Reg. (CE) 178/2002 exige trazabilidad pero no fija plazo — consulta la guía de prácticas correctas de higiene de tu comunidad autónoma.</t>
        </is>
      </c>
    </row>
    <row r="36"/>
    <row r="37">
      <c r="B37" s="14" t="inlineStr">
        <is>
          <t>— Pack de Plantillas APPCC · AI Chef Pro · aichef.pro</t>
        </is>
      </c>
    </row>
    <row r="38"/>
    <row r="39">
      <c r="B39" s="14" t="inlineStr">
        <is>
          <t>Versión 2.0 · agosto 2026 · aichef.pro/pack-appcc · info@aichef.pro</t>
        </is>
      </c>
    </row>
  </sheetData>
  <pageMargins left="0.55" right="0.55" top="0.55" bottom="0.55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5722"/>
    <outlinePr summaryBelow="1" summaryRight="1"/>
    <pageSetUpPr fitToPage="1"/>
  </sheetPr>
  <dimension ref="A1:O5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40" customWidth="1" min="3" max="3"/>
    <col width="40" customWidth="1" min="4" max="4"/>
    <col width="13" customWidth="1" min="5" max="5"/>
    <col width="12" customWidth="1" min="6" max="6"/>
    <col width="15" customWidth="1" min="7" max="7"/>
    <col width="12" customWidth="1" min="8" max="8"/>
    <col width="44" customWidth="1" min="9" max="9"/>
    <col width="30" customWidth="1" min="10" max="10"/>
    <col width="38" customWidth="1" min="11" max="11"/>
    <col width="38" customWidth="1" min="12" max="12"/>
    <col width="40" customWidth="1" min="13" max="13"/>
  </cols>
  <sheetData>
    <row r="1">
      <c r="A1" s="16" t="inlineStr">
        <is>
          <t>Análisis de Peligros — Plan APPCC</t>
        </is>
      </c>
    </row>
    <row r="2">
      <c r="A2" s="17" t="inlineStr">
        <is>
          <t>Establecimiento: ________________________    Fecha: ___/___/______    Revisión nº: _____    Responsable del sistema: ________________________</t>
        </is>
      </c>
    </row>
    <row r="3"/>
    <row r="4" ht="30" customHeight="1">
      <c r="A4" s="18" t="inlineStr">
        <is>
          <t>Fase del proceso</t>
        </is>
      </c>
      <c r="B4" s="18" t="inlineStr">
        <is>
          <t>Tipo de peligro</t>
        </is>
      </c>
      <c r="C4" s="18" t="inlineStr">
        <is>
          <t>Peligro identificado</t>
        </is>
      </c>
      <c r="D4" s="18" t="inlineStr">
        <is>
          <t>Medida preventiva</t>
        </is>
      </c>
      <c r="E4" s="18" t="inlineStr">
        <is>
          <t>Probabilidad</t>
        </is>
      </c>
      <c r="F4" s="18" t="inlineStr">
        <is>
          <t>Gravedad</t>
        </is>
      </c>
      <c r="G4" s="18" t="inlineStr">
        <is>
          <t>Nivel de riesgo</t>
        </is>
      </c>
      <c r="H4" s="18" t="inlineStr">
        <is>
          <t>¿Es PCC?</t>
        </is>
      </c>
      <c r="I4" s="18" t="inlineStr">
        <is>
          <t>Límite crítico</t>
        </is>
      </c>
      <c r="J4" s="18" t="inlineStr">
        <is>
          <t>Registro (dónde se anota)</t>
        </is>
      </c>
      <c r="K4" s="18" t="inlineStr">
        <is>
          <t>Vigilancia (frecuencia y responsable)</t>
        </is>
      </c>
      <c r="L4" s="18" t="inlineStr">
        <is>
          <t>Acción correctiva</t>
        </is>
      </c>
      <c r="M4" s="18" t="inlineStr">
        <is>
          <t>Verificación (qué, quién, cuándo)</t>
        </is>
      </c>
    </row>
    <row r="5" ht="60" customHeight="1">
      <c r="A5" s="19" t="inlineStr">
        <is>
          <t>RECEPCIÓN</t>
        </is>
      </c>
      <c r="B5" s="19" t="inlineStr">
        <is>
          <t>B (Biológico)</t>
        </is>
      </c>
      <c r="C5" s="19" t="inlineStr">
        <is>
          <t>Multiplicación microbiana por temperatura elevada en producto refrigerado o congelado</t>
        </is>
      </c>
      <c r="D5" s="19" t="inlineStr">
        <is>
          <t>Proveedores homologados con transporte isotermo; medición con sonda en cada entrega</t>
        </is>
      </c>
      <c r="E5" s="20" t="inlineStr">
        <is>
          <t>Alta</t>
        </is>
      </c>
      <c r="F5" s="20" t="inlineStr">
        <is>
          <t>Alta</t>
        </is>
      </c>
      <c r="G5" s="21" t="str">
        <f>IF(OR($E5="",$F5=""),"",IF(IF($E5="Alta",3,IF($E5="Media",2,1))*IF($F5="Alta",3,IF($F5="Media",2,1))&gt;=9,"Crítico",IF(IF($E5="Alta",3,IF($E5="Media",2,1))*IF($F5="Alta",3,IF($F5="Media",2,1))&gt;=6,"Alto",IF(IF($E5="Alta",3,IF($E5="Media",2,1))*IF($F5="Alta",3,IF($F5="Media",2,1))&gt;=3,"Medio","Bajo"))))</f>
        <v>Crítico</v>
      </c>
      <c r="H5" s="20" t="inlineStr">
        <is>
          <t>PCC</t>
        </is>
      </c>
      <c r="I5" s="19" t="inlineStr">
        <is>
          <t>El límite legal de cada familia (hoja «Límites» del registro 02): pescado fresco 0-2 °C, carne picada ≤2 °C, aves ≤4 °C, canales ≤7 °C, congelados ≤-18 °C</t>
        </is>
      </c>
      <c r="J5" s="19" t="inlineStr">
        <is>
          <t>02 Recepción temperaturas</t>
        </is>
      </c>
      <c r="K5" s="19" t="inlineStr">
        <is>
          <t>En cada entrega; jefe de cocina o receptor designado</t>
        </is>
      </c>
      <c r="L5" s="19" t="inlineStr">
        <is>
          <t>Rechazar la partida y abrir la incidencia en el registro 11</t>
        </is>
      </c>
      <c r="M5" s="19" t="inlineStr">
        <is>
          <t>Revisión mensual del registro 02 por el responsable de APPCC</t>
        </is>
      </c>
    </row>
    <row r="6" ht="52" customHeight="1">
      <c r="A6" s="19" t="inlineStr">
        <is>
          <t>RECEPCIÓN</t>
        </is>
      </c>
      <c r="B6" s="19" t="inlineStr">
        <is>
          <t>Q (Químico)</t>
        </is>
      </c>
      <c r="C6" s="19" t="inlineStr">
        <is>
          <t>Producto sin etiquetado de alérgenos o con etiqueta ilegible</t>
        </is>
      </c>
      <c r="D6" s="19" t="inlineStr">
        <is>
          <t>Fichas técnicas de proveedor y verificación documental de cada albarán</t>
        </is>
      </c>
      <c r="E6" s="20" t="inlineStr">
        <is>
          <t>Media</t>
        </is>
      </c>
      <c r="F6" s="20" t="inlineStr">
        <is>
          <t>Alta</t>
        </is>
      </c>
      <c r="G6" s="21" t="str">
        <f>IF(OR($E6="",$F6=""),"",IF(IF($E6="Alta",3,IF($E6="Media",2,1))*IF($F6="Alta",3,IF($F6="Media",2,1))&gt;=9,"Crítico",IF(IF($E6="Alta",3,IF($E6="Media",2,1))*IF($F6="Alta",3,IF($F6="Media",2,1))&gt;=6,"Alto",IF(IF($E6="Alta",3,IF($E6="Media",2,1))*IF($F6="Alta",3,IF($F6="Media",2,1))&gt;=3,"Medio","Bajo"))))</f>
        <v>Alto</v>
      </c>
      <c r="H6" s="20" t="inlineStr">
        <is>
          <t>PPRo</t>
        </is>
      </c>
      <c r="I6" s="19" t="inlineStr">
        <is>
          <t>100 % de las referencias recibidas con etiqueta legible que declare los 14 alérgenos</t>
        </is>
      </c>
      <c r="J6" s="19" t="inlineStr">
        <is>
          <t>05 Recepción mercancías</t>
        </is>
      </c>
      <c r="K6" s="19" t="inlineStr">
        <is>
          <t>En cada entrega; receptor</t>
        </is>
      </c>
      <c r="L6" s="19" t="inlineStr">
        <is>
          <t>Rechazar la referencia y reclamar la ficha técnica al proveedor</t>
        </is>
      </c>
      <c r="M6" s="19" t="inlineStr">
        <is>
          <t>Revisión trimestral de las fichas técnicas; responsable de APPCC</t>
        </is>
      </c>
    </row>
    <row r="7" ht="52" customHeight="1">
      <c r="A7" s="19" t="inlineStr">
        <is>
          <t>RECEPCIÓN</t>
        </is>
      </c>
      <c r="B7" s="19" t="inlineStr">
        <is>
          <t>F (Físico)</t>
        </is>
      </c>
      <c r="C7" s="19" t="inlineStr">
        <is>
          <t>Envase dañado o presencia de cuerpos extraños</t>
        </is>
      </c>
      <c r="D7" s="19" t="inlineStr">
        <is>
          <t>Inspección visual del embalaje antes de descargar</t>
        </is>
      </c>
      <c r="E7" s="20" t="inlineStr">
        <is>
          <t>Baja</t>
        </is>
      </c>
      <c r="F7" s="20" t="inlineStr">
        <is>
          <t>Media</t>
        </is>
      </c>
      <c r="G7" s="21" t="str">
        <f>IF(OR($E7="",$F7=""),"",IF(IF($E7="Alta",3,IF($E7="Media",2,1))*IF($F7="Alta",3,IF($F7="Media",2,1))&gt;=9,"Crítico",IF(IF($E7="Alta",3,IF($E7="Media",2,1))*IF($F7="Alta",3,IF($F7="Media",2,1))&gt;=6,"Alto",IF(IF($E7="Alta",3,IF($E7="Media",2,1))*IF($F7="Alta",3,IF($F7="Media",2,1))&gt;=3,"Medio","Bajo"))))</f>
        <v>Bajo</v>
      </c>
      <c r="H7" s="20" t="inlineStr">
        <is>
          <t>NO</t>
        </is>
      </c>
      <c r="I7" s="19" t="inlineStr">
        <is>
          <t>Envase íntegro, limpio y sin hinchazón</t>
        </is>
      </c>
      <c r="J7" s="19" t="inlineStr">
        <is>
          <t>05 Recepción mercancías</t>
        </is>
      </c>
      <c r="K7" s="19" t="inlineStr">
        <is>
          <t>En cada entrega; receptor</t>
        </is>
      </c>
      <c r="L7" s="19" t="inlineStr">
        <is>
          <t>Rechazar la unidad afectada</t>
        </is>
      </c>
      <c r="M7" s="19" t="inlineStr">
        <is>
          <t>Revisión mensual del registro 05</t>
        </is>
      </c>
    </row>
    <row r="8" ht="52" customHeight="1">
      <c r="A8" s="19" t="inlineStr">
        <is>
          <t>ALMACENAMIENTO</t>
        </is>
      </c>
      <c r="B8" s="19" t="inlineStr">
        <is>
          <t>B (Biológico)</t>
        </is>
      </c>
      <c r="C8" s="19" t="inlineStr">
        <is>
          <t>Rotura de la cadena de frío en cámaras, congeladores y exposición</t>
        </is>
      </c>
      <c r="D8" s="19" t="inlineStr">
        <is>
          <t>Mantenimiento preventivo de los equipos y sondas verificadas</t>
        </is>
      </c>
      <c r="E8" s="20" t="inlineStr">
        <is>
          <t>Media</t>
        </is>
      </c>
      <c r="F8" s="20" t="inlineStr">
        <is>
          <t>Alta</t>
        </is>
      </c>
      <c r="G8" s="21" t="str">
        <f>IF(OR($E8="",$F8=""),"",IF(IF($E8="Alta",3,IF($E8="Media",2,1))*IF($F8="Alta",3,IF($F8="Media",2,1))&gt;=9,"Crítico",IF(IF($E8="Alta",3,IF($E8="Media",2,1))*IF($F8="Alta",3,IF($F8="Media",2,1))&gt;=6,"Alto",IF(IF($E8="Alta",3,IF($E8="Media",2,1))*IF($F8="Alta",3,IF($F8="Media",2,1))&gt;=3,"Medio","Bajo"))))</f>
        <v>Alto</v>
      </c>
      <c r="H8" s="20" t="inlineStr">
        <is>
          <t>PCC</t>
        </is>
      </c>
      <c r="I8" s="19" t="inlineStr">
        <is>
          <t>Refrigeración 0-4 °C · congelación ≤-18 °C · exposición caliente ≥65 °C</t>
        </is>
      </c>
      <c r="J8" s="19" t="inlineStr">
        <is>
          <t>01 Temperaturas diario</t>
        </is>
      </c>
      <c r="K8" s="19" t="inlineStr">
        <is>
          <t>Dos lecturas diarias por equipo (mañana y tarde); cocinero de turno</t>
        </is>
      </c>
      <c r="L8" s="19" t="inlineStr">
        <is>
          <t>Trasladar el producto, evaluar su temperatura en el centro y desechar si procede; abrir el registro 11</t>
        </is>
      </c>
      <c r="M8" s="19" t="inlineStr">
        <is>
          <t>Verificación mensual de las sondas (registro 19) y revisión del 01</t>
        </is>
      </c>
    </row>
    <row r="9" ht="52" customHeight="1">
      <c r="A9" s="19" t="inlineStr">
        <is>
          <t>ALMACENAMIENTO</t>
        </is>
      </c>
      <c r="B9" s="19" t="inlineStr">
        <is>
          <t>B (Biológico)</t>
        </is>
      </c>
      <c r="C9" s="19" t="inlineStr">
        <is>
          <t>Contaminación cruzada entre crudo y cocinado en cámara</t>
        </is>
      </c>
      <c r="D9" s="19" t="inlineStr">
        <is>
          <t>Separación física, crudos en la balda inferior, producto tapado y etiquetado</t>
        </is>
      </c>
      <c r="E9" s="20" t="inlineStr">
        <is>
          <t>Media</t>
        </is>
      </c>
      <c r="F9" s="20" t="inlineStr">
        <is>
          <t>Alta</t>
        </is>
      </c>
      <c r="G9" s="21" t="str">
        <f>IF(OR($E9="",$F9=""),"",IF(IF($E9="Alta",3,IF($E9="Media",2,1))*IF($F9="Alta",3,IF($F9="Media",2,1))&gt;=9,"Crítico",IF(IF($E9="Alta",3,IF($E9="Media",2,1))*IF($F9="Alta",3,IF($F9="Media",2,1))&gt;=6,"Alto",IF(IF($E9="Alta",3,IF($E9="Media",2,1))*IF($F9="Alta",3,IF($F9="Media",2,1))&gt;=3,"Medio","Bajo"))))</f>
        <v>Alto</v>
      </c>
      <c r="H9" s="20" t="inlineStr">
        <is>
          <t>PPRo</t>
        </is>
      </c>
      <c r="I9" s="19" t="inlineStr">
        <is>
          <t>100 % del producto tapado y etiquetado, con los crudos por debajo del producto listo para consumo</t>
        </is>
      </c>
      <c r="J9" s="19" t="inlineStr">
        <is>
          <t>04 Limpieza diaria (bloque semanal)</t>
        </is>
      </c>
      <c r="K9" s="19" t="inlineStr">
        <is>
          <t>Revisión semanal de cámaras; jefe de cocina</t>
        </is>
      </c>
      <c r="L9" s="19" t="inlineStr">
        <is>
          <t>Reorganizar la cámara y desechar lo que haya podido contaminarse</t>
        </is>
      </c>
      <c r="M9" s="19" t="inlineStr">
        <is>
          <t>Auditoría interna trimestral; responsable de APPCC</t>
        </is>
      </c>
    </row>
    <row r="10" ht="52" customHeight="1">
      <c r="A10" s="19" t="inlineStr">
        <is>
          <t>ALMACENAMIENTO</t>
        </is>
      </c>
      <c r="B10" s="19" t="inlineStr">
        <is>
          <t>Q (Químico)</t>
        </is>
      </c>
      <c r="C10" s="19" t="inlineStr">
        <is>
          <t>Producto caducado o sin identificar en stock</t>
        </is>
      </c>
      <c r="D10" s="19" t="inlineStr">
        <is>
          <t>FIFO y etiquetado con fecha de elaboración y de consumo preferente</t>
        </is>
      </c>
      <c r="E10" s="20" t="inlineStr">
        <is>
          <t>Media</t>
        </is>
      </c>
      <c r="F10" s="20" t="inlineStr">
        <is>
          <t>Media</t>
        </is>
      </c>
      <c r="G10" s="21" t="str">
        <f>IF(OR($E10="",$F10=""),"",IF(IF($E10="Alta",3,IF($E10="Media",2,1))*IF($F10="Alta",3,IF($F10="Media",2,1))&gt;=9,"Crítico",IF(IF($E10="Alta",3,IF($E10="Media",2,1))*IF($F10="Alta",3,IF($F10="Media",2,1))&gt;=6,"Alto",IF(IF($E10="Alta",3,IF($E10="Media",2,1))*IF($F10="Alta",3,IF($F10="Media",2,1))&gt;=3,"Medio","Bajo"))))</f>
        <v>Medio</v>
      </c>
      <c r="H10" s="20" t="inlineStr">
        <is>
          <t>NO</t>
        </is>
      </c>
      <c r="I10" s="19" t="inlineStr">
        <is>
          <t>Cero productos caducados o sin etiqueta en cámara y almacén</t>
        </is>
      </c>
      <c r="J10" s="19" t="inlineStr">
        <is>
          <t>06 Trazabilidad</t>
        </is>
      </c>
      <c r="K10" s="19" t="inlineStr">
        <is>
          <t>Revisión semanal; almacenero</t>
        </is>
      </c>
      <c r="L10" s="19" t="inlineStr">
        <is>
          <t>Retirar el producto y registrar la retirada</t>
        </is>
      </c>
      <c r="M10" s="19" t="inlineStr">
        <is>
          <t>Revisión mensual del registro 06</t>
        </is>
      </c>
    </row>
    <row r="11" ht="52" customHeight="1">
      <c r="A11" s="19" t="inlineStr">
        <is>
          <t>ALMACENAMIENTO</t>
        </is>
      </c>
      <c r="B11" s="19" t="inlineStr">
        <is>
          <t>B (Biológico)</t>
        </is>
      </c>
      <c r="C11" s="19" t="inlineStr">
        <is>
          <t>Contaminación por plagas y vectores (roedores, insectos, aves) en almacén, cocina y cámara de residuos</t>
        </is>
      </c>
      <c r="D11" s="19" t="inlineStr">
        <is>
          <t>Programa DDD con empresa inscrita en el ROESB, barreras físicas (mosquiteras, burletes), residuos cerrados y revisión de estaciones</t>
        </is>
      </c>
      <c r="E11" s="20" t="inlineStr">
        <is>
          <t>Media</t>
        </is>
      </c>
      <c r="F11" s="20" t="inlineStr">
        <is>
          <t>Alta</t>
        </is>
      </c>
      <c r="G11" s="21" t="str">
        <f>IF(OR($E11="",$F11=""),"",IF(IF($E11="Alta",3,IF($E11="Media",2,1))*IF($F11="Alta",3,IF($F11="Media",2,1))&gt;=9,"Crítico",IF(IF($E11="Alta",3,IF($E11="Media",2,1))*IF($F11="Alta",3,IF($F11="Media",2,1))&gt;=6,"Alto",IF(IF($E11="Alta",3,IF($E11="Media",2,1))*IF($F11="Alta",3,IF($F11="Media",2,1))&gt;=3,"Medio","Bajo"))))</f>
        <v>Alto</v>
      </c>
      <c r="H11" s="20" t="inlineStr">
        <is>
          <t>PPRo</t>
        </is>
      </c>
      <c r="I11" s="19" t="inlineStr">
        <is>
          <t>Cero indicios en la revisión (excrementos, roeduras, insectos vivos) y estaciones de cebo íntegras y sin consumo</t>
        </is>
      </c>
      <c r="J11" s="19" t="inlineStr">
        <is>
          <t>07 Control de plagas (DDD)</t>
        </is>
      </c>
      <c r="K11" s="19" t="inlineStr">
        <is>
          <t>Revisión visual mensual y actuación de la empresa DDD según contrato; responsable de APPCC</t>
        </is>
      </c>
      <c r="L11" s="19" t="inlineStr">
        <is>
          <t>Avisar a la empresa DDD, desechar el producto afectado y sellar la vía de entrada; abrir incidencia en el registro 11</t>
        </is>
      </c>
      <c r="M11" s="19" t="inlineStr">
        <is>
          <t>Revisión del informe de la empresa DDD y del registro 07; anual</t>
        </is>
      </c>
    </row>
    <row r="12" ht="74" customHeight="1">
      <c r="A12" s="19" t="inlineStr">
        <is>
          <t>DESCONGELACIÓN</t>
        </is>
      </c>
      <c r="B12" s="19" t="inlineStr">
        <is>
          <t>B (Biológico)</t>
        </is>
      </c>
      <c r="C12" s="19" t="inlineStr">
        <is>
          <t>Multiplicación microbiana por descongelar a temperatura ambiente o bajo el grifo</t>
        </is>
      </c>
      <c r="D12" s="19" t="inlineStr">
        <is>
          <t>Planificación de la producción y descongelación programada en cámara</t>
        </is>
      </c>
      <c r="E12" s="20" t="inlineStr">
        <is>
          <t>Alta</t>
        </is>
      </c>
      <c r="F12" s="20" t="inlineStr">
        <is>
          <t>Alta</t>
        </is>
      </c>
      <c r="G12" s="21" t="str">
        <f>IF(OR($E12="",$F12=""),"",IF(IF($E12="Alta",3,IF($E12="Media",2,1))*IF($F12="Alta",3,IF($F12="Media",2,1))&gt;=9,"Crítico",IF(IF($E12="Alta",3,IF($E12="Media",2,1))*IF($F12="Alta",3,IF($F12="Media",2,1))&gt;=6,"Alto",IF(IF($E12="Alta",3,IF($E12="Media",2,1))*IF($F12="Alta",3,IF($F12="Media",2,1))&gt;=3,"Medio","Bajo"))))</f>
        <v>Crítico</v>
      </c>
      <c r="H12" s="20" t="inlineStr">
        <is>
          <t>PCC</t>
        </is>
      </c>
      <c r="I12" s="19" t="inlineStr">
        <is>
          <t>En refrigeración a ≤4 °C, tapado y sobre bandeja con rejilla; consumo en ≤24 h desde el INICIO de la descongelación (es lo que mide el registro 17: acota el tiempo total en la zona de riesgo)</t>
        </is>
      </c>
      <c r="J12" s="19" t="inlineStr">
        <is>
          <t>17 Enfriamiento y descongelación</t>
        </is>
      </c>
      <c r="K12" s="19" t="inlineStr">
        <is>
          <t>En cada descongelación; cocinero de turno</t>
        </is>
      </c>
      <c r="L12" s="19" t="inlineStr">
        <is>
          <t>Desechar el producto descongelado fuera de cámara; abrir el registro 11</t>
        </is>
      </c>
      <c r="M12" s="19" t="inlineStr">
        <is>
          <t>Revisión semanal del registro 17; jefe de cocina</t>
        </is>
      </c>
    </row>
    <row r="13" ht="60" customHeight="1">
      <c r="A13" s="19" t="inlineStr">
        <is>
          <t>PREPARACIÓN</t>
        </is>
      </c>
      <c r="B13" s="19" t="inlineStr">
        <is>
          <t>B (Biológico)</t>
        </is>
      </c>
      <c r="C13" s="19" t="inlineStr">
        <is>
          <t>Anisakis en pescado destinado a consumo en crudo, marinado, escabechado o salazón ligera (boquerones en vinagre, ceviche, sushi, tataki)</t>
        </is>
      </c>
      <c r="D13" s="19" t="inlineStr">
        <is>
          <t>Compra de pescado eviscerado y congelación preventiva ANTES de la elaboración</t>
        </is>
      </c>
      <c r="E13" s="20" t="inlineStr">
        <is>
          <t>Alta</t>
        </is>
      </c>
      <c r="F13" s="20" t="inlineStr">
        <is>
          <t>Alta</t>
        </is>
      </c>
      <c r="G13" s="21" t="str">
        <f>IF(OR($E13="",$F13=""),"",IF(IF($E13="Alta",3,IF($E13="Media",2,1))*IF($F13="Alta",3,IF($F13="Media",2,1))&gt;=9,"Crítico",IF(IF($E13="Alta",3,IF($E13="Media",2,1))*IF($F13="Alta",3,IF($F13="Media",2,1))&gt;=6,"Alto",IF(IF($E13="Alta",3,IF($E13="Media",2,1))*IF($F13="Alta",3,IF($F13="Media",2,1))&gt;=3,"Medio","Bajo"))))</f>
        <v>Crítico</v>
      </c>
      <c r="H13" s="20" t="inlineStr">
        <is>
          <t>PCC</t>
        </is>
      </c>
      <c r="I13" s="19" t="inlineStr">
        <is>
          <t>-20 °C durante al menos 24 h en todas las partes de la pieza, o -35 °C durante al menos 15 h (Reg. (CE) 853/2004, Anexo III + RD 1420/2006)</t>
        </is>
      </c>
      <c r="J13" s="19" t="inlineStr">
        <is>
          <t>18 Congelación preventiva de anisakis</t>
        </is>
      </c>
      <c r="K13" s="19" t="inlineStr">
        <is>
          <t>En cada lote destinado a crudo o semicrudo; jefe de cocina</t>
        </is>
      </c>
      <c r="L13" s="19" t="inlineStr">
        <is>
          <t>No servir la pieza: repetir la congelación completa o desecharla</t>
        </is>
      </c>
      <c r="M13" s="19" t="inlineStr">
        <is>
          <t>Revisión mensual del registro 18 y de la temperatura del congelador (registro 01)</t>
        </is>
      </c>
    </row>
    <row r="14" ht="52" customHeight="1">
      <c r="A14" s="19" t="inlineStr">
        <is>
          <t>PREPARACIÓN</t>
        </is>
      </c>
      <c r="B14" s="19" t="inlineStr">
        <is>
          <t>B (Biológico)</t>
        </is>
      </c>
      <c r="C14" s="19" t="inlineStr">
        <is>
          <t>Salmonella por huevo fresco en elaboraciones sin tratamiento térmico (mayonesas, salsas, postres)</t>
        </is>
      </c>
      <c r="D14" s="19" t="inlineStr">
        <is>
          <t>Uso de ovoproducto pasteurizado en toda elaboración que no alcance los 75 °C</t>
        </is>
      </c>
      <c r="E14" s="20" t="inlineStr">
        <is>
          <t>Alta</t>
        </is>
      </c>
      <c r="F14" s="20" t="inlineStr">
        <is>
          <t>Alta</t>
        </is>
      </c>
      <c r="G14" s="21" t="str">
        <f>IF(OR($E14="",$F14=""),"",IF(IF($E14="Alta",3,IF($E14="Media",2,1))*IF($F14="Alta",3,IF($F14="Media",2,1))&gt;=9,"Crítico",IF(IF($E14="Alta",3,IF($E14="Media",2,1))*IF($F14="Alta",3,IF($F14="Media",2,1))&gt;=6,"Alto",IF(IF($E14="Alta",3,IF($E14="Media",2,1))*IF($F14="Alta",3,IF($F14="Media",2,1))&gt;=3,"Medio","Bajo"))))</f>
        <v>Crítico</v>
      </c>
      <c r="H14" s="20" t="inlineStr">
        <is>
          <t>PCC</t>
        </is>
      </c>
      <c r="I14" s="19" t="inlineStr">
        <is>
          <t>Ovoproducto pasteurizado en toda elaboración que no alcance ≥75 °C en el centro; si los alcanza, se acredita en el registro 16</t>
        </is>
      </c>
      <c r="J14" s="19" t="inlineStr">
        <is>
          <t>05 Recepción mercancías (compra de ovoproducto: albarán y etiquetado)</t>
        </is>
      </c>
      <c r="K14" s="19" t="inlineStr">
        <is>
          <t>En cada entrega de ovoproducto y en cada elaboración en frío; receptor y cocinero de turno</t>
        </is>
      </c>
      <c r="L14" s="19" t="inlineStr">
        <is>
          <t>Desechar la elaboración y rehacerla con ovoproducto pasteurizado</t>
        </is>
      </c>
      <c r="M14" s="19" t="inlineStr">
        <is>
          <t>Revisión mensual de las compras de ovoproducto (registro 05) y del 16</t>
        </is>
      </c>
    </row>
    <row r="15" ht="52" customHeight="1">
      <c r="A15" s="19" t="inlineStr">
        <is>
          <t>PREPARACIÓN</t>
        </is>
      </c>
      <c r="B15" s="19" t="inlineStr">
        <is>
          <t>B (Biológico)</t>
        </is>
      </c>
      <c r="C15" s="19" t="inlineStr">
        <is>
          <t>Agua de consumo no potable en lavado de vegetales, cocción, hielo o limpieza de superficies</t>
        </is>
      </c>
      <c r="D15" s="19" t="inlineStr">
        <is>
          <t>Suministro de red municipal; con pozo o depósito propio, cloración y control del cloro residual libre y del aspecto</t>
        </is>
      </c>
      <c r="E15" s="20" t="inlineStr">
        <is>
          <t>Media</t>
        </is>
      </c>
      <c r="F15" s="20" t="inlineStr">
        <is>
          <t>Alta</t>
        </is>
      </c>
      <c r="G15" s="21" t="str">
        <f>IF(OR($E15="",$F15=""),"",IF(IF($E15="Alta",3,IF($E15="Media",2,1))*IF($F15="Alta",3,IF($F15="Media",2,1))&gt;=9,"Crítico",IF(IF($E15="Alta",3,IF($E15="Media",2,1))*IF($F15="Alta",3,IF($F15="Media",2,1))&gt;=6,"Alto",IF(IF($E15="Alta",3,IF($E15="Media",2,1))*IF($F15="Alta",3,IF($F15="Media",2,1))&gt;=3,"Medio","Bajo"))))</f>
        <v>Alto</v>
      </c>
      <c r="H15" s="20" t="inlineStr">
        <is>
          <t>PPRo</t>
        </is>
      </c>
      <c r="I15" s="19" t="inlineStr">
        <is>
          <t>Cloro residual libre entre 0,2 y 1,0 mg/L y agua sin turbidez, color ni olor extraños (RD 3/2023)</t>
        </is>
      </c>
      <c r="J15" s="19" t="inlineStr">
        <is>
          <t>10 Control de agua potable</t>
        </is>
      </c>
      <c r="K15" s="19" t="inlineStr">
        <is>
          <t>Diaria con depósito o pozo propio, semanal con red municipal; responsable de APPCC</t>
        </is>
      </c>
      <c r="L15" s="19" t="inlineStr">
        <is>
          <t>Cerrar el punto de consumo, usar agua envasada y solicitar análisis externo; abrir incidencia en el registro 11</t>
        </is>
      </c>
      <c r="M15" s="19" t="inlineStr">
        <is>
          <t>Análisis externo según la periodicidad del RD 3/2023 y revisión mensual del registro 10</t>
        </is>
      </c>
    </row>
    <row r="16" ht="52" customHeight="1">
      <c r="A16" s="19" t="inlineStr">
        <is>
          <t>PREPARACIÓN</t>
        </is>
      </c>
      <c r="B16" s="19" t="inlineStr">
        <is>
          <t>B (Biológico)</t>
        </is>
      </c>
      <c r="C16" s="19" t="inlineStr">
        <is>
          <t>Contaminación cruzada por utensilios, tablas y superficies</t>
        </is>
      </c>
      <c r="D16" s="19" t="inlineStr">
        <is>
          <t>Tablas y cuchillos por color, limpieza y desinfección entre usos y formación del personal</t>
        </is>
      </c>
      <c r="E16" s="20" t="inlineStr">
        <is>
          <t>Media</t>
        </is>
      </c>
      <c r="F16" s="20" t="inlineStr">
        <is>
          <t>Alta</t>
        </is>
      </c>
      <c r="G16" s="21" t="str">
        <f>IF(OR($E16="",$F16=""),"",IF(IF($E16="Alta",3,IF($E16="Media",2,1))*IF($F16="Alta",3,IF($F16="Media",2,1))&gt;=9,"Crítico",IF(IF($E16="Alta",3,IF($E16="Media",2,1))*IF($F16="Alta",3,IF($F16="Media",2,1))&gt;=6,"Alto",IF(IF($E16="Alta",3,IF($E16="Media",2,1))*IF($F16="Alta",3,IF($F16="Media",2,1))&gt;=3,"Medio","Bajo"))))</f>
        <v>Alto</v>
      </c>
      <c r="H16" s="20" t="inlineStr">
        <is>
          <t>PPRo</t>
        </is>
      </c>
      <c r="I16" s="19" t="inlineStr">
        <is>
          <t>Utensilio limpio y desinfectado entre crudo y cocinado; 100 % de las tareas del plan L+D marcadas</t>
        </is>
      </c>
      <c r="J16" s="19" t="inlineStr">
        <is>
          <t>04 Limpieza diaria</t>
        </is>
      </c>
      <c r="K16" s="19" t="inlineStr">
        <is>
          <t>Continua durante el servicio; jefe de cocina</t>
        </is>
      </c>
      <c r="L16" s="19" t="inlineStr">
        <is>
          <t>Retirar y lavar el utensilio; rehacer la elaboración si hubo contacto</t>
        </is>
      </c>
      <c r="M16" s="19" t="inlineStr">
        <is>
          <t>Revisión semanal del registro 04 y test de superficie trimestral</t>
        </is>
      </c>
    </row>
    <row r="17" ht="60" customHeight="1">
      <c r="A17" s="19" t="inlineStr">
        <is>
          <t>PREPARACIÓN</t>
        </is>
      </c>
      <c r="B17" s="19" t="inlineStr">
        <is>
          <t>Q (Químico)</t>
        </is>
      </c>
      <c r="C17" s="19" t="inlineStr">
        <is>
          <t>Alérgeno transferido por utensilio, freidora o agua de cocción compartida</t>
        </is>
      </c>
      <c r="D17" s="19" t="inlineStr">
        <is>
          <t>Utensilios, tabla y zona exclusivos; freidora, aceite y agua sin compartir (protocolo de la ficha 14)</t>
        </is>
      </c>
      <c r="E17" s="20" t="inlineStr">
        <is>
          <t>Media</t>
        </is>
      </c>
      <c r="F17" s="20" t="inlineStr">
        <is>
          <t>Alta</t>
        </is>
      </c>
      <c r="G17" s="21" t="str">
        <f>IF(OR($E17="",$F17=""),"",IF(IF($E17="Alta",3,IF($E17="Media",2,1))*IF($F17="Alta",3,IF($F17="Media",2,1))&gt;=9,"Crítico",IF(IF($E17="Alta",3,IF($E17="Media",2,1))*IF($F17="Alta",3,IF($F17="Media",2,1))&gt;=6,"Alto",IF(IF($E17="Alta",3,IF($E17="Media",2,1))*IF($F17="Alta",3,IF($F17="Media",2,1))&gt;=3,"Medio","Bajo"))))</f>
        <v>Alto</v>
      </c>
      <c r="H17" s="20" t="inlineStr">
        <is>
          <t>PPRo</t>
        </is>
      </c>
      <c r="I17" s="19" t="inlineStr">
        <is>
          <t>Matriz de alérgenos revisada y utensilios, aceite y agua exclusivos en el 100 % de las comandas con alergia declarada; el personal que las elabora, formado</t>
        </is>
      </c>
      <c r="J17" s="19" t="inlineStr">
        <is>
          <t>08 Matriz de alérgenos + 11 Acciones correctivas (si hay desviación)</t>
        </is>
      </c>
      <c r="K17" s="19" t="inlineStr">
        <is>
          <t>En cada comanda con alergia declarada; jefe de partida</t>
        </is>
      </c>
      <c r="L17" s="19" t="inlineStr">
        <is>
          <t>Desechar el plato y elaborarlo de nuevo desde cero; abrir incidencia en el registro 11</t>
        </is>
      </c>
      <c r="M17" s="19" t="inlineStr">
        <is>
          <t>Revisión mensual de la matriz y formación anual en alérgenos</t>
        </is>
      </c>
    </row>
    <row r="18" ht="52" customHeight="1">
      <c r="A18" s="19" t="inlineStr">
        <is>
          <t>PREPARACIÓN</t>
        </is>
      </c>
      <c r="B18" s="19" t="inlineStr">
        <is>
          <t>F (Físico)</t>
        </is>
      </c>
      <c r="C18" s="19" t="inlineStr">
        <is>
          <t>Restos metálicos de estropajo, plásticos o cuerpos extraños</t>
        </is>
      </c>
      <c r="D18" s="19" t="inlineStr">
        <is>
          <t>Estropajos de uso alimentario y revisión del estado de los utensilios</t>
        </is>
      </c>
      <c r="E18" s="20" t="inlineStr">
        <is>
          <t>Baja</t>
        </is>
      </c>
      <c r="F18" s="20" t="inlineStr">
        <is>
          <t>Alta</t>
        </is>
      </c>
      <c r="G18" s="21" t="str">
        <f>IF(OR($E18="",$F18=""),"",IF(IF($E18="Alta",3,IF($E18="Media",2,1))*IF($F18="Alta",3,IF($F18="Media",2,1))&gt;=9,"Crítico",IF(IF($E18="Alta",3,IF($E18="Media",2,1))*IF($F18="Alta",3,IF($F18="Media",2,1))&gt;=6,"Alto",IF(IF($E18="Alta",3,IF($E18="Media",2,1))*IF($F18="Alta",3,IF($F18="Media",2,1))&gt;=3,"Medio","Bajo"))))</f>
        <v>Medio</v>
      </c>
      <c r="H18" s="20" t="inlineStr">
        <is>
          <t>NO</t>
        </is>
      </c>
      <c r="I18" s="19" t="inlineStr">
        <is>
          <t>Utensilios íntegros, sin filamentos ni piezas sueltas</t>
        </is>
      </c>
      <c r="J18" s="19" t="inlineStr">
        <is>
          <t>04 Limpieza diaria</t>
        </is>
      </c>
      <c r="K18" s="19" t="inlineStr">
        <is>
          <t>Diaria, al montar el servicio; cocinero de turno</t>
        </is>
      </c>
      <c r="L18" s="19" t="inlineStr">
        <is>
          <t>Sustituir el utensilio y desechar el producto afectado</t>
        </is>
      </c>
      <c r="M18" s="19" t="inlineStr">
        <is>
          <t>Revisión mensual del estado de utensilios; jefe de cocina</t>
        </is>
      </c>
    </row>
    <row r="19" ht="52" customHeight="1">
      <c r="A19" s="19" t="inlineStr">
        <is>
          <t>COCCIÓN</t>
        </is>
      </c>
      <c r="B19" s="19" t="inlineStr">
        <is>
          <t>B (Biológico)</t>
        </is>
      </c>
      <c r="C19" s="19" t="inlineStr">
        <is>
          <t>Supervivencia de patógenos por temperatura insuficiente en el centro del producto</t>
        </is>
      </c>
      <c r="D19" s="19" t="inlineStr">
        <is>
          <t>Sonda verificada y tiempos de cocción por ficha técnica de cada elaboración</t>
        </is>
      </c>
      <c r="E19" s="20" t="inlineStr">
        <is>
          <t>Media</t>
        </is>
      </c>
      <c r="F19" s="20" t="inlineStr">
        <is>
          <t>Alta</t>
        </is>
      </c>
      <c r="G19" s="21" t="str">
        <f>IF(OR($E19="",$F19=""),"",IF(IF($E19="Alta",3,IF($E19="Media",2,1))*IF($F19="Alta",3,IF($F19="Media",2,1))&gt;=9,"Crítico",IF(IF($E19="Alta",3,IF($E19="Media",2,1))*IF($F19="Alta",3,IF($F19="Media",2,1))&gt;=6,"Alto",IF(IF($E19="Alta",3,IF($E19="Media",2,1))*IF($F19="Alta",3,IF($F19="Media",2,1))&gt;=3,"Medio","Bajo"))))</f>
        <v>Alto</v>
      </c>
      <c r="H19" s="20" t="inlineStr">
        <is>
          <t>PCC</t>
        </is>
      </c>
      <c r="I19" s="19" t="inlineStr">
        <is>
          <t>≥75 °C en el centro del producto; en regeneración, alcanzar los 75 °C en menos de una hora</t>
        </is>
      </c>
      <c r="J19" s="19" t="inlineStr">
        <is>
          <t>16 Cocción y regeneración</t>
        </is>
      </c>
      <c r="K19" s="19" t="inlineStr">
        <is>
          <t>En cada tanda; cocinero de turno</t>
        </is>
      </c>
      <c r="L19" s="19" t="inlineStr">
        <is>
          <t>Prolongar la cocción hasta alcanzar el límite; si no se alcanza, desechar</t>
        </is>
      </c>
      <c r="M19" s="19" t="inlineStr">
        <is>
          <t>Verificación mensual de la sonda (registro 19) y revisión del 16</t>
        </is>
      </c>
    </row>
    <row r="20" ht="52" customHeight="1">
      <c r="A20" s="19" t="inlineStr">
        <is>
          <t>COCCIÓN</t>
        </is>
      </c>
      <c r="B20" s="19" t="inlineStr">
        <is>
          <t>Q (Químico)</t>
        </is>
      </c>
      <c r="C20" s="19" t="inlineStr">
        <is>
          <t>Compuestos polares por degradación del aceite de fritura</t>
        </is>
      </c>
      <c r="D20" s="19" t="inlineStr">
        <is>
          <t>Filtrado diario, reposición de nivel, control de la temperatura de la freidora y test periódico de compuestos polares</t>
        </is>
      </c>
      <c r="E20" s="20" t="inlineStr">
        <is>
          <t>Media</t>
        </is>
      </c>
      <c r="F20" s="20" t="inlineStr">
        <is>
          <t>Alta</t>
        </is>
      </c>
      <c r="G20" s="21" t="str">
        <f>IF(OR($E20="",$F20=""),"",IF(IF($E20="Alta",3,IF($E20="Media",2,1))*IF($F20="Alta",3,IF($F20="Media",2,1))&gt;=9,"Crítico",IF(IF($E20="Alta",3,IF($E20="Media",2,1))*IF($F20="Alta",3,IF($F20="Media",2,1))&gt;=6,"Alto",IF(IF($E20="Alta",3,IF($E20="Media",2,1))*IF($F20="Alta",3,IF($F20="Media",2,1))&gt;=3,"Medio","Bajo"))))</f>
        <v>Alto</v>
      </c>
      <c r="H20" s="20" t="inlineStr">
        <is>
          <t>PCC</t>
        </is>
      </c>
      <c r="I20" s="19" t="inlineStr">
        <is>
          <t>Máximo 25 % de compuestos polares (Orden de 26 de enero de 1989) y temperatura de fritura no superior a 180 °C</t>
        </is>
      </c>
      <c r="J20" s="19" t="inlineStr">
        <is>
          <t>09 Control de aceite de fritura</t>
        </is>
      </c>
      <c r="K20" s="19" t="inlineStr">
        <is>
          <t>Un test por freidora y semana en uso normal, diario si se fríe empanado o pescado a diario; jefe de cocina</t>
        </is>
      </c>
      <c r="L20" s="19" t="inlineStr">
        <is>
          <t>Cambiar el aceite y entregarlo a gestor autorizado; abrir incidencia en el registro 11</t>
        </is>
      </c>
      <c r="M20" s="19" t="inlineStr">
        <is>
          <t>Revisión mensual del registro 09 y del justificante de retirada</t>
        </is>
      </c>
    </row>
    <row r="21" ht="52" customHeight="1">
      <c r="A21" s="19" t="inlineStr">
        <is>
          <t>MANTENIMIENTO Y ENFRIAMIENTO</t>
        </is>
      </c>
      <c r="B21" s="19" t="inlineStr">
        <is>
          <t>B (Biológico)</t>
        </is>
      </c>
      <c r="C21" s="19" t="inlineStr">
        <is>
          <t>Multiplicación microbiana en mantenimiento caliente por debajo de 65 °C</t>
        </is>
      </c>
      <c r="D21" s="19" t="inlineStr">
        <is>
          <t>Baño maría y vitrinas calientes con termostato revisado; reposición en tandas pequeñas</t>
        </is>
      </c>
      <c r="E21" s="20" t="inlineStr">
        <is>
          <t>Media</t>
        </is>
      </c>
      <c r="F21" s="20" t="inlineStr">
        <is>
          <t>Alta</t>
        </is>
      </c>
      <c r="G21" s="21" t="str">
        <f>IF(OR($E21="",$F21=""),"",IF(IF($E21="Alta",3,IF($E21="Media",2,1))*IF($F21="Alta",3,IF($F21="Media",2,1))&gt;=9,"Crítico",IF(IF($E21="Alta",3,IF($E21="Media",2,1))*IF($F21="Alta",3,IF($F21="Media",2,1))&gt;=6,"Alto",IF(IF($E21="Alta",3,IF($E21="Media",2,1))*IF($F21="Alta",3,IF($F21="Media",2,1))&gt;=3,"Medio","Bajo"))))</f>
        <v>Alto</v>
      </c>
      <c r="H21" s="20" t="inlineStr">
        <is>
          <t>PCC</t>
        </is>
      </c>
      <c r="I21" s="19" t="inlineStr">
        <is>
          <t>≥65 °C en todo el producto expuesto, sin límite por arriba</t>
        </is>
      </c>
      <c r="J21" s="19" t="inlineStr">
        <is>
          <t>01 Temperaturas diario (exposición caliente)</t>
        </is>
      </c>
      <c r="K21" s="19" t="inlineStr">
        <is>
          <t>Al montar el servicio y cada 2 h; cocinero de turno</t>
        </is>
      </c>
      <c r="L21" s="19" t="inlineStr">
        <is>
          <t>Regenerar a ≥75 °C, o desechar si lleva más de 2 h por debajo de 65 °C</t>
        </is>
      </c>
      <c r="M21" s="19" t="inlineStr">
        <is>
          <t>Revisión semanal del registro 01; jefe de cocina</t>
        </is>
      </c>
    </row>
    <row r="22" ht="52" customHeight="1">
      <c r="A22" s="19" t="inlineStr">
        <is>
          <t>MANTENIMIENTO Y ENFRIAMIENTO</t>
        </is>
      </c>
      <c r="B22" s="19" t="inlineStr">
        <is>
          <t>B (Biológico)</t>
        </is>
      </c>
      <c r="C22" s="19" t="inlineStr">
        <is>
          <t>Enfriamiento lento a través de la zona de peligro (60-10 °C)</t>
        </is>
      </c>
      <c r="D22" s="19" t="inlineStr">
        <is>
          <t>Abatidor de temperatura o porcionado en recipientes de poca altura, destapados hasta enfriar</t>
        </is>
      </c>
      <c r="E22" s="20" t="inlineStr">
        <is>
          <t>Media</t>
        </is>
      </c>
      <c r="F22" s="20" t="inlineStr">
        <is>
          <t>Alta</t>
        </is>
      </c>
      <c r="G22" s="21" t="str">
        <f>IF(OR($E22="",$F22=""),"",IF(IF($E22="Alta",3,IF($E22="Media",2,1))*IF($F22="Alta",3,IF($F22="Media",2,1))&gt;=9,"Crítico",IF(IF($E22="Alta",3,IF($E22="Media",2,1))*IF($F22="Alta",3,IF($F22="Media",2,1))&gt;=6,"Alto",IF(IF($E22="Alta",3,IF($E22="Media",2,1))*IF($F22="Alta",3,IF($F22="Media",2,1))&gt;=3,"Medio","Bajo"))))</f>
        <v>Alto</v>
      </c>
      <c r="H22" s="20" t="inlineStr">
        <is>
          <t>PCC</t>
        </is>
      </c>
      <c r="I22" s="19" t="inlineStr">
        <is>
          <t>De 60 °C a 10 °C en menos de 2 horas</t>
        </is>
      </c>
      <c r="J22" s="19" t="inlineStr">
        <is>
          <t>17 Enfriamiento y descongelación</t>
        </is>
      </c>
      <c r="K22" s="19" t="inlineStr">
        <is>
          <t>En cada elaboración que se enfríe para conservar; cocinero de turno</t>
        </is>
      </c>
      <c r="L22" s="19" t="inlineStr">
        <is>
          <t>Desechar la elaboración si supera las 2 horas</t>
        </is>
      </c>
      <c r="M22" s="19" t="inlineStr">
        <is>
          <t>Revisión semanal del registro 17; jefe de cocina</t>
        </is>
      </c>
    </row>
    <row r="23" ht="52" customHeight="1">
      <c r="A23" s="19" t="inlineStr">
        <is>
          <t>MANTENIMIENTO Y ENFRIAMIENTO</t>
        </is>
      </c>
      <c r="B23" s="19" t="inlineStr">
        <is>
          <t>B (Biológico)</t>
        </is>
      </c>
      <c r="C23" s="19" t="inlineStr">
        <is>
          <t>Vida útil superada en elaborados propios</t>
        </is>
      </c>
      <c r="D23" s="19" t="inlineStr">
        <is>
          <t>Etiquetado de todo elaborado con fecha de elaboración y de consumo</t>
        </is>
      </c>
      <c r="E23" s="20" t="inlineStr">
        <is>
          <t>Media</t>
        </is>
      </c>
      <c r="F23" s="20" t="inlineStr">
        <is>
          <t>Media</t>
        </is>
      </c>
      <c r="G23" s="21" t="str">
        <f>IF(OR($E23="",$F23=""),"",IF(IF($E23="Alta",3,IF($E23="Media",2,1))*IF($F23="Alta",3,IF($F23="Media",2,1))&gt;=9,"Crítico",IF(IF($E23="Alta",3,IF($E23="Media",2,1))*IF($F23="Alta",3,IF($F23="Media",2,1))&gt;=6,"Alto",IF(IF($E23="Alta",3,IF($E23="Media",2,1))*IF($F23="Alta",3,IF($F23="Media",2,1))&gt;=3,"Medio","Bajo"))))</f>
        <v>Medio</v>
      </c>
      <c r="H23" s="20" t="inlineStr">
        <is>
          <t>NO</t>
        </is>
      </c>
      <c r="I23" s="19" t="inlineStr">
        <is>
          <t>Todo elaborado etiquetado y consumido dentro del plazo de su ficha</t>
        </is>
      </c>
      <c r="J23" s="19" t="inlineStr">
        <is>
          <t>06 Trazabilidad</t>
        </is>
      </c>
      <c r="K23" s="19" t="inlineStr">
        <is>
          <t>Diaria, al montar y al cerrar; jefe de cocina</t>
        </is>
      </c>
      <c r="L23" s="19" t="inlineStr">
        <is>
          <t>Retirar el producto y registrar la retirada</t>
        </is>
      </c>
      <c r="M23" s="19" t="inlineStr">
        <is>
          <t>Revisión semanal del registro 06</t>
        </is>
      </c>
    </row>
    <row r="24" ht="52" customHeight="1">
      <c r="A24" s="19" t="inlineStr">
        <is>
          <t>SERVICIO</t>
        </is>
      </c>
      <c r="B24" s="19" t="inlineStr">
        <is>
          <t>B (Biológico)</t>
        </is>
      </c>
      <c r="C24" s="19" t="inlineStr">
        <is>
          <t>Exposición prolongada a temperatura ambiente en línea de servicio o buffet</t>
        </is>
      </c>
      <c r="D24" s="19" t="inlineStr">
        <is>
          <t>Reposición en tandas pequeñas y control horario de lo expuesto</t>
        </is>
      </c>
      <c r="E24" s="20" t="inlineStr">
        <is>
          <t>Media</t>
        </is>
      </c>
      <c r="F24" s="20" t="inlineStr">
        <is>
          <t>Media</t>
        </is>
      </c>
      <c r="G24" s="21" t="str">
        <f>IF(OR($E24="",$F24=""),"",IF(IF($E24="Alta",3,IF($E24="Media",2,1))*IF($F24="Alta",3,IF($F24="Media",2,1))&gt;=9,"Crítico",IF(IF($E24="Alta",3,IF($E24="Media",2,1))*IF($F24="Alta",3,IF($F24="Media",2,1))&gt;=6,"Alto",IF(IF($E24="Alta",3,IF($E24="Media",2,1))*IF($F24="Alta",3,IF($F24="Media",2,1))&gt;=3,"Medio","Bajo"))))</f>
        <v>Medio</v>
      </c>
      <c r="H24" s="20" t="inlineStr">
        <is>
          <t>NO</t>
        </is>
      </c>
      <c r="I24" s="19" t="inlineStr">
        <is>
          <t>Máximo 2 horas a temperatura ambiente</t>
        </is>
      </c>
      <c r="J24" s="19" t="inlineStr">
        <is>
          <t>01 Temperaturas diario (exposición caliente)</t>
        </is>
      </c>
      <c r="K24" s="19" t="inlineStr">
        <is>
          <t>Control horario en cada servicio; responsable de sala</t>
        </is>
      </c>
      <c r="L24" s="19" t="inlineStr">
        <is>
          <t>Retirar el alimento expuesto</t>
        </is>
      </c>
      <c r="M24" s="19" t="inlineStr">
        <is>
          <t>Revisión semanal del registro 01</t>
        </is>
      </c>
    </row>
    <row r="25" ht="52" customHeight="1">
      <c r="A25" s="19" t="inlineStr">
        <is>
          <t>SERVICIO</t>
        </is>
      </c>
      <c r="B25" s="19" t="inlineStr">
        <is>
          <t>Q (Químico)</t>
        </is>
      </c>
      <c r="C25" s="19" t="inlineStr">
        <is>
          <t>Alérgeno no declarado al cliente en la carta o de palabra</t>
        </is>
      </c>
      <c r="D25" s="19" t="inlineStr">
        <is>
          <t>Carta de alérgenos actualizada tras cada cambio de receta y personal de sala formado</t>
        </is>
      </c>
      <c r="E25" s="20" t="inlineStr">
        <is>
          <t>Media</t>
        </is>
      </c>
      <c r="F25" s="20" t="inlineStr">
        <is>
          <t>Alta</t>
        </is>
      </c>
      <c r="G25" s="21" t="str">
        <f>IF(OR($E25="",$F25=""),"",IF(IF($E25="Alta",3,IF($E25="Media",2,1))*IF($F25="Alta",3,IF($F25="Media",2,1))&gt;=9,"Crítico",IF(IF($E25="Alta",3,IF($E25="Media",2,1))*IF($F25="Alta",3,IF($F25="Media",2,1))&gt;=6,"Alto",IF(IF($E25="Alta",3,IF($E25="Media",2,1))*IF($F25="Alta",3,IF($F25="Media",2,1))&gt;=3,"Medio","Bajo"))))</f>
        <v>Alto</v>
      </c>
      <c r="H25" s="20" t="inlineStr">
        <is>
          <t>PPRo</t>
        </is>
      </c>
      <c r="I25" s="19" t="inlineStr">
        <is>
          <t>Carta de alérgenos revisada y firmada en los últimos 30 días o tras cada cambio de receta</t>
        </is>
      </c>
      <c r="J25" s="19" t="inlineStr">
        <is>
          <t>08 Matriz de alérgenos</t>
        </is>
      </c>
      <c r="K25" s="19" t="inlineStr">
        <is>
          <t>Revisión mensual y tras cada cambio de carta; responsable de APPCC</t>
        </is>
      </c>
      <c r="L25" s="19" t="inlineStr">
        <is>
          <t>Actualizar la matriz, comunicarlo a sala y revisar las comandas del día</t>
        </is>
      </c>
      <c r="M25" s="19" t="inlineStr">
        <is>
          <t>Auditoría interna trimestral y formación anual en alérgenos</t>
        </is>
      </c>
    </row>
    <row r="26" ht="30" customHeight="1">
      <c r="A26" s="19" t="n"/>
      <c r="B26" s="19" t="n"/>
      <c r="C26" s="19" t="n"/>
      <c r="D26" s="19" t="n"/>
      <c r="E26" s="20" t="n"/>
      <c r="F26" s="20" t="n"/>
      <c r="G26" s="21">
        <f>IF(OR($E26="",$F26=""),"",IF(IF($E26="Alta",3,IF($E26="Media",2,1))*IF($F26="Alta",3,IF($F26="Media",2,1))&gt;=9,"Crítico",IF(IF($E26="Alta",3,IF($E26="Media",2,1))*IF($F26="Alta",3,IF($F26="Media",2,1))&gt;=6,"Alto",IF(IF($E26="Alta",3,IF($E26="Media",2,1))*IF($F26="Alta",3,IF($F26="Media",2,1))&gt;=3,"Medio","Bajo"))))</f>
      </c>
      <c r="H26" s="20" t="n"/>
      <c r="I26" s="19" t="n"/>
      <c r="J26" s="19" t="n"/>
      <c r="K26" s="19" t="n"/>
      <c r="L26" s="19" t="n"/>
      <c r="M26" s="19" t="n"/>
    </row>
    <row r="27" ht="30" customHeight="1">
      <c r="A27" s="19" t="n"/>
      <c r="B27" s="19" t="n"/>
      <c r="C27" s="19" t="n"/>
      <c r="D27" s="19" t="n"/>
      <c r="E27" s="20" t="n"/>
      <c r="F27" s="20" t="n"/>
      <c r="G27" s="21">
        <f>IF(OR($E27="",$F27=""),"",IF(IF($E27="Alta",3,IF($E27="Media",2,1))*IF($F27="Alta",3,IF($F27="Media",2,1))&gt;=9,"Crítico",IF(IF($E27="Alta",3,IF($E27="Media",2,1))*IF($F27="Alta",3,IF($F27="Media",2,1))&gt;=6,"Alto",IF(IF($E27="Alta",3,IF($E27="Media",2,1))*IF($F27="Alta",3,IF($F27="Media",2,1))&gt;=3,"Medio","Bajo"))))</f>
      </c>
      <c r="H27" s="20" t="n"/>
      <c r="I27" s="19" t="n"/>
      <c r="J27" s="19" t="n"/>
      <c r="K27" s="19" t="n"/>
      <c r="L27" s="19" t="n"/>
      <c r="M27" s="19" t="n"/>
    </row>
    <row r="28" ht="30" customHeight="1">
      <c r="A28" s="19" t="n"/>
      <c r="B28" s="19" t="n"/>
      <c r="C28" s="19" t="n"/>
      <c r="D28" s="19" t="n"/>
      <c r="E28" s="20" t="n"/>
      <c r="F28" s="20" t="n"/>
      <c r="G28" s="21">
        <f>IF(OR($E28="",$F28=""),"",IF(IF($E28="Alta",3,IF($E28="Media",2,1))*IF($F28="Alta",3,IF($F28="Media",2,1))&gt;=9,"Crítico",IF(IF($E28="Alta",3,IF($E28="Media",2,1))*IF($F28="Alta",3,IF($F28="Media",2,1))&gt;=6,"Alto",IF(IF($E28="Alta",3,IF($E28="Media",2,1))*IF($F28="Alta",3,IF($F28="Media",2,1))&gt;=3,"Medio","Bajo"))))</f>
      </c>
      <c r="H28" s="20" t="n"/>
      <c r="I28" s="19" t="n"/>
      <c r="J28" s="19" t="n"/>
      <c r="K28" s="19" t="n"/>
      <c r="L28" s="19" t="n"/>
      <c r="M28" s="19" t="n"/>
    </row>
    <row r="29" ht="30" customHeight="1">
      <c r="A29" s="19" t="n"/>
      <c r="B29" s="19" t="n"/>
      <c r="C29" s="19" t="n"/>
      <c r="D29" s="19" t="n"/>
      <c r="E29" s="20" t="n"/>
      <c r="F29" s="20" t="n"/>
      <c r="G29" s="21">
        <f>IF(OR($E29="",$F29=""),"",IF(IF($E29="Alta",3,IF($E29="Media",2,1))*IF($F29="Alta",3,IF($F29="Media",2,1))&gt;=9,"Crítico",IF(IF($E29="Alta",3,IF($E29="Media",2,1))*IF($F29="Alta",3,IF($F29="Media",2,1))&gt;=6,"Alto",IF(IF($E29="Alta",3,IF($E29="Media",2,1))*IF($F29="Alta",3,IF($F29="Media",2,1))&gt;=3,"Medio","Bajo"))))</f>
      </c>
      <c r="H29" s="20" t="n"/>
      <c r="I29" s="19" t="n"/>
      <c r="J29" s="19" t="n"/>
      <c r="K29" s="19" t="n"/>
      <c r="L29" s="19" t="n"/>
      <c r="M29" s="19" t="n"/>
    </row>
    <row r="30" ht="30" customHeight="1">
      <c r="A30" s="19" t="n"/>
      <c r="B30" s="19" t="n"/>
      <c r="C30" s="19" t="n"/>
      <c r="D30" s="19" t="n"/>
      <c r="E30" s="20" t="n"/>
      <c r="F30" s="20" t="n"/>
      <c r="G30" s="21">
        <f>IF(OR($E30="",$F30=""),"",IF(IF($E30="Alta",3,IF($E30="Media",2,1))*IF($F30="Alta",3,IF($F30="Media",2,1))&gt;=9,"Crítico",IF(IF($E30="Alta",3,IF($E30="Media",2,1))*IF($F30="Alta",3,IF($F30="Media",2,1))&gt;=6,"Alto",IF(IF($E30="Alta",3,IF($E30="Media",2,1))*IF($F30="Alta",3,IF($F30="Media",2,1))&gt;=3,"Medio","Bajo"))))</f>
      </c>
      <c r="H30" s="20" t="n"/>
      <c r="I30" s="19" t="n"/>
      <c r="J30" s="19" t="n"/>
      <c r="K30" s="19" t="n"/>
      <c r="L30" s="19" t="n"/>
      <c r="M30" s="19" t="n"/>
    </row>
    <row r="31" ht="30" customHeight="1">
      <c r="A31" s="19" t="n"/>
      <c r="B31" s="19" t="n"/>
      <c r="C31" s="19" t="n"/>
      <c r="D31" s="19" t="n"/>
      <c r="E31" s="20" t="n"/>
      <c r="F31" s="20" t="n"/>
      <c r="G31" s="21">
        <f>IF(OR($E31="",$F31=""),"",IF(IF($E31="Alta",3,IF($E31="Media",2,1))*IF($F31="Alta",3,IF($F31="Media",2,1))&gt;=9,"Crítico",IF(IF($E31="Alta",3,IF($E31="Media",2,1))*IF($F31="Alta",3,IF($F31="Media",2,1))&gt;=6,"Alto",IF(IF($E31="Alta",3,IF($E31="Media",2,1))*IF($F31="Alta",3,IF($F31="Media",2,1))&gt;=3,"Medio","Bajo"))))</f>
      </c>
      <c r="H31" s="20" t="n"/>
      <c r="I31" s="19" t="n"/>
      <c r="J31" s="19" t="n"/>
      <c r="K31" s="19" t="n"/>
      <c r="L31" s="19" t="n"/>
      <c r="M31" s="19" t="n"/>
    </row>
    <row r="32" ht="30" customHeight="1">
      <c r="A32" s="19" t="n"/>
      <c r="B32" s="19" t="n"/>
      <c r="C32" s="19" t="n"/>
      <c r="D32" s="19" t="n"/>
      <c r="E32" s="20" t="n"/>
      <c r="F32" s="20" t="n"/>
      <c r="G32" s="21">
        <f>IF(OR($E32="",$F32=""),"",IF(IF($E32="Alta",3,IF($E32="Media",2,1))*IF($F32="Alta",3,IF($F32="Media",2,1))&gt;=9,"Crítico",IF(IF($E32="Alta",3,IF($E32="Media",2,1))*IF($F32="Alta",3,IF($F32="Media",2,1))&gt;=6,"Alto",IF(IF($E32="Alta",3,IF($E32="Media",2,1))*IF($F32="Alta",3,IF($F32="Media",2,1))&gt;=3,"Medio","Bajo"))))</f>
      </c>
      <c r="H32" s="20" t="n"/>
      <c r="I32" s="19" t="n"/>
      <c r="J32" s="19" t="n"/>
      <c r="K32" s="19" t="n"/>
      <c r="L32" s="19" t="n"/>
      <c r="M32" s="19" t="n"/>
    </row>
    <row r="33" ht="30" customHeight="1">
      <c r="A33" s="19" t="n"/>
      <c r="B33" s="19" t="n"/>
      <c r="C33" s="19" t="n"/>
      <c r="D33" s="19" t="n"/>
      <c r="E33" s="20" t="n"/>
      <c r="F33" s="20" t="n"/>
      <c r="G33" s="21">
        <f>IF(OR($E33="",$F33=""),"",IF(IF($E33="Alta",3,IF($E33="Media",2,1))*IF($F33="Alta",3,IF($F33="Media",2,1))&gt;=9,"Crítico",IF(IF($E33="Alta",3,IF($E33="Media",2,1))*IF($F33="Alta",3,IF($F33="Media",2,1))&gt;=6,"Alto",IF(IF($E33="Alta",3,IF($E33="Media",2,1))*IF($F33="Alta",3,IF($F33="Media",2,1))&gt;=3,"Medio","Bajo"))))</f>
      </c>
      <c r="H33" s="20" t="n"/>
      <c r="I33" s="19" t="n"/>
      <c r="J33" s="19" t="n"/>
      <c r="K33" s="19" t="n"/>
      <c r="L33" s="19" t="n"/>
      <c r="M33" s="19" t="n"/>
    </row>
    <row r="34" ht="30" customHeight="1">
      <c r="A34" s="19" t="n"/>
      <c r="B34" s="19" t="n"/>
      <c r="C34" s="19" t="n"/>
      <c r="D34" s="19" t="n"/>
      <c r="E34" s="20" t="n"/>
      <c r="F34" s="20" t="n"/>
      <c r="G34" s="21">
        <f>IF(OR($E34="",$F34=""),"",IF(IF($E34="Alta",3,IF($E34="Media",2,1))*IF($F34="Alta",3,IF($F34="Media",2,1))&gt;=9,"Crítico",IF(IF($E34="Alta",3,IF($E34="Media",2,1))*IF($F34="Alta",3,IF($F34="Media",2,1))&gt;=6,"Alto",IF(IF($E34="Alta",3,IF($E34="Media",2,1))*IF($F34="Alta",3,IF($F34="Media",2,1))&gt;=3,"Medio","Bajo"))))</f>
      </c>
      <c r="H34" s="20" t="n"/>
      <c r="I34" s="19" t="n"/>
      <c r="J34" s="19" t="n"/>
      <c r="K34" s="19" t="n"/>
      <c r="L34" s="19" t="n"/>
      <c r="M34" s="19" t="n"/>
    </row>
    <row r="35" ht="30" customHeight="1">
      <c r="A35" s="19" t="n"/>
      <c r="B35" s="19" t="n"/>
      <c r="C35" s="19" t="n"/>
      <c r="D35" s="19" t="n"/>
      <c r="E35" s="20" t="n"/>
      <c r="F35" s="20" t="n"/>
      <c r="G35" s="21">
        <f>IF(OR($E35="",$F35=""),"",IF(IF($E35="Alta",3,IF($E35="Media",2,1))*IF($F35="Alta",3,IF($F35="Media",2,1))&gt;=9,"Crítico",IF(IF($E35="Alta",3,IF($E35="Media",2,1))*IF($F35="Alta",3,IF($F35="Media",2,1))&gt;=6,"Alto",IF(IF($E35="Alta",3,IF($E35="Media",2,1))*IF($F35="Alta",3,IF($F35="Media",2,1))&gt;=3,"Medio","Bajo"))))</f>
      </c>
      <c r="H35" s="20" t="n"/>
      <c r="I35" s="19" t="n"/>
      <c r="J35" s="19" t="n"/>
      <c r="K35" s="19" t="n"/>
      <c r="L35" s="19" t="n"/>
      <c r="M35" s="19" t="n"/>
    </row>
    <row r="36"/>
    <row r="37">
      <c r="A37" s="22" t="inlineStr">
        <is>
          <t>Peligros identificados en el análisis:</t>
        </is>
      </c>
      <c r="H37" s="23">
        <f>COUNTIF(H5:H35,"PCC")+COUNTIF(H5:H35,"PPRo")+COUNTIF(H5:H35,"NO")</f>
        <v>21.0</v>
      </c>
    </row>
    <row r="38">
      <c r="A38" s="22" t="inlineStr">
        <is>
          <t>Puntos de control crítico (PCC):</t>
        </is>
      </c>
      <c r="H38" s="23">
        <f>COUNTIF(H5:H35,"PCC")</f>
        <v>9.0</v>
      </c>
    </row>
    <row r="39">
      <c r="A39" s="22" t="inlineStr">
        <is>
          <t>Prerrequisitos operativos (PPRo):</t>
        </is>
      </c>
      <c r="H39" s="23">
        <f>COUNTIF(H5:H35,"PPRo")</f>
        <v>7.0</v>
      </c>
    </row>
    <row r="40"/>
    <row r="41" ht="12.2" customHeight="1">
      <c r="A41" s="24" t="inlineStr">
        <is>
          <t>PCC = Punto de Control Crítico: fase en la que se puede aplicar un control esencial para eliminar un peligro o reducirlo a un nivel aceptable, con un límite crítico MEDIBLE y vigilado en tiempo real. PPRo = Programa de Prerrequisitos Operativo: el peligro es relevante pero se controla con proveedores, limpieza, formación o etiquetado, y no hay un límite medible en el momento.</t>
        </is>
      </c>
    </row>
    <row r="42" ht="12.2" customHeight="1">
      <c r="A42" s="24" t="inlineStr">
        <is>
          <t>Cómo se decide, y por qué dos filas con la misma puntuación pueden acabar en PCC o en PPRo: nivel Alto o Crítico y sin fase posterior que elimine el peligro → PCC; nivel Alto o Crítico pero controlado por un prerrequisito → PPRo; nivel Bajo o Medio → NO.</t>
        </is>
      </c>
    </row>
    <row r="43" ht="12.2" customHeight="1">
      <c r="A43" s="24" t="inlineStr">
        <is>
          <t>Cada fila de esta tabla tiene detrás un registro que se entrega en este mismo pack: recepción → 02, almacenamiento y exposición caliente → 01, plagas → 07, agua → 10, descongelación y enfriamiento → 17, anisakis → 18, ovoproducto → 05, cocción y regeneración → 16, aceite de fritura → 09, limpieza → 04, trazabilidad → 06, alérgenos → 08, y toda desviación → 11. Un PCC sin registro no acredita nada.</t>
        </is>
      </c>
    </row>
    <row r="44" ht="12.2" customHeight="1">
      <c r="A44" s="24" t="inlineStr">
        <is>
          <t>Revisa este análisis al menos una vez al año, y siempre que cambies la carta, un proceso, un equipo o un proveedor. Anota el número de revisión en la cabecera.</t>
        </is>
      </c>
    </row>
    <row r="45" ht="12.2" customHeight="1">
      <c r="A45" s="24" t="inlineStr">
        <is>
          <t>Conservar al menos 2 años (trazabilidad y proveedores: 5); el Reg. (CE) 178/2002 exige trazabilidad pero no fija plazo — consulta la guía de prácticas correctas de higiene de tu comunidad autónoma.</t>
        </is>
      </c>
    </row>
    <row r="46" ht="12.2" customHeight="1">
      <c r="A46" s="24" t="inlineStr">
        <is>
          <t>— Pack de Plantillas APPCC · AI Chef Pro · aichef.pro</t>
        </is>
      </c>
    </row>
    <row r="47"/>
    <row r="48"/>
    <row r="49"/>
    <row r="50"/>
    <row r="51"/>
  </sheetData>
  <mergeCells count="10">
    <mergeCell ref="A43:M43"/>
    <mergeCell ref="A45:M45"/>
    <mergeCell ref="A46:M46"/>
    <mergeCell ref="A41:M41"/>
    <mergeCell ref="A39:G39"/>
    <mergeCell ref="A44:M44"/>
    <mergeCell ref="A42:M42"/>
    <mergeCell ref="A1:M1"/>
    <mergeCell ref="A37:G37"/>
    <mergeCell ref="A38:G38"/>
  </mergeCells>
  <conditionalFormatting sqref="G5:G35">
    <cfRule type="expression" priority="1" dxfId="0" stopIfTrue="1">
      <formula>OR(G5="ALERTA",G5="RECHAZAR",G5="CAMBIAR",G5="REVISAR",G5="✗",G5="CADUCADO",G5="EXCESO",G5="Crítico",G5="Alto")</formula>
    </cfRule>
    <cfRule type="expression" priority="2" dxfId="1" stopIfTrue="1">
      <formula>OR(G5="VIGILAR",G5="⚠",G5="INCOMPLETO",G5="CADUCA PRONTO",G5="RENOVAR",G5="FALTA CLORO",G5="FALTA TEST",G5="Medio")</formula>
    </cfRule>
    <cfRule type="expression" priority="3" dxfId="2" stopIfTrue="1">
      <formula>OR(G5="OK",G5="✓",G5="Cumple",G5="VIGENTE",G5="Completo",G5="APTO",G5="Bajo")</formula>
    </cfRule>
  </conditionalFormatting>
  <dataValidations count="3">
    <dataValidation sqref="B5:B35" showDropDown="0" showInputMessage="0" showErrorMessage="1" allowBlank="1" errorTitle="Tipo de peligro" error="Elige B (biológico), Q (químico) o F (físico)." type="list" errorStyle="stop">
      <formula1>"B (Biológico),Q (Químico),F (Físico)"</formula1>
    </dataValidation>
    <dataValidation sqref="E5:E35 F5:F35" showDropDown="0" showInputMessage="0" showErrorMessage="1" allowBlank="1" errorTitle="Probabilidad y gravedad" error="Elige Alta, Media o Baja. El «Nivel de riesgo» se calcula solo a partir de estas dos columnas: si escribes texto libre, la fórmula lo tratará como «Baja»." type="list" errorStyle="stop">
      <formula1>"Alta,Media,Baja"</formula1>
    </dataValidation>
    <dataValidation sqref="H5:H35" showDropDown="0" showInputMessage="0" showErrorMessage="1" allowBlank="1" errorTitle="¿Es PCC?" error="PCC = punto de control crítico · PPRo = prerrequisito operativo · NO = se cubre con los prerrequisitos generales." type="list" errorStyle="stop">
      <formula1>"PCC,PPRo,NO"</formula1>
    </dataValidation>
  </dataValidations>
  <pageMargins left="0.55" right="0.55" top="0.55" bottom="0.55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Análisis de Peligros HACCP · Pack de Plantillas APPCC</dc:title>
  <dc:description xmlns:dc="http://purl.org/dc/elements/1.1/">aichef.pro/pack-appcc</dc:description>
  <dc:subject xmlns:dc="http://purl.org/dc/elements/1.1/">Pack de Plantillas APPCC · v2.0</dc:subject>
  <dcterms:created xmlns:dcterms="http://purl.org/dc/terms/" xmlns:xsi="http://www.w3.org/2001/XMLSchema-instance" xsi:type="dcterms:W3CDTF">2026-03-18T23:13:40Z</dcterms:created>
  <dcterms:modified xmlns:dcterms="http://purl.org/dc/terms/" xmlns:xsi="http://www.w3.org/2001/XMLSchema-instance" xsi:type="dcterms:W3CDTF">2026-08-22T19:31:20Z</dcterms:modified>
  <cp:lastModifiedBy>AI Chef Pro</cp:lastModifiedBy>
  <cp:category>AI Chef Pro · Productos digitales</cp:category>
  <cp:keywords>pack appcc, AI Chef Pro</cp:keywords>
</cp:coreProperties>
</file>