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friamiento" sheetId="2" state="visible" r:id="rId2"/>
    <sheet xmlns:r="http://schemas.openxmlformats.org/officeDocument/2006/relationships" name="Descongelación" sheetId="3" state="visible" r:id="rId3"/>
  </sheets>
  <definedNames>
    <definedName name="_xlnm.Print_Area" localSheetId="0">'Instrucciones'!$A$1:$B$28</definedName>
    <definedName name="_xlnm.Print_Titles" localSheetId="1">'Enfriamiento'!$4:$4</definedName>
    <definedName name="_xlnm.Print_Area" localSheetId="1">'Enfriamiento'!$A$1:$K$51</definedName>
    <definedName name="_xlnm.Print_Titles" localSheetId="2">'Descongelación'!$4:$4</definedName>
    <definedName name="_xlnm.Print_Area" localSheetId="2">'Descongelación'!$A$1:$J$50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"/>
    <numFmt numFmtId="166" formatCode="0.0"/>
    <numFmt numFmtId="167" formatCode="DD/MM/YYYY HH:MM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3" borderId="1" applyAlignment="1" applyProtection="1" pivotButton="0" quotePrefix="0" xfId="0">
      <alignment horizontal="center" vertical="center" wrapText="1"/>
      <protection locked="0" hidden="0"/>
    </xf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vertical="top" wrapText="1"/>
    </xf>
    <xf numFmtId="167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" t="inlineStr">
        <is>
          <t>Registro de Enfriamiento y Descongelación</t>
        </is>
      </c>
    </row>
    <row r="3"/>
    <row r="4">
      <c r="B4" s="2" t="inlineStr">
        <is>
          <t>Para qué sirve esta plantilla</t>
        </is>
      </c>
    </row>
    <row r="5"/>
    <row r="6">
      <c r="B6" s="3" t="inlineStr">
        <is>
          <t>Cubre los dos momentos en los que un alimento pasa despacio por la zona de peligro (entre 60 °C y 5 °C), que es donde se multiplican las bacterias. El análisis de peligros (fichero 12) apunta a estas dos hojas.</t>
        </is>
      </c>
    </row>
    <row r="7"/>
    <row r="8">
      <c r="B8" s="2" t="inlineStr">
        <is>
          <t>Hoja «Enfriamiento»</t>
        </is>
      </c>
    </row>
    <row r="9"/>
    <row r="10">
      <c r="B10" s="3" t="inlineStr">
        <is>
          <t>▸ Regla: de 60 °C a 10 °C o menos en un máximo de 2 horas. El RD 1021/2022 —que derogó al RD 3484/2000— ya no fija esa cifra: la fija tu APPCC, y es la que figura como límite crítico en el fichero 12 (Reg. (CE) 852/2004, art. 5).</t>
        </is>
      </c>
    </row>
    <row r="11">
      <c r="B11" s="3" t="inlineStr">
        <is>
          <t>▸ Anota hora y temperatura al empezar, y vuelve a medir a las dos horas. El «Estado» se calcula solo: OK si el producto partía de 60 °C o más y a las 2 h está a 10 °C o menos; ALERTA si no; INCOMPLETO en ámbar si falta la temperatura de partida.</t>
        </is>
      </c>
    </row>
    <row r="12">
      <c r="B12" s="3" t="inlineStr">
        <is>
          <t>▸ Escribe las horas como hora (16:00), no como texto: la columna «Tiempo (h)» las resta y aguanta el cambio de día. La celda ya no acepta texto, así que si te la rechaza es que estabas escribiendo «16.00» o «16h».</t>
        </is>
      </c>
    </row>
    <row r="13">
      <c r="B13" s="3" t="inlineStr">
        <is>
          <t>▸ Si sale ALERTA: reparte en recipientes bajos o desecha, y abre la incidencia en el registro 11.</t>
        </is>
      </c>
    </row>
    <row r="14"/>
    <row r="15">
      <c r="B15" s="2" t="inlineStr">
        <is>
          <t>Hoja «Descongelación»</t>
        </is>
      </c>
    </row>
    <row r="16"/>
    <row r="17">
      <c r="B17" s="3" t="inlineStr">
        <is>
          <t>▸ Regla: en refrigeración a 4 °C o menos, tapado y sobre bandeja, y el producto en uso dentro de las 24 horas siguientes al INICIO de la descongelación. Es el mismo límite crítico que figura en el fichero 12 para este PCC.</t>
        </is>
      </c>
    </row>
    <row r="18">
      <c r="B18" s="3" t="inlineStr">
        <is>
          <t>▸ Escribe el inicio y el fin con FECHA Y HORA. La columna «Duración (h)» y el «Estado» se calculan solos.</t>
        </is>
      </c>
    </row>
    <row r="19">
      <c r="B19" s="3" t="inlineStr">
        <is>
          <t>▸ Nunca a temperatura ambiente ni bajo el grifo de agua caliente. Un producto descongelado no se recongela.</t>
        </is>
      </c>
    </row>
    <row r="20"/>
    <row r="21">
      <c r="B21" s="2" t="inlineStr">
        <is>
          <t>Frecuencia y archivo</t>
        </is>
      </c>
    </row>
    <row r="22"/>
    <row r="23">
      <c r="B23" s="3" t="inlineStr">
        <is>
          <t>▸ Frecuencia: una línea por cada enfriamiento y por cada descongelación. 40 filas por hoja.</t>
        </is>
      </c>
    </row>
    <row r="24">
      <c r="B24" s="3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5"/>
    <row r="26">
      <c r="B26" s="2" t="inlineStr">
        <is>
          <t>— Pack de Plantillas APPCC · AI Chef Pro · aichef.pro</t>
        </is>
      </c>
    </row>
    <row r="27"/>
    <row r="28">
      <c r="B28" s="2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3" customWidth="1" min="3" max="3"/>
    <col width="14" customWidth="1" min="4" max="4"/>
    <col width="15" customWidth="1" min="5" max="5"/>
    <col width="16" customWidth="1" min="6" max="6"/>
    <col width="12" customWidth="1" min="7" max="7"/>
    <col width="14" customWidth="1" min="8" max="8"/>
    <col width="24" customWidth="1" min="9" max="9"/>
    <col width="16" customWidth="1" min="10" max="10"/>
    <col width="30" customWidth="1" min="11" max="11"/>
  </cols>
  <sheetData>
    <row r="1">
      <c r="A1" s="4" t="inlineStr">
        <is>
          <t>Registro de Enfriamiento Rápido</t>
        </is>
      </c>
    </row>
    <row r="2">
      <c r="A2" t="inlineStr">
        <is>
          <t>Mes: _______________    De 60 °C a 10 °C o menos en un máximo de 2 horas (límite crítico del APPCC de este establecimiento; ver fichero 12).</t>
        </is>
      </c>
    </row>
    <row r="3"/>
    <row r="4" ht="30" customHeight="1">
      <c r="A4" s="5" t="inlineStr">
        <is>
          <t>Fecha</t>
        </is>
      </c>
      <c r="B4" s="5" t="inlineStr">
        <is>
          <t>Producto / elaboración</t>
        </is>
      </c>
      <c r="C4" s="5" t="inlineStr">
        <is>
          <t>Hora inicio</t>
        </is>
      </c>
      <c r="D4" s="5" t="inlineStr">
        <is>
          <t>T.ª inicio (°C)</t>
        </is>
      </c>
      <c r="E4" s="5" t="inlineStr">
        <is>
          <t>Hora a las 2 h</t>
        </is>
      </c>
      <c r="F4" s="5" t="inlineStr">
        <is>
          <t>T.ª a las 2 h (°C)</t>
        </is>
      </c>
      <c r="G4" s="5" t="inlineStr">
        <is>
          <t>Tiempo (h)</t>
        </is>
      </c>
      <c r="H4" s="5" t="inlineStr">
        <is>
          <t>Estado</t>
        </is>
      </c>
      <c r="I4" s="5" t="inlineStr">
        <is>
          <t>Destino</t>
        </is>
      </c>
      <c r="J4" s="5" t="inlineStr">
        <is>
          <t>Responsable</t>
        </is>
      </c>
      <c r="K4" s="5" t="inlineStr">
        <is>
          <t>Observaciones</t>
        </is>
      </c>
    </row>
    <row r="5" ht="20" customHeight="1">
      <c r="A5" s="6" t="n">
        <v>46270</v>
      </c>
      <c r="B5" s="7" t="inlineStr">
        <is>
          <t>Caldo de pollo (20 L)</t>
        </is>
      </c>
      <c r="C5" s="8" t="n">
        <v>0.6666666666666666</v>
      </c>
      <c r="D5" s="9" t="n">
        <v>92</v>
      </c>
      <c r="E5" s="8" t="n">
        <v>0.75</v>
      </c>
      <c r="F5" s="9" t="n">
        <v>6</v>
      </c>
      <c r="G5" s="10">
        <f>IF(NOT(AND(ISNUMBER($C5),ISNUMBER($E5))),"",ROUND(MOD($E5-$C5,1)*24,2))</f>
        <v>2.0</v>
      </c>
      <c r="H5" s="11" t="str">
        <f>IF(OR($F5="",$G5=""),"",IF($D5="","INCOMPLETO",IF(AND($D5&gt;=60,$F5&lt;=10,$G5&gt;0,$G5&lt;=2),"OK","ALERTA")))</f>
        <v>OK</v>
      </c>
      <c r="I5" s="7" t="inlineStr">
        <is>
          <t>Cámara 1 — servicio del día siguiente</t>
        </is>
      </c>
      <c r="J5" s="12" t="inlineStr">
        <is>
          <t>A.R.</t>
        </is>
      </c>
      <c r="K5" s="7" t="inlineStr">
        <is>
          <t>(ejemplo)</t>
        </is>
      </c>
    </row>
    <row r="6" ht="20" customHeight="1">
      <c r="A6" s="6" t="n">
        <v>46271</v>
      </c>
      <c r="B6" s="7" t="inlineStr">
        <is>
          <t>Arroz cocido (4 kg)</t>
        </is>
      </c>
      <c r="C6" s="8" t="n">
        <v>0.5625</v>
      </c>
      <c r="D6" s="9" t="n">
        <v>85</v>
      </c>
      <c r="E6" s="8" t="n">
        <v>0.6458333333333334</v>
      </c>
      <c r="F6" s="9" t="n">
        <v>8</v>
      </c>
      <c r="G6" s="10">
        <f>IF(NOT(AND(ISNUMBER($C6),ISNUMBER($E6))),"",ROUND(MOD($E6-$C6,1)*24,2))</f>
        <v>2.0</v>
      </c>
      <c r="H6" s="11" t="str">
        <f>IF(OR($F6="",$G6=""),"",IF($D6="","INCOMPLETO",IF(AND($D6&gt;=60,$F6&lt;=10,$G6&gt;0,$G6&lt;=2),"OK","ALERTA")))</f>
        <v>OK</v>
      </c>
      <c r="I6" s="7" t="inlineStr">
        <is>
          <t>Cámara 2</t>
        </is>
      </c>
      <c r="J6" s="12" t="inlineStr">
        <is>
          <t>M.S.</t>
        </is>
      </c>
      <c r="K6" s="7" t="inlineStr">
        <is>
          <t>(ejemplo)</t>
        </is>
      </c>
    </row>
    <row r="7" ht="20" customHeight="1">
      <c r="A7" s="6" t="n">
        <v>46272</v>
      </c>
      <c r="B7" s="7" t="inlineStr">
        <is>
          <t>Estofado de ternera (8 kg)</t>
        </is>
      </c>
      <c r="C7" s="8" t="n">
        <v>0.7083333333333334</v>
      </c>
      <c r="D7" s="9" t="n">
        <v>88</v>
      </c>
      <c r="E7" s="8" t="n">
        <v>0.7916666666666666</v>
      </c>
      <c r="F7" s="9" t="n">
        <v>14</v>
      </c>
      <c r="G7" s="10">
        <f>IF(NOT(AND(ISNUMBER($C7),ISNUMBER($E7))),"",ROUND(MOD($E7-$C7,1)*24,2))</f>
        <v>2.0</v>
      </c>
      <c r="H7" s="11" t="str">
        <f>IF(OR($F7="",$G7=""),"",IF($D7="","INCOMPLETO",IF(AND($D7&gt;=60,$F7&lt;=10,$G7&gt;0,$G7&lt;=2),"OK","ALERTA")))</f>
        <v>ALERTA</v>
      </c>
      <c r="I7" s="7" t="inlineStr">
        <is>
          <t>Desechado</t>
        </is>
      </c>
      <c r="J7" s="12" t="inlineStr">
        <is>
          <t>M.S.</t>
        </is>
      </c>
      <c r="K7" s="7" t="inlineStr">
        <is>
          <t>Olla demasiado llena: dividido en bandejas y desechado · incidencia INC-005 (ejemplo)</t>
        </is>
      </c>
    </row>
    <row r="8" ht="20" customHeight="1">
      <c r="A8" s="6" t="n"/>
      <c r="B8" s="7" t="n"/>
      <c r="C8" s="8" t="n"/>
      <c r="D8" s="9" t="n"/>
      <c r="E8" s="8" t="n"/>
      <c r="F8" s="9" t="n"/>
      <c r="G8" s="10">
        <f>IF(NOT(AND(ISNUMBER($C8),ISNUMBER($E8))),"",ROUND(MOD($E8-$C8,1)*24,2))</f>
      </c>
      <c r="H8" s="11">
        <f>IF(OR($F8="",$G8=""),"",IF($D8="","INCOMPLETO",IF(AND($D8&gt;=60,$F8&lt;=10,$G8&gt;0,$G8&lt;=2),"OK","ALERTA")))</f>
      </c>
      <c r="I8" s="7" t="n"/>
      <c r="J8" s="12" t="n"/>
      <c r="K8" s="7" t="n"/>
    </row>
    <row r="9" ht="20" customHeight="1">
      <c r="A9" s="6" t="n"/>
      <c r="B9" s="7" t="n"/>
      <c r="C9" s="8" t="n"/>
      <c r="D9" s="9" t="n"/>
      <c r="E9" s="8" t="n"/>
      <c r="F9" s="9" t="n"/>
      <c r="G9" s="10">
        <f>IF(NOT(AND(ISNUMBER($C9),ISNUMBER($E9))),"",ROUND(MOD($E9-$C9,1)*24,2))</f>
      </c>
      <c r="H9" s="11">
        <f>IF(OR($F9="",$G9=""),"",IF($D9="","INCOMPLETO",IF(AND($D9&gt;=60,$F9&lt;=10,$G9&gt;0,$G9&lt;=2),"OK","ALERTA")))</f>
      </c>
      <c r="I9" s="7" t="n"/>
      <c r="J9" s="12" t="n"/>
      <c r="K9" s="7" t="n"/>
    </row>
    <row r="10" ht="20" customHeight="1">
      <c r="A10" s="6" t="n"/>
      <c r="B10" s="7" t="n"/>
      <c r="C10" s="8" t="n"/>
      <c r="D10" s="9" t="n"/>
      <c r="E10" s="8" t="n"/>
      <c r="F10" s="9" t="n"/>
      <c r="G10" s="10">
        <f>IF(NOT(AND(ISNUMBER($C10),ISNUMBER($E10))),"",ROUND(MOD($E10-$C10,1)*24,2))</f>
      </c>
      <c r="H10" s="11">
        <f>IF(OR($F10="",$G10=""),"",IF($D10="","INCOMPLETO",IF(AND($D10&gt;=60,$F10&lt;=10,$G10&gt;0,$G10&lt;=2),"OK","ALERTA")))</f>
      </c>
      <c r="I10" s="7" t="n"/>
      <c r="J10" s="12" t="n"/>
      <c r="K10" s="7" t="n"/>
    </row>
    <row r="11" ht="20" customHeight="1">
      <c r="A11" s="6" t="n"/>
      <c r="B11" s="7" t="n"/>
      <c r="C11" s="8" t="n"/>
      <c r="D11" s="9" t="n"/>
      <c r="E11" s="8" t="n"/>
      <c r="F11" s="9" t="n"/>
      <c r="G11" s="10">
        <f>IF(NOT(AND(ISNUMBER($C11),ISNUMBER($E11))),"",ROUND(MOD($E11-$C11,1)*24,2))</f>
      </c>
      <c r="H11" s="11">
        <f>IF(OR($F11="",$G11=""),"",IF($D11="","INCOMPLETO",IF(AND($D11&gt;=60,$F11&lt;=10,$G11&gt;0,$G11&lt;=2),"OK","ALERTA")))</f>
      </c>
      <c r="I11" s="7" t="n"/>
      <c r="J11" s="12" t="n"/>
      <c r="K11" s="7" t="n"/>
    </row>
    <row r="12" ht="20" customHeight="1">
      <c r="A12" s="6" t="n"/>
      <c r="B12" s="7" t="n"/>
      <c r="C12" s="8" t="n"/>
      <c r="D12" s="9" t="n"/>
      <c r="E12" s="8" t="n"/>
      <c r="F12" s="9" t="n"/>
      <c r="G12" s="10">
        <f>IF(NOT(AND(ISNUMBER($C12),ISNUMBER($E12))),"",ROUND(MOD($E12-$C12,1)*24,2))</f>
      </c>
      <c r="H12" s="11">
        <f>IF(OR($F12="",$G12=""),"",IF($D12="","INCOMPLETO",IF(AND($D12&gt;=60,$F12&lt;=10,$G12&gt;0,$G12&lt;=2),"OK","ALERTA")))</f>
      </c>
      <c r="I12" s="7" t="n"/>
      <c r="J12" s="12" t="n"/>
      <c r="K12" s="7" t="n"/>
    </row>
    <row r="13" ht="20" customHeight="1">
      <c r="A13" s="6" t="n"/>
      <c r="B13" s="7" t="n"/>
      <c r="C13" s="8" t="n"/>
      <c r="D13" s="9" t="n"/>
      <c r="E13" s="8" t="n"/>
      <c r="F13" s="9" t="n"/>
      <c r="G13" s="10">
        <f>IF(NOT(AND(ISNUMBER($C13),ISNUMBER($E13))),"",ROUND(MOD($E13-$C13,1)*24,2))</f>
      </c>
      <c r="H13" s="11">
        <f>IF(OR($F13="",$G13=""),"",IF($D13="","INCOMPLETO",IF(AND($D13&gt;=60,$F13&lt;=10,$G13&gt;0,$G13&lt;=2),"OK","ALERTA")))</f>
      </c>
      <c r="I13" s="7" t="n"/>
      <c r="J13" s="12" t="n"/>
      <c r="K13" s="7" t="n"/>
    </row>
    <row r="14" ht="20" customHeight="1">
      <c r="A14" s="6" t="n"/>
      <c r="B14" s="7" t="n"/>
      <c r="C14" s="8" t="n"/>
      <c r="D14" s="9" t="n"/>
      <c r="E14" s="8" t="n"/>
      <c r="F14" s="9" t="n"/>
      <c r="G14" s="10">
        <f>IF(NOT(AND(ISNUMBER($C14),ISNUMBER($E14))),"",ROUND(MOD($E14-$C14,1)*24,2))</f>
      </c>
      <c r="H14" s="11">
        <f>IF(OR($F14="",$G14=""),"",IF($D14="","INCOMPLETO",IF(AND($D14&gt;=60,$F14&lt;=10,$G14&gt;0,$G14&lt;=2),"OK","ALERTA")))</f>
      </c>
      <c r="I14" s="7" t="n"/>
      <c r="J14" s="12" t="n"/>
      <c r="K14" s="7" t="n"/>
    </row>
    <row r="15" ht="20" customHeight="1">
      <c r="A15" s="6" t="n"/>
      <c r="B15" s="7" t="n"/>
      <c r="C15" s="8" t="n"/>
      <c r="D15" s="9" t="n"/>
      <c r="E15" s="8" t="n"/>
      <c r="F15" s="9" t="n"/>
      <c r="G15" s="10">
        <f>IF(NOT(AND(ISNUMBER($C15),ISNUMBER($E15))),"",ROUND(MOD($E15-$C15,1)*24,2))</f>
      </c>
      <c r="H15" s="11">
        <f>IF(OR($F15="",$G15=""),"",IF($D15="","INCOMPLETO",IF(AND($D15&gt;=60,$F15&lt;=10,$G15&gt;0,$G15&lt;=2),"OK","ALERTA")))</f>
      </c>
      <c r="I15" s="7" t="n"/>
      <c r="J15" s="12" t="n"/>
      <c r="K15" s="7" t="n"/>
    </row>
    <row r="16" ht="20" customHeight="1">
      <c r="A16" s="6" t="n"/>
      <c r="B16" s="7" t="n"/>
      <c r="C16" s="8" t="n"/>
      <c r="D16" s="9" t="n"/>
      <c r="E16" s="8" t="n"/>
      <c r="F16" s="9" t="n"/>
      <c r="G16" s="10">
        <f>IF(NOT(AND(ISNUMBER($C16),ISNUMBER($E16))),"",ROUND(MOD($E16-$C16,1)*24,2))</f>
      </c>
      <c r="H16" s="11">
        <f>IF(OR($F16="",$G16=""),"",IF($D16="","INCOMPLETO",IF(AND($D16&gt;=60,$F16&lt;=10,$G16&gt;0,$G16&lt;=2),"OK","ALERTA")))</f>
      </c>
      <c r="I16" s="7" t="n"/>
      <c r="J16" s="12" t="n"/>
      <c r="K16" s="7" t="n"/>
    </row>
    <row r="17" ht="20" customHeight="1">
      <c r="A17" s="6" t="n"/>
      <c r="B17" s="7" t="n"/>
      <c r="C17" s="8" t="n"/>
      <c r="D17" s="9" t="n"/>
      <c r="E17" s="8" t="n"/>
      <c r="F17" s="9" t="n"/>
      <c r="G17" s="10">
        <f>IF(NOT(AND(ISNUMBER($C17),ISNUMBER($E17))),"",ROUND(MOD($E17-$C17,1)*24,2))</f>
      </c>
      <c r="H17" s="11">
        <f>IF(OR($F17="",$G17=""),"",IF($D17="","INCOMPLETO",IF(AND($D17&gt;=60,$F17&lt;=10,$G17&gt;0,$G17&lt;=2),"OK","ALERTA")))</f>
      </c>
      <c r="I17" s="7" t="n"/>
      <c r="J17" s="12" t="n"/>
      <c r="K17" s="7" t="n"/>
    </row>
    <row r="18" ht="20" customHeight="1">
      <c r="A18" s="6" t="n"/>
      <c r="B18" s="7" t="n"/>
      <c r="C18" s="8" t="n"/>
      <c r="D18" s="9" t="n"/>
      <c r="E18" s="8" t="n"/>
      <c r="F18" s="9" t="n"/>
      <c r="G18" s="10">
        <f>IF(NOT(AND(ISNUMBER($C18),ISNUMBER($E18))),"",ROUND(MOD($E18-$C18,1)*24,2))</f>
      </c>
      <c r="H18" s="11">
        <f>IF(OR($F18="",$G18=""),"",IF($D18="","INCOMPLETO",IF(AND($D18&gt;=60,$F18&lt;=10,$G18&gt;0,$G18&lt;=2),"OK","ALERTA")))</f>
      </c>
      <c r="I18" s="7" t="n"/>
      <c r="J18" s="12" t="n"/>
      <c r="K18" s="7" t="n"/>
    </row>
    <row r="19" ht="20" customHeight="1">
      <c r="A19" s="6" t="n"/>
      <c r="B19" s="7" t="n"/>
      <c r="C19" s="8" t="n"/>
      <c r="D19" s="9" t="n"/>
      <c r="E19" s="8" t="n"/>
      <c r="F19" s="9" t="n"/>
      <c r="G19" s="10">
        <f>IF(NOT(AND(ISNUMBER($C19),ISNUMBER($E19))),"",ROUND(MOD($E19-$C19,1)*24,2))</f>
      </c>
      <c r="H19" s="11">
        <f>IF(OR($F19="",$G19=""),"",IF($D19="","INCOMPLETO",IF(AND($D19&gt;=60,$F19&lt;=10,$G19&gt;0,$G19&lt;=2),"OK","ALERTA")))</f>
      </c>
      <c r="I19" s="7" t="n"/>
      <c r="J19" s="12" t="n"/>
      <c r="K19" s="7" t="n"/>
    </row>
    <row r="20" ht="20" customHeight="1">
      <c r="A20" s="6" t="n"/>
      <c r="B20" s="7" t="n"/>
      <c r="C20" s="8" t="n"/>
      <c r="D20" s="9" t="n"/>
      <c r="E20" s="8" t="n"/>
      <c r="F20" s="9" t="n"/>
      <c r="G20" s="10">
        <f>IF(NOT(AND(ISNUMBER($C20),ISNUMBER($E20))),"",ROUND(MOD($E20-$C20,1)*24,2))</f>
      </c>
      <c r="H20" s="11">
        <f>IF(OR($F20="",$G20=""),"",IF($D20="","INCOMPLETO",IF(AND($D20&gt;=60,$F20&lt;=10,$G20&gt;0,$G20&lt;=2),"OK","ALERTA")))</f>
      </c>
      <c r="I20" s="7" t="n"/>
      <c r="J20" s="12" t="n"/>
      <c r="K20" s="7" t="n"/>
    </row>
    <row r="21" ht="20" customHeight="1">
      <c r="A21" s="6" t="n"/>
      <c r="B21" s="7" t="n"/>
      <c r="C21" s="8" t="n"/>
      <c r="D21" s="9" t="n"/>
      <c r="E21" s="8" t="n"/>
      <c r="F21" s="9" t="n"/>
      <c r="G21" s="10">
        <f>IF(NOT(AND(ISNUMBER($C21),ISNUMBER($E21))),"",ROUND(MOD($E21-$C21,1)*24,2))</f>
      </c>
      <c r="H21" s="11">
        <f>IF(OR($F21="",$G21=""),"",IF($D21="","INCOMPLETO",IF(AND($D21&gt;=60,$F21&lt;=10,$G21&gt;0,$G21&lt;=2),"OK","ALERTA")))</f>
      </c>
      <c r="I21" s="7" t="n"/>
      <c r="J21" s="12" t="n"/>
      <c r="K21" s="7" t="n"/>
    </row>
    <row r="22" ht="20" customHeight="1">
      <c r="A22" s="6" t="n"/>
      <c r="B22" s="7" t="n"/>
      <c r="C22" s="8" t="n"/>
      <c r="D22" s="9" t="n"/>
      <c r="E22" s="8" t="n"/>
      <c r="F22" s="9" t="n"/>
      <c r="G22" s="10">
        <f>IF(NOT(AND(ISNUMBER($C22),ISNUMBER($E22))),"",ROUND(MOD($E22-$C22,1)*24,2))</f>
      </c>
      <c r="H22" s="11">
        <f>IF(OR($F22="",$G22=""),"",IF($D22="","INCOMPLETO",IF(AND($D22&gt;=60,$F22&lt;=10,$G22&gt;0,$G22&lt;=2),"OK","ALERTA")))</f>
      </c>
      <c r="I22" s="7" t="n"/>
      <c r="J22" s="12" t="n"/>
      <c r="K22" s="7" t="n"/>
    </row>
    <row r="23" ht="20" customHeight="1">
      <c r="A23" s="6" t="n"/>
      <c r="B23" s="7" t="n"/>
      <c r="C23" s="8" t="n"/>
      <c r="D23" s="9" t="n"/>
      <c r="E23" s="8" t="n"/>
      <c r="F23" s="9" t="n"/>
      <c r="G23" s="10">
        <f>IF(NOT(AND(ISNUMBER($C23),ISNUMBER($E23))),"",ROUND(MOD($E23-$C23,1)*24,2))</f>
      </c>
      <c r="H23" s="11">
        <f>IF(OR($F23="",$G23=""),"",IF($D23="","INCOMPLETO",IF(AND($D23&gt;=60,$F23&lt;=10,$G23&gt;0,$G23&lt;=2),"OK","ALERTA")))</f>
      </c>
      <c r="I23" s="7" t="n"/>
      <c r="J23" s="12" t="n"/>
      <c r="K23" s="7" t="n"/>
    </row>
    <row r="24" ht="20" customHeight="1">
      <c r="A24" s="6" t="n"/>
      <c r="B24" s="7" t="n"/>
      <c r="C24" s="8" t="n"/>
      <c r="D24" s="9" t="n"/>
      <c r="E24" s="8" t="n"/>
      <c r="F24" s="9" t="n"/>
      <c r="G24" s="10">
        <f>IF(NOT(AND(ISNUMBER($C24),ISNUMBER($E24))),"",ROUND(MOD($E24-$C24,1)*24,2))</f>
      </c>
      <c r="H24" s="11">
        <f>IF(OR($F24="",$G24=""),"",IF($D24="","INCOMPLETO",IF(AND($D24&gt;=60,$F24&lt;=10,$G24&gt;0,$G24&lt;=2),"OK","ALERTA")))</f>
      </c>
      <c r="I24" s="7" t="n"/>
      <c r="J24" s="12" t="n"/>
      <c r="K24" s="7" t="n"/>
    </row>
    <row r="25" ht="20" customHeight="1">
      <c r="A25" s="6" t="n"/>
      <c r="B25" s="7" t="n"/>
      <c r="C25" s="8" t="n"/>
      <c r="D25" s="9" t="n"/>
      <c r="E25" s="8" t="n"/>
      <c r="F25" s="9" t="n"/>
      <c r="G25" s="10">
        <f>IF(NOT(AND(ISNUMBER($C25),ISNUMBER($E25))),"",ROUND(MOD($E25-$C25,1)*24,2))</f>
      </c>
      <c r="H25" s="11">
        <f>IF(OR($F25="",$G25=""),"",IF($D25="","INCOMPLETO",IF(AND($D25&gt;=60,$F25&lt;=10,$G25&gt;0,$G25&lt;=2),"OK","ALERTA")))</f>
      </c>
      <c r="I25" s="7" t="n"/>
      <c r="J25" s="12" t="n"/>
      <c r="K25" s="7" t="n"/>
    </row>
    <row r="26" ht="20" customHeight="1">
      <c r="A26" s="6" t="n"/>
      <c r="B26" s="7" t="n"/>
      <c r="C26" s="8" t="n"/>
      <c r="D26" s="9" t="n"/>
      <c r="E26" s="8" t="n"/>
      <c r="F26" s="9" t="n"/>
      <c r="G26" s="10">
        <f>IF(NOT(AND(ISNUMBER($C26),ISNUMBER($E26))),"",ROUND(MOD($E26-$C26,1)*24,2))</f>
      </c>
      <c r="H26" s="11">
        <f>IF(OR($F26="",$G26=""),"",IF($D26="","INCOMPLETO",IF(AND($D26&gt;=60,$F26&lt;=10,$G26&gt;0,$G26&lt;=2),"OK","ALERTA")))</f>
      </c>
      <c r="I26" s="7" t="n"/>
      <c r="J26" s="12" t="n"/>
      <c r="K26" s="7" t="n"/>
    </row>
    <row r="27" ht="20" customHeight="1">
      <c r="A27" s="6" t="n"/>
      <c r="B27" s="7" t="n"/>
      <c r="C27" s="8" t="n"/>
      <c r="D27" s="9" t="n"/>
      <c r="E27" s="8" t="n"/>
      <c r="F27" s="9" t="n"/>
      <c r="G27" s="10">
        <f>IF(NOT(AND(ISNUMBER($C27),ISNUMBER($E27))),"",ROUND(MOD($E27-$C27,1)*24,2))</f>
      </c>
      <c r="H27" s="11">
        <f>IF(OR($F27="",$G27=""),"",IF($D27="","INCOMPLETO",IF(AND($D27&gt;=60,$F27&lt;=10,$G27&gt;0,$G27&lt;=2),"OK","ALERTA")))</f>
      </c>
      <c r="I27" s="7" t="n"/>
      <c r="J27" s="12" t="n"/>
      <c r="K27" s="7" t="n"/>
    </row>
    <row r="28" ht="20" customHeight="1">
      <c r="A28" s="6" t="n"/>
      <c r="B28" s="7" t="n"/>
      <c r="C28" s="8" t="n"/>
      <c r="D28" s="9" t="n"/>
      <c r="E28" s="8" t="n"/>
      <c r="F28" s="9" t="n"/>
      <c r="G28" s="10">
        <f>IF(NOT(AND(ISNUMBER($C28),ISNUMBER($E28))),"",ROUND(MOD($E28-$C28,1)*24,2))</f>
      </c>
      <c r="H28" s="11">
        <f>IF(OR($F28="",$G28=""),"",IF($D28="","INCOMPLETO",IF(AND($D28&gt;=60,$F28&lt;=10,$G28&gt;0,$G28&lt;=2),"OK","ALERTA")))</f>
      </c>
      <c r="I28" s="7" t="n"/>
      <c r="J28" s="12" t="n"/>
      <c r="K28" s="7" t="n"/>
    </row>
    <row r="29" ht="20" customHeight="1">
      <c r="A29" s="6" t="n"/>
      <c r="B29" s="7" t="n"/>
      <c r="C29" s="8" t="n"/>
      <c r="D29" s="9" t="n"/>
      <c r="E29" s="8" t="n"/>
      <c r="F29" s="9" t="n"/>
      <c r="G29" s="10">
        <f>IF(NOT(AND(ISNUMBER($C29),ISNUMBER($E29))),"",ROUND(MOD($E29-$C29,1)*24,2))</f>
      </c>
      <c r="H29" s="11">
        <f>IF(OR($F29="",$G29=""),"",IF($D29="","INCOMPLETO",IF(AND($D29&gt;=60,$F29&lt;=10,$G29&gt;0,$G29&lt;=2),"OK","ALERTA")))</f>
      </c>
      <c r="I29" s="7" t="n"/>
      <c r="J29" s="12" t="n"/>
      <c r="K29" s="7" t="n"/>
    </row>
    <row r="30" ht="20" customHeight="1">
      <c r="A30" s="6" t="n"/>
      <c r="B30" s="7" t="n"/>
      <c r="C30" s="8" t="n"/>
      <c r="D30" s="9" t="n"/>
      <c r="E30" s="8" t="n"/>
      <c r="F30" s="9" t="n"/>
      <c r="G30" s="10">
        <f>IF(NOT(AND(ISNUMBER($C30),ISNUMBER($E30))),"",ROUND(MOD($E30-$C30,1)*24,2))</f>
      </c>
      <c r="H30" s="11">
        <f>IF(OR($F30="",$G30=""),"",IF($D30="","INCOMPLETO",IF(AND($D30&gt;=60,$F30&lt;=10,$G30&gt;0,$G30&lt;=2),"OK","ALERTA")))</f>
      </c>
      <c r="I30" s="7" t="n"/>
      <c r="J30" s="12" t="n"/>
      <c r="K30" s="7" t="n"/>
    </row>
    <row r="31" ht="20" customHeight="1">
      <c r="A31" s="6" t="n"/>
      <c r="B31" s="7" t="n"/>
      <c r="C31" s="8" t="n"/>
      <c r="D31" s="9" t="n"/>
      <c r="E31" s="8" t="n"/>
      <c r="F31" s="9" t="n"/>
      <c r="G31" s="10">
        <f>IF(NOT(AND(ISNUMBER($C31),ISNUMBER($E31))),"",ROUND(MOD($E31-$C31,1)*24,2))</f>
      </c>
      <c r="H31" s="11">
        <f>IF(OR($F31="",$G31=""),"",IF($D31="","INCOMPLETO",IF(AND($D31&gt;=60,$F31&lt;=10,$G31&gt;0,$G31&lt;=2),"OK","ALERTA")))</f>
      </c>
      <c r="I31" s="7" t="n"/>
      <c r="J31" s="12" t="n"/>
      <c r="K31" s="7" t="n"/>
    </row>
    <row r="32" ht="20" customHeight="1">
      <c r="A32" s="6" t="n"/>
      <c r="B32" s="7" t="n"/>
      <c r="C32" s="8" t="n"/>
      <c r="D32" s="9" t="n"/>
      <c r="E32" s="8" t="n"/>
      <c r="F32" s="9" t="n"/>
      <c r="G32" s="10">
        <f>IF(NOT(AND(ISNUMBER($C32),ISNUMBER($E32))),"",ROUND(MOD($E32-$C32,1)*24,2))</f>
      </c>
      <c r="H32" s="11">
        <f>IF(OR($F32="",$G32=""),"",IF($D32="","INCOMPLETO",IF(AND($D32&gt;=60,$F32&lt;=10,$G32&gt;0,$G32&lt;=2),"OK","ALERTA")))</f>
      </c>
      <c r="I32" s="7" t="n"/>
      <c r="J32" s="12" t="n"/>
      <c r="K32" s="7" t="n"/>
    </row>
    <row r="33" ht="20" customHeight="1">
      <c r="A33" s="6" t="n"/>
      <c r="B33" s="7" t="n"/>
      <c r="C33" s="8" t="n"/>
      <c r="D33" s="9" t="n"/>
      <c r="E33" s="8" t="n"/>
      <c r="F33" s="9" t="n"/>
      <c r="G33" s="10">
        <f>IF(NOT(AND(ISNUMBER($C33),ISNUMBER($E33))),"",ROUND(MOD($E33-$C33,1)*24,2))</f>
      </c>
      <c r="H33" s="11">
        <f>IF(OR($F33="",$G33=""),"",IF($D33="","INCOMPLETO",IF(AND($D33&gt;=60,$F33&lt;=10,$G33&gt;0,$G33&lt;=2),"OK","ALERTA")))</f>
      </c>
      <c r="I33" s="7" t="n"/>
      <c r="J33" s="12" t="n"/>
      <c r="K33" s="7" t="n"/>
    </row>
    <row r="34" ht="20" customHeight="1">
      <c r="A34" s="6" t="n"/>
      <c r="B34" s="7" t="n"/>
      <c r="C34" s="8" t="n"/>
      <c r="D34" s="9" t="n"/>
      <c r="E34" s="8" t="n"/>
      <c r="F34" s="9" t="n"/>
      <c r="G34" s="10">
        <f>IF(NOT(AND(ISNUMBER($C34),ISNUMBER($E34))),"",ROUND(MOD($E34-$C34,1)*24,2))</f>
      </c>
      <c r="H34" s="11">
        <f>IF(OR($F34="",$G34=""),"",IF($D34="","INCOMPLETO",IF(AND($D34&gt;=60,$F34&lt;=10,$G34&gt;0,$G34&lt;=2),"OK","ALERTA")))</f>
      </c>
      <c r="I34" s="7" t="n"/>
      <c r="J34" s="12" t="n"/>
      <c r="K34" s="7" t="n"/>
    </row>
    <row r="35" ht="20" customHeight="1">
      <c r="A35" s="6" t="n"/>
      <c r="B35" s="7" t="n"/>
      <c r="C35" s="8" t="n"/>
      <c r="D35" s="9" t="n"/>
      <c r="E35" s="8" t="n"/>
      <c r="F35" s="9" t="n"/>
      <c r="G35" s="10">
        <f>IF(NOT(AND(ISNUMBER($C35),ISNUMBER($E35))),"",ROUND(MOD($E35-$C35,1)*24,2))</f>
      </c>
      <c r="H35" s="11">
        <f>IF(OR($F35="",$G35=""),"",IF($D35="","INCOMPLETO",IF(AND($D35&gt;=60,$F35&lt;=10,$G35&gt;0,$G35&lt;=2),"OK","ALERTA")))</f>
      </c>
      <c r="I35" s="7" t="n"/>
      <c r="J35" s="12" t="n"/>
      <c r="K35" s="7" t="n"/>
    </row>
    <row r="36" ht="20" customHeight="1">
      <c r="A36" s="6" t="n"/>
      <c r="B36" s="7" t="n"/>
      <c r="C36" s="8" t="n"/>
      <c r="D36" s="9" t="n"/>
      <c r="E36" s="8" t="n"/>
      <c r="F36" s="9" t="n"/>
      <c r="G36" s="10">
        <f>IF(NOT(AND(ISNUMBER($C36),ISNUMBER($E36))),"",ROUND(MOD($E36-$C36,1)*24,2))</f>
      </c>
      <c r="H36" s="11">
        <f>IF(OR($F36="",$G36=""),"",IF($D36="","INCOMPLETO",IF(AND($D36&gt;=60,$F36&lt;=10,$G36&gt;0,$G36&lt;=2),"OK","ALERTA")))</f>
      </c>
      <c r="I36" s="7" t="n"/>
      <c r="J36" s="12" t="n"/>
      <c r="K36" s="7" t="n"/>
    </row>
    <row r="37" ht="20" customHeight="1">
      <c r="A37" s="6" t="n"/>
      <c r="B37" s="7" t="n"/>
      <c r="C37" s="8" t="n"/>
      <c r="D37" s="9" t="n"/>
      <c r="E37" s="8" t="n"/>
      <c r="F37" s="9" t="n"/>
      <c r="G37" s="10">
        <f>IF(NOT(AND(ISNUMBER($C37),ISNUMBER($E37))),"",ROUND(MOD($E37-$C37,1)*24,2))</f>
      </c>
      <c r="H37" s="11">
        <f>IF(OR($F37="",$G37=""),"",IF($D37="","INCOMPLETO",IF(AND($D37&gt;=60,$F37&lt;=10,$G37&gt;0,$G37&lt;=2),"OK","ALERTA")))</f>
      </c>
      <c r="I37" s="7" t="n"/>
      <c r="J37" s="12" t="n"/>
      <c r="K37" s="7" t="n"/>
    </row>
    <row r="38" ht="20" customHeight="1">
      <c r="A38" s="6" t="n"/>
      <c r="B38" s="7" t="n"/>
      <c r="C38" s="8" t="n"/>
      <c r="D38" s="9" t="n"/>
      <c r="E38" s="8" t="n"/>
      <c r="F38" s="9" t="n"/>
      <c r="G38" s="10">
        <f>IF(NOT(AND(ISNUMBER($C38),ISNUMBER($E38))),"",ROUND(MOD($E38-$C38,1)*24,2))</f>
      </c>
      <c r="H38" s="11">
        <f>IF(OR($F38="",$G38=""),"",IF($D38="","INCOMPLETO",IF(AND($D38&gt;=60,$F38&lt;=10,$G38&gt;0,$G38&lt;=2),"OK","ALERTA")))</f>
      </c>
      <c r="I38" s="7" t="n"/>
      <c r="J38" s="12" t="n"/>
      <c r="K38" s="7" t="n"/>
    </row>
    <row r="39" ht="20" customHeight="1">
      <c r="A39" s="6" t="n"/>
      <c r="B39" s="7" t="n"/>
      <c r="C39" s="8" t="n"/>
      <c r="D39" s="9" t="n"/>
      <c r="E39" s="8" t="n"/>
      <c r="F39" s="9" t="n"/>
      <c r="G39" s="10">
        <f>IF(NOT(AND(ISNUMBER($C39),ISNUMBER($E39))),"",ROUND(MOD($E39-$C39,1)*24,2))</f>
      </c>
      <c r="H39" s="11">
        <f>IF(OR($F39="",$G39=""),"",IF($D39="","INCOMPLETO",IF(AND($D39&gt;=60,$F39&lt;=10,$G39&gt;0,$G39&lt;=2),"OK","ALERTA")))</f>
      </c>
      <c r="I39" s="7" t="n"/>
      <c r="J39" s="12" t="n"/>
      <c r="K39" s="7" t="n"/>
    </row>
    <row r="40" ht="20" customHeight="1">
      <c r="A40" s="6" t="n"/>
      <c r="B40" s="7" t="n"/>
      <c r="C40" s="8" t="n"/>
      <c r="D40" s="9" t="n"/>
      <c r="E40" s="8" t="n"/>
      <c r="F40" s="9" t="n"/>
      <c r="G40" s="10">
        <f>IF(NOT(AND(ISNUMBER($C40),ISNUMBER($E40))),"",ROUND(MOD($E40-$C40,1)*24,2))</f>
      </c>
      <c r="H40" s="11">
        <f>IF(OR($F40="",$G40=""),"",IF($D40="","INCOMPLETO",IF(AND($D40&gt;=60,$F40&lt;=10,$G40&gt;0,$G40&lt;=2),"OK","ALERTA")))</f>
      </c>
      <c r="I40" s="7" t="n"/>
      <c r="J40" s="12" t="n"/>
      <c r="K40" s="7" t="n"/>
    </row>
    <row r="41" ht="20" customHeight="1">
      <c r="A41" s="6" t="n"/>
      <c r="B41" s="7" t="n"/>
      <c r="C41" s="8" t="n"/>
      <c r="D41" s="9" t="n"/>
      <c r="E41" s="8" t="n"/>
      <c r="F41" s="9" t="n"/>
      <c r="G41" s="10">
        <f>IF(NOT(AND(ISNUMBER($C41),ISNUMBER($E41))),"",ROUND(MOD($E41-$C41,1)*24,2))</f>
      </c>
      <c r="H41" s="11">
        <f>IF(OR($F41="",$G41=""),"",IF($D41="","INCOMPLETO",IF(AND($D41&gt;=60,$F41&lt;=10,$G41&gt;0,$G41&lt;=2),"OK","ALERTA")))</f>
      </c>
      <c r="I41" s="7" t="n"/>
      <c r="J41" s="12" t="n"/>
      <c r="K41" s="7" t="n"/>
    </row>
    <row r="42" ht="20" customHeight="1">
      <c r="A42" s="6" t="n"/>
      <c r="B42" s="7" t="n"/>
      <c r="C42" s="8" t="n"/>
      <c r="D42" s="9" t="n"/>
      <c r="E42" s="8" t="n"/>
      <c r="F42" s="9" t="n"/>
      <c r="G42" s="10">
        <f>IF(NOT(AND(ISNUMBER($C42),ISNUMBER($E42))),"",ROUND(MOD($E42-$C42,1)*24,2))</f>
      </c>
      <c r="H42" s="11">
        <f>IF(OR($F42="",$G42=""),"",IF($D42="","INCOMPLETO",IF(AND($D42&gt;=60,$F42&lt;=10,$G42&gt;0,$G42&lt;=2),"OK","ALERTA")))</f>
      </c>
      <c r="I42" s="7" t="n"/>
      <c r="J42" s="12" t="n"/>
      <c r="K42" s="7" t="n"/>
    </row>
    <row r="43" ht="20" customHeight="1">
      <c r="A43" s="6" t="n"/>
      <c r="B43" s="7" t="n"/>
      <c r="C43" s="8" t="n"/>
      <c r="D43" s="9" t="n"/>
      <c r="E43" s="8" t="n"/>
      <c r="F43" s="9" t="n"/>
      <c r="G43" s="10">
        <f>IF(NOT(AND(ISNUMBER($C43),ISNUMBER($E43))),"",ROUND(MOD($E43-$C43,1)*24,2))</f>
      </c>
      <c r="H43" s="11">
        <f>IF(OR($F43="",$G43=""),"",IF($D43="","INCOMPLETO",IF(AND($D43&gt;=60,$F43&lt;=10,$G43&gt;0,$G43&lt;=2),"OK","ALERTA")))</f>
      </c>
      <c r="I43" s="7" t="n"/>
      <c r="J43" s="12" t="n"/>
      <c r="K43" s="7" t="n"/>
    </row>
    <row r="44" ht="20" customHeight="1">
      <c r="A44" s="6" t="n"/>
      <c r="B44" s="7" t="n"/>
      <c r="C44" s="8" t="n"/>
      <c r="D44" s="9" t="n"/>
      <c r="E44" s="8" t="n"/>
      <c r="F44" s="9" t="n"/>
      <c r="G44" s="10">
        <f>IF(NOT(AND(ISNUMBER($C44),ISNUMBER($E44))),"",ROUND(MOD($E44-$C44,1)*24,2))</f>
      </c>
      <c r="H44" s="11">
        <f>IF(OR($F44="",$G44=""),"",IF($D44="","INCOMPLETO",IF(AND($D44&gt;=60,$F44&lt;=10,$G44&gt;0,$G44&lt;=2),"OK","ALERTA")))</f>
      </c>
      <c r="I44" s="7" t="n"/>
      <c r="J44" s="12" t="n"/>
      <c r="K44" s="7" t="n"/>
    </row>
    <row r="45"/>
    <row r="46" ht="24.5" customHeight="1">
      <c r="A46" s="13" t="inlineStr">
        <is>
          <t>Anota la hora y la temperatura al empezar y vuelve a medir a las DOS horas. Si a las 2 h el producto no ha bajado a 10 °C o menos, la columna «Estado» dice ALERTA: reparte el producto en recipientes más pequeños y planos, o deséchalo, y abre la incidencia en el registro 11.</t>
        </is>
      </c>
    </row>
    <row r="47" ht="12.2" customHeight="1">
      <c r="A47" s="13" t="inlineStr">
        <is>
          <t>La «T.ª inicio» no es opcional: sin ella la fila dice INCOMPLETO en ámbar, porque no se puede acreditar que el producto pasara de 60 °C a 10 °C. Y si las dos horas son la misma, tampoco: un intervalo de cero no acredita nada.</t>
        </is>
      </c>
    </row>
    <row r="48" ht="12.2" customHeight="1">
      <c r="A48" s="13" t="inlineStr">
        <is>
          <t>Truco que evita casi todas las alertas: bandejas de menos de 5 cm de altura, sin tapar hasta que baje de 20 °C, y abatidor si lo tienes.</t>
        </is>
      </c>
    </row>
    <row r="49" ht="12.2" customHeight="1">
      <c r="A49" s="13" t="inlineStr">
        <is>
          <t>La hoja calcula el tiempo transcurrido aunque el enfriamiento cruce la medianoche.</t>
        </is>
      </c>
    </row>
    <row r="50" ht="12.2" customHeight="1">
      <c r="A50" s="13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51" ht="12.2" customHeight="1">
      <c r="A51" s="13" t="inlineStr">
        <is>
          <t>— Pack de Plantillas APPCC · AI Chef Pro · aichef.pro</t>
        </is>
      </c>
    </row>
  </sheetData>
  <mergeCells count="7">
    <mergeCell ref="A49:K49"/>
    <mergeCell ref="A47:K47"/>
    <mergeCell ref="A1:K1"/>
    <mergeCell ref="A50:K50"/>
    <mergeCell ref="A51:K51"/>
    <mergeCell ref="A46:K46"/>
    <mergeCell ref="A48:K48"/>
  </mergeCells>
  <conditionalFormatting sqref="H5:H44">
    <cfRule type="expression" priority="1" dxfId="0" stopIfTrue="1">
      <formula>OR(H5="ALERTA",H5="RECHAZAR",H5="CAMBIAR",H5="REVISAR",H5="✗",H5="CADUCADO",H5="EXCESO")</formula>
    </cfRule>
    <cfRule type="expression" priority="2" dxfId="1" stopIfTrue="1">
      <formula>OR(H5="VIGILAR",H5="⚠",H5="INCOMPLETO",H5="CADUCA PRONTO",H5="RENOVAR",H5="FALTA CLORO",H5="FALTA TEST")</formula>
    </cfRule>
    <cfRule type="expression" priority="3" dxfId="2" stopIfTrue="1">
      <formula>OR(H5="OK",H5="✓",H5="Cumple",H5="VIGENTE",H5="Completo",H5="APTO")</formula>
    </cfRule>
  </conditionalFormatting>
  <dataValidations count="3">
    <dataValidation sqref="A5:A44" showDropDown="0" showInputMessage="0" showErrorMessage="1" allowBlank="1" errorTitle="Fecha" error="Escribe una fecha (por ejemplo 05/09/2026)." type="date" errorStyle="stop" operator="between">
      <formula1>DATE(2000,1,1)</formula1>
      <formula2>DATE(2100,12,31)</formula2>
    </dataValidation>
    <dataValidation sqref="D5:D44 F5:F44" showDropDown="0" showInputMessage="0" showErrorMessage="1" allowBlank="1" errorTitle="Temperatura" error="Introduce la temperatura en °C, entre -30 y 130." type="decimal" errorStyle="stop" operator="between">
      <formula1>-30</formula1>
      <formula2>130</formula2>
    </dataValidation>
    <dataValidation sqref="C5:C44 E5:E44" showDropDown="0" showInputMessage="0" showErrorMessage="1" allowBlank="1" errorTitle="Hora" error="Escribe la hora como HORA (por ejemplo 16:00), no como texto: la columna «Tiempo (h)» las resta y un texto no se resta." type="time" errorStyle="stop" operator="between">
      <formula1>TIME(0,0,0)</formula1>
      <formula2>TIME(23,59,59)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4" customWidth="1" min="4" max="4"/>
    <col width="26" customWidth="1" min="5" max="5"/>
    <col width="16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>
      <c r="A1" s="4" t="inlineStr">
        <is>
          <t>Registro de Descongelación Controlada</t>
        </is>
      </c>
    </row>
    <row r="2">
      <c r="A2" t="inlineStr">
        <is>
          <t>Mes: _______________    En refrigeración a 4 °C o menos, el producto tapado y sobre una bandeja que recoja el exudado. Nunca a temperatura ambiente.</t>
        </is>
      </c>
    </row>
    <row r="3"/>
    <row r="4" ht="30" customHeight="1">
      <c r="A4" s="5" t="inlineStr">
        <is>
          <t>Fecha</t>
        </is>
      </c>
      <c r="B4" s="5" t="inlineStr">
        <is>
          <t>Producto</t>
        </is>
      </c>
      <c r="C4" s="5" t="inlineStr">
        <is>
          <t>Nº lote</t>
        </is>
      </c>
      <c r="D4" s="5" t="inlineStr">
        <is>
          <t>Inicio (fecha y hora)</t>
        </is>
      </c>
      <c r="E4" s="5" t="inlineStr">
        <is>
          <t>Fin / puesta en uso (fecha y hora)</t>
        </is>
      </c>
      <c r="F4" s="5" t="inlineStr">
        <is>
          <t>T.ª cámara (°C)</t>
        </is>
      </c>
      <c r="G4" s="5" t="inlineStr">
        <is>
          <t>Duración (h)</t>
        </is>
      </c>
      <c r="H4" s="5" t="inlineStr">
        <is>
          <t>Estado</t>
        </is>
      </c>
      <c r="I4" s="5" t="inlineStr">
        <is>
          <t>Responsable</t>
        </is>
      </c>
      <c r="J4" s="5" t="inlineStr">
        <is>
          <t>Observaciones</t>
        </is>
      </c>
    </row>
    <row r="5" ht="20" customHeight="1">
      <c r="A5" s="6" t="n">
        <v>46270</v>
      </c>
      <c r="B5" s="7" t="inlineStr">
        <is>
          <t>Solomillo de cerdo congelado</t>
        </is>
      </c>
      <c r="C5" s="12" t="inlineStr">
        <is>
          <t>L-2026-0918</t>
        </is>
      </c>
      <c r="D5" s="14" t="n">
        <v>46270.375</v>
      </c>
      <c r="E5" s="14" t="n">
        <v>46271.33333333334</v>
      </c>
      <c r="F5" s="9" t="n">
        <v>3</v>
      </c>
      <c r="G5" s="15">
        <f>IF(NOT(AND(ISNUMBER($D5),ISNUMBER($E5))),"",ROUND(($E5-$D5)*24,1))</f>
        <v>23.0</v>
      </c>
      <c r="H5" s="11" t="str">
        <f>IF(OR($F5="",$G5=""),"",IF(AND($F5&lt;=4,$G5&lt;=24),"OK","ALERTA"))</f>
        <v>OK</v>
      </c>
      <c r="I5" s="12" t="inlineStr">
        <is>
          <t>A.R.</t>
        </is>
      </c>
      <c r="J5" s="7" t="inlineStr">
        <is>
          <t>(ejemplo)</t>
        </is>
      </c>
    </row>
    <row r="6" ht="20" customHeight="1">
      <c r="A6" s="6" t="n">
        <v>46272</v>
      </c>
      <c r="B6" s="7" t="inlineStr">
        <is>
          <t>Gambas congeladas</t>
        </is>
      </c>
      <c r="C6" s="12" t="inlineStr">
        <is>
          <t>L-2026-0921</t>
        </is>
      </c>
      <c r="D6" s="14" t="n">
        <v>46272.75</v>
      </c>
      <c r="E6" s="14" t="n">
        <v>46273.45833333334</v>
      </c>
      <c r="F6" s="9" t="n">
        <v>2.5</v>
      </c>
      <c r="G6" s="15">
        <f>IF(NOT(AND(ISNUMBER($D6),ISNUMBER($E6))),"",ROUND(($E6-$D6)*24,1))</f>
        <v>17.0</v>
      </c>
      <c r="H6" s="11" t="str">
        <f>IF(OR($F6="",$G6=""),"",IF(AND($F6&lt;=4,$G6&lt;=24),"OK","ALERTA"))</f>
        <v>OK</v>
      </c>
      <c r="I6" s="12" t="inlineStr">
        <is>
          <t>M.S.</t>
        </is>
      </c>
      <c r="J6" s="7" t="inlineStr">
        <is>
          <t>(ejemplo)</t>
        </is>
      </c>
    </row>
    <row r="7" ht="20" customHeight="1">
      <c r="A7" s="6" t="n"/>
      <c r="B7" s="7" t="n"/>
      <c r="C7" s="12" t="n"/>
      <c r="D7" s="14" t="n"/>
      <c r="E7" s="14" t="n"/>
      <c r="F7" s="9" t="n"/>
      <c r="G7" s="15">
        <f>IF(NOT(AND(ISNUMBER($D7),ISNUMBER($E7))),"",ROUND(($E7-$D7)*24,1))</f>
      </c>
      <c r="H7" s="11">
        <f>IF(OR($F7="",$G7=""),"",IF(AND($F7&lt;=4,$G7&lt;=24),"OK","ALERTA"))</f>
      </c>
      <c r="I7" s="12" t="n"/>
      <c r="J7" s="7" t="n"/>
    </row>
    <row r="8" ht="20" customHeight="1">
      <c r="A8" s="6" t="n"/>
      <c r="B8" s="7" t="n"/>
      <c r="C8" s="12" t="n"/>
      <c r="D8" s="14" t="n"/>
      <c r="E8" s="14" t="n"/>
      <c r="F8" s="9" t="n"/>
      <c r="G8" s="15">
        <f>IF(NOT(AND(ISNUMBER($D8),ISNUMBER($E8))),"",ROUND(($E8-$D8)*24,1))</f>
      </c>
      <c r="H8" s="11">
        <f>IF(OR($F8="",$G8=""),"",IF(AND($F8&lt;=4,$G8&lt;=24),"OK","ALERTA"))</f>
      </c>
      <c r="I8" s="12" t="n"/>
      <c r="J8" s="7" t="n"/>
    </row>
    <row r="9" ht="20" customHeight="1">
      <c r="A9" s="6" t="n"/>
      <c r="B9" s="7" t="n"/>
      <c r="C9" s="12" t="n"/>
      <c r="D9" s="14" t="n"/>
      <c r="E9" s="14" t="n"/>
      <c r="F9" s="9" t="n"/>
      <c r="G9" s="15">
        <f>IF(NOT(AND(ISNUMBER($D9),ISNUMBER($E9))),"",ROUND(($E9-$D9)*24,1))</f>
      </c>
      <c r="H9" s="11">
        <f>IF(OR($F9="",$G9=""),"",IF(AND($F9&lt;=4,$G9&lt;=24),"OK","ALERTA"))</f>
      </c>
      <c r="I9" s="12" t="n"/>
      <c r="J9" s="7" t="n"/>
    </row>
    <row r="10" ht="20" customHeight="1">
      <c r="A10" s="6" t="n"/>
      <c r="B10" s="7" t="n"/>
      <c r="C10" s="12" t="n"/>
      <c r="D10" s="14" t="n"/>
      <c r="E10" s="14" t="n"/>
      <c r="F10" s="9" t="n"/>
      <c r="G10" s="15">
        <f>IF(NOT(AND(ISNUMBER($D10),ISNUMBER($E10))),"",ROUND(($E10-$D10)*24,1))</f>
      </c>
      <c r="H10" s="11">
        <f>IF(OR($F10="",$G10=""),"",IF(AND($F10&lt;=4,$G10&lt;=24),"OK","ALERTA"))</f>
      </c>
      <c r="I10" s="12" t="n"/>
      <c r="J10" s="7" t="n"/>
    </row>
    <row r="11" ht="20" customHeight="1">
      <c r="A11" s="6" t="n"/>
      <c r="B11" s="7" t="n"/>
      <c r="C11" s="12" t="n"/>
      <c r="D11" s="14" t="n"/>
      <c r="E11" s="14" t="n"/>
      <c r="F11" s="9" t="n"/>
      <c r="G11" s="15">
        <f>IF(NOT(AND(ISNUMBER($D11),ISNUMBER($E11))),"",ROUND(($E11-$D11)*24,1))</f>
      </c>
      <c r="H11" s="11">
        <f>IF(OR($F11="",$G11=""),"",IF(AND($F11&lt;=4,$G11&lt;=24),"OK","ALERTA"))</f>
      </c>
      <c r="I11" s="12" t="n"/>
      <c r="J11" s="7" t="n"/>
    </row>
    <row r="12" ht="20" customHeight="1">
      <c r="A12" s="6" t="n"/>
      <c r="B12" s="7" t="n"/>
      <c r="C12" s="12" t="n"/>
      <c r="D12" s="14" t="n"/>
      <c r="E12" s="14" t="n"/>
      <c r="F12" s="9" t="n"/>
      <c r="G12" s="15">
        <f>IF(NOT(AND(ISNUMBER($D12),ISNUMBER($E12))),"",ROUND(($E12-$D12)*24,1))</f>
      </c>
      <c r="H12" s="11">
        <f>IF(OR($F12="",$G12=""),"",IF(AND($F12&lt;=4,$G12&lt;=24),"OK","ALERTA"))</f>
      </c>
      <c r="I12" s="12" t="n"/>
      <c r="J12" s="7" t="n"/>
    </row>
    <row r="13" ht="20" customHeight="1">
      <c r="A13" s="6" t="n"/>
      <c r="B13" s="7" t="n"/>
      <c r="C13" s="12" t="n"/>
      <c r="D13" s="14" t="n"/>
      <c r="E13" s="14" t="n"/>
      <c r="F13" s="9" t="n"/>
      <c r="G13" s="15">
        <f>IF(NOT(AND(ISNUMBER($D13),ISNUMBER($E13))),"",ROUND(($E13-$D13)*24,1))</f>
      </c>
      <c r="H13" s="11">
        <f>IF(OR($F13="",$G13=""),"",IF(AND($F13&lt;=4,$G13&lt;=24),"OK","ALERTA"))</f>
      </c>
      <c r="I13" s="12" t="n"/>
      <c r="J13" s="7" t="n"/>
    </row>
    <row r="14" ht="20" customHeight="1">
      <c r="A14" s="6" t="n"/>
      <c r="B14" s="7" t="n"/>
      <c r="C14" s="12" t="n"/>
      <c r="D14" s="14" t="n"/>
      <c r="E14" s="14" t="n"/>
      <c r="F14" s="9" t="n"/>
      <c r="G14" s="15">
        <f>IF(NOT(AND(ISNUMBER($D14),ISNUMBER($E14))),"",ROUND(($E14-$D14)*24,1))</f>
      </c>
      <c r="H14" s="11">
        <f>IF(OR($F14="",$G14=""),"",IF(AND($F14&lt;=4,$G14&lt;=24),"OK","ALERTA"))</f>
      </c>
      <c r="I14" s="12" t="n"/>
      <c r="J14" s="7" t="n"/>
    </row>
    <row r="15" ht="20" customHeight="1">
      <c r="A15" s="6" t="n"/>
      <c r="B15" s="7" t="n"/>
      <c r="C15" s="12" t="n"/>
      <c r="D15" s="14" t="n"/>
      <c r="E15" s="14" t="n"/>
      <c r="F15" s="9" t="n"/>
      <c r="G15" s="15">
        <f>IF(NOT(AND(ISNUMBER($D15),ISNUMBER($E15))),"",ROUND(($E15-$D15)*24,1))</f>
      </c>
      <c r="H15" s="11">
        <f>IF(OR($F15="",$G15=""),"",IF(AND($F15&lt;=4,$G15&lt;=24),"OK","ALERTA"))</f>
      </c>
      <c r="I15" s="12" t="n"/>
      <c r="J15" s="7" t="n"/>
    </row>
    <row r="16" ht="20" customHeight="1">
      <c r="A16" s="6" t="n"/>
      <c r="B16" s="7" t="n"/>
      <c r="C16" s="12" t="n"/>
      <c r="D16" s="14" t="n"/>
      <c r="E16" s="14" t="n"/>
      <c r="F16" s="9" t="n"/>
      <c r="G16" s="15">
        <f>IF(NOT(AND(ISNUMBER($D16),ISNUMBER($E16))),"",ROUND(($E16-$D16)*24,1))</f>
      </c>
      <c r="H16" s="11">
        <f>IF(OR($F16="",$G16=""),"",IF(AND($F16&lt;=4,$G16&lt;=24),"OK","ALERTA"))</f>
      </c>
      <c r="I16" s="12" t="n"/>
      <c r="J16" s="7" t="n"/>
    </row>
    <row r="17" ht="20" customHeight="1">
      <c r="A17" s="6" t="n"/>
      <c r="B17" s="7" t="n"/>
      <c r="C17" s="12" t="n"/>
      <c r="D17" s="14" t="n"/>
      <c r="E17" s="14" t="n"/>
      <c r="F17" s="9" t="n"/>
      <c r="G17" s="15">
        <f>IF(NOT(AND(ISNUMBER($D17),ISNUMBER($E17))),"",ROUND(($E17-$D17)*24,1))</f>
      </c>
      <c r="H17" s="11">
        <f>IF(OR($F17="",$G17=""),"",IF(AND($F17&lt;=4,$G17&lt;=24),"OK","ALERTA"))</f>
      </c>
      <c r="I17" s="12" t="n"/>
      <c r="J17" s="7" t="n"/>
    </row>
    <row r="18" ht="20" customHeight="1">
      <c r="A18" s="6" t="n"/>
      <c r="B18" s="7" t="n"/>
      <c r="C18" s="12" t="n"/>
      <c r="D18" s="14" t="n"/>
      <c r="E18" s="14" t="n"/>
      <c r="F18" s="9" t="n"/>
      <c r="G18" s="15">
        <f>IF(NOT(AND(ISNUMBER($D18),ISNUMBER($E18))),"",ROUND(($E18-$D18)*24,1))</f>
      </c>
      <c r="H18" s="11">
        <f>IF(OR($F18="",$G18=""),"",IF(AND($F18&lt;=4,$G18&lt;=24),"OK","ALERTA"))</f>
      </c>
      <c r="I18" s="12" t="n"/>
      <c r="J18" s="7" t="n"/>
    </row>
    <row r="19" ht="20" customHeight="1">
      <c r="A19" s="6" t="n"/>
      <c r="B19" s="7" t="n"/>
      <c r="C19" s="12" t="n"/>
      <c r="D19" s="14" t="n"/>
      <c r="E19" s="14" t="n"/>
      <c r="F19" s="9" t="n"/>
      <c r="G19" s="15">
        <f>IF(NOT(AND(ISNUMBER($D19),ISNUMBER($E19))),"",ROUND(($E19-$D19)*24,1))</f>
      </c>
      <c r="H19" s="11">
        <f>IF(OR($F19="",$G19=""),"",IF(AND($F19&lt;=4,$G19&lt;=24),"OK","ALERTA"))</f>
      </c>
      <c r="I19" s="12" t="n"/>
      <c r="J19" s="7" t="n"/>
    </row>
    <row r="20" ht="20" customHeight="1">
      <c r="A20" s="6" t="n"/>
      <c r="B20" s="7" t="n"/>
      <c r="C20" s="12" t="n"/>
      <c r="D20" s="14" t="n"/>
      <c r="E20" s="14" t="n"/>
      <c r="F20" s="9" t="n"/>
      <c r="G20" s="15">
        <f>IF(NOT(AND(ISNUMBER($D20),ISNUMBER($E20))),"",ROUND(($E20-$D20)*24,1))</f>
      </c>
      <c r="H20" s="11">
        <f>IF(OR($F20="",$G20=""),"",IF(AND($F20&lt;=4,$G20&lt;=24),"OK","ALERTA"))</f>
      </c>
      <c r="I20" s="12" t="n"/>
      <c r="J20" s="7" t="n"/>
    </row>
    <row r="21" ht="20" customHeight="1">
      <c r="A21" s="6" t="n"/>
      <c r="B21" s="7" t="n"/>
      <c r="C21" s="12" t="n"/>
      <c r="D21" s="14" t="n"/>
      <c r="E21" s="14" t="n"/>
      <c r="F21" s="9" t="n"/>
      <c r="G21" s="15">
        <f>IF(NOT(AND(ISNUMBER($D21),ISNUMBER($E21))),"",ROUND(($E21-$D21)*24,1))</f>
      </c>
      <c r="H21" s="11">
        <f>IF(OR($F21="",$G21=""),"",IF(AND($F21&lt;=4,$G21&lt;=24),"OK","ALERTA"))</f>
      </c>
      <c r="I21" s="12" t="n"/>
      <c r="J21" s="7" t="n"/>
    </row>
    <row r="22" ht="20" customHeight="1">
      <c r="A22" s="6" t="n"/>
      <c r="B22" s="7" t="n"/>
      <c r="C22" s="12" t="n"/>
      <c r="D22" s="14" t="n"/>
      <c r="E22" s="14" t="n"/>
      <c r="F22" s="9" t="n"/>
      <c r="G22" s="15">
        <f>IF(NOT(AND(ISNUMBER($D22),ISNUMBER($E22))),"",ROUND(($E22-$D22)*24,1))</f>
      </c>
      <c r="H22" s="11">
        <f>IF(OR($F22="",$G22=""),"",IF(AND($F22&lt;=4,$G22&lt;=24),"OK","ALERTA"))</f>
      </c>
      <c r="I22" s="12" t="n"/>
      <c r="J22" s="7" t="n"/>
    </row>
    <row r="23" ht="20" customHeight="1">
      <c r="A23" s="6" t="n"/>
      <c r="B23" s="7" t="n"/>
      <c r="C23" s="12" t="n"/>
      <c r="D23" s="14" t="n"/>
      <c r="E23" s="14" t="n"/>
      <c r="F23" s="9" t="n"/>
      <c r="G23" s="15">
        <f>IF(NOT(AND(ISNUMBER($D23),ISNUMBER($E23))),"",ROUND(($E23-$D23)*24,1))</f>
      </c>
      <c r="H23" s="11">
        <f>IF(OR($F23="",$G23=""),"",IF(AND($F23&lt;=4,$G23&lt;=24),"OK","ALERTA"))</f>
      </c>
      <c r="I23" s="12" t="n"/>
      <c r="J23" s="7" t="n"/>
    </row>
    <row r="24" ht="20" customHeight="1">
      <c r="A24" s="6" t="n"/>
      <c r="B24" s="7" t="n"/>
      <c r="C24" s="12" t="n"/>
      <c r="D24" s="14" t="n"/>
      <c r="E24" s="14" t="n"/>
      <c r="F24" s="9" t="n"/>
      <c r="G24" s="15">
        <f>IF(NOT(AND(ISNUMBER($D24),ISNUMBER($E24))),"",ROUND(($E24-$D24)*24,1))</f>
      </c>
      <c r="H24" s="11">
        <f>IF(OR($F24="",$G24=""),"",IF(AND($F24&lt;=4,$G24&lt;=24),"OK","ALERTA"))</f>
      </c>
      <c r="I24" s="12" t="n"/>
      <c r="J24" s="7" t="n"/>
    </row>
    <row r="25" ht="20" customHeight="1">
      <c r="A25" s="6" t="n"/>
      <c r="B25" s="7" t="n"/>
      <c r="C25" s="12" t="n"/>
      <c r="D25" s="14" t="n"/>
      <c r="E25" s="14" t="n"/>
      <c r="F25" s="9" t="n"/>
      <c r="G25" s="15">
        <f>IF(NOT(AND(ISNUMBER($D25),ISNUMBER($E25))),"",ROUND(($E25-$D25)*24,1))</f>
      </c>
      <c r="H25" s="11">
        <f>IF(OR($F25="",$G25=""),"",IF(AND($F25&lt;=4,$G25&lt;=24),"OK","ALERTA"))</f>
      </c>
      <c r="I25" s="12" t="n"/>
      <c r="J25" s="7" t="n"/>
    </row>
    <row r="26" ht="20" customHeight="1">
      <c r="A26" s="6" t="n"/>
      <c r="B26" s="7" t="n"/>
      <c r="C26" s="12" t="n"/>
      <c r="D26" s="14" t="n"/>
      <c r="E26" s="14" t="n"/>
      <c r="F26" s="9" t="n"/>
      <c r="G26" s="15">
        <f>IF(NOT(AND(ISNUMBER($D26),ISNUMBER($E26))),"",ROUND(($E26-$D26)*24,1))</f>
      </c>
      <c r="H26" s="11">
        <f>IF(OR($F26="",$G26=""),"",IF(AND($F26&lt;=4,$G26&lt;=24),"OK","ALERTA"))</f>
      </c>
      <c r="I26" s="12" t="n"/>
      <c r="J26" s="7" t="n"/>
    </row>
    <row r="27" ht="20" customHeight="1">
      <c r="A27" s="6" t="n"/>
      <c r="B27" s="7" t="n"/>
      <c r="C27" s="12" t="n"/>
      <c r="D27" s="14" t="n"/>
      <c r="E27" s="14" t="n"/>
      <c r="F27" s="9" t="n"/>
      <c r="G27" s="15">
        <f>IF(NOT(AND(ISNUMBER($D27),ISNUMBER($E27))),"",ROUND(($E27-$D27)*24,1))</f>
      </c>
      <c r="H27" s="11">
        <f>IF(OR($F27="",$G27=""),"",IF(AND($F27&lt;=4,$G27&lt;=24),"OK","ALERTA"))</f>
      </c>
      <c r="I27" s="12" t="n"/>
      <c r="J27" s="7" t="n"/>
    </row>
    <row r="28" ht="20" customHeight="1">
      <c r="A28" s="6" t="n"/>
      <c r="B28" s="7" t="n"/>
      <c r="C28" s="12" t="n"/>
      <c r="D28" s="14" t="n"/>
      <c r="E28" s="14" t="n"/>
      <c r="F28" s="9" t="n"/>
      <c r="G28" s="15">
        <f>IF(NOT(AND(ISNUMBER($D28),ISNUMBER($E28))),"",ROUND(($E28-$D28)*24,1))</f>
      </c>
      <c r="H28" s="11">
        <f>IF(OR($F28="",$G28=""),"",IF(AND($F28&lt;=4,$G28&lt;=24),"OK","ALERTA"))</f>
      </c>
      <c r="I28" s="12" t="n"/>
      <c r="J28" s="7" t="n"/>
    </row>
    <row r="29" ht="20" customHeight="1">
      <c r="A29" s="6" t="n"/>
      <c r="B29" s="7" t="n"/>
      <c r="C29" s="12" t="n"/>
      <c r="D29" s="14" t="n"/>
      <c r="E29" s="14" t="n"/>
      <c r="F29" s="9" t="n"/>
      <c r="G29" s="15">
        <f>IF(NOT(AND(ISNUMBER($D29),ISNUMBER($E29))),"",ROUND(($E29-$D29)*24,1))</f>
      </c>
      <c r="H29" s="11">
        <f>IF(OR($F29="",$G29=""),"",IF(AND($F29&lt;=4,$G29&lt;=24),"OK","ALERTA"))</f>
      </c>
      <c r="I29" s="12" t="n"/>
      <c r="J29" s="7" t="n"/>
    </row>
    <row r="30" ht="20" customHeight="1">
      <c r="A30" s="6" t="n"/>
      <c r="B30" s="7" t="n"/>
      <c r="C30" s="12" t="n"/>
      <c r="D30" s="14" t="n"/>
      <c r="E30" s="14" t="n"/>
      <c r="F30" s="9" t="n"/>
      <c r="G30" s="15">
        <f>IF(NOT(AND(ISNUMBER($D30),ISNUMBER($E30))),"",ROUND(($E30-$D30)*24,1))</f>
      </c>
      <c r="H30" s="11">
        <f>IF(OR($F30="",$G30=""),"",IF(AND($F30&lt;=4,$G30&lt;=24),"OK","ALERTA"))</f>
      </c>
      <c r="I30" s="12" t="n"/>
      <c r="J30" s="7" t="n"/>
    </row>
    <row r="31" ht="20" customHeight="1">
      <c r="A31" s="6" t="n"/>
      <c r="B31" s="7" t="n"/>
      <c r="C31" s="12" t="n"/>
      <c r="D31" s="14" t="n"/>
      <c r="E31" s="14" t="n"/>
      <c r="F31" s="9" t="n"/>
      <c r="G31" s="15">
        <f>IF(NOT(AND(ISNUMBER($D31),ISNUMBER($E31))),"",ROUND(($E31-$D31)*24,1))</f>
      </c>
      <c r="H31" s="11">
        <f>IF(OR($F31="",$G31=""),"",IF(AND($F31&lt;=4,$G31&lt;=24),"OK","ALERTA"))</f>
      </c>
      <c r="I31" s="12" t="n"/>
      <c r="J31" s="7" t="n"/>
    </row>
    <row r="32" ht="20" customHeight="1">
      <c r="A32" s="6" t="n"/>
      <c r="B32" s="7" t="n"/>
      <c r="C32" s="12" t="n"/>
      <c r="D32" s="14" t="n"/>
      <c r="E32" s="14" t="n"/>
      <c r="F32" s="9" t="n"/>
      <c r="G32" s="15">
        <f>IF(NOT(AND(ISNUMBER($D32),ISNUMBER($E32))),"",ROUND(($E32-$D32)*24,1))</f>
      </c>
      <c r="H32" s="11">
        <f>IF(OR($F32="",$G32=""),"",IF(AND($F32&lt;=4,$G32&lt;=24),"OK","ALERTA"))</f>
      </c>
      <c r="I32" s="12" t="n"/>
      <c r="J32" s="7" t="n"/>
    </row>
    <row r="33" ht="20" customHeight="1">
      <c r="A33" s="6" t="n"/>
      <c r="B33" s="7" t="n"/>
      <c r="C33" s="12" t="n"/>
      <c r="D33" s="14" t="n"/>
      <c r="E33" s="14" t="n"/>
      <c r="F33" s="9" t="n"/>
      <c r="G33" s="15">
        <f>IF(NOT(AND(ISNUMBER($D33),ISNUMBER($E33))),"",ROUND(($E33-$D33)*24,1))</f>
      </c>
      <c r="H33" s="11">
        <f>IF(OR($F33="",$G33=""),"",IF(AND($F33&lt;=4,$G33&lt;=24),"OK","ALERTA"))</f>
      </c>
      <c r="I33" s="12" t="n"/>
      <c r="J33" s="7" t="n"/>
    </row>
    <row r="34" ht="20" customHeight="1">
      <c r="A34" s="6" t="n"/>
      <c r="B34" s="7" t="n"/>
      <c r="C34" s="12" t="n"/>
      <c r="D34" s="14" t="n"/>
      <c r="E34" s="14" t="n"/>
      <c r="F34" s="9" t="n"/>
      <c r="G34" s="15">
        <f>IF(NOT(AND(ISNUMBER($D34),ISNUMBER($E34))),"",ROUND(($E34-$D34)*24,1))</f>
      </c>
      <c r="H34" s="11">
        <f>IF(OR($F34="",$G34=""),"",IF(AND($F34&lt;=4,$G34&lt;=24),"OK","ALERTA"))</f>
      </c>
      <c r="I34" s="12" t="n"/>
      <c r="J34" s="7" t="n"/>
    </row>
    <row r="35" ht="20" customHeight="1">
      <c r="A35" s="6" t="n"/>
      <c r="B35" s="7" t="n"/>
      <c r="C35" s="12" t="n"/>
      <c r="D35" s="14" t="n"/>
      <c r="E35" s="14" t="n"/>
      <c r="F35" s="9" t="n"/>
      <c r="G35" s="15">
        <f>IF(NOT(AND(ISNUMBER($D35),ISNUMBER($E35))),"",ROUND(($E35-$D35)*24,1))</f>
      </c>
      <c r="H35" s="11">
        <f>IF(OR($F35="",$G35=""),"",IF(AND($F35&lt;=4,$G35&lt;=24),"OK","ALERTA"))</f>
      </c>
      <c r="I35" s="12" t="n"/>
      <c r="J35" s="7" t="n"/>
    </row>
    <row r="36" ht="20" customHeight="1">
      <c r="A36" s="6" t="n"/>
      <c r="B36" s="7" t="n"/>
      <c r="C36" s="12" t="n"/>
      <c r="D36" s="14" t="n"/>
      <c r="E36" s="14" t="n"/>
      <c r="F36" s="9" t="n"/>
      <c r="G36" s="15">
        <f>IF(NOT(AND(ISNUMBER($D36),ISNUMBER($E36))),"",ROUND(($E36-$D36)*24,1))</f>
      </c>
      <c r="H36" s="11">
        <f>IF(OR($F36="",$G36=""),"",IF(AND($F36&lt;=4,$G36&lt;=24),"OK","ALERTA"))</f>
      </c>
      <c r="I36" s="12" t="n"/>
      <c r="J36" s="7" t="n"/>
    </row>
    <row r="37" ht="20" customHeight="1">
      <c r="A37" s="6" t="n"/>
      <c r="B37" s="7" t="n"/>
      <c r="C37" s="12" t="n"/>
      <c r="D37" s="14" t="n"/>
      <c r="E37" s="14" t="n"/>
      <c r="F37" s="9" t="n"/>
      <c r="G37" s="15">
        <f>IF(NOT(AND(ISNUMBER($D37),ISNUMBER($E37))),"",ROUND(($E37-$D37)*24,1))</f>
      </c>
      <c r="H37" s="11">
        <f>IF(OR($F37="",$G37=""),"",IF(AND($F37&lt;=4,$G37&lt;=24),"OK","ALERTA"))</f>
      </c>
      <c r="I37" s="12" t="n"/>
      <c r="J37" s="7" t="n"/>
    </row>
    <row r="38" ht="20" customHeight="1">
      <c r="A38" s="6" t="n"/>
      <c r="B38" s="7" t="n"/>
      <c r="C38" s="12" t="n"/>
      <c r="D38" s="14" t="n"/>
      <c r="E38" s="14" t="n"/>
      <c r="F38" s="9" t="n"/>
      <c r="G38" s="15">
        <f>IF(NOT(AND(ISNUMBER($D38),ISNUMBER($E38))),"",ROUND(($E38-$D38)*24,1))</f>
      </c>
      <c r="H38" s="11">
        <f>IF(OR($F38="",$G38=""),"",IF(AND($F38&lt;=4,$G38&lt;=24),"OK","ALERTA"))</f>
      </c>
      <c r="I38" s="12" t="n"/>
      <c r="J38" s="7" t="n"/>
    </row>
    <row r="39" ht="20" customHeight="1">
      <c r="A39" s="6" t="n"/>
      <c r="B39" s="7" t="n"/>
      <c r="C39" s="12" t="n"/>
      <c r="D39" s="14" t="n"/>
      <c r="E39" s="14" t="n"/>
      <c r="F39" s="9" t="n"/>
      <c r="G39" s="15">
        <f>IF(NOT(AND(ISNUMBER($D39),ISNUMBER($E39))),"",ROUND(($E39-$D39)*24,1))</f>
      </c>
      <c r="H39" s="11">
        <f>IF(OR($F39="",$G39=""),"",IF(AND($F39&lt;=4,$G39&lt;=24),"OK","ALERTA"))</f>
      </c>
      <c r="I39" s="12" t="n"/>
      <c r="J39" s="7" t="n"/>
    </row>
    <row r="40" ht="20" customHeight="1">
      <c r="A40" s="6" t="n"/>
      <c r="B40" s="7" t="n"/>
      <c r="C40" s="12" t="n"/>
      <c r="D40" s="14" t="n"/>
      <c r="E40" s="14" t="n"/>
      <c r="F40" s="9" t="n"/>
      <c r="G40" s="15">
        <f>IF(NOT(AND(ISNUMBER($D40),ISNUMBER($E40))),"",ROUND(($E40-$D40)*24,1))</f>
      </c>
      <c r="H40" s="11">
        <f>IF(OR($F40="",$G40=""),"",IF(AND($F40&lt;=4,$G40&lt;=24),"OK","ALERTA"))</f>
      </c>
      <c r="I40" s="12" t="n"/>
      <c r="J40" s="7" t="n"/>
    </row>
    <row r="41" ht="20" customHeight="1">
      <c r="A41" s="6" t="n"/>
      <c r="B41" s="7" t="n"/>
      <c r="C41" s="12" t="n"/>
      <c r="D41" s="14" t="n"/>
      <c r="E41" s="14" t="n"/>
      <c r="F41" s="9" t="n"/>
      <c r="G41" s="15">
        <f>IF(NOT(AND(ISNUMBER($D41),ISNUMBER($E41))),"",ROUND(($E41-$D41)*24,1))</f>
      </c>
      <c r="H41" s="11">
        <f>IF(OR($F41="",$G41=""),"",IF(AND($F41&lt;=4,$G41&lt;=24),"OK","ALERTA"))</f>
      </c>
      <c r="I41" s="12" t="n"/>
      <c r="J41" s="7" t="n"/>
    </row>
    <row r="42" ht="20" customHeight="1">
      <c r="A42" s="6" t="n"/>
      <c r="B42" s="7" t="n"/>
      <c r="C42" s="12" t="n"/>
      <c r="D42" s="14" t="n"/>
      <c r="E42" s="14" t="n"/>
      <c r="F42" s="9" t="n"/>
      <c r="G42" s="15">
        <f>IF(NOT(AND(ISNUMBER($D42),ISNUMBER($E42))),"",ROUND(($E42-$D42)*24,1))</f>
      </c>
      <c r="H42" s="11">
        <f>IF(OR($F42="",$G42=""),"",IF(AND($F42&lt;=4,$G42&lt;=24),"OK","ALERTA"))</f>
      </c>
      <c r="I42" s="12" t="n"/>
      <c r="J42" s="7" t="n"/>
    </row>
    <row r="43" ht="20" customHeight="1">
      <c r="A43" s="6" t="n"/>
      <c r="B43" s="7" t="n"/>
      <c r="C43" s="12" t="n"/>
      <c r="D43" s="14" t="n"/>
      <c r="E43" s="14" t="n"/>
      <c r="F43" s="9" t="n"/>
      <c r="G43" s="15">
        <f>IF(NOT(AND(ISNUMBER($D43),ISNUMBER($E43))),"",ROUND(($E43-$D43)*24,1))</f>
      </c>
      <c r="H43" s="11">
        <f>IF(OR($F43="",$G43=""),"",IF(AND($F43&lt;=4,$G43&lt;=24),"OK","ALERTA"))</f>
      </c>
      <c r="I43" s="12" t="n"/>
      <c r="J43" s="7" t="n"/>
    </row>
    <row r="44" ht="20" customHeight="1">
      <c r="A44" s="6" t="n"/>
      <c r="B44" s="7" t="n"/>
      <c r="C44" s="12" t="n"/>
      <c r="D44" s="14" t="n"/>
      <c r="E44" s="14" t="n"/>
      <c r="F44" s="9" t="n"/>
      <c r="G44" s="15">
        <f>IF(NOT(AND(ISNUMBER($D44),ISNUMBER($E44))),"",ROUND(($E44-$D44)*24,1))</f>
      </c>
      <c r="H44" s="11">
        <f>IF(OR($F44="",$G44=""),"",IF(AND($F44&lt;=4,$G44&lt;=24),"OK","ALERTA"))</f>
      </c>
      <c r="I44" s="12" t="n"/>
      <c r="J44" s="7" t="n"/>
    </row>
    <row r="45"/>
    <row r="46" ht="24.5" customHeight="1">
      <c r="A46" s="13" t="inlineStr">
        <is>
          <t>La hoja da OK cuando la cámara está a 4 °C o menos Y el producto entra en uso dentro de las 24 horas siguientes al INICIO de la descongelación —es el mismo criterio que declara el análisis de peligros (fichero 12), y el que acota el tiempo total del producto en la zona de riesgo—. Un producto descongelado NO se vuelve a congelar.</t>
        </is>
      </c>
    </row>
    <row r="47" ht="12.2" customHeight="1">
      <c r="A47" s="13" t="inlineStr">
        <is>
          <t>Escribe el inicio y el fin con fecha Y hora (por ejemplo 05/09/2026 09:00): la columna «Duración» los resta.</t>
        </is>
      </c>
    </row>
    <row r="48" ht="12.2" customHeight="1">
      <c r="A48" s="13" t="inlineStr">
        <is>
          <t>Descongelar a temperatura ambiente es una falta grave: aparece como tal en la guía de inspección (fichero 15) y como PCC en el análisis de peligros (fichero 12).</t>
        </is>
      </c>
    </row>
    <row r="49" ht="12.2" customHeight="1">
      <c r="A49" s="13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50" ht="12.2" customHeight="1">
      <c r="A50" s="13" t="inlineStr">
        <is>
          <t>— Pack de Plantillas APPCC · AI Chef Pro · aichef.pro</t>
        </is>
      </c>
    </row>
  </sheetData>
  <mergeCells count="6">
    <mergeCell ref="A1:J1"/>
    <mergeCell ref="A46:J46"/>
    <mergeCell ref="A50:J50"/>
    <mergeCell ref="A47:J47"/>
    <mergeCell ref="A48:J48"/>
    <mergeCell ref="A49:J49"/>
  </mergeCells>
  <conditionalFormatting sqref="H5:H44">
    <cfRule type="expression" priority="1" dxfId="0" stopIfTrue="1">
      <formula>OR(H5="ALERTA",H5="RECHAZAR",H5="CAMBIAR",H5="REVISAR",H5="✗",H5="CADUCADO",H5="EXCESO")</formula>
    </cfRule>
    <cfRule type="expression" priority="2" dxfId="1" stopIfTrue="1">
      <formula>OR(H5="VIGILAR",H5="⚠",H5="INCOMPLETO",H5="CADUCA PRONTO",H5="RENOVAR",H5="FALTA CLORO",H5="FALTA TEST")</formula>
    </cfRule>
    <cfRule type="expression" priority="3" dxfId="2" stopIfTrue="1">
      <formula>OR(H5="OK",H5="✓",H5="Cumple",H5="VIGENTE",H5="Completo",H5="APTO")</formula>
    </cfRule>
  </conditionalFormatting>
  <dataValidations count="3">
    <dataValidation sqref="A5:A44" showDropDown="0" showInputMessage="0" showErrorMessage="1" allowBlank="1" errorTitle="Fecha" error="Escribe una fecha (por ejemplo 05/09/2026). Si la celda se queda como texto, la hoja no puede calcular nada." type="date" errorStyle="stop" operator="between">
      <formula1>DATE(2000,1,1)</formula1>
      <formula2>DATE(2100,12,31)</formula2>
    </dataValidation>
    <dataValidation sqref="F5:F44" showDropDown="0" showInputMessage="0" showErrorMessage="1" allowBlank="1" errorTitle="Temperatura de la cámara" error="Introduce la temperatura de la cámara en °C, entre -5 y 20." type="decimal" errorStyle="stop" operator="between">
      <formula1>-5</formula1>
      <formula2>20</formula2>
    </dataValidation>
    <dataValidation sqref="D5:D44 E5:E44" showDropDown="0" showInputMessage="0" showErrorMessage="1" allowBlank="1" errorTitle="Fecha y hora" error="Escribe la fecha CON la hora (por ejemplo 05/09/2026 09:00). Si la celda queda como texto, la «Duración (h)» no se puede calcular y el Estado se queda en blanco." type="date" errorStyle="stop" operator="between">
      <formula1>DATE(2000,1,1)</formula1>
      <formula2>DATE(2100,12,31)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Enfriamiento y Descongelación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2026-08-22T19:31:21Z</dcterms:created>
  <dcterms:modified xmlns:dcterms="http://purl.org/dc/terms/" xmlns:xsi="http://www.w3.org/2001/XMLSchema-instance" xsi:type="dcterms:W3CDTF">2026-08-22T19:31:21Z</dcterms:modified>
  <cp:lastModifiedBy>AI Chef Pro</cp:lastModifiedBy>
  <cp:category>AI Chef Pro · Productos digitales</cp:category>
  <cp:keywords>pack appcc, AI Chef Pro</cp:keywords>
</cp:coreProperties>
</file>