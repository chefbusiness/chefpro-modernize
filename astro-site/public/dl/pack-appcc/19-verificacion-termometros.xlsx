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Verificación Termómetros" sheetId="2" state="visible" r:id="rId2"/>
  </sheets>
  <definedNames>
    <definedName name="_xlnm.Print_Area" localSheetId="0">'Instrucciones'!$A$1:$B$32</definedName>
    <definedName name="_xlnm.Print_Titles" localSheetId="1">'Verificación Termómetros'!$4:$4</definedName>
    <definedName name="_xlnm.Print_Area" localSheetId="1">'Verificación Termómetros'!$A$1:$J$51</definedName>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9">
    <font>
      <name val="Calibri"/>
      <family val="2"/>
      <color theme="1"/>
      <sz val="11"/>
      <scheme val="minor"/>
    </font>
    <font>
      <b val="1"/>
      <sz val="16"/>
    </font>
    <font>
      <b val="1"/>
      <sz val="11"/>
    </font>
    <font>
      <i val="1"/>
      <sz val="9"/>
    </font>
    <font>
      <b val="1"/>
      <color rgb="00FFFFFF"/>
      <sz val="11"/>
    </font>
    <font>
      <sz val="9"/>
    </font>
    <font>
      <b val="1"/>
      <sz val="18"/>
    </font>
    <font>
      <b val="1"/>
      <sz val="12"/>
    </font>
    <font>
      <sz val="11"/>
    </font>
  </fonts>
  <fills count="4">
    <fill>
      <patternFill/>
    </fill>
    <fill>
      <patternFill patternType="gray125"/>
    </fill>
    <fill>
      <patternFill patternType="solid">
        <fgColor rgb="00E8F5E9"/>
      </patternFill>
    </fill>
    <fill>
      <patternFill patternType="solid">
        <fgColor rgb="002D2D2D"/>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6">
    <xf numFmtId="0" fontId="0" fillId="0" borderId="0" pivotButton="0" quotePrefix="0" xfId="0"/>
    <xf numFmtId="0" fontId="6" fillId="0" borderId="0" applyAlignment="1" pivotButton="0" quotePrefix="0" xfId="0">
      <alignment vertical="center" wrapText="1"/>
    </xf>
    <xf numFmtId="0" fontId="7" fillId="0" borderId="0" pivotButton="0" quotePrefix="0" xfId="0"/>
    <xf numFmtId="0" fontId="8" fillId="0" borderId="0" applyAlignment="1" pivotButton="0" quotePrefix="0" xfId="0">
      <alignment vertical="top" wrapText="1"/>
    </xf>
    <xf numFmtId="0" fontId="1" fillId="0" borderId="0" pivotButton="0" quotePrefix="0" xfId="0"/>
    <xf numFmtId="0" fontId="2" fillId="0" borderId="0" pivotButton="0" quotePrefix="0" xfId="0"/>
    <xf numFmtId="1" fontId="0" fillId="2" borderId="1" applyAlignment="1" applyProtection="1" pivotButton="0" quotePrefix="0" xfId="0">
      <alignment horizontal="center" vertical="center" wrapText="1"/>
      <protection locked="0" hidden="0"/>
    </xf>
    <xf numFmtId="0" fontId="3" fillId="0" borderId="0" pivotButton="0" quotePrefix="0" xfId="0"/>
    <xf numFmtId="0" fontId="4" fillId="3" borderId="1" applyAlignment="1" pivotButton="0" quotePrefix="0" xfId="0">
      <alignment horizontal="center" vertical="center" wrapText="1"/>
    </xf>
    <xf numFmtId="164" fontId="0" fillId="2" borderId="1" applyAlignment="1" applyProtection="1" pivotButton="0" quotePrefix="0" xfId="0">
      <alignment horizontal="center" vertical="center" wrapText="1"/>
      <protection locked="0" hidden="0"/>
    </xf>
    <xf numFmtId="49"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165" fontId="0" fillId="0" borderId="1" applyAlignment="1" pivotButton="0" quotePrefix="0" xfId="0">
      <alignment horizontal="center" vertical="center" wrapText="1"/>
    </xf>
    <xf numFmtId="165"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5" fillId="0" borderId="0" applyAlignment="1" pivotButton="0" quotePrefix="0" xfId="0">
      <alignment vertical="top" wrapText="1"/>
    </xf>
  </cellXfs>
  <cellStyles count="1">
    <cellStyle name="Normal" xfId="0" builtinId="0" hidden="0"/>
  </cellStyles>
  <dxfs count="3">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32"/>
  <sheetViews>
    <sheetView workbookViewId="0">
      <selection activeCell="A1" sqref="A1"/>
    </sheetView>
  </sheetViews>
  <sheetFormatPr baseColWidth="8" defaultRowHeight="15"/>
  <cols>
    <col width="3" customWidth="1" min="1" max="1"/>
    <col width="95" customWidth="1" min="2" max="2"/>
  </cols>
  <sheetData>
    <row r="1"/>
    <row r="2" ht="26" customHeight="1">
      <c r="B2" s="1" t="inlineStr">
        <is>
          <t>Verificación de Termómetros y Sondas</t>
        </is>
      </c>
    </row>
    <row r="3"/>
    <row r="4">
      <c r="B4" s="2" t="inlineStr">
        <is>
          <t>Para qué sirve esta plantilla</t>
        </is>
      </c>
    </row>
    <row r="5"/>
    <row r="6">
      <c r="B6" s="3" t="inlineStr">
        <is>
          <t>Todo el pack decide con temperaturas, y todas las temperaturas salen de un termómetro. Si el termómetro va mal, los registros de temperatura, de cocción, de enfriamiento y de anisakis acreditan lo contrario de lo que pasó. Ésta es la hoja que demuestra que los aparatos dicen la verdad, y es uno de los 25 puntos de la guía de inspección (fichero 15).</t>
        </is>
      </c>
    </row>
    <row r="7"/>
    <row r="8">
      <c r="B8" s="2" t="inlineStr">
        <is>
          <t>Cómo usarla</t>
        </is>
      </c>
    </row>
    <row r="9"/>
    <row r="10">
      <c r="B10" s="3" t="inlineStr">
        <is>
          <t>▸ Una línea por termómetro o sonda y verificación. Numera los equipos y usa siempre el mismo número en el resto de registros.</t>
        </is>
      </c>
    </row>
    <row r="11">
      <c r="B11" s="3" t="inlineStr">
        <is>
          <t>▸ Escribe la ALTITUD de tu local en la casilla verde de la cabecera (B3) antes de nada. Sólo afecta al método de ebullición, pero sin ella una sonda perfecta puede salir NO APTO: en Madrid, a 667 m, el agua hierve a 97,8 °C.</t>
        </is>
      </c>
    </row>
    <row r="12">
      <c r="B12" s="3" t="inlineStr">
        <is>
          <t>▸ Elige el método en el desplegable. La «Referencia» se rellena sola: 0 °C con hielo fundente y 100 − altitud/300 con agua en ebullición.</t>
        </is>
      </c>
    </row>
    <row r="13">
      <c r="B13" s="3" t="inlineStr">
        <is>
          <t>▸ Anota la lectura del aparato. La «Desviación» y el «Estado» se calculan solos: APTO en verde hasta ±1 °C, NO APTO en rojo por encima.</t>
        </is>
      </c>
    </row>
    <row r="14"/>
    <row r="15">
      <c r="B15" s="2" t="inlineStr">
        <is>
          <t>Los dos métodos, paso a paso</t>
        </is>
      </c>
    </row>
    <row r="16"/>
    <row r="17">
      <c r="B17" s="3" t="inlineStr">
        <is>
          <t>▸ Hielo fundente: vaso lleno de hielo picado, agua fría justo hasta cubrirlo, remover, esperar dos minutos y medir en el centro sin tocar el vaso. Debe marcar 0 °C ±1.</t>
        </is>
      </c>
    </row>
    <row r="18">
      <c r="B18" s="3" t="inlineStr">
        <is>
          <t>▸ Agua en ebullición: hirviendo a borbotones, medir en el centro. Debe marcar la «Referencia» que calcula la hoja ±1 °C, que a nivel del mar son 100 °C y a 667 m, 97,8. Si no tienes clara la altitud, usa el hielo fundente.</t>
        </is>
      </c>
    </row>
    <row r="19"/>
    <row r="20">
      <c r="B20" s="2" t="inlineStr">
        <is>
          <t>Qué hacer con un NO APTO</t>
        </is>
      </c>
    </row>
    <row r="21"/>
    <row r="22">
      <c r="B22" s="3" t="inlineStr">
        <is>
          <t>▸ Recalibra el equipo si tiene ajuste, o retíralo de uso y sustitúyelo.</t>
        </is>
      </c>
    </row>
    <row r="23">
      <c r="B23" s="3" t="inlineStr">
        <is>
          <t>▸ Revisa los registros tomados con ese equipo desde la última verificación correcta: pueden estar mal y hay que valorar si afectaron a algún producto (registro 11).</t>
        </is>
      </c>
    </row>
    <row r="24"/>
    <row r="25">
      <c r="B25" s="2" t="inlineStr">
        <is>
          <t>Frecuencia y archivo</t>
        </is>
      </c>
    </row>
    <row r="26"/>
    <row r="27">
      <c r="B27" s="3" t="inlineStr">
        <is>
          <t>▸ Frecuencia recomendada: mensual para cada termómetro y sonda, y siempre después de un golpe o de una caída. La hoja trae 40 filas: un año de tres o cuatro equipos.</t>
        </is>
      </c>
    </row>
    <row r="28">
      <c r="B28" s="3" t="inlineStr">
        <is>
          <t>▸ Conservar al menos 2 años (trazabilidad y proveedores: 5); el Reg. (CE) 178/2002 exige trazabilidad pero no fija plazo — consulta la guía de prácticas correctas de higiene de tu comunidad autónoma.</t>
        </is>
      </c>
    </row>
    <row r="29"/>
    <row r="30">
      <c r="B30" s="2" t="inlineStr">
        <is>
          <t>— Pack de Plantillas APPCC · AI Chef Pro · aichef.pro</t>
        </is>
      </c>
    </row>
    <row r="31"/>
    <row r="32">
      <c r="B32" s="2" t="inlineStr">
        <is>
          <t>Versión 2.0 · agosto 2026 · aichef.pro/pack-appcc · info@aichef.pro</t>
        </is>
      </c>
    </row>
  </sheetData>
  <pageMargins left="0.55" right="0.55" top="0.55" bottom="0.55"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J51"/>
  <sheetViews>
    <sheetView workbookViewId="0">
      <pane ySplit="4" topLeftCell="A5" activePane="bottomLeft" state="frozen"/>
      <selection pane="bottomLeft" activeCell="A1" sqref="A1"/>
    </sheetView>
  </sheetViews>
  <sheetFormatPr baseColWidth="8" defaultRowHeight="15"/>
  <cols>
    <col width="14" customWidth="1" min="1" max="1"/>
    <col width="22" customWidth="1" min="2" max="2"/>
    <col width="28" customWidth="1" min="3" max="3"/>
    <col width="15" customWidth="1" min="4" max="4"/>
    <col width="14" customWidth="1" min="5" max="5"/>
    <col width="15" customWidth="1" min="6" max="6"/>
    <col width="14" customWidth="1" min="7" max="7"/>
    <col width="32" customWidth="1" min="8" max="8"/>
    <col width="14" customWidth="1" min="9" max="9"/>
    <col width="28" customWidth="1" min="10" max="10"/>
  </cols>
  <sheetData>
    <row r="1">
      <c r="A1" s="4" t="inlineStr">
        <is>
          <t>Verificación de Termómetros y Sondas</t>
        </is>
      </c>
    </row>
    <row r="2">
      <c r="A2" t="inlineStr">
        <is>
          <t>Año: _______________    Una verificación mensual por cada termómetro y sonda del local. Tolerancia: ±1 °C.</t>
        </is>
      </c>
    </row>
    <row r="3">
      <c r="A3" s="5" t="inlineStr">
        <is>
          <t>Altitud del local (m sobre el nivel del mar):</t>
        </is>
      </c>
      <c r="B3" s="6" t="n">
        <v>0</v>
      </c>
      <c r="C3" s="7" t="inlineStr">
        <is>
          <t>Corrige la referencia del método de ebullición. Déjalo en 0 si estás a nivel del mar.</t>
        </is>
      </c>
    </row>
    <row r="4" ht="30" customHeight="1">
      <c r="A4" s="8" t="inlineStr">
        <is>
          <t>Fecha</t>
        </is>
      </c>
      <c r="B4" s="8" t="inlineStr">
        <is>
          <t>Equipo / sonda (nº)</t>
        </is>
      </c>
      <c r="C4" s="8" t="inlineStr">
        <is>
          <t>Método de verificación</t>
        </is>
      </c>
      <c r="D4" s="8" t="inlineStr">
        <is>
          <t>Referencia (°C)</t>
        </is>
      </c>
      <c r="E4" s="8" t="inlineStr">
        <is>
          <t>Lectura (°C)</t>
        </is>
      </c>
      <c r="F4" s="8" t="inlineStr">
        <is>
          <t>Desviación (°C)</t>
        </is>
      </c>
      <c r="G4" s="8" t="inlineStr">
        <is>
          <t>Estado</t>
        </is>
      </c>
      <c r="H4" s="8" t="inlineStr">
        <is>
          <t>Acción realizada</t>
        </is>
      </c>
      <c r="I4" s="8" t="inlineStr">
        <is>
          <t>Firma</t>
        </is>
      </c>
      <c r="J4" s="8" t="inlineStr">
        <is>
          <t>Observaciones</t>
        </is>
      </c>
    </row>
    <row r="5" ht="20" customHeight="1">
      <c r="A5" s="9" t="n">
        <v>46266</v>
      </c>
      <c r="B5" s="10" t="inlineStr">
        <is>
          <t>Sonda S-01</t>
        </is>
      </c>
      <c r="C5" s="11" t="inlineStr">
        <is>
          <t>Hielo fundente (0 °C)</t>
        </is>
      </c>
      <c r="D5" s="12">
        <f>IF($C5="","",IF($C5="Hielo fundente (0 °C)",0,IF($C5="Agua en ebullición (100 °C)",100-IF($B$3="",0,$B$3)/300,"")))</f>
        <v>0.0</v>
      </c>
      <c r="E5" s="13" t="n">
        <v>0.3</v>
      </c>
      <c r="F5" s="12">
        <f>IF(OR($D5="",$E5=""),"",ROUND(ABS($E5-$D5),1))</f>
        <v>0.3</v>
      </c>
      <c r="G5" s="14" t="str">
        <f>IF($F5="","",IF(ABS($E5-$D5)&lt;=1,"APTO","NO APTO"))</f>
        <v>APTO</v>
      </c>
      <c r="H5" s="11" t="inlineStr">
        <is>
          <t>Ninguna</t>
        </is>
      </c>
      <c r="I5" s="10" t="inlineStr">
        <is>
          <t>A.R.</t>
        </is>
      </c>
      <c r="J5" s="11" t="inlineStr">
        <is>
          <t>(ejemplo)</t>
        </is>
      </c>
    </row>
    <row r="6" ht="20" customHeight="1">
      <c r="A6" s="9" t="n">
        <v>46266</v>
      </c>
      <c r="B6" s="10" t="inlineStr">
        <is>
          <t>Sonda S-02</t>
        </is>
      </c>
      <c r="C6" s="11" t="inlineStr">
        <is>
          <t>Agua en ebullición (100 °C)</t>
        </is>
      </c>
      <c r="D6" s="12">
        <f>IF($C6="","",IF($C6="Hielo fundente (0 °C)",0,IF($C6="Agua en ebullición (100 °C)",100-IF($B$3="",0,$B$3)/300,"")))</f>
        <v>100.0</v>
      </c>
      <c r="E6" s="13" t="n">
        <v>99.5</v>
      </c>
      <c r="F6" s="12">
        <f>IF(OR($D6="",$E6=""),"",ROUND(ABS($E6-$D6),1))</f>
        <v>0.5</v>
      </c>
      <c r="G6" s="14" t="str">
        <f>IF($F6="","",IF(ABS($E6-$D6)&lt;=1,"APTO","NO APTO"))</f>
        <v>APTO</v>
      </c>
      <c r="H6" s="11" t="inlineStr">
        <is>
          <t>Ninguna</t>
        </is>
      </c>
      <c r="I6" s="10" t="inlineStr">
        <is>
          <t>A.R.</t>
        </is>
      </c>
      <c r="J6" s="11" t="inlineStr">
        <is>
          <t>(ejemplo)</t>
        </is>
      </c>
    </row>
    <row r="7" ht="20" customHeight="1">
      <c r="A7" s="9" t="n">
        <v>46266</v>
      </c>
      <c r="B7" s="10" t="inlineStr">
        <is>
          <t>Termómetro cámara 2</t>
        </is>
      </c>
      <c r="C7" s="11" t="inlineStr">
        <is>
          <t>Hielo fundente (0 °C)</t>
        </is>
      </c>
      <c r="D7" s="12">
        <f>IF($C7="","",IF($C7="Hielo fundente (0 °C)",0,IF($C7="Agua en ebullición (100 °C)",100-IF($B$3="",0,$B$3)/300,"")))</f>
        <v>0.0</v>
      </c>
      <c r="E7" s="13" t="n">
        <v>-1.8</v>
      </c>
      <c r="F7" s="12">
        <f>IF(OR($D7="",$E7=""),"",ROUND(ABS($E7-$D7),1))</f>
        <v>1.8</v>
      </c>
      <c r="G7" s="14" t="str">
        <f>IF($F7="","",IF(ABS($E7-$D7)&lt;=1,"APTO","NO APTO"))</f>
        <v>NO APTO</v>
      </c>
      <c r="H7" s="11" t="inlineStr">
        <is>
          <t>Retirado de uso y sustituido · incidencia INC-006</t>
        </is>
      </c>
      <c r="I7" s="10" t="inlineStr">
        <is>
          <t>M.S.</t>
        </is>
      </c>
      <c r="J7" s="11" t="inlineStr">
        <is>
          <t>(ejemplo)</t>
        </is>
      </c>
    </row>
    <row r="8" ht="20" customHeight="1">
      <c r="A8" s="9" t="n"/>
      <c r="B8" s="10" t="n"/>
      <c r="C8" s="11" t="n"/>
      <c r="D8" s="12">
        <f>IF($C8="","",IF($C8="Hielo fundente (0 °C)",0,IF($C8="Agua en ebullición (100 °C)",100-IF($B$3="",0,$B$3)/300,"")))</f>
      </c>
      <c r="E8" s="13" t="n"/>
      <c r="F8" s="12">
        <f>IF(OR($D8="",$E8=""),"",ROUND(ABS($E8-$D8),1))</f>
      </c>
      <c r="G8" s="14">
        <f>IF($F8="","",IF(ABS($E8-$D8)&lt;=1,"APTO","NO APTO"))</f>
      </c>
      <c r="H8" s="11" t="n"/>
      <c r="I8" s="10" t="n"/>
      <c r="J8" s="11" t="n"/>
    </row>
    <row r="9" ht="20" customHeight="1">
      <c r="A9" s="9" t="n"/>
      <c r="B9" s="10" t="n"/>
      <c r="C9" s="11" t="n"/>
      <c r="D9" s="12">
        <f>IF($C9="","",IF($C9="Hielo fundente (0 °C)",0,IF($C9="Agua en ebullición (100 °C)",100-IF($B$3="",0,$B$3)/300,"")))</f>
      </c>
      <c r="E9" s="13" t="n"/>
      <c r="F9" s="12">
        <f>IF(OR($D9="",$E9=""),"",ROUND(ABS($E9-$D9),1))</f>
      </c>
      <c r="G9" s="14">
        <f>IF($F9="","",IF(ABS($E9-$D9)&lt;=1,"APTO","NO APTO"))</f>
      </c>
      <c r="H9" s="11" t="n"/>
      <c r="I9" s="10" t="n"/>
      <c r="J9" s="11" t="n"/>
    </row>
    <row r="10" ht="20" customHeight="1">
      <c r="A10" s="9" t="n"/>
      <c r="B10" s="10" t="n"/>
      <c r="C10" s="11" t="n"/>
      <c r="D10" s="12">
        <f>IF($C10="","",IF($C10="Hielo fundente (0 °C)",0,IF($C10="Agua en ebullición (100 °C)",100-IF($B$3="",0,$B$3)/300,"")))</f>
      </c>
      <c r="E10" s="13" t="n"/>
      <c r="F10" s="12">
        <f>IF(OR($D10="",$E10=""),"",ROUND(ABS($E10-$D10),1))</f>
      </c>
      <c r="G10" s="14">
        <f>IF($F10="","",IF(ABS($E10-$D10)&lt;=1,"APTO","NO APTO"))</f>
      </c>
      <c r="H10" s="11" t="n"/>
      <c r="I10" s="10" t="n"/>
      <c r="J10" s="11" t="n"/>
    </row>
    <row r="11" ht="20" customHeight="1">
      <c r="A11" s="9" t="n"/>
      <c r="B11" s="10" t="n"/>
      <c r="C11" s="11" t="n"/>
      <c r="D11" s="12">
        <f>IF($C11="","",IF($C11="Hielo fundente (0 °C)",0,IF($C11="Agua en ebullición (100 °C)",100-IF($B$3="",0,$B$3)/300,"")))</f>
      </c>
      <c r="E11" s="13" t="n"/>
      <c r="F11" s="12">
        <f>IF(OR($D11="",$E11=""),"",ROUND(ABS($E11-$D11),1))</f>
      </c>
      <c r="G11" s="14">
        <f>IF($F11="","",IF(ABS($E11-$D11)&lt;=1,"APTO","NO APTO"))</f>
      </c>
      <c r="H11" s="11" t="n"/>
      <c r="I11" s="10" t="n"/>
      <c r="J11" s="11" t="n"/>
    </row>
    <row r="12" ht="20" customHeight="1">
      <c r="A12" s="9" t="n"/>
      <c r="B12" s="10" t="n"/>
      <c r="C12" s="11" t="n"/>
      <c r="D12" s="12">
        <f>IF($C12="","",IF($C12="Hielo fundente (0 °C)",0,IF($C12="Agua en ebullición (100 °C)",100-IF($B$3="",0,$B$3)/300,"")))</f>
      </c>
      <c r="E12" s="13" t="n"/>
      <c r="F12" s="12">
        <f>IF(OR($D12="",$E12=""),"",ROUND(ABS($E12-$D12),1))</f>
      </c>
      <c r="G12" s="14">
        <f>IF($F12="","",IF(ABS($E12-$D12)&lt;=1,"APTO","NO APTO"))</f>
      </c>
      <c r="H12" s="11" t="n"/>
      <c r="I12" s="10" t="n"/>
      <c r="J12" s="11" t="n"/>
    </row>
    <row r="13" ht="20" customHeight="1">
      <c r="A13" s="9" t="n"/>
      <c r="B13" s="10" t="n"/>
      <c r="C13" s="11" t="n"/>
      <c r="D13" s="12">
        <f>IF($C13="","",IF($C13="Hielo fundente (0 °C)",0,IF($C13="Agua en ebullición (100 °C)",100-IF($B$3="",0,$B$3)/300,"")))</f>
      </c>
      <c r="E13" s="13" t="n"/>
      <c r="F13" s="12">
        <f>IF(OR($D13="",$E13=""),"",ROUND(ABS($E13-$D13),1))</f>
      </c>
      <c r="G13" s="14">
        <f>IF($F13="","",IF(ABS($E13-$D13)&lt;=1,"APTO","NO APTO"))</f>
      </c>
      <c r="H13" s="11" t="n"/>
      <c r="I13" s="10" t="n"/>
      <c r="J13" s="11" t="n"/>
    </row>
    <row r="14" ht="20" customHeight="1">
      <c r="A14" s="9" t="n"/>
      <c r="B14" s="10" t="n"/>
      <c r="C14" s="11" t="n"/>
      <c r="D14" s="12">
        <f>IF($C14="","",IF($C14="Hielo fundente (0 °C)",0,IF($C14="Agua en ebullición (100 °C)",100-IF($B$3="",0,$B$3)/300,"")))</f>
      </c>
      <c r="E14" s="13" t="n"/>
      <c r="F14" s="12">
        <f>IF(OR($D14="",$E14=""),"",ROUND(ABS($E14-$D14),1))</f>
      </c>
      <c r="G14" s="14">
        <f>IF($F14="","",IF(ABS($E14-$D14)&lt;=1,"APTO","NO APTO"))</f>
      </c>
      <c r="H14" s="11" t="n"/>
      <c r="I14" s="10" t="n"/>
      <c r="J14" s="11" t="n"/>
    </row>
    <row r="15" ht="20" customHeight="1">
      <c r="A15" s="9" t="n"/>
      <c r="B15" s="10" t="n"/>
      <c r="C15" s="11" t="n"/>
      <c r="D15" s="12">
        <f>IF($C15="","",IF($C15="Hielo fundente (0 °C)",0,IF($C15="Agua en ebullición (100 °C)",100-IF($B$3="",0,$B$3)/300,"")))</f>
      </c>
      <c r="E15" s="13" t="n"/>
      <c r="F15" s="12">
        <f>IF(OR($D15="",$E15=""),"",ROUND(ABS($E15-$D15),1))</f>
      </c>
      <c r="G15" s="14">
        <f>IF($F15="","",IF(ABS($E15-$D15)&lt;=1,"APTO","NO APTO"))</f>
      </c>
      <c r="H15" s="11" t="n"/>
      <c r="I15" s="10" t="n"/>
      <c r="J15" s="11" t="n"/>
    </row>
    <row r="16" ht="20" customHeight="1">
      <c r="A16" s="9" t="n"/>
      <c r="B16" s="10" t="n"/>
      <c r="C16" s="11" t="n"/>
      <c r="D16" s="12">
        <f>IF($C16="","",IF($C16="Hielo fundente (0 °C)",0,IF($C16="Agua en ebullición (100 °C)",100-IF($B$3="",0,$B$3)/300,"")))</f>
      </c>
      <c r="E16" s="13" t="n"/>
      <c r="F16" s="12">
        <f>IF(OR($D16="",$E16=""),"",ROUND(ABS($E16-$D16),1))</f>
      </c>
      <c r="G16" s="14">
        <f>IF($F16="","",IF(ABS($E16-$D16)&lt;=1,"APTO","NO APTO"))</f>
      </c>
      <c r="H16" s="11" t="n"/>
      <c r="I16" s="10" t="n"/>
      <c r="J16" s="11" t="n"/>
    </row>
    <row r="17" ht="20" customHeight="1">
      <c r="A17" s="9" t="n"/>
      <c r="B17" s="10" t="n"/>
      <c r="C17" s="11" t="n"/>
      <c r="D17" s="12">
        <f>IF($C17="","",IF($C17="Hielo fundente (0 °C)",0,IF($C17="Agua en ebullición (100 °C)",100-IF($B$3="",0,$B$3)/300,"")))</f>
      </c>
      <c r="E17" s="13" t="n"/>
      <c r="F17" s="12">
        <f>IF(OR($D17="",$E17=""),"",ROUND(ABS($E17-$D17),1))</f>
      </c>
      <c r="G17" s="14">
        <f>IF($F17="","",IF(ABS($E17-$D17)&lt;=1,"APTO","NO APTO"))</f>
      </c>
      <c r="H17" s="11" t="n"/>
      <c r="I17" s="10" t="n"/>
      <c r="J17" s="11" t="n"/>
    </row>
    <row r="18" ht="20" customHeight="1">
      <c r="A18" s="9" t="n"/>
      <c r="B18" s="10" t="n"/>
      <c r="C18" s="11" t="n"/>
      <c r="D18" s="12">
        <f>IF($C18="","",IF($C18="Hielo fundente (0 °C)",0,IF($C18="Agua en ebullición (100 °C)",100-IF($B$3="",0,$B$3)/300,"")))</f>
      </c>
      <c r="E18" s="13" t="n"/>
      <c r="F18" s="12">
        <f>IF(OR($D18="",$E18=""),"",ROUND(ABS($E18-$D18),1))</f>
      </c>
      <c r="G18" s="14">
        <f>IF($F18="","",IF(ABS($E18-$D18)&lt;=1,"APTO","NO APTO"))</f>
      </c>
      <c r="H18" s="11" t="n"/>
      <c r="I18" s="10" t="n"/>
      <c r="J18" s="11" t="n"/>
    </row>
    <row r="19" ht="20" customHeight="1">
      <c r="A19" s="9" t="n"/>
      <c r="B19" s="10" t="n"/>
      <c r="C19" s="11" t="n"/>
      <c r="D19" s="12">
        <f>IF($C19="","",IF($C19="Hielo fundente (0 °C)",0,IF($C19="Agua en ebullición (100 °C)",100-IF($B$3="",0,$B$3)/300,"")))</f>
      </c>
      <c r="E19" s="13" t="n"/>
      <c r="F19" s="12">
        <f>IF(OR($D19="",$E19=""),"",ROUND(ABS($E19-$D19),1))</f>
      </c>
      <c r="G19" s="14">
        <f>IF($F19="","",IF(ABS($E19-$D19)&lt;=1,"APTO","NO APTO"))</f>
      </c>
      <c r="H19" s="11" t="n"/>
      <c r="I19" s="10" t="n"/>
      <c r="J19" s="11" t="n"/>
    </row>
    <row r="20" ht="20" customHeight="1">
      <c r="A20" s="9" t="n"/>
      <c r="B20" s="10" t="n"/>
      <c r="C20" s="11" t="n"/>
      <c r="D20" s="12">
        <f>IF($C20="","",IF($C20="Hielo fundente (0 °C)",0,IF($C20="Agua en ebullición (100 °C)",100-IF($B$3="",0,$B$3)/300,"")))</f>
      </c>
      <c r="E20" s="13" t="n"/>
      <c r="F20" s="12">
        <f>IF(OR($D20="",$E20=""),"",ROUND(ABS($E20-$D20),1))</f>
      </c>
      <c r="G20" s="14">
        <f>IF($F20="","",IF(ABS($E20-$D20)&lt;=1,"APTO","NO APTO"))</f>
      </c>
      <c r="H20" s="11" t="n"/>
      <c r="I20" s="10" t="n"/>
      <c r="J20" s="11" t="n"/>
    </row>
    <row r="21" ht="20" customHeight="1">
      <c r="A21" s="9" t="n"/>
      <c r="B21" s="10" t="n"/>
      <c r="C21" s="11" t="n"/>
      <c r="D21" s="12">
        <f>IF($C21="","",IF($C21="Hielo fundente (0 °C)",0,IF($C21="Agua en ebullición (100 °C)",100-IF($B$3="",0,$B$3)/300,"")))</f>
      </c>
      <c r="E21" s="13" t="n"/>
      <c r="F21" s="12">
        <f>IF(OR($D21="",$E21=""),"",ROUND(ABS($E21-$D21),1))</f>
      </c>
      <c r="G21" s="14">
        <f>IF($F21="","",IF(ABS($E21-$D21)&lt;=1,"APTO","NO APTO"))</f>
      </c>
      <c r="H21" s="11" t="n"/>
      <c r="I21" s="10" t="n"/>
      <c r="J21" s="11" t="n"/>
    </row>
    <row r="22" ht="20" customHeight="1">
      <c r="A22" s="9" t="n"/>
      <c r="B22" s="10" t="n"/>
      <c r="C22" s="11" t="n"/>
      <c r="D22" s="12">
        <f>IF($C22="","",IF($C22="Hielo fundente (0 °C)",0,IF($C22="Agua en ebullición (100 °C)",100-IF($B$3="",0,$B$3)/300,"")))</f>
      </c>
      <c r="E22" s="13" t="n"/>
      <c r="F22" s="12">
        <f>IF(OR($D22="",$E22=""),"",ROUND(ABS($E22-$D22),1))</f>
      </c>
      <c r="G22" s="14">
        <f>IF($F22="","",IF(ABS($E22-$D22)&lt;=1,"APTO","NO APTO"))</f>
      </c>
      <c r="H22" s="11" t="n"/>
      <c r="I22" s="10" t="n"/>
      <c r="J22" s="11" t="n"/>
    </row>
    <row r="23" ht="20" customHeight="1">
      <c r="A23" s="9" t="n"/>
      <c r="B23" s="10" t="n"/>
      <c r="C23" s="11" t="n"/>
      <c r="D23" s="12">
        <f>IF($C23="","",IF($C23="Hielo fundente (0 °C)",0,IF($C23="Agua en ebullición (100 °C)",100-IF($B$3="",0,$B$3)/300,"")))</f>
      </c>
      <c r="E23" s="13" t="n"/>
      <c r="F23" s="12">
        <f>IF(OR($D23="",$E23=""),"",ROUND(ABS($E23-$D23),1))</f>
      </c>
      <c r="G23" s="14">
        <f>IF($F23="","",IF(ABS($E23-$D23)&lt;=1,"APTO","NO APTO"))</f>
      </c>
      <c r="H23" s="11" t="n"/>
      <c r="I23" s="10" t="n"/>
      <c r="J23" s="11" t="n"/>
    </row>
    <row r="24" ht="20" customHeight="1">
      <c r="A24" s="9" t="n"/>
      <c r="B24" s="10" t="n"/>
      <c r="C24" s="11" t="n"/>
      <c r="D24" s="12">
        <f>IF($C24="","",IF($C24="Hielo fundente (0 °C)",0,IF($C24="Agua en ebullición (100 °C)",100-IF($B$3="",0,$B$3)/300,"")))</f>
      </c>
      <c r="E24" s="13" t="n"/>
      <c r="F24" s="12">
        <f>IF(OR($D24="",$E24=""),"",ROUND(ABS($E24-$D24),1))</f>
      </c>
      <c r="G24" s="14">
        <f>IF($F24="","",IF(ABS($E24-$D24)&lt;=1,"APTO","NO APTO"))</f>
      </c>
      <c r="H24" s="11" t="n"/>
      <c r="I24" s="10" t="n"/>
      <c r="J24" s="11" t="n"/>
    </row>
    <row r="25" ht="20" customHeight="1">
      <c r="A25" s="9" t="n"/>
      <c r="B25" s="10" t="n"/>
      <c r="C25" s="11" t="n"/>
      <c r="D25" s="12">
        <f>IF($C25="","",IF($C25="Hielo fundente (0 °C)",0,IF($C25="Agua en ebullición (100 °C)",100-IF($B$3="",0,$B$3)/300,"")))</f>
      </c>
      <c r="E25" s="13" t="n"/>
      <c r="F25" s="12">
        <f>IF(OR($D25="",$E25=""),"",ROUND(ABS($E25-$D25),1))</f>
      </c>
      <c r="G25" s="14">
        <f>IF($F25="","",IF(ABS($E25-$D25)&lt;=1,"APTO","NO APTO"))</f>
      </c>
      <c r="H25" s="11" t="n"/>
      <c r="I25" s="10" t="n"/>
      <c r="J25" s="11" t="n"/>
    </row>
    <row r="26" ht="20" customHeight="1">
      <c r="A26" s="9" t="n"/>
      <c r="B26" s="10" t="n"/>
      <c r="C26" s="11" t="n"/>
      <c r="D26" s="12">
        <f>IF($C26="","",IF($C26="Hielo fundente (0 °C)",0,IF($C26="Agua en ebullición (100 °C)",100-IF($B$3="",0,$B$3)/300,"")))</f>
      </c>
      <c r="E26" s="13" t="n"/>
      <c r="F26" s="12">
        <f>IF(OR($D26="",$E26=""),"",ROUND(ABS($E26-$D26),1))</f>
      </c>
      <c r="G26" s="14">
        <f>IF($F26="","",IF(ABS($E26-$D26)&lt;=1,"APTO","NO APTO"))</f>
      </c>
      <c r="H26" s="11" t="n"/>
      <c r="I26" s="10" t="n"/>
      <c r="J26" s="11" t="n"/>
    </row>
    <row r="27" ht="20" customHeight="1">
      <c r="A27" s="9" t="n"/>
      <c r="B27" s="10" t="n"/>
      <c r="C27" s="11" t="n"/>
      <c r="D27" s="12">
        <f>IF($C27="","",IF($C27="Hielo fundente (0 °C)",0,IF($C27="Agua en ebullición (100 °C)",100-IF($B$3="",0,$B$3)/300,"")))</f>
      </c>
      <c r="E27" s="13" t="n"/>
      <c r="F27" s="12">
        <f>IF(OR($D27="",$E27=""),"",ROUND(ABS($E27-$D27),1))</f>
      </c>
      <c r="G27" s="14">
        <f>IF($F27="","",IF(ABS($E27-$D27)&lt;=1,"APTO","NO APTO"))</f>
      </c>
      <c r="H27" s="11" t="n"/>
      <c r="I27" s="10" t="n"/>
      <c r="J27" s="11" t="n"/>
    </row>
    <row r="28" ht="20" customHeight="1">
      <c r="A28" s="9" t="n"/>
      <c r="B28" s="10" t="n"/>
      <c r="C28" s="11" t="n"/>
      <c r="D28" s="12">
        <f>IF($C28="","",IF($C28="Hielo fundente (0 °C)",0,IF($C28="Agua en ebullición (100 °C)",100-IF($B$3="",0,$B$3)/300,"")))</f>
      </c>
      <c r="E28" s="13" t="n"/>
      <c r="F28" s="12">
        <f>IF(OR($D28="",$E28=""),"",ROUND(ABS($E28-$D28),1))</f>
      </c>
      <c r="G28" s="14">
        <f>IF($F28="","",IF(ABS($E28-$D28)&lt;=1,"APTO","NO APTO"))</f>
      </c>
      <c r="H28" s="11" t="n"/>
      <c r="I28" s="10" t="n"/>
      <c r="J28" s="11" t="n"/>
    </row>
    <row r="29" ht="20" customHeight="1">
      <c r="A29" s="9" t="n"/>
      <c r="B29" s="10" t="n"/>
      <c r="C29" s="11" t="n"/>
      <c r="D29" s="12">
        <f>IF($C29="","",IF($C29="Hielo fundente (0 °C)",0,IF($C29="Agua en ebullición (100 °C)",100-IF($B$3="",0,$B$3)/300,"")))</f>
      </c>
      <c r="E29" s="13" t="n"/>
      <c r="F29" s="12">
        <f>IF(OR($D29="",$E29=""),"",ROUND(ABS($E29-$D29),1))</f>
      </c>
      <c r="G29" s="14">
        <f>IF($F29="","",IF(ABS($E29-$D29)&lt;=1,"APTO","NO APTO"))</f>
      </c>
      <c r="H29" s="11" t="n"/>
      <c r="I29" s="10" t="n"/>
      <c r="J29" s="11" t="n"/>
    </row>
    <row r="30" ht="20" customHeight="1">
      <c r="A30" s="9" t="n"/>
      <c r="B30" s="10" t="n"/>
      <c r="C30" s="11" t="n"/>
      <c r="D30" s="12">
        <f>IF($C30="","",IF($C30="Hielo fundente (0 °C)",0,IF($C30="Agua en ebullición (100 °C)",100-IF($B$3="",0,$B$3)/300,"")))</f>
      </c>
      <c r="E30" s="13" t="n"/>
      <c r="F30" s="12">
        <f>IF(OR($D30="",$E30=""),"",ROUND(ABS($E30-$D30),1))</f>
      </c>
      <c r="G30" s="14">
        <f>IF($F30="","",IF(ABS($E30-$D30)&lt;=1,"APTO","NO APTO"))</f>
      </c>
      <c r="H30" s="11" t="n"/>
      <c r="I30" s="10" t="n"/>
      <c r="J30" s="11" t="n"/>
    </row>
    <row r="31" ht="20" customHeight="1">
      <c r="A31" s="9" t="n"/>
      <c r="B31" s="10" t="n"/>
      <c r="C31" s="11" t="n"/>
      <c r="D31" s="12">
        <f>IF($C31="","",IF($C31="Hielo fundente (0 °C)",0,IF($C31="Agua en ebullición (100 °C)",100-IF($B$3="",0,$B$3)/300,"")))</f>
      </c>
      <c r="E31" s="13" t="n"/>
      <c r="F31" s="12">
        <f>IF(OR($D31="",$E31=""),"",ROUND(ABS($E31-$D31),1))</f>
      </c>
      <c r="G31" s="14">
        <f>IF($F31="","",IF(ABS($E31-$D31)&lt;=1,"APTO","NO APTO"))</f>
      </c>
      <c r="H31" s="11" t="n"/>
      <c r="I31" s="10" t="n"/>
      <c r="J31" s="11" t="n"/>
    </row>
    <row r="32" ht="20" customHeight="1">
      <c r="A32" s="9" t="n"/>
      <c r="B32" s="10" t="n"/>
      <c r="C32" s="11" t="n"/>
      <c r="D32" s="12">
        <f>IF($C32="","",IF($C32="Hielo fundente (0 °C)",0,IF($C32="Agua en ebullición (100 °C)",100-IF($B$3="",0,$B$3)/300,"")))</f>
      </c>
      <c r="E32" s="13" t="n"/>
      <c r="F32" s="12">
        <f>IF(OR($D32="",$E32=""),"",ROUND(ABS($E32-$D32),1))</f>
      </c>
      <c r="G32" s="14">
        <f>IF($F32="","",IF(ABS($E32-$D32)&lt;=1,"APTO","NO APTO"))</f>
      </c>
      <c r="H32" s="11" t="n"/>
      <c r="I32" s="10" t="n"/>
      <c r="J32" s="11" t="n"/>
    </row>
    <row r="33" ht="20" customHeight="1">
      <c r="A33" s="9" t="n"/>
      <c r="B33" s="10" t="n"/>
      <c r="C33" s="11" t="n"/>
      <c r="D33" s="12">
        <f>IF($C33="","",IF($C33="Hielo fundente (0 °C)",0,IF($C33="Agua en ebullición (100 °C)",100-IF($B$3="",0,$B$3)/300,"")))</f>
      </c>
      <c r="E33" s="13" t="n"/>
      <c r="F33" s="12">
        <f>IF(OR($D33="",$E33=""),"",ROUND(ABS($E33-$D33),1))</f>
      </c>
      <c r="G33" s="14">
        <f>IF($F33="","",IF(ABS($E33-$D33)&lt;=1,"APTO","NO APTO"))</f>
      </c>
      <c r="H33" s="11" t="n"/>
      <c r="I33" s="10" t="n"/>
      <c r="J33" s="11" t="n"/>
    </row>
    <row r="34" ht="20" customHeight="1">
      <c r="A34" s="9" t="n"/>
      <c r="B34" s="10" t="n"/>
      <c r="C34" s="11" t="n"/>
      <c r="D34" s="12">
        <f>IF($C34="","",IF($C34="Hielo fundente (0 °C)",0,IF($C34="Agua en ebullición (100 °C)",100-IF($B$3="",0,$B$3)/300,"")))</f>
      </c>
      <c r="E34" s="13" t="n"/>
      <c r="F34" s="12">
        <f>IF(OR($D34="",$E34=""),"",ROUND(ABS($E34-$D34),1))</f>
      </c>
      <c r="G34" s="14">
        <f>IF($F34="","",IF(ABS($E34-$D34)&lt;=1,"APTO","NO APTO"))</f>
      </c>
      <c r="H34" s="11" t="n"/>
      <c r="I34" s="10" t="n"/>
      <c r="J34" s="11" t="n"/>
    </row>
    <row r="35" ht="20" customHeight="1">
      <c r="A35" s="9" t="n"/>
      <c r="B35" s="10" t="n"/>
      <c r="C35" s="11" t="n"/>
      <c r="D35" s="12">
        <f>IF($C35="","",IF($C35="Hielo fundente (0 °C)",0,IF($C35="Agua en ebullición (100 °C)",100-IF($B$3="",0,$B$3)/300,"")))</f>
      </c>
      <c r="E35" s="13" t="n"/>
      <c r="F35" s="12">
        <f>IF(OR($D35="",$E35=""),"",ROUND(ABS($E35-$D35),1))</f>
      </c>
      <c r="G35" s="14">
        <f>IF($F35="","",IF(ABS($E35-$D35)&lt;=1,"APTO","NO APTO"))</f>
      </c>
      <c r="H35" s="11" t="n"/>
      <c r="I35" s="10" t="n"/>
      <c r="J35" s="11" t="n"/>
    </row>
    <row r="36" ht="20" customHeight="1">
      <c r="A36" s="9" t="n"/>
      <c r="B36" s="10" t="n"/>
      <c r="C36" s="11" t="n"/>
      <c r="D36" s="12">
        <f>IF($C36="","",IF($C36="Hielo fundente (0 °C)",0,IF($C36="Agua en ebullición (100 °C)",100-IF($B$3="",0,$B$3)/300,"")))</f>
      </c>
      <c r="E36" s="13" t="n"/>
      <c r="F36" s="12">
        <f>IF(OR($D36="",$E36=""),"",ROUND(ABS($E36-$D36),1))</f>
      </c>
      <c r="G36" s="14">
        <f>IF($F36="","",IF(ABS($E36-$D36)&lt;=1,"APTO","NO APTO"))</f>
      </c>
      <c r="H36" s="11" t="n"/>
      <c r="I36" s="10" t="n"/>
      <c r="J36" s="11" t="n"/>
    </row>
    <row r="37" ht="20" customHeight="1">
      <c r="A37" s="9" t="n"/>
      <c r="B37" s="10" t="n"/>
      <c r="C37" s="11" t="n"/>
      <c r="D37" s="12">
        <f>IF($C37="","",IF($C37="Hielo fundente (0 °C)",0,IF($C37="Agua en ebullición (100 °C)",100-IF($B$3="",0,$B$3)/300,"")))</f>
      </c>
      <c r="E37" s="13" t="n"/>
      <c r="F37" s="12">
        <f>IF(OR($D37="",$E37=""),"",ROUND(ABS($E37-$D37),1))</f>
      </c>
      <c r="G37" s="14">
        <f>IF($F37="","",IF(ABS($E37-$D37)&lt;=1,"APTO","NO APTO"))</f>
      </c>
      <c r="H37" s="11" t="n"/>
      <c r="I37" s="10" t="n"/>
      <c r="J37" s="11" t="n"/>
    </row>
    <row r="38" ht="20" customHeight="1">
      <c r="A38" s="9" t="n"/>
      <c r="B38" s="10" t="n"/>
      <c r="C38" s="11" t="n"/>
      <c r="D38" s="12">
        <f>IF($C38="","",IF($C38="Hielo fundente (0 °C)",0,IF($C38="Agua en ebullición (100 °C)",100-IF($B$3="",0,$B$3)/300,"")))</f>
      </c>
      <c r="E38" s="13" t="n"/>
      <c r="F38" s="12">
        <f>IF(OR($D38="",$E38=""),"",ROUND(ABS($E38-$D38),1))</f>
      </c>
      <c r="G38" s="14">
        <f>IF($F38="","",IF(ABS($E38-$D38)&lt;=1,"APTO","NO APTO"))</f>
      </c>
      <c r="H38" s="11" t="n"/>
      <c r="I38" s="10" t="n"/>
      <c r="J38" s="11" t="n"/>
    </row>
    <row r="39" ht="20" customHeight="1">
      <c r="A39" s="9" t="n"/>
      <c r="B39" s="10" t="n"/>
      <c r="C39" s="11" t="n"/>
      <c r="D39" s="12">
        <f>IF($C39="","",IF($C39="Hielo fundente (0 °C)",0,IF($C39="Agua en ebullición (100 °C)",100-IF($B$3="",0,$B$3)/300,"")))</f>
      </c>
      <c r="E39" s="13" t="n"/>
      <c r="F39" s="12">
        <f>IF(OR($D39="",$E39=""),"",ROUND(ABS($E39-$D39),1))</f>
      </c>
      <c r="G39" s="14">
        <f>IF($F39="","",IF(ABS($E39-$D39)&lt;=1,"APTO","NO APTO"))</f>
      </c>
      <c r="H39" s="11" t="n"/>
      <c r="I39" s="10" t="n"/>
      <c r="J39" s="11" t="n"/>
    </row>
    <row r="40" ht="20" customHeight="1">
      <c r="A40" s="9" t="n"/>
      <c r="B40" s="10" t="n"/>
      <c r="C40" s="11" t="n"/>
      <c r="D40" s="12">
        <f>IF($C40="","",IF($C40="Hielo fundente (0 °C)",0,IF($C40="Agua en ebullición (100 °C)",100-IF($B$3="",0,$B$3)/300,"")))</f>
      </c>
      <c r="E40" s="13" t="n"/>
      <c r="F40" s="12">
        <f>IF(OR($D40="",$E40=""),"",ROUND(ABS($E40-$D40),1))</f>
      </c>
      <c r="G40" s="14">
        <f>IF($F40="","",IF(ABS($E40-$D40)&lt;=1,"APTO","NO APTO"))</f>
      </c>
      <c r="H40" s="11" t="n"/>
      <c r="I40" s="10" t="n"/>
      <c r="J40" s="11" t="n"/>
    </row>
    <row r="41" ht="20" customHeight="1">
      <c r="A41" s="9" t="n"/>
      <c r="B41" s="10" t="n"/>
      <c r="C41" s="11" t="n"/>
      <c r="D41" s="12">
        <f>IF($C41="","",IF($C41="Hielo fundente (0 °C)",0,IF($C41="Agua en ebullición (100 °C)",100-IF($B$3="",0,$B$3)/300,"")))</f>
      </c>
      <c r="E41" s="13" t="n"/>
      <c r="F41" s="12">
        <f>IF(OR($D41="",$E41=""),"",ROUND(ABS($E41-$D41),1))</f>
      </c>
      <c r="G41" s="14">
        <f>IF($F41="","",IF(ABS($E41-$D41)&lt;=1,"APTO","NO APTO"))</f>
      </c>
      <c r="H41" s="11" t="n"/>
      <c r="I41" s="10" t="n"/>
      <c r="J41" s="11" t="n"/>
    </row>
    <row r="42" ht="20" customHeight="1">
      <c r="A42" s="9" t="n"/>
      <c r="B42" s="10" t="n"/>
      <c r="C42" s="11" t="n"/>
      <c r="D42" s="12">
        <f>IF($C42="","",IF($C42="Hielo fundente (0 °C)",0,IF($C42="Agua en ebullición (100 °C)",100-IF($B$3="",0,$B$3)/300,"")))</f>
      </c>
      <c r="E42" s="13" t="n"/>
      <c r="F42" s="12">
        <f>IF(OR($D42="",$E42=""),"",ROUND(ABS($E42-$D42),1))</f>
      </c>
      <c r="G42" s="14">
        <f>IF($F42="","",IF(ABS($E42-$D42)&lt;=1,"APTO","NO APTO"))</f>
      </c>
      <c r="H42" s="11" t="n"/>
      <c r="I42" s="10" t="n"/>
      <c r="J42" s="11" t="n"/>
    </row>
    <row r="43" ht="20" customHeight="1">
      <c r="A43" s="9" t="n"/>
      <c r="B43" s="10" t="n"/>
      <c r="C43" s="11" t="n"/>
      <c r="D43" s="12">
        <f>IF($C43="","",IF($C43="Hielo fundente (0 °C)",0,IF($C43="Agua en ebullición (100 °C)",100-IF($B$3="",0,$B$3)/300,"")))</f>
      </c>
      <c r="E43" s="13" t="n"/>
      <c r="F43" s="12">
        <f>IF(OR($D43="",$E43=""),"",ROUND(ABS($E43-$D43),1))</f>
      </c>
      <c r="G43" s="14">
        <f>IF($F43="","",IF(ABS($E43-$D43)&lt;=1,"APTO","NO APTO"))</f>
      </c>
      <c r="H43" s="11" t="n"/>
      <c r="I43" s="10" t="n"/>
      <c r="J43" s="11" t="n"/>
    </row>
    <row r="44" ht="20" customHeight="1">
      <c r="A44" s="9" t="n"/>
      <c r="B44" s="10" t="n"/>
      <c r="C44" s="11" t="n"/>
      <c r="D44" s="12">
        <f>IF($C44="","",IF($C44="Hielo fundente (0 °C)",0,IF($C44="Agua en ebullición (100 °C)",100-IF($B$3="",0,$B$3)/300,"")))</f>
      </c>
      <c r="E44" s="13" t="n"/>
      <c r="F44" s="12">
        <f>IF(OR($D44="",$E44=""),"",ROUND(ABS($E44-$D44),1))</f>
      </c>
      <c r="G44" s="14">
        <f>IF($F44="","",IF(ABS($E44-$D44)&lt;=1,"APTO","NO APTO"))</f>
      </c>
      <c r="H44" s="11" t="n"/>
      <c r="I44" s="10" t="n"/>
      <c r="J44" s="11" t="n"/>
    </row>
    <row r="45"/>
    <row r="46" ht="12.2" customHeight="1">
      <c r="A46" s="15" t="inlineStr">
        <is>
          <t>Método del hielo fundente: llena un vaso con hielo picado y añade un poco de agua fría hasta cubrirlo; remueve, espera dos minutos y mide en el centro sin tocar el fondo ni las paredes. La referencia son 0 °C.</t>
        </is>
      </c>
    </row>
    <row r="47" ht="24.5" customHeight="1">
      <c r="A47" s="15" t="inlineStr">
        <is>
          <t>Método de la ebullición: agua hirviendo a borbotones. La referencia NO son siempre 100 °C: el agua hierve aproximadamente 1 °C menos cada 300 m de altitud. Escribe la altitud de tu local en la casilla verde de arriba (B3) y la columna «Referencia» se corrige sola — en Madrid (667 m) pasa a 97,8 °C. Si no la sabes, usa el hielo fundente, que no depende de la altitud.</t>
        </is>
      </c>
    </row>
    <row r="48" ht="24.5" customHeight="1">
      <c r="A48" s="15" t="inlineStr">
        <is>
          <t>Si la desviación pasa de 1 °C, el estado dice NO APTO: recalibra el equipo si lo admite o retíralo de uso, y anótalo en la columna «Acción realizada». Un termómetro NO APTO invalida las lecturas que haya tomado desde la última verificación buena.</t>
        </is>
      </c>
    </row>
    <row r="49" ht="12.2" customHeight="1">
      <c r="A49" s="15" t="inlineStr">
        <is>
          <t>Cada sonda debe llevar un número visible; es el que se anota en los registros 01, 02, 16, 17 y 18.</t>
        </is>
      </c>
    </row>
    <row r="50" ht="12.2" customHeight="1">
      <c r="A50" s="15" t="inlineStr">
        <is>
          <t>Conservar al menos 2 años (trazabilidad y proveedores: 5); el Reg. (CE) 178/2002 exige trazabilidad pero no fija plazo — consulta la guía de prácticas correctas de higiene de tu comunidad autónoma.</t>
        </is>
      </c>
    </row>
    <row r="51" ht="12.2" customHeight="1">
      <c r="A51" s="15" t="inlineStr">
        <is>
          <t>— Pack de Plantillas APPCC · AI Chef Pro · aichef.pro</t>
        </is>
      </c>
    </row>
  </sheetData>
  <mergeCells count="7">
    <mergeCell ref="A49:J49"/>
    <mergeCell ref="A51:J51"/>
    <mergeCell ref="A50:J50"/>
    <mergeCell ref="A46:J46"/>
    <mergeCell ref="A47:J47"/>
    <mergeCell ref="A48:J48"/>
    <mergeCell ref="A1:J1"/>
  </mergeCells>
  <conditionalFormatting sqref="G5:G44">
    <cfRule type="expression" priority="1" dxfId="0" stopIfTrue="1">
      <formula>OR(G5="ALERTA",G5="RECHAZAR",G5="CAMBIAR",G5="REVISAR",G5="✗",G5="CADUCADO",G5="EXCESO",G5="NO APTO")</formula>
    </cfRule>
    <cfRule type="expression" priority="2" dxfId="1" stopIfTrue="1">
      <formula>OR(G5="VIGILAR",G5="⚠",G5="INCOMPLETO",G5="CADUCA PRONTO",G5="RENOVAR",G5="FALTA CLORO",G5="FALTA TEST")</formula>
    </cfRule>
    <cfRule type="expression" priority="3" dxfId="2" stopIfTrue="1">
      <formula>OR(G5="OK",G5="✓",G5="Cumple",G5="VIGENTE",G5="Completo",G5="APTO")</formula>
    </cfRule>
  </conditionalFormatting>
  <dataValidations count="3">
    <dataValidation sqref="A5:A44" showDropDown="0" showInputMessage="0" showErrorMessage="1" allowBlank="1" errorTitle="Fecha" error="Escribe una fecha (por ejemplo 01/09/2026)." type="date" errorStyle="stop" operator="between">
      <formula1>DATE(2000,1,1)</formula1>
      <formula2>DATE(2100,12,31)</formula2>
    </dataValidation>
    <dataValidation sqref="C5:C44" showDropDown="0" showInputMessage="0" showErrorMessage="1" allowBlank="1" errorTitle="Método de verificación" error="Elige uno de los dos métodos. La columna «Referencia» se rellena sola a partir de él; si escribes texto libre, la fila no acredita nada." type="list" errorStyle="stop">
      <formula1>"Hielo fundente (0 °C),Agua en ebullición (100 °C)"</formula1>
    </dataValidation>
    <dataValidation sqref="E5:E44" showDropDown="0" showInputMessage="0" showErrorMessage="1" allowBlank="1" errorTitle="Lectura" error="Introduce la lectura del termómetro en °C, entre -60 y 150." type="decimal" errorStyle="stop" operator="between">
      <formula1>-60</formula1>
      <formula2>150</formula2>
    </dataValidation>
  </dataValidations>
  <pageMargins left="0.55" right="0.55" top="0.55" bottom="0.55"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Verificación de Termómetros y Sondas · Pack de Plantillas APPCC</dc:title>
  <dc:description xmlns:dc="http://purl.org/dc/elements/1.1/">aichef.pro/pack-appcc</dc:description>
  <dc:subject xmlns:dc="http://purl.org/dc/elements/1.1/">Pack de Plantillas APPCC · v2.0</dc:subject>
  <dcterms:created xmlns:dcterms="http://purl.org/dc/terms/" xmlns:xsi="http://www.w3.org/2001/XMLSchema-instance" xsi:type="dcterms:W3CDTF">2026-08-22T19:31:21Z</dcterms:created>
  <dcterms:modified xmlns:dcterms="http://purl.org/dc/terms/" xmlns:xsi="http://www.w3.org/2001/XMLSchema-instance" xsi:type="dcterms:W3CDTF">2026-08-29T08:35:10Z</dcterms:modified>
  <cp:lastModifiedBy>AI Chef Pro</cp:lastModifiedBy>
  <cp:category>AI Chef Pro · Productos digitales</cp:category>
  <cp:keywords>pack appcc, AI Chef Pro</cp:keywords>
</cp:coreProperties>
</file>