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cepción Temperaturas" sheetId="2" state="visible" r:id="rId2"/>
    <sheet xmlns:r="http://schemas.openxmlformats.org/officeDocument/2006/relationships" name="Límites" sheetId="3" state="visible" r:id="rId3"/>
  </sheets>
  <definedNames>
    <definedName name="_xlnm.Print_Area" localSheetId="0">'Instrucciones'!$A$1:$B$33</definedName>
    <definedName name="_xlnm.Print_Titles" localSheetId="1">'Recepción Temperaturas'!$4:$4</definedName>
    <definedName name="_xlnm.Print_Area" localSheetId="1">'Recepción Temperaturas'!$A$1:$J$48</definedName>
    <definedName name="_xlnm.Print_Titles" localSheetId="2">'Límites'!$4:$4</definedName>
    <definedName name="_xlnm.Print_Area" localSheetId="2">'Límites'!$A$1:$C$24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4"/>
    </font>
    <font>
      <i val="1"/>
      <sz val="10"/>
    </font>
    <font>
      <b val="1"/>
      <color rgb="00FFFFFF"/>
      <sz val="11"/>
    </font>
    <font>
      <sz val="9"/>
    </font>
    <font>
      <b val="1"/>
      <sz val="16"/>
    </font>
    <font>
      <b val="1"/>
      <sz val="18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3" fillId="0" borderId="0" pivotButton="0" quotePrefix="0" xfId="0"/>
    <xf numFmtId="0" fontId="11" fillId="4" borderId="2" applyAlignment="1" pivotButton="0" quotePrefix="0" xfId="0">
      <alignment horizontal="center" vertical="center" wrapText="1"/>
    </xf>
    <xf numFmtId="49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left" vertical="center" wrapText="1"/>
      <protection locked="0" hidden="0"/>
    </xf>
    <xf numFmtId="164" fontId="7" fillId="5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0" fillId="5" borderId="2" applyAlignment="1" applyProtection="1" pivotButton="0" quotePrefix="0" xfId="0">
      <alignment horizontal="left" vertical="center" wrapText="1"/>
      <protection locked="0" hidden="0"/>
    </xf>
    <xf numFmtId="1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0" t="inlineStr">
        <is>
          <t>Control de Temperaturas en Recepción de Mercancías</t>
        </is>
      </c>
    </row>
    <row r="3"/>
    <row r="4">
      <c r="B4" s="11" t="inlineStr">
        <is>
          <t>Cómo usar esta plantilla</t>
        </is>
      </c>
    </row>
    <row r="5"/>
    <row r="6">
      <c r="B6" s="12" t="inlineStr">
        <is>
          <t>▸ Mide la temperatura del producto al recibirlo, con sonda entre dos envases (nunca pinchando el producto que se va a servir) y anótala en «Temp. recibida (°C)».</t>
        </is>
      </c>
    </row>
    <row r="7">
      <c r="B7" s="12" t="inlineStr">
        <is>
          <t>▸ Elige la FAMILIA en el desplegable. El «Límite máx. (°C)» no se escribe: se calcula solo desde la hoja «Límites».</t>
        </is>
      </c>
    </row>
    <row r="8">
      <c r="B8" s="12" t="inlineStr">
        <is>
          <t>▸ La columna «Estado» compara los dos valores y responde OK o RECHAZAR, con semáforo. Si falta la temperatura o la familia, se queda en blanco: nunca da OK por defecto.</t>
        </is>
      </c>
    </row>
    <row r="9">
      <c r="B9" s="12" t="inlineStr">
        <is>
          <t>▸ Si marcas «Aceptado = S» en una fila con Estado = RECHAZAR, la fila entera se pinta en rojo. Es deliberado: esa combinación hay que justificarla por escrito.</t>
        </is>
      </c>
    </row>
    <row r="10">
      <c r="B10" s="2" t="n"/>
    </row>
    <row r="11">
      <c r="B11" s="11" t="inlineStr">
        <is>
          <t>Límites de temperatura en recepción (hoja «Límites»)</t>
        </is>
      </c>
    </row>
    <row r="12">
      <c r="B12" s="3" t="n"/>
    </row>
    <row r="13">
      <c r="B13" s="12" t="inlineStr">
        <is>
          <t>▸ Pescado fresco (en hielo fundente) → máx. 2 °C</t>
        </is>
      </c>
    </row>
    <row r="14">
      <c r="B14" s="12" t="inlineStr">
        <is>
          <t>▸ Carne picada → máx. 2 °C</t>
        </is>
      </c>
    </row>
    <row r="15">
      <c r="B15" s="12" t="inlineStr">
        <is>
          <t>▸ Preparados de carne (hamburguesas, salchichas frescas, adobados) → máx. 4 °C</t>
        </is>
      </c>
    </row>
    <row r="16">
      <c r="B16" s="12" t="inlineStr">
        <is>
          <t>▸ Despojos → máx. 3 °C</t>
        </is>
      </c>
    </row>
    <row r="17">
      <c r="B17" s="12" t="inlineStr">
        <is>
          <t>▸ Aves y caza menor → máx. 4 °C</t>
        </is>
      </c>
    </row>
    <row r="18">
      <c r="B18" s="12" t="inlineStr">
        <is>
          <t>▸ Caza mayor silvestre → máx. 7 °C</t>
        </is>
      </c>
    </row>
    <row r="19">
      <c r="B19" s="12" t="inlineStr">
        <is>
          <t>▸ Lácteos y platos preparados refrigerados → máx. 4 °C</t>
        </is>
      </c>
    </row>
    <row r="20">
      <c r="B20" s="12" t="inlineStr">
        <is>
          <t>▸ Canales y despieces de vacuno, ovino y porcino → máx. 7 °C</t>
        </is>
      </c>
    </row>
    <row r="21">
      <c r="B21" s="12" t="inlineStr">
        <is>
          <t>▸ Congelados → máx. -18 °C</t>
        </is>
      </c>
    </row>
    <row r="22">
      <c r="B22" s="12" t="inlineStr">
        <is>
          <t>▸ Ambiente (sin control de temperatura) → sin límite de temperatura (N/A)</t>
        </is>
      </c>
    </row>
    <row r="23">
      <c r="B23" s="12" t="inlineStr">
        <is>
          <t>Puedes añadir familias propias en la hoja «Límites», dentro del rango A15:C20, que se entregan vacías a propósito.</t>
        </is>
      </c>
    </row>
    <row r="24"/>
    <row r="25">
      <c r="B25" s="11" t="inlineStr">
        <is>
          <t>Frecuencia y archivo</t>
        </is>
      </c>
    </row>
    <row r="26"/>
    <row r="27">
      <c r="B27" s="12" t="inlineStr">
        <is>
          <t>▸ Frecuencia: TODAS las entregas de producto con temperatura regulada. La hoja trae 40 filas, suficientes para un mes de una o dos entregas diarias.</t>
        </is>
      </c>
    </row>
    <row r="28">
      <c r="B28" s="12" t="inlineStr">
        <is>
          <t>▸ Este registro es el PCC de temperatura en recepción. La verificación documental (albarán, etiquetado, envase) va en el registro 05: son complementarios, no duplicados.</t>
        </is>
      </c>
    </row>
    <row r="29">
      <c r="B29" s="12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30"/>
    <row r="31">
      <c r="B31" s="11" t="inlineStr">
        <is>
          <t>— Pack de Plantillas APPCC · AI Chef Pro · aichef.pro</t>
        </is>
      </c>
    </row>
    <row r="32"/>
    <row r="33">
      <c r="B33" s="11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K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5" customWidth="1" min="4" max="4"/>
    <col width="38" customWidth="1" min="5" max="5"/>
    <col width="14" customWidth="1" min="6" max="6"/>
    <col width="14" customWidth="1" min="7" max="7"/>
    <col width="18" customWidth="1" min="8" max="8"/>
    <col width="13" customWidth="1" min="9" max="9"/>
    <col width="30" customWidth="1" min="10" max="10"/>
  </cols>
  <sheetData>
    <row r="1">
      <c r="A1" s="13" t="inlineStr">
        <is>
          <t>Control de Temperaturas — Recepción de Mercancías</t>
        </is>
      </c>
    </row>
    <row r="2">
      <c r="A2" s="5" t="inlineStr">
        <is>
          <t>Mes: _______________    Responsable: _________________________________</t>
        </is>
      </c>
    </row>
    <row r="3"/>
    <row r="4" ht="30" customHeight="1">
      <c r="A4" s="14" t="inlineStr">
        <is>
          <t>Fecha</t>
        </is>
      </c>
      <c r="B4" s="14" t="inlineStr">
        <is>
          <t>Producto</t>
        </is>
      </c>
      <c r="C4" s="14" t="inlineStr">
        <is>
          <t>Proveedor</t>
        </is>
      </c>
      <c r="D4" s="14" t="inlineStr">
        <is>
          <t>Temp. recibida (°C)</t>
        </is>
      </c>
      <c r="E4" s="14" t="inlineStr">
        <is>
          <t>Familia de producto</t>
        </is>
      </c>
      <c r="F4" s="14" t="inlineStr">
        <is>
          <t>Límite máx. (°C)</t>
        </is>
      </c>
      <c r="G4" s="14" t="inlineStr">
        <is>
          <t>Estado</t>
        </is>
      </c>
      <c r="H4" s="14" t="inlineStr">
        <is>
          <t>Lote / Caducidad</t>
        </is>
      </c>
      <c r="I4" s="14" t="inlineStr">
        <is>
          <t>Aceptado (S/N)</t>
        </is>
      </c>
      <c r="J4" s="14" t="inlineStr">
        <is>
          <t>Observaciones</t>
        </is>
      </c>
    </row>
    <row r="5" ht="20" customHeight="1">
      <c r="A5" s="15" t="inlineStr">
        <is>
          <t>05/09/2026</t>
        </is>
      </c>
      <c r="B5" s="16" t="inlineStr">
        <is>
          <t>Merluza fresca</t>
        </is>
      </c>
      <c r="C5" s="16" t="inlineStr">
        <is>
          <t>Pescados de la Ría S.L.</t>
        </is>
      </c>
      <c r="D5" s="17" t="n">
        <v>1.5</v>
      </c>
      <c r="E5" s="16" t="inlineStr">
        <is>
          <t>Pescado fresco (en hielo fundente)</t>
        </is>
      </c>
      <c r="F5" s="18">
        <f>IF($E5="","",IFERROR(IF(VLOOKUP($E5,'Límites'!$A$5:$B$20,2,FALSE)="","",VLOOKUP($E5,'Límites'!$A$5:$B$20,2,FALSE)),""))</f>
        <v>2.0</v>
      </c>
      <c r="G5" s="19" t="str">
        <f>IF(OR($D5="",$F5=""),"",IF($F5="N/A","OK",IF($D5&lt;=$F5,"OK","RECHAZAR")))</f>
        <v>OK</v>
      </c>
      <c r="H5" s="15" t="inlineStr">
        <is>
          <t>L-2026-0912 / 07-09-26</t>
        </is>
      </c>
      <c r="I5" s="15" t="inlineStr">
        <is>
          <t>S</t>
        </is>
      </c>
      <c r="J5" s="16" t="inlineStr">
        <is>
          <t>(ejemplo)</t>
        </is>
      </c>
    </row>
    <row r="6" ht="20" customHeight="1">
      <c r="A6" s="15" t="inlineStr">
        <is>
          <t>05/09/2026</t>
        </is>
      </c>
      <c r="B6" s="16" t="inlineStr">
        <is>
          <t>Canal de ternera</t>
        </is>
      </c>
      <c r="C6" s="16" t="inlineStr">
        <is>
          <t>Cárnicas del Norte</t>
        </is>
      </c>
      <c r="D6" s="17" t="n">
        <v>5.5</v>
      </c>
      <c r="E6" s="16" t="inlineStr">
        <is>
          <t>Canales y despieces de vacuno, ovino y porcino</t>
        </is>
      </c>
      <c r="F6" s="18">
        <f>IF($E6="","",IFERROR(IF(VLOOKUP($E6,'Límites'!$A$5:$B$20,2,FALSE)="","",VLOOKUP($E6,'Límites'!$A$5:$B$20,2,FALSE)),""))</f>
        <v>7.0</v>
      </c>
      <c r="G6" s="19" t="str">
        <f>IF(OR($D6="",$F6=""),"",IF($F6="N/A","OK",IF($D6&lt;=$F6,"OK","RECHAZAR")))</f>
        <v>OK</v>
      </c>
      <c r="H6" s="15" t="inlineStr">
        <is>
          <t>L-2026-0913 / 12-09-26</t>
        </is>
      </c>
      <c r="I6" s="15" t="inlineStr">
        <is>
          <t>S</t>
        </is>
      </c>
      <c r="J6" s="16" t="inlineStr">
        <is>
          <t>(ejemplo)</t>
        </is>
      </c>
    </row>
    <row r="7" ht="20" customHeight="1">
      <c r="A7" s="15" t="inlineStr">
        <is>
          <t>05/09/2026</t>
        </is>
      </c>
      <c r="B7" s="16" t="inlineStr">
        <is>
          <t>Guisantes congelados</t>
        </is>
      </c>
      <c r="C7" s="16" t="inlineStr">
        <is>
          <t>Congelados del Sur</t>
        </is>
      </c>
      <c r="D7" s="17" t="n">
        <v>-14</v>
      </c>
      <c r="E7" s="16" t="inlineStr">
        <is>
          <t>Congelados</t>
        </is>
      </c>
      <c r="F7" s="18">
        <f>IF($E7="","",IFERROR(IF(VLOOKUP($E7,'Límites'!$A$5:$B$20,2,FALSE)="","",VLOOKUP($E7,'Límites'!$A$5:$B$20,2,FALSE)),""))</f>
        <v>-18.0</v>
      </c>
      <c r="G7" s="19" t="str">
        <f>IF(OR($D7="",$F7=""),"",IF($F7="N/A","OK",IF($D7&lt;=$F7,"OK","RECHAZAR")))</f>
        <v>RECHAZAR</v>
      </c>
      <c r="H7" s="15" t="inlineStr">
        <is>
          <t>L-2026-0914 / 03-2028</t>
        </is>
      </c>
      <c r="I7" s="15" t="inlineStr">
        <is>
          <t>N</t>
        </is>
      </c>
      <c r="J7" s="16" t="inlineStr">
        <is>
          <t>Devuelto al proveedor · incidencia INC-002 (ejemplo)</t>
        </is>
      </c>
    </row>
    <row r="8" ht="20" customHeight="1">
      <c r="A8" s="15" t="n"/>
      <c r="B8" s="16" t="n"/>
      <c r="C8" s="16" t="n"/>
      <c r="D8" s="17" t="n"/>
      <c r="E8" s="16" t="n"/>
      <c r="F8" s="18">
        <f>IF($E8="","",IFERROR(IF(VLOOKUP($E8,'Límites'!$A$5:$B$20,2,FALSE)="","",VLOOKUP($E8,'Límites'!$A$5:$B$20,2,FALSE)),""))</f>
      </c>
      <c r="G8" s="19">
        <f>IF(OR($D8="",$F8=""),"",IF($F8="N/A","OK",IF($D8&lt;=$F8,"OK","RECHAZAR")))</f>
      </c>
      <c r="H8" s="15" t="n"/>
      <c r="I8" s="15" t="n"/>
      <c r="J8" s="16" t="n"/>
    </row>
    <row r="9" ht="20" customHeight="1">
      <c r="A9" s="15" t="n"/>
      <c r="B9" s="16" t="n"/>
      <c r="C9" s="16" t="n"/>
      <c r="D9" s="17" t="n"/>
      <c r="E9" s="16" t="n"/>
      <c r="F9" s="18">
        <f>IF($E9="","",IFERROR(IF(VLOOKUP($E9,'Límites'!$A$5:$B$20,2,FALSE)="","",VLOOKUP($E9,'Límites'!$A$5:$B$20,2,FALSE)),""))</f>
      </c>
      <c r="G9" s="19">
        <f>IF(OR($D9="",$F9=""),"",IF($F9="N/A","OK",IF($D9&lt;=$F9,"OK","RECHAZAR")))</f>
      </c>
      <c r="H9" s="15" t="n"/>
      <c r="I9" s="15" t="n"/>
      <c r="J9" s="16" t="n"/>
    </row>
    <row r="10" ht="20" customHeight="1">
      <c r="A10" s="15" t="n"/>
      <c r="B10" s="16" t="n"/>
      <c r="C10" s="16" t="n"/>
      <c r="D10" s="17" t="n"/>
      <c r="E10" s="16" t="n"/>
      <c r="F10" s="18">
        <f>IF($E10="","",IFERROR(IF(VLOOKUP($E10,'Límites'!$A$5:$B$20,2,FALSE)="","",VLOOKUP($E10,'Límites'!$A$5:$B$20,2,FALSE)),""))</f>
      </c>
      <c r="G10" s="19">
        <f>IF(OR($D10="",$F10=""),"",IF($F10="N/A","OK",IF($D10&lt;=$F10,"OK","RECHAZAR")))</f>
      </c>
      <c r="H10" s="15" t="n"/>
      <c r="I10" s="15" t="n"/>
      <c r="J10" s="16" t="n"/>
    </row>
    <row r="11" ht="20" customHeight="1">
      <c r="A11" s="15" t="n"/>
      <c r="B11" s="16" t="n"/>
      <c r="C11" s="16" t="n"/>
      <c r="D11" s="17" t="n"/>
      <c r="E11" s="16" t="n"/>
      <c r="F11" s="18">
        <f>IF($E11="","",IFERROR(IF(VLOOKUP($E11,'Límites'!$A$5:$B$20,2,FALSE)="","",VLOOKUP($E11,'Límites'!$A$5:$B$20,2,FALSE)),""))</f>
      </c>
      <c r="G11" s="19">
        <f>IF(OR($D11="",$F11=""),"",IF($F11="N/A","OK",IF($D11&lt;=$F11,"OK","RECHAZAR")))</f>
      </c>
      <c r="H11" s="15" t="n"/>
      <c r="I11" s="15" t="n"/>
      <c r="J11" s="16" t="n"/>
    </row>
    <row r="12" ht="20" customHeight="1">
      <c r="A12" s="15" t="n"/>
      <c r="B12" s="16" t="n"/>
      <c r="C12" s="16" t="n"/>
      <c r="D12" s="17" t="n"/>
      <c r="E12" s="16" t="n"/>
      <c r="F12" s="18">
        <f>IF($E12="","",IFERROR(IF(VLOOKUP($E12,'Límites'!$A$5:$B$20,2,FALSE)="","",VLOOKUP($E12,'Límites'!$A$5:$B$20,2,FALSE)),""))</f>
      </c>
      <c r="G12" s="19">
        <f>IF(OR($D12="",$F12=""),"",IF($F12="N/A","OK",IF($D12&lt;=$F12,"OK","RECHAZAR")))</f>
      </c>
      <c r="H12" s="15" t="n"/>
      <c r="I12" s="15" t="n"/>
      <c r="J12" s="16" t="n"/>
    </row>
    <row r="13" ht="20" customHeight="1">
      <c r="A13" s="15" t="n"/>
      <c r="B13" s="16" t="n"/>
      <c r="C13" s="16" t="n"/>
      <c r="D13" s="17" t="n"/>
      <c r="E13" s="16" t="n"/>
      <c r="F13" s="18">
        <f>IF($E13="","",IFERROR(IF(VLOOKUP($E13,'Límites'!$A$5:$B$20,2,FALSE)="","",VLOOKUP($E13,'Límites'!$A$5:$B$20,2,FALSE)),""))</f>
      </c>
      <c r="G13" s="19">
        <f>IF(OR($D13="",$F13=""),"",IF($F13="N/A","OK",IF($D13&lt;=$F13,"OK","RECHAZAR")))</f>
      </c>
      <c r="H13" s="15" t="n"/>
      <c r="I13" s="15" t="n"/>
      <c r="J13" s="16" t="n"/>
    </row>
    <row r="14" ht="20" customHeight="1">
      <c r="A14" s="15" t="n"/>
      <c r="B14" s="16" t="n"/>
      <c r="C14" s="16" t="n"/>
      <c r="D14" s="17" t="n"/>
      <c r="E14" s="16" t="n"/>
      <c r="F14" s="18">
        <f>IF($E14="","",IFERROR(IF(VLOOKUP($E14,'Límites'!$A$5:$B$20,2,FALSE)="","",VLOOKUP($E14,'Límites'!$A$5:$B$20,2,FALSE)),""))</f>
      </c>
      <c r="G14" s="19">
        <f>IF(OR($D14="",$F14=""),"",IF($F14="N/A","OK",IF($D14&lt;=$F14,"OK","RECHAZAR")))</f>
      </c>
      <c r="H14" s="15" t="n"/>
      <c r="I14" s="15" t="n"/>
      <c r="J14" s="16" t="n"/>
    </row>
    <row r="15" ht="20" customHeight="1">
      <c r="A15" s="15" t="n"/>
      <c r="B15" s="16" t="n"/>
      <c r="C15" s="16" t="n"/>
      <c r="D15" s="17" t="n"/>
      <c r="E15" s="16" t="n"/>
      <c r="F15" s="18">
        <f>IF($E15="","",IFERROR(IF(VLOOKUP($E15,'Límites'!$A$5:$B$20,2,FALSE)="","",VLOOKUP($E15,'Límites'!$A$5:$B$20,2,FALSE)),""))</f>
      </c>
      <c r="G15" s="19">
        <f>IF(OR($D15="",$F15=""),"",IF($F15="N/A","OK",IF($D15&lt;=$F15,"OK","RECHAZAR")))</f>
      </c>
      <c r="H15" s="15" t="n"/>
      <c r="I15" s="15" t="n"/>
      <c r="J15" s="16" t="n"/>
    </row>
    <row r="16" ht="20" customHeight="1">
      <c r="A16" s="15" t="n"/>
      <c r="B16" s="16" t="n"/>
      <c r="C16" s="16" t="n"/>
      <c r="D16" s="17" t="n"/>
      <c r="E16" s="16" t="n"/>
      <c r="F16" s="18">
        <f>IF($E16="","",IFERROR(IF(VLOOKUP($E16,'Límites'!$A$5:$B$20,2,FALSE)="","",VLOOKUP($E16,'Límites'!$A$5:$B$20,2,FALSE)),""))</f>
      </c>
      <c r="G16" s="19">
        <f>IF(OR($D16="",$F16=""),"",IF($F16="N/A","OK",IF($D16&lt;=$F16,"OK","RECHAZAR")))</f>
      </c>
      <c r="H16" s="15" t="n"/>
      <c r="I16" s="15" t="n"/>
      <c r="J16" s="16" t="n"/>
    </row>
    <row r="17" ht="20" customHeight="1">
      <c r="A17" s="15" t="n"/>
      <c r="B17" s="16" t="n"/>
      <c r="C17" s="16" t="n"/>
      <c r="D17" s="17" t="n"/>
      <c r="E17" s="16" t="n"/>
      <c r="F17" s="18">
        <f>IF($E17="","",IFERROR(IF(VLOOKUP($E17,'Límites'!$A$5:$B$20,2,FALSE)="","",VLOOKUP($E17,'Límites'!$A$5:$B$20,2,FALSE)),""))</f>
      </c>
      <c r="G17" s="19">
        <f>IF(OR($D17="",$F17=""),"",IF($F17="N/A","OK",IF($D17&lt;=$F17,"OK","RECHAZAR")))</f>
      </c>
      <c r="H17" s="15" t="n"/>
      <c r="I17" s="15" t="n"/>
      <c r="J17" s="16" t="n"/>
    </row>
    <row r="18" ht="20" customHeight="1">
      <c r="A18" s="15" t="n"/>
      <c r="B18" s="16" t="n"/>
      <c r="C18" s="16" t="n"/>
      <c r="D18" s="17" t="n"/>
      <c r="E18" s="16" t="n"/>
      <c r="F18" s="18">
        <f>IF($E18="","",IFERROR(IF(VLOOKUP($E18,'Límites'!$A$5:$B$20,2,FALSE)="","",VLOOKUP($E18,'Límites'!$A$5:$B$20,2,FALSE)),""))</f>
      </c>
      <c r="G18" s="19">
        <f>IF(OR($D18="",$F18=""),"",IF($F18="N/A","OK",IF($D18&lt;=$F18,"OK","RECHAZAR")))</f>
      </c>
      <c r="H18" s="15" t="n"/>
      <c r="I18" s="15" t="n"/>
      <c r="J18" s="16" t="n"/>
    </row>
    <row r="19" ht="20" customHeight="1">
      <c r="A19" s="15" t="n"/>
      <c r="B19" s="16" t="n"/>
      <c r="C19" s="16" t="n"/>
      <c r="D19" s="17" t="n"/>
      <c r="E19" s="16" t="n"/>
      <c r="F19" s="18">
        <f>IF($E19="","",IFERROR(IF(VLOOKUP($E19,'Límites'!$A$5:$B$20,2,FALSE)="","",VLOOKUP($E19,'Límites'!$A$5:$B$20,2,FALSE)),""))</f>
      </c>
      <c r="G19" s="19">
        <f>IF(OR($D19="",$F19=""),"",IF($F19="N/A","OK",IF($D19&lt;=$F19,"OK","RECHAZAR")))</f>
      </c>
      <c r="H19" s="15" t="n"/>
      <c r="I19" s="15" t="n"/>
      <c r="J19" s="16" t="n"/>
    </row>
    <row r="20" ht="20" customHeight="1">
      <c r="A20" s="15" t="n"/>
      <c r="B20" s="16" t="n"/>
      <c r="C20" s="16" t="n"/>
      <c r="D20" s="17" t="n"/>
      <c r="E20" s="16" t="n"/>
      <c r="F20" s="18">
        <f>IF($E20="","",IFERROR(IF(VLOOKUP($E20,'Límites'!$A$5:$B$20,2,FALSE)="","",VLOOKUP($E20,'Límites'!$A$5:$B$20,2,FALSE)),""))</f>
      </c>
      <c r="G20" s="19">
        <f>IF(OR($D20="",$F20=""),"",IF($F20="N/A","OK",IF($D20&lt;=$F20,"OK","RECHAZAR")))</f>
      </c>
      <c r="H20" s="15" t="n"/>
      <c r="I20" s="15" t="n"/>
      <c r="J20" s="16" t="n"/>
    </row>
    <row r="21" ht="20" customHeight="1">
      <c r="A21" s="15" t="n"/>
      <c r="B21" s="16" t="n"/>
      <c r="C21" s="16" t="n"/>
      <c r="D21" s="17" t="n"/>
      <c r="E21" s="16" t="n"/>
      <c r="F21" s="18">
        <f>IF($E21="","",IFERROR(IF(VLOOKUP($E21,'Límites'!$A$5:$B$20,2,FALSE)="","",VLOOKUP($E21,'Límites'!$A$5:$B$20,2,FALSE)),""))</f>
      </c>
      <c r="G21" s="19">
        <f>IF(OR($D21="",$F21=""),"",IF($F21="N/A","OK",IF($D21&lt;=$F21,"OK","RECHAZAR")))</f>
      </c>
      <c r="H21" s="15" t="n"/>
      <c r="I21" s="15" t="n"/>
      <c r="J21" s="16" t="n"/>
    </row>
    <row r="22" ht="20" customHeight="1">
      <c r="A22" s="15" t="n"/>
      <c r="B22" s="16" t="n"/>
      <c r="C22" s="16" t="n"/>
      <c r="D22" s="17" t="n"/>
      <c r="E22" s="16" t="n"/>
      <c r="F22" s="18">
        <f>IF($E22="","",IFERROR(IF(VLOOKUP($E22,'Límites'!$A$5:$B$20,2,FALSE)="","",VLOOKUP($E22,'Límites'!$A$5:$B$20,2,FALSE)),""))</f>
      </c>
      <c r="G22" s="19">
        <f>IF(OR($D22="",$F22=""),"",IF($F22="N/A","OK",IF($D22&lt;=$F22,"OK","RECHAZAR")))</f>
      </c>
      <c r="H22" s="15" t="n"/>
      <c r="I22" s="15" t="n"/>
      <c r="J22" s="16" t="n"/>
    </row>
    <row r="23" ht="20" customHeight="1">
      <c r="A23" s="15" t="n"/>
      <c r="B23" s="16" t="n"/>
      <c r="C23" s="16" t="n"/>
      <c r="D23" s="17" t="n"/>
      <c r="E23" s="16" t="n"/>
      <c r="F23" s="18">
        <f>IF($E23="","",IFERROR(IF(VLOOKUP($E23,'Límites'!$A$5:$B$20,2,FALSE)="","",VLOOKUP($E23,'Límites'!$A$5:$B$20,2,FALSE)),""))</f>
      </c>
      <c r="G23" s="19">
        <f>IF(OR($D23="",$F23=""),"",IF($F23="N/A","OK",IF($D23&lt;=$F23,"OK","RECHAZAR")))</f>
      </c>
      <c r="H23" s="15" t="n"/>
      <c r="I23" s="15" t="n"/>
      <c r="J23" s="16" t="n"/>
    </row>
    <row r="24" ht="20" customHeight="1">
      <c r="A24" s="15" t="n"/>
      <c r="B24" s="16" t="n"/>
      <c r="C24" s="16" t="n"/>
      <c r="D24" s="17" t="n"/>
      <c r="E24" s="16" t="n"/>
      <c r="F24" s="18">
        <f>IF($E24="","",IFERROR(IF(VLOOKUP($E24,'Límites'!$A$5:$B$20,2,FALSE)="","",VLOOKUP($E24,'Límites'!$A$5:$B$20,2,FALSE)),""))</f>
      </c>
      <c r="G24" s="19">
        <f>IF(OR($D24="",$F24=""),"",IF($F24="N/A","OK",IF($D24&lt;=$F24,"OK","RECHAZAR")))</f>
      </c>
      <c r="H24" s="15" t="n"/>
      <c r="I24" s="15" t="n"/>
      <c r="J24" s="16" t="n"/>
    </row>
    <row r="25" ht="20" customHeight="1">
      <c r="A25" s="15" t="n"/>
      <c r="B25" s="16" t="n"/>
      <c r="C25" s="16" t="n"/>
      <c r="D25" s="17" t="n"/>
      <c r="E25" s="16" t="n"/>
      <c r="F25" s="18">
        <f>IF($E25="","",IFERROR(IF(VLOOKUP($E25,'Límites'!$A$5:$B$20,2,FALSE)="","",VLOOKUP($E25,'Límites'!$A$5:$B$20,2,FALSE)),""))</f>
      </c>
      <c r="G25" s="19">
        <f>IF(OR($D25="",$F25=""),"",IF($F25="N/A","OK",IF($D25&lt;=$F25,"OK","RECHAZAR")))</f>
      </c>
      <c r="H25" s="15" t="n"/>
      <c r="I25" s="15" t="n"/>
      <c r="J25" s="16" t="n"/>
    </row>
    <row r="26" ht="20" customHeight="1">
      <c r="A26" s="15" t="n"/>
      <c r="B26" s="16" t="n"/>
      <c r="C26" s="16" t="n"/>
      <c r="D26" s="17" t="n"/>
      <c r="E26" s="16" t="n"/>
      <c r="F26" s="18">
        <f>IF($E26="","",IFERROR(IF(VLOOKUP($E26,'Límites'!$A$5:$B$20,2,FALSE)="","",VLOOKUP($E26,'Límites'!$A$5:$B$20,2,FALSE)),""))</f>
      </c>
      <c r="G26" s="19">
        <f>IF(OR($D26="",$F26=""),"",IF($F26="N/A","OK",IF($D26&lt;=$F26,"OK","RECHAZAR")))</f>
      </c>
      <c r="H26" s="15" t="n"/>
      <c r="I26" s="15" t="n"/>
      <c r="J26" s="16" t="n"/>
    </row>
    <row r="27" ht="20" customHeight="1">
      <c r="A27" s="15" t="n"/>
      <c r="B27" s="16" t="n"/>
      <c r="C27" s="16" t="n"/>
      <c r="D27" s="17" t="n"/>
      <c r="E27" s="16" t="n"/>
      <c r="F27" s="18">
        <f>IF($E27="","",IFERROR(IF(VLOOKUP($E27,'Límites'!$A$5:$B$20,2,FALSE)="","",VLOOKUP($E27,'Límites'!$A$5:$B$20,2,FALSE)),""))</f>
      </c>
      <c r="G27" s="19">
        <f>IF(OR($D27="",$F27=""),"",IF($F27="N/A","OK",IF($D27&lt;=$F27,"OK","RECHAZAR")))</f>
      </c>
      <c r="H27" s="15" t="n"/>
      <c r="I27" s="15" t="n"/>
      <c r="J27" s="16" t="n"/>
    </row>
    <row r="28" ht="20" customHeight="1">
      <c r="A28" s="15" t="n"/>
      <c r="B28" s="16" t="n"/>
      <c r="C28" s="16" t="n"/>
      <c r="D28" s="17" t="n"/>
      <c r="E28" s="16" t="n"/>
      <c r="F28" s="18">
        <f>IF($E28="","",IFERROR(IF(VLOOKUP($E28,'Límites'!$A$5:$B$20,2,FALSE)="","",VLOOKUP($E28,'Límites'!$A$5:$B$20,2,FALSE)),""))</f>
      </c>
      <c r="G28" s="19">
        <f>IF(OR($D28="",$F28=""),"",IF($F28="N/A","OK",IF($D28&lt;=$F28,"OK","RECHAZAR")))</f>
      </c>
      <c r="H28" s="15" t="n"/>
      <c r="I28" s="15" t="n"/>
      <c r="J28" s="16" t="n"/>
    </row>
    <row r="29" ht="20" customHeight="1">
      <c r="A29" s="15" t="n"/>
      <c r="B29" s="16" t="n"/>
      <c r="C29" s="16" t="n"/>
      <c r="D29" s="17" t="n"/>
      <c r="E29" s="16" t="n"/>
      <c r="F29" s="18">
        <f>IF($E29="","",IFERROR(IF(VLOOKUP($E29,'Límites'!$A$5:$B$20,2,FALSE)="","",VLOOKUP($E29,'Límites'!$A$5:$B$20,2,FALSE)),""))</f>
      </c>
      <c r="G29" s="19">
        <f>IF(OR($D29="",$F29=""),"",IF($F29="N/A","OK",IF($D29&lt;=$F29,"OK","RECHAZAR")))</f>
      </c>
      <c r="H29" s="15" t="n"/>
      <c r="I29" s="15" t="n"/>
      <c r="J29" s="16" t="n"/>
    </row>
    <row r="30" ht="20" customHeight="1">
      <c r="A30" s="15" t="n"/>
      <c r="B30" s="16" t="n"/>
      <c r="C30" s="16" t="n"/>
      <c r="D30" s="17" t="n"/>
      <c r="E30" s="16" t="n"/>
      <c r="F30" s="18">
        <f>IF($E30="","",IFERROR(IF(VLOOKUP($E30,'Límites'!$A$5:$B$20,2,FALSE)="","",VLOOKUP($E30,'Límites'!$A$5:$B$20,2,FALSE)),""))</f>
      </c>
      <c r="G30" s="19">
        <f>IF(OR($D30="",$F30=""),"",IF($F30="N/A","OK",IF($D30&lt;=$F30,"OK","RECHAZAR")))</f>
      </c>
      <c r="H30" s="15" t="n"/>
      <c r="I30" s="15" t="n"/>
      <c r="J30" s="16" t="n"/>
    </row>
    <row r="31" ht="20" customHeight="1">
      <c r="A31" s="15" t="n"/>
      <c r="B31" s="16" t="n"/>
      <c r="C31" s="16" t="n"/>
      <c r="D31" s="17" t="n"/>
      <c r="E31" s="16" t="n"/>
      <c r="F31" s="18">
        <f>IF($E31="","",IFERROR(IF(VLOOKUP($E31,'Límites'!$A$5:$B$20,2,FALSE)="","",VLOOKUP($E31,'Límites'!$A$5:$B$20,2,FALSE)),""))</f>
      </c>
      <c r="G31" s="19">
        <f>IF(OR($D31="",$F31=""),"",IF($F31="N/A","OK",IF($D31&lt;=$F31,"OK","RECHAZAR")))</f>
      </c>
      <c r="H31" s="15" t="n"/>
      <c r="I31" s="15" t="n"/>
      <c r="J31" s="16" t="n"/>
    </row>
    <row r="32" ht="20" customHeight="1">
      <c r="A32" s="15" t="n"/>
      <c r="B32" s="16" t="n"/>
      <c r="C32" s="16" t="n"/>
      <c r="D32" s="17" t="n"/>
      <c r="E32" s="16" t="n"/>
      <c r="F32" s="18">
        <f>IF($E32="","",IFERROR(IF(VLOOKUP($E32,'Límites'!$A$5:$B$20,2,FALSE)="","",VLOOKUP($E32,'Límites'!$A$5:$B$20,2,FALSE)),""))</f>
      </c>
      <c r="G32" s="19">
        <f>IF(OR($D32="",$F32=""),"",IF($F32="N/A","OK",IF($D32&lt;=$F32,"OK","RECHAZAR")))</f>
      </c>
      <c r="H32" s="15" t="n"/>
      <c r="I32" s="15" t="n"/>
      <c r="J32" s="16" t="n"/>
    </row>
    <row r="33" ht="20" customHeight="1">
      <c r="A33" s="15" t="n"/>
      <c r="B33" s="16" t="n"/>
      <c r="C33" s="16" t="n"/>
      <c r="D33" s="17" t="n"/>
      <c r="E33" s="16" t="n"/>
      <c r="F33" s="18">
        <f>IF($E33="","",IFERROR(IF(VLOOKUP($E33,'Límites'!$A$5:$B$20,2,FALSE)="","",VLOOKUP($E33,'Límites'!$A$5:$B$20,2,FALSE)),""))</f>
      </c>
      <c r="G33" s="19">
        <f>IF(OR($D33="",$F33=""),"",IF($F33="N/A","OK",IF($D33&lt;=$F33,"OK","RECHAZAR")))</f>
      </c>
      <c r="H33" s="15" t="n"/>
      <c r="I33" s="15" t="n"/>
      <c r="J33" s="16" t="n"/>
    </row>
    <row r="34" ht="20" customHeight="1">
      <c r="A34" s="15" t="n"/>
      <c r="B34" s="16" t="n"/>
      <c r="C34" s="16" t="n"/>
      <c r="D34" s="17" t="n"/>
      <c r="E34" s="16" t="n"/>
      <c r="F34" s="18">
        <f>IF($E34="","",IFERROR(IF(VLOOKUP($E34,'Límites'!$A$5:$B$20,2,FALSE)="","",VLOOKUP($E34,'Límites'!$A$5:$B$20,2,FALSE)),""))</f>
      </c>
      <c r="G34" s="19">
        <f>IF(OR($D34="",$F34=""),"",IF($F34="N/A","OK",IF($D34&lt;=$F34,"OK","RECHAZAR")))</f>
      </c>
      <c r="H34" s="15" t="n"/>
      <c r="I34" s="15" t="n"/>
      <c r="J34" s="16" t="n"/>
    </row>
    <row r="35" ht="20" customHeight="1">
      <c r="A35" s="15" t="n"/>
      <c r="B35" s="16" t="n"/>
      <c r="C35" s="16" t="n"/>
      <c r="D35" s="17" t="n"/>
      <c r="E35" s="16" t="n"/>
      <c r="F35" s="18">
        <f>IF($E35="","",IFERROR(IF(VLOOKUP($E35,'Límites'!$A$5:$B$20,2,FALSE)="","",VLOOKUP($E35,'Límites'!$A$5:$B$20,2,FALSE)),""))</f>
      </c>
      <c r="G35" s="19">
        <f>IF(OR($D35="",$F35=""),"",IF($F35="N/A","OK",IF($D35&lt;=$F35,"OK","RECHAZAR")))</f>
      </c>
      <c r="H35" s="15" t="n"/>
      <c r="I35" s="15" t="n"/>
      <c r="J35" s="16" t="n"/>
    </row>
    <row r="36" ht="20" customHeight="1">
      <c r="A36" s="15" t="n"/>
      <c r="B36" s="16" t="n"/>
      <c r="C36" s="16" t="n"/>
      <c r="D36" s="17" t="n"/>
      <c r="E36" s="16" t="n"/>
      <c r="F36" s="18">
        <f>IF($E36="","",IFERROR(IF(VLOOKUP($E36,'Límites'!$A$5:$B$20,2,FALSE)="","",VLOOKUP($E36,'Límites'!$A$5:$B$20,2,FALSE)),""))</f>
      </c>
      <c r="G36" s="19">
        <f>IF(OR($D36="",$F36=""),"",IF($F36="N/A","OK",IF($D36&lt;=$F36,"OK","RECHAZAR")))</f>
      </c>
      <c r="H36" s="15" t="n"/>
      <c r="I36" s="15" t="n"/>
      <c r="J36" s="16" t="n"/>
    </row>
    <row r="37" ht="20" customHeight="1">
      <c r="A37" s="15" t="n"/>
      <c r="B37" s="16" t="n"/>
      <c r="C37" s="16" t="n"/>
      <c r="D37" s="17" t="n"/>
      <c r="E37" s="16" t="n"/>
      <c r="F37" s="18">
        <f>IF($E37="","",IFERROR(IF(VLOOKUP($E37,'Límites'!$A$5:$B$20,2,FALSE)="","",VLOOKUP($E37,'Límites'!$A$5:$B$20,2,FALSE)),""))</f>
      </c>
      <c r="G37" s="19">
        <f>IF(OR($D37="",$F37=""),"",IF($F37="N/A","OK",IF($D37&lt;=$F37,"OK","RECHAZAR")))</f>
      </c>
      <c r="H37" s="15" t="n"/>
      <c r="I37" s="15" t="n"/>
      <c r="J37" s="16" t="n"/>
    </row>
    <row r="38" ht="20" customHeight="1">
      <c r="A38" s="15" t="n"/>
      <c r="B38" s="16" t="n"/>
      <c r="C38" s="16" t="n"/>
      <c r="D38" s="17" t="n"/>
      <c r="E38" s="16" t="n"/>
      <c r="F38" s="18">
        <f>IF($E38="","",IFERROR(IF(VLOOKUP($E38,'Límites'!$A$5:$B$20,2,FALSE)="","",VLOOKUP($E38,'Límites'!$A$5:$B$20,2,FALSE)),""))</f>
      </c>
      <c r="G38" s="19">
        <f>IF(OR($D38="",$F38=""),"",IF($F38="N/A","OK",IF($D38&lt;=$F38,"OK","RECHAZAR")))</f>
      </c>
      <c r="H38" s="15" t="n"/>
      <c r="I38" s="15" t="n"/>
      <c r="J38" s="16" t="n"/>
    </row>
    <row r="39" ht="20" customHeight="1">
      <c r="A39" s="15" t="n"/>
      <c r="B39" s="16" t="n"/>
      <c r="C39" s="16" t="n"/>
      <c r="D39" s="17" t="n"/>
      <c r="E39" s="16" t="n"/>
      <c r="F39" s="18">
        <f>IF($E39="","",IFERROR(IF(VLOOKUP($E39,'Límites'!$A$5:$B$20,2,FALSE)="","",VLOOKUP($E39,'Límites'!$A$5:$B$20,2,FALSE)),""))</f>
      </c>
      <c r="G39" s="19">
        <f>IF(OR($D39="",$F39=""),"",IF($F39="N/A","OK",IF($D39&lt;=$F39,"OK","RECHAZAR")))</f>
      </c>
      <c r="H39" s="15" t="n"/>
      <c r="I39" s="15" t="n"/>
      <c r="J39" s="16" t="n"/>
    </row>
    <row r="40" ht="20" customHeight="1">
      <c r="A40" s="15" t="n"/>
      <c r="B40" s="16" t="n"/>
      <c r="C40" s="16" t="n"/>
      <c r="D40" s="17" t="n"/>
      <c r="E40" s="16" t="n"/>
      <c r="F40" s="18">
        <f>IF($E40="","",IFERROR(IF(VLOOKUP($E40,'Límites'!$A$5:$B$20,2,FALSE)="","",VLOOKUP($E40,'Límites'!$A$5:$B$20,2,FALSE)),""))</f>
      </c>
      <c r="G40" s="19">
        <f>IF(OR($D40="",$F40=""),"",IF($F40="N/A","OK",IF($D40&lt;=$F40,"OK","RECHAZAR")))</f>
      </c>
      <c r="H40" s="15" t="n"/>
      <c r="I40" s="15" t="n"/>
      <c r="J40" s="16" t="n"/>
    </row>
    <row r="41" ht="20" customHeight="1">
      <c r="A41" s="15" t="n"/>
      <c r="B41" s="16" t="n"/>
      <c r="C41" s="16" t="n"/>
      <c r="D41" s="17" t="n"/>
      <c r="E41" s="16" t="n"/>
      <c r="F41" s="18">
        <f>IF($E41="","",IFERROR(IF(VLOOKUP($E41,'Límites'!$A$5:$B$20,2,FALSE)="","",VLOOKUP($E41,'Límites'!$A$5:$B$20,2,FALSE)),""))</f>
      </c>
      <c r="G41" s="19">
        <f>IF(OR($D41="",$F41=""),"",IF($F41="N/A","OK",IF($D41&lt;=$F41,"OK","RECHAZAR")))</f>
      </c>
      <c r="H41" s="15" t="n"/>
      <c r="I41" s="15" t="n"/>
      <c r="J41" s="16" t="n"/>
    </row>
    <row r="42" ht="20" customHeight="1">
      <c r="A42" s="15" t="n"/>
      <c r="B42" s="16" t="n"/>
      <c r="C42" s="16" t="n"/>
      <c r="D42" s="17" t="n"/>
      <c r="E42" s="16" t="n"/>
      <c r="F42" s="18">
        <f>IF($E42="","",IFERROR(IF(VLOOKUP($E42,'Límites'!$A$5:$B$20,2,FALSE)="","",VLOOKUP($E42,'Límites'!$A$5:$B$20,2,FALSE)),""))</f>
      </c>
      <c r="G42" s="19">
        <f>IF(OR($D42="",$F42=""),"",IF($F42="N/A","OK",IF($D42&lt;=$F42,"OK","RECHAZAR")))</f>
      </c>
      <c r="H42" s="15" t="n"/>
      <c r="I42" s="15" t="n"/>
      <c r="J42" s="16" t="n"/>
    </row>
    <row r="43" ht="20" customHeight="1">
      <c r="A43" s="15" t="n"/>
      <c r="B43" s="16" t="n"/>
      <c r="C43" s="16" t="n"/>
      <c r="D43" s="17" t="n"/>
      <c r="E43" s="16" t="n"/>
      <c r="F43" s="18">
        <f>IF($E43="","",IFERROR(IF(VLOOKUP($E43,'Límites'!$A$5:$B$20,2,FALSE)="","",VLOOKUP($E43,'Límites'!$A$5:$B$20,2,FALSE)),""))</f>
      </c>
      <c r="G43" s="19">
        <f>IF(OR($D43="",$F43=""),"",IF($F43="N/A","OK",IF($D43&lt;=$F43,"OK","RECHAZAR")))</f>
      </c>
      <c r="H43" s="15" t="n"/>
      <c r="I43" s="15" t="n"/>
      <c r="J43" s="16" t="n"/>
    </row>
    <row r="44" ht="20" customHeight="1">
      <c r="A44" s="15" t="n"/>
      <c r="B44" s="16" t="n"/>
      <c r="C44" s="16" t="n"/>
      <c r="D44" s="17" t="n"/>
      <c r="E44" s="16" t="n"/>
      <c r="F44" s="18">
        <f>IF($E44="","",IFERROR(IF(VLOOKUP($E44,'Límites'!$A$5:$B$20,2,FALSE)="","",VLOOKUP($E44,'Límites'!$A$5:$B$20,2,FALSE)),""))</f>
      </c>
      <c r="G44" s="19">
        <f>IF(OR($D44="",$F44=""),"",IF($F44="N/A","OK",IF($D44&lt;=$F44,"OK","RECHAZAR")))</f>
      </c>
      <c r="H44" s="15" t="n"/>
      <c r="I44" s="15" t="n"/>
      <c r="J44" s="16" t="n"/>
    </row>
    <row r="45"/>
    <row r="46" ht="12.2" customHeight="1">
      <c r="A46" s="20" t="inlineStr">
        <is>
          <t>Si Estado = RECHAZAR: devolver el producto al proveedor y abrir la incidencia en el registro 11 (Acciones Correctivas). Si aun así se acepta, la fila entera se pinta en rojo: es una no conformidad aceptada a sabiendas y hay que justificarla.</t>
        </is>
      </c>
    </row>
    <row r="47" ht="12.2" customHeight="1">
      <c r="A47" s="20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48" ht="12.2" customHeight="1">
      <c r="A48" s="20" t="inlineStr">
        <is>
          <t>— Pack de Plantillas APPCC · AI Chef Pro · aichef.pro</t>
        </is>
      </c>
    </row>
    <row r="49"/>
    <row r="50"/>
    <row r="51"/>
  </sheetData>
  <mergeCells count="4">
    <mergeCell ref="A1:J1"/>
    <mergeCell ref="A46:J46"/>
    <mergeCell ref="A48:J48"/>
    <mergeCell ref="A47:J47"/>
  </mergeCells>
  <conditionalFormatting sqref="G5:G44">
    <cfRule type="expression" priority="1" dxfId="0" stopIfTrue="1">
      <formula>OR(G5="ALERTA",G5="RECHAZAR",G5="CAMBIAR",G5="REVISAR",G5="✗",G5="CADUCADO",G5="EXCESO")</formula>
    </cfRule>
    <cfRule type="expression" priority="2" dxfId="1" stopIfTrue="1">
      <formula>OR(G5="VIGILAR",G5="⚠",G5="INCOMPLETO",G5="CADUCA PRONTO",G5="RENOVAR",G5="FALTA CLORO",G5="FALTA TEST")</formula>
    </cfRule>
    <cfRule type="expression" priority="3" dxfId="2" stopIfTrue="1">
      <formula>OR(G5="OK",G5="✓",G5="Cumple",G5="VIGENTE",G5="Completo",G5="APTO")</formula>
    </cfRule>
  </conditionalFormatting>
  <conditionalFormatting sqref="A5:J44">
    <cfRule type="expression" priority="4" dxfId="0" stopIfTrue="1">
      <formula>AND($G5="RECHAZAR",$I5="S")</formula>
    </cfRule>
  </conditionalFormatting>
  <dataValidations count="3">
    <dataValidation sqref="E5:E44" showDropDown="0" showInputMessage="0" showErrorMessage="1" allowBlank="0" errorTitle="Familia de producto" error="Elige una familia de la lista. El límite legal se calcula solo a partir de ella; si escribes texto libre, la columna Estado se queda en blanco y la fila no acredita nada." type="list" errorStyle="stop">
      <formula1>'Límites'!$A$5:$A$20</formula1>
    </dataValidation>
    <dataValidation sqref="I5:I44" showDropDown="0" showInputMessage="0" showErrorMessage="1" allowBlank="1" errorTitle="Aceptado" error="Escribe S (aceptado) o N (rechazado)." type="list" errorStyle="stop">
      <formula1>"S,N"</formula1>
    </dataValidation>
    <dataValidation sqref="D5:D44" showDropDown="0" showInputMessage="0" showErrorMessage="1" allowBlank="1" errorTitle="Temperatura recibida" error="Introduce la temperatura en °C, entre -40 y 60." type="decimal" errorStyle="stop" operator="between">
      <formula1>-40</formula1>
      <formula2>60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8" customWidth="1" min="3" max="3"/>
  </cols>
  <sheetData>
    <row r="1">
      <c r="A1" s="21" t="inlineStr">
        <is>
          <t>Límites legales de temperatura en recepción</t>
        </is>
      </c>
    </row>
    <row r="2"/>
    <row r="3">
      <c r="A3" s="22" t="inlineStr">
        <is>
          <t>Esta hoja alimenta el desplegable «Familia de producto» del registro. Puedes añadir familias propias en las filas verdes libres (A15:C20): el desplegable y la búsqueda del límite las recogen solas.</t>
        </is>
      </c>
    </row>
    <row r="4" ht="30" customHeight="1">
      <c r="A4" s="14" t="inlineStr">
        <is>
          <t>Familia de producto</t>
        </is>
      </c>
      <c r="B4" s="14" t="inlineStr">
        <is>
          <t>Límite máx. (°C)</t>
        </is>
      </c>
      <c r="C4" s="14" t="inlineStr">
        <is>
          <t>Base legal / nota</t>
        </is>
      </c>
    </row>
    <row r="5" ht="30" customHeight="1">
      <c r="A5" s="23" t="inlineStr">
        <is>
          <t>Pescado fresco (en hielo fundente)</t>
        </is>
      </c>
      <c r="B5" s="24" t="n">
        <v>2</v>
      </c>
      <c r="C5" s="23" t="inlineStr">
        <is>
          <t>Reg. (CE) 853/2004, Anexo III, Secc. VIII: temperatura del hielo fundente (0-2 °C)</t>
        </is>
      </c>
    </row>
    <row r="6" ht="30" customHeight="1">
      <c r="A6" s="23" t="inlineStr">
        <is>
          <t>Carne picada</t>
        </is>
      </c>
      <c r="B6" s="24" t="n">
        <v>2</v>
      </c>
      <c r="C6" s="23" t="inlineStr">
        <is>
          <t>Reg. (CE) 853/2004, Anexo III, Secc. V, Cap. III</t>
        </is>
      </c>
    </row>
    <row r="7" ht="30" customHeight="1">
      <c r="A7" s="23" t="inlineStr">
        <is>
          <t>Preparados de carne (hamburguesas, salchichas frescas, adobados)</t>
        </is>
      </c>
      <c r="B7" s="24" t="n">
        <v>4</v>
      </c>
      <c r="C7" s="23" t="inlineStr">
        <is>
          <t>Reg. (CE) 853/2004, Anexo III, Secc. V, Cap. III</t>
        </is>
      </c>
    </row>
    <row r="8" ht="30" customHeight="1">
      <c r="A8" s="23" t="inlineStr">
        <is>
          <t>Despojos</t>
        </is>
      </c>
      <c r="B8" s="24" t="n">
        <v>3</v>
      </c>
      <c r="C8" s="23" t="inlineStr">
        <is>
          <t>Reg. (CE) 853/2004, Anexo III, Secc. I</t>
        </is>
      </c>
    </row>
    <row r="9" ht="30" customHeight="1">
      <c r="A9" s="23" t="inlineStr">
        <is>
          <t>Aves y caza menor</t>
        </is>
      </c>
      <c r="B9" s="24" t="n">
        <v>4</v>
      </c>
      <c r="C9" s="23" t="inlineStr">
        <is>
          <t>Reg. (CE) 853/2004, Anexo III, Secc. II y IV</t>
        </is>
      </c>
    </row>
    <row r="10" ht="30" customHeight="1">
      <c r="A10" s="23" t="inlineStr">
        <is>
          <t>Caza mayor silvestre</t>
        </is>
      </c>
      <c r="B10" s="24" t="n">
        <v>7</v>
      </c>
      <c r="C10" s="23" t="inlineStr">
        <is>
          <t>Reg. (CE) 853/2004, Anexo III, Secc. IV</t>
        </is>
      </c>
    </row>
    <row r="11" ht="30" customHeight="1">
      <c r="A11" s="23" t="inlineStr">
        <is>
          <t>Lácteos y platos preparados refrigerados</t>
        </is>
      </c>
      <c r="B11" s="24" t="n">
        <v>4</v>
      </c>
      <c r="C11" s="23" t="inlineStr">
        <is>
          <t>Criterio del establecimiento (RD 1021/2022: la temperatura la fija tu APPCC) y ficha del fabricante</t>
        </is>
      </c>
    </row>
    <row r="12" ht="30" customHeight="1">
      <c r="A12" s="23" t="inlineStr">
        <is>
          <t>Canales y despieces de vacuno, ovino y porcino</t>
        </is>
      </c>
      <c r="B12" s="24" t="n">
        <v>7</v>
      </c>
      <c r="C12" s="23" t="inlineStr">
        <is>
          <t>Reg. (CE) 853/2004, Anexo III, Secc. I</t>
        </is>
      </c>
    </row>
    <row r="13" ht="30" customHeight="1">
      <c r="A13" s="23" t="inlineStr">
        <is>
          <t>Congelados</t>
        </is>
      </c>
      <c r="B13" s="24" t="n">
        <v>-18</v>
      </c>
      <c r="C13" s="23" t="inlineStr">
        <is>
          <t>Reg. (CE) 853/2004 y RD 1109/1991</t>
        </is>
      </c>
    </row>
    <row r="14" ht="30" customHeight="1">
      <c r="A14" s="23" t="inlineStr">
        <is>
          <t>Ambiente (sin control de temperatura)</t>
        </is>
      </c>
      <c r="B14" s="25" t="inlineStr">
        <is>
          <t>N/A</t>
        </is>
      </c>
      <c r="C14" s="23" t="inlineStr">
        <is>
          <t>Verificar integridad del envase, etiquetado y fecha de caducidad</t>
        </is>
      </c>
    </row>
    <row r="15" ht="30" customHeight="1">
      <c r="A15" s="23" t="n"/>
      <c r="B15" s="25" t="n"/>
      <c r="C15" s="23" t="n"/>
    </row>
    <row r="16" ht="30" customHeight="1">
      <c r="A16" s="23" t="n"/>
      <c r="B16" s="25" t="n"/>
      <c r="C16" s="23" t="n"/>
    </row>
    <row r="17" ht="30" customHeight="1">
      <c r="A17" s="23" t="n"/>
      <c r="B17" s="25" t="n"/>
      <c r="C17" s="23" t="n"/>
    </row>
    <row r="18" ht="30" customHeight="1">
      <c r="A18" s="23" t="n"/>
      <c r="B18" s="25" t="n"/>
      <c r="C18" s="23" t="n"/>
    </row>
    <row r="19" ht="30" customHeight="1">
      <c r="A19" s="23" t="n"/>
      <c r="B19" s="25" t="n"/>
      <c r="C19" s="23" t="n"/>
    </row>
    <row r="20" ht="30" customHeight="1">
      <c r="A20" s="23" t="n"/>
      <c r="B20" s="25" t="n"/>
      <c r="C20" s="23" t="n"/>
    </row>
    <row r="21"/>
    <row r="22" ht="24.5" customHeight="1">
      <c r="A22" s="20" t="inlineStr">
        <is>
          <t>«N/A» significa que la familia no tiene límite de temperatura en recepción: el Estado del registro devuelve OK y lo que hay que verificar es el envase, el etiquetado y la caducidad.</t>
        </is>
      </c>
    </row>
    <row r="23" ht="24.5" customHeight="1">
      <c r="A23" s="20" t="inlineStr">
        <is>
          <t>Las filas A15:C20 están libres para tus propias familias (por ejemplo, un límite más estricto pactado con un proveedor). El desplegable del registro y la búsqueda del límite ya las incluyen.</t>
        </is>
      </c>
    </row>
    <row r="24" ht="12.2" customHeight="1">
      <c r="A24" s="20" t="inlineStr">
        <is>
          <t>— Pack de Plantillas APPCC · AI Chef Pro · aichef.pro</t>
        </is>
      </c>
    </row>
  </sheetData>
  <mergeCells count="3">
    <mergeCell ref="A22:C22"/>
    <mergeCell ref="A24:C24"/>
    <mergeCell ref="A23:C23"/>
  </mergeCell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Control de Temperaturas en Recepción de Mercancías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2026-03-18T23:13:39Z</dcterms:created>
  <dcterms:modified xmlns:dcterms="http://purl.org/dc/terms/" xmlns:xsi="http://www.w3.org/2001/XMLSchema-instance" xsi:type="dcterms:W3CDTF">2026-08-22T19:31:19Z</dcterms:modified>
  <cp:lastModifiedBy>AI Chef Pro</cp:lastModifiedBy>
  <cp:category>AI Chef Pro · Productos digitales</cp:category>
  <cp:keywords>pack appcc, AI Chef Pro</cp:keywords>
</cp:coreProperties>
</file>