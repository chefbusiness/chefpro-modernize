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25 Puntos Inspección" sheetId="2" state="visible" r:id="rId2"/>
  </sheets>
  <definedNames>
    <definedName name="_xlnm.Print_Area" localSheetId="0">'Instrucciones'!$A$1:$B$26</definedName>
    <definedName name="_xlnm.Print_Titles" localSheetId="1">'25 Puntos Inspección'!$4:$4</definedName>
    <definedName name="_xlnm.Print_Area" localSheetId="1">'25 Puntos Inspección'!$A$1:$E$83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4444"/>
      <sz val="11"/>
    </font>
    <font>
      <name val="Calibri"/>
      <b val="1"/>
      <color rgb="00FF9800"/>
      <sz val="11"/>
    </font>
    <font>
      <name val="Calibri"/>
      <color rgb="00999999"/>
      <sz val="9"/>
    </font>
    <font>
      <b val="1"/>
      <sz val="16"/>
    </font>
    <font>
      <sz val="10"/>
    </font>
    <font>
      <b val="1"/>
      <color rgb="00FFFFFF"/>
      <sz val="11"/>
    </font>
    <font>
      <b val="1"/>
      <sz val="11"/>
    </font>
    <font>
      <b val="1"/>
      <sz val="12"/>
    </font>
    <font>
      <sz val="11"/>
    </font>
    <font>
      <sz val="9"/>
    </font>
    <font>
      <b val="1"/>
      <sz val="18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0" fillId="2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20" fillId="0" borderId="0" applyAlignment="1" pivotButton="0" quotePrefix="0" xfId="0">
      <alignment vertical="center" wrapText="1"/>
    </xf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5" fillId="4" borderId="6" applyAlignment="1" pivotButton="0" quotePrefix="0" xfId="0">
      <alignment horizontal="center" vertical="center" wrapText="1"/>
    </xf>
    <xf numFmtId="0" fontId="16" fillId="5" borderId="0" pivotButton="0" quotePrefix="0" xfId="0"/>
    <xf numFmtId="1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center" vertical="center" wrapText="1"/>
    </xf>
    <xf numFmtId="49" fontId="0" fillId="6" borderId="6" applyAlignment="1" applyProtection="1" pivotButton="0" quotePrefix="0" xfId="0">
      <alignment horizontal="center" vertical="center" wrapText="1"/>
      <protection locked="0" hidden="0"/>
    </xf>
    <xf numFmtId="0" fontId="16" fillId="0" borderId="0" applyAlignment="1" pivotButton="0" quotePrefix="0" xfId="0">
      <alignment horizontal="left" vertical="center"/>
    </xf>
    <xf numFmtId="1" fontId="17" fillId="0" borderId="6" applyAlignment="1" pivotButton="0" quotePrefix="0" xfId="0">
      <alignment horizontal="center" vertical="center" wrapText="1"/>
    </xf>
    <xf numFmtId="9" fontId="17" fillId="0" borderId="6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top"/>
    </xf>
    <xf numFmtId="0" fontId="18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6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21" t="inlineStr">
        <is>
          <t>Guía: Cómo Pasar una Inspección de Sanidad</t>
        </is>
      </c>
    </row>
    <row r="3"/>
    <row r="4">
      <c r="B4" s="22" t="inlineStr">
        <is>
          <t>Qué encontrarás en esta guía</t>
        </is>
      </c>
    </row>
    <row r="5"/>
    <row r="6">
      <c r="B6" s="23" t="inlineStr">
        <is>
          <t>▸ Los 25 puntos que revisa el inspector, con lo que mira en cada uno y su gravedad según la Ley 17/2011.</t>
        </is>
      </c>
    </row>
    <row r="7">
      <c r="B7" s="23" t="inlineStr">
        <is>
          <t>▸ Un resumen automático que separa los incumplimientos muy graves de los graves, cuenta los puntos sin responder y calcula tu porcentaje de cumplimiento.</t>
        </is>
      </c>
    </row>
    <row r="8">
      <c r="B8" s="23" t="inlineStr">
        <is>
          <t>▸ Qué hacer en las 24 horas previas a una inspección.</t>
        </is>
      </c>
    </row>
    <row r="9">
      <c r="B9" s="23" t="inlineStr">
        <is>
          <t>▸ Qué documentos tener listos, en una carpeta y a mano.</t>
        </is>
      </c>
    </row>
    <row r="10">
      <c r="B10" s="23" t="inlineStr">
        <is>
          <t>▸ Los errores que más se sancionan, para que no te pillen en ninguno.</t>
        </is>
      </c>
    </row>
    <row r="11">
      <c r="B11" s="23" t="inlineStr">
        <is>
          <t>▸ Basada en la experiencia de John Guerrero: consultor gastronómico desde 2010, en cocina desde los 17 años.</t>
        </is>
      </c>
    </row>
    <row r="12">
      <c r="B12" s="2" t="n"/>
    </row>
    <row r="13">
      <c r="B13" s="22" t="inlineStr">
        <is>
          <t>Cómo se usa</t>
        </is>
      </c>
    </row>
    <row r="14">
      <c r="B14" s="2" t="n"/>
    </row>
    <row r="15">
      <c r="B15" s="23" t="inlineStr">
        <is>
          <t>▸ Recorre el local con la hoja impresa o en el móvil y marca cada punto con el desplegable: ✓ Cumple, ⚠ Mejorar o ✗ No cumple. Se pintan solos.</t>
        </is>
      </c>
    </row>
    <row r="16">
      <c r="B16" s="23" t="inlineStr">
        <is>
          <t>▸ Mira primero la casilla de «Incumplimientos MUY GRAVES»: si no está en cero, eso es lo que hay que resolver hoy.</t>
        </is>
      </c>
    </row>
    <row r="17">
      <c r="B17" s="23" t="inlineStr">
        <is>
          <t>▸ Repite la autoevaluación cada trimestre y guarda las hojas. La serie demuestra que revisas tu propio sistema, que es justo lo que pide el principio 6 del APPCC.</t>
        </is>
      </c>
    </row>
    <row r="18"/>
    <row r="19">
      <c r="B19" s="22" t="inlineStr">
        <is>
          <t>Sobre la escala de gravedad</t>
        </is>
      </c>
    </row>
    <row r="20"/>
    <row r="21">
      <c r="B21" s="23" t="inlineStr">
        <is>
          <t>En España las infracciones en seguridad alimentaria se clasifican en leves, graves y muy graves (Ley 17/2011, arts. 50-52). El cierre cautelar no es la consecuencia normal de un incumplimiento: es una medida excepcional reservada a las situaciones de riesgo grave e inminente para la salud (art. 27). La calificación concreta la hace siempre la autoridad competente.</t>
        </is>
      </c>
    </row>
    <row r="22">
      <c r="B22" s="23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3"/>
    <row r="24">
      <c r="B24" s="22" t="inlineStr">
        <is>
          <t>— Pack de Plantillas APPCC · AI Chef Pro · aichef.pro</t>
        </is>
      </c>
    </row>
    <row r="25"/>
    <row r="26">
      <c r="B26" s="22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G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20" customWidth="1" min="4" max="4"/>
    <col width="18" customWidth="1" min="5" max="5"/>
  </cols>
  <sheetData>
    <row r="1">
      <c r="A1" s="24" t="inlineStr">
        <is>
          <t>Los 25 Puntos que Revisa el Inspector de Sanidad</t>
        </is>
      </c>
    </row>
    <row r="2">
      <c r="A2" s="25" t="inlineStr">
        <is>
          <t>Autoevalúa tu establecimiento ANTES de la inspección. Debajo de la tabla tienes el resumen automático y tres bloques: qué hacer las 24 horas previas, qué documentos tener listos y los errores que más se sancionan.</t>
        </is>
      </c>
    </row>
    <row r="3"/>
    <row r="4" ht="30" customHeight="1">
      <c r="A4" s="26" t="inlineStr">
        <is>
          <t>Nº</t>
        </is>
      </c>
      <c r="B4" s="26" t="inlineStr">
        <is>
          <t>Punto de inspección</t>
        </is>
      </c>
      <c r="C4" s="26" t="inlineStr">
        <is>
          <t>Qué revisa el inspector</t>
        </is>
      </c>
      <c r="D4" s="26" t="inlineStr">
        <is>
          <t>Gravedad (Ley 17/2011)</t>
        </is>
      </c>
      <c r="E4" s="26" t="inlineStr">
        <is>
          <t>Tu estado</t>
        </is>
      </c>
    </row>
    <row r="5" ht="20" customHeight="1">
      <c r="A5" s="27" t="inlineStr">
        <is>
          <t>DOCUMENTACIÓN Y REGISTROS</t>
        </is>
      </c>
    </row>
    <row r="6" ht="32" customHeight="1">
      <c r="A6" s="28" t="n">
        <v>1</v>
      </c>
      <c r="B6" s="29" t="inlineStr">
        <is>
          <t>Plan APPCC completo y actualizado</t>
        </is>
      </c>
      <c r="C6" s="29" t="inlineStr">
        <is>
          <t>Análisis de peligros, PCC, límites críticos, vigilancia, acciones correctivas y verificación (registro 12)</t>
        </is>
      </c>
      <c r="D6" s="30" t="inlineStr">
        <is>
          <t>Grave</t>
        </is>
      </c>
      <c r="E6" s="31" t="n"/>
    </row>
    <row r="7" ht="32" customHeight="1">
      <c r="A7" s="28" t="n">
        <v>2</v>
      </c>
      <c r="B7" s="29" t="inlineStr">
        <is>
          <t>Registros de control al día y firmados</t>
        </is>
      </c>
      <c r="C7" s="29" t="inlineStr">
        <is>
          <t>Temperaturas, limpieza, trazabilidad y acciones correctivas del último año, con firma</t>
        </is>
      </c>
      <c r="D7" s="30" t="inlineStr">
        <is>
          <t>Grave</t>
        </is>
      </c>
      <c r="E7" s="31" t="n"/>
    </row>
    <row r="8" ht="46" customHeight="1">
      <c r="A8" s="28" t="n">
        <v>3</v>
      </c>
      <c r="B8" s="29" t="inlineStr">
        <is>
          <t>Formación en higiene alimentaria acreditada por la empresa</t>
        </is>
      </c>
      <c r="C8" s="29" t="inlineStr">
        <is>
          <t>Justificante de formación de todos los manipuladores (Reg. (CE) 852/2004, Anexo II, Cap. XII) y su registro (BONUS-01)</t>
        </is>
      </c>
      <c r="D8" s="30" t="inlineStr">
        <is>
          <t>Grave</t>
        </is>
      </c>
      <c r="E8" s="31" t="n"/>
    </row>
    <row r="9" ht="32" customHeight="1">
      <c r="A9" s="28" t="n">
        <v>4</v>
      </c>
      <c r="B9" s="29" t="inlineStr">
        <is>
          <t>Carta de alérgenos accesible y actualizada</t>
        </is>
      </c>
      <c r="C9" s="29" t="inlineStr">
        <is>
          <t>Disponible para cualquier cliente que la pida, coherente con la matriz del registro 08 y con la carta vigente</t>
        </is>
      </c>
      <c r="D9" s="30" t="inlineStr">
        <is>
          <t>Muy grave</t>
        </is>
      </c>
      <c r="E9" s="31" t="n"/>
    </row>
    <row r="10" ht="32" customHeight="1">
      <c r="A10" s="28" t="n">
        <v>5</v>
      </c>
      <c r="B10" s="29" t="inlineStr">
        <is>
          <t>Contrato de empresa DDD con Nº ROESB y certificados</t>
        </is>
      </c>
      <c r="C10" s="29" t="inlineStr">
        <is>
          <t>Contrato en vigor, empresa inscrita en el ROESB, certificados de cada actuación y plano de cebos (registro 07)</t>
        </is>
      </c>
      <c r="D10" s="30" t="inlineStr">
        <is>
          <t>Grave</t>
        </is>
      </c>
      <c r="E10" s="31" t="n"/>
    </row>
    <row r="11" ht="20" customHeight="1">
      <c r="A11" s="27" t="inlineStr">
        <is>
          <t>TEMPERATURAS Y EQUIPOS</t>
        </is>
      </c>
    </row>
    <row r="12" ht="32" customHeight="1">
      <c r="A12" s="28" t="n">
        <v>6</v>
      </c>
      <c r="B12" s="29" t="inlineStr">
        <is>
          <t>Cámaras de refrigeración (0-4 °C)</t>
        </is>
      </c>
      <c r="C12" s="29" t="inlineStr">
        <is>
          <t>Medición in situ con el termómetro del inspector, contrastada con tu registro 01</t>
        </is>
      </c>
      <c r="D12" s="30" t="inlineStr">
        <is>
          <t>Grave</t>
        </is>
      </c>
      <c r="E12" s="31" t="n"/>
    </row>
    <row r="13" ht="32" customHeight="1">
      <c r="A13" s="28" t="n">
        <v>7</v>
      </c>
      <c r="B13" s="29" t="inlineStr">
        <is>
          <t>Congeladores (≤ -18 °C)</t>
        </is>
      </c>
      <c r="C13" s="29" t="inlineStr">
        <is>
          <t>Medición in situ y producto correctamente congelado, sin escarcha ni recongelaciones</t>
        </is>
      </c>
      <c r="D13" s="30" t="inlineStr">
        <is>
          <t>Grave</t>
        </is>
      </c>
      <c r="E13" s="31" t="n"/>
    </row>
    <row r="14" ht="32" customHeight="1">
      <c r="A14" s="28" t="n">
        <v>8</v>
      </c>
      <c r="B14" s="29" t="inlineStr">
        <is>
          <t>Exposición caliente (≥ 65 °C)</t>
        </is>
      </c>
      <c r="C14" s="29" t="inlineStr">
        <is>
          <t>Temperatura de mantenimiento de los platos calientes en el momento de la visita</t>
        </is>
      </c>
      <c r="D14" s="30" t="inlineStr">
        <is>
          <t>Grave</t>
        </is>
      </c>
      <c r="E14" s="31" t="n"/>
    </row>
    <row r="15" ht="32" customHeight="1">
      <c r="A15" s="28" t="n">
        <v>9</v>
      </c>
      <c r="B15" s="29" t="inlineStr">
        <is>
          <t>Termómetro de sonda limpio, accesible y en uso</t>
        </is>
      </c>
      <c r="C15" s="29" t="inlineStr">
        <is>
          <t>Que exista, que esté a mano, que esté limpio y que el personal sepa usarlo</t>
        </is>
      </c>
      <c r="D15" s="30" t="inlineStr">
        <is>
          <t>Leve</t>
        </is>
      </c>
      <c r="E15" s="31" t="n"/>
    </row>
    <row r="16" ht="32" customHeight="1">
      <c r="A16" s="28" t="n">
        <v>10</v>
      </c>
      <c r="B16" s="29" t="inlineStr">
        <is>
          <t>Registro de verificación de termómetros</t>
        </is>
      </c>
      <c r="C16" s="29" t="inlineStr">
        <is>
          <t>Comprobación periódica de la sonda en hielo fundente o ebullición, con la desviación anotada (registro 19)</t>
        </is>
      </c>
      <c r="D16" s="30" t="inlineStr">
        <is>
          <t>Grave</t>
        </is>
      </c>
      <c r="E16" s="31" t="n"/>
    </row>
    <row r="17" ht="20" customHeight="1">
      <c r="A17" s="27" t="inlineStr">
        <is>
          <t>HIGIENE Y LIMPIEZA</t>
        </is>
      </c>
    </row>
    <row r="18" ht="32" customHeight="1">
      <c r="A18" s="28" t="n">
        <v>11</v>
      </c>
      <c r="B18" s="29" t="inlineStr">
        <is>
          <t>Limpieza general del local</t>
        </is>
      </c>
      <c r="C18" s="29" t="inlineStr">
        <is>
          <t>Suelos, paredes, techos y equipos sin grasa acumulada, incluida la parte de atrás de la maquinaria</t>
        </is>
      </c>
      <c r="D18" s="30" t="inlineStr">
        <is>
          <t>Grave</t>
        </is>
      </c>
      <c r="E18" s="31" t="n"/>
    </row>
    <row r="19" ht="32" customHeight="1">
      <c r="A19" s="28" t="n">
        <v>12</v>
      </c>
      <c r="B19" s="29" t="inlineStr">
        <is>
          <t>Estado de las superficies de trabajo</t>
        </is>
      </c>
      <c r="C19" s="29" t="inlineStr">
        <is>
          <t>Sin grietas ni desperfectos, de material apto para uso alimentario y fácil de limpiar</t>
        </is>
      </c>
      <c r="D19" s="30" t="inlineStr">
        <is>
          <t>Leve</t>
        </is>
      </c>
      <c r="E19" s="31" t="n"/>
    </row>
    <row r="20" ht="32" customHeight="1">
      <c r="A20" s="28" t="n">
        <v>13</v>
      </c>
      <c r="B20" s="29" t="inlineStr">
        <is>
          <t>Lavamanos en la zona de manipulación</t>
        </is>
      </c>
      <c r="C20" s="29" t="inlineStr">
        <is>
          <t>De accionamiento no manual, con agua caliente, jabón, papel de un solo uso y papelera de pedal</t>
        </is>
      </c>
      <c r="D20" s="30" t="inlineStr">
        <is>
          <t>Grave</t>
        </is>
      </c>
      <c r="E20" s="31" t="n"/>
    </row>
    <row r="21" ht="32" customHeight="1">
      <c r="A21" s="28" t="n">
        <v>14</v>
      </c>
      <c r="B21" s="29" t="inlineStr">
        <is>
          <t>Separación de zonas sucias y limpias</t>
        </is>
      </c>
      <c r="C21" s="29" t="inlineStr">
        <is>
          <t>Flujo de trabajo sin cruces entre crudo y cocinado, ni en el espacio ni en el tiempo</t>
        </is>
      </c>
      <c r="D21" s="30" t="inlineStr">
        <is>
          <t>Grave</t>
        </is>
      </c>
      <c r="E21" s="31" t="n"/>
    </row>
    <row r="22" ht="32" customHeight="1">
      <c r="A22" s="28" t="n">
        <v>15</v>
      </c>
      <c r="B22" s="29" t="inlineStr">
        <is>
          <t>Vestuarios del personal</t>
        </is>
      </c>
      <c r="C22" s="29" t="inlineStr">
        <is>
          <t>Ropa de calle separada de la de trabajo, taquillas y limpieza</t>
        </is>
      </c>
      <c r="D22" s="30" t="inlineStr">
        <is>
          <t>Leve</t>
        </is>
      </c>
      <c r="E22" s="31" t="n"/>
    </row>
    <row r="23" ht="20" customHeight="1">
      <c r="A23" s="27" t="inlineStr">
        <is>
          <t>ALMACENAMIENTO</t>
        </is>
      </c>
    </row>
    <row r="24" ht="32" customHeight="1">
      <c r="A24" s="28" t="n">
        <v>16</v>
      </c>
      <c r="B24" s="29" t="inlineStr">
        <is>
          <t>FIFO respetado, sin producto caducado</t>
        </is>
      </c>
      <c r="C24" s="29" t="inlineStr">
        <is>
          <t>Lo más antiguo delante; ningún caducado en cámara ni en almacén, tampoco «apartado para tirar»</t>
        </is>
      </c>
      <c r="D24" s="30" t="inlineStr">
        <is>
          <t>Grave</t>
        </is>
      </c>
      <c r="E24" s="31" t="n"/>
    </row>
    <row r="25" ht="32" customHeight="1">
      <c r="A25" s="28" t="n">
        <v>17</v>
      </c>
      <c r="B25" s="29" t="inlineStr">
        <is>
          <t>Separación de crudo y cocinado</t>
        </is>
      </c>
      <c r="C25" s="29" t="inlineStr">
        <is>
          <t>Nunca en el mismo estante; el crudo siempre por debajo del producto listo para consumo</t>
        </is>
      </c>
      <c r="D25" s="30" t="inlineStr">
        <is>
          <t>Grave</t>
        </is>
      </c>
      <c r="E25" s="31" t="n"/>
    </row>
    <row r="26" ht="32" customHeight="1">
      <c r="A26" s="28" t="n">
        <v>18</v>
      </c>
      <c r="B26" s="29" t="inlineStr">
        <is>
          <t>Etiquetado del producto elaborado</t>
        </is>
      </c>
      <c r="C26" s="29" t="inlineStr">
        <is>
          <t>Todo identificado con nombre, fecha de elaboración y fecha de consumo</t>
        </is>
      </c>
      <c r="D26" s="30" t="inlineStr">
        <is>
          <t>Leve</t>
        </is>
      </c>
      <c r="E26" s="31" t="n"/>
    </row>
    <row r="27" ht="32" customHeight="1">
      <c r="A27" s="28" t="n">
        <v>19</v>
      </c>
      <c r="B27" s="29" t="inlineStr">
        <is>
          <t>Producto no apoyado en el suelo</t>
        </is>
      </c>
      <c r="C27" s="29" t="inlineStr">
        <is>
          <t>Todo sobre estanterías o palés, nada directamente en el suelo</t>
        </is>
      </c>
      <c r="D27" s="30" t="inlineStr">
        <is>
          <t>Leve</t>
        </is>
      </c>
      <c r="E27" s="31" t="n"/>
    </row>
    <row r="28" ht="32" customHeight="1">
      <c r="A28" s="28" t="n">
        <v>20</v>
      </c>
      <c r="B28" s="29" t="inlineStr">
        <is>
          <t>Productos de limpieza separados y en armario cerrado</t>
        </is>
      </c>
      <c r="C28" s="29" t="inlineStr">
        <is>
          <t>Nunca junto a alimentos, en su envase original y con su etiqueta y su ficha de datos de seguridad</t>
        </is>
      </c>
      <c r="D28" s="30" t="inlineStr">
        <is>
          <t>Grave</t>
        </is>
      </c>
      <c r="E28" s="31" t="n"/>
    </row>
    <row r="29" ht="20" customHeight="1">
      <c r="A29" s="27" t="inlineStr">
        <is>
          <t>MANIPULACIÓN Y SERVICIO</t>
        </is>
      </c>
    </row>
    <row r="30" ht="32" customHeight="1">
      <c r="A30" s="28" t="n">
        <v>21</v>
      </c>
      <c r="B30" s="29" t="inlineStr">
        <is>
          <t>Uniforme e higiene del personal</t>
        </is>
      </c>
      <c r="C30" s="29" t="inlineStr">
        <is>
          <t>Limpio, gorro, sin joyas, calzado cerrado, uñas cortas y heridas cubiertas</t>
        </is>
      </c>
      <c r="D30" s="30" t="inlineStr">
        <is>
          <t>Leve</t>
        </is>
      </c>
      <c r="E30" s="31" t="n"/>
    </row>
    <row r="31" ht="32" customHeight="1">
      <c r="A31" s="28" t="n">
        <v>22</v>
      </c>
      <c r="B31" s="29" t="inlineStr">
        <is>
          <t>Aceite de fritura</t>
        </is>
      </c>
      <c r="C31" s="29" t="inlineStr">
        <is>
          <t>Test de compuestos polares, registro de cambios (09) y justificante de retirada por gestor autorizado</t>
        </is>
      </c>
      <c r="D31" s="30" t="inlineStr">
        <is>
          <t>Grave</t>
        </is>
      </c>
      <c r="E31" s="31" t="n"/>
    </row>
    <row r="32" ht="32" customHeight="1">
      <c r="A32" s="28" t="n">
        <v>23</v>
      </c>
      <c r="B32" s="29" t="inlineStr">
        <is>
          <t>Descongelación correcta</t>
        </is>
      </c>
      <c r="C32" s="29" t="inlineStr">
        <is>
          <t>En refrigeración a ≤4 °C, tapada y sobre bandeja; nunca a temperatura ambiente ni bajo el grifo</t>
        </is>
      </c>
      <c r="D32" s="30" t="inlineStr">
        <is>
          <t>Grave</t>
        </is>
      </c>
      <c r="E32" s="31" t="n"/>
    </row>
    <row r="33" ht="32" customHeight="1">
      <c r="A33" s="28" t="n">
        <v>24</v>
      </c>
      <c r="B33" s="29" t="inlineStr">
        <is>
          <t>Congelación preventiva de anisakis</t>
        </is>
      </c>
      <c r="C33" s="29" t="inlineStr">
        <is>
          <t>Pescado para consumo en crudo, marinado o escabechado: -20 °C 24 h o -35 °C 15 h, con registro (18)</t>
        </is>
      </c>
      <c r="D33" s="30" t="inlineStr">
        <is>
          <t>Muy grave</t>
        </is>
      </c>
      <c r="E33" s="31" t="n"/>
    </row>
    <row r="34" ht="32" customHeight="1">
      <c r="A34" s="28" t="n">
        <v>25</v>
      </c>
      <c r="B34" s="29" t="inlineStr">
        <is>
          <t>Control de alérgenos en servicio</t>
        </is>
      </c>
      <c r="C34" s="29" t="inlineStr">
        <is>
          <t>Personal formado, protocolo escrito y utensilios exclusivos ante una alergia declarada (ficha 14)</t>
        </is>
      </c>
      <c r="D34" s="30" t="inlineStr">
        <is>
          <t>Muy grave</t>
        </is>
      </c>
      <c r="E34" s="31" t="n"/>
    </row>
    <row r="35"/>
    <row r="36">
      <c r="A36" s="27" t="inlineStr">
        <is>
          <t>RESUMEN DE LA AUTOEVALUACIÓN</t>
        </is>
      </c>
    </row>
    <row r="37">
      <c r="A37" s="32" t="inlineStr">
        <is>
          <t>Puntos que cumplen</t>
        </is>
      </c>
      <c r="E37" s="33">
        <f>COUNTIF($E$5:$E$34,"✓ Cumple")</f>
        <v>0.0</v>
      </c>
    </row>
    <row r="38">
      <c r="A38" s="32" t="inlineStr">
        <is>
          <t>Puntos a mejorar</t>
        </is>
      </c>
      <c r="E38" s="33">
        <f>COUNTIF($E$5:$E$34,"⚠ Mejorar")</f>
        <v>0.0</v>
      </c>
    </row>
    <row r="39">
      <c r="A39" s="32" t="inlineStr">
        <is>
          <t>Puntos que no cumplen</t>
        </is>
      </c>
      <c r="E39" s="33">
        <f>COUNTIF($E$5:$E$34,"✗ No cumple")</f>
        <v>0.0</v>
      </c>
    </row>
    <row r="40">
      <c r="A40" s="32" t="inlineStr">
        <is>
          <t>Sin responder (de 25)</t>
        </is>
      </c>
      <c r="E40" s="33">
        <f>MAX(0,25-(E37+E38+E39))</f>
        <v>25.0</v>
      </c>
    </row>
    <row r="41">
      <c r="A41" s="32" t="inlineStr">
        <is>
          <t>Incumplimientos MUY GRAVES (riesgo de medidas cautelares)</t>
        </is>
      </c>
      <c r="E41" s="33">
        <f>COUNTIFS($D$5:$D$34,"Muy grave",$E$5:$E$34,"✗ No cumple")</f>
        <v>0.0</v>
      </c>
    </row>
    <row r="42">
      <c r="A42" s="32" t="inlineStr">
        <is>
          <t>Incumplimientos GRAVES</t>
        </is>
      </c>
      <c r="E42" s="33">
        <f>COUNTIFS($D$5:$D$34,"Grave",$E$5:$E$34,"✗ No cumple")</f>
        <v>0.0</v>
      </c>
    </row>
    <row r="43">
      <c r="A43" s="32" t="inlineStr">
        <is>
          <t>% de cumplimiento (sobre los puntos respondidos)</t>
        </is>
      </c>
      <c r="E43" s="34">
        <f>IF((E37+E38+E39)=0,"",E37/(E37+E38+E39))</f>
      </c>
    </row>
    <row r="44"/>
    <row r="45" ht="20" customHeight="1">
      <c r="A45" s="27" t="inlineStr">
        <is>
          <t>ANTES DE LA INSPECCIÓN — LAS 24 HORAS PREVIAS</t>
        </is>
      </c>
    </row>
    <row r="46" ht="20" customHeight="1">
      <c r="A46" s="35" t="n">
        <v>1</v>
      </c>
      <c r="B46" s="36" t="inlineStr">
        <is>
          <t>Rellena esta autoevaluación tú mismo y corrige lo que salga en rojo: el inspector va a mirar exactamente lo mismo.</t>
        </is>
      </c>
    </row>
    <row r="47" ht="20" customHeight="1">
      <c r="A47" s="35" t="n">
        <v>2</v>
      </c>
      <c r="B47" s="36" t="inlineStr">
        <is>
          <t>Pon al día los registros del mes en curso y fírmalos. Una hoja sin firmar cuenta como no hecha.</t>
        </is>
      </c>
    </row>
    <row r="48" ht="20" customHeight="1">
      <c r="A48" s="35" t="n">
        <v>3</v>
      </c>
      <c r="B48" s="36" t="inlineStr">
        <is>
          <t>Comprueba con sonda las temperaturas de cámaras, congeladores y baño maría, y anótalas en el registro 01.</t>
        </is>
      </c>
    </row>
    <row r="49" ht="20" customHeight="1">
      <c r="A49" s="35" t="n">
        <v>4</v>
      </c>
      <c r="B49" s="36" t="inlineStr">
        <is>
          <t>Revisa fechas de caducidad y el etiquetado de todo lo elaborado en casa.</t>
        </is>
      </c>
    </row>
    <row r="50" ht="20" customHeight="1">
      <c r="A50" s="35" t="n">
        <v>5</v>
      </c>
      <c r="B50" s="36" t="inlineStr">
        <is>
          <t>Ordena la cámara: crudos abajo, todo tapado, etiquetado y separado del producto listo para consumo.</t>
        </is>
      </c>
    </row>
    <row r="51" ht="20" customHeight="1">
      <c r="A51" s="35" t="n">
        <v>6</v>
      </c>
      <c r="B51" s="36" t="inlineStr">
        <is>
          <t>Repasa desagües, campana, juntas de puerta y la parte de atrás de los equipos: es donde se mira cuando lo evidente está limpio.</t>
        </is>
      </c>
    </row>
    <row r="52" ht="20" customHeight="1">
      <c r="A52" s="35" t="n">
        <v>7</v>
      </c>
      <c r="B52" s="36" t="inlineStr">
        <is>
          <t>Guarda los productos de limpieza en su armario cerrado y deja accesibles las fichas de datos de seguridad.</t>
        </is>
      </c>
    </row>
    <row r="53" ht="32" customHeight="1">
      <c r="A53" s="35" t="n">
        <v>8</v>
      </c>
      <c r="B53" s="36" t="inlineStr">
        <is>
          <t>Decide quién acompaña al inspector y quién sigue trabajando. Que sea alguien que sepa dónde está cada registro y que no improvise respuestas.</t>
        </is>
      </c>
    </row>
    <row r="54"/>
    <row r="55" ht="20" customHeight="1">
      <c r="A55" s="27" t="inlineStr">
        <is>
          <t>DOCUMENTOS QUE TENER LISTOS, EN UNA CARPETA Y A MANO</t>
        </is>
      </c>
    </row>
    <row r="56" ht="20" customHeight="1">
      <c r="A56" s="35" t="n">
        <v>1</v>
      </c>
      <c r="B56" s="36" t="inlineStr">
        <is>
          <t>Plan APPCC: análisis de peligros (12) y plan de limpieza y desinfección (03) con su listado de productos químicos.</t>
        </is>
      </c>
    </row>
    <row r="57" ht="20" customHeight="1">
      <c r="A57" s="35" t="n">
        <v>2</v>
      </c>
      <c r="B57" s="36" t="inlineStr">
        <is>
          <t>Registros de temperaturas: diario (01) y de recepción (02) del último año.</t>
        </is>
      </c>
    </row>
    <row r="58" ht="20" customHeight="1">
      <c r="A58" s="35" t="n">
        <v>3</v>
      </c>
      <c r="B58" s="36" t="inlineStr">
        <is>
          <t>Checklist de recepción de mercancías (05) junto con sus albaranes.</t>
        </is>
      </c>
    </row>
    <row r="59" ht="20" customHeight="1">
      <c r="A59" s="35" t="n">
        <v>4</v>
      </c>
      <c r="B59" s="36" t="inlineStr">
        <is>
          <t>Registro de trazabilidad de entradas y salidas (06).</t>
        </is>
      </c>
    </row>
    <row r="60" ht="20" customHeight="1">
      <c r="A60" s="35" t="n">
        <v>5</v>
      </c>
      <c r="B60" s="36" t="inlineStr">
        <is>
          <t>Registro de limpieza diaria y de tareas semanales (04).</t>
        </is>
      </c>
    </row>
    <row r="61" ht="20" customHeight="1">
      <c r="A61" s="35" t="n">
        <v>6</v>
      </c>
      <c r="B61" s="36" t="inlineStr">
        <is>
          <t>Control de plagas: contrato con el Nº ROESB, certificados de cada actuación y plano de cebos (07).</t>
        </is>
      </c>
    </row>
    <row r="62" ht="20" customHeight="1">
      <c r="A62" s="35" t="n">
        <v>7</v>
      </c>
      <c r="B62" s="36" t="inlineStr">
        <is>
          <t>Control de aceite de fritura (09) y justificantes de retirada por gestor autorizado.</t>
        </is>
      </c>
    </row>
    <row r="63" ht="20" customHeight="1">
      <c r="A63" s="35" t="n">
        <v>8</v>
      </c>
      <c r="B63" s="36" t="inlineStr">
        <is>
          <t>Control de agua potable (10) y boletines de análisis si tienes depósito o pozo propio.</t>
        </is>
      </c>
    </row>
    <row r="64" ht="20" customHeight="1">
      <c r="A64" s="35" t="n">
        <v>9</v>
      </c>
      <c r="B64" s="36" t="inlineStr">
        <is>
          <t>Matriz de alérgenos (08) y carta de alérgenos a disposición del cliente.</t>
        </is>
      </c>
    </row>
    <row r="65" ht="20" customHeight="1">
      <c r="A65" s="35" t="n">
        <v>10</v>
      </c>
      <c r="B65" s="36" t="inlineStr">
        <is>
          <t>Registros de cocción y regeneración (16), enfriamiento y descongelación (17) y congelación preventiva de anisakis (18).</t>
        </is>
      </c>
    </row>
    <row r="66" ht="20" customHeight="1">
      <c r="A66" s="35" t="n">
        <v>11</v>
      </c>
      <c r="B66" s="36" t="inlineStr">
        <is>
          <t>Verificación de termómetros (19), registro de acciones correctivas (11) y registro de formación del personal (BONUS-01).</t>
        </is>
      </c>
    </row>
    <row r="67"/>
    <row r="68" ht="20" customHeight="1">
      <c r="A68" s="27" t="inlineStr">
        <is>
          <t>LOS ERRORES QUE MÁS SE SANCIONAN</t>
        </is>
      </c>
    </row>
    <row r="69" ht="20" customHeight="1">
      <c r="A69" s="35" t="n">
        <v>1</v>
      </c>
      <c r="B69" s="36" t="inlineStr">
        <is>
          <t>Registros rellenados a posteriori, todos con la misma letra y el mismo bolígrafo. Se nota, y anula el valor de la serie entera.</t>
        </is>
      </c>
    </row>
    <row r="70" ht="20" customHeight="1">
      <c r="A70" s="35" t="n">
        <v>2</v>
      </c>
      <c r="B70" s="36" t="inlineStr">
        <is>
          <t>Plan APPCC comprado y guardado en un cajón, sin una sola firma y sin una sola acción correctiva registrada en todo el año.</t>
        </is>
      </c>
    </row>
    <row r="71" ht="20" customHeight="1">
      <c r="A71" s="35" t="n">
        <v>3</v>
      </c>
      <c r="B71" s="36" t="inlineStr">
        <is>
          <t>Producto sin tapar, sin etiquetar o con crudo encima de cocinado en la cámara.</t>
        </is>
      </c>
    </row>
    <row r="72" ht="20" customHeight="1">
      <c r="A72" s="35" t="n">
        <v>4</v>
      </c>
      <c r="B72" s="36" t="inlineStr">
        <is>
          <t>Producto caducado en cámara o en almacén, aunque esté apartado «para tirar»: si está dentro, cuenta.</t>
        </is>
      </c>
    </row>
    <row r="73" ht="20" customHeight="1">
      <c r="A73" s="35" t="n">
        <v>5</v>
      </c>
      <c r="B73" s="36" t="inlineStr">
        <is>
          <t>Descongelar a temperatura ambiente o bajo el grifo.</t>
        </is>
      </c>
    </row>
    <row r="74" ht="20" customHeight="1">
      <c r="A74" s="35" t="n">
        <v>6</v>
      </c>
      <c r="B74" s="36" t="inlineStr">
        <is>
          <t>Servir pescado en crudo, marinado o escabechado sin congelación preventiva documentada.</t>
        </is>
      </c>
    </row>
    <row r="75" ht="20" customHeight="1">
      <c r="A75" s="35" t="n">
        <v>7</v>
      </c>
      <c r="B75" s="36" t="inlineStr">
        <is>
          <t>Decir «no lleva» un alérgeno sin haberlo comprobado en la matriz, o no tener carta de alérgenos.</t>
        </is>
      </c>
    </row>
    <row r="76" ht="20" customHeight="1">
      <c r="A76" s="35" t="n">
        <v>8</v>
      </c>
      <c r="B76" s="36" t="inlineStr">
        <is>
          <t>Lavamanos usado como fregadero, sin jabón, sin papel de un solo uso o sin papelera de pedal.</t>
        </is>
      </c>
    </row>
    <row r="77" ht="20" customHeight="1">
      <c r="A77" s="35" t="n">
        <v>9</v>
      </c>
      <c r="B77" s="36" t="inlineStr">
        <is>
          <t>Productos de limpieza junto a alimentos, o trasvasados a botellas sin etiquetar.</t>
        </is>
      </c>
    </row>
    <row r="78"/>
    <row r="79" ht="36.7" customHeight="1">
      <c r="A79" s="37" t="inlineStr">
        <is>
          <t>Escala de gravedad según la Ley 17/2011, de seguridad alimentaria y nutrición (arts. 50 a 52): leve, grave y muy grave. Muy grave = el incumplimiento pone en el mercado alimentos con riesgo para la salud; grave = incumplimiento de una obligación de autocontrol, higiene o registro; leve = defecto formal o de dotación sin riesgo directo.</t>
        </is>
      </c>
    </row>
    <row r="80" ht="24.5" customHeight="1">
      <c r="A80" s="37" t="inlineStr">
        <is>
          <t>Los incumplimientos calificados como muy graves, o cualquier situación de riesgo grave e inminente para la salud, pueden dar lugar a medidas cautelares incluido el cierre del establecimiento (Ley 17/2011, art. 27). Las sanciones van de 5.001 a 20.000 € en las graves y hasta 600.000 € en las muy graves (Ley 17/2011).</t>
        </is>
      </c>
    </row>
    <row r="81" ht="24.5" customHeight="1">
      <c r="A81" s="37" t="inlineStr">
        <is>
          <t>Esta guía es una autoevaluación de preparación, no una resolución administrativa: la calificación de una infracción la hace siempre la autoridad competente, valorando el riesgo, la intencionalidad y la reincidencia.</t>
        </is>
      </c>
    </row>
    <row r="82" ht="24.5" customHeight="1">
      <c r="A82" s="37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83" ht="12.2" customHeight="1">
      <c r="A83" s="37" t="inlineStr">
        <is>
          <t>— Pack de Plantillas APPCC · AI Chef Pro · aichef.pro</t>
        </is>
      </c>
    </row>
    <row r="84"/>
    <row r="85"/>
    <row r="86"/>
    <row r="87"/>
    <row r="88"/>
    <row r="89"/>
    <row r="90"/>
    <row r="91"/>
    <row r="92"/>
    <row r="93"/>
    <row r="94"/>
    <row r="95"/>
    <row r="96"/>
  </sheetData>
  <mergeCells count="50">
    <mergeCell ref="B58:E58"/>
    <mergeCell ref="B70:E70"/>
    <mergeCell ref="A40:D40"/>
    <mergeCell ref="A38:D38"/>
    <mergeCell ref="B47:E47"/>
    <mergeCell ref="B49:E49"/>
    <mergeCell ref="A5:E5"/>
    <mergeCell ref="B56:E56"/>
    <mergeCell ref="B46:E46"/>
    <mergeCell ref="B73:E73"/>
    <mergeCell ref="B59:E59"/>
    <mergeCell ref="B69:E69"/>
    <mergeCell ref="A37:D37"/>
    <mergeCell ref="B74:E74"/>
    <mergeCell ref="A45:E45"/>
    <mergeCell ref="B72:E72"/>
    <mergeCell ref="A1:E1"/>
    <mergeCell ref="B75:E75"/>
    <mergeCell ref="B60:E60"/>
    <mergeCell ref="B57:E57"/>
    <mergeCell ref="B71:E71"/>
    <mergeCell ref="A39:D39"/>
    <mergeCell ref="B51:E51"/>
    <mergeCell ref="B77:E77"/>
    <mergeCell ref="A43:D43"/>
    <mergeCell ref="A23:E23"/>
    <mergeCell ref="A55:E55"/>
    <mergeCell ref="A82:E82"/>
    <mergeCell ref="B63:E63"/>
    <mergeCell ref="B65:E65"/>
    <mergeCell ref="A29:E29"/>
    <mergeCell ref="B50:E50"/>
    <mergeCell ref="B62:E62"/>
    <mergeCell ref="B66:E66"/>
    <mergeCell ref="B52:E52"/>
    <mergeCell ref="B76:E76"/>
    <mergeCell ref="A41:D41"/>
    <mergeCell ref="A80:E80"/>
    <mergeCell ref="B48:E48"/>
    <mergeCell ref="B64:E64"/>
    <mergeCell ref="B61:E61"/>
    <mergeCell ref="A42:D42"/>
    <mergeCell ref="A11:E11"/>
    <mergeCell ref="A83:E83"/>
    <mergeCell ref="A17:E17"/>
    <mergeCell ref="A79:E79"/>
    <mergeCell ref="A36:E36"/>
    <mergeCell ref="A68:E68"/>
    <mergeCell ref="A81:E81"/>
    <mergeCell ref="B53:E53"/>
  </mergeCells>
  <conditionalFormatting sqref="E6:E10">
    <cfRule type="expression" priority="1" dxfId="0" stopIfTrue="1">
      <formula>OR(E6="ALERTA",E6="RECHAZAR",E6="CAMBIAR",E6="REVISAR",E6="✗",E6="CADUCADO",E6="EXCESO",E6="✗ No cumple")</formula>
    </cfRule>
    <cfRule type="expression" priority="2" dxfId="1" stopIfTrue="1">
      <formula>OR(E6="VIGILAR",E6="⚠",E6="INCOMPLETO",E6="CADUCA PRONTO",E6="RENOVAR",E6="FALTA CLORO",E6="FALTA TEST",E6="⚠ Mejorar")</formula>
    </cfRule>
    <cfRule type="expression" priority="3" dxfId="2" stopIfTrue="1">
      <formula>OR(E6="OK",E6="✓",E6="Cumple",E6="VIGENTE",E6="Completo",E6="APTO",E6="✓ Cumple")</formula>
    </cfRule>
  </conditionalFormatting>
  <conditionalFormatting sqref="E12:E16">
    <cfRule type="expression" priority="4" dxfId="0" stopIfTrue="1">
      <formula>OR(E12="ALERTA",E12="RECHAZAR",E12="CAMBIAR",E12="REVISAR",E12="✗",E12="CADUCADO",E12="EXCESO",E12="✗ No cumple")</formula>
    </cfRule>
    <cfRule type="expression" priority="5" dxfId="1" stopIfTrue="1">
      <formula>OR(E12="VIGILAR",E12="⚠",E12="INCOMPLETO",E12="CADUCA PRONTO",E12="RENOVAR",E12="FALTA CLORO",E12="FALTA TEST",E12="⚠ Mejorar")</formula>
    </cfRule>
    <cfRule type="expression" priority="6" dxfId="2" stopIfTrue="1">
      <formula>OR(E12="OK",E12="✓",E12="Cumple",E12="VIGENTE",E12="Completo",E12="APTO",E12="✓ Cumple")</formula>
    </cfRule>
  </conditionalFormatting>
  <conditionalFormatting sqref="E18:E22">
    <cfRule type="expression" priority="7" dxfId="0" stopIfTrue="1">
      <formula>OR(E18="ALERTA",E18="RECHAZAR",E18="CAMBIAR",E18="REVISAR",E18="✗",E18="CADUCADO",E18="EXCESO",E18="✗ No cumple")</formula>
    </cfRule>
    <cfRule type="expression" priority="8" dxfId="1" stopIfTrue="1">
      <formula>OR(E18="VIGILAR",E18="⚠",E18="INCOMPLETO",E18="CADUCA PRONTO",E18="RENOVAR",E18="FALTA CLORO",E18="FALTA TEST",E18="⚠ Mejorar")</formula>
    </cfRule>
    <cfRule type="expression" priority="9" dxfId="2" stopIfTrue="1">
      <formula>OR(E18="OK",E18="✓",E18="Cumple",E18="VIGENTE",E18="Completo",E18="APTO",E18="✓ Cumple")</formula>
    </cfRule>
  </conditionalFormatting>
  <conditionalFormatting sqref="E24:E28">
    <cfRule type="expression" priority="10" dxfId="0" stopIfTrue="1">
      <formula>OR(E24="ALERTA",E24="RECHAZAR",E24="CAMBIAR",E24="REVISAR",E24="✗",E24="CADUCADO",E24="EXCESO",E24="✗ No cumple")</formula>
    </cfRule>
    <cfRule type="expression" priority="11" dxfId="1" stopIfTrue="1">
      <formula>OR(E24="VIGILAR",E24="⚠",E24="INCOMPLETO",E24="CADUCA PRONTO",E24="RENOVAR",E24="FALTA CLORO",E24="FALTA TEST",E24="⚠ Mejorar")</formula>
    </cfRule>
    <cfRule type="expression" priority="12" dxfId="2" stopIfTrue="1">
      <formula>OR(E24="OK",E24="✓",E24="Cumple",E24="VIGENTE",E24="Completo",E24="APTO",E24="✓ Cumple")</formula>
    </cfRule>
  </conditionalFormatting>
  <conditionalFormatting sqref="E30:E34">
    <cfRule type="expression" priority="13" dxfId="0" stopIfTrue="1">
      <formula>OR(E30="ALERTA",E30="RECHAZAR",E30="CAMBIAR",E30="REVISAR",E30="✗",E30="CADUCADO",E30="EXCESO",E30="✗ No cumple")</formula>
    </cfRule>
    <cfRule type="expression" priority="14" dxfId="1" stopIfTrue="1">
      <formula>OR(E30="VIGILAR",E30="⚠",E30="INCOMPLETO",E30="CADUCA PRONTO",E30="RENOVAR",E30="FALTA CLORO",E30="FALTA TEST",E30="⚠ Mejorar")</formula>
    </cfRule>
    <cfRule type="expression" priority="15" dxfId="2" stopIfTrue="1">
      <formula>OR(E30="OK",E30="✓",E30="Cumple",E30="VIGENTE",E30="Completo",E30="APTO",E30="✓ Cumple")</formula>
    </cfRule>
  </conditionalFormatting>
  <conditionalFormatting sqref="D6:D10">
    <cfRule type="expression" priority="16" dxfId="0" stopIfTrue="1">
      <formula>OR(D6="ALERTA",D6="RECHAZAR",D6="CAMBIAR",D6="REVISAR",D6="✗",D6="CADUCADO",D6="EXCESO",D6="Muy grave")</formula>
    </cfRule>
    <cfRule type="expression" priority="17" dxfId="1" stopIfTrue="1">
      <formula>OR(D6="VIGILAR",D6="⚠",D6="INCOMPLETO",D6="CADUCA PRONTO",D6="RENOVAR",D6="FALTA CLORO",D6="FALTA TEST",D6="Grave")</formula>
    </cfRule>
    <cfRule type="expression" priority="18" dxfId="2" stopIfTrue="1">
      <formula>OR(D6="OK",D6="✓",D6="Cumple",D6="VIGENTE",D6="Completo",D6="APTO",D6="Leve")</formula>
    </cfRule>
  </conditionalFormatting>
  <conditionalFormatting sqref="D12:D16">
    <cfRule type="expression" priority="19" dxfId="0" stopIfTrue="1">
      <formula>OR(D12="ALERTA",D12="RECHAZAR",D12="CAMBIAR",D12="REVISAR",D12="✗",D12="CADUCADO",D12="EXCESO",D12="Muy grave")</formula>
    </cfRule>
    <cfRule type="expression" priority="20" dxfId="1" stopIfTrue="1">
      <formula>OR(D12="VIGILAR",D12="⚠",D12="INCOMPLETO",D12="CADUCA PRONTO",D12="RENOVAR",D12="FALTA CLORO",D12="FALTA TEST",D12="Grave")</formula>
    </cfRule>
    <cfRule type="expression" priority="21" dxfId="2" stopIfTrue="1">
      <formula>OR(D12="OK",D12="✓",D12="Cumple",D12="VIGENTE",D12="Completo",D12="APTO",D12="Leve")</formula>
    </cfRule>
  </conditionalFormatting>
  <conditionalFormatting sqref="D18:D22">
    <cfRule type="expression" priority="22" dxfId="0" stopIfTrue="1">
      <formula>OR(D18="ALERTA",D18="RECHAZAR",D18="CAMBIAR",D18="REVISAR",D18="✗",D18="CADUCADO",D18="EXCESO",D18="Muy grave")</formula>
    </cfRule>
    <cfRule type="expression" priority="23" dxfId="1" stopIfTrue="1">
      <formula>OR(D18="VIGILAR",D18="⚠",D18="INCOMPLETO",D18="CADUCA PRONTO",D18="RENOVAR",D18="FALTA CLORO",D18="FALTA TEST",D18="Grave")</formula>
    </cfRule>
    <cfRule type="expression" priority="24" dxfId="2" stopIfTrue="1">
      <formula>OR(D18="OK",D18="✓",D18="Cumple",D18="VIGENTE",D18="Completo",D18="APTO",D18="Leve")</formula>
    </cfRule>
  </conditionalFormatting>
  <conditionalFormatting sqref="D24:D28">
    <cfRule type="expression" priority="25" dxfId="0" stopIfTrue="1">
      <formula>OR(D24="ALERTA",D24="RECHAZAR",D24="CAMBIAR",D24="REVISAR",D24="✗",D24="CADUCADO",D24="EXCESO",D24="Muy grave")</formula>
    </cfRule>
    <cfRule type="expression" priority="26" dxfId="1" stopIfTrue="1">
      <formula>OR(D24="VIGILAR",D24="⚠",D24="INCOMPLETO",D24="CADUCA PRONTO",D24="RENOVAR",D24="FALTA CLORO",D24="FALTA TEST",D24="Grave")</formula>
    </cfRule>
    <cfRule type="expression" priority="27" dxfId="2" stopIfTrue="1">
      <formula>OR(D24="OK",D24="✓",D24="Cumple",D24="VIGENTE",D24="Completo",D24="APTO",D24="Leve")</formula>
    </cfRule>
  </conditionalFormatting>
  <conditionalFormatting sqref="D30:D34">
    <cfRule type="expression" priority="28" dxfId="0" stopIfTrue="1">
      <formula>OR(D30="ALERTA",D30="RECHAZAR",D30="CAMBIAR",D30="REVISAR",D30="✗",D30="CADUCADO",D30="EXCESO",D30="Muy grave")</formula>
    </cfRule>
    <cfRule type="expression" priority="29" dxfId="1" stopIfTrue="1">
      <formula>OR(D30="VIGILAR",D30="⚠",D30="INCOMPLETO",D30="CADUCA PRONTO",D30="RENOVAR",D30="FALTA CLORO",D30="FALTA TEST",D30="Grave")</formula>
    </cfRule>
    <cfRule type="expression" priority="30" dxfId="2" stopIfTrue="1">
      <formula>OR(D30="OK",D30="✓",D30="Cumple",D30="VIGENTE",D30="Completo",D30="APTO",D30="Leve")</formula>
    </cfRule>
  </conditionalFormatting>
  <conditionalFormatting sqref="E40">
    <cfRule type="expression" priority="31" dxfId="0" stopIfTrue="1">
      <formula>E40&gt;0</formula>
    </cfRule>
  </conditionalFormatting>
  <conditionalFormatting sqref="E41">
    <cfRule type="expression" priority="32" dxfId="0" stopIfTrue="1">
      <formula>E41&gt;0</formula>
    </cfRule>
  </conditionalFormatting>
  <conditionalFormatting sqref="E42">
    <cfRule type="expression" priority="33" dxfId="0" stopIfTrue="1">
      <formula>E42&gt;0</formula>
    </cfRule>
  </conditionalFormatting>
  <dataValidations count="5">
    <dataValidation sqref="E6:E10" showDropDown="0" showInputMessage="0" showErrorMessage="1" allowBlank="1" errorTitle="Tu estado" error="Elige «✓ Cumple», «⚠ Mejorar» o «✗ No cumple». El resumen compara por igualdad exacta, así que un texto escrito a mano no suma." type="list" errorStyle="stop">
      <formula1>"✓ Cumple,⚠ Mejorar,✗ No cumple"</formula1>
    </dataValidation>
    <dataValidation sqref="E12:E16" showDropDown="0" showInputMessage="0" showErrorMessage="1" allowBlank="1" errorTitle="Tu estado" error="Elige «✓ Cumple», «⚠ Mejorar» o «✗ No cumple». El resumen compara por igualdad exacta, así que un texto escrito a mano no suma." type="list" errorStyle="stop">
      <formula1>"✓ Cumple,⚠ Mejorar,✗ No cumple"</formula1>
    </dataValidation>
    <dataValidation sqref="E18:E22" showDropDown="0" showInputMessage="0" showErrorMessage="1" allowBlank="1" errorTitle="Tu estado" error="Elige «✓ Cumple», «⚠ Mejorar» o «✗ No cumple». El resumen compara por igualdad exacta, así que un texto escrito a mano no suma." type="list" errorStyle="stop">
      <formula1>"✓ Cumple,⚠ Mejorar,✗ No cumple"</formula1>
    </dataValidation>
    <dataValidation sqref="E24:E28" showDropDown="0" showInputMessage="0" showErrorMessage="1" allowBlank="1" errorTitle="Tu estado" error="Elige «✓ Cumple», «⚠ Mejorar» o «✗ No cumple». El resumen compara por igualdad exacta, así que un texto escrito a mano no suma." type="list" errorStyle="stop">
      <formula1>"✓ Cumple,⚠ Mejorar,✗ No cumple"</formula1>
    </dataValidation>
    <dataValidation sqref="E30:E34" showDropDown="0" showInputMessage="0" showErrorMessage="1" allowBlank="1" errorTitle="Tu estado" error="Elige «✓ Cumple», «⚠ Mejorar» o «✗ No cumple». El resumen compara por igualdad exacta, así que un texto escrito a mano no suma." type="list" errorStyle="stop">
      <formula1>"✓ Cumple,⚠ Mejorar,✗ No cumple"</formula1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Guía: Cómo Pasar una Inspección de Sanidad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2026-08-22T19:31:20Z</dcterms:modified>
  <cp:lastModifiedBy>AI Chef Pro</cp:lastModifiedBy>
  <cp:category>AI Chef Pro · Productos digitales</cp:category>
  <cp:keywords>pack appcc, AI Chef Pro</cp:keywords>
</cp:coreProperties>
</file>