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6"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166" fontId="9" fillId="4" borderId="3" applyProtection="1" pivotButton="0" quotePrefix="0" xfId="0">
      <protection locked="0" hidden="0"/>
    </xf>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9" fillId="0" borderId="3" applyProtection="1" pivotButton="0" quotePrefix="0" xfId="0">
      <protection locked="0" hidden="0"/>
    </xf>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left" vertical="top"/>
    </xf>
    <xf numFmtId="4" fontId="0" fillId="0" borderId="0" pivotButton="0" quotePrefix="0" xfId="0"/>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Customers per day (year-1 average)</t>
        </is>
      </c>
      <c r="B4" s="18" t="n">
        <v>165</v>
      </c>
      <c r="C4" t="inlineStr">
        <is>
          <t>Customers served per day, averaged over year 1, at the counter, to go and at the patio: about 400 on a busy July Saturday and about 40 on a January Tuesday (Kit estimate). It comes from dividing projected sales by the average check and the days you are open; compare it with the foot traffic on your own street on a summer afternoon and on a February one</t>
        </is>
      </c>
    </row>
    <row r="5">
      <c r="A5" t="inlineStr">
        <is>
          <t>Average check (excl. sales tax)</t>
        </is>
      </c>
      <c r="B5" s="24" t="n">
        <v>7.5</v>
      </c>
      <c r="C5" t="inlineStr">
        <is>
          <t>Excl. sales tax, per person who buys: a double scoop, plus hand-packed pints, ice cream cakes to order and the winter hot chocolate. It is per person, not per register ticket: some people buy for two. The case mixes about 70% doubles in a cup or cone, 15% singles and kids' scoops, 10% pints and quarts and 5% sundaes and coffee (Kit estimate). The menu price incl. sales tax is in the row "Menu price incl. sales tax (calculated)" below</t>
        </is>
      </c>
    </row>
    <row r="6">
      <c r="A6" t="inlineStr">
        <is>
          <t>Operating days per year</t>
        </is>
      </c>
      <c r="B6" s="18" t="n">
        <v>310</v>
      </c>
      <c r="C6" t="inlineStr">
        <is>
          <t>365 days minus three weeks closed in January (vacation and refrigeration maintenance), Thanksgiving, Christmas and the Mondays from November to February. It is the SAME figure for the P&amp;L, the break-even, the scenarios and the staffing hours</t>
        </is>
      </c>
    </row>
    <row r="7">
      <c r="A7" t="inlineStr">
        <is>
          <t>Volume growth in year 2</t>
        </is>
      </c>
      <c r="B7" s="63" t="n">
        <v>0.08</v>
      </c>
      <c r="C7" t="inlineStr">
        <is>
          <t>More repeat customers in the second summer, plus more ice cream cakes to order and catering. It applies to customers; payroll does NOT rise with this percentage: it grows with the hires you declare on the "Staffing" tab</t>
        </is>
      </c>
    </row>
    <row r="8">
      <c r="A8" t="inlineStr">
        <is>
          <t>Volume growth in year 3</t>
        </is>
      </c>
      <c r="B8" s="63" t="n">
        <v>0.05</v>
      </c>
      <c r="C8" t="inlineStr">
        <is>
          <t>On top of year 2. Conservative: the ceiling is set by the 18-flavor dipping cabinets and the July and August evenings</t>
        </is>
      </c>
    </row>
    <row r="9">
      <c r="A9" t="inlineStr">
        <is>
          <t>Menu price incl. sales tax (calculated)</t>
        </is>
      </c>
      <c r="B9" s="79">
        <f>IFERROR(IF($B$5="","",$B$5*(1+SUMPRODUCT('3-Year P&amp;L'!$E$10:$E$11,'3-Year P&amp;L'!$G$10:$G$11))),"")</f>
        <v>8.100000000000001</v>
      </c>
      <c r="C9" t="str">
        <f>IFERROR("Average check excl. sales tax plus the weighted sales tax of your sales lines ("&amp;TEXT(SUMPRODUCT('3-Year P&amp;L'!$E$10:$E$11,'3-Year P&amp;L'!$G$10:$G$11)*100,"0")&amp;"%), rounded. In the US, menu prices usually exclude sales tax and it is added at the register. "&amp;"The example uses one rate for scoops, pints, cakes and drinks; some states tax packaged pints and whole cakes as groceries: then use your blended rate. In the UK, menu prices include VAT.","")</f>
        <v>Average check excl. sales tax plus the weighted sales tax of your sales lines (8%), rounded. In the US, menu prices usually exclude sales tax and it is added at the register. The example uses one rate for scoops, pints, cakes and drinks; some states tax packaged pints and whole cakes as groceries: then use your blended rate. In the UK, menu prices include VAT.</v>
      </c>
    </row>
    <row r="10">
      <c r="A10" s="16" t="inlineStr">
        <is>
          <t>SALES MIX AND COST OF GOODS SOLD</t>
        </is>
      </c>
    </row>
    <row r="11">
      <c r="A11" t="inlineStr">
        <is>
          <t>FOOD share of total sales</t>
        </is>
      </c>
      <c r="B11" s="63" t="n">
        <v>0.9</v>
      </c>
      <c r="C11" t="inlineStr">
        <is>
          <t>Share of FOOD in total sales. It is an INPUT: change it here and the P&amp;L, the cash flow and the sales tax collected recalculate on their own</t>
        </is>
      </c>
    </row>
    <row r="12">
      <c r="A12" t="inlineStr">
        <is>
          <t>BEVERAGE share of total sales</t>
        </is>
      </c>
      <c r="B12" s="65">
        <f>IFERROR(IF(COUNT(B11)=0,"",1-B11),"")</f>
        <v>0.09999999999999998</v>
      </c>
      <c r="C12" t="inlineStr">
        <is>
          <t>Calculated as the remainder: food + beverage = 100%</t>
        </is>
      </c>
    </row>
    <row r="13">
      <c r="A13" t="inlineStr">
        <is>
          <t>Cost of goods sold on FOOD sales</t>
        </is>
      </c>
      <c r="B13" s="63" t="n">
        <v>0.22</v>
      </c>
      <c r="C13" t="inlineStr">
        <is>
          <t>Cost of the ice cream base, flavorings and mix-ins, cones, tasting spoons and shrink as a share of ice cream sales. The case buys a pasteurized base from a licensed dairy, which costs more than making your own mix. Cost out every flavor every season: pistachio, cocoa and vanilla swing with the market</t>
        </is>
      </c>
    </row>
    <row r="14">
      <c r="A14" t="inlineStr">
        <is>
          <t>Cost of goods sold on BEVERAGE sales</t>
        </is>
      </c>
      <c r="B14" s="63" t="n">
        <v>0.25</v>
      </c>
      <c r="C14" t="inlineStr">
        <is>
          <t>Espresso, hot chocolate, shakes, sodas and water as a share of their sales: soft drinks run higher than espresso. No alcohol</t>
        </is>
      </c>
    </row>
    <row r="15">
      <c r="A15" t="inlineStr">
        <is>
          <t>Disposables and packaging as % of sales</t>
        </is>
      </c>
      <c r="B15" s="63" t="n">
        <v>0.045</v>
      </c>
      <c r="C15" t="inlineStr">
        <is>
          <t>Cups, cones, spoons, pint and quart containers, cake boxes and napkins. Use paper or other compostable cups for dine-in where your city requires it</t>
        </is>
      </c>
    </row>
    <row r="16">
      <c r="A16" t="inlineStr">
        <is>
          <t>Delivery share of total sales</t>
        </is>
      </c>
      <c r="B16" s="63" t="n">
        <v>0.04</v>
      </c>
      <c r="C16" t="inlineStr">
        <is>
          <t>Hand-packed pints and quarts through DoorDash or Uber Eats on summer evenings: a pint travels well, a scoop does not. Pickup orders placed directly with you pay no commission</t>
        </is>
      </c>
    </row>
    <row r="17">
      <c r="A17" t="inlineStr">
        <is>
          <t>Delivery platform fee</t>
        </is>
      </c>
      <c r="B17" s="63" t="n">
        <v>0.25</v>
      </c>
      <c r="C17" t="inlineStr">
        <is>
          <t>Average marketplace plan (Basic 15%, Premier 30%): check your contract. If you deliver yourself, enter 0</t>
        </is>
      </c>
    </row>
    <row r="18">
      <c r="A18" t="inlineStr">
        <is>
          <t>Card processing fee</t>
        </is>
      </c>
      <c r="B18" s="63" t="n">
        <v>0.03</v>
      </c>
      <c r="C18" t="inlineStr">
        <is>
          <t>Card and mobile wallet (contactless) processing fees on total sales. Ask your POS provider for its rate</t>
        </is>
      </c>
    </row>
    <row r="19">
      <c r="A19" s="16" t="inlineStr">
        <is>
          <t>LABOR</t>
        </is>
      </c>
    </row>
    <row r="20">
      <c r="A20" t="inlineStr">
        <is>
          <t>Employer payroll taxes</t>
        </is>
      </c>
      <c r="B20" s="63"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2500</v>
      </c>
      <c r="C24" t="inlineStr">
        <is>
          <t>About 1,000 sq ft (93 sq m): a production room of about 250 sq ft (23 sq m), a shop with 18-flavor dipping cabinets and 20 seats, storage and a restroom. Second-generation retail on a neighborhood main street or next to a park or school, at about $30 per sq ft per year (Kit estimate; asking rents average about $24.69 plus NNN). The book itself calculates the weight on sales in the "Rent / Sales" row of the P&amp;L</t>
        </is>
      </c>
    </row>
    <row r="25">
      <c r="A25" t="inlineStr">
        <is>
          <t>Security deposit (months of rent)</t>
        </is>
      </c>
      <c r="B25" s="18" t="n">
        <v>2</v>
      </c>
      <c r="C25" t="inlineStr">
        <is>
          <t>Two months of rent: commercial leases commonly ask for one to three, so check it with your attorney</t>
        </is>
      </c>
    </row>
    <row r="26">
      <c r="A26" t="inlineStr">
        <is>
          <t>Monthly utilities (electricity, water, gas)</t>
        </is>
      </c>
      <c r="B26" s="18" t="n">
        <v>1300</v>
      </c>
      <c r="C26" t="inlineStr">
        <is>
          <t>Mostly electricity: about 30 kW of service, with the dipping cabinets running 24 hours a day, the batch freezer, the hardening cabinet and the air conditioning. Summer sends the bill up; ask the landlord or the utility for the space's billing history</t>
        </is>
      </c>
    </row>
    <row r="27">
      <c r="A27" t="inlineStr">
        <is>
          <t>Insurance (per year)</t>
        </is>
      </c>
      <c r="B27" s="18" t="n">
        <v>4500</v>
      </c>
      <c r="C27" t="inlineStr">
        <is>
          <t>General liability (ask your broker for the per-occurrence limit) plus property insurance WITH equipment breakdown and food spoilage: a cabinet that fails in August is a tub lost for every flavor</t>
        </is>
      </c>
    </row>
    <row r="28">
      <c r="A28" t="inlineStr">
        <is>
          <t>Miscellaneous and contingency as % of sales</t>
        </is>
      </c>
      <c r="B28" s="63" t="n">
        <v>0.01</v>
      </c>
      <c r="C28" t="inlineStr">
        <is>
          <t>Cushion for unbudgeted running costs (small repairs, tastings and samples)</t>
        </is>
      </c>
    </row>
    <row r="29">
      <c r="A29" s="16" t="inlineStr">
        <is>
          <t>FINANCING</t>
        </is>
      </c>
    </row>
    <row r="30">
      <c r="A30" t="inlineStr">
        <is>
          <t>Owner's equity contributed</t>
        </is>
      </c>
      <c r="B30" s="18" t="n">
        <v>95000</v>
      </c>
      <c r="C30" t="inlineStr">
        <is>
          <t>Owner's cash. Lenders usually expect an owner equity injection (often around 10% for SBA start-ups; many want 20-30%) toward the cash need</t>
        </is>
      </c>
    </row>
    <row r="31">
      <c r="A31" t="inlineStr">
        <is>
          <t>Loan requested</t>
        </is>
      </c>
      <c r="B31" s="18" t="n">
        <v>162000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(SBA Microloans go up to $50,000)</t>
        </is>
      </c>
    </row>
    <row r="32">
      <c r="A32" t="inlineStr">
        <is>
          <t>Nominal annual interest rate (not APR)</t>
        </is>
      </c>
      <c r="B32" s="63" t="n">
        <v>0.1</v>
      </c>
      <c r="C32" t="inlineStr">
        <is>
          <t>Annual nominal rate, not APR. The example is an SBA 7(a) loan through your lender at 10% (Prime plus a margin that depends on the loan size): ask two lenders for a quote before you set it. Refrigeration equipment is often leased: compare that too</t>
        </is>
      </c>
    </row>
    <row r="33">
      <c r="A33" t="inlineStr">
        <is>
          <t>Loan term (years)</t>
        </is>
      </c>
      <c r="B33" s="18" t="n">
        <v>10</v>
      </c>
      <c r="C33" t="inlineStr">
        <is>
          <t>Total years, interest-only period included</t>
        </is>
      </c>
    </row>
    <row r="34">
      <c r="A34" t="inlineStr">
        <is>
          <t>Interest-only period (years)</t>
        </is>
      </c>
      <c r="B34" s="18" t="n">
        <v>0</v>
      </c>
      <c r="C34" t="inlineStr">
        <is>
          <t>0 by default: an SBA 7(a) loan is repaid from the start, so the example has no interest-only period. If your lender grants one, enter the years here and check the cash cushion for that year on the "Break-Even" tab</t>
        </is>
      </c>
    </row>
    <row r="35">
      <c r="A35" t="inlineStr">
        <is>
          <t>Working capital (months of fixed costs)</t>
        </is>
      </c>
      <c r="B35" s="18" t="n">
        <v>3</v>
      </c>
      <c r="C35" t="inlineStr">
        <is>
          <t>Three months of fixed costs: the cushion for the first winter, when only about 15% of the year's sales come in from November to February while fixed costs stay flat</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It varies widely by state and city: look up yours. UK: ice cream is standard-rated at 20% VAT, to take away too</t>
        </is>
      </c>
    </row>
    <row r="40">
      <c r="A40" t="inlineStr">
        <is>
          <t>Sales tax rate on alcohol to go</t>
        </is>
      </c>
      <c r="B40" s="63" t="n">
        <v>0.08</v>
      </c>
      <c r="C40" t="inlineStr">
        <is>
          <t>One sales tax rate for the example (8%). Check your state and city: the same rate is used for the sales tax collected and for the menu price incl. sales tax. Recoverable input tax on purchases is 0: there is no credit for sales tax paid on purchases, so the book does not credit anything</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of the production room and shop, electrical service, plumbing, floor drains, HVAC and signage. Depreciation follows the IRS recovery periods for your assets: confirm the life with your CPA</t>
        </is>
      </c>
    </row>
    <row r="45">
      <c r="A45" t="inlineStr">
        <is>
          <t>Useful life of machinery, furniture and equipment (years)</t>
        </is>
      </c>
      <c r="B45" s="18" t="n">
        <v>7</v>
      </c>
      <c r="C45" t="inlineStr">
        <is>
          <t>Batch freezer, hardening cabinet, freezers, dipping cabinets, espresso machine, furniture and POS. Straight-line depreciation over the useful life; confirm the recovery period and any Section 179 election with your CPA</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Seating capacity of the space (indoor seats, patio not included)</t>
        </is>
      </c>
      <c r="B51" s="18" t="n">
        <v>20</v>
      </c>
      <c r="C51" t="inlineStr">
        <is>
          <t>FOR INFORMATION: most sales happen at the counter and to go. The patio adds 5 more tables in season, with its own sidewalk café permit from the city and not counted here</t>
        </is>
      </c>
    </row>
    <row r="52">
      <c r="A52" t="inlineStr">
        <is>
          <t>Month-1 activity as a % of steady-state activity</t>
        </is>
      </c>
      <c r="B52" s="63" t="n">
        <v>0.7</v>
      </c>
      <c r="C52" t="inlineStr">
        <is>
          <t>A shop that opens in March does not sell in month 1 what it sells in month 4: ice cream is an impulse purchase and the neighborhood takes time to find you, and spring is still slow. At 100% the ramp-up disappears</t>
        </is>
      </c>
    </row>
    <row r="53">
      <c r="A53" t="inlineStr">
        <is>
          <t>Months to reach steady state</t>
        </is>
      </c>
      <c r="B53" s="18" t="n">
        <v>4</v>
      </c>
      <c r="C53" t="inlineStr">
        <is>
          <t>Four months to reach cruising pace: March to June, just before the summer peak</t>
        </is>
      </c>
    </row>
    <row r="54">
      <c r="A54" t="inlineStr">
        <is>
          <t>Months of rent BEFORE opening (build-out and permits)</t>
        </is>
      </c>
      <c r="B54" s="18" t="n">
        <v>2</v>
      </c>
      <c r="C54" t="inlineStr">
        <is>
          <t>Two months of rent before opening: the production room build-out, the electrical upgrade (ask the utility about 3-phase service and amps before signing) and the permits. If your lender funds the loan when construction starts, add the interest for those months, which this book does not count</t>
        </is>
      </c>
    </row>
    <row r="55">
      <c r="A55" t="inlineStr">
        <is>
          <t>Contingency on the BUILD-OUT lines of the space block (%)</t>
        </is>
      </c>
      <c r="B55" s="63" t="n">
        <v>0.1</v>
      </c>
      <c r="C55" t="inlineStr">
        <is>
          <t>Cushion on the build-out and the shop installations, where surprises show up (electrical service, floor drains, ventilation for the condenser units). A lender will not fund a renovation without one</t>
        </is>
      </c>
    </row>
    <row r="57">
      <c r="A57" s="16" t="inlineStr">
        <is>
          <t>RECEIPTS, PAYMENTS AND SALES TAX BREAKDOWN</t>
        </is>
      </c>
    </row>
    <row r="58">
      <c r="A58" t="inlineStr">
        <is>
          <t>Average collection days</t>
        </is>
      </c>
      <c r="B58" s="18" t="n">
        <v>2</v>
      </c>
      <c r="C58" t="inlineStr">
        <is>
          <t>Weighted average: the counter collects on the spot (card) and catering customers pay a few days later</t>
        </is>
      </c>
    </row>
    <row r="59">
      <c r="A59" t="inlineStr">
        <is>
          <t>Average days to pay suppliers</t>
        </is>
      </c>
      <c r="B59" s="18" t="n">
        <v>14</v>
      </c>
      <c r="C59" t="inlineStr">
        <is>
          <t>Payment terms from your dairy, flavoring, cone and packaging suppliers: what they finance for you. It is the first thing you lose if you pay late</t>
        </is>
      </c>
    </row>
    <row r="60">
      <c r="A60" t="inlineStr">
        <is>
          <t>Month of extra pay period 1 (only if pay periods &gt; 12)</t>
        </is>
      </c>
      <c r="B60" s="18" t="n">
        <v>5</v>
      </c>
      <c r="C60" t="inlineStr">
        <is>
          <t>Not used with 12 pay periods: this only counts if you enter more than 12. Month of the CASH FLOW in which the extra payment goes out: July is Month 5, because Month 1 of the plan is March</t>
        </is>
      </c>
    </row>
    <row r="61">
      <c r="A61" t="inlineStr">
        <is>
          <t>Month of extra pay period 2 (only if pay periods &gt; 12)</t>
        </is>
      </c>
      <c r="B61" s="18" t="n">
        <v>10</v>
      </c>
      <c r="C61" t="inlineStr">
        <is>
          <t>Not used with 12 pay periods: this only counts if you enter more than 12. Month of the CASH FLOW in which the extra payment goes out: December is Month 10, because Month 1 of the plan is March</t>
        </is>
      </c>
    </row>
    <row r="62">
      <c r="A62" t="inlineStr">
        <is>
          <t>ALCOHOLIC beverages as a share of total beverage sales</t>
        </is>
      </c>
      <c r="B62" s="63" t="n">
        <v>0</v>
      </c>
      <c r="C62" t="inlineStr">
        <is>
          <t>Set to ZERO: the beverage menu of this plan is coffee, hot chocolate, shakes, sodas and water, with no alcohol. If you add alcohol, type its share of beverage sales here: it needs a state liquor license, and its sales tax uses the cell below (on site) and B40 (to go)</t>
        </is>
      </c>
    </row>
    <row r="63">
      <c r="A63" t="inlineStr">
        <is>
          <t>Sales tax rate on alcohol served on site</t>
        </is>
      </c>
      <c r="B63" s="63" t="n">
        <v>0.08</v>
      </c>
      <c r="C63" t="inlineStr">
        <is>
          <t>NO EFFECT in this plan (the cell above is at 0). If you serve alcohol, type the sales tax rate your state applies to alcohol served on site. With the example, everything pays the same 8% (state + local)</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How far you can fall below plan before you start losing money</t>
        </is>
      </c>
    </row>
    <row r="68">
      <c r="A68" t="inlineStr">
        <is>
          <t>State / local minimum wage, annual full-time</t>
        </is>
      </c>
      <c r="B68" s="18" t="n"/>
      <c r="C68" t="inlineStr">
        <is>
          <t>Leave empty to use your state or local minimum wage (hourly rate x 2,080 hours) whenever it is above the federal $7.25 per hour. Type your own annual figure if your city sets a higher floor. With 0 the traffic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ICE CREAM SHOP BUSINESS PLAN</t>
        </is>
      </c>
    </row>
    <row r="2">
      <c r="A2" s="2" t="inlineStr">
        <is>
          <t>Startup costs — ice cream shop with on-site production</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76">
        <f>IFERROR(IF(COUNT(B7:B28)=0,"",SUM(B7:B28)),"")</f>
        <v>204100.0</v>
      </c>
      <c r="C6" s="66">
        <f>IFERROR(B6/$B$31,"")</f>
        <v>0.7945613231217344</v>
      </c>
      <c r="D6" s="28" t="n"/>
      <c r="E6" s="28" t="n"/>
    </row>
    <row r="7">
      <c r="A7" s="28" t="inlineStr">
        <is>
          <t>Architect, MEP drawings, plan review &amp; permit fees</t>
        </is>
      </c>
      <c r="B7" s="49" t="n">
        <v>9000</v>
      </c>
      <c r="C7" s="67">
        <f>IFERROR(B7/$B$31,"")</f>
        <v>0.03503700101957673</v>
      </c>
      <c r="D7" s="28" t="inlineStr">
        <is>
          <t>Architect, MEP drawings, plan review with the health department (Food Code 8-201.11) and permit fees</t>
        </is>
      </c>
      <c r="E7" s="31" t="inlineStr">
        <is>
          <t>Yes</t>
        </is>
      </c>
    </row>
    <row r="8">
      <c r="A8" s="28" t="inlineStr">
        <is>
          <t>Build-out of production room &amp; shop (second-generation retail, ~1,000 sq ft)</t>
        </is>
      </c>
      <c r="B8" s="49" t="n">
        <v>48000</v>
      </c>
      <c r="C8" s="67">
        <f>IFERROR(B8/$B$31,"")</f>
        <v>0.18686400543774254</v>
      </c>
      <c r="D8" s="28" t="inlineStr">
        <is>
          <t>Build-out of a second-generation retail space of about 1,000 sq ft (93 sq m) with a production room of about 250 sq ft (23 sq m): tile or washable walls, non-slip floor, restroom and ceilings. Kit estimate: replace it with contractor quotes</t>
        </is>
      </c>
      <c r="E8" s="31" t="inlineStr">
        <is>
          <t>Yes</t>
        </is>
      </c>
    </row>
    <row r="9">
      <c r="A9" s="28" t="inlineStr">
        <is>
          <t>Electrical service &amp; panel (about 30 kW)</t>
        </is>
      </c>
      <c r="B9" s="49" t="n">
        <v>9000</v>
      </c>
      <c r="C9" s="67">
        <f>IFERROR(B9/$B$31,"")</f>
        <v>0.03503700101957673</v>
      </c>
      <c r="D9" s="28" t="inlineStr">
        <is>
          <t>About 30 kW for the dipping cabinets, batch freezer, hardening cabinet and air conditioning. Ask the utility about 3-phase service and amps before signing: a new service connection can take weeks</t>
        </is>
      </c>
      <c r="E9" s="31" t="inlineStr">
        <is>
          <t>Yes</t>
        </is>
      </c>
    </row>
    <row r="10">
      <c r="A10" s="28" t="inlineStr">
        <is>
          <t>Plumbing, floor sinks, hand sinks, HVAC &amp; condenser ventilation</t>
        </is>
      </c>
      <c r="B10" s="49" t="n">
        <v>10000</v>
      </c>
      <c r="C10" s="67">
        <f>IFERROR(B10/$B$31,"")</f>
        <v>0.03893000113286303</v>
      </c>
      <c r="D10" s="28" t="inlineStr">
        <is>
          <t>Floor sinks and drains in the production room, hand sinks and ventilation for the condenser units</t>
        </is>
      </c>
      <c r="E10" s="31" t="inlineStr">
        <is>
          <t>Yes</t>
        </is>
      </c>
    </row>
    <row r="11">
      <c r="A11" s="28" t="inlineStr">
        <is>
          <t>Signage &amp; storefront</t>
        </is>
      </c>
      <c r="B11" s="49" t="n">
        <v>5000</v>
      </c>
      <c r="C11" s="67">
        <f>IFERROR(B11/$B$31,"")</f>
        <v>0.019465000566431516</v>
      </c>
      <c r="D11" s="28" t="inlineStr">
        <is>
          <t>Say "made here in small batches" on the sign only if you really make it here; "homemade" or "house-made" only if it is true</t>
        </is>
      </c>
      <c r="E11" s="31" t="inlineStr">
        <is>
          <t>Yes</t>
        </is>
      </c>
    </row>
    <row r="12">
      <c r="A12" s="28" t="inlineStr">
        <is>
          <t>Base refrigerator &amp; flavor prep (41 °F or colder, stick blender, scales)</t>
        </is>
      </c>
      <c r="B12" s="49" t="n">
        <v>4500</v>
      </c>
      <c r="C12" s="67">
        <f>IFERROR(B12/$B$31,"")</f>
        <v>0.017518500509788364</v>
      </c>
      <c r="D12" s="28" t="inlineStr">
        <is>
          <t>Base case: you buy pasteurized base from a licensed dairy, keep it at 41 °F (5 °C) or colder and add only flavorings and mix-ins. Making your own mix adds a batch pasteurizer (about $25,000-45,000: get quotes) and, in many states, a dairy or frozen dessert manufacturer license: ask your state department of agriculture</t>
        </is>
      </c>
      <c r="E12" s="31" t="inlineStr">
        <is>
          <t>Yes</t>
        </is>
      </c>
    </row>
    <row r="13">
      <c r="A13" s="28" t="inlineStr">
        <is>
          <t>Batch freezer (20 qt, horizontal)</t>
        </is>
      </c>
      <c r="B13" s="49" t="n">
        <v>30000</v>
      </c>
      <c r="C13" s="67">
        <f>IFERROR(B13/$B$31,"")</f>
        <v>0.1167900033985891</v>
      </c>
      <c r="D13" s="28" t="inlineStr">
        <is>
          <t>A 20-qt Carpigiani lists at about $40,800; get two quotes before you close the loan, and reconditioned units cost less. Kit estimate on the low side of what is published, because professional brands rarely publish a price. A smaller 3-gallon (11-liter) countertop unit costs less if you start small</t>
        </is>
      </c>
      <c r="E13" s="31" t="inlineStr">
        <is>
          <t>Yes</t>
        </is>
      </c>
    </row>
    <row r="14">
      <c r="A14" s="28" t="inlineStr">
        <is>
          <t>Hardening cabinet / blast freezer</t>
        </is>
      </c>
      <c r="B14" s="49" t="n">
        <v>9000</v>
      </c>
      <c r="C14" s="67">
        <f>IFERROR(B14/$B$31,"")</f>
        <v>0.03503700101957673</v>
      </c>
      <c r="D14" s="28" t="inlineStr">
        <is>
          <t>Takes the freshly batch-frozen ice cream to 0 °F (−18 °C) or colder in the core before it goes to the dipping cabinet or the freezer. Kit estimate: the sources on price are weak, so get quotes</t>
        </is>
      </c>
      <c r="E14" s="31" t="inlineStr">
        <is>
          <t>Yes</t>
        </is>
      </c>
    </row>
    <row r="15">
      <c r="A15" s="28" t="inlineStr">
        <is>
          <t>Storage freezers (0 °F or colder)</t>
        </is>
      </c>
      <c r="B15" s="49" t="n">
        <v>7000</v>
      </c>
      <c r="C15" s="67">
        <f>IFERROR(B15/$B$31,"")</f>
        <v>0.02725100079300412</v>
      </c>
      <c r="D15" s="28" t="inlineStr">
        <is>
          <t>Storage freezers at 0 °F (−18 °C) or colder for the finished ice cream and the stock. There is no aging cabinet: the base arrives already aged and pasteurized from the dairy</t>
        </is>
      </c>
      <c r="E15" s="31" t="inlineStr">
        <is>
          <t>Yes</t>
        </is>
      </c>
    </row>
    <row r="16">
      <c r="A16" s="28" t="inlineStr">
        <is>
          <t>Prep tables, 3-compartment sink, hand sinks, scales, pans &amp; smallwares</t>
        </is>
      </c>
      <c r="B16" s="49" t="n">
        <v>8500</v>
      </c>
      <c r="C16" s="67">
        <f>IFERROR(B16/$B$31,"")</f>
        <v>0.033090500962933575</v>
      </c>
      <c r="D16" s="28" t="inlineStr">
        <is>
          <t>Stainless prep tables and shelves, a 3-compartment sink, hand sinks, scales, probe thermometers, 3-gallon (11-liter) tubs and pans, and strainers</t>
        </is>
      </c>
      <c r="E16" s="31" t="inlineStr">
        <is>
          <t>Yes</t>
        </is>
      </c>
    </row>
    <row r="17">
      <c r="A17" s="28" t="inlineStr">
        <is>
          <t>Dipping cabinets (18 flavors)</t>
        </is>
      </c>
      <c r="B17" s="49" t="n">
        <v>11000</v>
      </c>
      <c r="C17" s="67">
        <f>IFERROR(B17/$B$31,"")</f>
        <v>0.042823001246149336</v>
      </c>
      <c r="D17" s="28" t="inlineStr">
        <is>
          <t>Two dipping cabinets with room for 18 flavors, plus two spots for the flavor of the day or a reserve. Cabinets for 12 flavors start at about $1,700-2,500 for budget models and reach about $12,300 for premium ones. Run 6-10 °F (−14 to −12 °C) depending on the manufacturer; 18 flavors in summer and 10-12 in winter is enough in a mid-size city</t>
        </is>
      </c>
      <c r="E17" s="31" t="inlineStr">
        <is>
          <t>Yes</t>
        </is>
      </c>
    </row>
    <row r="18">
      <c r="A18" s="28" t="inlineStr">
        <is>
          <t>Front counter, dipper wells, espresso, waffle cone irons &amp; hot fudge warmers</t>
        </is>
      </c>
      <c r="B18" s="49" t="n">
        <v>9000</v>
      </c>
      <c r="C18" s="67">
        <f>IFERROR(B18/$B$31,"")</f>
        <v>0.03503700101957673</v>
      </c>
      <c r="D18" s="28" t="inlineStr">
        <is>
          <t>Front counter, dipper wells with running water (Food Code 3-304.12), espresso machine and grinder, waffle cone irons and hot fudge warmers. Waffle cone irons usually need no exhaust hood: confirm it with your plan reviewer</t>
        </is>
      </c>
      <c r="E18" s="31" t="inlineStr">
        <is>
          <t>Yes</t>
        </is>
      </c>
    </row>
    <row r="19">
      <c r="A19" s="28" t="inlineStr">
        <is>
          <t>Furniture (20 seats) &amp; patio</t>
        </is>
      </c>
      <c r="B19" s="49" t="n">
        <v>7000</v>
      </c>
      <c r="C19" s="67">
        <f>IFERROR(B19/$B$31,"")</f>
        <v>0.02725100079300412</v>
      </c>
      <c r="D19" s="28" t="inlineStr">
        <is>
          <t>Tables and chairs for 20 seats inside and 5 patio tables in season</t>
        </is>
      </c>
      <c r="E19" s="31" t="inlineStr">
        <is>
          <t>Yes</t>
        </is>
      </c>
    </row>
    <row r="20">
      <c r="A20" s="28" t="inlineStr">
        <is>
          <t>POS, card terminal &amp; online ordering</t>
        </is>
      </c>
      <c r="B20" s="49" t="n">
        <v>2500</v>
      </c>
      <c r="C20" s="67">
        <f>IFERROR(B20/$B$31,"")</f>
        <v>0.009732500283215758</v>
      </c>
      <c r="D20" s="28" t="inlineStr">
        <is>
          <t>POS that reports sales tax, card terminal and online ordering</t>
        </is>
      </c>
      <c r="E20" s="31" t="inlineStr">
        <is>
          <t>Yes</t>
        </is>
      </c>
    </row>
    <row r="21">
      <c r="A21" s="28" t="inlineStr">
        <is>
          <t>Scoops, spades, cups, uniforms &amp; allergen signage</t>
        </is>
      </c>
      <c r="B21" s="49" t="n">
        <v>1500</v>
      </c>
      <c r="C21" s="67">
        <f>IFERROR(B21/$B$31,"")</f>
        <v>0.005839500169929454</v>
      </c>
      <c r="D21" s="28" t="inlineStr">
        <is>
          <t>Scoops, spades and sundae cups (one scoop per flavor), uniforms and the sign that tells guests where to ask about the 9 major allergens, including sesame. Never promise "allergen-free": scoops and dipper wells are shared</t>
        </is>
      </c>
      <c r="E21" s="31" t="inlineStr">
        <is>
          <t>Yes</t>
        </is>
      </c>
    </row>
    <row r="22">
      <c r="A22" s="28" t="inlineStr">
        <is>
          <t>Ice cream training course</t>
        </is>
      </c>
      <c r="B22" s="49" t="n">
        <v>2500</v>
      </c>
      <c r="C22" s="67">
        <f>IFERROR(B22/$B$31,"")</f>
        <v>0.009732500283215758</v>
      </c>
      <c r="D22" s="28" t="inlineStr">
        <is>
          <t>An ice cream making short course on balancing mixes: the difference between creamy ice cream and icy or hard ice cream in the cabinet. Kit estimate</t>
        </is>
      </c>
      <c r="E22" s="31" t="inlineStr">
        <is>
          <t>Yes</t>
        </is>
      </c>
    </row>
    <row r="23">
      <c r="A23" s="28" t="inlineStr">
        <is>
          <t>Branding, website, photos &amp; launch</t>
        </is>
      </c>
      <c r="B23" s="49" t="n">
        <v>5000</v>
      </c>
      <c r="C23" s="67">
        <f>IFERROR(B23/$B$31,"")</f>
        <v>0.019465000566431516</v>
      </c>
      <c r="D23" s="28" t="inlineStr">
        <is>
          <t>Brand identity, a website with the flavor menu, photos and the opening campaign</t>
        </is>
      </c>
      <c r="E23" s="31" t="inlineStr">
        <is>
          <t>Yes</t>
        </is>
      </c>
    </row>
    <row r="24">
      <c r="A24" s="28" t="inlineStr">
        <is>
          <t>LLC, legal, permits &amp; food safety plan</t>
        </is>
      </c>
      <c r="B24" s="49" t="n">
        <v>2500</v>
      </c>
      <c r="C24" s="67">
        <f>IFERROR(B24/$B$31,"")</f>
        <v>0.009732500283215758</v>
      </c>
      <c r="D24" s="28" t="inlineStr">
        <is>
          <t>LLC formation and legal fees, business license and permits, health permit, plan review and a written food safety plan. Fees are set by your state and city; decide with your CPA between an LLC and an S corp. Enter more here if your budget is mostly professional fees</t>
        </is>
      </c>
      <c r="E24" s="31" t="inlineStr">
        <is>
          <t>No</t>
        </is>
      </c>
    </row>
    <row r="25">
      <c r="A25" s="28" t="inlineStr">
        <is>
          <t>Opening inventory (base, flavorings, cones, cups, pint containers)</t>
        </is>
      </c>
      <c r="B25" s="49" t="n">
        <v>5000</v>
      </c>
      <c r="C25" s="67">
        <f>IFERROR(B25/$B$31,"")</f>
        <v>0.019465000566431516</v>
      </c>
      <c r="D25" s="28" t="inlineStr">
        <is>
          <t>Ice cream base, flavorings, cones, cups and pint containers</t>
        </is>
      </c>
      <c r="E25" s="31" t="inlineStr">
        <is>
          <t>Yes</t>
        </is>
      </c>
    </row>
    <row r="26">
      <c r="A26" s="28" t="inlineStr">
        <is>
          <t>Security deposit</t>
        </is>
      </c>
      <c r="B26" s="39">
        <f>IFERROR(IF('0. Assumptions'!$B$24="","",'0. Assumptions'!$B$24*'0. Assumptions'!$B$25),"")</f>
        <v>5000.0</v>
      </c>
      <c r="C26" s="67">
        <f>IFERROR(B26/$B$31,"")</f>
        <v>0.019465000566431516</v>
      </c>
      <c r="D26" s="28"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6" s="28" t="inlineStr">
        <is>
          <t>No</t>
        </is>
      </c>
    </row>
    <row r="27">
      <c r="A27" s="28" t="inlineStr">
        <is>
          <t>Rent paid before opening</t>
        </is>
      </c>
      <c r="B27" s="39">
        <f>IFERROR(IF('0. Assumptions'!$B$24="","",'0. Assumptions'!$B$24*'0. Assumptions'!$B$54),"")</f>
        <v>5000.0</v>
      </c>
      <c r="C27" s="67">
        <f>IFERROR(B27/$B$31,"")</f>
        <v>0.019465000566431516</v>
      </c>
      <c r="D27" s="28"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7" s="28" t="inlineStr">
        <is>
          <t>Yes</t>
        </is>
      </c>
    </row>
    <row r="28">
      <c r="A28" s="28" t="inlineStr">
        <is>
          <t>Build-out and setup contingency</t>
        </is>
      </c>
      <c r="B28" s="39">
        <f>IFERROR(IF(COUNT(B7,B8,B9,B10,B11)=0,"",ROUND((B7+B8+B9+B10+B11)*'0. Assumptions'!$B$55,0)),"")</f>
        <v>8100.0</v>
      </c>
      <c r="C28" s="67">
        <f>IFERROR(B28/$B$31,"")</f>
        <v>0.03153330091761906</v>
      </c>
      <c r="D28" s="28" t="str">
        <f>IFERROR("At "&amp;TEXT('0. Assumptions'!$B$55,"0%")&amp;" of the BUILD-OUT items of this block (architect, MEP drawings, plan review &amp; permit fees; build-out of production room &amp; shop; electrical service &amp; panel; plumbing, floor sinks, hand sinks, HVAC &amp; condenser ventilation; "&amp;"signage &amp; storefront), not of the whole block: the equipment and the other items are left out. No lender funds a build-out without a cushion: the percentage is in ""0. Assumptions""","")</f>
        <v>At 10% of the BUILD-OUT items of this block (architect, MEP drawings, plan review &amp; permit fees; build-out of production room &amp; shop; electrical service &amp; panel; plumbing, floor sinks, hand sinks, HVAC &amp; condenser ventilation; signage &amp; storefront), not of the whole block: the equipment and the other items are left out. No lender funds a build-out without a cushion: the percentage is in "0. Assumptions"</v>
      </c>
      <c r="E28" s="28" t="inlineStr">
        <is>
          <t>Yes</t>
        </is>
      </c>
    </row>
    <row r="29">
      <c r="A29" s="25" t="inlineStr">
        <is>
          <t>WORKING CAPITAL</t>
        </is>
      </c>
      <c r="B29" s="76">
        <f>IFERROR(IF(B30="","",B30),"")</f>
        <v>52771.30000000001</v>
      </c>
      <c r="C29" s="66">
        <f>IFERROR(B29/$B$31,"")</f>
        <v>0.20543867687826553</v>
      </c>
      <c r="D29" s="28" t="n"/>
      <c r="E29" s="28" t="n"/>
    </row>
    <row r="30">
      <c r="A30" s="28" t="inlineStr">
        <is>
          <t>Operating cushion until break-even</t>
        </is>
      </c>
      <c r="B30" s="39">
        <f>IFERROR(IF('0. Assumptions'!$B$35*('3-Year P&amp;L'!$B$38-'3-Year P&amp;L'!$B$36)=0,"",'0. Assumptions'!$B$35*('3-Year P&amp;L'!$B$38-'3-Year P&amp;L'!$B$36)/12),"")</f>
        <v>52771.30000000001</v>
      </c>
      <c r="C30" s="67">
        <f>IFERROR(B30/$B$31,"")</f>
        <v>0.20543867687826553</v>
      </c>
      <c r="D30" s="28"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30" s="28" t="inlineStr">
        <is>
          <t>No</t>
        </is>
      </c>
    </row>
    <row r="31">
      <c r="A31" s="25" t="inlineStr">
        <is>
          <t>TOTAL STARTUP COSTS (sum of the blocks)</t>
        </is>
      </c>
      <c r="B31" s="76">
        <f>IFERROR(B6+B29,"")</f>
        <v>256871.30000000002</v>
      </c>
      <c r="C31" s="28" t="n"/>
      <c r="D31" s="25" t="str">
        <f>IFERROR("The percentages in column C are read on this figure, which includes the working capital ("&amp;TEXT(C29,"0%")&amp;" of the total). To compare the breakdown with another plan, use the CAPEX row below.","")</f>
        <v>The percentages in column C are read on this figure, which includes the working capital (21% of the total). To compare the breakdown with another plan, use the CAPEX row below.</v>
      </c>
      <c r="E31" s="28" t="n"/>
    </row>
    <row r="32">
      <c r="A32" s="25" t="inlineStr">
        <is>
          <t>CAPEX (startup costs excluding working capital)</t>
        </is>
      </c>
      <c r="B32" s="76">
        <f>IFERROR(B31-B29,"")</f>
        <v>204100.0</v>
      </c>
      <c r="C32" s="28" t="n"/>
      <c r="D32" s="25" t="inlineStr">
        <is>
          <t>What you buy: build-out, equipment, launch and formation costs. The cash cushion is not an investment: it is working capital</t>
        </is>
      </c>
      <c r="E32" s="28" t="n"/>
    </row>
    <row r="33">
      <c r="A33" s="28" t="inlineStr">
        <is>
          <t>Recoverable input tax on capex</t>
        </is>
      </c>
      <c r="B33" s="39">
        <f>IFERROR(IF(B31="","",SUMIF($E$7:$E$28,"Yes",$B$7:$B$28)*'0. Assumptions'!$B$41),"")</f>
        <v>0.0</v>
      </c>
      <c r="C33" s="28" t="n"/>
      <c r="D33" s="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3" s="28" t="n"/>
    </row>
    <row r="34">
      <c r="A34" s="25" t="inlineStr">
        <is>
          <t>TOTAL CASH NEEDED AT LAUNCH</t>
        </is>
      </c>
      <c r="B34" s="76">
        <f>IFERROR(B31+B33,"")</f>
        <v>256871.30000000002</v>
      </c>
      <c r="C34" s="28" t="n"/>
      <c r="D34" s="25" t="inlineStr">
        <is>
          <t>This is the figure the Financing tab has to cover</t>
        </is>
      </c>
      <c r="E34" s="28" t="n"/>
    </row>
    <row r="35">
      <c r="A35" s="25" t="inlineStr">
        <is>
          <t>DEPRECIATION BASES (not added to startup costs)</t>
        </is>
      </c>
      <c r="B35" s="28" t="n"/>
      <c r="C35" s="28" t="n"/>
      <c r="D35" s="28" t="n"/>
      <c r="E35" s="28" t="n"/>
    </row>
    <row r="36">
      <c r="A36" s="28" t="inlineStr">
        <is>
          <t>Build-out, fixtures and setup</t>
        </is>
      </c>
      <c r="B36" s="39">
        <f>IFERROR(IF(B7="","",B7+B8+B9+B10+B11+B28),"")</f>
        <v>89100.0</v>
      </c>
      <c r="C36" s="28" t="n"/>
      <c r="D36" s="28" t="str">
        <f>IFERROR("Depreciated over "&amp;TEXT('0. Assumptions'!$B$44,"0")&amp;" years","")</f>
        <v>Depreciated over 10 years</v>
      </c>
      <c r="E36" s="28" t="n"/>
    </row>
    <row r="37">
      <c r="A37" s="28" t="inlineStr">
        <is>
          <t>Machinery, furniture and equipment</t>
        </is>
      </c>
      <c r="B37" s="39">
        <f>IFERROR(IF(B12="","",B12+B13+B14+B15+B16+B17+B18+B19+B20+B21),"")</f>
        <v>90000.0</v>
      </c>
      <c r="C37" s="28" t="n"/>
      <c r="D37" s="28" t="str">
        <f>IFERROR("Depreciated over "&amp;TEXT('0. Assumptions'!$B$45,"0")&amp;" years","")</f>
        <v>Depreciated over 7 years</v>
      </c>
      <c r="E37" s="28" t="n"/>
    </row>
    <row r="38">
      <c r="A38" s="25" t="inlineStr">
        <is>
          <t>Annual depreciation of fixed assets</t>
        </is>
      </c>
      <c r="B38" s="76">
        <f>IFERROR(B36/MAX(1,'0. Assumptions'!$B$44)+B37/MAX(1,'0. Assumptions'!$B$45),"")</f>
        <v>21767.142857142855</v>
      </c>
      <c r="C38" s="28" t="n"/>
      <c r="D38" s="25" t="str">
        <f>IFERROR("Not depreciated, because they are not fixed assets: ice cream training course; branding, website, photos &amp; launch; LLC, legal, permits &amp; food safety plan; opening inventory; "&amp;"security deposit; pre-opening rent and the working capital reserve. They add up to "&amp;TEXT(B31-B36-B37,"#,##0")&amp;" of the "&amp;TEXT(B31,"#,##0")&amp;" total investment.","")</f>
        <v>Not depreciated, because they are not fixed assets: ice cream training course; branding, website, photos &amp; launch; LLC, legal, permits &amp; food safety plan; opening inventory; security deposit; pre-opening rent and the working capital reserve. They add up to 77771 of the 256871 total investment.</v>
      </c>
      <c r="E3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PROFIT AND LOSS STATEMENT — 3 YEARS</t>
        </is>
      </c>
    </row>
    <row r="2">
      <c r="A2" s="3" t="inlineStr">
        <is>
          <t>Base case — ice cream shop with on-site production</t>
        </is>
      </c>
    </row>
    <row r="4">
      <c r="A4" s="38" t="inlineStr">
        <is>
          <t>Item</t>
        </is>
      </c>
      <c r="B4" s="38" t="inlineStr">
        <is>
          <t>Year 1</t>
        </is>
      </c>
      <c r="C4" s="38" t="inlineStr">
        <is>
          <t>Year 2</t>
        </is>
      </c>
      <c r="D4" s="38" t="inlineStr">
        <is>
          <t>Year 3</t>
        </is>
      </c>
      <c r="E4" s="38" t="inlineStr">
        <is>
          <t>% of sales (year 1)</t>
        </is>
      </c>
      <c r="F4" s="38" t="inlineStr">
        <is>
          <t>Notes</t>
        </is>
      </c>
      <c r="G4" s="38" t="inlineStr">
        <is>
          <t>Sales tax rate on the line (%)</t>
        </is>
      </c>
      <c r="H4" s="28" t="n"/>
    </row>
    <row r="5">
      <c r="A5" s="25" t="inlineStr">
        <is>
          <t>REVENUE</t>
        </is>
      </c>
      <c r="B5" s="28" t="n"/>
      <c r="C5" s="28" t="n"/>
      <c r="D5" s="28" t="n"/>
      <c r="E5" s="28" t="n"/>
      <c r="F5" s="28" t="n"/>
      <c r="G5" s="28" t="n"/>
      <c r="H5" s="28" t="n"/>
    </row>
    <row r="6">
      <c r="A6" s="28" t="inlineStr">
        <is>
          <t>Customers per day (average)</t>
        </is>
      </c>
      <c r="B6" s="39">
        <f>IFERROR(IF('0. Assumptions'!$B$4="","",'0. Assumptions'!$B$4),"")</f>
        <v>165.0</v>
      </c>
      <c r="C6" s="39">
        <f>IFERROR(B6*(1+'0. Assumptions'!$B$7),"")</f>
        <v>178.20000000000002</v>
      </c>
      <c r="D6" s="39">
        <f>IFERROR(C6*(1+'0. Assumptions'!$B$8),"")</f>
        <v>187.11</v>
      </c>
      <c r="E6" s="28" t="n"/>
      <c r="F6" s="28" t="inlineStr">
        <is>
          <t>Growth for years 2 and 3 is set in "0. Assumptions"</t>
        </is>
      </c>
      <c r="G6" s="28" t="n"/>
      <c r="H6" s="28" t="n"/>
    </row>
    <row r="7">
      <c r="A7" s="28" t="inlineStr">
        <is>
          <t>Average check (excl. sales tax)</t>
        </is>
      </c>
      <c r="B7" s="60">
        <f>IFERROR(IF('0. Assumptions'!$B$5="","",'0. Assumptions'!$B$5),"")</f>
        <v>7.5</v>
      </c>
      <c r="C7" s="60">
        <f>IFERROR(IF(B7="","",B7),"")</f>
        <v>7.5</v>
      </c>
      <c r="D7" s="60">
        <f>IFERROR(IF(C7="","",C7),"")</f>
        <v>7.5</v>
      </c>
      <c r="E7" s="28" t="n"/>
      <c r="F7" s="28" t="inlineStr">
        <is>
          <t>Held constant at year-1 prices: a price increase is a separate decision</t>
        </is>
      </c>
      <c r="G7" s="28" t="n"/>
      <c r="H7" s="28" t="n"/>
    </row>
    <row r="8">
      <c r="A8" s="28" t="inlineStr">
        <is>
          <t>Operating days per year</t>
        </is>
      </c>
      <c r="B8" s="39">
        <f>IFERROR(IF('0. Assumptions'!$B$6="","",'0. Assumptions'!$B$6),"")</f>
        <v>310.0</v>
      </c>
      <c r="C8" s="39">
        <f>IFERROR(IF(B8="","",B8),"")</f>
        <v>310.0</v>
      </c>
      <c r="D8" s="39">
        <f>IFERROR(IF(C8="","",C8),"")</f>
        <v>310.0</v>
      </c>
      <c r="E8" s="28" t="n"/>
      <c r="F8" s="28" t="n"/>
      <c r="G8" s="28" t="n"/>
      <c r="H8" s="28" t="n"/>
    </row>
    <row r="9">
      <c r="A9" s="25" t="inlineStr">
        <is>
          <t>TOTAL REVENUE (excl. sales tax)</t>
        </is>
      </c>
      <c r="B9" s="76">
        <f>IFERROR(IF(B6*B7*B8=0,"",B6*B7*B8),"")</f>
        <v>383625.0</v>
      </c>
      <c r="C9" s="76">
        <f>IFERROR(IF(C6*C7*C8=0,"",C6*C7*C8),"")</f>
        <v>414315.00000000006</v>
      </c>
      <c r="D9" s="76">
        <f>IFERROR(IF(D6*D7*D8=0,"",D6*D7*D8),"")</f>
        <v>435030.75</v>
      </c>
      <c r="E9" s="66">
        <f>IFERROR(IF(B9="","",1),"")</f>
        <v>1.0</v>
      </c>
      <c r="F9" s="28" t="n"/>
      <c r="G9" s="28" t="n"/>
      <c r="H9" s="28" t="n"/>
    </row>
    <row r="10">
      <c r="A10" s="28" t="inlineStr">
        <is>
          <t>Ice cream sales (scoops, sundaes, pints &amp; quarts to go, ice cream cakes, catering)</t>
        </is>
      </c>
      <c r="B10" s="39">
        <f>IFERROR(IF(B9="","",B9*$E$10),"")</f>
        <v>345262.5</v>
      </c>
      <c r="C10" s="39">
        <f>IFERROR(IF(C9="","",C9*$E$10),"")</f>
        <v>372883.50000000006</v>
      </c>
      <c r="D10" s="39">
        <f>IFERROR(IF(D9="","",D9*$E$10),"")</f>
        <v>391527.675</v>
      </c>
      <c r="E10" s="67">
        <f>IFERROR(IF('0. Assumptions'!$B$11="","",'0. Assumptions'!$B$11),"")</f>
        <v>0.9</v>
      </c>
      <c r="F10" s="28" t="inlineStr">
        <is>
          <t>Share of total sales. Within this line, roughly: scoops, cups, cones and sundaes in the shop 65%, hand-packed pints and quarts to go 15%, ice cream cakes and holiday pies 10%, catering 5% and pints through delivery marketplaces the rest (see "Delivery share of total sales"). One sales tax rate in the example; in some states a packaged pint or a whole cake may be taxed as a grocery, so check your state</t>
        </is>
      </c>
      <c r="G10" s="67">
        <f>IFERROR(IF(B9="","",'0. Assumptions'!$B$39),"")</f>
        <v>0.08</v>
      </c>
      <c r="H10" s="28" t="n"/>
    </row>
    <row r="11">
      <c r="A11" s="28" t="inlineStr">
        <is>
          <t>Coffee &amp; beverages (espresso, hot chocolate, sodas, water)</t>
        </is>
      </c>
      <c r="B11" s="39">
        <f>IFERROR(IF(B9="","",B9*$E$11),"")</f>
        <v>38362.49999999999</v>
      </c>
      <c r="C11" s="39">
        <f>IFERROR(IF(C9="","",C9*$E$11),"")</f>
        <v>41431.5</v>
      </c>
      <c r="D11" s="39">
        <f>IFERROR(IF(D9="","",D9*$E$11),"")</f>
        <v>43503.07499999999</v>
      </c>
      <c r="E11" s="67">
        <f>IFERROR(IF('0. Assumptions'!$B$12="","",'0. Assumptions'!$B$12),"")</f>
        <v>0.09999999999999998</v>
      </c>
      <c r="F11" s="28" t="inlineStr">
        <is>
          <t>Espresso, hot chocolate, shakes, sodas and water. No alcohol</t>
        </is>
      </c>
      <c r="G11" s="67">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sold — food</t>
        </is>
      </c>
      <c r="B13" s="39">
        <f>IFERROR(IF(B9="","",B9*'0. Assumptions'!$B$11*'0. Assumptions'!$B$13),"")</f>
        <v>75957.75</v>
      </c>
      <c r="C13" s="39">
        <f>IFERROR(IF(C9="","",C9*'0. Assumptions'!$B$11*'0. Assumptions'!$B$13),"")</f>
        <v>82034.37000000001</v>
      </c>
      <c r="D13" s="39">
        <f>IFERROR(IF(D9="","",D9*'0. Assumptions'!$B$11*'0. Assumptions'!$B$13),"")</f>
        <v>86136.0885</v>
      </c>
      <c r="E13" s="67">
        <f>IFERROR(B13/$B$9,"")</f>
        <v>0.198</v>
      </c>
      <c r="F13" s="28" t="str">
        <f>IFERROR("At "&amp;TEXT('0. Assumptions'!$B$13,"0%")&amp;" of FOOD sales (the ice cream line), not of total sales: beverages have their own line · purchased base, flavorings, mix-ins and toppings, cones, "&amp;"tasting samples and production waste: check it against your dairy and distributor invoices","")</f>
        <v>At 22% of FOOD sales (the ice cream line), not of total sales: beverages have their own line · purchased base, flavorings, mix-ins and toppings, cones, tasting samples and production waste: check it against your dairy and distributor invoices</v>
      </c>
      <c r="G13" s="75" t="n">
        <v>0</v>
      </c>
      <c r="H13" s="28" t="n"/>
    </row>
    <row r="14">
      <c r="A14" s="28" t="inlineStr">
        <is>
          <t>Cost of goods sold — beverage</t>
        </is>
      </c>
      <c r="B14" s="39">
        <f>IFERROR(IF(B9="","",B9*'0. Assumptions'!$B$12*'0. Assumptions'!$B$14),"")</f>
        <v>9590.624999999998</v>
      </c>
      <c r="C14" s="39">
        <f>IFERROR(IF(C9="","",C9*'0. Assumptions'!$B$12*'0. Assumptions'!$B$14),"")</f>
        <v>10357.875</v>
      </c>
      <c r="D14" s="39">
        <f>IFERROR(IF(D9="","",D9*'0. Assumptions'!$B$12*'0. Assumptions'!$B$14),"")</f>
        <v>10875.768749999997</v>
      </c>
      <c r="E14" s="67">
        <f>IFERROR(B14/$B$9,"")</f>
        <v>0.024999999999999994</v>
      </c>
      <c r="F14" s="28" t="str">
        <f>IFERROR("At "&amp;TEXT('0. Assumptions'!$B$14,"0%")&amp;" of BEVERAGE sales","")</f>
        <v>At 25% of BEVERAGE sales</v>
      </c>
      <c r="G14" s="67">
        <f>IFERROR(IF(B9="","",'0. Assumptions'!$B$41),"")</f>
        <v>0.0</v>
      </c>
      <c r="H14" s="28" t="n"/>
    </row>
    <row r="15">
      <c r="A15" s="28" t="inlineStr">
        <is>
          <t>Disposables and packaging</t>
        </is>
      </c>
      <c r="B15" s="39">
        <f>IFERROR(IF(B9="","",B9*'0. Assumptions'!$B$15),"")</f>
        <v>17263.125</v>
      </c>
      <c r="C15" s="39">
        <f>IFERROR(IF(C9="","",C9*'0. Assumptions'!$B$15),"")</f>
        <v>18644.175000000003</v>
      </c>
      <c r="D15" s="39">
        <f>IFERROR(IF(D9="","",D9*'0. Assumptions'!$B$15),"")</f>
        <v>19576.38375</v>
      </c>
      <c r="E15" s="67">
        <f>IFERROR(B15/$B$9,"")</f>
        <v>0.045</v>
      </c>
      <c r="F15" s="28" t="n"/>
      <c r="G15" s="67">
        <f>IFERROR(IF(B9="","",'0. Assumptions'!$B$41),"")</f>
        <v>0.0</v>
      </c>
      <c r="H15" s="28" t="n"/>
    </row>
    <row r="16">
      <c r="A16" s="28" t="inlineStr">
        <is>
          <t>Delivery platform fees</t>
        </is>
      </c>
      <c r="B16" s="39">
        <f>IFERROR(IF(B9="","",B9*'0. Assumptions'!$B$16*'0. Assumptions'!$B$17),"")</f>
        <v>3836.25</v>
      </c>
      <c r="C16" s="39">
        <f>IFERROR(IF(C9="","",C9*'0. Assumptions'!$B$16*'0. Assumptions'!$B$17),"")</f>
        <v>4143.150000000001</v>
      </c>
      <c r="D16" s="39">
        <f>IFERROR(IF(D9="","",D9*'0. Assumptions'!$B$16*'0. Assumptions'!$B$17),"")</f>
        <v>4350.3075</v>
      </c>
      <c r="E16" s="67">
        <f>IFERROR(B16/$B$9,"")</f>
        <v>0.01</v>
      </c>
      <c r="F16" s="28" t="inlineStr">
        <is>
          <t>Applied to the sales of THAT CHANNEL. With 0% delivery in Assumptions, this line is zero</t>
        </is>
      </c>
      <c r="G16" s="67">
        <f>IFERROR(IF(B9="","",'0. Assumptions'!$B$41),"")</f>
        <v>0.0</v>
      </c>
      <c r="H16" s="28" t="n"/>
    </row>
    <row r="17">
      <c r="A17" s="28" t="inlineStr">
        <is>
          <t>Card processing fees</t>
        </is>
      </c>
      <c r="B17" s="39">
        <f>IFERROR(IF(B9="","",B9*'0. Assumptions'!$B$18),"")</f>
        <v>11508.75</v>
      </c>
      <c r="C17" s="39">
        <f>IFERROR(IF(C9="","",C9*'0. Assumptions'!$B$18),"")</f>
        <v>12429.45</v>
      </c>
      <c r="D17" s="39">
        <f>IFERROR(IF(D9="","",D9*'0. Assumptions'!$B$18),"")</f>
        <v>13050.922499999999</v>
      </c>
      <c r="E17" s="67">
        <f>IFERROR(B17/$B$9,"")</f>
        <v>0.03</v>
      </c>
      <c r="F17" s="28" t="inlineStr">
        <is>
          <t>Card processing fees are not subject to sales tax: no tax is recovered or deducted for them</t>
        </is>
      </c>
      <c r="G17" s="67" t="n">
        <v>0</v>
      </c>
      <c r="H17" s="28" t="n"/>
    </row>
    <row r="18">
      <c r="A18" s="28" t="inlineStr">
        <is>
          <t>Miscellaneous and contingency</t>
        </is>
      </c>
      <c r="B18" s="39">
        <f>IFERROR(IF(B9="","",B9*'0. Assumptions'!$B$28),"")</f>
        <v>3836.25</v>
      </c>
      <c r="C18" s="39">
        <f>IFERROR(IF(C9="","",C9*'0. Assumptions'!$B$28),"")</f>
        <v>4143.150000000001</v>
      </c>
      <c r="D18" s="39">
        <f>IFERROR(IF(D9="","",D9*'0. Assumptions'!$B$28),"")</f>
        <v>4350.3075</v>
      </c>
      <c r="E18" s="67">
        <f>IFERROR(B18/$B$9,"")</f>
        <v>0.01</v>
      </c>
      <c r="F18" s="28" t="str">
        <f>IFERROR("At "&amp;TEXT('0. Assumptions'!$B$28,"0%")&amp;" of sales. It is a VARIABLE cost: it moves with revenue, so it cannot sit in fixed costs","")</f>
        <v>At 1% of sales. It is a VARIABLE cost: it moves with revenue, so it cannot sit in fixed costs</v>
      </c>
      <c r="G18" s="67">
        <f>IFERROR(IF(B9="","",'0. Assumptions'!$B$41),"")</f>
        <v>0.0</v>
      </c>
      <c r="H18" s="28" t="n"/>
    </row>
    <row r="19">
      <c r="A19" s="25" t="inlineStr">
        <is>
          <t>TOTAL VARIABLE COSTS</t>
        </is>
      </c>
      <c r="B19" s="76">
        <f>IFERROR(IF(B9="","",SUM(B13:B18)),"")</f>
        <v>121992.75</v>
      </c>
      <c r="C19" s="76">
        <f>IFERROR(IF(C9="","",SUM(C13:C18)),"")</f>
        <v>131752.17</v>
      </c>
      <c r="D19" s="76">
        <f>IFERROR(IF(D9="","",SUM(D13:D18)),"")</f>
        <v>138339.7785</v>
      </c>
      <c r="E19" s="66">
        <f>IFERROR(B19/$B$9,"")</f>
        <v>0.318</v>
      </c>
      <c r="F19" s="28" t="n"/>
      <c r="G19" s="28" t="n"/>
      <c r="H19" s="28" t="n"/>
    </row>
    <row r="20">
      <c r="A20" s="25" t="inlineStr">
        <is>
          <t>GROSS MARGIN</t>
        </is>
      </c>
      <c r="B20" s="76">
        <f>IFERROR(IF(B9="","",B9-B19),"")</f>
        <v>261632.25</v>
      </c>
      <c r="C20" s="76">
        <f>IFERROR(IF(C9="","",C9-C19),"")</f>
        <v>282562.8300000001</v>
      </c>
      <c r="D20" s="76">
        <f>IFERROR(IF(D9="","",D9-D19),"")</f>
        <v>296690.9715</v>
      </c>
      <c r="E20" s="66">
        <f>IFERROR(B20/$B$9,"")</f>
        <v>0.682</v>
      </c>
      <c r="F20" s="28" t="n"/>
      <c r="G20" s="28" t="n"/>
      <c r="H20" s="28" t="n"/>
    </row>
    <row r="21">
      <c r="A21" s="25" t="inlineStr">
        <is>
          <t>FIXED COSTS</t>
        </is>
      </c>
      <c r="B21" s="28" t="n"/>
      <c r="C21" s="28" t="n"/>
      <c r="D21" s="28" t="n"/>
      <c r="E21" s="28" t="n"/>
      <c r="F21" s="28" t="n"/>
      <c r="G21" s="28" t="n"/>
      <c r="H21" s="28" t="n"/>
    </row>
    <row r="22">
      <c r="A22" s="28" t="inlineStr">
        <is>
          <t>Rent</t>
        </is>
      </c>
      <c r="B22" s="39">
        <f>IFERROR(IF(B9="","",'0. Assumptions'!$B$24*12),"")</f>
        <v>30000.0</v>
      </c>
      <c r="C22" s="39">
        <f>IFERROR(IF(C9="","",B22*(1+'0. Assumptions'!$B$48)),"")</f>
        <v>30000.0</v>
      </c>
      <c r="D22" s="39">
        <f>IFERROR(IF(D9="","",C22*(1+'0. Assumptions'!$B$48)),"")</f>
        <v>30000.0</v>
      </c>
      <c r="E22" s="67">
        <f>IFERROR(B22/$B$9,"")</f>
        <v>0.07820136852394917</v>
      </c>
      <c r="F22" s="28" t="inlineStr">
        <is>
          <t>The monthly amount is on the "0. Assumptions" tab; here it is multiplied by twelve. The two months of rent before opening are on the "Startup Costs" tab and are NOT counted twice</t>
        </is>
      </c>
      <c r="G22" s="67">
        <f>IFERROR(IF(B9="","",'0. Assumptions'!$B$41),"")</f>
        <v>0.0</v>
      </c>
      <c r="H22" s="28" t="n"/>
    </row>
    <row r="23">
      <c r="A23" s="28" t="inlineStr">
        <is>
          <t>Labor (wages + employer payroll taxes)</t>
        </is>
      </c>
      <c r="B23" s="39">
        <f>IFERROR(IF(B9="","",Staffing!$G$11),"")</f>
        <v>128185.2</v>
      </c>
      <c r="C23" s="39">
        <f>IFERROR(IF(C9="","",Staffing!$B$15),"")</f>
        <v>136185.2</v>
      </c>
      <c r="D23" s="39">
        <f>IFERROR(IF(D9="","",Staffing!$B$16),"")</f>
        <v>144185.2</v>
      </c>
      <c r="E23" s="67">
        <f>IFERROR(B23/$B$9,"")</f>
        <v>0.33414193548387094</v>
      </c>
      <c r="F23" s="28" t="inlineStr">
        <is>
          <t>Comes from the Staffing tab: it is the SAME number, not a separate estimate. Years 2 and 3 add the new hires declared on that tab, not a percentage of volume</t>
        </is>
      </c>
      <c r="G23" s="67" t="n">
        <v>0</v>
      </c>
      <c r="H23" s="28" t="n"/>
    </row>
    <row r="24">
      <c r="A24" s="28" t="inlineStr">
        <is>
          <t>Utilities (electricity, water, gas)</t>
        </is>
      </c>
      <c r="B24" s="39">
        <f>IFERROR(IF(B9="","",'0. Assumptions'!$B$26*12),"")</f>
        <v>15600.0</v>
      </c>
      <c r="C24" s="39">
        <f>IFERROR(IF(C9="","",B24*(1+'0. Assumptions'!$B$48)),"")</f>
        <v>15600.0</v>
      </c>
      <c r="D24" s="39">
        <f>IFERROR(IF(D9="","",C24*(1+'0. Assumptions'!$B$48)),"")</f>
        <v>15600.0</v>
      </c>
      <c r="E24" s="67">
        <f>IFERROR(B24/$B$9,"")</f>
        <v>0.04066471163245357</v>
      </c>
      <c r="F24" s="28" t="inlineStr">
        <is>
          <t>Enter the monthly bills excl. sales tax. The workbook applies a single tax treatment to this whole line, the one in the column next to it; if one utility is taxed differently in your area, give it its own line</t>
        </is>
      </c>
      <c r="G24" s="67">
        <f>IFERROR(IF(B9="","",'0. Assumptions'!$B$41),"")</f>
        <v>0.0</v>
      </c>
      <c r="H24" s="28" t="n"/>
    </row>
    <row r="25">
      <c r="A25" s="28" t="inlineStr">
        <is>
          <t>Insurance (general liability, property, equipment breakdown + food spoilage)</t>
        </is>
      </c>
      <c r="B25" s="39">
        <f>IFERROR(IF(B9="","",'0. Assumptions'!$B$27),"")</f>
        <v>4500.0</v>
      </c>
      <c r="C25" s="39">
        <f>IFERROR(IF(C9="","",B25*(1+'0. Assumptions'!$B$48)),"")</f>
        <v>4500.0</v>
      </c>
      <c r="D25" s="39">
        <f>IFERROR(IF(D9="","",C25*(1+'0. Assumptions'!$B$48)),"")</f>
        <v>4500.0</v>
      </c>
      <c r="E25" s="67">
        <f>IFERROR(B25/$B$9,"")</f>
        <v>0.011730205278592375</v>
      </c>
      <c r="F25" s="28" t="inlineStr">
        <is>
          <t>Insurance premiums are not subject to sales tax: there is no recoverable tax on them</t>
        </is>
      </c>
      <c r="G25" s="67" t="n">
        <v>0</v>
      </c>
      <c r="H25" s="28" t="n"/>
    </row>
    <row r="26">
      <c r="A26" s="28" t="inlineStr">
        <is>
          <t>Accounting &amp; bookkeeping</t>
        </is>
      </c>
      <c r="B26" s="49" t="n">
        <v>3000</v>
      </c>
      <c r="C26" s="39">
        <f>IFERROR(IF(C9="","",B26*(1+'0. Assumptions'!$B$48)),"")</f>
        <v>3000.0</v>
      </c>
      <c r="D26" s="39">
        <f>IFERROR(IF(D9="","",C26*(1+'0. Assumptions'!$B$48)),"")</f>
        <v>3000.0</v>
      </c>
      <c r="E26" s="67">
        <f>IFERROR(B26/$B$9,"")</f>
        <v>0.007820136852394917</v>
      </c>
      <c r="F26" s="28" t="inlineStr">
        <is>
          <t>Bookkeeping, income and sales tax returns, and payroll for your seasonal W-2 staff</t>
        </is>
      </c>
      <c r="G26" s="67">
        <f>IFERROR(IF(B9="","",'0. Assumptions'!$B$41),"")</f>
        <v>0.0</v>
      </c>
      <c r="H26" s="28" t="n"/>
    </row>
    <row r="27">
      <c r="A27" s="28" t="inlineStr">
        <is>
          <t>Refrigeration service contract (EPA 608-certified tech)</t>
        </is>
      </c>
      <c r="B27" s="49" t="n">
        <v>2400</v>
      </c>
      <c r="C27" s="39">
        <f>IFERROR(IF(C9="","",B27*(1+'0. Assumptions'!$B$48)),"")</f>
        <v>2400.0</v>
      </c>
      <c r="D27" s="39">
        <f>IFERROR(IF(D9="","",C27*(1+'0. Assumptions'!$B$48)),"")</f>
        <v>2400.0</v>
      </c>
      <c r="E27" s="67">
        <f>IFERROR(B27/$B$9,"")</f>
        <v>0.0062561094819159335</v>
      </c>
      <c r="F27" s="28" t="inlineStr">
        <is>
          <t>Service on the dipping cabinets, hardening cabinet, batch freezer and freezers before summer and during the January closing. Refrigerant is handled only by an EPA 608-certified technician: your staff never tops it up</t>
        </is>
      </c>
      <c r="G27" s="67">
        <f>IFERROR(IF(B9="","",'0. Assumptions'!$B$41),"")</f>
        <v>0.0</v>
      </c>
      <c r="H27" s="28" t="n"/>
    </row>
    <row r="28">
      <c r="A28" s="28" t="inlineStr">
        <is>
          <t>Seasonal marketing</t>
        </is>
      </c>
      <c r="B28" s="49" t="n">
        <v>4500</v>
      </c>
      <c r="C28" s="39">
        <f>IFERROR(IF(C9="","",B28*(1+'0. Assumptions'!$B$48)),"")</f>
        <v>4500.0</v>
      </c>
      <c r="D28" s="39">
        <f>IFERROR(IF(D9="","",C28*(1+'0. Assumptions'!$B$48)),"")</f>
        <v>4500.0</v>
      </c>
      <c r="E28" s="67">
        <f>IFERROR(B28/$B$9,"")</f>
        <v>0.011730205278592375</v>
      </c>
      <c r="F28" s="28" t="inlineStr">
        <is>
          <t>Social media, Google Business Profile, signage and the opening campaign each season, plus the ice cream cake and holiday pie campaign</t>
        </is>
      </c>
      <c r="G28" s="67">
        <f>IFERROR(IF(B9="","",'0. Assumptions'!$B$41),"")</f>
        <v>0.0</v>
      </c>
      <c r="H28" s="28" t="n"/>
    </row>
    <row r="29">
      <c r="A29" s="28" t="inlineStr">
        <is>
          <t>Software, POS &amp; phone</t>
        </is>
      </c>
      <c r="B29" s="49" t="n">
        <v>1800</v>
      </c>
      <c r="C29" s="39">
        <f>IFERROR(IF(C9="","",B29*(1+'0. Assumptions'!$B$48)),"")</f>
        <v>1800.0</v>
      </c>
      <c r="D29" s="39">
        <f>IFERROR(IF(D9="","",C29*(1+'0. Assumptions'!$B$48)),"")</f>
        <v>1800.0</v>
      </c>
      <c r="E29" s="67">
        <f>IFERROR(B29/$B$9,"")</f>
        <v>0.00469208211143695</v>
      </c>
      <c r="F29" s="28" t="inlineStr">
        <is>
          <t>POS subscription that reports sales tax, phone and internet</t>
        </is>
      </c>
      <c r="G29" s="67">
        <f>IFERROR(IF(B9="","",'0. Assumptions'!$B$41),"")</f>
        <v>0.0</v>
      </c>
      <c r="H29" s="28" t="n"/>
    </row>
    <row r="30">
      <c r="A30" s="28" t="inlineStr">
        <is>
          <t>Cleaning supplies, uniforms &amp; laundry</t>
        </is>
      </c>
      <c r="B30" s="49" t="n">
        <v>1500</v>
      </c>
      <c r="C30" s="39">
        <f>IFERROR(IF(C9="","",B30*(1+'0. Assumptions'!$B$48)),"")</f>
        <v>1500.0</v>
      </c>
      <c r="D30" s="39">
        <f>IFERROR(IF(D9="","",C30*(1+'0. Assumptions'!$B$48)),"")</f>
        <v>1500.0</v>
      </c>
      <c r="E30" s="67">
        <f>IFERROR(B30/$B$9,"")</f>
        <v>0.0039100684261974585</v>
      </c>
      <c r="F30" s="28" t="inlineStr">
        <is>
          <t>Cleaning and sanitizing supplies, uniform laundry, gloves for working at 0 °F (−18 °C) and any lab tests your food safety plan sets</t>
        </is>
      </c>
      <c r="G30" s="67">
        <f>IFERROR(IF(B9="","",'0. Assumptions'!$B$41),"")</f>
        <v>0.0</v>
      </c>
      <c r="H30" s="28" t="n"/>
    </row>
    <row r="31">
      <c r="A31" s="28" t="inlineStr">
        <is>
          <t>Sidewalk café / patio permit (your city's fee)</t>
        </is>
      </c>
      <c r="B31" s="49" t="n">
        <v>500</v>
      </c>
      <c r="C31" s="39">
        <f>IFERROR(IF(C9="","",B31*(1+'0. Assumptions'!$B$48)),"")</f>
        <v>500.0</v>
      </c>
      <c r="D31" s="39">
        <f>IFERROR(IF(D9="","",C31*(1+'0. Assumptions'!$B$48)),"")</f>
        <v>500.0</v>
      </c>
      <c r="E31" s="67">
        <f>IFERROR(B31/$B$9,"")</f>
        <v>0.0013033561420658195</v>
      </c>
      <c r="F31" s="28" t="inlineStr">
        <is>
          <t>Sidewalk space for 5 tables in season. Every city sets its own fee and this plan has not read any: replace this figure with your city's</t>
        </is>
      </c>
      <c r="G31" s="67">
        <f>IFERROR(IF(B9="","",'0. Assumptions'!$B$41),"")</f>
        <v>0.0</v>
      </c>
      <c r="H31" s="28" t="n"/>
    </row>
    <row r="32">
      <c r="A32" s="28" t="inlineStr">
        <is>
          <t>Waste &amp; recycling</t>
        </is>
      </c>
      <c r="B32" s="49" t="n">
        <v>1200</v>
      </c>
      <c r="C32" s="39">
        <f>IFERROR(IF(C9="","",B32*(1+'0. Assumptions'!$B$48)),"")</f>
        <v>1200.0</v>
      </c>
      <c r="D32" s="39">
        <f>IFERROR(IF(D9="","",C32*(1+'0. Assumptions'!$B$48)),"")</f>
        <v>1200.0</v>
      </c>
      <c r="E32" s="67">
        <f>IFERROR(B32/$B$9,"")</f>
        <v>0.0031280547409579668</v>
      </c>
      <c r="F32" s="28" t="inlineStr">
        <is>
          <t>Cardboard, packaging and organic waste from the production room, through a licensed hauler or the city service</t>
        </is>
      </c>
      <c r="G32" s="67">
        <f>IFERROR(IF(B9="","",'0. Assumptions'!$B$41),"")</f>
        <v>0.0</v>
      </c>
      <c r="H32" s="28" t="n"/>
    </row>
    <row r="33">
      <c r="A33" s="28" t="inlineStr">
        <is>
          <t>Pest control</t>
        </is>
      </c>
      <c r="B33" s="49" t="n">
        <v>600</v>
      </c>
      <c r="C33" s="39">
        <f>IFERROR(IF(C9="","",B33*(1+'0. Assumptions'!$B$48)),"")</f>
        <v>600.0</v>
      </c>
      <c r="D33" s="39">
        <f>IFERROR(IF(D9="","",C33*(1+'0. Assumptions'!$B$48)),"")</f>
        <v>600.0</v>
      </c>
      <c r="E33" s="67">
        <f>IFERROR(B33/$B$9,"")</f>
        <v>0.0015640273704789834</v>
      </c>
      <c r="F33" s="28" t="inlineStr">
        <is>
          <t>Licensed pest control company; part of your HACCP-based food safety plan</t>
        </is>
      </c>
      <c r="G33" s="67">
        <f>IFERROR(IF(B9="","",'0. Assumptions'!$B$41),"")</f>
        <v>0.0</v>
      </c>
      <c r="H33" s="28" t="n"/>
    </row>
    <row r="34">
      <c r="A34" s="28" t="inlineStr">
        <is>
          <t>Music licensing (ASCAP/BMI/SESAC)</t>
        </is>
      </c>
      <c r="B34" s="49" t="n">
        <v>600</v>
      </c>
      <c r="C34" s="39">
        <f>IFERROR(IF(C9="","",B34*(1+'0. Assumptions'!$B$48)),"")</f>
        <v>600.0</v>
      </c>
      <c r="D34" s="39">
        <f>IFERROR(IF(D9="","",C34*(1+'0. Assumptions'!$B$48)),"")</f>
        <v>600.0</v>
      </c>
      <c r="E34" s="67">
        <f>IFERROR(B34/$B$9,"")</f>
        <v>0.0015640273704789834</v>
      </c>
      <c r="F34" s="28" t="inlineStr">
        <is>
          <t>ASCAP, BMI and SESAC are separate licensing organizations; the fee depends on the size and capacity of your shop. Only needed if you play music</t>
        </is>
      </c>
      <c r="G34" s="67">
        <f>IFERROR(IF(B9="","",'0. Assumptions'!$B$41),"")</f>
        <v>0.0</v>
      </c>
      <c r="H34" s="28" t="n"/>
    </row>
    <row r="35">
      <c r="A35" s="28" t="inlineStr">
        <is>
          <t>Food safety &amp; OSHA training (CFPM, food handler cards, allergens)</t>
        </is>
      </c>
      <c r="B35" s="49" t="n">
        <v>500</v>
      </c>
      <c r="C35" s="39">
        <f>IFERROR(IF(C9="","",B35*(1+'0. Assumptions'!$B$48)),"")</f>
        <v>500.0</v>
      </c>
      <c r="D35" s="39">
        <f>IFERROR(IF(D9="","",C35*(1+'0. Assumptions'!$B$48)),"")</f>
        <v>500.0</v>
      </c>
      <c r="E35" s="67">
        <f>IFERROR(B35/$B$9,"")</f>
        <v>0.0013033561420658195</v>
      </c>
      <c r="F35" s="28" t="inlineStr">
        <is>
          <t>Certified Food Protection Manager and food handler cards, allergen training and OSHA basics (cold, slips, cuts)</t>
        </is>
      </c>
      <c r="G35" s="67">
        <f>IFERROR(IF(B9="","",'0. Assumptions'!$B$41),"")</f>
        <v>0.0</v>
      </c>
      <c r="H35" s="28" t="n"/>
    </row>
    <row r="36">
      <c r="A36" s="28" t="inlineStr">
        <is>
          <t>Depreciation of fixed assets</t>
        </is>
      </c>
      <c r="B36" s="39">
        <f>IFERROR(IF(B9="","",'Startup Costs'!$B$38),"")</f>
        <v>21767.142857142855</v>
      </c>
      <c r="C36" s="39">
        <f>IFERROR(IF(C9="","",B36),"")</f>
        <v>21767.142857142855</v>
      </c>
      <c r="D36" s="39">
        <f>IFERROR(IF(D9="","",B36),"")</f>
        <v>21767.142857142855</v>
      </c>
      <c r="E36" s="67">
        <f>IFERROR(B36/$B$9,"")</f>
        <v>0.05674067867616254</v>
      </c>
      <c r="F36" s="28" t="inlineStr">
        <is>
          <t>Comes from the depreciation bases on the Startup Costs tab: real fixed assets only. It does NOT rise with inflation: it is a charge on the HISTORICAL cost of the assets</t>
        </is>
      </c>
      <c r="G36" s="67" t="n">
        <v>0</v>
      </c>
      <c r="H36" s="28" t="n"/>
    </row>
    <row r="37">
      <c r="A37" s="28" t="inlineStr">
        <is>
          <t>Interest expense (loan interest)</t>
        </is>
      </c>
      <c r="B37" s="39">
        <f>IFERROR(IF(B9="","",Financing!$B$44),"")</f>
        <v>16200.0</v>
      </c>
      <c r="C37" s="39">
        <f>IFERROR(IF(C9="","",Financing!$B$46),"")</f>
        <v>15183.524602903313</v>
      </c>
      <c r="D37" s="39">
        <f>IFERROR(IF(D9="","",Financing!$B$48),"")</f>
        <v>14065.401666096957</v>
      </c>
      <c r="E37" s="67">
        <f>IFERROR(B37/$B$9,"")</f>
        <v>0.04222873900293255</v>
      </c>
      <c r="F37" s="28" t="inlineStr">
        <is>
          <t>Only INTEREST is an expense. Principal repaid appears on the cash flow tab</t>
        </is>
      </c>
      <c r="G37" s="67" t="n">
        <v>0</v>
      </c>
      <c r="H37" s="28" t="n"/>
    </row>
    <row r="38">
      <c r="A38" s="25" t="inlineStr">
        <is>
          <t>TOTAL FIXED COSTS</t>
        </is>
      </c>
      <c r="B38" s="76">
        <f>IFERROR(IF(B9="","",SUM(B22:B37)),"")</f>
        <v>232852.34285714285</v>
      </c>
      <c r="C38" s="76">
        <f>IFERROR(IF(C9="","",SUM(C22:C37)),"")</f>
        <v>239835.86746004617</v>
      </c>
      <c r="D38" s="76">
        <f>IFERROR(IF(D9="","",SUM(D22:D37)),"")</f>
        <v>246717.74452323982</v>
      </c>
      <c r="E38" s="66">
        <f>IFERROR(B38/$B$9,"")</f>
        <v>0.6069790625145464</v>
      </c>
      <c r="F38" s="28" t="n"/>
      <c r="G38" s="28" t="n"/>
      <c r="H38" s="28" t="n"/>
    </row>
    <row r="39">
      <c r="A39" s="28" t="inlineStr">
        <is>
          <t>Recoverable input tax on variable costs</t>
        </is>
      </c>
      <c r="B39" s="39">
        <f>IFERROR(IF(B9="","",SUMPRODUCT(B13:B18,G13:G18)),"")</f>
        <v>0.0</v>
      </c>
      <c r="C39" s="39">
        <f>IFERROR(IF(C9="","",SUMPRODUCT(C13:C18,G13:G18)),"")</f>
        <v>0.0</v>
      </c>
      <c r="D39" s="39">
        <f>IFERROR(IF(D9="","",SUMPRODUCT(D13:D18,G13:G18)),"")</f>
        <v>0.0</v>
      </c>
      <c r="E39" s="28" t="n"/>
      <c r="F39" s="28" t="inlineStr">
        <is>
          <t>Each line at ITS OWN rate, read from the column next to it. It is what the cash flow tab overpays to suppliers and later deducts (zero wherever no tax is recoverable)</t>
        </is>
      </c>
      <c r="G39" s="28" t="n"/>
      <c r="H39" s="28" t="n"/>
    </row>
    <row r="40">
      <c r="A40" s="28" t="inlineStr">
        <is>
          <t>Recoverable input tax on fixed costs</t>
        </is>
      </c>
      <c r="B40" s="39">
        <f>IFERROR(IF(B9="","",SUMPRODUCT(B22:B37,G22:G37)),"")</f>
        <v>0.0</v>
      </c>
      <c r="C40" s="39">
        <f>IFERROR(IF(C9="","",SUMPRODUCT(C22:C37,G22:G37)),"")</f>
        <v>0.0</v>
      </c>
      <c r="D40" s="39">
        <f>IFERROR(IF(D9="","",SUMPRODUCT(D22:D37,G22:G37)),"")</f>
        <v>0.0</v>
      </c>
      <c r="E40" s="28" t="n"/>
      <c r="F40" s="28" t="n"/>
      <c r="G40" s="28" t="n"/>
      <c r="H40" s="28" t="n"/>
    </row>
    <row r="41">
      <c r="A41" s="25" t="inlineStr">
        <is>
          <t>PRE-TAX INCOME (EBT)</t>
        </is>
      </c>
      <c r="B41" s="76">
        <f>IFERROR(IF(B9="","",B20-B38),"")</f>
        <v>28779.907142857148</v>
      </c>
      <c r="C41" s="76">
        <f>IFERROR(IF(C9="","",C20-C38),"")</f>
        <v>42726.96253995391</v>
      </c>
      <c r="D41" s="76">
        <f>IFERROR(IF(D9="","",D20-D38),"")</f>
        <v>49973.22697676017</v>
      </c>
      <c r="E41" s="66">
        <f>IFERROR(B41/$B$9,"")</f>
        <v>0.07502093748545363</v>
      </c>
      <c r="F41" s="28" t="n"/>
      <c r="G41" s="28" t="n"/>
      <c r="H41" s="28" t="n"/>
    </row>
    <row r="42">
      <c r="A42" s="28" t="inlineStr">
        <is>
          <t>Net operating losses carried forward (opening)</t>
        </is>
      </c>
      <c r="B42" s="39">
        <f>IFERROR(IF(B9="","",'0. Assumptions'!$B$42),"")</f>
        <v>0.0</v>
      </c>
      <c r="C42" s="39">
        <f>IFERROR(IF(C9="","",B47),"")</f>
        <v>0.0</v>
      </c>
      <c r="D42" s="39">
        <f>IFERROR(IF(D9="","",C47),"")</f>
        <v>0.0</v>
      </c>
      <c r="E42" s="28" t="n"/>
      <c r="F42" s="28" t="inlineStr">
        <is>
          <t>Federal rules let a year's losses offset the profits of later years (the federal limit is 80% of taxable income; this model offsets 100% as a simplification)</t>
        </is>
      </c>
      <c r="G42" s="28" t="n"/>
      <c r="H42" s="28" t="n"/>
    </row>
    <row r="43">
      <c r="A43" s="28" t="inlineStr">
        <is>
          <t>Taxable income (after loss offset)</t>
        </is>
      </c>
      <c r="B43" s="39">
        <f>IFERROR(IF(B9="","",MAX(0,B41-B42)),"")</f>
        <v>28779.907142857148</v>
      </c>
      <c r="C43" s="39">
        <f>IFERROR(IF(C9="","",MAX(0,C41-C42)),"")</f>
        <v>42726.96253995391</v>
      </c>
      <c r="D43" s="39">
        <f>IFERROR(IF(D9="","",MAX(0,D41-D42)),"")</f>
        <v>49973.22697676017</v>
      </c>
      <c r="E43" s="28" t="n"/>
      <c r="F43" s="28" t="n"/>
      <c r="G43" s="28" t="n"/>
      <c r="H43" s="28" t="n"/>
    </row>
    <row r="44">
      <c r="A44" s="28" t="inlineStr">
        <is>
          <t>Years with positive taxable income (cumulative)</t>
        </is>
      </c>
      <c r="B44" s="39">
        <f>IFERROR(IF(B9="","",IF(B43&gt;0,1,0)),"")</f>
        <v>1.0</v>
      </c>
      <c r="C44" s="39">
        <f>IFERROR(IF(C9="","",B44+IF(C43&gt;0,1,0)),"")</f>
        <v>2.0</v>
      </c>
      <c r="D44" s="39">
        <f>IFERROR(IF(D9="","",C44+IF(D43&gt;0,1,0)),"")</f>
        <v>3.0</v>
      </c>
      <c r="E44" s="28" t="n"/>
      <c r="F44" s="28" t="n"/>
      <c r="G44" s="28" t="n"/>
      <c r="H44" s="28" t="n"/>
    </row>
    <row r="45">
      <c r="A45" s="28" t="inlineStr">
        <is>
          <t>Effective income tax rate applied</t>
        </is>
      </c>
      <c r="B45" s="67">
        <f>IFERROR(IF(B9="","",IF(B43&lt;=0,"",IF(B44&lt;=2,'0. Assumptions'!$B$37,'0. Assumptions'!$B$38))),"")</f>
        <v>0.25</v>
      </c>
      <c r="C45" s="67">
        <f>IFERROR(IF(C9="","",IF(C43&lt;=0,"",IF(C44&lt;=2,'0. Assumptions'!$B$37,'0. Assumptions'!$B$38))),"")</f>
        <v>0.25</v>
      </c>
      <c r="D45" s="67">
        <f>IFERROR(IF(D9="","",IF(D43&lt;=0,"",IF(D44&lt;=2,'0. Assumptions'!$B$37,'0. Assumptions'!$B$38))),"")</f>
        <v>0.25</v>
      </c>
      <c r="E45" s="28" t="n"/>
      <c r="F45" s="28" t="inlineStr">
        <is>
          <t>The "years 1-2" rate applies to the first two years with positive taxable income, not to the first two calendar years of the business. The model approximates this by counting the first two profitable years</t>
        </is>
      </c>
      <c r="G45" s="28" t="n"/>
      <c r="H45" s="28" t="n"/>
    </row>
    <row r="46">
      <c r="A46" s="28" t="inlineStr">
        <is>
          <t>Income tax</t>
        </is>
      </c>
      <c r="B46" s="39">
        <f>IFERROR(IF(B9="","",IF(B45="",0,B43*B45)),"")</f>
        <v>7194.976785714287</v>
      </c>
      <c r="C46" s="39">
        <f>IFERROR(IF(C9="","",IF(C45="",0,C43*C45)),"")</f>
        <v>10681.740634988477</v>
      </c>
      <c r="D46" s="39">
        <f>IFERROR(IF(D9="","",IF(D45="",0,D43*D45)),"")</f>
        <v>12493.306744190042</v>
      </c>
      <c r="E46" s="28" t="n"/>
      <c r="F46" s="28" t="n"/>
      <c r="G46" s="28" t="n"/>
      <c r="H46" s="28" t="n"/>
    </row>
    <row r="47">
      <c r="A47" s="28" t="inlineStr">
        <is>
          <t>Net operating losses carried forward (closing)</t>
        </is>
      </c>
      <c r="B47" s="39">
        <f>IFERROR(IF(B9="","",MAX(0,B42-B41)),"")</f>
        <v>0.0</v>
      </c>
      <c r="C47" s="39">
        <f>IFERROR(IF(C9="","",MAX(0,C42-C41)),"")</f>
        <v>0.0</v>
      </c>
      <c r="D47" s="39">
        <f>IFERROR(IF(D9="","",MAX(0,D42-D41)),"")</f>
        <v>0.0</v>
      </c>
      <c r="E47" s="28" t="n"/>
      <c r="F47" s="28" t="n"/>
      <c r="G47" s="28" t="n"/>
      <c r="H47" s="28" t="n"/>
    </row>
    <row r="48">
      <c r="A48" s="25" t="inlineStr">
        <is>
          <t>NET INCOME</t>
        </is>
      </c>
      <c r="B48" s="76">
        <f>IFERROR(IF(B9="","",B41-B46),"")</f>
        <v>21584.93035714286</v>
      </c>
      <c r="C48" s="76">
        <f>IFERROR(IF(C9="","",C41-C46),"")</f>
        <v>32045.22190496543</v>
      </c>
      <c r="D48" s="76">
        <f>IFERROR(IF(D9="","",D41-D46),"")</f>
        <v>37479.920232570126</v>
      </c>
      <c r="E48" s="66">
        <f>IFERROR(B48/$B$9,"")</f>
        <v>0.056265703114090224</v>
      </c>
      <c r="F48" s="28" t="n"/>
      <c r="G48" s="28" t="n"/>
      <c r="H48" s="28" t="n"/>
    </row>
    <row r="49">
      <c r="A49" s="25" t="inlineStr">
        <is>
          <t>KEY RATIOS</t>
        </is>
      </c>
      <c r="B49" s="28" t="n"/>
      <c r="C49" s="28" t="n"/>
      <c r="D49" s="28" t="n"/>
      <c r="E49" s="28" t="n"/>
      <c r="F49" s="28" t="n"/>
      <c r="G49" s="28" t="n"/>
      <c r="H49" s="28" t="n"/>
    </row>
    <row r="50">
      <c r="A50" s="25" t="inlineStr">
        <is>
          <t>Ratio</t>
        </is>
      </c>
      <c r="B50" s="25" t="inlineStr">
        <is>
          <t>Year 1</t>
        </is>
      </c>
      <c r="C50" s="25" t="inlineStr">
        <is>
          <t>Year 2</t>
        </is>
      </c>
      <c r="D50" s="25" t="inlineStr">
        <is>
          <t>Year 3</t>
        </is>
      </c>
      <c r="E50" s="25" t="inlineStr">
        <is>
          <t>Threshold</t>
        </is>
      </c>
      <c r="F50" s="25" t="inlineStr">
        <is>
          <t>Comment</t>
        </is>
      </c>
      <c r="G50" s="28" t="n"/>
      <c r="H50" s="28" t="n"/>
    </row>
    <row r="51">
      <c r="A51" s="28" t="inlineStr">
        <is>
          <t>Gross margin / Sales</t>
        </is>
      </c>
      <c r="B51" s="67">
        <f>IFERROR(IF(B9="","",B20/B9),"")</f>
        <v>0.682</v>
      </c>
      <c r="C51" s="67">
        <f>IFERROR(IF(C9="","",C20/C9),"")</f>
        <v>0.682</v>
      </c>
      <c r="D51" s="67">
        <f>IFERROR(IF(D9="","",D20/D9),"")</f>
        <v>0.6819999999999999</v>
      </c>
      <c r="E51" s="75" t="n">
        <v>0.65</v>
      </c>
      <c r="F51" s="28" t="inlineStr">
        <is>
          <t>Floor for the margin after ALL variable costs (cost of goods sold, packaging, marketplace, card fees and miscellaneous). An ice cream shop that makes its own ice cream usually clears this floor. Kit estimate</t>
        </is>
      </c>
      <c r="G51" s="28" t="n"/>
      <c r="H51" s="28" t="n"/>
    </row>
    <row r="52">
      <c r="A52" s="28" t="inlineStr">
        <is>
          <t>Cost of goods sold (food + beverage)</t>
        </is>
      </c>
      <c r="B52" s="39">
        <f>IFERROR(IF(B9="","",B13+B14),"")</f>
        <v>85548.375</v>
      </c>
      <c r="C52" s="39">
        <f>IFERROR(IF(C9="","",C13+C14),"")</f>
        <v>92392.24500000001</v>
      </c>
      <c r="D52" s="39">
        <f>IFERROR(IF(D9="","",D13+D14),"")</f>
        <v>97011.85725</v>
      </c>
      <c r="E52" s="28" t="n"/>
      <c r="F52" s="28" t="n"/>
      <c r="G52" s="28" t="n"/>
      <c r="H52" s="28" t="n"/>
    </row>
    <row r="53">
      <c r="A53" s="28" t="inlineStr">
        <is>
          <t>Cost of goods sold / Sales</t>
        </is>
      </c>
      <c r="B53" s="67">
        <f>IFERROR(IF(B9="","",B52/B9),"")</f>
        <v>0.223</v>
      </c>
      <c r="C53" s="67">
        <f>IFERROR(IF(C9="","",C52/C9),"")</f>
        <v>0.223</v>
      </c>
      <c r="D53" s="67">
        <f>IFERROR(IF(D9="","",D52/D9),"")</f>
        <v>0.223</v>
      </c>
      <c r="E53" s="75" t="n">
        <v>0.25</v>
      </c>
      <c r="F53" s="28" t="inlineStr">
        <is>
          <t>Ceiling for cost of goods sold over sales; buying the base raises it compared with making your own mix. Pistachio, cocoa and vanilla move it. Kit estimate</t>
        </is>
      </c>
      <c r="G53" s="28" t="n"/>
      <c r="H53" s="28" t="n"/>
    </row>
    <row r="54">
      <c r="A54" s="28" t="inlineStr">
        <is>
          <t>Labor cost / Sales</t>
        </is>
      </c>
      <c r="B54" s="67">
        <f>IFERROR(IF(B9="","",B23/B9),"")</f>
        <v>0.33414193548387094</v>
      </c>
      <c r="C54" s="67">
        <f>IFERROR(IF(C9="","",C23/C9),"")</f>
        <v>0.3286996608860408</v>
      </c>
      <c r="D54" s="67">
        <f>IFERROR(IF(D9="","",D23/D9),"")</f>
        <v>0.3314368007319023</v>
      </c>
      <c r="E54" s="75" t="n">
        <v>0.35</v>
      </c>
      <c r="F54" s="28" t="inlineStr">
        <is>
          <t>Ceiling for labor over sales, higher than at a coffee shop: the season forces you to reinforce the counter from June to September. Kit estimate</t>
        </is>
      </c>
      <c r="G54" s="28" t="n"/>
      <c r="H54" s="28" t="n"/>
    </row>
    <row r="55">
      <c r="A55" s="28" t="inlineStr">
        <is>
          <t>Rent / Sales</t>
        </is>
      </c>
      <c r="B55" s="67">
        <f>IFERROR(IF(B9="","",B22/B9),"")</f>
        <v>0.07820136852394917</v>
      </c>
      <c r="C55" s="67">
        <f>IFERROR(IF(C9="","",C22/C9),"")</f>
        <v>0.07240867455921218</v>
      </c>
      <c r="D55" s="67">
        <f>IFERROR(IF(D9="","",D22/D9),"")</f>
        <v>0.06896064243734494</v>
      </c>
      <c r="E55" s="75" t="n">
        <v>0.1</v>
      </c>
      <c r="F55" s="28" t="inlineStr">
        <is>
          <t>Ceiling for rent over sales for a space with a production room. Kit estimate</t>
        </is>
      </c>
      <c r="G55" s="28" t="n"/>
      <c r="H55" s="28" t="n"/>
    </row>
    <row r="56">
      <c r="A56" s="28" t="inlineStr">
        <is>
          <t>Net income / Sales</t>
        </is>
      </c>
      <c r="B56" s="67">
        <f>IFERROR(IF(B9="","",B48/B9),"")</f>
        <v>0.056265703114090224</v>
      </c>
      <c r="C56" s="67">
        <f>IFERROR(IF(C9="","",C48/C9),"")</f>
        <v>0.07734506813647932</v>
      </c>
      <c r="D56" s="67">
        <f>IFERROR(IF(D9="","",D48/D9),"")</f>
        <v>0.08615464592461597</v>
      </c>
      <c r="E56" s="75" t="n">
        <v>0.05</v>
      </c>
      <c r="F56" s="28" t="inlineStr">
        <is>
          <t>Floor for net profit at cruising pace for the plan to hold up. Kit estimate</t>
        </is>
      </c>
      <c r="G56" s="28" t="n"/>
      <c r="H56" s="28" t="n"/>
    </row>
    <row r="57">
      <c r="A57" s="28" t="inlineStr">
        <is>
          <t>Break-even reached</t>
        </is>
      </c>
      <c r="B57" s="28" t="str">
        <f>IFERROR(IF(B9="","",IF(B9&gt;='Break-Even'!$B$16,"Yes","No")),"")</f>
        <v>Yes</v>
      </c>
      <c r="C57" s="28" t="str">
        <f>IFERROR(IF(C9="","",IF(C9&gt;='Break-Even'!$C$16,"Yes","No")),"")</f>
        <v>Yes</v>
      </c>
      <c r="D57" s="28" t="str">
        <f>IFERROR(IF(D9="","",IF(D9&gt;='Break-Even'!$D$16,"Yes","No")),"")</f>
        <v>Yes</v>
      </c>
      <c r="E57" s="28" t="n"/>
      <c r="F57" s="28" t="inlineStr">
        <is>
          <t>Compares each year's sales with that same year's threshold, which the Break-Even tab calculates with that year's fixed costs</t>
        </is>
      </c>
      <c r="G57" s="28" t="n"/>
      <c r="H57" s="28" t="n"/>
    </row>
    <row r="58">
      <c r="A58" s="28" t="n"/>
      <c r="B58" s="28" t="n"/>
      <c r="C58" s="28" t="n"/>
      <c r="D58" s="28" t="n"/>
      <c r="E58" s="28" t="n"/>
      <c r="F58" s="28" t="n"/>
      <c r="G58" s="28" t="n"/>
      <c r="H58" s="28" t="n"/>
    </row>
    <row r="59" ht="165" customHeight="1">
      <c r="A59" s="46"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G13"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t>
        </is>
      </c>
    </row>
    <row r="2">
      <c r="A2" t="inlineStr">
        <is>
          <t>Break-even — ice cream shop with on-site production</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0">
        <f>IFERROR(IF('3-Year P&amp;L'!$B$9="","",'3-Year P&amp;L'!$B$38),"")</f>
        <v>232852.34285714285</v>
      </c>
      <c r="C6" s="60">
        <f>IFERROR(IF('3-Year P&amp;L'!$C$9="","",'3-Year P&amp;L'!$C$38),"")</f>
        <v>239835.86746004617</v>
      </c>
      <c r="D6" s="60">
        <f>IFERROR(IF('3-Year P&amp;L'!$D$9="","",'3-Year P&amp;L'!$D$38),"")</f>
        <v>246717.74452323982</v>
      </c>
      <c r="E6" s="28" t="inlineStr">
        <is>
          <t>The SAME fixed costs as the P&amp;L. Each year has its own, which is why the threshold cannot be a single one for all three years</t>
        </is>
      </c>
      <c r="F6" s="28" t="n"/>
    </row>
    <row r="7">
      <c r="A7" s="28" t="inlineStr">
        <is>
          <t>Monthly fixed costs</t>
        </is>
      </c>
      <c r="B7" s="60">
        <f>IFERROR(IF('3-Year P&amp;L'!$B$9="","",B6/12),"")</f>
        <v>19404.361904761903</v>
      </c>
      <c r="C7" s="60">
        <f>IFERROR(IF('3-Year P&amp;L'!$C$9="","",C6/12),"")</f>
        <v>19986.32228833718</v>
      </c>
      <c r="D7" s="60">
        <f>IFERROR(IF('3-Year P&amp;L'!$D$9="","",D6/12),"")</f>
        <v>20559.812043603317</v>
      </c>
      <c r="E7" s="28" t="n"/>
      <c r="F7" s="28" t="n"/>
    </row>
    <row r="8">
      <c r="A8" s="28" t="inlineStr">
        <is>
          <t>Average check (excl. sales tax)</t>
        </is>
      </c>
      <c r="B8" s="60">
        <f>IFERROR(IF('3-Year P&amp;L'!$B$9="","",'3-Year P&amp;L'!$B$7),"")</f>
        <v>7.5</v>
      </c>
      <c r="C8" s="60">
        <f>IFERROR(IF('3-Year P&amp;L'!$C$9="","",'3-Year P&amp;L'!$C$7),"")</f>
        <v>7.5</v>
      </c>
      <c r="D8" s="60">
        <f>IFERROR(IF('3-Year P&amp;L'!$D$9="","",'3-Year P&amp;L'!$D$7),"")</f>
        <v>7.5</v>
      </c>
      <c r="E8" s="28" t="n"/>
      <c r="F8" s="28" t="n"/>
    </row>
    <row r="9">
      <c r="A9" s="28" t="inlineStr">
        <is>
          <t>Variable cost per customer</t>
        </is>
      </c>
      <c r="B9" s="60">
        <f>IFERROR(IF('3-Year P&amp;L'!$B$9="","",'3-Year P&amp;L'!$B$19/('3-Year P&amp;L'!$B$6*'3-Year P&amp;L'!$B$8)),"")</f>
        <v>2.385</v>
      </c>
      <c r="C9" s="60">
        <f>IFERROR(IF('3-Year P&amp;L'!$C$9="","",'3-Year P&amp;L'!$C$19/('3-Year P&amp;L'!$C$6*'3-Year P&amp;L'!$C$8)),"")</f>
        <v>2.385</v>
      </c>
      <c r="D9" s="60">
        <f>IFERROR(IF('3-Year P&amp;L'!$D$9="","",'3-Year P&amp;L'!$D$19/('3-Year P&amp;L'!$D$6*'3-Year P&amp;L'!$D$8)),"")</f>
        <v>2.3849999999999993</v>
      </c>
      <c r="E9" s="28" t="inlineStr">
        <is>
          <t>Comes from the P&amp;L total variable costs, not from a separate estimate. It includes miscellaneous and contingency, which is a percentage of sales</t>
        </is>
      </c>
      <c r="F9" s="28" t="n"/>
    </row>
    <row r="10">
      <c r="A10" s="28" t="inlineStr">
        <is>
          <t>Contribution margin per customer</t>
        </is>
      </c>
      <c r="B10" s="60">
        <f>IFERROR(IF('3-Year P&amp;L'!$B$9="","",B8-B9),"")</f>
        <v>5.115</v>
      </c>
      <c r="C10" s="60">
        <f>IFERROR(IF('3-Year P&amp;L'!$C$9="","",C8-C9),"")</f>
        <v>5.115</v>
      </c>
      <c r="D10" s="60">
        <f>IFERROR(IF('3-Year P&amp;L'!$D$9="","",D8-D9),"")</f>
        <v>5.115</v>
      </c>
      <c r="E10" s="28" t="inlineStr">
        <is>
          <t>Average check minus unit variable cost</t>
        </is>
      </c>
      <c r="F10" s="28" t="n"/>
    </row>
    <row r="11">
      <c r="A11" s="28" t="inlineStr">
        <is>
          <t>Operating days per year</t>
        </is>
      </c>
      <c r="B11" s="39">
        <f>IFERROR(IF('3-Year P&amp;L'!$B$9="","",'3-Year P&amp;L'!$B$8),"")</f>
        <v>310.0</v>
      </c>
      <c r="C11" s="39">
        <f>IFERROR(IF('3-Year P&amp;L'!$C$9="","",'3-Year P&amp;L'!$C$8),"")</f>
        <v>310.0</v>
      </c>
      <c r="D11" s="39">
        <f>IFERROR(IF('3-Year P&amp;L'!$D$9="","",'3-Year P&amp;L'!$D$8),"")</f>
        <v>310.0</v>
      </c>
      <c r="E11" s="28" t="inlineStr">
        <is>
          <t>The same calendar as the P&amp;L and the scenarios</t>
        </is>
      </c>
      <c r="F11" s="28" t="n"/>
    </row>
    <row r="12">
      <c r="A12" s="28" t="inlineStr">
        <is>
          <t>Principal repaid in the year</t>
        </is>
      </c>
      <c r="B12" s="60">
        <f>IFERROR(IF('3-Year P&amp;L'!$B$9="","",Financing!$B$45),"")</f>
        <v>10164.753970966867</v>
      </c>
      <c r="C12" s="60">
        <f>IFERROR(IF('3-Year P&amp;L'!$C$9="","",Financing!$B$47),"")</f>
        <v>11181.229368063554</v>
      </c>
      <c r="D12" s="60">
        <f>IFERROR(IF('3-Year P&amp;L'!$D$9="","",Financing!$B$49),"")</f>
        <v>12299.35230486991</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Customers needed per year</t>
        </is>
      </c>
      <c r="B14" s="39">
        <f>IFERROR(IF('3-Year P&amp;L'!$B$9="","",IF(B10&lt;=0,"",B6/B10)),"")</f>
        <v>45523.42968859098</v>
      </c>
      <c r="C14" s="39">
        <f>IFERROR(IF('3-Year P&amp;L'!$C$9="","",IF(C10&lt;=0,"",C6/C10)),"")</f>
        <v>46888.73264126025</v>
      </c>
      <c r="D14" s="39">
        <f>IFERROR(IF('3-Year P&amp;L'!$D$9="","",IF(D10&lt;=0,"",D6/D10)),"")</f>
        <v>48234.16315214855</v>
      </c>
      <c r="E14" s="28" t="n"/>
      <c r="F14" s="28" t="n"/>
    </row>
    <row r="15">
      <c r="A15" s="28" t="inlineStr">
        <is>
          <t>Customers needed per day</t>
        </is>
      </c>
      <c r="B15" s="44">
        <f>IFERROR(IF('3-Year P&amp;L'!$B$9="","",B14/B11),"")</f>
        <v>146.84977318900314</v>
      </c>
      <c r="C15" s="44">
        <f>IFERROR(IF('3-Year P&amp;L'!$C$9="","",C14/C11),"")</f>
        <v>151.25397626212984</v>
      </c>
      <c r="D15" s="44">
        <f>IFERROR(IF('3-Year P&amp;L'!$D$9="","",D14/D11),"")</f>
        <v>155.59407468435015</v>
      </c>
      <c r="E15" s="28" t="n"/>
      <c r="F15" s="28" t="n"/>
    </row>
    <row r="16">
      <c r="A16" s="25" t="inlineStr">
        <is>
          <t>Revenue needed per year</t>
        </is>
      </c>
      <c r="B16" s="76">
        <f>IFERROR(IF('3-Year P&amp;L'!$B$9="","",B14*B8),"")</f>
        <v>341425.72266443237</v>
      </c>
      <c r="C16" s="76">
        <f>IFERROR(IF('3-Year P&amp;L'!$C$9="","",C14*C8),"")</f>
        <v>351665.49480945186</v>
      </c>
      <c r="D16" s="76">
        <f>IFERROR(IF('3-Year P&amp;L'!$D$9="","",D14*D8),"")</f>
        <v>361756.2236411141</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0">
        <f>IFERROR(IF('3-Year P&amp;L'!$B$9="","",B6-'3-Year P&amp;L'!$B$36+B12),"")</f>
        <v>221249.9539709669</v>
      </c>
      <c r="C18" s="60">
        <f>IFERROR(IF('3-Year P&amp;L'!$C$9="","",C6-'3-Year P&amp;L'!$C$36+C12),"")</f>
        <v>229249.95397096686</v>
      </c>
      <c r="D18" s="60">
        <f>IFERROR(IF('3-Year P&amp;L'!$D$9="","",D6-'3-Year P&amp;L'!$D$36+D12),"")</f>
        <v>237249.95397096686</v>
      </c>
      <c r="E18" s="28" t="inlineStr">
        <is>
          <t>The P&amp;L fixed costs without depreciation (which is not paid in cash) and WITH principal repaid (which is). This is the threshold that decides whether cash holds up</t>
        </is>
      </c>
      <c r="F18" s="28" t="n"/>
    </row>
    <row r="19">
      <c r="A19" s="28" t="inlineStr">
        <is>
          <t>Customers needed per year (cash)</t>
        </is>
      </c>
      <c r="B19" s="39">
        <f>IFERROR(IF('3-Year P&amp;L'!$B$9="","",IF(B10&lt;=0,"",B18/B10)),"")</f>
        <v>43255.12296597593</v>
      </c>
      <c r="C19" s="39">
        <f>IFERROR(IF('3-Year P&amp;L'!$C$9="","",IF(C10&lt;=0,"",C18/C10)),"")</f>
        <v>44819.150336454906</v>
      </c>
      <c r="D19" s="39">
        <f>IFERROR(IF('3-Year P&amp;L'!$D$9="","",IF(D10&lt;=0,"",D18/D10)),"")</f>
        <v>46383.17770693389</v>
      </c>
      <c r="E19" s="28" t="n"/>
      <c r="F19" s="28" t="n"/>
    </row>
    <row r="20">
      <c r="A20" s="25" t="inlineStr">
        <is>
          <t>Customers needed per day (cash)</t>
        </is>
      </c>
      <c r="B20" s="45">
        <f>IFERROR(IF('3-Year P&amp;L'!$B$9="","",B19/B11),"")</f>
        <v>139.5326547289546</v>
      </c>
      <c r="C20" s="45">
        <f>IFERROR(IF('3-Year P&amp;L'!$C$9="","",C19/C11),"")</f>
        <v>144.57790431114486</v>
      </c>
      <c r="D20" s="45">
        <f>IFERROR(IF('3-Year P&amp;L'!$D$9="","",D19/D11),"")</f>
        <v>149.62315389333514</v>
      </c>
      <c r="E20" s="28" t="n"/>
      <c r="F20" s="28" t="n"/>
    </row>
    <row r="21">
      <c r="A21" s="28" t="inlineStr">
        <is>
          <t>Revenue needed per year (cash)</t>
        </is>
      </c>
      <c r="B21" s="39">
        <f>IFERROR(IF('3-Year P&amp;L'!$B$9="","",B19*B8),"")</f>
        <v>324413.42224481946</v>
      </c>
      <c r="C21" s="39">
        <f>IFERROR(IF('3-Year P&amp;L'!$C$9="","",C19*C8),"")</f>
        <v>336143.6275234118</v>
      </c>
      <c r="D21" s="39">
        <f>IFERROR(IF('3-Year P&amp;L'!$D$9="","",D19*D8),"")</f>
        <v>347873.8328020042</v>
      </c>
      <c r="E21" s="28" t="n"/>
      <c r="F21" s="28" t="n"/>
    </row>
    <row r="22">
      <c r="A22" s="25" t="inlineStr">
        <is>
          <t>COMPARISON WITH THE PLAN</t>
        </is>
      </c>
      <c r="B22" s="28" t="n"/>
      <c r="C22" s="28" t="n"/>
      <c r="D22" s="28" t="n"/>
      <c r="E22" s="28" t="n"/>
      <c r="F22" s="28" t="n"/>
    </row>
    <row r="23">
      <c r="A23" s="28" t="inlineStr">
        <is>
          <t>Customers per day forecast in the plan</t>
        </is>
      </c>
      <c r="B23" s="39">
        <f>IFERROR(IF('3-Year P&amp;L'!$B$9="","",'3-Year P&amp;L'!$B$6),"")</f>
        <v>165.0</v>
      </c>
      <c r="C23" s="39">
        <f>IFERROR(IF('3-Year P&amp;L'!$C$9="","",'3-Year P&amp;L'!$C$6),"")</f>
        <v>178.20000000000002</v>
      </c>
      <c r="D23" s="39">
        <f>IFERROR(IF('3-Year P&amp;L'!$D$9="","",'3-Year P&amp;L'!$D$6),"")</f>
        <v>187.11</v>
      </c>
      <c r="E23" s="28" t="n"/>
      <c r="F23" s="28" t="n"/>
    </row>
    <row r="24">
      <c r="A24" s="28" t="inlineStr">
        <is>
          <t>Cushion above CASH break-even (%)</t>
        </is>
      </c>
      <c r="B24" s="67">
        <f>IFERROR(IF('3-Year P&amp;L'!$B$9="","",B23/B20-1),"")</f>
        <v>0.1825188900800052</v>
      </c>
      <c r="C24" s="67">
        <f>IFERROR(IF('3-Year P&amp;L'!$C$9="","",C23/C20-1),"")</f>
        <v>0.23255348629550832</v>
      </c>
      <c r="D24" s="67">
        <f>IFERROR(IF('3-Year P&amp;L'!$D$9="","",D23/D20-1),"")</f>
        <v>0.2505417452528027</v>
      </c>
      <c r="E24" s="28" t="inlineStr">
        <is>
          <t>How far you can fall before you cannot pay the fixed costs and the loan payment. The required minimum is set in the "0. Assumptions" tab</t>
        </is>
      </c>
      <c r="F24" s="28" t="n"/>
    </row>
    <row r="25">
      <c r="A25" s="25" t="inlineStr">
        <is>
          <t>INTERPRETATION</t>
        </is>
      </c>
      <c r="B25" s="28" t="n"/>
      <c r="C25" s="28" t="n"/>
      <c r="D25" s="28" t="n"/>
      <c r="E25" s="28" t="n"/>
      <c r="F25" s="28" t="n"/>
    </row>
    <row r="26" ht="46" customHeight="1">
      <c r="A26" s="28" t="str">
        <f>IFERROR("With the average check excl. sales tax above, you need "&amp;TEXT(ROUNDUP(B15,0),"0")&amp;" customers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147 customers a day over your 310 opening days to avoid losing money (accounting break-even, depreciation included), and 140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Customers per day needed to cover costs for each average check (columns) and each variable cost per customer (rows). Green cells are below the customers per day the plan forecasts.</t>
        </is>
      </c>
      <c r="B29" s="28" t="n"/>
      <c r="C29" s="28" t="n"/>
      <c r="D29" s="28" t="n"/>
      <c r="E29" s="28" t="n"/>
      <c r="F29" s="28" t="n"/>
    </row>
    <row r="30">
      <c r="A30" s="28" t="n"/>
      <c r="B30" s="28" t="n"/>
      <c r="C30" s="28" t="n"/>
      <c r="D30" s="28" t="n"/>
      <c r="E30" s="28" t="n"/>
      <c r="F30" s="28" t="n"/>
    </row>
    <row r="31" ht="45" customHeight="1">
      <c r="A31" s="38" t="inlineStr">
        <is>
          <t>Customers per day needed: average check excl. sales tax (columns) × variable cost per customer (rows)</t>
        </is>
      </c>
      <c r="B31" s="61">
        <f>IFERROR($B$8-2,"")</f>
        <v>5.5</v>
      </c>
      <c r="C31" s="61">
        <f>IFERROR(IF($B$8="","",$B$8),"")</f>
        <v>7.5</v>
      </c>
      <c r="D31" s="61">
        <f>IFERROR($B$8+2,"")</f>
        <v>9.5</v>
      </c>
      <c r="E31" s="61">
        <f>IFERROR($B$8+4,"")</f>
        <v>11.5</v>
      </c>
      <c r="F31" s="28" t="n"/>
    </row>
    <row r="32">
      <c r="A32" s="60">
        <f>IFERROR($B$9*0.85,"")</f>
        <v>2.0272499999999996</v>
      </c>
      <c r="B32" s="44">
        <f>IFERROR(IF($B$31-$A32&lt;=0,"",$B$6/($B$31-$A32)/$B$11),"")</f>
        <v>216.29446112209374</v>
      </c>
      <c r="C32" s="44">
        <f>IFERROR(IF($C$31-$A32&lt;=0,"",$B$6/($C$31-$A32)/$B$11),"")</f>
        <v>137.25030192531196</v>
      </c>
      <c r="D32" s="44">
        <f>IFERROR(IF($D$31-$A32&lt;=0,"",$B$6/($D$31-$A32)/$B$11),"")</f>
        <v>100.51675619574468</v>
      </c>
      <c r="E32" s="44">
        <f>IFERROR(IF($E$31-$A32&lt;=0,"",$B$6/($E$31-$A32)/$B$11),"")</f>
        <v>79.29445935570463</v>
      </c>
      <c r="F32" s="28" t="n"/>
    </row>
    <row r="33">
      <c r="A33" s="60">
        <f>IFERROR($B$9*0.925,"")</f>
        <v>2.206125</v>
      </c>
      <c r="B33" s="44">
        <f>IFERROR(IF($B$31-$A33&lt;=0,"",$B$6/($B$31-$A33)/$B$11),"")</f>
        <v>228.04040525574015</v>
      </c>
      <c r="C33" s="44">
        <f>IFERROR(IF($C$31-$A33&lt;=0,"",$B$6/($C$31-$A33)/$B$11),"")</f>
        <v>141.8878590563153</v>
      </c>
      <c r="D33" s="44">
        <f>IFERROR(IF($D$31-$A33&lt;=0,"",$B$6/($D$31-$A33)/$B$11),"")</f>
        <v>102.98182925560846</v>
      </c>
      <c r="E33" s="44">
        <f>IFERROR(IF($E$31-$A33&lt;=0,"",$B$6/($E$31-$A33)/$B$11),"")</f>
        <v>80.82060387747319</v>
      </c>
      <c r="F33" s="28" t="n"/>
    </row>
    <row r="34">
      <c r="A34" s="60">
        <f>IFERROR($B$9*1.0,"")</f>
        <v>2.385</v>
      </c>
      <c r="B34" s="44">
        <f>IFERROR(IF($B$31-$A34&lt;=0,"",$B$6/($B$31-$A34)/$B$11),"")</f>
        <v>241.13534184967932</v>
      </c>
      <c r="C34" s="44">
        <f>IFERROR(IF($C$31-$A34&lt;=0,"",$B$6/($C$31-$A34)/$B$11),"")</f>
        <v>146.84977318900314</v>
      </c>
      <c r="D34" s="44">
        <f>IFERROR(IF($D$31-$A34&lt;=0,"",$B$6/($D$31-$A34)/$B$11),"")</f>
        <v>105.5708488913213</v>
      </c>
      <c r="E34" s="44">
        <f>IFERROR(IF($E$31-$A34&lt;=0,"",$B$6/($E$31-$A34)/$B$11),"")</f>
        <v>82.40664726952838</v>
      </c>
      <c r="F34" s="28" t="n"/>
    </row>
    <row r="35">
      <c r="A35" s="60">
        <f>IFERROR($B$9*1.075,"")</f>
        <v>2.5638749999999995</v>
      </c>
      <c r="B35" s="44">
        <f>IFERROR(IF($B$31-$A35&lt;=0,"",$B$6/($B$31-$A35)/$B$11),"")</f>
        <v>255.82582140125197</v>
      </c>
      <c r="C35" s="44">
        <f>IFERROR(IF($C$31-$A35&lt;=0,"",$B$6/($C$31-$A35)/$B$11),"")</f>
        <v>152.17130641176044</v>
      </c>
      <c r="D35" s="44">
        <f>IFERROR(IF($D$31-$A35&lt;=0,"",$B$6/($D$31-$A35)/$B$11),"")</f>
        <v>108.29340443860961</v>
      </c>
      <c r="E35" s="44">
        <f>IFERROR(IF($E$31-$A35&lt;=0,"",$B$6/($E$31-$A35)/$B$11),"")</f>
        <v>84.05618653071114</v>
      </c>
      <c r="F35" s="28" t="n"/>
    </row>
    <row r="36">
      <c r="A36" s="60">
        <f>IFERROR($B$9*1.15,"")</f>
        <v>2.7427499999999996</v>
      </c>
      <c r="B36" s="44">
        <f>IFERROR(IF($B$31-$A36&lt;=0,"",$B$6/($B$31-$A36)/$B$11),"")</f>
        <v>272.4223736918129</v>
      </c>
      <c r="C36" s="44">
        <f>IFERROR(IF($C$31-$A36&lt;=0,"",$B$6/($C$31-$A36)/$B$11),"")</f>
        <v>157.89302430222313</v>
      </c>
      <c r="D36" s="44">
        <f>IFERROR(IF($D$31-$A36&lt;=0,"",$B$6/($D$31-$A36)/$B$11),"")</f>
        <v>111.16010061219446</v>
      </c>
      <c r="E36" s="44">
        <f>IFERROR(IF($E$31-$A36&lt;=0,"",$B$6/($E$31-$A36)/$B$11),"")</f>
        <v>85.77311254808885</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SCENARIOS</t>
        </is>
      </c>
    </row>
    <row r="4">
      <c r="A4" s="25" t="inlineStr">
        <is>
          <t>Metric</t>
        </is>
      </c>
      <c r="B4" s="25" t="inlineStr">
        <is>
          <t>Pessimistic</t>
        </is>
      </c>
      <c r="C4" s="25" t="inlineStr">
        <is>
          <t>Base</t>
        </is>
      </c>
      <c r="D4" s="25" t="inlineStr">
        <is>
          <t>Optimistic</t>
        </is>
      </c>
      <c r="E4" s="25" t="inlineStr">
        <is>
          <t>Notes</t>
        </is>
      </c>
      <c r="F4" s="28" t="n"/>
    </row>
    <row r="5">
      <c r="A5" s="28" t="inlineStr">
        <is>
          <t>Customers per day</t>
        </is>
      </c>
      <c r="B5" s="49" t="n">
        <v>140</v>
      </c>
      <c r="C5" s="39">
        <f>IFERROR(IF('3-Year P&amp;L'!$B$6="","",'3-Year P&amp;L'!$B$6),"")</f>
        <v>165.0</v>
      </c>
      <c r="D5" s="49" t="n">
        <v>190</v>
      </c>
      <c r="E5" s="28" t="n"/>
      <c r="F5" s="28" t="n"/>
    </row>
    <row r="6">
      <c r="A6" s="28" t="inlineStr">
        <is>
          <t>Average check (excl. sales tax)</t>
        </is>
      </c>
      <c r="B6" s="80" t="n">
        <v>7</v>
      </c>
      <c r="C6" s="60">
        <f>IFERROR(IF('3-Year P&amp;L'!$B$7="","",'3-Year P&amp;L'!$B$7),"")</f>
        <v>7.5</v>
      </c>
      <c r="D6" s="80" t="n">
        <v>8</v>
      </c>
      <c r="E6" s="28" t="n"/>
      <c r="F6" s="28" t="n"/>
    </row>
    <row r="7">
      <c r="A7" s="28" t="inlineStr">
        <is>
          <t>Operating days per year</t>
        </is>
      </c>
      <c r="B7" s="49" t="n">
        <v>300</v>
      </c>
      <c r="C7" s="39">
        <f>IFERROR(IF('3-Year P&amp;L'!$B$8="","",'3-Year P&amp;L'!$B$8),"")</f>
        <v>310.0</v>
      </c>
      <c r="D7" s="49" t="n">
        <v>320</v>
      </c>
      <c r="E7" s="28" t="n"/>
      <c r="F7" s="28" t="n"/>
    </row>
    <row r="8">
      <c r="A8" s="25" t="inlineStr">
        <is>
          <t>ANNUAL REVENUE (excl. sales tax)</t>
        </is>
      </c>
      <c r="B8" s="76">
        <f>IFERROR(IF(B5*B6*B7=0,"",B5*B6*B7),"")</f>
        <v>294000.0</v>
      </c>
      <c r="C8" s="76">
        <f>IFERROR(IF(C5*C6*C7=0,"",C5*C6*C7),"")</f>
        <v>383625.0</v>
      </c>
      <c r="D8" s="76">
        <f>IFERROR(IF(D5*D6*D7=0,"",D5*D6*D7),"")</f>
        <v>486400.0</v>
      </c>
      <c r="E8" s="28" t="n"/>
      <c r="F8" s="28" t="n"/>
    </row>
    <row r="9">
      <c r="A9" s="28" t="inlineStr">
        <is>
          <t>Cost of goods sold — food</t>
        </is>
      </c>
      <c r="B9" s="39">
        <f>IFERROR(IF(B8="","",B8*'0. Assumptions'!$B$11*'0. Assumptions'!$B$13),"")</f>
        <v>58212.0</v>
      </c>
      <c r="C9" s="39">
        <f>IFERROR(IF(C8="","",C8*'0. Assumptions'!$B$11*'0. Assumptions'!$B$13),"")</f>
        <v>75957.75</v>
      </c>
      <c r="D9" s="39">
        <f>IFERROR(IF(D8="","",D8*'0. Assumptions'!$B$11*'0. Assumptions'!$B$13),"")</f>
        <v>96307.2</v>
      </c>
      <c r="E9" s="28" t="n"/>
      <c r="F9" s="28" t="n"/>
    </row>
    <row r="10">
      <c r="A10" s="28" t="inlineStr">
        <is>
          <t>Cost of goods sold — beverage</t>
        </is>
      </c>
      <c r="B10" s="39">
        <f>IFERROR(IF(B8="","",B8*'0. Assumptions'!$B$12*'0. Assumptions'!$B$14),"")</f>
        <v>7349.999999999998</v>
      </c>
      <c r="C10" s="39">
        <f>IFERROR(IF(C8="","",C8*'0. Assumptions'!$B$12*'0. Assumptions'!$B$14),"")</f>
        <v>9590.624999999998</v>
      </c>
      <c r="D10" s="39">
        <f>IFERROR(IF(D8="","",D8*'0. Assumptions'!$B$12*'0. Assumptions'!$B$14),"")</f>
        <v>12159.999999999998</v>
      </c>
      <c r="E10" s="28" t="n"/>
      <c r="F10" s="28" t="n"/>
    </row>
    <row r="11">
      <c r="A11" s="28" t="inlineStr">
        <is>
          <t>Disposables and packaging</t>
        </is>
      </c>
      <c r="B11" s="39">
        <f>IFERROR(IF(B8="","",B8*'0. Assumptions'!$B$15),"")</f>
        <v>13230.0</v>
      </c>
      <c r="C11" s="39">
        <f>IFERROR(IF(C8="","",C8*'0. Assumptions'!$B$15),"")</f>
        <v>17263.125</v>
      </c>
      <c r="D11" s="39">
        <f>IFERROR(IF(D8="","",D8*'0. Assumptions'!$B$15),"")</f>
        <v>21888.0</v>
      </c>
      <c r="E11" s="28" t="n"/>
      <c r="F11" s="28" t="n"/>
    </row>
    <row r="12">
      <c r="A12" s="28" t="inlineStr">
        <is>
          <t>Delivery platform fees</t>
        </is>
      </c>
      <c r="B12" s="39">
        <f>IFERROR(IF(B8="","",B8*'0. Assumptions'!$B$16*'0. Assumptions'!$B$17),"")</f>
        <v>2940.0</v>
      </c>
      <c r="C12" s="39">
        <f>IFERROR(IF(C8="","",C8*'0. Assumptions'!$B$16*'0. Assumptions'!$B$17),"")</f>
        <v>3836.25</v>
      </c>
      <c r="D12" s="39">
        <f>IFERROR(IF(D8="","",D8*'0. Assumptions'!$B$16*'0. Assumptions'!$B$17),"")</f>
        <v>4864.0</v>
      </c>
      <c r="E12" s="28" t="n"/>
      <c r="F12" s="28" t="n"/>
    </row>
    <row r="13">
      <c r="A13" s="28" t="inlineStr">
        <is>
          <t>Card processing fees</t>
        </is>
      </c>
      <c r="B13" s="39">
        <f>IFERROR(IF(B8="","",B8*'0. Assumptions'!$B$18),"")</f>
        <v>8820.0</v>
      </c>
      <c r="C13" s="39">
        <f>IFERROR(IF(C8="","",C8*'0. Assumptions'!$B$18),"")</f>
        <v>11508.75</v>
      </c>
      <c r="D13" s="39">
        <f>IFERROR(IF(D8="","",D8*'0. Assumptions'!$B$18),"")</f>
        <v>14592.0</v>
      </c>
      <c r="E13" s="28" t="n"/>
      <c r="F13" s="28" t="n"/>
    </row>
    <row r="14">
      <c r="A14" s="28" t="inlineStr">
        <is>
          <t>Miscellaneous and contingency</t>
        </is>
      </c>
      <c r="B14" s="39">
        <f>IFERROR(IF(B8="","",B8*'0. Assumptions'!$B$28),"")</f>
        <v>2940.0</v>
      </c>
      <c r="C14" s="39">
        <f>IFERROR(IF(C8="","",C8*'0. Assumptions'!$B$28),"")</f>
        <v>3836.25</v>
      </c>
      <c r="D14" s="39">
        <f>IFERROR(IF(D8="","",D8*'0. Assumptions'!$B$28),"")</f>
        <v>4864.0</v>
      </c>
      <c r="E14" s="28" t="n"/>
      <c r="F14" s="28" t="n"/>
    </row>
    <row r="15">
      <c r="A15" s="28" t="inlineStr">
        <is>
          <t>TOTAL VARIABLE COSTS</t>
        </is>
      </c>
      <c r="B15" s="39">
        <f>IFERROR(IF(B8="","",SUM(B9:B14)),"")</f>
        <v>93492.0</v>
      </c>
      <c r="C15" s="39">
        <f>IFERROR(IF(C8="","",SUM(C9:C14)),"")</f>
        <v>121992.75</v>
      </c>
      <c r="D15" s="39">
        <f>IFERROR(IF(D8="","",SUM(D9:D14)),"")</f>
        <v>154675.19999999998</v>
      </c>
      <c r="E15" s="28" t="n"/>
      <c r="F15" s="28" t="n"/>
    </row>
    <row r="16">
      <c r="A16" s="28" t="inlineStr">
        <is>
          <t>GROSS MARGIN</t>
        </is>
      </c>
      <c r="B16" s="39">
        <f>IFERROR(IF(B8="","",B8-B15),"")</f>
        <v>200508.0</v>
      </c>
      <c r="C16" s="39">
        <f>IFERROR(IF(C8="","",C8-C15),"")</f>
        <v>261632.25</v>
      </c>
      <c r="D16" s="39">
        <f>IFERROR(IF(D8="","",D8-D15),"")</f>
        <v>331724.80000000005</v>
      </c>
      <c r="E16" s="28" t="n"/>
      <c r="F16" s="28" t="n"/>
    </row>
    <row r="17">
      <c r="A17" s="28" t="inlineStr">
        <is>
          <t>FIXED COSTS (the P&amp;L's)</t>
        </is>
      </c>
      <c r="B17" s="39">
        <f>IFERROR(IF(B8="","",'3-Year P&amp;L'!$B$38),"")</f>
        <v>232852.34285714285</v>
      </c>
      <c r="C17" s="39">
        <f>IFERROR(IF(C8="","",'3-Year P&amp;L'!$B$38),"")</f>
        <v>232852.34285714285</v>
      </c>
      <c r="D17" s="39">
        <f>IFERROR(IF(D8="","",'3-Year P&amp;L'!$B$38),"")</f>
        <v>232852.34285714285</v>
      </c>
      <c r="E17" s="28" t="inlineStr">
        <is>
          <t>Fixed costs do not change with the scenario: that is why they are fixed</t>
        </is>
      </c>
      <c r="F17" s="28" t="n"/>
    </row>
    <row r="18">
      <c r="A18" s="25" t="inlineStr">
        <is>
          <t>PRE-TAX INCOME (EBT)</t>
        </is>
      </c>
      <c r="B18" s="76">
        <f>IFERROR(IF(B8="","",B16-B17),"")</f>
        <v>-32344.342857142852</v>
      </c>
      <c r="C18" s="76">
        <f>IFERROR(IF(C8="","",C16-C17),"")</f>
        <v>28779.907142857148</v>
      </c>
      <c r="D18" s="76">
        <f>IFERROR(IF(D8="","",D16-D17),"")</f>
        <v>98872.4571428572</v>
      </c>
      <c r="E18" s="28" t="n"/>
      <c r="F18" s="28" t="n"/>
    </row>
    <row r="19">
      <c r="A19" s="28" t="inlineStr">
        <is>
          <t>Income tax</t>
        </is>
      </c>
      <c r="B19" s="39">
        <f>IFERROR(IF(B8="","",MAX(0,B18-'0. Assumptions'!$B$42)*'0. Assumptions'!$B$37),"")</f>
        <v>0.0</v>
      </c>
      <c r="C19" s="39">
        <f>IFERROR(IF(C8="","",MAX(0,C18-'0. Assumptions'!$B$42)*'0. Assumptions'!$B$37),"")</f>
        <v>7194.976785714287</v>
      </c>
      <c r="D19" s="39">
        <f>IFERROR(IF(D8="","",MAX(0,D18-'0. Assumptions'!$B$42)*'0. Assumptions'!$B$37),"")</f>
        <v>24718.1142857143</v>
      </c>
      <c r="E19" s="28" t="inlineStr">
        <is>
          <t>At the "years 1-2" effective income tax rate, offsetting prior net operating losses</t>
        </is>
      </c>
      <c r="F19" s="28" t="n"/>
    </row>
    <row r="20">
      <c r="A20" s="25" t="inlineStr">
        <is>
          <t>NET INCOME</t>
        </is>
      </c>
      <c r="B20" s="76">
        <f>IFERROR(IF(B8="","",B18-B19),"")</f>
        <v>-32344.342857142852</v>
      </c>
      <c r="C20" s="76">
        <f>IFERROR(IF(C8="","",C18-C19),"")</f>
        <v>21584.93035714286</v>
      </c>
      <c r="D20" s="76">
        <f>IFERROR(IF(D8="","",D18-D19),"")</f>
        <v>74154.3428571429</v>
      </c>
      <c r="E20" s="28" t="n"/>
      <c r="F20" s="28" t="n"/>
    </row>
    <row r="21">
      <c r="A21" s="28" t="inlineStr">
        <is>
          <t>Customers per day to break even</t>
        </is>
      </c>
      <c r="B21" s="44">
        <f>IFERROR(IF(B8="","",IF(B6-B15/(B5*B7)&lt;=0,"",B17/(B6-B15/(B5*B7))/B7)),"")</f>
        <v>162.5836774592535</v>
      </c>
      <c r="C21" s="44">
        <f>IFERROR(IF(C8="","",IF(C6-C15/(C5*C7)&lt;=0,"",C17/(C6-C15/(C5*C7))/C7)),"")</f>
        <v>146.84977318900314</v>
      </c>
      <c r="D21" s="44">
        <f>IFERROR(IF(D8="","",IF(D6-D15/(D5*D7)&lt;=0,"",D17/(D6-D15/(D5*D7))/D7)),"")</f>
        <v>133.36942291579388</v>
      </c>
      <c r="E21" s="28" t="n"/>
      <c r="F21" s="28" t="n"/>
    </row>
    <row r="22">
      <c r="A22" s="25" t="inlineStr">
        <is>
          <t>WHAT EACH SCENARIO DEMANDS</t>
        </is>
      </c>
      <c r="B22" s="28" t="n"/>
      <c r="C22" s="28" t="n"/>
      <c r="D22" s="28" t="n"/>
      <c r="E22" s="28" t="n"/>
      <c r="F22" s="28" t="n"/>
    </row>
    <row r="23">
      <c r="A23" s="28" t="inlineStr">
        <is>
          <t>Labor cost / Sales</t>
        </is>
      </c>
      <c r="B23" s="67">
        <f>IFERROR(IF(B8="","",'3-Year P&amp;L'!$B$23/B8),"")</f>
        <v>0.43600408163265303</v>
      </c>
      <c r="C23" s="67">
        <f>IFERROR(IF(C8="","",'3-Year P&amp;L'!$B$23/C8),"")</f>
        <v>0.33414193548387094</v>
      </c>
      <c r="D23" s="67">
        <f>IFERROR(IF(D8="","",'3-Year P&amp;L'!$B$23/D8),"")</f>
        <v>0.26353865131578946</v>
      </c>
      <c r="E23" s="28" t="inlineStr">
        <is>
          <t>The SAME staffing in all three scenarios. If labor cost blows up in the pessimistic case, adjust it in the Staffing tab, not here</t>
        </is>
      </c>
      <c r="F23" s="28" t="n"/>
    </row>
    <row r="24">
      <c r="A24" s="28" t="inlineStr">
        <is>
          <t>Customers per year per full-time equivalent</t>
        </is>
      </c>
      <c r="B24" s="39">
        <f>IFERROR(IF(B8="","",B5*B7/Staffing!$C$11),"")</f>
        <v>13770.49180327869</v>
      </c>
      <c r="C24" s="39">
        <f>IFERROR(IF(C8="","",C5*C7/Staffing!$C$11),"")</f>
        <v>16770.491803278688</v>
      </c>
      <c r="D24" s="39">
        <f>IFERROR(IF(D8="","",D5*D7/Staffing!$C$11),"")</f>
        <v>19934.426229508197</v>
      </c>
      <c r="E24" s="28" t="inlineStr">
        <is>
          <t>Customers each full-time employee in the Staffing table would have to serve. In the optimistic scenario it tells you whether you need to hire</t>
        </is>
      </c>
      <c r="F24" s="28" t="n"/>
    </row>
    <row r="25">
      <c r="A25" s="25" t="inlineStr">
        <is>
          <t>Year-1 closing cash balance (estimate, same method in all three scenarios)</t>
        </is>
      </c>
      <c r="B25" s="76">
        <f>IFERROR(IF(B8="","",'Startup Costs'!$B$30+B20+'3-Year P&amp;L'!$B$36-Financing!$B$45),"")</f>
        <v>32029.346029033146</v>
      </c>
      <c r="C25" s="76">
        <f>IFERROR(IF(C8="","",'Startup Costs'!$B$30+C20+'3-Year P&amp;L'!$B$36-Financing!$B$45),"")</f>
        <v>85958.61924331886</v>
      </c>
      <c r="D25" s="76">
        <f>IFERROR(IF(D8="","",'Startup Costs'!$B$30+D20+'3-Year P&amp;L'!$B$36-Financing!$B$45),"")</f>
        <v>138528.03174331886</v>
      </c>
      <c r="E25" s="25"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8" t="n"/>
    </row>
    <row r="26">
      <c r="A26" s="28" t="inlineStr">
        <is>
          <t>Actual month-12 balance from the 12-Month Cash Flow tab (Base case only)</t>
        </is>
      </c>
      <c r="B26" s="28" t="n"/>
      <c r="C26" s="39">
        <f>IFERROR(IF(C8="","",'12-Month Cash Flow'!$M$22),"")</f>
        <v>97745.9069665331</v>
      </c>
      <c r="D26" s="28" t="n"/>
      <c r="E26" s="28"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8" t="n"/>
    </row>
    <row r="27">
      <c r="A27" s="28" t="n"/>
      <c r="B27" s="28" t="n"/>
      <c r="C27" s="28" t="n"/>
      <c r="D27" s="28" t="n"/>
      <c r="E27" s="28" t="n"/>
      <c r="F27" s="28" t="n"/>
    </row>
    <row r="28" ht="150" customHeight="1">
      <c r="A28" s="46" t="inlineStr">
        <is>
          <t>The "Base" column reads its three inputs from the "0. Assumptions" tab, so it reproduces EXACTLY year 1 of the P&amp;L. The other two scenarios use the same cost rates: only customers, average check and days change. FIXED COSTS are the same in all three: miscellaneous and contingency, a percentage of sales, sit above with the variable costs and each scenario carries its own.</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AND LABOR COSTS</t>
        </is>
      </c>
    </row>
    <row r="2">
      <c r="A2" t="str">
        <f>IFERROR("Payroll — "&amp;TEXT('0. Assumptions'!$B$21,"0")&amp;" pay periods + employer taxes "&amp;TEXT('0. Assumptions'!$B$20*100,"0")&amp;"%","")</f>
        <v>Payroll — 12 pay periods + employer taxes 10%</v>
      </c>
    </row>
    <row r="4" ht="45" customHeight="1">
      <c r="A4" s="38" t="inlineStr">
        <is>
          <t>Position</t>
        </is>
      </c>
      <c r="B4" s="38" t="inlineStr">
        <is>
          <t>People</t>
        </is>
      </c>
      <c r="C4" s="38" t="inlineStr">
        <is>
          <t>FTE</t>
        </is>
      </c>
      <c r="D4" s="38" t="inlineStr">
        <is>
          <t>Gross pay per month (total for the position)</t>
        </is>
      </c>
      <c r="E4" s="38" t="inlineStr">
        <is>
          <t>Employer payroll taxes (total for the position)</t>
        </is>
      </c>
      <c r="F4" s="38" t="inlineStr">
        <is>
          <t>Cost per month (total for the position)</t>
        </is>
      </c>
      <c r="G4" s="38" t="inlineStr">
        <is>
          <t>Cost per year</t>
        </is>
      </c>
      <c r="H4" s="38" t="inlineStr">
        <is>
          <t>Hours per week per person</t>
        </is>
      </c>
      <c r="I4" s="38" t="inlineStr">
        <is>
          <t>Hours per year for the position</t>
        </is>
      </c>
      <c r="J4" s="38" t="inlineStr">
        <is>
          <t>Notes</t>
        </is>
      </c>
    </row>
    <row r="5">
      <c r="A5" s="28" t="inlineStr">
        <is>
          <t>Owner / ice cream maker &amp; GM</t>
        </is>
      </c>
      <c r="B5" s="49" t="n">
        <v>1</v>
      </c>
      <c r="C5" s="51" t="n">
        <v>1</v>
      </c>
      <c r="D5" s="80" t="n">
        <v>4000</v>
      </c>
      <c r="E5" s="60">
        <f>IFERROR(IF(D5="","",D5*'0. Assumptions'!$B$20),"")</f>
        <v>400.0</v>
      </c>
      <c r="F5" s="60">
        <f>IFERROR(IF(D5="","",D5+E5),"")</f>
        <v>4400.0</v>
      </c>
      <c r="G5" s="60">
        <f>IFERROR(IF(D5="","",F5*MAX(12,'0. Assumptions'!$B$21)),"")</f>
        <v>52800.0</v>
      </c>
      <c r="H5" s="44">
        <f>IFERROR(IF(D5="","",C5*$B$18),"")</f>
        <v>40.0</v>
      </c>
      <c r="I5" s="39">
        <f>IFERROR(IF(D5="","",H5*B5*$B$19),"")</f>
        <v>1840.0</v>
      </c>
      <c r="J5" s="28" t="inlineStr">
        <is>
          <t>Balances recipes, flavors and mix-ins, runs the batch freezer, buys and runs the business. Works as the ice cream maker and GM but does NOT pasteurize: the base is bought from a licensed dairy. Paid below what a hired manager would earn: plan to draw in addition from net profit. The book loads employer payroll taxes on this salary as if it were payroll, which is the prudent side</t>
        </is>
      </c>
    </row>
    <row r="6">
      <c r="A6" s="28" t="inlineStr">
        <is>
          <t>Shift lead / counter (year-round)</t>
        </is>
      </c>
      <c r="B6" s="49" t="n">
        <v>1</v>
      </c>
      <c r="C6" s="51" t="n">
        <v>1</v>
      </c>
      <c r="D6" s="80" t="n">
        <v>2946</v>
      </c>
      <c r="E6" s="60">
        <f>IFERROR(IF(D6="","",D6*'0. Assumptions'!$B$20),"")</f>
        <v>294.6</v>
      </c>
      <c r="F6" s="60">
        <f>IFERROR(IF(D6="","",D6+E6),"")</f>
        <v>3240.6</v>
      </c>
      <c r="G6" s="60">
        <f>IFERROR(IF(D6="","",F6*MAX(12,'0. Assumptions'!$B$21)),"")</f>
        <v>38887.2</v>
      </c>
      <c r="H6" s="44">
        <f>IFERROR(IF(D6="","",C6*$B$18),"")</f>
        <v>40.0</v>
      </c>
      <c r="I6" s="39">
        <f>IFERROR(IF(D6="","",H6*B6*$B$19),"")</f>
        <v>1840.0</v>
      </c>
      <c r="J6" s="28" t="inlineStr">
        <is>
          <t>Counter, register, dipping cabinets and closing; opens and closes when the owner is in the production room. About $17 per hour</t>
        </is>
      </c>
    </row>
    <row r="7">
      <c r="A7" s="28" t="inlineStr">
        <is>
          <t>Seasonal scooper (part-time, April-September)</t>
        </is>
      </c>
      <c r="B7" s="49" t="n">
        <v>1</v>
      </c>
      <c r="C7" s="51" t="n">
        <v>0.5</v>
      </c>
      <c r="D7" s="80" t="n">
        <v>1300</v>
      </c>
      <c r="E7" s="60">
        <f>IFERROR(IF(D7="","",D7*'0. Assumptions'!$B$20),"")</f>
        <v>130.0</v>
      </c>
      <c r="F7" s="60">
        <f>IFERROR(IF(D7="","",D7+E7),"")</f>
        <v>1430.0</v>
      </c>
      <c r="G7" s="60">
        <f>IFERROR(IF(D7="","",F7*MAX(12,'0. Assumptions'!$B$21)),"")</f>
        <v>17160.0</v>
      </c>
      <c r="H7" s="44">
        <f>IFERROR(IF(D7="","",C7*$B$18),"")</f>
        <v>20.0</v>
      </c>
      <c r="I7" s="39">
        <f>IFERROR(IF(D7="","",H7*B7*$B$19),"")</f>
        <v>920.0</v>
      </c>
      <c r="J7" s="28" t="inlineStr">
        <is>
          <t>Seasonal W-2 employee: about 40 hours a week from April to September, which equals half a full-time position over the year (part-time on a yearly basis). Rehire each spring. Scoopers aged 14-15 only within the FLSA hours (29 CFR 570.35)</t>
        </is>
      </c>
    </row>
    <row r="8">
      <c r="A8" s="28" t="inlineStr">
        <is>
          <t>Summer scooper (part-time, June-August)</t>
        </is>
      </c>
      <c r="B8" s="49" t="n">
        <v>1</v>
      </c>
      <c r="C8" s="51" t="n">
        <v>0.25</v>
      </c>
      <c r="D8" s="80" t="n">
        <v>650</v>
      </c>
      <c r="E8" s="60">
        <f>IFERROR(IF(D8="","",D8*'0. Assumptions'!$B$20),"")</f>
        <v>65.0</v>
      </c>
      <c r="F8" s="60">
        <f>IFERROR(IF(D8="","",D8+E8),"")</f>
        <v>715.0</v>
      </c>
      <c r="G8" s="60">
        <f>IFERROR(IF(D8="","",F8*MAX(12,'0. Assumptions'!$B$21)),"")</f>
        <v>8580.0</v>
      </c>
      <c r="H8" s="44">
        <f>IFERROR(IF(D8="","",C8*$B$18),"")</f>
        <v>10.0</v>
      </c>
      <c r="I8" s="39">
        <f>IFERROR(IF(D8="","",H8*B8*$B$19),"")</f>
        <v>460.0</v>
      </c>
      <c r="J8" s="28" t="inlineStr">
        <is>
          <t>Seasonal part-time W-2 employee from June to August, on the evenings of the peak. Never a 1099 contractor if you set the schedule and give the direction: that is misclassification</t>
        </is>
      </c>
    </row>
    <row r="9">
      <c r="A9" s="28" t="inlineStr">
        <is>
          <t>Production assistant (part-time, May-September)</t>
        </is>
      </c>
      <c r="B9" s="49" t="n">
        <v>1</v>
      </c>
      <c r="C9" s="51" t="n">
        <v>0.2</v>
      </c>
      <c r="D9" s="80" t="n">
        <v>555</v>
      </c>
      <c r="E9" s="60">
        <f>IFERROR(IF(D9="","",D9*'0. Assumptions'!$B$20),"")</f>
        <v>55.5</v>
      </c>
      <c r="F9" s="60">
        <f>IFERROR(IF(D9="","",D9+E9),"")</f>
        <v>610.5</v>
      </c>
      <c r="G9" s="60">
        <f>IFERROR(IF(D9="","",F9*MAX(12,'0. Assumptions'!$B$21)),"")</f>
        <v>7326.0</v>
      </c>
      <c r="H9" s="44">
        <f>IFERROR(IF(D9="","",C9*$B$18),"")</f>
        <v>8.0</v>
      </c>
      <c r="I9" s="39">
        <f>IFERROR(IF(D9="","",H9*B9*$B$19),"")</f>
        <v>368.0</v>
      </c>
      <c r="J9" s="28" t="inlineStr">
        <is>
          <t>Production assistant from May to September: batch freezing, pack-out, cleaning the batch freezer and the tubs, and support on the summer batches</t>
        </is>
      </c>
    </row>
    <row r="10">
      <c r="A10" s="28" t="inlineStr">
        <is>
          <t>Relief cover (vacations and days off)</t>
        </is>
      </c>
      <c r="B10" s="49" t="n">
        <v>1</v>
      </c>
      <c r="C10" s="51" t="n">
        <v>0.1</v>
      </c>
      <c r="D10" s="80" t="n">
        <v>260</v>
      </c>
      <c r="E10" s="60">
        <f>IFERROR(IF(D10="","",D10*'0. Assumptions'!$B$20),"")</f>
        <v>26.0</v>
      </c>
      <c r="F10" s="60">
        <f>IFERROR(IF(D10="","",D10+E10),"")</f>
        <v>286.0</v>
      </c>
      <c r="G10" s="60">
        <f>IFERROR(IF(D10="","",F10*MAX(12,'0. Assumptions'!$B$21)),"")</f>
        <v>3432.0</v>
      </c>
      <c r="H10" s="44">
        <f>IFERROR(IF(D10="","",C10*$B$18),"")</f>
        <v>4.0</v>
      </c>
      <c r="I10" s="39">
        <f>IFERROR(IF(D10="","",H10*B10*$B$19),"")</f>
        <v>184.0</v>
      </c>
      <c r="J10" s="28" t="inlineStr">
        <is>
          <t>Coverage for vacations and the team's days off through the year. Paid sick leave is required by some states and cities: check yours</t>
        </is>
      </c>
    </row>
    <row r="11">
      <c r="A11" s="25" t="inlineStr">
        <is>
          <t>TOTAL STAFF</t>
        </is>
      </c>
      <c r="B11" s="76">
        <f>IFERROR(IF(COUNT(D5:D10)=0,"",SUM(B5:B10)),"")</f>
        <v>6.0</v>
      </c>
      <c r="C11" s="61">
        <f>IFERROR(IF(COUNT(D5:D10)=0,"",SUM(C5:C10)),"")</f>
        <v>3.05</v>
      </c>
      <c r="D11" s="61">
        <f>IFERROR(IF(COUNT(D5:D10)=0,"",SUM(D5:D10)),"")</f>
        <v>9711.0</v>
      </c>
      <c r="E11" s="61">
        <f>IFERROR(IF(COUNT(D5:D10)=0,"",SUM(E5:E10)),"")</f>
        <v>971.1</v>
      </c>
      <c r="F11" s="61">
        <f>IFERROR(IF(COUNT(D5:D10)=0,"",SUM(F5:F10)),"")</f>
        <v>10682.1</v>
      </c>
      <c r="G11" s="61">
        <f>IFERROR(IF(COUNT(D5:D10)=0,"",SUM(G5:G10)),"")</f>
        <v>128185.2</v>
      </c>
      <c r="H11" s="28" t="n"/>
      <c r="I11" s="76">
        <f>IFERROR(IF(COUNT(D5:D10)=0,"",SUM(I5:I10)),"")</f>
        <v>5612.0</v>
      </c>
      <c r="J11" s="28" t="n"/>
    </row>
    <row r="12">
      <c r="A12" s="25" t="inlineStr">
        <is>
          <t>STAFF GROWTH (stepped cost)</t>
        </is>
      </c>
      <c r="B12" s="28" t="n"/>
      <c r="C12" s="28" t="n"/>
      <c r="D12" s="28" t="n"/>
      <c r="E12" s="28" t="n"/>
      <c r="F12" s="28" t="n"/>
      <c r="G12" s="28" t="n"/>
      <c r="H12" s="28" t="n"/>
      <c r="I12" s="28" t="n"/>
      <c r="J12" s="28" t="n"/>
    </row>
    <row r="13">
      <c r="A13" s="28" t="inlineStr">
        <is>
          <t>Annual cost of year-2 hires</t>
        </is>
      </c>
      <c r="B13" s="49" t="n">
        <v>8000</v>
      </c>
      <c r="C13" s="28" t="n"/>
      <c r="D13" s="28" t="n"/>
      <c r="E13" s="28" t="n"/>
      <c r="F13" s="28" t="n"/>
      <c r="G13" s="28" t="n"/>
      <c r="H13" s="28" t="n"/>
      <c r="I13" s="28" t="n"/>
      <c r="J13" s="28" t="inlineStr">
        <is>
          <t>FULL ANNUAL cost (gross pay + employer payroll taxes, over all pay periods) of whoever you hire that year. The P&amp;L adds it to the previous year's cost: staffing grows by people, not by a percentage</t>
        </is>
      </c>
    </row>
    <row r="14">
      <c r="A14" s="28" t="inlineStr">
        <is>
          <t>Annual cost of year-3 hires</t>
        </is>
      </c>
      <c r="B14" s="49" t="n">
        <v>8000</v>
      </c>
      <c r="C14" s="28" t="n"/>
      <c r="D14" s="28" t="n"/>
      <c r="E14" s="28" t="n"/>
      <c r="F14" s="28" t="n"/>
      <c r="G14" s="28" t="n"/>
      <c r="H14" s="28" t="n"/>
      <c r="I14" s="28" t="n"/>
      <c r="J14" s="28" t="inlineStr">
        <is>
          <t>FULL ANNUAL cost (gross pay + employer payroll taxes, over all pay periods) of whoever you hire that year. The P&amp;L adds it to the previous year's cost: staffing grows by people, not by a percentage</t>
        </is>
      </c>
    </row>
    <row r="15">
      <c r="A15" s="28" t="inlineStr">
        <is>
          <t>Labor cost, year 2</t>
        </is>
      </c>
      <c r="B15" s="39">
        <f>IFERROR(IF(G11="","",G11*(1+'0. Assumptions'!$B$48)+B13),"")</f>
        <v>136185.2</v>
      </c>
      <c r="C15" s="28" t="n"/>
      <c r="D15" s="28" t="n"/>
      <c r="E15" s="28" t="n"/>
      <c r="F15" s="28" t="n"/>
      <c r="G15" s="28" t="n"/>
      <c r="H15" s="28" t="n"/>
      <c r="I15" s="28" t="n"/>
      <c r="J15" s="28" t="n"/>
    </row>
    <row r="16">
      <c r="A16" s="28" t="inlineStr">
        <is>
          <t>Labor cost, year 3</t>
        </is>
      </c>
      <c r="B16" s="39">
        <f>IFERROR(IF(B15="","",B15*(1+'0. Assumptions'!$B$48)+B14),"")</f>
        <v>144185.2</v>
      </c>
      <c r="C16" s="28" t="n"/>
      <c r="D16" s="28" t="n"/>
      <c r="E16" s="28" t="n"/>
      <c r="F16" s="28" t="n"/>
      <c r="G16" s="28" t="n"/>
      <c r="H16" s="28" t="n"/>
      <c r="I16" s="28" t="n"/>
      <c r="J16" s="28" t="n"/>
    </row>
    <row r="17">
      <c r="A17" s="25" t="inlineStr">
        <is>
          <t>COVERAGE OF SERVICE HOURS</t>
        </is>
      </c>
      <c r="B17" s="28" t="n"/>
      <c r="C17" s="28" t="n"/>
      <c r="D17" s="28" t="n"/>
      <c r="E17" s="28" t="n"/>
      <c r="F17" s="28" t="n"/>
      <c r="G17" s="28" t="n"/>
      <c r="H17" s="28" t="n"/>
      <c r="I17" s="28" t="n"/>
      <c r="J17" s="28" t="n"/>
    </row>
    <row r="18">
      <c r="A18" s="28" t="inlineStr">
        <is>
          <t>Full-time week (hours per week)</t>
        </is>
      </c>
      <c r="B18" s="49" t="n">
        <v>40</v>
      </c>
      <c r="C18" s="28" t="n"/>
      <c r="D18" s="28" t="n"/>
      <c r="E18" s="28" t="n"/>
      <c r="F18" s="28" t="n"/>
      <c r="G18" s="28" t="n"/>
      <c r="H18" s="28" t="n"/>
      <c r="I18" s="28" t="n"/>
      <c r="J18" s="28" t="inlineStr">
        <is>
          <t>40 hours a week is the FLSA overtime threshold for non-exempt employees; some states add daily overtime rules. Change it if your own full-time week is different</t>
        </is>
      </c>
    </row>
    <row r="19">
      <c r="A19" s="28" t="inlineStr">
        <is>
          <t>Weeks worked per year per person</t>
        </is>
      </c>
      <c r="B19" s="49" t="n">
        <v>46</v>
      </c>
      <c r="C19" s="28" t="n"/>
      <c r="D19" s="28" t="n"/>
      <c r="E19" s="28" t="n"/>
      <c r="F19" s="28" t="n"/>
      <c r="G19" s="28" t="n"/>
      <c r="H19" s="28" t="n"/>
      <c r="I19" s="28" t="n"/>
      <c r="J19" s="28" t="inlineStr">
        <is>
          <t>46 weeks: 52 minus about six weeks for vacation, holidays, the January closure and average absences. There is no federal vacation requirement in the US: adjust it to your own policy</t>
        </is>
      </c>
    </row>
    <row r="20">
      <c r="A20" s="28" t="inlineStr">
        <is>
          <t>Service hours per day to cover</t>
        </is>
      </c>
      <c r="B20" s="77" t="n">
        <v>9.5</v>
      </c>
      <c r="C20" s="28" t="n"/>
      <c r="D20" s="28" t="n"/>
      <c r="E20" s="28" t="n"/>
      <c r="F20" s="28" t="n"/>
      <c r="G20" s="28" t="n"/>
      <c r="H20" s="28" t="n"/>
      <c r="I20" s="28" t="n"/>
      <c r="J20" s="28" t="inlineStr">
        <is>
          <t>Average shop hours over the year: more in peak season (Memorial Day to Labor Day), fewer from November to February. The production room goes in the row below</t>
        </is>
      </c>
    </row>
    <row r="21">
      <c r="A21" s="28" t="inlineStr">
        <is>
          <t>People needed at the same time in each shift</t>
        </is>
      </c>
      <c r="B21" s="77" t="n">
        <v>1.6</v>
      </c>
      <c r="C21" s="28" t="n"/>
      <c r="D21" s="28" t="n"/>
      <c r="E21" s="28" t="n"/>
      <c r="F21" s="28" t="n"/>
      <c r="G21" s="28" t="n"/>
      <c r="H21" s="28" t="n"/>
      <c r="I21" s="28" t="n"/>
      <c r="J21" s="28" t="inlineStr">
        <is>
          <t>Average staff on the floor at once at the counter: 1.8-2 people in summer, 1.3 in spring and fall and 1 in winter. In July and August the schedule is tight: the owner works shifts or a weekend extra comes in</t>
        </is>
      </c>
    </row>
    <row r="22">
      <c r="A22" s="28" t="inlineStr">
        <is>
          <t>Production hours per day BEFORE opening</t>
        </is>
      </c>
      <c r="B22" s="77" t="n">
        <v>2</v>
      </c>
      <c r="C22" s="28" t="n"/>
      <c r="D22" s="28" t="n"/>
      <c r="E22" s="28" t="n"/>
      <c r="F22" s="28" t="n"/>
      <c r="G22" s="28" t="n"/>
      <c r="H22" s="28" t="n"/>
      <c r="I22" s="28" t="n"/>
      <c r="J22" s="28" t="inlineStr">
        <is>
          <t>Production runs before opening: flavoring, batch-freezing and hardening, with no processing of raw mix and no aging: the base arrives pasteurized and aged from a licensed dairy. More in July, less in winter</t>
        </is>
      </c>
    </row>
    <row r="23">
      <c r="A23" s="28" t="inlineStr">
        <is>
          <t>People on the production shift</t>
        </is>
      </c>
      <c r="B23" s="77" t="n">
        <v>1</v>
      </c>
      <c r="C23" s="28" t="n"/>
      <c r="D23" s="28" t="n"/>
      <c r="E23" s="28" t="n"/>
      <c r="F23" s="28" t="n"/>
      <c r="G23" s="28" t="n"/>
      <c r="H23" s="28" t="n"/>
      <c r="I23" s="28" t="n"/>
      <c r="J23" s="28" t="inlineStr">
        <is>
          <t>The ice cream maker; in summer the production assistant helps</t>
        </is>
      </c>
    </row>
    <row r="24">
      <c r="A24" s="28" t="inlineStr">
        <is>
          <t>Service hours to cover per year</t>
        </is>
      </c>
      <c r="B24" s="39">
        <f>IFERROR(IF(OR(B20="",B21="",'0. Assumptions'!$B$6=""),"",B20*B21*'0. Assumptions'!$B$6+B22*B23*'0. Assumptions'!$B$6),"")</f>
        <v>5332.0</v>
      </c>
      <c r="C24" s="28" t="n"/>
      <c r="D24" s="28" t="n"/>
      <c r="E24" s="28" t="n"/>
      <c r="F24" s="28" t="n"/>
      <c r="G24" s="28" t="n"/>
      <c r="H24" s="28" t="n"/>
      <c r="I24" s="28" t="n"/>
      <c r="J24" s="28" t="n"/>
    </row>
    <row r="25">
      <c r="A25" s="28" t="inlineStr">
        <is>
          <t>Hours hired per year</t>
        </is>
      </c>
      <c r="B25" s="39">
        <f>IFERROR(IF(I11="","",I11),"")</f>
        <v>5612.0</v>
      </c>
      <c r="C25" s="28" t="n"/>
      <c r="D25" s="28" t="n"/>
      <c r="E25" s="28" t="n"/>
      <c r="F25" s="28" t="n"/>
      <c r="G25" s="28" t="n"/>
      <c r="H25" s="28" t="n"/>
      <c r="I25" s="28" t="n"/>
      <c r="J25" s="28" t="n"/>
    </row>
    <row r="26">
      <c r="A26" s="25" t="inlineStr">
        <is>
          <t>Coverage (hired / needed)</t>
        </is>
      </c>
      <c r="B26" s="66">
        <f>IFERROR(B25/B24,"")</f>
        <v>1.0525131282820706</v>
      </c>
      <c r="C26" s="28" t="n"/>
      <c r="D26" s="28" t="n"/>
      <c r="E26" s="28" t="n"/>
      <c r="F26" s="28" t="n"/>
      <c r="G26" s="28" t="n"/>
      <c r="H26" s="28" t="n"/>
      <c r="I26" s="28" t="n"/>
      <c r="J26" s="25" t="inlineStr">
        <is>
          <t>Below 100% the staff cannot cover the hours the plan declares: either hire more or cut the hours</t>
        </is>
      </c>
    </row>
    <row r="27">
      <c r="A27" s="28" t="n"/>
      <c r="B27" s="28" t="n"/>
      <c r="C27" s="28" t="n"/>
      <c r="D27" s="28" t="n"/>
      <c r="E27" s="28" t="n"/>
      <c r="F27" s="28" t="n"/>
      <c r="G27" s="28" t="n"/>
      <c r="H27" s="28" t="n"/>
      <c r="I27" s="28" t="n"/>
      <c r="J27" s="28" t="n"/>
    </row>
    <row r="28" ht="179.5" customHeight="1">
      <c r="A28" s="46" t="inlineStr">
        <is>
          <t>The gross pay, employer payroll taxes, monthly cost and annual cost columns are TOTALS for the row: for a position with two people they include both. "FTE" is the share of a full-time week and is used to compare pay with the legal floor pro rata. The payroll tax rate and the number of pay periods are in the "0. Assumptions" tab. Tips are not modeled: the shift lead and the scoopers are budgeted at a base wage of at least $15/h</t>
        </is>
      </c>
      <c r="B28" s="28" t="n"/>
      <c r="C28" s="28" t="n"/>
      <c r="D28" s="28" t="n"/>
      <c r="E28" s="28" t="n"/>
      <c r="F28" s="28" t="n"/>
      <c r="G28" s="28" t="n"/>
      <c r="H28" s="28" t="n"/>
      <c r="I28" s="28" t="n"/>
      <c r="J28" s="28" t="n"/>
    </row>
    <row r="29" ht="150" customHeight="1">
      <c r="A29" s="46"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29" s="28" t="n"/>
      <c r="C29" s="28" t="n"/>
      <c r="D29" s="28" t="n"/>
      <c r="E29" s="28" t="n"/>
      <c r="F29" s="28" t="n"/>
      <c r="G29" s="28" t="n"/>
      <c r="H29" s="28" t="n"/>
      <c r="I29" s="28" t="n"/>
      <c r="J2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Assumptions'!$B$21&lt;MAX('0. Assumptions'!$B$22,'0. Assumptions'!$B$68)*C5)</formula>
    </cfRule>
  </conditionalFormatting>
  <dataValidations count="3">
    <dataValidation sqref="B5 B6 B7 B8 B9 B10 B13 B14 B18 B19 B20 B22 D5 D6 D7 D8 D9 D10" showDropDown="0" showInputMessage="0" showErrorMessage="1" allowBlank="1" errorTitle="Invalid amount" error="Enter a number greater than or equal to 0." type="decimal" operator="greaterThanOrEqual">
      <formula1>0</formula1>
    </dataValidation>
    <dataValidation sqref="B21 B23"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Ice Cream Shop Financial Projections</t>
        </is>
      </c>
      <c r="B1" s="28" t="n"/>
      <c r="C1" s="28" t="n"/>
      <c r="D1" s="28" t="n"/>
      <c r="E1" s="28" t="n"/>
    </row>
    <row r="2">
      <c r="A2" s="28" t="n"/>
      <c r="B2" s="28" t="n"/>
      <c r="C2" s="28" t="n"/>
      <c r="D2" s="28" t="n"/>
      <c r="E2" s="28" t="n"/>
    </row>
    <row r="3">
      <c r="A3" s="38"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45" customHeight="1">
      <c r="A5" s="46" t="inlineStr">
        <is>
          <t>1. "0. Assumptions" is the control sheet: customers per day, average check excl. sales tax, operating days, food and beverage mix, cost of goods sold, rent,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25" customHeight="1">
      <c r="A8" s="46" t="inlineStr">
        <is>
          <t>4. All figures are shown EXCL. SALES TAX. To turn a menu price into a price without tax, divide it by 1 + your sales tax rate (8% in the example, so divide by 1.08). A scoop is generally taxed as prepared food; in some states packaged pints and whole cakes may be taxed as groceries, so check your state. The P&amp;L is excl. sales tax and the cash flow uses what is collected, tax included. Input tax on purchases is not recoverable in this book.</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75" customHeight="1">
      <c r="A10" s="46" t="inlineStr">
        <is>
          <t>6. The "12-Month Cash Flow" tab answers the question that decides a loan: in which month does the cash run out? Its Month 1 is MARCH: the plan opens in season so that the summer cash reaches the first winter. The minimum balance of the year can never be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30" customHeight="1">
      <c r="A12" s="46" t="inlineStr">
        <is>
          <t>8. The Word document in this pack uses the figures from this Excel: if you change a green cell, the Excel rules.</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7">
        <f>IFERROR(IF('3-Year P&amp;L'!$B$53="","",'3-Year P&amp;L'!$B$53),"")</f>
        <v>0.223</v>
      </c>
      <c r="C18" s="67">
        <f>IFERROR(IF('3-Year P&amp;L'!$E$53="","",'3-Year P&amp;L'!$E$53),"")</f>
        <v>0.25</v>
      </c>
      <c r="D18" s="28" t="str">
        <f>IFERROR(IF(OR(B18="",C18=""),"",IF(B18&lt;=C18,"OK","REVIEW")),"")</f>
        <v>OK</v>
      </c>
      <c r="E18" s="28" t="n"/>
    </row>
    <row r="19">
      <c r="A19" s="28" t="inlineStr">
        <is>
          <t>Labor cost / Sales</t>
        </is>
      </c>
      <c r="B19" s="67">
        <f>IFERROR(IF('3-Year P&amp;L'!$B$54="","",'3-Year P&amp;L'!$B$54),"")</f>
        <v>0.33414193548387094</v>
      </c>
      <c r="C19" s="67">
        <f>IFERROR(IF('3-Year P&amp;L'!$E$54="","",'3-Year P&amp;L'!$E$54),"")</f>
        <v>0.35</v>
      </c>
      <c r="D19" s="28" t="str">
        <f>IFERROR(IF(OR(B19="",C19=""),"",IF(B19&lt;=C19,"OK","REVIEW")),"")</f>
        <v>OK</v>
      </c>
      <c r="E19" s="28" t="n"/>
    </row>
    <row r="20">
      <c r="A20" s="28" t="inlineStr">
        <is>
          <t>Rent / Sales</t>
        </is>
      </c>
      <c r="B20" s="67">
        <f>IFERROR(IF('3-Year P&amp;L'!$B$55="","",'3-Year P&amp;L'!$B$55),"")</f>
        <v>0.07820136852394917</v>
      </c>
      <c r="C20" s="67">
        <f>IFERROR(IF('3-Year P&amp;L'!$E$55="","",'3-Year P&amp;L'!$E$55),"")</f>
        <v>0.1</v>
      </c>
      <c r="D20" s="28" t="str">
        <f>IFERROR(IF(OR(B20="",C20=""),"",IF(B20&lt;=C20,"OK","REVIEW")),"")</f>
        <v>OK</v>
      </c>
      <c r="E20" s="28" t="n"/>
    </row>
    <row r="21">
      <c r="A21" s="28" t="inlineStr">
        <is>
          <t>Net income / Sales</t>
        </is>
      </c>
      <c r="B21" s="67">
        <f>IFERROR(IF('3-Year P&amp;L'!$B$56="","",'3-Year P&amp;L'!$B$56),"")</f>
        <v>0.056265703114090224</v>
      </c>
      <c r="C21" s="67">
        <f>IFERROR(IF('3-Year P&amp;L'!$E$56="","",'3-Year P&amp;L'!$E$56),"")</f>
        <v>0.05</v>
      </c>
      <c r="D21" s="28" t="str">
        <f>IFERROR(IF(OR(B21="",C21=""),"",IF(B21&gt;=C21,"OK","REVIEW")),"")</f>
        <v>OK</v>
      </c>
      <c r="E21" s="28" t="n"/>
    </row>
    <row r="22">
      <c r="A22" s="28" t="inlineStr">
        <is>
          <t>Gross margin / Sales</t>
        </is>
      </c>
      <c r="B22" s="67">
        <f>IFERROR(IF('3-Year P&amp;L'!$B$51="","",'3-Year P&amp;L'!$B$51),"")</f>
        <v>0.682</v>
      </c>
      <c r="C22" s="67">
        <f>IFERROR(IF('3-Year P&amp;L'!$E$51="","",'3-Year P&amp;L'!$E$51),"")</f>
        <v>0.65</v>
      </c>
      <c r="D22" s="28" t="str">
        <f>IFERROR(IF(OR(B22="",C22=""),"",IF(B22&gt;=C22,"OK","REVIEW")),"")</f>
        <v>OK</v>
      </c>
      <c r="E22" s="28" t="n"/>
    </row>
    <row r="23">
      <c r="A23" s="28" t="n"/>
      <c r="B23" s="28" t="n"/>
      <c r="C23" s="28" t="n"/>
      <c r="D23" s="28" t="n"/>
      <c r="E23" s="28" t="n"/>
    </row>
    <row r="24">
      <c r="A24" s="25" t="inlineStr">
        <is>
          <t>THIS PLAN'S KEY FIGURES</t>
        </is>
      </c>
      <c r="B24" s="28" t="n"/>
      <c r="C24" s="28" t="n"/>
      <c r="D24" s="28" t="n"/>
      <c r="E24" s="28" t="n"/>
    </row>
    <row r="25">
      <c r="A25" s="28" t="inlineStr">
        <is>
          <t>Total startup costs (sum of the blocks)</t>
        </is>
      </c>
      <c r="B25" s="39">
        <f>IFERROR(IF('Startup Costs'!$B$31="","",'Startup Costs'!$B$31),"")</f>
        <v>256871.30000000002</v>
      </c>
      <c r="C25" s="28" t="n"/>
      <c r="D25" s="28" t="n"/>
      <c r="E25" s="28" t="n"/>
    </row>
    <row r="26">
      <c r="A26" s="28" t="inlineStr">
        <is>
          <t>Total cash needed at launch</t>
        </is>
      </c>
      <c r="B26" s="39">
        <f>IFERROR(IF('Startup Costs'!$B$34="","",'Startup Costs'!$B$34),"")</f>
        <v>256871.30000000002</v>
      </c>
      <c r="C26" s="28" t="n"/>
      <c r="D26" s="28" t="n"/>
      <c r="E26" s="28" t="n"/>
    </row>
    <row r="27">
      <c r="A27" s="28" t="inlineStr">
        <is>
          <t>Working capital funded</t>
        </is>
      </c>
      <c r="B27" s="39">
        <f>IFERROR(IF('Startup Costs'!$B$30="","",'Startup Costs'!$B$30),"")</f>
        <v>52771.30000000001</v>
      </c>
      <c r="C27" s="28" t="n"/>
      <c r="D27" s="28" t="n"/>
      <c r="E27" s="28" t="n"/>
    </row>
    <row r="28">
      <c r="A28" s="28" t="inlineStr">
        <is>
          <t>Forecast year-1 revenue</t>
        </is>
      </c>
      <c r="B28" s="39">
        <f>IFERROR(IF('3-Year P&amp;L'!$B$9="","",'3-Year P&amp;L'!$B$9),"")</f>
        <v>383625.0</v>
      </c>
      <c r="C28" s="28" t="n"/>
      <c r="D28" s="28" t="n"/>
      <c r="E28" s="28" t="n"/>
    </row>
    <row r="29">
      <c r="A29" s="28" t="inlineStr">
        <is>
          <t>Year-1 net income</t>
        </is>
      </c>
      <c r="B29" s="39">
        <f>IFERROR(IF('3-Year P&amp;L'!$B$48="","",'3-Year P&amp;L'!$B$48),"")</f>
        <v>21584.93035714286</v>
      </c>
      <c r="C29" s="28" t="n"/>
      <c r="D29" s="28" t="n"/>
      <c r="E29" s="28" t="n"/>
    </row>
    <row r="30">
      <c r="A30" s="28" t="inlineStr">
        <is>
          <t>Customers per day for the ACCOUNTING break-even (depreciation included)</t>
        </is>
      </c>
      <c r="B30" s="44">
        <f>IFERROR(IF('Break-Even'!$B$15="","",'Break-Even'!$B$15),"")</f>
        <v>146.84977318900314</v>
      </c>
      <c r="C30" s="28" t="n"/>
      <c r="D30" s="28" t="n"/>
      <c r="E30" s="28" t="n"/>
    </row>
    <row r="31">
      <c r="A31" s="28" t="inlineStr">
        <is>
          <t>Project payback (years), before debt</t>
        </is>
      </c>
      <c r="B31" s="28" t="str">
        <f>IFERROR(IF('12-Month Cash Flow'!$B$31="","",'12-Month Cash Flow'!$B$31),"")</f>
        <v>Over 3 years</v>
      </c>
      <c r="C31" s="28" t="n"/>
      <c r="D31" s="28" t="n"/>
      <c r="E31" s="28" t="n"/>
    </row>
    <row r="32">
      <c r="A32" s="28" t="n"/>
      <c r="B32" s="28" t="n"/>
      <c r="C32" s="28" t="n"/>
      <c r="D32" s="28" t="n"/>
      <c r="E32" s="28" t="n"/>
    </row>
    <row r="33">
      <c r="A33" s="25" t="inlineStr">
        <is>
          <t>US ICE CREAM SHOP BENCHMARKS (sourced) AND KIT ESTIMATES</t>
        </is>
      </c>
      <c r="B33" s="28" t="n"/>
      <c r="C33" s="28" t="n"/>
      <c r="D33" s="28" t="n"/>
      <c r="E33" s="28" t="n"/>
    </row>
    <row r="34">
      <c r="A34" s="25" t="inlineStr">
        <is>
          <t>Benchmark</t>
        </is>
      </c>
      <c r="B34" s="25" t="inlineStr">
        <is>
          <t>Value</t>
        </is>
      </c>
      <c r="C34" s="25" t="inlineStr">
        <is>
          <t>Source</t>
        </is>
      </c>
      <c r="D34" s="25" t="inlineStr">
        <is>
          <t>Note</t>
        </is>
      </c>
      <c r="E34" s="28" t="n"/>
    </row>
    <row r="35" ht="59.75" customHeight="1">
      <c r="A35" s="28" t="inlineStr">
        <is>
          <t>Month 1 of the plan</t>
        </is>
      </c>
      <c r="B35" s="28" t="inlineStr">
        <is>
          <t>March</t>
        </is>
      </c>
      <c r="C35" s="28" t="inlineStr">
        <is>
          <t>Plan decision</t>
        </is>
      </c>
      <c r="D35" s="46" t="inlineStr">
        <is>
          <t>Open in season: the first summer pays for the first winter. Opening in fall burns the working capital before the first summer. The seasonality row on the cash flow tab is already shifted to start in March</t>
        </is>
      </c>
      <c r="E35" s="28" t="n"/>
    </row>
    <row r="36" ht="45" customHeight="1">
      <c r="A36" s="28" t="inlineStr">
        <is>
          <t>Peak season</t>
        </is>
      </c>
      <c r="B36" s="28" t="inlineStr">
        <is>
          <t>Memorial Day to Labor Day; July is National Ice Cream Month</t>
        </is>
      </c>
      <c r="C36" s="28" t="inlineStr">
        <is>
          <t>Presidential Proclamation 5219 (1984); IDFA</t>
        </is>
      </c>
      <c r="D36" s="46" t="inlineStr">
        <is>
          <t>July is the month with the most production; National Ice Cream Day is the 3rd Sunday of July. Winter sells ice cream cakes, holiday pies and pints, and hot chocolate</t>
        </is>
      </c>
      <c r="E36" s="28" t="n"/>
    </row>
    <row r="37" ht="45" customHeight="1">
      <c r="A37" s="28" t="inlineStr">
        <is>
          <t>Ice cream cost (food cost)</t>
        </is>
      </c>
      <c r="B37" s="28" t="inlineStr">
        <is>
          <t>About 22% of ice cream sales</t>
        </is>
      </c>
      <c r="C37" s="28" t="inlineStr">
        <is>
          <t>Kit estimate</t>
        </is>
      </c>
      <c r="D37" s="46" t="inlineStr">
        <is>
          <t>Purchased base, flavorings and mix-ins, cones, samples and shrink. Replace it with the invoices from your dairy and your distributor</t>
        </is>
      </c>
      <c r="E37" s="28" t="n"/>
    </row>
    <row r="38" ht="45" customHeight="1">
      <c r="A38" s="28" t="inlineStr">
        <is>
          <t>Menu prices</t>
        </is>
      </c>
      <c r="B38" s="28" t="inlineStr">
        <is>
          <t>Single $5.25 · double $7.00 · pint $11 · quart $18 · 8-in cake $45</t>
        </is>
      </c>
      <c r="C38" s="28" t="inlineStr">
        <is>
          <t>Kit estimate (Oct 2026), excl. sales tax</t>
        </is>
      </c>
      <c r="D38" s="46" t="inlineStr">
        <is>
          <t>There is no reliable U.S. average for the price of a scoop: use the prices in your area. The average check excl. sales tax for this plan is on the "0. Assumptions" tab</t>
        </is>
      </c>
      <c r="E38" s="28" t="n"/>
    </row>
    <row r="39" ht="60" customHeight="1">
      <c r="A39" s="28" t="inlineStr">
        <is>
          <t>"Ice cream" standard</t>
        </is>
      </c>
      <c r="B39" s="28" t="inlineStr">
        <is>
          <t>At least 10% milkfat and 4.5 lb per gallon; frozen custard: 1.4% egg yolk solids</t>
        </is>
      </c>
      <c r="C39" s="28" t="inlineStr">
        <is>
          <t>21 CFR 135.110 (eCFR)</t>
        </is>
      </c>
      <c r="D39" s="46" t="inlineStr">
        <is>
          <t>If you call it ice cream, the federal standard applies. Weight is measured in lb per gallon (1 gallon is about 3.8 liters). Check the labeling rules for anything below the standard</t>
        </is>
      </c>
      <c r="E39" s="28" t="n"/>
    </row>
    <row r="40" ht="45" customHeight="1">
      <c r="A40" s="28" t="inlineStr">
        <is>
          <t>Storage and serving temperature</t>
        </is>
      </c>
      <c r="B40" s="28" t="inlineStr">
        <is>
          <t>0 °F (−18 °C) or colder in storage and hardening; dipping cabinet 6-10 °F</t>
        </is>
      </c>
      <c r="C40" s="28" t="inlineStr">
        <is>
          <t>FDA Food Code + equipment manufacturer</t>
        </is>
      </c>
      <c r="D40" s="46" t="inlineStr">
        <is>
          <t>Cold holding of the purchased base at 41 °F (5 °C) or colder. The cabinet temperature depends on the manufacturer's specification and your food safety plan</t>
        </is>
      </c>
      <c r="E40" s="28" t="n"/>
    </row>
    <row r="41" ht="74.75" customHeight="1">
      <c r="A41" s="28" t="inlineStr">
        <is>
          <t>Buy a base or make your own mix</t>
        </is>
      </c>
      <c r="B41" s="28" t="inlineStr">
        <is>
          <t>Buying pasteurized base: retail permit, plus a frozen dessert license in some states (Vermont); own mix: state dairy / frozen dessert manufacturer license</t>
        </is>
      </c>
      <c r="C41" s="28" t="inlineStr">
        <is>
          <t>Vermont Agency of Agriculture; Georgia Rules 40-2-8</t>
        </is>
      </c>
      <c r="D41" s="46" t="inlineStr">
        <is>
          <t>Depends on your state: ask your state department of agriculture. If you pasteurize your own mix (the variant), fats, egg yolks and emulsifiers go in BEFORE pasteurization, never after, and you need licensed equipment and inspections. The case buys the base from a licensed dairy</t>
        </is>
      </c>
      <c r="E41" s="28" t="n"/>
    </row>
    <row r="42" ht="30" customHeight="1">
      <c r="A42" s="28" t="inlineStr">
        <is>
          <t>Labor cost / sales</t>
        </is>
      </c>
      <c r="B42" s="28" t="inlineStr">
        <is>
          <t>28-35%</t>
        </is>
      </c>
      <c r="C42" s="28" t="inlineStr">
        <is>
          <t>Kit estimate</t>
        </is>
      </c>
      <c r="D42" s="46" t="inlineStr">
        <is>
          <t>Putting the owner on payroll and the season push it to the high end</t>
        </is>
      </c>
      <c r="E42" s="28" t="n"/>
    </row>
    <row r="43" ht="30" customHeight="1">
      <c r="A43" s="28" t="inlineStr">
        <is>
          <t>Rent / sales</t>
        </is>
      </c>
      <c r="B43" s="28" t="inlineStr">
        <is>
          <t>10% or less</t>
        </is>
      </c>
      <c r="C43" s="28" t="inlineStr">
        <is>
          <t>Kit estimate</t>
        </is>
      </c>
      <c r="D43" s="46" t="inlineStr">
        <is>
          <t>The threshold of the traffic light on the P&amp;L</t>
        </is>
      </c>
      <c r="E43" s="28" t="n"/>
    </row>
    <row r="44" ht="30" customHeight="1">
      <c r="A44" s="28" t="inlineStr">
        <is>
          <t>Production waste</t>
        </is>
      </c>
      <c r="B44" s="28" t="inlineStr">
        <is>
          <t>5-8%</t>
        </is>
      </c>
      <c r="C44" s="28" t="inlineStr">
        <is>
          <t>Kit estimate</t>
        </is>
      </c>
      <c r="D44" s="46" t="inlineStr">
        <is>
          <t>Flavors that do not turn over, open tubs and samples. Melted or returned ice cream is never refrozen</t>
        </is>
      </c>
      <c r="E44" s="28" t="n"/>
    </row>
    <row r="45" ht="45" customHeight="1">
      <c r="A45" s="28" t="inlineStr">
        <is>
          <t>Electrical service</t>
        </is>
      </c>
      <c r="B45" s="28" t="inlineStr">
        <is>
          <t>About 30 kW</t>
        </is>
      </c>
      <c r="C45" s="28" t="inlineStr">
        <is>
          <t>Kit estimate</t>
        </is>
      </c>
      <c r="D45" s="46" t="inlineStr">
        <is>
          <t>Ask the utility about 3-phase service and amps before signing. Dipping cabinets run 24 hours a day, plus the batch freezer, the hardening cabinet and air conditioning</t>
        </is>
      </c>
      <c r="E45" s="28" t="n"/>
    </row>
    <row r="46" ht="30" customHeight="1">
      <c r="A46" s="28" t="inlineStr">
        <is>
          <t>Sales tax</t>
        </is>
      </c>
      <c r="B46" s="28" t="inlineStr">
        <is>
          <t>Scoops taxed as prepared food; packaged pints and whole cakes may be exempt as groceries</t>
        </is>
      </c>
      <c r="C46" s="28" t="inlineStr">
        <is>
          <t>Texas Comptroller (example)</t>
        </is>
      </c>
      <c r="D46" s="46" t="inlineStr">
        <is>
          <t>Check your state. The book uses one example rate (8%)</t>
        </is>
      </c>
      <c r="E46" s="28" t="n"/>
    </row>
    <row r="47" ht="30" customHeight="1">
      <c r="A47" s="28" t="inlineStr">
        <is>
          <t>Minimum wage</t>
        </is>
      </c>
      <c r="B47" s="28" t="inlineStr">
        <is>
          <t>Federal $7.25 per hour + your state; teens 14-15: limited hours</t>
        </is>
      </c>
      <c r="C47" s="28" t="inlineStr">
        <is>
          <t>U.S. Department of Labor (29 CFR 570.35)</t>
        </is>
      </c>
      <c r="D47" s="46" t="inlineStr">
        <is>
          <t>This plan budgets $15 per hour or more. Type your state's floor on "0. Assumptions"</t>
        </is>
      </c>
      <c r="E47" s="28" t="n"/>
    </row>
    <row r="48">
      <c r="A48" s="28" t="n"/>
      <c r="B48" s="28" t="n"/>
      <c r="C48" s="28" t="n"/>
      <c r="D48" s="28" t="n"/>
      <c r="E48" s="28" t="n"/>
    </row>
    <row r="49">
      <c r="A49" s="78" t="inlineStr">
        <is>
          <t>To edit a cell that is not green: Review → Unprotect Sheet (there is no password).</t>
        </is>
      </c>
      <c r="B49" s="28" t="n"/>
      <c r="C49" s="28" t="n"/>
      <c r="D49" s="28" t="n"/>
      <c r="E49" s="28" t="n"/>
    </row>
    <row r="50">
      <c r="A50" s="78" t="inlineStr">
        <is>
          <t>More templates and kits in the catalog at aichef.pro/en/digital-products</t>
        </is>
      </c>
      <c r="B50" s="28" t="n"/>
      <c r="C50" s="28" t="n"/>
      <c r="D50" s="28" t="n"/>
      <c r="E50" s="28" t="n"/>
    </row>
    <row r="51">
      <c r="A51" s="78" t="inlineStr">
        <is>
          <t>Designed by John Guerrero — chef and restaurant consultant since 2010, in the kitchen since age 17 · johnguerrero.es</t>
        </is>
      </c>
      <c r="B51" s="28" t="n"/>
      <c r="C51" s="28" t="n"/>
      <c r="D51" s="28" t="n"/>
      <c r="E51" s="28" t="n"/>
    </row>
    <row r="52">
      <c r="A52" s="78" t="inlineStr">
        <is>
          <t>Version 2.2 · October 2026 · aichef.pro/en/digital-products/ice-cream-shop-business-plan · info@aichef.pro</t>
        </is>
      </c>
      <c r="B52" s="28" t="n"/>
      <c r="C52" s="28" t="n"/>
      <c r="D52" s="28" t="n"/>
      <c r="E52" s="28" t="n"/>
    </row>
    <row r="53" ht="45" customHeight="1">
      <c r="A53" s="81" t="inlineStr">
        <is>
          <t>Planning tool, not financial, tax or legal advice. Requirements vary by state, county and city — check with your accountant and local authorities.</t>
        </is>
      </c>
      <c r="B53" s="28" t="n"/>
      <c r="C53" s="28" t="n"/>
      <c r="D53" s="28" t="n"/>
      <c r="E53" s="28" t="n"/>
    </row>
    <row r="54">
      <c r="A54" s="28" t="n"/>
      <c r="B54" s="28" t="n"/>
      <c r="C54" s="28" t="n"/>
      <c r="D54" s="28" t="n"/>
      <c r="E54" s="28" t="n"/>
    </row>
    <row r="55">
      <c r="A55" s="28" t="n"/>
      <c r="B55" s="28" t="n"/>
      <c r="C55" s="28" t="n"/>
      <c r="D55" s="28" t="n"/>
      <c r="E55" s="28" t="n"/>
    </row>
    <row r="56">
      <c r="A56" s="28" t="n"/>
      <c r="B56" s="28" t="n"/>
      <c r="C56" s="28" t="n"/>
      <c r="D56" s="28" t="n"/>
      <c r="E56" s="28" t="n"/>
    </row>
    <row r="57">
      <c r="A57" s="28" t="n"/>
      <c r="B57" s="28" t="n"/>
      <c r="C57" s="28" t="n"/>
      <c r="D57" s="28" t="n"/>
      <c r="E57" s="28" t="n"/>
    </row>
    <row r="58">
      <c r="A58" s="28" t="n"/>
      <c r="B58" s="28" t="n"/>
      <c r="C58" s="28" t="n"/>
      <c r="D58" s="28" t="n"/>
      <c r="E58" s="28" t="n"/>
    </row>
    <row r="59">
      <c r="A59" s="28" t="n"/>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5" t="n">
        <v>0.05</v>
      </c>
      <c r="C5" s="75" t="n">
        <v>0.075</v>
      </c>
      <c r="D5" s="75" t="n">
        <v>0.1</v>
      </c>
      <c r="E5" s="75" t="n">
        <v>0.135</v>
      </c>
      <c r="F5" s="75" t="n">
        <v>0.165</v>
      </c>
      <c r="G5" s="75" t="n">
        <v>0.15</v>
      </c>
      <c r="H5" s="75" t="n">
        <v>0.11</v>
      </c>
      <c r="I5" s="75" t="n">
        <v>0.065</v>
      </c>
      <c r="J5" s="75" t="n">
        <v>0.035</v>
      </c>
      <c r="K5" s="75" t="n">
        <v>0.06</v>
      </c>
      <c r="L5" s="75" t="n">
        <v>0.025</v>
      </c>
      <c r="M5" s="75" t="n">
        <v>0.03</v>
      </c>
      <c r="N5" s="67">
        <f>IFERROR(IF('3-Year P&amp;L'!$B$9="","",SUM(B5:M5)),"")</f>
        <v>1.0</v>
      </c>
      <c r="O5" s="28" t="inlineStr">
        <is>
          <t>Month 1 = MARCH: open in season so the first winter is paid by the first summer. July (Month 5, National Ice Cream Month) is the peak; January (Month 11) the low point, with a three-week closure. Kit weights for a mid-size US city: replace the weights with your area's pattern (colder states: more weight June-August; Sun Belt: flatter). If you open in another month, rotate the row. It must add up to 100%</t>
        </is>
      </c>
    </row>
    <row r="6">
      <c r="A6" s="28" t="inlineStr">
        <is>
          <t>Launch ramp-up (% of steady-state activity)</t>
        </is>
      </c>
      <c r="B6" s="67">
        <f>IFERROR(IF('3-Year P&amp;L'!$B$9="","",MIN(1,'0. Assumptions'!$B$52+(1-'0. Assumptions'!$B$52)*0/MAX(1,'0. Assumptions'!$B$53-1))),"")</f>
        <v>0.7</v>
      </c>
      <c r="C6" s="67">
        <f>IFERROR(IF('3-Year P&amp;L'!$B$9="","",MIN(1,'0. Assumptions'!$B$52+(1-'0. Assumptions'!$B$52)*1/MAX(1,'0. Assumptions'!$B$53-1))),"")</f>
        <v>0.7999999999999999</v>
      </c>
      <c r="D6" s="67">
        <f>IFERROR(IF('3-Year P&amp;L'!$B$9="","",MIN(1,'0. Assumptions'!$B$52+(1-'0. Assumptions'!$B$52)*2/MAX(1,'0. Assumptions'!$B$53-1))),"")</f>
        <v>0.9</v>
      </c>
      <c r="E6" s="67">
        <f>IFERROR(IF('3-Year P&amp;L'!$B$9="","",MIN(1,'0. Assumptions'!$B$52+(1-'0. Assumptions'!$B$52)*3/MAX(1,'0. Assumptions'!$B$53-1))),"")</f>
        <v>1.0</v>
      </c>
      <c r="F6" s="67">
        <f>IFERROR(IF('3-Year P&amp;L'!$B$9="","",MIN(1,'0. Assumptions'!$B$52+(1-'0. Assumptions'!$B$52)*4/MAX(1,'0. Assumptions'!$B$53-1))),"")</f>
        <v>1.0</v>
      </c>
      <c r="G6" s="67">
        <f>IFERROR(IF('3-Year P&amp;L'!$B$9="","",MIN(1,'0. Assumptions'!$B$52+(1-'0. Assumptions'!$B$52)*5/MAX(1,'0. Assumptions'!$B$53-1))),"")</f>
        <v>1.0</v>
      </c>
      <c r="H6" s="67">
        <f>IFERROR(IF('3-Year P&amp;L'!$B$9="","",MIN(1,'0. Assumptions'!$B$52+(1-'0. Assumptions'!$B$52)*6/MAX(1,'0. Assumptions'!$B$53-1))),"")</f>
        <v>1.0</v>
      </c>
      <c r="I6" s="67">
        <f>IFERROR(IF('3-Year P&amp;L'!$B$9="","",MIN(1,'0. Assumptions'!$B$52+(1-'0. Assumptions'!$B$52)*7/MAX(1,'0. Assumptions'!$B$53-1))),"")</f>
        <v>1.0</v>
      </c>
      <c r="J6" s="67">
        <f>IFERROR(IF('3-Year P&amp;L'!$B$9="","",MIN(1,'0. Assumptions'!$B$52+(1-'0. Assumptions'!$B$52)*8/MAX(1,'0. Assumptions'!$B$53-1))),"")</f>
        <v>1.0</v>
      </c>
      <c r="K6" s="67">
        <f>IFERROR(IF('3-Year P&amp;L'!$B$9="","",MIN(1,'0. Assumptions'!$B$52+(1-'0. Assumptions'!$B$52)*9/MAX(1,'0. Assumptions'!$B$53-1))),"")</f>
        <v>1.0</v>
      </c>
      <c r="L6" s="67">
        <f>IFERROR(IF('3-Year P&amp;L'!$B$9="","",MIN(1,'0. Assumptions'!$B$52+(1-'0. Assumptions'!$B$52)*10/MAX(1,'0. Assumptions'!$B$53-1))),"")</f>
        <v>1.0</v>
      </c>
      <c r="M6" s="67">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7">
        <f>IFERROR(IF('3-Year P&amp;L'!$B$9="","",B5*B6/SUMPRODUCT($B$5:$M$5,$B$6:$M$6)),"")</f>
        <v>0.03645833333333333</v>
      </c>
      <c r="C7" s="67">
        <f>IFERROR(IF('3-Year P&amp;L'!$B$9="","",C5*C6/SUMPRODUCT($B$5:$M$5,$B$6:$M$6)),"")</f>
        <v>0.062499999999999986</v>
      </c>
      <c r="D7" s="67">
        <f>IFERROR(IF('3-Year P&amp;L'!$B$9="","",D5*D6/SUMPRODUCT($B$5:$M$5,$B$6:$M$6)),"")</f>
        <v>0.09375</v>
      </c>
      <c r="E7" s="67">
        <f>IFERROR(IF('3-Year P&amp;L'!$B$9="","",E5*E6/SUMPRODUCT($B$5:$M$5,$B$6:$M$6)),"")</f>
        <v>0.140625</v>
      </c>
      <c r="F7" s="67">
        <f>IFERROR(IF('3-Year P&amp;L'!$B$9="","",F5*F6/SUMPRODUCT($B$5:$M$5,$B$6:$M$6)),"")</f>
        <v>0.171875</v>
      </c>
      <c r="G7" s="67">
        <f>IFERROR(IF('3-Year P&amp;L'!$B$9="","",G5*G6/SUMPRODUCT($B$5:$M$5,$B$6:$M$6)),"")</f>
        <v>0.15624999999999997</v>
      </c>
      <c r="H7" s="67">
        <f>IFERROR(IF('3-Year P&amp;L'!$B$9="","",H5*H6/SUMPRODUCT($B$5:$M$5,$B$6:$M$6)),"")</f>
        <v>0.11458333333333333</v>
      </c>
      <c r="I7" s="67">
        <f>IFERROR(IF('3-Year P&amp;L'!$B$9="","",I5*I6/SUMPRODUCT($B$5:$M$5,$B$6:$M$6)),"")</f>
        <v>0.06770833333333333</v>
      </c>
      <c r="J7" s="67">
        <f>IFERROR(IF('3-Year P&amp;L'!$B$9="","",J5*J6/SUMPRODUCT($B$5:$M$5,$B$6:$M$6)),"")</f>
        <v>0.036458333333333336</v>
      </c>
      <c r="K7" s="67">
        <f>IFERROR(IF('3-Year P&amp;L'!$B$9="","",K5*K6/SUMPRODUCT($B$5:$M$5,$B$6:$M$6)),"")</f>
        <v>0.06249999999999999</v>
      </c>
      <c r="L7" s="67">
        <f>IFERROR(IF('3-Year P&amp;L'!$B$9="","",L5*L6/SUMPRODUCT($B$5:$M$5,$B$6:$M$6)),"")</f>
        <v>0.026041666666666664</v>
      </c>
      <c r="M7" s="67">
        <f>IFERROR(IF('3-Year P&amp;L'!$B$9="","",M5*M6/SUMPRODUCT($B$5:$M$5,$B$6:$M$6)),"")</f>
        <v>0.031249999999999997</v>
      </c>
      <c r="N7" s="67">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39">
        <f>IFERROR(IF('3-Year P&amp;L'!$B$9="","",('3-Year P&amp;L'!$B$9+'3-Year P&amp;L'!$B$9*SUMPRODUCT('3-Year P&amp;L'!$E$10:$E$11,'3-Year P&amp;L'!$G$10:$G$11))*B7*(1-MIN(30,'0. Assumptions'!$B$58)/30)),"")</f>
        <v>14098.218749999998</v>
      </c>
      <c r="C9" s="39">
        <f>IFERROR(IF('3-Year P&amp;L'!$B$9="","",('3-Year P&amp;L'!$B$9+'3-Year P&amp;L'!$B$9*SUMPRODUCT('3-Year P&amp;L'!$E$10:$E$11,'3-Year P&amp;L'!$G$10:$G$11))*(C7*(1-MIN(30,'0. Assumptions'!$B$58)/30)+B7*MIN(30,'0. Assumptions'!$B$58)/30)),"")</f>
        <v>25175.390624999993</v>
      </c>
      <c r="D9" s="39">
        <f>IFERROR(IF('3-Year P&amp;L'!$B$9="","",('3-Year P&amp;L'!$B$9+'3-Year P&amp;L'!$B$9*SUMPRODUCT('3-Year P&amp;L'!$E$10:$E$11,'3-Year P&amp;L'!$G$10:$G$11))*(D7*(1-MIN(30,'0. Assumptions'!$B$58)/30)+C7*MIN(30,'0. Assumptions'!$B$58)/30)),"")</f>
        <v>37978.875</v>
      </c>
      <c r="E9" s="39">
        <f>IFERROR(IF('3-Year P&amp;L'!$B$9="","",('3-Year P&amp;L'!$B$9+'3-Year P&amp;L'!$B$9*SUMPRODUCT('3-Year P&amp;L'!$E$10:$E$11,'3-Year P&amp;L'!$G$10:$G$11))*(E7*(1-MIN(30,'0. Assumptions'!$B$58)/30)+D7*MIN(30,'0. Assumptions'!$B$58)/30)),"")</f>
        <v>56968.31250000001</v>
      </c>
      <c r="F9" s="39">
        <f>IFERROR(IF('3-Year P&amp;L'!$B$9="","",('3-Year P&amp;L'!$B$9+'3-Year P&amp;L'!$B$9*SUMPRODUCT('3-Year P&amp;L'!$E$10:$E$11,'3-Year P&amp;L'!$G$10:$G$11))*(F7*(1-MIN(30,'0. Assumptions'!$B$58)/30)+E7*MIN(30,'0. Assumptions'!$B$58)/30)),"")</f>
        <v>70347.234375</v>
      </c>
      <c r="G9" s="39">
        <f>IFERROR(IF('3-Year P&amp;L'!$B$9="","",('3-Year P&amp;L'!$B$9+'3-Year P&amp;L'!$B$9*SUMPRODUCT('3-Year P&amp;L'!$E$10:$E$11,'3-Year P&amp;L'!$G$10:$G$11))*(G7*(1-MIN(30,'0. Assumptions'!$B$58)/30)+F7*MIN(30,'0. Assumptions'!$B$58)/30)),"")</f>
        <v>65168.296874999985</v>
      </c>
      <c r="H9" s="39">
        <f>IFERROR(IF('3-Year P&amp;L'!$B$9="","",('3-Year P&amp;L'!$B$9+'3-Year P&amp;L'!$B$9*SUMPRODUCT('3-Year P&amp;L'!$E$10:$E$11,'3-Year P&amp;L'!$G$10:$G$11))*(H7*(1-MIN(30,'0. Assumptions'!$B$58)/30)+G7*MIN(30,'0. Assumptions'!$B$58)/30)),"")</f>
        <v>48624.46875</v>
      </c>
      <c r="I9" s="39">
        <f>IFERROR(IF('3-Year P&amp;L'!$B$9="","",('3-Year P&amp;L'!$B$9+'3-Year P&amp;L'!$B$9*SUMPRODUCT('3-Year P&amp;L'!$E$10:$E$11,'3-Year P&amp;L'!$G$10:$G$11))*(I7*(1-MIN(30,'0. Assumptions'!$B$58)/30)+H7*MIN(30,'0. Assumptions'!$B$58)/30)),"")</f>
        <v>29347.3125</v>
      </c>
      <c r="J9" s="39">
        <f>IFERROR(IF('3-Year P&amp;L'!$B$9="","",('3-Year P&amp;L'!$B$9+'3-Year P&amp;L'!$B$9*SUMPRODUCT('3-Year P&amp;L'!$E$10:$E$11,'3-Year P&amp;L'!$G$10:$G$11))*(J7*(1-MIN(30,'0. Assumptions'!$B$58)/30)+I7*MIN(30,'0. Assumptions'!$B$58)/30)),"")</f>
        <v>15968.390625</v>
      </c>
      <c r="K9" s="39">
        <f>IFERROR(IF('3-Year P&amp;L'!$B$9="","",('3-Year P&amp;L'!$B$9+'3-Year P&amp;L'!$B$9*SUMPRODUCT('3-Year P&amp;L'!$E$10:$E$11,'3-Year P&amp;L'!$G$10:$G$11))*(K7*(1-MIN(30,'0. Assumptions'!$B$58)/30)+J7*MIN(30,'0. Assumptions'!$B$58)/30)),"")</f>
        <v>25175.390624999996</v>
      </c>
      <c r="L9" s="39">
        <f>IFERROR(IF('3-Year P&amp;L'!$B$9="","",('3-Year P&amp;L'!$B$9+'3-Year P&amp;L'!$B$9*SUMPRODUCT('3-Year P&amp;L'!$E$10:$E$11,'3-Year P&amp;L'!$G$10:$G$11))*(L7*(1-MIN(30,'0. Assumptions'!$B$58)/30)+K7*MIN(30,'0. Assumptions'!$B$58)/30)),"")</f>
        <v>11796.468749999998</v>
      </c>
      <c r="M9" s="39">
        <f>IFERROR(IF('3-Year P&amp;L'!$B$9="","",('3-Year P&amp;L'!$B$9+'3-Year P&amp;L'!$B$9*SUMPRODUCT('3-Year P&amp;L'!$E$10:$E$11,'3-Year P&amp;L'!$G$10:$G$11))*(M7*(1-MIN(30,'0. Assumptions'!$B$58)/30)+L7*MIN(30,'0. Assumptions'!$B$58)/30)),"")</f>
        <v>12803.484374999998</v>
      </c>
      <c r="N9" s="39">
        <f>IFERROR(IF('3-Year P&amp;L'!$B$9="","",SUM(B9:M9)),"")</f>
        <v>413451.84375</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39">
        <f>IFERROR(IF('3-Year P&amp;L'!$B$9="","",-('3-Year P&amp;L'!$B$13*(1+'3-Year P&amp;L'!$G$13)+'3-Year P&amp;L'!$B$14*(1+'3-Year P&amp;L'!$G$14)+'3-Year P&amp;L'!$B$15*(1+'3-Year P&amp;L'!$G$15)+'3-Year P&amp;L'!$B$16*(1+'3-Year P&amp;L'!$G$16)+'3-Year P&amp;L'!$B$17*(1+'3-Year P&amp;L'!$G$17)+'3-Year P&amp;L'!$B$18*(1+'3-Year P&amp;L'!$G$18))*B7*(1-MIN(30,'0. Assumptions'!$B$59)/30)),"")</f>
        <v>-2372.0812499999993</v>
      </c>
      <c r="C11" s="39">
        <f>IFERROR(IF('3-Year P&amp;L'!$B$9="","",-('3-Year P&amp;L'!$B$13*(1+'3-Year P&amp;L'!$G$13)+'3-Year P&amp;L'!$B$14*(1+'3-Year P&amp;L'!$G$14)+'3-Year P&amp;L'!$B$15*(1+'3-Year P&amp;L'!$G$15)+'3-Year P&amp;L'!$B$16*(1+'3-Year P&amp;L'!$G$16)+'3-Year P&amp;L'!$B$17*(1+'3-Year P&amp;L'!$G$17)+'3-Year P&amp;L'!$B$18*(1+'3-Year P&amp;L'!$G$18))*(C7*(1-MIN(30,'0. Assumptions'!$B$59)/30)+B7*MIN(30,'0. Assumptions'!$B$59)/30)),"")</f>
        <v>-6141.996093749998</v>
      </c>
      <c r="D11" s="39">
        <f>IFERROR(IF('3-Year P&amp;L'!$B$9="","",-('3-Year P&amp;L'!$B$13*(1+'3-Year P&amp;L'!$G$13)+'3-Year P&amp;L'!$B$14*(1+'3-Year P&amp;L'!$G$14)+'3-Year P&amp;L'!$B$15*(1+'3-Year P&amp;L'!$G$15)+'3-Year P&amp;L'!$B$16*(1+'3-Year P&amp;L'!$G$16)+'3-Year P&amp;L'!$B$17*(1+'3-Year P&amp;L'!$G$17)+'3-Year P&amp;L'!$B$18*(1+'3-Year P&amp;L'!$G$18))*(D7*(1-MIN(30,'0. Assumptions'!$B$59)/30)+C7*MIN(30,'0. Assumptions'!$B$59)/30)),"")</f>
        <v>-9657.759375</v>
      </c>
      <c r="E11" s="39">
        <f>IFERROR(IF('3-Year P&amp;L'!$B$9="","",-('3-Year P&amp;L'!$B$13*(1+'3-Year P&amp;L'!$G$13)+'3-Year P&amp;L'!$B$14*(1+'3-Year P&amp;L'!$G$14)+'3-Year P&amp;L'!$B$15*(1+'3-Year P&amp;L'!$G$15)+'3-Year P&amp;L'!$B$16*(1+'3-Year P&amp;L'!$G$16)+'3-Year P&amp;L'!$B$17*(1+'3-Year P&amp;L'!$G$17)+'3-Year P&amp;L'!$B$18*(1+'3-Year P&amp;L'!$G$18))*(E7*(1-MIN(30,'0. Assumptions'!$B$59)/30)+D7*MIN(30,'0. Assumptions'!$B$59)/30)),"")</f>
        <v>-14486.639062499999</v>
      </c>
      <c r="F11" s="39">
        <f>IFERROR(IF('3-Year P&amp;L'!$B$9="","",-('3-Year P&amp;L'!$B$13*(1+'3-Year P&amp;L'!$G$13)+'3-Year P&amp;L'!$B$14*(1+'3-Year P&amp;L'!$G$14)+'3-Year P&amp;L'!$B$15*(1+'3-Year P&amp;L'!$G$15)+'3-Year P&amp;L'!$B$16*(1+'3-Year P&amp;L'!$G$16)+'3-Year P&amp;L'!$B$17*(1+'3-Year P&amp;L'!$G$17)+'3-Year P&amp;L'!$B$18*(1+'3-Year P&amp;L'!$G$18))*(F7*(1-MIN(30,'0. Assumptions'!$B$59)/30)+E7*MIN(30,'0. Assumptions'!$B$59)/30)),"")</f>
        <v>-19188.442968749998</v>
      </c>
      <c r="G11" s="39">
        <f>IFERROR(IF('3-Year P&amp;L'!$B$9="","",-('3-Year P&amp;L'!$B$13*(1+'3-Year P&amp;L'!$G$13)+'3-Year P&amp;L'!$B$14*(1+'3-Year P&amp;L'!$G$14)+'3-Year P&amp;L'!$B$15*(1+'3-Year P&amp;L'!$G$15)+'3-Year P&amp;L'!$B$16*(1+'3-Year P&amp;L'!$G$16)+'3-Year P&amp;L'!$B$17*(1+'3-Year P&amp;L'!$G$17)+'3-Year P&amp;L'!$B$18*(1+'3-Year P&amp;L'!$G$18))*(G7*(1-MIN(30,'0. Assumptions'!$B$59)/30)+F7*MIN(30,'0. Assumptions'!$B$59)/30)),"")</f>
        <v>-19950.897656249996</v>
      </c>
      <c r="H11" s="39">
        <f>IFERROR(IF('3-Year P&amp;L'!$B$9="","",-('3-Year P&amp;L'!$B$13*(1+'3-Year P&amp;L'!$G$13)+'3-Year P&amp;L'!$B$14*(1+'3-Year P&amp;L'!$G$14)+'3-Year P&amp;L'!$B$15*(1+'3-Year P&amp;L'!$G$15)+'3-Year P&amp;L'!$B$16*(1+'3-Year P&amp;L'!$G$16)+'3-Year P&amp;L'!$B$17*(1+'3-Year P&amp;L'!$G$17)+'3-Year P&amp;L'!$B$18*(1+'3-Year P&amp;L'!$G$18))*(H7*(1-MIN(30,'0. Assumptions'!$B$59)/30)+G7*MIN(30,'0. Assumptions'!$B$59)/30)),"")</f>
        <v>-16350.4171875</v>
      </c>
      <c r="I11" s="39">
        <f>IFERROR(IF('3-Year P&amp;L'!$B$9="","",-('3-Year P&amp;L'!$B$13*(1+'3-Year P&amp;L'!$G$13)+'3-Year P&amp;L'!$B$14*(1+'3-Year P&amp;L'!$G$14)+'3-Year P&amp;L'!$B$15*(1+'3-Year P&amp;L'!$G$15)+'3-Year P&amp;L'!$B$16*(1+'3-Year P&amp;L'!$G$16)+'3-Year P&amp;L'!$B$17*(1+'3-Year P&amp;L'!$G$17)+'3-Year P&amp;L'!$B$18*(1+'3-Year P&amp;L'!$G$18))*(I7*(1-MIN(30,'0. Assumptions'!$B$59)/30)+H7*MIN(30,'0. Assumptions'!$B$59)/30)),"")</f>
        <v>-10928.517187499998</v>
      </c>
      <c r="J11" s="39">
        <f>IFERROR(IF('3-Year P&amp;L'!$B$9="","",-('3-Year P&amp;L'!$B$13*(1+'3-Year P&amp;L'!$G$13)+'3-Year P&amp;L'!$B$14*(1+'3-Year P&amp;L'!$G$14)+'3-Year P&amp;L'!$B$15*(1+'3-Year P&amp;L'!$G$15)+'3-Year P&amp;L'!$B$16*(1+'3-Year P&amp;L'!$G$16)+'3-Year P&amp;L'!$B$17*(1+'3-Year P&amp;L'!$G$17)+'3-Year P&amp;L'!$B$18*(1+'3-Year P&amp;L'!$G$18))*(J7*(1-MIN(30,'0. Assumptions'!$B$59)/30)+I7*MIN(30,'0. Assumptions'!$B$59)/30)),"")</f>
        <v>-6226.713281249999</v>
      </c>
      <c r="K11" s="39">
        <f>IFERROR(IF('3-Year P&amp;L'!$B$9="","",-('3-Year P&amp;L'!$B$13*(1+'3-Year P&amp;L'!$G$13)+'3-Year P&amp;L'!$B$14*(1+'3-Year P&amp;L'!$G$14)+'3-Year P&amp;L'!$B$15*(1+'3-Year P&amp;L'!$G$15)+'3-Year P&amp;L'!$B$16*(1+'3-Year P&amp;L'!$G$16)+'3-Year P&amp;L'!$B$17*(1+'3-Year P&amp;L'!$G$17)+'3-Year P&amp;L'!$B$18*(1+'3-Year P&amp;L'!$G$18))*(K7*(1-MIN(30,'0. Assumptions'!$B$59)/30)+J7*MIN(30,'0. Assumptions'!$B$59)/30)),"")</f>
        <v>-6141.996093749999</v>
      </c>
      <c r="L11" s="39">
        <f>IFERROR(IF('3-Year P&amp;L'!$B$9="","",-('3-Year P&amp;L'!$B$13*(1+'3-Year P&amp;L'!$G$13)+'3-Year P&amp;L'!$B$14*(1+'3-Year P&amp;L'!$G$14)+'3-Year P&amp;L'!$B$15*(1+'3-Year P&amp;L'!$G$15)+'3-Year P&amp;L'!$B$16*(1+'3-Year P&amp;L'!$G$16)+'3-Year P&amp;L'!$B$17*(1+'3-Year P&amp;L'!$G$17)+'3-Year P&amp;L'!$B$18*(1+'3-Year P&amp;L'!$G$18))*(L7*(1-MIN(30,'0. Assumptions'!$B$59)/30)+K7*MIN(30,'0. Assumptions'!$B$59)/30)),"")</f>
        <v>-5252.465625</v>
      </c>
      <c r="M11" s="39">
        <f>IFERROR(IF('3-Year P&amp;L'!$B$9="","",-('3-Year P&amp;L'!$B$13*(1+'3-Year P&amp;L'!$G$13)+'3-Year P&amp;L'!$B$14*(1+'3-Year P&amp;L'!$G$14)+'3-Year P&amp;L'!$B$15*(1+'3-Year P&amp;L'!$G$15)+'3-Year P&amp;L'!$B$16*(1+'3-Year P&amp;L'!$G$16)+'3-Year P&amp;L'!$B$17*(1+'3-Year P&amp;L'!$G$17)+'3-Year P&amp;L'!$B$18*(1+'3-Year P&amp;L'!$G$18))*(M7*(1-MIN(30,'0. Assumptions'!$B$59)/30)+L7*MIN(30,'0. Assumptions'!$B$59)/30)),"")</f>
        <v>-3515.763281249999</v>
      </c>
      <c r="N11" s="39">
        <f>IFERROR(IF('3-Year P&amp;L'!$B$9="","",SUM(B11:M11)),"")</f>
        <v>-120213.6890625</v>
      </c>
      <c r="O11" s="28"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8" t="inlineStr">
        <is>
          <t>Operating fixed costs (incl. sales tax)</t>
        </is>
      </c>
      <c r="B12" s="39">
        <f>IFERROR(IF('3-Year P&amp;L'!$B$9="","",-('3-Year P&amp;L'!$B$38-'3-Year P&amp;L'!$B$23-'3-Year P&amp;L'!$B$36-'3-Year P&amp;L'!$B$37+'3-Year P&amp;L'!$B$40)/12),"")</f>
        <v>-5558.333333333333</v>
      </c>
      <c r="C12" s="39">
        <f>IFERROR(IF('3-Year P&amp;L'!$B$9="","",-('3-Year P&amp;L'!$B$38-'3-Year P&amp;L'!$B$23-'3-Year P&amp;L'!$B$36-'3-Year P&amp;L'!$B$37+'3-Year P&amp;L'!$B$40)/12),"")</f>
        <v>-5558.333333333333</v>
      </c>
      <c r="D12" s="39">
        <f>IFERROR(IF('3-Year P&amp;L'!$B$9="","",-('3-Year P&amp;L'!$B$38-'3-Year P&amp;L'!$B$23-'3-Year P&amp;L'!$B$36-'3-Year P&amp;L'!$B$37+'3-Year P&amp;L'!$B$40)/12),"")</f>
        <v>-5558.333333333333</v>
      </c>
      <c r="E12" s="39">
        <f>IFERROR(IF('3-Year P&amp;L'!$B$9="","",-('3-Year P&amp;L'!$B$38-'3-Year P&amp;L'!$B$23-'3-Year P&amp;L'!$B$36-'3-Year P&amp;L'!$B$37+'3-Year P&amp;L'!$B$40)/12),"")</f>
        <v>-5558.333333333333</v>
      </c>
      <c r="F12" s="39">
        <f>IFERROR(IF('3-Year P&amp;L'!$B$9="","",-('3-Year P&amp;L'!$B$38-'3-Year P&amp;L'!$B$23-'3-Year P&amp;L'!$B$36-'3-Year P&amp;L'!$B$37+'3-Year P&amp;L'!$B$40)/12),"")</f>
        <v>-5558.333333333333</v>
      </c>
      <c r="G12" s="39">
        <f>IFERROR(IF('3-Year P&amp;L'!$B$9="","",-('3-Year P&amp;L'!$B$38-'3-Year P&amp;L'!$B$23-'3-Year P&amp;L'!$B$36-'3-Year P&amp;L'!$B$37+'3-Year P&amp;L'!$B$40)/12),"")</f>
        <v>-5558.333333333333</v>
      </c>
      <c r="H12" s="39">
        <f>IFERROR(IF('3-Year P&amp;L'!$B$9="","",-('3-Year P&amp;L'!$B$38-'3-Year P&amp;L'!$B$23-'3-Year P&amp;L'!$B$36-'3-Year P&amp;L'!$B$37+'3-Year P&amp;L'!$B$40)/12),"")</f>
        <v>-5558.333333333333</v>
      </c>
      <c r="I12" s="39">
        <f>IFERROR(IF('3-Year P&amp;L'!$B$9="","",-('3-Year P&amp;L'!$B$38-'3-Year P&amp;L'!$B$23-'3-Year P&amp;L'!$B$36-'3-Year P&amp;L'!$B$37+'3-Year P&amp;L'!$B$40)/12),"")</f>
        <v>-5558.333333333333</v>
      </c>
      <c r="J12" s="39">
        <f>IFERROR(IF('3-Year P&amp;L'!$B$9="","",-('3-Year P&amp;L'!$B$38-'3-Year P&amp;L'!$B$23-'3-Year P&amp;L'!$B$36-'3-Year P&amp;L'!$B$37+'3-Year P&amp;L'!$B$40)/12),"")</f>
        <v>-5558.333333333333</v>
      </c>
      <c r="K12" s="39">
        <f>IFERROR(IF('3-Year P&amp;L'!$B$9="","",-('3-Year P&amp;L'!$B$38-'3-Year P&amp;L'!$B$23-'3-Year P&amp;L'!$B$36-'3-Year P&amp;L'!$B$37+'3-Year P&amp;L'!$B$40)/12),"")</f>
        <v>-5558.333333333333</v>
      </c>
      <c r="L12" s="39">
        <f>IFERROR(IF('3-Year P&amp;L'!$B$9="","",-('3-Year P&amp;L'!$B$38-'3-Year P&amp;L'!$B$23-'3-Year P&amp;L'!$B$36-'3-Year P&amp;L'!$B$37+'3-Year P&amp;L'!$B$40)/12),"")</f>
        <v>-5558.333333333333</v>
      </c>
      <c r="M12" s="39">
        <f>IFERROR(IF('3-Year P&amp;L'!$B$9="","",-('3-Year P&amp;L'!$B$38-'3-Year P&amp;L'!$B$23-'3-Year P&amp;L'!$B$36-'3-Year P&amp;L'!$B$37+'3-Year P&amp;L'!$B$40)/12),"")</f>
        <v>-5558.333333333333</v>
      </c>
      <c r="N12" s="39">
        <f>IFERROR(IF('3-Year P&amp;L'!$B$9="","",SUM(B12:M12)),"")</f>
        <v>-66700.0</v>
      </c>
      <c r="O12" s="28" t="inlineStr">
        <is>
          <t>The fixed costs that leave cash, each with its own tax rate: insurance carries none</t>
        </is>
      </c>
    </row>
    <row r="13">
      <c r="A13" s="28" t="inlineStr">
        <is>
          <t>Payroll and employer payroll taxes</t>
        </is>
      </c>
      <c r="B13" s="39">
        <f>IFERROR(IF('3-Year P&amp;L'!$B$9="","",-'3-Year P&amp;L'!$B$23/MAX(12,'0. Assumptions'!$B$21)*(1+IF(1='0. Assumptions'!$B$60,(MAX(12,'0. Assumptions'!$B$21)-12)/2,0)+IF(1='0. Assumptions'!$B$61,(MAX(12,'0. Assumptions'!$B$21)-12)/2,0))),"")</f>
        <v>-10682.1</v>
      </c>
      <c r="C13" s="39">
        <f>IFERROR(IF('3-Year P&amp;L'!$B$9="","",-'3-Year P&amp;L'!$B$23/MAX(12,'0. Assumptions'!$B$21)*(1+IF(2='0. Assumptions'!$B$60,(MAX(12,'0. Assumptions'!$B$21)-12)/2,0)+IF(2='0. Assumptions'!$B$61,(MAX(12,'0. Assumptions'!$B$21)-12)/2,0))),"")</f>
        <v>-10682.1</v>
      </c>
      <c r="D13" s="39">
        <f>IFERROR(IF('3-Year P&amp;L'!$B$9="","",-'3-Year P&amp;L'!$B$23/MAX(12,'0. Assumptions'!$B$21)*(1+IF(3='0. Assumptions'!$B$60,(MAX(12,'0. Assumptions'!$B$21)-12)/2,0)+IF(3='0. Assumptions'!$B$61,(MAX(12,'0. Assumptions'!$B$21)-12)/2,0))),"")</f>
        <v>-10682.1</v>
      </c>
      <c r="E13" s="39">
        <f>IFERROR(IF('3-Year P&amp;L'!$B$9="","",-'3-Year P&amp;L'!$B$23/MAX(12,'0. Assumptions'!$B$21)*(1+IF(4='0. Assumptions'!$B$60,(MAX(12,'0. Assumptions'!$B$21)-12)/2,0)+IF(4='0. Assumptions'!$B$61,(MAX(12,'0. Assumptions'!$B$21)-12)/2,0))),"")</f>
        <v>-10682.1</v>
      </c>
      <c r="F13" s="39">
        <f>IFERROR(IF('3-Year P&amp;L'!$B$9="","",-'3-Year P&amp;L'!$B$23/MAX(12,'0. Assumptions'!$B$21)*(1+IF(5='0. Assumptions'!$B$60,(MAX(12,'0. Assumptions'!$B$21)-12)/2,0)+IF(5='0. Assumptions'!$B$61,(MAX(12,'0. Assumptions'!$B$21)-12)/2,0))),"")</f>
        <v>-10682.1</v>
      </c>
      <c r="G13" s="39">
        <f>IFERROR(IF('3-Year P&amp;L'!$B$9="","",-'3-Year P&amp;L'!$B$23/MAX(12,'0. Assumptions'!$B$21)*(1+IF(6='0. Assumptions'!$B$60,(MAX(12,'0. Assumptions'!$B$21)-12)/2,0)+IF(6='0. Assumptions'!$B$61,(MAX(12,'0. Assumptions'!$B$21)-12)/2,0))),"")</f>
        <v>-10682.1</v>
      </c>
      <c r="H13" s="39">
        <f>IFERROR(IF('3-Year P&amp;L'!$B$9="","",-'3-Year P&amp;L'!$B$23/MAX(12,'0. Assumptions'!$B$21)*(1+IF(7='0. Assumptions'!$B$60,(MAX(12,'0. Assumptions'!$B$21)-12)/2,0)+IF(7='0. Assumptions'!$B$61,(MAX(12,'0. Assumptions'!$B$21)-12)/2,0))),"")</f>
        <v>-10682.1</v>
      </c>
      <c r="I13" s="39">
        <f>IFERROR(IF('3-Year P&amp;L'!$B$9="","",-'3-Year P&amp;L'!$B$23/MAX(12,'0. Assumptions'!$B$21)*(1+IF(8='0. Assumptions'!$B$60,(MAX(12,'0. Assumptions'!$B$21)-12)/2,0)+IF(8='0. Assumptions'!$B$61,(MAX(12,'0. Assumptions'!$B$21)-12)/2,0))),"")</f>
        <v>-10682.1</v>
      </c>
      <c r="J13" s="39">
        <f>IFERROR(IF('3-Year P&amp;L'!$B$9="","",-'3-Year P&amp;L'!$B$23/MAX(12,'0. Assumptions'!$B$21)*(1+IF(9='0. Assumptions'!$B$60,(MAX(12,'0. Assumptions'!$B$21)-12)/2,0)+IF(9='0. Assumptions'!$B$61,(MAX(12,'0. Assumptions'!$B$21)-12)/2,0))),"")</f>
        <v>-10682.1</v>
      </c>
      <c r="K13" s="39">
        <f>IFERROR(IF('3-Year P&amp;L'!$B$9="","",-'3-Year P&amp;L'!$B$23/MAX(12,'0. Assumptions'!$B$21)*(1+IF(10='0. Assumptions'!$B$60,(MAX(12,'0. Assumptions'!$B$21)-12)/2,0)+IF(10='0. Assumptions'!$B$61,(MAX(12,'0. Assumptions'!$B$21)-12)/2,0))),"")</f>
        <v>-10682.1</v>
      </c>
      <c r="L13" s="39">
        <f>IFERROR(IF('3-Year P&amp;L'!$B$9="","",-'3-Year P&amp;L'!$B$23/MAX(12,'0. Assumptions'!$B$21)*(1+IF(11='0. Assumptions'!$B$60,(MAX(12,'0. Assumptions'!$B$21)-12)/2,0)+IF(11='0. Assumptions'!$B$61,(MAX(12,'0. Assumptions'!$B$21)-12)/2,0))),"")</f>
        <v>-10682.1</v>
      </c>
      <c r="M13" s="39">
        <f>IFERROR(IF('3-Year P&amp;L'!$B$9="","",-'3-Year P&amp;L'!$B$23/MAX(12,'0. Assumptions'!$B$21)*(1+IF(12='0. Assumptions'!$B$60,(MAX(12,'0. Assumptions'!$B$21)-12)/2,0)+IF(12='0. Assumptions'!$B$61,(MAX(12,'0. Assumptions'!$B$21)-12)/2,0))),"")</f>
        <v>-10682.1</v>
      </c>
      <c r="N13" s="39">
        <f>IFERROR(IF('3-Year P&amp;L'!$B$9="","",SUM(B13:M13)),"")</f>
        <v>-128185.20000000001</v>
      </c>
      <c r="O13" s="28" t="inlineStr">
        <is>
          <t>Twelve monthly payments, with no extra pay months unless you enter more than 12 pay periods on "0. Assumptions". The yearly total matches the P&amp;L. Payroll is spread over twelve months, but seasonal staff only get paid in season, so winter shows up more expensive and summer cheaper than reality: that is the prudent side. March and February barely change, but from June to January your real cash will be lower than on this tab (in the case, by about $13,800 at the end of September)</t>
        </is>
      </c>
    </row>
    <row r="14">
      <c r="A14" s="28" t="inlineStr">
        <is>
          <t>Loan interest</t>
        </is>
      </c>
      <c r="B14" s="39">
        <f>IFERROR(IF('3-Year P&amp;L'!$B$9="","",-Financing!$B$44/12),"")</f>
        <v>-1350.0</v>
      </c>
      <c r="C14" s="39">
        <f>IFERROR(IF('3-Year P&amp;L'!$B$9="","",-Financing!$B$44/12),"")</f>
        <v>-1350.0</v>
      </c>
      <c r="D14" s="39">
        <f>IFERROR(IF('3-Year P&amp;L'!$B$9="","",-Financing!$B$44/12),"")</f>
        <v>-1350.0</v>
      </c>
      <c r="E14" s="39">
        <f>IFERROR(IF('3-Year P&amp;L'!$B$9="","",-Financing!$B$44/12),"")</f>
        <v>-1350.0</v>
      </c>
      <c r="F14" s="39">
        <f>IFERROR(IF('3-Year P&amp;L'!$B$9="","",-Financing!$B$44/12),"")</f>
        <v>-1350.0</v>
      </c>
      <c r="G14" s="39">
        <f>IFERROR(IF('3-Year P&amp;L'!$B$9="","",-Financing!$B$44/12),"")</f>
        <v>-1350.0</v>
      </c>
      <c r="H14" s="39">
        <f>IFERROR(IF('3-Year P&amp;L'!$B$9="","",-Financing!$B$44/12),"")</f>
        <v>-1350.0</v>
      </c>
      <c r="I14" s="39">
        <f>IFERROR(IF('3-Year P&amp;L'!$B$9="","",-Financing!$B$44/12),"")</f>
        <v>-1350.0</v>
      </c>
      <c r="J14" s="39">
        <f>IFERROR(IF('3-Year P&amp;L'!$B$9="","",-Financing!$B$44/12),"")</f>
        <v>-1350.0</v>
      </c>
      <c r="K14" s="39">
        <f>IFERROR(IF('3-Year P&amp;L'!$B$9="","",-Financing!$B$44/12),"")</f>
        <v>-1350.0</v>
      </c>
      <c r="L14" s="39">
        <f>IFERROR(IF('3-Year P&amp;L'!$B$9="","",-Financing!$B$44/12),"")</f>
        <v>-1350.0</v>
      </c>
      <c r="M14" s="39">
        <f>IFERROR(IF('3-Year P&amp;L'!$B$9="","",-Financing!$B$44/12),"")</f>
        <v>-1350.0</v>
      </c>
      <c r="N14" s="39">
        <f>IFERROR(IF('3-Year P&amp;L'!$B$9="","",SUM(B14:M14)),"")</f>
        <v>-16200.0</v>
      </c>
      <c r="O14" s="28" t="n"/>
    </row>
    <row r="15">
      <c r="A15" s="28" t="inlineStr">
        <is>
          <t>Loan principal repaid</t>
        </is>
      </c>
      <c r="B15" s="39">
        <f>IFERROR(IF('3-Year P&amp;L'!$B$9="","",-Financing!$B$45/12),"")</f>
        <v>-847.0628309139056</v>
      </c>
      <c r="C15" s="39">
        <f>IFERROR(IF('3-Year P&amp;L'!$B$9="","",-Financing!$B$45/12),"")</f>
        <v>-847.0628309139056</v>
      </c>
      <c r="D15" s="39">
        <f>IFERROR(IF('3-Year P&amp;L'!$B$9="","",-Financing!$B$45/12),"")</f>
        <v>-847.0628309139056</v>
      </c>
      <c r="E15" s="39">
        <f>IFERROR(IF('3-Year P&amp;L'!$B$9="","",-Financing!$B$45/12),"")</f>
        <v>-847.0628309139056</v>
      </c>
      <c r="F15" s="39">
        <f>IFERROR(IF('3-Year P&amp;L'!$B$9="","",-Financing!$B$45/12),"")</f>
        <v>-847.0628309139056</v>
      </c>
      <c r="G15" s="39">
        <f>IFERROR(IF('3-Year P&amp;L'!$B$9="","",-Financing!$B$45/12),"")</f>
        <v>-847.0628309139056</v>
      </c>
      <c r="H15" s="39">
        <f>IFERROR(IF('3-Year P&amp;L'!$B$9="","",-Financing!$B$45/12),"")</f>
        <v>-847.0628309139056</v>
      </c>
      <c r="I15" s="39">
        <f>IFERROR(IF('3-Year P&amp;L'!$B$9="","",-Financing!$B$45/12),"")</f>
        <v>-847.0628309139056</v>
      </c>
      <c r="J15" s="39">
        <f>IFERROR(IF('3-Year P&amp;L'!$B$9="","",-Financing!$B$45/12),"")</f>
        <v>-847.0628309139056</v>
      </c>
      <c r="K15" s="39">
        <f>IFERROR(IF('3-Year P&amp;L'!$B$9="","",-Financing!$B$45/12),"")</f>
        <v>-847.0628309139056</v>
      </c>
      <c r="L15" s="39">
        <f>IFERROR(IF('3-Year P&amp;L'!$B$9="","",-Financing!$B$45/12),"")</f>
        <v>-847.0628309139056</v>
      </c>
      <c r="M15" s="39">
        <f>IFERROR(IF('3-Year P&amp;L'!$B$9="","",-Financing!$B$45/12),"")</f>
        <v>-847.0628309139056</v>
      </c>
      <c r="N15" s="39">
        <f>IFERROR(IF('3-Year P&amp;L'!$B$9="","",SUM(B15:M15)),"")</f>
        <v>-10164.753970966867</v>
      </c>
      <c r="O15" s="28" t="n"/>
    </row>
    <row r="16">
      <c r="A16" s="28" t="inlineStr">
        <is>
          <t>Sales tax collected (memo)</t>
        </is>
      </c>
      <c r="B16" s="39">
        <f>IFERROR(IF('3-Year P&amp;L'!$B$9="","",'3-Year P&amp;L'!$B$9*B7*SUMPRODUCT('3-Year P&amp;L'!$E$10:$E$11,'3-Year P&amp;L'!$G$10:$G$11)),"")</f>
        <v>1118.9062499999998</v>
      </c>
      <c r="C16" s="39">
        <f>IFERROR(IF('3-Year P&amp;L'!$B$9="","",'3-Year P&amp;L'!$B$9*C7*SUMPRODUCT('3-Year P&amp;L'!$E$10:$E$11,'3-Year P&amp;L'!$G$10:$G$11)),"")</f>
        <v>1918.1249999999998</v>
      </c>
      <c r="D16" s="39">
        <f>IFERROR(IF('3-Year P&amp;L'!$B$9="","",'3-Year P&amp;L'!$B$9*D7*SUMPRODUCT('3-Year P&amp;L'!$E$10:$E$11,'3-Year P&amp;L'!$G$10:$G$11)),"")</f>
        <v>2877.1875</v>
      </c>
      <c r="E16" s="39">
        <f>IFERROR(IF('3-Year P&amp;L'!$B$9="","",'3-Year P&amp;L'!$B$9*E7*SUMPRODUCT('3-Year P&amp;L'!$E$10:$E$11,'3-Year P&amp;L'!$G$10:$G$11)),"")</f>
        <v>4315.78125</v>
      </c>
      <c r="F16" s="39">
        <f>IFERROR(IF('3-Year P&amp;L'!$B$9="","",'3-Year P&amp;L'!$B$9*F7*SUMPRODUCT('3-Year P&amp;L'!$E$10:$E$11,'3-Year P&amp;L'!$G$10:$G$11)),"")</f>
        <v>5274.84375</v>
      </c>
      <c r="G16" s="39">
        <f>IFERROR(IF('3-Year P&amp;L'!$B$9="","",'3-Year P&amp;L'!$B$9*G7*SUMPRODUCT('3-Year P&amp;L'!$E$10:$E$11,'3-Year P&amp;L'!$G$10:$G$11)),"")</f>
        <v>4795.312499999999</v>
      </c>
      <c r="H16" s="39">
        <f>IFERROR(IF('3-Year P&amp;L'!$B$9="","",'3-Year P&amp;L'!$B$9*H7*SUMPRODUCT('3-Year P&amp;L'!$E$10:$E$11,'3-Year P&amp;L'!$G$10:$G$11)),"")</f>
        <v>3516.5625</v>
      </c>
      <c r="I16" s="39">
        <f>IFERROR(IF('3-Year P&amp;L'!$B$9="","",'3-Year P&amp;L'!$B$9*I7*SUMPRODUCT('3-Year P&amp;L'!$E$10:$E$11,'3-Year P&amp;L'!$G$10:$G$11)),"")</f>
        <v>2077.96875</v>
      </c>
      <c r="J16" s="39">
        <f>IFERROR(IF('3-Year P&amp;L'!$B$9="","",'3-Year P&amp;L'!$B$9*J7*SUMPRODUCT('3-Year P&amp;L'!$E$10:$E$11,'3-Year P&amp;L'!$G$10:$G$11)),"")</f>
        <v>1118.90625</v>
      </c>
      <c r="K16" s="39">
        <f>IFERROR(IF('3-Year P&amp;L'!$B$9="","",'3-Year P&amp;L'!$B$9*K7*SUMPRODUCT('3-Year P&amp;L'!$E$10:$E$11,'3-Year P&amp;L'!$G$10:$G$11)),"")</f>
        <v>1918.1249999999998</v>
      </c>
      <c r="L16" s="39">
        <f>IFERROR(IF('3-Year P&amp;L'!$B$9="","",'3-Year P&amp;L'!$B$9*L7*SUMPRODUCT('3-Year P&amp;L'!$E$10:$E$11,'3-Year P&amp;L'!$G$10:$G$11)),"")</f>
        <v>799.21875</v>
      </c>
      <c r="M16" s="39">
        <f>IFERROR(IF('3-Year P&amp;L'!$B$9="","",'3-Year P&amp;L'!$B$9*M7*SUMPRODUCT('3-Year P&amp;L'!$E$10:$E$11,'3-Year P&amp;L'!$G$10:$G$11)),"")</f>
        <v>959.0624999999999</v>
      </c>
      <c r="N16" s="39">
        <f>IFERROR(IF('3-Year P&amp;L'!$B$9="","",SUM(B16:M16)),"")</f>
        <v>30690.0</v>
      </c>
      <c r="O16" s="28" t="inlineStr">
        <is>
          <t>Each sales line at ITS rate, read from the sales tax column of the P&amp;L: one example rate for the whole book. Prepared food is taxed at the counter, on the patio and to go; packaged pints and whole cakes may be exempt as groceries in some states, so check yours</t>
        </is>
      </c>
    </row>
    <row r="17">
      <c r="A17" s="28" t="inlineStr">
        <is>
          <t>Recoverable input tax (memo)</t>
        </is>
      </c>
      <c r="B17" s="39">
        <f>IFERROR(IF('3-Year P&amp;L'!$B$9="","",'3-Year P&amp;L'!$B$39*B7+'3-Year P&amp;L'!$B$40/12),"")</f>
        <v>0.0</v>
      </c>
      <c r="C17" s="39">
        <f>IFERROR(IF('3-Year P&amp;L'!$B$9="","",'3-Year P&amp;L'!$B$39*C7+'3-Year P&amp;L'!$B$40/12),"")</f>
        <v>0.0</v>
      </c>
      <c r="D17" s="39">
        <f>IFERROR(IF('3-Year P&amp;L'!$B$9="","",'3-Year P&amp;L'!$B$39*D7+'3-Year P&amp;L'!$B$40/12),"")</f>
        <v>0.0</v>
      </c>
      <c r="E17" s="39">
        <f>IFERROR(IF('3-Year P&amp;L'!$B$9="","",'3-Year P&amp;L'!$B$39*E7+'3-Year P&amp;L'!$B$40/12),"")</f>
        <v>0.0</v>
      </c>
      <c r="F17" s="39">
        <f>IFERROR(IF('3-Year P&amp;L'!$B$9="","",'3-Year P&amp;L'!$B$39*F7+'3-Year P&amp;L'!$B$40/12),"")</f>
        <v>0.0</v>
      </c>
      <c r="G17" s="39">
        <f>IFERROR(IF('3-Year P&amp;L'!$B$9="","",'3-Year P&amp;L'!$B$39*G7+'3-Year P&amp;L'!$B$40/12),"")</f>
        <v>0.0</v>
      </c>
      <c r="H17" s="39">
        <f>IFERROR(IF('3-Year P&amp;L'!$B$9="","",'3-Year P&amp;L'!$B$39*H7+'3-Year P&amp;L'!$B$40/12),"")</f>
        <v>0.0</v>
      </c>
      <c r="I17" s="39">
        <f>IFERROR(IF('3-Year P&amp;L'!$B$9="","",'3-Year P&amp;L'!$B$39*I7+'3-Year P&amp;L'!$B$40/12),"")</f>
        <v>0.0</v>
      </c>
      <c r="J17" s="39">
        <f>IFERROR(IF('3-Year P&amp;L'!$B$9="","",'3-Year P&amp;L'!$B$39*J7+'3-Year P&amp;L'!$B$40/12),"")</f>
        <v>0.0</v>
      </c>
      <c r="K17" s="39">
        <f>IFERROR(IF('3-Year P&amp;L'!$B$9="","",'3-Year P&amp;L'!$B$39*K7+'3-Year P&amp;L'!$B$40/12),"")</f>
        <v>0.0</v>
      </c>
      <c r="L17" s="39">
        <f>IFERROR(IF('3-Year P&amp;L'!$B$9="","",'3-Year P&amp;L'!$B$39*L7+'3-Year P&amp;L'!$B$40/12),"")</f>
        <v>0.0</v>
      </c>
      <c r="M17" s="39">
        <f>IFERROR(IF('3-Year P&amp;L'!$B$9="","",'3-Year P&amp;L'!$B$39*M7+'3-Year P&amp;L'!$B$40/12),"")</f>
        <v>0.0</v>
      </c>
      <c r="N17" s="39">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39">
        <f>IFERROR(IF('3-Year P&amp;L'!$B$9="","",'Startup Costs'!$B$33),"")</f>
        <v>0.0</v>
      </c>
      <c r="F18" s="28" t="n"/>
      <c r="G18" s="28" t="n"/>
      <c r="H18" s="39">
        <f>IFERROR(IF('3-Year P&amp;L'!$B$9="","",MAX(0,-E19)),"")</f>
        <v>0.0</v>
      </c>
      <c r="I18" s="28" t="n"/>
      <c r="J18" s="28" t="n"/>
      <c r="K18" s="39">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39">
        <f>IFERROR(IF('3-Year P&amp;L'!$B$9="","",SUM(B16:D16)-SUM(B17:D17)-E18),"")</f>
        <v>5914.21875</v>
      </c>
      <c r="F19" s="28" t="n"/>
      <c r="G19" s="28" t="n"/>
      <c r="H19" s="39">
        <f>IFERROR(IF('3-Year P&amp;L'!$B$9="","",SUM(E16:G16)-SUM(E17:G17)-H18),"")</f>
        <v>14385.9375</v>
      </c>
      <c r="I19" s="28" t="n"/>
      <c r="J19" s="28" t="n"/>
      <c r="K19" s="39">
        <f>IFERROR(IF('3-Year P&amp;L'!$B$9="","",SUM(H16:J16)-SUM(H17:J17)-K18),"")</f>
        <v>6713.4375</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39">
        <f>IFERROR(IF('3-Year P&amp;L'!$B$9="","",IF(E19&lt;=0,"",-E19)),"")</f>
        <v>-5914.21875</v>
      </c>
      <c r="F20" s="28" t="n"/>
      <c r="G20" s="28" t="n"/>
      <c r="H20" s="39">
        <f>IFERROR(IF('3-Year P&amp;L'!$B$9="","",IF(H19&lt;=0,"",-H19)),"")</f>
        <v>-14385.9375</v>
      </c>
      <c r="I20" s="28" t="n"/>
      <c r="J20" s="28" t="n"/>
      <c r="K20" s="39">
        <f>IFERROR(IF('3-Year P&amp;L'!$B$9="","",IF(K19&lt;=0,"",-K19)),"")</f>
        <v>-6713.4375</v>
      </c>
      <c r="L20" s="28" t="n"/>
      <c r="M20" s="28" t="n"/>
      <c r="N20" s="39">
        <f>IFERROR(IF('3-Year P&amp;L'!$B$9="","",SUM(B20:M20)),"")</f>
        <v>-27013.59375</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June, September and December with Month 1 in March; the fourth quarter is remitted in Month 13): if your state requires monthly filing, expect smaller payments every month instead</t>
        </is>
      </c>
    </row>
    <row r="21">
      <c r="A21" s="25" t="inlineStr">
        <is>
          <t>MONTHLY NET CASH FLOW</t>
        </is>
      </c>
      <c r="B21" s="76">
        <f>IFERROR(IF('3-Year P&amp;L'!$B$9="","",SUM(B9:B15)+IF(B20="",0,B20)),"")</f>
        <v>-6711.35866424724</v>
      </c>
      <c r="C21" s="76">
        <f>IFERROR(IF('3-Year P&amp;L'!$B$9="","",SUM(C9:C15)+IF(C20="",0,C20)),"")</f>
        <v>595.8983670027546</v>
      </c>
      <c r="D21" s="76">
        <f>IFERROR(IF('3-Year P&amp;L'!$B$9="","",SUM(D9:D15)+IF(D20="",0,D20)),"")</f>
        <v>9883.619460752761</v>
      </c>
      <c r="E21" s="76">
        <f>IFERROR(IF('3-Year P&amp;L'!$B$9="","",SUM(E9:E15)+IF(E20="",0,E20)),"")</f>
        <v>18129.958523252768</v>
      </c>
      <c r="F21" s="76">
        <f>IFERROR(IF('3-Year P&amp;L'!$B$9="","",SUM(F9:F15)+IF(F20="",0,F20)),"")</f>
        <v>32721.295242002765</v>
      </c>
      <c r="G21" s="76">
        <f>IFERROR(IF('3-Year P&amp;L'!$B$9="","",SUM(G9:G15)+IF(G20="",0,G20)),"")</f>
        <v>26779.90305450275</v>
      </c>
      <c r="H21" s="76">
        <f>IFERROR(IF('3-Year P&amp;L'!$B$9="","",SUM(H9:H15)+IF(H20="",0,H20)),"")</f>
        <v>-549.3821017472364</v>
      </c>
      <c r="I21" s="76">
        <f>IFERROR(IF('3-Year P&amp;L'!$B$9="","",SUM(I9:I15)+IF(I20="",0,I20)),"")</f>
        <v>-18.7008517472359</v>
      </c>
      <c r="J21" s="76">
        <f>IFERROR(IF('3-Year P&amp;L'!$B$9="","",SUM(J9:J15)+IF(J20="",0,J20)),"")</f>
        <v>-8695.818820497238</v>
      </c>
      <c r="K21" s="76">
        <f>IFERROR(IF('3-Year P&amp;L'!$B$9="","",SUM(K9:K15)+IF(K20="",0,K20)),"")</f>
        <v>-6117.539132997242</v>
      </c>
      <c r="L21" s="76">
        <f>IFERROR(IF('3-Year P&amp;L'!$B$9="","",SUM(L9:L15)+IF(L20="",0,L20)),"")</f>
        <v>-11893.493039247242</v>
      </c>
      <c r="M21" s="76">
        <f>IFERROR(IF('3-Year P&amp;L'!$B$9="","",SUM(M9:M15)+IF(M20="",0,M20)),"")</f>
        <v>-9149.775070497242</v>
      </c>
      <c r="N21" s="76">
        <f>IFERROR(IF('3-Year P&amp;L'!$B$9="","",SUM(B21:M21)),"")</f>
        <v>44974.6069665331</v>
      </c>
      <c r="O21" s="28" t="n"/>
    </row>
    <row r="22">
      <c r="A22" s="25" t="inlineStr">
        <is>
          <t>CUMULATIVE CASH BALANCE</t>
        </is>
      </c>
      <c r="B22" s="76">
        <f>IFERROR(IF('3-Year P&amp;L'!$B$9="","",'Startup Costs'!$B$30+B21),"")</f>
        <v>46059.94133575277</v>
      </c>
      <c r="C22" s="76">
        <f>IFERROR(IF('3-Year P&amp;L'!$B$9="","",B22+C21),"")</f>
        <v>46655.83970275552</v>
      </c>
      <c r="D22" s="76">
        <f>IFERROR(IF('3-Year P&amp;L'!$B$9="","",C22+D21),"")</f>
        <v>56539.459163508276</v>
      </c>
      <c r="E22" s="76">
        <f>IFERROR(IF('3-Year P&amp;L'!$B$9="","",D22+E21),"")</f>
        <v>74669.41768676104</v>
      </c>
      <c r="F22" s="76">
        <f>IFERROR(IF('3-Year P&amp;L'!$B$9="","",E22+F21),"")</f>
        <v>107390.7129287638</v>
      </c>
      <c r="G22" s="76">
        <f>IFERROR(IF('3-Year P&amp;L'!$B$9="","",F22+G21),"")</f>
        <v>134170.61598326656</v>
      </c>
      <c r="H22" s="76">
        <f>IFERROR(IF('3-Year P&amp;L'!$B$9="","",G22+H21),"")</f>
        <v>133621.23388151932</v>
      </c>
      <c r="I22" s="76">
        <f>IFERROR(IF('3-Year P&amp;L'!$B$9="","",H22+I21),"")</f>
        <v>133602.53302977208</v>
      </c>
      <c r="J22" s="76">
        <f>IFERROR(IF('3-Year P&amp;L'!$B$9="","",I22+J21),"")</f>
        <v>124906.71420927484</v>
      </c>
      <c r="K22" s="76">
        <f>IFERROR(IF('3-Year P&amp;L'!$B$9="","",J22+K21),"")</f>
        <v>118789.17507627759</v>
      </c>
      <c r="L22" s="76">
        <f>IFERROR(IF('3-Year P&amp;L'!$B$9="","",K22+L21),"")</f>
        <v>106895.68203703035</v>
      </c>
      <c r="M22" s="76">
        <f>IFERROR(IF('3-Year P&amp;L'!$B$9="","",L22+M21),"")</f>
        <v>97745.9069665331</v>
      </c>
      <c r="N22" s="28" t="n"/>
      <c r="O22" s="28" t="n"/>
    </row>
    <row r="23">
      <c r="A23" s="28" t="inlineStr">
        <is>
          <t>Minimum balance of the year</t>
        </is>
      </c>
      <c r="B23" s="39">
        <f>IFERROR(IF('3-Year P&amp;L'!$B$9="","",IF(COUNT(B22:M22)=0,"",MIN(B22:M22))),"")</f>
        <v>46059.94133575277</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39">
        <f>IFERROR(IF('3-Year P&amp;L'!$B$9="","",IF(COUNT(B22:M22)=0,"",MATCH(MIN(B22:M22),B22:M22,0))),"")</f>
        <v>1.0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39">
        <f>IFERROR(IF('3-Year P&amp;L'!$B$9="","",'3-Year P&amp;L'!$B$48+'3-Year P&amp;L'!$B$36+Financing!$B$44),"")</f>
        <v>59552.073214285716</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39">
        <f>IFERROR(IF('3-Year P&amp;L'!$B$9="","",'3-Year P&amp;L'!$C$48+'3-Year P&amp;L'!$C$36+Financing!$B$46),"")</f>
        <v>68995.8893650116</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39">
        <f>IFERROR(IF('3-Year P&amp;L'!$B$9="","",'3-Year P&amp;L'!$D$48+'3-Year P&amp;L'!$D$36+Financing!$B$48),"")</f>
        <v>73312.46475580994</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39">
        <f>IFERROR(IF('3-Year P&amp;L'!$B$9="","",N21+Financing!$B$44+Financing!$B$45),"")</f>
        <v>71339.36093749997</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39">
        <f>IFERROR(IF('3-Year P&amp;L'!$B$9="","",'Startup Costs'!$B$34-'Startup Costs'!$B$33),"")</f>
        <v>256871.30000000002</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t="str">
        <f>IFERROR(IF('3-Year P&amp;L'!$B$9="","",IF(B26&gt;=B30,ROUND(B30/B26,1),IF(B26+B27&gt;=B30,ROUND(1+(B30-B26)/B27,1),IF(B26+B27+B28&gt;=B30,ROUND(2+(B30-B26-B27)/B28,1),"Over 3 years")))),"")</f>
        <v>Over 3 years</v>
      </c>
      <c r="C31" s="28" t="n"/>
      <c r="D31" s="25"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8" t="n"/>
      <c r="F31" s="28" t="n"/>
      <c r="G31" s="28" t="n"/>
      <c r="H31" s="28" t="n"/>
      <c r="I31" s="28" t="n"/>
      <c r="J31" s="28" t="n"/>
      <c r="K31" s="28" t="n"/>
      <c r="L31" s="28" t="n"/>
      <c r="M31" s="28" t="n"/>
      <c r="N31" s="28" t="n"/>
      <c r="O31" s="28" t="n"/>
    </row>
    <row r="32">
      <c r="A32" s="28" t="inlineStr">
        <is>
          <t>Payback on CAPEX, excluding working capital (years)</t>
        </is>
      </c>
      <c r="B32" s="28" t="str">
        <f>IFERROR(IF('3-Year P&amp;L'!$B$9="","",IF(B26&gt;='Startup Costs'!$B$32,ROUND('Startup Costs'!$B$32/B26,1),IF(B26+B27&gt;='Startup Costs'!$B$32,ROUND(1+('Startup Costs'!$B$32-B26)/B27,1),IF(B26+B27+B28&gt;='Startup Costs'!$B$32,ROUND(2+('Startup Costs'!$B$32-B26-B27)/B28,1),"Over 3 years")))),"")</f>
        <v>Over 3 years</v>
      </c>
      <c r="C32" s="28" t="n"/>
      <c r="D32" s="28" t="inlineStr">
        <is>
          <t>The same calculation on what you BUY (build-out,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225" customHeight="1">
      <c r="A34" s="46" t="inlineStr">
        <is>
          <t>The quarters in this sheet are plan quarters, not calendar quarters (March-May, June-August, September-November and December-February): with Month 1 in March, the workbook remits the sales tax of each plan quarter in the month after it. Your state sets the real filing calendar (monthly, quarterly or annual): check it. Income tax for year 1 is paid in year 2. The loan payment is split into twelve equal parts following the ANNUAL schedule in "Financing", and payroll into twelve monthly installments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39">
        <f>IFERROR(IF('0. Assumptions'!$B$30="","",'0. Assumptions'!$B$30),"")</f>
        <v>95000.0</v>
      </c>
      <c r="C6" s="28" t="n"/>
      <c r="D6" s="28" t="n"/>
      <c r="E6" s="28" t="n"/>
      <c r="F6" s="28" t="n"/>
      <c r="G6" s="28" t="n"/>
      <c r="H6" s="28" t="n"/>
    </row>
    <row r="7">
      <c r="A7" s="28" t="inlineStr">
        <is>
          <t>Loan requested — bank or SBA 7(a) (amortized below)</t>
        </is>
      </c>
      <c r="B7" s="39">
        <f>IFERROR(IF('0. Assumptions'!$B$31="","",'0. Assumptions'!$B$31),"")</f>
        <v>162000.0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76">
        <f>IFERROR(IF(COUNT(B6:B11)=0,"",SUM(B6:B11)),"")</f>
        <v>257000.0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39">
        <f>IFERROR(IF('Startup Costs'!$B$34="","",'Startup Costs'!$B$34),"")</f>
        <v>256871.30000000002</v>
      </c>
      <c r="C14" s="28" t="inlineStr">
        <is>
          <t>Startup costs plus any recoverable tax you have to advance (zero by default in the US)</t>
        </is>
      </c>
      <c r="D14" s="28" t="n"/>
      <c r="E14" s="28" t="n"/>
      <c r="F14" s="28" t="n"/>
      <c r="G14" s="28" t="n"/>
      <c r="H14" s="28" t="n"/>
    </row>
    <row r="15">
      <c r="A15" s="25" t="inlineStr">
        <is>
          <t>Difference (sources - uses)</t>
        </is>
      </c>
      <c r="B15" s="76">
        <f>IFERROR(B12-B14,"")</f>
        <v>128.69999999998254</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7">
        <f>IFERROR(B15/B14,"")</f>
        <v>0.0005010291145798792</v>
      </c>
      <c r="C16" s="28" t="inlineStr">
        <is>
          <t>Amber above the margin you set: it is debt you pay for without needing it</t>
        </is>
      </c>
      <c r="D16" s="28" t="n"/>
      <c r="E16" s="28" t="n"/>
      <c r="F16" s="28" t="n"/>
      <c r="G16" s="28" t="n"/>
      <c r="H16" s="28" t="n"/>
    </row>
    <row r="17">
      <c r="A17" s="28" t="inlineStr">
        <is>
          <t>Acceptable over-funding (%)</t>
        </is>
      </c>
      <c r="B17" s="75" t="n">
        <v>0.05</v>
      </c>
      <c r="C17" s="28" t="inlineStr">
        <is>
          <t>A small cushion over the need is healthy; 20% extra is interest thrown away</t>
        </is>
      </c>
      <c r="D17" s="28" t="n"/>
      <c r="E17" s="28" t="n"/>
      <c r="F17" s="28" t="n"/>
      <c r="G17" s="28" t="n"/>
      <c r="H17" s="28" t="n"/>
    </row>
    <row r="18">
      <c r="A18" s="28" t="inlineStr">
        <is>
          <t>Loan that would match sources to needs</t>
        </is>
      </c>
      <c r="B18" s="39">
        <f>IFERROR(MAX(0,B14-B12+B7),"")</f>
        <v>161871.30000000002</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39">
        <f>IFERROR(IF('0. Assumptions'!$B$31=0,"",'0. Assumptions'!$B$31),"")</f>
        <v>162000.0</v>
      </c>
      <c r="C20" s="28" t="n"/>
      <c r="D20" s="28" t="n"/>
      <c r="E20" s="28" t="n"/>
      <c r="F20" s="28" t="n"/>
      <c r="G20" s="28" t="n"/>
      <c r="H20" s="28" t="n"/>
    </row>
    <row r="21">
      <c r="A21" s="28" t="inlineStr">
        <is>
          <t>Nominal annual interest rate (not APR)</t>
        </is>
      </c>
      <c r="B21" s="67">
        <f>IFERROR(IF('0. Assumptions'!$B$32="","",'0. Assumptions'!$B$32),"")</f>
        <v>0.1</v>
      </c>
      <c r="C21" s="28" t="n"/>
      <c r="D21" s="28" t="n"/>
      <c r="E21" s="28" t="n"/>
      <c r="F21" s="28" t="n"/>
      <c r="G21" s="28" t="n"/>
      <c r="H21" s="28" t="n"/>
    </row>
    <row r="22">
      <c r="A22" s="28" t="inlineStr">
        <is>
          <t>Total term (years)</t>
        </is>
      </c>
      <c r="B22" s="39">
        <f>IFERROR(IF('0. Assumptions'!$B$33="","",'0. Assumptions'!$B$33),"")</f>
        <v>10.0</v>
      </c>
      <c r="C22" s="28" t="n"/>
      <c r="D22" s="28" t="n"/>
      <c r="E22" s="28" t="n"/>
      <c r="F22" s="28" t="n"/>
      <c r="G22" s="28" t="n"/>
      <c r="H22" s="28" t="n"/>
    </row>
    <row r="23">
      <c r="A23" s="28" t="inlineStr">
        <is>
          <t>Interest-only period applied (years)</t>
        </is>
      </c>
      <c r="B23" s="39">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1">
        <f>IFERROR(IF(B22-B23&lt;=0,"",IF(B21=0,B20/(B22-B23),B20*B21/(1-(1+B21)^-(B22-B23)))),"")</f>
        <v>26364.753970966867</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39" t="n">
        <v>1</v>
      </c>
      <c r="B27" s="60">
        <f>IFERROR(IF(B20="","",B20),"")</f>
        <v>162000.0</v>
      </c>
      <c r="C27" s="60">
        <f>IFERROR(IF(OR(1&gt;B22,B27=""),"",B27*B21),"")</f>
        <v>16200.0</v>
      </c>
      <c r="D27" s="60">
        <f>IFERROR(IF(OR(1&gt;B22,B27=""),"",IF(1&lt;=B23,0,MIN(B27,B24-C27))),"")</f>
        <v>10164.753970966867</v>
      </c>
      <c r="E27" s="60">
        <f>IFERROR(IF(C27="","",C27+D27),"")</f>
        <v>26364.753970966867</v>
      </c>
      <c r="F27" s="60">
        <f>IFERROR(IF(D27="","",B27-D27),"")</f>
        <v>151835.24602903312</v>
      </c>
      <c r="G27" s="60">
        <f>IFERROR(IF(E27="","",'3-Year P&amp;L'!$B$41-'3-Year P&amp;L'!$B$46+'3-Year P&amp;L'!$B$36+'3-Year P&amp;L'!$B$37),"")</f>
        <v>59552.073214285716</v>
      </c>
      <c r="H27" s="60">
        <f>IFERROR(IF(OR(E27="",E27=0),"",G27/E27),"")</f>
        <v>2.25877598857418</v>
      </c>
    </row>
    <row r="28">
      <c r="A28" s="39" t="n">
        <v>2</v>
      </c>
      <c r="B28" s="60">
        <f>IFERROR(IF(OR(2&gt;B22,F27=""),"",F27),"")</f>
        <v>151835.24602903312</v>
      </c>
      <c r="C28" s="60">
        <f>IFERROR(IF(OR(2&gt;B22,B28=""),"",B28*B21),"")</f>
        <v>15183.524602903313</v>
      </c>
      <c r="D28" s="60">
        <f>IFERROR(IF(OR(2&gt;B22,B28=""),"",IF(2&lt;=B23,0,MIN(B28,B24-C28))),"")</f>
        <v>11181.229368063554</v>
      </c>
      <c r="E28" s="60">
        <f>IFERROR(IF(C28="","",C28+D28),"")</f>
        <v>26364.753970966867</v>
      </c>
      <c r="F28" s="60">
        <f>IFERROR(IF(D28="","",B28-D28),"")</f>
        <v>140654.01666096956</v>
      </c>
      <c r="G28" s="60">
        <f>IFERROR(IF(E28="","",'3-Year P&amp;L'!$C$41-'3-Year P&amp;L'!$C$46+'3-Year P&amp;L'!$C$36+'3-Year P&amp;L'!$C$37),"")</f>
        <v>68995.8893650116</v>
      </c>
      <c r="H28" s="60">
        <f>IFERROR(IF(OR(E28="",E28=0),"",G28/E28),"")</f>
        <v>2.6169745198832715</v>
      </c>
    </row>
    <row r="29">
      <c r="A29" s="39" t="n">
        <v>3</v>
      </c>
      <c r="B29" s="60">
        <f>IFERROR(IF(OR(3&gt;B22,F28=""),"",F28),"")</f>
        <v>140654.01666096956</v>
      </c>
      <c r="C29" s="60">
        <f>IFERROR(IF(OR(3&gt;B22,B29=""),"",B29*B21),"")</f>
        <v>14065.401666096957</v>
      </c>
      <c r="D29" s="60">
        <f>IFERROR(IF(OR(3&gt;B22,B29=""),"",IF(3&lt;=B23,0,MIN(B29,B24-C29))),"")</f>
        <v>12299.35230486991</v>
      </c>
      <c r="E29" s="60">
        <f>IFERROR(IF(C29="","",C29+D29),"")</f>
        <v>26364.753970966867</v>
      </c>
      <c r="F29" s="60">
        <f>IFERROR(IF(D29="","",B29-D29),"")</f>
        <v>128354.66435609965</v>
      </c>
      <c r="G29" s="60">
        <f>IFERROR(IF(E29="","",'3-Year P&amp;L'!$D$41-'3-Year P&amp;L'!$D$46+'3-Year P&amp;L'!$D$36+'3-Year P&amp;L'!$D$37),"")</f>
        <v>73312.46475580994</v>
      </c>
      <c r="H29" s="60">
        <f>IFERROR(IF(OR(E29="",E29=0),"",G29/E29),"")</f>
        <v>2.780699749238789</v>
      </c>
    </row>
    <row r="30">
      <c r="A30" s="39" t="n">
        <v>4</v>
      </c>
      <c r="B30" s="60">
        <f>IFERROR(IF(OR(4&gt;B22,F29=""),"",F29),"")</f>
        <v>128354.66435609965</v>
      </c>
      <c r="C30" s="60">
        <f>IFERROR(IF(OR(4&gt;B22,B30=""),"",B30*B21),"")</f>
        <v>12835.466435609966</v>
      </c>
      <c r="D30" s="60">
        <f>IFERROR(IF(OR(4&gt;B22,B30=""),"",IF(4&lt;=B23,0,MIN(B30,B24-C30))),"")</f>
        <v>13529.287535356902</v>
      </c>
      <c r="E30" s="60">
        <f>IFERROR(IF(C30="","",C30+D30),"")</f>
        <v>26364.753970966867</v>
      </c>
      <c r="F30" s="60">
        <f>IFERROR(IF(D30="","",B30-D30),"")</f>
        <v>114825.37682074275</v>
      </c>
      <c r="G30" s="60">
        <f>IFERROR(IF(E30="","",'3-Year P&amp;L'!$D$41-'3-Year P&amp;L'!$D$46+'3-Year P&amp;L'!$D$36+'3-Year P&amp;L'!$D$37),"")</f>
        <v>73312.46475580994</v>
      </c>
      <c r="H30" s="60">
        <f>IFERROR(IF(OR(E30="",E30=0),"",G30/E30),"")</f>
        <v>2.780699749238789</v>
      </c>
    </row>
    <row r="31">
      <c r="A31" s="39" t="n">
        <v>5</v>
      </c>
      <c r="B31" s="60">
        <f>IFERROR(IF(OR(5&gt;B22,F30=""),"",F30),"")</f>
        <v>114825.37682074275</v>
      </c>
      <c r="C31" s="60">
        <f>IFERROR(IF(OR(5&gt;B22,B31=""),"",B31*B21),"")</f>
        <v>11482.537682074275</v>
      </c>
      <c r="D31" s="60">
        <f>IFERROR(IF(OR(5&gt;B22,B31=""),"",IF(5&lt;=B23,0,MIN(B31,B24-C31))),"")</f>
        <v>14882.216288892592</v>
      </c>
      <c r="E31" s="60">
        <f>IFERROR(IF(C31="","",C31+D31),"")</f>
        <v>26364.753970966867</v>
      </c>
      <c r="F31" s="60">
        <f>IFERROR(IF(D31="","",B31-D31),"")</f>
        <v>99943.16053185015</v>
      </c>
      <c r="G31" s="60">
        <f>IFERROR(IF(E31="","",'3-Year P&amp;L'!$D$41-'3-Year P&amp;L'!$D$46+'3-Year P&amp;L'!$D$36+'3-Year P&amp;L'!$D$37),"")</f>
        <v>73312.46475580994</v>
      </c>
      <c r="H31" s="60">
        <f>IFERROR(IF(OR(E31="",E31=0),"",G31/E31),"")</f>
        <v>2.780699749238789</v>
      </c>
    </row>
    <row r="32">
      <c r="A32" s="39" t="n">
        <v>6</v>
      </c>
      <c r="B32" s="60">
        <f>IFERROR(IF(OR(6&gt;B22,F31=""),"",F31),"")</f>
        <v>99943.16053185015</v>
      </c>
      <c r="C32" s="60">
        <f>IFERROR(IF(OR(6&gt;B22,B32=""),"",B32*B21),"")</f>
        <v>9994.316053185015</v>
      </c>
      <c r="D32" s="60">
        <f>IFERROR(IF(OR(6&gt;B22,B32=""),"",IF(6&lt;=B23,0,MIN(B32,B24-C32))),"")</f>
        <v>16370.437917781852</v>
      </c>
      <c r="E32" s="60">
        <f>IFERROR(IF(C32="","",C32+D32),"")</f>
        <v>26364.753970966867</v>
      </c>
      <c r="F32" s="60">
        <f>IFERROR(IF(D32="","",B32-D32),"")</f>
        <v>83572.7226140683</v>
      </c>
      <c r="G32" s="60">
        <f>IFERROR(IF(E32="","",'3-Year P&amp;L'!$D$41-'3-Year P&amp;L'!$D$46+'3-Year P&amp;L'!$D$36+'3-Year P&amp;L'!$D$37),"")</f>
        <v>73312.46475580994</v>
      </c>
      <c r="H32" s="60">
        <f>IFERROR(IF(OR(E32="",E32=0),"",G32/E32),"")</f>
        <v>2.780699749238789</v>
      </c>
    </row>
    <row r="33">
      <c r="A33" s="39" t="n">
        <v>7</v>
      </c>
      <c r="B33" s="60">
        <f>IFERROR(IF(OR(7&gt;B22,F32=""),"",F32),"")</f>
        <v>83572.7226140683</v>
      </c>
      <c r="C33" s="60">
        <f>IFERROR(IF(OR(7&gt;B22,B33=""),"",B33*B21),"")</f>
        <v>8357.272261406832</v>
      </c>
      <c r="D33" s="60">
        <f>IFERROR(IF(OR(7&gt;B22,B33=""),"",IF(7&lt;=B23,0,MIN(B33,B24-C33))),"")</f>
        <v>18007.481709560037</v>
      </c>
      <c r="E33" s="60">
        <f>IFERROR(IF(C33="","",C33+D33),"")</f>
        <v>26364.75397096687</v>
      </c>
      <c r="F33" s="60">
        <f>IFERROR(IF(D33="","",B33-D33),"")</f>
        <v>65565.24090450827</v>
      </c>
      <c r="G33" s="60">
        <f>IFERROR(IF(E33="","",'3-Year P&amp;L'!$D$41-'3-Year P&amp;L'!$D$46+'3-Year P&amp;L'!$D$36+'3-Year P&amp;L'!$D$37),"")</f>
        <v>73312.46475580994</v>
      </c>
      <c r="H33" s="60">
        <f>IFERROR(IF(OR(E33="",E33=0),"",G33/E33),"")</f>
        <v>2.7806997492387886</v>
      </c>
    </row>
    <row r="34">
      <c r="A34" s="39" t="n">
        <v>8</v>
      </c>
      <c r="B34" s="60">
        <f>IFERROR(IF(OR(8&gt;B22,F33=""),"",F33),"")</f>
        <v>65565.24090450827</v>
      </c>
      <c r="C34" s="60">
        <f>IFERROR(IF(OR(8&gt;B22,B34=""),"",B34*B21),"")</f>
        <v>6556.524090450828</v>
      </c>
      <c r="D34" s="60">
        <f>IFERROR(IF(OR(8&gt;B22,B34=""),"",IF(8&lt;=B23,0,MIN(B34,B24-C34))),"")</f>
        <v>19808.22988051604</v>
      </c>
      <c r="E34" s="60">
        <f>IFERROR(IF(C34="","",C34+D34),"")</f>
        <v>26364.753970966867</v>
      </c>
      <c r="F34" s="60">
        <f>IFERROR(IF(D34="","",B34-D34),"")</f>
        <v>45757.011023992236</v>
      </c>
      <c r="G34" s="60">
        <f>IFERROR(IF(E34="","",'3-Year P&amp;L'!$D$41-'3-Year P&amp;L'!$D$46+'3-Year P&amp;L'!$D$36+'3-Year P&amp;L'!$D$37),"")</f>
        <v>73312.46475580994</v>
      </c>
      <c r="H34" s="60">
        <f>IFERROR(IF(OR(E34="",E34=0),"",G34/E34),"")</f>
        <v>2.780699749238789</v>
      </c>
    </row>
    <row r="35">
      <c r="A35" s="39" t="n">
        <v>9</v>
      </c>
      <c r="B35" s="60">
        <f>IFERROR(IF(OR(9&gt;B22,F34=""),"",F34),"")</f>
        <v>45757.011023992236</v>
      </c>
      <c r="C35" s="60">
        <f>IFERROR(IF(OR(9&gt;B22,B35=""),"",B35*B21),"")</f>
        <v>4575.701102399224</v>
      </c>
      <c r="D35" s="60">
        <f>IFERROR(IF(OR(9&gt;B22,B35=""),"",IF(9&lt;=B23,0,MIN(B35,B24-C35))),"")</f>
        <v>21789.052868567644</v>
      </c>
      <c r="E35" s="60">
        <f>IFERROR(IF(C35="","",C35+D35),"")</f>
        <v>26364.753970966867</v>
      </c>
      <c r="F35" s="60">
        <f>IFERROR(IF(D35="","",B35-D35),"")</f>
        <v>23967.958155424592</v>
      </c>
      <c r="G35" s="60">
        <f>IFERROR(IF(E35="","",'3-Year P&amp;L'!$D$41-'3-Year P&amp;L'!$D$46+'3-Year P&amp;L'!$D$36+'3-Year P&amp;L'!$D$37),"")</f>
        <v>73312.46475580994</v>
      </c>
      <c r="H35" s="60">
        <f>IFERROR(IF(OR(E35="",E35=0),"",G35/E35),"")</f>
        <v>2.780699749238789</v>
      </c>
    </row>
    <row r="36">
      <c r="A36" s="39" t="n">
        <v>10</v>
      </c>
      <c r="B36" s="60">
        <f>IFERROR(IF(OR(10&gt;B22,F35=""),"",F35),"")</f>
        <v>23967.958155424592</v>
      </c>
      <c r="C36" s="60">
        <f>IFERROR(IF(OR(10&gt;B22,B36=""),"",B36*B21),"")</f>
        <v>2396.7958155424594</v>
      </c>
      <c r="D36" s="60">
        <f>IFERROR(IF(OR(10&gt;B22,B36=""),"",IF(10&lt;=B23,0,MIN(B36,B24-C36))),"")</f>
        <v>23967.958155424407</v>
      </c>
      <c r="E36" s="60">
        <f>IFERROR(IF(C36="","",C36+D36),"")</f>
        <v>26364.753970966867</v>
      </c>
      <c r="F36" s="60">
        <f>IFERROR(IF(D36="","",B36-D36),"")</f>
        <v>1.8553691916167736e-10</v>
      </c>
      <c r="G36" s="60">
        <f>IFERROR(IF(E36="","",'3-Year P&amp;L'!$D$41-'3-Year P&amp;L'!$D$46+'3-Year P&amp;L'!$D$36+'3-Year P&amp;L'!$D$37),"")</f>
        <v>73312.46475580994</v>
      </c>
      <c r="H36" s="60">
        <f>IFERROR(IF(OR(E36="",E36=0),"",G36/E36),"")</f>
        <v>2.780699749238789</v>
      </c>
    </row>
    <row r="37">
      <c r="A37" s="39" t="n">
        <v>11</v>
      </c>
      <c r="B37" s="60">
        <f>IFERROR(IF(OR(11&gt;B22,F36=""),"",F36),"")</f>
        <v/>
      </c>
      <c r="C37" s="60">
        <f>IFERROR(IF(OR(11&gt;B22,B37=""),"",B37*B21),"")</f>
        <v/>
      </c>
      <c r="D37" s="60">
        <f>IFERROR(IF(OR(11&gt;B22,B37=""),"",IF(11&lt;=B23,0,MIN(B37,B24-C37))),"")</f>
        <v/>
      </c>
      <c r="E37" s="60">
        <f>IFERROR(IF(C37="","",C37+D37),"")</f>
        <v/>
      </c>
      <c r="F37" s="60">
        <f>IFERROR(IF(D37="","",B37-D37),"")</f>
        <v/>
      </c>
      <c r="G37" s="60">
        <f>IFERROR(IF(E37="","",'3-Year P&amp;L'!$D$41-'3-Year P&amp;L'!$D$46+'3-Year P&amp;L'!$D$36+'3-Year P&amp;L'!$D$37),"")</f>
        <v/>
      </c>
      <c r="H37" s="60">
        <f>IFERROR(IF(OR(E37="",E37=0),"",G37/E37),"")</f>
        <v/>
      </c>
    </row>
    <row r="38">
      <c r="A38" s="39" t="n">
        <v>12</v>
      </c>
      <c r="B38" s="60">
        <f>IFERROR(IF(OR(12&gt;B22,F37=""),"",F37),"")</f>
        <v/>
      </c>
      <c r="C38" s="60">
        <f>IFERROR(IF(OR(12&gt;B22,B38=""),"",B38*B21),"")</f>
        <v/>
      </c>
      <c r="D38" s="60">
        <f>IFERROR(IF(OR(12&gt;B22,B38=""),"",IF(12&lt;=B23,0,MIN(B38,B24-C38))),"")</f>
        <v/>
      </c>
      <c r="E38" s="60">
        <f>IFERROR(IF(C38="","",C38+D38),"")</f>
        <v/>
      </c>
      <c r="F38" s="60">
        <f>IFERROR(IF(D38="","",B38-D38),"")</f>
        <v/>
      </c>
      <c r="G38" s="60">
        <f>IFERROR(IF(E38="","",'3-Year P&amp;L'!$D$41-'3-Year P&amp;L'!$D$46+'3-Year P&amp;L'!$D$36+'3-Year P&amp;L'!$D$37),"")</f>
        <v/>
      </c>
      <c r="H38" s="60">
        <f>IFERROR(IF(OR(E38="",E38=0),"",G38/E38),"")</f>
        <v/>
      </c>
    </row>
    <row r="39">
      <c r="A39" s="39" t="n">
        <v>13</v>
      </c>
      <c r="B39" s="60">
        <f>IFERROR(IF(OR(13&gt;B22,F38=""),"",F38),"")</f>
        <v/>
      </c>
      <c r="C39" s="60">
        <f>IFERROR(IF(OR(13&gt;B22,B39=""),"",B39*B21),"")</f>
        <v/>
      </c>
      <c r="D39" s="60">
        <f>IFERROR(IF(OR(13&gt;B22,B39=""),"",IF(13&lt;=B23,0,MIN(B39,B24-C39))),"")</f>
        <v/>
      </c>
      <c r="E39" s="60">
        <f>IFERROR(IF(C39="","",C39+D39),"")</f>
        <v/>
      </c>
      <c r="F39" s="60">
        <f>IFERROR(IF(D39="","",B39-D39),"")</f>
        <v/>
      </c>
      <c r="G39" s="60">
        <f>IFERROR(IF(E39="","",'3-Year P&amp;L'!$D$41-'3-Year P&amp;L'!$D$46+'3-Year P&amp;L'!$D$36+'3-Year P&amp;L'!$D$37),"")</f>
        <v/>
      </c>
      <c r="H39" s="60">
        <f>IFERROR(IF(OR(E39="",E39=0),"",G39/E39),"")</f>
        <v/>
      </c>
    </row>
    <row r="40">
      <c r="A40" s="39" t="n">
        <v>14</v>
      </c>
      <c r="B40" s="60">
        <f>IFERROR(IF(OR(14&gt;B22,F39=""),"",F39),"")</f>
        <v/>
      </c>
      <c r="C40" s="60">
        <f>IFERROR(IF(OR(14&gt;B22,B40=""),"",B40*B21),"")</f>
        <v/>
      </c>
      <c r="D40" s="60">
        <f>IFERROR(IF(OR(14&gt;B22,B40=""),"",IF(14&lt;=B23,0,MIN(B40,B24-C40))),"")</f>
        <v/>
      </c>
      <c r="E40" s="60">
        <f>IFERROR(IF(C40="","",C40+D40),"")</f>
        <v/>
      </c>
      <c r="F40" s="60">
        <f>IFERROR(IF(D40="","",B40-D40),"")</f>
        <v/>
      </c>
      <c r="G40" s="60">
        <f>IFERROR(IF(E40="","",'3-Year P&amp;L'!$D$41-'3-Year P&amp;L'!$D$46+'3-Year P&amp;L'!$D$36+'3-Year P&amp;L'!$D$37),"")</f>
        <v/>
      </c>
      <c r="H40" s="60">
        <f>IFERROR(IF(OR(E40="",E40=0),"",G40/E40),"")</f>
        <v/>
      </c>
    </row>
    <row r="41">
      <c r="A41" s="39" t="n">
        <v>15</v>
      </c>
      <c r="B41" s="60">
        <f>IFERROR(IF(OR(15&gt;B22,F40=""),"",F40),"")</f>
        <v/>
      </c>
      <c r="C41" s="60">
        <f>IFERROR(IF(OR(15&gt;B22,B41=""),"",B41*B21),"")</f>
        <v/>
      </c>
      <c r="D41" s="60">
        <f>IFERROR(IF(OR(15&gt;B22,B41=""),"",IF(15&lt;=B23,0,MIN(B41,B24-C41))),"")</f>
        <v/>
      </c>
      <c r="E41" s="60">
        <f>IFERROR(IF(C41="","",C41+D41),"")</f>
        <v/>
      </c>
      <c r="F41" s="60">
        <f>IFERROR(IF(D41="","",B41-D41),"")</f>
        <v/>
      </c>
      <c r="G41" s="60">
        <f>IFERROR(IF(E41="","",'3-Year P&amp;L'!$D$41-'3-Year P&amp;L'!$D$46+'3-Year P&amp;L'!$D$36+'3-Year P&amp;L'!$D$37),"")</f>
        <v/>
      </c>
      <c r="H41" s="60">
        <f>IFERROR(IF(OR(E41="",E41=0),"",G41/E41),"")</f>
        <v/>
      </c>
    </row>
    <row r="42">
      <c r="A42" s="28" t="inlineStr">
        <is>
          <t>Schedule closing tolerance</t>
        </is>
      </c>
      <c r="B42" s="80"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0">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39">
        <f>IFERROR(IF(B20="","",IF(C27="",0,C27)),"")</f>
        <v>16200.0</v>
      </c>
      <c r="C44" s="28" t="n"/>
      <c r="D44" s="28" t="n"/>
      <c r="E44" s="28" t="n"/>
      <c r="F44" s="28" t="n"/>
      <c r="G44" s="28" t="n"/>
      <c r="H44" s="28" t="n"/>
    </row>
    <row r="45">
      <c r="A45" s="28" t="inlineStr">
        <is>
          <t>Year-1 principal repaid</t>
        </is>
      </c>
      <c r="B45" s="39">
        <f>IFERROR(IF(B20="","",IF(D27="",0,D27)),"")</f>
        <v>10164.753970966867</v>
      </c>
      <c r="C45" s="28" t="n"/>
      <c r="D45" s="28" t="n"/>
      <c r="E45" s="28" t="n"/>
      <c r="F45" s="28" t="n"/>
      <c r="G45" s="28" t="n"/>
      <c r="H45" s="28" t="n"/>
    </row>
    <row r="46">
      <c r="A46" s="28" t="inlineStr">
        <is>
          <t>Year-2 interest</t>
        </is>
      </c>
      <c r="B46" s="39">
        <f>IFERROR(IF(B20="","",IF(C28="",0,C28)),"")</f>
        <v>15183.524602903313</v>
      </c>
      <c r="C46" s="28" t="n"/>
      <c r="D46" s="28" t="n"/>
      <c r="E46" s="28" t="n"/>
      <c r="F46" s="28" t="n"/>
      <c r="G46" s="28" t="n"/>
      <c r="H46" s="28" t="n"/>
    </row>
    <row r="47">
      <c r="A47" s="28" t="inlineStr">
        <is>
          <t>Year-2 principal repaid</t>
        </is>
      </c>
      <c r="B47" s="39">
        <f>IFERROR(IF(B20="","",IF(D28="",0,D28)),"")</f>
        <v>11181.229368063554</v>
      </c>
      <c r="C47" s="28" t="n"/>
      <c r="D47" s="28" t="n"/>
      <c r="E47" s="28" t="n"/>
      <c r="F47" s="28" t="n"/>
      <c r="G47" s="28" t="n"/>
      <c r="H47" s="28" t="n"/>
    </row>
    <row r="48">
      <c r="A48" s="28" t="inlineStr">
        <is>
          <t>Year-3 interest</t>
        </is>
      </c>
      <c r="B48" s="39">
        <f>IFERROR(IF(B20="","",IF(C29="",0,C29)),"")</f>
        <v>14065.401666096957</v>
      </c>
      <c r="C48" s="28" t="n"/>
      <c r="D48" s="28" t="n"/>
      <c r="E48" s="28" t="n"/>
      <c r="F48" s="28" t="n"/>
      <c r="G48" s="28" t="n"/>
      <c r="H48" s="28" t="n"/>
    </row>
    <row r="49">
      <c r="A49" s="28" t="inlineStr">
        <is>
          <t>Year-3 principal repaid</t>
        </is>
      </c>
      <c r="B49" s="39">
        <f>IFERROR(IF(B20="","",IF(D29="",0,D29)),"")</f>
        <v>12299.35230486991</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0">
        <f>IFERROR(('3-Year P&amp;L'!$B$41-'3-Year P&amp;L'!$B$46+'3-Year P&amp;L'!$B$36+B44)/(B44+B45),"")</f>
        <v>2.25877598857418</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0">
        <f>IFERROR(('3-Year P&amp;L'!$C$41-'3-Year P&amp;L'!$C$46+'3-Year P&amp;L'!$C$36+B46)/(B46+B47),"")</f>
        <v>2.6169745198832715</v>
      </c>
      <c r="C52" s="28" t="n"/>
      <c r="D52" s="28" t="n"/>
      <c r="E52" s="28" t="n"/>
      <c r="F52" s="28" t="n"/>
      <c r="G52" s="28" t="n"/>
      <c r="H52" s="28" t="n"/>
    </row>
    <row r="53">
      <c r="A53" s="28" t="inlineStr">
        <is>
          <t>Year-3 DSCR</t>
        </is>
      </c>
      <c r="B53" s="60">
        <f>IFERROR(('3-Year P&amp;L'!$D$41-'3-Year P&amp;L'!$D$46+'3-Year P&amp;L'!$D$36+B48)/(B48+B49),"")</f>
        <v>2.780699749238789</v>
      </c>
      <c r="C53" s="28" t="n"/>
      <c r="D53" s="28" t="n"/>
      <c r="E53" s="28" t="n"/>
      <c r="F53" s="28" t="n"/>
      <c r="G53" s="28" t="n"/>
      <c r="H53" s="28" t="n"/>
    </row>
    <row r="54">
      <c r="A54" s="25" t="inlineStr">
        <is>
          <t>Minimum DSCR across the whole schedule</t>
        </is>
      </c>
      <c r="B54" s="61">
        <f>IFERROR(IF(COUNT(H27:H41)=0,"",MIN(H27:H41)),"")</f>
        <v>2.25877598857418</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Ice Cream Shop Financial Projections: 3-Year P&amp;L, Cash Flow &amp; Financing · Ice Cream Shop Business Plan Kit</dc:title>
  <dc:description xmlns:dc="http://purl.org/dc/elements/1.1/">aichef.pro/en/digital-products/ice-cream-shop-business-plan</dc:description>
  <dc:subject xmlns:dc="http://purl.org/dc/elements/1.1/">Ice Cream Shop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2026-10-27T08:04:44Z</dcterms:modified>
  <cp:lastModifiedBy>AI Chef Pro</cp:lastModifiedBy>
  <cp:category>AI Chef Pro · Digital products</cp:category>
  <cp:keywords>ice cream shop business plan, ice cream parlor business plan, how to open an ice cream shop, ice cream shop startup costs, batch freezer, AI Chef Pro</cp:keywords>
</cp:coreProperties>
</file>