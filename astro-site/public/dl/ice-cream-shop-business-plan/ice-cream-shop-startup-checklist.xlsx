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e 1 - Business Setup" sheetId="1" state="visible" r:id="rId1"/>
    <sheet xmlns:r="http://schemas.openxmlformats.org/officeDocument/2006/relationships" name="Phase 2 - Site &amp; Permits" sheetId="2" state="visible" r:id="rId2"/>
    <sheet xmlns:r="http://schemas.openxmlformats.org/officeDocument/2006/relationships" name="Phase 3 - Production &amp; Health" sheetId="3" state="visible" r:id="rId3"/>
    <sheet xmlns:r="http://schemas.openxmlformats.org/officeDocument/2006/relationships" name="Phase 4 - Staff &amp; Food Safety" sheetId="4" state="visible" r:id="rId4"/>
    <sheet xmlns:r="http://schemas.openxmlformats.org/officeDocument/2006/relationships" name="Phase 5 - Brand &amp; Menu" sheetId="5" state="visible" r:id="rId5"/>
    <sheet xmlns:r="http://schemas.openxmlformats.org/officeDocument/2006/relationships" name="Phase 6 - Opening &amp; Season" sheetId="6" state="visible" r:id="rId6"/>
    <sheet xmlns:r="http://schemas.openxmlformats.org/officeDocument/2006/relationships" name="Instructions" sheetId="7" state="visible" r:id="rId7"/>
  </sheets>
  <definedNames>
    <definedName name="_xlnm.Print_Titles" localSheetId="0">'Phase 1 - Business Setup'!$4:$4</definedName>
    <definedName name="_xlnm.Print_Titles" localSheetId="1">'Phase 2 - Site &amp; Permits'!$4:$4</definedName>
    <definedName name="_xlnm.Print_Titles" localSheetId="2">'Phase 3 - Production &amp; Health'!$4:$4</definedName>
    <definedName name="_xlnm.Print_Titles" localSheetId="3">'Phase 4 - Staff &amp; Food Safety'!$4:$4</definedName>
    <definedName name="_xlnm.Print_Titles" localSheetId="4">'Phase 5 - Brand &amp; Menu'!$4:$4</definedName>
    <definedName name="_xlnm.Print_Titles" localSheetId="5">'Phase 6 - Opening &amp; Season'!$4:$4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Georgia"/>
      <b val="1"/>
      <color rgb="001A1A1A"/>
      <sz val="16"/>
    </font>
    <font>
      <name val="Georgia"/>
      <b val="1"/>
      <color rgb="001A1A1A"/>
      <sz val="13"/>
    </font>
    <font>
      <name val="Calibri"/>
      <b val="1"/>
      <color rgb="00FFFFFF"/>
      <sz val="10"/>
    </font>
    <font>
      <name val="Calibri"/>
      <color rgb="001A1A1A"/>
      <sz val="10"/>
    </font>
    <font>
      <name val="Calibri"/>
      <b val="1"/>
      <sz val="10"/>
    </font>
    <font>
      <b val="1"/>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2">
    <border>
      <left/>
      <right/>
      <top/>
      <bottom/>
      <diagonal/>
    </border>
    <border>
      <bottom style="thin">
        <color rgb="00F5F0E8"/>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1" applyAlignment="1" pivotButton="0" quotePrefix="0" xfId="0">
      <alignment horizontal="center" vertical="center"/>
    </xf>
    <xf numFmtId="0" fontId="4" fillId="0" borderId="1" pivotButton="0" quotePrefix="0" xfId="0"/>
    <xf numFmtId="0" fontId="4" fillId="3" borderId="1" applyAlignment="1" pivotButton="0" quotePrefix="0" xfId="0">
      <alignment horizontal="center" vertical="center"/>
    </xf>
    <xf numFmtId="0" fontId="4" fillId="3" borderId="1" pivotButton="0" quotePrefix="0" xfId="0"/>
    <xf numFmtId="0" fontId="5" fillId="0" borderId="0" pivotButton="0" quotePrefix="0" xfId="0"/>
    <xf numFmtId="0" fontId="1" fillId="0" borderId="0" applyAlignment="1" pivotButton="0" quotePrefix="0" xfId="0">
      <alignment horizontal="left" vertical="top" wrapText="1"/>
    </xf>
    <xf numFmtId="0" fontId="4" fillId="4" borderId="1" applyAlignment="1" applyProtection="1" pivotButton="0" quotePrefix="0" xfId="0">
      <alignment horizontal="center" vertical="center"/>
      <protection locked="0" hidden="0"/>
    </xf>
    <xf numFmtId="0" fontId="0" fillId="4" borderId="0" applyAlignment="1" applyProtection="1" pivotButton="0" quotePrefix="0" xfId="0">
      <alignment horizontal="general" vertical="top" wrapText="1"/>
      <protection locked="0" hidden="0"/>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3" fontId="0" fillId="0" borderId="0" pivotButton="0" quotePrefix="0" xfId="0"/>
    <xf numFmtId="0" fontId="6" fillId="0" borderId="0" pivotButton="0" quotePrefix="0" xfId="0"/>
    <xf numFmtId="0" fontId="0" fillId="0" borderId="0" applyAlignment="1" pivotButton="0" quotePrefix="0" xfId="0">
      <alignment horizontal="left" vertical="top"/>
    </xf>
    <xf numFmtId="3" fontId="4" fillId="0" borderId="1" pivotButton="0" quotePrefix="0" xfId="0"/>
    <xf numFmtId="0" fontId="0" fillId="0" borderId="0" applyAlignment="1" pivotButton="0" quotePrefix="0" xfId="0">
      <alignment horizontal="left" vertical="top" wrapText="1"/>
    </xf>
  </cellXfs>
  <cellStyles count="1">
    <cellStyle name="Normal" xfId="0" builtinId="0" hidden="0"/>
  </cellStyles>
  <dxfs count="2">
    <dxf>
      <fill>
        <patternFill patternType="solid">
          <fgColor rgb="00C8E6C9"/>
          <bgColor rgb="00C8E6C9"/>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ICE CREAM SHOP STARTUP CHECKLIST</t>
        </is>
      </c>
    </row>
    <row r="2">
      <c r="A2" s="2" t="inlineStr">
        <is>
          <t>PHASE 1: BUSINESS SETUP &amp; TAXES (weeks 1-4)</t>
        </is>
      </c>
    </row>
    <row r="4">
      <c r="A4" s="3" t="inlineStr">
        <is>
          <t>OK</t>
        </is>
      </c>
      <c r="B4" s="3" t="inlineStr">
        <is>
          <t>TASK</t>
        </is>
      </c>
      <c r="C4" s="3" t="inlineStr">
        <is>
          <t>RESPONSIBLE</t>
        </is>
      </c>
      <c r="D4" s="3" t="inlineStr">
        <is>
          <t>TIMING</t>
        </is>
      </c>
      <c r="E4" s="3" t="inlineStr">
        <is>
          <t>NOTES</t>
        </is>
      </c>
    </row>
    <row r="5">
      <c r="A5" s="10" t="inlineStr">
        <is>
          <t>☐</t>
        </is>
      </c>
      <c r="B5" s="5" t="inlineStr">
        <is>
          <t>Zoning check before signing (retail food with on-site production)</t>
        </is>
      </c>
      <c r="C5" s="5" t="inlineStr">
        <is>
          <t>Owner / Zoning consultant</t>
        </is>
      </c>
      <c r="D5" s="5" t="inlineStr">
        <is>
          <t>Before signing the lease</t>
        </is>
      </c>
      <c r="E5" s="5" t="inlineStr">
        <is>
          <t>Ask the city four things: whether the zoning allows making and selling ice cream with seating on site, how much electrical service the space has (ask the utility about 3-phase service and amps before signing), what ventilation the condenser units need (waffle cone irons need no smoke exhaust) and whether the street allows patio seating. Winter then runs on ice cream cakes, holiday pies and pints, hot chocolate and catering</t>
        </is>
      </c>
    </row>
    <row r="6">
      <c r="A6" s="10" t="inlineStr">
        <is>
          <t>☐</t>
        </is>
      </c>
      <c r="B6" s="5" t="inlineStr">
        <is>
          <t>Choose your legal structure: LLC vs S corp</t>
        </is>
      </c>
      <c r="C6" s="5" t="inlineStr">
        <is>
          <t>Accountant</t>
        </is>
      </c>
      <c r="D6" s="5" t="inlineStr">
        <is>
          <t>Week 1</t>
        </is>
      </c>
      <c r="E6" s="5" t="inlineStr">
        <is>
          <t>The financial plan assumes an effective income tax rate of 25% (21% federal plus state), as for a C corporation. An LLC taxed as a pass-through pays through your personal return instead, and early losses carry forward as net operating losses. Compare an LLC vs S corp election with your CPA, using the plan's numbers.</t>
        </is>
      </c>
    </row>
    <row r="7">
      <c r="A7" s="10" t="inlineStr">
        <is>
          <t>☐</t>
        </is>
      </c>
      <c r="B7" s="5" t="inlineStr">
        <is>
          <t>Form the LLC (or corporation) with your state</t>
        </is>
      </c>
      <c r="C7" s="5" t="inlineStr">
        <is>
          <t>Attorney / CPA</t>
        </is>
      </c>
      <c r="D7" s="5" t="inlineStr">
        <is>
          <t>Weeks 1-2</t>
        </is>
      </c>
      <c r="E7" s="5" t="inlineStr">
        <is>
          <t>Filing fees, annual reports and franchise taxes vary by state. Check your Secretary of State's website before you file.</t>
        </is>
      </c>
    </row>
    <row r="8">
      <c r="A8" s="10" t="inlineStr">
        <is>
          <t>☐</t>
        </is>
      </c>
      <c r="B8" s="5" t="inlineStr">
        <is>
          <t>Business license and sales tax permit (state and city)</t>
        </is>
      </c>
      <c r="C8" s="5" t="inlineStr">
        <is>
          <t>Accountant</t>
        </is>
      </c>
      <c r="D8" s="5" t="inlineStr">
        <is>
          <t>Week 2</t>
        </is>
      </c>
      <c r="E8" s="5" t="inlineStr">
        <is>
          <t>Register the business with your city or county and get your state sales tax permit before the first sale. Fees and forms vary: ask your city clerk and your state department of revenue. Your CPA can confirm the filing frequency</t>
        </is>
      </c>
    </row>
    <row r="9">
      <c r="A9" s="10" t="inlineStr">
        <is>
          <t>☐</t>
        </is>
      </c>
      <c r="B9" s="5" t="inlineStr">
        <is>
          <t>License decision: buy pasteurized base from a licensed dairy or make your own mix</t>
        </is>
      </c>
      <c r="C9" s="5" t="inlineStr">
        <is>
          <t>Accountant</t>
        </is>
      </c>
      <c r="D9" s="5" t="inlineStr">
        <is>
          <t>Week 2</t>
        </is>
      </c>
      <c r="E9" s="5" t="inlineStr">
        <is>
          <t>Ask your state department of agriculture in writing. Buying pasteurized base from a licensed dairy (the case in this plan) usually needs a retail license. Making your own mix (the variant) means a state dairy plant or frozen dessert manufacturer license, 3-A equipment and inspections. Decide before you buy equipment, and ask your local health department what it expects</t>
        </is>
      </c>
    </row>
    <row r="10">
      <c r="A10" s="10" t="inlineStr">
        <is>
          <t>☐</t>
        </is>
      </c>
      <c r="B10" s="5" t="inlineStr">
        <is>
          <t>Workers' compensation insurance and payroll account</t>
        </is>
      </c>
      <c r="C10" s="5" t="inlineStr">
        <is>
          <t>Accountant</t>
        </is>
      </c>
      <c r="D10" s="5" t="inlineStr">
        <is>
          <t>Week 2</t>
        </is>
      </c>
      <c r="E10" s="5" t="inlineStr">
        <is>
          <t>Premiums depend on your state, your payroll and your job classes. Get quotes from your insurance broker or the state fund.</t>
        </is>
      </c>
    </row>
    <row r="11">
      <c r="A11" s="10" t="inlineStr">
        <is>
          <t>☐</t>
        </is>
      </c>
      <c r="B11" s="5" t="inlineStr">
        <is>
          <t>IRS and state tax portal online accounts</t>
        </is>
      </c>
      <c r="C11" s="5" t="inlineStr">
        <is>
          <t>Owner</t>
        </is>
      </c>
      <c r="D11" s="5" t="inlineStr">
        <is>
          <t>Week 1</t>
        </is>
      </c>
      <c r="E11" s="5" t="inlineStr">
        <is>
          <t>Needed for the IRS, your state payroll and unemployment accounts and your sales tax permit</t>
        </is>
      </c>
    </row>
    <row r="12">
      <c r="A12" s="10" t="inlineStr">
        <is>
          <t>☐</t>
        </is>
      </c>
      <c r="B12" s="5" t="inlineStr">
        <is>
          <t>Business bank account and business card</t>
        </is>
      </c>
      <c r="C12" s="5" t="inlineStr">
        <is>
          <t>Owner</t>
        </is>
      </c>
      <c r="D12" s="5" t="inlineStr">
        <is>
          <t>Week 2</t>
        </is>
      </c>
      <c r="E12" s="5" t="inlineStr">
        <is>
          <t>Separate from your personal accounts: card terminal deposits, supplier payments and catering receipts go through them</t>
        </is>
      </c>
    </row>
    <row r="13">
      <c r="A13" s="10" t="inlineStr">
        <is>
          <t>☐</t>
        </is>
      </c>
      <c r="B13" s="5" t="inlineStr">
        <is>
          <t>Accountant / bookkeeper and a POS that reports sales tax</t>
        </is>
      </c>
      <c r="C13" s="5" t="inlineStr">
        <is>
          <t>Owner</t>
        </is>
      </c>
      <c r="D13" s="5" t="inlineStr">
        <is>
          <t>Weeks 2-4</t>
        </is>
      </c>
      <c r="E13" s="5" t="inlineStr">
        <is>
          <t>Payroll for the seasonal part-time hires, rehired each spring. Choose a POS that reports sales tax before you buy it, and ask your CPA how often you file</t>
        </is>
      </c>
    </row>
    <row r="14">
      <c r="A14" s="10" t="inlineStr">
        <is>
          <t>☐</t>
        </is>
      </c>
      <c r="B14" s="5" t="inlineStr">
        <is>
          <t>Take the plan to two lenders and compare loan offers</t>
        </is>
      </c>
      <c r="C14" s="5" t="inlineStr">
        <is>
          <t>Owner</t>
        </is>
      </c>
      <c r="D14" s="5" t="inlineStr">
        <is>
          <t>Weeks 2-4</t>
        </is>
      </c>
      <c r="E14" s="5" t="inlineStr">
        <is>
          <t>Bring the full financial plan with the month-by-month cash flow, lender-ready. Also ask each lender about an SBA 7(a) loan and about leasing for the refrigeration equipment, and compare the rates (the example uses 10%, not APR)</t>
        </is>
      </c>
    </row>
    <row r="15">
      <c r="A15" s="10" t="inlineStr">
        <is>
          <t>☐</t>
        </is>
      </c>
      <c r="B15" s="5" t="inlineStr">
        <is>
          <t>General liability, property and equipment breakdown + food spoilage</t>
        </is>
      </c>
      <c r="C15" s="5" t="inlineStr">
        <is>
          <t>Insurance broker</t>
        </is>
      </c>
      <c r="D15" s="5" t="inlineStr">
        <is>
          <t>Before construction</t>
        </is>
      </c>
      <c r="E15" s="5" t="inlineStr">
        <is>
          <t>General liability (ask your broker for the limit) and property insurance with equipment breakdown and food spoilage</t>
        </is>
      </c>
    </row>
    <row r="16">
      <c r="A16" s="10" t="inlineStr">
        <is>
          <t>☐</t>
        </is>
      </c>
      <c r="B16" s="5" t="inlineStr">
        <is>
          <t>Trademark search and registration (USPTO)</t>
        </is>
      </c>
      <c r="C16" s="5" t="inlineStr">
        <is>
          <t>Owner</t>
        </is>
      </c>
      <c r="D16" s="5" t="inlineStr">
        <is>
          <t>Weeks 2-4</t>
        </is>
      </c>
      <c r="E16" s="5" t="inlineStr">
        <is>
          <t>Check first that the name is not registered in your class (ice cream and restaurant services)</t>
        </is>
      </c>
    </row>
    <row r="17">
      <c r="C17" s="14" t="n"/>
      <c r="E17" s="14" t="n"/>
    </row>
    <row r="18">
      <c r="B18" t="inlineStr">
        <is>
          <t>Tasks completed:</t>
        </is>
      </c>
      <c r="C18" s="14">
        <f>COUNTIF(A5:A16,"✓")</f>
        <v>0.0</v>
      </c>
      <c r="D18" t="inlineStr">
        <is>
          <t>of</t>
        </is>
      </c>
      <c r="E18" s="14">
        <f>COUNTIF(B5:B16,"?*")-COUNTIF(A5:A16,"N/A")</f>
        <v>12.0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6">
    <cfRule type="containsText" priority="1" operator="containsText" dxfId="1" stopIfTrue="1" text="✓">
      <formula>NOT(ISERROR(SEARCH("✓",A5)))</formula>
    </cfRule>
  </conditionalFormatting>
  <dataValidations count="1">
    <dataValidation sqref="A5 A6 A7 A8 A9 A10 A11 A12 A13 A14 A15 A16"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21"/>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ICE CREAM SHOP STARTUP CHECKLIST</t>
        </is>
      </c>
    </row>
    <row r="2">
      <c r="A2" s="2" t="inlineStr">
        <is>
          <t>PHASE 2: SITE &amp; PERMITS (weeks 3-12)</t>
        </is>
      </c>
    </row>
    <row r="4">
      <c r="A4" s="3" t="inlineStr">
        <is>
          <t>OK</t>
        </is>
      </c>
      <c r="B4" s="3" t="inlineStr">
        <is>
          <t>TASK</t>
        </is>
      </c>
      <c r="C4" s="3" t="inlineStr">
        <is>
          <t>RESPONSIBLE</t>
        </is>
      </c>
      <c r="D4" s="3" t="inlineStr">
        <is>
          <t>TIMING</t>
        </is>
      </c>
      <c r="E4" s="3" t="inlineStr">
        <is>
          <t>NOTES</t>
        </is>
      </c>
    </row>
    <row r="5">
      <c r="A5" s="10" t="inlineStr">
        <is>
          <t>☐</t>
        </is>
      </c>
      <c r="B5" s="5" t="inlineStr">
        <is>
          <t>Choose the space: 1,000 sq ft (93 sq m) with a production room of about 250 sq ft (23 sq m)</t>
        </is>
      </c>
      <c r="C5" s="5" t="inlineStr">
        <is>
          <t>Owner</t>
        </is>
      </c>
      <c r="D5" s="5" t="inlineStr">
        <is>
          <t>Weeks 3-6</t>
        </is>
      </c>
      <c r="E5" s="5" t="inlineStr">
        <is>
          <t>Neighborhood main street or a spot near a park or schools, with foot traffic on summer evenings and weekends in winter</t>
        </is>
      </c>
    </row>
    <row r="6">
      <c r="A6" s="10" t="inlineStr">
        <is>
          <t>☐</t>
        </is>
      </c>
      <c r="B6" s="5" t="inlineStr">
        <is>
          <t>Check the electrical service: about 30 kW in 3-phase</t>
        </is>
      </c>
      <c r="C6" s="5" t="inlineStr">
        <is>
          <t>Electrician / Utility</t>
        </is>
      </c>
      <c r="D6" s="5" t="inlineStr">
        <is>
          <t>Before signing</t>
        </is>
      </c>
      <c r="E6" s="5" t="inlineStr">
        <is>
          <t>Dipping cabinets running 24 hours a day, batch freezer, hardening cabinet and air conditioning. A single-phase space needs a new service: ask the utility for the timeline and the cost</t>
        </is>
      </c>
    </row>
    <row r="7">
      <c r="A7" s="10" t="inlineStr">
        <is>
          <t>☐</t>
        </is>
      </c>
      <c r="B7" s="5" t="inlineStr">
        <is>
          <t>Check floor drains, ventilation and condenser air outlets</t>
        </is>
      </c>
      <c r="C7" s="5" t="inlineStr">
        <is>
          <t>Architect / engineer</t>
        </is>
      </c>
      <c r="D7" s="5" t="inlineStr">
        <is>
          <t>Before signing</t>
        </is>
      </c>
      <c r="E7" s="5" t="inlineStr">
        <is>
          <t>Floor sink in the production room and an air outlet for the machines' condenser units. Waffle cone irons need no smoke exhaust</t>
        </is>
      </c>
    </row>
    <row r="8">
      <c r="A8" s="10" t="inlineStr">
        <is>
          <t>☐</t>
        </is>
      </c>
      <c r="B8" s="5" t="inlineStr">
        <is>
          <t>Negotiate the lease: free-rent period during build-out and security deposit</t>
        </is>
      </c>
      <c r="C8" s="5" t="inlineStr">
        <is>
          <t>Owner</t>
        </is>
      </c>
      <c r="D8" s="5" t="inlineStr">
        <is>
          <t>Before signing</t>
        </is>
      </c>
      <c r="E8" s="5" t="inlineStr">
        <is>
          <t>The plan counts two months of rent before opening and a two-month deposit. Ask for a free-rent period while you build out</t>
        </is>
      </c>
    </row>
    <row r="9">
      <c r="A9" s="10" t="inlineStr">
        <is>
          <t>☐</t>
        </is>
      </c>
      <c r="B9" s="5" t="inlineStr">
        <is>
          <t>Lease that names the use: ice cream shop with on-site production</t>
        </is>
      </c>
      <c r="C9" s="5" t="inlineStr">
        <is>
          <t>Owner / Attorney</t>
        </is>
      </c>
      <c r="D9" s="5" t="inlineStr">
        <is>
          <t>Week 6</t>
        </is>
      </c>
      <c r="E9" s="5" t="inlineStr">
        <is>
          <t>The lease should say "ice cream shop with on-site production and seating" and who pays for the electrical service connection</t>
        </is>
      </c>
    </row>
    <row r="10">
      <c r="A10" s="10" t="inlineStr">
        <is>
          <t>☐</t>
        </is>
      </c>
      <c r="B10" s="5" t="inlineStr">
        <is>
          <t>Commission the plans and the equipment layout</t>
        </is>
      </c>
      <c r="C10" s="5" t="inlineStr">
        <is>
          <t>Architect / Engineer</t>
        </is>
      </c>
      <c r="D10" s="5" t="inlineStr">
        <is>
          <t>Weeks 6-8</t>
        </is>
      </c>
      <c r="E10" s="5" t="inlineStr">
        <is>
          <t>Layout of the production room with a dirty-to-clean flow, power, ventilation and the patio, ready for plan review</t>
        </is>
      </c>
    </row>
    <row r="11">
      <c r="A11" s="10" t="inlineStr">
        <is>
          <t>☐</t>
        </is>
      </c>
      <c r="B11" s="5" t="inlineStr">
        <is>
          <t>Building permit for the build-out</t>
        </is>
      </c>
      <c r="C11" s="5" t="inlineStr">
        <is>
          <t>Owner / City planning office</t>
        </is>
      </c>
      <c r="D11" s="5" t="inlineStr">
        <is>
          <t>Weeks 6-8, before construction starts</t>
        </is>
      </c>
      <c r="E11" s="5" t="inlineStr">
        <is>
          <t>Ask in your zoning check which permit your work needs. The building department decides whether plans stamped by an architect or engineer are required</t>
        </is>
      </c>
    </row>
    <row r="12">
      <c r="A12" s="10" t="inlineStr">
        <is>
          <t>☐</t>
        </is>
      </c>
      <c r="B12" s="5" t="inlineStr">
        <is>
          <t>Plan review (Food Code 8-201.11) with the equipment layout</t>
        </is>
      </c>
      <c r="C12" s="5" t="inlineStr">
        <is>
          <t>Owner / City planning office</t>
        </is>
      </c>
      <c r="D12" s="5" t="inlineStr">
        <is>
          <t>Before construction</t>
        </is>
      </c>
      <c r="E12" s="5" t="inlineStr">
        <is>
          <t>Submit the plans, the equipment list and the layout to your local health department before you build; it approves them or asks for changes. Requirements vary by county: ask your local health department</t>
        </is>
      </c>
    </row>
    <row r="13">
      <c r="A13" s="10" t="inlineStr">
        <is>
          <t>☐</t>
        </is>
      </c>
      <c r="B13" s="5" t="inlineStr">
        <is>
          <t>Seating and restrooms: confirm what your seat count requires</t>
        </is>
      </c>
      <c r="C13" s="5" t="inlineStr">
        <is>
          <t>Owner / City planning office</t>
        </is>
      </c>
      <c r="D13" s="5" t="inlineStr">
        <is>
          <t>Before construction</t>
        </is>
      </c>
      <c r="E13" s="5" t="inlineStr">
        <is>
          <t>Your seat count drives restroom, occupancy and parking requirements: confirm them with the building and health departments</t>
        </is>
      </c>
    </row>
    <row r="14">
      <c r="A14" s="10" t="inlineStr">
        <is>
          <t>☐</t>
        </is>
      </c>
      <c r="B14" s="5" t="inlineStr">
        <is>
          <t>Apply for the patio permit</t>
        </is>
      </c>
      <c r="C14" s="5" t="inlineStr">
        <is>
          <t>Owner / City</t>
        </is>
      </c>
      <c r="D14" s="5" t="inlineStr">
        <is>
          <t>Together with the permit applications</t>
        </is>
      </c>
      <c r="E14" s="5" t="inlineStr">
        <is>
          <t>Sidewalk space is public right-of-way and always needs its own permit. Ask your city for the fee: the plan's figure is an example</t>
        </is>
      </c>
    </row>
    <row r="15">
      <c r="A15" s="10" t="inlineStr">
        <is>
          <t>☐</t>
        </is>
      </c>
      <c r="B15" s="5" t="inlineStr">
        <is>
          <t>Production room build-out: washable surfaces and non-slip floor</t>
        </is>
      </c>
      <c r="C15" s="5" t="inlineStr">
        <is>
          <t>Contractor</t>
        </is>
      </c>
      <c r="D15" s="5" t="inlineStr">
        <is>
          <t>Weeks 8-12</t>
        </is>
      </c>
      <c r="E15" s="5" t="inlineStr">
        <is>
          <t>Washable walls, non-slip floor, washable ceilings, hand sinks and a restroom</t>
        </is>
      </c>
    </row>
    <row r="16">
      <c r="A16" s="10" t="inlineStr">
        <is>
          <t>☐</t>
        </is>
      </c>
      <c r="B16" s="5" t="inlineStr">
        <is>
          <t>Plumbing, floor drains and air conditioning</t>
        </is>
      </c>
      <c r="C16" s="5" t="inlineStr">
        <is>
          <t>Installer</t>
        </is>
      </c>
      <c r="D16" s="5" t="inlineStr">
        <is>
          <t>Weeks 8-12</t>
        </is>
      </c>
      <c r="E16" s="5" t="inlineStr">
        <is>
          <t>Hot and cold water in the production room, floor drains and air conditioning for the shop</t>
        </is>
      </c>
    </row>
    <row r="17">
      <c r="A17" s="10" t="inlineStr">
        <is>
          <t>☐</t>
        </is>
      </c>
      <c r="B17" s="5" t="inlineStr">
        <is>
          <t>Install the batch freezer, hardening cabinet and base refrigerator</t>
        </is>
      </c>
      <c r="C17" s="5" t="inlineStr">
        <is>
          <t>Supplier</t>
        </is>
      </c>
      <c r="D17" s="5" t="inlineStr">
        <is>
          <t>Weeks 10-12</t>
        </is>
      </c>
      <c r="E17" s="5" t="inlineStr">
        <is>
          <t>Test run with the technician: temperatures of the dipping cabinets, the hardening cabinet and the freezers</t>
        </is>
      </c>
    </row>
    <row r="18">
      <c r="A18" s="10" t="inlineStr">
        <is>
          <t>☐</t>
        </is>
      </c>
      <c r="B18" s="5" t="inlineStr">
        <is>
          <t>Signs, storefront and hours sign</t>
        </is>
      </c>
      <c r="C18" s="5" t="inlineStr">
        <is>
          <t>Sign maker</t>
        </is>
      </c>
      <c r="D18" s="5" t="inlineStr">
        <is>
          <t>Weeks 10-12</t>
        </is>
      </c>
      <c r="E18" s="5" t="inlineStr">
        <is>
          <t>The sign may need its own signage permit. Say "made here in small batches" only if it is true (phase 5)</t>
        </is>
      </c>
    </row>
    <row r="19">
      <c r="A19" s="10" t="inlineStr">
        <is>
          <t>☐</t>
        </is>
      </c>
      <c r="B19" s="5" t="inlineStr">
        <is>
          <t>Electrical upgrade, final inspections and certificate of occupancy</t>
        </is>
      </c>
      <c r="C19" s="5" t="inlineStr">
        <is>
          <t>Licensed electrician / Inspector</t>
        </is>
      </c>
      <c r="D19" s="5" t="inlineStr">
        <is>
          <t>During and after construction</t>
        </is>
      </c>
      <c r="E19" s="5" t="inlineStr">
        <is>
          <t>Keep the electrical inspection sign-off for the new 3-phase service and the technician's final certificate: the building and health departments will ask for them at the final inspection</t>
        </is>
      </c>
    </row>
    <row r="21">
      <c r="B21" s="5" t="inlineStr">
        <is>
          <t>Tasks completed:</t>
        </is>
      </c>
      <c r="C21" s="17">
        <f>COUNTIF(A5:A19,"✓")</f>
        <v>0.0</v>
      </c>
      <c r="D21" s="5" t="inlineStr">
        <is>
          <t>of</t>
        </is>
      </c>
      <c r="E21" s="17">
        <f>COUNTIF(B5:B19,"?*")-COUNTIF(A5:A19,"N/A")</f>
        <v>15.0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9">
    <cfRule type="containsText" priority="1" operator="containsText" dxfId="1" stopIfTrue="1" text="✓">
      <formula>NOT(ISERROR(SEARCH("✓",A5)))</formula>
    </cfRule>
  </conditionalFormatting>
  <dataValidations count="1">
    <dataValidation sqref="A5 A6 A7 A8 A9 A10 A11 A12 A13 A14 A15 A16 A17 A18 A19"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21"/>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ICE CREAM SHOP STARTUP CHECKLIST</t>
        </is>
      </c>
    </row>
    <row r="2">
      <c r="A2" s="2" t="inlineStr">
        <is>
          <t>PHASE 3: PRODUCTION &amp; HEALTH (weeks 8-14)</t>
        </is>
      </c>
    </row>
    <row r="4">
      <c r="A4" s="3" t="inlineStr">
        <is>
          <t>OK</t>
        </is>
      </c>
      <c r="B4" s="3" t="inlineStr">
        <is>
          <t>TASK</t>
        </is>
      </c>
      <c r="C4" s="3" t="inlineStr">
        <is>
          <t>RESPONSIBLE</t>
        </is>
      </c>
      <c r="D4" s="3" t="inlineStr">
        <is>
          <t>TIMING</t>
        </is>
      </c>
      <c r="E4" s="3" t="inlineStr">
        <is>
          <t>NOTES</t>
        </is>
      </c>
    </row>
    <row r="5">
      <c r="A5" s="10" t="inlineStr">
        <is>
          <t>☐</t>
        </is>
      </c>
      <c r="B5" s="5" t="inlineStr">
        <is>
          <t>Buy the batch freezer, the hardening cabinet and the base refrigerator</t>
        </is>
      </c>
      <c r="C5" s="5" t="inlineStr">
        <is>
          <t>Owner</t>
        </is>
      </c>
      <c r="D5" s="5" t="inlineStr">
        <is>
          <t>Weeks 8-10</t>
        </is>
      </c>
      <c r="E5" s="5" t="inlineStr">
        <is>
          <t>A 20-qt horizontal batch freezer, a hardening cabinet for tubs and a base refrigerator at 41 °F (5 °C) or colder. Ask for the data sheet, amps and warranty; check the 3-phase service first. Reconditioned equipment costs much less</t>
        </is>
      </c>
    </row>
    <row r="6">
      <c r="A6" s="10" t="inlineStr">
        <is>
          <t>☐</t>
        </is>
      </c>
      <c r="B6" s="5" t="inlineStr">
        <is>
          <t>Buy the storage freezers and the 18-flavor dipping cabinets</t>
        </is>
      </c>
      <c r="C6" s="5" t="inlineStr">
        <is>
          <t>Owner</t>
        </is>
      </c>
      <c r="D6" s="5" t="inlineStr">
        <is>
          <t>Weeks 8-10</t>
        </is>
      </c>
      <c r="E6" s="5" t="inlineStr">
        <is>
          <t>Two storage freezers at 0 °F (−18 °C) or colder and dipping cabinets for 18 flavors: in a mid-size city, more than that only adds waste and power</t>
        </is>
      </c>
    </row>
    <row r="7">
      <c r="A7" s="10" t="inlineStr">
        <is>
          <t>☐</t>
        </is>
      </c>
      <c r="B7" s="5" t="inlineStr">
        <is>
          <t>Refrigeration service contract with an EPA 608-certified technician</t>
        </is>
      </c>
      <c r="C7" s="5" t="inlineStr">
        <is>
          <t>Owner</t>
        </is>
      </c>
      <c r="D7" s="5" t="inlineStr">
        <is>
          <t>Before opening</t>
        </is>
      </c>
      <c r="E7" s="5" t="inlineStr">
        <is>
          <t>Service before summer and during the January closing. Refrigerant is handled only by a certified technician: your staff never tops it up</t>
        </is>
      </c>
    </row>
    <row r="8">
      <c r="A8" s="10" t="inlineStr">
        <is>
          <t>☐</t>
        </is>
      </c>
      <c r="B8" s="5" t="inlineStr">
        <is>
          <t>Health permit application and pre-opening inspection</t>
        </is>
      </c>
      <c r="C8" s="5" t="inlineStr">
        <is>
          <t>Owner / Health department</t>
        </is>
      </c>
      <c r="D8" s="5" t="inlineStr">
        <is>
          <t>Before the first batch (test batches too)</t>
        </is>
      </c>
      <c r="E8" s="5" t="inlineStr">
        <is>
          <t>Apply to your local health department; plan review and a pre-opening inspection come first. Requirements vary by county: ask your local health department</t>
        </is>
      </c>
    </row>
    <row r="9">
      <c r="A9" s="10" t="inlineStr">
        <is>
          <t>☐</t>
        </is>
      </c>
      <c r="B9" s="5" t="inlineStr">
        <is>
          <t>Before selling to restaurants or cafés, ask your state: it may require a manufacturer license</t>
        </is>
      </c>
      <c r="C9" s="5" t="inlineStr">
        <is>
          <t>Owner</t>
        </is>
      </c>
      <c r="D9" s="5" t="inlineStr">
        <is>
          <t>Before selling to another business</t>
        </is>
      </c>
      <c r="E9" s="5" t="inlineStr">
        <is>
          <t>Selling ice cream to restaurants or cafés makes you a wholesale supplier in many states. Ask your state department of agriculture in writing what license, labeling and inspections apply, and keep a record of buyers, quantities and dates</t>
        </is>
      </c>
    </row>
    <row r="10">
      <c r="A10" s="10" t="inlineStr">
        <is>
          <t>☐</t>
        </is>
      </c>
      <c r="B10" s="5" t="inlineStr">
        <is>
          <t>Written food safety plan (receiving ≤ 41 °F, lot codes, date marking)</t>
        </is>
      </c>
      <c r="C10" s="5" t="inlineStr">
        <is>
          <t>Consultant / Owner</t>
        </is>
      </c>
      <c r="D10" s="5" t="inlineStr">
        <is>
          <t>Before opening</t>
        </is>
      </c>
      <c r="E10" s="5" t="inlineStr">
        <is>
          <t>Receive the base at 41 °F (5 °C) or colder with lot codes and date marking. After the dairy's pasteurization you add only flavorings and mix-ins: no raw eggs, no raw milk or cream. If you pasteurize your own mix (the variant), fats, egg yolks and emulsifiers go in BEFORE pasteurization (155 °F for 30 minutes or 175 °F for 25 seconds), never after</t>
        </is>
      </c>
    </row>
    <row r="11">
      <c r="A11" s="10" t="inlineStr">
        <is>
          <t>☐</t>
        </is>
      </c>
      <c r="B11" s="5" t="inlineStr">
        <is>
          <t>Batch freezing, hardening ≤ 0 °F, dipping cabinet 6-10 °F</t>
        </is>
      </c>
      <c r="C11" s="5" t="inlineStr">
        <is>
          <t>Owner</t>
        </is>
      </c>
      <c r="D11" s="5" t="inlineStr">
        <is>
          <t>Before opening</t>
        </is>
      </c>
      <c r="E11" s="5" t="inlineStr">
        <is>
          <t>Batch-freeze (draw at 16-19 °F), harden to 0 °F (−18 °C) or colder at the core, and hold the dipping cabinet at 6-10 °F or the manufacturer's range. Store at 0 °F or colder and never refreeze melted ice cream. Your food safety plan sets the cabinet temperature</t>
        </is>
      </c>
    </row>
    <row r="12">
      <c r="A12" s="10" t="inlineStr">
        <is>
          <t>☐</t>
        </is>
      </c>
      <c r="B12" s="5" t="inlineStr">
        <is>
          <t>Custard flavors from a custard base, no raw eggs</t>
        </is>
      </c>
      <c r="C12" s="5" t="inlineStr">
        <is>
          <t>Owner</t>
        </is>
      </c>
      <c r="D12" s="5" t="inlineStr">
        <is>
          <t>Before opening</t>
        </is>
      </c>
      <c r="E12" s="5" t="inlineStr">
        <is>
          <t>Custard flavors need a custard base from your dairy: never add raw eggs, raw milk or cream after the base has been pasteurized</t>
        </is>
      </c>
    </row>
    <row r="13">
      <c r="A13" s="10" t="inlineStr">
        <is>
          <t>☐</t>
        </is>
      </c>
      <c r="B13" s="5" t="inlineStr">
        <is>
          <t>Lot traceability, date marking and temperature logs</t>
        </is>
      </c>
      <c r="C13" s="5" t="inlineStr">
        <is>
          <t>Owner</t>
        </is>
      </c>
      <c r="D13" s="5" t="inlineStr">
        <is>
          <t>From the first batch</t>
        </is>
      </c>
      <c r="E13" s="5" t="inlineStr">
        <is>
          <t>Lot and date of each batch, delivery temperature of the base, freezer and cabinet temperatures, and the supplier of each ingredient</t>
        </is>
      </c>
    </row>
    <row r="14">
      <c r="A14" s="10" t="inlineStr">
        <is>
          <t>☐</t>
        </is>
      </c>
      <c r="B14" s="5" t="inlineStr">
        <is>
          <t>Recipe cards for each flavor with its allergens</t>
        </is>
      </c>
      <c r="C14" s="5" t="inlineStr">
        <is>
          <t>Ice cream maker</t>
        </is>
      </c>
      <c r="D14" s="5" t="inlineStr">
        <is>
          <t>Before opening</t>
        </is>
      </c>
      <c r="E14" s="5" t="inlineStr">
        <is>
          <t>Recipe, yield and allergens of every flavor: milk, eggs, tree nuts, peanuts, wheat (cookies, cones), soy and sesame</t>
        </is>
      </c>
    </row>
    <row r="15">
      <c r="A15" s="10" t="inlineStr">
        <is>
          <t>☐</t>
        </is>
      </c>
      <c r="B15" s="5" t="inlineStr">
        <is>
          <t>Allergen sign and information at the counter</t>
        </is>
      </c>
      <c r="C15" s="5" t="inlineStr">
        <is>
          <t>Owner</t>
        </is>
      </c>
      <c r="D15" s="5" t="inlineStr">
        <is>
          <t>Before opening</t>
        </is>
      </c>
      <c r="E15" s="5" t="inlineStr">
        <is>
          <t>The 9 major allergens include sesame (UK: 14). Post a sign or menu board and train staff to answer. Never promise "allergen-free": scoops, tubs and dipper wells are shared</t>
        </is>
      </c>
    </row>
    <row r="16">
      <c r="A16" s="10" t="inlineStr">
        <is>
          <t>☐</t>
        </is>
      </c>
      <c r="B16" s="5" t="inlineStr">
        <is>
          <t>Complete label on packaged pints</t>
        </is>
      </c>
      <c r="C16" s="5" t="inlineStr">
        <is>
          <t>Owner</t>
        </is>
      </c>
      <c r="D16" s="5" t="inlineStr">
        <is>
          <t>Before selling packaged pints</t>
        </is>
      </c>
      <c r="E16" s="5" t="inlineStr">
        <is>
          <t>Pints you leave packaged in the freezer need a label (Food Code 3-602.11): name of the food, ingredients, allergens, net quantity and your name and address</t>
        </is>
      </c>
    </row>
    <row r="17">
      <c r="A17" s="10" t="inlineStr">
        <is>
          <t>☐</t>
        </is>
      </c>
      <c r="B17" s="5" t="inlineStr">
        <is>
          <t>Menu names that meet 21 CFR 135.110 ("ice cream", "frozen custard")</t>
        </is>
      </c>
      <c r="C17" s="5" t="inlineStr">
        <is>
          <t>Ice cream maker</t>
        </is>
      </c>
      <c r="D17" s="5" t="inlineStr">
        <is>
          <t>Before opening</t>
        </is>
      </c>
      <c r="E17" s="5" t="inlineStr">
        <is>
          <t>Use "ice cream" only if the recipe has at least 10% milkfat and weighs 4.5 lb per gallon or more, and "frozen custard" only with 1.4% egg yolk solids. Otherwise name it by flavor or use another description. If you call it ice cream, the federal standard applies, gelato included</t>
        </is>
      </c>
    </row>
    <row r="18">
      <c r="A18" s="10" t="inlineStr">
        <is>
          <t>☐</t>
        </is>
      </c>
      <c r="B18" s="5" t="inlineStr">
        <is>
          <t>Scoop and dipper well protocol against cross-contact</t>
        </is>
      </c>
      <c r="C18" s="5" t="inlineStr">
        <is>
          <t>Owner</t>
        </is>
      </c>
      <c r="D18" s="5" t="inlineStr">
        <is>
          <t>Before opening</t>
        </is>
      </c>
      <c r="E18" s="5" t="inlineStr">
        <is>
          <t>One scoop per tub and a dipper well with running water (Food Code 3-304.12). For a guest with an allergy, use a clean scoop and an unopened tub</t>
        </is>
      </c>
    </row>
    <row r="19">
      <c r="A19" s="10" t="inlineStr">
        <is>
          <t>☐</t>
        </is>
      </c>
      <c r="B19" s="5" t="inlineStr">
        <is>
          <t>Base supplier agreement and ingredient suppliers (delivery ≤ 41 °F, lot codes)</t>
        </is>
      </c>
      <c r="C19" s="5" t="inlineStr">
        <is>
          <t>Owner</t>
        </is>
      </c>
      <c r="D19" s="5" t="inlineStr">
        <is>
          <t>Weeks 10-14</t>
        </is>
      </c>
      <c r="E19" s="5" t="inlineStr">
        <is>
          <t>Two suppliers for each key ingredient (pistachio, cocoa, vanilla), packaging without expanded polystyrene, and paper or compostable spoons</t>
        </is>
      </c>
    </row>
    <row r="21">
      <c r="B21" s="5" t="inlineStr">
        <is>
          <t>Tasks completed:</t>
        </is>
      </c>
      <c r="C21" s="17">
        <f>COUNTIF(A5:A19,"✓")</f>
        <v>0.0</v>
      </c>
      <c r="D21" s="5" t="inlineStr">
        <is>
          <t>of</t>
        </is>
      </c>
      <c r="E21" s="17">
        <f>COUNTIF(B5:B19,"?*")-COUNTIF(A5:A19,"N/A")</f>
        <v>15.0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9">
    <cfRule type="containsText" priority="1" operator="containsText" dxfId="1" stopIfTrue="1" text="✓">
      <formula>NOT(ISERROR(SEARCH("✓",A5)))</formula>
    </cfRule>
  </conditionalFormatting>
  <dataValidations count="1">
    <dataValidation sqref="A5 A6 A7 A8 A9 A10 A11 A12 A13 A14 A15 A16 A17 A18 A19"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1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ICE CREAM SHOP STARTUP CHECKLIST</t>
        </is>
      </c>
    </row>
    <row r="2">
      <c r="A2" s="2" t="inlineStr">
        <is>
          <t>PHASE 4: STAFF &amp; FOOD SAFETY (weeks 10-14)</t>
        </is>
      </c>
    </row>
    <row r="4">
      <c r="A4" s="3" t="inlineStr">
        <is>
          <t>OK</t>
        </is>
      </c>
      <c r="B4" s="3" t="inlineStr">
        <is>
          <t>TASK</t>
        </is>
      </c>
      <c r="C4" s="3" t="inlineStr">
        <is>
          <t>RESPONSIBLE</t>
        </is>
      </c>
      <c r="D4" s="3" t="inlineStr">
        <is>
          <t>TIMING</t>
        </is>
      </c>
      <c r="E4" s="3" t="inlineStr">
        <is>
          <t>NOTES</t>
        </is>
      </c>
    </row>
    <row r="5">
      <c r="A5" s="10" t="inlineStr">
        <is>
          <t>☐</t>
        </is>
      </c>
      <c r="B5" s="5" t="inlineStr">
        <is>
          <t>Set pay rates against the state and local minimum wage</t>
        </is>
      </c>
      <c r="C5" s="5" t="inlineStr">
        <is>
          <t>Accountant</t>
        </is>
      </c>
      <c r="D5" s="5" t="inlineStr">
        <is>
          <t>Week 10</t>
        </is>
      </c>
      <c r="E5" s="5" t="inlineStr">
        <is>
          <t>Use the higher of the federal $7.25 per hour and your state or local minimum wage. Enter the floor on the "0. Assumptions" tab of the plan</t>
        </is>
      </c>
    </row>
    <row r="6">
      <c r="A6" s="10" t="inlineStr">
        <is>
          <t>☐</t>
        </is>
      </c>
      <c r="B6" s="5" t="inlineStr">
        <is>
          <t>Seasonal part-time W-2 hires</t>
        </is>
      </c>
      <c r="C6" s="5" t="inlineStr">
        <is>
          <t>Accountant</t>
        </is>
      </c>
      <c r="D6" s="5" t="inlineStr">
        <is>
          <t>Before the season</t>
        </is>
      </c>
      <c r="E6" s="5" t="inlineStr">
        <is>
          <t>Offer letter in writing with the start and expected end of the season, plus I-9, W-4 and state new-hire reporting. A person who works your schedule is never a 1099 contractor: that is misclassification</t>
        </is>
      </c>
    </row>
    <row r="7">
      <c r="A7" s="10" t="inlineStr">
        <is>
          <t>☐</t>
        </is>
      </c>
      <c r="B7" s="5" t="inlineStr">
        <is>
          <t>Offer letter for the year-round shift lead</t>
        </is>
      </c>
      <c r="C7" s="5" t="inlineStr">
        <is>
          <t>Accountant</t>
        </is>
      </c>
      <c r="D7" s="5" t="inlineStr">
        <is>
          <t>Week 12</t>
        </is>
      </c>
      <c r="E7" s="5" t="inlineStr">
        <is>
          <t>Opens and closes when the owner is in the production room: define duties, pay and schedule in the offer letter</t>
        </is>
      </c>
    </row>
    <row r="8">
      <c r="A8" s="10" t="inlineStr">
        <is>
          <t>☐</t>
        </is>
      </c>
      <c r="B8" s="5" t="inlineStr">
        <is>
          <t>Seasonal hiring calendar (rehire each spring)</t>
        </is>
      </c>
      <c r="C8" s="5" t="inlineStr">
        <is>
          <t>Owner</t>
        </is>
      </c>
      <c r="D8" s="5" t="inlineStr">
        <is>
          <t>February</t>
        </is>
      </c>
      <c r="E8" s="5" t="inlineStr">
        <is>
          <t>Who starts in April, who in May and who in June, and when each one ends in the fall</t>
        </is>
      </c>
    </row>
    <row r="9">
      <c r="A9" s="10" t="inlineStr">
        <is>
          <t>☐</t>
        </is>
      </c>
      <c r="B9" s="5" t="inlineStr">
        <is>
          <t>Time clock and overtime records</t>
        </is>
      </c>
      <c r="C9" s="5" t="inlineStr">
        <is>
          <t>Owner</t>
        </is>
      </c>
      <c r="D9" s="5" t="inlineStr">
        <is>
          <t>From the first hire</t>
        </is>
      </c>
      <c r="E9" s="5" t="inlineStr">
        <is>
          <t>Keep time records for all staff and track overtime over 40 hours a week (FLSA). Post the minimum wage poster</t>
        </is>
      </c>
    </row>
    <row r="10">
      <c r="A10" s="10" t="inlineStr">
        <is>
          <t>☐</t>
        </is>
      </c>
      <c r="B10" s="5" t="inlineStr">
        <is>
          <t>Teen scoopers (14-15): FLSA hours and state work permits</t>
        </is>
      </c>
      <c r="C10" s="5" t="inlineStr">
        <is>
          <t>Accountant</t>
        </is>
      </c>
      <c r="D10" s="5" t="inlineStr">
        <is>
          <t>If you hire minors</t>
        </is>
      </c>
      <c r="E10" s="5" t="inlineStr">
        <is>
          <t>Ages 14-15 are limited to non-school hours: 3 hours on a school day and 18 in a school week (29 CFR 570.35). Some states add work permits: ask your state labor department</t>
        </is>
      </c>
    </row>
    <row r="11">
      <c r="A11" s="10" t="inlineStr">
        <is>
          <t>☐</t>
        </is>
      </c>
      <c r="B11" s="5" t="inlineStr">
        <is>
          <t>Food handler cards and a Certified Food Protection Manager (CFPM)</t>
        </is>
      </c>
      <c r="C11" s="5" t="inlineStr">
        <is>
          <t>Owner</t>
        </is>
      </c>
      <c r="D11" s="5" t="inlineStr">
        <is>
          <t>Before opening</t>
        </is>
      </c>
      <c r="E11" s="5" t="inlineStr">
        <is>
          <t>Certified Food Protection Manager (Food Code 2-102.12) and food handler cards where your state requires them; the owner trains the team in hygiene, temperatures, allergens and the order of the batch process</t>
        </is>
      </c>
    </row>
    <row r="12">
      <c r="A12" s="10" t="inlineStr">
        <is>
          <t>☐</t>
        </is>
      </c>
      <c r="B12" s="5" t="inlineStr">
        <is>
          <t>Training for the ice cream maker</t>
        </is>
      </c>
      <c r="C12" s="5" t="inlineStr">
        <is>
          <t>Owner</t>
        </is>
      </c>
      <c r="D12" s="5" t="inlineStr">
        <is>
          <t>Before opening</t>
        </is>
      </c>
      <c r="E12" s="5" t="inlineStr">
        <is>
          <t>Mix balancing (sugars, solids and fat), batch freezing and overrun: it is an investment, not an expense</t>
        </is>
      </c>
    </row>
    <row r="13">
      <c r="A13" s="10" t="inlineStr">
        <is>
          <t>☐</t>
        </is>
      </c>
      <c r="B13" s="5" t="inlineStr">
        <is>
          <t>OSHA basics: safety plan and training</t>
        </is>
      </c>
      <c r="C13" s="5" t="inlineStr">
        <is>
          <t>Insurance carrier / Consultant</t>
        </is>
      </c>
      <c r="D13" s="5" t="inlineStr">
        <is>
          <t>Before opening</t>
        </is>
      </c>
      <c r="E13" s="5" t="inlineStr">
        <is>
          <t>OSHA basics: working in the cold, lifting, cuts and burns from the waffle cone irons; insulated gloves for 0 °F (−18 °C)</t>
        </is>
      </c>
    </row>
    <row r="14">
      <c r="A14" s="10" t="inlineStr">
        <is>
          <t>☐</t>
        </is>
      </c>
      <c r="B14" s="5" t="inlineStr">
        <is>
          <t>Employee health policy and first aid</t>
        </is>
      </c>
      <c r="C14" s="5" t="inlineStr">
        <is>
          <t>Insurance carrier / Consultant</t>
        </is>
      </c>
      <c r="D14" s="5" t="inlineStr">
        <is>
          <t>At hire</t>
        </is>
      </c>
      <c r="E14" s="5" t="inlineStr">
        <is>
          <t>Have every new hire sign an employee health agreement (report illness symptoms; Food Code 2-201) and stock a first aid kit.</t>
        </is>
      </c>
    </row>
    <row r="15">
      <c r="A15" s="10" t="inlineStr">
        <is>
          <t>☐</t>
        </is>
      </c>
      <c r="B15" s="5" t="inlineStr">
        <is>
          <t>Pest control</t>
        </is>
      </c>
      <c r="C15" s="5" t="inlineStr">
        <is>
          <t>Licensed pest control operator</t>
        </is>
      </c>
      <c r="D15" s="5" t="inlineStr">
        <is>
          <t>Before opening</t>
        </is>
      </c>
      <c r="E15" s="5" t="inlineStr">
        <is>
          <t>Contract with a licensed pest control operator: it is part of the prerequisites of your written food safety plan.</t>
        </is>
      </c>
    </row>
    <row r="16">
      <c r="A16" s="10" t="inlineStr">
        <is>
          <t>☐</t>
        </is>
      </c>
      <c r="B16" s="5" t="inlineStr">
        <is>
          <t>Cleaning plan for the production room and the dipping cabinets</t>
        </is>
      </c>
      <c r="C16" s="5" t="inlineStr">
        <is>
          <t>Owner</t>
        </is>
      </c>
      <c r="D16" s="5" t="inlineStr">
        <is>
          <t>Before opening</t>
        </is>
      </c>
      <c r="E16" s="5" t="inlineStr">
        <is>
          <t>Batch freezer after every use, tubs, strainers and dipper wells, with a log</t>
        </is>
      </c>
    </row>
    <row r="18">
      <c r="B18" s="5" t="inlineStr">
        <is>
          <t>Tasks completed:</t>
        </is>
      </c>
      <c r="C18" s="17">
        <f>COUNTIF(A5:A16,"✓")</f>
        <v>0.0</v>
      </c>
      <c r="D18" s="5" t="inlineStr">
        <is>
          <t>of</t>
        </is>
      </c>
      <c r="E18" s="17">
        <f>COUNTIF(B5:B16,"?*")-COUNTIF(A5:A16,"N/A")</f>
        <v>12.0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6">
    <cfRule type="containsText" priority="1" operator="containsText" dxfId="1" stopIfTrue="1" text="✓">
      <formula>NOT(ISERROR(SEARCH("✓",A5)))</formula>
    </cfRule>
  </conditionalFormatting>
  <dataValidations count="1">
    <dataValidation sqref="A5 A6 A7 A8 A9 A10 A11 A12 A13 A14 A15 A16"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ICE CREAM SHOP STARTUP CHECKLIST</t>
        </is>
      </c>
    </row>
    <row r="2">
      <c r="A2" s="2" t="inlineStr">
        <is>
          <t>PHASE 5: BRAND &amp; MENU (weeks 8-16)</t>
        </is>
      </c>
    </row>
    <row r="4">
      <c r="A4" s="3" t="inlineStr">
        <is>
          <t>OK</t>
        </is>
      </c>
      <c r="B4" s="3" t="inlineStr">
        <is>
          <t>TASK</t>
        </is>
      </c>
      <c r="C4" s="3" t="inlineStr">
        <is>
          <t>RESPONSIBLE</t>
        </is>
      </c>
      <c r="D4" s="3" t="inlineStr">
        <is>
          <t>TIMING</t>
        </is>
      </c>
      <c r="E4" s="3" t="inlineStr">
        <is>
          <t>NOTES</t>
        </is>
      </c>
    </row>
    <row r="5">
      <c r="A5" s="10" t="inlineStr">
        <is>
          <t>☐</t>
        </is>
      </c>
      <c r="B5" s="5" t="inlineStr">
        <is>
          <t>Decide your ice cream shop model and menu</t>
        </is>
      </c>
      <c r="C5" s="5" t="inlineStr">
        <is>
          <t>Owner</t>
        </is>
      </c>
      <c r="D5" s="5" t="inlineStr">
        <is>
          <t>Week 8</t>
        </is>
      </c>
      <c r="E5" s="5" t="inlineStr">
        <is>
          <t>On-site production (this plan), cabinets without production, a kiosk or a franchise: each has a different investment and different licenses</t>
        </is>
      </c>
    </row>
    <row r="6">
      <c r="A6" s="10" t="inlineStr">
        <is>
          <t>☐</t>
        </is>
      </c>
      <c r="B6" s="5" t="inlineStr">
        <is>
          <t>Honest claims on the sign: made here, small batches, homemade only if true</t>
        </is>
      </c>
      <c r="C6" s="5" t="inlineStr">
        <is>
          <t>Owner</t>
        </is>
      </c>
      <c r="D6" s="5" t="inlineStr">
        <is>
          <t>Before the sign</t>
        </is>
      </c>
      <c r="E6" s="5" t="inlineStr">
        <is>
          <t>Say "made here in small batches" only if you make it here. Use "homemade" or "house-made" only if it is true, and check your state's rules on words like "artisan"</t>
        </is>
      </c>
    </row>
    <row r="7">
      <c r="A7" s="10" t="inlineStr">
        <is>
          <t>☐</t>
        </is>
      </c>
      <c r="B7" s="5" t="inlineStr">
        <is>
          <t>Menu of 18 flavors in summer and 10-12 in winter</t>
        </is>
      </c>
      <c r="C7" s="5" t="inlineStr">
        <is>
          <t>Ice cream maker</t>
        </is>
      </c>
      <c r="D7" s="5" t="inlineStr">
        <is>
          <t>Weeks 10-14</t>
        </is>
      </c>
      <c r="E7" s="5" t="inlineStr">
        <is>
          <t>Classics, seasonal flavors and one or two signature ones, plus dairy-free sorbets for vegans and guests who avoid milk. Because the batch freezer and tubs are shared, never promise "allergen-free": for a guest with a milk allergy, batch-freeze the dairy-free flavor first on a freshly cleaned machine and note it on that flavor's allergen sheet</t>
        </is>
      </c>
    </row>
    <row r="8">
      <c r="A8" s="10" t="inlineStr">
        <is>
          <t>☐</t>
        </is>
      </c>
      <c r="B8" s="5" t="inlineStr">
        <is>
          <t>Cost out every flavor and set menu prices</t>
        </is>
      </c>
      <c r="C8" s="5" t="inlineStr">
        <is>
          <t>Owner</t>
        </is>
      </c>
      <c r="D8" s="5" t="inlineStr">
        <is>
          <t>Weeks 12-14</t>
        </is>
      </c>
      <c r="E8" s="5" t="inlineStr">
        <is>
          <t>Work out the cost of a scoop, a pint and an ice cream cake; review it every season (pistachio, cocoa and vanilla move)</t>
        </is>
      </c>
    </row>
    <row r="9">
      <c r="A9" s="10" t="inlineStr">
        <is>
          <t>☐</t>
        </is>
      </c>
      <c r="B9" s="5" t="inlineStr">
        <is>
          <t>Winter menu: cakes, holiday pies and pints, hot chocolate</t>
        </is>
      </c>
      <c r="C9" s="5" t="inlineStr">
        <is>
          <t>Ice cream maker</t>
        </is>
      </c>
      <c r="D9" s="5" t="inlineStr">
        <is>
          <t>October</t>
        </is>
      </c>
      <c r="E9" s="5" t="inlineStr">
        <is>
          <t>Winter runs on ice cream cakes, holiday pies and pints, hot chocolate and catering. Take cake pre-orders for birthdays, graduations and the holidays</t>
        </is>
      </c>
    </row>
    <row r="10">
      <c r="A10" s="10" t="inlineStr">
        <is>
          <t>☐</t>
        </is>
      </c>
      <c r="B10" s="5" t="inlineStr">
        <is>
          <t>Brand, photos and a website with the flavor menu</t>
        </is>
      </c>
      <c r="C10" s="5" t="inlineStr">
        <is>
          <t>Designer</t>
        </is>
      </c>
      <c r="D10" s="5" t="inlineStr">
        <is>
          <t>Weeks 8-14</t>
        </is>
      </c>
      <c r="E10" s="5" t="inlineStr">
        <is>
          <t>Real photos of the production room and the ice cream; a website with the flavors of the day and the ice cream cake orders</t>
        </is>
      </c>
    </row>
    <row r="11">
      <c r="A11" s="10" t="inlineStr">
        <is>
          <t>☐</t>
        </is>
      </c>
      <c r="B11" s="5" t="inlineStr">
        <is>
          <t>Google Business Profile and reviews</t>
        </is>
      </c>
      <c r="C11" s="5" t="inlineStr">
        <is>
          <t>Owner</t>
        </is>
      </c>
      <c r="D11" s="5" t="inlineStr">
        <is>
          <t>Before opening</t>
        </is>
      </c>
      <c r="E11" s="5" t="inlineStr">
        <is>
          <t>Seasonal and winter hours, photos and a reply to every review</t>
        </is>
      </c>
    </row>
    <row r="12">
      <c r="A12" s="10" t="inlineStr">
        <is>
          <t>☐</t>
        </is>
      </c>
      <c r="B12" s="5" t="inlineStr">
        <is>
          <t>Social media with the flavor of the day</t>
        </is>
      </c>
      <c r="C12" s="5" t="inlineStr">
        <is>
          <t>Owner</t>
        </is>
      </c>
      <c r="D12" s="5" t="inlineStr">
        <is>
          <t>From construction</t>
        </is>
      </c>
      <c r="E12" s="5" t="inlineStr">
        <is>
          <t>The build-out, the first batch, the new flavor each week and the return of the season</t>
        </is>
      </c>
    </row>
    <row r="13">
      <c r="A13" s="10" t="inlineStr">
        <is>
          <t>☐</t>
        </is>
      </c>
      <c r="B13" s="5" t="inlineStr">
        <is>
          <t>Cake pre-orders and event orders</t>
        </is>
      </c>
      <c r="C13" s="5" t="inlineStr">
        <is>
          <t>Owner</t>
        </is>
      </c>
      <c r="D13" s="5" t="inlineStr">
        <is>
          <t>Before May</t>
        </is>
      </c>
      <c r="E13" s="5" t="inlineStr">
        <is>
          <t>Birthdays, graduations and the holidays: order form, lead time and deposit. Plan a promotion for National Ice Cream Day (3rd Sunday of July)</t>
        </is>
      </c>
    </row>
    <row r="14">
      <c r="A14" s="10" t="inlineStr">
        <is>
          <t>☐</t>
        </is>
      </c>
      <c r="B14" s="5" t="inlineStr">
        <is>
          <t>Offer catering and events</t>
        </is>
      </c>
      <c r="C14" s="5" t="inlineStr">
        <is>
          <t>Owner</t>
        </is>
      </c>
      <c r="D14" s="5" t="inlineStr">
        <is>
          <t>After opening</t>
        </is>
      </c>
      <c r="E14" s="5" t="inlineStr">
        <is>
          <t>Once your license decision is settled and your state's rules for selling to other businesses are clear (phase 3). Set payment terms in advance</t>
        </is>
      </c>
    </row>
    <row r="15">
      <c r="A15" s="10" t="inlineStr">
        <is>
          <t>☐</t>
        </is>
      </c>
      <c r="B15" s="5" t="inlineStr">
        <is>
          <t>Sign up for DoorDash / Uber Eats for pints</t>
        </is>
      </c>
      <c r="C15" s="5" t="inlineStr">
        <is>
          <t>Owner</t>
        </is>
      </c>
      <c r="D15" s="5" t="inlineStr">
        <is>
          <t>June</t>
        </is>
      </c>
      <c r="E15" s="5" t="inlineStr">
        <is>
          <t>Only hand-packed pints and quarts in insulated bags; the commission is around 25% (Basic 15%, Premier 30%)</t>
        </is>
      </c>
    </row>
    <row r="16">
      <c r="A16" s="10" t="inlineStr">
        <is>
          <t>☐</t>
        </is>
      </c>
      <c r="B16" s="5" t="inlineStr">
        <is>
          <t>Soft opening and Opening Day with tastings</t>
        </is>
      </c>
      <c r="C16" s="5" t="inlineStr">
        <is>
          <t>Owner</t>
        </is>
      </c>
      <c r="D16" s="5" t="inlineStr">
        <is>
          <t>Opening week</t>
        </is>
      </c>
      <c r="E16" s="5" t="inlineStr">
        <is>
          <t>Flavor tastings for the neighborhood, schools and nearby shops</t>
        </is>
      </c>
    </row>
    <row r="17">
      <c r="A17" s="10" t="inlineStr">
        <is>
          <t>☐</t>
        </is>
      </c>
      <c r="B17" s="5" t="inlineStr">
        <is>
          <t>Privacy policy and consent for your website and ordering</t>
        </is>
      </c>
      <c r="C17" s="5" t="inlineStr">
        <is>
          <t>Owner</t>
        </is>
      </c>
      <c r="D17" s="5" t="inlineStr">
        <is>
          <t>Before opening</t>
        </is>
      </c>
      <c r="E17" s="5" t="inlineStr">
        <is>
          <t>On your website, mailing list and order form: each channel needs its notice</t>
        </is>
      </c>
    </row>
    <row r="19">
      <c r="B19" s="5" t="inlineStr">
        <is>
          <t>Tasks completed:</t>
        </is>
      </c>
      <c r="C19" s="17">
        <f>COUNTIF(A5:A17,"✓")</f>
        <v>0.0</v>
      </c>
      <c r="D19" s="5" t="inlineStr">
        <is>
          <t>of</t>
        </is>
      </c>
      <c r="E19" s="17">
        <f>COUNTIF(B5:B17,"?*")-COUNTIF(A5:A17,"N/A")</f>
        <v>13.0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ICE CREAM SHOP STARTUP CHECKLIST</t>
        </is>
      </c>
    </row>
    <row r="2">
      <c r="A2" s="2" t="inlineStr">
        <is>
          <t>PHASE 6: OPENING &amp; SEASON (first 90 days)</t>
        </is>
      </c>
    </row>
    <row r="4">
      <c r="A4" s="3" t="inlineStr">
        <is>
          <t>OK</t>
        </is>
      </c>
      <c r="B4" s="3" t="inlineStr">
        <is>
          <t>TASK</t>
        </is>
      </c>
      <c r="C4" s="3" t="inlineStr">
        <is>
          <t>RESPONSIBLE</t>
        </is>
      </c>
      <c r="D4" s="3" t="inlineStr">
        <is>
          <t>TIMING</t>
        </is>
      </c>
      <c r="E4" s="3" t="inlineStr">
        <is>
          <t>NOTES</t>
        </is>
      </c>
    </row>
    <row r="5">
      <c r="A5" s="10" t="inlineStr">
        <is>
          <t>☐</t>
        </is>
      </c>
      <c r="B5" s="5" t="inlineStr">
        <is>
          <t>Open in March, not in the fall</t>
        </is>
      </c>
      <c r="C5" s="5" t="inlineStr">
        <is>
          <t>Owner</t>
        </is>
      </c>
      <c r="D5" s="5" t="inlineStr">
        <is>
          <t>Month 1</t>
        </is>
      </c>
      <c r="E5" s="5" t="inlineStr">
        <is>
          <t>The plan opens in March so that the summer cash reaches the first winter: if you open in October, the working capital is spent before the first July</t>
        </is>
      </c>
    </row>
    <row r="6">
      <c r="A6" s="10" t="inlineStr">
        <is>
          <t>☐</t>
        </is>
      </c>
      <c r="B6" s="5" t="inlineStr">
        <is>
          <t>Test batches and internal tasting</t>
        </is>
      </c>
      <c r="C6" s="5" t="inlineStr">
        <is>
          <t>Ice cream maker</t>
        </is>
      </c>
      <c r="D6" s="5" t="inlineStr">
        <is>
          <t>Week before opening</t>
        </is>
      </c>
      <c r="E6" s="5" t="inlineStr">
        <is>
          <t>Two or three batches per flavor to adjust texture, sweetness and overrun before opening</t>
        </is>
      </c>
    </row>
    <row r="7">
      <c r="A7" s="10" t="inlineStr">
        <is>
          <t>☐</t>
        </is>
      </c>
      <c r="B7" s="5" t="inlineStr">
        <is>
          <t>Check temperatures and records on day one</t>
        </is>
      </c>
      <c r="C7" s="5" t="inlineStr">
        <is>
          <t>Owner</t>
        </is>
      </c>
      <c r="D7" s="5" t="inlineStr">
        <is>
          <t>Day 1</t>
        </is>
      </c>
      <c r="E7" s="5" t="inlineStr">
        <is>
          <t>Dipping cabinets, freezers, hardening cabinet and the base refrigerator log; correct any deviation before you serve</t>
        </is>
      </c>
    </row>
    <row r="8">
      <c r="A8" s="10" t="inlineStr">
        <is>
          <t>☐</t>
        </is>
      </c>
      <c r="B8" s="5" t="inlineStr">
        <is>
          <t>Health inspection: keep the food safety plan and records at hand</t>
        </is>
      </c>
      <c r="C8" s="5" t="inlineStr">
        <is>
          <t>Owner</t>
        </is>
      </c>
      <c r="D8" s="5" t="inlineStr">
        <is>
          <t>From day 1</t>
        </is>
      </c>
      <c r="E8" s="5" t="inlineStr">
        <is>
          <t>Allergen sheets, lot traceability, temperature and cleaning logs, training and pest control</t>
        </is>
      </c>
    </row>
    <row r="9">
      <c r="A9" s="10" t="inlineStr">
        <is>
          <t>☐</t>
        </is>
      </c>
      <c r="B9" s="5" t="inlineStr">
        <is>
          <t>Review the equipment breakdown and food spoilage insurance before July</t>
        </is>
      </c>
      <c r="C9" s="5" t="inlineStr">
        <is>
          <t>Insurance broker</t>
        </is>
      </c>
      <c r="D9" s="5" t="inlineStr">
        <is>
          <t>June</t>
        </is>
      </c>
      <c r="E9" s="5" t="inlineStr">
        <is>
          <t>Check that it covers the stock in the cabinets and freezers if the refrigeration fails in the middle of summer</t>
        </is>
      </c>
    </row>
    <row r="10">
      <c r="A10" s="10" t="inlineStr">
        <is>
          <t>☐</t>
        </is>
      </c>
      <c r="B10" s="5" t="inlineStr">
        <is>
          <t>Refrigeration service before the summer peak</t>
        </is>
      </c>
      <c r="C10" s="5" t="inlineStr">
        <is>
          <t>Refrigeration technician (EPA 608)</t>
        </is>
      </c>
      <c r="D10" s="5" t="inlineStr">
        <is>
          <t>May</t>
        </is>
      </c>
      <c r="E10" s="5" t="inlineStr">
        <is>
          <t>Clean the condensers and test temperatures: a failure in August is a tub lost for every flavor</t>
        </is>
      </c>
    </row>
    <row r="11">
      <c r="A11" s="10" t="inlineStr">
        <is>
          <t>☐</t>
        </is>
      </c>
      <c r="B11" s="5" t="inlineStr">
        <is>
          <t>Peak-season schedule for July and August</t>
        </is>
      </c>
      <c r="C11" s="5" t="inlineStr">
        <is>
          <t>Owner</t>
        </is>
      </c>
      <c r="D11" s="5" t="inlineStr">
        <is>
          <t>June</t>
        </is>
      </c>
      <c r="E11" s="5" t="inlineStr">
        <is>
          <t>At the peak the schedule is tight: plan extra hours for the owner or a weekend extra</t>
        </is>
      </c>
    </row>
    <row r="12">
      <c r="A12" s="10" t="inlineStr">
        <is>
          <t>☐</t>
        </is>
      </c>
      <c r="B12" s="5" t="inlineStr">
        <is>
          <t>Measure waste every week</t>
        </is>
      </c>
      <c r="C12" s="5" t="inlineStr">
        <is>
          <t>Owner</t>
        </is>
      </c>
      <c r="D12" s="5" t="inlineStr">
        <is>
          <t>Weekly</t>
        </is>
      </c>
      <c r="E12" s="5" t="inlineStr">
        <is>
          <t>Melted, returned or expired ice cream is never refrozen. If waste goes above 5-8% of production, cut back on tubs</t>
        </is>
      </c>
    </row>
    <row r="13">
      <c r="A13" s="10" t="inlineStr">
        <is>
          <t>☐</t>
        </is>
      </c>
      <c r="B13" s="5" t="inlineStr">
        <is>
          <t>Compare actual sales and costs with the plan each month</t>
        </is>
      </c>
      <c r="C13" s="5" t="inlineStr">
        <is>
          <t>Owner</t>
        </is>
      </c>
      <c r="D13" s="5" t="inlineStr">
        <is>
          <t>Monthly</t>
        </is>
      </c>
      <c r="E13" s="5" t="inlineStr">
        <is>
          <t>Customers per day, average check, cost of goods sold and labor against the P&amp;L in the Excel</t>
        </is>
      </c>
    </row>
    <row r="14">
      <c r="A14" s="10" t="inlineStr">
        <is>
          <t>☐</t>
        </is>
      </c>
      <c r="B14" s="5" t="inlineStr">
        <is>
          <t>Track cash flow month by month and the minimum balance</t>
        </is>
      </c>
      <c r="C14" s="5" t="inlineStr">
        <is>
          <t>Owner</t>
        </is>
      </c>
      <c r="D14" s="5" t="inlineStr">
        <is>
          <t>Monthly</t>
        </is>
      </c>
      <c r="E14" s="5" t="inlineStr">
        <is>
          <t>See how much summer cash reaches November: it pays for the winter</t>
        </is>
      </c>
    </row>
    <row r="15">
      <c r="A15" s="10" t="inlineStr">
        <is>
          <t>☐</t>
        </is>
      </c>
      <c r="B15" s="5" t="inlineStr">
        <is>
          <t>Winter plan: shorter menu and hours</t>
        </is>
      </c>
      <c r="C15" s="5" t="inlineStr">
        <is>
          <t>Owner</t>
        </is>
      </c>
      <c r="D15" s="5" t="inlineStr">
        <is>
          <t>September</t>
        </is>
      </c>
      <c r="E15" s="5" t="inlineStr">
        <is>
          <t>Fewer flavors, winter hours, and cakes, holiday pies and pints, hot chocolate and catering (or close from November to February)</t>
        </is>
      </c>
    </row>
    <row r="16">
      <c r="A16" s="10" t="inlineStr">
        <is>
          <t>☐</t>
        </is>
      </c>
      <c r="B16" s="5" t="inlineStr">
        <is>
          <t>End of the seasonal hires and the January closing</t>
        </is>
      </c>
      <c r="C16" s="5" t="inlineStr">
        <is>
          <t>Accountant</t>
        </is>
      </c>
      <c r="D16" s="5" t="inlineStr">
        <is>
          <t>September and January</t>
        </is>
      </c>
      <c r="E16" s="5" t="inlineStr">
        <is>
          <t>Written end-of-season notice to each seasonal part-time employee at the end of September, and three weeks closed in January</t>
        </is>
      </c>
    </row>
    <row r="17">
      <c r="A17" s="10" t="inlineStr">
        <is>
          <t>☐</t>
        </is>
      </c>
      <c r="B17" s="5" t="inlineStr">
        <is>
          <t>Refrigeration maintenance during the closing weeks</t>
        </is>
      </c>
      <c r="C17" s="5" t="inlineStr">
        <is>
          <t>Refrigeration technician (EPA 608)</t>
        </is>
      </c>
      <c r="D17" s="5" t="inlineStr">
        <is>
          <t>January</t>
        </is>
      </c>
      <c r="E17" s="5" t="inlineStr">
        <is>
          <t>Service the dipping cabinets, freezers and batch freezer with the shop closed, before the next season</t>
        </is>
      </c>
    </row>
    <row r="19">
      <c r="B19" s="5" t="inlineStr">
        <is>
          <t>Tasks completed:</t>
        </is>
      </c>
      <c r="C19" s="17">
        <f>COUNTIF(A5:A17,"✓")</f>
        <v>0.0</v>
      </c>
      <c r="D19" s="5" t="inlineStr">
        <is>
          <t>of</t>
        </is>
      </c>
      <c r="E19" s="17">
        <f>COUNTIF(B5:B17,"?*")-COUNTIF(A5:A17,"N/A")</f>
        <v>13.0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12"/>
  <sheetViews>
    <sheetView workbookViewId="0">
      <selection activeCell="A1" sqref="A1"/>
    </sheetView>
  </sheetViews>
  <sheetFormatPr baseColWidth="8" defaultRowHeight="15"/>
  <cols>
    <col width="110" customWidth="1" min="1" max="1"/>
  </cols>
  <sheetData>
    <row r="1">
      <c r="A1" s="15" t="inlineStr">
        <is>
          <t>INSTRUCTIONS FOR USE</t>
        </is>
      </c>
    </row>
    <row r="3" ht="15" customHeight="1">
      <c r="A3" s="12" t="inlineStr">
        <is>
          <t>This file is part of the Ice Cream Shop Business Plan Kit by AI Chef Pro.</t>
        </is>
      </c>
    </row>
    <row r="4" ht="15" customHeight="1">
      <c r="A4" s="12" t="inlineStr">
        <is>
          <t>The GREEN cells are the editable ones: change those and the rest of the workbook recalculates on its own.</t>
        </is>
      </c>
    </row>
    <row r="5" ht="15" customHeight="1">
      <c r="A5" s="12" t="inlineStr">
        <is>
          <t>OK column: choose ✓ (done), ☐ (pending) or N/A (not applicable). N/A items do not count toward the total.</t>
        </is>
      </c>
    </row>
    <row r="6" ht="15" customHeight="1">
      <c r="A6" s="12" t="inlineStr">
        <is>
          <t>Each tab's counter counts only the ✓; N/A items come out of the total.</t>
        </is>
      </c>
    </row>
    <row r="8">
      <c r="A8" s="16" t="inlineStr">
        <is>
          <t>To edit a cell that is not green: Review → Unprotect Sheet (there is no password).</t>
        </is>
      </c>
    </row>
    <row r="9">
      <c r="A9" s="16" t="inlineStr">
        <is>
          <t>More templates and kits in the catalog at aichef.pro/en/digital-products</t>
        </is>
      </c>
    </row>
    <row r="10">
      <c r="A10" s="16" t="inlineStr">
        <is>
          <t>Designed by John Guerrero — chef and restaurant consultant since 2010, in the kitchen since age 17 · johnguerrero.es</t>
        </is>
      </c>
    </row>
    <row r="11">
      <c r="A11" s="16" t="inlineStr">
        <is>
          <t>Version 2.2 · October 2026 · aichef.pro/en/digital-products/ice-cream-shop-business-plan · info@aichef.pro</t>
        </is>
      </c>
    </row>
    <row r="12" ht="30" customHeight="1">
      <c r="A12" s="18" t="inlineStr">
        <is>
          <t>Planning tool, not financial, tax or legal advice. Requirements vary by state, county and city — check with your accountant and local authorities. This checklist is a starting point, not an exhaustive list.</t>
        </is>
      </c>
    </row>
  </sheetData>
  <sheetProtection selectLockedCells="0" selectUnlockedCells="0" sheet="1" objects="0" insertRows="1" insertHyperlinks="1" autoFilter="1" scenarios="0" formatColumns="0" deleteColumns="1" insertColumns="1" pivotTables="1" deleteRows="1" formatCells="1" formatRows="0" sort="0"/>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Ice Cream Shop Startup Checklist (80 Tasks) · Ice Cream Shop Business Plan Kit</dc:title>
  <dc:description xmlns:dc="http://purl.org/dc/elements/1.1/">aichef.pro/en/digital-products/ice-cream-shop-business-plan</dc:description>
  <dc:subject xmlns:dc="http://purl.org/dc/elements/1.1/">Ice Cream Shop Business Plan Kit · v2.2</dc:subject>
  <dcterms:created xmlns:dcterms="http://purl.org/dc/terms/" xmlns:xsi="http://www.w3.org/2001/XMLSchema-instance" xsi:type="dcterms:W3CDTF">2026-03-26T15:52:23Z</dcterms:created>
  <dcterms:modified xmlns:dcterms="http://purl.org/dc/terms/" xmlns:xsi="http://www.w3.org/2001/XMLSchema-instance" xsi:type="dcterms:W3CDTF">2026-10-27T07:41:50Z</dcterms:modified>
  <cp:lastModifiedBy>AI Chef Pro</cp:lastModifiedBy>
  <cp:category>AI Chef Pro · Digital products</cp:category>
  <cp:keywords>ice cream shop business plan, ice cream parlor business plan, how to open an ice cream shop, ice cream shop startup costs, batch freezer, AI Chef Pro</cp:keywords>
</cp:coreProperties>
</file>