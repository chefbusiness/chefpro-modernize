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dora" sheetId="1" state="visible" r:id="rId1"/>
    <sheet xmlns:r="http://schemas.openxmlformats.org/officeDocument/2006/relationships" name="Ejemplos" sheetId="2" state="visible" r:id="rId2"/>
    <sheet xmlns:r="http://schemas.openxmlformats.org/officeDocument/2006/relationships"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#,##0.0"/>
    <numFmt numFmtId="166" formatCode="0.0%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1"/>
    </font>
    <font>
      <name val="Calibri"/>
      <b val="1"/>
      <sz val="11"/>
    </font>
    <font>
      <name val="Calibri"/>
      <b val="1"/>
      <sz val="13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3" borderId="0" applyAlignment="1" applyProtection="1" pivotButton="0" quotePrefix="0" xfId="0">
      <alignment vertical="top"/>
      <protection locked="0" hidden="0"/>
    </xf>
    <xf numFmtId="3" fontId="2" fillId="3" borderId="0" applyAlignment="1" applyProtection="1" pivotButton="0" quotePrefix="0" xfId="0">
      <alignment vertical="top"/>
      <protection locked="0" hidden="0"/>
    </xf>
    <xf numFmtId="164" fontId="2" fillId="3" borderId="0" applyAlignment="1" applyProtection="1" pivotButton="0" quotePrefix="0" xfId="0">
      <alignment vertical="top"/>
      <protection locked="0" hidden="0"/>
    </xf>
    <xf numFmtId="165" fontId="2" fillId="3" borderId="0" applyAlignment="1" applyProtection="1" pivotButton="0" quotePrefix="0" xfId="0">
      <alignment vertical="top"/>
      <protection locked="0" hidden="0"/>
    </xf>
    <xf numFmtId="9" fontId="2" fillId="3" borderId="0" applyAlignment="1" applyProtection="1" pivotButton="0" quotePrefix="0" xfId="0">
      <alignment vertical="top"/>
      <protection locked="0" hidden="0"/>
    </xf>
    <xf numFmtId="3" fontId="2" fillId="0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164" fontId="3" fillId="0" borderId="0" applyAlignment="1" pivotButton="0" quotePrefix="0" xfId="0">
      <alignment vertical="top"/>
    </xf>
    <xf numFmtId="166" fontId="3" fillId="0" borderId="0" applyAlignment="1" pivotButton="0" quotePrefix="0" xfId="0">
      <alignment vertical="top"/>
    </xf>
    <xf numFmtId="0" fontId="3" fillId="2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/>
    </xf>
    <xf numFmtId="9" fontId="2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5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2" customWidth="1" min="1" max="1"/>
    <col width="18" customWidth="1" min="2" max="2"/>
    <col width="80" customWidth="1" min="3" max="3"/>
  </cols>
  <sheetData>
    <row r="1">
      <c r="A1" s="1" t="inlineStr">
        <is>
          <t>CALCULADORA DE PRECIOS DE CATERING — DEL COSTE AL PRESUPUESTO</t>
        </is>
      </c>
    </row>
    <row r="2" ht="32" customHeight="1">
      <c r="A2" s="2" t="inlineStr">
        <is>
          <t>Escribe sólo en las celdas VERDES: todo lo demás se calcula. Importes sin IVA salvo donde la fila diga lo contrario. Los valores por defecto son estimaciones del kit: cámbialos por los tuyos.</t>
        </is>
      </c>
    </row>
    <row r="4">
      <c r="A4" s="3" t="inlineStr">
        <is>
          <t>DATOS DEL EVENTO</t>
        </is>
      </c>
      <c r="B4" s="3" t="inlineStr">
        <is>
          <t>Valor</t>
        </is>
      </c>
      <c r="C4" s="3" t="inlineStr">
        <is>
          <t>Notas</t>
        </is>
      </c>
    </row>
    <row r="5">
      <c r="A5" s="4" t="inlineStr">
        <is>
          <t>Cliente</t>
        </is>
      </c>
      <c r="B5" s="5" t="inlineStr">
        <is>
          <t>Empresa</t>
        </is>
      </c>
      <c r="C5" s="2" t="inlineStr">
        <is>
          <t>Particular o Empresa: cambia los tramos de cancelación (contratos del kit) y cómo se presenta el precio.</t>
        </is>
      </c>
    </row>
    <row r="6">
      <c r="A6" s="4" t="inlineStr">
        <is>
          <t>Invitados previstos</t>
        </is>
      </c>
      <c r="B6" s="6" t="n">
        <v>80</v>
      </c>
      <c r="C6" s="2" t="inlineStr">
        <is>
          <t>Número entero. Comida, bebida y desechables se costean con ellos.</t>
        </is>
      </c>
    </row>
    <row r="7">
      <c r="A7" s="4" t="inlineStr">
        <is>
          <t>Mínimo facturable de invitados (contrato)</t>
        </is>
      </c>
      <c r="B7" s="6" t="n">
        <v>60</v>
      </c>
      <c r="C7" s="2" t="inlineStr">
        <is>
          <t>Si confirman menos, facturas el mínimo. 0 = sin mínimo.</t>
        </is>
      </c>
    </row>
    <row r="8">
      <c r="A8" s="4" t="inlineStr">
        <is>
          <t>Estilo de servicio</t>
        </is>
      </c>
      <c r="B8" s="5" t="inlineStr">
        <is>
          <t>Cóctel</t>
        </is>
      </c>
      <c r="C8" s="2" t="inlineStr">
        <is>
          <t>Entrega sin servicio, Bufé, Cóctel, Emplatado o Estaciones temáticas: fija el personal sugerido (tabla de abajo).</t>
        </is>
      </c>
    </row>
    <row r="9">
      <c r="A9" s="4" t="inlineStr">
        <is>
          <t>Estaciones temáticas en directo (número)</t>
        </is>
      </c>
      <c r="B9" s="6" t="n">
        <v>2</v>
      </c>
      <c r="C9" s="2" t="inlineStr">
        <is>
          <t>Cada estación suma su coste de montaje y un cocinero al personal sugerido.</t>
        </is>
      </c>
    </row>
    <row r="10">
      <c r="A10" s="4" t="inlineStr">
        <is>
          <t>Coste por estación (gas, montaje y menaje específico)</t>
        </is>
      </c>
      <c r="B10" s="7" t="n">
        <v>60</v>
      </c>
      <c r="C10" s="2" t="inlineStr">
        <is>
          <t>Estimación del kit.</t>
        </is>
      </c>
    </row>
    <row r="11">
      <c r="A11" s="4" t="inlineStr">
        <is>
          <t>Coste de comida por invitado (escandallo)</t>
        </is>
      </c>
      <c r="B11" s="7" t="n">
        <v>9</v>
      </c>
      <c r="C11" s="2" t="inlineStr">
        <is>
          <t>Materia prima del menú por invitado. Usa tu escandallo; el valor es una estimación del kit.</t>
        </is>
      </c>
    </row>
    <row r="12">
      <c r="A12" s="4" t="inlineStr">
        <is>
          <t>Coste de bebida por invitado</t>
        </is>
      </c>
      <c r="B12" s="7" t="n">
        <v>4</v>
      </c>
      <c r="C12" s="2" t="inlineStr">
        <is>
          <t>Vino, cerveza, refrescos y agua que sirves tú. Si el cliente pone la bebida, 0 (y cobra el descorche).</t>
        </is>
      </c>
    </row>
    <row r="13">
      <c r="A13" s="4" t="inlineStr">
        <is>
          <t>Coste de desechables, hielo y consumibles por invitado</t>
        </is>
      </c>
      <c r="B13" s="7" t="n">
        <v>0.8</v>
      </c>
      <c r="C13" s="2" t="inlineStr">
        <is>
          <t>Estimación del kit.</t>
        </is>
      </c>
    </row>
    <row r="14">
      <c r="A14" s="4" t="inlineStr">
        <is>
          <t>Personal del evento (personas)</t>
        </is>
      </c>
      <c r="B14" s="6" t="n">
        <v>6</v>
      </c>
      <c r="C14" s="2" t="inlineStr">
        <is>
          <t>Camareros, barra, cocineros de estación y coordinación.</t>
        </is>
      </c>
    </row>
    <row r="15">
      <c r="A15" s="4" t="inlineStr">
        <is>
          <t>Horas por persona (carga, viaje, montaje, servicio y recogida)</t>
        </is>
      </c>
      <c r="B15" s="8" t="n">
        <v>7</v>
      </c>
      <c r="C15" s="2" t="inlineStr">
        <is>
          <t>Estimación del kit.</t>
        </is>
      </c>
    </row>
    <row r="16">
      <c r="A16" s="4" t="inlineStr">
        <is>
          <t>Coste bruto por hora del personal de eventos</t>
        </is>
      </c>
      <c r="B16" s="7" t="n">
        <v>11</v>
      </c>
      <c r="C16" s="2" t="inlineStr">
        <is>
          <t>Estimación del kit (1.400 € brutos al mes en 14 pagas ≈ 11 €/h). Copia tu convenio provincial de hostelería.</t>
        </is>
      </c>
    </row>
    <row r="17">
      <c r="A17" s="4" t="inlineStr">
        <is>
          <t>Seguridad Social a cargo de la empresa</t>
        </is>
      </c>
      <c r="B17" s="9" t="n">
        <v>0.33</v>
      </c>
      <c r="C17" s="2" t="inlineStr">
        <is>
          <t>30,65 % de contingencias, desempleo, FOGASA, formación y MEI, más AT/EP (fijos discontinuos, art. 16 ET).</t>
        </is>
      </c>
    </row>
    <row r="18">
      <c r="A18" s="4" t="inlineStr">
        <is>
          <t>Alquileres repercutidos en el precio (mobiliario, carpas, menaje extra)</t>
        </is>
      </c>
      <c r="B18" s="7" t="n">
        <v>0</v>
      </c>
      <c r="C18" s="2" t="inlineStr">
        <is>
          <t>Lo que te cobra el alquilador para este evento. Si lo facturas aparte, ese importe va al 21 % de IVA.</t>
        </is>
      </c>
    </row>
    <row r="19">
      <c r="A19" s="4" t="inlineStr">
        <is>
          <t>Kilómetros de ida (cocina central → espacio)</t>
        </is>
      </c>
      <c r="B19" s="6" t="n">
        <v>20</v>
      </c>
      <c r="C19" s="2" t="inlineStr">
        <is>
          <t>Se cobran ida y vuelta.</t>
        </is>
      </c>
    </row>
    <row r="20">
      <c r="A20" s="4" t="inlineStr">
        <is>
          <t>Coste por kilómetro de la furgoneta</t>
        </is>
      </c>
      <c r="B20" s="7" t="n">
        <v>0.4</v>
      </c>
      <c r="C20" s="2" t="inlineStr">
        <is>
          <t>Estimación del kit (combustible y desgaste): pon tu coste real.</t>
        </is>
      </c>
    </row>
    <row r="21">
      <c r="A21" s="4" t="inlineStr">
        <is>
          <t>Margen bruto objetivo sobre el subtotal</t>
        </is>
      </c>
      <c r="B21" s="9" t="n">
        <v>0.5</v>
      </c>
      <c r="C21" s="2" t="inlineStr">
        <is>
          <t>Parte del subtotal que queda después de los costes directos de arriba. Estimación del kit.</t>
        </is>
      </c>
    </row>
    <row r="22">
      <c r="A22" s="4" t="inlineStr">
        <is>
          <t>IVA del catering con servicio</t>
        </is>
      </c>
      <c r="B22" s="9" t="n">
        <v>0.1</v>
      </c>
      <c r="C22" s="2" t="inlineStr">
        <is>
          <t>Ley 37/1992, art. 91.Uno.2.2.º: comida y bebida para consumir en el acto, alcohol incluido.</t>
        </is>
      </c>
    </row>
    <row r="23">
      <c r="A23" s="4" t="inlineStr">
        <is>
          <t>Anticipo para bloquear la fecha (% del total)</t>
        </is>
      </c>
      <c r="B23" s="9" t="n">
        <v>0.4</v>
      </c>
      <c r="C23" s="2" t="inlineStr">
        <is>
          <t>El de los contratos del kit: 40 % al firmar. Particulares: el resto 7 días antes; empresas: 30 % siete días antes y 30 % a 30 días de la factura.</t>
        </is>
      </c>
    </row>
    <row r="25">
      <c r="A25" s="3" t="inlineStr">
        <is>
          <t>CÁLCULO</t>
        </is>
      </c>
      <c r="B25" s="3" t="inlineStr">
        <is>
          <t>Valor</t>
        </is>
      </c>
      <c r="C25" s="3" t="inlineStr">
        <is>
          <t>Notas</t>
        </is>
      </c>
    </row>
    <row r="26">
      <c r="A26" s="4" t="inlineStr">
        <is>
          <t>Invitados facturables</t>
        </is>
      </c>
      <c r="B26" s="10">
        <f>MAX($B$6,$B$7)</f>
        <v>80.0</v>
      </c>
      <c r="C26" s="2" t="inlineStr">
        <is>
          <t>El mayor de previstos y mínimo.</t>
        </is>
      </c>
    </row>
    <row r="27">
      <c r="A27" s="4" t="inlineStr">
        <is>
          <t>Comida, bebida y desechables</t>
        </is>
      </c>
      <c r="B27" s="11">
        <f>($B$11+$B$12+$B$13)*$B$6</f>
        <v>1104.0</v>
      </c>
    </row>
    <row r="28">
      <c r="A28" s="4" t="inlineStr">
        <is>
          <t>Personal del evento (salario + Seguridad Social)</t>
        </is>
      </c>
      <c r="B28" s="11">
        <f>$B$14*$B$15*$B$16*(1+$B$17)</f>
        <v>614.46</v>
      </c>
    </row>
    <row r="29">
      <c r="A29" s="4" t="inlineStr">
        <is>
          <t>Estaciones temáticas</t>
        </is>
      </c>
      <c r="B29" s="11">
        <f>$B$9*$B$10</f>
        <v>120.0</v>
      </c>
    </row>
    <row r="30">
      <c r="A30" s="4" t="inlineStr">
        <is>
          <t>Alquileres y desplazamiento (ida y vuelta)</t>
        </is>
      </c>
      <c r="B30" s="11">
        <f>$B$18+$B$19*2*$B$20</f>
        <v>16.0</v>
      </c>
    </row>
    <row r="31">
      <c r="A31" s="4" t="inlineStr">
        <is>
          <t>Coste directo total</t>
        </is>
      </c>
      <c r="B31" s="11">
        <f>$B$27+$B$28+$B$29+$B$30</f>
        <v>1854.46</v>
      </c>
    </row>
    <row r="32">
      <c r="A32" s="4" t="inlineStr">
        <is>
          <t>Coste directo por invitado facturable</t>
        </is>
      </c>
      <c r="B32" s="11">
        <f>$B$31/$B$26</f>
        <v>23.18075</v>
      </c>
    </row>
    <row r="33">
      <c r="A33" s="12" t="inlineStr">
        <is>
          <t>PRECIO POR INVITADO SIN IVA</t>
        </is>
      </c>
      <c r="B33" s="13">
        <f>ROUNDUP($B$31/(1-$B$21)/$B$26*2,0)/2</f>
        <v>46.5</v>
      </c>
      <c r="C33" s="2" t="inlineStr">
        <is>
          <t>Redondeado a los 0,50 € de arriba. Es el que va en el presupuesto a empresas («+ IVA»).</t>
        </is>
      </c>
    </row>
    <row r="34">
      <c r="A34" s="12" t="inlineStr">
        <is>
          <t>PRECIO POR INVITADO CON IVA</t>
        </is>
      </c>
      <c r="B34" s="13">
        <f>$B$33*(1+$B$22)</f>
        <v>51.150000000000006</v>
      </c>
      <c r="C34" s="2" t="inlineStr">
        <is>
          <t>Es el que ve un particular: en una oferta a consumidores el precio va con impuestos incluidos.</t>
        </is>
      </c>
    </row>
    <row r="35">
      <c r="A35" s="4" t="inlineStr">
        <is>
          <t>Subtotal sin IVA</t>
        </is>
      </c>
      <c r="B35" s="11">
        <f>$B$33*$B$26</f>
        <v>3720.0</v>
      </c>
      <c r="C35" s="2" t="inlineStr">
        <is>
          <t>Precio por invitado × invitados facturables.</t>
        </is>
      </c>
    </row>
    <row r="36">
      <c r="A36" s="4" t="inlineStr">
        <is>
          <t>IVA</t>
        </is>
      </c>
      <c r="B36" s="11">
        <f>$B$35*$B$22</f>
        <v>372.0</v>
      </c>
    </row>
    <row r="37">
      <c r="A37" s="12" t="inlineStr">
        <is>
          <t>TOTAL DEL PRESUPUESTO (con IVA)</t>
        </is>
      </c>
      <c r="B37" s="13">
        <f>$B$35+$B$36</f>
        <v>4092.0</v>
      </c>
    </row>
    <row r="38">
      <c r="A38" s="4" t="inlineStr">
        <is>
          <t>Anticipo para bloquear la fecha</t>
        </is>
      </c>
      <c r="B38" s="11">
        <f>$B$37*$B$23</f>
        <v>1636.8000000000002</v>
      </c>
    </row>
    <row r="39">
      <c r="A39" s="4" t="inlineStr">
        <is>
          <t>Pendiente después del anticipo</t>
        </is>
      </c>
      <c r="B39" s="11">
        <f>$B$37-$B$38</f>
        <v>2455.2</v>
      </c>
    </row>
    <row r="40">
      <c r="A40" s="4" t="inlineStr">
        <is>
          <t>Margen bruto en euros</t>
        </is>
      </c>
      <c r="B40" s="11">
        <f>$B$35-$B$31</f>
        <v>1865.54</v>
      </c>
    </row>
    <row r="41">
      <c r="A41" s="12" t="inlineStr">
        <is>
          <t>Margen bruto (calculado)</t>
        </is>
      </c>
      <c r="B41" s="14">
        <f>IF($B$35=0,0,$B$40/$B$35)</f>
        <v>0.501489247311828</v>
      </c>
      <c r="C41" s="2" t="inlineStr">
        <is>
          <t>Sale de los costes, nunca se teclea. Queda igual o por encima del objetivo por el redondeo del precio.</t>
        </is>
      </c>
    </row>
    <row r="42">
      <c r="A42" s="4" t="inlineStr">
        <is>
          <t>Importe retenido si cancela con más de 21 días (empresa: más de 28)</t>
        </is>
      </c>
      <c r="B42" s="11">
        <f>IF($B$5="Particular",0,0)</f>
        <v>0.0</v>
      </c>
      <c r="C42" s="2" t="inlineStr">
        <is>
          <t>Particular: se devuelve el anticipo. Empresa: se devuelve el anticipo.</t>
        </is>
      </c>
    </row>
    <row r="43">
      <c r="A43" s="4" t="inlineStr">
        <is>
          <t>Importe retenido si cancela entre 21 y 7 días (empresa: entre 28 y 14)</t>
        </is>
      </c>
      <c r="B43" s="11">
        <f>IF($B$5="Particular",$B$38*0.5,$B$37*0.3)</f>
        <v>1227.6</v>
      </c>
      <c r="C43" s="2" t="inlineStr">
        <is>
          <t>Particular: se retiene el 50 % del anticipo. Empresa: el 30 % del total.</t>
        </is>
      </c>
    </row>
    <row r="44">
      <c r="A44" s="4" t="inlineStr">
        <is>
          <t>Importe retenido si cancela con menos de 7 días (empresa: entre 14 y 7)</t>
        </is>
      </c>
      <c r="B44" s="11">
        <f>IF($B$5="Particular",$B$38,$B$37*0.6)</f>
        <v>2455.2</v>
      </c>
      <c r="C44" s="2" t="inlineStr">
        <is>
          <t>Particular: se retiene el anticipo entero. Empresa: el 60 % del total.</t>
        </is>
      </c>
    </row>
    <row r="45">
      <c r="A45" s="4" t="inlineStr">
        <is>
          <t>Importe retenido si cancela con menos de 48 horas (empresa: menos de 7 días)</t>
        </is>
      </c>
      <c r="B45" s="11">
        <f>IF($B$5="Particular",$B$38+$B$37*0.5,$B$37)</f>
        <v>4092.0</v>
      </c>
      <c r="C45" s="2" t="inlineStr">
        <is>
          <t>Particular: el anticipo más el 50 % del total. Empresa: el 100 % del total.</t>
        </is>
      </c>
    </row>
    <row r="46">
      <c r="A46" s="4" t="inlineStr">
        <is>
          <t>Personal sugerido para este estilo (estimación del kit)</t>
        </is>
      </c>
      <c r="B46" s="10">
        <f>IFERROR(IF(INDEX('Calculadora'!$B$49:$B$53,MATCH($B$8,'Calculadora'!$A$49:$A$53,0))=0,1,ROUNDUP($B$6/INDEX('Calculadora'!$B$49:$B$53,MATCH($B$8,'Calculadora'!$A$49:$A$53,0)),0))+$B$9,"—")</f>
        <v>6.0</v>
      </c>
      <c r="C46" s="2" t="inlineStr">
        <is>
          <t>De la tabla de abajo, más un cocinero por estación.</t>
        </is>
      </c>
    </row>
    <row r="48">
      <c r="A48" s="3" t="inlineStr">
        <is>
          <t>INVITADOS POR CAMARERO SEGÚN EL ESTILO (estimación del kit, editable)</t>
        </is>
      </c>
      <c r="B48" s="3" t="inlineStr">
        <is>
          <t>Invitados</t>
        </is>
      </c>
      <c r="C48" s="3" t="inlineStr">
        <is>
          <t>Notas</t>
        </is>
      </c>
    </row>
    <row r="49">
      <c r="A49" s="4" t="inlineStr">
        <is>
          <t>Entrega sin servicio</t>
        </is>
      </c>
      <c r="B49" s="6" t="n">
        <v>0</v>
      </c>
      <c r="C49" s="2" t="inlineStr">
        <is>
          <t>0 = sin camareros: una persona lleva y monta.</t>
        </is>
      </c>
    </row>
    <row r="50">
      <c r="A50" s="4" t="inlineStr">
        <is>
          <t>Bufé</t>
        </is>
      </c>
      <c r="B50" s="6" t="n">
        <v>20</v>
      </c>
    </row>
    <row r="51">
      <c r="A51" s="4" t="inlineStr">
        <is>
          <t>Cóctel</t>
        </is>
      </c>
      <c r="B51" s="6" t="n">
        <v>22</v>
      </c>
      <c r="C51" s="2" t="inlineStr">
        <is>
          <t>Un camarero por cada 20-25 invitados.</t>
        </is>
      </c>
    </row>
    <row r="52">
      <c r="A52" s="4" t="inlineStr">
        <is>
          <t>Emplatado</t>
        </is>
      </c>
      <c r="B52" s="6" t="n">
        <v>11</v>
      </c>
      <c r="C52" s="2" t="inlineStr">
        <is>
          <t>Un camarero por cada 10-12 invitados sentados.</t>
        </is>
      </c>
    </row>
    <row r="53">
      <c r="A53" s="4" t="inlineStr">
        <is>
          <t>Estaciones temáticas</t>
        </is>
      </c>
      <c r="B53" s="6" t="n">
        <v>15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2:C2"/>
  </mergeCells>
  <dataValidations count="7">
    <dataValidation sqref="B8" showDropDown="0" showInputMessage="0" showErrorMessage="1" allowBlank="0" errorTitle="Estilo no válido" error="Elige un estilo de servicio de la lista." type="list">
      <formula1>"Entrega sin servicio,Bufé,Cóctel,Emplatado,Estaciones temáticas"</formula1>
    </dataValidation>
    <dataValidation sqref="B5" showDropDown="0" showInputMessage="0" showErrorMessage="1" allowBlank="0" errorTitle="Cliente no válido" error="Elige Particular o Empresa." type="list">
      <formula1>"Particular,Empresa"</formula1>
    </dataValidation>
    <dataValidation sqref="B6" showDropDown="0" showInputMessage="0" showErrorMessage="1" allowBlank="0" errorTitle="Número no válido" error="Escribe un número entero de 1 o más." type="whole" operator="between">
      <formula1>1</formula1>
      <formula2>100000</formula2>
    </dataValidation>
    <dataValidation sqref="B7 B9 B14 B19 B49 B50 B51 B52 B53" showDropDown="0" showInputMessage="0" showErrorMessage="1" allowBlank="0" errorTitle="Número no válido" error="Escribe un número entero de 0 o más." type="whole" operator="between">
      <formula1>0</formula1>
      <formula2>100000</formula2>
    </dataValidation>
    <dataValidation sqref="B10 B11 B12 B13 B15 B16 B18 B20" showDropDown="0" showInputMessage="0" showErrorMessage="1" allowBlank="0" errorTitle="Importe no válido" error="Escribe un número mayor o igual que 0." type="decimal" operator="greaterThanOrEqual">
      <formula1>0</formula1>
    </dataValidation>
    <dataValidation sqref="B17 B22 B23" showDropDown="0" showInputMessage="0" showErrorMessage="1" allowBlank="0" errorTitle="Porcentaje no válido" error="Escribe un porcentaje entre 0 y 1 (0,10 = 10 %)." type="decimal" operator="between">
      <formula1>0</formula1>
      <formula2>1</formula2>
    </dataValidation>
    <dataValidation sqref="B21" showDropDown="0" showInputMessage="0" showErrorMessage="1" allowBlank="0" errorTitle="Porcentaje no válido" error="Escribe un margen objetivo entre 0 y 95 % (0,50 = 50 %)." type="decimal" operator="between">
      <formula1>0</formula1>
      <formula2>0.95</formula2>
    </dataValidation>
  </dataValidations>
  <printOptions horizontalCentered="1"/>
  <pageMargins left="0.75" right="0.75" top="1" bottom="1" header="0.5" footer="0.5"/>
  <pageSetup orientation="portrait" paperSize="9" fitToHeight="0" fitToWidth="1"/>
  <headerFooter>
    <oddHeader/>
    <oddFooter>&amp;Caichef.pro/plan-catering-tematico-eventos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3 PRESUPUESTOS DE EJEMPLO — con las mismas fórmulas de la hoja «Calculadora»</t>
        </is>
      </c>
    </row>
    <row r="2" ht="32" customHeight="1">
      <c r="A2" s="2" t="inlineStr">
        <is>
          <t>Estimaciones del kit para ilustrar el cálculo, no precios de mercado: cambia los datos en «Calculadora» para presupuestar tus eventos.</t>
        </is>
      </c>
    </row>
    <row r="4">
      <c r="A4" s="3" t="inlineStr">
        <is>
          <t>DATOS DEL EVENTO</t>
        </is>
      </c>
      <c r="B4" s="15" t="inlineStr">
        <is>
          <t>Coffee break en oficina</t>
        </is>
      </c>
      <c r="C4" s="15" t="inlineStr">
        <is>
          <t>Cóctel de empresa</t>
        </is>
      </c>
      <c r="D4" s="15" t="inlineStr">
        <is>
          <t>Boda con estaciones</t>
        </is>
      </c>
    </row>
    <row r="5">
      <c r="A5" s="4" t="inlineStr">
        <is>
          <t>Cliente</t>
        </is>
      </c>
      <c r="B5" s="4" t="inlineStr">
        <is>
          <t>Empresa</t>
        </is>
      </c>
      <c r="C5" s="4" t="inlineStr">
        <is>
          <t>Empresa</t>
        </is>
      </c>
      <c r="D5" s="4" t="inlineStr">
        <is>
          <t>Particular</t>
        </is>
      </c>
    </row>
    <row r="6">
      <c r="A6" s="4" t="inlineStr">
        <is>
          <t>Invitados previstos</t>
        </is>
      </c>
      <c r="B6" s="10" t="n">
        <v>35</v>
      </c>
      <c r="C6" s="10" t="n">
        <v>80</v>
      </c>
      <c r="D6" s="10" t="n">
        <v>110</v>
      </c>
    </row>
    <row r="7">
      <c r="A7" s="4" t="inlineStr">
        <is>
          <t>Mínimo facturable de invitados (contrato)</t>
        </is>
      </c>
      <c r="B7" s="10" t="n">
        <v>20</v>
      </c>
      <c r="C7" s="10" t="n">
        <v>60</v>
      </c>
      <c r="D7" s="10" t="n">
        <v>90</v>
      </c>
    </row>
    <row r="8">
      <c r="A8" s="4" t="inlineStr">
        <is>
          <t>Estilo de servicio</t>
        </is>
      </c>
      <c r="B8" s="4" t="inlineStr">
        <is>
          <t>Entrega sin servicio</t>
        </is>
      </c>
      <c r="C8" s="4" t="inlineStr">
        <is>
          <t>Cóctel</t>
        </is>
      </c>
      <c r="D8" s="4" t="inlineStr">
        <is>
          <t>Estaciones temáticas</t>
        </is>
      </c>
    </row>
    <row r="9">
      <c r="A9" s="4" t="inlineStr">
        <is>
          <t>Estaciones temáticas en directo (número)</t>
        </is>
      </c>
      <c r="B9" s="10" t="n">
        <v>0</v>
      </c>
      <c r="C9" s="10" t="n">
        <v>2</v>
      </c>
      <c r="D9" s="10" t="n">
        <v>3</v>
      </c>
    </row>
    <row r="10">
      <c r="A10" s="4" t="inlineStr">
        <is>
          <t>Coste por estación (gas, montaje y menaje específico)</t>
        </is>
      </c>
      <c r="B10" s="11" t="n">
        <v>60</v>
      </c>
      <c r="C10" s="11" t="n">
        <v>60</v>
      </c>
      <c r="D10" s="11" t="n">
        <v>60</v>
      </c>
    </row>
    <row r="11">
      <c r="A11" s="4" t="inlineStr">
        <is>
          <t>Coste de comida por invitado (escandallo)</t>
        </is>
      </c>
      <c r="B11" s="11" t="n">
        <v>4.5</v>
      </c>
      <c r="C11" s="11" t="n">
        <v>9</v>
      </c>
      <c r="D11" s="11" t="n">
        <v>20</v>
      </c>
    </row>
    <row r="12">
      <c r="A12" s="4" t="inlineStr">
        <is>
          <t>Coste de bebida por invitado</t>
        </is>
      </c>
      <c r="B12" s="11" t="n">
        <v>1.5</v>
      </c>
      <c r="C12" s="11" t="n">
        <v>4</v>
      </c>
      <c r="D12" s="11" t="n">
        <v>7</v>
      </c>
    </row>
    <row r="13">
      <c r="A13" s="4" t="inlineStr">
        <is>
          <t>Coste de desechables, hielo y consumibles por invitado</t>
        </is>
      </c>
      <c r="B13" s="11" t="n">
        <v>0.6</v>
      </c>
      <c r="C13" s="11" t="n">
        <v>0.8</v>
      </c>
      <c r="D13" s="11" t="n">
        <v>1</v>
      </c>
    </row>
    <row r="14">
      <c r="A14" s="4" t="inlineStr">
        <is>
          <t>Personal del evento (personas)</t>
        </is>
      </c>
      <c r="B14" s="10" t="n">
        <v>1</v>
      </c>
      <c r="C14" s="10" t="n">
        <v>6</v>
      </c>
      <c r="D14" s="10" t="n">
        <v>10</v>
      </c>
    </row>
    <row r="15">
      <c r="A15" s="4" t="inlineStr">
        <is>
          <t>Horas por persona (carga, viaje, montaje, servicio y recogida)</t>
        </is>
      </c>
      <c r="B15" s="16" t="n">
        <v>3</v>
      </c>
      <c r="C15" s="16" t="n">
        <v>7</v>
      </c>
      <c r="D15" s="16" t="n">
        <v>9</v>
      </c>
    </row>
    <row r="16">
      <c r="A16" s="4" t="inlineStr">
        <is>
          <t>Coste bruto por hora del personal de eventos</t>
        </is>
      </c>
      <c r="B16" s="11" t="n">
        <v>11</v>
      </c>
      <c r="C16" s="11" t="n">
        <v>11</v>
      </c>
      <c r="D16" s="11" t="n">
        <v>11</v>
      </c>
    </row>
    <row r="17">
      <c r="A17" s="4" t="inlineStr">
        <is>
          <t>Seguridad Social a cargo de la empresa</t>
        </is>
      </c>
      <c r="B17" s="17" t="n">
        <v>0.33</v>
      </c>
      <c r="C17" s="17" t="n">
        <v>0.33</v>
      </c>
      <c r="D17" s="17" t="n">
        <v>0.33</v>
      </c>
    </row>
    <row r="18">
      <c r="A18" s="4" t="inlineStr">
        <is>
          <t>Alquileres repercutidos en el precio (mobiliario, carpas, menaje extra)</t>
        </is>
      </c>
      <c r="B18" s="11" t="n">
        <v>0</v>
      </c>
      <c r="C18" s="11" t="n">
        <v>0</v>
      </c>
      <c r="D18" s="11" t="n">
        <v>600</v>
      </c>
    </row>
    <row r="19">
      <c r="A19" s="4" t="inlineStr">
        <is>
          <t>Kilómetros de ida (cocina central → espacio)</t>
        </is>
      </c>
      <c r="B19" s="10" t="n">
        <v>15</v>
      </c>
      <c r="C19" s="10" t="n">
        <v>20</v>
      </c>
      <c r="D19" s="10" t="n">
        <v>40</v>
      </c>
    </row>
    <row r="20">
      <c r="A20" s="4" t="inlineStr">
        <is>
          <t>Coste por kilómetro de la furgoneta</t>
        </is>
      </c>
      <c r="B20" s="11" t="n">
        <v>0.4</v>
      </c>
      <c r="C20" s="11" t="n">
        <v>0.4</v>
      </c>
      <c r="D20" s="11" t="n">
        <v>0.4</v>
      </c>
    </row>
    <row r="21">
      <c r="A21" s="4" t="inlineStr">
        <is>
          <t>Margen bruto objetivo sobre el subtotal</t>
        </is>
      </c>
      <c r="B21" s="17" t="n">
        <v>0.5</v>
      </c>
      <c r="C21" s="17" t="n">
        <v>0.5</v>
      </c>
      <c r="D21" s="17" t="n">
        <v>0.5</v>
      </c>
    </row>
    <row r="22">
      <c r="A22" s="4" t="inlineStr">
        <is>
          <t>IVA del catering con servicio</t>
        </is>
      </c>
      <c r="B22" s="17" t="n">
        <v>0.1</v>
      </c>
      <c r="C22" s="17" t="n">
        <v>0.1</v>
      </c>
      <c r="D22" s="17" t="n">
        <v>0.1</v>
      </c>
    </row>
    <row r="23">
      <c r="A23" s="4" t="inlineStr">
        <is>
          <t>Anticipo para bloquear la fecha (% del total)</t>
        </is>
      </c>
      <c r="B23" s="17" t="n">
        <v>0</v>
      </c>
      <c r="C23" s="17" t="n">
        <v>0.4</v>
      </c>
      <c r="D23" s="17" t="n">
        <v>0.4</v>
      </c>
    </row>
    <row r="25">
      <c r="A25" s="3" t="inlineStr">
        <is>
          <t>RESULTADO</t>
        </is>
      </c>
      <c r="B25" s="15" t="inlineStr">
        <is>
          <t>Coffee break en oficina</t>
        </is>
      </c>
      <c r="C25" s="15" t="inlineStr">
        <is>
          <t>Cóctel de empresa</t>
        </is>
      </c>
      <c r="D25" s="15" t="inlineStr">
        <is>
          <t>Boda con estaciones</t>
        </is>
      </c>
    </row>
    <row r="26">
      <c r="A26" s="4" t="inlineStr">
        <is>
          <t>Invitados facturables</t>
        </is>
      </c>
      <c r="B26" s="10">
        <f>MAX($B$6,$B$7)</f>
        <v>35.0</v>
      </c>
      <c r="C26" s="10">
        <f>MAX($C$6,$C$7)</f>
        <v>80.0</v>
      </c>
      <c r="D26" s="10">
        <f>MAX($D$6,$D$7)</f>
        <v>110.0</v>
      </c>
    </row>
    <row r="27">
      <c r="A27" s="4" t="inlineStr">
        <is>
          <t>Comida, bebida y desechables</t>
        </is>
      </c>
      <c r="B27" s="11">
        <f>($B$11+$B$12+$B$13)*$B$6</f>
        <v>231.0</v>
      </c>
      <c r="C27" s="11">
        <f>($C$11+$C$12+$C$13)*$C$6</f>
        <v>1104.0</v>
      </c>
      <c r="D27" s="11">
        <f>($D$11+$D$12+$D$13)*$D$6</f>
        <v>3080.0</v>
      </c>
    </row>
    <row r="28">
      <c r="A28" s="4" t="inlineStr">
        <is>
          <t>Personal del evento (salario + Seguridad Social)</t>
        </is>
      </c>
      <c r="B28" s="11">
        <f>$B$14*$B$15*$B$16*(1+$B$17)</f>
        <v>43.89</v>
      </c>
      <c r="C28" s="11">
        <f>$C$14*$C$15*$C$16*(1+$C$17)</f>
        <v>614.46</v>
      </c>
      <c r="D28" s="11">
        <f>$D$14*$D$15*$D$16*(1+$D$17)</f>
        <v>1316.7</v>
      </c>
    </row>
    <row r="29">
      <c r="A29" s="4" t="inlineStr">
        <is>
          <t>Estaciones temáticas</t>
        </is>
      </c>
      <c r="B29" s="11">
        <f>$B$9*$B$10</f>
        <v>0.0</v>
      </c>
      <c r="C29" s="11">
        <f>$C$9*$C$10</f>
        <v>120.0</v>
      </c>
      <c r="D29" s="11">
        <f>$D$9*$D$10</f>
        <v>180.0</v>
      </c>
    </row>
    <row r="30">
      <c r="A30" s="4" t="inlineStr">
        <is>
          <t>Alquileres y desplazamiento (ida y vuelta)</t>
        </is>
      </c>
      <c r="B30" s="11">
        <f>$B$18+$B$19*2*$B$20</f>
        <v>12.0</v>
      </c>
      <c r="C30" s="11">
        <f>$C$18+$C$19*2*$C$20</f>
        <v>16.0</v>
      </c>
      <c r="D30" s="11">
        <f>$D$18+$D$19*2*$D$20</f>
        <v>632.0</v>
      </c>
    </row>
    <row r="31">
      <c r="A31" s="4" t="inlineStr">
        <is>
          <t>Coste directo total</t>
        </is>
      </c>
      <c r="B31" s="11">
        <f>$B$27+$B$28+$B$29+$B$30</f>
        <v>286.89</v>
      </c>
      <c r="C31" s="11">
        <f>$C$27+$C$28+$C$29+$C$30</f>
        <v>1854.46</v>
      </c>
      <c r="D31" s="11">
        <f>$D$27+$D$28+$D$29+$D$30</f>
        <v>5208.7</v>
      </c>
    </row>
    <row r="32">
      <c r="A32" s="4" t="inlineStr">
        <is>
          <t>Coste directo por invitado facturable</t>
        </is>
      </c>
      <c r="B32" s="11">
        <f>$B$31/$B$26</f>
        <v>8.196857142857143</v>
      </c>
      <c r="C32" s="11">
        <f>$C$31/$C$26</f>
        <v>23.18075</v>
      </c>
      <c r="D32" s="11">
        <f>$D$31/$D$26</f>
        <v>47.35181818181818</v>
      </c>
    </row>
    <row r="33">
      <c r="A33" s="12" t="inlineStr">
        <is>
          <t>PRECIO POR INVITADO SIN IVA</t>
        </is>
      </c>
      <c r="B33" s="13">
        <f>ROUNDUP($B$31/(1-$B$21)/$B$26*2,0)/2</f>
        <v>16.5</v>
      </c>
      <c r="C33" s="13">
        <f>ROUNDUP($C$31/(1-$C$21)/$C$26*2,0)/2</f>
        <v>46.5</v>
      </c>
      <c r="D33" s="13">
        <f>ROUNDUP($D$31/(1-$D$21)/$D$26*2,0)/2</f>
        <v>95.0</v>
      </c>
    </row>
    <row r="34">
      <c r="A34" s="12" t="inlineStr">
        <is>
          <t>PRECIO POR INVITADO CON IVA</t>
        </is>
      </c>
      <c r="B34" s="13">
        <f>$B$33*(1+$B$22)</f>
        <v>18.150000000000002</v>
      </c>
      <c r="C34" s="13">
        <f>$C$33*(1+$C$22)</f>
        <v>51.150000000000006</v>
      </c>
      <c r="D34" s="13">
        <f>$D$33*(1+$D$22)</f>
        <v>104.50000000000001</v>
      </c>
    </row>
    <row r="35">
      <c r="A35" s="4" t="inlineStr">
        <is>
          <t>Subtotal sin IVA</t>
        </is>
      </c>
      <c r="B35" s="11">
        <f>$B$33*$B$26</f>
        <v>577.5</v>
      </c>
      <c r="C35" s="11">
        <f>$C$33*$C$26</f>
        <v>3720.0</v>
      </c>
      <c r="D35" s="11">
        <f>$D$33*$D$26</f>
        <v>10450.0</v>
      </c>
    </row>
    <row r="36">
      <c r="A36" s="4" t="inlineStr">
        <is>
          <t>IVA</t>
        </is>
      </c>
      <c r="B36" s="11">
        <f>$B$35*$B$22</f>
        <v>57.75</v>
      </c>
      <c r="C36" s="11">
        <f>$C$35*$C$22</f>
        <v>372.0</v>
      </c>
      <c r="D36" s="11">
        <f>$D$35*$D$22</f>
        <v>1045.0</v>
      </c>
    </row>
    <row r="37">
      <c r="A37" s="12" t="inlineStr">
        <is>
          <t>TOTAL DEL PRESUPUESTO (con IVA)</t>
        </is>
      </c>
      <c r="B37" s="13">
        <f>$B$35+$B$36</f>
        <v>635.25</v>
      </c>
      <c r="C37" s="13">
        <f>$C$35+$C$36</f>
        <v>4092.0</v>
      </c>
      <c r="D37" s="13">
        <f>$D$35+$D$36</f>
        <v>11495.0</v>
      </c>
    </row>
    <row r="38">
      <c r="A38" s="4" t="inlineStr">
        <is>
          <t>Anticipo para bloquear la fecha</t>
        </is>
      </c>
      <c r="B38" s="11">
        <f>$B$37*$B$23</f>
        <v>0.0</v>
      </c>
      <c r="C38" s="11">
        <f>$C$37*$C$23</f>
        <v>1636.8000000000002</v>
      </c>
      <c r="D38" s="11">
        <f>$D$37*$D$23</f>
        <v>4598.0</v>
      </c>
    </row>
    <row r="39">
      <c r="A39" s="4" t="inlineStr">
        <is>
          <t>Pendiente después del anticipo</t>
        </is>
      </c>
      <c r="B39" s="11">
        <f>$B$37-$B$38</f>
        <v>635.25</v>
      </c>
      <c r="C39" s="11">
        <f>$C$37-$C$38</f>
        <v>2455.2</v>
      </c>
      <c r="D39" s="11">
        <f>$D$37-$D$38</f>
        <v>6897.0</v>
      </c>
    </row>
    <row r="40">
      <c r="A40" s="4" t="inlineStr">
        <is>
          <t>Margen bruto en euros</t>
        </is>
      </c>
      <c r="B40" s="11">
        <f>$B$35-$B$31</f>
        <v>290.61</v>
      </c>
      <c r="C40" s="11">
        <f>$C$35-$C$31</f>
        <v>1865.54</v>
      </c>
      <c r="D40" s="11">
        <f>$D$35-$D$31</f>
        <v>5241.3</v>
      </c>
    </row>
    <row r="41">
      <c r="A41" s="12" t="inlineStr">
        <is>
          <t>Margen bruto (calculado)</t>
        </is>
      </c>
      <c r="B41" s="14">
        <f>IF($B$35=0,0,$B$40/$B$35)</f>
        <v>0.5032207792207792</v>
      </c>
      <c r="C41" s="14">
        <f>IF($C$35=0,0,$C$40/$C$35)</f>
        <v>0.501489247311828</v>
      </c>
      <c r="D41" s="14">
        <f>IF($D$35=0,0,$D$40/$D$35)</f>
        <v>0.5015598086124402</v>
      </c>
    </row>
    <row r="42">
      <c r="A42" s="4" t="inlineStr">
        <is>
          <t>Importe retenido si cancela con más de 21 días (empresa: más de 28)</t>
        </is>
      </c>
      <c r="B42" s="11">
        <f>IF($B$5="Particular",0,0)</f>
        <v>0.0</v>
      </c>
      <c r="C42" s="11">
        <f>IF($C$5="Particular",0,0)</f>
        <v>0.0</v>
      </c>
      <c r="D42" s="11">
        <f>IF($D$5="Particular",0,0)</f>
        <v>0.0</v>
      </c>
    </row>
    <row r="43">
      <c r="A43" s="4" t="inlineStr">
        <is>
          <t>Importe retenido si cancela entre 21 y 7 días (empresa: entre 28 y 14)</t>
        </is>
      </c>
      <c r="B43" s="11">
        <f>IF($B$5="Particular",$B$38*0.5,$B$37*0.3)</f>
        <v>190.575</v>
      </c>
      <c r="C43" s="11">
        <f>IF($C$5="Particular",$C$38*0.5,$C$37*0.3)</f>
        <v>1227.6</v>
      </c>
      <c r="D43" s="11">
        <f>IF($D$5="Particular",$D$38*0.5,$D$37*0.3)</f>
        <v>2299.0</v>
      </c>
    </row>
    <row r="44">
      <c r="A44" s="4" t="inlineStr">
        <is>
          <t>Importe retenido si cancela con menos de 7 días (empresa: entre 14 y 7)</t>
        </is>
      </c>
      <c r="B44" s="11">
        <f>IF($B$5="Particular",$B$38,$B$37*0.6)</f>
        <v>381.15</v>
      </c>
      <c r="C44" s="11">
        <f>IF($C$5="Particular",$C$38,$C$37*0.6)</f>
        <v>2455.2</v>
      </c>
      <c r="D44" s="11">
        <f>IF($D$5="Particular",$D$38,$D$37*0.6)</f>
        <v>4598.0</v>
      </c>
    </row>
    <row r="45">
      <c r="A45" s="4" t="inlineStr">
        <is>
          <t>Importe retenido si cancela con menos de 48 horas (empresa: menos de 7 días)</t>
        </is>
      </c>
      <c r="B45" s="11">
        <f>IF($B$5="Particular",$B$38+$B$37*0.5,$B$37)</f>
        <v>635.25</v>
      </c>
      <c r="C45" s="11">
        <f>IF($C$5="Particular",$C$38+$C$37*0.5,$C$37)</f>
        <v>4092.0</v>
      </c>
      <c r="D45" s="11">
        <f>IF($D$5="Particular",$D$38+$D$37*0.5,$D$37)</f>
        <v>10345.5</v>
      </c>
    </row>
    <row r="46">
      <c r="A46" s="4" t="inlineStr">
        <is>
          <t>Personal sugerido para este estilo (estimación del kit)</t>
        </is>
      </c>
      <c r="B46" s="10">
        <f>IFERROR(IF(INDEX('Calculadora'!$B$49:$B$53,MATCH($B$8,'Calculadora'!$A$49:$A$53,0))=0,1,ROUNDUP($B$6/INDEX('Calculadora'!$B$49:$B$53,MATCH($B$8,'Calculadora'!$A$49:$A$53,0)),0))+$B$9,"—")</f>
        <v>1.0</v>
      </c>
      <c r="C46" s="10">
        <f>IFERROR(IF(INDEX('Calculadora'!$B$49:$B$53,MATCH($C$8,'Calculadora'!$A$49:$A$53,0))=0,1,ROUNDUP($C$6/INDEX('Calculadora'!$B$49:$B$53,MATCH($C$8,'Calculadora'!$A$49:$A$53,0)),0))+$C$9,"—")</f>
        <v>6.0</v>
      </c>
      <c r="D46" s="10">
        <f>IFERROR(IF(INDEX('Calculadora'!$B$49:$B$53,MATCH($D$8,'Calculadora'!$A$49:$A$53,0))=0,1,ROUNDUP($D$6/INDEX('Calculadora'!$B$49:$B$53,MATCH($D$8,'Calculadora'!$A$49:$A$53,0)),0))+$D$9,"—")</f>
        <v>11.0</v>
      </c>
    </row>
    <row r="48">
      <c r="A48" s="3" t="inlineStr">
        <is>
          <t>QUÉ ENSEÑA CADA EJEMPLO</t>
        </is>
      </c>
    </row>
    <row r="49" ht="32" customHeight="1">
      <c r="A49" s="12" t="inlineStr">
        <is>
          <t>Coffee break en oficina</t>
        </is>
      </c>
      <c r="B49" s="2" t="inlineStr">
        <is>
          <t>Entrega sin servicio: una persona lleva y monta; la empresa paga la factura (sin anticipo). Si en la entrega va alcohol o refrescos con azúcar añadido, esa parte va al 21 % de IVA.</t>
        </is>
      </c>
    </row>
    <row r="50" ht="32" customHeight="1">
      <c r="A50" s="12" t="inlineStr">
        <is>
          <t>Cóctel de empresa</t>
        </is>
      </c>
      <c r="B50" s="2" t="inlineStr">
        <is>
          <t>Cóctel de presentación con dos estaciones en directo; presupuesto «+ IVA» y tramos de cancelación de empresa.</t>
        </is>
      </c>
    </row>
    <row r="51" ht="32" customHeight="1">
      <c r="A51" s="12" t="inlineStr">
        <is>
          <t>Boda con estaciones</t>
        </is>
      </c>
      <c r="B51" s="2" t="inlineStr">
        <is>
          <t>Banquete con tres estaciones temáticas y mobiliario alquilado repercutido; precio con IVA para el particular y anticipo del 40 %.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4">
    <mergeCell ref="B50:D50"/>
    <mergeCell ref="B51:D51"/>
    <mergeCell ref="B49:D49"/>
    <mergeCell ref="A2:D2"/>
  </mergeCells>
  <printOptions horizontalCentered="1"/>
  <pageMargins left="0.75" right="0.75" top="1" bottom="1" header="0.5" footer="0.5"/>
  <pageSetup orientation="landscape" paperSize="9" fitToHeight="0" fitToWidth="1"/>
  <headerFooter>
    <oddHeader/>
    <oddFooter>&amp;Caichef.pro/plan-catering-tematico-eventos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23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8" t="inlineStr">
        <is>
          <t>INSTRUCCIONES DE USO — Calculadora de precios de catering</t>
        </is>
      </c>
    </row>
    <row r="2" ht="30" customHeight="1">
      <c r="A2" s="2" t="inlineStr">
        <is>
          <t>Convierte tus costes en un precio por invitado y en un presupuesto completo: subtotal, IVA, total, anticipo y lo que retienes si el cliente cancela. Sólo se escribe en las celdas VERDES; el margen se calcula.</t>
        </is>
      </c>
    </row>
    <row r="3" ht="16" customHeight="1">
      <c r="A3" s="2" t="inlineStr">
        <is>
          <t>1. Elige el cliente (Particular o Empresa), los invitados previstos y el mínimo facturable del contrato.</t>
        </is>
      </c>
    </row>
    <row r="4" ht="30" customHeight="1">
      <c r="A4" s="2" t="inlineStr">
        <is>
          <t>2. Elige el estilo de servicio y el número de estaciones temáticas: el personal sugerido sale de la tabla del final de la primera hoja (invitados por camarero, editable) más un cocinero por estación.</t>
        </is>
      </c>
    </row>
    <row r="5" ht="16" customHeight="1">
      <c r="A5" s="2" t="inlineStr">
        <is>
          <t>3. Escribe el coste de comida por invitado de tu escandallo, la bebida que sirves y los desechables.</t>
        </is>
      </c>
    </row>
    <row r="6" ht="30" customHeight="1">
      <c r="A6" s="2" t="inlineStr">
        <is>
          <t>4. Escribe el personal del evento (personas, horas por persona, coste bruto por hora y Seguridad Social), los alquileres que repercutes y los kilómetros de ida: el desplazamiento se cobra ida y vuelta.</t>
        </is>
      </c>
    </row>
    <row r="7" ht="30" customHeight="1">
      <c r="A7" s="2" t="inlineStr">
        <is>
          <t>5. Fija el margen bruto objetivo. El precio por invitado es el coste directo dividido entre (1 - margen), redondeado a los 0,50 € de arriba: el margen calculado queda igual o por encima del objetivo.</t>
        </is>
      </c>
    </row>
    <row r="8" ht="30" customHeight="1">
      <c r="A8" s="2" t="inlineStr">
        <is>
          <t>6. A una empresa se le presupuesta el precio SIN IVA («+ IVA»); a un particular, el precio CON IVA, porque en una oferta a consumidores el precio va con los impuestos incluidos.</t>
        </is>
      </c>
    </row>
    <row r="9">
      <c r="A9" s="19" t="inlineStr">
        <is>
          <t>IVA, PROPINAS Y SERVICIOS APARTE</t>
        </is>
      </c>
    </row>
    <row r="11" ht="60" customHeight="1">
      <c r="A11" s="2" t="inlineStr">
        <is>
          <t>El catering con servicio va al 10 % de IVA, alcohol incluido (Ley 37/1992, art. 91.Uno.2.2.º). En una entrega sin servicio, la comida sigue al 10 % pero el alcohol y los refrescos con azúcar añadido van al 21 %. El menaje, la mantelería y la cristalería que facturas junto con el catering siguen al servicio principal; si facturas aparte mobiliario, carpas o decoración, esa línea va al 21 %.</t>
        </is>
      </c>
    </row>
    <row r="12" ht="16" customHeight="1">
      <c r="A12" s="2" t="inlineStr">
        <is>
          <t>La propina voluntaria es decisión del cliente y es del equipo: no entra en el precio ni en el total.</t>
        </is>
      </c>
    </row>
    <row r="13">
      <c r="A13" s="19" t="inlineStr">
        <is>
          <t>ANTICIPO Y CANCELACIÓN</t>
        </is>
      </c>
    </row>
    <row r="15" ht="75" customHeight="1">
      <c r="A15" s="2" t="inlineStr">
        <is>
          <t>Los importes de cancelación siguen los contratos del kit. Particulares: más de 21 días, se devuelve el anticipo; entre 21 y 7 días, se retiene la mitad; menos de 7 días, el anticipo entero; menos de 48 horas, el anticipo más el 50 % del total. Empresas: más de 28 días, se devuelve el anticipo; 28-14 días, el 30 % del total; 14-7 días, el 60 %; menos de 7 días, el 100 %. En un servicio de comida con fecha no hay derecho de desistimiento (art. 103.l del TRLGDCU): por eso la política tiene que estar firmada.</t>
        </is>
      </c>
    </row>
    <row r="16">
      <c r="A16" s="19" t="inlineStr">
        <is>
          <t>ESTIMACIONES DEL KIT</t>
        </is>
      </c>
    </row>
    <row r="18" ht="30" customHeight="1">
      <c r="A18" s="2" t="inlineStr">
        <is>
          <t>Los valores por defecto y los tres ejemplos son estimaciones para ilustrar el cálculo, no precios de mercado. Cámbialos por tu escandallo, tus salarios, tus alquileres y tus kilómetros antes de presupuestar.</t>
        </is>
      </c>
    </row>
    <row r="20">
      <c r="A20" s="2" t="inlineStr">
        <is>
          <t>Para editar una celda que no esté en verde: Revisar → Desproteger hoja (no tiene contraseña).</t>
        </is>
      </c>
    </row>
    <row r="21">
      <c r="A21" s="2" t="inlineStr">
        <is>
          <t>Más plantillas y kits del catálogo en aichef.pro/productos-digitales</t>
        </is>
      </c>
    </row>
    <row r="22">
      <c r="A22" s="2" t="inlineStr">
        <is>
          <t>Diseñado por John Guerrero — chef y consultor gastronómico desde 2010, en cocina desde los 17 años · johnguerrero.es</t>
        </is>
      </c>
    </row>
    <row r="23">
      <c r="A23" s="2" t="inlineStr">
        <is>
          <t>Versión 2.2 · septiembre 2026 · aichef.pro/plan-catering-tematico-eventos · info@aichef.pro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rintOptions horizontalCentered="1"/>
  <pageMargins left="0.75" right="0.75" top="1" bottom="1" header="0.5" footer="0.5"/>
  <pageSetup orientation="portrait" paperSize="9" fitToHeight="0" fitToWidth="1"/>
  <headerFooter>
    <oddHeader/>
    <oddFooter>&amp;Caichef.pro/plan-catering-tematico-eventos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Calculadora de precios de catering (del coste al presupuesto) · v2.2</dc:title>
  <dc:subject xmlns:dc="http://purl.org/dc/elements/1.1/">Plan de Negocio: Catering Temático de Eventos</dc:subject>
  <dcterms:created xmlns:dcterms="http://purl.org/dc/terms/" xmlns:xsi="http://www.w3.org/2001/XMLSchema-instance" xsi:type="dcterms:W3CDTF">2026-10-11T17:51:49Z</dcterms:created>
  <dcterms:modified xmlns:dcterms="http://purl.org/dc/terms/" xmlns:xsi="http://www.w3.org/2001/XMLSchema-instance" xsi:type="dcterms:W3CDTF">2026-10-11T17:51:49Z</dcterms:modified>
  <cp:lastModifiedBy>AI Chef Pro</cp:lastModifiedBy>
</cp:coreProperties>
</file>