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8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Invitados por evento (media del año 1)</t>
        </is>
      </c>
      <c r="B4" s="18" t="n">
        <v>65</v>
      </c>
      <c r="C4" t="inlineStr">
        <is>
          <t>Invitados de media por evento en el año 1. Sale de la mezcla de cinco tipos de evento de la tabla de referencias de la hoja de Instrucciones: coffee breaks de 35, cócteles de empresa de 80, comidas de empresa de 100, bodas de 110 y celebraciones familiares de 45 invitados</t>
        </is>
      </c>
    </row>
    <row r="5">
      <c r="A5" t="inlineStr">
        <is>
          <t>Precio medio por invitado SIN IVA (€)</t>
        </is>
      </c>
      <c r="B5" s="63" t="n">
        <v>53</v>
      </c>
      <c r="C5" t="inlineStr">
        <is>
          <t>SIN IVA. Media ponderada de la misma mezcla: 16 € el coffee break, 40 € el cóctel con estaciones, 62 € la comida de empresa, 98 € la boda y 48 € la celebración familiar. El precio con IVA (10 % en el catering con servicio) está en la fila «PVP equivalente con IVA» de abajo</t>
        </is>
      </c>
    </row>
    <row r="6">
      <c r="A6" t="inlineStr">
        <is>
          <t>Eventos al año</t>
        </is>
      </c>
      <c r="B6" s="18" t="n">
        <v>130</v>
      </c>
      <c r="C6" t="inlineStr">
        <is>
          <t>Eventos servidos en el año: 85 de empresa (coffee breaks, cócteles y comidas) y 45 de particulares (bodas, comuniones y cumpleaños). Es el MISMO dato para la cuenta de resultados, el punto de equilibrio, los escenarios y las horas de personal</t>
        </is>
      </c>
    </row>
    <row r="7">
      <c r="A7" t="inlineStr">
        <is>
          <t>Crecimiento de volumen del año 2</t>
        </is>
      </c>
      <c r="B7" s="64" t="n">
        <v>0.12</v>
      </c>
      <c r="C7" t="inlineStr">
        <is>
          <t>Más volumen el segundo año: repetición de empresas y bodas que llegan por recomendación. El libro lo aplica a los invitados por evento; en euros da lo mismo que hacer más eventos del mismo tamaño</t>
        </is>
      </c>
    </row>
    <row r="8">
      <c r="A8" t="inlineStr">
        <is>
          <t>Crecimiento de volumen del año 3</t>
        </is>
      </c>
      <c r="B8" s="64" t="n">
        <v>0.08</v>
      </c>
      <c r="C8" t="inlineStr">
        <is>
          <t>Sobre el año 2. Conservador: el techo lo pone la capacidad de la cocina central</t>
        </is>
      </c>
    </row>
    <row r="9">
      <c r="A9" t="inlineStr">
        <is>
          <t>PVP equivalente con IVA (calculado)</t>
        </is>
      </c>
      <c r="B9" s="65">
        <f>IFERROR(IF($B$5="","",$B$5*(1+SUMPRODUCT('PyG 3 Años'!$E$10:$E$11,'PyG 3 Años'!$G$10:$G$11))),"")</f>
        <v>58.33410550000001</v>
      </c>
      <c r="C9" t="str">
        <f>IFERROR("Precio por invitado sin IVA más el IVA medio ponderado de tus líneas de venta: "&amp;TEXT(SUMPRODUCT('PyG 3 Años'!$E$10:$E$11,'PyG 3 Años'!$G$10:$G$11)*100,"0")&amp;" %. En el servicio de catering todo va al 10 % (art. 91.Uno.2.2.º de la Ley 37/1992, alcohol incluido); el alcohol que sale por drop-off mueve la media. Aquí va redondeado. Compáralo con el rango del sector, que va con IVA.","")</f>
        <v>Precio por invitado sin IVA más el IVA medio ponderado de tus líneas de venta: 10 %. En el servicio de catering todo va al 10 % (art. 91.Uno.2.2.º de la Ley 37/1992, alcohol incluido); el alcohol que sale por drop-off mueve la media. Aquí va redondeado. Compáralo con el rango del sector, que va con IVA.</v>
      </c>
    </row>
    <row r="10">
      <c r="A10" s="16" t="inlineStr">
        <is>
          <t>MIX Y COSTE DE MERCANCÍA</t>
        </is>
      </c>
    </row>
    <row r="11">
      <c r="A11" t="inlineStr">
        <is>
          <t>Ventas de COMIDA sobre el total</t>
        </is>
      </c>
      <c r="B11" s="64" t="n">
        <v>0.82</v>
      </c>
      <c r="C11" t="inlineStr">
        <is>
          <t>Peso de la COMIDA sobre el total de ventas. Es un INPUT: cámbialo aquí y el P&amp;L, la tesorería y el IVA repercutido se recalculan solos</t>
        </is>
      </c>
    </row>
    <row r="12">
      <c r="A12" t="inlineStr">
        <is>
          <t>Ventas de BEBIDA sobre el total</t>
        </is>
      </c>
      <c r="B12" s="66">
        <f>IFERROR(IF(COUNT(B11)=0,"",1-B11),"")</f>
        <v>0.18000000000000005</v>
      </c>
      <c r="C12" t="inlineStr">
        <is>
          <t>Se calcula como el resto: comida + bebida = 100 %</t>
        </is>
      </c>
    </row>
    <row r="13">
      <c r="A13" t="inlineStr">
        <is>
          <t>Coste de mercancía sobre las ventas de COMIDA</t>
        </is>
      </c>
      <c r="B13" s="64" t="n">
        <v>0.3</v>
      </c>
      <c r="C13" t="inlineStr">
        <is>
          <t>Materia prima de la comida sobre las ventas de comida. Las estaciones en directo (sushi, parrilla, tacos) suben el coste por la merma de presentación: escandalla cada menú con la calculadora de este kit</t>
        </is>
      </c>
    </row>
    <row r="14">
      <c r="A14" t="inlineStr">
        <is>
          <t>Coste de mercancía sobre las ventas de BEBIDA</t>
        </is>
      </c>
      <c r="B14" s="64" t="n">
        <v>0.28</v>
      </c>
      <c r="C14" t="inlineStr">
        <is>
          <t>Bebida sobre las ventas de bebida: vino, cava, cerveza, refrescos y agua de la barra que sirves tú. Si el cliente pone la bebida y cobras descorche, esta línea baja</t>
        </is>
      </c>
    </row>
    <row r="15">
      <c r="A15" t="inlineStr">
        <is>
          <t>Consumibles sobre ventas</t>
        </is>
      </c>
      <c r="B15" s="64" t="n">
        <v>0.03</v>
      </c>
      <c r="C15" t="inlineStr">
        <is>
          <t>Desechables, gas de las estaciones, hielo, film y bolsas de vacío: todo lo que se gasta en cada evento y no se amortiza</t>
        </is>
      </c>
    </row>
    <row r="16">
      <c r="A16" t="inlineStr">
        <is>
          <t>Ventas en drop-off (entrega sin servicio) sobre el total</t>
        </is>
      </c>
      <c r="B16" s="64" t="n">
        <v>0.05</v>
      </c>
      <c r="C16" t="inlineStr">
        <is>
          <t>Parte de las ventas que se entrega SIN servicio (drop-off: bandejas de coffee break o de almuerzo que se dejan en la oficina). Es entrega de bienes: la comida va al 10 % y el alcohol y los refrescos, zumos y gaseosas con azúcares o edulcorantes añadidos, al 21 % (art. 91.Uno.1.1.º de la Ley 37/1992); el libro lo aplica al alcohol de esta parte</t>
        </is>
      </c>
    </row>
    <row r="17">
      <c r="A17" t="inlineStr">
        <is>
          <t>Comisión de la plataforma de drop-off</t>
        </is>
      </c>
      <c r="B17" s="64" t="n">
        <v>0.1</v>
      </c>
      <c r="C17" t="inlineStr">
        <is>
          <t>Comisión media de la parte del drop-off que entra por plataformas de catering para empresas o por intermediarios. Si todo el drop-off lo vendes tú, pon 0</t>
        </is>
      </c>
    </row>
    <row r="18">
      <c r="A18" t="inlineStr">
        <is>
          <t>Comisión de los medios de pago</t>
        </is>
      </c>
      <c r="B18" s="64" t="n">
        <v>0.005</v>
      </c>
      <c r="C18" t="inlineStr">
        <is>
          <t>Casi todo se cobra por transferencia (anticipos y facturas de empresa); el datáfono queda para la prueba de menú y los extras del día</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COCINA CENTRAL Y FIJOS</t>
        </is>
      </c>
    </row>
    <row r="24">
      <c r="A24" t="inlineStr">
        <is>
          <t>Cuota mensual de la cocina central (€)</t>
        </is>
      </c>
      <c r="B24" s="23" t="n">
        <v>2000</v>
      </c>
      <c r="C24" t="inlineStr">
        <is>
          <t>Cuota de una cocina central compartida y autorizada: unas 80 horas al mes de cocina, cámara, almacén y plaza para la furgoneta. Para eventos no se puede cocinar en casa (art. 13.5.b del RD 1021/2022), así que este coste no es opcional. No hay tarifa pública: pide dos presupuestos en tu zona</t>
        </is>
      </c>
    </row>
    <row r="25">
      <c r="A25" t="inlineStr">
        <is>
          <t>Fianza de la cocina central (meses)</t>
        </is>
      </c>
      <c r="B25" s="18" t="n">
        <v>2</v>
      </c>
      <c r="C25" t="inlineStr">
        <is>
          <t>Dos cuotas de fianza, lo habitual en un contrato de uso de cocina compartida</t>
        </is>
      </c>
    </row>
    <row r="26">
      <c r="A26" t="inlineStr">
        <is>
          <t>Suministros mensuales (gas de las estaciones y consumos propios) (€)</t>
        </is>
      </c>
      <c r="B26" s="23" t="n">
        <v>150</v>
      </c>
      <c r="C26" t="inlineStr">
        <is>
          <t>Gas de las estaciones y consumos propios fuera de la cuota: la cocina compartida ya incluye luz y agua</t>
        </is>
      </c>
    </row>
    <row r="27">
      <c r="A27" t="inlineStr">
        <is>
          <t>Seguros (€/año)</t>
        </is>
      </c>
      <c r="B27" s="23" t="n">
        <v>2200</v>
      </c>
      <c r="C27" t="inlineStr">
        <is>
          <t>Responsabilidad civil de explotación y de producto con cobertura de intoxicación alimentaria de al menos 600.000 € (unos 900 €), seguro de la furgoneta de uso comercial (1.000 €) y de los equipos que salen a cada evento (300 €)</t>
        </is>
      </c>
    </row>
    <row r="28">
      <c r="A28" t="inlineStr">
        <is>
          <t>Varios e imprevistos sobre ventas</t>
        </is>
      </c>
      <c r="B28" s="64" t="n">
        <v>0.05</v>
      </c>
      <c r="C28" t="inlineStr">
        <is>
          <t>Combustible de la furgoneta, cánones que algunas fincas y wedding planners cobran al catering externo (unos 2 puntos) e imprevistos. Es variable: sube y baja con los eventos</t>
        </is>
      </c>
    </row>
    <row r="29">
      <c r="A29" s="16" t="inlineStr">
        <is>
          <t>FINANCIACIÓN</t>
        </is>
      </c>
    </row>
    <row r="30">
      <c r="A30" t="inlineStr">
        <is>
          <t>Recursos propios aportados (€)</t>
        </is>
      </c>
      <c r="B30" s="23" t="n">
        <v>35000</v>
      </c>
      <c r="C30" t="inlineStr">
        <is>
          <t>Aportación de los socios. Un banco pide entre el 25 y el 30 % de la necesidad de caja con dinero propio</t>
        </is>
      </c>
    </row>
    <row r="31">
      <c r="A31" t="inlineStr">
        <is>
          <t>Préstamo bancario solicitado (€)</t>
        </is>
      </c>
      <c r="B31" s="23" t="n">
        <v>111000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0.065</v>
      </c>
      <c r="C32" t="inlineStr">
        <is>
          <t>Tipo nominal anual de un préstamo de empresa sin garantía inmobiliaria. Pide oferta a dos entidades y a una línea ICO o ENISA antes de fijarlo</t>
        </is>
      </c>
    </row>
    <row r="33">
      <c r="A33" t="inlineStr">
        <is>
          <t>Plazo del préstamo (años)</t>
        </is>
      </c>
      <c r="B33" s="18" t="n">
        <v>6</v>
      </c>
      <c r="C33" t="inlineStr">
        <is>
          <t>Años totales, carencia incluida: el plazo de vida de la furgoneta y del equipo</t>
        </is>
      </c>
    </row>
    <row r="34">
      <c r="A34" t="inlineStr">
        <is>
          <t>Carencia de principal (años)</t>
        </is>
      </c>
      <c r="B34" s="18" t="n">
        <v>1</v>
      </c>
      <c r="C34" t="inlineStr">
        <is>
          <t>El primer año sólo intereses: es cuando la caja está más tensa, con la cartera de bodas aún por llenar</t>
        </is>
      </c>
    </row>
    <row r="35">
      <c r="A35" t="inlineStr">
        <is>
          <t>Fondo de maniobra (meses de costes fijos)</t>
        </is>
      </c>
      <c r="B35" s="18" t="n">
        <v>3</v>
      </c>
      <c r="C35" t="inlineStr">
        <is>
          <t>Tres meses de costes fijos: cubren los meses flojos (enero y agosto son los más bajos del año) y los 30-60 días que tardan en pagar las empresas</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el alcohol que sale por drop-off (es una entrega de bienes). El alcohol servido en el servicio de catering va al reducido: su tipo está en el bloque de desglose del IVA. Suministros, equipamiento y servicios tienen su tipo en la celda de abajo. El libro manda al general sólo el alcohol: si compras refrescos, zumos y gaseosas con azúcares o edulcorantes añadidos, su factura también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8</v>
      </c>
      <c r="C44" t="inlineStr">
        <is>
          <t>En este plan la «obra» es la furgoneta frigorífica y su rotulación: ocho años son el 12,5 % anual, por debajo del 16 % máximo para elementos de transporte de la tabla del art. 12.1 de la Ley del Impuesto sobre Sociedades. Confírmalo con tu asesor</t>
        </is>
      </c>
    </row>
    <row r="45">
      <c r="A45" t="inlineStr">
        <is>
          <t>Vida útil de maquinaria y mobiliario (años)</t>
        </is>
      </c>
      <c r="B45" s="18" t="n">
        <v>10</v>
      </c>
      <c r="C45" t="inlineStr">
        <is>
          <t>Estaciones, equipo de producción, menaje, mobiliario y equipos informáticos: el coeficiente máximo de la tabla del art. 12.1 de la Ley del Impuesto sobre Sociedades es del 12 % para maquinaria y del 10 % para mobiliario</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CAPACIDAD</t>
        </is>
      </c>
    </row>
    <row r="50"/>
    <row r="51">
      <c r="A51" t="inlineStr">
        <is>
          <t>Capacidad máxima por evento (invitados)</t>
        </is>
      </c>
      <c r="B51" s="18" t="n">
        <v>250</v>
      </c>
      <c r="C51" t="inlineStr">
        <is>
          <t>DATO INFORMATIVO: no entra en ningún cálculo. Es el evento más grande que puedes servir con el equipo y el menaje propios; por encima, se alquila menaje y se amplía la bolsa de personal</t>
        </is>
      </c>
    </row>
    <row r="52">
      <c r="A52" t="inlineStr">
        <is>
          <t>Actividad del mes 1 sobre la de crucero</t>
        </is>
      </c>
      <c r="B52" s="64" t="n">
        <v>0.55</v>
      </c>
      <c r="C52" t="inlineStr">
        <is>
          <t>Un catering que arranca factura poco el primer mes: las bodas se reservan con meses de antelación y las empresas tardan en repetir. Con 100 % se elimina la rampa</t>
        </is>
      </c>
    </row>
    <row r="53">
      <c r="A53" t="inlineStr">
        <is>
          <t>Meses hasta alcanzar el régimen de crucero</t>
        </is>
      </c>
      <c r="B53" s="18" t="n">
        <v>6</v>
      </c>
      <c r="C53" t="inlineStr">
        <is>
          <t>Seis meses hasta el ritmo de crucero: una temporada de bodas</t>
        </is>
      </c>
    </row>
    <row r="54">
      <c r="A54" t="inlineStr">
        <is>
          <t>Meses de cuota de la cocina central ANTES del primer evento</t>
        </is>
      </c>
      <c r="B54" s="18" t="n">
        <v>1</v>
      </c>
      <c r="C54" t="inlineStr">
        <is>
          <t>Un mes de cuota para montar la producción, hacer las pruebas de menú y las primeras degustaciones antes de facturar</t>
        </is>
      </c>
    </row>
    <row r="55">
      <c r="A55" t="inlineStr">
        <is>
          <t>Imprevistos sobre la compra y la preparación de la furgoneta (%)</t>
        </is>
      </c>
      <c r="B55" s="64" t="n">
        <v>0.08</v>
      </c>
      <c r="C55" t="inlineStr">
        <is>
          <t>Se calcula sobre la furgoneta y su rotulación: es donde aparecen las sorpresas (reparación del equipo de frío, revisión del certificado ATP)</t>
        </is>
      </c>
    </row>
    <row r="56"/>
    <row r="57">
      <c r="A57" s="16" t="inlineStr">
        <is>
          <t>COBROS, PAGOS Y DESGLOSE DEL IVA</t>
        </is>
      </c>
    </row>
    <row r="58">
      <c r="A58" t="inlineStr">
        <is>
          <t>Días medios de cobro</t>
        </is>
      </c>
      <c r="B58" s="18" t="n">
        <v>25</v>
      </c>
      <c r="C58" t="inlineStr">
        <is>
          <t>Media ponderada: las empresas pagan a 30-60 días (máximo legal de 60, art. 4 de la Ley 3/2004) y los particulares pagan por adelantado. El libro no admite días negativos, así que los anticipos del 40 % de las bodas no se modelan: tu caja real será algo MEJOR que la de la hoja de Tesorería</t>
        </is>
      </c>
    </row>
    <row r="59">
      <c r="A59" t="inlineStr">
        <is>
          <t>Días medios de pago a proveedor</t>
        </is>
      </c>
      <c r="B59" s="18" t="n">
        <v>30</v>
      </c>
      <c r="C59" t="inlineStr">
        <is>
          <t>Plazo de pago a proveedores de producto fresco y de menaje</t>
        </is>
      </c>
    </row>
    <row r="60">
      <c r="A60" t="inlineStr">
        <is>
          <t>Mes de la paga extra de verano</t>
        </is>
      </c>
      <c r="B60" s="18" t="n">
        <v>7</v>
      </c>
      <c r="C60" t="inlineStr">
        <is>
          <t>Mes del año (1-12) en el que sale de caja la primera paga extra</t>
        </is>
      </c>
    </row>
    <row r="61">
      <c r="A61" t="inlineStr">
        <is>
          <t>Mes de la paga extra de Navidad</t>
        </is>
      </c>
      <c r="B61" s="18" t="n">
        <v>12</v>
      </c>
      <c r="C61" t="inlineStr">
        <is>
          <t>Mes del año (1-12) en el que sale de caja la segunda paga extra</t>
        </is>
      </c>
    </row>
    <row r="62">
      <c r="A62" t="inlineStr">
        <is>
          <t>Bebida ALCOHÓLICA sobre el total de bebida</t>
        </is>
      </c>
      <c r="B62" s="64" t="n">
        <v>0.65</v>
      </c>
      <c r="C62" t="inlineStr">
        <is>
          <t>Parte ALCOHÓLICA de la bebida (vino, cava, cerveza, barra). Reparte el IVA que soportas al comprarla (21 % el alcohol) y el que repercutes en el drop-off</t>
        </is>
      </c>
    </row>
    <row r="63">
      <c r="A63" t="inlineStr">
        <is>
          <t>IVA de la bebida ALCOHÓLICA servida en el evento</t>
        </is>
      </c>
      <c r="B63" s="64" t="n">
        <v>0.1</v>
      </c>
      <c r="C63" t="inlineStr">
        <is>
          <t>10 %: el art. 91.Uno.2.2.º de la Ley 37/1992 grava al tipo reducido el «suministro de comidas y bebidas para consumir en el acto», sin excluir el alcohol, y un catering con servicio lo es. El libro aplica el 21 % sólo al alcohol del drop-off, que no se sirve</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64" t="n">
        <v>0.15</v>
      </c>
      <c r="C67" t="inlineStr">
        <is>
          <t>Cuánto deben superar las ventas previstas a las del punto de equilibrio. La caída que aguantas antes de entrar en pérdidas es algo menor: con un 15 % de holgura, un 13 % de lo previsto</t>
        </is>
      </c>
    </row>
    <row r="68">
      <c r="A68" t="inlineStr">
        <is>
          <t>Suelo salarial anual del convenio provincial (€)</t>
        </is>
      </c>
      <c r="B68" s="23" t="n">
        <v>0</v>
      </c>
      <c r="C68" t="inlineStr">
        <is>
          <t>El catering está dentro del convenio de hostelería (art. 4 del V Acuerdo Laboral de ámbito Estatal para el sector de Hostelería):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51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6 B25 B35 B54"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38" t="inlineStr">
        <is>
          <t>PLAN DE NEGOCIO: CATERING TEMÁTICO DE EVENTOS</t>
        </is>
      </c>
    </row>
    <row r="2">
      <c r="A2" s="2" t="inlineStr">
        <is>
          <t>Inversión inicial estimada — catering con estaciones temáticas en directo</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IFERROR(IF(COUNT(B7:B23)=0,"",SUM(B7:B23)),"")</f>
        <v>74880.0</v>
      </c>
      <c r="C6" s="67">
        <f>IFERROR(B6/$B$26,"")</f>
        <v>0.5743861516480694</v>
      </c>
      <c r="D6" s="28" t="n"/>
      <c r="E6" s="28" t="n"/>
    </row>
    <row r="7">
      <c r="A7" s="28" t="inlineStr">
        <is>
          <t>Furgoneta frigorífica usada con certificado ATP</t>
        </is>
      </c>
      <c r="B7" s="29" t="n">
        <v>22000</v>
      </c>
      <c r="C7" s="68">
        <f>IFERROR(B7/$B$26,"")</f>
        <v>0.16875661506754175</v>
      </c>
      <c r="D7" s="28" t="inlineStr">
        <is>
          <t>Furgoneta de 2021-2022 con equipo de frío y certificado ATP vigente (RD 237/2000). Anuncios de segunda mano de octubre de 2026: 18.000-22.000 €</t>
        </is>
      </c>
      <c r="E7" s="31" t="inlineStr">
        <is>
          <t>Sí</t>
        </is>
      </c>
    </row>
    <row r="8">
      <c r="A8" s="28" t="inlineStr">
        <is>
          <t>Rotulación y estanterías de la furgoneta</t>
        </is>
      </c>
      <c r="B8" s="29" t="n">
        <v>1500</v>
      </c>
      <c r="C8" s="68">
        <f>IFERROR(B8/$B$26,"")</f>
        <v>0.011506132845514211</v>
      </c>
      <c r="D8" s="28" t="inlineStr">
        <is>
          <t>Rotulación con la marca y estanterías con amarres</t>
        </is>
      </c>
      <c r="E8" s="31" t="inlineStr">
        <is>
          <t>Sí</t>
        </is>
      </c>
    </row>
    <row r="9">
      <c r="A9" s="28" t="inlineStr">
        <is>
          <t>Contenedores isotérmicos GN y carros de transporte</t>
        </is>
      </c>
      <c r="B9" s="29" t="n">
        <v>3500</v>
      </c>
      <c r="C9" s="68">
        <f>IFERROR(B9/$B$26,"")</f>
        <v>0.026847643306199823</v>
      </c>
      <c r="D9" s="28" t="inlineStr">
        <is>
          <t>Mantienen la cadena de frío y de caliente desde la cocina hasta la estación</t>
        </is>
      </c>
      <c r="E9" s="31" t="inlineStr">
        <is>
          <t>Sí</t>
        </is>
      </c>
    </row>
    <row r="10">
      <c r="A10" s="28" t="inlineStr">
        <is>
          <t>Equipo de producción: gastronorms, roner, sondas, básculas y cuchillería</t>
        </is>
      </c>
      <c r="B10" s="29" t="n">
        <v>4000</v>
      </c>
      <c r="C10" s="68">
        <f>IFERROR(B10/$B$26,"")</f>
        <v>0.030683020921371228</v>
      </c>
      <c r="D10" s="28" t="inlineStr">
        <is>
          <t>Lo que no aporta la cocina central compartida</t>
        </is>
      </c>
      <c r="E10" s="31" t="inlineStr">
        <is>
          <t>Sí</t>
        </is>
      </c>
    </row>
    <row r="11">
      <c r="A11" s="28" t="inlineStr">
        <is>
          <t>Estaciones temáticas portátiles (inducción, plancha y wok)</t>
        </is>
      </c>
      <c r="B11" s="29" t="n">
        <v>9000</v>
      </c>
      <c r="C11" s="68">
        <f>IFERROR(B11/$B$26,"")</f>
        <v>0.06903679707308526</v>
      </c>
      <c r="D11" s="28" t="inlineStr">
        <is>
          <t>Tres módulos de show cooking. El equipo específico de cada cocina del mundo se compra cuando esa estación se venda</t>
        </is>
      </c>
      <c r="E11" s="31" t="inlineStr">
        <is>
          <t>Sí</t>
        </is>
      </c>
    </row>
    <row r="12">
      <c r="A12" s="28" t="inlineStr">
        <is>
          <t>Chafing dishes y expositores de bufé</t>
        </is>
      </c>
      <c r="B12" s="29" t="n">
        <v>3500</v>
      </c>
      <c r="C12" s="68">
        <f>IFERROR(B12/$B$26,"")</f>
        <v>0.026847643306199823</v>
      </c>
      <c r="D12" s="28" t="inlineStr">
        <is>
          <t>Para bufés, desayunos y coffee breaks</t>
        </is>
      </c>
      <c r="E12" s="31" t="inlineStr">
        <is>
          <t>Sí</t>
        </is>
      </c>
    </row>
    <row r="13">
      <c r="A13" s="28" t="inlineStr">
        <is>
          <t>Menaje base: vajilla, cubertería y cristalería</t>
        </is>
      </c>
      <c r="B13" s="29" t="n">
        <v>6000</v>
      </c>
      <c r="C13" s="68">
        <f>IFERROR(B13/$B$26,"")</f>
        <v>0.046024531382056845</v>
      </c>
      <c r="D13" s="28" t="inlineStr">
        <is>
          <t>Para 150 invitados; lo que pase se alquila y se repercute en el presupuesto</t>
        </is>
      </c>
      <c r="E13" s="31" t="inlineStr">
        <is>
          <t>Sí</t>
        </is>
      </c>
    </row>
    <row r="14">
      <c r="A14" s="28" t="inlineStr">
        <is>
          <t>Mantelería y uniformes</t>
        </is>
      </c>
      <c r="B14" s="29" t="n">
        <v>2000</v>
      </c>
      <c r="C14" s="68">
        <f>IFERROR(B14/$B$26,"")</f>
        <v>0.015341510460685614</v>
      </c>
      <c r="D14" s="28" t="inlineStr">
        <is>
          <t>Con recambios para dos eventos seguidos</t>
        </is>
      </c>
      <c r="E14" s="31" t="inlineStr">
        <is>
          <t>Sí</t>
        </is>
      </c>
    </row>
    <row r="15">
      <c r="A15" s="28" t="inlineStr">
        <is>
          <t>Mobiliario de catering: mesas altas y barra plegable</t>
        </is>
      </c>
      <c r="B15" s="29" t="n">
        <v>2500</v>
      </c>
      <c r="C15" s="68">
        <f>IFERROR(B15/$B$26,"")</f>
        <v>0.019176888075857018</v>
      </c>
      <c r="D15" s="28" t="inlineStr">
        <is>
          <t>El resto del mobiliario y las carpas se alquilan para cada evento</t>
        </is>
      </c>
      <c r="E15" s="31" t="inlineStr">
        <is>
          <t>Sí</t>
        </is>
      </c>
    </row>
    <row r="16">
      <c r="A16" s="28" t="inlineStr">
        <is>
          <t>Marca, web, fotos, dossier de menús y lanzamiento</t>
        </is>
      </c>
      <c r="B16" s="29" t="n">
        <v>7000</v>
      </c>
      <c r="C16" s="68">
        <f>IFERROR(B16/$B$26,"")</f>
        <v>0.05369528661239965</v>
      </c>
      <c r="D16" s="28" t="inlineStr">
        <is>
          <t>Identidad, web con formulario de presupuesto, sesión de fotos y vídeo, dossier, ferias de novios, directorios y degustaciones de lanzamiento</t>
        </is>
      </c>
      <c r="E16" s="31" t="inlineStr">
        <is>
          <t>Sí</t>
        </is>
      </c>
    </row>
    <row r="17">
      <c r="A17" s="28" t="inlineStr">
        <is>
          <t>Software, tablet y datáfono</t>
        </is>
      </c>
      <c r="B17" s="29" t="n">
        <v>1200</v>
      </c>
      <c r="C17" s="68">
        <f>IFERROR(B17/$B$26,"")</f>
        <v>0.009204906276411368</v>
      </c>
      <c r="D17" s="28" t="inlineStr">
        <is>
          <t>Presupuestos, agenda y facturación conforme a Veri*factu</t>
        </is>
      </c>
      <c r="E17" s="31" t="inlineStr">
        <is>
          <t>Sí</t>
        </is>
      </c>
    </row>
    <row r="18">
      <c r="A18" s="28" t="inlineStr">
        <is>
          <t>Constitución SL + notaría + registro</t>
        </is>
      </c>
      <c r="B18" s="29" t="n">
        <v>1000</v>
      </c>
      <c r="C18" s="68">
        <f>IFERROR(B18/$B$26,"")</f>
        <v>0.007670755230342807</v>
      </c>
      <c r="D18" s="28" t="inlineStr">
        <is>
          <t>SL unipersonal. Las tasas y el arancel del Registro no llevan IVA; los honorarios del notario y de la gestoría sí: cambia la columna de al lado a «Sí» si tu presupuesto es sobre todo de honorarios</t>
        </is>
      </c>
      <c r="E18" s="31" t="inlineStr">
        <is>
          <t>No</t>
        </is>
      </c>
    </row>
    <row r="19">
      <c r="A19" s="28" t="inlineStr">
        <is>
          <t>Declaración responsable, plan APPCC, alérgenos y formación</t>
        </is>
      </c>
      <c r="B19" s="29" t="n">
        <v>1800</v>
      </c>
      <c r="C19" s="68">
        <f>IFERROR(B19/$B$26,"")</f>
        <v>0.013807359414617052</v>
      </c>
      <c r="D19" s="28" t="inlineStr">
        <is>
          <t>Redacción del plan APPCC, fichas de alérgenos, formación del equipo y trámites sanitarios</t>
        </is>
      </c>
      <c r="E19" s="31" t="inlineStr">
        <is>
          <t>Sí</t>
        </is>
      </c>
    </row>
    <row r="20">
      <c r="A20" s="28" t="inlineStr">
        <is>
          <t>Stock inicial de producto</t>
        </is>
      </c>
      <c r="B20" s="29" t="n">
        <v>2000</v>
      </c>
      <c r="C20" s="68">
        <f>IFERROR(B20/$B$26,"")</f>
        <v>0.015341510460685614</v>
      </c>
      <c r="D20" s="28" t="inlineStr">
        <is>
          <t>Producto seco, bebida y desechables para los primeros eventos</t>
        </is>
      </c>
      <c r="E20" s="31" t="inlineStr">
        <is>
          <t>Sí</t>
        </is>
      </c>
    </row>
    <row r="21">
      <c r="A21" s="28" t="inlineStr">
        <is>
          <t>Fianza de la cocina central</t>
        </is>
      </c>
      <c r="B21" s="32">
        <f>IFERROR(IF('0. Supuestos'!$B$24="","",'0. Supuestos'!$B$24*'0. Supuestos'!$B$25),"")</f>
        <v>4000.0</v>
      </c>
      <c r="C21" s="68">
        <f>IFERROR(B21/$B$26,"")</f>
        <v>0.030683020921371228</v>
      </c>
      <c r="D21" s="28" t="str">
        <f>IFERROR(""&amp;TEXT('0. Supuestos'!$B$25,"0")&amp;" meses de renta, al tipo de la hoja de Supuestos. Es un activo recuperable al cerrar: ni se amortiza ni lleva IVA","")</f>
        <v>2 meses de renta, al tipo de la hoja de Supuestos. Es un activo recuperable al cerrar: ni se amortiza ni lleva IVA</v>
      </c>
      <c r="E21" s="28" t="inlineStr">
        <is>
          <t>No</t>
        </is>
      </c>
    </row>
    <row r="22">
      <c r="A22" s="28" t="inlineStr">
        <is>
          <t>Cuota de la cocina central de los meses previos al arranque</t>
        </is>
      </c>
      <c r="B22" s="32">
        <f>IFERROR(IF('0. Supuestos'!$B$24="","",'0. Supuestos'!$B$24*'0. Supuestos'!$B$54),"")</f>
        <v>2000.0</v>
      </c>
      <c r="C22" s="68">
        <f>IFERROR(B22/$B$26,"")</f>
        <v>0.015341510460685614</v>
      </c>
      <c r="D22" s="28" t="str">
        <f>IFERROR("Renta "&amp;IF('0. Supuestos'!$B$54=1,"del mes","de los "&amp;TEXT('0. Supuestos'!$B$54,"0")&amp;" meses")&amp;" de puesta en marcha (pruebas de menú y degustaciones). NO se solapa con el P&amp;L, que arranca el día de la apertura: los doce meses del P&amp;L son los doce de explotación","")</f>
        <v>Renta del mes de puesta en marcha (pruebas de menú y degustaciones). NO se solapa con el P&amp;L, que arranca el día de la apertura: los doce meses del P&amp;L son los doce de explotación</v>
      </c>
      <c r="E22" s="28" t="inlineStr">
        <is>
          <t>Sí</t>
        </is>
      </c>
    </row>
    <row r="23">
      <c r="A23" s="28" t="inlineStr">
        <is>
          <t>Imprevistos de la compra y preparación de la furgoneta</t>
        </is>
      </c>
      <c r="B23" s="32">
        <f>IFERROR(IF(COUNT(B7,B8)=0,"",ROUND((B7+B8)*'0. Supuestos'!$B$55,0)),"")</f>
        <v>1880.0</v>
      </c>
      <c r="C23" s="68">
        <f>IFERROR(B23/$B$26,"")</f>
        <v>0.014421019833044477</v>
      </c>
      <c r="D23" s="28" t="str">
        <f>IFERROR("Al "&amp;TEXT('0. Supuestos'!$B$55,"0%")&amp;" de las partidas de la furgoneta de este bloque (Furgoneta frigorífica usada con certificado ATP y Rotulación y estanterías de la furgoneta), no del bloque entero: el resto de partidas del bloque quedan fuera. Un banco no financia una "&amp;"compra así sin colchón: el porcentaje está en la hoja de Supuestos","")</f>
        <v>Al 8% de las partidas de la furgoneta de este bloque (Furgoneta frigorífica usada con certificado ATP y Rotulación y estanterías de la furgoneta), no del bloque entero: el resto de partidas del bloque quedan fuera. Un banco no financia una compra así sin colchón: el porcentaje está en la hoja de Supuestos</v>
      </c>
      <c r="E23" s="28" t="inlineStr">
        <is>
          <t>Sí</t>
        </is>
      </c>
    </row>
    <row r="24">
      <c r="A24" s="25" t="inlineStr">
        <is>
          <t>FONDO DE MANIOBRA</t>
        </is>
      </c>
      <c r="B24" s="26">
        <f>IFERROR(IF(B25="","",B25),"")</f>
        <v>55485.26</v>
      </c>
      <c r="C24" s="67">
        <f>IFERROR(B24/$B$26,"")</f>
        <v>0.42561384835193056</v>
      </c>
      <c r="D24" s="28" t="n"/>
      <c r="E24" s="28" t="n"/>
    </row>
    <row r="25">
      <c r="A25" s="28" t="inlineStr">
        <is>
          <t>Colchón operativo hasta alcanzar el equilibrio</t>
        </is>
      </c>
      <c r="B25" s="32">
        <f>IFERROR(IF('0. Supuestos'!$B$35*('PyG 3 Años'!$B$38-'PyG 3 Años'!$B$36)=0,"",'0. Supuestos'!$B$35*('PyG 3 Años'!$B$38-'PyG 3 Años'!$B$36)/12),"")</f>
        <v>55485.26</v>
      </c>
      <c r="C25" s="68">
        <f>IFERROR(B25/$B$26,"")</f>
        <v>0.42561384835193056</v>
      </c>
      <c r="D25" s="28"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5" s="28" t="inlineStr">
        <is>
          <t>No</t>
        </is>
      </c>
    </row>
    <row r="26">
      <c r="A26" s="25" t="inlineStr">
        <is>
          <t>INVERSIÓN TOTAL (suma de los bloques)</t>
        </is>
      </c>
      <c r="B26" s="26">
        <f>IFERROR(B6+B24,"")</f>
        <v>130365.26000000001</v>
      </c>
      <c r="C26" s="28" t="n"/>
      <c r="D26" s="25" t="str">
        <f>IFERROR("Los porcentajes de la columna C se leen sobre esta cifra, que incluye el fondo de maniobra ("&amp;TEXT(C24,"0%")&amp;" del total). Para comparar el desglose con otro plan, usa la fila de CAPEX de abajo.","")</f>
        <v>Los porcentajes de la columna C se leen sobre esta cifra, que incluye el fondo de maniobra (43% del total). Para comparar el desglose con otro plan, usa la fila de CAPEX de abajo.</v>
      </c>
      <c r="E26" s="28" t="n"/>
    </row>
    <row r="27">
      <c r="A27" s="25" t="inlineStr">
        <is>
          <t>CAPEX (inversión sin el fondo de maniobra)</t>
        </is>
      </c>
      <c r="B27" s="26">
        <f>IFERROR(B26-B24,"")</f>
        <v>74880.0</v>
      </c>
      <c r="C27" s="28" t="n"/>
      <c r="D27" s="25" t="inlineStr">
        <is>
          <t>Es lo que se compra: obra, equipamiento, lanzamiento y gastos de constitución. El colchón de caja no es inversión, es circulante</t>
        </is>
      </c>
      <c r="E27" s="28" t="n"/>
    </row>
    <row r="28">
      <c r="A28" s="28" t="inlineStr">
        <is>
          <t>IVA soportado sobre la inversión (recuperable)</t>
        </is>
      </c>
      <c r="B28" s="32">
        <f>IFERROR(IF(B26="","",SUMIF($E$7:$E$23,"Sí",$B$7:$B$23)*'0. Supuestos'!$B$41),"")</f>
        <v>14674.8</v>
      </c>
      <c r="C28" s="28" t="n"/>
      <c r="D28" s="28"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28" s="28" t="n"/>
    </row>
    <row r="29">
      <c r="A29" s="25" t="inlineStr">
        <is>
          <t>NECESIDAD TOTAL DE CAJA AL ARRANQUE</t>
        </is>
      </c>
      <c r="B29" s="26">
        <f>IFERROR(B26+B28,"")</f>
        <v>145040.06</v>
      </c>
      <c r="C29" s="28" t="n"/>
      <c r="D29" s="25" t="inlineStr">
        <is>
          <t>Es la cifra que tiene que cubrir la hoja de Financiación</t>
        </is>
      </c>
      <c r="E29" s="28" t="n"/>
    </row>
    <row r="30">
      <c r="A30" s="25" t="inlineStr">
        <is>
          <t>BASES DE AMORTIZACIÓN (no suman a la inversión)</t>
        </is>
      </c>
      <c r="B30" s="28" t="n"/>
      <c r="C30" s="28" t="n"/>
      <c r="D30" s="28" t="n"/>
      <c r="E30" s="28" t="n"/>
    </row>
    <row r="31">
      <c r="A31" s="28" t="inlineStr">
        <is>
          <t>Obra, instalaciones y acondicionamiento</t>
        </is>
      </c>
      <c r="B31" s="32">
        <f>IFERROR(IF(B7="","",B7+B8+B23),"")</f>
        <v>25380.0</v>
      </c>
      <c r="C31" s="28" t="n"/>
      <c r="D31" s="28" t="str">
        <f>IFERROR("Se amortiza en "&amp;TEXT('0. Supuestos'!$B$44,"0")&amp;" años","")</f>
        <v>Se amortiza en 8 años</v>
      </c>
      <c r="E31" s="28" t="n"/>
    </row>
    <row r="32">
      <c r="A32" s="28" t="inlineStr">
        <is>
          <t>Maquinaria, mobiliario y equipos</t>
        </is>
      </c>
      <c r="B32" s="32">
        <f>IFERROR(IF(B9="","",B9+B10+B11+B12+B13+B14+B15+B17),"")</f>
        <v>31700.0</v>
      </c>
      <c r="C32" s="28" t="n"/>
      <c r="D32" s="28" t="str">
        <f>IFERROR("Se amortiza en "&amp;TEXT('0. Supuestos'!$B$45,"0")&amp;" años","")</f>
        <v>Se amortiza en 10 años</v>
      </c>
      <c r="E32" s="28" t="n"/>
    </row>
    <row r="33">
      <c r="A33" s="25" t="inlineStr">
        <is>
          <t>Amortización anual del inmovilizado</t>
        </is>
      </c>
      <c r="B33" s="26">
        <f>IFERROR(B31/MAX(1,'0. Supuestos'!$B$44)+B32/MAX(1,'0. Supuestos'!$B$45),"")</f>
        <v>6342.5</v>
      </c>
      <c r="C33" s="28" t="n"/>
      <c r="D33" s="25" t="str">
        <f>IFERROR("No se amortizan, por no ser inmovilizado, Marca, web, fotos, dossier de menús y lanzamiento, Constitución SL + notaría + registro, Declaración responsable, plan APPCC, alérgenos y formación, Stock inicial de producto, Fianza de la cocina "&amp;"central, Cuota de la cocina central de los meses previos al arranque ni Colchón operativo hasta alcanzar el equilibrio. Suman "&amp;TEXT(B26-B31-B32,"0")&amp;" € de los "&amp;TEXT(B26,"0")&amp;" € de inversión.","")</f>
        <v>No se amortizan, por no ser inmovilizado, Marca, web, fotos, dossier de menús y lanzamiento, Constitución SL + notaría + registro, Declaración responsable, plan APPCC, alérgenos y formación, Stock inicial de producto, Fianza de la cocina central, Cuota de la cocina central de los meses previos al arranque ni Colchón operativo hasta alcanzar el equilibrio. Suman 73285 € de los 130365 € de inversión.</v>
      </c>
      <c r="E33"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CUENTA DE RESULTADOS PREVISIONAL — 3 AÑOS</t>
        </is>
      </c>
    </row>
    <row r="2">
      <c r="A2" s="3" t="inlineStr">
        <is>
          <t>Escenario realista — catering temático de eventos</t>
        </is>
      </c>
    </row>
    <row r="3"/>
    <row r="4">
      <c r="A4" s="39" t="inlineStr">
        <is>
          <t>Concepto</t>
        </is>
      </c>
      <c r="B4" s="39" t="inlineStr">
        <is>
          <t>Año 1</t>
        </is>
      </c>
      <c r="C4" s="39" t="inlineStr">
        <is>
          <t>Año 2</t>
        </is>
      </c>
      <c r="D4" s="39" t="inlineStr">
        <is>
          <t>Año 3</t>
        </is>
      </c>
      <c r="E4" s="39" t="inlineStr">
        <is>
          <t>% s/ventas (año 1)</t>
        </is>
      </c>
      <c r="F4" s="39" t="inlineStr">
        <is>
          <t>Notas</t>
        </is>
      </c>
      <c r="G4" s="39" t="inlineStr">
        <is>
          <t>Tipo de IVA de la línea (%)</t>
        </is>
      </c>
      <c r="H4" s="28" t="n"/>
    </row>
    <row r="5">
      <c r="A5" s="25" t="inlineStr">
        <is>
          <t>INGRESOS</t>
        </is>
      </c>
      <c r="B5" s="28" t="n"/>
      <c r="C5" s="28" t="n"/>
      <c r="D5" s="28" t="n"/>
      <c r="E5" s="28" t="n"/>
      <c r="F5" s="28" t="n"/>
      <c r="G5" s="28" t="n"/>
      <c r="H5" s="28" t="n"/>
    </row>
    <row r="6">
      <c r="A6" s="28" t="inlineStr">
        <is>
          <t>Invitados por evento (media)</t>
        </is>
      </c>
      <c r="B6" s="40">
        <f>IFERROR(IF('0. Supuestos'!$B$4="","",'0. Supuestos'!$B$4),"")</f>
        <v>65.0</v>
      </c>
      <c r="C6" s="40">
        <f>IFERROR(B6*(1+'0. Supuestos'!$B$7),"")</f>
        <v>72.80000000000001</v>
      </c>
      <c r="D6" s="40">
        <f>IFERROR(C6*(1+'0. Supuestos'!$B$8),"")</f>
        <v>78.62400000000002</v>
      </c>
      <c r="E6" s="28" t="n"/>
      <c r="F6" s="28" t="inlineStr">
        <is>
          <t>El crecimiento de los años 2 y 3 está en la hoja de Supuestos</t>
        </is>
      </c>
      <c r="G6" s="28" t="n"/>
      <c r="H6" s="28" t="n"/>
    </row>
    <row r="7">
      <c r="A7" s="28" t="inlineStr">
        <is>
          <t>Precio medio por invitado sin IVA</t>
        </is>
      </c>
      <c r="B7" s="70">
        <f>IFERROR(IF('0. Supuestos'!$B$5="","",'0. Supuestos'!$B$5),"")</f>
        <v>53.0</v>
      </c>
      <c r="C7" s="70">
        <f>IFERROR(IF(B7="","",B7),"")</f>
        <v>53.0</v>
      </c>
      <c r="D7" s="70">
        <f>IFERROR(IF(C7="","",C7),"")</f>
        <v>53.0</v>
      </c>
      <c r="E7" s="28" t="n"/>
      <c r="F7" s="28" t="inlineStr">
        <is>
          <t>Constante en euros del año 1: una subida de precios es una decisión aparte</t>
        </is>
      </c>
      <c r="G7" s="28" t="n"/>
      <c r="H7" s="28" t="n"/>
    </row>
    <row r="8">
      <c r="A8" s="28" t="inlineStr">
        <is>
          <t>Eventos al año</t>
        </is>
      </c>
      <c r="B8" s="40">
        <f>IFERROR(IF('0. Supuestos'!$B$6="","",'0. Supuestos'!$B$6),"")</f>
        <v>130.0</v>
      </c>
      <c r="C8" s="40">
        <f>IFERROR(IF(B8="","",B8),"")</f>
        <v>130.0</v>
      </c>
      <c r="D8" s="40">
        <f>IFERROR(IF(C8="","",C8),"")</f>
        <v>130.0</v>
      </c>
      <c r="E8" s="28" t="n"/>
      <c r="F8" s="28" t="n"/>
      <c r="G8" s="28" t="n"/>
      <c r="H8" s="28" t="n"/>
    </row>
    <row r="9">
      <c r="A9" s="25" t="inlineStr">
        <is>
          <t>INGRESOS TOTALES (sin IVA)</t>
        </is>
      </c>
      <c r="B9" s="26">
        <f>IFERROR(IF(B6*B7*B8=0,"",B6*B7*B8),"")</f>
        <v>447850.0</v>
      </c>
      <c r="C9" s="26">
        <f>IFERROR(IF(C6*C7*C8=0,"",C6*C7*C8),"")</f>
        <v>501592.00000000006</v>
      </c>
      <c r="D9" s="26">
        <f>IFERROR(IF(D6*D7*D8=0,"",D6*D7*D8),"")</f>
        <v>541719.3600000001</v>
      </c>
      <c r="E9" s="67">
        <f>IFERROR(IF(B9="","",1),"")</f>
        <v>1.0</v>
      </c>
      <c r="F9" s="28" t="n"/>
      <c r="G9" s="28" t="n"/>
      <c r="H9" s="28" t="n"/>
    </row>
    <row r="10">
      <c r="A10" s="28" t="inlineStr">
        <is>
          <t>Ventas de comida (menús, estaciones temáticas en directo y coffee breaks)</t>
        </is>
      </c>
      <c r="B10" s="32">
        <f>IFERROR(IF(B9="","",B9*$E$10),"")</f>
        <v>367237.0</v>
      </c>
      <c r="C10" s="32">
        <f>IFERROR(IF(C9="","",C9*$E$10),"")</f>
        <v>411305.44</v>
      </c>
      <c r="D10" s="32">
        <f>IFERROR(IF(D9="","",D9*$E$10),"")</f>
        <v>444209.87520000007</v>
      </c>
      <c r="E10" s="68">
        <f>IFERROR(IF('0. Supuestos'!$B$11="","",'0. Supuestos'!$B$11),"")</f>
        <v>0.82</v>
      </c>
      <c r="F10" s="28" t="inlineStr">
        <is>
          <t>Menús de cóctel y banquete, estaciones de cocina del mundo en directo, bufés y coffee breaks. La prueba de menú se cobra y se descuenta del evento</t>
        </is>
      </c>
      <c r="G10" s="68">
        <f>IFERROR(IF(B9="","",'0. Supuestos'!$B$39),"")</f>
        <v>0.1</v>
      </c>
      <c r="H10" s="28" t="n"/>
    </row>
    <row r="11">
      <c r="A11" s="28" t="inlineStr">
        <is>
          <t>Ventas de bebida (barra, vinos y refrescos servidos)</t>
        </is>
      </c>
      <c r="B11" s="32">
        <f>IFERROR(IF(B9="","",B9*$E$11),"")</f>
        <v>80613.00000000003</v>
      </c>
      <c r="C11" s="32">
        <f>IFERROR(IF(C9="","",C9*$E$11),"")</f>
        <v>90286.56000000004</v>
      </c>
      <c r="D11" s="32">
        <f>IFERROR(IF(D9="","",D9*$E$11),"")</f>
        <v>97509.48480000005</v>
      </c>
      <c r="E11" s="68">
        <f>IFERROR(IF('0. Supuestos'!$B$12="","",'0. Supuestos'!$B$12),"")</f>
        <v>0.18000000000000005</v>
      </c>
      <c r="F11" s="28" t="inlineStr">
        <is>
          <t>Barra libre por horas, vinos del menú, cava del brindis, refrescos y agua</t>
        </is>
      </c>
      <c r="G11" s="68">
        <f>IFERROR(IF(B9="","",('0. Supuestos'!$B$62*((1-'0. Supuestos'!$B$16)*'0. Supuestos'!$B$63+'0. Supuestos'!$B$16*'0. Supuestos'!$B$40)+(1-'0. Supuestos'!$B$62)*'0. Supuestos'!$B$39)),"")</f>
        <v>0.103575</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110171.09999999999</v>
      </c>
      <c r="C13" s="32">
        <f>IFERROR(IF(C9="","",C9*'0. Supuestos'!$B$11*'0. Supuestos'!$B$13),"")</f>
        <v>123391.632</v>
      </c>
      <c r="D13" s="32">
        <f>IFERROR(IF(D9="","",D9*'0. Supuestos'!$B$11*'0. Supuestos'!$B$13),"")</f>
        <v>133262.96256</v>
      </c>
      <c r="E13" s="68">
        <f>IFERROR(B13/$B$9,"")</f>
        <v>0.24599999999999997</v>
      </c>
      <c r="F13" s="28" t="str">
        <f>IFERROR("Al "&amp;TEXT('0. Supuestos'!$B$13,"0%")&amp;" de las ventas de COMIDA, no del total: la bebida tiene su propia línea","")</f>
        <v>Al 30% de las ventas de COMIDA, no del total: la bebida tiene su propia línea</v>
      </c>
      <c r="G13" s="68">
        <f>IFERROR(IF(B9="","",'0. Supuestos'!$B$39),"")</f>
        <v>0.1</v>
      </c>
      <c r="H13" s="28" t="n"/>
    </row>
    <row r="14">
      <c r="A14" s="28" t="inlineStr">
        <is>
          <t>Coste de mercancía — bebida</t>
        </is>
      </c>
      <c r="B14" s="32">
        <f>IFERROR(IF(B9="","",B9*'0. Supuestos'!$B$12*'0. Supuestos'!$B$14),"")</f>
        <v>22571.64000000001</v>
      </c>
      <c r="C14" s="32">
        <f>IFERROR(IF(C9="","",C9*'0. Supuestos'!$B$12*'0. Supuestos'!$B$14),"")</f>
        <v>25280.236800000013</v>
      </c>
      <c r="D14" s="32">
        <f>IFERROR(IF(D9="","",D9*'0. Supuestos'!$B$12*'0. Supuestos'!$B$14),"")</f>
        <v>27302.655744000018</v>
      </c>
      <c r="E14" s="68">
        <f>IFERROR(B14/$B$9,"")</f>
        <v>0.05040000000000002</v>
      </c>
      <c r="F14" s="28" t="str">
        <f>IFERROR("Al "&amp;TEXT('0. Supuestos'!$B$14,"0%")&amp;" de las ventas de BEBIDA","")</f>
        <v>Al 28% de las ventas de BEBIDA</v>
      </c>
      <c r="G14" s="68">
        <f>IFERROR(IF(B9="","",('0. Supuestos'!$B$62*'0. Supuestos'!$B$40+(1-'0. Supuestos'!$B$62)*'0. Supuestos'!$B$39)),"")</f>
        <v>0.1715</v>
      </c>
      <c r="H14" s="28" t="n"/>
    </row>
    <row r="15">
      <c r="A15" s="28" t="inlineStr">
        <is>
          <t>Consumibles y envases</t>
        </is>
      </c>
      <c r="B15" s="32">
        <f>IFERROR(IF(B9="","",B9*'0. Supuestos'!$B$15),"")</f>
        <v>13435.5</v>
      </c>
      <c r="C15" s="32">
        <f>IFERROR(IF(C9="","",C9*'0. Supuestos'!$B$15),"")</f>
        <v>15047.760000000002</v>
      </c>
      <c r="D15" s="32">
        <f>IFERROR(IF(D9="","",D9*'0. Supuestos'!$B$15),"")</f>
        <v>16251.580800000003</v>
      </c>
      <c r="E15" s="68">
        <f>IFERROR(B15/$B$9,"")</f>
        <v>0.03</v>
      </c>
      <c r="F15" s="28" t="n"/>
      <c r="G15" s="68">
        <f>IFERROR(IF(B9="","",'0. Supuestos'!$B$41),"")</f>
        <v>0.21</v>
      </c>
      <c r="H15" s="28" t="n"/>
    </row>
    <row r="16">
      <c r="A16" s="28" t="inlineStr">
        <is>
          <t>Comisiones del drop-off</t>
        </is>
      </c>
      <c r="B16" s="32">
        <f>IFERROR(IF(B9="","",B9*'0. Supuestos'!$B$16*'0. Supuestos'!$B$17),"")</f>
        <v>2239.25</v>
      </c>
      <c r="C16" s="32">
        <f>IFERROR(IF(C9="","",C9*'0. Supuestos'!$B$16*'0. Supuestos'!$B$17),"")</f>
        <v>2507.960000000001</v>
      </c>
      <c r="D16" s="32">
        <f>IFERROR(IF(D9="","",D9*'0. Supuestos'!$B$16*'0. Supuestos'!$B$17),"")</f>
        <v>2708.596800000001</v>
      </c>
      <c r="E16" s="68">
        <f>IFERROR(B16/$B$9,"")</f>
        <v>0.005</v>
      </c>
      <c r="F16" s="28" t="inlineStr">
        <is>
          <t>Sobre las ventas DEL CANAL. Con 0 % de drop-off en Supuestos, esta línea vale cero</t>
        </is>
      </c>
      <c r="G16" s="68">
        <f>IFERROR(IF(B9="","",'0. Supuestos'!$B$41),"")</f>
        <v>0.21</v>
      </c>
      <c r="H16" s="28" t="n"/>
    </row>
    <row r="17">
      <c r="A17" s="28" t="inlineStr">
        <is>
          <t>Comisiones de los medios de pago</t>
        </is>
      </c>
      <c r="B17" s="32">
        <f>IFERROR(IF(B9="","",B9*'0. Supuestos'!$B$18),"")</f>
        <v>2239.25</v>
      </c>
      <c r="C17" s="32">
        <f>IFERROR(IF(C9="","",C9*'0. Supuestos'!$B$18),"")</f>
        <v>2507.9600000000005</v>
      </c>
      <c r="D17" s="32">
        <f>IFERROR(IF(D9="","",D9*'0. Supuestos'!$B$18),"")</f>
        <v>2708.5968000000007</v>
      </c>
      <c r="E17" s="68">
        <f>IFERROR(B17/$B$9,"")</f>
        <v>0.005</v>
      </c>
      <c r="F17" s="28" t="inlineStr">
        <is>
          <t>Las comisiones de los medios de pago están EXENTAS de IVA (art. 20.Uno.18 LIVA): no se deduce nada por ellas</t>
        </is>
      </c>
      <c r="G17" s="68" t="n">
        <v>0</v>
      </c>
      <c r="H17" s="28" t="n"/>
    </row>
    <row r="18">
      <c r="A18" s="28" t="inlineStr">
        <is>
          <t>Varios e imprevistos</t>
        </is>
      </c>
      <c r="B18" s="32">
        <f>IFERROR(IF(B9="","",B9*'0. Supuestos'!$B$28),"")</f>
        <v>22392.5</v>
      </c>
      <c r="C18" s="32">
        <f>IFERROR(IF(C9="","",C9*'0. Supuestos'!$B$28),"")</f>
        <v>25079.600000000006</v>
      </c>
      <c r="D18" s="32">
        <f>IFERROR(IF(D9="","",D9*'0. Supuestos'!$B$28),"")</f>
        <v>27085.968000000008</v>
      </c>
      <c r="E18" s="68">
        <f>IFERROR(B18/$B$9,"")</f>
        <v>0.05</v>
      </c>
      <c r="F18" s="28" t="str">
        <f>IFERROR("Al "&amp;TEXT('0. Supuestos'!$B$28,"0%")&amp;" de las ventas. Es un coste VARIABLE: sube y baja con la facturación, así que no puede vivir en los costes fijos","")</f>
        <v>Al 5% de las ventas. Es un coste VARIABLE: sube y baja con la facturación, así que no puede vivir en los costes fijos</v>
      </c>
      <c r="G18" s="68">
        <f>IFERROR(IF(B9="","",'0. Supuestos'!$B$41),"")</f>
        <v>0.21</v>
      </c>
      <c r="H18" s="28" t="n"/>
    </row>
    <row r="19">
      <c r="A19" s="25" t="inlineStr">
        <is>
          <t>TOTAL COSTES VARIABLES</t>
        </is>
      </c>
      <c r="B19" s="26">
        <f>IFERROR(IF(B9="","",SUM(B13:B18)),"")</f>
        <v>173049.24</v>
      </c>
      <c r="C19" s="26">
        <f>IFERROR(IF(C9="","",SUM(C13:C18)),"")</f>
        <v>193815.14880000002</v>
      </c>
      <c r="D19" s="26">
        <f>IFERROR(IF(D9="","",SUM(D13:D18)),"")</f>
        <v>209320.36070400005</v>
      </c>
      <c r="E19" s="67">
        <f>IFERROR(B19/$B$9,"")</f>
        <v>0.38639999999999997</v>
      </c>
      <c r="F19" s="28" t="n"/>
      <c r="G19" s="28" t="n"/>
      <c r="H19" s="28" t="n"/>
    </row>
    <row r="20">
      <c r="A20" s="25" t="inlineStr">
        <is>
          <t>MARGEN BRUTO</t>
        </is>
      </c>
      <c r="B20" s="26">
        <f>IFERROR(IF(B9="","",B9-B19),"")</f>
        <v>274800.76</v>
      </c>
      <c r="C20" s="26">
        <f>IFERROR(IF(C9="","",C9-C19),"")</f>
        <v>307776.85120000003</v>
      </c>
      <c r="D20" s="26">
        <f>IFERROR(IF(D9="","",D9-D19),"")</f>
        <v>332398.99929600005</v>
      </c>
      <c r="E20" s="67">
        <f>IFERROR(B20/$B$9,"")</f>
        <v>0.6136</v>
      </c>
      <c r="F20" s="28" t="n"/>
      <c r="G20" s="28" t="n"/>
      <c r="H20" s="28" t="n"/>
    </row>
    <row r="21">
      <c r="A21" s="25" t="inlineStr">
        <is>
          <t>COSTES FIJOS</t>
        </is>
      </c>
      <c r="B21" s="28" t="n"/>
      <c r="C21" s="28" t="n"/>
      <c r="D21" s="28" t="n"/>
      <c r="E21" s="28" t="n"/>
      <c r="F21" s="28" t="n"/>
      <c r="G21" s="28" t="n"/>
      <c r="H21" s="28" t="n"/>
    </row>
    <row r="22">
      <c r="A22" s="28" t="inlineStr">
        <is>
          <t>Cuota de la cocina central compartida</t>
        </is>
      </c>
      <c r="B22" s="32">
        <f>IFERROR(IF(B9="","",'0. Supuestos'!$B$24*12),"")</f>
        <v>24000.0</v>
      </c>
      <c r="C22" s="32">
        <f>IFERROR(IF(C9="","",B22*(1+'0. Supuestos'!$B$48)),"")</f>
        <v>24000.0</v>
      </c>
      <c r="D22" s="32">
        <f>IFERROR(IF(D9="","",C22*(1+'0. Supuestos'!$B$48)),"")</f>
        <v>24000.0</v>
      </c>
      <c r="E22" s="68">
        <f>IFERROR(B22/$B$9,"")</f>
        <v>0.0535893714413308</v>
      </c>
      <c r="F22" s="28" t="inlineStr">
        <is>
          <t>El importe mensual está en la hoja de Supuestos; aquí se multiplica por doce. Es el contrato de uso de una cocina central compartida y autorizada (cámara, almacén y plaza de la furgoneta). El mes previo al primer evento está en la hoja de Inversión y NO se cuenta dos veces</t>
        </is>
      </c>
      <c r="G22" s="68">
        <f>IFERROR(IF(B9="","",'0. Supuestos'!$B$41),"")</f>
        <v>0.21</v>
      </c>
      <c r="H22" s="28" t="n"/>
    </row>
    <row r="23">
      <c r="A23" s="28" t="inlineStr">
        <is>
          <t>Personal (nóminas + Seguridad Social)</t>
        </is>
      </c>
      <c r="B23" s="32">
        <f>IFERROR(IF(B9="","",'Personal'!$G$9),"")</f>
        <v>162776.04</v>
      </c>
      <c r="C23" s="32">
        <f>IFERROR(IF(C9="","",'Personal'!$B$13),"")</f>
        <v>168776.04</v>
      </c>
      <c r="D23" s="32">
        <f>IFERROR(IF(D9="","",'Personal'!$B$14),"")</f>
        <v>174776.04</v>
      </c>
      <c r="E23" s="68">
        <f>IFERROR(B23/$B$9,"")</f>
        <v>0.3634610695545384</v>
      </c>
      <c r="F23" s="28" t="inlineStr">
        <is>
          <t>Sale de la hoja de Personal: es el MISMO número, no una estimación aparte. Los años 2 y 3 suman las INCORPORACIONES declaradas en esa hoja, no un porcentaje de volumen</t>
        </is>
      </c>
      <c r="G23" s="68" t="n">
        <v>0</v>
      </c>
      <c r="H23" s="28" t="n"/>
    </row>
    <row r="24">
      <c r="A24" s="28" t="inlineStr">
        <is>
          <t>Suministros (gas de las estaciones y consumos propios)</t>
        </is>
      </c>
      <c r="B24" s="32">
        <f>IFERROR(IF(B9="","",'0. Supuestos'!$B$26*12),"")</f>
        <v>1800.0</v>
      </c>
      <c r="C24" s="32">
        <f>IFERROR(IF(C9="","",B24*(1+'0. Supuestos'!$B$48)),"")</f>
        <v>1800.0</v>
      </c>
      <c r="D24" s="32">
        <f>IFERROR(IF(D9="","",C24*(1+'0. Supuestos'!$B$48)),"")</f>
        <v>1800.0</v>
      </c>
      <c r="E24" s="68">
        <f>IFERROR(B24/$B$9,"")</f>
        <v>0.00401920285809981</v>
      </c>
      <c r="F24" s="28" t="inlineStr">
        <is>
          <t>Gas de las estaciones y consumos fuera de la cuota de la cocina. Va al 21 % de IVA</t>
        </is>
      </c>
      <c r="G24" s="68">
        <f>IFERROR(IF(B9="","",'0. Supuestos'!$B$41),"")</f>
        <v>0.21</v>
      </c>
      <c r="H24" s="28" t="n"/>
    </row>
    <row r="25">
      <c r="A25" s="28" t="inlineStr">
        <is>
          <t>Seguros (RC + multirriesgo)</t>
        </is>
      </c>
      <c r="B25" s="32">
        <f>IFERROR(IF(B9="","",'0. Supuestos'!$B$27),"")</f>
        <v>2200.0</v>
      </c>
      <c r="C25" s="32">
        <f>IFERROR(IF(C9="","",B25*(1+'0. Supuestos'!$B$48)),"")</f>
        <v>2200.0</v>
      </c>
      <c r="D25" s="32">
        <f>IFERROR(IF(D9="","",C25*(1+'0. Supuestos'!$B$48)),"")</f>
        <v>2200.0</v>
      </c>
      <c r="E25" s="68">
        <f>IFERROR(B25/$B$9,"")</f>
        <v>0.004912359048788657</v>
      </c>
      <c r="F25" s="28" t="inlineStr">
        <is>
          <t>Las operaciones de seguro están EXENTAS de IVA (art. 20.Uno.16 LIVA): la prima no lleva IVA deducible</t>
        </is>
      </c>
      <c r="G25" s="68" t="n">
        <v>0</v>
      </c>
      <c r="H25" s="28" t="n"/>
    </row>
    <row r="26">
      <c r="A26" s="28" t="inlineStr">
        <is>
          <t>Asesoría fiscal y laboral (nóminas de fijos discontinuos)</t>
        </is>
      </c>
      <c r="B26" s="29" t="n">
        <v>3000</v>
      </c>
      <c r="C26" s="32">
        <f>IFERROR(IF(C9="","",B26*(1+'0. Supuestos'!$B$48)),"")</f>
        <v>3000.0</v>
      </c>
      <c r="D26" s="32">
        <f>IFERROR(IF(D9="","",C26*(1+'0. Supuestos'!$B$48)),"")</f>
        <v>3000.0</v>
      </c>
      <c r="E26" s="68">
        <f>IFERROR(B26/$B$9,"")</f>
        <v>0.00669867143016635</v>
      </c>
      <c r="F26" s="28" t="inlineStr">
        <is>
          <t>Contabilidad, impuestos y nóminas de los fijos discontinuos de cada mes con llamamientos</t>
        </is>
      </c>
      <c r="G26" s="68">
        <f>IFERROR(IF(B9="","",'0. Supuestos'!$B$41),"")</f>
        <v>0.21</v>
      </c>
      <c r="H26" s="28" t="n"/>
    </row>
    <row r="27">
      <c r="A27" s="28" t="inlineStr">
        <is>
          <t>Furgoneta: mantenimiento, ITV e inspección ATP</t>
        </is>
      </c>
      <c r="B27" s="29" t="n">
        <v>1500</v>
      </c>
      <c r="C27" s="32">
        <f>IFERROR(IF(C9="","",B27*(1+'0. Supuestos'!$B$48)),"")</f>
        <v>1500.0</v>
      </c>
      <c r="D27" s="32">
        <f>IFERROR(IF(D9="","",C27*(1+'0. Supuestos'!$B$48)),"")</f>
        <v>1500.0</v>
      </c>
      <c r="E27" s="68">
        <f>IFERROR(B27/$B$9,"")</f>
        <v>0.003349335715083175</v>
      </c>
      <c r="F27" s="28" t="inlineStr">
        <is>
          <t>Taller, neumáticos, ITV y la inspección periódica del certificado ATP del equipo de frío (RD 237/2000)</t>
        </is>
      </c>
      <c r="G27" s="68">
        <f>IFERROR(IF(B9="","",'0. Supuestos'!$B$41),"")</f>
        <v>0.21</v>
      </c>
      <c r="H27" s="28" t="n"/>
    </row>
    <row r="28">
      <c r="A28" s="28" t="inlineStr">
        <is>
          <t>Marketing y publicidad</t>
        </is>
      </c>
      <c r="B28" s="29" t="n">
        <v>9000</v>
      </c>
      <c r="C28" s="32">
        <f>IFERROR(IF(C9="","",B28*(1+'0. Supuestos'!$B$48)),"")</f>
        <v>9000.0</v>
      </c>
      <c r="D28" s="32">
        <f>IFERROR(IF(D9="","",C28*(1+'0. Supuestos'!$B$48)),"")</f>
        <v>9000.0</v>
      </c>
      <c r="E28" s="68">
        <f>IFERROR(B28/$B$9,"")</f>
        <v>0.02009601429049905</v>
      </c>
      <c r="F28" s="28" t="inlineStr">
        <is>
          <t>Escaparates de bodas, Google Ads, dos ferias de novios al año y LinkedIn para empresas</t>
        </is>
      </c>
      <c r="G28" s="68">
        <f>IFERROR(IF(B9="","",'0. Supuestos'!$B$41),"")</f>
        <v>0.21</v>
      </c>
      <c r="H28" s="28" t="n"/>
    </row>
    <row r="29">
      <c r="A29" s="28" t="inlineStr">
        <is>
          <t>Software de gestión comercial, CRM y teléfono</t>
        </is>
      </c>
      <c r="B29" s="29" t="n">
        <v>1800</v>
      </c>
      <c r="C29" s="32">
        <f>IFERROR(IF(C9="","",B29*(1+'0. Supuestos'!$B$48)),"")</f>
        <v>1800.0</v>
      </c>
      <c r="D29" s="32">
        <f>IFERROR(IF(D9="","",C29*(1+'0. Supuestos'!$B$48)),"")</f>
        <v>1800.0</v>
      </c>
      <c r="E29" s="68">
        <f>IFERROR(B29/$B$9,"")</f>
        <v>0.00401920285809981</v>
      </c>
      <c r="F29" s="28" t="inlineStr">
        <is>
          <t>Presupuestos, agenda de eventos, CRM de clientes y línea de teléfono</t>
        </is>
      </c>
      <c r="G29" s="68">
        <f>IFERROR(IF(B9="","",'0. Supuestos'!$B$41),"")</f>
        <v>0.21</v>
      </c>
      <c r="H29" s="28" t="n"/>
    </row>
    <row r="30">
      <c r="A30" s="28" t="inlineStr">
        <is>
          <t>Lavandería de mantelería y uniformes</t>
        </is>
      </c>
      <c r="B30" s="29" t="n">
        <v>3000</v>
      </c>
      <c r="C30" s="32">
        <f>IFERROR(IF(C9="","",B30*(1+'0. Supuestos'!$B$48)),"")</f>
        <v>3000.0</v>
      </c>
      <c r="D30" s="32">
        <f>IFERROR(IF(D9="","",C30*(1+'0. Supuestos'!$B$48)),"")</f>
        <v>3000.0</v>
      </c>
      <c r="E30" s="68">
        <f>IFERROR(B30/$B$9,"")</f>
        <v>0.00669867143016635</v>
      </c>
      <c r="F30" s="28" t="inlineStr">
        <is>
          <t>Lavado y planchado industrial después de cada evento</t>
        </is>
      </c>
      <c r="G30" s="68">
        <f>IFERROR(IF(B9="","",'0. Supuestos'!$B$41),"")</f>
        <v>0.21</v>
      </c>
      <c r="H30" s="28" t="n"/>
    </row>
    <row r="31">
      <c r="A31" s="28" t="inlineStr">
        <is>
          <t>Pruebas de menú y degustaciones comerciales</t>
        </is>
      </c>
      <c r="B31" s="29" t="n">
        <v>3000</v>
      </c>
      <c r="C31" s="32">
        <f>IFERROR(IF(C9="","",B31*(1+'0. Supuestos'!$B$48)),"")</f>
        <v>3000.0</v>
      </c>
      <c r="D31" s="32">
        <f>IFERROR(IF(D9="","",C31*(1+'0. Supuestos'!$B$48)),"")</f>
        <v>3000.0</v>
      </c>
      <c r="E31" s="68">
        <f>IFERROR(B31/$B$9,"")</f>
        <v>0.00669867143016635</v>
      </c>
      <c r="F31" s="28" t="inlineStr">
        <is>
          <t>Producto y horas de las pruebas de menú de bodas y de las degustaciones a empresas que no se cobran</t>
        </is>
      </c>
      <c r="G31" s="68">
        <f>IFERROR(IF(B9="","",'0. Supuestos'!$B$41),"")</f>
        <v>0.21</v>
      </c>
      <c r="H31" s="28" t="n"/>
    </row>
    <row r="32">
      <c r="A32" s="28" t="inlineStr">
        <is>
          <t>Gestión de residuos (orgánico, cartón y aceite usado)</t>
        </is>
      </c>
      <c r="B32" s="29" t="n">
        <v>400</v>
      </c>
      <c r="C32" s="32">
        <f>IFERROR(IF(C9="","",B32*(1+'0. Supuestos'!$B$48)),"")</f>
        <v>400.0</v>
      </c>
      <c r="D32" s="32">
        <f>IFERROR(IF(D9="","",C32*(1+'0. Supuestos'!$B$48)),"")</f>
        <v>400.0</v>
      </c>
      <c r="E32" s="68">
        <f>IFERROR(B32/$B$9,"")</f>
        <v>0.0008931561906888468</v>
      </c>
      <c r="F32" s="28" t="inlineStr">
        <is>
          <t>Gestor autorizado, salvo que la cocina central lo incluya en la cuota</t>
        </is>
      </c>
      <c r="G32" s="68">
        <f>IFERROR(IF(B9="","",'0. Supuestos'!$B$41),"")</f>
        <v>0.21</v>
      </c>
      <c r="H32" s="28" t="n"/>
    </row>
    <row r="33">
      <c r="A33" s="28" t="inlineStr">
        <is>
          <t>Reposición de menaje y roturas</t>
        </is>
      </c>
      <c r="B33" s="29" t="n">
        <v>1200</v>
      </c>
      <c r="C33" s="32">
        <f>IFERROR(IF(C9="","",B33*(1+'0. Supuestos'!$B$48)),"")</f>
        <v>1200.0</v>
      </c>
      <c r="D33" s="32">
        <f>IFERROR(IF(D9="","",C33*(1+'0. Supuestos'!$B$48)),"")</f>
        <v>1200.0</v>
      </c>
      <c r="E33" s="68">
        <f>IFERROR(B33/$B$9,"")</f>
        <v>0.00267946857206654</v>
      </c>
      <c r="F33" s="28" t="inlineStr">
        <is>
          <t>Vajilla, copas y bandejas que se rompen o se pierden en los eventos. Estimación del kit</t>
        </is>
      </c>
      <c r="G33" s="68">
        <f>IFERROR(IF(B9="","",'0. Supuestos'!$B$41),"")</f>
        <v>0.21</v>
      </c>
      <c r="H33" s="28" t="n"/>
    </row>
    <row r="34">
      <c r="A34" s="28" t="inlineStr">
        <is>
          <t>Prevención de riesgos laborales y vigilancia de la salud</t>
        </is>
      </c>
      <c r="B34" s="29" t="n">
        <v>450</v>
      </c>
      <c r="C34" s="32">
        <f>IFERROR(IF(C9="","",B34*(1+'0. Supuestos'!$B$48)),"")</f>
        <v>450.0</v>
      </c>
      <c r="D34" s="32">
        <f>IFERROR(IF(D9="","",C34*(1+'0. Supuestos'!$B$48)),"")</f>
        <v>450.0</v>
      </c>
      <c r="E34" s="68">
        <f>IFERROR(B34/$B$9,"")</f>
        <v>0.0010048007145249526</v>
      </c>
      <c r="F34" s="28" t="inlineStr">
        <is>
          <t>Plan de prevención obligatorio (Ley 31/1995) y reconocimientos médicos de la plantilla</t>
        </is>
      </c>
      <c r="G34" s="68">
        <f>IFERROR(IF(B9="","",'0. Supuestos'!$B$41),"")</f>
        <v>0.21</v>
      </c>
      <c r="H34" s="28" t="n"/>
    </row>
    <row r="35">
      <c r="A35" s="28" t="inlineStr">
        <is>
          <t>Permisos y autorizaciones municipales</t>
        </is>
      </c>
      <c r="B35" s="29" t="n">
        <v>600</v>
      </c>
      <c r="C35" s="32">
        <f>IFERROR(IF(C9="","",B35*(1+'0. Supuestos'!$B$48)),"")</f>
        <v>600.0</v>
      </c>
      <c r="D35" s="32">
        <f>IFERROR(IF(D9="","",C35*(1+'0. Supuestos'!$B$48)),"")</f>
        <v>600.0</v>
      </c>
      <c r="E35" s="68">
        <f>IFERROR(B35/$B$9,"")</f>
        <v>0.00133973428603327</v>
      </c>
      <c r="F35" s="28" t="inlineStr">
        <is>
          <t>Autorizaciones para eventos en espacios públicos y tasas que no repercutes al cliente. Estimación del kit: varía mucho por municipio</t>
        </is>
      </c>
      <c r="G35" s="68">
        <f>IFERROR(IF(B9="","",'0. Supuestos'!$B$41),"")</f>
        <v>0.21</v>
      </c>
      <c r="H35" s="28" t="n"/>
    </row>
    <row r="36">
      <c r="A36" s="28" t="inlineStr">
        <is>
          <t>Amortización del inmovilizado</t>
        </is>
      </c>
      <c r="B36" s="32">
        <f>IFERROR(IF(B9="","",'Inversión Inicial'!$B$33),"")</f>
        <v>6342.5</v>
      </c>
      <c r="C36" s="32">
        <f>IFERROR(IF(C9="","",B36),"")</f>
        <v>6342.5</v>
      </c>
      <c r="D36" s="32">
        <f>IFERROR(IF(D9="","",B36),"")</f>
        <v>6342.5</v>
      </c>
      <c r="E36" s="68">
        <f>IFERROR(B36/$B$9,"")</f>
        <v>0.014162107848610026</v>
      </c>
      <c r="F36" s="28" t="inlineStr">
        <is>
          <t>Sale de las bases de amortización de la hoja de Inversión: sólo inmovilizado real. NO sube con el IPC: es una cuota sobre el coste HISTÓRICO del inmovilizado</t>
        </is>
      </c>
      <c r="G36" s="68" t="n">
        <v>0</v>
      </c>
      <c r="H36" s="28" t="n"/>
    </row>
    <row r="37">
      <c r="A37" s="28" t="inlineStr">
        <is>
          <t>Gastos financieros (intereses del préstamo)</t>
        </is>
      </c>
      <c r="B37" s="32">
        <f>IFERROR(IF(B9="","",'Financiación'!$B$44),"")</f>
        <v>7215.0</v>
      </c>
      <c r="C37" s="32">
        <f>IFERROR(IF(C9="","",'Financiación'!$B$46),"")</f>
        <v>7215.0</v>
      </c>
      <c r="D37" s="32">
        <f>IFERROR(IF(D9="","",'Financiación'!$B$48),"")</f>
        <v>5947.796811234133</v>
      </c>
      <c r="E37" s="68">
        <f>IFERROR(B37/$B$9,"")</f>
        <v>0.016110304789550074</v>
      </c>
      <c r="F37" s="28" t="inlineStr">
        <is>
          <t>Sólo los INTERESES son gasto. La devolución del principal va en la hoja de Tesorería</t>
        </is>
      </c>
      <c r="G37" s="68" t="n">
        <v>0</v>
      </c>
      <c r="H37" s="28" t="n"/>
    </row>
    <row r="38">
      <c r="A38" s="25" t="inlineStr">
        <is>
          <t>TOTAL COSTES FIJOS</t>
        </is>
      </c>
      <c r="B38" s="26">
        <f>IFERROR(IF(B9="","",SUM(B22:B37)),"")</f>
        <v>228283.54</v>
      </c>
      <c r="C38" s="26">
        <f>IFERROR(IF(C9="","",SUM(C22:C37)),"")</f>
        <v>234283.54</v>
      </c>
      <c r="D38" s="26">
        <f>IFERROR(IF(D9="","",SUM(D22:D37)),"")</f>
        <v>239016.33681123413</v>
      </c>
      <c r="E38" s="67">
        <f>IFERROR(B38/$B$9,"")</f>
        <v>0.5097321424584125</v>
      </c>
      <c r="F38" s="28" t="n"/>
      <c r="G38" s="28" t="n"/>
      <c r="H38" s="28" t="n"/>
    </row>
    <row r="39">
      <c r="A39" s="28" t="inlineStr">
        <is>
          <t>IVA soportado de los costes variables</t>
        </is>
      </c>
      <c r="B39" s="32">
        <f>IFERROR(IF(B9="","",SUMPRODUCT(B13:B18,G13:G18)),"")</f>
        <v>22882.268760000003</v>
      </c>
      <c r="C39" s="32">
        <f>IFERROR(IF(C9="","",SUMPRODUCT(C13:C18,G13:G18)),"")</f>
        <v>25628.14101120001</v>
      </c>
      <c r="D39" s="32">
        <f>IFERROR(IF(D9="","",SUMPRODUCT(D13:D18,G13:G18)),"")</f>
        <v>27678.39229209601</v>
      </c>
      <c r="E39" s="28" t="n"/>
      <c r="F39" s="28" t="inlineStr">
        <is>
          <t>Cada línea a SU tipo, leído de la columna de al lado. Es lo que la hoja de Tesorería paga de más a los proveedores y luego se deduce</t>
        </is>
      </c>
      <c r="G39" s="28" t="n"/>
      <c r="H39" s="28" t="n"/>
    </row>
    <row r="40">
      <c r="A40" s="28" t="inlineStr">
        <is>
          <t>IVA soportado de los costes fijos</t>
        </is>
      </c>
      <c r="B40" s="32">
        <f>IFERROR(IF(B9="","",SUMPRODUCT(B22:B37,G22:G37)),"")</f>
        <v>10447.5</v>
      </c>
      <c r="C40" s="32">
        <f>IFERROR(IF(C9="","",SUMPRODUCT(C22:C37,G22:G37)),"")</f>
        <v>10447.5</v>
      </c>
      <c r="D40" s="32">
        <f>IFERROR(IF(D9="","",SUMPRODUCT(D22:D37,G22:G37)),"")</f>
        <v>10447.5</v>
      </c>
      <c r="E40" s="28" t="n"/>
      <c r="F40" s="28" t="n"/>
      <c r="G40" s="28" t="n"/>
      <c r="H40" s="28" t="n"/>
    </row>
    <row r="41">
      <c r="A41" s="25" t="inlineStr">
        <is>
          <t>RESULTADO ANTES DE IMPUESTOS</t>
        </is>
      </c>
      <c r="B41" s="26">
        <f>IFERROR(IF(B9="","",B20-B38),"")</f>
        <v>46517.22</v>
      </c>
      <c r="C41" s="26">
        <f>IFERROR(IF(C9="","",C20-C38),"")</f>
        <v>73493.31120000003</v>
      </c>
      <c r="D41" s="26">
        <f>IFERROR(IF(D9="","",D20-D38),"")</f>
        <v>93382.66248476593</v>
      </c>
      <c r="E41" s="67">
        <f>IFERROR(B41/$B$9,"")</f>
        <v>0.10386785754158759</v>
      </c>
      <c r="F41" s="28" t="n"/>
      <c r="G41" s="28" t="n"/>
      <c r="H41" s="28" t="n"/>
    </row>
    <row r="42">
      <c r="A42" s="28" t="inlineStr">
        <is>
          <t>Bases negativas pendientes al inicio</t>
        </is>
      </c>
      <c r="B42" s="32">
        <f>IFERROR(IF(B9="","",'0. Supuestos'!$B$42),"")</f>
        <v>0.0</v>
      </c>
      <c r="C42" s="32">
        <f>IFERROR(IF(C9="","",B47),"")</f>
        <v>0.0</v>
      </c>
      <c r="D42" s="32">
        <f>IFERROR(IF(D9="","",C47),"")</f>
        <v>0.0</v>
      </c>
      <c r="E42" s="28" t="n"/>
      <c r="F42" s="28" t="inlineStr">
        <is>
          <t>Art. 26 LIS: las pérdidas de un ejercicio se compensan con los beneficios de los siguientes</t>
        </is>
      </c>
      <c r="G42" s="28" t="n"/>
      <c r="H42" s="28" t="n"/>
    </row>
    <row r="43">
      <c r="A43" s="28" t="inlineStr">
        <is>
          <t>Base imponible (después de compensar)</t>
        </is>
      </c>
      <c r="B43" s="32">
        <f>IFERROR(IF(B9="","",MAX(0,B41-B42)),"")</f>
        <v>46517.22</v>
      </c>
      <c r="C43" s="32">
        <f>IFERROR(IF(C9="","",MAX(0,C41-C42)),"")</f>
        <v>73493.31120000003</v>
      </c>
      <c r="D43" s="32">
        <f>IFERROR(IF(D9="","",MAX(0,D41-D42)),"")</f>
        <v>93382.66248476593</v>
      </c>
      <c r="E43" s="28" t="n"/>
      <c r="F43" s="28" t="n"/>
      <c r="G43" s="28" t="n"/>
      <c r="H43" s="28" t="n"/>
    </row>
    <row r="44">
      <c r="A44" s="28" t="inlineStr">
        <is>
          <t>Ejercicios con base positiva (acumulado)</t>
        </is>
      </c>
      <c r="B44" s="40">
        <f>IFERROR(IF(B9="","",IF(B43&gt;0,1,0)),"")</f>
        <v>1.0</v>
      </c>
      <c r="C44" s="40">
        <f>IFERROR(IF(C9="","",B44+IF(C43&gt;0,1,0)),"")</f>
        <v>2.0</v>
      </c>
      <c r="D44" s="40">
        <f>IFERROR(IF(D9="","",C44+IF(D43&gt;0,1,0)),"")</f>
        <v>3.0</v>
      </c>
      <c r="E44" s="28" t="n"/>
      <c r="F44" s="28" t="n"/>
      <c r="G44" s="28" t="n"/>
      <c r="H44" s="28" t="n"/>
    </row>
    <row r="45">
      <c r="A45" s="28" t="inlineStr">
        <is>
          <t>Tipo de Impuesto de Sociedades aplicado</t>
        </is>
      </c>
      <c r="B45" s="68">
        <f>IFERROR(IF(B9="","",IF(B43&lt;=0,"",IF(B44&lt;=2,'0. Supuestos'!$B$37,'0. Supuestos'!$B$38))),"")</f>
        <v>0.15</v>
      </c>
      <c r="C45" s="68">
        <f>IFERROR(IF(C9="","",IF(C43&lt;=0,"",IF(C44&lt;=2,'0. Supuestos'!$B$37,'0. Supuestos'!$B$38))),"")</f>
        <v>0.15</v>
      </c>
      <c r="D45" s="68">
        <f>IFERROR(IF(D9="","",IF(D43&lt;=0,"",IF(D44&lt;=2,'0. Supuestos'!$B$37,'0. Supuestos'!$B$38))),"")</f>
        <v>0.25</v>
      </c>
      <c r="E45" s="28" t="n"/>
      <c r="F45" s="28" t="inlineStr">
        <is>
          <t>Art. 29.1 LIS: el 15 % de entidad de nueva creación se aplica al PRIMER ejercicio con base positiva y al SIGUIENTE, no al primer año de vida. El libro lo aproxima contando los dos primeros ejercicios con base positiva</t>
        </is>
      </c>
      <c r="G45" s="28" t="n"/>
      <c r="H45" s="28" t="n"/>
    </row>
    <row r="46">
      <c r="A46" s="28" t="inlineStr">
        <is>
          <t>Impuesto de Sociedades</t>
        </is>
      </c>
      <c r="B46" s="32">
        <f>IFERROR(IF(B9="","",IF(B45="",0,B43*B45)),"")</f>
        <v>6977.583</v>
      </c>
      <c r="C46" s="32">
        <f>IFERROR(IF(C9="","",IF(C45="",0,C43*C45)),"")</f>
        <v>11023.996680000004</v>
      </c>
      <c r="D46" s="32">
        <f>IFERROR(IF(D9="","",IF(D45="",0,D43*D45)),"")</f>
        <v>23345.66562119148</v>
      </c>
      <c r="E46" s="28" t="n"/>
      <c r="F46" s="28" t="n"/>
      <c r="G46" s="28" t="n"/>
      <c r="H46" s="28" t="n"/>
    </row>
    <row r="47">
      <c r="A47" s="28" t="inlineStr">
        <is>
          <t>Bases negativas pendientes al cierre</t>
        </is>
      </c>
      <c r="B47" s="32">
        <f>IFERROR(IF(B9="","",MAX(0,B42-B41)),"")</f>
        <v>0.0</v>
      </c>
      <c r="C47" s="32">
        <f>IFERROR(IF(C9="","",MAX(0,C42-C41)),"")</f>
        <v>0.0</v>
      </c>
      <c r="D47" s="32">
        <f>IFERROR(IF(D9="","",MAX(0,D42-D41)),"")</f>
        <v>0.0</v>
      </c>
      <c r="E47" s="28" t="n"/>
      <c r="F47" s="28" t="n"/>
      <c r="G47" s="28" t="n"/>
      <c r="H47" s="28" t="n"/>
    </row>
    <row r="48">
      <c r="A48" s="25" t="inlineStr">
        <is>
          <t>RESULTADO NETO</t>
        </is>
      </c>
      <c r="B48" s="26">
        <f>IFERROR(IF(B9="","",B41-B46),"")</f>
        <v>39539.637</v>
      </c>
      <c r="C48" s="26">
        <f>IFERROR(IF(C9="","",C41-C46),"")</f>
        <v>62469.31452000002</v>
      </c>
      <c r="D48" s="26">
        <f>IFERROR(IF(D9="","",D41-D46),"")</f>
        <v>70036.99686357444</v>
      </c>
      <c r="E48" s="67">
        <f>IFERROR(B48/$B$9,"")</f>
        <v>0.08828767891034946</v>
      </c>
      <c r="F48" s="28" t="n"/>
      <c r="G48" s="28" t="n"/>
      <c r="H48" s="28" t="n"/>
    </row>
    <row r="49">
      <c r="A49" s="25" t="inlineStr">
        <is>
          <t>RATIOS CLAVE</t>
        </is>
      </c>
      <c r="B49" s="28" t="n"/>
      <c r="C49" s="28" t="n"/>
      <c r="D49" s="28" t="n"/>
      <c r="E49" s="28" t="n"/>
      <c r="F49" s="28" t="n"/>
      <c r="G49" s="28" t="n"/>
      <c r="H49" s="28" t="n"/>
    </row>
    <row r="50">
      <c r="A50" s="25" t="inlineStr">
        <is>
          <t>Ratio</t>
        </is>
      </c>
      <c r="B50" s="25" t="inlineStr">
        <is>
          <t>Año 1</t>
        </is>
      </c>
      <c r="C50" s="25" t="inlineStr">
        <is>
          <t>Año 2</t>
        </is>
      </c>
      <c r="D50" s="25" t="inlineStr">
        <is>
          <t>Año 3</t>
        </is>
      </c>
      <c r="E50" s="25" t="inlineStr">
        <is>
          <t>Umbral</t>
        </is>
      </c>
      <c r="F50" s="25" t="inlineStr">
        <is>
          <t>Comentario</t>
        </is>
      </c>
      <c r="G50" s="28" t="n"/>
      <c r="H50" s="28" t="n"/>
    </row>
    <row r="51">
      <c r="A51" s="28" t="inlineStr">
        <is>
          <t>Margen bruto / Ventas</t>
        </is>
      </c>
      <c r="B51" s="68">
        <f>IFERROR(IF(B9="","",B20/B9),"")</f>
        <v>0.6136</v>
      </c>
      <c r="C51" s="68">
        <f>IFERROR(IF(C9="","",C20/C9),"")</f>
        <v>0.6136</v>
      </c>
      <c r="D51" s="68">
        <f>IFERROR(IF(D9="","",D20/D9),"")</f>
        <v>0.6136</v>
      </c>
      <c r="E51" s="75" t="n">
        <v>0.6</v>
      </c>
      <c r="F51" s="28" t="inlineStr">
        <is>
          <t>En catering los costes variables incluyen desechables, combustible y cánones de fincas además de la mercancía: un margen bruto por debajo del 60 % no paga la plantilla</t>
        </is>
      </c>
      <c r="G51" s="28" t="n"/>
      <c r="H51" s="28" t="n"/>
    </row>
    <row r="52">
      <c r="A52" s="28" t="inlineStr">
        <is>
          <t>Coste de mercancía (comida + bebida)</t>
        </is>
      </c>
      <c r="B52" s="32">
        <f>IFERROR(IF(B9="","",B13+B14),"")</f>
        <v>132742.74</v>
      </c>
      <c r="C52" s="32">
        <f>IFERROR(IF(C9="","",C13+C14),"")</f>
        <v>148671.8688</v>
      </c>
      <c r="D52" s="32">
        <f>IFERROR(IF(D9="","",D13+D14),"")</f>
        <v>160565.61830400003</v>
      </c>
      <c r="E52" s="28" t="n"/>
      <c r="F52" s="28" t="n"/>
      <c r="G52" s="28" t="n"/>
      <c r="H52" s="28" t="n"/>
    </row>
    <row r="53">
      <c r="A53" s="28" t="inlineStr">
        <is>
          <t>Coste de mercancía / Ventas</t>
        </is>
      </c>
      <c r="B53" s="68">
        <f>IFERROR(IF(B9="","",B52/B9),"")</f>
        <v>0.2964</v>
      </c>
      <c r="C53" s="68">
        <f>IFERROR(IF(C9="","",C52/C9),"")</f>
        <v>0.29639999999999994</v>
      </c>
      <c r="D53" s="68">
        <f>IFERROR(IF(D9="","",D52/D9),"")</f>
        <v>0.2964</v>
      </c>
      <c r="E53" s="75" t="n">
        <v>0.33</v>
      </c>
      <c r="F53" s="28" t="inlineStr">
        <is>
          <t>Techo de la mercancía (comida y bebida) sobre ventas: estimación del kit</t>
        </is>
      </c>
      <c r="G53" s="28" t="n"/>
      <c r="H53" s="28" t="n"/>
    </row>
    <row r="54">
      <c r="A54" s="28" t="inlineStr">
        <is>
          <t>Coste de personal / Ventas</t>
        </is>
      </c>
      <c r="B54" s="68">
        <f>IFERROR(IF(B9="","",B23/B9),"")</f>
        <v>0.3634610695545384</v>
      </c>
      <c r="C54" s="68">
        <f>IFERROR(IF(C9="","",C23/C9),"")</f>
        <v>0.33648072537042056</v>
      </c>
      <c r="D54" s="68">
        <f>IFERROR(IF(D9="","",D23/D9),"")</f>
        <v>0.3226320728134951</v>
      </c>
      <c r="E54" s="75" t="n">
        <v>0.38</v>
      </c>
      <c r="F54" s="28" t="inlineStr">
        <is>
          <t>El catering es intensivo en mano de obra (montaje, servicio y recogida): techo del 38 %, estimación del kit</t>
        </is>
      </c>
      <c r="G54" s="28" t="n"/>
      <c r="H54" s="28" t="n"/>
    </row>
    <row r="55">
      <c r="A55" s="28" t="inlineStr">
        <is>
          <t>Cocina central / Ventas</t>
        </is>
      </c>
      <c r="B55" s="68">
        <f>IFERROR(IF(B9="","",B22/B9),"")</f>
        <v>0.0535893714413308</v>
      </c>
      <c r="C55" s="68">
        <f>IFERROR(IF(C9="","",C22/C9),"")</f>
        <v>0.047847653072616785</v>
      </c>
      <c r="D55" s="68">
        <f>IFERROR(IF(D9="","",D22/D9),"")</f>
        <v>0.044303382474645166</v>
      </c>
      <c r="E55" s="75" t="n">
        <v>0.07000000000000001</v>
      </c>
      <c r="F55" s="28" t="inlineStr">
        <is>
          <t>Techo de la cuota de la cocina central sobre las ventas: estimación del kit</t>
        </is>
      </c>
      <c r="G55" s="28" t="n"/>
      <c r="H55" s="28" t="n"/>
    </row>
    <row r="56">
      <c r="A56" s="28" t="inlineStr">
        <is>
          <t>Resultado neto / Ventas</t>
        </is>
      </c>
      <c r="B56" s="68">
        <f>IFERROR(IF(B9="","",B48/B9),"")</f>
        <v>0.08828767891034946</v>
      </c>
      <c r="C56" s="68">
        <f>IFERROR(IF(C9="","",C48/C9),"")</f>
        <v>0.12454208703488097</v>
      </c>
      <c r="D56" s="68">
        <f>IFERROR(IF(D9="","",D48/D9),"")</f>
        <v>0.1292864941426026</v>
      </c>
      <c r="E56" s="75" t="n">
        <v>0.04</v>
      </c>
      <c r="F56" s="28" t="inlineStr">
        <is>
          <t>Suelo de resultado neto para que el plan se sostenga: estimación del kit</t>
        </is>
      </c>
      <c r="G56" s="28" t="n"/>
      <c r="H56" s="28" t="n"/>
    </row>
    <row r="57">
      <c r="A57" s="28" t="inlineStr">
        <is>
          <t>Punto de equilibrio alcanzado</t>
        </is>
      </c>
      <c r="B57" s="28" t="str">
        <f>IFERROR(IF(B9="","",IF(B9&gt;='Punto Equilibrio'!$B$16,"Sí","No")),"")</f>
        <v>Sí</v>
      </c>
      <c r="C57" s="28" t="str">
        <f>IFERROR(IF(C9="","",IF(C9&gt;='Punto Equilibrio'!$C$16,"Sí","No")),"")</f>
        <v>Sí</v>
      </c>
      <c r="D57" s="28" t="str">
        <f>IFERROR(IF(D9="","",IF(D9&gt;='Punto Equilibrio'!$D$16,"Sí","No")),"")</f>
        <v>Sí</v>
      </c>
      <c r="E57" s="28" t="n"/>
      <c r="F57" s="28" t="inlineStr">
        <is>
          <t>Compara las ventas de CADA año con el umbral de ese mismo año, que calcula la hoja de Punto de Equilibrio con los costes fijos del año</t>
        </is>
      </c>
      <c r="G57" s="28" t="n"/>
      <c r="H57" s="28" t="n"/>
    </row>
    <row r="58">
      <c r="A58" s="28" t="n"/>
      <c r="B58" s="28" t="n"/>
      <c r="C58" s="28" t="n"/>
      <c r="D58" s="28" t="n"/>
      <c r="E58" s="28" t="n"/>
      <c r="F58" s="28" t="n"/>
      <c r="G58" s="28" t="n"/>
      <c r="H58" s="28" t="n"/>
    </row>
    <row r="59" ht="165" customHeight="1">
      <c r="A59" s="46"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 catering temático de eventos</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70">
        <f>IFERROR(IF('PyG 3 Años'!$B$9="","",'PyG 3 Años'!$B$38),"")</f>
        <v>228283.54</v>
      </c>
      <c r="C6" s="70">
        <f>IFERROR(IF('PyG 3 Años'!$C$9="","",'PyG 3 Años'!$C$38),"")</f>
        <v>234283.54</v>
      </c>
      <c r="D6" s="70">
        <f>IFERROR(IF('PyG 3 Años'!$D$9="","",'PyG 3 Años'!$D$38),"")</f>
        <v>239016.33681123413</v>
      </c>
      <c r="E6" s="28" t="inlineStr">
        <is>
          <t>Los MISMOS costes fijos del P&amp;L. Cada año tiene los suyos: por eso el umbral no puede ser uno solo para los tres</t>
        </is>
      </c>
      <c r="F6" s="28" t="n"/>
    </row>
    <row r="7">
      <c r="A7" s="28" t="inlineStr">
        <is>
          <t>Costes fijos mensuales</t>
        </is>
      </c>
      <c r="B7" s="70">
        <f>IFERROR(IF('PyG 3 Años'!$B$9="","",B6/12),"")</f>
        <v>19023.628333333334</v>
      </c>
      <c r="C7" s="70">
        <f>IFERROR(IF('PyG 3 Años'!$C$9="","",C6/12),"")</f>
        <v>19523.628333333334</v>
      </c>
      <c r="D7" s="70">
        <f>IFERROR(IF('PyG 3 Años'!$D$9="","",D6/12),"")</f>
        <v>19918.028067602845</v>
      </c>
      <c r="E7" s="28" t="n"/>
      <c r="F7" s="28" t="n"/>
    </row>
    <row r="8">
      <c r="A8" s="28" t="inlineStr">
        <is>
          <t>Precio medio por invitado sin IVA</t>
        </is>
      </c>
      <c r="B8" s="70">
        <f>IFERROR(IF('PyG 3 Años'!$B$9="","",'PyG 3 Años'!$B$7),"")</f>
        <v>53.0</v>
      </c>
      <c r="C8" s="70">
        <f>IFERROR(IF('PyG 3 Años'!$C$9="","",'PyG 3 Años'!$C$7),"")</f>
        <v>53.0</v>
      </c>
      <c r="D8" s="70">
        <f>IFERROR(IF('PyG 3 Años'!$D$9="","",'PyG 3 Años'!$D$7),"")</f>
        <v>53.0</v>
      </c>
      <c r="E8" s="28" t="n"/>
      <c r="F8" s="28" t="n"/>
    </row>
    <row r="9">
      <c r="A9" s="28" t="inlineStr">
        <is>
          <t>Coste variable por invitado</t>
        </is>
      </c>
      <c r="B9" s="70">
        <f>IFERROR(IF('PyG 3 Años'!$B$9="","",'PyG 3 Años'!$B$19/('PyG 3 Años'!$B$6*'PyG 3 Años'!$B$8)),"")</f>
        <v>20.4792</v>
      </c>
      <c r="C9" s="70">
        <f>IFERROR(IF('PyG 3 Años'!$C$9="","",'PyG 3 Años'!$C$19/('PyG 3 Años'!$C$6*'PyG 3 Años'!$C$8)),"")</f>
        <v>20.4792</v>
      </c>
      <c r="D9" s="70">
        <f>IFERROR(IF('PyG 3 Años'!$D$9="","",'PyG 3 Años'!$D$19/('PyG 3 Años'!$D$6*'PyG 3 Años'!$D$8)),"")</f>
        <v>20.4792</v>
      </c>
      <c r="E9" s="28" t="inlineStr">
        <is>
          <t>Sale del total de costes variables del P&amp;L, no de una estimación aparte. Incluye los varios e imprevistos, que son un porcentaje de las ventas</t>
        </is>
      </c>
      <c r="F9" s="28" t="n"/>
    </row>
    <row r="10">
      <c r="A10" s="28" t="inlineStr">
        <is>
          <t>Margen de contribución por invitado</t>
        </is>
      </c>
      <c r="B10" s="70">
        <f>IFERROR(IF('PyG 3 Años'!$B$9="","",B8-B9),"")</f>
        <v>32.5208</v>
      </c>
      <c r="C10" s="70">
        <f>IFERROR(IF('PyG 3 Años'!$C$9="","",C8-C9),"")</f>
        <v>32.5208</v>
      </c>
      <c r="D10" s="70">
        <f>IFERROR(IF('PyG 3 Años'!$D$9="","",D8-D9),"")</f>
        <v>32.5208</v>
      </c>
      <c r="E10" s="28" t="inlineStr">
        <is>
          <t>Precio por invitado menos coste variable unitario</t>
        </is>
      </c>
      <c r="F10" s="28" t="n"/>
    </row>
    <row r="11">
      <c r="A11" s="28" t="inlineStr">
        <is>
          <t>Eventos al año</t>
        </is>
      </c>
      <c r="B11" s="40">
        <f>IFERROR(IF('PyG 3 Años'!$B$9="","",'PyG 3 Años'!$B$8),"")</f>
        <v>130.0</v>
      </c>
      <c r="C11" s="40">
        <f>IFERROR(IF('PyG 3 Años'!$C$9="","",'PyG 3 Años'!$C$8),"")</f>
        <v>130.0</v>
      </c>
      <c r="D11" s="40">
        <f>IFERROR(IF('PyG 3 Años'!$D$9="","",'PyG 3 Años'!$D$8),"")</f>
        <v>130.0</v>
      </c>
      <c r="E11" s="28" t="inlineStr">
        <is>
          <t>El mismo calendario que el P&amp;L y que los escenarios</t>
        </is>
      </c>
      <c r="F11" s="28" t="n"/>
    </row>
    <row r="12">
      <c r="A12" s="28" t="inlineStr">
        <is>
          <t>Devolución de principal del año (cuota)</t>
        </is>
      </c>
      <c r="B12" s="70">
        <f>IFERROR(IF('PyG 3 Años'!$B$9="","",'Financiación'!$B$45),"")</f>
        <v>0.0</v>
      </c>
      <c r="C12" s="70">
        <f>IFERROR(IF('PyG 3 Años'!$C$9="","",'Financiación'!$B$47),"")</f>
        <v>19495.43367332104</v>
      </c>
      <c r="D12" s="70">
        <f>IFERROR(IF('PyG 3 Años'!$D$9="","",'Financiación'!$B$49),"")</f>
        <v>20762.636862086907</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Invitados necesarios al año</t>
        </is>
      </c>
      <c r="B14" s="40">
        <f>IFERROR(IF('PyG 3 Años'!$B$9="","",IF(B10&lt;=0,"",B6/B10)),"")</f>
        <v>7019.616368601019</v>
      </c>
      <c r="C14" s="40">
        <f>IFERROR(IF('PyG 3 Años'!$C$9="","",IF(C10&lt;=0,"",C6/C10)),"")</f>
        <v>7204.113674940346</v>
      </c>
      <c r="D14" s="40">
        <f>IFERROR(IF('PyG 3 Años'!$D$9="","",IF(D10&lt;=0,"",D6/D10)),"")</f>
        <v>7349.645052127688</v>
      </c>
      <c r="E14" s="28" t="n"/>
      <c r="F14" s="28" t="n"/>
    </row>
    <row r="15">
      <c r="A15" s="28" t="inlineStr">
        <is>
          <t>Invitados necesarios por evento</t>
        </is>
      </c>
      <c r="B15" s="44">
        <f>IFERROR(IF('PyG 3 Años'!$B$9="","",B14/B11),"")</f>
        <v>53.99704898923861</v>
      </c>
      <c r="C15" s="44">
        <f>IFERROR(IF('PyG 3 Años'!$C$9="","",C14/C11),"")</f>
        <v>55.41625903800266</v>
      </c>
      <c r="D15" s="44">
        <f>IFERROR(IF('PyG 3 Años'!$D$9="","",D14/D11),"")</f>
        <v>56.53573117021299</v>
      </c>
      <c r="E15" s="28" t="n"/>
      <c r="F15" s="28" t="n"/>
    </row>
    <row r="16">
      <c r="A16" s="25" t="inlineStr">
        <is>
          <t>Ingresos necesarios al año</t>
        </is>
      </c>
      <c r="B16" s="26">
        <f>IFERROR(IF('PyG 3 Años'!$B$9="","",B14*B8),"")</f>
        <v>372039.667535854</v>
      </c>
      <c r="C16" s="26">
        <f>IFERROR(IF('PyG 3 Años'!$C$9="","",C14*C8),"")</f>
        <v>381818.02477183833</v>
      </c>
      <c r="D16" s="26">
        <f>IFERROR(IF('PyG 3 Años'!$D$9="","",D14*D8),"")</f>
        <v>389531.1877627675</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70">
        <f>IFERROR(IF('PyG 3 Años'!$B$9="","",B6-'PyG 3 Años'!$B$36+B12),"")</f>
        <v>221941.04</v>
      </c>
      <c r="C18" s="70">
        <f>IFERROR(IF('PyG 3 Años'!$C$9="","",C6-'PyG 3 Años'!$C$36+C12),"")</f>
        <v>247436.47367332104</v>
      </c>
      <c r="D18" s="70">
        <f>IFERROR(IF('PyG 3 Años'!$D$9="","",D6-'PyG 3 Años'!$D$36+D12),"")</f>
        <v>253436.47367332104</v>
      </c>
      <c r="E18" s="28" t="inlineStr">
        <is>
          <t>Los fijos del P&amp;L sin la amortización (que no se paga) y CON la devolución de principal (que sí). Es el umbral que decide si la caja aguanta</t>
        </is>
      </c>
      <c r="F18" s="28" t="n"/>
    </row>
    <row r="19">
      <c r="A19" s="28" t="inlineStr">
        <is>
          <t>Invitados necesarios al año (caja)</t>
        </is>
      </c>
      <c r="B19" s="40">
        <f>IFERROR(IF('PyG 3 Años'!$B$9="","",IF(B10&lt;=0,"",B18/B10)),"")</f>
        <v>6824.587341024821</v>
      </c>
      <c r="C19" s="40">
        <f>IFERROR(IF('PyG 3 Años'!$C$9="","",IF(C10&lt;=0,"",C18/C10)),"")</f>
        <v>7608.560480471607</v>
      </c>
      <c r="D19" s="40">
        <f>IFERROR(IF('PyG 3 Años'!$D$9="","",IF(D10&lt;=0,"",D18/D10)),"")</f>
        <v>7793.057786810934</v>
      </c>
      <c r="E19" s="28" t="n"/>
      <c r="F19" s="28" t="n"/>
    </row>
    <row r="20">
      <c r="A20" s="25" t="inlineStr">
        <is>
          <t>Invitados necesarios por evento (caja)</t>
        </is>
      </c>
      <c r="B20" s="45">
        <f>IFERROR(IF('PyG 3 Años'!$B$9="","",B19/B11),"")</f>
        <v>52.49682570019093</v>
      </c>
      <c r="C20" s="45">
        <f>IFERROR(IF('PyG 3 Años'!$C$9="","",C19/C11),"")</f>
        <v>58.52738831132005</v>
      </c>
      <c r="D20" s="45">
        <f>IFERROR(IF('PyG 3 Años'!$D$9="","",D19/D11),"")</f>
        <v>59.94659836008411</v>
      </c>
      <c r="E20" s="28" t="n"/>
      <c r="F20" s="28" t="n"/>
    </row>
    <row r="21">
      <c r="A21" s="28" t="inlineStr">
        <is>
          <t>Ingresos necesarios al año (caja)</t>
        </is>
      </c>
      <c r="B21" s="32">
        <f>IFERROR(IF('PyG 3 Años'!$B$9="","",B19*B8),"")</f>
        <v>361703.12907431554</v>
      </c>
      <c r="C21" s="32">
        <f>IFERROR(IF('PyG 3 Años'!$C$9="","",C19*C8),"")</f>
        <v>403253.7054649952</v>
      </c>
      <c r="D21" s="32">
        <f>IFERROR(IF('PyG 3 Años'!$D$9="","",D19*D8),"")</f>
        <v>413032.0627009795</v>
      </c>
      <c r="E21" s="28" t="n"/>
      <c r="F21" s="28" t="n"/>
    </row>
    <row r="22">
      <c r="A22" s="25" t="inlineStr">
        <is>
          <t>CONTRASTE CON EL PLAN</t>
        </is>
      </c>
      <c r="B22" s="28" t="n"/>
      <c r="C22" s="28" t="n"/>
      <c r="D22" s="28" t="n"/>
      <c r="E22" s="28" t="n"/>
      <c r="F22" s="28" t="n"/>
    </row>
    <row r="23">
      <c r="A23" s="28" t="inlineStr">
        <is>
          <t>Invitados por evento previstos en el plan</t>
        </is>
      </c>
      <c r="B23" s="40">
        <f>IFERROR(IF('PyG 3 Años'!$B$9="","",'PyG 3 Años'!$B$6),"")</f>
        <v>65.0</v>
      </c>
      <c r="C23" s="40">
        <f>IFERROR(IF('PyG 3 Años'!$C$9="","",'PyG 3 Años'!$C$6),"")</f>
        <v>72.80000000000001</v>
      </c>
      <c r="D23" s="40">
        <f>IFERROR(IF('PyG 3 Años'!$D$9="","",'PyG 3 Años'!$D$6),"")</f>
        <v>78.62400000000002</v>
      </c>
      <c r="E23" s="28" t="n"/>
      <c r="F23" s="28" t="n"/>
    </row>
    <row r="24">
      <c r="A24" s="28" t="inlineStr">
        <is>
          <t>Holgura sobre el equilibrio de CAJA (%)</t>
        </is>
      </c>
      <c r="B24" s="68">
        <f>IFERROR(IF('PyG 3 Años'!$B$9="","",B23/B20-1),"")</f>
        <v>0.23817010139269423</v>
      </c>
      <c r="C24" s="68">
        <f>IFERROR(IF('PyG 3 Años'!$C$9="","",C23/C20-1),"")</f>
        <v>0.24386209773723033</v>
      </c>
      <c r="D24" s="68">
        <f>IFERROR(IF('PyG 3 Años'!$D$9="","",D23/D20-1),"")</f>
        <v>0.3115673307720559</v>
      </c>
      <c r="E24" s="28" t="inlineStr">
        <is>
          <t>Cuánto superan tus ventas previstas a las del equilibrio de caja. La caída que aguantas antes de no poder pagar los costes fijos y la cuota es algo menor: con un 25 % de holgura, un 20 %. El mínimo exigible está en la hoja de Supuestos</t>
        </is>
      </c>
      <c r="F24" s="28" t="n"/>
    </row>
    <row r="25">
      <c r="A25" s="25" t="inlineStr">
        <is>
          <t>INTERPRETACIÓN</t>
        </is>
      </c>
      <c r="B25" s="28" t="n"/>
      <c r="C25" s="28" t="n"/>
      <c r="D25" s="28" t="n"/>
      <c r="E25" s="28" t="n"/>
      <c r="F25" s="28" t="n"/>
    </row>
    <row r="26" ht="46" customHeight="1">
      <c r="A26" s="28" t="str">
        <f>IFERROR("Con el precio medio por invitado sin IVA de la fila de arriba necesitas "&amp;TEXT(ROUNDUP(B15,0),"0")&amp;" invitados por evento durante los "&amp;TEXT(B11,"0")&amp;" eventos del año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precio medio por invitado sin IVA de la fila de arriba necesitas 54 invitados por evento durante los 130 eventos del año para no perder dinero (equilibrio contable, con la amortización dentro), y 53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Invitados por evento necesarios para cubrir costes según el precio medio por invitado (columnas) y el coste variable por invitado (filas). En verde, los que están por debajo de los invitados que prevé el plan.</t>
        </is>
      </c>
      <c r="B29" s="28" t="n"/>
      <c r="C29" s="28" t="n"/>
      <c r="D29" s="28" t="n"/>
      <c r="E29" s="28" t="n"/>
      <c r="F29" s="28" t="n"/>
    </row>
    <row r="30">
      <c r="A30" s="28" t="n"/>
      <c r="B30" s="28" t="n"/>
      <c r="C30" s="28" t="n"/>
      <c r="D30" s="28" t="n"/>
      <c r="E30" s="28" t="n"/>
      <c r="F30" s="28" t="n"/>
    </row>
    <row r="31" ht="45" customHeight="1">
      <c r="A31" s="39" t="inlineStr">
        <is>
          <t>Invitados por evento necesarios: precio medio por invitado sin IVA (columnas) × coste variable por invitado (filas)</t>
        </is>
      </c>
      <c r="B31" s="72">
        <f>IFERROR($B$8-2,"")</f>
        <v>51.0</v>
      </c>
      <c r="C31" s="72">
        <f>IFERROR(IF($B$8="","",$B$8),"")</f>
        <v>53.0</v>
      </c>
      <c r="D31" s="72">
        <f>IFERROR($B$8+2,"")</f>
        <v>55.0</v>
      </c>
      <c r="E31" s="72">
        <f>IFERROR($B$8+4,"")</f>
        <v>57.0</v>
      </c>
      <c r="F31" s="28" t="n"/>
    </row>
    <row r="32">
      <c r="A32" s="70">
        <f>IFERROR($B$9*0.85,"")</f>
        <v>17.40732</v>
      </c>
      <c r="B32" s="44">
        <f>IFERROR(IF($B$31-$A32&lt;=0,"",$B$6/($B$31-$A32)/$B$11),"")</f>
        <v>52.27410348829658</v>
      </c>
      <c r="C32" s="44">
        <f>IFERROR(IF($C$31-$A32&lt;=0,"",$B$6/($C$31-$A32)/$B$11),"")</f>
        <v>49.336752129067854</v>
      </c>
      <c r="D32" s="44">
        <f>IFERROR(IF($D$31-$A32&lt;=0,"",$B$6/($D$31-$A32)/$B$11),"")</f>
        <v>46.711945803524266</v>
      </c>
      <c r="E32" s="44">
        <f>IFERROR(IF($E$31-$A32&lt;=0,"",$B$6/($E$31-$A32)/$B$11),"")</f>
        <v>44.35232044835638</v>
      </c>
      <c r="F32" s="28" t="n"/>
    </row>
    <row r="33">
      <c r="A33" s="70">
        <f>IFERROR($B$9*0.925,"")</f>
        <v>18.94326</v>
      </c>
      <c r="B33" s="44">
        <f>IFERROR(IF($B$31-$A33&lt;=0,"",$B$6/($B$31-$A33)/$B$11),"")</f>
        <v>54.778721441083235</v>
      </c>
      <c r="C33" s="44">
        <f>IFERROR(IF($C$31-$A33&lt;=0,"",$B$6/($C$31-$A33)/$B$11),"")</f>
        <v>51.56181216314981</v>
      </c>
      <c r="D33" s="44">
        <f>IFERROR(IF($D$31-$A33&lt;=0,"",$B$6/($D$31-$A33)/$B$11),"")</f>
        <v>48.70177477967311</v>
      </c>
      <c r="E33" s="44">
        <f>IFERROR(IF($E$31-$A33&lt;=0,"",$B$6/($E$31-$A33)/$B$11),"")</f>
        <v>46.14234510809992</v>
      </c>
      <c r="F33" s="28" t="n"/>
    </row>
    <row r="34">
      <c r="A34" s="70">
        <f>IFERROR($B$9*1.0,"")</f>
        <v>20.4792</v>
      </c>
      <c r="B34" s="44">
        <f>IFERROR(IF($B$31-$A34&lt;=0,"",$B$6/($B$31-$A34)/$B$11),"")</f>
        <v>57.53542602976432</v>
      </c>
      <c r="C34" s="44">
        <f>IFERROR(IF($C$31-$A34&lt;=0,"",$B$6/($C$31-$A34)/$B$11),"")</f>
        <v>53.99704898923861</v>
      </c>
      <c r="D34" s="44">
        <f>IFERROR(IF($D$31-$A34&lt;=0,"",$B$6/($D$31-$A34)/$B$11),"")</f>
        <v>50.86867137404784</v>
      </c>
      <c r="E34" s="44">
        <f>IFERROR(IF($E$31-$A34&lt;=0,"",$B$6/($E$31-$A34)/$B$11),"")</f>
        <v>48.08293440366123</v>
      </c>
      <c r="F34" s="28" t="n"/>
    </row>
    <row r="35">
      <c r="A35" s="70">
        <f>IFERROR($B$9*1.075,"")</f>
        <v>22.01514</v>
      </c>
      <c r="B35" s="44">
        <f>IFERROR(IF($B$31-$A35&lt;=0,"",$B$6/($B$31-$A35)/$B$11),"")</f>
        <v>60.58429230878571</v>
      </c>
      <c r="C35" s="44">
        <f>IFERROR(IF($C$31-$A35&lt;=0,"",$B$6/($C$31-$A35)/$B$11),"")</f>
        <v>56.67371841503337</v>
      </c>
      <c r="D35" s="44">
        <f>IFERROR(IF($D$31-$A35&lt;=0,"",$B$6/($D$31-$A35)/$B$11),"")</f>
        <v>53.23737104748151</v>
      </c>
      <c r="E35" s="44">
        <f>IFERROR(IF($E$31-$A35&lt;=0,"",$B$6/($E$31-$A35)/$B$11),"")</f>
        <v>50.193919048675085</v>
      </c>
      <c r="F35" s="28" t="n"/>
    </row>
    <row r="36">
      <c r="A36" s="70">
        <f>IFERROR($B$9*1.15,"")</f>
        <v>23.551079999999995</v>
      </c>
      <c r="B36" s="44">
        <f>IFERROR(IF($B$31-$A36&lt;=0,"",$B$6/($B$31-$A36)/$B$11),"")</f>
        <v>63.974365139656875</v>
      </c>
      <c r="C36" s="44">
        <f>IFERROR(IF($C$31-$A36&lt;=0,"",$B$6/($C$31-$A36)/$B$11),"")</f>
        <v>59.62959696889497</v>
      </c>
      <c r="D36" s="44">
        <f>IFERROR(IF($D$31-$A36&lt;=0,"",$B$6/($D$31-$A36)/$B$11),"")</f>
        <v>55.83744150098733</v>
      </c>
      <c r="E36" s="44">
        <f>IFERROR(IF($E$31-$A36&lt;=0,"",$B$6/($E$31-$A36)/$B$11),"")</f>
        <v>52.49877218066325</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Invitados por evento</t>
        </is>
      </c>
      <c r="B5" s="49" t="n">
        <v>60</v>
      </c>
      <c r="C5" s="40">
        <f>IFERROR(IF('PyG 3 Años'!$B$6="","",'PyG 3 Años'!$B$6),"")</f>
        <v>65.0</v>
      </c>
      <c r="D5" s="49" t="n">
        <v>70</v>
      </c>
      <c r="E5" s="28" t="n"/>
      <c r="F5" s="28" t="n"/>
    </row>
    <row r="6">
      <c r="A6" s="28" t="inlineStr">
        <is>
          <t>Precio medio por invitado sin IVA</t>
        </is>
      </c>
      <c r="B6" s="73" t="n">
        <v>50</v>
      </c>
      <c r="C6" s="70">
        <f>IFERROR(IF('PyG 3 Años'!$B$7="","",'PyG 3 Años'!$B$7),"")</f>
        <v>53.0</v>
      </c>
      <c r="D6" s="73" t="n">
        <v>57</v>
      </c>
      <c r="E6" s="28" t="n"/>
      <c r="F6" s="28" t="n"/>
    </row>
    <row r="7">
      <c r="A7" s="28" t="inlineStr">
        <is>
          <t>Eventos al año</t>
        </is>
      </c>
      <c r="B7" s="49" t="n">
        <v>105</v>
      </c>
      <c r="C7" s="40">
        <f>IFERROR(IF('PyG 3 Años'!$B$8="","",'PyG 3 Años'!$B$8),"")</f>
        <v>130.0</v>
      </c>
      <c r="D7" s="49" t="n">
        <v>150</v>
      </c>
      <c r="E7" s="28" t="n"/>
      <c r="F7" s="28" t="n"/>
    </row>
    <row r="8">
      <c r="A8" s="25" t="inlineStr">
        <is>
          <t>INGRESOS ANUALES (sin IVA)</t>
        </is>
      </c>
      <c r="B8" s="26">
        <f>IFERROR(IF(B5*B6*B7=0,"",B5*B6*B7),"")</f>
        <v>315000.0</v>
      </c>
      <c r="C8" s="26">
        <f>IFERROR(IF(C5*C6*C7=0,"",C5*C6*C7),"")</f>
        <v>447850.0</v>
      </c>
      <c r="D8" s="26">
        <f>IFERROR(IF(D5*D6*D7=0,"",D5*D6*D7),"")</f>
        <v>598500.0</v>
      </c>
      <c r="E8" s="28" t="n"/>
      <c r="F8" s="28" t="n"/>
    </row>
    <row r="9">
      <c r="A9" s="28" t="inlineStr">
        <is>
          <t>Coste de mercancía — comida</t>
        </is>
      </c>
      <c r="B9" s="32">
        <f>IFERROR(IF(B8="","",B8*'0. Supuestos'!$B$11*'0. Supuestos'!$B$13),"")</f>
        <v>77489.99999999999</v>
      </c>
      <c r="C9" s="32">
        <f>IFERROR(IF(C8="","",C8*'0. Supuestos'!$B$11*'0. Supuestos'!$B$13),"")</f>
        <v>110171.09999999999</v>
      </c>
      <c r="D9" s="32">
        <f>IFERROR(IF(D8="","",D8*'0. Supuestos'!$B$11*'0. Supuestos'!$B$13),"")</f>
        <v>147230.99999999997</v>
      </c>
      <c r="E9" s="28" t="n"/>
      <c r="F9" s="28" t="n"/>
    </row>
    <row r="10">
      <c r="A10" s="28" t="inlineStr">
        <is>
          <t>Coste de mercancía — bebida</t>
        </is>
      </c>
      <c r="B10" s="32">
        <f>IFERROR(IF(B8="","",B8*'0. Supuestos'!$B$12*'0. Supuestos'!$B$14),"")</f>
        <v>15876.000000000005</v>
      </c>
      <c r="C10" s="32">
        <f>IFERROR(IF(C8="","",C8*'0. Supuestos'!$B$12*'0. Supuestos'!$B$14),"")</f>
        <v>22571.64000000001</v>
      </c>
      <c r="D10" s="32">
        <f>IFERROR(IF(D8="","",D8*'0. Supuestos'!$B$12*'0. Supuestos'!$B$14),"")</f>
        <v>30164.400000000012</v>
      </c>
      <c r="E10" s="28" t="n"/>
      <c r="F10" s="28" t="n"/>
    </row>
    <row r="11">
      <c r="A11" s="28" t="inlineStr">
        <is>
          <t>Consumibles y envases</t>
        </is>
      </c>
      <c r="B11" s="32">
        <f>IFERROR(IF(B8="","",B8*'0. Supuestos'!$B$15),"")</f>
        <v>9450.0</v>
      </c>
      <c r="C11" s="32">
        <f>IFERROR(IF(C8="","",C8*'0. Supuestos'!$B$15),"")</f>
        <v>13435.5</v>
      </c>
      <c r="D11" s="32">
        <f>IFERROR(IF(D8="","",D8*'0. Supuestos'!$B$15),"")</f>
        <v>17955.0</v>
      </c>
      <c r="E11" s="28" t="n"/>
      <c r="F11" s="28" t="n"/>
    </row>
    <row r="12">
      <c r="A12" s="28" t="inlineStr">
        <is>
          <t>Comisiones del drop-off</t>
        </is>
      </c>
      <c r="B12" s="32">
        <f>IFERROR(IF(B8="","",B8*'0. Supuestos'!$B$16*'0. Supuestos'!$B$17),"")</f>
        <v>1575.0</v>
      </c>
      <c r="C12" s="32">
        <f>IFERROR(IF(C8="","",C8*'0. Supuestos'!$B$16*'0. Supuestos'!$B$17),"")</f>
        <v>2239.25</v>
      </c>
      <c r="D12" s="32">
        <f>IFERROR(IF(D8="","",D8*'0. Supuestos'!$B$16*'0. Supuestos'!$B$17),"")</f>
        <v>2992.5</v>
      </c>
      <c r="E12" s="28" t="n"/>
      <c r="F12" s="28" t="n"/>
    </row>
    <row r="13">
      <c r="A13" s="28" t="inlineStr">
        <is>
          <t>Comisiones de los medios de pago</t>
        </is>
      </c>
      <c r="B13" s="32">
        <f>IFERROR(IF(B8="","",B8*'0. Supuestos'!$B$18),"")</f>
        <v>1575.0</v>
      </c>
      <c r="C13" s="32">
        <f>IFERROR(IF(C8="","",C8*'0. Supuestos'!$B$18),"")</f>
        <v>2239.25</v>
      </c>
      <c r="D13" s="32">
        <f>IFERROR(IF(D8="","",D8*'0. Supuestos'!$B$18),"")</f>
        <v>2992.5</v>
      </c>
      <c r="E13" s="28" t="n"/>
      <c r="F13" s="28" t="n"/>
    </row>
    <row r="14">
      <c r="A14" s="28" t="inlineStr">
        <is>
          <t>Varios e imprevistos</t>
        </is>
      </c>
      <c r="B14" s="32">
        <f>IFERROR(IF(B8="","",B8*'0. Supuestos'!$B$28),"")</f>
        <v>15750.0</v>
      </c>
      <c r="C14" s="32">
        <f>IFERROR(IF(C8="","",C8*'0. Supuestos'!$B$28),"")</f>
        <v>22392.5</v>
      </c>
      <c r="D14" s="32">
        <f>IFERROR(IF(D8="","",D8*'0. Supuestos'!$B$28),"")</f>
        <v>29925.0</v>
      </c>
      <c r="E14" s="28" t="n"/>
      <c r="F14" s="28" t="n"/>
    </row>
    <row r="15">
      <c r="A15" s="28" t="inlineStr">
        <is>
          <t>TOTAL COSTES VARIABLES</t>
        </is>
      </c>
      <c r="B15" s="32">
        <f>IFERROR(IF(B8="","",SUM(B9:B14)),"")</f>
        <v>121715.99999999999</v>
      </c>
      <c r="C15" s="32">
        <f>IFERROR(IF(C8="","",SUM(C9:C14)),"")</f>
        <v>173049.24</v>
      </c>
      <c r="D15" s="32">
        <f>IFERROR(IF(D8="","",SUM(D9:D14)),"")</f>
        <v>231260.4</v>
      </c>
      <c r="E15" s="28" t="n"/>
      <c r="F15" s="28" t="n"/>
    </row>
    <row r="16">
      <c r="A16" s="28" t="inlineStr">
        <is>
          <t>MARGEN BRUTO</t>
        </is>
      </c>
      <c r="B16" s="32">
        <f>IFERROR(IF(B8="","",B8-B15),"")</f>
        <v>193284.0</v>
      </c>
      <c r="C16" s="32">
        <f>IFERROR(IF(C8="","",C8-C15),"")</f>
        <v>274800.76</v>
      </c>
      <c r="D16" s="32">
        <f>IFERROR(IF(D8="","",D8-D15),"")</f>
        <v>367239.6</v>
      </c>
      <c r="E16" s="28" t="n"/>
      <c r="F16" s="28" t="n"/>
    </row>
    <row r="17">
      <c r="A17" s="28" t="inlineStr">
        <is>
          <t>COSTES FIJOS (los del P&amp;L)</t>
        </is>
      </c>
      <c r="B17" s="32">
        <f>IFERROR(IF(B8="","",'PyG 3 Años'!$B$38),"")</f>
        <v>228283.54</v>
      </c>
      <c r="C17" s="32">
        <f>IFERROR(IF(C8="","",'PyG 3 Años'!$B$38),"")</f>
        <v>228283.54</v>
      </c>
      <c r="D17" s="32">
        <f>IFERROR(IF(D8="","",'PyG 3 Años'!$B$38),"")</f>
        <v>228283.54</v>
      </c>
      <c r="E17" s="28" t="inlineStr">
        <is>
          <t>Los costes fijos no cambian con el escenario: por eso son fijos</t>
        </is>
      </c>
      <c r="F17" s="28" t="n"/>
    </row>
    <row r="18">
      <c r="A18" s="25" t="inlineStr">
        <is>
          <t>RESULTADO ANTES DE IMPUESTOS</t>
        </is>
      </c>
      <c r="B18" s="26">
        <f>IFERROR(IF(B8="","",B16-B17),"")</f>
        <v>-34999.54000000001</v>
      </c>
      <c r="C18" s="26">
        <f>IFERROR(IF(C8="","",C16-C17),"")</f>
        <v>46517.22</v>
      </c>
      <c r="D18" s="26">
        <f>IFERROR(IF(D8="","",D16-D17),"")</f>
        <v>138956.05999999997</v>
      </c>
      <c r="E18" s="28" t="n"/>
      <c r="F18" s="28" t="n"/>
    </row>
    <row r="19">
      <c r="A19" s="28" t="inlineStr">
        <is>
          <t>Impuesto de Sociedades</t>
        </is>
      </c>
      <c r="B19" s="32">
        <f>IFERROR(IF(B8="","",MAX(0,B18-'0. Supuestos'!$B$42)*'0. Supuestos'!$B$37),"")</f>
        <v>0.0</v>
      </c>
      <c r="C19" s="32">
        <f>IFERROR(IF(C8="","",MAX(0,C18-'0. Supuestos'!$B$42)*'0. Supuestos'!$B$37),"")</f>
        <v>6977.583</v>
      </c>
      <c r="D19" s="32">
        <f>IFERROR(IF(D8="","",MAX(0,D18-'0. Supuestos'!$B$42)*'0. Supuestos'!$B$37),"")</f>
        <v>20843.408999999996</v>
      </c>
      <c r="E19" s="28" t="inlineStr">
        <is>
          <t>Al tipo de entidad de nueva creación, compensando las bases negativas anteriores</t>
        </is>
      </c>
      <c r="F19" s="28" t="n"/>
    </row>
    <row r="20">
      <c r="A20" s="25" t="inlineStr">
        <is>
          <t>RESULTADO NETO</t>
        </is>
      </c>
      <c r="B20" s="26">
        <f>IFERROR(IF(B8="","",B18-B19),"")</f>
        <v>-34999.54000000001</v>
      </c>
      <c r="C20" s="26">
        <f>IFERROR(IF(C8="","",C18-C19),"")</f>
        <v>39539.637</v>
      </c>
      <c r="D20" s="26">
        <f>IFERROR(IF(D8="","",D18-D19),"")</f>
        <v>118112.65099999997</v>
      </c>
      <c r="E20" s="28" t="n"/>
      <c r="F20" s="28" t="n"/>
    </row>
    <row r="21">
      <c r="A21" s="28" t="inlineStr">
        <is>
          <t>Invitados por evento para el equilibrio</t>
        </is>
      </c>
      <c r="B21" s="44">
        <f>IFERROR(IF(B8="","",IF(B6-B15/(B5*B7)&lt;=0,"",B17/(B6-B15/(B5*B7))/B7)),"")</f>
        <v>70.8646985782579</v>
      </c>
      <c r="C21" s="44">
        <f>IFERROR(IF(C8="","",IF(C6-C15/(C5*C7)&lt;=0,"",C17/(C6-C15/(C5*C7))/C7)),"")</f>
        <v>53.99704898923861</v>
      </c>
      <c r="D21" s="44">
        <f>IFERROR(IF(D8="","",IF(D6-D15/(D5*D7)&lt;=0,"",D17/(D6-D15/(D5*D7))/D7)),"")</f>
        <v>43.513411407702215</v>
      </c>
      <c r="E21" s="28" t="n"/>
      <c r="F21" s="28" t="n"/>
    </row>
    <row r="22">
      <c r="A22" s="25" t="inlineStr">
        <is>
          <t>LO QUE CADA ESCENARIO EXIGE</t>
        </is>
      </c>
      <c r="B22" s="28" t="n"/>
      <c r="C22" s="28" t="n"/>
      <c r="D22" s="28" t="n"/>
      <c r="E22" s="28" t="n"/>
      <c r="F22" s="28" t="n"/>
    </row>
    <row r="23">
      <c r="A23" s="28" t="inlineStr">
        <is>
          <t>Coste de personal / Ventas</t>
        </is>
      </c>
      <c r="B23" s="68">
        <f>IFERROR(IF(B8="","",'PyG 3 Años'!$B$23/B8),"")</f>
        <v>0.5167493333333334</v>
      </c>
      <c r="C23" s="68">
        <f>IFERROR(IF(C8="","",'PyG 3 Años'!$B$23/C8),"")</f>
        <v>0.3634610695545384</v>
      </c>
      <c r="D23" s="68">
        <f>IFERROR(IF(D8="","",'PyG 3 Años'!$B$23/D8),"")</f>
        <v>0.27197333333333334</v>
      </c>
      <c r="E23" s="28" t="inlineStr">
        <is>
          <t>La MISMA plantilla en los tres escenarios. Si en el pesimista se dispara, el ajuste hay que hacerlo en la hoja de Personal, no aquí</t>
        </is>
      </c>
      <c r="F23" s="28" t="n"/>
    </row>
    <row r="24">
      <c r="A24" s="28" t="inlineStr">
        <is>
          <t>Invitados al año por jornada equivalente</t>
        </is>
      </c>
      <c r="B24" s="40">
        <f>IFERROR(IF(B8="","",B5*B7/'Personal'!$C$9),"")</f>
        <v>1899.7361477572558</v>
      </c>
      <c r="C24" s="40">
        <f>IFERROR(IF(C8="","",C5*C7/'Personal'!$C$9),"")</f>
        <v>2548.058801356954</v>
      </c>
      <c r="D24" s="40">
        <f>IFERROR(IF(D8="","",D5*D7/'Personal'!$C$9),"")</f>
        <v>3166.2269129287597</v>
      </c>
      <c r="E24" s="28" t="inlineStr">
        <is>
          <t>Invitados que tendría que atender cada jornada completa del cuadro de Personal. En el optimista dice si hace falta contratar</t>
        </is>
      </c>
      <c r="F24" s="28" t="n"/>
    </row>
    <row r="25">
      <c r="A25" s="25" t="inlineStr">
        <is>
          <t>Saldo de caja al cierre del año 1 (estimado, el mismo método en los tres escenarios)</t>
        </is>
      </c>
      <c r="B25" s="26">
        <f>IFERROR(IF(B8="","",'Inversión Inicial'!$B$25+B20+'PyG 3 Años'!$B$36-'Financiación'!$B$45),"")</f>
        <v>26828.219999999994</v>
      </c>
      <c r="C25" s="26">
        <f>IFERROR(IF(C8="","",'Inversión Inicial'!$B$25+C20+'PyG 3 Años'!$B$36-'Financiación'!$B$45),"")</f>
        <v>101367.397</v>
      </c>
      <c r="D25" s="26">
        <f>IFERROR(IF(D8="","",'Inversión Inicial'!$B$25+D20+'PyG 3 Años'!$B$36-'Financiación'!$B$45),"")</f>
        <v>179940.41099999996</v>
      </c>
      <c r="E25" s="25"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8" t="n"/>
    </row>
    <row r="26">
      <c r="A26" s="28" t="inlineStr">
        <is>
          <t>Saldo real del mes 12 de la hoja de Tesorería (sólo realista)</t>
        </is>
      </c>
      <c r="B26" s="28" t="n"/>
      <c r="C26" s="32">
        <f>IFERROR(IF(C8="","",'Tesorería 12 meses'!$M$22),"")</f>
        <v>93243.88811842892</v>
      </c>
      <c r="D26" s="28" t="n"/>
      <c r="E26" s="28"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8" t="n"/>
    </row>
    <row r="27">
      <c r="A27" s="28" t="n"/>
      <c r="B27" s="28" t="n"/>
      <c r="C27" s="28" t="n"/>
      <c r="D27" s="28" t="n"/>
      <c r="E27" s="28" t="n"/>
      <c r="F27" s="28" t="n"/>
    </row>
    <row r="28" ht="165" customHeight="1">
      <c r="A28" s="46" t="inlineStr">
        <is>
          <t>La columna «Realista» lee sus tres datos de la hoja de Supuestos, así que reproduce EXACTAMENTE el año 1 del P&amp;L. Los otros dos escenarios usan las mismas tasas de coste: lo único que cambia son los invitados, el precio por invitado y los eventos. Los COSTES FIJOS sí son los mismos en los tres: los varios e imprevistos, que son un porcentaje de las ventas, van arriba con los variables y cada escenario carga los suyos.</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t="str">
        <f>IFERROR("Convenio Hostelería — "&amp;TEXT('0. Supuestos'!$B$21,"0")&amp;" pagas + SS "&amp;TEXT('0. Supuestos'!$B$20*100,"0")&amp;" %","")</f>
        <v>Convenio Hostelería — 14 pagas + SS 33 %</v>
      </c>
    </row>
    <row r="3"/>
    <row r="4">
      <c r="A4" s="39" t="inlineStr">
        <is>
          <t>Puesto</t>
        </is>
      </c>
      <c r="B4" s="39" t="inlineStr">
        <is>
          <t>Personas</t>
        </is>
      </c>
      <c r="C4" s="39" t="inlineStr">
        <is>
          <t>Jornada</t>
        </is>
      </c>
      <c r="D4" s="39" t="inlineStr">
        <is>
          <t>Bruto mes (€, total del puesto)</t>
        </is>
      </c>
      <c r="E4" s="39" t="inlineStr">
        <is>
          <t>Seg. Social a cargo de la empresa (€)</t>
        </is>
      </c>
      <c r="F4" s="39" t="inlineStr">
        <is>
          <t>Coste mes (€, total del puesto)</t>
        </is>
      </c>
      <c r="G4" s="39" t="inlineStr">
        <is>
          <t>Coste año (€)</t>
        </is>
      </c>
      <c r="H4" s="39" t="inlineStr">
        <is>
          <t>Horas/semana por persona</t>
        </is>
      </c>
      <c r="I4" s="39" t="inlineStr">
        <is>
          <t>Horas/año del puesto</t>
        </is>
      </c>
      <c r="J4" s="39" t="inlineStr">
        <is>
          <t>Notas</t>
        </is>
      </c>
    </row>
    <row r="5">
      <c r="A5" s="28" t="inlineStr">
        <is>
          <t>Propietario/a — chef ejecutivo, ventas y degustaciones</t>
        </is>
      </c>
      <c r="B5" s="49" t="n">
        <v>1</v>
      </c>
      <c r="C5" s="51" t="n">
        <v>1</v>
      </c>
      <c r="D5" s="73" t="n">
        <v>2000</v>
      </c>
      <c r="E5" s="70">
        <f>IFERROR(IF(D5="","",D5*'0. Supuestos'!$B$20),"")</f>
        <v>660.0</v>
      </c>
      <c r="F5" s="70">
        <f>IFERROR(IF(D5="","",D5+E5),"")</f>
        <v>2660.0</v>
      </c>
      <c r="G5" s="70">
        <f>IFERROR(IF(D5="","",F5*MAX(12,'0. Supuestos'!$B$21)),"")</f>
        <v>37240.0</v>
      </c>
      <c r="H5" s="44">
        <f>IFERROR(IF(D5="","",C5*$B$16),"")</f>
        <v>40.0</v>
      </c>
      <c r="I5" s="40">
        <f>IFERROR(IF(D5="","",H5*B5*$B$17),"")</f>
        <v>1840.0</v>
      </c>
      <c r="J5" s="28" t="inlineStr">
        <is>
          <t>Diseña los menús y las estaciones, vende, hace las degustaciones y dirige los eventos grandes</t>
        </is>
      </c>
    </row>
    <row r="6">
      <c r="A6" s="28" t="inlineStr">
        <is>
          <t>Jefe/a de cocina de producción</t>
        </is>
      </c>
      <c r="B6" s="49" t="n">
        <v>1</v>
      </c>
      <c r="C6" s="51" t="n">
        <v>1</v>
      </c>
      <c r="D6" s="73" t="n">
        <v>1700</v>
      </c>
      <c r="E6" s="70">
        <f>IFERROR(IF(D6="","",D6*'0. Supuestos'!$B$20),"")</f>
        <v>561.0</v>
      </c>
      <c r="F6" s="70">
        <f>IFERROR(IF(D6="","",D6+E6),"")</f>
        <v>2261.0</v>
      </c>
      <c r="G6" s="70">
        <f>IFERROR(IF(D6="","",F6*MAX(12,'0. Supuestos'!$B$21)),"")</f>
        <v>31654.0</v>
      </c>
      <c r="H6" s="44">
        <f>IFERROR(IF(D6="","",C6*$B$16),"")</f>
        <v>40.0</v>
      </c>
      <c r="I6" s="40">
        <f>IFERROR(IF(D6="","",H6*B6*$B$17),"")</f>
        <v>1840.0</v>
      </c>
      <c r="J6" s="28" t="inlineStr">
        <is>
          <t>Producción en la cocina central, compras, escandallos y control del plan APPCC</t>
        </is>
      </c>
    </row>
    <row r="7">
      <c r="A7" s="28" t="inlineStr">
        <is>
          <t>Ayudante de cocina y conductor/a</t>
        </is>
      </c>
      <c r="B7" s="49" t="n">
        <v>1</v>
      </c>
      <c r="C7" s="51" t="n">
        <v>1</v>
      </c>
      <c r="D7" s="73" t="n">
        <v>1400</v>
      </c>
      <c r="E7" s="70">
        <f>IFERROR(IF(D7="","",D7*'0. Supuestos'!$B$20),"")</f>
        <v>462.0</v>
      </c>
      <c r="F7" s="70">
        <f>IFERROR(IF(D7="","",D7+E7),"")</f>
        <v>1862.0</v>
      </c>
      <c r="G7" s="70">
        <f>IFERROR(IF(D7="","",F7*MAX(12,'0. Supuestos'!$B$21)),"")</f>
        <v>26068.0</v>
      </c>
      <c r="H7" s="44">
        <f>IFERROR(IF(D7="","",C7*$B$16),"")</f>
        <v>40.0</v>
      </c>
      <c r="I7" s="40">
        <f>IFERROR(IF(D7="","",H7*B7*$B$17),"")</f>
        <v>1840.0</v>
      </c>
      <c r="J7" s="28" t="inlineStr">
        <is>
          <t>Producción, carga de la furgoneta, transporte y montaje</t>
        </is>
      </c>
    </row>
    <row r="8">
      <c r="A8" s="28" t="inlineStr">
        <is>
          <t>Equipo de evento: coordinador/a-maître, camareros, barra y cocineros de estación (fijos discontinuos)</t>
        </is>
      </c>
      <c r="B8" s="49" t="n">
        <v>8</v>
      </c>
      <c r="C8" s="51" t="n">
        <v>0.31625</v>
      </c>
      <c r="D8" s="73" t="n">
        <v>3642</v>
      </c>
      <c r="E8" s="70">
        <f>IFERROR(IF(D8="","",D8*'0. Supuestos'!$B$20),"")</f>
        <v>1201.8600000000001</v>
      </c>
      <c r="F8" s="70">
        <f>IFERROR(IF(D8="","",D8+E8),"")</f>
        <v>4843.860000000001</v>
      </c>
      <c r="G8" s="70">
        <f>IFERROR(IF(D8="","",F8*MAX(12,'0. Supuestos'!$B$21)),"")</f>
        <v>67814.04000000001</v>
      </c>
      <c r="H8" s="44">
        <f>IFERROR(IF(D8="","",C8*$B$16),"")</f>
        <v>12.649999999999999</v>
      </c>
      <c r="I8" s="40">
        <f>IFERROR(IF(D8="","",H8*B8*$B$17),"")</f>
        <v>4655.2</v>
      </c>
      <c r="J8" s="28" t="inlineStr">
        <is>
          <t>Ocho personas con contrato fijo discontinuo (art. 16 del Estatuto de los Trabajadores) llamadas para cada evento: la coordinadora-maître a media jornada en cómputo anual (800 € brutos al mes) y siete camareros y cocineros de estación a unas 513 horas al año cada uno (1.400 € a jornada completa). Nunca como autónomos que te facturan: con horario y dirección tuyos es falso autónomo (art. 1.1 ET). Por encima del SMI en proporción a su jornada</t>
        </is>
      </c>
    </row>
    <row r="9">
      <c r="A9" s="25" t="inlineStr">
        <is>
          <t>TOTAL PLANTILLA</t>
        </is>
      </c>
      <c r="B9" s="76">
        <f>IFERROR(IF(COUNT(D5:D8)=0,"",SUM(B5:B8)),"")</f>
        <v>11.0</v>
      </c>
      <c r="C9" s="62">
        <f>IFERROR(IF(COUNT(D5:D8)=0,"",SUM(C5:C8)),"")</f>
        <v>3.31625</v>
      </c>
      <c r="D9" s="72">
        <f>IFERROR(IF(COUNT(D5:D8)=0,"",SUM(D5:D8)),"")</f>
        <v>8742.0</v>
      </c>
      <c r="E9" s="72">
        <f>IFERROR(IF(COUNT(D5:D8)=0,"",SUM(E5:E8)),"")</f>
        <v>2884.86</v>
      </c>
      <c r="F9" s="72">
        <f>IFERROR(IF(COUNT(D5:D8)=0,"",SUM(F5:F8)),"")</f>
        <v>11626.86</v>
      </c>
      <c r="G9" s="72">
        <f>IFERROR(IF(COUNT(D5:D8)=0,"",SUM(G5:G8)),"")</f>
        <v>162776.04</v>
      </c>
      <c r="H9" s="28" t="n"/>
      <c r="I9" s="76">
        <f>IFERROR(IF(COUNT(D5:D8)=0,"",SUM(I5:I8)),"")</f>
        <v>10175.2</v>
      </c>
      <c r="J9" s="28" t="n"/>
    </row>
    <row r="10">
      <c r="A10" s="25" t="inlineStr">
        <is>
          <t>CRECIMIENTO DE LA PLANTILLA (coste escalonado)</t>
        </is>
      </c>
      <c r="B10" s="28" t="n"/>
      <c r="C10" s="28" t="n"/>
      <c r="D10" s="28" t="n"/>
      <c r="E10" s="28" t="n"/>
      <c r="F10" s="28" t="n"/>
      <c r="G10" s="28" t="n"/>
      <c r="H10" s="28" t="n"/>
      <c r="I10" s="28" t="n"/>
      <c r="J10" s="28" t="n"/>
    </row>
    <row r="11">
      <c r="A11" s="28" t="inlineStr">
        <is>
          <t>Coste anual de las incorporaciones del año 2 (€)</t>
        </is>
      </c>
      <c r="B11" s="29" t="n">
        <v>6000</v>
      </c>
      <c r="C11" s="28" t="n"/>
      <c r="D11" s="28" t="n"/>
      <c r="E11" s="28" t="n"/>
      <c r="F11" s="28" t="n"/>
      <c r="G11" s="28" t="n"/>
      <c r="H11" s="28" t="n"/>
      <c r="I11" s="28" t="n"/>
      <c r="J11" s="28" t="inlineStr">
        <is>
          <t>Coste ANUAL completo (bruto + Seguridad Social × pagas) de lo que se contrate ese año. El P&amp;L lo suma al coste del año anterior: la plantilla no crece con un porcentaje, crece con personas</t>
        </is>
      </c>
    </row>
    <row r="12">
      <c r="A12" s="28" t="inlineStr">
        <is>
          <t>Coste anual de las incorporaciones del año 3 (€)</t>
        </is>
      </c>
      <c r="B12" s="29" t="n">
        <v>6000</v>
      </c>
      <c r="C12" s="28" t="n"/>
      <c r="D12" s="28" t="n"/>
      <c r="E12" s="28" t="n"/>
      <c r="F12" s="28" t="n"/>
      <c r="G12" s="28" t="n"/>
      <c r="H12" s="28" t="n"/>
      <c r="I12" s="28" t="n"/>
      <c r="J12" s="28" t="inlineStr">
        <is>
          <t>Coste ANUAL completo (bruto + Seguridad Social × pagas) de lo que se contrate ese año. El P&amp;L lo suma al coste del año anterior: la plantilla no crece con un porcentaje, crece con personas</t>
        </is>
      </c>
    </row>
    <row r="13">
      <c r="A13" s="28" t="inlineStr">
        <is>
          <t>Coste de personal del año 2</t>
        </is>
      </c>
      <c r="B13" s="32">
        <f>IFERROR(IF(G9="","",G9*(1+'0. Supuestos'!$B$48)+B11),"")</f>
        <v>168776.04</v>
      </c>
      <c r="C13" s="28" t="n"/>
      <c r="D13" s="28" t="n"/>
      <c r="E13" s="28" t="n"/>
      <c r="F13" s="28" t="n"/>
      <c r="G13" s="28" t="n"/>
      <c r="H13" s="28" t="n"/>
      <c r="I13" s="28" t="n"/>
      <c r="J13" s="28" t="n"/>
    </row>
    <row r="14">
      <c r="A14" s="28" t="inlineStr">
        <is>
          <t>Coste de personal del año 3</t>
        </is>
      </c>
      <c r="B14" s="32">
        <f>IFERROR(IF(B13="","",B13*(1+'0. Supuestos'!$B$48)+B12),"")</f>
        <v>174776.04</v>
      </c>
      <c r="C14" s="28" t="n"/>
      <c r="D14" s="28" t="n"/>
      <c r="E14" s="28" t="n"/>
      <c r="F14" s="28" t="n"/>
      <c r="G14" s="28" t="n"/>
      <c r="H14" s="28" t="n"/>
      <c r="I14" s="28" t="n"/>
      <c r="J14" s="28" t="n"/>
    </row>
    <row r="15">
      <c r="A15" s="25" t="inlineStr">
        <is>
          <t>COBERTURA POR HORAS DE SERVICIO</t>
        </is>
      </c>
      <c r="B15" s="28" t="n"/>
      <c r="C15" s="28" t="n"/>
      <c r="D15" s="28" t="n"/>
      <c r="E15" s="28" t="n"/>
      <c r="F15" s="28" t="n"/>
      <c r="G15" s="28" t="n"/>
      <c r="H15" s="28" t="n"/>
      <c r="I15" s="28" t="n"/>
      <c r="J15" s="28" t="n"/>
    </row>
    <row r="16">
      <c r="A16" s="28" t="inlineStr">
        <is>
          <t>Jornada completa del convenio (horas/semana)</t>
        </is>
      </c>
      <c r="B16" s="49" t="n">
        <v>40</v>
      </c>
      <c r="C16" s="28" t="n"/>
      <c r="D16" s="28" t="n"/>
      <c r="E16" s="28" t="n"/>
      <c r="F16" s="28" t="n"/>
      <c r="G16" s="28" t="n"/>
      <c r="H16" s="28" t="n"/>
      <c r="I16" s="28" t="n"/>
      <c r="J16" s="28" t="inlineStr">
        <is>
          <t>Art. 34.1 del Estatuto de los Trabajadores; tu convenio provincial puede fijar menos</t>
        </is>
      </c>
    </row>
    <row r="17">
      <c r="A17" s="28" t="inlineStr">
        <is>
          <t>Semanas trabajadas al año por persona</t>
        </is>
      </c>
      <c r="B17" s="49" t="n">
        <v>46</v>
      </c>
      <c r="C17" s="28" t="n"/>
      <c r="D17" s="28" t="n"/>
      <c r="E17" s="28" t="n"/>
      <c r="F17" s="28" t="n"/>
      <c r="G17" s="28" t="n"/>
      <c r="H17" s="28" t="n"/>
      <c r="I17" s="28" t="n"/>
      <c r="J17" s="28" t="inlineStr">
        <is>
          <t>46 semanas: 52 menos las vacaciones (30 días naturales, art. 38 ET), los festivos y las ausencias medias</t>
        </is>
      </c>
    </row>
    <row r="18">
      <c r="A18" s="28" t="inlineStr">
        <is>
          <t>Horas de trabajo por evento que hay que cubrir</t>
        </is>
      </c>
      <c r="B18" s="77" t="n">
        <v>8</v>
      </c>
      <c r="C18" s="28" t="n"/>
      <c r="D18" s="28" t="n"/>
      <c r="E18" s="28" t="n"/>
      <c r="F18" s="28" t="n"/>
      <c r="G18" s="28" t="n"/>
      <c r="H18" s="28" t="n"/>
      <c r="I18" s="28" t="n"/>
      <c r="J18" s="28" t="inlineStr">
        <is>
          <t>Horas por evento y persona: carga, viaje, montaje, servicio, recogida y descarga. La producción en la cocina central de los fijos va aparte</t>
        </is>
      </c>
    </row>
    <row r="19">
      <c r="A19" s="28" t="inlineStr">
        <is>
          <t>Personas necesarias a la vez en cada evento</t>
        </is>
      </c>
      <c r="B19" s="77" t="n">
        <v>8</v>
      </c>
      <c r="C19" s="28" t="n"/>
      <c r="D19" s="28" t="n"/>
      <c r="E19" s="28" t="n"/>
      <c r="F19" s="28" t="n"/>
      <c r="G19" s="28" t="n"/>
      <c r="H19" s="28" t="n"/>
      <c r="I19" s="28" t="n"/>
      <c r="J19" s="28" t="inlineStr">
        <is>
          <t>Personas trabajando a la vez en un evento medio de 65 invitados: los tres fijos a jornada completa, la coordinadora y cuatro extras. Una boda de 110 pide más: súbelo y la hoja te dice si llega la plantilla</t>
        </is>
      </c>
    </row>
    <row r="20">
      <c r="A20" s="28" t="inlineStr">
        <is>
          <t>Horas de servicio a cubrir al año</t>
        </is>
      </c>
      <c r="B20" s="40">
        <f>IFERROR(IF(OR(B18="",B19="",'0. Supuestos'!$B$6=""),"",B18*B19*'0. Supuestos'!$B$6),"")</f>
        <v>8320.0</v>
      </c>
      <c r="C20" s="28" t="n"/>
      <c r="D20" s="28" t="n"/>
      <c r="E20" s="28" t="n"/>
      <c r="F20" s="28" t="n"/>
      <c r="G20" s="28" t="n"/>
      <c r="H20" s="28" t="n"/>
      <c r="I20" s="28" t="n"/>
      <c r="J20" s="28" t="n"/>
    </row>
    <row r="21">
      <c r="A21" s="28" t="inlineStr">
        <is>
          <t>Horas contratadas al año</t>
        </is>
      </c>
      <c r="B21" s="40">
        <f>IFERROR(IF(I9="","",I9),"")</f>
        <v>10175.2</v>
      </c>
      <c r="C21" s="28" t="n"/>
      <c r="D21" s="28" t="n"/>
      <c r="E21" s="28" t="n"/>
      <c r="F21" s="28" t="n"/>
      <c r="G21" s="28" t="n"/>
      <c r="H21" s="28" t="n"/>
      <c r="I21" s="28" t="n"/>
      <c r="J21" s="28" t="n"/>
    </row>
    <row r="22">
      <c r="A22" s="25" t="inlineStr">
        <is>
          <t>Cobertura (contratadas / necesarias)</t>
        </is>
      </c>
      <c r="B22" s="67">
        <f>IFERROR(B21/B20,"")</f>
        <v>1.2229807692307693</v>
      </c>
      <c r="C22" s="28" t="n"/>
      <c r="D22" s="28" t="n"/>
      <c r="E22" s="28" t="n"/>
      <c r="F22" s="28" t="n"/>
      <c r="G22" s="28" t="n"/>
      <c r="H22" s="28" t="n"/>
      <c r="I22" s="28" t="n"/>
      <c r="J22" s="25" t="inlineStr">
        <is>
          <t>Por debajo del 100 % la plantilla no llega a cubrir el horario que declara el plan: o se contrata más o se recorta el horario</t>
        </is>
      </c>
    </row>
    <row r="23">
      <c r="A23" s="28" t="n"/>
      <c r="B23" s="28" t="n"/>
      <c r="C23" s="28" t="n"/>
      <c r="D23" s="28" t="n"/>
      <c r="E23" s="28" t="n"/>
      <c r="F23" s="28" t="n"/>
      <c r="G23" s="28" t="n"/>
      <c r="H23" s="28" t="n"/>
      <c r="I23" s="28" t="n"/>
      <c r="J23" s="28" t="n"/>
    </row>
    <row r="24" ht="150" customHeight="1">
      <c r="A24" s="46"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4" s="28" t="n"/>
      <c r="C24" s="28" t="n"/>
      <c r="D24" s="28" t="n"/>
      <c r="E24" s="28" t="n"/>
      <c r="F24" s="28" t="n"/>
      <c r="G24" s="28" t="n"/>
      <c r="H24" s="28" t="n"/>
      <c r="I24" s="28" t="n"/>
      <c r="J24" s="28" t="n"/>
    </row>
    <row r="25" ht="150" customHeight="1">
      <c r="A25" s="46"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5" s="28" t="n"/>
      <c r="C25" s="28" t="n"/>
      <c r="D25" s="28" t="n"/>
      <c r="E25" s="28" t="n"/>
      <c r="F25" s="28" t="n"/>
      <c r="G25" s="28" t="n"/>
      <c r="H25" s="28" t="n"/>
      <c r="I25" s="28" t="n"/>
      <c r="J25"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Supuestos'!$B$21&lt;MAX('0. Supuestos'!$B$22,'0. Supuestos'!$B$68)*C5)</formula>
    </cfRule>
  </conditionalFormatting>
  <dataValidations count="3">
    <dataValidation sqref="B5 B6 B7 B8 B11 B12 B16 B17 B18 D5 D6 D7 D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Catering Temático de Eventos</t>
        </is>
      </c>
      <c r="B1" s="28" t="n"/>
      <c r="C1" s="28" t="n"/>
      <c r="D1" s="28" t="n"/>
      <c r="E1" s="28" t="n"/>
    </row>
    <row r="2">
      <c r="A2" s="28" t="n"/>
      <c r="B2" s="28" t="n"/>
      <c r="C2" s="28" t="n"/>
      <c r="D2" s="28" t="n"/>
      <c r="E2" s="28" t="n"/>
    </row>
    <row r="3">
      <c r="A3" s="39"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invitados, precio por invitado sin IVA, eventos,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210" customHeight="1">
      <c r="A8" s="46" t="inlineStr">
        <is>
          <t>4. Todas las cifras van SIN IVA. Para pasar un PVP a precio sin IVA, divide por el tipo que le corresponda: entre 1,10 en el servicio de catering (comida y bebida, alcohol incluido: art. 91.Uno.2.2.º de la Ley 37/1992 del IVA) y, cuando se venden para llevar, los alimentos, que son productos alimenticios al tipo reducido por el art. 91.Uno.1.1.º; y entre 1,21 el tipo general, que en hostelería sólo alcanza a lo que sale de la cocina central como entrega de bienes excluida del reducido: el alcohol y los refrescos, zumos y gaseosas con azúcares o edulcorantes añadidos para llevar o a domicilio (la comida para llevar sigue al 10 %); el libro lo aplica al alcohol del canal de drop-off.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60" customHeight="1">
      <c r="A10" s="46" t="inlineStr">
        <is>
          <t>6. La hoja «Tesorería 12 meses» responde la pregunta que decide una operación bancaria: en qué mes se agota la caja. El saldo mínimo del año nunca puede salir en rojo. Los anticipos de los particulares no se modelan: tu caja real será algo mejor.</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45" customHeight="1">
      <c r="A12" s="46" t="inlineStr">
        <is>
          <t>8. El documento Word de este pack y la calculadora de precios usan las cifras de este Excel: si cambias una celda verde, el Excel manda.</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de mercancía / Ventas</t>
        </is>
      </c>
      <c r="B18" s="68">
        <f>IFERROR(IF('PyG 3 Años'!$B$53="","",'PyG 3 Años'!$B$53),"")</f>
        <v>0.2964</v>
      </c>
      <c r="C18" s="68">
        <f>IFERROR(IF('PyG 3 Años'!$E$53="","",'PyG 3 Años'!$E$53),"")</f>
        <v>0.33</v>
      </c>
      <c r="D18" s="28" t="str">
        <f>IFERROR(IF(OR(B18="",C18=""),"",IF(B18&lt;=C18,"CUMPLE","REVISAR")),"")</f>
        <v>CUMPLE</v>
      </c>
      <c r="E18" s="28" t="n"/>
    </row>
    <row r="19">
      <c r="A19" s="28" t="inlineStr">
        <is>
          <t>Coste de personal / Ventas</t>
        </is>
      </c>
      <c r="B19" s="68">
        <f>IFERROR(IF('PyG 3 Años'!$B$54="","",'PyG 3 Años'!$B$54),"")</f>
        <v>0.3634610695545384</v>
      </c>
      <c r="C19" s="68">
        <f>IFERROR(IF('PyG 3 Años'!$E$54="","",'PyG 3 Años'!$E$54),"")</f>
        <v>0.38</v>
      </c>
      <c r="D19" s="28" t="str">
        <f>IFERROR(IF(OR(B19="",C19=""),"",IF(B19&lt;=C19,"CUMPLE","REVISAR")),"")</f>
        <v>CUMPLE</v>
      </c>
      <c r="E19" s="28" t="n"/>
    </row>
    <row r="20">
      <c r="A20" s="28" t="inlineStr">
        <is>
          <t>Cocina central / Ventas</t>
        </is>
      </c>
      <c r="B20" s="68">
        <f>IFERROR(IF('PyG 3 Años'!$B$55="","",'PyG 3 Años'!$B$55),"")</f>
        <v>0.0535893714413308</v>
      </c>
      <c r="C20" s="68">
        <f>IFERROR(IF('PyG 3 Años'!$E$55="","",'PyG 3 Años'!$E$55),"")</f>
        <v>0.07</v>
      </c>
      <c r="D20" s="28" t="str">
        <f>IFERROR(IF(OR(B20="",C20=""),"",IF(B20&lt;=C20,"CUMPLE","REVISAR")),"")</f>
        <v>CUMPLE</v>
      </c>
      <c r="E20" s="28" t="n"/>
    </row>
    <row r="21">
      <c r="A21" s="28" t="inlineStr">
        <is>
          <t>Resultado neto / Ventas</t>
        </is>
      </c>
      <c r="B21" s="68">
        <f>IFERROR(IF('PyG 3 Años'!$B$56="","",'PyG 3 Años'!$B$56),"")</f>
        <v>0.08828767891034946</v>
      </c>
      <c r="C21" s="68">
        <f>IFERROR(IF('PyG 3 Años'!$E$56="","",'PyG 3 Años'!$E$56),"")</f>
        <v>0.04</v>
      </c>
      <c r="D21" s="28" t="str">
        <f>IFERROR(IF(OR(B21="",C21=""),"",IF(B21&gt;=C21,"CUMPLE","REVISAR")),"")</f>
        <v>CUMPLE</v>
      </c>
      <c r="E21" s="28" t="n"/>
    </row>
    <row r="22">
      <c r="A22" s="28" t="inlineStr">
        <is>
          <t>Margen bruto / Ventas</t>
        </is>
      </c>
      <c r="B22" s="68">
        <f>IFERROR(IF('PyG 3 Años'!$B$51="","",'PyG 3 Años'!$B$51),"")</f>
        <v>0.6136</v>
      </c>
      <c r="C22" s="68">
        <f>IFERROR(IF('PyG 3 Años'!$E$51="","",'PyG 3 Años'!$E$51),"")</f>
        <v>0.6</v>
      </c>
      <c r="D22" s="28" t="str">
        <f>IFERROR(IF(OR(B22="",C22=""),"",IF(B22&gt;=C22,"CUMPLE","REVISAR")),"")</f>
        <v>CUMPLE</v>
      </c>
      <c r="E22" s="28" t="n"/>
    </row>
    <row r="23">
      <c r="A23" s="28" t="n"/>
      <c r="B23" s="28" t="n"/>
      <c r="C23" s="28" t="n"/>
      <c r="D23" s="28" t="n"/>
      <c r="E23" s="28" t="n"/>
    </row>
    <row r="24">
      <c r="A24" s="25" t="inlineStr">
        <is>
          <t>CIFRAS DE ESTE PLAN</t>
        </is>
      </c>
      <c r="B24" s="28" t="n"/>
      <c r="C24" s="28" t="n"/>
      <c r="D24" s="28" t="n"/>
      <c r="E24" s="28" t="n"/>
    </row>
    <row r="25">
      <c r="A25" s="28" t="inlineStr">
        <is>
          <t>Inversión total (suma de los bloques)</t>
        </is>
      </c>
      <c r="B25" s="32">
        <f>IFERROR(IF('Inversión Inicial'!$B$26="","",'Inversión Inicial'!$B$26),"")</f>
        <v>130365.26000000001</v>
      </c>
      <c r="C25" s="28" t="n"/>
      <c r="D25" s="28" t="n"/>
      <c r="E25" s="28" t="n"/>
    </row>
    <row r="26">
      <c r="A26" s="28" t="inlineStr">
        <is>
          <t>Necesidad total de caja al arranque</t>
        </is>
      </c>
      <c r="B26" s="32">
        <f>IFERROR(IF('Inversión Inicial'!$B$29="","",'Inversión Inicial'!$B$29),"")</f>
        <v>145040.06</v>
      </c>
      <c r="C26" s="28" t="n"/>
      <c r="D26" s="28" t="n"/>
      <c r="E26" s="28" t="n"/>
    </row>
    <row r="27">
      <c r="A27" s="28" t="inlineStr">
        <is>
          <t>Fondo de maniobra dotado</t>
        </is>
      </c>
      <c r="B27" s="32">
        <f>IFERROR(IF('Inversión Inicial'!$B$25="","",'Inversión Inicial'!$B$25),"")</f>
        <v>55485.26</v>
      </c>
      <c r="C27" s="28" t="n"/>
      <c r="D27" s="28" t="n"/>
      <c r="E27" s="28" t="n"/>
    </row>
    <row r="28">
      <c r="A28" s="28" t="inlineStr">
        <is>
          <t>Facturación prevista del año 1</t>
        </is>
      </c>
      <c r="B28" s="32">
        <f>IFERROR(IF('PyG 3 Años'!$B$9="","",'PyG 3 Años'!$B$9),"")</f>
        <v>447850.0</v>
      </c>
      <c r="C28" s="28" t="n"/>
      <c r="D28" s="28" t="n"/>
      <c r="E28" s="28" t="n"/>
    </row>
    <row r="29">
      <c r="A29" s="28" t="inlineStr">
        <is>
          <t>Resultado neto del año 1</t>
        </is>
      </c>
      <c r="B29" s="32">
        <f>IFERROR(IF('PyG 3 Años'!$B$48="","",'PyG 3 Años'!$B$48),"")</f>
        <v>39539.637</v>
      </c>
      <c r="C29" s="28" t="n"/>
      <c r="D29" s="28" t="n"/>
      <c r="E29" s="28" t="n"/>
    </row>
    <row r="30">
      <c r="A30" s="28" t="inlineStr">
        <is>
          <t>Invitados por evento para el punto de equilibrio CONTABLE (con la amortización dentro)</t>
        </is>
      </c>
      <c r="B30" s="44">
        <f>IFERROR(IF('Punto Equilibrio'!$B$15="","",'Punto Equilibrio'!$B$15),"")</f>
        <v>53.99704898923861</v>
      </c>
      <c r="C30" s="28" t="n"/>
      <c r="D30" s="28" t="n"/>
      <c r="E30" s="28" t="n"/>
    </row>
    <row r="31">
      <c r="A31" s="28" t="inlineStr">
        <is>
          <t>Payback del proyecto (años), antes de la deuda</t>
        </is>
      </c>
      <c r="B31" s="28">
        <f>IFERROR(IF('Tesorería 12 meses'!$B$31="","",'Tesorería 12 meses'!$B$31),"")</f>
        <v>2.0</v>
      </c>
      <c r="C31" s="28" t="n"/>
      <c r="D31" s="28" t="n"/>
      <c r="E31" s="28" t="n"/>
    </row>
    <row r="32">
      <c r="A32" s="28" t="n"/>
      <c r="B32" s="28" t="n"/>
      <c r="C32" s="28" t="n"/>
      <c r="D32" s="28" t="n"/>
      <c r="E32" s="28" t="n"/>
    </row>
    <row r="33">
      <c r="A33" s="25" t="inlineStr">
        <is>
          <t>QUÉ HA CAMBIADO RESPECTO DE LA VERSIÓN 1.1</t>
        </is>
      </c>
      <c r="B33" s="28" t="n"/>
      <c r="C33" s="28" t="n"/>
      <c r="D33" s="28" t="n"/>
      <c r="E33" s="28" t="n"/>
    </row>
    <row r="34">
      <c r="A34" s="25" t="inlineStr">
        <is>
          <t>Concepto</t>
        </is>
      </c>
      <c r="B34" s="25" t="inlineStr">
        <is>
          <t>v1.1</t>
        </is>
      </c>
      <c r="C34" s="25" t="inlineStr">
        <is>
          <t>v2.2</t>
        </is>
      </c>
      <c r="D34" s="25" t="inlineStr">
        <is>
          <t>Por qué</t>
        </is>
      </c>
      <c r="E34" s="28" t="n"/>
    </row>
    <row r="35" ht="30" customHeight="1">
      <c r="A35" s="78" t="inlineStr">
        <is>
          <t>Modelo de ingresos</t>
        </is>
      </c>
      <c r="B35" s="78" t="inlineStr">
        <is>
          <t>ingresos mensuales tecleados a mano, sin relación con eventos ni precios</t>
        </is>
      </c>
      <c r="C35" s="78" t="inlineStr">
        <is>
          <t>invitados por evento × precio por invitado × eventos al año, en la hoja de Supuestos</t>
        </is>
      </c>
      <c r="D35" s="46" t="inlineStr">
        <is>
          <t>Ahora cualquier cambio de precio o de volumen recalcula todo el libro</t>
        </is>
      </c>
      <c r="E35" s="28" t="n"/>
    </row>
    <row r="36" ht="30" customHeight="1">
      <c r="A36" s="78" t="inlineStr">
        <is>
          <t>Cocina</t>
        </is>
      </c>
      <c r="B36" s="78" t="inlineStr">
        <is>
          <t>no había ninguna: el plan decía que no hacía falta local</t>
        </is>
      </c>
      <c r="C36" s="78" t="inlineStr">
        <is>
          <t>cuota de una cocina central compartida y autorizada</t>
        </is>
      </c>
      <c r="D36" s="46" t="inlineStr">
        <is>
          <t>Para eventos no se puede cocinar en casa (art. 13.5.b del RD 1021/2022)</t>
        </is>
      </c>
      <c r="E36" s="28" t="n"/>
    </row>
    <row r="37" ht="30" customHeight="1">
      <c r="A37" s="78" t="inlineStr">
        <is>
          <t>Personal de eventos</t>
        </is>
      </c>
      <c r="B37" s="78" t="inlineStr">
        <is>
          <t>un porcentaje de personal subcontratado sobre las ventas</t>
        </is>
      </c>
      <c r="C37" s="78" t="inlineStr">
        <is>
          <t>plantilla con fijos discontinuos y Seguridad Social</t>
        </is>
      </c>
      <c r="D37" s="46" t="inlineStr">
        <is>
          <t>Las facturas de autónomo con horario y dirección del empresario son falso autónomo (art. 1.1 ET)</t>
        </is>
      </c>
      <c r="E37" s="28" t="n"/>
    </row>
    <row r="38" ht="30" customHeight="1">
      <c r="A38" s="78" t="inlineStr">
        <is>
          <t>Punto de equilibrio</t>
        </is>
      </c>
      <c r="B38" s="78" t="inlineStr">
        <is>
          <t>sin amortización, sin sueldos fijos ni cocina</t>
        </is>
      </c>
      <c r="C38" s="78" t="inlineStr">
        <is>
          <t>con todos los costes fijos, en invitados por evento, en ingresos y en caja</t>
        </is>
      </c>
      <c r="D38" s="46" t="inlineStr">
        <is>
          <t>El anterior salía irrealmente bajo; éste es el que mira un banco</t>
        </is>
      </c>
      <c r="E38" s="28" t="n"/>
    </row>
    <row r="39" ht="30" customHeight="1">
      <c r="A39" s="78" t="inlineStr">
        <is>
          <t>Impuestos, caja y financiación</t>
        </is>
      </c>
      <c r="B39" s="78" t="inlineStr">
        <is>
          <t>no había IVA, Impuesto de Sociedades, tesorería ni préstamo</t>
        </is>
      </c>
      <c r="C39" s="78" t="inlineStr">
        <is>
          <t>IVA al 10 %, Impuesto de Sociedades, tesorería de 12 meses y préstamo con su cuadro y su DSCR</t>
        </is>
      </c>
      <c r="D39" s="46" t="inlineStr">
        <is>
          <t>Es lo que pide cualquier entidad para estudiar la operación</t>
        </is>
      </c>
      <c r="E39" s="28" t="n"/>
    </row>
    <row r="40">
      <c r="A40" s="28" t="n"/>
      <c r="B40" s="28" t="n"/>
      <c r="C40" s="28" t="n"/>
      <c r="D40" s="28" t="n"/>
      <c r="E40" s="28" t="n"/>
    </row>
    <row r="41">
      <c r="A41" s="25" t="inlineStr">
        <is>
          <t>DATOS DE REFERENCIA DEL SECTOR</t>
        </is>
      </c>
      <c r="B41" s="28" t="n"/>
      <c r="C41" s="28" t="n"/>
      <c r="D41" s="28" t="n"/>
      <c r="E41" s="28" t="n"/>
    </row>
    <row r="42">
      <c r="A42" s="25" t="inlineStr">
        <is>
          <t>Referencia</t>
        </is>
      </c>
      <c r="B42" s="25" t="inlineStr">
        <is>
          <t>Valor</t>
        </is>
      </c>
      <c r="C42" s="25" t="inlineStr">
        <is>
          <t>Fuente</t>
        </is>
      </c>
      <c r="D42" s="25" t="inlineStr">
        <is>
          <t>Nota</t>
        </is>
      </c>
      <c r="E42" s="28" t="n"/>
    </row>
    <row r="43" ht="60" customHeight="1">
      <c r="A43" s="28" t="inlineStr">
        <is>
          <t>Mezcla de eventos del plan</t>
        </is>
      </c>
      <c r="B43" s="28" t="inlineStr">
        <is>
          <t>130 eventos: 85 de empresa y 45 de particulares</t>
        </is>
      </c>
      <c r="C43" s="28" t="inlineStr">
        <is>
          <t>Estimación del kit</t>
        </is>
      </c>
      <c r="D43" s="46" t="inlineStr">
        <is>
          <t>Coffee breaks (35 eventos × 35 invitados × 16 €), cócteles (35 × 80 × 40 €), comidas de empresa (15 × 100 × 62 €), bodas (15 × 110 × 98 €) y celebraciones familiares (30 × 45 × 48 €), precios sin IVA</t>
        </is>
      </c>
      <c r="E43" s="28" t="n"/>
    </row>
    <row r="44" ht="30" customHeight="1">
      <c r="A44" s="28" t="inlineStr">
        <is>
          <t>Invitados por boda</t>
        </is>
      </c>
      <c r="B44" s="28" t="inlineStr">
        <is>
          <t>115</t>
        </is>
      </c>
      <c r="C44" s="28" t="inlineStr">
        <is>
          <t>Bodas.net, Informe del Sector Nupcial 2026</t>
        </is>
      </c>
      <c r="D44" s="46" t="inlineStr">
        <is>
          <t>Parejas millennial; 118 en la generación Z. El plan usa 110</t>
        </is>
      </c>
      <c r="E44" s="28" t="n"/>
    </row>
    <row r="45">
      <c r="A45" s="28" t="inlineStr">
        <is>
          <t>Coste total medio de una boda</t>
        </is>
      </c>
      <c r="B45" s="28" t="inlineStr">
        <is>
          <t>25.183 €</t>
        </is>
      </c>
      <c r="C45" s="28" t="inlineStr">
        <is>
          <t>Bodas.net, Informe del Sector Nupcial 2026</t>
        </is>
      </c>
      <c r="D45" s="46" t="inlineStr">
        <is>
          <t>Toda la boda, no sólo el banquete</t>
        </is>
      </c>
      <c r="E45" s="28" t="n"/>
    </row>
    <row r="46" ht="15" customHeight="1">
      <c r="A46" s="28" t="inlineStr">
        <is>
          <t>Coste de mercancía sobre ventas</t>
        </is>
      </c>
      <c r="B46" s="28" t="inlineStr">
        <is>
          <t>28-32 %</t>
        </is>
      </c>
      <c r="C46" s="28" t="inlineStr">
        <is>
          <t>Estimación del kit</t>
        </is>
      </c>
      <c r="D46" s="46" t="inlineStr">
        <is>
          <t>El plan usa el 30 % en comida y el 28 % en bebida</t>
        </is>
      </c>
      <c r="E46" s="28" t="n"/>
    </row>
    <row r="47" ht="30" customHeight="1">
      <c r="A47" s="28" t="inlineStr">
        <is>
          <t>Coste de personal sobre ventas</t>
        </is>
      </c>
      <c r="B47" s="28" t="inlineStr">
        <is>
          <t>33-38 %</t>
        </is>
      </c>
      <c r="C47" s="28" t="inlineStr">
        <is>
          <t>Estimación del kit</t>
        </is>
      </c>
      <c r="D47" s="46" t="inlineStr">
        <is>
          <t>Montaje, servicio y recogida: el catering es intensivo en mano de obra</t>
        </is>
      </c>
      <c r="E47" s="28" t="n"/>
    </row>
    <row r="48" ht="30" customHeight="1">
      <c r="A48" s="28" t="inlineStr">
        <is>
          <t>Personal de sala</t>
        </is>
      </c>
      <c r="B48" s="28" t="inlineStr">
        <is>
          <t>1 camarero por 10-12 invitados sentados; 1 por 20-25 en cóctel</t>
        </is>
      </c>
      <c r="C48" s="28" t="inlineStr">
        <is>
          <t>Estimación del kit</t>
        </is>
      </c>
      <c r="D48" s="46" t="inlineStr">
        <is>
          <t>Para dimensionar la bolsa de fijos discontinuos y la cobertura de la hoja Personal</t>
        </is>
      </c>
      <c r="E48" s="28" t="n"/>
    </row>
    <row r="49" ht="30" customHeight="1">
      <c r="A49" s="28" t="inlineStr">
        <is>
          <t>Cuota de cocina central compartida</t>
        </is>
      </c>
      <c r="B49" s="28" t="inlineStr">
        <is>
          <t>1.500-2.500 €/mes</t>
        </is>
      </c>
      <c r="C49" s="28" t="inlineStr">
        <is>
          <t>Estimación del kit (no hay tarifa pública)</t>
        </is>
      </c>
      <c r="D49" s="46" t="inlineStr">
        <is>
          <t>Con cámara, almacén y unas 80 horas al mes. Pide dos presupuestos</t>
        </is>
      </c>
      <c r="E49" s="28" t="n"/>
    </row>
    <row r="50" ht="15" customHeight="1">
      <c r="A50" s="28" t="inlineStr">
        <is>
          <t>Furgoneta frigorífica usada (2021-2022)</t>
        </is>
      </c>
      <c r="B50" s="28" t="inlineStr">
        <is>
          <t>18.000-22.000 €</t>
        </is>
      </c>
      <c r="C50" s="28" t="inlineStr">
        <is>
          <t>Anuncios de segunda mano, octubre 2026</t>
        </is>
      </c>
      <c r="D50" s="46" t="inlineStr">
        <is>
          <t>Con el certificado ATP vigente (RD 237/2000)</t>
        </is>
      </c>
      <c r="E50" s="28" t="n"/>
    </row>
    <row r="51" ht="30" customHeight="1">
      <c r="A51" s="28" t="inlineStr">
        <is>
          <t>IVA del catering con servicio</t>
        </is>
      </c>
      <c r="B51" s="28" t="inlineStr">
        <is>
          <t>10 %</t>
        </is>
      </c>
      <c r="C51" s="28" t="inlineStr">
        <is>
          <t>Ley 37/1992, art. 91.Uno.2.2.º</t>
        </is>
      </c>
      <c r="D51" s="46" t="inlineStr">
        <is>
          <t>Alcohol incluido. Drop-off de alcohol y servicios facturados aparte (mobiliario, carpas, decoración): 21 %</t>
        </is>
      </c>
      <c r="E51" s="28" t="n"/>
    </row>
    <row r="52" ht="30" customHeight="1">
      <c r="A52" s="28" t="inlineStr">
        <is>
          <t>Plazo de pago de las empresas</t>
        </is>
      </c>
      <c r="B52" s="28" t="inlineStr">
        <is>
          <t>Máximo 60 días</t>
        </is>
      </c>
      <c r="C52" s="28" t="inlineStr">
        <is>
          <t>Ley 3/2004, art. 4</t>
        </is>
      </c>
      <c r="D52" s="46" t="inlineStr">
        <is>
          <t>El plan usa 25 días medios de cobro mezclando empresas y particulares</t>
        </is>
      </c>
      <c r="E52" s="28" t="n"/>
    </row>
    <row r="53" ht="30" customHeight="1">
      <c r="A53" s="28" t="inlineStr">
        <is>
          <t>Temperaturas de servicio</t>
        </is>
      </c>
      <c r="B53" s="28" t="inlineStr">
        <is>
          <t>≥ 63 °C en caliente; ≤ 4-8 °C en frío</t>
        </is>
      </c>
      <c r="C53" s="28" t="inlineStr">
        <is>
          <t>RD 1086/2020, art. 30</t>
        </is>
      </c>
      <c r="D53" s="46" t="inlineStr">
        <is>
          <t>Redacción del RD 1021/2022. Las vigila tu plan APPCC en el transporte y en cada estación</t>
        </is>
      </c>
      <c r="E53" s="28" t="n"/>
    </row>
    <row r="54" ht="30" customHeight="1">
      <c r="A54" s="28" t="inlineStr">
        <is>
          <t>Convenio colectivo aplicable</t>
        </is>
      </c>
      <c r="B54" s="28" t="inlineStr">
        <is>
          <t>Provincial de hostelería</t>
        </is>
      </c>
      <c r="C54" s="28" t="inlineStr">
        <is>
          <t>V Acuerdo Laboral de ámbito Estatal para el sector de Hostelería, art. 4</t>
        </is>
      </c>
      <c r="D54" s="46" t="inlineStr">
        <is>
          <t>Incluye el catering. Copia tu tabla salarial en la celda de Supuestos</t>
        </is>
      </c>
      <c r="E54" s="28" t="n"/>
    </row>
    <row r="55">
      <c r="A55" s="28" t="n"/>
      <c r="B55" s="28" t="n"/>
      <c r="C55" s="28" t="n"/>
      <c r="D55" s="28" t="n"/>
      <c r="E55" s="28" t="n"/>
    </row>
    <row r="56">
      <c r="A56" s="79" t="inlineStr">
        <is>
          <t>Para editar una celda que no esté en verde: Revisar → Desproteger hoja (no tiene contraseña).</t>
        </is>
      </c>
      <c r="B56" s="28" t="n"/>
      <c r="C56" s="28" t="n"/>
      <c r="D56" s="28" t="n"/>
      <c r="E56" s="28" t="n"/>
    </row>
    <row r="57">
      <c r="A57" s="79" t="inlineStr">
        <is>
          <t>Más plantillas y kits del catálogo en aichef.pro/productos-digitales</t>
        </is>
      </c>
      <c r="B57" s="28" t="n"/>
      <c r="C57" s="28" t="n"/>
      <c r="D57" s="28" t="n"/>
      <c r="E57" s="28" t="n"/>
    </row>
    <row r="58">
      <c r="A58" s="79" t="inlineStr">
        <is>
          <t>Diseñado por John Guerrero — chef y consultor gastronómico desde 2010, en cocina desde los 17 años · johnguerrero.es</t>
        </is>
      </c>
      <c r="B58" s="28" t="n"/>
      <c r="C58" s="28" t="n"/>
      <c r="D58" s="28" t="n"/>
      <c r="E58" s="28" t="n"/>
    </row>
    <row r="59">
      <c r="A59" s="79" t="inlineStr">
        <is>
          <t>Versión 2.2 · septiembre 2026 · aichef.pro/plan-catering-tematico-eventos · info@aichef.pro</t>
        </is>
      </c>
      <c r="B59" s="28" t="n"/>
      <c r="C59" s="28" t="n"/>
      <c r="D59" s="28" t="n"/>
      <c r="E59" s="28" t="n"/>
    </row>
    <row r="60">
      <c r="A60" s="28" t="n"/>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row r="73">
      <c r="A73" s="28" t="n"/>
      <c r="B73" s="28" t="n"/>
      <c r="C73" s="28" t="n"/>
      <c r="D73" s="28" t="n"/>
      <c r="E73"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75" t="n">
        <v>0.04</v>
      </c>
      <c r="C5" s="75" t="n">
        <v>0.055</v>
      </c>
      <c r="D5" s="75" t="n">
        <v>0.07000000000000001</v>
      </c>
      <c r="E5" s="75" t="n">
        <v>0.075</v>
      </c>
      <c r="F5" s="75" t="n">
        <v>0.105</v>
      </c>
      <c r="G5" s="75" t="n">
        <v>0.12</v>
      </c>
      <c r="H5" s="75" t="n">
        <v>0.09</v>
      </c>
      <c r="I5" s="75" t="n">
        <v>0.05</v>
      </c>
      <c r="J5" s="75" t="n">
        <v>0.11</v>
      </c>
      <c r="K5" s="75" t="n">
        <v>0.1</v>
      </c>
      <c r="L5" s="75" t="n">
        <v>0.07000000000000001</v>
      </c>
      <c r="M5" s="75" t="n">
        <v>0.115</v>
      </c>
      <c r="N5" s="68">
        <f>IFERROR(IF('PyG 3 Años'!$B$9="","",SUM(B5:M5)),"")</f>
        <v>1.0</v>
      </c>
      <c r="O5" s="28" t="inlineStr">
        <is>
          <t>Perfil de tu zona: agosto flojo en ciudad y fuerte en costa. Tiene que sumar 100 %</t>
        </is>
      </c>
    </row>
    <row r="6">
      <c r="A6" s="28" t="inlineStr">
        <is>
          <t>Rampa de arranque (% de la actividad de crucero)</t>
        </is>
      </c>
      <c r="B6" s="68">
        <f>IFERROR(IF('PyG 3 Años'!$B$9="","",MIN(1,'0. Supuestos'!$B$52+(1-'0. Supuestos'!$B$52)*0/MAX(1,'0. Supuestos'!$B$53-1))),"")</f>
        <v>0.55</v>
      </c>
      <c r="C6" s="68">
        <f>IFERROR(IF('PyG 3 Años'!$B$9="","",MIN(1,'0. Supuestos'!$B$52+(1-'0. Supuestos'!$B$52)*1/MAX(1,'0. Supuestos'!$B$53-1))),"")</f>
        <v>0.64</v>
      </c>
      <c r="D6" s="68">
        <f>IFERROR(IF('PyG 3 Años'!$B$9="","",MIN(1,'0. Supuestos'!$B$52+(1-'0. Supuestos'!$B$52)*2/MAX(1,'0. Supuestos'!$B$53-1))),"")</f>
        <v>0.73</v>
      </c>
      <c r="E6" s="68">
        <f>IFERROR(IF('PyG 3 Años'!$B$9="","",MIN(1,'0. Supuestos'!$B$52+(1-'0. Supuestos'!$B$52)*3/MAX(1,'0. Supuestos'!$B$53-1))),"")</f>
        <v>0.8200000000000001</v>
      </c>
      <c r="F6" s="68">
        <f>IFERROR(IF('PyG 3 Años'!$B$9="","",MIN(1,'0. Supuestos'!$B$52+(1-'0. Supuestos'!$B$52)*4/MAX(1,'0. Supuestos'!$B$53-1))),"")</f>
        <v>0.91</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68">
        <f>IFERROR(IF('PyG 3 Años'!$B$9="","",B5*B6/SUMPRODUCT($B$5:$M$5,$B$6:$M$6)),"")</f>
        <v>0.023903949584397243</v>
      </c>
      <c r="C7" s="68">
        <f>IFERROR(IF('PyG 3 Años'!$B$9="","",C5*C6/SUMPRODUCT($B$5:$M$5,$B$6:$M$6)),"")</f>
        <v>0.03824631933503558</v>
      </c>
      <c r="D7" s="68">
        <f>IFERROR(IF('PyG 3 Años'!$B$9="","",D5*D6/SUMPRODUCT($B$5:$M$5,$B$6:$M$6)),"")</f>
        <v>0.05552235562557723</v>
      </c>
      <c r="E7" s="68">
        <f>IFERROR(IF('PyG 3 Años'!$B$9="","",E5*E6/SUMPRODUCT($B$5:$M$5,$B$6:$M$6)),"")</f>
        <v>0.06682240452001956</v>
      </c>
      <c r="F7" s="68">
        <f>IFERROR(IF('PyG 3 Años'!$B$9="","",F5*F6/SUMPRODUCT($B$5:$M$5,$B$6:$M$6)),"")</f>
        <v>0.10381919921768892</v>
      </c>
      <c r="G7" s="68">
        <f>IFERROR(IF('PyG 3 Años'!$B$9="","",G5*G6/SUMPRODUCT($B$5:$M$5,$B$6:$M$6)),"")</f>
        <v>0.13038517955125767</v>
      </c>
      <c r="H7" s="68">
        <f>IFERROR(IF('PyG 3 Años'!$B$9="","",H5*H6/SUMPRODUCT($B$5:$M$5,$B$6:$M$6)),"")</f>
        <v>0.09778888466344325</v>
      </c>
      <c r="I7" s="68">
        <f>IFERROR(IF('PyG 3 Años'!$B$9="","",I5*I6/SUMPRODUCT($B$5:$M$5,$B$6:$M$6)),"")</f>
        <v>0.054327158146357364</v>
      </c>
      <c r="J7" s="68">
        <f>IFERROR(IF('PyG 3 Años'!$B$9="","",J5*J6/SUMPRODUCT($B$5:$M$5,$B$6:$M$6)),"")</f>
        <v>0.1195197479219862</v>
      </c>
      <c r="K7" s="68">
        <f>IFERROR(IF('PyG 3 Años'!$B$9="","",K5*K6/SUMPRODUCT($B$5:$M$5,$B$6:$M$6)),"")</f>
        <v>0.10865431629271473</v>
      </c>
      <c r="L7" s="68">
        <f>IFERROR(IF('PyG 3 Años'!$B$9="","",L5*L6/SUMPRODUCT($B$5:$M$5,$B$6:$M$6)),"")</f>
        <v>0.07605802140490031</v>
      </c>
      <c r="M7" s="68">
        <f>IFERROR(IF('PyG 3 Años'!$B$9="","",M5*M6/SUMPRODUCT($B$5:$M$5,$B$6:$M$6)),"")</f>
        <v>0.12495246373662194</v>
      </c>
      <c r="N7" s="68">
        <f>IFERROR(IF('PyG 3 Años'!$B$9="","",SUM(B7:M7)),"")</f>
        <v>1.0</v>
      </c>
      <c r="O7" s="28" t="inlineStr">
        <is>
          <t>Estacionalidad × rampa, normalizado a 100 %: el AÑO factura lo que dice el P&amp;L, pero repartido como lo reparte un catering que acaba de arrancar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1963.8018529997642</v>
      </c>
      <c r="C9" s="32">
        <f>IFERROR(IF('PyG 3 Años'!$B$9="","",('PyG 3 Años'!$B$9+'PyG 3 Años'!$B$9*SUMPRODUCT('PyG 3 Años'!$E$10:$E$11,'PyG 3 Años'!$G$10:$G$11))*(C7*(1-MIN(30,'0. Supuestos'!$B$58)/30)+B7*MIN(30,'0. Supuestos'!$B$58)/30)),"")</f>
        <v>12961.092229798445</v>
      </c>
      <c r="D9" s="32">
        <f>IFERROR(IF('PyG 3 Años'!$B$9="","",('PyG 3 Años'!$B$9+'PyG 3 Años'!$B$9*SUMPRODUCT('PyG 3 Años'!$E$10:$E$11,'PyG 3 Años'!$G$10:$G$11))*(D7*(1-MIN(30,'0. Supuestos'!$B$58)/30)+C7*MIN(30,'0. Supuestos'!$B$58)/30)),"")</f>
        <v>20271.790946193025</v>
      </c>
      <c r="E9" s="32">
        <f>IFERROR(IF('PyG 3 Años'!$B$9="","",('PyG 3 Años'!$B$9+'PyG 3 Años'!$B$9*SUMPRODUCT('PyG 3 Años'!$E$10:$E$11,'PyG 3 Años'!$G$10:$G$11))*(E7*(1-MIN(30,'0. Supuestos'!$B$58)/30)+D7*MIN(30,'0. Supuestos'!$B$58)/30)),"")</f>
        <v>28296.59942731479</v>
      </c>
      <c r="F9" s="32">
        <f>IFERROR(IF('PyG 3 Años'!$B$9="","",('PyG 3 Años'!$B$9+'PyG 3 Años'!$B$9*SUMPRODUCT('PyG 3 Años'!$E$10:$E$11,'PyG 3 Años'!$G$10:$G$11))*(F7*(1-MIN(30,'0. Supuestos'!$B$58)/30)+E7*MIN(30,'0. Supuestos'!$B$58)/30)),"")</f>
        <v>35977.7425841616</v>
      </c>
      <c r="G9" s="32">
        <f>IFERROR(IF('PyG 3 Años'!$B$9="","",('PyG 3 Años'!$B$9+'PyG 3 Años'!$B$9*SUMPRODUCT('PyG 3 Años'!$E$10:$E$11,'PyG 3 Años'!$G$10:$G$11))*(G7*(1-MIN(30,'0. Supuestos'!$B$58)/30)+F7*MIN(30,'0. Supuestos'!$B$58)/30)),"")</f>
        <v>53357.388983209516</v>
      </c>
      <c r="H9" s="32">
        <f>IFERROR(IF('PyG 3 Años'!$B$9="","",('PyG 3 Años'!$B$9+'PyG 3 Años'!$B$9*SUMPRODUCT('PyG 3 Años'!$E$10:$E$11,'PyG 3 Años'!$G$10:$G$11))*(H7*(1-MIN(30,'0. Supuestos'!$B$58)/30)+G7*MIN(30,'0. Supuestos'!$B$58)/30)),"")</f>
        <v>61591.967207719885</v>
      </c>
      <c r="I9" s="32">
        <f>IFERROR(IF('PyG 3 Años'!$B$9="","",('PyG 3 Años'!$B$9+'PyG 3 Años'!$B$9*SUMPRODUCT('PyG 3 Años'!$E$10:$E$11,'PyG 3 Años'!$G$10:$G$11))*(I7*(1-MIN(30,'0. Supuestos'!$B$58)/30)+H7*MIN(30,'0. Supuestos'!$B$58)/30)),"")</f>
        <v>44631.8602954492</v>
      </c>
      <c r="J9" s="32">
        <f>IFERROR(IF('PyG 3 Años'!$B$9="","",('PyG 3 Años'!$B$9+'PyG 3 Años'!$B$9*SUMPRODUCT('PyG 3 Años'!$E$10:$E$11,'PyG 3 Años'!$G$10:$G$11))*(J7*(1-MIN(30,'0. Supuestos'!$B$58)/30)+I7*MIN(30,'0. Supuestos'!$B$58)/30)),"")</f>
        <v>32134.93941272342</v>
      </c>
      <c r="K9" s="32">
        <f>IFERROR(IF('PyG 3 Años'!$B$9="","",('PyG 3 Años'!$B$9+'PyG 3 Años'!$B$9*SUMPRODUCT('PyG 3 Años'!$E$10:$E$11,'PyG 3 Años'!$G$10:$G$11))*(K7*(1-MIN(30,'0. Supuestos'!$B$58)/30)+J7*MIN(30,'0. Supuestos'!$B$58)/30)),"")</f>
        <v>58021.418384083954</v>
      </c>
      <c r="L9" s="32">
        <f>IFERROR(IF('PyG 3 Años'!$B$9="","",('PyG 3 Años'!$B$9+'PyG 3 Años'!$B$9*SUMPRODUCT('PyG 3 Años'!$E$10:$E$11,'PyG 3 Años'!$G$10:$G$11))*(L7*(1-MIN(30,'0. Supuestos'!$B$58)/30)+K7*MIN(30,'0. Supuestos'!$B$58)/30)),"")</f>
        <v>50880.32073681208</v>
      </c>
      <c r="M9" s="32">
        <f>IFERROR(IF('PyG 3 Años'!$B$9="","",('PyG 3 Años'!$B$9+'PyG 3 Años'!$B$9*SUMPRODUCT('PyG 3 Años'!$E$10:$E$11,'PyG 3 Años'!$G$10:$G$11))*(M7*(1-MIN(30,'0. Supuestos'!$B$58)/30)+L7*MIN(30,'0. Supuestos'!$B$58)/30)),"")</f>
        <v>41507.63007476775</v>
      </c>
      <c r="N9" s="32">
        <f>IFERROR(IF('PyG 3 Años'!$B$9="","",SUM(B9:M9)),"")</f>
        <v>441596.5521352335</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-0.0</v>
      </c>
      <c r="C11" s="32">
        <f>IFERROR(IF('PyG 3 Años'!$B$9="","",-('PyG 3 Años'!$B$13*(1+'PyG 3 Años'!$G$13)+'PyG 3 Años'!$B$14*(1+'PyG 3 Años'!$G$14)+'PyG 3 Años'!$B$15*(1+'PyG 3 Años'!$G$15)+'PyG 3 Años'!$B$16*(1+'PyG 3 Años'!$G$16)+'PyG 3 Años'!$B$17*(1+'PyG 3 Años'!$G$17)+'PyG 3 Años'!$B$18*(1+'PyG 3 Años'!$G$18))*(C7*(1-MIN(30,'0. Supuestos'!$B$59)/30)+B7*MIN(30,'0. Supuestos'!$B$59)/30)),"")</f>
        <v>-4683.536907393926</v>
      </c>
      <c r="D11" s="32">
        <f>IFERROR(IF('PyG 3 Años'!$B$9="","",-('PyG 3 Años'!$B$13*(1+'PyG 3 Años'!$G$13)+'PyG 3 Años'!$B$14*(1+'PyG 3 Años'!$G$14)+'PyG 3 Años'!$B$15*(1+'PyG 3 Años'!$G$15)+'PyG 3 Años'!$B$16*(1+'PyG 3 Años'!$G$16)+'PyG 3 Años'!$B$17*(1+'PyG 3 Años'!$G$17)+'PyG 3 Años'!$B$18*(1+'PyG 3 Años'!$G$18))*(D7*(1-MIN(30,'0. Supuestos'!$B$59)/30)+C7*MIN(30,'0. Supuestos'!$B$59)/30)),"")</f>
        <v>-7493.659051830283</v>
      </c>
      <c r="E11" s="32">
        <f>IFERROR(IF('PyG 3 Años'!$B$9="","",-('PyG 3 Años'!$B$13*(1+'PyG 3 Años'!$G$13)+'PyG 3 Años'!$B$14*(1+'PyG 3 Años'!$G$14)+'PyG 3 Años'!$B$15*(1+'PyG 3 Años'!$G$15)+'PyG 3 Años'!$B$16*(1+'PyG 3 Años'!$G$16)+'PyG 3 Años'!$B$17*(1+'PyG 3 Años'!$G$17)+'PyG 3 Años'!$B$18*(1+'PyG 3 Años'!$G$18))*(E7*(1-MIN(30,'0. Supuestos'!$B$59)/30)+D7*MIN(30,'0. Supuestos'!$B$59)/30)),"")</f>
        <v>-10878.57890762862</v>
      </c>
      <c r="F11" s="32">
        <f>IFERROR(IF('PyG 3 Años'!$B$9="","",-('PyG 3 Años'!$B$13*(1+'PyG 3 Años'!$G$13)+'PyG 3 Años'!$B$14*(1+'PyG 3 Años'!$G$14)+'PyG 3 Años'!$B$15*(1+'PyG 3 Años'!$G$15)+'PyG 3 Años'!$B$16*(1+'PyG 3 Años'!$G$16)+'PyG 3 Años'!$B$17*(1+'PyG 3 Años'!$G$17)+'PyG 3 Años'!$B$18*(1+'PyG 3 Años'!$G$18))*(F7*(1-MIN(30,'0. Supuestos'!$B$59)/30)+E7*MIN(30,'0. Supuestos'!$B$59)/30)),"")</f>
        <v>-13092.614536578476</v>
      </c>
      <c r="G11" s="32">
        <f>IFERROR(IF('PyG 3 Años'!$B$9="","",-('PyG 3 Años'!$B$13*(1+'PyG 3 Años'!$G$13)+'PyG 3 Años'!$B$14*(1+'PyG 3 Años'!$G$14)+'PyG 3 Años'!$B$15*(1+'PyG 3 Años'!$G$15)+'PyG 3 Años'!$B$16*(1+'PyG 3 Años'!$G$16)+'PyG 3 Años'!$B$17*(1+'PyG 3 Años'!$G$17)+'PyG 3 Años'!$B$18*(1+'PyG 3 Años'!$G$18))*(G7*(1-MIN(30,'0. Supuestos'!$B$59)/30)+F7*MIN(30,'0. Supuestos'!$B$59)/30)),"")</f>
        <v>-20341.4523409768</v>
      </c>
      <c r="H11" s="32">
        <f>IFERROR(IF('PyG 3 Años'!$B$9="","",-('PyG 3 Años'!$B$13*(1+'PyG 3 Años'!$G$13)+'PyG 3 Años'!$B$14*(1+'PyG 3 Años'!$G$14)+'PyG 3 Años'!$B$15*(1+'PyG 3 Años'!$G$15)+'PyG 3 Años'!$B$16*(1+'PyG 3 Años'!$G$16)+'PyG 3 Años'!$B$17*(1+'PyG 3 Años'!$G$17)+'PyG 3 Años'!$B$18*(1+'PyG 3 Años'!$G$18))*(H7*(1-MIN(30,'0. Supuestos'!$B$59)/30)+G7*MIN(30,'0. Supuestos'!$B$59)/30)),"")</f>
        <v>-25546.564949421416</v>
      </c>
      <c r="I11" s="32">
        <f>IFERROR(IF('PyG 3 Años'!$B$9="","",-('PyG 3 Años'!$B$13*(1+'PyG 3 Años'!$G$13)+'PyG 3 Años'!$B$14*(1+'PyG 3 Años'!$G$14)+'PyG 3 Años'!$B$15*(1+'PyG 3 Años'!$G$15)+'PyG 3 Años'!$B$16*(1+'PyG 3 Años'!$G$16)+'PyG 3 Años'!$B$17*(1+'PyG 3 Años'!$G$17)+'PyG 3 Años'!$B$18*(1+'PyG 3 Años'!$G$18))*(I7*(1-MIN(30,'0. Supuestos'!$B$59)/30)+H7*MIN(30,'0. Supuestos'!$B$59)/30)),"")</f>
        <v>-19159.923712066062</v>
      </c>
      <c r="J11" s="32">
        <f>IFERROR(IF('PyG 3 Años'!$B$9="","",-('PyG 3 Años'!$B$13*(1+'PyG 3 Años'!$G$13)+'PyG 3 Años'!$B$14*(1+'PyG 3 Años'!$G$14)+'PyG 3 Años'!$B$15*(1+'PyG 3 Años'!$G$15)+'PyG 3 Años'!$B$16*(1+'PyG 3 Años'!$G$16)+'PyG 3 Años'!$B$17*(1+'PyG 3 Años'!$G$17)+'PyG 3 Años'!$B$18*(1+'PyG 3 Años'!$G$18))*(J7*(1-MIN(30,'0. Supuestos'!$B$59)/30)+I7*MIN(30,'0. Supuestos'!$B$59)/30)),"")</f>
        <v>-10644.402062258923</v>
      </c>
      <c r="K11" s="32">
        <f>IFERROR(IF('PyG 3 Años'!$B$9="","",-('PyG 3 Años'!$B$13*(1+'PyG 3 Años'!$G$13)+'PyG 3 Años'!$B$14*(1+'PyG 3 Años'!$G$14)+'PyG 3 Años'!$B$15*(1+'PyG 3 Años'!$G$15)+'PyG 3 Años'!$B$16*(1+'PyG 3 Años'!$G$16)+'PyG 3 Años'!$B$17*(1+'PyG 3 Años'!$G$17)+'PyG 3 Años'!$B$18*(1+'PyG 3 Años'!$G$18))*(K7*(1-MIN(30,'0. Supuestos'!$B$59)/30)+J7*MIN(30,'0. Supuestos'!$B$59)/30)),"")</f>
        <v>-23417.68453696963</v>
      </c>
      <c r="L11" s="32">
        <f>IFERROR(IF('PyG 3 Años'!$B$9="","",-('PyG 3 Años'!$B$13*(1+'PyG 3 Años'!$G$13)+'PyG 3 Años'!$B$14*(1+'PyG 3 Años'!$G$14)+'PyG 3 Años'!$B$15*(1+'PyG 3 Años'!$G$15)+'PyG 3 Años'!$B$16*(1+'PyG 3 Años'!$G$16)+'PyG 3 Años'!$B$17*(1+'PyG 3 Años'!$G$17)+'PyG 3 Años'!$B$18*(1+'PyG 3 Años'!$G$18))*(L7*(1-MIN(30,'0. Supuestos'!$B$59)/30)+K7*MIN(30,'0. Supuestos'!$B$59)/30)),"")</f>
        <v>-21288.804124517847</v>
      </c>
      <c r="M11" s="32">
        <f>IFERROR(IF('PyG 3 Años'!$B$9="","",-('PyG 3 Años'!$B$13*(1+'PyG 3 Años'!$G$13)+'PyG 3 Años'!$B$14*(1+'PyG 3 Años'!$G$14)+'PyG 3 Años'!$B$15*(1+'PyG 3 Años'!$G$15)+'PyG 3 Años'!$B$16*(1+'PyG 3 Años'!$G$16)+'PyG 3 Años'!$B$17*(1+'PyG 3 Años'!$G$17)+'PyG 3 Años'!$B$18*(1+'PyG 3 Años'!$G$18))*(M7*(1-MIN(30,'0. Supuestos'!$B$59)/30)+L7*MIN(30,'0. Supuestos'!$B$59)/30)),"")</f>
        <v>-14902.162887162493</v>
      </c>
      <c r="N11" s="32">
        <f>IFERROR(IF('PyG 3 Años'!$B$9="","",SUM(B11:M11)),"")</f>
        <v>-171449.38401680448</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-5199.791666666667</v>
      </c>
      <c r="C12" s="32">
        <f>IFERROR(IF('PyG 3 Años'!$B$9="","",-('PyG 3 Años'!$B$38-'PyG 3 Años'!$B$23-'PyG 3 Años'!$B$36-'PyG 3 Años'!$B$37+'PyG 3 Años'!$B$40)/12),"")</f>
        <v>-5199.791666666667</v>
      </c>
      <c r="D12" s="32">
        <f>IFERROR(IF('PyG 3 Años'!$B$9="","",-('PyG 3 Años'!$B$38-'PyG 3 Años'!$B$23-'PyG 3 Años'!$B$36-'PyG 3 Años'!$B$37+'PyG 3 Años'!$B$40)/12),"")</f>
        <v>-5199.791666666667</v>
      </c>
      <c r="E12" s="32">
        <f>IFERROR(IF('PyG 3 Años'!$B$9="","",-('PyG 3 Años'!$B$38-'PyG 3 Años'!$B$23-'PyG 3 Años'!$B$36-'PyG 3 Años'!$B$37+'PyG 3 Años'!$B$40)/12),"")</f>
        <v>-5199.791666666667</v>
      </c>
      <c r="F12" s="32">
        <f>IFERROR(IF('PyG 3 Años'!$B$9="","",-('PyG 3 Años'!$B$38-'PyG 3 Años'!$B$23-'PyG 3 Años'!$B$36-'PyG 3 Años'!$B$37+'PyG 3 Años'!$B$40)/12),"")</f>
        <v>-5199.791666666667</v>
      </c>
      <c r="G12" s="32">
        <f>IFERROR(IF('PyG 3 Años'!$B$9="","",-('PyG 3 Años'!$B$38-'PyG 3 Años'!$B$23-'PyG 3 Años'!$B$36-'PyG 3 Años'!$B$37+'PyG 3 Años'!$B$40)/12),"")</f>
        <v>-5199.791666666667</v>
      </c>
      <c r="H12" s="32">
        <f>IFERROR(IF('PyG 3 Años'!$B$9="","",-('PyG 3 Años'!$B$38-'PyG 3 Años'!$B$23-'PyG 3 Años'!$B$36-'PyG 3 Años'!$B$37+'PyG 3 Años'!$B$40)/12),"")</f>
        <v>-5199.791666666667</v>
      </c>
      <c r="I12" s="32">
        <f>IFERROR(IF('PyG 3 Años'!$B$9="","",-('PyG 3 Años'!$B$38-'PyG 3 Años'!$B$23-'PyG 3 Años'!$B$36-'PyG 3 Años'!$B$37+'PyG 3 Años'!$B$40)/12),"")</f>
        <v>-5199.791666666667</v>
      </c>
      <c r="J12" s="32">
        <f>IFERROR(IF('PyG 3 Años'!$B$9="","",-('PyG 3 Años'!$B$38-'PyG 3 Años'!$B$23-'PyG 3 Años'!$B$36-'PyG 3 Años'!$B$37+'PyG 3 Años'!$B$40)/12),"")</f>
        <v>-5199.791666666667</v>
      </c>
      <c r="K12" s="32">
        <f>IFERROR(IF('PyG 3 Años'!$B$9="","",-('PyG 3 Años'!$B$38-'PyG 3 Años'!$B$23-'PyG 3 Años'!$B$36-'PyG 3 Años'!$B$37+'PyG 3 Años'!$B$40)/12),"")</f>
        <v>-5199.791666666667</v>
      </c>
      <c r="L12" s="32">
        <f>IFERROR(IF('PyG 3 Años'!$B$9="","",-('PyG 3 Años'!$B$38-'PyG 3 Años'!$B$23-'PyG 3 Años'!$B$36-'PyG 3 Años'!$B$37+'PyG 3 Años'!$B$40)/12),"")</f>
        <v>-5199.791666666667</v>
      </c>
      <c r="M12" s="32">
        <f>IFERROR(IF('PyG 3 Años'!$B$9="","",-('PyG 3 Años'!$B$38-'PyG 3 Años'!$B$23-'PyG 3 Años'!$B$36-'PyG 3 Años'!$B$37+'PyG 3 Años'!$B$40)/12),"")</f>
        <v>-5199.791666666667</v>
      </c>
      <c r="N12" s="32">
        <f>IFERROR(IF('PyG 3 Años'!$B$9="","",SUM(B12:M12)),"")</f>
        <v>-62397.49999999999</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-11626.86</v>
      </c>
      <c r="C13" s="32">
        <f>IFERROR(IF('PyG 3 Años'!$B$9="","",-'PyG 3 Años'!$B$23/MAX(12,'0. Supuestos'!$B$21)*(1+IF(2='0. Supuestos'!$B$60,(MAX(12,'0. Supuestos'!$B$21)-12)/2,0)+IF(2='0. Supuestos'!$B$61,(MAX(12,'0. Supuestos'!$B$21)-12)/2,0))),"")</f>
        <v>-11626.86</v>
      </c>
      <c r="D13" s="32">
        <f>IFERROR(IF('PyG 3 Años'!$B$9="","",-'PyG 3 Años'!$B$23/MAX(12,'0. Supuestos'!$B$21)*(1+IF(3='0. Supuestos'!$B$60,(MAX(12,'0. Supuestos'!$B$21)-12)/2,0)+IF(3='0. Supuestos'!$B$61,(MAX(12,'0. Supuestos'!$B$21)-12)/2,0))),"")</f>
        <v>-11626.86</v>
      </c>
      <c r="E13" s="32">
        <f>IFERROR(IF('PyG 3 Años'!$B$9="","",-'PyG 3 Años'!$B$23/MAX(12,'0. Supuestos'!$B$21)*(1+IF(4='0. Supuestos'!$B$60,(MAX(12,'0. Supuestos'!$B$21)-12)/2,0)+IF(4='0. Supuestos'!$B$61,(MAX(12,'0. Supuestos'!$B$21)-12)/2,0))),"")</f>
        <v>-11626.86</v>
      </c>
      <c r="F13" s="32">
        <f>IFERROR(IF('PyG 3 Años'!$B$9="","",-'PyG 3 Años'!$B$23/MAX(12,'0. Supuestos'!$B$21)*(1+IF(5='0. Supuestos'!$B$60,(MAX(12,'0. Supuestos'!$B$21)-12)/2,0)+IF(5='0. Supuestos'!$B$61,(MAX(12,'0. Supuestos'!$B$21)-12)/2,0))),"")</f>
        <v>-11626.86</v>
      </c>
      <c r="G13" s="32">
        <f>IFERROR(IF('PyG 3 Años'!$B$9="","",-'PyG 3 Años'!$B$23/MAX(12,'0. Supuestos'!$B$21)*(1+IF(6='0. Supuestos'!$B$60,(MAX(12,'0. Supuestos'!$B$21)-12)/2,0)+IF(6='0. Supuestos'!$B$61,(MAX(12,'0. Supuestos'!$B$21)-12)/2,0))),"")</f>
        <v>-11626.86</v>
      </c>
      <c r="H13" s="32">
        <f>IFERROR(IF('PyG 3 Años'!$B$9="","",-'PyG 3 Años'!$B$23/MAX(12,'0. Supuestos'!$B$21)*(1+IF(7='0. Supuestos'!$B$60,(MAX(12,'0. Supuestos'!$B$21)-12)/2,0)+IF(7='0. Supuestos'!$B$61,(MAX(12,'0. Supuestos'!$B$21)-12)/2,0))),"")</f>
        <v>-23253.72</v>
      </c>
      <c r="I13" s="32">
        <f>IFERROR(IF('PyG 3 Años'!$B$9="","",-'PyG 3 Años'!$B$23/MAX(12,'0. Supuestos'!$B$21)*(1+IF(8='0. Supuestos'!$B$60,(MAX(12,'0. Supuestos'!$B$21)-12)/2,0)+IF(8='0. Supuestos'!$B$61,(MAX(12,'0. Supuestos'!$B$21)-12)/2,0))),"")</f>
        <v>-11626.86</v>
      </c>
      <c r="J13" s="32">
        <f>IFERROR(IF('PyG 3 Años'!$B$9="","",-'PyG 3 Años'!$B$23/MAX(12,'0. Supuestos'!$B$21)*(1+IF(9='0. Supuestos'!$B$60,(MAX(12,'0. Supuestos'!$B$21)-12)/2,0)+IF(9='0. Supuestos'!$B$61,(MAX(12,'0. Supuestos'!$B$21)-12)/2,0))),"")</f>
        <v>-11626.86</v>
      </c>
      <c r="K13" s="32">
        <f>IFERROR(IF('PyG 3 Años'!$B$9="","",-'PyG 3 Años'!$B$23/MAX(12,'0. Supuestos'!$B$21)*(1+IF(10='0. Supuestos'!$B$60,(MAX(12,'0. Supuestos'!$B$21)-12)/2,0)+IF(10='0. Supuestos'!$B$61,(MAX(12,'0. Supuestos'!$B$21)-12)/2,0))),"")</f>
        <v>-11626.86</v>
      </c>
      <c r="L13" s="32">
        <f>IFERROR(IF('PyG 3 Años'!$B$9="","",-'PyG 3 Años'!$B$23/MAX(12,'0. Supuestos'!$B$21)*(1+IF(11='0. Supuestos'!$B$60,(MAX(12,'0. Supuestos'!$B$21)-12)/2,0)+IF(11='0. Supuestos'!$B$61,(MAX(12,'0. Supuestos'!$B$21)-12)/2,0))),"")</f>
        <v>-11626.86</v>
      </c>
      <c r="M13" s="32">
        <f>IFERROR(IF('PyG 3 Años'!$B$9="","",-'PyG 3 Años'!$B$23/MAX(12,'0. Supuestos'!$B$21)*(1+IF(12='0. Supuestos'!$B$60,(MAX(12,'0. Supuestos'!$B$21)-12)/2,0)+IF(12='0. Supuestos'!$B$61,(MAX(12,'0. Supuestos'!$B$21)-12)/2,0))),"")</f>
        <v>-23253.72</v>
      </c>
      <c r="N13" s="32">
        <f>IFERROR(IF('PyG 3 Años'!$B$9="","",SUM(B13:M13)),"")</f>
        <v>-162776.04</v>
      </c>
      <c r="O13" s="28" t="inlineStr">
        <is>
          <t>Doce mensualidades más las pagas extra en los meses que digas en Supuestos. La suma del año es la misma que la del P&amp;L</t>
        </is>
      </c>
    </row>
    <row r="14">
      <c r="A14" s="28" t="inlineStr">
        <is>
          <t>Intereses del préstamo</t>
        </is>
      </c>
      <c r="B14" s="32">
        <f>IFERROR(IF('PyG 3 Años'!$B$9="","",-'Financiación'!$B$44/12),"")</f>
        <v>-601.25</v>
      </c>
      <c r="C14" s="32">
        <f>IFERROR(IF('PyG 3 Años'!$B$9="","",-'Financiación'!$B$44/12),"")</f>
        <v>-601.25</v>
      </c>
      <c r="D14" s="32">
        <f>IFERROR(IF('PyG 3 Años'!$B$9="","",-'Financiación'!$B$44/12),"")</f>
        <v>-601.25</v>
      </c>
      <c r="E14" s="32">
        <f>IFERROR(IF('PyG 3 Años'!$B$9="","",-'Financiación'!$B$44/12),"")</f>
        <v>-601.25</v>
      </c>
      <c r="F14" s="32">
        <f>IFERROR(IF('PyG 3 Años'!$B$9="","",-'Financiación'!$B$44/12),"")</f>
        <v>-601.25</v>
      </c>
      <c r="G14" s="32">
        <f>IFERROR(IF('PyG 3 Años'!$B$9="","",-'Financiación'!$B$44/12),"")</f>
        <v>-601.25</v>
      </c>
      <c r="H14" s="32">
        <f>IFERROR(IF('PyG 3 Años'!$B$9="","",-'Financiación'!$B$44/12),"")</f>
        <v>-601.25</v>
      </c>
      <c r="I14" s="32">
        <f>IFERROR(IF('PyG 3 Años'!$B$9="","",-'Financiación'!$B$44/12),"")</f>
        <v>-601.25</v>
      </c>
      <c r="J14" s="32">
        <f>IFERROR(IF('PyG 3 Años'!$B$9="","",-'Financiación'!$B$44/12),"")</f>
        <v>-601.25</v>
      </c>
      <c r="K14" s="32">
        <f>IFERROR(IF('PyG 3 Años'!$B$9="","",-'Financiación'!$B$44/12),"")</f>
        <v>-601.25</v>
      </c>
      <c r="L14" s="32">
        <f>IFERROR(IF('PyG 3 Años'!$B$9="","",-'Financiación'!$B$44/12),"")</f>
        <v>-601.25</v>
      </c>
      <c r="M14" s="32">
        <f>IFERROR(IF('PyG 3 Años'!$B$9="","",-'Financiación'!$B$44/12),"")</f>
        <v>-601.25</v>
      </c>
      <c r="N14" s="32">
        <f>IFERROR(IF('PyG 3 Años'!$B$9="","",SUM(B14:M14)),"")</f>
        <v>-7215.0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1077.4272966262836</v>
      </c>
      <c r="C16" s="32">
        <f>IFERROR(IF('PyG 3 Años'!$B$9="","",'PyG 3 Años'!$B$9*C7*SUMPRODUCT('PyG 3 Años'!$E$10:$E$11,'PyG 3 Años'!$G$10:$G$11)),"")</f>
        <v>1723.8836746020538</v>
      </c>
      <c r="D16" s="32">
        <f>IFERROR(IF('PyG 3 Años'!$B$9="","",'PyG 3 Años'!$B$9*D7*SUMPRODUCT('PyG 3 Años'!$E$10:$E$11,'PyG 3 Años'!$G$10:$G$11)),"")</f>
        <v>2502.5697662546863</v>
      </c>
      <c r="E16" s="32">
        <f>IFERROR(IF('PyG 3 Años'!$B$9="","",'PyG 3 Años'!$B$9*E7*SUMPRODUCT('PyG 3 Años'!$E$10:$E$11,'PyG 3 Años'!$G$10:$G$11)),"")</f>
        <v>3011.8990337507475</v>
      </c>
      <c r="F16" s="32">
        <f>IFERROR(IF('PyG 3 Años'!$B$9="","",'PyG 3 Años'!$B$9*F7*SUMPRODUCT('PyG 3 Años'!$E$10:$E$11,'PyG 3 Años'!$G$10:$G$11)),"")</f>
        <v>4679.462645120064</v>
      </c>
      <c r="G16" s="32">
        <f>IFERROR(IF('PyG 3 Años'!$B$9="","",'PyG 3 Años'!$B$9*G7*SUMPRODUCT('PyG 3 Años'!$E$10:$E$11,'PyG 3 Años'!$G$10:$G$11)),"")</f>
        <v>5876.876163416092</v>
      </c>
      <c r="H16" s="32">
        <f>IFERROR(IF('PyG 3 Años'!$B$9="","",'PyG 3 Años'!$B$9*H7*SUMPRODUCT('PyG 3 Años'!$E$10:$E$11,'PyG 3 Años'!$G$10:$G$11)),"")</f>
        <v>4407.657122562069</v>
      </c>
      <c r="I16" s="32">
        <f>IFERROR(IF('PyG 3 Años'!$B$9="","",'PyG 3 Años'!$B$9*I7*SUMPRODUCT('PyG 3 Años'!$E$10:$E$11,'PyG 3 Años'!$G$10:$G$11)),"")</f>
        <v>2448.6984014233717</v>
      </c>
      <c r="J16" s="32">
        <f>IFERROR(IF('PyG 3 Años'!$B$9="","",'PyG 3 Años'!$B$9*J7*SUMPRODUCT('PyG 3 Años'!$E$10:$E$11,'PyG 3 Años'!$G$10:$G$11)),"")</f>
        <v>5387.136483131419</v>
      </c>
      <c r="K16" s="32">
        <f>IFERROR(IF('PyG 3 Años'!$B$9="","",'PyG 3 Años'!$B$9*K7*SUMPRODUCT('PyG 3 Años'!$E$10:$E$11,'PyG 3 Años'!$G$10:$G$11)),"")</f>
        <v>4897.396802846743</v>
      </c>
      <c r="L16" s="32">
        <f>IFERROR(IF('PyG 3 Años'!$B$9="","",'PyG 3 Años'!$B$9*L7*SUMPRODUCT('PyG 3 Años'!$E$10:$E$11,'PyG 3 Años'!$G$10:$G$11)),"")</f>
        <v>3428.17776199272</v>
      </c>
      <c r="M16" s="32">
        <f>IFERROR(IF('PyG 3 Años'!$B$9="","",'PyG 3 Años'!$B$9*M7*SUMPRODUCT('PyG 3 Años'!$E$10:$E$11,'PyG 3 Años'!$G$10:$G$11)),"")</f>
        <v>5632.006323273756</v>
      </c>
      <c r="N16" s="32">
        <f>IFERROR(IF('PyG 3 Años'!$B$9="","",SUM(B16:M16)),"")</f>
        <v>45073.191475</v>
      </c>
      <c r="O16" s="28" t="inlineStr">
        <is>
          <t>Cada línea de venta a SU tipo, leído de la columna de IVA del P&amp;L: en el servicio de catering, alcohol incluido, el reducido (art. 91.Uno.2.2.º de la Ley 37/1992 del IVA); el alcohol que sale por drop-off, al general; los servicios facturados aparte (mobiliario, carpas, decoración), al general (art. 90)</t>
        </is>
      </c>
    </row>
    <row r="17">
      <c r="A17" s="28" t="inlineStr">
        <is>
          <t>IVA soportado del mes (memoria)</t>
        </is>
      </c>
      <c r="B17" s="32">
        <f>IFERROR(IF('PyG 3 Años'!$B$9="","",'PyG 3 Años'!$B$39*B7+'PyG 3 Años'!$B$40/12),"")</f>
        <v>1417.6015988156682</v>
      </c>
      <c r="C17" s="32">
        <f>IFERROR(IF('PyG 3 Años'!$B$9="","",'PyG 3 Años'!$B$39*C7+'PyG 3 Años'!$B$40/12),"")</f>
        <v>1745.787558105069</v>
      </c>
      <c r="D17" s="32">
        <f>IFERROR(IF('PyG 3 Años'!$B$9="","",'PyG 3 Años'!$B$39*D7+'PyG 3 Años'!$B$40/12),"")</f>
        <v>2141.1024636127563</v>
      </c>
      <c r="E17" s="32">
        <f>IFERROR(IF('PyG 3 Años'!$B$9="","",'PyG 3 Años'!$B$39*E7+'PyG 3 Años'!$B$40/12),"")</f>
        <v>2399.6732194165265</v>
      </c>
      <c r="F17" s="32">
        <f>IFERROR(IF('PyG 3 Años'!$B$9="","",'PyG 3 Años'!$B$39*F7+'PyG 3 Años'!$B$40/12),"")</f>
        <v>3246.24381894714</v>
      </c>
      <c r="G17" s="32">
        <f>IFERROR(IF('PyG 3 Años'!$B$9="","",'PyG 3 Años'!$B$39*G7+'PyG 3 Años'!$B$40/12),"")</f>
        <v>3854.1337208127347</v>
      </c>
      <c r="H17" s="32">
        <f>IFERROR(IF('PyG 3 Años'!$B$9="","",'PyG 3 Años'!$B$39*H7+'PyG 3 Años'!$B$40/12),"")</f>
        <v>3108.256540609551</v>
      </c>
      <c r="I17" s="32">
        <f>IFERROR(IF('PyG 3 Años'!$B$9="","",'PyG 3 Años'!$B$39*I7+'PyG 3 Años'!$B$40/12),"")</f>
        <v>2113.7536336719727</v>
      </c>
      <c r="J17" s="32">
        <f>IFERROR(IF('PyG 3 Años'!$B$9="","",'PyG 3 Años'!$B$39*J7+'PyG 3 Años'!$B$40/12),"")</f>
        <v>3605.5079940783403</v>
      </c>
      <c r="K17" s="32">
        <f>IFERROR(IF('PyG 3 Años'!$B$9="","",'PyG 3 Años'!$B$39*K7+'PyG 3 Años'!$B$40/12),"")</f>
        <v>3356.8822673439454</v>
      </c>
      <c r="L17" s="32">
        <f>IFERROR(IF('PyG 3 Años'!$B$9="","",'PyG 3 Años'!$B$39*L7+'PyG 3 Años'!$B$40/12),"")</f>
        <v>2611.005087140762</v>
      </c>
      <c r="M17" s="32">
        <f>IFERROR(IF('PyG 3 Años'!$B$9="","",'PyG 3 Años'!$B$39*M7+'PyG 3 Años'!$B$40/12),"")</f>
        <v>3729.8208574455375</v>
      </c>
      <c r="N17" s="32">
        <f>IFERROR(IF('PyG 3 Años'!$B$9="","",SUM(B17:M17)),"")</f>
        <v>33329.76876</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Inicial'!$B$28),"")</f>
        <v>14674.8</v>
      </c>
      <c r="F18" s="28" t="n"/>
      <c r="G18" s="28" t="n"/>
      <c r="H18" s="32">
        <f>IFERROR(IF('PyG 3 Años'!$B$9="","",MAX(0,-E19)),"")</f>
        <v>14675.41088305047</v>
      </c>
      <c r="I18" s="28" t="n"/>
      <c r="J18" s="28" t="n"/>
      <c r="K18" s="32">
        <f>IFERROR(IF('PyG 3 Años'!$B$9="","",MAX(0,-H19)),"")</f>
        <v>10607.223799939968</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-14675.41088305047</v>
      </c>
      <c r="F19" s="28" t="n"/>
      <c r="G19" s="28" t="n"/>
      <c r="H19" s="32">
        <f>IFERROR(IF('PyG 3 Años'!$B$9="","",SUM(E16:G16)-SUM(E17:G17)-H18),"")</f>
        <v>-10607.223799939968</v>
      </c>
      <c r="I19" s="28" t="n"/>
      <c r="J19" s="28" t="n"/>
      <c r="K19" s="32">
        <f>IFERROR(IF('PyG 3 Años'!$B$9="","",SUM(H16:J16)-SUM(H17:J17)-K18),"")</f>
        <v>-7191.249961182972</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-15464.099813666904</v>
      </c>
      <c r="C21" s="26">
        <f>IFERROR(IF('PyG 3 Años'!$B$9="","",SUM(C9:C15)+IF(C20="",0,C20)),"")</f>
        <v>-9150.34634426215</v>
      </c>
      <c r="D21" s="26">
        <f>IFERROR(IF('PyG 3 Años'!$B$9="","",SUM(D9:D15)+IF(D20="",0,D20)),"")</f>
        <v>-4649.769772303926</v>
      </c>
      <c r="E21" s="26">
        <f>IFERROR(IF('PyG 3 Años'!$B$9="","",SUM(E9:E15)+IF(E20="",0,E20)),"")</f>
        <v>-9.881146980496851</v>
      </c>
      <c r="F21" s="26">
        <f>IFERROR(IF('PyG 3 Años'!$B$9="","",SUM(F9:F15)+IF(F20="",0,F20)),"")</f>
        <v>5457.226380916454</v>
      </c>
      <c r="G21" s="26">
        <f>IFERROR(IF('PyG 3 Años'!$B$9="","",SUM(G9:G15)+IF(G20="",0,G20)),"")</f>
        <v>15588.034975566046</v>
      </c>
      <c r="H21" s="26">
        <f>IFERROR(IF('PyG 3 Años'!$B$9="","",SUM(H9:H15)+IF(H20="",0,H20)),"")</f>
        <v>6990.6405916318</v>
      </c>
      <c r="I21" s="26">
        <f>IFERROR(IF('PyG 3 Años'!$B$9="","",SUM(I9:I15)+IF(I20="",0,I20)),"")</f>
        <v>8044.034916716471</v>
      </c>
      <c r="J21" s="26">
        <f>IFERROR(IF('PyG 3 Años'!$B$9="","",SUM(J9:J15)+IF(J20="",0,J20)),"")</f>
        <v>4062.6356837978274</v>
      </c>
      <c r="K21" s="26">
        <f>IFERROR(IF('PyG 3 Años'!$B$9="","",SUM(K9:K15)+IF(K20="",0,K20)),"")</f>
        <v>17175.832180447655</v>
      </c>
      <c r="L21" s="26">
        <f>IFERROR(IF('PyG 3 Años'!$B$9="","",SUM(L9:L15)+IF(L20="",0,L20)),"")</f>
        <v>12163.614945627563</v>
      </c>
      <c r="M21" s="26">
        <f>IFERROR(IF('PyG 3 Años'!$B$9="","",SUM(M9:M15)+IF(M20="",0,M20)),"")</f>
        <v>-2449.294479061409</v>
      </c>
      <c r="N21" s="26">
        <f>IFERROR(IF('PyG 3 Años'!$B$9="","",SUM(B21:M21)),"")</f>
        <v>37758.628118428926</v>
      </c>
      <c r="O21" s="28" t="n"/>
    </row>
    <row r="22">
      <c r="A22" s="25" t="inlineStr">
        <is>
          <t>SALDO ACUMULADO DE CAJA</t>
        </is>
      </c>
      <c r="B22" s="26">
        <f>IFERROR(IF('PyG 3 Años'!$B$9="","",'Inversión Inicial'!$B$25+B21),"")</f>
        <v>40021.1601863331</v>
      </c>
      <c r="C22" s="26">
        <f>IFERROR(IF('PyG 3 Años'!$B$9="","",B22+C21),"")</f>
        <v>30870.81384207095</v>
      </c>
      <c r="D22" s="26">
        <f>IFERROR(IF('PyG 3 Años'!$B$9="","",C22+D21),"")</f>
        <v>26221.044069767024</v>
      </c>
      <c r="E22" s="26">
        <f>IFERROR(IF('PyG 3 Años'!$B$9="","",D22+E21),"")</f>
        <v>26211.162922786527</v>
      </c>
      <c r="F22" s="26">
        <f>IFERROR(IF('PyG 3 Años'!$B$9="","",E22+F21),"")</f>
        <v>31668.38930370298</v>
      </c>
      <c r="G22" s="26">
        <f>IFERROR(IF('PyG 3 Años'!$B$9="","",F22+G21),"")</f>
        <v>47256.42427926903</v>
      </c>
      <c r="H22" s="26">
        <f>IFERROR(IF('PyG 3 Años'!$B$9="","",G22+H21),"")</f>
        <v>54247.064870900824</v>
      </c>
      <c r="I22" s="26">
        <f>IFERROR(IF('PyG 3 Años'!$B$9="","",H22+I21),"")</f>
        <v>62291.09978761729</v>
      </c>
      <c r="J22" s="26">
        <f>IFERROR(IF('PyG 3 Años'!$B$9="","",I22+J21),"")</f>
        <v>66353.73547141512</v>
      </c>
      <c r="K22" s="26">
        <f>IFERROR(IF('PyG 3 Años'!$B$9="","",J22+K21),"")</f>
        <v>83529.56765186277</v>
      </c>
      <c r="L22" s="26">
        <f>IFERROR(IF('PyG 3 Años'!$B$9="","",K22+L21),"")</f>
        <v>95693.18259749033</v>
      </c>
      <c r="M22" s="26">
        <f>IFERROR(IF('PyG 3 Años'!$B$9="","",L22+M21),"")</f>
        <v>93243.88811842892</v>
      </c>
      <c r="N22" s="28" t="n"/>
      <c r="O22" s="28" t="n"/>
    </row>
    <row r="23">
      <c r="A23" s="28" t="inlineStr">
        <is>
          <t>Saldo mínimo del año</t>
        </is>
      </c>
      <c r="B23" s="32">
        <f>IFERROR(IF('PyG 3 Años'!$B$9="","",IF(COUNT(B22:M22)=0,"",MIN(B22:M22))),"")</f>
        <v>26211.162922786527</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40">
        <f>IFERROR(IF('PyG 3 Años'!$B$9="","",IF(COUNT(B22:M22)=0,"",MATCH(MIN(B22:M22),B22:M22,0))),"")</f>
        <v>4.0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53097.137</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76026.81452000001</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82327.29367480858</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44973.628118428926</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Inicial'!$B$29-'Inversión Inicial'!$B$28),"")</f>
        <v>130365.26</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f>IFERROR(IF('PyG 3 Años'!$B$9="","",IF(B26&gt;=B30,ROUND(B30/B26,1),IF(B26+B27&gt;=B30,ROUND(1+(B30-B26)/B27,1),IF(B26+B27+B28&gt;=B30,ROUND(2+(B30-B26-B27)/B28,1),"Más de 3 años")))),"")</f>
        <v>2.0</v>
      </c>
      <c r="C31" s="28" t="n"/>
      <c r="D31" s="25"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8" t="n"/>
      <c r="F31" s="28" t="n"/>
      <c r="G31" s="28" t="n"/>
      <c r="H31" s="28" t="n"/>
      <c r="I31" s="28" t="n"/>
      <c r="J31" s="28" t="n"/>
      <c r="K31" s="28" t="n"/>
      <c r="L31" s="28" t="n"/>
      <c r="M31" s="28" t="n"/>
      <c r="N31" s="28" t="n"/>
      <c r="O31" s="28" t="n"/>
    </row>
    <row r="32">
      <c r="A32" s="28" t="inlineStr">
        <is>
          <t>Payback sobre el CAPEX, sin fondo de maniobra (años)</t>
        </is>
      </c>
      <c r="B32" s="28">
        <f>IFERROR(IF('PyG 3 Años'!$B$9="","",IF(B26&gt;='Inversión Inicial'!$B$27,ROUND('Inversión Inicial'!$B$27/B26,1),IF(B26+B27&gt;='Inversión Inicial'!$B$27,ROUND(1+('Inversión Inicial'!$B$27-B26)/B27,1),IF(B26+B27+B28&gt;='Inversión Inicial'!$B$27,ROUND(2+('Inversión Inicial'!$B$27-B26-B27)/B28,1),"Más de 3 años")))),"")</f>
        <v>1.3</v>
      </c>
      <c r="C32" s="28" t="n"/>
      <c r="D32" s="28" t="inlineStr">
        <is>
          <t>El mismo cálculo sobre lo que se COMPRA (obra,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20" customHeight="1">
      <c r="A34" s="46"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35000.0</v>
      </c>
      <c r="C6" s="28" t="n"/>
      <c r="D6" s="28" t="n"/>
      <c r="E6" s="28" t="n"/>
      <c r="F6" s="28" t="n"/>
      <c r="G6" s="28" t="n"/>
      <c r="H6" s="28" t="n"/>
    </row>
    <row r="7">
      <c r="A7" s="28" t="inlineStr">
        <is>
          <t>Préstamo bancario</t>
        </is>
      </c>
      <c r="B7" s="32">
        <f>IFERROR(IF('0. Supuestos'!$B$31="","",'0. Supuestos'!$B$31),"")</f>
        <v>111000.0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146000.0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Inicial'!$B$29="","",'Inversión Inicial'!$B$29),"")</f>
        <v>145040.06</v>
      </c>
      <c r="C14" s="28" t="inlineStr">
        <is>
          <t>Inversión más el IVA que hay que adelantar</t>
        </is>
      </c>
      <c r="D14" s="28" t="n"/>
      <c r="E14" s="28" t="n"/>
      <c r="F14" s="28" t="n"/>
      <c r="G14" s="28" t="n"/>
      <c r="H14" s="28" t="n"/>
    </row>
    <row r="15">
      <c r="A15" s="25" t="inlineStr">
        <is>
          <t>Diferencia (origen - usos)</t>
        </is>
      </c>
      <c r="B15" s="26">
        <f>IFERROR(B12-B14,"")</f>
        <v>959.9400000000023</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68">
        <f>IFERROR(B15/B14,"")</f>
        <v>0.006618447344823233</v>
      </c>
      <c r="C16" s="28" t="inlineStr">
        <is>
          <t>Ámbar por encima del margen que fijes: es deuda que pagas sin necesitarla</t>
        </is>
      </c>
      <c r="D16" s="28" t="n"/>
      <c r="E16" s="28" t="n"/>
      <c r="F16" s="28" t="n"/>
      <c r="G16" s="28" t="n"/>
      <c r="H16" s="28" t="n"/>
    </row>
    <row r="17">
      <c r="A17" s="28" t="inlineStr">
        <is>
          <t>Exceso de financiación admisible (%)</t>
        </is>
      </c>
      <c r="B17" s="75"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110040.06</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111000.0</v>
      </c>
      <c r="C20" s="28" t="n"/>
      <c r="D20" s="28" t="n"/>
      <c r="E20" s="28" t="n"/>
      <c r="F20" s="28" t="n"/>
      <c r="G20" s="28" t="n"/>
      <c r="H20" s="28" t="n"/>
    </row>
    <row r="21">
      <c r="A21" s="28" t="inlineStr">
        <is>
          <t>Tipo de interés nominal anual</t>
        </is>
      </c>
      <c r="B21" s="68">
        <f>IFERROR(IF('0. Supuestos'!$B$32="","",'0. Supuestos'!$B$32),"")</f>
        <v>0.065</v>
      </c>
      <c r="C21" s="28" t="n"/>
      <c r="D21" s="28" t="n"/>
      <c r="E21" s="28" t="n"/>
      <c r="F21" s="28" t="n"/>
      <c r="G21" s="28" t="n"/>
      <c r="H21" s="28" t="n"/>
    </row>
    <row r="22">
      <c r="A22" s="28" t="inlineStr">
        <is>
          <t>Plazo total (años)</t>
        </is>
      </c>
      <c r="B22" s="40">
        <f>IFERROR(IF('0. Supuestos'!$B$33="","",'0. Supuestos'!$B$33),"")</f>
        <v>6.0</v>
      </c>
      <c r="C22" s="28" t="n"/>
      <c r="D22" s="28" t="n"/>
      <c r="E22" s="28" t="n"/>
      <c r="F22" s="28" t="n"/>
      <c r="G22" s="28" t="n"/>
      <c r="H22" s="28" t="n"/>
    </row>
    <row r="23">
      <c r="A23" s="28" t="inlineStr">
        <is>
          <t>Carencia de principal aplicada (años)</t>
        </is>
      </c>
      <c r="B23" s="40">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72">
        <f>IFERROR(IF(B22-B23&lt;=0,"",IF(B21=0,B20/(B22-B23),B20*B21/(1-(1+B21)^-(B22-B23)))),"")</f>
        <v>26710.43367332104</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40" t="n">
        <v>1</v>
      </c>
      <c r="B27" s="70">
        <f>IFERROR(IF(B20="","",B20),"")</f>
        <v>111000.0</v>
      </c>
      <c r="C27" s="70">
        <f>IFERROR(IF(OR(1&gt;B22,B27=""),"",B27*B21),"")</f>
        <v>7215.0</v>
      </c>
      <c r="D27" s="70">
        <f>IFERROR(IF(OR(1&gt;B22,B27=""),"",IF(1&lt;=B23,0,MIN(B27,B24-C27))),"")</f>
        <v>0.0</v>
      </c>
      <c r="E27" s="70">
        <f>IFERROR(IF(C27="","",C27+D27),"")</f>
        <v>7215.0</v>
      </c>
      <c r="F27" s="70">
        <f>IFERROR(IF(D27="","",B27-D27),"")</f>
        <v>111000.0</v>
      </c>
      <c r="G27" s="70">
        <f>IFERROR(IF(E27="","",'PyG 3 Años'!$B$41-'PyG 3 Años'!$B$46+'PyG 3 Años'!$B$36+'PyG 3 Años'!$B$37),"")</f>
        <v>53097.137</v>
      </c>
      <c r="H27" s="61">
        <f>IFERROR(IF(OR(E27="",E27=0),"",G27/E27),"")</f>
        <v>7.3592705474705475</v>
      </c>
    </row>
    <row r="28">
      <c r="A28" s="40" t="n">
        <v>2</v>
      </c>
      <c r="B28" s="70">
        <f>IFERROR(IF(OR(2&gt;B22,F27=""),"",F27),"")</f>
        <v>111000.0</v>
      </c>
      <c r="C28" s="70">
        <f>IFERROR(IF(OR(2&gt;B22,B28=""),"",B28*B21),"")</f>
        <v>7215.0</v>
      </c>
      <c r="D28" s="70">
        <f>IFERROR(IF(OR(2&gt;B22,B28=""),"",IF(2&lt;=B23,0,MIN(B28,B24-C28))),"")</f>
        <v>19495.43367332104</v>
      </c>
      <c r="E28" s="70">
        <f>IFERROR(IF(C28="","",C28+D28),"")</f>
        <v>26710.43367332104</v>
      </c>
      <c r="F28" s="70">
        <f>IFERROR(IF(D28="","",B28-D28),"")</f>
        <v>91504.56632667896</v>
      </c>
      <c r="G28" s="70">
        <f>IFERROR(IF(E28="","",'PyG 3 Años'!$C$41-'PyG 3 Años'!$C$46+'PyG 3 Años'!$C$36+'PyG 3 Años'!$C$37),"")</f>
        <v>76026.81452000001</v>
      </c>
      <c r="H28" s="61">
        <f>IFERROR(IF(OR(E28="",E28=0),"",G28/E28),"")</f>
        <v>2.8463339625944464</v>
      </c>
    </row>
    <row r="29">
      <c r="A29" s="40" t="n">
        <v>3</v>
      </c>
      <c r="B29" s="70">
        <f>IFERROR(IF(OR(3&gt;B22,F28=""),"",F28),"")</f>
        <v>91504.56632667896</v>
      </c>
      <c r="C29" s="70">
        <f>IFERROR(IF(OR(3&gt;B22,B29=""),"",B29*B21),"")</f>
        <v>5947.796811234133</v>
      </c>
      <c r="D29" s="70">
        <f>IFERROR(IF(OR(3&gt;B22,B29=""),"",IF(3&lt;=B23,0,MIN(B29,B24-C29))),"")</f>
        <v>20762.636862086907</v>
      </c>
      <c r="E29" s="70">
        <f>IFERROR(IF(C29="","",C29+D29),"")</f>
        <v>26710.43367332104</v>
      </c>
      <c r="F29" s="70">
        <f>IFERROR(IF(D29="","",B29-D29),"")</f>
        <v>70741.92946459206</v>
      </c>
      <c r="G29" s="70">
        <f>IFERROR(IF(E29="","",'PyG 3 Años'!$D$41-'PyG 3 Años'!$D$46+'PyG 3 Años'!$D$36+'PyG 3 Años'!$D$37),"")</f>
        <v>82327.29367480858</v>
      </c>
      <c r="H29" s="61">
        <f>IFERROR(IF(OR(E29="",E29=0),"",G29/E29),"")</f>
        <v>3.0822147884869</v>
      </c>
    </row>
    <row r="30">
      <c r="A30" s="40" t="n">
        <v>4</v>
      </c>
      <c r="B30" s="70">
        <f>IFERROR(IF(OR(4&gt;B22,F29=""),"",F29),"")</f>
        <v>70741.92946459206</v>
      </c>
      <c r="C30" s="70">
        <f>IFERROR(IF(OR(4&gt;B22,B30=""),"",B30*B21),"")</f>
        <v>4598.225415198484</v>
      </c>
      <c r="D30" s="70">
        <f>IFERROR(IF(OR(4&gt;B22,B30=""),"",IF(4&lt;=B23,0,MIN(B30,B24-C30))),"")</f>
        <v>22112.208258122555</v>
      </c>
      <c r="E30" s="70">
        <f>IFERROR(IF(C30="","",C30+D30),"")</f>
        <v>26710.43367332104</v>
      </c>
      <c r="F30" s="70">
        <f>IFERROR(IF(D30="","",B30-D30),"")</f>
        <v>48629.721206469505</v>
      </c>
      <c r="G30" s="70">
        <f>IFERROR(IF(E30="","",'PyG 3 Años'!$D$41-'PyG 3 Años'!$D$46+'PyG 3 Años'!$D$36+'PyG 3 Años'!$D$37),"")</f>
        <v>82327.29367480858</v>
      </c>
      <c r="H30" s="61">
        <f>IFERROR(IF(OR(E30="",E30=0),"",G30/E30),"")</f>
        <v>3.0822147884869</v>
      </c>
    </row>
    <row r="31">
      <c r="A31" s="40" t="n">
        <v>5</v>
      </c>
      <c r="B31" s="70">
        <f>IFERROR(IF(OR(5&gt;B22,F30=""),"",F30),"")</f>
        <v>48629.721206469505</v>
      </c>
      <c r="C31" s="70">
        <f>IFERROR(IF(OR(5&gt;B22,B31=""),"",B31*B21),"")</f>
        <v>3160.931878420518</v>
      </c>
      <c r="D31" s="70">
        <f>IFERROR(IF(OR(5&gt;B22,B31=""),"",IF(5&lt;=B23,0,MIN(B31,B24-C31))),"")</f>
        <v>23549.501794900523</v>
      </c>
      <c r="E31" s="70">
        <f>IFERROR(IF(C31="","",C31+D31),"")</f>
        <v>26710.43367332104</v>
      </c>
      <c r="F31" s="70">
        <f>IFERROR(IF(D31="","",B31-D31),"")</f>
        <v>25080.21941156898</v>
      </c>
      <c r="G31" s="70">
        <f>IFERROR(IF(E31="","",'PyG 3 Años'!$D$41-'PyG 3 Años'!$D$46+'PyG 3 Años'!$D$36+'PyG 3 Años'!$D$37),"")</f>
        <v>82327.29367480858</v>
      </c>
      <c r="H31" s="61">
        <f>IFERROR(IF(OR(E31="",E31=0),"",G31/E31),"")</f>
        <v>3.0822147884869</v>
      </c>
    </row>
    <row r="32">
      <c r="A32" s="40" t="n">
        <v>6</v>
      </c>
      <c r="B32" s="70">
        <f>IFERROR(IF(OR(6&gt;B22,F31=""),"",F31),"")</f>
        <v>25080.21941156898</v>
      </c>
      <c r="C32" s="70">
        <f>IFERROR(IF(OR(6&gt;B22,B32=""),"",B32*B21),"")</f>
        <v>1630.214261751984</v>
      </c>
      <c r="D32" s="70">
        <f>IFERROR(IF(OR(6&gt;B22,B32=""),"",IF(6&lt;=B23,0,MIN(B32,B24-C32))),"")</f>
        <v>25080.21941156898</v>
      </c>
      <c r="E32" s="70">
        <f>IFERROR(IF(C32="","",C32+D32),"")</f>
        <v>26710.433673320964</v>
      </c>
      <c r="F32" s="70">
        <f>IFERROR(IF(D32="","",B32-D32),"")</f>
        <v>0.0</v>
      </c>
      <c r="G32" s="70">
        <f>IFERROR(IF(E32="","",'PyG 3 Años'!$D$41-'PyG 3 Años'!$D$46+'PyG 3 Años'!$D$36+'PyG 3 Años'!$D$37),"")</f>
        <v>82327.29367480858</v>
      </c>
      <c r="H32" s="61">
        <f>IFERROR(IF(OR(E32="",E32=0),"",G32/E32),"")</f>
        <v>3.0822147884869087</v>
      </c>
    </row>
    <row r="33">
      <c r="A33" s="40" t="n">
        <v>7</v>
      </c>
      <c r="B33" s="70">
        <f>IFERROR(IF(OR(7&gt;B22,F32=""),"",F32),"")</f>
        <v/>
      </c>
      <c r="C33" s="70">
        <f>IFERROR(IF(OR(7&gt;B22,B33=""),"",B33*B21),"")</f>
        <v/>
      </c>
      <c r="D33" s="70">
        <f>IFERROR(IF(OR(7&gt;B22,B33=""),"",IF(7&lt;=B23,0,MIN(B33,B24-C33))),"")</f>
        <v/>
      </c>
      <c r="E33" s="70">
        <f>IFERROR(IF(C33="","",C33+D33),"")</f>
        <v/>
      </c>
      <c r="F33" s="70">
        <f>IFERROR(IF(D33="","",B33-D33),"")</f>
        <v/>
      </c>
      <c r="G33" s="70">
        <f>IFERROR(IF(E33="","",'PyG 3 Años'!$D$41-'PyG 3 Años'!$D$46+'PyG 3 Años'!$D$36+'PyG 3 Años'!$D$37),"")</f>
        <v/>
      </c>
      <c r="H33" s="61">
        <f>IFERROR(IF(OR(E33="",E33=0),"",G33/E33),"")</f>
        <v/>
      </c>
    </row>
    <row r="34">
      <c r="A34" s="40" t="n">
        <v>8</v>
      </c>
      <c r="B34" s="70">
        <f>IFERROR(IF(OR(8&gt;B22,F33=""),"",F33),"")</f>
        <v/>
      </c>
      <c r="C34" s="70">
        <f>IFERROR(IF(OR(8&gt;B22,B34=""),"",B34*B21),"")</f>
        <v/>
      </c>
      <c r="D34" s="70">
        <f>IFERROR(IF(OR(8&gt;B22,B34=""),"",IF(8&lt;=B23,0,MIN(B34,B24-C34))),"")</f>
        <v/>
      </c>
      <c r="E34" s="70">
        <f>IFERROR(IF(C34="","",C34+D34),"")</f>
        <v/>
      </c>
      <c r="F34" s="70">
        <f>IFERROR(IF(D34="","",B34-D34),"")</f>
        <v/>
      </c>
      <c r="G34" s="70">
        <f>IFERROR(IF(E34="","",'PyG 3 Años'!$D$41-'PyG 3 Años'!$D$46+'PyG 3 Años'!$D$36+'PyG 3 Años'!$D$37),"")</f>
        <v/>
      </c>
      <c r="H34" s="61">
        <f>IFERROR(IF(OR(E34="",E34=0),"",G34/E34),"")</f>
        <v/>
      </c>
    </row>
    <row r="35">
      <c r="A35" s="40" t="n">
        <v>9</v>
      </c>
      <c r="B35" s="70">
        <f>IFERROR(IF(OR(9&gt;B22,F34=""),"",F34),"")</f>
        <v/>
      </c>
      <c r="C35" s="70">
        <f>IFERROR(IF(OR(9&gt;B22,B35=""),"",B35*B21),"")</f>
        <v/>
      </c>
      <c r="D35" s="70">
        <f>IFERROR(IF(OR(9&gt;B22,B35=""),"",IF(9&lt;=B23,0,MIN(B35,B24-C35))),"")</f>
        <v/>
      </c>
      <c r="E35" s="70">
        <f>IFERROR(IF(C35="","",C35+D35),"")</f>
        <v/>
      </c>
      <c r="F35" s="70">
        <f>IFERROR(IF(D35="","",B35-D35),"")</f>
        <v/>
      </c>
      <c r="G35" s="70">
        <f>IFERROR(IF(E35="","",'PyG 3 Años'!$D$41-'PyG 3 Años'!$D$46+'PyG 3 Años'!$D$36+'PyG 3 Años'!$D$37),"")</f>
        <v/>
      </c>
      <c r="H35" s="61">
        <f>IFERROR(IF(OR(E35="",E35=0),"",G35/E35),"")</f>
        <v/>
      </c>
    </row>
    <row r="36">
      <c r="A36" s="40" t="n">
        <v>10</v>
      </c>
      <c r="B36" s="70">
        <f>IFERROR(IF(OR(10&gt;B22,F35=""),"",F35),"")</f>
        <v/>
      </c>
      <c r="C36" s="70">
        <f>IFERROR(IF(OR(10&gt;B22,B36=""),"",B36*B21),"")</f>
        <v/>
      </c>
      <c r="D36" s="70">
        <f>IFERROR(IF(OR(10&gt;B22,B36=""),"",IF(10&lt;=B23,0,MIN(B36,B24-C36))),"")</f>
        <v/>
      </c>
      <c r="E36" s="70">
        <f>IFERROR(IF(C36="","",C36+D36),"")</f>
        <v/>
      </c>
      <c r="F36" s="70">
        <f>IFERROR(IF(D36="","",B36-D36),"")</f>
        <v/>
      </c>
      <c r="G36" s="70">
        <f>IFERROR(IF(E36="","",'PyG 3 Años'!$D$41-'PyG 3 Años'!$D$46+'PyG 3 Años'!$D$36+'PyG 3 Años'!$D$37),"")</f>
        <v/>
      </c>
      <c r="H36" s="61">
        <f>IFERROR(IF(OR(E36="",E36=0),"",G36/E36),"")</f>
        <v/>
      </c>
    </row>
    <row r="37">
      <c r="A37" s="40" t="n">
        <v>11</v>
      </c>
      <c r="B37" s="70">
        <f>IFERROR(IF(OR(11&gt;B22,F36=""),"",F36),"")</f>
        <v/>
      </c>
      <c r="C37" s="70">
        <f>IFERROR(IF(OR(11&gt;B22,B37=""),"",B37*B21),"")</f>
        <v/>
      </c>
      <c r="D37" s="70">
        <f>IFERROR(IF(OR(11&gt;B22,B37=""),"",IF(11&lt;=B23,0,MIN(B37,B24-C37))),"")</f>
        <v/>
      </c>
      <c r="E37" s="70">
        <f>IFERROR(IF(C37="","",C37+D37),"")</f>
        <v/>
      </c>
      <c r="F37" s="70">
        <f>IFERROR(IF(D37="","",B37-D37),"")</f>
        <v/>
      </c>
      <c r="G37" s="70">
        <f>IFERROR(IF(E37="","",'PyG 3 Años'!$D$41-'PyG 3 Años'!$D$46+'PyG 3 Años'!$D$36+'PyG 3 Años'!$D$37),"")</f>
        <v/>
      </c>
      <c r="H37" s="61">
        <f>IFERROR(IF(OR(E37="",E37=0),"",G37/E37),"")</f>
        <v/>
      </c>
    </row>
    <row r="38">
      <c r="A38" s="40" t="n">
        <v>12</v>
      </c>
      <c r="B38" s="70">
        <f>IFERROR(IF(OR(12&gt;B22,F37=""),"",F37),"")</f>
        <v/>
      </c>
      <c r="C38" s="70">
        <f>IFERROR(IF(OR(12&gt;B22,B38=""),"",B38*B21),"")</f>
        <v/>
      </c>
      <c r="D38" s="70">
        <f>IFERROR(IF(OR(12&gt;B22,B38=""),"",IF(12&lt;=B23,0,MIN(B38,B24-C38))),"")</f>
        <v/>
      </c>
      <c r="E38" s="70">
        <f>IFERROR(IF(C38="","",C38+D38),"")</f>
        <v/>
      </c>
      <c r="F38" s="70">
        <f>IFERROR(IF(D38="","",B38-D38),"")</f>
        <v/>
      </c>
      <c r="G38" s="70">
        <f>IFERROR(IF(E38="","",'PyG 3 Años'!$D$41-'PyG 3 Años'!$D$46+'PyG 3 Años'!$D$36+'PyG 3 Años'!$D$37),"")</f>
        <v/>
      </c>
      <c r="H38" s="61">
        <f>IFERROR(IF(OR(E38="",E38=0),"",G38/E38),"")</f>
        <v/>
      </c>
    </row>
    <row r="39">
      <c r="A39" s="40" t="n">
        <v>13</v>
      </c>
      <c r="B39" s="70">
        <f>IFERROR(IF(OR(13&gt;B22,F38=""),"",F38),"")</f>
        <v/>
      </c>
      <c r="C39" s="70">
        <f>IFERROR(IF(OR(13&gt;B22,B39=""),"",B39*B21),"")</f>
        <v/>
      </c>
      <c r="D39" s="70">
        <f>IFERROR(IF(OR(13&gt;B22,B39=""),"",IF(13&lt;=B23,0,MIN(B39,B24-C39))),"")</f>
        <v/>
      </c>
      <c r="E39" s="70">
        <f>IFERROR(IF(C39="","",C39+D39),"")</f>
        <v/>
      </c>
      <c r="F39" s="70">
        <f>IFERROR(IF(D39="","",B39-D39),"")</f>
        <v/>
      </c>
      <c r="G39" s="70">
        <f>IFERROR(IF(E39="","",'PyG 3 Años'!$D$41-'PyG 3 Años'!$D$46+'PyG 3 Años'!$D$36+'PyG 3 Años'!$D$37),"")</f>
        <v/>
      </c>
      <c r="H39" s="61">
        <f>IFERROR(IF(OR(E39="",E39=0),"",G39/E39),"")</f>
        <v/>
      </c>
    </row>
    <row r="40">
      <c r="A40" s="40" t="n">
        <v>14</v>
      </c>
      <c r="B40" s="70">
        <f>IFERROR(IF(OR(14&gt;B22,F39=""),"",F39),"")</f>
        <v/>
      </c>
      <c r="C40" s="70">
        <f>IFERROR(IF(OR(14&gt;B22,B40=""),"",B40*B21),"")</f>
        <v/>
      </c>
      <c r="D40" s="70">
        <f>IFERROR(IF(OR(14&gt;B22,B40=""),"",IF(14&lt;=B23,0,MIN(B40,B24-C40))),"")</f>
        <v/>
      </c>
      <c r="E40" s="70">
        <f>IFERROR(IF(C40="","",C40+D40),"")</f>
        <v/>
      </c>
      <c r="F40" s="70">
        <f>IFERROR(IF(D40="","",B40-D40),"")</f>
        <v/>
      </c>
      <c r="G40" s="70">
        <f>IFERROR(IF(E40="","",'PyG 3 Años'!$D$41-'PyG 3 Años'!$D$46+'PyG 3 Años'!$D$36+'PyG 3 Años'!$D$37),"")</f>
        <v/>
      </c>
      <c r="H40" s="61">
        <f>IFERROR(IF(OR(E40="",E40=0),"",G40/E40),"")</f>
        <v/>
      </c>
    </row>
    <row r="41">
      <c r="A41" s="40" t="n">
        <v>15</v>
      </c>
      <c r="B41" s="70">
        <f>IFERROR(IF(OR(15&gt;B22,F40=""),"",F40),"")</f>
        <v/>
      </c>
      <c r="C41" s="70">
        <f>IFERROR(IF(OR(15&gt;B22,B41=""),"",B41*B21),"")</f>
        <v/>
      </c>
      <c r="D41" s="70">
        <f>IFERROR(IF(OR(15&gt;B22,B41=""),"",IF(15&lt;=B23,0,MIN(B41,B24-C41))),"")</f>
        <v/>
      </c>
      <c r="E41" s="70">
        <f>IFERROR(IF(C41="","",C41+D41),"")</f>
        <v/>
      </c>
      <c r="F41" s="70">
        <f>IFERROR(IF(D41="","",B41-D41),"")</f>
        <v/>
      </c>
      <c r="G41" s="70">
        <f>IFERROR(IF(E41="","",'PyG 3 Años'!$D$41-'PyG 3 Años'!$D$46+'PyG 3 Años'!$D$36+'PyG 3 Años'!$D$37),"")</f>
        <v/>
      </c>
      <c r="H41" s="61">
        <f>IFERROR(IF(OR(E41="",E41=0),"",G41/E41),"")</f>
        <v/>
      </c>
    </row>
    <row r="42">
      <c r="A42" s="28" t="inlineStr">
        <is>
          <t>Tolerancia de cierre del cuadro (€)</t>
        </is>
      </c>
      <c r="B42" s="73" t="n">
        <v>0.01</v>
      </c>
      <c r="C42" s="28" t="inlineStr">
        <is>
          <t>Margen por redondeo. Por encima, el cuadro no cierra y hay capital sin devolver</t>
        </is>
      </c>
      <c r="D42" s="28" t="n"/>
      <c r="E42" s="28" t="n"/>
      <c r="F42" s="28" t="n"/>
      <c r="G42" s="28" t="n"/>
      <c r="H42" s="28" t="n"/>
    </row>
    <row r="43">
      <c r="A43" s="28" t="inlineStr">
        <is>
          <t>Capital pendiente al vencimiento</t>
        </is>
      </c>
      <c r="B43" s="70">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7215.0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7215.0</v>
      </c>
      <c r="C46" s="28" t="n"/>
      <c r="D46" s="28" t="n"/>
      <c r="E46" s="28" t="n"/>
      <c r="F46" s="28" t="n"/>
      <c r="G46" s="28" t="n"/>
      <c r="H46" s="28" t="n"/>
    </row>
    <row r="47">
      <c r="A47" s="28" t="inlineStr">
        <is>
          <t>Devolución de principal del año 2</t>
        </is>
      </c>
      <c r="B47" s="32">
        <f>IFERROR(IF(B20="","",IF(D28="",0,D28)),"")</f>
        <v>19495.43367332104</v>
      </c>
      <c r="C47" s="28" t="n"/>
      <c r="D47" s="28" t="n"/>
      <c r="E47" s="28" t="n"/>
      <c r="F47" s="28" t="n"/>
      <c r="G47" s="28" t="n"/>
      <c r="H47" s="28" t="n"/>
    </row>
    <row r="48">
      <c r="A48" s="28" t="inlineStr">
        <is>
          <t>Intereses del año 3</t>
        </is>
      </c>
      <c r="B48" s="32">
        <f>IFERROR(IF(B20="","",IF(C29="",0,C29)),"")</f>
        <v>5947.796811234133</v>
      </c>
      <c r="C48" s="28" t="n"/>
      <c r="D48" s="28" t="n"/>
      <c r="E48" s="28" t="n"/>
      <c r="F48" s="28" t="n"/>
      <c r="G48" s="28" t="n"/>
      <c r="H48" s="28" t="n"/>
    </row>
    <row r="49">
      <c r="A49" s="28" t="inlineStr">
        <is>
          <t>Devolución de principal del año 3</t>
        </is>
      </c>
      <c r="B49" s="32">
        <f>IFERROR(IF(B20="","",IF(D29="",0,D29)),"")</f>
        <v>20762.636862086907</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1">
        <f>IFERROR(('PyG 3 Años'!$B$41-'PyG 3 Años'!$B$46+'PyG 3 Años'!$B$36+B44)/(B44+B45),"")</f>
        <v>7.3592705474705475</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1">
        <f>IFERROR(('PyG 3 Años'!$C$41-'PyG 3 Años'!$C$46+'PyG 3 Años'!$C$36+B46)/(B46+B47),"")</f>
        <v>2.8463339625944464</v>
      </c>
      <c r="C52" s="28" t="n"/>
      <c r="D52" s="28" t="n"/>
      <c r="E52" s="28" t="n"/>
      <c r="F52" s="28" t="n"/>
      <c r="G52" s="28" t="n"/>
      <c r="H52" s="28" t="n"/>
    </row>
    <row r="53">
      <c r="A53" s="28" t="inlineStr">
        <is>
          <t>DSCR del año 3</t>
        </is>
      </c>
      <c r="B53" s="61">
        <f>IFERROR(('PyG 3 Años'!$D$41-'PyG 3 Años'!$D$46+'PyG 3 Años'!$D$36+B48)/(B48+B49),"")</f>
        <v>3.0822147884869</v>
      </c>
      <c r="C53" s="28" t="n"/>
      <c r="D53" s="28" t="n"/>
      <c r="E53" s="28" t="n"/>
      <c r="F53" s="28" t="n"/>
      <c r="G53" s="28" t="n"/>
      <c r="H53" s="28" t="n"/>
    </row>
    <row r="54">
      <c r="A54" s="25" t="inlineStr">
        <is>
          <t>DSCR mínimo de todo el cuadro</t>
        </is>
      </c>
      <c r="B54" s="62">
        <f>IFERROR(IF(COUNT(H27:H41)=0,"",MIN(H27:H41)),"")</f>
        <v>2.8463339625944464</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Catering Temático de Eventos · v2.2</dc:title>
  <dc:description xmlns:dc="http://purl.org/dc/elements/1.1/">aichef.pro/plan-catering-tematico-eventos</dc:description>
  <dc:subject xmlns:dc="http://purl.org/dc/elements/1.1/">Plan financiero — Catering Temático de Eventos · v2.2</dc:subject>
  <dcterms:created xmlns:dcterms="http://purl.org/dc/terms/" xmlns:xsi="http://www.w3.org/2001/XMLSchema-instance" xsi:type="dcterms:W3CDTF">2026-03-26T14:46:57Z</dcterms:created>
  <dcterms:modified xmlns:dcterms="http://purl.org/dc/terms/" xmlns:xsi="http://www.w3.org/2001/XMLSchema-instance" xsi:type="dcterms:W3CDTF">2026-10-11T20:32:43Z</dcterms:modified>
  <cp:lastModifiedBy>AI Chef Pro</cp:lastModifiedBy>
  <cp:category>AI Chef Pro · Productos digitales</cp:category>
  <cp:keywords>plan catering tematico eventos, AI Chef Pro</cp:keywords>
</cp:coreProperties>
</file>