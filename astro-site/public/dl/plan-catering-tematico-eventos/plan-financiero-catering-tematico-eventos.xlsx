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65</v>
      </c>
      <c r="C4" t="inlineStr">
        <is>
          <t>Invitados de media por evento en el año 1. Sale de la mezcla de cinco tipos de evento de la tabla de referencias de la hoja de Instrucciones: coffee breaks de 35, cócteles de empresa de 80, comidas de empresa de 100, bodas de 110 y celebraciones familiares de 45 invitados</t>
        </is>
      </c>
    </row>
    <row r="5">
      <c r="A5" t="inlineStr">
        <is>
          <t>Precio medio por invitado SIN IVA (€)</t>
        </is>
      </c>
      <c r="B5" s="63" t="n">
        <v>53</v>
      </c>
      <c r="C5" t="inlineStr">
        <is>
          <t>SIN IVA. Media ponderada de la misma mezcla: 16 € el coffee break, 40 € el cóctel con estaciones, 62 € la comida de empresa, 98 € la boda y 48 € la celebración familiar. El precio con IVA (10 % en el catering con servicio) está en la fila «PVP equivalente con IVA» de abajo</t>
        </is>
      </c>
    </row>
    <row r="6">
      <c r="A6" t="inlineStr">
        <is>
          <t>Eventos al año</t>
        </is>
      </c>
      <c r="B6" s="18" t="n">
        <v>130</v>
      </c>
      <c r="C6" t="inlineStr">
        <is>
          <t>Eventos servidos en el año: 85 de empresa (coffee breaks, cócteles y comidas) y 45 de particulares (bodas, comuniones y cumpleaños). Es el MISMO dato para la cuenta de resultados, el punto de equilibrio, los escenarios y las horas de personal</t>
        </is>
      </c>
    </row>
    <row r="7">
      <c r="A7" t="inlineStr">
        <is>
          <t>Crecimiento de volumen del año 2</t>
        </is>
      </c>
      <c r="B7" s="64" t="n">
        <v>0.12</v>
      </c>
      <c r="C7" t="inlineStr">
        <is>
          <t>Más volumen el segundo año: repetición de empresas y bodas que llegan por recomendación. El libro lo aplica a los invitados por evento; en euros da lo mismo que hacer más eventos del mismo tamaño</t>
        </is>
      </c>
    </row>
    <row r="8">
      <c r="A8" t="inlineStr">
        <is>
          <t>Crecimiento de volumen del año 3</t>
        </is>
      </c>
      <c r="B8" s="64" t="n">
        <v>0.08</v>
      </c>
      <c r="C8" t="inlineStr">
        <is>
          <t>Sobre el año 2. Conservador: el techo lo pone la capacidad de la cocina central</t>
        </is>
      </c>
    </row>
    <row r="9">
      <c r="A9" t="inlineStr">
        <is>
          <t>PVP equivalente con IVA (calculado)</t>
        </is>
      </c>
      <c r="B9" s="65">
        <f>IFERROR(IF($B$5="","",$B$5*(1+SUMPRODUCT('PyG 3 Años'!$E$10:$E$11,'PyG 3 Años'!$G$10:$G$11))),"")</f>
        <v>58.328061247499996</v>
      </c>
      <c r="C9" t="str">
        <f>IFERROR("Precio por invitado sin IVA más el IVA medio ponderado de tus líneas de venta: "&amp;TEXT(SUMPRODUCT('PyG 3 Años'!$E$10:$E$11,'PyG 3 Años'!$G$10:$G$11)*100,"0")&amp;" %. En el servicio de catering todo va al 10 % (art. 91.Uno.2.2.º de la Ley 37/1992, alcohol incluido); el alcohol que sale por drop-off mueve la media. Aquí va redondeado. Compáralo con el rango del sector, que va con IVA.","")</f>
        <v>Precio por invitado sin IVA más el IVA medio ponderado de tus líneas de venta: 10 %. En el servicio de catering todo va al 10 % (art. 91.Uno.2.2.º de la Ley 37/1992, alcohol incluido); el alcohol que sale por drop-off mueve la media. Aquí va redondeado. Compáralo con el rango del sector, que va con IVA.</v>
      </c>
    </row>
    <row r="10">
      <c r="A10" s="16" t="inlineStr">
        <is>
          <t>MIX Y COSTE DE MERCANCÍA</t>
        </is>
      </c>
    </row>
    <row r="11">
      <c r="A11" t="inlineStr">
        <is>
          <t>Ventas de COMIDA sobre el total</t>
        </is>
      </c>
      <c r="B11" s="64" t="n">
        <v>0.8519</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0.1481</v>
      </c>
      <c r="C12" t="inlineStr">
        <is>
          <t>Se calcula como el resto: comida + bebida = 100 %</t>
        </is>
      </c>
    </row>
    <row r="13">
      <c r="A13" t="inlineStr">
        <is>
          <t>Coste de mercancía sobre las ventas de COMIDA</t>
        </is>
      </c>
      <c r="B13" s="64" t="n">
        <v>0.3</v>
      </c>
      <c r="C13" t="inlineStr">
        <is>
          <t>Materia prima de la comida sobre las ventas de comida. Las estaciones en directo (sushi, parrilla, tacos) suben el coste por la merma de presentación: escandalla cada menú con la calculadora de este kit</t>
        </is>
      </c>
    </row>
    <row r="14">
      <c r="A14" t="inlineStr">
        <is>
          <t>Coste de mercancía sobre las ventas de BEBIDA</t>
        </is>
      </c>
      <c r="B14" s="64" t="n">
        <v>0.28</v>
      </c>
      <c r="C14" t="inlineStr">
        <is>
          <t>Bebida sobre las ventas de bebida: vino, cava, cerveza, refrescos y agua de la barra que sirves tú. Si el cliente pone la bebida y cobras descorche, esta línea baja</t>
        </is>
      </c>
    </row>
    <row r="15">
      <c r="A15" t="inlineStr">
        <is>
          <t>Consumibles sobre ventas</t>
        </is>
      </c>
      <c r="B15" s="64" t="n">
        <v>0.03</v>
      </c>
      <c r="C15" t="inlineStr">
        <is>
          <t>Desechables, gas de las estaciones, hielo, film y bolsas de vacío: todo lo que se gasta en cada evento y no se amortiza</t>
        </is>
      </c>
    </row>
    <row r="16">
      <c r="A16" t="inlineStr">
        <is>
          <t>Ventas en drop-off (entrega sin servicio) sobre el total</t>
        </is>
      </c>
      <c r="B16" s="64" t="n">
        <v>0.05</v>
      </c>
      <c r="C16" t="inlineStr">
        <is>
          <t>Parte de las ventas que se entrega SIN servicio (drop-off: bandejas de coffee break o de almuerzo que se dejan en la oficina). Es entrega de bienes: la comida va al 10 % y el alcohol y los refrescos, zumos y gaseosas con azúcares o edulcorantes añadidos, al 21 % (art. 91.Uno.1.1.º de la Ley 37/1992); el libro lo aplica al alcohol de esta parte</t>
        </is>
      </c>
    </row>
    <row r="17">
      <c r="A17" t="inlineStr">
        <is>
          <t>Comisión de la plataforma de drop-off</t>
        </is>
      </c>
      <c r="B17" s="64" t="n">
        <v>0.1</v>
      </c>
      <c r="C17" t="inlineStr">
        <is>
          <t>Comisión media de la parte del drop-off que entra por plataformas de catering para empresas o por intermediarios. Si todo el drop-off lo vendes tú, pon 0</t>
        </is>
      </c>
    </row>
    <row r="18">
      <c r="A18" t="inlineStr">
        <is>
          <t>Comisión de los medios de pago</t>
        </is>
      </c>
      <c r="B18" s="64" t="n">
        <v>0.005</v>
      </c>
      <c r="C18" t="inlineStr">
        <is>
          <t>Casi todo se cobra por transferencia (anticipos y facturas de empresa); el datáfono queda para la prueba de menú y los extras del día</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CENTRAL Y FIJOS</t>
        </is>
      </c>
    </row>
    <row r="24">
      <c r="A24" t="inlineStr">
        <is>
          <t>Cuota mensual de la cocina central (€)</t>
        </is>
      </c>
      <c r="B24" s="23" t="n">
        <v>2000</v>
      </c>
      <c r="C24" t="inlineStr">
        <is>
          <t>Cuota de una cocina central compartida y autorizada: unas 80 horas al mes de cocina, cámara, almacén y plaza para la furgoneta. Para eventos no se puede cocinar en casa (art. 13.5.b del RD 1021/2022), así que este coste no es opcional. No hay tarifa pública: pide dos presupuestos en tu zona</t>
        </is>
      </c>
    </row>
    <row r="25">
      <c r="A25" t="inlineStr">
        <is>
          <t>Fianza de la cocina central (meses)</t>
        </is>
      </c>
      <c r="B25" s="18" t="n">
        <v>2</v>
      </c>
      <c r="C25" t="inlineStr">
        <is>
          <t>Dos cuotas de fianza, lo habitual en un contrato de uso de cocina compartida</t>
        </is>
      </c>
    </row>
    <row r="26">
      <c r="A26" t="inlineStr">
        <is>
          <t>Suministros mensuales (gas de las estaciones y consumos propios) (€)</t>
        </is>
      </c>
      <c r="B26" s="23" t="n">
        <v>150</v>
      </c>
      <c r="C26" t="inlineStr">
        <is>
          <t>Gas de las estaciones y consumos propios fuera de la cuota: la cocina compartida ya incluye luz y agua</t>
        </is>
      </c>
    </row>
    <row r="27">
      <c r="A27" t="inlineStr">
        <is>
          <t>Seguros (€/año)</t>
        </is>
      </c>
      <c r="B27" s="23" t="n">
        <v>2200</v>
      </c>
      <c r="C27" t="inlineStr">
        <is>
          <t>Responsabilidad civil de explotación y de producto con cobertura de intoxicación alimentaria de al menos 600.000 € (unos 900 €), seguro de la furgoneta de uso comercial (1.000 €) y de los equipos que salen a cada evento (300 €)</t>
        </is>
      </c>
    </row>
    <row r="28">
      <c r="A28" t="inlineStr">
        <is>
          <t>Varios e imprevistos sobre ventas</t>
        </is>
      </c>
      <c r="B28" s="64" t="n">
        <v>0.05</v>
      </c>
      <c r="C28" t="inlineStr">
        <is>
          <t>Combustible de la furgoneta, cánones que algunas fincas y wedding planners cobran al catering externo (unos 2 puntos) e imprevistos. Es variable: sube y baja con los eventos</t>
        </is>
      </c>
    </row>
    <row r="29">
      <c r="A29" s="16" t="inlineStr">
        <is>
          <t>FINANCIACIÓN</t>
        </is>
      </c>
    </row>
    <row r="30">
      <c r="A30" t="inlineStr">
        <is>
          <t>Recursos propios aportados (€)</t>
        </is>
      </c>
      <c r="B30" s="23" t="n">
        <v>35000</v>
      </c>
      <c r="C30" t="inlineStr">
        <is>
          <t>Aportación de los socios. Un banco pide entre el 25 y el 30 % de la necesidad de caja con dinero propio</t>
        </is>
      </c>
    </row>
    <row r="31">
      <c r="A31" t="inlineStr">
        <is>
          <t>Préstamo bancario solicitado (€)</t>
        </is>
      </c>
      <c r="B31" s="23" t="n">
        <v>111000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cartera de bodas aún por llenar</t>
        </is>
      </c>
    </row>
    <row r="35">
      <c r="A35" t="inlineStr">
        <is>
          <t>Fondo de maniobra (meses de costes fijos)</t>
        </is>
      </c>
      <c r="B35" s="18" t="n">
        <v>3</v>
      </c>
      <c r="C35" t="inlineStr">
        <is>
          <t>Tres meses de costes fijos: cubren los meses flojos (enero y agosto son los más bajos del año) y los 30-60 días que tardan en pagar las empresas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drop-off (es una entrega de bienes). El alcohol servido en el servicio de catering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8</v>
      </c>
      <c r="C44" t="inlineStr">
        <is>
          <t>En este plan la «obra» es la furgoneta frigorífica y su rotulación: ocho años son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Estaciones, equipo de producción, menaje, mobiliario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250</v>
      </c>
      <c r="C51" t="inlineStr">
        <is>
          <t>DATO INFORMATIVO: no entra en ningún cálculo. Es el evento más grande que puedes servir con el equipo y el menaje propios; por encima, se alquila menaje y se amplía la bolsa de personal</t>
        </is>
      </c>
    </row>
    <row r="52">
      <c r="A52" t="inlineStr">
        <is>
          <t>Actividad del mes 1 sobre la de crucero</t>
        </is>
      </c>
      <c r="B52" s="64" t="n">
        <v>0.55</v>
      </c>
      <c r="C52" t="inlineStr">
        <is>
          <t>Un catering que arranca factura poco el primer mes: las bodas se reservan con meses de antelación y las empresas tardan en repetir. Con 100 % se elimina la rampa</t>
        </is>
      </c>
    </row>
    <row r="53">
      <c r="A53" t="inlineStr">
        <is>
          <t>Meses hasta alcanzar el régimen de crucero</t>
        </is>
      </c>
      <c r="B53" s="18" t="n">
        <v>6</v>
      </c>
      <c r="C53" t="inlineStr">
        <is>
          <t>Seis meses hasta el ritmo de crucero: una temporada de bodas</t>
        </is>
      </c>
    </row>
    <row r="54">
      <c r="A54" t="inlineStr">
        <is>
          <t>Meses de cuota de la cocina central ANTES del primer evento</t>
        </is>
      </c>
      <c r="B54" s="18" t="n">
        <v>1</v>
      </c>
      <c r="C54" t="inlineStr">
        <is>
          <t>Un mes de cuota para montar la producción, hacer las pruebas de menú y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(reparación del equipo de frío, revisión del certificado ATP)</t>
        </is>
      </c>
    </row>
    <row r="56"/>
    <row r="57">
      <c r="A57" s="16" t="inlineStr">
        <is>
          <t>COBROS, PAGOS Y DESGLOSE DEL IVA</t>
        </is>
      </c>
    </row>
    <row r="58">
      <c r="A58" t="inlineStr">
        <is>
          <t>Días medios de cobro</t>
        </is>
      </c>
      <c r="B58" s="18" t="n">
        <v>25</v>
      </c>
      <c r="C58" t="inlineStr">
        <is>
          <t>Media ponderada: las empresas pagan a 30-60 días (máximo legal de 60, art. 4 de la Ley 3/2004) y los particulares pagan por adelantado. El libro no admite días negativos, así que los anticipos del 40 % de las bodas no se modelan: tu caja real será algo MEJOR que la de la hoja de Tesorería</t>
        </is>
      </c>
    </row>
    <row r="59">
      <c r="A59" t="inlineStr">
        <is>
          <t>Días medios de pago a proveedor</t>
        </is>
      </c>
      <c r="B59" s="18" t="n">
        <v>30</v>
      </c>
      <c r="C59" t="inlineStr">
        <is>
          <t>Plazo de pago a proveedores de producto fresco y de menaje</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0.65</v>
      </c>
      <c r="C62" t="inlineStr">
        <is>
          <t>Parte ALCOHÓLICA de la bebida (vino, cava, cerveza, barra). Reparte el IVA que soportas al comprarla (21 % el alcohol) y el que repercutes en el drop-off</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catering con servicio lo es. El libro aplica el 21 % sólo al alcohol del drop-off,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catering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CATERING TEMÁTICO DE EVENTOS</t>
        </is>
      </c>
    </row>
    <row r="2">
      <c r="A2" s="2" t="inlineStr">
        <is>
          <t>Inversión inicial estimada — catering con estaciones temáticas en directo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74880.0</v>
      </c>
      <c r="C6" s="67">
        <f>IFERROR(B6/$B$26,"")</f>
        <v>0.5743861516480694</v>
      </c>
      <c r="D6" s="28" t="n"/>
      <c r="E6" s="28" t="n"/>
    </row>
    <row r="7">
      <c r="A7" s="28" t="inlineStr">
        <is>
          <t>Furgoneta frigorífica usada con certificado ATP</t>
        </is>
      </c>
      <c r="B7" s="29" t="n">
        <v>22000</v>
      </c>
      <c r="C7" s="68">
        <f>IFERROR(B7/$B$26,"")</f>
        <v>0.16875661506754175</v>
      </c>
      <c r="D7" s="28" t="inlineStr">
        <is>
          <t>Furgoneta de 2021-2022 con equipo de frío y certificado ATP vigente (RD 237/2000). Anuncios de segunda mano de octubre de 2026: 18.000-22.000 €</t>
        </is>
      </c>
      <c r="E7" s="31" t="inlineStr">
        <is>
          <t>Sí</t>
        </is>
      </c>
    </row>
    <row r="8">
      <c r="A8" s="28" t="inlineStr">
        <is>
          <t>Rotulación y estanterías de la furgoneta</t>
        </is>
      </c>
      <c r="B8" s="29" t="n">
        <v>1500</v>
      </c>
      <c r="C8" s="68">
        <f>IFERROR(B8/$B$26,"")</f>
        <v>0.011506132845514211</v>
      </c>
      <c r="D8" s="28" t="inlineStr">
        <is>
          <t>Rotulación con la marca y estanterías con amarres</t>
        </is>
      </c>
      <c r="E8" s="31" t="inlineStr">
        <is>
          <t>Sí</t>
        </is>
      </c>
    </row>
    <row r="9">
      <c r="A9" s="28" t="inlineStr">
        <is>
          <t>Contenedores isotérmicos GN y carros de transporte</t>
        </is>
      </c>
      <c r="B9" s="29" t="n">
        <v>3500</v>
      </c>
      <c r="C9" s="68">
        <f>IFERROR(B9/$B$26,"")</f>
        <v>0.026847643306199823</v>
      </c>
      <c r="D9" s="28" t="inlineStr">
        <is>
          <t>Mantienen la cadena de frío y de caliente desde la cocina hasta la estación</t>
        </is>
      </c>
      <c r="E9" s="31" t="inlineStr">
        <is>
          <t>Sí</t>
        </is>
      </c>
    </row>
    <row r="10">
      <c r="A10" s="28" t="inlineStr">
        <is>
          <t>Equipo de producción: gastronorms, roner, sondas, básculas y cuchillería</t>
        </is>
      </c>
      <c r="B10" s="29" t="n">
        <v>4000</v>
      </c>
      <c r="C10" s="68">
        <f>IFERROR(B10/$B$26,"")</f>
        <v>0.030683020921371228</v>
      </c>
      <c r="D10" s="28" t="inlineStr">
        <is>
          <t>Lo que no aporta la cocina central compartida</t>
        </is>
      </c>
      <c r="E10" s="31" t="inlineStr">
        <is>
          <t>Sí</t>
        </is>
      </c>
    </row>
    <row r="11">
      <c r="A11" s="28" t="inlineStr">
        <is>
          <t>Estaciones temáticas portátiles (inducción, plancha y wok)</t>
        </is>
      </c>
      <c r="B11" s="29" t="n">
        <v>9000</v>
      </c>
      <c r="C11" s="68">
        <f>IFERROR(B11/$B$26,"")</f>
        <v>0.06903679707308526</v>
      </c>
      <c r="D11" s="28" t="inlineStr">
        <is>
          <t>Tres módulos de show cooking. El equipo específico de cada cocina del mundo se compra cuando esa estación se venda</t>
        </is>
      </c>
      <c r="E11" s="31" t="inlineStr">
        <is>
          <t>Sí</t>
        </is>
      </c>
    </row>
    <row r="12">
      <c r="A12" s="28" t="inlineStr">
        <is>
          <t>Chafing dishes y expositores de bufé</t>
        </is>
      </c>
      <c r="B12" s="29" t="n">
        <v>3500</v>
      </c>
      <c r="C12" s="68">
        <f>IFERROR(B12/$B$26,"")</f>
        <v>0.026847643306199823</v>
      </c>
      <c r="D12" s="28" t="inlineStr">
        <is>
          <t>Para bufés, desayunos y coffee breaks</t>
        </is>
      </c>
      <c r="E12" s="31" t="inlineStr">
        <is>
          <t>Sí</t>
        </is>
      </c>
    </row>
    <row r="13">
      <c r="A13" s="28" t="inlineStr">
        <is>
          <t>Menaje base: vajilla, cubertería y cristalería</t>
        </is>
      </c>
      <c r="B13" s="29" t="n">
        <v>6000</v>
      </c>
      <c r="C13" s="68">
        <f>IFERROR(B13/$B$26,"")</f>
        <v>0.046024531382056845</v>
      </c>
      <c r="D13" s="28" t="inlineStr">
        <is>
          <t>Para 150 invitados; lo que pase se alquila y se repercute en el presupuesto</t>
        </is>
      </c>
      <c r="E13" s="31" t="inlineStr">
        <is>
          <t>Sí</t>
        </is>
      </c>
    </row>
    <row r="14">
      <c r="A14" s="28" t="inlineStr">
        <is>
          <t>Mantelería y uniformes</t>
        </is>
      </c>
      <c r="B14" s="29" t="n">
        <v>2000</v>
      </c>
      <c r="C14" s="68">
        <f>IFERROR(B14/$B$26,"")</f>
        <v>0.015341510460685614</v>
      </c>
      <c r="D14" s="28" t="inlineStr">
        <is>
          <t>Con recambios para dos eventos seguidos</t>
        </is>
      </c>
      <c r="E14" s="31" t="inlineStr">
        <is>
          <t>Sí</t>
        </is>
      </c>
    </row>
    <row r="15">
      <c r="A15" s="28" t="inlineStr">
        <is>
          <t>Mobiliario de catering: mesas altas y barra plegable</t>
        </is>
      </c>
      <c r="B15" s="29" t="n">
        <v>2500</v>
      </c>
      <c r="C15" s="68">
        <f>IFERROR(B15/$B$26,"")</f>
        <v>0.019176888075857018</v>
      </c>
      <c r="D15" s="28" t="inlineStr">
        <is>
          <t>El resto del mobiliario y las carpas se alquilan para cada evento</t>
        </is>
      </c>
      <c r="E15" s="31" t="inlineStr">
        <is>
          <t>Sí</t>
        </is>
      </c>
    </row>
    <row r="16">
      <c r="A16" s="28" t="inlineStr">
        <is>
          <t>Marca, web, fotos, dossier de menús y lanzamiento</t>
        </is>
      </c>
      <c r="B16" s="29" t="n">
        <v>7000</v>
      </c>
      <c r="C16" s="68">
        <f>IFERROR(B16/$B$26,"")</f>
        <v>0.05369528661239965</v>
      </c>
      <c r="D16" s="28" t="inlineStr">
        <is>
          <t>Identidad, web con formulario de presupuesto, sesión de fotos y vídeo, dossier, ferias de novios, directorios y degustaciones de lanzamiento</t>
        </is>
      </c>
      <c r="E16" s="31" t="inlineStr">
        <is>
          <t>Sí</t>
        </is>
      </c>
    </row>
    <row r="17">
      <c r="A17" s="28" t="inlineStr">
        <is>
          <t>Software, tablet y datáfono</t>
        </is>
      </c>
      <c r="B17" s="29" t="n">
        <v>1200</v>
      </c>
      <c r="C17" s="68">
        <f>IFERROR(B17/$B$26,"")</f>
        <v>0.009204906276411368</v>
      </c>
      <c r="D17" s="28" t="inlineStr">
        <is>
          <t>Presupuestos, agenda y facturación conforme a Veri*factu</t>
        </is>
      </c>
      <c r="E17" s="31" t="inlineStr">
        <is>
          <t>Sí</t>
        </is>
      </c>
    </row>
    <row r="18">
      <c r="A18" s="28" t="inlineStr">
        <is>
          <t>Constitución SL + notaría + registro</t>
        </is>
      </c>
      <c r="B18" s="29" t="n">
        <v>1000</v>
      </c>
      <c r="C18" s="68">
        <f>IFERROR(B18/$B$26,"")</f>
        <v>0.007670755230342807</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1800</v>
      </c>
      <c r="C19" s="68">
        <f>IFERROR(B19/$B$26,"")</f>
        <v>0.013807359414617052</v>
      </c>
      <c r="D19" s="28" t="inlineStr">
        <is>
          <t>Redacción del plan APPCC, fichas de alérgenos, formación del equipo y trámites sanitarios</t>
        </is>
      </c>
      <c r="E19" s="31" t="inlineStr">
        <is>
          <t>Sí</t>
        </is>
      </c>
    </row>
    <row r="20">
      <c r="A20" s="28" t="inlineStr">
        <is>
          <t>Stock inicial de producto</t>
        </is>
      </c>
      <c r="B20" s="29" t="n">
        <v>2000</v>
      </c>
      <c r="C20" s="68">
        <f>IFERROR(B20/$B$26,"")</f>
        <v>0.015341510460685614</v>
      </c>
      <c r="D20" s="28" t="inlineStr">
        <is>
          <t>Producto seco, bebida y desechables para los primeros eventos</t>
        </is>
      </c>
      <c r="E20" s="31" t="inlineStr">
        <is>
          <t>Sí</t>
        </is>
      </c>
    </row>
    <row r="21">
      <c r="A21" s="28" t="inlineStr">
        <is>
          <t>Fianza de la cocina central</t>
        </is>
      </c>
      <c r="B21" s="32">
        <f>IFERROR(IF('0. Supuestos'!$B$24="","",'0. Supuestos'!$B$24*'0. Supuestos'!$B$25),"")</f>
        <v>4000.0</v>
      </c>
      <c r="C21" s="68">
        <f>IFERROR(B21/$B$26,"")</f>
        <v>0.030683020921371228</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central de los meses previos al arranque</t>
        </is>
      </c>
      <c r="B22" s="32">
        <f>IFERROR(IF('0. Supuestos'!$B$24="","",'0. Supuestos'!$B$24*'0. Supuestos'!$B$54),"")</f>
        <v>2000.0</v>
      </c>
      <c r="C22" s="68">
        <f>IFERROR(B22/$B$26,"")</f>
        <v>0.015341510460685614</v>
      </c>
      <c r="D22" s="28" t="str">
        <f>IFERROR("Renta "&amp;IF('0. Supuestos'!$B$54=1,"del mes","de los "&amp;TEXT('0. Supuestos'!$B$54,"0")&amp;" meses")&amp;" de puesta en marcha (pruebas de menú y degustaciones). NO se solapa con el P&amp;L, que arranca el día de la apertura: los doce meses del P&amp;L son los doce de explotación","")</f>
        <v>Renta del mes de puesta en marcha (pruebas de menú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1880.0</v>
      </c>
      <c r="C23" s="68">
        <f>IFERROR(B23/$B$26,"")</f>
        <v>0.014421019833044477</v>
      </c>
      <c r="D23" s="28" t="str">
        <f>IFERROR("Al "&amp;TEXT('0. Supuestos'!$B$55,"0%")&amp;" de las partidas de la furgoneta de este bloque (Furgoneta frigorífica usada con certificado ATP y Rotulación y estanterías de la furgoneta), no del bloque entero: el resto de partidas del bloque quedan fuera. Un banco no financia una compra así sin colchón: el porcentaje está en la hoja de Supuestos","")</f>
        <v>Al 8% de las partidas de la furgoneta de este bloque (Furgoneta frigorífica usada con certificado ATP y Rotulación y estanterías de la furgoneta),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55485.26</v>
      </c>
      <c r="C24" s="67">
        <f>IFERROR(B24/$B$26,"")</f>
        <v>0.42561384835193056</v>
      </c>
      <c r="D24" s="28" t="n"/>
      <c r="E24" s="28" t="n"/>
    </row>
    <row r="25">
      <c r="A25" s="28" t="inlineStr">
        <is>
          <t>Colchón operativo hasta alcanzar el equilibrio</t>
        </is>
      </c>
      <c r="B25" s="32">
        <f>IFERROR(IF('0. Supuestos'!$B$35*('PyG 3 Años'!$B$38-'PyG 3 Años'!$B$36)=0,"",'0. Supuestos'!$B$35*('PyG 3 Años'!$B$38-'PyG 3 Años'!$B$36)/12),"")</f>
        <v>55485.26</v>
      </c>
      <c r="C25" s="68">
        <f>IFERROR(B25/$B$26,"")</f>
        <v>0.42561384835193056</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130365.26000000001</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(43% del total). Para comparar el desglose con otro plan, usa la fila de CAPEX de abajo.</v>
      </c>
      <c r="E26" s="28" t="n"/>
    </row>
    <row r="27">
      <c r="A27" s="25" t="inlineStr">
        <is>
          <t>CAPEX (inversión sin el fondo de maniobra)</t>
        </is>
      </c>
      <c r="B27" s="26">
        <f>IFERROR(B26-B24,"")</f>
        <v>74880.0</v>
      </c>
      <c r="C27" s="28" t="n"/>
      <c r="D27" s="25" t="inlineStr">
        <is>
          <t>Es lo que se compra: obra, equipamiento, lanzamiento y gastos de constitución. El colchón de caja no es inversión, es circulante</t>
        </is>
      </c>
      <c r="E27" s="28" t="n"/>
    </row>
    <row r="28">
      <c r="A28" s="28" t="inlineStr">
        <is>
          <t>IVA soportado sobre la inversión (recuperable)</t>
        </is>
      </c>
      <c r="B28" s="32">
        <f>IFERROR(IF(B26="","",SUMIF($E$7:$E$23,"Sí",$B$7:$B$23)*'0. Supuestos'!$B$41),"")</f>
        <v>14674.8</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145040.06</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Obra, instalaciones y acondicionamiento</t>
        </is>
      </c>
      <c r="B31" s="32">
        <f>IFERROR(IF(B7="","",B7+B8+B23),"")</f>
        <v>25380.0</v>
      </c>
      <c r="C31" s="28" t="n"/>
      <c r="D31" s="28" t="str">
        <f>IFERROR("Se amortiza en "&amp;TEXT('0. Supuestos'!$B$44,"0")&amp;" años","")</f>
        <v>Se amortiza en 8 años</v>
      </c>
      <c r="E31" s="28" t="n"/>
    </row>
    <row r="32">
      <c r="A32" s="28" t="inlineStr">
        <is>
          <t>Maquinaria, mobiliario y equipos</t>
        </is>
      </c>
      <c r="B32" s="32">
        <f>IFERROR(IF(B9="","",B9+B10+B11+B12+B13+B14+B15+B17),"")</f>
        <v>31700.0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6342.5</v>
      </c>
      <c r="C33" s="28" t="n"/>
      <c r="D33" s="25" t="str">
        <f>IFERROR("No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"&amp;TEXT(B26-B31-B32,"0")&amp;" € de los "&amp;TEXT(B26,"0")&amp;" € de inversión.","")</f>
        <v>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73285 € de los 130365 €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catering temático de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65.0</v>
      </c>
      <c r="C6" s="40">
        <f>IFERROR(B6*(1+'0. Supuestos'!$B$7),"")</f>
        <v>72.80000000000001</v>
      </c>
      <c r="D6" s="40">
        <f>IFERROR(C6*(1+'0. Supuestos'!$B$8),"")</f>
        <v>78.62400000000002</v>
      </c>
      <c r="E6" s="28" t="n"/>
      <c r="F6" s="28" t="inlineStr">
        <is>
          <t>El crecimiento de los años 2 y 3 está en la hoja de Supuestos</t>
        </is>
      </c>
      <c r="G6" s="28" t="n"/>
      <c r="H6" s="28" t="n"/>
    </row>
    <row r="7">
      <c r="A7" s="28" t="inlineStr">
        <is>
          <t>Precio medio por invitado sin IVA</t>
        </is>
      </c>
      <c r="B7" s="70">
        <f>IFERROR(IF('0. Supuestos'!$B$5="","",'0. Supuestos'!$B$5),"")</f>
        <v>53.0</v>
      </c>
      <c r="C7" s="70">
        <f>IFERROR(IF(B7="","",B7),"")</f>
        <v>53.0</v>
      </c>
      <c r="D7" s="70">
        <f>IFERROR(IF(C7="","",C7),"")</f>
        <v>53.0</v>
      </c>
      <c r="E7" s="28" t="n"/>
      <c r="F7" s="28" t="inlineStr">
        <is>
          <t>Constante en euros del año 1: una subida de precios es una decisión aparte</t>
        </is>
      </c>
      <c r="G7" s="28" t="n"/>
      <c r="H7" s="28" t="n"/>
    </row>
    <row r="8">
      <c r="A8" s="28" t="inlineStr">
        <is>
          <t>Eventos al año</t>
        </is>
      </c>
      <c r="B8" s="40">
        <f>IFERROR(IF('0. Supuestos'!$B$6="","",'0. Supuestos'!$B$6),"")</f>
        <v>130.0</v>
      </c>
      <c r="C8" s="40">
        <f>IFERROR(IF(B8="","",B8),"")</f>
        <v>130.0</v>
      </c>
      <c r="D8" s="40">
        <f>IFERROR(IF(C8="","",C8),"")</f>
        <v>130.0</v>
      </c>
      <c r="E8" s="28" t="n"/>
      <c r="F8" s="28" t="n"/>
      <c r="G8" s="28" t="n"/>
      <c r="H8" s="28" t="n"/>
    </row>
    <row r="9">
      <c r="A9" s="25" t="inlineStr">
        <is>
          <t>INGRESOS TOTALES (sin IVA)</t>
        </is>
      </c>
      <c r="B9" s="26">
        <f>IFERROR(IF(B6*B7*B8=0,"",B6*B7*B8),"")</f>
        <v>447850.0</v>
      </c>
      <c r="C9" s="26">
        <f>IFERROR(IF(C6*C7*C8=0,"",C6*C7*C8),"")</f>
        <v>501592.00000000006</v>
      </c>
      <c r="D9" s="26">
        <f>IFERROR(IF(D6*D7*D8=0,"",D6*D7*D8),"")</f>
        <v>541719.3600000001</v>
      </c>
      <c r="E9" s="67">
        <f>IFERROR(IF(B9="","",1),"")</f>
        <v>1.0</v>
      </c>
      <c r="F9" s="28" t="n"/>
      <c r="G9" s="28" t="n"/>
      <c r="H9" s="28" t="n"/>
    </row>
    <row r="10">
      <c r="A10" s="28" t="inlineStr">
        <is>
          <t>Ventas de comida (menús, estaciones temáticas en directo y coffee breaks)</t>
        </is>
      </c>
      <c r="B10" s="32">
        <f>IFERROR(IF(B9="","",B9*$E$10),"")</f>
        <v>381523.415</v>
      </c>
      <c r="C10" s="32">
        <f>IFERROR(IF(C9="","",C9*$E$10),"")</f>
        <v>427306.2248</v>
      </c>
      <c r="D10" s="32">
        <f>IFERROR(IF(D9="","",D9*$E$10),"")</f>
        <v>461490.7227840001</v>
      </c>
      <c r="E10" s="68">
        <f>IFERROR(IF('0. Supuestos'!$B$11="","",'0. Supuestos'!$B$11),"")</f>
        <v>0.8519</v>
      </c>
      <c r="F10" s="28" t="inlineStr">
        <is>
          <t>Menús de cóctel y banquete, estaciones de cocina del mundo en directo, bufés y coffee breaks. La prueba de menú se cobra y se descuenta del evento</t>
        </is>
      </c>
      <c r="G10" s="68">
        <f>IFERROR(IF(B9="","",'0. Supuestos'!$B$39),"")</f>
        <v>0.1</v>
      </c>
      <c r="H10" s="28" t="n"/>
    </row>
    <row r="11">
      <c r="A11" s="28" t="inlineStr">
        <is>
          <t>Ventas de bebida (barra, vinos y refrescos servidos)</t>
        </is>
      </c>
      <c r="B11" s="32">
        <f>IFERROR(IF(B9="","",B9*$E$11),"")</f>
        <v>66326.585</v>
      </c>
      <c r="C11" s="32">
        <f>IFERROR(IF(C9="","",C9*$E$11),"")</f>
        <v>74285.77520000002</v>
      </c>
      <c r="D11" s="32">
        <f>IFERROR(IF(D9="","",D9*$E$11),"")</f>
        <v>80228.63721600002</v>
      </c>
      <c r="E11" s="68">
        <f>IFERROR(IF('0. Supuestos'!$B$12="","",'0. Supuestos'!$B$12),"")</f>
        <v>0.1481</v>
      </c>
      <c r="F11" s="28" t="inlineStr">
        <is>
          <t>Barra libre por horas, vinos del menú, cava del brindis, refrescos y agua</t>
        </is>
      </c>
      <c r="G11" s="68">
        <f>IFERROR(IF(B9="","",('0. Supuestos'!$B$62*((1-'0. Supuestos'!$B$16)*'0. Supuestos'!$B$63+'0. Supuestos'!$B$16*'0. Supuestos'!$B$40)+(1-'0. Supuestos'!$B$62)*'0. Supuestos'!$B$39)),"")</f>
        <v>0.103575</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114457.02449999998</v>
      </c>
      <c r="C13" s="32">
        <f>IFERROR(IF(C9="","",C9*'0. Supuestos'!$B$11*'0. Supuestos'!$B$13),"")</f>
        <v>128191.86744</v>
      </c>
      <c r="D13" s="32">
        <f>IFERROR(IF(D9="","",D9*'0. Supuestos'!$B$11*'0. Supuestos'!$B$13),"")</f>
        <v>138447.21683520003</v>
      </c>
      <c r="E13" s="68">
        <f>IFERROR(B13/$B$9,"")</f>
        <v>0.25556999999999996</v>
      </c>
      <c r="F13" s="28" t="str">
        <f>IFERROR("Al "&amp;TEXT('0. Supuestos'!$B$13,"0%")&amp;" de las ventas de COMIDA, no del total: la bebida tiene su propia línea","")</f>
        <v>Al 30% de las ventas de COMIDA, no del total: la bebida tiene su propia línea</v>
      </c>
      <c r="G13" s="68">
        <f>IFERROR(IF(B9="","",'0. Supuestos'!$B$39),"")</f>
        <v>0.1</v>
      </c>
      <c r="H13" s="28" t="n"/>
    </row>
    <row r="14">
      <c r="A14" s="28" t="inlineStr">
        <is>
          <t>Coste de mercancía — bebida</t>
        </is>
      </c>
      <c r="B14" s="32">
        <f>IFERROR(IF(B9="","",B9*'0. Supuestos'!$B$12*'0. Supuestos'!$B$14),"")</f>
        <v>18571.443800000005</v>
      </c>
      <c r="C14" s="32">
        <f>IFERROR(IF(C9="","",C9*'0. Supuestos'!$B$12*'0. Supuestos'!$B$14),"")</f>
        <v>20800.017056000008</v>
      </c>
      <c r="D14" s="32">
        <f>IFERROR(IF(D9="","",D9*'0. Supuestos'!$B$12*'0. Supuestos'!$B$14),"")</f>
        <v>22464.018420480006</v>
      </c>
      <c r="E14" s="68">
        <f>IFERROR(B14/$B$9,"")</f>
        <v>0.04146800000000001</v>
      </c>
      <c r="F14" s="28" t="str">
        <f>IFERROR("Al "&amp;TEXT('0. Supuestos'!$B$14,"0%")&amp;" de las ventas de BEBIDA","")</f>
        <v>Al 28% de las ventas de BEBIDA</v>
      </c>
      <c r="G14" s="68">
        <f>IFERROR(IF(B9="","",('0. Supuestos'!$B$62*'0. Supuestos'!$B$40+(1-'0. Supuestos'!$B$62)*'0. Supuestos'!$B$39)),"")</f>
        <v>0.1715</v>
      </c>
      <c r="H14" s="28" t="n"/>
    </row>
    <row r="15">
      <c r="A15" s="28" t="inlineStr">
        <is>
          <t>Consumibles y envases</t>
        </is>
      </c>
      <c r="B15" s="32">
        <f>IFERROR(IF(B9="","",B9*'0. Supuestos'!$B$15),"")</f>
        <v>13435.5</v>
      </c>
      <c r="C15" s="32">
        <f>IFERROR(IF(C9="","",C9*'0. Supuestos'!$B$15),"")</f>
        <v>15047.760000000002</v>
      </c>
      <c r="D15" s="32">
        <f>IFERROR(IF(D9="","",D9*'0. Supuestos'!$B$15),"")</f>
        <v>16251.580800000003</v>
      </c>
      <c r="E15" s="68">
        <f>IFERROR(B15/$B$9,"")</f>
        <v>0.03</v>
      </c>
      <c r="F15" s="28" t="n"/>
      <c r="G15" s="68">
        <f>IFERROR(IF(B9="","",'0. Supuestos'!$B$41),"")</f>
        <v>0.21</v>
      </c>
      <c r="H15" s="28" t="n"/>
    </row>
    <row r="16">
      <c r="A16" s="28" t="inlineStr">
        <is>
          <t>Comisiones del drop-off</t>
        </is>
      </c>
      <c r="B16" s="32">
        <f>IFERROR(IF(B9="","",B9*'0. Supuestos'!$B$16*'0. Supuestos'!$B$17),"")</f>
        <v>2239.25</v>
      </c>
      <c r="C16" s="32">
        <f>IFERROR(IF(C9="","",C9*'0. Supuestos'!$B$16*'0. Supuestos'!$B$17),"")</f>
        <v>2507.960000000001</v>
      </c>
      <c r="D16" s="32">
        <f>IFERROR(IF(D9="","",D9*'0. Supuestos'!$B$16*'0. Supuestos'!$B$17),"")</f>
        <v>2708.596800000001</v>
      </c>
      <c r="E16" s="68">
        <f>IFERROR(B16/$B$9,"")</f>
        <v>0.005</v>
      </c>
      <c r="F16" s="28" t="inlineStr">
        <is>
          <t>Sobre las ventas DEL CANAL. Con 0 % de drop-off en Supuestos, esta línea vale cero</t>
        </is>
      </c>
      <c r="G16" s="68">
        <f>IFERROR(IF(B9="","",'0. Supuestos'!$B$41),"")</f>
        <v>0.21</v>
      </c>
      <c r="H16" s="28" t="n"/>
    </row>
    <row r="17">
      <c r="A17" s="28" t="inlineStr">
        <is>
          <t>Comisiones de los medios de pago</t>
        </is>
      </c>
      <c r="B17" s="32">
        <f>IFERROR(IF(B9="","",B9*'0. Supuestos'!$B$18),"")</f>
        <v>2239.25</v>
      </c>
      <c r="C17" s="32">
        <f>IFERROR(IF(C9="","",C9*'0. Supuestos'!$B$18),"")</f>
        <v>2507.9600000000005</v>
      </c>
      <c r="D17" s="32">
        <f>IFERROR(IF(D9="","",D9*'0. Supuestos'!$B$18),"")</f>
        <v>2708.5968000000007</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22392.5</v>
      </c>
      <c r="C18" s="32">
        <f>IFERROR(IF(C9="","",C9*'0. Supuestos'!$B$28),"")</f>
        <v>25079.600000000006</v>
      </c>
      <c r="D18" s="32">
        <f>IFERROR(IF(D9="","",D9*'0. Supuestos'!$B$28),"")</f>
        <v>27085.968000000008</v>
      </c>
      <c r="E18" s="68">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68">
        <f>IFERROR(IF(B9="","",'0. Supuestos'!$B$41),"")</f>
        <v>0.21</v>
      </c>
      <c r="H18" s="28" t="n"/>
    </row>
    <row r="19">
      <c r="A19" s="25" t="inlineStr">
        <is>
          <t>TOTAL COSTES VARIABLES</t>
        </is>
      </c>
      <c r="B19" s="26">
        <f>IFERROR(IF(B9="","",SUM(B13:B18)),"")</f>
        <v>173334.96829999998</v>
      </c>
      <c r="C19" s="26">
        <f>IFERROR(IF(C9="","",SUM(C13:C18)),"")</f>
        <v>194135.164496</v>
      </c>
      <c r="D19" s="26">
        <f>IFERROR(IF(D9="","",SUM(D13:D18)),"")</f>
        <v>209665.97765568004</v>
      </c>
      <c r="E19" s="67">
        <f>IFERROR(B19/$B$9,"")</f>
        <v>0.38703799999999994</v>
      </c>
      <c r="F19" s="28" t="n"/>
      <c r="G19" s="28" t="n"/>
      <c r="H19" s="28" t="n"/>
    </row>
    <row r="20">
      <c r="A20" s="25" t="inlineStr">
        <is>
          <t>MARGEN BRUTO</t>
        </is>
      </c>
      <c r="B20" s="26">
        <f>IFERROR(IF(B9="","",B9-B19),"")</f>
        <v>274515.03170000005</v>
      </c>
      <c r="C20" s="26">
        <f>IFERROR(IF(C9="","",C9-C19),"")</f>
        <v>307456.8355040001</v>
      </c>
      <c r="D20" s="26">
        <f>IFERROR(IF(D9="","",D9-D19),"")</f>
        <v>332053.38234432007</v>
      </c>
      <c r="E20" s="67">
        <f>IFERROR(B20/$B$9,"")</f>
        <v>0.6129620000000001</v>
      </c>
      <c r="F20" s="28" t="n"/>
      <c r="G20" s="28" t="n"/>
      <c r="H20" s="28" t="n"/>
    </row>
    <row r="21">
      <c r="A21" s="25" t="inlineStr">
        <is>
          <t>COSTES FIJOS</t>
        </is>
      </c>
      <c r="B21" s="28" t="n"/>
      <c r="C21" s="28" t="n"/>
      <c r="D21" s="28" t="n"/>
      <c r="E21" s="28" t="n"/>
      <c r="F21" s="28" t="n"/>
      <c r="G21" s="28" t="n"/>
      <c r="H21" s="28" t="n"/>
    </row>
    <row r="22">
      <c r="A22" s="28" t="inlineStr">
        <is>
          <t>Cuota de la cocina central compartida</t>
        </is>
      </c>
      <c r="B22" s="32">
        <f>IFERROR(IF(B9="","",'0. Supuestos'!$B$24*12),"")</f>
        <v>24000.0</v>
      </c>
      <c r="C22" s="32">
        <f>IFERROR(IF(C9="","",B22*(1+'0. Supuestos'!$B$48)),"")</f>
        <v>24000.0</v>
      </c>
      <c r="D22" s="32">
        <f>IFERROR(IF(D9="","",C22*(1+'0. Supuestos'!$B$48)),"")</f>
        <v>24000.0</v>
      </c>
      <c r="E22" s="68">
        <f>IFERROR(B22/$B$9,"")</f>
        <v>0.0535893714413308</v>
      </c>
      <c r="F22" s="28" t="inlineStr">
        <is>
          <t>El importe mensual está en la hoja de Supuestos; aquí se multiplica por doce. Es el contrato de uso de una cocina central compartida y autorizada (cámara, almacén y plaza de la furgoneta). El mes previo al primer evento está en la hoja de Inversión y NO se cuenta dos veces</t>
        </is>
      </c>
      <c r="G22" s="68">
        <f>IFERROR(IF(B9="","",'0. Supuestos'!$B$41),"")</f>
        <v>0.21</v>
      </c>
      <c r="H22" s="28" t="n"/>
    </row>
    <row r="23">
      <c r="A23" s="28" t="inlineStr">
        <is>
          <t>Personal (nóminas + Seguridad Social)</t>
        </is>
      </c>
      <c r="B23" s="32">
        <f>IFERROR(IF(B9="","",'Personal'!$G$9),"")</f>
        <v>162776.04</v>
      </c>
      <c r="C23" s="32">
        <f>IFERROR(IF(C9="","",'Personal'!$B$13),"")</f>
        <v>168776.04</v>
      </c>
      <c r="D23" s="32">
        <f>IFERROR(IF(D9="","",'Personal'!$B$14),"")</f>
        <v>174776.04</v>
      </c>
      <c r="E23" s="68">
        <f>IFERROR(B23/$B$9,"")</f>
        <v>0.3634610695545384</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(gas de las estaciones y consumos propios)</t>
        </is>
      </c>
      <c r="B24" s="32">
        <f>IFERROR(IF(B9="","",'0. Supuestos'!$B$26*12),"")</f>
        <v>1800.0</v>
      </c>
      <c r="C24" s="32">
        <f>IFERROR(IF(C9="","",B24*(1+'0. Supuestos'!$B$48)),"")</f>
        <v>1800.0</v>
      </c>
      <c r="D24" s="32">
        <f>IFERROR(IF(D9="","",C24*(1+'0. Supuestos'!$B$48)),"")</f>
        <v>1800.0</v>
      </c>
      <c r="E24" s="68">
        <f>IFERROR(B24/$B$9,"")</f>
        <v>0.00401920285809981</v>
      </c>
      <c r="F24" s="28" t="inlineStr">
        <is>
          <t>Gas de las estaciones y consumos fuera de la cuota de la cocina. Va al 21 % de IVA</t>
        </is>
      </c>
      <c r="G24" s="68">
        <f>IFERROR(IF(B9="","",'0. Supuestos'!$B$41),"")</f>
        <v>0.21</v>
      </c>
      <c r="H24" s="28" t="n"/>
    </row>
    <row r="25">
      <c r="A25" s="28" t="inlineStr">
        <is>
          <t>Seguros (RC + multirriesgo)</t>
        </is>
      </c>
      <c r="B25" s="32">
        <f>IFERROR(IF(B9="","",'0. Supuestos'!$B$27),"")</f>
        <v>2200.0</v>
      </c>
      <c r="C25" s="32">
        <f>IFERROR(IF(C9="","",B25*(1+'0. Supuestos'!$B$48)),"")</f>
        <v>2200.0</v>
      </c>
      <c r="D25" s="32">
        <f>IFERROR(IF(D9="","",C25*(1+'0. Supuestos'!$B$48)),"")</f>
        <v>2200.0</v>
      </c>
      <c r="E25" s="68">
        <f>IFERROR(B25/$B$9,"")</f>
        <v>0.004912359048788657</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3000</v>
      </c>
      <c r="C26" s="32">
        <f>IFERROR(IF(C9="","",B26*(1+'0. Supuestos'!$B$48)),"")</f>
        <v>3000.0</v>
      </c>
      <c r="D26" s="32">
        <f>IFERROR(IF(D9="","",C26*(1+'0. Supuestos'!$B$48)),"")</f>
        <v>3000.0</v>
      </c>
      <c r="E26" s="68">
        <f>IFERROR(B26/$B$9,"")</f>
        <v>0.00669867143016635</v>
      </c>
      <c r="F26" s="28" t="inlineStr">
        <is>
          <t>Contabilidad, impuestos y nóminas de los fijos discontinuos de cada mes con llamamientos</t>
        </is>
      </c>
      <c r="G26" s="68">
        <f>IFERROR(IF(B9="","",'0. Supuestos'!$B$41),"")</f>
        <v>0.21</v>
      </c>
      <c r="H26" s="28" t="n"/>
    </row>
    <row r="27">
      <c r="A27" s="28" t="inlineStr">
        <is>
          <t>Furgoneta: mantenimiento, ITV e inspección ATP</t>
        </is>
      </c>
      <c r="B27" s="29" t="n">
        <v>1500</v>
      </c>
      <c r="C27" s="32">
        <f>IFERROR(IF(C9="","",B27*(1+'0. Supuestos'!$B$48)),"")</f>
        <v>1500.0</v>
      </c>
      <c r="D27" s="32">
        <f>IFERROR(IF(D9="","",C27*(1+'0. Supuestos'!$B$48)),"")</f>
        <v>1500.0</v>
      </c>
      <c r="E27" s="68">
        <f>IFERROR(B27/$B$9,"")</f>
        <v>0.003349335715083175</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9000</v>
      </c>
      <c r="C28" s="32">
        <f>IFERROR(IF(C9="","",B28*(1+'0. Supuestos'!$B$48)),"")</f>
        <v>9000.0</v>
      </c>
      <c r="D28" s="32">
        <f>IFERROR(IF(D9="","",C28*(1+'0. Supuestos'!$B$48)),"")</f>
        <v>9000.0</v>
      </c>
      <c r="E28" s="68">
        <f>IFERROR(B28/$B$9,"")</f>
        <v>0.02009601429049905</v>
      </c>
      <c r="F28" s="28" t="inlineStr">
        <is>
          <t>Escaparates de bodas, Google Ads, dos ferias de novios al año y LinkedIn para empresas</t>
        </is>
      </c>
      <c r="G28" s="68">
        <f>IFERROR(IF(B9="","",'0. Supuestos'!$B$41),"")</f>
        <v>0.21</v>
      </c>
      <c r="H28" s="28" t="n"/>
    </row>
    <row r="29">
      <c r="A29" s="28" t="inlineStr">
        <is>
          <t>Software de gestión comercial, CRM y teléfono</t>
        </is>
      </c>
      <c r="B29" s="29" t="n">
        <v>1800</v>
      </c>
      <c r="C29" s="32">
        <f>IFERROR(IF(C9="","",B29*(1+'0. Supuestos'!$B$48)),"")</f>
        <v>1800.0</v>
      </c>
      <c r="D29" s="32">
        <f>IFERROR(IF(D9="","",C29*(1+'0. Supuestos'!$B$48)),"")</f>
        <v>1800.0</v>
      </c>
      <c r="E29" s="68">
        <f>IFERROR(B29/$B$9,"")</f>
        <v>0.00401920285809981</v>
      </c>
      <c r="F29" s="28" t="inlineStr">
        <is>
          <t>Presupuestos, agenda de eventos, CRM de clientes y línea de teléfono</t>
        </is>
      </c>
      <c r="G29" s="68">
        <f>IFERROR(IF(B9="","",'0. Supuestos'!$B$41),"")</f>
        <v>0.21</v>
      </c>
      <c r="H29" s="28" t="n"/>
    </row>
    <row r="30">
      <c r="A30" s="28" t="inlineStr">
        <is>
          <t>Lavandería de mantelería y uniformes</t>
        </is>
      </c>
      <c r="B30" s="29" t="n">
        <v>3000</v>
      </c>
      <c r="C30" s="32">
        <f>IFERROR(IF(C9="","",B30*(1+'0. Supuestos'!$B$48)),"")</f>
        <v>3000.0</v>
      </c>
      <c r="D30" s="32">
        <f>IFERROR(IF(D9="","",C30*(1+'0. Supuestos'!$B$48)),"")</f>
        <v>3000.0</v>
      </c>
      <c r="E30" s="68">
        <f>IFERROR(B30/$B$9,"")</f>
        <v>0.00669867143016635</v>
      </c>
      <c r="F30" s="28" t="inlineStr">
        <is>
          <t>Lavado y planchado industrial después de cada evento</t>
        </is>
      </c>
      <c r="G30" s="68">
        <f>IFERROR(IF(B9="","",'0. Supuestos'!$B$41),"")</f>
        <v>0.21</v>
      </c>
      <c r="H30" s="28" t="n"/>
    </row>
    <row r="31">
      <c r="A31" s="28" t="inlineStr">
        <is>
          <t>Pruebas de menú y degustaciones comerciales</t>
        </is>
      </c>
      <c r="B31" s="29" t="n">
        <v>3000</v>
      </c>
      <c r="C31" s="32">
        <f>IFERROR(IF(C9="","",B31*(1+'0. Supuestos'!$B$48)),"")</f>
        <v>3000.0</v>
      </c>
      <c r="D31" s="32">
        <f>IFERROR(IF(D9="","",C31*(1+'0. Supuestos'!$B$48)),"")</f>
        <v>3000.0</v>
      </c>
      <c r="E31" s="68">
        <f>IFERROR(B31/$B$9,"")</f>
        <v>0.00669867143016635</v>
      </c>
      <c r="F31" s="28" t="inlineStr">
        <is>
          <t>Producto y horas de las pruebas de menú de bodas y de las degustaciones a empresas que no se cobran</t>
        </is>
      </c>
      <c r="G31" s="68">
        <f>IFERROR(IF(B9="","",'0. Supuestos'!$B$41),"")</f>
        <v>0.21</v>
      </c>
      <c r="H31" s="28" t="n"/>
    </row>
    <row r="32">
      <c r="A32" s="28" t="inlineStr">
        <is>
          <t>Gestión de residuos (orgánico, cartón y aceite usado)</t>
        </is>
      </c>
      <c r="B32" s="29" t="n">
        <v>400</v>
      </c>
      <c r="C32" s="32">
        <f>IFERROR(IF(C9="","",B32*(1+'0. Supuestos'!$B$48)),"")</f>
        <v>400.0</v>
      </c>
      <c r="D32" s="32">
        <f>IFERROR(IF(D9="","",C32*(1+'0. Supuestos'!$B$48)),"")</f>
        <v>400.0</v>
      </c>
      <c r="E32" s="68">
        <f>IFERROR(B32/$B$9,"")</f>
        <v>0.0008931561906888468</v>
      </c>
      <c r="F32" s="28" t="inlineStr">
        <is>
          <t>Gestor autorizado, salvo que la cocina central lo incluya en la cuota</t>
        </is>
      </c>
      <c r="G32" s="68">
        <f>IFERROR(IF(B9="","",'0. Supuestos'!$B$41),"")</f>
        <v>0.21</v>
      </c>
      <c r="H32" s="28" t="n"/>
    </row>
    <row r="33">
      <c r="A33" s="28" t="inlineStr">
        <is>
          <t>Reposición de menaje y roturas</t>
        </is>
      </c>
      <c r="B33" s="29" t="n">
        <v>1200</v>
      </c>
      <c r="C33" s="32">
        <f>IFERROR(IF(C9="","",B33*(1+'0. Supuestos'!$B$48)),"")</f>
        <v>1200.0</v>
      </c>
      <c r="D33" s="32">
        <f>IFERROR(IF(D9="","",C33*(1+'0. Supuestos'!$B$48)),"")</f>
        <v>1200.0</v>
      </c>
      <c r="E33" s="68">
        <f>IFERROR(B33/$B$9,"")</f>
        <v>0.00267946857206654</v>
      </c>
      <c r="F33" s="28" t="inlineStr">
        <is>
          <t>Vajilla, copas y bandejas que se rompen o se pierden en los eventos. Estimación del kit</t>
        </is>
      </c>
      <c r="G33" s="68">
        <f>IFERROR(IF(B9="","",'0. Supuestos'!$B$41),"")</f>
        <v>0.21</v>
      </c>
      <c r="H33" s="28" t="n"/>
    </row>
    <row r="34">
      <c r="A34" s="28" t="inlineStr">
        <is>
          <t>Prevención de riesgos laborales y vigilancia de la salud</t>
        </is>
      </c>
      <c r="B34" s="29" t="n">
        <v>450</v>
      </c>
      <c r="C34" s="32">
        <f>IFERROR(IF(C9="","",B34*(1+'0. Supuestos'!$B$48)),"")</f>
        <v>450.0</v>
      </c>
      <c r="D34" s="32">
        <f>IFERROR(IF(D9="","",C34*(1+'0. Supuestos'!$B$48)),"")</f>
        <v>450.0</v>
      </c>
      <c r="E34" s="68">
        <f>IFERROR(B34/$B$9,"")</f>
        <v>0.0010048007145249526</v>
      </c>
      <c r="F34" s="28" t="inlineStr">
        <is>
          <t>Plan de prevención obligatorio (Ley 31/1995) y reconocimientos médicos de la plantilla</t>
        </is>
      </c>
      <c r="G34" s="68">
        <f>IFERROR(IF(B9="","",'0. Supuestos'!$B$41),"")</f>
        <v>0.21</v>
      </c>
      <c r="H34" s="28" t="n"/>
    </row>
    <row r="35">
      <c r="A35" s="28" t="inlineStr">
        <is>
          <t>Permisos y autorizaciones municipales</t>
        </is>
      </c>
      <c r="B35" s="29" t="n">
        <v>600</v>
      </c>
      <c r="C35" s="32">
        <f>IFERROR(IF(C9="","",B35*(1+'0. Supuestos'!$B$48)),"")</f>
        <v>600.0</v>
      </c>
      <c r="D35" s="32">
        <f>IFERROR(IF(D9="","",C35*(1+'0. Supuestos'!$B$48)),"")</f>
        <v>600.0</v>
      </c>
      <c r="E35" s="68">
        <f>IFERROR(B35/$B$9,"")</f>
        <v>0.00133973428603327</v>
      </c>
      <c r="F35" s="28" t="inlineStr">
        <is>
          <t>Autorizaciones para eventos en espacios públicos y tasas que no repercutes al cliente. Estimación del kit: varía mucho por municipio</t>
        </is>
      </c>
      <c r="G35" s="68">
        <f>IFERROR(IF(B9="","",'0. Supuestos'!$B$41),"")</f>
        <v>0.21</v>
      </c>
      <c r="H35" s="28" t="n"/>
    </row>
    <row r="36">
      <c r="A36" s="28" t="inlineStr">
        <is>
          <t>Amortización del inmovilizado</t>
        </is>
      </c>
      <c r="B36" s="32">
        <f>IFERROR(IF(B9="","",'Inversión Inicial'!$B$33),"")</f>
        <v>6342.5</v>
      </c>
      <c r="C36" s="32">
        <f>IFERROR(IF(C9="","",B36),"")</f>
        <v>6342.5</v>
      </c>
      <c r="D36" s="32">
        <f>IFERROR(IF(D9="","",B36),"")</f>
        <v>6342.5</v>
      </c>
      <c r="E36" s="68">
        <f>IFERROR(B36/$B$9,"")</f>
        <v>0.014162107848610026</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7215.0</v>
      </c>
      <c r="C37" s="32">
        <f>IFERROR(IF(C9="","",'Financiación'!$B$46),"")</f>
        <v>7215.0</v>
      </c>
      <c r="D37" s="32">
        <f>IFERROR(IF(D9="","",'Financiación'!$B$48),"")</f>
        <v>5947.796811234133</v>
      </c>
      <c r="E37" s="68">
        <f>IFERROR(B37/$B$9,"")</f>
        <v>0.016110304789550074</v>
      </c>
      <c r="F37" s="28" t="inlineStr">
        <is>
          <t>Sólo los INTERESES son gasto. La devolución del principal va en la hoja de Tesorería</t>
        </is>
      </c>
      <c r="G37" s="68" t="n">
        <v>0</v>
      </c>
      <c r="H37" s="28" t="n"/>
    </row>
    <row r="38">
      <c r="A38" s="25" t="inlineStr">
        <is>
          <t>TOTAL COSTES FIJOS</t>
        </is>
      </c>
      <c r="B38" s="26">
        <f>IFERROR(IF(B9="","",SUM(B22:B37)),"")</f>
        <v>228283.54</v>
      </c>
      <c r="C38" s="26">
        <f>IFERROR(IF(C9="","",SUM(C22:C37)),"")</f>
        <v>234283.54</v>
      </c>
      <c r="D38" s="26">
        <f>IFERROR(IF(D9="","",SUM(D22:D37)),"")</f>
        <v>239016.33681123413</v>
      </c>
      <c r="E38" s="67">
        <f>IFERROR(B38/$B$9,"")</f>
        <v>0.5097321424584125</v>
      </c>
      <c r="F38" s="28" t="n"/>
      <c r="G38" s="28" t="n"/>
      <c r="H38" s="28" t="n"/>
    </row>
    <row r="39">
      <c r="A39" s="28" t="inlineStr">
        <is>
          <t>IVA soportado de los costes variables</t>
        </is>
      </c>
      <c r="B39" s="32">
        <f>IFERROR(IF(B9="","",SUMPRODUCT(B13:B18,G13:G18)),"")</f>
        <v>22624.8275617</v>
      </c>
      <c r="C39" s="32">
        <f>IFERROR(IF(C9="","",SUMPRODUCT(C13:C18,G13:G18)),"")</f>
        <v>25339.806869104006</v>
      </c>
      <c r="D39" s="32">
        <f>IFERROR(IF(D9="","",SUMPRODUCT(D13:D18,G13:G18)),"")</f>
        <v>27366.99141863233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10447.5</v>
      </c>
      <c r="C40" s="32">
        <f>IFERROR(IF(C9="","",SUMPRODUCT(C22:C37,G22:G37)),"")</f>
        <v>10447.5</v>
      </c>
      <c r="D40" s="32">
        <f>IFERROR(IF(D9="","",SUMPRODUCT(D22:D37,G22:G37)),"")</f>
        <v>10447.5</v>
      </c>
      <c r="E40" s="28" t="n"/>
      <c r="F40" s="28" t="n"/>
      <c r="G40" s="28" t="n"/>
      <c r="H40" s="28" t="n"/>
    </row>
    <row r="41">
      <c r="A41" s="25" t="inlineStr">
        <is>
          <t>RESULTADO ANTES DE IMPUESTOS</t>
        </is>
      </c>
      <c r="B41" s="26">
        <f>IFERROR(IF(B9="","",B20-B38),"")</f>
        <v>46231.49170000004</v>
      </c>
      <c r="C41" s="26">
        <f>IFERROR(IF(C9="","",C20-C38),"")</f>
        <v>73173.29550400007</v>
      </c>
      <c r="D41" s="26">
        <f>IFERROR(IF(D9="","",D20-D38),"")</f>
        <v>93037.04553308594</v>
      </c>
      <c r="E41" s="67">
        <f>IFERROR(B41/$B$9,"")</f>
        <v>0.10322985754158769</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46231.49170000004</v>
      </c>
      <c r="C43" s="32">
        <f>IFERROR(IF(C9="","",MAX(0,C41-C42)),"")</f>
        <v>73173.29550400007</v>
      </c>
      <c r="D43" s="32">
        <f>IFERROR(IF(D9="","",MAX(0,D41-D42)),"")</f>
        <v>93037.04553308594</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6934.723755000006</v>
      </c>
      <c r="C46" s="32">
        <f>IFERROR(IF(C9="","",IF(C45="",0,C43*C45)),"")</f>
        <v>10975.99432560001</v>
      </c>
      <c r="D46" s="32">
        <f>IFERROR(IF(D9="","",IF(D45="",0,D43*D45)),"")</f>
        <v>23259.261383271485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39296.767945000036</v>
      </c>
      <c r="C48" s="26">
        <f>IFERROR(IF(C9="","",C41-C46),"")</f>
        <v>62197.301178400056</v>
      </c>
      <c r="D48" s="26">
        <f>IFERROR(IF(D9="","",D41-D46),"")</f>
        <v>69777.78414981446</v>
      </c>
      <c r="E48" s="67">
        <f>IFERROR(B48/$B$9,"")</f>
        <v>0.08774537891034953</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0.6129620000000001</v>
      </c>
      <c r="C51" s="68">
        <f>IFERROR(IF(C9="","",C20/C9),"")</f>
        <v>0.6129620000000001</v>
      </c>
      <c r="D51" s="68">
        <f>IFERROR(IF(D9="","",D20/D9),"")</f>
        <v>0.612962</v>
      </c>
      <c r="E51" s="75" t="n">
        <v>0.6</v>
      </c>
      <c r="F51" s="28" t="inlineStr">
        <is>
          <t>En catering los costes variables incluyen desechables, combustible y cánones de fincas además de la mercancía: un margen bruto por debajo del 60 % no paga la plantilla</t>
        </is>
      </c>
      <c r="G51" s="28" t="n"/>
      <c r="H51" s="28" t="n"/>
    </row>
    <row r="52">
      <c r="A52" s="28" t="inlineStr">
        <is>
          <t>Coste de mercancía (comida + bebida)</t>
        </is>
      </c>
      <c r="B52" s="32">
        <f>IFERROR(IF(B9="","",B13+B14),"")</f>
        <v>133028.46829999998</v>
      </c>
      <c r="C52" s="32">
        <f>IFERROR(IF(C9="","",C13+C14),"")</f>
        <v>148991.884496</v>
      </c>
      <c r="D52" s="32">
        <f>IFERROR(IF(D9="","",D13+D14),"")</f>
        <v>160911.23525568005</v>
      </c>
      <c r="E52" s="28" t="n"/>
      <c r="F52" s="28" t="n"/>
      <c r="G52" s="28" t="n"/>
      <c r="H52" s="28" t="n"/>
    </row>
    <row r="53">
      <c r="A53" s="28" t="inlineStr">
        <is>
          <t>Coste de mercancía / Ventas</t>
        </is>
      </c>
      <c r="B53" s="68">
        <f>IFERROR(IF(B9="","",B52/B9),"")</f>
        <v>0.29703799999999997</v>
      </c>
      <c r="C53" s="68">
        <f>IFERROR(IF(C9="","",C52/C9),"")</f>
        <v>0.29703799999999997</v>
      </c>
      <c r="D53" s="68">
        <f>IFERROR(IF(D9="","",D52/D9),"")</f>
        <v>0.297038</v>
      </c>
      <c r="E53" s="75" t="n">
        <v>0.33</v>
      </c>
      <c r="F53" s="28" t="inlineStr">
        <is>
          <t>Techo de la mercancía (comida y bebida) sobre ventas: estimación del kit</t>
        </is>
      </c>
      <c r="G53" s="28" t="n"/>
      <c r="H53" s="28" t="n"/>
    </row>
    <row r="54">
      <c r="A54" s="28" t="inlineStr">
        <is>
          <t>Coste de personal / Ventas</t>
        </is>
      </c>
      <c r="B54" s="68">
        <f>IFERROR(IF(B9="","",B23/B9),"")</f>
        <v>0.3634610695545384</v>
      </c>
      <c r="C54" s="68">
        <f>IFERROR(IF(C9="","",C23/C9),"")</f>
        <v>0.33648072537042056</v>
      </c>
      <c r="D54" s="68">
        <f>IFERROR(IF(D9="","",D23/D9),"")</f>
        <v>0.3226320728134951</v>
      </c>
      <c r="E54" s="75" t="n">
        <v>0.38</v>
      </c>
      <c r="F54" s="28" t="inlineStr">
        <is>
          <t>El catering es intensivo en mano de obra (montaje, servicio y recogida): techo del 38 %, estimación del kit</t>
        </is>
      </c>
      <c r="G54" s="28" t="n"/>
      <c r="H54" s="28" t="n"/>
    </row>
    <row r="55">
      <c r="A55" s="28" t="inlineStr">
        <is>
          <t>Cocina central / Ventas</t>
        </is>
      </c>
      <c r="B55" s="68">
        <f>IFERROR(IF(B9="","",B22/B9),"")</f>
        <v>0.0535893714413308</v>
      </c>
      <c r="C55" s="68">
        <f>IFERROR(IF(C9="","",C22/C9),"")</f>
        <v>0.047847653072616785</v>
      </c>
      <c r="D55" s="68">
        <f>IFERROR(IF(D9="","",D22/D9),"")</f>
        <v>0.044303382474645166</v>
      </c>
      <c r="E55" s="75" t="n">
        <v>0.07000000000000001</v>
      </c>
      <c r="F55" s="28" t="inlineStr">
        <is>
          <t>Techo de la cuota de la cocina central sobre las ventas: estimación del kit</t>
        </is>
      </c>
      <c r="G55" s="28" t="n"/>
      <c r="H55" s="28" t="n"/>
    </row>
    <row r="56">
      <c r="A56" s="28" t="inlineStr">
        <is>
          <t>Resultado neto / Ventas</t>
        </is>
      </c>
      <c r="B56" s="68">
        <f>IFERROR(IF(B9="","",B48/B9),"")</f>
        <v>0.08774537891034953</v>
      </c>
      <c r="C56" s="68">
        <f>IFERROR(IF(C9="","",C48/C9),"")</f>
        <v>0.12399978703488103</v>
      </c>
      <c r="D56" s="68">
        <f>IFERROR(IF(D9="","",D48/D9),"")</f>
        <v>0.12880799414260263</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catering temático de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228283.54</v>
      </c>
      <c r="C6" s="70">
        <f>IFERROR(IF('PyG 3 Años'!$C$9="","",'PyG 3 Años'!$C$38),"")</f>
        <v>234283.54</v>
      </c>
      <c r="D6" s="70">
        <f>IFERROR(IF('PyG 3 Años'!$D$9="","",'PyG 3 Años'!$D$38),"")</f>
        <v>239016.33681123413</v>
      </c>
      <c r="E6" s="28" t="inlineStr">
        <is>
          <t>Los MISMOS costes fijos del P&amp;L. Cada año tiene los suyos: por eso el umbral no puede ser uno solo para los tres</t>
        </is>
      </c>
      <c r="F6" s="28" t="n"/>
    </row>
    <row r="7">
      <c r="A7" s="28" t="inlineStr">
        <is>
          <t>Costes fijos mensuales</t>
        </is>
      </c>
      <c r="B7" s="70">
        <f>IFERROR(IF('PyG 3 Años'!$B$9="","",B6/12),"")</f>
        <v>19023.628333333334</v>
      </c>
      <c r="C7" s="70">
        <f>IFERROR(IF('PyG 3 Años'!$C$9="","",C6/12),"")</f>
        <v>19523.628333333334</v>
      </c>
      <c r="D7" s="70">
        <f>IFERROR(IF('PyG 3 Años'!$D$9="","",D6/12),"")</f>
        <v>19918.028067602845</v>
      </c>
      <c r="E7" s="28" t="n"/>
      <c r="F7" s="28" t="n"/>
    </row>
    <row r="8">
      <c r="A8" s="28" t="inlineStr">
        <is>
          <t>Precio medio por invitado sin IVA</t>
        </is>
      </c>
      <c r="B8" s="70">
        <f>IFERROR(IF('PyG 3 Años'!$B$9="","",'PyG 3 Años'!$B$7),"")</f>
        <v>53.0</v>
      </c>
      <c r="C8" s="70">
        <f>IFERROR(IF('PyG 3 Años'!$C$9="","",'PyG 3 Años'!$C$7),"")</f>
        <v>53.0</v>
      </c>
      <c r="D8" s="70">
        <f>IFERROR(IF('PyG 3 Años'!$D$9="","",'PyG 3 Años'!$D$7),"")</f>
        <v>53.0</v>
      </c>
      <c r="E8" s="28" t="n"/>
      <c r="F8" s="28" t="n"/>
    </row>
    <row r="9">
      <c r="A9" s="28" t="inlineStr">
        <is>
          <t>Coste variable por invitado</t>
        </is>
      </c>
      <c r="B9" s="70">
        <f>IFERROR(IF('PyG 3 Años'!$B$9="","",'PyG 3 Años'!$B$19/('PyG 3 Años'!$B$6*'PyG 3 Años'!$B$8)),"")</f>
        <v>20.513014</v>
      </c>
      <c r="C9" s="70">
        <f>IFERROR(IF('PyG 3 Años'!$C$9="","",'PyG 3 Años'!$C$19/('PyG 3 Años'!$C$6*'PyG 3 Años'!$C$8)),"")</f>
        <v>20.513014</v>
      </c>
      <c r="D9" s="70">
        <f>IFERROR(IF('PyG 3 Años'!$D$9="","",'PyG 3 Años'!$D$19/('PyG 3 Años'!$D$6*'PyG 3 Años'!$D$8)),"")</f>
        <v>20.513014</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32.486986</v>
      </c>
      <c r="C10" s="70">
        <f>IFERROR(IF('PyG 3 Años'!$C$9="","",C8-C9),"")</f>
        <v>32.486986</v>
      </c>
      <c r="D10" s="70">
        <f>IFERROR(IF('PyG 3 Años'!$D$9="","",D8-D9),"")</f>
        <v>32.486986</v>
      </c>
      <c r="E10" s="28" t="inlineStr">
        <is>
          <t>Precio por invitado menos coste variable unitario</t>
        </is>
      </c>
      <c r="F10" s="28" t="n"/>
    </row>
    <row r="11">
      <c r="A11" s="28" t="inlineStr">
        <is>
          <t>Eventos al año</t>
        </is>
      </c>
      <c r="B11" s="40">
        <f>IFERROR(IF('PyG 3 Años'!$B$9="","",'PyG 3 Años'!$B$8),"")</f>
        <v>130.0</v>
      </c>
      <c r="C11" s="40">
        <f>IFERROR(IF('PyG 3 Años'!$C$9="","",'PyG 3 Años'!$C$8),"")</f>
        <v>130.0</v>
      </c>
      <c r="D11" s="40">
        <f>IFERROR(IF('PyG 3 Años'!$D$9="","",'PyG 3 Años'!$D$8),"")</f>
        <v>130.0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19495.43367332104</v>
      </c>
      <c r="D12" s="70">
        <f>IFERROR(IF('PyG 3 Años'!$D$9="","",'Financiación'!$B$49),"")</f>
        <v>20762.636862086907</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7026.922719146676</v>
      </c>
      <c r="C14" s="40">
        <f>IFERROR(IF('PyG 3 Años'!$C$9="","",IF(C10&lt;=0,"",C6/C10)),"")</f>
        <v>7211.61205905651</v>
      </c>
      <c r="D14" s="40">
        <f>IFERROR(IF('PyG 3 Años'!$D$9="","",IF(D10&lt;=0,"",D6/D10)),"")</f>
        <v>7357.294912222208</v>
      </c>
      <c r="E14" s="28" t="n"/>
      <c r="F14" s="28" t="n"/>
    </row>
    <row r="15">
      <c r="A15" s="28" t="inlineStr">
        <is>
          <t>Invitados necesarios por evento</t>
        </is>
      </c>
      <c r="B15" s="44">
        <f>IFERROR(IF('PyG 3 Años'!$B$9="","",B14/B11),"")</f>
        <v>54.05325168574366</v>
      </c>
      <c r="C15" s="44">
        <f>IFERROR(IF('PyG 3 Años'!$C$9="","",C14/C11),"")</f>
        <v>55.4739389158193</v>
      </c>
      <c r="D15" s="44">
        <f>IFERROR(IF('PyG 3 Años'!$D$9="","",D14/D11),"")</f>
        <v>56.59457624786314</v>
      </c>
      <c r="E15" s="28" t="n"/>
      <c r="F15" s="28" t="n"/>
    </row>
    <row r="16">
      <c r="A16" s="25" t="inlineStr">
        <is>
          <t>Ingresos necesarios al año</t>
        </is>
      </c>
      <c r="B16" s="26">
        <f>IFERROR(IF('PyG 3 Años'!$B$9="","",B14*B8),"")</f>
        <v>372426.90411477385</v>
      </c>
      <c r="C16" s="26">
        <f>IFERROR(IF('PyG 3 Años'!$C$9="","",C14*C8),"")</f>
        <v>382215.439129995</v>
      </c>
      <c r="D16" s="26">
        <f>IFERROR(IF('PyG 3 Años'!$D$9="","",D14*D8),"")</f>
        <v>389936.63034777704</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221941.04</v>
      </c>
      <c r="C18" s="70">
        <f>IFERROR(IF('PyG 3 Años'!$C$9="","",C6-'PyG 3 Años'!$C$36+C12),"")</f>
        <v>247436.47367332104</v>
      </c>
      <c r="D18" s="70">
        <f>IFERROR(IF('PyG 3 Años'!$D$9="","",D6-'PyG 3 Años'!$D$36+D12),"")</f>
        <v>253436.47367332104</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6831.690696083656</v>
      </c>
      <c r="C19" s="40">
        <f>IFERROR(IF('PyG 3 Años'!$C$9="","",IF(C10&lt;=0,"",C18/C10)),"")</f>
        <v>7616.47983205709</v>
      </c>
      <c r="D19" s="40">
        <f>IFERROR(IF('PyG 3 Años'!$D$9="","",IF(D10&lt;=0,"",D18/D10)),"")</f>
        <v>7801.169171966923</v>
      </c>
      <c r="E19" s="28" t="n"/>
      <c r="F19" s="28" t="n"/>
    </row>
    <row r="20">
      <c r="A20" s="25" t="inlineStr">
        <is>
          <t>Invitados necesarios por evento (caja)</t>
        </is>
      </c>
      <c r="B20" s="45">
        <f>IFERROR(IF('PyG 3 Años'!$B$9="","",B19/B11),"")</f>
        <v>52.5514668929512</v>
      </c>
      <c r="C20" s="45">
        <f>IFERROR(IF('PyG 3 Años'!$C$9="","",C19/C11),"")</f>
        <v>58.58830640043915</v>
      </c>
      <c r="D20" s="45">
        <f>IFERROR(IF('PyG 3 Años'!$D$9="","",D19/D11),"")</f>
        <v>60.008993630514794</v>
      </c>
      <c r="E20" s="28" t="n"/>
      <c r="F20" s="28" t="n"/>
    </row>
    <row r="21">
      <c r="A21" s="28" t="inlineStr">
        <is>
          <t>Ingresos necesarios al año (caja)</t>
        </is>
      </c>
      <c r="B21" s="32">
        <f>IFERROR(IF('PyG 3 Años'!$B$9="","",B19*B8),"")</f>
        <v>362079.6068924338</v>
      </c>
      <c r="C21" s="32">
        <f>IFERROR(IF('PyG 3 Años'!$C$9="","",C19*C8),"")</f>
        <v>403673.43109902577</v>
      </c>
      <c r="D21" s="32">
        <f>IFERROR(IF('PyG 3 Años'!$D$9="","",D19*D8),"")</f>
        <v>413461.9661142469</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65.0</v>
      </c>
      <c r="C23" s="40">
        <f>IFERROR(IF('PyG 3 Años'!$C$9="","",'PyG 3 Años'!$C$6),"")</f>
        <v>72.80000000000001</v>
      </c>
      <c r="D23" s="40">
        <f>IFERROR(IF('PyG 3 Años'!$D$9="","",'PyG 3 Años'!$D$6),"")</f>
        <v>78.62400000000002</v>
      </c>
      <c r="E23" s="28" t="n"/>
      <c r="F23" s="28" t="n"/>
    </row>
    <row r="24">
      <c r="A24" s="28" t="inlineStr">
        <is>
          <t>Holgura sobre el equilibrio de CAJA (%)</t>
        </is>
      </c>
      <c r="B24" s="68">
        <f>IFERROR(IF('PyG 3 Años'!$B$9="","",B23/B20-1),"")</f>
        <v>0.23688269506171555</v>
      </c>
      <c r="C24" s="68">
        <f>IFERROR(IF('PyG 3 Años'!$C$9="","",C23/C20-1),"")</f>
        <v>0.24256877306585434</v>
      </c>
      <c r="D24" s="68">
        <f>IFERROR(IF('PyG 3 Años'!$D$9="","",D23/D20-1),"")</f>
        <v>0.3102036085474267</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55 invitados por evento durante los 130 eventos del año para no perder dinero (equilibrio contable, con la amortización dentro), y 53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51.0</v>
      </c>
      <c r="C31" s="72">
        <f>IFERROR(IF($B$8="","",$B$8),"")</f>
        <v>53.0</v>
      </c>
      <c r="D31" s="72">
        <f>IFERROR($B$8+2,"")</f>
        <v>55.0</v>
      </c>
      <c r="E31" s="72">
        <f>IFERROR($B$8+4,"")</f>
        <v>57.0</v>
      </c>
      <c r="F31" s="28" t="n"/>
    </row>
    <row r="32">
      <c r="A32" s="70">
        <f>IFERROR($B$9*0.85,"")</f>
        <v>17.4360619</v>
      </c>
      <c r="B32" s="44">
        <f>IFERROR(IF($B$31-$A32&lt;=0,"",$B$6/($B$31-$A32)/$B$11),"")</f>
        <v>52.31886751600316</v>
      </c>
      <c r="C32" s="44">
        <f>IFERROR(IF($C$31-$A32&lt;=0,"",$B$6/($C$31-$A32)/$B$11),"")</f>
        <v>49.37662487859382</v>
      </c>
      <c r="D32" s="44">
        <f>IFERROR(IF($D$31-$A32&lt;=0,"",$B$6/($D$31-$A32)/$B$11),"")</f>
        <v>46.7476872657617</v>
      </c>
      <c r="E32" s="44">
        <f>IFERROR(IF($E$31-$A32&lt;=0,"",$B$6/($E$31-$A32)/$B$11),"")</f>
        <v>44.38454095067019</v>
      </c>
      <c r="F32" s="28" t="n"/>
    </row>
    <row r="33">
      <c r="A33" s="70">
        <f>IFERROR($B$9*0.925,"")</f>
        <v>18.97453795</v>
      </c>
      <c r="B33" s="44">
        <f>IFERROR(IF($B$31-$A33&lt;=0,"",$B$6/($B$31-$A33)/$B$11),"")</f>
        <v>54.83222156256855</v>
      </c>
      <c r="C33" s="44">
        <f>IFERROR(IF($C$31-$A33&lt;=0,"",$B$6/($C$31-$A33)/$B$11),"")</f>
        <v>51.60921042567387</v>
      </c>
      <c r="D33" s="44">
        <f>IFERROR(IF($D$31-$A33&lt;=0,"",$B$6/($D$31-$A33)/$B$11),"")</f>
        <v>48.74405853093648</v>
      </c>
      <c r="E33" s="44">
        <f>IFERROR(IF($E$31-$A33&lt;=0,"",$B$6/($E$31-$A33)/$B$11),"")</f>
        <v>46.18029962292676</v>
      </c>
      <c r="F33" s="28" t="n"/>
    </row>
    <row r="34">
      <c r="A34" s="70">
        <f>IFERROR($B$9*1.0,"")</f>
        <v>20.513014</v>
      </c>
      <c r="B34" s="44">
        <f>IFERROR(IF($B$31-$A34&lt;=0,"",$B$6/($B$31-$A34)/$B$11),"")</f>
        <v>57.59924023874419</v>
      </c>
      <c r="C34" s="44">
        <f>IFERROR(IF($C$31-$A34&lt;=0,"",$B$6/($C$31-$A34)/$B$11),"")</f>
        <v>54.05325168574366</v>
      </c>
      <c r="D34" s="44">
        <f>IFERROR(IF($D$31-$A34&lt;=0,"",$B$6/($D$31-$A34)/$B$11),"")</f>
        <v>50.91854738390971</v>
      </c>
      <c r="E34" s="44">
        <f>IFERROR(IF($E$31-$A34&lt;=0,"",$B$6/($E$31-$A34)/$B$11),"")</f>
        <v>48.127494848964254</v>
      </c>
      <c r="F34" s="28" t="n"/>
    </row>
    <row r="35">
      <c r="A35" s="70">
        <f>IFERROR($B$9*1.075,"")</f>
        <v>22.051490049999998</v>
      </c>
      <c r="B35" s="44">
        <f>IFERROR(IF($B$31-$A35&lt;=0,"",$B$6/($B$31-$A35)/$B$11),"")</f>
        <v>60.66036676161395</v>
      </c>
      <c r="C35" s="44">
        <f>IFERROR(IF($C$31-$A35&lt;=0,"",$B$6/($C$31-$A35)/$B$11),"")</f>
        <v>56.740283574435246</v>
      </c>
      <c r="D35" s="44">
        <f>IFERROR(IF($D$31-$A35&lt;=0,"",$B$6/($D$31-$A35)/$B$11),"")</f>
        <v>53.29610454111691</v>
      </c>
      <c r="E35" s="44">
        <f>IFERROR(IF($E$31-$A35&lt;=0,"",$B$6/($E$31-$A35)/$B$11),"")</f>
        <v>50.24612589439541</v>
      </c>
      <c r="F35" s="28" t="n"/>
    </row>
    <row r="36">
      <c r="A36" s="70">
        <f>IFERROR($B$9*1.15,"")</f>
        <v>23.589966099999994</v>
      </c>
      <c r="B36" s="44">
        <f>IFERROR(IF($B$31-$A36&lt;=0,"",$B$6/($B$31-$A36)/$B$11),"")</f>
        <v>64.06512436926357</v>
      </c>
      <c r="C36" s="44">
        <f>IFERROR(IF($C$31-$A36&lt;=0,"",$B$6/($C$31-$A36)/$B$11),"")</f>
        <v>59.70843953257839</v>
      </c>
      <c r="D36" s="44">
        <f>IFERROR(IF($D$31-$A36&lt;=0,"",$B$6/($D$31-$A36)/$B$11),"")</f>
        <v>55.906569103360006</v>
      </c>
      <c r="E36" s="44">
        <f>IFERROR(IF($E$31-$A36&lt;=0,"",$B$6/($E$31-$A36)/$B$11),"")</f>
        <v>52.55987575544575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60</v>
      </c>
      <c r="C5" s="40">
        <f>IFERROR(IF('PyG 3 Años'!$B$6="","",'PyG 3 Años'!$B$6),"")</f>
        <v>65.0</v>
      </c>
      <c r="D5" s="49" t="n">
        <v>70</v>
      </c>
      <c r="E5" s="28" t="n"/>
      <c r="F5" s="28" t="n"/>
    </row>
    <row r="6">
      <c r="A6" s="28" t="inlineStr">
        <is>
          <t>Precio medio por invitado sin IVA</t>
        </is>
      </c>
      <c r="B6" s="73" t="n">
        <v>50</v>
      </c>
      <c r="C6" s="70">
        <f>IFERROR(IF('PyG 3 Años'!$B$7="","",'PyG 3 Años'!$B$7),"")</f>
        <v>53.0</v>
      </c>
      <c r="D6" s="73" t="n">
        <v>57</v>
      </c>
      <c r="E6" s="28" t="n"/>
      <c r="F6" s="28" t="n"/>
    </row>
    <row r="7">
      <c r="A7" s="28" t="inlineStr">
        <is>
          <t>Eventos al año</t>
        </is>
      </c>
      <c r="B7" s="49" t="n">
        <v>105</v>
      </c>
      <c r="C7" s="40">
        <f>IFERROR(IF('PyG 3 Años'!$B$8="","",'PyG 3 Años'!$B$8),"")</f>
        <v>130.0</v>
      </c>
      <c r="D7" s="49" t="n">
        <v>150</v>
      </c>
      <c r="E7" s="28" t="n"/>
      <c r="F7" s="28" t="n"/>
    </row>
    <row r="8">
      <c r="A8" s="25" t="inlineStr">
        <is>
          <t>INGRESOS ANUALES (sin IVA)</t>
        </is>
      </c>
      <c r="B8" s="26">
        <f>IFERROR(IF(B5*B6*B7=0,"",B5*B6*B7),"")</f>
        <v>315000.0</v>
      </c>
      <c r="C8" s="26">
        <f>IFERROR(IF(C5*C6*C7=0,"",C5*C6*C7),"")</f>
        <v>447850.0</v>
      </c>
      <c r="D8" s="26">
        <f>IFERROR(IF(D5*D6*D7=0,"",D5*D6*D7),"")</f>
        <v>598500.0</v>
      </c>
      <c r="E8" s="28" t="n"/>
      <c r="F8" s="28" t="n"/>
    </row>
    <row r="9">
      <c r="A9" s="28" t="inlineStr">
        <is>
          <t>Coste de mercancía — comida</t>
        </is>
      </c>
      <c r="B9" s="32">
        <f>IFERROR(IF(B8="","",B8*'0. Supuestos'!$B$11*'0. Supuestos'!$B$13),"")</f>
        <v>80504.55</v>
      </c>
      <c r="C9" s="32">
        <f>IFERROR(IF(C8="","",C8*'0. Supuestos'!$B$11*'0. Supuestos'!$B$13),"")</f>
        <v>114457.02449999998</v>
      </c>
      <c r="D9" s="32">
        <f>IFERROR(IF(D8="","",D8*'0. Supuestos'!$B$11*'0. Supuestos'!$B$13),"")</f>
        <v>152958.645</v>
      </c>
      <c r="E9" s="28" t="n"/>
      <c r="F9" s="28" t="n"/>
    </row>
    <row r="10">
      <c r="A10" s="28" t="inlineStr">
        <is>
          <t>Coste de mercancía — bebida</t>
        </is>
      </c>
      <c r="B10" s="32">
        <f>IFERROR(IF(B8="","",B8*'0. Supuestos'!$B$12*'0. Supuestos'!$B$14),"")</f>
        <v>13062.420000000002</v>
      </c>
      <c r="C10" s="32">
        <f>IFERROR(IF(C8="","",C8*'0. Supuestos'!$B$12*'0. Supuestos'!$B$14),"")</f>
        <v>18571.443800000005</v>
      </c>
      <c r="D10" s="32">
        <f>IFERROR(IF(D8="","",D8*'0. Supuestos'!$B$12*'0. Supuestos'!$B$14),"")</f>
        <v>24818.598000000005</v>
      </c>
      <c r="E10" s="28" t="n"/>
      <c r="F10" s="28" t="n"/>
    </row>
    <row r="11">
      <c r="A11" s="28" t="inlineStr">
        <is>
          <t>Consumibles y envases</t>
        </is>
      </c>
      <c r="B11" s="32">
        <f>IFERROR(IF(B8="","",B8*'0. Supuestos'!$B$15),"")</f>
        <v>9450.0</v>
      </c>
      <c r="C11" s="32">
        <f>IFERROR(IF(C8="","",C8*'0. Supuestos'!$B$15),"")</f>
        <v>13435.5</v>
      </c>
      <c r="D11" s="32">
        <f>IFERROR(IF(D8="","",D8*'0. Supuestos'!$B$15),"")</f>
        <v>17955.0</v>
      </c>
      <c r="E11" s="28" t="n"/>
      <c r="F11" s="28" t="n"/>
    </row>
    <row r="12">
      <c r="A12" s="28" t="inlineStr">
        <is>
          <t>Comisiones del drop-off</t>
        </is>
      </c>
      <c r="B12" s="32">
        <f>IFERROR(IF(B8="","",B8*'0. Supuestos'!$B$16*'0. Supuestos'!$B$17),"")</f>
        <v>1575.0</v>
      </c>
      <c r="C12" s="32">
        <f>IFERROR(IF(C8="","",C8*'0. Supuestos'!$B$16*'0. Supuestos'!$B$17),"")</f>
        <v>2239.25</v>
      </c>
      <c r="D12" s="32">
        <f>IFERROR(IF(D8="","",D8*'0. Supuestos'!$B$16*'0. Supuestos'!$B$17),"")</f>
        <v>2992.5</v>
      </c>
      <c r="E12" s="28" t="n"/>
      <c r="F12" s="28" t="n"/>
    </row>
    <row r="13">
      <c r="A13" s="28" t="inlineStr">
        <is>
          <t>Comisiones de los medios de pago</t>
        </is>
      </c>
      <c r="B13" s="32">
        <f>IFERROR(IF(B8="","",B8*'0. Supuestos'!$B$18),"")</f>
        <v>1575.0</v>
      </c>
      <c r="C13" s="32">
        <f>IFERROR(IF(C8="","",C8*'0. Supuestos'!$B$18),"")</f>
        <v>2239.25</v>
      </c>
      <c r="D13" s="32">
        <f>IFERROR(IF(D8="","",D8*'0. Supuestos'!$B$18),"")</f>
        <v>2992.5</v>
      </c>
      <c r="E13" s="28" t="n"/>
      <c r="F13" s="28" t="n"/>
    </row>
    <row r="14">
      <c r="A14" s="28" t="inlineStr">
        <is>
          <t>Varios e imprevistos</t>
        </is>
      </c>
      <c r="B14" s="32">
        <f>IFERROR(IF(B8="","",B8*'0. Supuestos'!$B$28),"")</f>
        <v>15750.0</v>
      </c>
      <c r="C14" s="32">
        <f>IFERROR(IF(C8="","",C8*'0. Supuestos'!$B$28),"")</f>
        <v>22392.5</v>
      </c>
      <c r="D14" s="32">
        <f>IFERROR(IF(D8="","",D8*'0. Supuestos'!$B$28),"")</f>
        <v>29925.0</v>
      </c>
      <c r="E14" s="28" t="n"/>
      <c r="F14" s="28" t="n"/>
    </row>
    <row r="15">
      <c r="A15" s="28" t="inlineStr">
        <is>
          <t>TOTAL COSTES VARIABLES</t>
        </is>
      </c>
      <c r="B15" s="32">
        <f>IFERROR(IF(B8="","",SUM(B9:B14)),"")</f>
        <v>121916.97</v>
      </c>
      <c r="C15" s="32">
        <f>IFERROR(IF(C8="","",SUM(C9:C14)),"")</f>
        <v>173334.96829999998</v>
      </c>
      <c r="D15" s="32">
        <f>IFERROR(IF(D8="","",SUM(D9:D14)),"")</f>
        <v>231642.243</v>
      </c>
      <c r="E15" s="28" t="n"/>
      <c r="F15" s="28" t="n"/>
    </row>
    <row r="16">
      <c r="A16" s="28" t="inlineStr">
        <is>
          <t>MARGEN BRUTO</t>
        </is>
      </c>
      <c r="B16" s="32">
        <f>IFERROR(IF(B8="","",B8-B15),"")</f>
        <v>193083.03</v>
      </c>
      <c r="C16" s="32">
        <f>IFERROR(IF(C8="","",C8-C15),"")</f>
        <v>274515.03170000005</v>
      </c>
      <c r="D16" s="32">
        <f>IFERROR(IF(D8="","",D8-D15),"")</f>
        <v>366857.757</v>
      </c>
      <c r="E16" s="28" t="n"/>
      <c r="F16" s="28" t="n"/>
    </row>
    <row r="17">
      <c r="A17" s="28" t="inlineStr">
        <is>
          <t>COSTES FIJOS (los del P&amp;L)</t>
        </is>
      </c>
      <c r="B17" s="32">
        <f>IFERROR(IF(B8="","",'PyG 3 Años'!$B$38),"")</f>
        <v>228283.54</v>
      </c>
      <c r="C17" s="32">
        <f>IFERROR(IF(C8="","",'PyG 3 Años'!$B$38),"")</f>
        <v>228283.54</v>
      </c>
      <c r="D17" s="32">
        <f>IFERROR(IF(D8="","",'PyG 3 Años'!$B$38),"")</f>
        <v>228283.54</v>
      </c>
      <c r="E17" s="28" t="inlineStr">
        <is>
          <t>Los costes fijos no cambian con el escenario: por eso son fijos</t>
        </is>
      </c>
      <c r="F17" s="28" t="n"/>
    </row>
    <row r="18">
      <c r="A18" s="25" t="inlineStr">
        <is>
          <t>RESULTADO ANTES DE IMPUESTOS</t>
        </is>
      </c>
      <c r="B18" s="26">
        <f>IFERROR(IF(B8="","",B16-B17),"")</f>
        <v>-35200.51000000001</v>
      </c>
      <c r="C18" s="26">
        <f>IFERROR(IF(C8="","",C16-C17),"")</f>
        <v>46231.49170000004</v>
      </c>
      <c r="D18" s="26">
        <f>IFERROR(IF(D8="","",D16-D17),"")</f>
        <v>138574.21699999998</v>
      </c>
      <c r="E18" s="28" t="n"/>
      <c r="F18" s="28" t="n"/>
    </row>
    <row r="19">
      <c r="A19" s="28" t="inlineStr">
        <is>
          <t>Impuesto de Sociedades</t>
        </is>
      </c>
      <c r="B19" s="32">
        <f>IFERROR(IF(B8="","",MAX(0,B18-'0. Supuestos'!$B$42)*'0. Supuestos'!$B$37),"")</f>
        <v>0.0</v>
      </c>
      <c r="C19" s="32">
        <f>IFERROR(IF(C8="","",MAX(0,C18-'0. Supuestos'!$B$42)*'0. Supuestos'!$B$37),"")</f>
        <v>6934.723755000006</v>
      </c>
      <c r="D19" s="32">
        <f>IFERROR(IF(D8="","",MAX(0,D18-'0. Supuestos'!$B$42)*'0. Supuestos'!$B$37),"")</f>
        <v>20786.132549999995</v>
      </c>
      <c r="E19" s="28" t="inlineStr">
        <is>
          <t>Al tipo de entidad de nueva creación, compensando las bases negativas anteriores</t>
        </is>
      </c>
      <c r="F19" s="28" t="n"/>
    </row>
    <row r="20">
      <c r="A20" s="25" t="inlineStr">
        <is>
          <t>RESULTADO NETO</t>
        </is>
      </c>
      <c r="B20" s="26">
        <f>IFERROR(IF(B8="","",B18-B19),"")</f>
        <v>-35200.51000000001</v>
      </c>
      <c r="C20" s="26">
        <f>IFERROR(IF(C8="","",C18-C19),"")</f>
        <v>39296.767945000036</v>
      </c>
      <c r="D20" s="26">
        <f>IFERROR(IF(D8="","",D18-D19),"")</f>
        <v>117788.08444999998</v>
      </c>
      <c r="E20" s="28" t="n"/>
      <c r="F20" s="28" t="n"/>
    </row>
    <row r="21">
      <c r="A21" s="28" t="inlineStr">
        <is>
          <t>Invitados por evento para el equilibrio</t>
        </is>
      </c>
      <c r="B21" s="44">
        <f>IFERROR(IF(B8="","",IF(B6-B15/(B5*B7)&lt;=0,"",B17/(B6-B15/(B5*B7))/B7)),"")</f>
        <v>70.93845792662358</v>
      </c>
      <c r="C21" s="44">
        <f>IFERROR(IF(C8="","",IF(C6-C15/(C5*C7)&lt;=0,"",C17/(C6-C15/(C5*C7))/C7)),"")</f>
        <v>54.05325168574366</v>
      </c>
      <c r="D21" s="44">
        <f>IFERROR(IF(D8="","",IF(D6-D15/(D5*D7)&lt;=0,"",D17/(D6-D15/(D5*D7))/D7)),"")</f>
        <v>43.55870223564607</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0.5167493333333334</v>
      </c>
      <c r="C23" s="68">
        <f>IFERROR(IF(C8="","",'PyG 3 Años'!$B$23/C8),"")</f>
        <v>0.3634610695545384</v>
      </c>
      <c r="D23" s="68">
        <f>IFERROR(IF(D8="","",'PyG 3 Años'!$B$23/D8),"")</f>
        <v>0.27197333333333334</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1899.7361477572558</v>
      </c>
      <c r="C24" s="40">
        <f>IFERROR(IF(C8="","",C5*C7/'Personal'!$C$9),"")</f>
        <v>2548.058801356954</v>
      </c>
      <c r="D24" s="40">
        <f>IFERROR(IF(D8="","",D5*D7/'Personal'!$C$9),"")</f>
        <v>3166.2269129287597</v>
      </c>
      <c r="E24" s="28" t="inlineStr">
        <is>
          <t>Invitados que tendría que atender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26627.249999999993</v>
      </c>
      <c r="C25" s="26">
        <f>IFERROR(IF(C8="","",'Inversión Inicial'!$B$25+C20+'PyG 3 Años'!$B$36-'Financiación'!$B$45),"")</f>
        <v>101124.52794500004</v>
      </c>
      <c r="D25" s="26">
        <f>IFERROR(IF(D8="","",'Inversión Inicial'!$B$25+D20+'PyG 3 Años'!$B$36-'Financiación'!$B$45),"")</f>
        <v>179615.84444999998</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93173.37980435265</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chef ejecutivo, ventas y degustaciones</t>
        </is>
      </c>
      <c r="B5" s="49" t="n">
        <v>1</v>
      </c>
      <c r="C5" s="51" t="n">
        <v>1</v>
      </c>
      <c r="D5" s="73" t="n">
        <v>2000</v>
      </c>
      <c r="E5" s="70">
        <f>IFERROR(IF(D5="","",D5*'0. Supuestos'!$B$20),"")</f>
        <v>660.0</v>
      </c>
      <c r="F5" s="70">
        <f>IFERROR(IF(D5="","",D5+E5),"")</f>
        <v>2660.0</v>
      </c>
      <c r="G5" s="70">
        <f>IFERROR(IF(D5="","",F5*MAX(12,'0. Supuestos'!$B$21)),"")</f>
        <v>37240.0</v>
      </c>
      <c r="H5" s="44">
        <f>IFERROR(IF(D5="","",C5*$B$16),"")</f>
        <v>40.0</v>
      </c>
      <c r="I5" s="40">
        <f>IFERROR(IF(D5="","",H5*B5*$B$17),"")</f>
        <v>1840.0</v>
      </c>
      <c r="J5" s="28" t="inlineStr">
        <is>
          <t>Diseña los menús y las estaciones, vende, hace las degustaciones y dirige los eventos grandes</t>
        </is>
      </c>
    </row>
    <row r="6">
      <c r="A6" s="28" t="inlineStr">
        <is>
          <t>Jefe/a de cocina de producción</t>
        </is>
      </c>
      <c r="B6" s="49" t="n">
        <v>1</v>
      </c>
      <c r="C6" s="51" t="n">
        <v>1</v>
      </c>
      <c r="D6" s="73" t="n">
        <v>1700</v>
      </c>
      <c r="E6" s="70">
        <f>IFERROR(IF(D6="","",D6*'0. Supuestos'!$B$20),"")</f>
        <v>561.0</v>
      </c>
      <c r="F6" s="70">
        <f>IFERROR(IF(D6="","",D6+E6),"")</f>
        <v>2261.0</v>
      </c>
      <c r="G6" s="70">
        <f>IFERROR(IF(D6="","",F6*MAX(12,'0. Supuestos'!$B$21)),"")</f>
        <v>31654.0</v>
      </c>
      <c r="H6" s="44">
        <f>IFERROR(IF(D6="","",C6*$B$16),"")</f>
        <v>40.0</v>
      </c>
      <c r="I6" s="40">
        <f>IFERROR(IF(D6="","",H6*B6*$B$17),"")</f>
        <v>1840.0</v>
      </c>
      <c r="J6" s="28" t="inlineStr">
        <is>
          <t>Producción en la cocina central, compras, escandallos y control del plan APPCC</t>
        </is>
      </c>
    </row>
    <row r="7">
      <c r="A7" s="28" t="inlineStr">
        <is>
          <t>Ayudante de cocina y conductor/a</t>
        </is>
      </c>
      <c r="B7" s="49" t="n">
        <v>1</v>
      </c>
      <c r="C7" s="51" t="n">
        <v>1</v>
      </c>
      <c r="D7" s="73" t="n">
        <v>1400</v>
      </c>
      <c r="E7" s="70">
        <f>IFERROR(IF(D7="","",D7*'0. Supuestos'!$B$20),"")</f>
        <v>462.0</v>
      </c>
      <c r="F7" s="70">
        <f>IFERROR(IF(D7="","",D7+E7),"")</f>
        <v>1862.0</v>
      </c>
      <c r="G7" s="70">
        <f>IFERROR(IF(D7="","",F7*MAX(12,'0. Supuestos'!$B$21)),"")</f>
        <v>26068.0</v>
      </c>
      <c r="H7" s="44">
        <f>IFERROR(IF(D7="","",C7*$B$16),"")</f>
        <v>40.0</v>
      </c>
      <c r="I7" s="40">
        <f>IFERROR(IF(D7="","",H7*B7*$B$17),"")</f>
        <v>1840.0</v>
      </c>
      <c r="J7" s="28" t="inlineStr">
        <is>
          <t>Producción, carga de la furgoneta, transporte y montaje</t>
        </is>
      </c>
    </row>
    <row r="8">
      <c r="A8" s="28" t="inlineStr">
        <is>
          <t>Equipo de evento: coordinador/a-maître, camareros, barra y cocineros de estación (fijos discontinuos)</t>
        </is>
      </c>
      <c r="B8" s="49" t="n">
        <v>8</v>
      </c>
      <c r="C8" s="51" t="n">
        <v>0.31625</v>
      </c>
      <c r="D8" s="73" t="n">
        <v>3642</v>
      </c>
      <c r="E8" s="70">
        <f>IFERROR(IF(D8="","",D8*'0. Supuestos'!$B$20),"")</f>
        <v>1201.8600000000001</v>
      </c>
      <c r="F8" s="70">
        <f>IFERROR(IF(D8="","",D8+E8),"")</f>
        <v>4843.860000000001</v>
      </c>
      <c r="G8" s="70">
        <f>IFERROR(IF(D8="","",F8*MAX(12,'0. Supuestos'!$B$21)),"")</f>
        <v>67814.04000000001</v>
      </c>
      <c r="H8" s="44">
        <f>IFERROR(IF(D8="","",C8*$B$16),"")</f>
        <v>12.649999999999999</v>
      </c>
      <c r="I8" s="40">
        <f>IFERROR(IF(D8="","",H8*B8*$B$17),"")</f>
        <v>4655.2</v>
      </c>
      <c r="J8" s="28" t="inlineStr">
        <is>
          <t>Ocho personas con contrato fijo discontinuo (art. 16 del Estatuto de los Trabajadores) llamadas para cada evento: la coordinadora-maître a media jornada en cómputo anual (800 € brutos al mes) y siete camareros y cocineros de estación a unas 513 horas al año cada uno (1.400 € a jornada completa). Nunca como autónomos que te facturan: con horario y dirección tuyos es falso autónomo (art. 1.1 ET). Por encima del SMI en proporción a su jornada</t>
        </is>
      </c>
    </row>
    <row r="9">
      <c r="A9" s="25" t="inlineStr">
        <is>
          <t>TOTAL PLANTILLA</t>
        </is>
      </c>
      <c r="B9" s="76">
        <f>IFERROR(IF(COUNT(D5:D8)=0,"",SUM(B5:B8)),"")</f>
        <v>11.0</v>
      </c>
      <c r="C9" s="62">
        <f>IFERROR(IF(COUNT(D5:D8)=0,"",SUM(C5:C8)),"")</f>
        <v>3.31625</v>
      </c>
      <c r="D9" s="72">
        <f>IFERROR(IF(COUNT(D5:D8)=0,"",SUM(D5:D8)),"")</f>
        <v>8742.0</v>
      </c>
      <c r="E9" s="72">
        <f>IFERROR(IF(COUNT(D5:D8)=0,"",SUM(E5:E8)),"")</f>
        <v>2884.86</v>
      </c>
      <c r="F9" s="72">
        <f>IFERROR(IF(COUNT(D5:D8)=0,"",SUM(F5:F8)),"")</f>
        <v>11626.86</v>
      </c>
      <c r="G9" s="72">
        <f>IFERROR(IF(COUNT(D5:D8)=0,"",SUM(G5:G8)),"")</f>
        <v>162776.04</v>
      </c>
      <c r="H9" s="28" t="n"/>
      <c r="I9" s="76">
        <f>IFERROR(IF(COUNT(D5:D8)=0,"",SUM(I5:I8)),"")</f>
        <v>10175.2</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168776.04</v>
      </c>
      <c r="C13" s="28" t="n"/>
      <c r="D13" s="28" t="n"/>
      <c r="E13" s="28" t="n"/>
      <c r="F13" s="28" t="n"/>
      <c r="G13" s="28" t="n"/>
      <c r="H13" s="28" t="n"/>
      <c r="I13" s="28" t="n"/>
      <c r="J13" s="28" t="n"/>
    </row>
    <row r="14">
      <c r="A14" s="28" t="inlineStr">
        <is>
          <t>Coste de personal del año 3</t>
        </is>
      </c>
      <c r="B14" s="32">
        <f>IFERROR(IF(B13="","",B13*(1+'0. Supuestos'!$B$48)+B12),"")</f>
        <v>174776.04</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servicio, recogida y descarga. La producción en la cocina central de los fijos va aparte</t>
        </is>
      </c>
    </row>
    <row r="19">
      <c r="A19" s="28" t="inlineStr">
        <is>
          <t>Personas necesarias a la vez en cada evento</t>
        </is>
      </c>
      <c r="B19" s="77" t="n">
        <v>8</v>
      </c>
      <c r="C19" s="28" t="n"/>
      <c r="D19" s="28" t="n"/>
      <c r="E19" s="28" t="n"/>
      <c r="F19" s="28" t="n"/>
      <c r="G19" s="28" t="n"/>
      <c r="H19" s="28" t="n"/>
      <c r="I19" s="28" t="n"/>
      <c r="J19" s="28" t="inlineStr">
        <is>
          <t>Personas trabajando a la vez en un evento medio de 65 invitados: los tres fijos a jornada completa, la coordinadora y cuatro extras. Una boda de 110 pide más: súbelo y la hoja te dice si llega la plantilla</t>
        </is>
      </c>
    </row>
    <row r="20">
      <c r="A20" s="28" t="inlineStr">
        <is>
          <t>Horas de servicio a cubrir al año</t>
        </is>
      </c>
      <c r="B20" s="40">
        <f>IFERROR(IF(OR(B18="",B19="",'0. Supuestos'!$B$6=""),"",B18*B19*'0. Supuestos'!$B$6),"")</f>
        <v>8320.0</v>
      </c>
      <c r="C20" s="28" t="n"/>
      <c r="D20" s="28" t="n"/>
      <c r="E20" s="28" t="n"/>
      <c r="F20" s="28" t="n"/>
      <c r="G20" s="28" t="n"/>
      <c r="H20" s="28" t="n"/>
      <c r="I20" s="28" t="n"/>
      <c r="J20" s="28" t="n"/>
    </row>
    <row r="21">
      <c r="A21" s="28" t="inlineStr">
        <is>
          <t>Horas contratadas al año</t>
        </is>
      </c>
      <c r="B21" s="40">
        <f>IFERROR(IF(I9="","",I9),"")</f>
        <v>10175.2</v>
      </c>
      <c r="C21" s="28" t="n"/>
      <c r="D21" s="28" t="n"/>
      <c r="E21" s="28" t="n"/>
      <c r="F21" s="28" t="n"/>
      <c r="G21" s="28" t="n"/>
      <c r="H21" s="28" t="n"/>
      <c r="I21" s="28" t="n"/>
      <c r="J21" s="28" t="n"/>
    </row>
    <row r="22">
      <c r="A22" s="25" t="inlineStr">
        <is>
          <t>Cobertura (contratadas / necesarias)</t>
        </is>
      </c>
      <c r="B22" s="67">
        <f>IFERROR(B21/B20,"")</f>
        <v>1.2229807692307693</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Catering Temático de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10" customHeight="1">
      <c r="A8" s="46" t="inlineStr">
        <is>
          <t>4. Todas las cifras van SIN IVA. Para pasar un PVP a precio sin IVA, divide por el tipo que le corresponda: entre 1,10 en el servicio de catering (comida y bebida, alcohol incluido: art. 91.Uno.2.2.º de la Ley 37/1992 del IVA) y, cuando se venden para llevar, los alimentos, que son productos alimenticios al tipo reducido por el art. 91.Uno.1.1.º; y entre 1,21 el tipo general, que en hostelería sólo alcanza a lo que sale de la cocina central como entrega de bienes excluida del reducido: el alcohol y los refrescos, zumos y gaseosas con azúcares o edulcorantes añadidos para llevar o a domicilio (la comida para llevar sigue al 10 %); el libro lo aplica al alcohol del canal de drop-off.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60" customHeight="1">
      <c r="A10" s="46" t="inlineStr">
        <is>
          <t>6. La hoja «Tesorería 12 meses» responde la pregunta que decide una operación bancaria: en qué mes se agota la caja. El saldo mínimo del año nunca puede salir en rojo. Los anticipos de los particulares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0.29703799999999997</v>
      </c>
      <c r="C18" s="68">
        <f>IFERROR(IF('PyG 3 Años'!$E$53="","",'PyG 3 Años'!$E$53),"")</f>
        <v>0.33</v>
      </c>
      <c r="D18" s="28" t="str">
        <f>IFERROR(IF(OR(B18="",C18=""),"",IF(B18&lt;=C18,"CUMPLE","REVISAR")),"")</f>
        <v>CUMPLE</v>
      </c>
      <c r="E18" s="28" t="n"/>
    </row>
    <row r="19">
      <c r="A19" s="28" t="inlineStr">
        <is>
          <t>Coste de personal / Ventas</t>
        </is>
      </c>
      <c r="B19" s="68">
        <f>IFERROR(IF('PyG 3 Años'!$B$54="","",'PyG 3 Años'!$B$54),"")</f>
        <v>0.3634610695545384</v>
      </c>
      <c r="C19" s="68">
        <f>IFERROR(IF('PyG 3 Años'!$E$54="","",'PyG 3 Años'!$E$54),"")</f>
        <v>0.38</v>
      </c>
      <c r="D19" s="28" t="str">
        <f>IFERROR(IF(OR(B19="",C19=""),"",IF(B19&lt;=C19,"CUMPLE","REVISAR")),"")</f>
        <v>CUMPLE</v>
      </c>
      <c r="E19" s="28" t="n"/>
    </row>
    <row r="20">
      <c r="A20" s="28" t="inlineStr">
        <is>
          <t>Cocina central / Ventas</t>
        </is>
      </c>
      <c r="B20" s="68">
        <f>IFERROR(IF('PyG 3 Años'!$B$55="","",'PyG 3 Años'!$B$55),"")</f>
        <v>0.0535893714413308</v>
      </c>
      <c r="C20" s="68">
        <f>IFERROR(IF('PyG 3 Años'!$E$55="","",'PyG 3 Años'!$E$55),"")</f>
        <v>0.07</v>
      </c>
      <c r="D20" s="28" t="str">
        <f>IFERROR(IF(OR(B20="",C20=""),"",IF(B20&lt;=C20,"CUMPLE","REVISAR")),"")</f>
        <v>CUMPLE</v>
      </c>
      <c r="E20" s="28" t="n"/>
    </row>
    <row r="21">
      <c r="A21" s="28" t="inlineStr">
        <is>
          <t>Resultado neto / Ventas</t>
        </is>
      </c>
      <c r="B21" s="68">
        <f>IFERROR(IF('PyG 3 Años'!$B$56="","",'PyG 3 Años'!$B$56),"")</f>
        <v>0.08774537891034953</v>
      </c>
      <c r="C21" s="68">
        <f>IFERROR(IF('PyG 3 Años'!$E$56="","",'PyG 3 Años'!$E$56),"")</f>
        <v>0.04</v>
      </c>
      <c r="D21" s="28" t="str">
        <f>IFERROR(IF(OR(B21="",C21=""),"",IF(B21&gt;=C21,"CUMPLE","REVISAR")),"")</f>
        <v>CUMPLE</v>
      </c>
      <c r="E21" s="28" t="n"/>
    </row>
    <row r="22">
      <c r="A22" s="28" t="inlineStr">
        <is>
          <t>Margen bruto / Ventas</t>
        </is>
      </c>
      <c r="B22" s="68">
        <f>IFERROR(IF('PyG 3 Años'!$B$51="","",'PyG 3 Años'!$B$51),"")</f>
        <v>0.6129620000000001</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130365.26000000001</v>
      </c>
      <c r="C25" s="28" t="n"/>
      <c r="D25" s="28" t="n"/>
      <c r="E25" s="28" t="n"/>
    </row>
    <row r="26">
      <c r="A26" s="28" t="inlineStr">
        <is>
          <t>Necesidad total de caja al arranque</t>
        </is>
      </c>
      <c r="B26" s="32">
        <f>IFERROR(IF('Inversión Inicial'!$B$29="","",'Inversión Inicial'!$B$29),"")</f>
        <v>145040.06</v>
      </c>
      <c r="C26" s="28" t="n"/>
      <c r="D26" s="28" t="n"/>
      <c r="E26" s="28" t="n"/>
    </row>
    <row r="27">
      <c r="A27" s="28" t="inlineStr">
        <is>
          <t>Fondo de maniobra dotado</t>
        </is>
      </c>
      <c r="B27" s="32">
        <f>IFERROR(IF('Inversión Inicial'!$B$25="","",'Inversión Inicial'!$B$25),"")</f>
        <v>55485.26</v>
      </c>
      <c r="C27" s="28" t="n"/>
      <c r="D27" s="28" t="n"/>
      <c r="E27" s="28" t="n"/>
    </row>
    <row r="28">
      <c r="A28" s="28" t="inlineStr">
        <is>
          <t>Facturación prevista del año 1</t>
        </is>
      </c>
      <c r="B28" s="32">
        <f>IFERROR(IF('PyG 3 Años'!$B$9="","",'PyG 3 Años'!$B$9),"")</f>
        <v>447850.0</v>
      </c>
      <c r="C28" s="28" t="n"/>
      <c r="D28" s="28" t="n"/>
      <c r="E28" s="28" t="n"/>
    </row>
    <row r="29">
      <c r="A29" s="28" t="inlineStr">
        <is>
          <t>Resultado neto del año 1</t>
        </is>
      </c>
      <c r="B29" s="32">
        <f>IFERROR(IF('PyG 3 Años'!$B$48="","",'PyG 3 Años'!$B$48),"")</f>
        <v>39296.767945000036</v>
      </c>
      <c r="C29" s="28" t="n"/>
      <c r="D29" s="28" t="n"/>
      <c r="E29" s="28" t="n"/>
    </row>
    <row r="30">
      <c r="A30" s="28" t="inlineStr">
        <is>
          <t>Invitados por evento para el punto de equilibrio CONTABLE (con la amortización dentro)</t>
        </is>
      </c>
      <c r="B30" s="44">
        <f>IFERROR(IF('Punto Equilibrio'!$B$15="","",'Punto Equilibrio'!$B$15),"")</f>
        <v>54.05325168574366</v>
      </c>
      <c r="C30" s="28" t="n"/>
      <c r="D30" s="28" t="n"/>
      <c r="E30" s="28" t="n"/>
    </row>
    <row r="31">
      <c r="A31" s="28" t="inlineStr">
        <is>
          <t>Payback del proyecto (años), antes de la deuda</t>
        </is>
      </c>
      <c r="B31" s="28">
        <f>IFERROR(IF('Tesorería 12 meses'!$B$31="","",'Tesorería 12 meses'!$B$31),"")</f>
        <v>2.0</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ingresos mensuales tecleados a mano, sin relación con eventos ni precios</t>
        </is>
      </c>
      <c r="C35" s="78" t="inlineStr">
        <is>
          <t>invitados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el plan decía que no hacía falta local</t>
        </is>
      </c>
      <c r="C36" s="78" t="inlineStr">
        <is>
          <t>cuota de una cocina central compartida y autorizada</t>
        </is>
      </c>
      <c r="D36" s="46" t="inlineStr">
        <is>
          <t>Para eventos no se puede cocinar en casa (art. 13.5.b del RD 1021/2022)</t>
        </is>
      </c>
      <c r="E36" s="28" t="n"/>
    </row>
    <row r="37" ht="30" customHeight="1">
      <c r="A37" s="78" t="inlineStr">
        <is>
          <t>Personal de eventos</t>
        </is>
      </c>
      <c r="B37" s="78" t="inlineStr">
        <is>
          <t>un porcentaje de personal subcontratado sobre las ventas</t>
        </is>
      </c>
      <c r="C37" s="78" t="inlineStr">
        <is>
          <t>plantilla con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sin amortización, sin sueldos fijos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130 eventos: 85 de empresa y 45 de particulares</t>
        </is>
      </c>
      <c r="C43" s="28" t="inlineStr">
        <is>
          <t>Estimación del kit</t>
        </is>
      </c>
      <c r="D43" s="46" t="inlineStr">
        <is>
          <t>Coffee breaks (35 eventos × 35 invitados × 16 €), cócteles (35 × 80 × 40 €), comidas de empresa (15 × 100 × 62 €), bodas (15 × 110 × 98 €) y celebraciones familiares (30 × 45 × 48 €), precios sin IVA</t>
        </is>
      </c>
      <c r="E43" s="28" t="n"/>
    </row>
    <row r="44" ht="30" customHeight="1">
      <c r="A44" s="28" t="inlineStr">
        <is>
          <t>Invitados por boda</t>
        </is>
      </c>
      <c r="B44" s="28" t="inlineStr">
        <is>
          <t>115</t>
        </is>
      </c>
      <c r="C44" s="28" t="inlineStr">
        <is>
          <t>Bodas.net, Informe del Sector Nupcial 2026</t>
        </is>
      </c>
      <c r="D44" s="46" t="inlineStr">
        <is>
          <t>Parejas millennial; 118 en la generación Z. El plan usa 110</t>
        </is>
      </c>
      <c r="E44" s="28" t="n"/>
    </row>
    <row r="45">
      <c r="A45" s="28" t="inlineStr">
        <is>
          <t>Coste total medio de una boda</t>
        </is>
      </c>
      <c r="B45" s="28" t="inlineStr">
        <is>
          <t>25.183 €</t>
        </is>
      </c>
      <c r="C45" s="28" t="inlineStr">
        <is>
          <t>Bodas.net, Informe del Sector Nupcial 2026</t>
        </is>
      </c>
      <c r="D45" s="46" t="inlineStr">
        <is>
          <t>Toda la boda, no sólo el banquete</t>
        </is>
      </c>
      <c r="E45" s="28" t="n"/>
    </row>
    <row r="46" ht="15" customHeight="1">
      <c r="A46" s="28" t="inlineStr">
        <is>
          <t>Coste de mercancía sobre ventas</t>
        </is>
      </c>
      <c r="B46" s="28" t="inlineStr">
        <is>
          <t>28-32 %</t>
        </is>
      </c>
      <c r="C46" s="28" t="inlineStr">
        <is>
          <t>Estimación del kit</t>
        </is>
      </c>
      <c r="D46" s="46" t="inlineStr">
        <is>
          <t>El plan usa el 30 % en comida y el 28 % en bebida</t>
        </is>
      </c>
      <c r="E46" s="28" t="n"/>
    </row>
    <row r="47" ht="30" customHeight="1">
      <c r="A47" s="28" t="inlineStr">
        <is>
          <t>Coste de personal sobre ventas</t>
        </is>
      </c>
      <c r="B47" s="28" t="inlineStr">
        <is>
          <t>33-38 %</t>
        </is>
      </c>
      <c r="C47" s="28" t="inlineStr">
        <is>
          <t>Estimación del kit</t>
        </is>
      </c>
      <c r="D47" s="46" t="inlineStr">
        <is>
          <t>Montaje, servicio y recogida: el catering es intensivo en mano de obra</t>
        </is>
      </c>
      <c r="E47" s="28" t="n"/>
    </row>
    <row r="48" ht="30" customHeight="1">
      <c r="A48" s="28" t="inlineStr">
        <is>
          <t>Personal de sala</t>
        </is>
      </c>
      <c r="B48" s="28" t="inlineStr">
        <is>
          <t>1 camarero por 10-12 invitados sentados; 1 por 20-25 en cóctel</t>
        </is>
      </c>
      <c r="C48" s="28" t="inlineStr">
        <is>
          <t>Estimación del kit</t>
        </is>
      </c>
      <c r="D48" s="46" t="inlineStr">
        <is>
          <t>Para dimensionar la bolsa de fijos discontinuos y la cobertura de la hoja Personal</t>
        </is>
      </c>
      <c r="E48" s="28" t="n"/>
    </row>
    <row r="49" ht="30" customHeight="1">
      <c r="A49" s="28" t="inlineStr">
        <is>
          <t>Cuota de cocina central compartida</t>
        </is>
      </c>
      <c r="B49" s="28" t="inlineStr">
        <is>
          <t>1.500-2.500 €/mes</t>
        </is>
      </c>
      <c r="C49" s="28" t="inlineStr">
        <is>
          <t>Estimación del kit (no hay tarifa pública)</t>
        </is>
      </c>
      <c r="D49" s="46" t="inlineStr">
        <is>
          <t>Con cámara, almacén y unas 80 horas al mes. Pide dos presupuestos</t>
        </is>
      </c>
      <c r="E49" s="28" t="n"/>
    </row>
    <row r="50" ht="15" customHeight="1">
      <c r="A50" s="28" t="inlineStr">
        <is>
          <t>Furgoneta frigorífica usada (2021-2022)</t>
        </is>
      </c>
      <c r="B50" s="28" t="inlineStr">
        <is>
          <t>18.000-22.000 €</t>
        </is>
      </c>
      <c r="C50" s="28" t="inlineStr">
        <is>
          <t>Anuncios de segunda mano, octubre 2026</t>
        </is>
      </c>
      <c r="D50" s="46" t="inlineStr">
        <is>
          <t>Con el certificado ATP vigente (RD 237/2000)</t>
        </is>
      </c>
      <c r="E50" s="28" t="n"/>
    </row>
    <row r="51" ht="30" customHeight="1">
      <c r="A51" s="28" t="inlineStr">
        <is>
          <t>IVA del catering con servicio</t>
        </is>
      </c>
      <c r="B51" s="28" t="inlineStr">
        <is>
          <t>10 %</t>
        </is>
      </c>
      <c r="C51" s="28" t="inlineStr">
        <is>
          <t>Ley 37/1992, art. 91.Uno.2.2.º</t>
        </is>
      </c>
      <c r="D51" s="46" t="inlineStr">
        <is>
          <t>Alcohol incluido. Drop-off de alcohol y servicios facturados aparte (mobiliario, carpas, decoración): 21 %</t>
        </is>
      </c>
      <c r="E51" s="28" t="n"/>
    </row>
    <row r="52" ht="30" customHeight="1">
      <c r="A52" s="28" t="inlineStr">
        <is>
          <t>Plazo de pago de las empresas</t>
        </is>
      </c>
      <c r="B52" s="28" t="inlineStr">
        <is>
          <t>Máximo 60 días</t>
        </is>
      </c>
      <c r="C52" s="28" t="inlineStr">
        <is>
          <t>Ley 3/2004, art. 4</t>
        </is>
      </c>
      <c r="D52" s="46" t="inlineStr">
        <is>
          <t>El plan usa 25 días medios de cobro mezclando empresas y particulares</t>
        </is>
      </c>
      <c r="E52" s="28" t="n"/>
    </row>
    <row r="53" ht="30" customHeight="1">
      <c r="A53" s="28" t="inlineStr">
        <is>
          <t>Temperaturas de servicio</t>
        </is>
      </c>
      <c r="B53" s="28" t="inlineStr">
        <is>
          <t>≥ 63 °C en caliente; ≤ 4-8 °C en frío</t>
        </is>
      </c>
      <c r="C53" s="28" t="inlineStr">
        <is>
          <t>RD 1086/2020, art. 30</t>
        </is>
      </c>
      <c r="D53" s="46" t="inlineStr">
        <is>
          <t>Redacción del RD 1021/2022. Las vigila tu plan APPCC en el transporte y en cada estación</t>
        </is>
      </c>
      <c r="E53" s="28" t="n"/>
    </row>
    <row r="54" ht="30" customHeight="1">
      <c r="A54" s="28" t="inlineStr">
        <is>
          <t>Convenio colectivo aplicable</t>
        </is>
      </c>
      <c r="B54" s="28" t="inlineStr">
        <is>
          <t>Provincial de hostelería</t>
        </is>
      </c>
      <c r="C54" s="28" t="inlineStr">
        <is>
          <t>V Acuerdo Laboral de ámbito Estatal para el sector de Hostelería, art. 4</t>
        </is>
      </c>
      <c r="D54" s="46" t="inlineStr">
        <is>
          <t>Incluye el catering. Copia tu tabla salarial en la celda de Supuestos</t>
        </is>
      </c>
      <c r="E54" s="28" t="n"/>
    </row>
    <row r="55">
      <c r="A55" s="28" t="n"/>
      <c r="B55" s="28" t="n"/>
      <c r="C55" s="28" t="n"/>
      <c r="D55" s="28" t="n"/>
      <c r="E55" s="28" t="n"/>
    </row>
    <row r="56">
      <c r="A56" s="79" t="inlineStr">
        <is>
          <t>Para editar una celda que no esté en verde: Revisar → Desproteger hoja (no tiene contraseña).</t>
        </is>
      </c>
      <c r="B56" s="28" t="n"/>
      <c r="C56" s="28" t="n"/>
      <c r="D56" s="28" t="n"/>
      <c r="E56" s="28" t="n"/>
    </row>
    <row r="57">
      <c r="A57" s="79" t="inlineStr">
        <is>
          <t>Más plantillas y kits del catálogo en aichef.pro/productos-digitales</t>
        </is>
      </c>
      <c r="B57" s="28" t="n"/>
      <c r="C57" s="28" t="n"/>
      <c r="D57" s="28" t="n"/>
      <c r="E57" s="28" t="n"/>
    </row>
    <row r="58">
      <c r="A58" s="79" t="inlineStr">
        <is>
          <t>Diseñado por John Guerrero — chef y consultor gastronómico desde 2010, en cocina desde los 17 años · johnguerrero.es</t>
        </is>
      </c>
      <c r="B58" s="28" t="n"/>
      <c r="C58" s="28" t="n"/>
      <c r="D58" s="28" t="n"/>
      <c r="E58" s="28" t="n"/>
    </row>
    <row r="59">
      <c r="A59" s="79" t="inlineStr">
        <is>
          <t>Versión 2.2 · septiembre 2026 · aichef.pro/plan-catering-tematico-eventos · info@aichef.pro</t>
        </is>
      </c>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0.04</v>
      </c>
      <c r="C5" s="75" t="n">
        <v>0.055</v>
      </c>
      <c r="D5" s="75" t="n">
        <v>0.07000000000000001</v>
      </c>
      <c r="E5" s="75" t="n">
        <v>0.075</v>
      </c>
      <c r="F5" s="75" t="n">
        <v>0.105</v>
      </c>
      <c r="G5" s="75" t="n">
        <v>0.12</v>
      </c>
      <c r="H5" s="75" t="n">
        <v>0.09</v>
      </c>
      <c r="I5" s="75" t="n">
        <v>0.05</v>
      </c>
      <c r="J5" s="75" t="n">
        <v>0.11</v>
      </c>
      <c r="K5" s="75" t="n">
        <v>0.1</v>
      </c>
      <c r="L5" s="75" t="n">
        <v>0.07000000000000001</v>
      </c>
      <c r="M5" s="75" t="n">
        <v>0.115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0.023903949584397243</v>
      </c>
      <c r="C7" s="68">
        <f>IFERROR(IF('PyG 3 Años'!$B$9="","",C5*C6/SUMPRODUCT($B$5:$M$5,$B$6:$M$6)),"")</f>
        <v>0.03824631933503558</v>
      </c>
      <c r="D7" s="68">
        <f>IFERROR(IF('PyG 3 Años'!$B$9="","",D5*D6/SUMPRODUCT($B$5:$M$5,$B$6:$M$6)),"")</f>
        <v>0.05552235562557723</v>
      </c>
      <c r="E7" s="68">
        <f>IFERROR(IF('PyG 3 Años'!$B$9="","",E5*E6/SUMPRODUCT($B$5:$M$5,$B$6:$M$6)),"")</f>
        <v>0.06682240452001956</v>
      </c>
      <c r="F7" s="68">
        <f>IFERROR(IF('PyG 3 Años'!$B$9="","",F5*F6/SUMPRODUCT($B$5:$M$5,$B$6:$M$6)),"")</f>
        <v>0.10381919921768892</v>
      </c>
      <c r="G7" s="68">
        <f>IFERROR(IF('PyG 3 Años'!$B$9="","",G5*G6/SUMPRODUCT($B$5:$M$5,$B$6:$M$6)),"")</f>
        <v>0.13038517955125767</v>
      </c>
      <c r="H7" s="68">
        <f>IFERROR(IF('PyG 3 Años'!$B$9="","",H5*H6/SUMPRODUCT($B$5:$M$5,$B$6:$M$6)),"")</f>
        <v>0.09778888466344325</v>
      </c>
      <c r="I7" s="68">
        <f>IFERROR(IF('PyG 3 Años'!$B$9="","",I5*I6/SUMPRODUCT($B$5:$M$5,$B$6:$M$6)),"")</f>
        <v>0.054327158146357364</v>
      </c>
      <c r="J7" s="68">
        <f>IFERROR(IF('PyG 3 Años'!$B$9="","",J5*J6/SUMPRODUCT($B$5:$M$5,$B$6:$M$6)),"")</f>
        <v>0.1195197479219862</v>
      </c>
      <c r="K7" s="68">
        <f>IFERROR(IF('PyG 3 Años'!$B$9="","",K5*K6/SUMPRODUCT($B$5:$M$5,$B$6:$M$6)),"")</f>
        <v>0.10865431629271473</v>
      </c>
      <c r="L7" s="68">
        <f>IFERROR(IF('PyG 3 Años'!$B$9="","",L5*L6/SUMPRODUCT($B$5:$M$5,$B$6:$M$6)),"")</f>
        <v>0.07605802140490031</v>
      </c>
      <c r="M7" s="68">
        <f>IFERROR(IF('PyG 3 Años'!$B$9="","",M5*M6/SUMPRODUCT($B$5:$M$5,$B$6:$M$6)),"")</f>
        <v>0.12495246373662194</v>
      </c>
      <c r="N7" s="68">
        <f>IFERROR(IF('PyG 3 Años'!$B$9="","",SUM(B7:M7)),"")</f>
        <v>1.0</v>
      </c>
      <c r="O7" s="28" t="inlineStr">
        <is>
          <t>Estacionalidad × rampa, normalizado a 100 %: el AÑO factura lo que dice el P&amp;L, pero repartido como lo reparte un catering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1963.5983748773563</v>
      </c>
      <c r="C9" s="32">
        <f>IFERROR(IF('PyG 3 Años'!$B$9="","",('PyG 3 Años'!$B$9+'PyG 3 Años'!$B$9*SUMPRODUCT('PyG 3 Años'!$E$10:$E$11,'PyG 3 Años'!$G$10:$G$11))*(C7*(1-MIN(30,'0. Supuestos'!$B$58)/30)+B7*MIN(30,'0. Supuestos'!$B$58)/30)),"")</f>
        <v>12959.749274190552</v>
      </c>
      <c r="D9" s="32">
        <f>IFERROR(IF('PyG 3 Años'!$B$9="","",('PyG 3 Años'!$B$9+'PyG 3 Años'!$B$9*SUMPRODUCT('PyG 3 Años'!$E$10:$E$11,'PyG 3 Años'!$G$10:$G$11))*(D7*(1-MIN(30,'0. Supuestos'!$B$58)/30)+C7*MIN(30,'0. Supuestos'!$B$58)/30)),"")</f>
        <v>20269.690497029438</v>
      </c>
      <c r="E9" s="32">
        <f>IFERROR(IF('PyG 3 Años'!$B$9="","",('PyG 3 Años'!$B$9+'PyG 3 Años'!$B$9*SUMPRODUCT('PyG 3 Años'!$E$10:$E$11,'PyG 3 Años'!$G$10:$G$11))*(E7*(1-MIN(30,'0. Supuestos'!$B$58)/30)+D7*MIN(30,'0. Supuestos'!$B$58)/30)),"")</f>
        <v>28293.667492551</v>
      </c>
      <c r="F9" s="32">
        <f>IFERROR(IF('PyG 3 Años'!$B$9="","",('PyG 3 Años'!$B$9+'PyG 3 Años'!$B$9*SUMPRODUCT('PyG 3 Años'!$E$10:$E$11,'PyG 3 Años'!$G$10:$G$11))*(F7*(1-MIN(30,'0. Supuestos'!$B$58)/30)+E7*MIN(30,'0. Supuestos'!$B$58)/30)),"")</f>
        <v>35974.014772469025</v>
      </c>
      <c r="G9" s="32">
        <f>IFERROR(IF('PyG 3 Años'!$B$9="","",('PyG 3 Años'!$B$9+'PyG 3 Años'!$B$9*SUMPRODUCT('PyG 3 Años'!$E$10:$E$11,'PyG 3 Años'!$G$10:$G$11))*(G7*(1-MIN(30,'0. Supuestos'!$B$58)/30)+F7*MIN(30,'0. Supuestos'!$B$58)/30)),"")</f>
        <v>53351.860390133625</v>
      </c>
      <c r="H9" s="32">
        <f>IFERROR(IF('PyG 3 Años'!$B$9="","",('PyG 3 Años'!$B$9+'PyG 3 Años'!$B$9*SUMPRODUCT('PyG 3 Años'!$E$10:$E$11,'PyG 3 Años'!$G$10:$G$11))*(H7*(1-MIN(30,'0. Supuestos'!$B$58)/30)+G7*MIN(30,'0. Supuestos'!$B$58)/30)),"")</f>
        <v>61585.58539388072</v>
      </c>
      <c r="I9" s="32">
        <f>IFERROR(IF('PyG 3 Años'!$B$9="","",('PyG 3 Años'!$B$9+'PyG 3 Años'!$B$9*SUMPRODUCT('PyG 3 Años'!$E$10:$E$11,'PyG 3 Años'!$G$10:$G$11))*(I7*(1-MIN(30,'0. Supuestos'!$B$58)/30)+H7*MIN(30,'0. Supuestos'!$B$58)/30)),"")</f>
        <v>44627.2357926672</v>
      </c>
      <c r="J9" s="32">
        <f>IFERROR(IF('PyG 3 Años'!$B$9="","",('PyG 3 Años'!$B$9+'PyG 3 Años'!$B$9*SUMPRODUCT('PyG 3 Años'!$E$10:$E$11,'PyG 3 Años'!$G$10:$G$11))*(J7*(1-MIN(30,'0. Supuestos'!$B$58)/30)+I7*MIN(30,'0. Supuestos'!$B$58)/30)),"")</f>
        <v>32131.609770720377</v>
      </c>
      <c r="K9" s="32">
        <f>IFERROR(IF('PyG 3 Años'!$B$9="","",('PyG 3 Años'!$B$9+'PyG 3 Años'!$B$9*SUMPRODUCT('PyG 3 Años'!$E$10:$E$11,'PyG 3 Años'!$G$10:$G$11))*(K7*(1-MIN(30,'0. Supuestos'!$B$58)/30)+J7*MIN(30,'0. Supuestos'!$B$58)/30)),"")</f>
        <v>58015.40653046735</v>
      </c>
      <c r="L9" s="32">
        <f>IFERROR(IF('PyG 3 Años'!$B$9="","",('PyG 3 Años'!$B$9+'PyG 3 Años'!$B$9*SUMPRODUCT('PyG 3 Años'!$E$10:$E$11,'PyG 3 Años'!$G$10:$G$11))*(L7*(1-MIN(30,'0. Supuestos'!$B$58)/30)+K7*MIN(30,'0. Supuestos'!$B$58)/30)),"")</f>
        <v>50875.048803640595</v>
      </c>
      <c r="M9" s="32">
        <f>IFERROR(IF('PyG 3 Años'!$B$9="","",('PyG 3 Años'!$B$9+'PyG 3 Años'!$B$9*SUMPRODUCT('PyG 3 Años'!$E$10:$E$11,'PyG 3 Años'!$G$10:$G$11))*(M7*(1-MIN(30,'0. Supuestos'!$B$58)/30)+L7*MIN(30,'0. Supuestos'!$B$58)/30)),"")</f>
        <v>41503.32928718049</v>
      </c>
      <c r="N9" s="32">
        <f>IFERROR(IF('PyG 3 Años'!$B$9="","",SUM(B9:M9)),"")</f>
        <v>441550.7963798077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-4684.213080846852</v>
      </c>
      <c r="D11" s="32">
        <f>IFERROR(IF('PyG 3 Años'!$B$9="","",-('PyG 3 Años'!$B$13*(1+'PyG 3 Años'!$G$13)+'PyG 3 Años'!$B$14*(1+'PyG 3 Años'!$G$14)+'PyG 3 Años'!$B$15*(1+'PyG 3 Años'!$G$15)+'PyG 3 Años'!$B$16*(1+'PyG 3 Años'!$G$16)+'PyG 3 Años'!$B$17*(1+'PyG 3 Años'!$G$17)+'PyG 3 Años'!$B$18*(1+'PyG 3 Años'!$G$18))*(D7*(1-MIN(30,'0. Supuestos'!$B$59)/30)+C7*MIN(30,'0. Supuestos'!$B$59)/30)),"")</f>
        <v>-7494.740929354963</v>
      </c>
      <c r="E11" s="32">
        <f>IFERROR(IF('PyG 3 Años'!$B$9="","",-('PyG 3 Años'!$B$13*(1+'PyG 3 Años'!$G$13)+'PyG 3 Años'!$B$14*(1+'PyG 3 Años'!$G$14)+'PyG 3 Años'!$B$15*(1+'PyG 3 Años'!$G$15)+'PyG 3 Años'!$B$16*(1+'PyG 3 Años'!$G$16)+'PyG 3 Años'!$B$17*(1+'PyG 3 Años'!$G$17)+'PyG 3 Años'!$B$18*(1+'PyG 3 Años'!$G$18))*(E7*(1-MIN(30,'0. Supuestos'!$B$59)/30)+D7*MIN(30,'0. Supuestos'!$B$59)/30)),"")</f>
        <v>-10880.149474148822</v>
      </c>
      <c r="F11" s="32">
        <f>IFERROR(IF('PyG 3 Años'!$B$9="","",-('PyG 3 Años'!$B$13*(1+'PyG 3 Años'!$G$13)+'PyG 3 Años'!$B$14*(1+'PyG 3 Años'!$G$14)+'PyG 3 Años'!$B$15*(1+'PyG 3 Años'!$G$15)+'PyG 3 Años'!$B$16*(1+'PyG 3 Años'!$G$16)+'PyG 3 Años'!$B$17*(1+'PyG 3 Años'!$G$17)+'PyG 3 Años'!$B$18*(1+'PyG 3 Años'!$G$18))*(F7*(1-MIN(30,'0. Supuestos'!$B$59)/30)+E7*MIN(30,'0. Supuestos'!$B$59)/30)),"")</f>
        <v>-13094.50474873097</v>
      </c>
      <c r="G11" s="32">
        <f>IFERROR(IF('PyG 3 Años'!$B$9="","",-('PyG 3 Años'!$B$13*(1+'PyG 3 Años'!$G$13)+'PyG 3 Años'!$B$14*(1+'PyG 3 Años'!$G$14)+'PyG 3 Años'!$B$15*(1+'PyG 3 Años'!$G$15)+'PyG 3 Años'!$B$16*(1+'PyG 3 Años'!$G$16)+'PyG 3 Años'!$B$17*(1+'PyG 3 Años'!$G$17)+'PyG 3 Años'!$B$18*(1+'PyG 3 Años'!$G$18))*(G7*(1-MIN(30,'0. Supuestos'!$B$59)/30)+F7*MIN(30,'0. Supuestos'!$B$59)/30)),"")</f>
        <v>-20344.389085223484</v>
      </c>
      <c r="H11" s="32">
        <f>IFERROR(IF('PyG 3 Años'!$B$9="","",-('PyG 3 Años'!$B$13*(1+'PyG 3 Años'!$G$13)+'PyG 3 Años'!$B$14*(1+'PyG 3 Años'!$G$14)+'PyG 3 Años'!$B$15*(1+'PyG 3 Años'!$G$15)+'PyG 3 Años'!$B$16*(1+'PyG 3 Años'!$G$16)+'PyG 3 Años'!$B$17*(1+'PyG 3 Años'!$G$17)+'PyG 3 Años'!$B$18*(1+'PyG 3 Años'!$G$18))*(H7*(1-MIN(30,'0. Supuestos'!$B$59)/30)+G7*MIN(30,'0. Supuestos'!$B$59)/30)),"")</f>
        <v>-25550.25316825555</v>
      </c>
      <c r="I11" s="32">
        <f>IFERROR(IF('PyG 3 Años'!$B$9="","",-('PyG 3 Años'!$B$13*(1+'PyG 3 Años'!$G$13)+'PyG 3 Años'!$B$14*(1+'PyG 3 Años'!$G$14)+'PyG 3 Años'!$B$15*(1+'PyG 3 Años'!$G$15)+'PyG 3 Años'!$B$16*(1+'PyG 3 Años'!$G$16)+'PyG 3 Años'!$B$17*(1+'PyG 3 Años'!$G$17)+'PyG 3 Años'!$B$18*(1+'PyG 3 Años'!$G$18))*(I7*(1-MIN(30,'0. Supuestos'!$B$59)/30)+H7*MIN(30,'0. Supuestos'!$B$59)/30)),"")</f>
        <v>-19162.689876191664</v>
      </c>
      <c r="J11" s="32">
        <f>IFERROR(IF('PyG 3 Años'!$B$9="","",-('PyG 3 Años'!$B$13*(1+'PyG 3 Años'!$G$13)+'PyG 3 Años'!$B$14*(1+'PyG 3 Años'!$G$14)+'PyG 3 Años'!$B$15*(1+'PyG 3 Años'!$G$15)+'PyG 3 Años'!$B$16*(1+'PyG 3 Años'!$G$16)+'PyG 3 Años'!$B$17*(1+'PyG 3 Años'!$G$17)+'PyG 3 Años'!$B$18*(1+'PyG 3 Años'!$G$18))*(J7*(1-MIN(30,'0. Supuestos'!$B$59)/30)+I7*MIN(30,'0. Supuestos'!$B$59)/30)),"")</f>
        <v>-10645.93882010648</v>
      </c>
      <c r="K11" s="32">
        <f>IFERROR(IF('PyG 3 Años'!$B$9="","",-('PyG 3 Años'!$B$13*(1+'PyG 3 Años'!$G$13)+'PyG 3 Años'!$B$14*(1+'PyG 3 Años'!$G$14)+'PyG 3 Años'!$B$15*(1+'PyG 3 Años'!$G$15)+'PyG 3 Años'!$B$16*(1+'PyG 3 Años'!$G$16)+'PyG 3 Años'!$B$17*(1+'PyG 3 Años'!$G$17)+'PyG 3 Años'!$B$18*(1+'PyG 3 Años'!$G$18))*(K7*(1-MIN(30,'0. Supuestos'!$B$59)/30)+J7*MIN(30,'0. Supuestos'!$B$59)/30)),"")</f>
        <v>-23421.065404234254</v>
      </c>
      <c r="L11" s="32">
        <f>IFERROR(IF('PyG 3 Años'!$B$9="","",-('PyG 3 Años'!$B$13*(1+'PyG 3 Años'!$G$13)+'PyG 3 Años'!$B$14*(1+'PyG 3 Años'!$G$14)+'PyG 3 Años'!$B$15*(1+'PyG 3 Años'!$G$15)+'PyG 3 Años'!$B$16*(1+'PyG 3 Años'!$G$16)+'PyG 3 Años'!$B$17*(1+'PyG 3 Años'!$G$17)+'PyG 3 Años'!$B$18*(1+'PyG 3 Años'!$G$18))*(L7*(1-MIN(30,'0. Supuestos'!$B$59)/30)+K7*MIN(30,'0. Supuestos'!$B$59)/30)),"")</f>
        <v>-21291.87764021296</v>
      </c>
      <c r="M11" s="32">
        <f>IFERROR(IF('PyG 3 Años'!$B$9="","",-('PyG 3 Años'!$B$13*(1+'PyG 3 Años'!$G$13)+'PyG 3 Años'!$B$14*(1+'PyG 3 Años'!$G$14)+'PyG 3 Años'!$B$15*(1+'PyG 3 Años'!$G$15)+'PyG 3 Años'!$B$16*(1+'PyG 3 Años'!$G$16)+'PyG 3 Años'!$B$17*(1+'PyG 3 Años'!$G$17)+'PyG 3 Años'!$B$18*(1+'PyG 3 Años'!$G$18))*(M7*(1-MIN(30,'0. Supuestos'!$B$59)/30)+L7*MIN(30,'0. Supuestos'!$B$59)/30)),"")</f>
        <v>-14904.314348149072</v>
      </c>
      <c r="N11" s="32">
        <f>IFERROR(IF('PyG 3 Años'!$B$9="","",SUM(B11:M11)),"")</f>
        <v>-171474.13657545505</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-5199.791666666667</v>
      </c>
      <c r="C12" s="32">
        <f>IFERROR(IF('PyG 3 Años'!$B$9="","",-('PyG 3 Años'!$B$38-'PyG 3 Años'!$B$23-'PyG 3 Años'!$B$36-'PyG 3 Años'!$B$37+'PyG 3 Años'!$B$40)/12),"")</f>
        <v>-5199.791666666667</v>
      </c>
      <c r="D12" s="32">
        <f>IFERROR(IF('PyG 3 Años'!$B$9="","",-('PyG 3 Años'!$B$38-'PyG 3 Años'!$B$23-'PyG 3 Años'!$B$36-'PyG 3 Años'!$B$37+'PyG 3 Años'!$B$40)/12),"")</f>
        <v>-5199.791666666667</v>
      </c>
      <c r="E12" s="32">
        <f>IFERROR(IF('PyG 3 Años'!$B$9="","",-('PyG 3 Años'!$B$38-'PyG 3 Años'!$B$23-'PyG 3 Años'!$B$36-'PyG 3 Años'!$B$37+'PyG 3 Años'!$B$40)/12),"")</f>
        <v>-5199.791666666667</v>
      </c>
      <c r="F12" s="32">
        <f>IFERROR(IF('PyG 3 Años'!$B$9="","",-('PyG 3 Años'!$B$38-'PyG 3 Años'!$B$23-'PyG 3 Años'!$B$36-'PyG 3 Años'!$B$37+'PyG 3 Años'!$B$40)/12),"")</f>
        <v>-5199.791666666667</v>
      </c>
      <c r="G12" s="32">
        <f>IFERROR(IF('PyG 3 Años'!$B$9="","",-('PyG 3 Años'!$B$38-'PyG 3 Años'!$B$23-'PyG 3 Años'!$B$36-'PyG 3 Años'!$B$37+'PyG 3 Años'!$B$40)/12),"")</f>
        <v>-5199.791666666667</v>
      </c>
      <c r="H12" s="32">
        <f>IFERROR(IF('PyG 3 Años'!$B$9="","",-('PyG 3 Años'!$B$38-'PyG 3 Años'!$B$23-'PyG 3 Años'!$B$36-'PyG 3 Años'!$B$37+'PyG 3 Años'!$B$40)/12),"")</f>
        <v>-5199.791666666667</v>
      </c>
      <c r="I12" s="32">
        <f>IFERROR(IF('PyG 3 Años'!$B$9="","",-('PyG 3 Años'!$B$38-'PyG 3 Años'!$B$23-'PyG 3 Años'!$B$36-'PyG 3 Años'!$B$37+'PyG 3 Años'!$B$40)/12),"")</f>
        <v>-5199.791666666667</v>
      </c>
      <c r="J12" s="32">
        <f>IFERROR(IF('PyG 3 Años'!$B$9="","",-('PyG 3 Años'!$B$38-'PyG 3 Años'!$B$23-'PyG 3 Años'!$B$36-'PyG 3 Años'!$B$37+'PyG 3 Años'!$B$40)/12),"")</f>
        <v>-5199.791666666667</v>
      </c>
      <c r="K12" s="32">
        <f>IFERROR(IF('PyG 3 Años'!$B$9="","",-('PyG 3 Años'!$B$38-'PyG 3 Años'!$B$23-'PyG 3 Años'!$B$36-'PyG 3 Años'!$B$37+'PyG 3 Años'!$B$40)/12),"")</f>
        <v>-5199.791666666667</v>
      </c>
      <c r="L12" s="32">
        <f>IFERROR(IF('PyG 3 Años'!$B$9="","",-('PyG 3 Años'!$B$38-'PyG 3 Años'!$B$23-'PyG 3 Años'!$B$36-'PyG 3 Años'!$B$37+'PyG 3 Años'!$B$40)/12),"")</f>
        <v>-5199.791666666667</v>
      </c>
      <c r="M12" s="32">
        <f>IFERROR(IF('PyG 3 Años'!$B$9="","",-('PyG 3 Años'!$B$38-'PyG 3 Años'!$B$23-'PyG 3 Años'!$B$36-'PyG 3 Años'!$B$37+'PyG 3 Años'!$B$40)/12),"")</f>
        <v>-5199.791666666667</v>
      </c>
      <c r="N12" s="32">
        <f>IFERROR(IF('PyG 3 Años'!$B$9="","",SUM(B12:M12)),"")</f>
        <v>-62397.49999999999</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-11626.86</v>
      </c>
      <c r="C13" s="32">
        <f>IFERROR(IF('PyG 3 Años'!$B$9="","",-'PyG 3 Años'!$B$23/MAX(12,'0. Supuestos'!$B$21)*(1+IF(2='0. Supuestos'!$B$60,(MAX(12,'0. Supuestos'!$B$21)-12)/2,0)+IF(2='0. Supuestos'!$B$61,(MAX(12,'0. Supuestos'!$B$21)-12)/2,0))),"")</f>
        <v>-11626.86</v>
      </c>
      <c r="D13" s="32">
        <f>IFERROR(IF('PyG 3 Años'!$B$9="","",-'PyG 3 Años'!$B$23/MAX(12,'0. Supuestos'!$B$21)*(1+IF(3='0. Supuestos'!$B$60,(MAX(12,'0. Supuestos'!$B$21)-12)/2,0)+IF(3='0. Supuestos'!$B$61,(MAX(12,'0. Supuestos'!$B$21)-12)/2,0))),"")</f>
        <v>-11626.86</v>
      </c>
      <c r="E13" s="32">
        <f>IFERROR(IF('PyG 3 Años'!$B$9="","",-'PyG 3 Años'!$B$23/MAX(12,'0. Supuestos'!$B$21)*(1+IF(4='0. Supuestos'!$B$60,(MAX(12,'0. Supuestos'!$B$21)-12)/2,0)+IF(4='0. Supuestos'!$B$61,(MAX(12,'0. Supuestos'!$B$21)-12)/2,0))),"")</f>
        <v>-11626.86</v>
      </c>
      <c r="F13" s="32">
        <f>IFERROR(IF('PyG 3 Años'!$B$9="","",-'PyG 3 Años'!$B$23/MAX(12,'0. Supuestos'!$B$21)*(1+IF(5='0. Supuestos'!$B$60,(MAX(12,'0. Supuestos'!$B$21)-12)/2,0)+IF(5='0. Supuestos'!$B$61,(MAX(12,'0. Supuestos'!$B$21)-12)/2,0))),"")</f>
        <v>-11626.86</v>
      </c>
      <c r="G13" s="32">
        <f>IFERROR(IF('PyG 3 Años'!$B$9="","",-'PyG 3 Años'!$B$23/MAX(12,'0. Supuestos'!$B$21)*(1+IF(6='0. Supuestos'!$B$60,(MAX(12,'0. Supuestos'!$B$21)-12)/2,0)+IF(6='0. Supuestos'!$B$61,(MAX(12,'0. Supuestos'!$B$21)-12)/2,0))),"")</f>
        <v>-11626.86</v>
      </c>
      <c r="H13" s="32">
        <f>IFERROR(IF('PyG 3 Años'!$B$9="","",-'PyG 3 Años'!$B$23/MAX(12,'0. Supuestos'!$B$21)*(1+IF(7='0. Supuestos'!$B$60,(MAX(12,'0. Supuestos'!$B$21)-12)/2,0)+IF(7='0. Supuestos'!$B$61,(MAX(12,'0. Supuestos'!$B$21)-12)/2,0))),"")</f>
        <v>-23253.72</v>
      </c>
      <c r="I13" s="32">
        <f>IFERROR(IF('PyG 3 Años'!$B$9="","",-'PyG 3 Años'!$B$23/MAX(12,'0. Supuestos'!$B$21)*(1+IF(8='0. Supuestos'!$B$60,(MAX(12,'0. Supuestos'!$B$21)-12)/2,0)+IF(8='0. Supuestos'!$B$61,(MAX(12,'0. Supuestos'!$B$21)-12)/2,0))),"")</f>
        <v>-11626.86</v>
      </c>
      <c r="J13" s="32">
        <f>IFERROR(IF('PyG 3 Años'!$B$9="","",-'PyG 3 Años'!$B$23/MAX(12,'0. Supuestos'!$B$21)*(1+IF(9='0. Supuestos'!$B$60,(MAX(12,'0. Supuestos'!$B$21)-12)/2,0)+IF(9='0. Supuestos'!$B$61,(MAX(12,'0. Supuestos'!$B$21)-12)/2,0))),"")</f>
        <v>-11626.86</v>
      </c>
      <c r="K13" s="32">
        <f>IFERROR(IF('PyG 3 Años'!$B$9="","",-'PyG 3 Años'!$B$23/MAX(12,'0. Supuestos'!$B$21)*(1+IF(10='0. Supuestos'!$B$60,(MAX(12,'0. Supuestos'!$B$21)-12)/2,0)+IF(10='0. Supuestos'!$B$61,(MAX(12,'0. Supuestos'!$B$21)-12)/2,0))),"")</f>
        <v>-11626.86</v>
      </c>
      <c r="L13" s="32">
        <f>IFERROR(IF('PyG 3 Años'!$B$9="","",-'PyG 3 Años'!$B$23/MAX(12,'0. Supuestos'!$B$21)*(1+IF(11='0. Supuestos'!$B$60,(MAX(12,'0. Supuestos'!$B$21)-12)/2,0)+IF(11='0. Supuestos'!$B$61,(MAX(12,'0. Supuestos'!$B$21)-12)/2,0))),"")</f>
        <v>-11626.86</v>
      </c>
      <c r="M13" s="32">
        <f>IFERROR(IF('PyG 3 Años'!$B$9="","",-'PyG 3 Años'!$B$23/MAX(12,'0. Supuestos'!$B$21)*(1+IF(12='0. Supuestos'!$B$60,(MAX(12,'0. Supuestos'!$B$21)-12)/2,0)+IF(12='0. Supuestos'!$B$61,(MAX(12,'0. Supuestos'!$B$21)-12)/2,0))),"")</f>
        <v>-23253.72</v>
      </c>
      <c r="N13" s="32">
        <f>IFERROR(IF('PyG 3 Años'!$B$9="","",SUM(B13:M13)),"")</f>
        <v>-162776.04</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-601.25</v>
      </c>
      <c r="C14" s="32">
        <f>IFERROR(IF('PyG 3 Años'!$B$9="","",-'Financiación'!$B$44/12),"")</f>
        <v>-601.25</v>
      </c>
      <c r="D14" s="32">
        <f>IFERROR(IF('PyG 3 Años'!$B$9="","",-'Financiación'!$B$44/12),"")</f>
        <v>-601.25</v>
      </c>
      <c r="E14" s="32">
        <f>IFERROR(IF('PyG 3 Años'!$B$9="","",-'Financiación'!$B$44/12),"")</f>
        <v>-601.25</v>
      </c>
      <c r="F14" s="32">
        <f>IFERROR(IF('PyG 3 Años'!$B$9="","",-'Financiación'!$B$44/12),"")</f>
        <v>-601.25</v>
      </c>
      <c r="G14" s="32">
        <f>IFERROR(IF('PyG 3 Años'!$B$9="","",-'Financiación'!$B$44/12),"")</f>
        <v>-601.25</v>
      </c>
      <c r="H14" s="32">
        <f>IFERROR(IF('PyG 3 Años'!$B$9="","",-'Financiación'!$B$44/12),"")</f>
        <v>-601.25</v>
      </c>
      <c r="I14" s="32">
        <f>IFERROR(IF('PyG 3 Años'!$B$9="","",-'Financiación'!$B$44/12),"")</f>
        <v>-601.25</v>
      </c>
      <c r="J14" s="32">
        <f>IFERROR(IF('PyG 3 Años'!$B$9="","",-'Financiación'!$B$44/12),"")</f>
        <v>-601.25</v>
      </c>
      <c r="K14" s="32">
        <f>IFERROR(IF('PyG 3 Años'!$B$9="","",-'Financiación'!$B$44/12),"")</f>
        <v>-601.25</v>
      </c>
      <c r="L14" s="32">
        <f>IFERROR(IF('PyG 3 Años'!$B$9="","",-'Financiación'!$B$44/12),"")</f>
        <v>-601.25</v>
      </c>
      <c r="M14" s="32">
        <f>IFERROR(IF('PyG 3 Años'!$B$9="","",-'Financiación'!$B$44/12),"")</f>
        <v>-601.25</v>
      </c>
      <c r="N14" s="32">
        <f>IFERROR(IF('PyG 3 Años'!$B$9="","",SUM(B14:M14)),"")</f>
        <v>-7215.0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1076.2064278918347</v>
      </c>
      <c r="C16" s="32">
        <f>IFERROR(IF('PyG 3 Años'!$B$9="","",'PyG 3 Años'!$B$9*C7*SUMPRODUCT('PyG 3 Años'!$E$10:$E$11,'PyG 3 Años'!$G$10:$G$11)),"")</f>
        <v>1721.9302846269354</v>
      </c>
      <c r="D16" s="32">
        <f>IFERROR(IF('PyG 3 Años'!$B$9="","",'PyG 3 Años'!$B$9*D7*SUMPRODUCT('PyG 3 Años'!$E$10:$E$11,'PyG 3 Años'!$G$10:$G$11)),"")</f>
        <v>2499.7340211487617</v>
      </c>
      <c r="E16" s="32">
        <f>IFERROR(IF('PyG 3 Años'!$B$9="","",'PyG 3 Años'!$B$9*E7*SUMPRODUCT('PyG 3 Años'!$E$10:$E$11,'PyG 3 Años'!$G$10:$G$11)),"")</f>
        <v>3008.486150697629</v>
      </c>
      <c r="F16" s="32">
        <f>IFERROR(IF('PyG 3 Años'!$B$9="","",'PyG 3 Años'!$B$9*F7*SUMPRODUCT('PyG 3 Años'!$E$10:$E$11,'PyG 3 Años'!$G$10:$G$11)),"")</f>
        <v>4674.160190230218</v>
      </c>
      <c r="G16" s="32">
        <f>IFERROR(IF('PyG 3 Años'!$B$9="","",'PyG 3 Años'!$B$9*G7*SUMPRODUCT('PyG 3 Años'!$E$10:$E$11,'PyG 3 Años'!$G$10:$G$11)),"")</f>
        <v>5870.216879410007</v>
      </c>
      <c r="H16" s="32">
        <f>IFERROR(IF('PyG 3 Años'!$B$9="","",'PyG 3 Años'!$B$9*H7*SUMPRODUCT('PyG 3 Años'!$E$10:$E$11,'PyG 3 Años'!$G$10:$G$11)),"")</f>
        <v>4402.662659557505</v>
      </c>
      <c r="I16" s="32">
        <f>IFERROR(IF('PyG 3 Años'!$B$9="","",'PyG 3 Años'!$B$9*I7*SUMPRODUCT('PyG 3 Años'!$E$10:$E$11,'PyG 3 Años'!$G$10:$G$11)),"")</f>
        <v>2445.92369975417</v>
      </c>
      <c r="J16" s="32">
        <f>IFERROR(IF('PyG 3 Años'!$B$9="","",'PyG 3 Años'!$B$9*J7*SUMPRODUCT('PyG 3 Años'!$E$10:$E$11,'PyG 3 Años'!$G$10:$G$11)),"")</f>
        <v>5381.032139459174</v>
      </c>
      <c r="K16" s="32">
        <f>IFERROR(IF('PyG 3 Años'!$B$9="","",'PyG 3 Años'!$B$9*K7*SUMPRODUCT('PyG 3 Años'!$E$10:$E$11,'PyG 3 Años'!$G$10:$G$11)),"")</f>
        <v>4891.84739950834</v>
      </c>
      <c r="L16" s="32">
        <f>IFERROR(IF('PyG 3 Años'!$B$9="","",'PyG 3 Años'!$B$9*L7*SUMPRODUCT('PyG 3 Años'!$E$10:$E$11,'PyG 3 Años'!$G$10:$G$11)),"")</f>
        <v>3424.2931796558373</v>
      </c>
      <c r="M16" s="32">
        <f>IFERROR(IF('PyG 3 Años'!$B$9="","",'PyG 3 Años'!$B$9*M7*SUMPRODUCT('PyG 3 Años'!$E$10:$E$11,'PyG 3 Años'!$G$10:$G$11)),"")</f>
        <v>5625.62450943459</v>
      </c>
      <c r="N16" s="32">
        <f>IFERROR(IF('PyG 3 Años'!$B$9="","",SUM(B16:M16)),"")</f>
        <v>45022.117541375</v>
      </c>
      <c r="O16" s="28" t="inlineStr">
        <is>
          <t>Cada línea de venta a SU tipo, leído de la columna de IVA del P&amp;L: en el servicio de catering, alcohol incluido, el reducido (art. 91.Uno.2.2.º de la Ley 37/1992 del IVA); el alcohol que sale por drop-off, al general; el pan común y las harinas panificables, al superreducido (art. 91.Dos.1.1.º)</t>
        </is>
      </c>
    </row>
    <row r="17">
      <c r="A17" s="28" t="inlineStr">
        <is>
          <t>IVA soportado del mes (memoria)</t>
        </is>
      </c>
      <c r="B17" s="32">
        <f>IFERROR(IF('PyG 3 Años'!$B$9="","",'PyG 3 Años'!$B$39*B7+'PyG 3 Años'!$B$40/12),"")</f>
        <v>1411.447737390558</v>
      </c>
      <c r="C17" s="32">
        <f>IFERROR(IF('PyG 3 Años'!$B$9="","",'PyG 3 Años'!$B$39*C7+'PyG 3 Años'!$B$40/12),"")</f>
        <v>1735.9413798248927</v>
      </c>
      <c r="D17" s="32">
        <f>IFERROR(IF('PyG 3 Años'!$B$9="","",'PyG 3 Años'!$B$39*D7+'PyG 3 Años'!$B$40/12),"")</f>
        <v>2126.8087218480687</v>
      </c>
      <c r="E17" s="32">
        <f>IFERROR(IF('PyG 3 Años'!$B$9="","",'PyG 3 Años'!$B$39*E7+'PyG 3 Años'!$B$40/12),"")</f>
        <v>2382.470379523605</v>
      </c>
      <c r="F17" s="32">
        <f>IFERROR(IF('PyG 3 Años'!$B$9="","",'PyG 3 Años'!$B$39*F7+'PyG 3 Años'!$B$40/12),"")</f>
        <v>3219.5164798939913</v>
      </c>
      <c r="G17" s="32">
        <f>IFERROR(IF('PyG 3 Años'!$B$9="","",'PyG 3 Años'!$B$39*G7+'PyG 3 Años'!$B$40/12),"")</f>
        <v>3820.5672039484975</v>
      </c>
      <c r="H17" s="32">
        <f>IFERROR(IF('PyG 3 Años'!$B$9="","",'PyG 3 Años'!$B$39*H7+'PyG 3 Años'!$B$40/12),"")</f>
        <v>3083.0816529613735</v>
      </c>
      <c r="I17" s="32">
        <f>IFERROR(IF('PyG 3 Años'!$B$9="","",'PyG 3 Años'!$B$39*I7+'PyG 3 Años'!$B$40/12),"")</f>
        <v>2099.767584978541</v>
      </c>
      <c r="J17" s="32">
        <f>IFERROR(IF('PyG 3 Años'!$B$9="","",'PyG 3 Años'!$B$39*J7+'PyG 3 Años'!$B$40/12),"")</f>
        <v>3574.73868695279</v>
      </c>
      <c r="K17" s="32">
        <f>IFERROR(IF('PyG 3 Años'!$B$9="","",'PyG 3 Años'!$B$39*K7+'PyG 3 Años'!$B$40/12),"")</f>
        <v>3328.9101699570815</v>
      </c>
      <c r="L17" s="32">
        <f>IFERROR(IF('PyG 3 Años'!$B$9="","",'PyG 3 Años'!$B$39*L7+'PyG 3 Años'!$B$40/12),"")</f>
        <v>2591.424618969957</v>
      </c>
      <c r="M17" s="32">
        <f>IFERROR(IF('PyG 3 Años'!$B$9="","",'PyG 3 Años'!$B$39*M7+'PyG 3 Años'!$B$40/12),"")</f>
        <v>3697.652945450644</v>
      </c>
      <c r="N17" s="32">
        <f>IFERROR(IF('PyG 3 Años'!$B$9="","",SUM(B17:M17)),"")</f>
        <v>33072.3275617</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14674.8</v>
      </c>
      <c r="F18" s="28" t="n"/>
      <c r="G18" s="28" t="n"/>
      <c r="H18" s="32">
        <f>IFERROR(IF('PyG 3 Años'!$B$9="","",MAX(0,-E19)),"")</f>
        <v>14651.127105395986</v>
      </c>
      <c r="I18" s="28" t="n"/>
      <c r="J18" s="28" t="n"/>
      <c r="K18" s="32">
        <f>IFERROR(IF('PyG 3 Años'!$B$9="","",MAX(0,-H19)),"")</f>
        <v>10520.817948424226</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-14651.127105395986</v>
      </c>
      <c r="F19" s="28" t="n"/>
      <c r="G19" s="28" t="n"/>
      <c r="H19" s="32">
        <f>IFERROR(IF('PyG 3 Años'!$B$9="","",SUM(E16:G16)-SUM(E17:G17)-H18),"")</f>
        <v>-10520.817948424226</v>
      </c>
      <c r="I19" s="28" t="n"/>
      <c r="J19" s="28" t="n"/>
      <c r="K19" s="32">
        <f>IFERROR(IF('PyG 3 Años'!$B$9="","",SUM(H16:J16)-SUM(H17:J17)-K18),"")</f>
        <v>-7048.787374546082</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-15464.30329178931</v>
      </c>
      <c r="C21" s="26">
        <f>IFERROR(IF('PyG 3 Años'!$B$9="","",SUM(C9:C15)+IF(C20="",0,C20)),"")</f>
        <v>-9152.365473322967</v>
      </c>
      <c r="D21" s="26">
        <f>IFERROR(IF('PyG 3 Años'!$B$9="","",SUM(D9:D15)+IF(D20="",0,D20)),"")</f>
        <v>-4652.952098992192</v>
      </c>
      <c r="E21" s="26">
        <f>IFERROR(IF('PyG 3 Años'!$B$9="","",SUM(E9:E15)+IF(E20="",0,E20)),"")</f>
        <v>-14.38364826448742</v>
      </c>
      <c r="F21" s="26">
        <f>IFERROR(IF('PyG 3 Años'!$B$9="","",SUM(F9:F15)+IF(F20="",0,F20)),"")</f>
        <v>5451.608357071385</v>
      </c>
      <c r="G21" s="26">
        <f>IFERROR(IF('PyG 3 Años'!$B$9="","",SUM(G9:G15)+IF(G20="",0,G20)),"")</f>
        <v>15579.569638243473</v>
      </c>
      <c r="H21" s="26">
        <f>IFERROR(IF('PyG 3 Años'!$B$9="","",SUM(H9:H15)+IF(H20="",0,H20)),"")</f>
        <v>6980.570558958501</v>
      </c>
      <c r="I21" s="26">
        <f>IFERROR(IF('PyG 3 Años'!$B$9="","",SUM(I9:I15)+IF(I20="",0,I20)),"")</f>
        <v>8036.644249808865</v>
      </c>
      <c r="J21" s="26">
        <f>IFERROR(IF('PyG 3 Años'!$B$9="","",SUM(J9:J15)+IF(J20="",0,J20)),"")</f>
        <v>4057.7692839472293</v>
      </c>
      <c r="K21" s="26">
        <f>IFERROR(IF('PyG 3 Años'!$B$9="","",SUM(K9:K15)+IF(K20="",0,K20)),"")</f>
        <v>17166.439459566423</v>
      </c>
      <c r="L21" s="26">
        <f>IFERROR(IF('PyG 3 Años'!$B$9="","",SUM(L9:L15)+IF(L20="",0,L20)),"")</f>
        <v>12155.269496760968</v>
      </c>
      <c r="M21" s="26">
        <f>IFERROR(IF('PyG 3 Años'!$B$9="","",SUM(M9:M15)+IF(M20="",0,M20)),"")</f>
        <v>-2455.746727635251</v>
      </c>
      <c r="N21" s="26">
        <f>IFERROR(IF('PyG 3 Años'!$B$9="","",SUM(B21:M21)),"")</f>
        <v>37688.11980435264</v>
      </c>
      <c r="O21" s="28" t="n"/>
    </row>
    <row r="22">
      <c r="A22" s="25" t="inlineStr">
        <is>
          <t>SALDO ACUMULADO DE CAJA</t>
        </is>
      </c>
      <c r="B22" s="26">
        <f>IFERROR(IF('PyG 3 Años'!$B$9="","",'Inversión Inicial'!$B$25+B21),"")</f>
        <v>40020.956708210695</v>
      </c>
      <c r="C22" s="26">
        <f>IFERROR(IF('PyG 3 Años'!$B$9="","",B22+C21),"")</f>
        <v>30868.59123488773</v>
      </c>
      <c r="D22" s="26">
        <f>IFERROR(IF('PyG 3 Años'!$B$9="","",C22+D21),"")</f>
        <v>26215.639135895537</v>
      </c>
      <c r="E22" s="26">
        <f>IFERROR(IF('PyG 3 Años'!$B$9="","",D22+E21),"")</f>
        <v>26201.25548763105</v>
      </c>
      <c r="F22" s="26">
        <f>IFERROR(IF('PyG 3 Años'!$B$9="","",E22+F21),"")</f>
        <v>31652.863844702435</v>
      </c>
      <c r="G22" s="26">
        <f>IFERROR(IF('PyG 3 Años'!$B$9="","",F22+G21),"")</f>
        <v>47232.43348294591</v>
      </c>
      <c r="H22" s="26">
        <f>IFERROR(IF('PyG 3 Años'!$B$9="","",G22+H21),"")</f>
        <v>54213.00404190441</v>
      </c>
      <c r="I22" s="26">
        <f>IFERROR(IF('PyG 3 Años'!$B$9="","",H22+I21),"")</f>
        <v>62249.648291713274</v>
      </c>
      <c r="J22" s="26">
        <f>IFERROR(IF('PyG 3 Años'!$B$9="","",I22+J21),"")</f>
        <v>66307.41757566051</v>
      </c>
      <c r="K22" s="26">
        <f>IFERROR(IF('PyG 3 Años'!$B$9="","",J22+K21),"")</f>
        <v>83473.85703522693</v>
      </c>
      <c r="L22" s="26">
        <f>IFERROR(IF('PyG 3 Años'!$B$9="","",K22+L21),"")</f>
        <v>95629.1265319879</v>
      </c>
      <c r="M22" s="26">
        <f>IFERROR(IF('PyG 3 Años'!$B$9="","",L22+M21),"")</f>
        <v>93173.37980435265</v>
      </c>
      <c r="N22" s="28" t="n"/>
      <c r="O22" s="28" t="n"/>
    </row>
    <row r="23">
      <c r="A23" s="28" t="inlineStr">
        <is>
          <t>Saldo mínimo del año</t>
        </is>
      </c>
      <c r="B23" s="32">
        <f>IFERROR(IF('PyG 3 Años'!$B$9="","",IF(COUNT(B22:M22)=0,"",MIN(B22:M22))),"")</f>
        <v>26201.25548763105</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52854.267945000036</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75754.80117840006</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82068.08096104859</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44903.11980435264</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130365.26</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2.0</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1.3</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35000.0</v>
      </c>
      <c r="C6" s="28" t="n"/>
      <c r="D6" s="28" t="n"/>
      <c r="E6" s="28" t="n"/>
      <c r="F6" s="28" t="n"/>
      <c r="G6" s="28" t="n"/>
      <c r="H6" s="28" t="n"/>
    </row>
    <row r="7">
      <c r="A7" s="28" t="inlineStr">
        <is>
          <t>Préstamo bancario</t>
        </is>
      </c>
      <c r="B7" s="32">
        <f>IFERROR(IF('0. Supuestos'!$B$31="","",'0. Supuestos'!$B$31),"")</f>
        <v>111000.0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146000.0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145040.06</v>
      </c>
      <c r="C14" s="28" t="inlineStr">
        <is>
          <t>Inversión más el IVA que hay que adelantar</t>
        </is>
      </c>
      <c r="D14" s="28" t="n"/>
      <c r="E14" s="28" t="n"/>
      <c r="F14" s="28" t="n"/>
      <c r="G14" s="28" t="n"/>
      <c r="H14" s="28" t="n"/>
    </row>
    <row r="15">
      <c r="A15" s="25" t="inlineStr">
        <is>
          <t>Diferencia (origen - usos)</t>
        </is>
      </c>
      <c r="B15" s="26">
        <f>IFERROR(B12-B14,"")</f>
        <v>959.9400000000023</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0.006618447344823233</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110040.06</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111000.0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26710.43367332104</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111000.0</v>
      </c>
      <c r="C27" s="70">
        <f>IFERROR(IF(OR(1&gt;B22,B27=""),"",B27*B21),"")</f>
        <v>7215.0</v>
      </c>
      <c r="D27" s="70">
        <f>IFERROR(IF(OR(1&gt;B22,B27=""),"",IF(1&lt;=B23,0,MIN(B27,B24-C27))),"")</f>
        <v>0.0</v>
      </c>
      <c r="E27" s="70">
        <f>IFERROR(IF(C27="","",C27+D27),"")</f>
        <v>7215.0</v>
      </c>
      <c r="F27" s="70">
        <f>IFERROR(IF(D27="","",B27-D27),"")</f>
        <v>111000.0</v>
      </c>
      <c r="G27" s="70">
        <f>IFERROR(IF(E27="","",'PyG 3 Años'!$B$41-'PyG 3 Años'!$B$46+'PyG 3 Años'!$B$36+'PyG 3 Años'!$B$37),"")</f>
        <v>52854.267945000036</v>
      </c>
      <c r="H27" s="61">
        <f>IFERROR(IF(OR(E27="",E27=0),"",G27/E27),"")</f>
        <v>7.3256088627858675</v>
      </c>
    </row>
    <row r="28">
      <c r="A28" s="40" t="n">
        <v>2</v>
      </c>
      <c r="B28" s="70">
        <f>IFERROR(IF(OR(2&gt;B22,F27=""),"",F27),"")</f>
        <v>111000.0</v>
      </c>
      <c r="C28" s="70">
        <f>IFERROR(IF(OR(2&gt;B22,B28=""),"",B28*B21),"")</f>
        <v>7215.0</v>
      </c>
      <c r="D28" s="70">
        <f>IFERROR(IF(OR(2&gt;B22,B28=""),"",IF(2&lt;=B23,0,MIN(B28,B24-C28))),"")</f>
        <v>19495.43367332104</v>
      </c>
      <c r="E28" s="70">
        <f>IFERROR(IF(C28="","",C28+D28),"")</f>
        <v>26710.43367332104</v>
      </c>
      <c r="F28" s="70">
        <f>IFERROR(IF(D28="","",B28-D28),"")</f>
        <v>91504.56632667896</v>
      </c>
      <c r="G28" s="70">
        <f>IFERROR(IF(E28="","",'PyG 3 Años'!$C$41-'PyG 3 Años'!$C$46+'PyG 3 Años'!$C$36+'PyG 3 Años'!$C$37),"")</f>
        <v>75754.80117840006</v>
      </c>
      <c r="H28" s="61">
        <f>IFERROR(IF(OR(E28="",E28=0),"",G28/E28),"")</f>
        <v>2.8361501765531267</v>
      </c>
    </row>
    <row r="29">
      <c r="A29" s="40" t="n">
        <v>3</v>
      </c>
      <c r="B29" s="70">
        <f>IFERROR(IF(OR(3&gt;B22,F28=""),"",F28),"")</f>
        <v>91504.56632667896</v>
      </c>
      <c r="C29" s="70">
        <f>IFERROR(IF(OR(3&gt;B22,B29=""),"",B29*B21),"")</f>
        <v>5947.796811234133</v>
      </c>
      <c r="D29" s="70">
        <f>IFERROR(IF(OR(3&gt;B22,B29=""),"",IF(3&lt;=B23,0,MIN(B29,B24-C29))),"")</f>
        <v>20762.636862086907</v>
      </c>
      <c r="E29" s="70">
        <f>IFERROR(IF(C29="","",C29+D29),"")</f>
        <v>26710.43367332104</v>
      </c>
      <c r="F29" s="70">
        <f>IFERROR(IF(D29="","",B29-D29),"")</f>
        <v>70741.92946459206</v>
      </c>
      <c r="G29" s="70">
        <f>IFERROR(IF(E29="","",'PyG 3 Años'!$D$41-'PyG 3 Años'!$D$46+'PyG 3 Años'!$D$36+'PyG 3 Años'!$D$37),"")</f>
        <v>82068.08096104859</v>
      </c>
      <c r="H29" s="61">
        <f>IFERROR(IF(OR(E29="",E29=0),"",G29/E29),"")</f>
        <v>3.072510239435759</v>
      </c>
    </row>
    <row r="30">
      <c r="A30" s="40" t="n">
        <v>4</v>
      </c>
      <c r="B30" s="70">
        <f>IFERROR(IF(OR(4&gt;B22,F29=""),"",F29),"")</f>
        <v>70741.92946459206</v>
      </c>
      <c r="C30" s="70">
        <f>IFERROR(IF(OR(4&gt;B22,B30=""),"",B30*B21),"")</f>
        <v>4598.225415198484</v>
      </c>
      <c r="D30" s="70">
        <f>IFERROR(IF(OR(4&gt;B22,B30=""),"",IF(4&lt;=B23,0,MIN(B30,B24-C30))),"")</f>
        <v>22112.208258122555</v>
      </c>
      <c r="E30" s="70">
        <f>IFERROR(IF(C30="","",C30+D30),"")</f>
        <v>26710.43367332104</v>
      </c>
      <c r="F30" s="70">
        <f>IFERROR(IF(D30="","",B30-D30),"")</f>
        <v>48629.721206469505</v>
      </c>
      <c r="G30" s="70">
        <f>IFERROR(IF(E30="","",'PyG 3 Años'!$D$41-'PyG 3 Años'!$D$46+'PyG 3 Años'!$D$36+'PyG 3 Años'!$D$37),"")</f>
        <v>82068.08096104859</v>
      </c>
      <c r="H30" s="61">
        <f>IFERROR(IF(OR(E30="",E30=0),"",G30/E30),"")</f>
        <v>3.072510239435759</v>
      </c>
    </row>
    <row r="31">
      <c r="A31" s="40" t="n">
        <v>5</v>
      </c>
      <c r="B31" s="70">
        <f>IFERROR(IF(OR(5&gt;B22,F30=""),"",F30),"")</f>
        <v>48629.721206469505</v>
      </c>
      <c r="C31" s="70">
        <f>IFERROR(IF(OR(5&gt;B22,B31=""),"",B31*B21),"")</f>
        <v>3160.931878420518</v>
      </c>
      <c r="D31" s="70">
        <f>IFERROR(IF(OR(5&gt;B22,B31=""),"",IF(5&lt;=B23,0,MIN(B31,B24-C31))),"")</f>
        <v>23549.501794900523</v>
      </c>
      <c r="E31" s="70">
        <f>IFERROR(IF(C31="","",C31+D31),"")</f>
        <v>26710.43367332104</v>
      </c>
      <c r="F31" s="70">
        <f>IFERROR(IF(D31="","",B31-D31),"")</f>
        <v>25080.21941156898</v>
      </c>
      <c r="G31" s="70">
        <f>IFERROR(IF(E31="","",'PyG 3 Años'!$D$41-'PyG 3 Años'!$D$46+'PyG 3 Años'!$D$36+'PyG 3 Años'!$D$37),"")</f>
        <v>82068.08096104859</v>
      </c>
      <c r="H31" s="61">
        <f>IFERROR(IF(OR(E31="",E31=0),"",G31/E31),"")</f>
        <v>3.072510239435759</v>
      </c>
    </row>
    <row r="32">
      <c r="A32" s="40" t="n">
        <v>6</v>
      </c>
      <c r="B32" s="70">
        <f>IFERROR(IF(OR(6&gt;B22,F31=""),"",F31),"")</f>
        <v>25080.21941156898</v>
      </c>
      <c r="C32" s="70">
        <f>IFERROR(IF(OR(6&gt;B22,B32=""),"",B32*B21),"")</f>
        <v>1630.214261751984</v>
      </c>
      <c r="D32" s="70">
        <f>IFERROR(IF(OR(6&gt;B22,B32=""),"",IF(6&lt;=B23,0,MIN(B32,B24-C32))),"")</f>
        <v>25080.21941156898</v>
      </c>
      <c r="E32" s="70">
        <f>IFERROR(IF(C32="","",C32+D32),"")</f>
        <v>26710.433673320964</v>
      </c>
      <c r="F32" s="70">
        <f>IFERROR(IF(D32="","",B32-D32),"")</f>
        <v>0.0</v>
      </c>
      <c r="G32" s="70">
        <f>IFERROR(IF(E32="","",'PyG 3 Años'!$D$41-'PyG 3 Años'!$D$46+'PyG 3 Años'!$D$36+'PyG 3 Años'!$D$37),"")</f>
        <v>82068.08096104859</v>
      </c>
      <c r="H32" s="61">
        <f>IFERROR(IF(OR(E32="",E32=0),"",G32/E32),"")</f>
        <v>3.072510239435768</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7215.0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7215.0</v>
      </c>
      <c r="C46" s="28" t="n"/>
      <c r="D46" s="28" t="n"/>
      <c r="E46" s="28" t="n"/>
      <c r="F46" s="28" t="n"/>
      <c r="G46" s="28" t="n"/>
      <c r="H46" s="28" t="n"/>
    </row>
    <row r="47">
      <c r="A47" s="28" t="inlineStr">
        <is>
          <t>Devolución de principal del año 2</t>
        </is>
      </c>
      <c r="B47" s="32">
        <f>IFERROR(IF(B20="","",IF(D28="",0,D28)),"")</f>
        <v>19495.43367332104</v>
      </c>
      <c r="C47" s="28" t="n"/>
      <c r="D47" s="28" t="n"/>
      <c r="E47" s="28" t="n"/>
      <c r="F47" s="28" t="n"/>
      <c r="G47" s="28" t="n"/>
      <c r="H47" s="28" t="n"/>
    </row>
    <row r="48">
      <c r="A48" s="28" t="inlineStr">
        <is>
          <t>Intereses del año 3</t>
        </is>
      </c>
      <c r="B48" s="32">
        <f>IFERROR(IF(B20="","",IF(C29="",0,C29)),"")</f>
        <v>5947.796811234133</v>
      </c>
      <c r="C48" s="28" t="n"/>
      <c r="D48" s="28" t="n"/>
      <c r="E48" s="28" t="n"/>
      <c r="F48" s="28" t="n"/>
      <c r="G48" s="28" t="n"/>
      <c r="H48" s="28" t="n"/>
    </row>
    <row r="49">
      <c r="A49" s="28" t="inlineStr">
        <is>
          <t>Devolución de principal del año 3</t>
        </is>
      </c>
      <c r="B49" s="32">
        <f>IFERROR(IF(B20="","",IF(D29="",0,D29)),"")</f>
        <v>20762.636862086907</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7.3256088627858675</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2.8361501765531267</v>
      </c>
      <c r="C52" s="28" t="n"/>
      <c r="D52" s="28" t="n"/>
      <c r="E52" s="28" t="n"/>
      <c r="F52" s="28" t="n"/>
      <c r="G52" s="28" t="n"/>
      <c r="H52" s="28" t="n"/>
    </row>
    <row r="53">
      <c r="A53" s="28" t="inlineStr">
        <is>
          <t>DSCR del año 3</t>
        </is>
      </c>
      <c r="B53" s="61">
        <f>IFERROR(('PyG 3 Años'!$D$41-'PyG 3 Años'!$D$46+'PyG 3 Años'!$D$36+B48)/(B48+B49),"")</f>
        <v>3.072510239435759</v>
      </c>
      <c r="C53" s="28" t="n"/>
      <c r="D53" s="28" t="n"/>
      <c r="E53" s="28" t="n"/>
      <c r="F53" s="28" t="n"/>
      <c r="G53" s="28" t="n"/>
      <c r="H53" s="28" t="n"/>
    </row>
    <row r="54">
      <c r="A54" s="25" t="inlineStr">
        <is>
          <t>DSCR mínimo de todo el cuadro</t>
        </is>
      </c>
      <c r="B54" s="62">
        <f>IFERROR(IF(COUNT(H27:H41)=0,"",MIN(H27:H41)),"")</f>
        <v>2.8361501765531267</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Catering Temático de Eventos · v2.2</dc:title>
  <dc:description xmlns:dc="http://purl.org/dc/elements/1.1/">aichef.pro/plan-catering-tematico-eventos</dc:description>
  <dc:subject xmlns:dc="http://purl.org/dc/elements/1.1/">Plan financiero — Catering Temático de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2026-10-11T20:29:36Z</dcterms:modified>
  <cp:lastModifiedBy>AI Chef Pro</cp:lastModifiedBy>
  <cp:category>AI Chef Pro · Productos digitales</cp:category>
  <cp:keywords>plan catering tematico eventos, AI Chef Pro</cp:keywords>
</cp:coreProperties>
</file>