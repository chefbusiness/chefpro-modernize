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PPCC" sheetId="2" state="visible" r:id="rId2"/>
  </sheets>
  <definedNames>
    <definedName name="_xlnm._FilterDatabase" localSheetId="1" hidden="1">'APPCC'!$A$4:$H$4</definedName>
    <definedName name="_xlnm.Print_Titles" localSheetId="1">'APPCC'!$4:$4</definedName>
  </definedNames>
  <calcPr calcId="124519" fullCalcOnLoad="1"/>
</workbook>
</file>

<file path=xl/styles.xml><?xml version="1.0" encoding="utf-8"?>
<styleSheet xmlns="http://schemas.openxmlformats.org/spreadsheetml/2006/main">
  <numFmts count="3">
    <numFmt numFmtId="164" formatCode="#,##0.00 €"/>
    <numFmt numFmtId="165" formatCode="dd/mm/yyyy"/>
    <numFmt numFmtId="166" formatCode="0.0%"/>
  </numFmts>
  <fonts count="11">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
      <b val="1"/>
      <color theme="1"/>
      <sz val="11"/>
    </font>
    <font>
      <b val="1"/>
      <sz val="16"/>
    </font>
    <font>
      <b val="1"/>
      <sz val="12"/>
    </font>
    <font/>
    <font>
      <b val="1"/>
    </font>
  </fonts>
  <fills count="5">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xf numFmtId="0" fontId="7" fillId="0" borderId="0" pivotButton="0" quotePrefix="0" xfId="0"/>
    <xf numFmtId="0" fontId="8" fillId="0" borderId="0" pivotButton="0" quotePrefix="0" xfId="0"/>
    <xf numFmtId="0" fontId="0" fillId="0" borderId="0" applyAlignment="1" pivotButton="0" quotePrefix="0" xfId="0">
      <alignment horizontal="left" vertical="top"/>
    </xf>
    <xf numFmtId="0" fontId="4" fillId="4" borderId="1" applyAlignment="1" applyProtection="1" pivotButton="0" quotePrefix="0" xfId="0">
      <alignment horizontal="left" vertical="center" wrapText="1"/>
      <protection locked="0" hidden="0"/>
    </xf>
    <xf numFmtId="165" fontId="4" fillId="4" borderId="1" applyAlignment="1" applyProtection="1" pivotButton="0" quotePrefix="0" xfId="0">
      <alignment horizontal="left" vertical="center" wrapText="1"/>
      <protection locked="0" hidden="0"/>
    </xf>
    <xf numFmtId="164" fontId="4" fillId="4" borderId="1" applyAlignment="1" applyProtection="1" pivotButton="0" quotePrefix="0" xfId="0">
      <alignment horizontal="left" vertical="center" wrapText="1"/>
      <protection locked="0" hidden="0"/>
    </xf>
    <xf numFmtId="165" fontId="0" fillId="0" borderId="0" pivotButton="0" quotePrefix="0" xfId="0"/>
    <xf numFmtId="164" fontId="0" fillId="0" borderId="0" pivotButton="0" quotePrefix="0" xfId="0"/>
    <xf numFmtId="0" fontId="10" fillId="0" borderId="0" pivotButton="0" quotePrefix="0" xfId="0"/>
    <xf numFmtId="0" fontId="9" fillId="0" borderId="0" pivotButton="0" quotePrefix="0" xfId="0"/>
    <xf numFmtId="0" fontId="6" fillId="0" borderId="0" pivotButton="0" quotePrefix="0" xfId="0"/>
    <xf numFmtId="164" fontId="6" fillId="0" borderId="0" pivotButton="0" quotePrefix="0" xfId="0"/>
    <xf numFmtId="3" fontId="6" fillId="0" borderId="0" pivotButton="0" quotePrefix="0" xfId="0"/>
    <xf numFmtId="166" fontId="6" fillId="0" borderId="0" pivotButton="0" quotePrefix="0" xfId="0"/>
    <xf numFmtId="164" fontId="10" fillId="0" borderId="0" pivotButton="0" quotePrefix="0" xfId="0"/>
    <xf numFmtId="3" fontId="10" fillId="0" borderId="0" pivotButton="0" quotePrefix="0" xfId="0"/>
    <xf numFmtId="166" fontId="10" fillId="0" borderId="0" pivotButton="0" quotePrefix="0" xfId="0"/>
    <xf numFmtId="164" fontId="9" fillId="0" borderId="0"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2"/>
  <sheetViews>
    <sheetView workbookViewId="0">
      <selection activeCell="A1" sqref="A1"/>
    </sheetView>
  </sheetViews>
  <sheetFormatPr baseColWidth="8" defaultRowHeight="15"/>
  <cols>
    <col width="80" customWidth="1" min="1" max="1"/>
  </cols>
  <sheetData>
    <row r="1">
      <c r="A1" s="9" t="inlineStr">
        <is>
          <t>Checklist APPCC — Prerrequisitos y Controles</t>
        </is>
      </c>
    </row>
    <row r="2">
      <c r="A2" t="inlineStr">
        <is>
          <t>AI Chef Pro · aichef.pro — Restaurante Gastronómico</t>
        </is>
      </c>
    </row>
    <row r="3"/>
    <row r="4">
      <c r="A4" s="10" t="inlineStr">
        <is>
          <t>Instrucciones de uso</t>
        </is>
      </c>
    </row>
    <row r="5">
      <c r="A5" t="inlineStr">
        <is>
          <t>1. Rellena las celdas verdes con tus datos; el resto lo calcula el libro.</t>
        </is>
      </c>
    </row>
    <row r="6">
      <c r="A6" t="inlineStr">
        <is>
          <t>2. Las hojas están protegidas SIN contraseña para que una copia accidental no borre una fórmula.</t>
        </is>
      </c>
    </row>
    <row r="7"/>
    <row r="8">
      <c r="A8" t="inlineStr">
        <is>
          <t>Celdas verdes = campos editables</t>
        </is>
      </c>
    </row>
    <row r="9"/>
    <row r="10">
      <c r="A10" s="11" t="inlineStr">
        <is>
          <t>Para editar la estructura o una celda que no esté en verde: Revisar → Desproteger hoja (no tiene contraseña).</t>
        </is>
      </c>
    </row>
    <row r="11">
      <c r="A11" s="11" t="inlineStr">
        <is>
          <t>Diseñado por John Guerrero — chef y consultor gastronómico desde 2010, en cocina desde los 17 años · johnguerrero.es</t>
        </is>
      </c>
    </row>
    <row r="12">
      <c r="A12" s="11" t="inlineStr">
        <is>
          <t>Versión 2.0 · agosto 2026 · aichef.pro/guia-restaurante-gastronomico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C2"/>
    <mergeCell ref="A1:C1"/>
  </mergeCell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80"/>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60" customWidth="1" min="3" max="3"/>
    <col width="18" customWidth="1" min="4" max="4"/>
    <col width="14" customWidth="1" min="5" max="5"/>
    <col width="14" customWidth="1" min="6" max="6"/>
    <col width="16" customWidth="1" min="7" max="7"/>
    <col width="30" customWidth="1" min="8" max="8"/>
  </cols>
  <sheetData>
    <row r="1" ht="30" customHeight="1">
      <c r="A1" s="1" t="inlineStr">
        <is>
          <t>Checklist APPCC — Prerrequisitos y Controles</t>
        </is>
      </c>
    </row>
    <row r="2">
      <c r="A2" s="2" t="inlineStr">
        <is>
          <t>AI Chef Pro · aichef.pro — Restaurante Gastronómico</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Plan L+D</t>
        </is>
      </c>
      <c r="C5" s="5" t="inlineStr">
        <is>
          <t>Programa de limpieza y desinfección por zonas</t>
        </is>
      </c>
      <c r="D5" s="12" t="inlineStr">
        <is>
          <t>Resp. APPCC</t>
        </is>
      </c>
      <c r="E5" s="13" t="n"/>
      <c r="F5" s="12" t="inlineStr">
        <is>
          <t>Pendiente</t>
        </is>
      </c>
      <c r="G5" s="14" t="n">
        <v>0</v>
      </c>
      <c r="H5" s="12" t="n"/>
    </row>
    <row r="6">
      <c r="A6" s="4" t="n">
        <v>2</v>
      </c>
      <c r="B6" s="5" t="inlineStr">
        <is>
          <t>Plan L+D</t>
        </is>
      </c>
      <c r="C6" s="5" t="inlineStr">
        <is>
          <t>Fichas técnicas de productos de limpieza</t>
        </is>
      </c>
      <c r="D6" s="12" t="inlineStr">
        <is>
          <t>Resp. APPCC</t>
        </is>
      </c>
      <c r="E6" s="13" t="n"/>
      <c r="F6" s="12" t="inlineStr">
        <is>
          <t>Pendiente</t>
        </is>
      </c>
      <c r="G6" s="14" t="n">
        <v>0</v>
      </c>
      <c r="H6" s="12" t="n"/>
    </row>
    <row r="7">
      <c r="A7" s="4" t="n">
        <v>3</v>
      </c>
      <c r="B7" s="5" t="inlineStr">
        <is>
          <t>Plan L+D</t>
        </is>
      </c>
      <c r="C7" s="5" t="inlineStr">
        <is>
          <t>Registro diario de limpieza (cada zona)</t>
        </is>
      </c>
      <c r="D7" s="12" t="inlineStr">
        <is>
          <t>Equipo</t>
        </is>
      </c>
      <c r="E7" s="13" t="n"/>
      <c r="F7" s="12" t="inlineStr">
        <is>
          <t>Pendiente</t>
        </is>
      </c>
      <c r="G7" s="14" t="n">
        <v>0</v>
      </c>
      <c r="H7" s="12" t="n"/>
    </row>
    <row r="8">
      <c r="A8" s="4" t="n">
        <v>4</v>
      </c>
      <c r="B8" s="5" t="inlineStr">
        <is>
          <t>Plan L+D</t>
        </is>
      </c>
      <c r="C8" s="5" t="inlineStr">
        <is>
          <t>Verificación analítica de superficies (trimestral)</t>
        </is>
      </c>
      <c r="D8" s="12" t="inlineStr">
        <is>
          <t>Laboratorio</t>
        </is>
      </c>
      <c r="E8" s="13" t="n"/>
      <c r="F8" s="12" t="inlineStr">
        <is>
          <t>Pendiente</t>
        </is>
      </c>
      <c r="G8" s="14" t="n">
        <v>200</v>
      </c>
      <c r="H8" s="12" t="n"/>
    </row>
    <row r="9">
      <c r="A9" s="4" t="n">
        <v>5</v>
      </c>
      <c r="B9" s="5" t="inlineStr">
        <is>
          <t>Plan L+D</t>
        </is>
      </c>
      <c r="C9" s="5" t="inlineStr">
        <is>
          <t>Protocolo de limpieza de cámaras frigoríficas</t>
        </is>
      </c>
      <c r="D9" s="12" t="inlineStr">
        <is>
          <t>Resp. APPCC</t>
        </is>
      </c>
      <c r="E9" s="13" t="n"/>
      <c r="F9" s="12" t="inlineStr">
        <is>
          <t>Pendiente</t>
        </is>
      </c>
      <c r="G9" s="14" t="n">
        <v>0</v>
      </c>
      <c r="H9" s="12" t="n"/>
    </row>
    <row r="10">
      <c r="A10" s="4" t="n">
        <v>6</v>
      </c>
      <c r="B10" s="5" t="inlineStr">
        <is>
          <t>Control plagas</t>
        </is>
      </c>
      <c r="C10" s="5" t="inlineStr">
        <is>
          <t>Contrato con empresa DDD autorizada</t>
        </is>
      </c>
      <c r="D10" s="12" t="inlineStr">
        <is>
          <t>Gerente</t>
        </is>
      </c>
      <c r="E10" s="13" t="n"/>
      <c r="F10" s="12" t="inlineStr">
        <is>
          <t>Pendiente</t>
        </is>
      </c>
      <c r="G10" s="14" t="n">
        <v>600</v>
      </c>
      <c r="H10" s="12" t="n"/>
    </row>
    <row r="11">
      <c r="A11" s="4" t="n">
        <v>7</v>
      </c>
      <c r="B11" s="5" t="inlineStr">
        <is>
          <t>Control plagas</t>
        </is>
      </c>
      <c r="C11" s="5" t="inlineStr">
        <is>
          <t>Plano con ubicación de dispositivos</t>
        </is>
      </c>
      <c r="D11" s="12" t="inlineStr">
        <is>
          <t>Empresa DDD</t>
        </is>
      </c>
      <c r="E11" s="13" t="n"/>
      <c r="F11" s="12" t="inlineStr">
        <is>
          <t>Pendiente</t>
        </is>
      </c>
      <c r="G11" s="14" t="n">
        <v>0</v>
      </c>
      <c r="H11" s="12" t="n"/>
    </row>
    <row r="12">
      <c r="A12" s="4" t="n">
        <v>8</v>
      </c>
      <c r="B12" s="5" t="inlineStr">
        <is>
          <t>Control plagas</t>
        </is>
      </c>
      <c r="C12" s="5" t="inlineStr">
        <is>
          <t>Registro de visitas e incidencias</t>
        </is>
      </c>
      <c r="D12" s="12" t="inlineStr">
        <is>
          <t>Empresa DDD</t>
        </is>
      </c>
      <c r="E12" s="13" t="n"/>
      <c r="F12" s="12" t="inlineStr">
        <is>
          <t>Pendiente</t>
        </is>
      </c>
      <c r="G12" s="14" t="n">
        <v>0</v>
      </c>
      <c r="H12" s="12" t="n"/>
    </row>
    <row r="13">
      <c r="A13" s="4" t="n">
        <v>9</v>
      </c>
      <c r="B13" s="5" t="inlineStr">
        <is>
          <t>Control plagas</t>
        </is>
      </c>
      <c r="C13" s="5" t="inlineStr">
        <is>
          <t>Mallas antimoscas en ventanas/puertas</t>
        </is>
      </c>
      <c r="D13" s="12" t="inlineStr">
        <is>
          <t>Instalador</t>
        </is>
      </c>
      <c r="E13" s="13" t="n"/>
      <c r="F13" s="12" t="inlineStr">
        <is>
          <t>Pendiente</t>
        </is>
      </c>
      <c r="G13" s="14" t="n">
        <v>300</v>
      </c>
      <c r="H13" s="12" t="n"/>
    </row>
    <row r="14">
      <c r="A14" s="4" t="n">
        <v>10</v>
      </c>
      <c r="B14" s="5" t="inlineStr">
        <is>
          <t>Control agua</t>
        </is>
      </c>
      <c r="C14" s="5" t="inlineStr">
        <is>
          <t>Análisis microbiológico anual del agua</t>
        </is>
      </c>
      <c r="D14" s="12" t="inlineStr">
        <is>
          <t>Laboratorio</t>
        </is>
      </c>
      <c r="E14" s="13" t="n"/>
      <c r="F14" s="12" t="inlineStr">
        <is>
          <t>Pendiente</t>
        </is>
      </c>
      <c r="G14" s="14" t="n">
        <v>150</v>
      </c>
      <c r="H14" s="12" t="n"/>
    </row>
    <row r="15">
      <c r="A15" s="4" t="n">
        <v>11</v>
      </c>
      <c r="B15" s="5" t="inlineStr">
        <is>
          <t>Control agua</t>
        </is>
      </c>
      <c r="C15" s="5" t="inlineStr">
        <is>
          <t>Plan de mantenimiento de grifos y filtros</t>
        </is>
      </c>
      <c r="D15" s="12" t="inlineStr">
        <is>
          <t>Mantenimiento</t>
        </is>
      </c>
      <c r="E15" s="13" t="n"/>
      <c r="F15" s="12" t="inlineStr">
        <is>
          <t>Pendiente</t>
        </is>
      </c>
      <c r="G15" s="14" t="n">
        <v>0</v>
      </c>
      <c r="H15" s="12" t="n"/>
    </row>
    <row r="16">
      <c r="A16" s="4" t="n">
        <v>12</v>
      </c>
      <c r="B16" s="5" t="inlineStr">
        <is>
          <t>Trazabilidad</t>
        </is>
      </c>
      <c r="C16" s="5" t="inlineStr">
        <is>
          <t>Sistema de registro de lotes de proveedores</t>
        </is>
      </c>
      <c r="D16" s="12" t="inlineStr">
        <is>
          <t>Resp. APPCC</t>
        </is>
      </c>
      <c r="E16" s="13" t="n"/>
      <c r="F16" s="12" t="inlineStr">
        <is>
          <t>Pendiente</t>
        </is>
      </c>
      <c r="G16" s="14" t="n">
        <v>0</v>
      </c>
      <c r="H16" s="12" t="n"/>
    </row>
    <row r="17">
      <c r="A17" s="4" t="n">
        <v>13</v>
      </c>
      <c r="B17" s="5" t="inlineStr">
        <is>
          <t>Trazabilidad</t>
        </is>
      </c>
      <c r="C17" s="5" t="inlineStr">
        <is>
          <t>Etiquetado de productos con fecha y lote</t>
        </is>
      </c>
      <c r="D17" s="12" t="inlineStr">
        <is>
          <t>Equipo cocina</t>
        </is>
      </c>
      <c r="E17" s="13" t="n"/>
      <c r="F17" s="12" t="inlineStr">
        <is>
          <t>Pendiente</t>
        </is>
      </c>
      <c r="G17" s="14" t="n">
        <v>100</v>
      </c>
      <c r="H17" s="12" t="n"/>
    </row>
    <row r="18">
      <c r="A18" s="4" t="n">
        <v>14</v>
      </c>
      <c r="B18" s="5" t="inlineStr">
        <is>
          <t>Trazabilidad</t>
        </is>
      </c>
      <c r="C18" s="5" t="inlineStr">
        <is>
          <t>Registro de entradas de mercancía</t>
        </is>
      </c>
      <c r="D18" s="12" t="inlineStr">
        <is>
          <t>Resp. compras</t>
        </is>
      </c>
      <c r="E18" s="13" t="n"/>
      <c r="F18" s="12" t="inlineStr">
        <is>
          <t>Pendiente</t>
        </is>
      </c>
      <c r="G18" s="14" t="n">
        <v>0</v>
      </c>
      <c r="H18" s="12" t="n"/>
    </row>
    <row r="19">
      <c r="A19" s="4" t="n">
        <v>15</v>
      </c>
      <c r="B19" s="5" t="inlineStr">
        <is>
          <t>Trazabilidad</t>
        </is>
      </c>
      <c r="C19" s="5" t="inlineStr">
        <is>
          <t>Sistema FIFO implementado en almacenes</t>
        </is>
      </c>
      <c r="D19" s="12" t="inlineStr">
        <is>
          <t>Sous Chef</t>
        </is>
      </c>
      <c r="E19" s="13" t="n"/>
      <c r="F19" s="12" t="inlineStr">
        <is>
          <t>Pendiente</t>
        </is>
      </c>
      <c r="G19" s="14" t="n">
        <v>0</v>
      </c>
      <c r="H19" s="12" t="n"/>
    </row>
    <row r="20">
      <c r="A20" s="4" t="n">
        <v>16</v>
      </c>
      <c r="B20" s="5" t="inlineStr">
        <is>
          <t>Trazabilidad</t>
        </is>
      </c>
      <c r="C20" s="5" t="inlineStr">
        <is>
          <t>Registro de descongelación controlada (producto, lote, fecha y responsable)</t>
        </is>
      </c>
      <c r="D20" s="12" t="inlineStr">
        <is>
          <t>Resp. APPCC</t>
        </is>
      </c>
      <c r="E20" s="13" t="n"/>
      <c r="F20" s="12" t="inlineStr">
        <is>
          <t>Pendiente</t>
        </is>
      </c>
      <c r="G20" s="14" t="n"/>
      <c r="H20" s="12" t="inlineStr">
        <is>
          <t>Cierra el círculo del registro de congelación preventiva: sin él no se puede trazar qué lote se sirvió crudo.</t>
        </is>
      </c>
    </row>
    <row r="21">
      <c r="A21" s="4" t="n">
        <v>17</v>
      </c>
      <c r="B21" s="5" t="inlineStr">
        <is>
          <t>Temperaturas</t>
        </is>
      </c>
      <c r="C21" s="5" t="inlineStr">
        <is>
          <t>Termómetros calibrados en todas las cámaras</t>
        </is>
      </c>
      <c r="D21" s="12" t="inlineStr">
        <is>
          <t>Resp. APPCC</t>
        </is>
      </c>
      <c r="E21" s="13" t="n"/>
      <c r="F21" s="12" t="inlineStr">
        <is>
          <t>Pendiente</t>
        </is>
      </c>
      <c r="G21" s="14" t="n">
        <v>200</v>
      </c>
      <c r="H21" s="12" t="n"/>
    </row>
    <row r="22">
      <c r="A22" s="4" t="n">
        <v>18</v>
      </c>
      <c r="B22" s="5" t="inlineStr">
        <is>
          <t>Temperaturas</t>
        </is>
      </c>
      <c r="C22" s="5" t="inlineStr">
        <is>
          <t>Registro de temperaturas 2×/día (cámaras)</t>
        </is>
      </c>
      <c r="D22" s="12" t="inlineStr">
        <is>
          <t>Equipo</t>
        </is>
      </c>
      <c r="E22" s="13" t="n"/>
      <c r="F22" s="12" t="inlineStr">
        <is>
          <t>Pendiente</t>
        </is>
      </c>
      <c r="G22" s="14" t="n">
        <v>0</v>
      </c>
      <c r="H22" s="12" t="n"/>
    </row>
    <row r="23">
      <c r="A23" s="4" t="n">
        <v>19</v>
      </c>
      <c r="B23" s="5" t="inlineStr">
        <is>
          <t>Temperaturas</t>
        </is>
      </c>
      <c r="C23" s="5" t="inlineStr">
        <is>
          <t>Registro de temperaturas de cocción</t>
        </is>
      </c>
      <c r="D23" s="12" t="inlineStr">
        <is>
          <t>Jefes partida</t>
        </is>
      </c>
      <c r="E23" s="13" t="n"/>
      <c r="F23" s="12" t="inlineStr">
        <is>
          <t>Pendiente</t>
        </is>
      </c>
      <c r="G23" s="14" t="n">
        <v>0</v>
      </c>
      <c r="H23" s="12" t="n"/>
    </row>
    <row r="24">
      <c r="A24" s="4" t="n">
        <v>20</v>
      </c>
      <c r="B24" s="5" t="inlineStr">
        <is>
          <t>Temperaturas</t>
        </is>
      </c>
      <c r="C24" s="5" t="inlineStr">
        <is>
          <t>Registro de temperaturas de recepción</t>
        </is>
      </c>
      <c r="D24" s="12" t="inlineStr">
        <is>
          <t>Resp. compras</t>
        </is>
      </c>
      <c r="E24" s="13" t="n"/>
      <c r="F24" s="12" t="inlineStr">
        <is>
          <t>Pendiente</t>
        </is>
      </c>
      <c r="G24" s="14" t="n">
        <v>0</v>
      </c>
      <c r="H24" s="12" t="n"/>
    </row>
    <row r="25">
      <c r="A25" s="4" t="n">
        <v>21</v>
      </c>
      <c r="B25" s="5" t="inlineStr">
        <is>
          <t>Temperaturas</t>
        </is>
      </c>
      <c r="C25" s="5" t="inlineStr">
        <is>
          <t>Protocolo de enfriamiento rápido documentado</t>
        </is>
      </c>
      <c r="D25" s="12" t="inlineStr">
        <is>
          <t>Chef</t>
        </is>
      </c>
      <c r="E25" s="13" t="n"/>
      <c r="F25" s="12" t="inlineStr">
        <is>
          <t>Pendiente</t>
        </is>
      </c>
      <c r="G25" s="14" t="n">
        <v>0</v>
      </c>
      <c r="H25" s="12" t="n"/>
    </row>
    <row r="26">
      <c r="A26" s="4" t="n">
        <v>22</v>
      </c>
      <c r="B26" s="5" t="inlineStr">
        <is>
          <t>Temperaturas</t>
        </is>
      </c>
      <c r="C26" s="5" t="inlineStr">
        <is>
          <t>Termómetro de sonda en cada partida</t>
        </is>
      </c>
      <c r="D26" s="12" t="inlineStr">
        <is>
          <t>Chef</t>
        </is>
      </c>
      <c r="E26" s="13" t="n"/>
      <c r="F26" s="12" t="inlineStr">
        <is>
          <t>Pendiente</t>
        </is>
      </c>
      <c r="G26" s="14" t="n">
        <v>200</v>
      </c>
      <c r="H26" s="12" t="n"/>
    </row>
    <row r="27">
      <c r="A27" s="4" t="n">
        <v>23</v>
      </c>
      <c r="B27" s="5" t="inlineStr">
        <is>
          <t>Temperaturas</t>
        </is>
      </c>
      <c r="C27" s="5" t="inlineStr">
        <is>
          <t>Congelación preventiva (‑20 °C durante al menos 24 h en todo el producto, o ‑35 °C durante 15 h) para pescado de consumo en crudo, marinado, escabechado o en salazón — RD 1021/2022, art. 8.1 (que derogó el RD 1420/2006) y Rgto. (CE) 853/2004, Anexo III, Secc. VIII, Cap. III.D</t>
        </is>
      </c>
      <c r="D27" s="12" t="inlineStr">
        <is>
          <t>Chef</t>
        </is>
      </c>
      <c r="E27" s="13" t="n"/>
      <c r="F27" s="12" t="inlineStr">
        <is>
          <t>Pendiente</t>
        </is>
      </c>
      <c r="G27" s="14" t="n"/>
      <c r="H27" s="12" t="inlineStr">
        <is>
          <t>El cap. 8 sitúa ceviches y tartares en el cuarto frío y el cap. 22 promociona los crudos: esto es obligatorio, no opcional. El binomio legal son 24 h a ‑20 °C EN TODO EL PRODUCTO (art. 8.1 del RD 1021/2022, que derogó el RD 1420/2006, y anexo III, secc. VIII, cap. III.D del Rgto. (CE) 853/2004); los «5 días» son la recomendación para congeladores DOMÉSTICOS, que no garantizan esa temperatura. Si tu abatidor no la certifica, usa un margen mayor y dilo por escrito como margen propio, no como requisito legal. La congelación puede haberla hecho el proveedor si está justificado documentalmente (art. 8.1): guarda ese justificante. Sin importe tasado en la guía: pide presupuesto y escríbelo aquí (la celda es editable y el TOTAL se recalcula).</t>
        </is>
      </c>
    </row>
    <row r="28">
      <c r="A28" s="4" t="n">
        <v>24</v>
      </c>
      <c r="B28" s="5" t="inlineStr">
        <is>
          <t>Temperaturas</t>
        </is>
      </c>
      <c r="C28" s="5" t="inlineStr">
        <is>
          <t>Registro de lotes congelados preventivamente</t>
        </is>
      </c>
      <c r="D28" s="12" t="inlineStr">
        <is>
          <t>Resp. APPCC</t>
        </is>
      </c>
      <c r="E28" s="13" t="n"/>
      <c r="F28" s="12" t="inlineStr">
        <is>
          <t>Pendiente</t>
        </is>
      </c>
      <c r="G28" s="14" t="n"/>
      <c r="H28" s="12" t="inlineStr">
        <is>
          <t>Producto, lote, fecha y hora de entrada y salida del congelador. Es lo que acredita el tratamiento ante la inspección.</t>
        </is>
      </c>
    </row>
    <row r="29">
      <c r="A29" s="4" t="n">
        <v>25</v>
      </c>
      <c r="B29" s="5" t="inlineStr">
        <is>
          <t>Temperaturas</t>
        </is>
      </c>
      <c r="C29" s="5" t="inlineStr">
        <is>
          <t>Información al consumidor de que el pescado ha sido congelado</t>
        </is>
      </c>
      <c r="D29" s="12" t="inlineStr">
        <is>
          <t>Maître</t>
        </is>
      </c>
      <c r="E29" s="13" t="n"/>
      <c r="F29" s="12" t="inlineStr">
        <is>
          <t>Pendiente</t>
        </is>
      </c>
      <c r="G29" s="14" t="n"/>
      <c r="H29" s="12" t="inlineStr">
        <is>
          <t>En carta, en el menú degustación y en el discurso de sala.</t>
        </is>
      </c>
    </row>
    <row r="30">
      <c r="A30" s="4" t="n">
        <v>26</v>
      </c>
      <c r="B30" s="5" t="inlineStr">
        <is>
          <t>Temperaturas</t>
        </is>
      </c>
      <c r="C30" s="5" t="inlineStr">
        <is>
          <t>Verificación anual de la calibración de termómetros y sondas, con certificado</t>
        </is>
      </c>
      <c r="D30" s="12" t="inlineStr">
        <is>
          <t>Resp. APPCC</t>
        </is>
      </c>
      <c r="E30" s="13" t="n"/>
      <c r="F30" s="12" t="inlineStr">
        <is>
          <t>Pendiente</t>
        </is>
      </c>
      <c r="G30" s="14" t="n"/>
      <c r="H30" s="12" t="inlineStr">
        <is>
          <t>El checklist ya pedía termómetros calibrados, pero no el certificado que lo demuestra. Sin importe tasado en la guía: pide presupuesto y escríbelo aquí (la celda es editable y el TOTAL se recalcula).</t>
        </is>
      </c>
    </row>
    <row r="31">
      <c r="A31" s="4" t="n">
        <v>27</v>
      </c>
      <c r="B31" s="5" t="inlineStr">
        <is>
          <t>Alérgenos</t>
        </is>
      </c>
      <c r="C31" s="5" t="inlineStr">
        <is>
          <t>Carta de alérgenos actualizada (14 obligatorios)</t>
        </is>
      </c>
      <c r="D31" s="12" t="inlineStr">
        <is>
          <t>Chef</t>
        </is>
      </c>
      <c r="E31" s="13" t="n"/>
      <c r="F31" s="12" t="inlineStr">
        <is>
          <t>Pendiente</t>
        </is>
      </c>
      <c r="G31" s="14" t="n">
        <v>0</v>
      </c>
      <c r="H31" s="12" t="n"/>
    </row>
    <row r="32">
      <c r="A32" s="4" t="n">
        <v>28</v>
      </c>
      <c r="B32" s="5" t="inlineStr">
        <is>
          <t>Alérgenos</t>
        </is>
      </c>
      <c r="C32" s="5" t="inlineStr">
        <is>
          <t>Ficha técnica de cada plato con alérgenos</t>
        </is>
      </c>
      <c r="D32" s="12" t="inlineStr">
        <is>
          <t>Chef</t>
        </is>
      </c>
      <c r="E32" s="13" t="n"/>
      <c r="F32" s="12" t="inlineStr">
        <is>
          <t>Pendiente</t>
        </is>
      </c>
      <c r="G32" s="14" t="n">
        <v>0</v>
      </c>
      <c r="H32" s="12" t="n"/>
    </row>
    <row r="33">
      <c r="A33" s="4" t="n">
        <v>29</v>
      </c>
      <c r="B33" s="5" t="inlineStr">
        <is>
          <t>Alérgenos</t>
        </is>
      </c>
      <c r="C33" s="5" t="inlineStr">
        <is>
          <t>Formación del personal en alérgenos</t>
        </is>
      </c>
      <c r="D33" s="12" t="inlineStr">
        <is>
          <t>Resp. APPCC</t>
        </is>
      </c>
      <c r="E33" s="13" t="n"/>
      <c r="F33" s="12" t="inlineStr">
        <is>
          <t>Pendiente</t>
        </is>
      </c>
      <c r="G33" s="14" t="n">
        <v>200</v>
      </c>
      <c r="H33" s="12" t="n"/>
    </row>
    <row r="34">
      <c r="A34" s="4" t="n">
        <v>30</v>
      </c>
      <c r="B34" s="5" t="inlineStr">
        <is>
          <t>Alérgenos</t>
        </is>
      </c>
      <c r="C34" s="5" t="inlineStr">
        <is>
          <t>Protocolo de gestión de alergia en servicio</t>
        </is>
      </c>
      <c r="D34" s="12" t="inlineStr">
        <is>
          <t>Maître</t>
        </is>
      </c>
      <c r="E34" s="13" t="n"/>
      <c r="F34" s="12" t="inlineStr">
        <is>
          <t>Pendiente</t>
        </is>
      </c>
      <c r="G34" s="14" t="n">
        <v>0</v>
      </c>
      <c r="H34" s="12" t="n"/>
    </row>
    <row r="35">
      <c r="A35" s="4" t="n">
        <v>31</v>
      </c>
      <c r="B35" s="5" t="inlineStr">
        <is>
          <t>Alérgenos</t>
        </is>
      </c>
      <c r="C35" s="5" t="inlineStr">
        <is>
          <t>Señalización visible en carta/menú</t>
        </is>
      </c>
      <c r="D35" s="12" t="inlineStr">
        <is>
          <t>Diseñador</t>
        </is>
      </c>
      <c r="E35" s="13" t="n"/>
      <c r="F35" s="12" t="inlineStr">
        <is>
          <t>Pendiente</t>
        </is>
      </c>
      <c r="G35" s="14" t="n">
        <v>100</v>
      </c>
      <c r="H35" s="12" t="n"/>
    </row>
    <row r="36">
      <c r="A36" s="4" t="n">
        <v>32</v>
      </c>
      <c r="B36" s="5" t="inlineStr">
        <is>
          <t>Formación</t>
        </is>
      </c>
      <c r="C36" s="5" t="inlineStr">
        <is>
          <t>Certificado manipulador alimentos (todo el equipo)</t>
        </is>
      </c>
      <c r="D36" s="12" t="inlineStr">
        <is>
          <t>RRHH</t>
        </is>
      </c>
      <c r="E36" s="13" t="n"/>
      <c r="F36" s="12" t="inlineStr">
        <is>
          <t>Pendiente</t>
        </is>
      </c>
      <c r="G36" s="14" t="n">
        <v>500</v>
      </c>
      <c r="H36" s="12" t="n"/>
    </row>
    <row r="37">
      <c r="A37" s="4" t="n">
        <v>33</v>
      </c>
      <c r="B37" s="5" t="inlineStr">
        <is>
          <t>Formación</t>
        </is>
      </c>
      <c r="C37" s="5" t="inlineStr">
        <is>
          <t>Formación inicial APPCC para nuevas incorporaciones</t>
        </is>
      </c>
      <c r="D37" s="12" t="inlineStr">
        <is>
          <t>Resp. APPCC</t>
        </is>
      </c>
      <c r="E37" s="13" t="n"/>
      <c r="F37" s="12" t="inlineStr">
        <is>
          <t>Pendiente</t>
        </is>
      </c>
      <c r="G37" s="14" t="n">
        <v>0</v>
      </c>
      <c r="H37" s="12" t="n"/>
    </row>
    <row r="38">
      <c r="A38" s="4" t="n">
        <v>34</v>
      </c>
      <c r="B38" s="5" t="inlineStr">
        <is>
          <t>Formación</t>
        </is>
      </c>
      <c r="C38" s="5" t="inlineStr">
        <is>
          <t>Reciclaje anual de formación en higiene</t>
        </is>
      </c>
      <c r="D38" s="12" t="inlineStr">
        <is>
          <t>Resp. APPCC</t>
        </is>
      </c>
      <c r="E38" s="13" t="n"/>
      <c r="F38" s="12" t="inlineStr">
        <is>
          <t>Pendiente</t>
        </is>
      </c>
      <c r="G38" s="14" t="n">
        <v>200</v>
      </c>
      <c r="H38" s="12" t="n"/>
    </row>
    <row r="39">
      <c r="A39" s="4" t="n">
        <v>35</v>
      </c>
      <c r="B39" s="5" t="inlineStr">
        <is>
          <t>Formación</t>
        </is>
      </c>
      <c r="C39" s="5" t="inlineStr">
        <is>
          <t>Registro de asistencia a formaciones</t>
        </is>
      </c>
      <c r="D39" s="12" t="inlineStr">
        <is>
          <t>RRHH</t>
        </is>
      </c>
      <c r="E39" s="13" t="n"/>
      <c r="F39" s="12" t="inlineStr">
        <is>
          <t>Pendiente</t>
        </is>
      </c>
      <c r="G39" s="14" t="n">
        <v>0</v>
      </c>
      <c r="H39" s="12" t="n"/>
    </row>
    <row r="40">
      <c r="A40" s="4" t="n">
        <v>36</v>
      </c>
      <c r="B40" s="5" t="inlineStr">
        <is>
          <t>Proveedores</t>
        </is>
      </c>
      <c r="C40" s="5" t="inlineStr">
        <is>
          <t>Homologación de proveedores (registro sanitario)</t>
        </is>
      </c>
      <c r="D40" s="12" t="inlineStr">
        <is>
          <t>Resp. compras</t>
        </is>
      </c>
      <c r="E40" s="13" t="n"/>
      <c r="F40" s="12" t="inlineStr">
        <is>
          <t>Pendiente</t>
        </is>
      </c>
      <c r="G40" s="14" t="n">
        <v>0</v>
      </c>
      <c r="H40" s="12" t="n"/>
    </row>
    <row r="41">
      <c r="A41" s="4" t="n">
        <v>37</v>
      </c>
      <c r="B41" s="5" t="inlineStr">
        <is>
          <t>Proveedores</t>
        </is>
      </c>
      <c r="C41" s="5" t="inlineStr">
        <is>
          <t>Fichas técnicas de materias primas</t>
        </is>
      </c>
      <c r="D41" s="12" t="inlineStr">
        <is>
          <t>Resp. compras</t>
        </is>
      </c>
      <c r="E41" s="13" t="n"/>
      <c r="F41" s="12" t="inlineStr">
        <is>
          <t>Pendiente</t>
        </is>
      </c>
      <c r="G41" s="14" t="n">
        <v>0</v>
      </c>
      <c r="H41" s="12" t="n"/>
    </row>
    <row r="42">
      <c r="A42" s="4" t="n">
        <v>38</v>
      </c>
      <c r="B42" s="5" t="inlineStr">
        <is>
          <t>Proveedores</t>
        </is>
      </c>
      <c r="C42" s="5" t="inlineStr">
        <is>
          <t>Evaluación anual de proveedores</t>
        </is>
      </c>
      <c r="D42" s="12" t="inlineStr">
        <is>
          <t>Chef</t>
        </is>
      </c>
      <c r="E42" s="13" t="n"/>
      <c r="F42" s="12" t="inlineStr">
        <is>
          <t>Pendiente</t>
        </is>
      </c>
      <c r="G42" s="14" t="n">
        <v>0</v>
      </c>
      <c r="H42" s="12" t="n"/>
    </row>
    <row r="43">
      <c r="A43" s="4" t="n">
        <v>39</v>
      </c>
      <c r="B43" s="5" t="inlineStr">
        <is>
          <t>Proveedores</t>
        </is>
      </c>
      <c r="C43" s="5" t="inlineStr">
        <is>
          <t>Condiciones de entrega y temperatura pactadas</t>
        </is>
      </c>
      <c r="D43" s="12" t="inlineStr">
        <is>
          <t>Resp. compras</t>
        </is>
      </c>
      <c r="E43" s="13" t="n"/>
      <c r="F43" s="12" t="inlineStr">
        <is>
          <t>Pendiente</t>
        </is>
      </c>
      <c r="G43" s="14" t="n">
        <v>0</v>
      </c>
      <c r="H43" s="12" t="n"/>
    </row>
    <row r="44">
      <c r="A44" s="4" t="n">
        <v>40</v>
      </c>
      <c r="B44" s="5" t="inlineStr">
        <is>
          <t>Residuos</t>
        </is>
      </c>
      <c r="C44" s="5" t="inlineStr">
        <is>
          <t>Contrato de gestión de residuos (aceite, orgánico)</t>
        </is>
      </c>
      <c r="D44" s="12" t="inlineStr">
        <is>
          <t>Gerente</t>
        </is>
      </c>
      <c r="E44" s="13" t="n"/>
      <c r="F44" s="12" t="inlineStr">
        <is>
          <t>Pendiente</t>
        </is>
      </c>
      <c r="G44" s="14" t="n">
        <v>400</v>
      </c>
      <c r="H44" s="12" t="n"/>
    </row>
    <row r="45">
      <c r="A45" s="4" t="n">
        <v>41</v>
      </c>
      <c r="B45" s="5" t="inlineStr">
        <is>
          <t>Residuos</t>
        </is>
      </c>
      <c r="C45" s="5" t="inlineStr">
        <is>
          <t>Contenedores separados (orgánico, vidrio, cartón, aceite)</t>
        </is>
      </c>
      <c r="D45" s="12" t="inlineStr">
        <is>
          <t>Resp. APPCC</t>
        </is>
      </c>
      <c r="E45" s="13" t="n"/>
      <c r="F45" s="12" t="inlineStr">
        <is>
          <t>Pendiente</t>
        </is>
      </c>
      <c r="G45" s="14" t="n">
        <v>200</v>
      </c>
      <c r="H45" s="12" t="n"/>
    </row>
    <row r="46">
      <c r="A46" s="4" t="n">
        <v>42</v>
      </c>
      <c r="B46" s="5" t="inlineStr">
        <is>
          <t>Residuos</t>
        </is>
      </c>
      <c r="C46" s="5" t="inlineStr">
        <is>
          <t>Registro de retirada de aceite usado</t>
        </is>
      </c>
      <c r="D46" s="12" t="inlineStr">
        <is>
          <t>Resp. APPCC</t>
        </is>
      </c>
      <c r="E46" s="13" t="n"/>
      <c r="F46" s="12" t="inlineStr">
        <is>
          <t>Pendiente</t>
        </is>
      </c>
      <c r="G46" s="14" t="n">
        <v>0</v>
      </c>
      <c r="H46" s="12" t="n"/>
    </row>
    <row r="47">
      <c r="A47" s="4" t="n">
        <v>43</v>
      </c>
      <c r="B47" s="5" t="inlineStr">
        <is>
          <t>PCC</t>
        </is>
      </c>
      <c r="C47" s="5" t="inlineStr">
        <is>
          <t>Identificación de todos los PCC del proceso</t>
        </is>
      </c>
      <c r="D47" s="12" t="inlineStr">
        <is>
          <t>Resp. APPCC</t>
        </is>
      </c>
      <c r="E47" s="13" t="n"/>
      <c r="F47" s="12" t="inlineStr">
        <is>
          <t>Pendiente</t>
        </is>
      </c>
      <c r="G47" s="14" t="n">
        <v>0</v>
      </c>
      <c r="H47" s="12" t="n"/>
    </row>
    <row r="48">
      <c r="A48" s="4" t="n">
        <v>44</v>
      </c>
      <c r="B48" s="5" t="inlineStr">
        <is>
          <t>PCC</t>
        </is>
      </c>
      <c r="C48" s="5" t="inlineStr">
        <is>
          <t>Límites críticos definidos para cada PCC</t>
        </is>
      </c>
      <c r="D48" s="12" t="inlineStr">
        <is>
          <t>Resp. APPCC</t>
        </is>
      </c>
      <c r="E48" s="13" t="n"/>
      <c r="F48" s="12" t="inlineStr">
        <is>
          <t>Pendiente</t>
        </is>
      </c>
      <c r="G48" s="14" t="n">
        <v>0</v>
      </c>
      <c r="H48" s="12" t="n"/>
    </row>
    <row r="49">
      <c r="A49" s="4" t="n">
        <v>45</v>
      </c>
      <c r="B49" s="5" t="inlineStr">
        <is>
          <t>PCC</t>
        </is>
      </c>
      <c r="C49" s="5" t="inlineStr">
        <is>
          <t>Acciones correctivas documentadas</t>
        </is>
      </c>
      <c r="D49" s="12" t="inlineStr">
        <is>
          <t>Resp. APPCC</t>
        </is>
      </c>
      <c r="E49" s="13" t="n"/>
      <c r="F49" s="12" t="inlineStr">
        <is>
          <t>Pendiente</t>
        </is>
      </c>
      <c r="G49" s="14" t="n">
        <v>0</v>
      </c>
      <c r="H49" s="12" t="n"/>
    </row>
    <row r="50">
      <c r="A50" s="4" t="n">
        <v>46</v>
      </c>
      <c r="B50" s="5" t="inlineStr">
        <is>
          <t>PCC</t>
        </is>
      </c>
      <c r="C50" s="5" t="inlineStr">
        <is>
          <t>Verificación mensual del sistema APPCC</t>
        </is>
      </c>
      <c r="D50" s="12" t="inlineStr">
        <is>
          <t>Resp. APPCC</t>
        </is>
      </c>
      <c r="E50" s="13" t="n"/>
      <c r="F50" s="12" t="inlineStr">
        <is>
          <t>Pendiente</t>
        </is>
      </c>
      <c r="G50" s="14" t="n">
        <v>0</v>
      </c>
      <c r="H50" s="12" t="n"/>
    </row>
    <row r="51">
      <c r="A51" s="4" t="n">
        <v>47</v>
      </c>
      <c r="B51" s="5" t="inlineStr">
        <is>
          <t>Documentación</t>
        </is>
      </c>
      <c r="C51" s="5" t="inlineStr">
        <is>
          <t>Manual APPCC completo y actualizado</t>
        </is>
      </c>
      <c r="D51" s="12" t="inlineStr">
        <is>
          <t>Resp. APPCC</t>
        </is>
      </c>
      <c r="E51" s="13" t="n"/>
      <c r="F51" s="12" t="inlineStr">
        <is>
          <t>Pendiente</t>
        </is>
      </c>
      <c r="G51" s="14" t="n">
        <v>0</v>
      </c>
      <c r="H51" s="12" t="n"/>
    </row>
    <row r="52">
      <c r="A52" s="4" t="n">
        <v>48</v>
      </c>
      <c r="B52" s="5" t="inlineStr">
        <is>
          <t>Documentación</t>
        </is>
      </c>
      <c r="C52" s="5" t="inlineStr">
        <is>
          <t>Cuaderno de registros diarios accesible</t>
        </is>
      </c>
      <c r="D52" s="12" t="inlineStr">
        <is>
          <t>Equipo</t>
        </is>
      </c>
      <c r="E52" s="13" t="n"/>
      <c r="F52" s="12" t="inlineStr">
        <is>
          <t>Pendiente</t>
        </is>
      </c>
      <c r="G52" s="14" t="n">
        <v>50</v>
      </c>
      <c r="H52" s="12" t="n"/>
    </row>
    <row r="53">
      <c r="A53" s="4" t="n">
        <v>49</v>
      </c>
      <c r="B53" s="5" t="inlineStr">
        <is>
          <t>Documentación</t>
        </is>
      </c>
      <c r="C53" s="5" t="inlineStr">
        <is>
          <t>Archivo de incidencias y acciones correctivas</t>
        </is>
      </c>
      <c r="D53" s="12" t="inlineStr">
        <is>
          <t>Resp. APPCC</t>
        </is>
      </c>
      <c r="E53" s="13" t="n"/>
      <c r="F53" s="12" t="inlineStr">
        <is>
          <t>Pendiente</t>
        </is>
      </c>
      <c r="G53" s="14" t="n">
        <v>0</v>
      </c>
      <c r="H53" s="12" t="n"/>
    </row>
    <row r="54">
      <c r="A54" s="4" t="n">
        <v>50</v>
      </c>
      <c r="B54" s="5" t="inlineStr">
        <is>
          <t>Documentación</t>
        </is>
      </c>
      <c r="C54" s="5" t="inlineStr">
        <is>
          <t>Plan de autocontrol presentado a la CCAA</t>
        </is>
      </c>
      <c r="D54" s="12" t="inlineStr">
        <is>
          <t>Resp. APPCC</t>
        </is>
      </c>
      <c r="E54" s="13" t="n"/>
      <c r="F54" s="12" t="inlineStr">
        <is>
          <t>Pendiente</t>
        </is>
      </c>
      <c r="G54" s="14" t="n">
        <v>0</v>
      </c>
      <c r="H54" s="12" t="n"/>
    </row>
    <row r="55">
      <c r="A55" s="4" t="n">
        <v>51</v>
      </c>
      <c r="B55" s="5" t="inlineStr">
        <is>
          <t>Baja temperatura y vacío</t>
        </is>
      </c>
      <c r="C55" s="5" t="inlineStr">
        <is>
          <t>Tabla de binomios tiempo‑temperatura validados por producto</t>
        </is>
      </c>
      <c r="D55" s="12" t="inlineStr">
        <is>
          <t>Chef</t>
        </is>
      </c>
      <c r="E55" s="13" t="n"/>
      <c r="F55" s="12" t="inlineStr">
        <is>
          <t>Pendiente</t>
        </is>
      </c>
      <c r="G55" s="14" t="n"/>
      <c r="H55" s="12" t="inlineStr">
        <is>
          <t>El checklist de equipamiento presupuesta envasadora (2.500 €) y roner (1.500 €) y el bloque PCC no tenía un solo binomio. Es lo primero que pide un inspector en una cocina con roner.</t>
        </is>
      </c>
    </row>
    <row r="56">
      <c r="A56" s="4" t="n">
        <v>52</v>
      </c>
      <c r="B56" s="5" t="inlineStr">
        <is>
          <t>Baja temperatura y vacío</t>
        </is>
      </c>
      <c r="C56" s="5" t="inlineStr">
        <is>
          <t>Registro de sonda por lote en cada cocción a baja temperatura</t>
        </is>
      </c>
      <c r="D56" s="12" t="inlineStr">
        <is>
          <t>Jefes partida</t>
        </is>
      </c>
      <c r="E56" s="13" t="n"/>
      <c r="F56" s="12" t="inlineStr">
        <is>
          <t>Pendiente</t>
        </is>
      </c>
      <c r="G56" s="14" t="n"/>
      <c r="H56" s="12" t="inlineStr">
        <is>
          <t>Temperatura en el corazón del producto, no la del baño.</t>
        </is>
      </c>
    </row>
    <row r="57">
      <c r="A57" s="4" t="n">
        <v>53</v>
      </c>
      <c r="B57" s="5" t="inlineStr">
        <is>
          <t>Baja temperatura y vacío</t>
        </is>
      </c>
      <c r="C57" s="5" t="inlineStr">
        <is>
          <t>Enfriamiento a &lt;=10 °C en menos de 2 h tras cocción prolongada</t>
        </is>
      </c>
      <c r="D57" s="12" t="inlineStr">
        <is>
          <t>Sous Chef</t>
        </is>
      </c>
      <c r="E57" s="13" t="n"/>
      <c r="F57" s="12" t="inlineStr">
        <is>
          <t>Pendiente</t>
        </is>
      </c>
      <c r="G57" s="14" t="n"/>
      <c r="H57" s="12" t="inlineStr">
        <is>
          <t>Con el abatidor que ya está presupuestado; el registro es lo que falta.</t>
        </is>
      </c>
    </row>
    <row r="58">
      <c r="A58" s="4" t="n">
        <v>54</v>
      </c>
      <c r="B58" s="5" t="inlineStr">
        <is>
          <t>Baja temperatura y vacío</t>
        </is>
      </c>
      <c r="C58" s="5" t="inlineStr">
        <is>
          <t>Etiquetado del envasado al vacío con vida útil justificada</t>
        </is>
      </c>
      <c r="D58" s="12" t="inlineStr">
        <is>
          <t>Resp. APPCC</t>
        </is>
      </c>
      <c r="E58" s="13" t="n"/>
      <c r="F58" s="12" t="inlineStr">
        <is>
          <t>Pendiente</t>
        </is>
      </c>
      <c r="G58" s="14" t="n"/>
      <c r="H58" s="12" t="inlineStr">
        <is>
          <t>«Justificada» quiere decir con el estudio o la referencia que sostiene la fecha, no una fecha a ojo.</t>
        </is>
      </c>
    </row>
    <row r="59">
      <c r="A59" s="4" t="n">
        <v>55</v>
      </c>
      <c r="B59" s="5" t="inlineStr">
        <is>
          <t>Baja temperatura y vacío</t>
        </is>
      </c>
      <c r="C59" s="5" t="inlineStr">
        <is>
          <t>Validación documental del proceso de cocción a baja temperatura y vacío</t>
        </is>
      </c>
      <c r="D59" s="12" t="inlineStr">
        <is>
          <t>Consultor APPCC</t>
        </is>
      </c>
      <c r="E59" s="13" t="n"/>
      <c r="F59" s="12" t="inlineStr">
        <is>
          <t>Pendiente</t>
        </is>
      </c>
      <c r="G59" s="14" t="n"/>
      <c r="H59" s="12" t="inlineStr">
        <is>
          <t>Sin importe tasado en la guía: pide presupuesto y escríbelo aquí (la celda es editable y el TOTAL se recalcula).</t>
        </is>
      </c>
    </row>
    <row r="60">
      <c r="E60" s="15" t="n"/>
      <c r="G60" s="16" t="n"/>
    </row>
    <row r="61">
      <c r="A61" s="17" t="inlineStr">
        <is>
          <t>RESUMEN — lo calcula el libro (v2.0)</t>
        </is>
      </c>
      <c r="B61" s="18" t="n"/>
      <c r="C61" s="18" t="n"/>
      <c r="D61" s="18" t="n"/>
      <c r="E61" s="18" t="n"/>
      <c r="F61" s="18" t="n"/>
      <c r="G61" s="18" t="n"/>
      <c r="H61" s="18" t="n"/>
    </row>
    <row r="62">
      <c r="A62" s="17" t="inlineStr">
        <is>
          <t>TOTAL PRESUPUESTADO (€)</t>
        </is>
      </c>
      <c r="B62" s="18" t="n"/>
      <c r="C62" s="18" t="n"/>
      <c r="D62" s="18" t="n"/>
      <c r="E62" s="18" t="n"/>
      <c r="F62" s="18" t="n"/>
      <c r="G62" s="23">
        <f>SUM(G5:G59)</f>
        <v>3400.0</v>
      </c>
      <c r="H62" s="18" t="n"/>
    </row>
    <row r="63">
      <c r="A63" s="17" t="inlineStr">
        <is>
          <t>Partidas SIN importe (a presupuestar)</t>
        </is>
      </c>
      <c r="B63" s="18" t="n"/>
      <c r="C63" s="18" t="n"/>
      <c r="D63" s="18" t="n"/>
      <c r="E63" s="18" t="n"/>
      <c r="F63" s="18" t="n"/>
      <c r="G63" s="24">
        <f>COUNTIF(B5:B59,"&lt;&gt;")-COUNT(G5:G59)</f>
        <v>10.0</v>
      </c>
      <c r="H63" s="18" t="inlineStr">
        <is>
          <t>El TOTAL de arriba es un SUELO: no incluye estas partidas, que van a presupuestar.</t>
        </is>
      </c>
    </row>
    <row r="64">
      <c r="A64" s="17" t="inlineStr">
        <is>
          <t>Avance del checklist (% completado)</t>
        </is>
      </c>
      <c r="B64" s="18" t="n"/>
      <c r="C64" s="18" t="n"/>
      <c r="D64" s="18" t="n"/>
      <c r="E64" s="18" t="n"/>
      <c r="F64" s="25">
        <f>IFERROR(COUNTIF(F5:F59,"Completado")/COUNTIF(F5:F59,"&lt;&gt;"),"")</f>
        <v>0.0</v>
      </c>
      <c r="G64" s="18" t="inlineStr">
        <is>
          <t>Estado terminal de este checklist: «Completado»</t>
        </is>
      </c>
      <c r="H64" s="18" t="n"/>
    </row>
    <row r="65">
      <c r="A65" s="18" t="n"/>
      <c r="B65" s="18" t="n"/>
      <c r="C65" s="18" t="n"/>
      <c r="D65" s="18" t="n"/>
      <c r="E65" s="18" t="n"/>
      <c r="F65" s="18" t="n"/>
      <c r="G65" s="18" t="n"/>
      <c r="H65" s="18" t="n"/>
    </row>
    <row r="66">
      <c r="A66" s="17" t="inlineStr">
        <is>
          <t>SUBTOTALES POR CATEGORÍA</t>
        </is>
      </c>
      <c r="B66" s="18" t="n"/>
      <c r="C66" s="18" t="n"/>
      <c r="D66" s="18" t="n"/>
      <c r="E66" s="18" t="n"/>
      <c r="F66" s="18" t="n"/>
      <c r="G66" s="18" t="n"/>
      <c r="H66" s="18" t="n"/>
    </row>
    <row r="67">
      <c r="A67" s="18" t="inlineStr">
        <is>
          <t>Plan L+D</t>
        </is>
      </c>
      <c r="B67" s="18" t="n"/>
      <c r="C67" s="18" t="n"/>
      <c r="D67" s="18" t="n"/>
      <c r="E67" s="18" t="n"/>
      <c r="F67" s="18" t="n"/>
      <c r="G67" s="26">
        <f>SUMIF($B$5:$B$59,$A67,$G$5:$G$59)</f>
        <v>200.0</v>
      </c>
      <c r="H67" s="18" t="n"/>
    </row>
    <row r="68">
      <c r="A68" s="18" t="inlineStr">
        <is>
          <t>Control plagas</t>
        </is>
      </c>
      <c r="B68" s="18" t="n"/>
      <c r="C68" s="18" t="n"/>
      <c r="D68" s="18" t="n"/>
      <c r="E68" s="18" t="n"/>
      <c r="F68" s="18" t="n"/>
      <c r="G68" s="26">
        <f>SUMIF($B$5:$B$59,$A68,$G$5:$G$59)</f>
        <v>900.0</v>
      </c>
      <c r="H68" s="18" t="n"/>
    </row>
    <row r="69">
      <c r="A69" s="18" t="inlineStr">
        <is>
          <t>Control agua</t>
        </is>
      </c>
      <c r="B69" s="18" t="n"/>
      <c r="C69" s="18" t="n"/>
      <c r="D69" s="18" t="n"/>
      <c r="E69" s="18" t="n"/>
      <c r="F69" s="18" t="n"/>
      <c r="G69" s="26">
        <f>SUMIF($B$5:$B$59,$A69,$G$5:$G$59)</f>
        <v>150.0</v>
      </c>
      <c r="H69" s="18" t="n"/>
    </row>
    <row r="70">
      <c r="A70" s="18" t="inlineStr">
        <is>
          <t>Trazabilidad</t>
        </is>
      </c>
      <c r="B70" s="18" t="n"/>
      <c r="C70" s="18" t="n"/>
      <c r="D70" s="18" t="n"/>
      <c r="E70" s="18" t="n"/>
      <c r="F70" s="18" t="n"/>
      <c r="G70" s="26">
        <f>SUMIF($B$5:$B$59,$A70,$G$5:$G$59)</f>
        <v>100.0</v>
      </c>
      <c r="H70" s="18" t="n"/>
    </row>
    <row r="71">
      <c r="A71" s="18" t="inlineStr">
        <is>
          <t>Temperaturas</t>
        </is>
      </c>
      <c r="B71" s="18" t="n"/>
      <c r="C71" s="18" t="n"/>
      <c r="D71" s="18" t="n"/>
      <c r="E71" s="18" t="n"/>
      <c r="F71" s="18" t="n"/>
      <c r="G71" s="26">
        <f>SUMIF($B$5:$B$59,$A71,$G$5:$G$59)</f>
        <v>400.0</v>
      </c>
      <c r="H71" s="18" t="n"/>
    </row>
    <row r="72">
      <c r="A72" s="18" t="inlineStr">
        <is>
          <t>Alérgenos</t>
        </is>
      </c>
      <c r="B72" s="18" t="n"/>
      <c r="C72" s="18" t="n"/>
      <c r="D72" s="18" t="n"/>
      <c r="E72" s="18" t="n"/>
      <c r="F72" s="18" t="n"/>
      <c r="G72" s="26">
        <f>SUMIF($B$5:$B$59,$A72,$G$5:$G$59)</f>
        <v>300.0</v>
      </c>
      <c r="H72" s="18" t="n"/>
    </row>
    <row r="73">
      <c r="A73" s="18" t="inlineStr">
        <is>
          <t>Formación</t>
        </is>
      </c>
      <c r="B73" s="18" t="n"/>
      <c r="C73" s="18" t="n"/>
      <c r="D73" s="18" t="n"/>
      <c r="E73" s="18" t="n"/>
      <c r="F73" s="18" t="n"/>
      <c r="G73" s="26">
        <f>SUMIF($B$5:$B$59,$A73,$G$5:$G$59)</f>
        <v>700.0</v>
      </c>
      <c r="H73" s="18" t="n"/>
    </row>
    <row r="74">
      <c r="A74" s="18" t="inlineStr">
        <is>
          <t>Proveedores</t>
        </is>
      </c>
      <c r="B74" s="18" t="n"/>
      <c r="C74" s="18" t="n"/>
      <c r="D74" s="18" t="n"/>
      <c r="E74" s="18" t="n"/>
      <c r="F74" s="18" t="n"/>
      <c r="G74" s="26">
        <f>SUMIF($B$5:$B$59,$A74,$G$5:$G$59)</f>
        <v>0.0</v>
      </c>
      <c r="H74" s="18" t="n"/>
    </row>
    <row r="75">
      <c r="A75" s="18" t="inlineStr">
        <is>
          <t>Residuos</t>
        </is>
      </c>
      <c r="B75" s="18" t="n"/>
      <c r="C75" s="18" t="n"/>
      <c r="D75" s="18" t="n"/>
      <c r="E75" s="18" t="n"/>
      <c r="F75" s="18" t="n"/>
      <c r="G75" s="26">
        <f>SUMIF($B$5:$B$59,$A75,$G$5:$G$59)</f>
        <v>600.0</v>
      </c>
      <c r="H75" s="18" t="n"/>
    </row>
    <row r="76">
      <c r="A76" s="18" t="inlineStr">
        <is>
          <t>PCC</t>
        </is>
      </c>
      <c r="B76" s="18" t="n"/>
      <c r="C76" s="18" t="n"/>
      <c r="D76" s="18" t="n"/>
      <c r="E76" s="18" t="n"/>
      <c r="F76" s="18" t="n"/>
      <c r="G76" s="26">
        <f>SUMIF($B$5:$B$59,$A76,$G$5:$G$59)</f>
        <v>0.0</v>
      </c>
      <c r="H76" s="18" t="n"/>
    </row>
    <row r="77">
      <c r="A77" s="18" t="inlineStr">
        <is>
          <t>Documentación</t>
        </is>
      </c>
      <c r="B77" s="18" t="n"/>
      <c r="C77" s="18" t="n"/>
      <c r="D77" s="18" t="n"/>
      <c r="E77" s="18" t="n"/>
      <c r="F77" s="18" t="n"/>
      <c r="G77" s="26">
        <f>SUMIF($B$5:$B$59,$A77,$G$5:$G$59)</f>
        <v>50.0</v>
      </c>
      <c r="H77" s="18" t="n"/>
    </row>
    <row r="78">
      <c r="A78" s="18" t="inlineStr">
        <is>
          <t>Baja temperatura y vacío</t>
        </is>
      </c>
      <c r="B78" s="18" t="n"/>
      <c r="C78" s="18" t="n"/>
      <c r="D78" s="18" t="n"/>
      <c r="E78" s="18" t="n"/>
      <c r="F78" s="18" t="n"/>
      <c r="G78" s="26">
        <f>SUMIF($B$5:$B$59,$A78,$G$5:$G$59)</f>
        <v>0.0</v>
      </c>
      <c r="H78" s="18" t="n"/>
    </row>
    <row r="79">
      <c r="A79" s="18" t="n"/>
      <c r="B79" s="18" t="n"/>
      <c r="C79" s="18" t="n"/>
      <c r="D79" s="18" t="n"/>
      <c r="E79" s="18" t="n"/>
      <c r="F79" s="18" t="n"/>
      <c r="G79" s="18" t="n"/>
      <c r="H79" s="18" t="n"/>
    </row>
    <row r="80">
      <c r="A80" s="18" t="inlineStr">
        <is>
          <t>AI Chef Pro · aichef.pro — Restaurante Gastronómico</t>
        </is>
      </c>
    </row>
  </sheetData>
  <sheetProtection selectLockedCells="0" selectUnlockedCells="0" sheet="1" objects="0" insertRows="0" insertHyperlinks="1" autoFilter="1" scenarios="0" formatColumns="0" deleteColumns="1" insertColumns="1" pivotTables="1" deleteRows="1" formatCells="1" formatRows="0" sort="0"/>
  <autoFilter ref="A4:H4"/>
  <mergeCells count="3">
    <mergeCell ref="A2:H2"/>
    <mergeCell ref="A1:H1"/>
    <mergeCell ref="A80:H80"/>
  </mergeCells>
  <conditionalFormatting sqref="F5:F59">
    <cfRule type="cellIs" priority="2" operator="equal" dxfId="0" stopIfTrue="1">
      <formula>"Completado"</formula>
    </cfRule>
    <cfRule type="cellIs" priority="3" operator="equal" dxfId="1" stopIfTrue="1">
      <formula>"En Curso"</formula>
    </cfRule>
    <cfRule type="cellIs" priority="4" operator="equal" dxfId="2" stopIfTrue="1">
      <formula>"Pendiente"</formula>
    </cfRule>
  </conditionalFormatting>
  <conditionalFormatting sqref="G63">
    <cfRule type="expression" priority="4" dxfId="1" stopIfTrue="1">
      <formula>=AND(ISNUMBER(G63),G63&gt;0)</formula>
    </cfRule>
  </conditionalFormatting>
  <dataValidations count="3">
    <dataValidation sqref="E5 E6 E7 E8 E9 E10 E11 E12 E13 E14 E15 E16 E17 E18 E19 E20 E21 E22 E23 E24 E25 E26 E27 E28 E29 E30 E31 E32 E33 E34 E35 E36 E37 E38 E39 E40 E41 E42 E43 E44 E45 E46 E47 E48 E49 E50 E51 E52 E53 E54 E55 E56 E57 E58 E59" showDropDown="0" showInputMessage="0" showErrorMessage="1" allowBlank="1" errorTitle="Fecha no válida" error="Escribe una fecha (dd/mm/aaaa) entre 2020 y 2040." type="date" operator="between">
      <formula1>DATE(2020,1,1)</formula1>
      <formula2>DATE(2040,12,31)</formula2>
    </dataValidation>
    <dataValidation sqref="F5 F6 F7 F8 F9 F10 F11 F12 F13 F14 F15 F16 F17 F18 F19 F20 F21 F22 F23 F24 F25 F26 F27 F28 F29 F30 F31 F32 F33 F34 F35 F36 F37 F38 F39 F40 F41 F42 F43 F44 F45 F46 F47 F48 F49 F50 F51 F52 F53 F54 F55 F56 F57 F58 F59" showDropDown="0" showInputMessage="0" showErrorMessage="1" allowBlank="1" errorTitle="Valor no válido" error="Elige un valor de la lista: Pendiente, En Curso, Completado" type="list">
      <formula1>"Pendiente,En Curso,Completado"</formula1>
    </dataValidation>
    <dataValidation sqref="G5 G6 G7 G8 G9 G10 G11 G12 G13 G14 G15 G16 G17 G18 G19 G20 G21 G22 G23 G24 G25 G26 G27 G28 G29 G30 G31 G32 G33 G34 G35 G36 G37 G38 G39 G40 G41 G42 G43 G44 G45 G46 G47 G48 G49 G50 G51 G52 G53 G54 G55 G56 G57 G58 G59"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APPCC — Prerrequisitos y Controles · Cómo Montar un Restaurante Gastronómico 65 Plazas · v2.0</dc:title>
  <dc:description xmlns:dc="http://purl.org/dc/elements/1.1/">aichef.pro/guia-restaurante-gastronomico</dc:description>
  <dc:subject xmlns:dc="http://purl.org/dc/elements/1.1/">Cómo Montar un Restaurante Gastronómico 65 Plazas · v2.0</dc:subject>
  <dcterms:created xmlns:dcterms="http://purl.org/dc/terms/" xmlns:xsi="http://www.w3.org/2001/XMLSchema-instance" xsi:type="dcterms:W3CDTF">2026-04-05T22:25:50Z</dcterms:created>
  <dcterms:modified xmlns:dcterms="http://purl.org/dc/terms/" xmlns:xsi="http://www.w3.org/2001/XMLSchema-instance" xsi:type="dcterms:W3CDTF">2026-08-31T21:57:18Z</dcterms:modified>
  <cp:lastModifiedBy>AI Chef Pro</cp:lastModifiedBy>
  <cp:category>AI Chef Pro · Productos digitales</cp:category>
  <cp:keywords>guia restaurante gastronomico, AI Chef Pro</cp:keywords>
</cp:coreProperties>
</file>