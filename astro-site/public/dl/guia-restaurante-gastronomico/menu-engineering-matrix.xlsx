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Menu Engineering" sheetId="2" state="visible" r:id="rId2"/>
  </sheets>
  <definedNames>
    <definedName name="_xlnm.Print_Titles" localSheetId="1">'Menu Engineering'!$4:$4</definedName>
  </definedNames>
  <calcPr calcId="124519" fullCalcOnLoad="1"/>
</workbook>
</file>

<file path=xl/styles.xml><?xml version="1.0" encoding="utf-8"?>
<styleSheet xmlns="http://schemas.openxmlformats.org/spreadsheetml/2006/main">
  <numFmts count="2">
    <numFmt numFmtId="164" formatCode="#,##0.00 €"/>
    <numFmt numFmtId="165" formatCode="0.0%"/>
  </numFmts>
  <fonts count="10">
    <font>
      <name val="Calibri"/>
      <family val="2"/>
      <color theme="1"/>
      <sz val="11"/>
      <scheme val="minor"/>
    </font>
    <font>
      <name val="Calibri"/>
      <b val="1"/>
      <color rgb="00FFD700"/>
      <sz val="16"/>
    </font>
    <font>
      <name val="Calibri"/>
      <i val="1"/>
      <color rgb="00888888"/>
      <sz val="11"/>
    </font>
    <font>
      <name val="Calibri"/>
      <b val="1"/>
      <color rgb="00FFD700"/>
      <sz val="12"/>
    </font>
    <font>
      <name val="Calibri"/>
      <sz val="11"/>
    </font>
    <font>
      <name val="Calibri"/>
      <b val="1"/>
      <color rgb="00FFFFFF"/>
      <sz val="11"/>
    </font>
    <font>
      <name val="Calibri"/>
      <b val="1"/>
      <color rgb="001565C0"/>
      <sz val="11"/>
    </font>
    <font>
      <b val="1"/>
      <color theme="1"/>
      <sz val="11"/>
    </font>
    <font/>
    <font>
      <b val="1"/>
    </font>
  </fonts>
  <fills count="5">
    <fill>
      <patternFill/>
    </fill>
    <fill>
      <patternFill patternType="gray125"/>
    </fill>
    <fill>
      <patternFill patternType="solid">
        <fgColor rgb="00E8F5E9"/>
        <bgColor rgb="00E8F5E9"/>
      </patternFill>
    </fill>
    <fill>
      <patternFill patternType="solid">
        <fgColor rgb="002D2D2D"/>
        <bgColor rgb="002D2D2D"/>
      </patternFill>
    </fill>
    <fill>
      <patternFill patternType="solid">
        <f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2" borderId="1" applyAlignment="1" pivotButton="0" quotePrefix="0" xfId="0">
      <alignment horizontal="left" vertical="center" wrapText="1"/>
    </xf>
    <xf numFmtId="164" fontId="4" fillId="2" borderId="1" applyAlignment="1" pivotButton="0" quotePrefix="0" xfId="0">
      <alignment horizontal="left" vertical="center" wrapText="1"/>
    </xf>
    <xf numFmtId="164" fontId="6"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4" fillId="2" borderId="0" applyProtection="1" pivotButton="0" quotePrefix="0" xfId="0">
      <protection locked="0" hidden="0"/>
    </xf>
    <xf numFmtId="0" fontId="4" fillId="2" borderId="0" applyAlignment="1" applyProtection="1" pivotButton="0" quotePrefix="0" xfId="0">
      <alignment horizontal="left" vertical="top"/>
      <protection locked="0" hidden="0"/>
    </xf>
    <xf numFmtId="0" fontId="0" fillId="0" borderId="0" applyAlignment="1" pivotButton="0" quotePrefix="0" xfId="0">
      <alignment horizontal="general" vertical="top" wrapText="1"/>
    </xf>
    <xf numFmtId="0" fontId="4" fillId="4" borderId="1" applyAlignment="1" applyProtection="1" pivotButton="0" quotePrefix="0" xfId="0">
      <alignment horizontal="left" vertical="center" wrapText="1"/>
      <protection locked="0" hidden="0"/>
    </xf>
    <xf numFmtId="3" fontId="4" fillId="4" borderId="1" applyAlignment="1" applyProtection="1" pivotButton="0" quotePrefix="0" xfId="0">
      <alignment horizontal="left" vertical="center" wrapText="1"/>
      <protection locked="0" hidden="0"/>
    </xf>
    <xf numFmtId="164" fontId="4" fillId="4" borderId="1" applyAlignment="1" applyProtection="1" pivotButton="0" quotePrefix="0" xfId="0">
      <alignment horizontal="left" vertical="center" wrapText="1"/>
      <protection locked="0" hidden="0"/>
    </xf>
    <xf numFmtId="165" fontId="6" fillId="0" borderId="1" applyAlignment="1" pivotButton="0" quotePrefix="0" xfId="0">
      <alignment horizontal="center" vertical="center" wrapText="1"/>
    </xf>
    <xf numFmtId="164" fontId="0" fillId="0" borderId="0" pivotButton="0" quotePrefix="0" xfId="0"/>
    <xf numFmtId="165" fontId="0" fillId="0" borderId="0" pivotButton="0" quotePrefix="0" xfId="0"/>
    <xf numFmtId="0" fontId="7" fillId="0" borderId="0" pivotButton="0" quotePrefix="0" xfId="0"/>
    <xf numFmtId="3" fontId="0" fillId="0" borderId="0" pivotButton="0" quotePrefix="0" xfId="0"/>
    <xf numFmtId="3" fontId="7" fillId="0" borderId="0" pivotButton="0" quotePrefix="0" xfId="0"/>
    <xf numFmtId="164" fontId="7" fillId="0" borderId="0" pivotButton="0" quotePrefix="0" xfId="0"/>
    <xf numFmtId="165" fontId="7" fillId="0" borderId="0" pivotButton="0" quotePrefix="0" xfId="0"/>
    <xf numFmtId="9" fontId="0" fillId="4" borderId="0" applyProtection="1" pivotButton="0" quotePrefix="0" xfId="0">
      <protection locked="0" hidden="0"/>
    </xf>
    <xf numFmtId="165" fontId="0" fillId="4" borderId="0" applyProtection="1" pivotButton="0" quotePrefix="0" xfId="0">
      <protection locked="0" hidden="0"/>
    </xf>
    <xf numFmtId="164" fontId="0" fillId="0" borderId="0" applyAlignment="1" pivotButton="0" quotePrefix="0" xfId="0">
      <alignment horizontal="general" vertical="top" wrapText="1"/>
    </xf>
    <xf numFmtId="0" fontId="9" fillId="0" borderId="0" pivotButton="0" quotePrefix="0" xfId="0"/>
    <xf numFmtId="0" fontId="8" fillId="0" borderId="0" pivotButton="0" quotePrefix="0" xfId="0"/>
    <xf numFmtId="3" fontId="8" fillId="0" borderId="0" pivotButton="0" quotePrefix="0" xfId="0"/>
    <xf numFmtId="164" fontId="8" fillId="0" borderId="0" pivotButton="0" quotePrefix="0" xfId="0"/>
    <xf numFmtId="165" fontId="8" fillId="0" borderId="0" pivotButton="0" quotePrefix="0" xfId="0"/>
    <xf numFmtId="3" fontId="9" fillId="0" borderId="0" pivotButton="0" quotePrefix="0" xfId="0"/>
    <xf numFmtId="164" fontId="9" fillId="0" borderId="0" pivotButton="0" quotePrefix="0" xfId="0"/>
    <xf numFmtId="165" fontId="9" fillId="0" borderId="0" pivotButton="0" quotePrefix="0" xfId="0"/>
    <xf numFmtId="9" fontId="8" fillId="4" borderId="0" applyProtection="1" pivotButton="0" quotePrefix="0" xfId="0">
      <protection locked="0" hidden="0"/>
    </xf>
    <xf numFmtId="0" fontId="8" fillId="0" borderId="0" applyAlignment="1" pivotButton="0" quotePrefix="0" xfId="0">
      <alignment horizontal="general" vertical="top" wrapText="1"/>
    </xf>
    <xf numFmtId="165" fontId="8" fillId="4" borderId="0" applyProtection="1" pivotButton="0" quotePrefix="0" xfId="0">
      <protection locked="0" hidden="0"/>
    </xf>
    <xf numFmtId="164" fontId="8" fillId="0" borderId="0" applyAlignment="1" pivotButton="0" quotePrefix="0" xfId="0">
      <alignment horizontal="general" vertical="top" wrapText="1"/>
    </xf>
  </cellXfs>
  <cellStyles count="1">
    <cellStyle name="Normal" xfId="0" builtinId="0" hidden="0"/>
  </cellStyles>
  <dxfs count="3">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C24"/>
  <sheetViews>
    <sheetView workbookViewId="0">
      <selection activeCell="A1" sqref="A1"/>
    </sheetView>
  </sheetViews>
  <sheetFormatPr baseColWidth="8" defaultRowHeight="15"/>
  <cols>
    <col width="80" customWidth="1" min="1" max="1"/>
  </cols>
  <sheetData>
    <row r="1" ht="30" customHeight="1">
      <c r="A1" s="1" t="inlineStr">
        <is>
          <t>Menu Engineering Matrix — Kasavana &amp; Smith</t>
        </is>
      </c>
    </row>
    <row r="2">
      <c r="A2" s="2" t="inlineStr">
        <is>
          <t>AI Chef Pro · aichef.pro — Restaurante Gastronómico</t>
        </is>
      </c>
    </row>
    <row r="3"/>
    <row r="4">
      <c r="A4" s="3" t="inlineStr">
        <is>
          <t>Instrucciones de uso</t>
        </is>
      </c>
    </row>
    <row r="5">
      <c r="A5" s="4" t="inlineStr">
        <is>
          <t>1. Introduce los platos de tu carta con su popularidad y margen.</t>
        </is>
      </c>
    </row>
    <row r="6">
      <c r="A6" s="4" t="inlineStr">
        <is>
          <t>2. La clasificación Stars/Plowhorses/Puzzles/Dogs se calcula automáticamente.</t>
        </is>
      </c>
    </row>
    <row r="7"/>
    <row r="8">
      <c r="A8" s="12" t="inlineStr">
        <is>
          <t>Celdas verdes = campos editables</t>
        </is>
      </c>
    </row>
    <row r="9"/>
    <row r="10">
      <c r="A10" s="12" t="n"/>
    </row>
    <row r="11"/>
    <row r="12">
      <c r="A12" s="12" t="inlineStr">
        <is>
          <t>La columna «Coste (€)» es el «Coste por ración» de la ficha correspondiente de escandallo-maestro.xlsx: cópialo desde su hoja «Resumen». Incluye la merma (la ficha compra en BRUTO), así que no vuelvas a añadirla aquí. Los costes que trae el libro son de EJEMPLO.</t>
        </is>
      </c>
    </row>
    <row r="13"/>
    <row r="14">
      <c r="A14" s="12" t="inlineStr">
        <is>
          <t>La clasificación es automática: Star (alta popularidad y alto margen), Plowhorse (popular pero poco rentable), Puzzle (rentable pero poco pedido) y Dog (ni una cosa ni la otra). La columna «Acción recomendada» dice qué hacer con cada uno.</t>
        </is>
      </c>
    </row>
    <row r="15"/>
    <row r="16">
      <c r="A16" s="12" t="inlineStr">
        <is>
          <t>El umbral de popularidad es 70 % / nº de platos con ventas, y el factor del 70 % es una celda verde por si tu carta es muy corta. El que aparece en el bloque de resumen está calculado sobre la carta ENTERA y es informativo: el que clasifica cada plato es el de su familia, en la columna «Umbral de popularidad de SU familia (%)».</t>
        </is>
      </c>
    </row>
    <row r="17"/>
    <row r="18">
      <c r="A18" s="12" t="inlineStr">
        <is>
          <t>La matriz se aplica DENTRO de cada familia de carta, no sobre toda la tabla: cada plato se compara con el margen medio y con el umbral de popularidad de SU familia (las dos columnas nuevas de la derecha). Por eso un menú degustación de 145 € y un postre de 15 € pueden convivir en la misma hoja sin arrastrarse el uno al otro. La fila TOTAL sigue dando la media de toda la carta, que es la foto de conjunto.</t>
        </is>
      </c>
    </row>
    <row r="19"/>
    <row r="20">
      <c r="A20" s="12" t="inlineStr">
        <is>
          <t>Los precios de la columna «PVP (€)» van SIN IVA, igual que en el resto del producto. La columna «PVP en carta, con IVA (€)» es el precio que ve el comensal, con el tipo del IVA en celda.</t>
        </is>
      </c>
    </row>
    <row r="21"/>
    <row r="22">
      <c r="A22" s="13" t="inlineStr">
        <is>
          <t>Para editar la estructura o una celda que no esté en verde: Revisar → Desproteger hoja (no tiene contraseña).</t>
        </is>
      </c>
    </row>
    <row r="23">
      <c r="A23" s="13" t="inlineStr">
        <is>
          <t>Diseñado por John Guerrero — chef y consultor gastronómico desde 2010, en cocina desde los 17 años · johnguerrero.es</t>
        </is>
      </c>
    </row>
    <row r="24">
      <c r="A24" s="13" t="inlineStr">
        <is>
          <t>Versión 2.0 · agosto 2026 · aichef.pro/guia-restaurante-gastronomico · info@aichef.pro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2:C2"/>
    <mergeCell ref="A1:C1"/>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M42"/>
  <sheetViews>
    <sheetView workbookViewId="0">
      <pane ySplit="4" topLeftCell="A5" activePane="bottomLeft" state="frozen"/>
      <selection pane="bottomLeft" activeCell="A1" sqref="A1"/>
    </sheetView>
  </sheetViews>
  <sheetFormatPr baseColWidth="8" defaultRowHeight="15"/>
  <cols>
    <col width="5" customWidth="1" min="1" max="1"/>
    <col width="56" customWidth="1" min="2" max="2"/>
    <col width="16" customWidth="1" min="3" max="3"/>
    <col width="14" customWidth="1" min="4" max="4"/>
    <col width="12" customWidth="1" min="5" max="5"/>
    <col width="12" customWidth="1" min="6" max="6"/>
    <col width="12" customWidth="1" min="7" max="7"/>
    <col width="21" customWidth="1" min="8" max="8"/>
    <col width="16" customWidth="1" min="9" max="9"/>
    <col width="34" customWidth="1" min="10" max="10"/>
    <col width="32" customWidth="1" min="11" max="11"/>
    <col width="41" customWidth="1" min="12" max="12"/>
    <col width="20" customWidth="1" min="13" max="13"/>
  </cols>
  <sheetData>
    <row r="1" ht="30" customHeight="1">
      <c r="A1" s="1" t="inlineStr">
        <is>
          <t>Menu Engineering Matrix</t>
        </is>
      </c>
    </row>
    <row r="2">
      <c r="A2" s="2" t="inlineStr">
        <is>
          <t>AI Chef Pro · aichef.pro — Restaurante Gastronómico</t>
        </is>
      </c>
    </row>
    <row r="3">
      <c r="E3" s="14" t="inlineStr">
        <is>
          <t>Coste por ración de escandallo-maestro.xlsx</t>
        </is>
      </c>
    </row>
    <row r="4">
      <c r="A4" s="6" t="inlineStr">
        <is>
          <t>#</t>
        </is>
      </c>
      <c r="B4" s="6" t="inlineStr">
        <is>
          <t>Plato</t>
        </is>
      </c>
      <c r="C4" s="6" t="inlineStr">
        <is>
          <t>Categoría</t>
        </is>
      </c>
      <c r="D4" s="6" t="inlineStr">
        <is>
          <t>Uds Vendidas</t>
        </is>
      </c>
      <c r="E4" s="6" t="inlineStr">
        <is>
          <t>Coste (€)</t>
        </is>
      </c>
      <c r="F4" s="6" t="inlineStr">
        <is>
          <t>PVP (€)</t>
        </is>
      </c>
      <c r="G4" s="6" t="inlineStr">
        <is>
          <t>Margen (€)</t>
        </is>
      </c>
      <c r="H4" s="6" t="inlineStr">
        <is>
          <t>Mix % (popularidad)</t>
        </is>
      </c>
      <c r="I4" s="6" t="inlineStr">
        <is>
          <t>Clasificación</t>
        </is>
      </c>
      <c r="J4" s="6" t="inlineStr">
        <is>
          <t>Acción recomendada</t>
        </is>
      </c>
      <c r="K4" s="6" t="inlineStr">
        <is>
          <t>Margen medio de SU familia (€)</t>
        </is>
      </c>
      <c r="L4" s="6" t="inlineStr">
        <is>
          <t>Umbral de popularidad de SU familia (%)</t>
        </is>
      </c>
      <c r="M4" s="6" t="inlineStr">
        <is>
          <t>PVP en carta, con IVA (€)</t>
        </is>
      </c>
    </row>
    <row r="5">
      <c r="A5" s="7" t="n">
        <v>1</v>
      </c>
      <c r="B5" s="15" t="inlineStr">
        <is>
          <t>Tartar de vaca madurada, yema curada y mostaza antigua</t>
        </is>
      </c>
      <c r="C5" s="15" t="inlineStr">
        <is>
          <t>Entrante</t>
        </is>
      </c>
      <c r="D5" s="16" t="n">
        <v>90</v>
      </c>
      <c r="E5" s="17" t="n">
        <v>7.2</v>
      </c>
      <c r="F5" s="17" t="n">
        <v>24</v>
      </c>
      <c r="G5" s="10">
        <f>IFERROR(IF(OR($E5="",$F5=""),"",$F5-$E5),"")</f>
        <v>16.8</v>
      </c>
      <c r="H5" s="18">
        <f>IFERROR(IF(OR($D5="",$C5=""),"",IF(SUMPRODUCT(--($C$5:$C$29=$C5),$D$5:$D$29)=0,"",$D5/SUMPRODUCT(--($C$5:$C$29=$C5),$D$5:$D$29))),"")</f>
        <v>0.26865671641791045</v>
      </c>
      <c r="I5" t="str">
        <f>IF(OR($H5="",$G5="",$K5="",$L5=""),"",IF(AND($H5&gt;=$L5,$G5&gt;=$K5),"Star",IF(AND($H5&gt;=$L5,$G5&lt;$K5),"Plowhorse",IF(AND($H5&lt;$L5,$G5&gt;=$K5),"Puzzle","Dog"))))</f>
        <v>Star</v>
      </c>
      <c r="J5" t="str">
        <f>IF($I5="","",IF($I5="Star","Mantener y destacar en carta",IF($I5="Plowhorse","Subir precio o bajar coste",IF($I5="Puzzle","Promocionar y reubicar en carta","Retirar o rediseñar"))))</f>
        <v>Mantener y destacar en carta</v>
      </c>
      <c r="K5" s="19">
        <f>IFERROR(IF($C5="","",IF(SUMPRODUCT(--($C$5:$C$29=$C5),$D$5:$D$29)=0,"",ROUND(SUMPRODUCT(--($C$5:$C$29=$C5),$D$5:$D$29,$G$5:$G$29),2)/SUMPRODUCT(--($C$5:$C$29=$C5),$D$5:$D$29))),"")</f>
        <v>15.716417910447761</v>
      </c>
      <c r="L5" s="20">
        <f>IFERROR(IF($C5="","",IF(SUMPRODUCT(--($C$5:$C$29=$C5),--($D$5:$D$29&gt;0))=0,"",$I$32/SUMPRODUCT(--($C$5:$C$29=$C5),--($D$5:$D$29&gt;0)))),"")</f>
        <v>0.175</v>
      </c>
      <c r="M5" s="19">
        <f>IFERROR(IF(OR($F5="",$D$33=""),"",$F5*(1+$D$33)),"")</f>
        <v>26.400000000000002</v>
      </c>
    </row>
    <row r="6">
      <c r="A6" s="7" t="n">
        <v>2</v>
      </c>
      <c r="B6" s="15" t="inlineStr">
        <is>
          <t>Gamba roja, su jugo y aceite de cebollino</t>
        </is>
      </c>
      <c r="C6" s="15" t="inlineStr">
        <is>
          <t>Entrante</t>
        </is>
      </c>
      <c r="D6" s="16" t="n">
        <v>75</v>
      </c>
      <c r="E6" s="17" t="n">
        <v>9.800000000000001</v>
      </c>
      <c r="F6" s="17" t="n">
        <v>28</v>
      </c>
      <c r="G6" s="10">
        <f>IFERROR(IF(OR($E6="",$F6=""),"",$F6-$E6),"")</f>
        <v>18.2</v>
      </c>
      <c r="H6" s="18">
        <f>IFERROR(IF(OR($D6="",$C6=""),"",IF(SUMPRODUCT(--($C$5:$C$29=$C6),$D$5:$D$29)=0,"",$D6/SUMPRODUCT(--($C$5:$C$29=$C6),$D$5:$D$29))),"")</f>
        <v>0.22388059701492538</v>
      </c>
      <c r="I6" t="str">
        <f>IF(OR($H6="",$G6="",$K6="",$L6=""),"",IF(AND($H6&gt;=$L6,$G6&gt;=$K6),"Star",IF(AND($H6&gt;=$L6,$G6&lt;$K6),"Plowhorse",IF(AND($H6&lt;$L6,$G6&gt;=$K6),"Puzzle","Dog"))))</f>
        <v>Star</v>
      </c>
      <c r="J6" t="str">
        <f>IF($I6="","",IF($I6="Star","Mantener y destacar en carta",IF($I6="Plowhorse","Subir precio o bajar coste",IF($I6="Puzzle","Promocionar y reubicar en carta","Retirar o rediseñar"))))</f>
        <v>Mantener y destacar en carta</v>
      </c>
      <c r="K6" s="19">
        <f>IFERROR(IF($C6="","",IF(SUMPRODUCT(--($C$5:$C$29=$C6),$D$5:$D$29)=0,"",ROUND(SUMPRODUCT(--($C$5:$C$29=$C6),$D$5:$D$29,$G$5:$G$29),2)/SUMPRODUCT(--($C$5:$C$29=$C6),$D$5:$D$29))),"")</f>
        <v>15.716417910447761</v>
      </c>
      <c r="L6" s="20">
        <f>IFERROR(IF($C6="","",IF(SUMPRODUCT(--($C$5:$C$29=$C6),--($D$5:$D$29&gt;0))=0,"",$I$32/SUMPRODUCT(--($C$5:$C$29=$C6),--($D$5:$D$29&gt;0)))),"")</f>
        <v>0.175</v>
      </c>
      <c r="M6" s="19">
        <f>IFERROR(IF(OR($F6="",$D$33=""),"",$F6*(1+$D$33)),"")</f>
        <v>30.800000000000004</v>
      </c>
    </row>
    <row r="7">
      <c r="A7" s="7" t="n">
        <v>3</v>
      </c>
      <c r="B7" s="15" t="inlineStr">
        <is>
          <t>Alcachofa a la brasa, garum de anchoa y avellana</t>
        </is>
      </c>
      <c r="C7" s="15" t="inlineStr">
        <is>
          <t>Entrante</t>
        </is>
      </c>
      <c r="D7" s="16" t="n">
        <v>110</v>
      </c>
      <c r="E7" s="17" t="n">
        <v>5.2</v>
      </c>
      <c r="F7" s="17" t="n">
        <v>19</v>
      </c>
      <c r="G7" s="10">
        <f>IFERROR(IF(OR($E7="",$F7=""),"",$F7-$E7),"")</f>
        <v>13.8</v>
      </c>
      <c r="H7" s="18">
        <f>IFERROR(IF(OR($D7="",$C7=""),"",IF(SUMPRODUCT(--($C$5:$C$29=$C7),$D$5:$D$29)=0,"",$D7/SUMPRODUCT(--($C$5:$C$29=$C7),$D$5:$D$29))),"")</f>
        <v>0.3283582089552239</v>
      </c>
      <c r="I7" t="str">
        <f>IF(OR($H7="",$G7="",$K7="",$L7=""),"",IF(AND($H7&gt;=$L7,$G7&gt;=$K7),"Star",IF(AND($H7&gt;=$L7,$G7&lt;$K7),"Plowhorse",IF(AND($H7&lt;$L7,$G7&gt;=$K7),"Puzzle","Dog"))))</f>
        <v>Plowhorse</v>
      </c>
      <c r="J7" t="str">
        <f>IF($I7="","",IF($I7="Star","Mantener y destacar en carta",IF($I7="Plowhorse","Subir precio o bajar coste",IF($I7="Puzzle","Promocionar y reubicar en carta","Retirar o rediseñar"))))</f>
        <v>Subir precio o bajar coste</v>
      </c>
      <c r="K7" s="19">
        <f>IFERROR(IF($C7="","",IF(SUMPRODUCT(--($C$5:$C$29=$C7),$D$5:$D$29)=0,"",ROUND(SUMPRODUCT(--($C$5:$C$29=$C7),$D$5:$D$29,$G$5:$G$29),2)/SUMPRODUCT(--($C$5:$C$29=$C7),$D$5:$D$29))),"")</f>
        <v>15.716417910447761</v>
      </c>
      <c r="L7" s="20">
        <f>IFERROR(IF($C7="","",IF(SUMPRODUCT(--($C$5:$C$29=$C7),--($D$5:$D$29&gt;0))=0,"",$I$32/SUMPRODUCT(--($C$5:$C$29=$C7),--($D$5:$D$29&gt;0)))),"")</f>
        <v>0.175</v>
      </c>
      <c r="M7" s="19">
        <f>IFERROR(IF(OR($F7="",$D$33=""),"",$F7*(1+$D$33)),"")</f>
        <v>20.900000000000002</v>
      </c>
    </row>
    <row r="8">
      <c r="A8" s="7" t="n">
        <v>4</v>
      </c>
      <c r="B8" s="15" t="inlineStr">
        <is>
          <t>Ostra, encurtido de manzana y agua de pepino</t>
        </is>
      </c>
      <c r="C8" s="15" t="inlineStr">
        <is>
          <t>Entrante</t>
        </is>
      </c>
      <c r="D8" s="16" t="n">
        <v>60</v>
      </c>
      <c r="E8" s="17" t="n">
        <v>7.5</v>
      </c>
      <c r="F8" s="17" t="n">
        <v>22</v>
      </c>
      <c r="G8" s="10">
        <f>IFERROR(IF(OR($E8="",$F8=""),"",$F8-$E8),"")</f>
        <v>14.5</v>
      </c>
      <c r="H8" s="18">
        <f>IFERROR(IF(OR($D8="",$C8=""),"",IF(SUMPRODUCT(--($C$5:$C$29=$C8),$D$5:$D$29)=0,"",$D8/SUMPRODUCT(--($C$5:$C$29=$C8),$D$5:$D$29))),"")</f>
        <v>0.1791044776119403</v>
      </c>
      <c r="I8" t="str">
        <f>IF(OR($H8="",$G8="",$K8="",$L8=""),"",IF(AND($H8&gt;=$L8,$G8&gt;=$K8),"Star",IF(AND($H8&gt;=$L8,$G8&lt;$K8),"Plowhorse",IF(AND($H8&lt;$L8,$G8&gt;=$K8),"Puzzle","Dog"))))</f>
        <v>Plowhorse</v>
      </c>
      <c r="J8" t="str">
        <f>IF($I8="","",IF($I8="Star","Mantener y destacar en carta",IF($I8="Plowhorse","Subir precio o bajar coste",IF($I8="Puzzle","Promocionar y reubicar en carta","Retirar o rediseñar"))))</f>
        <v>Subir precio o bajar coste</v>
      </c>
      <c r="K8" s="19">
        <f>IFERROR(IF($C8="","",IF(SUMPRODUCT(--($C$5:$C$29=$C8),$D$5:$D$29)=0,"",ROUND(SUMPRODUCT(--($C$5:$C$29=$C8),$D$5:$D$29,$G$5:$G$29),2)/SUMPRODUCT(--($C$5:$C$29=$C8),$D$5:$D$29))),"")</f>
        <v>15.716417910447761</v>
      </c>
      <c r="L8" s="20">
        <f>IFERROR(IF($C8="","",IF(SUMPRODUCT(--($C$5:$C$29=$C8),--($D$5:$D$29&gt;0))=0,"",$I$32/SUMPRODUCT(--($C$5:$C$29=$C8),--($D$5:$D$29&gt;0)))),"")</f>
        <v>0.175</v>
      </c>
      <c r="M8" s="19">
        <f>IFERROR(IF(OR($F8="",$D$33=""),"",$F8*(1+$D$33)),"")</f>
        <v>24.200000000000003</v>
      </c>
    </row>
    <row r="9">
      <c r="A9" s="7" t="n">
        <v>5</v>
      </c>
      <c r="B9" s="15" t="inlineStr">
        <is>
          <t>Merluza de pincho, pil‑pil ligero y algas</t>
        </is>
      </c>
      <c r="C9" s="15" t="inlineStr">
        <is>
          <t>Principal</t>
        </is>
      </c>
      <c r="D9" s="16" t="n">
        <v>95</v>
      </c>
      <c r="E9" s="17" t="n">
        <v>11.9</v>
      </c>
      <c r="F9" s="17" t="n">
        <v>36</v>
      </c>
      <c r="G9" s="10">
        <f>IFERROR(IF(OR($E9="",$F9=""),"",$F9-$E9),"")</f>
        <v>24.1</v>
      </c>
      <c r="H9" s="18">
        <f>IFERROR(IF(OR($D9="",$C9=""),"",IF(SUMPRODUCT(--($C$5:$C$29=$C9),$D$5:$D$29)=0,"",$D9/SUMPRODUCT(--($C$5:$C$29=$C9),$D$5:$D$29))),"")</f>
        <v>0.27941176470588236</v>
      </c>
      <c r="I9" t="str">
        <f>IF(OR($H9="",$G9="",$K9="",$L9=""),"",IF(AND($H9&gt;=$L9,$G9&gt;=$K9),"Star",IF(AND($H9&gt;=$L9,$G9&lt;$K9),"Plowhorse",IF(AND($H9&lt;$L9,$G9&gt;=$K9),"Puzzle","Dog"))))</f>
        <v>Plowhorse</v>
      </c>
      <c r="J9" t="str">
        <f>IF($I9="","",IF($I9="Star","Mantener y destacar en carta",IF($I9="Plowhorse","Subir precio o bajar coste",IF($I9="Puzzle","Promocionar y reubicar en carta","Retirar o rediseñar"))))</f>
        <v>Subir precio o bajar coste</v>
      </c>
      <c r="K9" s="19">
        <f>IFERROR(IF($C9="","",IF(SUMPRODUCT(--($C$5:$C$29=$C9),$D$5:$D$29)=0,"",ROUND(SUMPRODUCT(--($C$5:$C$29=$C9),$D$5:$D$29,$G$5:$G$29),2)/SUMPRODUCT(--($C$5:$C$29=$C9),$D$5:$D$29))),"")</f>
        <v>26.523529411764706</v>
      </c>
      <c r="L9" s="20">
        <f>IFERROR(IF($C9="","",IF(SUMPRODUCT(--($C$5:$C$29=$C9),--($D$5:$D$29&gt;0))=0,"",$I$32/SUMPRODUCT(--($C$5:$C$29=$C9),--($D$5:$D$29&gt;0)))),"")</f>
        <v>0.13999999999999999</v>
      </c>
      <c r="M9" s="19">
        <f>IFERROR(IF(OR($F9="",$D$33=""),"",$F9*(1+$D$33)),"")</f>
        <v>39.6</v>
      </c>
    </row>
    <row r="10">
      <c r="A10" s="7" t="n">
        <v>6</v>
      </c>
      <c r="B10" s="15" t="inlineStr">
        <is>
          <t>Pichón asado, remolacha y su jugo</t>
        </is>
      </c>
      <c r="C10" s="15" t="inlineStr">
        <is>
          <t>Principal</t>
        </is>
      </c>
      <c r="D10" s="16" t="n">
        <v>55</v>
      </c>
      <c r="E10" s="17" t="n">
        <v>14.5</v>
      </c>
      <c r="F10" s="17" t="n">
        <v>44</v>
      </c>
      <c r="G10" s="10">
        <f>IFERROR(IF(OR($E10="",$F10=""),"",$F10-$E10),"")</f>
        <v>29.5</v>
      </c>
      <c r="H10" s="18">
        <f>IFERROR(IF(OR($D10="",$C10=""),"",IF(SUMPRODUCT(--($C$5:$C$29=$C10),$D$5:$D$29)=0,"",$D10/SUMPRODUCT(--($C$5:$C$29=$C10),$D$5:$D$29))),"")</f>
        <v>0.16176470588235295</v>
      </c>
      <c r="I10" t="str">
        <f>IF(OR($H10="",$G10="",$K10="",$L10=""),"",IF(AND($H10&gt;=$L10,$G10&gt;=$K10),"Star",IF(AND($H10&gt;=$L10,$G10&lt;$K10),"Plowhorse",IF(AND($H10&lt;$L10,$G10&gt;=$K10),"Puzzle","Dog"))))</f>
        <v>Star</v>
      </c>
      <c r="J10" t="str">
        <f>IF($I10="","",IF($I10="Star","Mantener y destacar en carta",IF($I10="Plowhorse","Subir precio o bajar coste",IF($I10="Puzzle","Promocionar y reubicar en carta","Retirar o rediseñar"))))</f>
        <v>Mantener y destacar en carta</v>
      </c>
      <c r="K10" s="19">
        <f>IFERROR(IF($C10="","",IF(SUMPRODUCT(--($C$5:$C$29=$C10),$D$5:$D$29)=0,"",ROUND(SUMPRODUCT(--($C$5:$C$29=$C10),$D$5:$D$29,$G$5:$G$29),2)/SUMPRODUCT(--($C$5:$C$29=$C10),$D$5:$D$29))),"")</f>
        <v>26.523529411764706</v>
      </c>
      <c r="L10" s="20">
        <f>IFERROR(IF($C10="","",IF(SUMPRODUCT(--($C$5:$C$29=$C10),--($D$5:$D$29&gt;0))=0,"",$I$32/SUMPRODUCT(--($C$5:$C$29=$C10),--($D$5:$D$29&gt;0)))),"")</f>
        <v>0.13999999999999999</v>
      </c>
      <c r="M10" s="19">
        <f>IFERROR(IF(OR($F10="",$D$33=""),"",$F10*(1+$D$33)),"")</f>
        <v>48.400000000000006</v>
      </c>
    </row>
    <row r="11">
      <c r="A11" s="7" t="n">
        <v>7</v>
      </c>
      <c r="B11" s="15" t="inlineStr">
        <is>
          <t>Cochinillo confitado, manzana y miso propio</t>
        </is>
      </c>
      <c r="C11" s="15" t="inlineStr">
        <is>
          <t>Principal</t>
        </is>
      </c>
      <c r="D11" s="16" t="n">
        <v>80</v>
      </c>
      <c r="E11" s="17" t="n">
        <v>10.3</v>
      </c>
      <c r="F11" s="17" t="n">
        <v>38</v>
      </c>
      <c r="G11" s="10">
        <f>IFERROR(IF(OR($E11="",$F11=""),"",$F11-$E11),"")</f>
        <v>27.7</v>
      </c>
      <c r="H11" s="18">
        <f>IFERROR(IF(OR($D11="",$C11=""),"",IF(SUMPRODUCT(--($C$5:$C$29=$C11),$D$5:$D$29)=0,"",$D11/SUMPRODUCT(--($C$5:$C$29=$C11),$D$5:$D$29))),"")</f>
        <v>0.23529411764705882</v>
      </c>
      <c r="I11" t="str">
        <f>IF(OR($H11="",$G11="",$K11="",$L11=""),"",IF(AND($H11&gt;=$L11,$G11&gt;=$K11),"Star",IF(AND($H11&gt;=$L11,$G11&lt;$K11),"Plowhorse",IF(AND($H11&lt;$L11,$G11&gt;=$K11),"Puzzle","Dog"))))</f>
        <v>Star</v>
      </c>
      <c r="J11" t="str">
        <f>IF($I11="","",IF($I11="Star","Mantener y destacar en carta",IF($I11="Plowhorse","Subir precio o bajar coste",IF($I11="Puzzle","Promocionar y reubicar en carta","Retirar o rediseñar"))))</f>
        <v>Mantener y destacar en carta</v>
      </c>
      <c r="K11" s="19">
        <f>IFERROR(IF($C11="","",IF(SUMPRODUCT(--($C$5:$C$29=$C11),$D$5:$D$29)=0,"",ROUND(SUMPRODUCT(--($C$5:$C$29=$C11),$D$5:$D$29,$G$5:$G$29),2)/SUMPRODUCT(--($C$5:$C$29=$C11),$D$5:$D$29))),"")</f>
        <v>26.523529411764706</v>
      </c>
      <c r="L11" s="20">
        <f>IFERROR(IF($C11="","",IF(SUMPRODUCT(--($C$5:$C$29=$C11),--($D$5:$D$29&gt;0))=0,"",$I$32/SUMPRODUCT(--($C$5:$C$29=$C11),--($D$5:$D$29&gt;0)))),"")</f>
        <v>0.13999999999999999</v>
      </c>
      <c r="M11" s="19">
        <f>IFERROR(IF(OR($F11="",$D$33=""),"",$F11*(1+$D$33)),"")</f>
        <v>41.800000000000004</v>
      </c>
    </row>
    <row r="12">
      <c r="A12" s="7" t="n">
        <v>8</v>
      </c>
      <c r="B12" s="15" t="inlineStr">
        <is>
          <t>Rodaballo salvaje a la brasa, beurre blanc de kimchi</t>
        </is>
      </c>
      <c r="C12" s="15" t="inlineStr">
        <is>
          <t>Principal</t>
        </is>
      </c>
      <c r="D12" s="16" t="n">
        <v>40</v>
      </c>
      <c r="E12" s="17" t="n">
        <v>16.1</v>
      </c>
      <c r="F12" s="17" t="n">
        <v>46</v>
      </c>
      <c r="G12" s="10">
        <f>IFERROR(IF(OR($E12="",$F12=""),"",$F12-$E12),"")</f>
        <v>29.9</v>
      </c>
      <c r="H12" s="18">
        <f>IFERROR(IF(OR($D12="",$C12=""),"",IF(SUMPRODUCT(--($C$5:$C$29=$C12),$D$5:$D$29)=0,"",$D12/SUMPRODUCT(--($C$5:$C$29=$C12),$D$5:$D$29))),"")</f>
        <v>0.11764705882352941</v>
      </c>
      <c r="I12" t="str">
        <f>IF(OR($H12="",$G12="",$K12="",$L12=""),"",IF(AND($H12&gt;=$L12,$G12&gt;=$K12),"Star",IF(AND($H12&gt;=$L12,$G12&lt;$K12),"Plowhorse",IF(AND($H12&lt;$L12,$G12&gt;=$K12),"Puzzle","Dog"))))</f>
        <v>Puzzle</v>
      </c>
      <c r="J12" t="str">
        <f>IF($I12="","",IF($I12="Star","Mantener y destacar en carta",IF($I12="Plowhorse","Subir precio o bajar coste",IF($I12="Puzzle","Promocionar y reubicar en carta","Retirar o rediseñar"))))</f>
        <v>Promocionar y reubicar en carta</v>
      </c>
      <c r="K12" s="19">
        <f>IFERROR(IF($C12="","",IF(SUMPRODUCT(--($C$5:$C$29=$C12),$D$5:$D$29)=0,"",ROUND(SUMPRODUCT(--($C$5:$C$29=$C12),$D$5:$D$29,$G$5:$G$29),2)/SUMPRODUCT(--($C$5:$C$29=$C12),$D$5:$D$29))),"")</f>
        <v>26.523529411764706</v>
      </c>
      <c r="L12" s="20">
        <f>IFERROR(IF($C12="","",IF(SUMPRODUCT(--($C$5:$C$29=$C12),--($D$5:$D$29&gt;0))=0,"",$I$32/SUMPRODUCT(--($C$5:$C$29=$C12),--($D$5:$D$29&gt;0)))),"")</f>
        <v>0.13999999999999999</v>
      </c>
      <c r="M12" s="19">
        <f>IFERROR(IF(OR($F12="",$D$33=""),"",$F12*(1+$D$33)),"")</f>
        <v>50.6</v>
      </c>
    </row>
    <row r="13">
      <c r="A13" s="7" t="n">
        <v>9</v>
      </c>
      <c r="B13" s="15" t="inlineStr">
        <is>
          <t>Arroz de verduras de temporada y kombu</t>
        </is>
      </c>
      <c r="C13" s="15" t="inlineStr">
        <is>
          <t>Principal</t>
        </is>
      </c>
      <c r="D13" s="16" t="n">
        <v>70</v>
      </c>
      <c r="E13" s="17" t="n">
        <v>7.8</v>
      </c>
      <c r="F13" s="17" t="n">
        <v>32</v>
      </c>
      <c r="G13" s="10">
        <f>IFERROR(IF(OR($E13="",$F13=""),"",$F13-$E13),"")</f>
        <v>24.2</v>
      </c>
      <c r="H13" s="18">
        <f>IFERROR(IF(OR($D13="",$C13=""),"",IF(SUMPRODUCT(--($C$5:$C$29=$C13),$D$5:$D$29)=0,"",$D13/SUMPRODUCT(--($C$5:$C$29=$C13),$D$5:$D$29))),"")</f>
        <v>0.20588235294117646</v>
      </c>
      <c r="I13" t="str">
        <f>IF(OR($H13="",$G13="",$K13="",$L13=""),"",IF(AND($H13&gt;=$L13,$G13&gt;=$K13),"Star",IF(AND($H13&gt;=$L13,$G13&lt;$K13),"Plowhorse",IF(AND($H13&lt;$L13,$G13&gt;=$K13),"Puzzle","Dog"))))</f>
        <v>Plowhorse</v>
      </c>
      <c r="J13" t="str">
        <f>IF($I13="","",IF($I13="Star","Mantener y destacar en carta",IF($I13="Plowhorse","Subir precio o bajar coste",IF($I13="Puzzle","Promocionar y reubicar en carta","Retirar o rediseñar"))))</f>
        <v>Subir precio o bajar coste</v>
      </c>
      <c r="K13" s="19">
        <f>IFERROR(IF($C13="","",IF(SUMPRODUCT(--($C$5:$C$29=$C13),$D$5:$D$29)=0,"",ROUND(SUMPRODUCT(--($C$5:$C$29=$C13),$D$5:$D$29,$G$5:$G$29),2)/SUMPRODUCT(--($C$5:$C$29=$C13),$D$5:$D$29))),"")</f>
        <v>26.523529411764706</v>
      </c>
      <c r="L13" s="20">
        <f>IFERROR(IF($C13="","",IF(SUMPRODUCT(--($C$5:$C$29=$C13),--($D$5:$D$29&gt;0))=0,"",$I$32/SUMPRODUCT(--($C$5:$C$29=$C13),--($D$5:$D$29&gt;0)))),"")</f>
        <v>0.13999999999999999</v>
      </c>
      <c r="M13" s="19">
        <f>IFERROR(IF(OR($F13="",$D$33=""),"",$F13*(1+$D$33)),"")</f>
        <v>35.2</v>
      </c>
    </row>
    <row r="14">
      <c r="A14" s="7" t="n">
        <v>10</v>
      </c>
      <c r="B14" s="15" t="inlineStr">
        <is>
          <t>Torrija de brioche y helado de leche de oveja</t>
        </is>
      </c>
      <c r="C14" s="15" t="inlineStr">
        <is>
          <t>Postre</t>
        </is>
      </c>
      <c r="D14" s="16" t="n">
        <v>120</v>
      </c>
      <c r="E14" s="17" t="n">
        <v>3.9</v>
      </c>
      <c r="F14" s="17" t="n">
        <v>15</v>
      </c>
      <c r="G14" s="10">
        <f>IFERROR(IF(OR($E14="",$F14=""),"",$F14-$E14),"")</f>
        <v>11.1</v>
      </c>
      <c r="H14" s="18">
        <f>IFERROR(IF(OR($D14="",$C14=""),"",IF(SUMPRODUCT(--($C$5:$C$29=$C14),$D$5:$D$29)=0,"",$D14/SUMPRODUCT(--($C$5:$C$29=$C14),$D$5:$D$29))),"")</f>
        <v>0.47058823529411764</v>
      </c>
      <c r="I14" t="str">
        <f>IF(OR($H14="",$G14="",$K14="",$L14=""),"",IF(AND($H14&gt;=$L14,$G14&gt;=$K14),"Star",IF(AND($H14&gt;=$L14,$G14&lt;$K14),"Plowhorse",IF(AND($H14&lt;$L14,$G14&gt;=$K14),"Puzzle","Dog"))))</f>
        <v>Plowhorse</v>
      </c>
      <c r="J14" t="str">
        <f>IF($I14="","",IF($I14="Star","Mantener y destacar en carta",IF($I14="Plowhorse","Subir precio o bajar coste",IF($I14="Puzzle","Promocionar y reubicar en carta","Retirar o rediseñar"))))</f>
        <v>Subir precio o bajar coste</v>
      </c>
      <c r="K14" s="19">
        <f>IFERROR(IF($C14="","",IF(SUMPRODUCT(--($C$5:$C$29=$C14),$D$5:$D$29)=0,"",ROUND(SUMPRODUCT(--($C$5:$C$29=$C14),$D$5:$D$29,$G$5:$G$29),2)/SUMPRODUCT(--($C$5:$C$29=$C14),$D$5:$D$29))),"")</f>
        <v>11.75294117647059</v>
      </c>
      <c r="L14" s="20">
        <f>IFERROR(IF($C14="","",IF(SUMPRODUCT(--($C$5:$C$29=$C14),--($D$5:$D$29&gt;0))=0,"",$I$32/SUMPRODUCT(--($C$5:$C$29=$C14),--($D$5:$D$29&gt;0)))),"")</f>
        <v>0.2333333333333333</v>
      </c>
      <c r="M14" s="19">
        <f>IFERROR(IF(OR($F14="",$D$33=""),"",$F14*(1+$D$33)),"")</f>
        <v>16.5</v>
      </c>
    </row>
    <row r="15">
      <c r="A15" s="7" t="n">
        <v>11</v>
      </c>
      <c r="B15" s="15" t="inlineStr">
        <is>
          <t>Chocolate, café y cardamomo</t>
        </is>
      </c>
      <c r="C15" s="15" t="inlineStr">
        <is>
          <t>Postre</t>
        </is>
      </c>
      <c r="D15" s="16" t="n">
        <v>85</v>
      </c>
      <c r="E15" s="17" t="n">
        <v>5</v>
      </c>
      <c r="F15" s="17" t="n">
        <v>18</v>
      </c>
      <c r="G15" s="10">
        <f>IFERROR(IF(OR($E15="",$F15=""),"",$F15-$E15),"")</f>
        <v>13.0</v>
      </c>
      <c r="H15" s="18">
        <f>IFERROR(IF(OR($D15="",$C15=""),"",IF(SUMPRODUCT(--($C$5:$C$29=$C15),$D$5:$D$29)=0,"",$D15/SUMPRODUCT(--($C$5:$C$29=$C15),$D$5:$D$29))),"")</f>
        <v>0.3333333333333333</v>
      </c>
      <c r="I15" t="str">
        <f>IF(OR($H15="",$G15="",$K15="",$L15=""),"",IF(AND($H15&gt;=$L15,$G15&gt;=$K15),"Star",IF(AND($H15&gt;=$L15,$G15&lt;$K15),"Plowhorse",IF(AND($H15&lt;$L15,$G15&gt;=$K15),"Puzzle","Dog"))))</f>
        <v>Star</v>
      </c>
      <c r="J15" t="str">
        <f>IF($I15="","",IF($I15="Star","Mantener y destacar en carta",IF($I15="Plowhorse","Subir precio o bajar coste",IF($I15="Puzzle","Promocionar y reubicar en carta","Retirar o rediseñar"))))</f>
        <v>Mantener y destacar en carta</v>
      </c>
      <c r="K15" s="19">
        <f>IFERROR(IF($C15="","",IF(SUMPRODUCT(--($C$5:$C$29=$C15),$D$5:$D$29)=0,"",ROUND(SUMPRODUCT(--($C$5:$C$29=$C15),$D$5:$D$29,$G$5:$G$29),2)/SUMPRODUCT(--($C$5:$C$29=$C15),$D$5:$D$29))),"")</f>
        <v>11.75294117647059</v>
      </c>
      <c r="L15" s="20">
        <f>IFERROR(IF($C15="","",IF(SUMPRODUCT(--($C$5:$C$29=$C15),--($D$5:$D$29&gt;0))=0,"",$I$32/SUMPRODUCT(--($C$5:$C$29=$C15),--($D$5:$D$29&gt;0)))),"")</f>
        <v>0.2333333333333333</v>
      </c>
      <c r="M15" s="19">
        <f>IFERROR(IF(OR($F15="",$D$33=""),"",$F15*(1+$D$33)),"")</f>
        <v>19.8</v>
      </c>
    </row>
    <row r="16">
      <c r="A16" s="7" t="n">
        <v>12</v>
      </c>
      <c r="B16" s="15" t="inlineStr">
        <is>
          <t>Cítricos, hinojo y sorbete de yuzu</t>
        </is>
      </c>
      <c r="C16" s="15" t="inlineStr">
        <is>
          <t>Postre</t>
        </is>
      </c>
      <c r="D16" s="16" t="n">
        <v>50</v>
      </c>
      <c r="E16" s="17" t="n">
        <v>4.8</v>
      </c>
      <c r="F16" s="17" t="n">
        <v>16</v>
      </c>
      <c r="G16" s="10">
        <f>IFERROR(IF(OR($E16="",$F16=""),"",$F16-$E16),"")</f>
        <v>11.2</v>
      </c>
      <c r="H16" s="18">
        <f>IFERROR(IF(OR($D16="",$C16=""),"",IF(SUMPRODUCT(--($C$5:$C$29=$C16),$D$5:$D$29)=0,"",$D16/SUMPRODUCT(--($C$5:$C$29=$C16),$D$5:$D$29))),"")</f>
        <v>0.19607843137254902</v>
      </c>
      <c r="I16" t="str">
        <f>IF(OR($H16="",$G16="",$K16="",$L16=""),"",IF(AND($H16&gt;=$L16,$G16&gt;=$K16),"Star",IF(AND($H16&gt;=$L16,$G16&lt;$K16),"Plowhorse",IF(AND($H16&lt;$L16,$G16&gt;=$K16),"Puzzle","Dog"))))</f>
        <v>Dog</v>
      </c>
      <c r="J16" t="str">
        <f>IF($I16="","",IF($I16="Star","Mantener y destacar en carta",IF($I16="Plowhorse","Subir precio o bajar coste",IF($I16="Puzzle","Promocionar y reubicar en carta","Retirar o rediseñar"))))</f>
        <v>Retirar o rediseñar</v>
      </c>
      <c r="K16" s="19">
        <f>IFERROR(IF($C16="","",IF(SUMPRODUCT(--($C$5:$C$29=$C16),$D$5:$D$29)=0,"",ROUND(SUMPRODUCT(--($C$5:$C$29=$C16),$D$5:$D$29,$G$5:$G$29),2)/SUMPRODUCT(--($C$5:$C$29=$C16),$D$5:$D$29))),"")</f>
        <v>11.75294117647059</v>
      </c>
      <c r="L16" s="20">
        <f>IFERROR(IF($C16="","",IF(SUMPRODUCT(--($C$5:$C$29=$C16),--($D$5:$D$29&gt;0))=0,"",$I$32/SUMPRODUCT(--($C$5:$C$29=$C16),--($D$5:$D$29&gt;0)))),"")</f>
        <v>0.2333333333333333</v>
      </c>
      <c r="M16" s="19">
        <f>IFERROR(IF(OR($F16="",$D$33=""),"",$F16*(1+$D$33)),"")</f>
        <v>17.6</v>
      </c>
    </row>
    <row r="17">
      <c r="A17" s="7" t="n">
        <v>13</v>
      </c>
      <c r="B17" s="15" t="n"/>
      <c r="C17" s="15" t="n"/>
      <c r="D17" s="16" t="n"/>
      <c r="E17" s="17" t="n"/>
      <c r="F17" s="17" t="n"/>
      <c r="G17" s="10">
        <f>IFERROR(IF(OR($E17="",$F17=""),"",$F17-$E17),"")</f>
        <v/>
      </c>
      <c r="H17" s="18">
        <f>IFERROR(IF(OR($D17="",$C17=""),"",IF(SUMPRODUCT(--($C$5:$C$29=$C17),$D$5:$D$29)=0,"",$D17/SUMPRODUCT(--($C$5:$C$29=$C17),$D$5:$D$29))),"")</f>
        <v/>
      </c>
      <c r="I17">
        <f>IF(OR($H17="",$G17="",$K17="",$L17=""),"",IF(AND($H17&gt;=$L17,$G17&gt;=$K17),"Star",IF(AND($H17&gt;=$L17,$G17&lt;$K17),"Plowhorse",IF(AND($H17&lt;$L17,$G17&gt;=$K17),"Puzzle","Dog"))))</f>
        <v/>
      </c>
      <c r="J17">
        <f>IF($I17="","",IF($I17="Star","Mantener y destacar en carta",IF($I17="Plowhorse","Subir precio o bajar coste",IF($I17="Puzzle","Promocionar y reubicar en carta","Retirar o rediseñar"))))</f>
        <v/>
      </c>
      <c r="K17" s="19">
        <f>IFERROR(IF($C17="","",IF(SUMPRODUCT(--($C$5:$C$29=$C17),$D$5:$D$29)=0,"",ROUND(SUMPRODUCT(--($C$5:$C$29=$C17),$D$5:$D$29,$G$5:$G$29),2)/SUMPRODUCT(--($C$5:$C$29=$C17),$D$5:$D$29))),"")</f>
        <v/>
      </c>
      <c r="L17" s="20">
        <f>IFERROR(IF($C17="","",IF(SUMPRODUCT(--($C$5:$C$29=$C17),--($D$5:$D$29&gt;0))=0,"",$I$32/SUMPRODUCT(--($C$5:$C$29=$C17),--($D$5:$D$29&gt;0)))),"")</f>
        <v/>
      </c>
      <c r="M17" s="19">
        <f>IFERROR(IF(OR($F17="",$D$33=""),"",$F17*(1+$D$33)),"")</f>
        <v/>
      </c>
    </row>
    <row r="18">
      <c r="A18" s="7" t="n">
        <v>14</v>
      </c>
      <c r="B18" s="15" t="n"/>
      <c r="C18" s="15" t="n"/>
      <c r="D18" s="16" t="n"/>
      <c r="E18" s="17" t="n"/>
      <c r="F18" s="17" t="n"/>
      <c r="G18" s="10">
        <f>IFERROR(IF(OR($E18="",$F18=""),"",$F18-$E18),"")</f>
        <v/>
      </c>
      <c r="H18" s="18">
        <f>IFERROR(IF(OR($D18="",$C18=""),"",IF(SUMPRODUCT(--($C$5:$C$29=$C18),$D$5:$D$29)=0,"",$D18/SUMPRODUCT(--($C$5:$C$29=$C18),$D$5:$D$29))),"")</f>
        <v/>
      </c>
      <c r="I18">
        <f>IF(OR($H18="",$G18="",$K18="",$L18=""),"",IF(AND($H18&gt;=$L18,$G18&gt;=$K18),"Star",IF(AND($H18&gt;=$L18,$G18&lt;$K18),"Plowhorse",IF(AND($H18&lt;$L18,$G18&gt;=$K18),"Puzzle","Dog"))))</f>
        <v/>
      </c>
      <c r="J18">
        <f>IF($I18="","",IF($I18="Star","Mantener y destacar en carta",IF($I18="Plowhorse","Subir precio o bajar coste",IF($I18="Puzzle","Promocionar y reubicar en carta","Retirar o rediseñar"))))</f>
        <v/>
      </c>
      <c r="K18" s="19">
        <f>IFERROR(IF($C18="","",IF(SUMPRODUCT(--($C$5:$C$29=$C18),$D$5:$D$29)=0,"",ROUND(SUMPRODUCT(--($C$5:$C$29=$C18),$D$5:$D$29,$G$5:$G$29),2)/SUMPRODUCT(--($C$5:$C$29=$C18),$D$5:$D$29))),"")</f>
        <v/>
      </c>
      <c r="L18" s="20">
        <f>IFERROR(IF($C18="","",IF(SUMPRODUCT(--($C$5:$C$29=$C18),--($D$5:$D$29&gt;0))=0,"",$I$32/SUMPRODUCT(--($C$5:$C$29=$C18),--($D$5:$D$29&gt;0)))),"")</f>
        <v/>
      </c>
      <c r="M18" s="19">
        <f>IFERROR(IF(OR($F18="",$D$33=""),"",$F18*(1+$D$33)),"")</f>
        <v/>
      </c>
    </row>
    <row r="19">
      <c r="A19" s="7" t="n">
        <v>15</v>
      </c>
      <c r="B19" s="15" t="n"/>
      <c r="C19" s="15" t="n"/>
      <c r="D19" s="16" t="n"/>
      <c r="E19" s="17" t="n"/>
      <c r="F19" s="17" t="n"/>
      <c r="G19" s="10">
        <f>IFERROR(IF(OR($E19="",$F19=""),"",$F19-$E19),"")</f>
        <v/>
      </c>
      <c r="H19" s="18">
        <f>IFERROR(IF(OR($D19="",$C19=""),"",IF(SUMPRODUCT(--($C$5:$C$29=$C19),$D$5:$D$29)=0,"",$D19/SUMPRODUCT(--($C$5:$C$29=$C19),$D$5:$D$29))),"")</f>
        <v/>
      </c>
      <c r="I19">
        <f>IF(OR($H19="",$G19="",$K19="",$L19=""),"",IF(AND($H19&gt;=$L19,$G19&gt;=$K19),"Star",IF(AND($H19&gt;=$L19,$G19&lt;$K19),"Plowhorse",IF(AND($H19&lt;$L19,$G19&gt;=$K19),"Puzzle","Dog"))))</f>
        <v/>
      </c>
      <c r="J19">
        <f>IF($I19="","",IF($I19="Star","Mantener y destacar en carta",IF($I19="Plowhorse","Subir precio o bajar coste",IF($I19="Puzzle","Promocionar y reubicar en carta","Retirar o rediseñar"))))</f>
        <v/>
      </c>
      <c r="K19" s="19">
        <f>IFERROR(IF($C19="","",IF(SUMPRODUCT(--($C$5:$C$29=$C19),$D$5:$D$29)=0,"",ROUND(SUMPRODUCT(--($C$5:$C$29=$C19),$D$5:$D$29,$G$5:$G$29),2)/SUMPRODUCT(--($C$5:$C$29=$C19),$D$5:$D$29))),"")</f>
        <v/>
      </c>
      <c r="L19" s="20">
        <f>IFERROR(IF($C19="","",IF(SUMPRODUCT(--($C$5:$C$29=$C19),--($D$5:$D$29&gt;0))=0,"",$I$32/SUMPRODUCT(--($C$5:$C$29=$C19),--($D$5:$D$29&gt;0)))),"")</f>
        <v/>
      </c>
      <c r="M19" s="19">
        <f>IFERROR(IF(OR($F19="",$D$33=""),"",$F19*(1+$D$33)),"")</f>
        <v/>
      </c>
    </row>
    <row r="20">
      <c r="A20" s="7" t="n">
        <v>16</v>
      </c>
      <c r="B20" s="15" t="n"/>
      <c r="C20" s="15" t="n"/>
      <c r="D20" s="16" t="n"/>
      <c r="E20" s="17" t="n"/>
      <c r="F20" s="17" t="n"/>
      <c r="G20" s="10">
        <f>IFERROR(IF(OR($E20="",$F20=""),"",$F20-$E20),"")</f>
        <v/>
      </c>
      <c r="H20" s="18">
        <f>IFERROR(IF(OR($D20="",$C20=""),"",IF(SUMPRODUCT(--($C$5:$C$29=$C20),$D$5:$D$29)=0,"",$D20/SUMPRODUCT(--($C$5:$C$29=$C20),$D$5:$D$29))),"")</f>
        <v/>
      </c>
      <c r="I20">
        <f>IF(OR($H20="",$G20="",$K20="",$L20=""),"",IF(AND($H20&gt;=$L20,$G20&gt;=$K20),"Star",IF(AND($H20&gt;=$L20,$G20&lt;$K20),"Plowhorse",IF(AND($H20&lt;$L20,$G20&gt;=$K20),"Puzzle","Dog"))))</f>
        <v/>
      </c>
      <c r="J20">
        <f>IF($I20="","",IF($I20="Star","Mantener y destacar en carta",IF($I20="Plowhorse","Subir precio o bajar coste",IF($I20="Puzzle","Promocionar y reubicar en carta","Retirar o rediseñar"))))</f>
        <v/>
      </c>
      <c r="K20" s="19">
        <f>IFERROR(IF($C20="","",IF(SUMPRODUCT(--($C$5:$C$29=$C20),$D$5:$D$29)=0,"",ROUND(SUMPRODUCT(--($C$5:$C$29=$C20),$D$5:$D$29,$G$5:$G$29),2)/SUMPRODUCT(--($C$5:$C$29=$C20),$D$5:$D$29))),"")</f>
        <v/>
      </c>
      <c r="L20" s="20">
        <f>IFERROR(IF($C20="","",IF(SUMPRODUCT(--($C$5:$C$29=$C20),--($D$5:$D$29&gt;0))=0,"",$I$32/SUMPRODUCT(--($C$5:$C$29=$C20),--($D$5:$D$29&gt;0)))),"")</f>
        <v/>
      </c>
      <c r="M20" s="19">
        <f>IFERROR(IF(OR($F20="",$D$33=""),"",$F20*(1+$D$33)),"")</f>
        <v/>
      </c>
    </row>
    <row r="21">
      <c r="A21" s="7" t="n">
        <v>17</v>
      </c>
      <c r="B21" s="15" t="n"/>
      <c r="C21" s="15" t="n"/>
      <c r="D21" s="16" t="n"/>
      <c r="E21" s="17" t="n"/>
      <c r="F21" s="17" t="n"/>
      <c r="G21" s="10">
        <f>IFERROR(IF(OR($E21="",$F21=""),"",$F21-$E21),"")</f>
        <v/>
      </c>
      <c r="H21" s="18">
        <f>IFERROR(IF(OR($D21="",$C21=""),"",IF(SUMPRODUCT(--($C$5:$C$29=$C21),$D$5:$D$29)=0,"",$D21/SUMPRODUCT(--($C$5:$C$29=$C21),$D$5:$D$29))),"")</f>
        <v/>
      </c>
      <c r="I21">
        <f>IF(OR($H21="",$G21="",$K21="",$L21=""),"",IF(AND($H21&gt;=$L21,$G21&gt;=$K21),"Star",IF(AND($H21&gt;=$L21,$G21&lt;$K21),"Plowhorse",IF(AND($H21&lt;$L21,$G21&gt;=$K21),"Puzzle","Dog"))))</f>
        <v/>
      </c>
      <c r="J21">
        <f>IF($I21="","",IF($I21="Star","Mantener y destacar en carta",IF($I21="Plowhorse","Subir precio o bajar coste",IF($I21="Puzzle","Promocionar y reubicar en carta","Retirar o rediseñar"))))</f>
        <v/>
      </c>
      <c r="K21" s="19">
        <f>IFERROR(IF($C21="","",IF(SUMPRODUCT(--($C$5:$C$29=$C21),$D$5:$D$29)=0,"",ROUND(SUMPRODUCT(--($C$5:$C$29=$C21),$D$5:$D$29,$G$5:$G$29),2)/SUMPRODUCT(--($C$5:$C$29=$C21),$D$5:$D$29))),"")</f>
        <v/>
      </c>
      <c r="L21" s="20">
        <f>IFERROR(IF($C21="","",IF(SUMPRODUCT(--($C$5:$C$29=$C21),--($D$5:$D$29&gt;0))=0,"",$I$32/SUMPRODUCT(--($C$5:$C$29=$C21),--($D$5:$D$29&gt;0)))),"")</f>
        <v/>
      </c>
      <c r="M21" s="19">
        <f>IFERROR(IF(OR($F21="",$D$33=""),"",$F21*(1+$D$33)),"")</f>
        <v/>
      </c>
    </row>
    <row r="22">
      <c r="A22" s="7" t="n">
        <v>18</v>
      </c>
      <c r="B22" s="15" t="n"/>
      <c r="C22" s="15" t="n"/>
      <c r="D22" s="16" t="n"/>
      <c r="E22" s="17" t="n"/>
      <c r="F22" s="17" t="n"/>
      <c r="G22" s="10">
        <f>IFERROR(IF(OR($E22="",$F22=""),"",$F22-$E22),"")</f>
        <v/>
      </c>
      <c r="H22" s="18">
        <f>IFERROR(IF(OR($D22="",$C22=""),"",IF(SUMPRODUCT(--($C$5:$C$29=$C22),$D$5:$D$29)=0,"",$D22/SUMPRODUCT(--($C$5:$C$29=$C22),$D$5:$D$29))),"")</f>
        <v/>
      </c>
      <c r="I22">
        <f>IF(OR($H22="",$G22="",$K22="",$L22=""),"",IF(AND($H22&gt;=$L22,$G22&gt;=$K22),"Star",IF(AND($H22&gt;=$L22,$G22&lt;$K22),"Plowhorse",IF(AND($H22&lt;$L22,$G22&gt;=$K22),"Puzzle","Dog"))))</f>
        <v/>
      </c>
      <c r="J22">
        <f>IF($I22="","",IF($I22="Star","Mantener y destacar en carta",IF($I22="Plowhorse","Subir precio o bajar coste",IF($I22="Puzzle","Promocionar y reubicar en carta","Retirar o rediseñar"))))</f>
        <v/>
      </c>
      <c r="K22" s="19">
        <f>IFERROR(IF($C22="","",IF(SUMPRODUCT(--($C$5:$C$29=$C22),$D$5:$D$29)=0,"",ROUND(SUMPRODUCT(--($C$5:$C$29=$C22),$D$5:$D$29,$G$5:$G$29),2)/SUMPRODUCT(--($C$5:$C$29=$C22),$D$5:$D$29))),"")</f>
        <v/>
      </c>
      <c r="L22" s="20">
        <f>IFERROR(IF($C22="","",IF(SUMPRODUCT(--($C$5:$C$29=$C22),--($D$5:$D$29&gt;0))=0,"",$I$32/SUMPRODUCT(--($C$5:$C$29=$C22),--($D$5:$D$29&gt;0)))),"")</f>
        <v/>
      </c>
      <c r="M22" s="19">
        <f>IFERROR(IF(OR($F22="",$D$33=""),"",$F22*(1+$D$33)),"")</f>
        <v/>
      </c>
    </row>
    <row r="23">
      <c r="A23" s="7" t="n">
        <v>19</v>
      </c>
      <c r="B23" s="15" t="n"/>
      <c r="C23" s="15" t="n"/>
      <c r="D23" s="16" t="n"/>
      <c r="E23" s="17" t="n"/>
      <c r="F23" s="17" t="n"/>
      <c r="G23" s="10">
        <f>IFERROR(IF(OR($E23="",$F23=""),"",$F23-$E23),"")</f>
        <v/>
      </c>
      <c r="H23" s="18">
        <f>IFERROR(IF(OR($D23="",$C23=""),"",IF(SUMPRODUCT(--($C$5:$C$29=$C23),$D$5:$D$29)=0,"",$D23/SUMPRODUCT(--($C$5:$C$29=$C23),$D$5:$D$29))),"")</f>
        <v/>
      </c>
      <c r="I23">
        <f>IF(OR($H23="",$G23="",$K23="",$L23=""),"",IF(AND($H23&gt;=$L23,$G23&gt;=$K23),"Star",IF(AND($H23&gt;=$L23,$G23&lt;$K23),"Plowhorse",IF(AND($H23&lt;$L23,$G23&gt;=$K23),"Puzzle","Dog"))))</f>
        <v/>
      </c>
      <c r="J23">
        <f>IF($I23="","",IF($I23="Star","Mantener y destacar en carta",IF($I23="Plowhorse","Subir precio o bajar coste",IF($I23="Puzzle","Promocionar y reubicar en carta","Retirar o rediseñar"))))</f>
        <v/>
      </c>
      <c r="K23" s="19">
        <f>IFERROR(IF($C23="","",IF(SUMPRODUCT(--($C$5:$C$29=$C23),$D$5:$D$29)=0,"",ROUND(SUMPRODUCT(--($C$5:$C$29=$C23),$D$5:$D$29,$G$5:$G$29),2)/SUMPRODUCT(--($C$5:$C$29=$C23),$D$5:$D$29))),"")</f>
        <v/>
      </c>
      <c r="L23" s="20">
        <f>IFERROR(IF($C23="","",IF(SUMPRODUCT(--($C$5:$C$29=$C23),--($D$5:$D$29&gt;0))=0,"",$I$32/SUMPRODUCT(--($C$5:$C$29=$C23),--($D$5:$D$29&gt;0)))),"")</f>
        <v/>
      </c>
      <c r="M23" s="19">
        <f>IFERROR(IF(OR($F23="",$D$33=""),"",$F23*(1+$D$33)),"")</f>
        <v/>
      </c>
    </row>
    <row r="24">
      <c r="A24" s="7" t="n">
        <v>20</v>
      </c>
      <c r="B24" s="15" t="n"/>
      <c r="C24" s="15" t="n"/>
      <c r="D24" s="16" t="n"/>
      <c r="E24" s="17" t="n"/>
      <c r="F24" s="17" t="n"/>
      <c r="G24" s="10">
        <f>IFERROR(IF(OR($E24="",$F24=""),"",$F24-$E24),"")</f>
        <v/>
      </c>
      <c r="H24" s="18">
        <f>IFERROR(IF(OR($D24="",$C24=""),"",IF(SUMPRODUCT(--($C$5:$C$29=$C24),$D$5:$D$29)=0,"",$D24/SUMPRODUCT(--($C$5:$C$29=$C24),$D$5:$D$29))),"")</f>
        <v/>
      </c>
      <c r="I24">
        <f>IF(OR($H24="",$G24="",$K24="",$L24=""),"",IF(AND($H24&gt;=$L24,$G24&gt;=$K24),"Star",IF(AND($H24&gt;=$L24,$G24&lt;$K24),"Plowhorse",IF(AND($H24&lt;$L24,$G24&gt;=$K24),"Puzzle","Dog"))))</f>
        <v/>
      </c>
      <c r="J24">
        <f>IF($I24="","",IF($I24="Star","Mantener y destacar en carta",IF($I24="Plowhorse","Subir precio o bajar coste",IF($I24="Puzzle","Promocionar y reubicar en carta","Retirar o rediseñar"))))</f>
        <v/>
      </c>
      <c r="K24" s="19">
        <f>IFERROR(IF($C24="","",IF(SUMPRODUCT(--($C$5:$C$29=$C24),$D$5:$D$29)=0,"",ROUND(SUMPRODUCT(--($C$5:$C$29=$C24),$D$5:$D$29,$G$5:$G$29),2)/SUMPRODUCT(--($C$5:$C$29=$C24),$D$5:$D$29))),"")</f>
        <v/>
      </c>
      <c r="L24" s="20">
        <f>IFERROR(IF($C24="","",IF(SUMPRODUCT(--($C$5:$C$29=$C24),--($D$5:$D$29&gt;0))=0,"",$I$32/SUMPRODUCT(--($C$5:$C$29=$C24),--($D$5:$D$29&gt;0)))),"")</f>
        <v/>
      </c>
      <c r="M24" s="19">
        <f>IFERROR(IF(OR($F24="",$D$33=""),"",$F24*(1+$D$33)),"")</f>
        <v/>
      </c>
    </row>
    <row r="25">
      <c r="A25" s="7" t="n">
        <v>21</v>
      </c>
      <c r="B25" s="15" t="n"/>
      <c r="C25" s="15" t="n"/>
      <c r="D25" s="16" t="n"/>
      <c r="E25" s="17" t="n"/>
      <c r="F25" s="17" t="n"/>
      <c r="G25" s="10">
        <f>IFERROR(IF(OR($E25="",$F25=""),"",$F25-$E25),"")</f>
        <v/>
      </c>
      <c r="H25" s="18">
        <f>IFERROR(IF(OR($D25="",$C25=""),"",IF(SUMPRODUCT(--($C$5:$C$29=$C25),$D$5:$D$29)=0,"",$D25/SUMPRODUCT(--($C$5:$C$29=$C25),$D$5:$D$29))),"")</f>
        <v/>
      </c>
      <c r="I25">
        <f>IF(OR($H25="",$G25="",$K25="",$L25=""),"",IF(AND($H25&gt;=$L25,$G25&gt;=$K25),"Star",IF(AND($H25&gt;=$L25,$G25&lt;$K25),"Plowhorse",IF(AND($H25&lt;$L25,$G25&gt;=$K25),"Puzzle","Dog"))))</f>
        <v/>
      </c>
      <c r="J25">
        <f>IF($I25="","",IF($I25="Star","Mantener y destacar en carta",IF($I25="Plowhorse","Subir precio o bajar coste",IF($I25="Puzzle","Promocionar y reubicar en carta","Retirar o rediseñar"))))</f>
        <v/>
      </c>
      <c r="K25" s="19">
        <f>IFERROR(IF($C25="","",IF(SUMPRODUCT(--($C$5:$C$29=$C25),$D$5:$D$29)=0,"",ROUND(SUMPRODUCT(--($C$5:$C$29=$C25),$D$5:$D$29,$G$5:$G$29),2)/SUMPRODUCT(--($C$5:$C$29=$C25),$D$5:$D$29))),"")</f>
        <v/>
      </c>
      <c r="L25" s="20">
        <f>IFERROR(IF($C25="","",IF(SUMPRODUCT(--($C$5:$C$29=$C25),--($D$5:$D$29&gt;0))=0,"",$I$32/SUMPRODUCT(--($C$5:$C$29=$C25),--($D$5:$D$29&gt;0)))),"")</f>
        <v/>
      </c>
      <c r="M25" s="19">
        <f>IFERROR(IF(OR($F25="",$D$33=""),"",$F25*(1+$D$33)),"")</f>
        <v/>
      </c>
    </row>
    <row r="26">
      <c r="A26" s="7" t="n">
        <v>22</v>
      </c>
      <c r="B26" s="15" t="n"/>
      <c r="C26" s="15" t="n"/>
      <c r="D26" s="16" t="n"/>
      <c r="E26" s="17" t="n"/>
      <c r="F26" s="17" t="n"/>
      <c r="G26" s="10">
        <f>IFERROR(IF(OR($E26="",$F26=""),"",$F26-$E26),"")</f>
        <v/>
      </c>
      <c r="H26" s="18">
        <f>IFERROR(IF(OR($D26="",$C26=""),"",IF(SUMPRODUCT(--($C$5:$C$29=$C26),$D$5:$D$29)=0,"",$D26/SUMPRODUCT(--($C$5:$C$29=$C26),$D$5:$D$29))),"")</f>
        <v/>
      </c>
      <c r="I26">
        <f>IF(OR($H26="",$G26="",$K26="",$L26=""),"",IF(AND($H26&gt;=$L26,$G26&gt;=$K26),"Star",IF(AND($H26&gt;=$L26,$G26&lt;$K26),"Plowhorse",IF(AND($H26&lt;$L26,$G26&gt;=$K26),"Puzzle","Dog"))))</f>
        <v/>
      </c>
      <c r="J26">
        <f>IF($I26="","",IF($I26="Star","Mantener y destacar en carta",IF($I26="Plowhorse","Subir precio o bajar coste",IF($I26="Puzzle","Promocionar y reubicar en carta","Retirar o rediseñar"))))</f>
        <v/>
      </c>
      <c r="K26" s="19">
        <f>IFERROR(IF($C26="","",IF(SUMPRODUCT(--($C$5:$C$29=$C26),$D$5:$D$29)=0,"",ROUND(SUMPRODUCT(--($C$5:$C$29=$C26),$D$5:$D$29,$G$5:$G$29),2)/SUMPRODUCT(--($C$5:$C$29=$C26),$D$5:$D$29))),"")</f>
        <v/>
      </c>
      <c r="L26" s="20">
        <f>IFERROR(IF($C26="","",IF(SUMPRODUCT(--($C$5:$C$29=$C26),--($D$5:$D$29&gt;0))=0,"",$I$32/SUMPRODUCT(--($C$5:$C$29=$C26),--($D$5:$D$29&gt;0)))),"")</f>
        <v/>
      </c>
      <c r="M26" s="19">
        <f>IFERROR(IF(OR($F26="",$D$33=""),"",$F26*(1+$D$33)),"")</f>
        <v/>
      </c>
    </row>
    <row r="27">
      <c r="A27" s="7" t="n">
        <v>23</v>
      </c>
      <c r="B27" s="15" t="n"/>
      <c r="C27" s="15" t="n"/>
      <c r="D27" s="16" t="n"/>
      <c r="E27" s="17" t="n"/>
      <c r="F27" s="17" t="n"/>
      <c r="G27" s="10">
        <f>IFERROR(IF(OR($E27="",$F27=""),"",$F27-$E27),"")</f>
        <v/>
      </c>
      <c r="H27" s="18">
        <f>IFERROR(IF(OR($D27="",$C27=""),"",IF(SUMPRODUCT(--($C$5:$C$29=$C27),$D$5:$D$29)=0,"",$D27/SUMPRODUCT(--($C$5:$C$29=$C27),$D$5:$D$29))),"")</f>
        <v/>
      </c>
      <c r="I27">
        <f>IF(OR($H27="",$G27="",$K27="",$L27=""),"",IF(AND($H27&gt;=$L27,$G27&gt;=$K27),"Star",IF(AND($H27&gt;=$L27,$G27&lt;$K27),"Plowhorse",IF(AND($H27&lt;$L27,$G27&gt;=$K27),"Puzzle","Dog"))))</f>
        <v/>
      </c>
      <c r="J27">
        <f>IF($I27="","",IF($I27="Star","Mantener y destacar en carta",IF($I27="Plowhorse","Subir precio o bajar coste",IF($I27="Puzzle","Promocionar y reubicar en carta","Retirar o rediseñar"))))</f>
        <v/>
      </c>
      <c r="K27" s="19">
        <f>IFERROR(IF($C27="","",IF(SUMPRODUCT(--($C$5:$C$29=$C27),$D$5:$D$29)=0,"",ROUND(SUMPRODUCT(--($C$5:$C$29=$C27),$D$5:$D$29,$G$5:$G$29),2)/SUMPRODUCT(--($C$5:$C$29=$C27),$D$5:$D$29))),"")</f>
        <v/>
      </c>
      <c r="L27" s="20">
        <f>IFERROR(IF($C27="","",IF(SUMPRODUCT(--($C$5:$C$29=$C27),--($D$5:$D$29&gt;0))=0,"",$I$32/SUMPRODUCT(--($C$5:$C$29=$C27),--($D$5:$D$29&gt;0)))),"")</f>
        <v/>
      </c>
      <c r="M27" s="19">
        <f>IFERROR(IF(OR($F27="",$D$33=""),"",$F27*(1+$D$33)),"")</f>
        <v/>
      </c>
    </row>
    <row r="28">
      <c r="A28" s="7" t="n">
        <v>24</v>
      </c>
      <c r="B28" s="15" t="n"/>
      <c r="C28" s="15" t="n"/>
      <c r="D28" s="16" t="n"/>
      <c r="E28" s="17" t="n"/>
      <c r="F28" s="17" t="n"/>
      <c r="G28" s="10">
        <f>IFERROR(IF(OR($E28="",$F28=""),"",$F28-$E28),"")</f>
        <v/>
      </c>
      <c r="H28" s="18">
        <f>IFERROR(IF(OR($D28="",$C28=""),"",IF(SUMPRODUCT(--($C$5:$C$29=$C28),$D$5:$D$29)=0,"",$D28/SUMPRODUCT(--($C$5:$C$29=$C28),$D$5:$D$29))),"")</f>
        <v/>
      </c>
      <c r="I28">
        <f>IF(OR($H28="",$G28="",$K28="",$L28=""),"",IF(AND($H28&gt;=$L28,$G28&gt;=$K28),"Star",IF(AND($H28&gt;=$L28,$G28&lt;$K28),"Plowhorse",IF(AND($H28&lt;$L28,$G28&gt;=$K28),"Puzzle","Dog"))))</f>
        <v/>
      </c>
      <c r="J28">
        <f>IF($I28="","",IF($I28="Star","Mantener y destacar en carta",IF($I28="Plowhorse","Subir precio o bajar coste",IF($I28="Puzzle","Promocionar y reubicar en carta","Retirar o rediseñar"))))</f>
        <v/>
      </c>
      <c r="K28" s="19">
        <f>IFERROR(IF($C28="","",IF(SUMPRODUCT(--($C$5:$C$29=$C28),$D$5:$D$29)=0,"",ROUND(SUMPRODUCT(--($C$5:$C$29=$C28),$D$5:$D$29,$G$5:$G$29),2)/SUMPRODUCT(--($C$5:$C$29=$C28),$D$5:$D$29))),"")</f>
        <v/>
      </c>
      <c r="L28" s="20">
        <f>IFERROR(IF($C28="","",IF(SUMPRODUCT(--($C$5:$C$29=$C28),--($D$5:$D$29&gt;0))=0,"",$I$32/SUMPRODUCT(--($C$5:$C$29=$C28),--($D$5:$D$29&gt;0)))),"")</f>
        <v/>
      </c>
      <c r="M28" s="19">
        <f>IFERROR(IF(OR($F28="",$D$33=""),"",$F28*(1+$D$33)),"")</f>
        <v/>
      </c>
    </row>
    <row r="29">
      <c r="A29" s="7" t="n">
        <v>25</v>
      </c>
      <c r="B29" s="15" t="n"/>
      <c r="C29" s="15" t="n"/>
      <c r="D29" s="16" t="n"/>
      <c r="E29" s="17" t="n"/>
      <c r="F29" s="17" t="n"/>
      <c r="G29" s="10">
        <f>IFERROR(IF(OR($E29="",$F29=""),"",$F29-$E29),"")</f>
        <v/>
      </c>
      <c r="H29" s="18">
        <f>IFERROR(IF(OR($D29="",$C29=""),"",IF(SUMPRODUCT(--($C$5:$C$29=$C29),$D$5:$D$29)=0,"",$D29/SUMPRODUCT(--($C$5:$C$29=$C29),$D$5:$D$29))),"")</f>
        <v/>
      </c>
      <c r="I29">
        <f>IF(OR($H29="",$G29="",$K29="",$L29=""),"",IF(AND($H29&gt;=$L29,$G29&gt;=$K29),"Star",IF(AND($H29&gt;=$L29,$G29&lt;$K29),"Plowhorse",IF(AND($H29&lt;$L29,$G29&gt;=$K29),"Puzzle","Dog"))))</f>
        <v/>
      </c>
      <c r="J29">
        <f>IF($I29="","",IF($I29="Star","Mantener y destacar en carta",IF($I29="Plowhorse","Subir precio o bajar coste",IF($I29="Puzzle","Promocionar y reubicar en carta","Retirar o rediseñar"))))</f>
        <v/>
      </c>
      <c r="K29" s="19">
        <f>IFERROR(IF($C29="","",IF(SUMPRODUCT(--($C$5:$C$29=$C29),$D$5:$D$29)=0,"",ROUND(SUMPRODUCT(--($C$5:$C$29=$C29),$D$5:$D$29,$G$5:$G$29),2)/SUMPRODUCT(--($C$5:$C$29=$C29),$D$5:$D$29))),"")</f>
        <v/>
      </c>
      <c r="L29" s="20">
        <f>IFERROR(IF($C29="","",IF(SUMPRODUCT(--($C$5:$C$29=$C29),--($D$5:$D$29&gt;0))=0,"",$I$32/SUMPRODUCT(--($C$5:$C$29=$C29),--($D$5:$D$29&gt;0)))),"")</f>
        <v/>
      </c>
      <c r="M29" s="19">
        <f>IFERROR(IF(OR($F29="",$D$33=""),"",$F29*(1+$D$33)),"")</f>
        <v/>
      </c>
    </row>
    <row r="30">
      <c r="A30" s="29" t="inlineStr">
        <is>
          <t>RESUMEN Y PARÁMETROS — lo calcula el libro (v2.0)</t>
        </is>
      </c>
      <c r="B30" s="30" t="n"/>
      <c r="C30" s="30" t="n"/>
      <c r="D30" s="31" t="n"/>
      <c r="E30" s="32" t="n"/>
      <c r="F30" s="32" t="n"/>
      <c r="G30" s="32" t="n"/>
      <c r="H30" s="30" t="n"/>
      <c r="I30" s="30" t="n"/>
      <c r="J30" s="30" t="n"/>
      <c r="K30" s="32" t="n"/>
      <c r="L30" s="33" t="n"/>
      <c r="M30" s="32" t="n"/>
    </row>
    <row r="31">
      <c r="A31" s="30" t="n"/>
      <c r="B31" s="29" t="inlineStr">
        <is>
          <t>TOTAL / MEDIA PONDERADA</t>
        </is>
      </c>
      <c r="C31" s="30" t="n"/>
      <c r="D31" s="34">
        <f>IF(COUNT(D5:D29)=0,"",SUM(D5:D29))</f>
        <v>930.0</v>
      </c>
      <c r="E31" s="32" t="n"/>
      <c r="F31" s="32" t="n"/>
      <c r="G31" s="35">
        <f>IFERROR(IF($D$31="","",ROUND(SUMPRODUCT($D$5:$D$29,$G$5:$G$29),2)/$D$31),"")</f>
        <v>18.580645161290324</v>
      </c>
      <c r="H31" s="30" t="n"/>
      <c r="I31" s="30" t="n"/>
      <c r="J31" s="30" t="n"/>
      <c r="K31" s="32" t="n"/>
      <c r="L31" s="33" t="n"/>
      <c r="M31" s="32" t="n"/>
    </row>
    <row r="32">
      <c r="A32" s="30" t="n"/>
      <c r="B32" s="29" t="inlineStr">
        <is>
          <t>Umbral de popularidad si midieras el mix sobre la carta ENTERA (informativo — la clasificación usa el de cada familia, columna L)</t>
        </is>
      </c>
      <c r="C32" s="30" t="n"/>
      <c r="D32" s="36">
        <f>IFERROR(IF(COUNTIF($D$5:$D$29,"&gt;0")=0,"",$I$32/COUNTIF($D$5:$D$29,"&gt;0")),"")</f>
        <v>0.05833333333333333</v>
      </c>
      <c r="E32" s="32" t="n"/>
      <c r="F32" s="32" t="n"/>
      <c r="G32" s="32" t="n"/>
      <c r="H32" s="30" t="inlineStr">
        <is>
          <t>Factor del umbral</t>
        </is>
      </c>
      <c r="I32" s="37" t="n">
        <v>0.7</v>
      </c>
      <c r="J32" s="38" t="inlineStr">
        <is>
          <t>El clásico es el 70 % del mix medio: umbral = factor / nº de platos con ventas. Súbelo si tu carta es muy corta.</t>
        </is>
      </c>
      <c r="K32" s="32" t="n"/>
      <c r="L32" s="33" t="n"/>
      <c r="M32" s="32" t="n"/>
    </row>
    <row r="33">
      <c r="A33" s="30" t="n"/>
      <c r="B33" s="30" t="inlineStr">
        <is>
          <t>Tipo de IVA de restauración (%)</t>
        </is>
      </c>
      <c r="C33" s="30" t="n"/>
      <c r="D33" s="39" t="n">
        <v>0.1</v>
      </c>
      <c r="E33" s="32" t="n"/>
      <c r="F33" s="32" t="n"/>
      <c r="G33" s="40" t="inlineStr">
        <is>
          <t>10 % en restauración, INCLUIDA la bebida alcohólica servida en sala: el art. 91.Uno.2.2 de la Ley del IVA grava a ese tipo los servicios de hostelería y «el suministro de comidas y bebidas para consumir en el acto», y no excluye el alcohol. Cámbialo aquí y se recalcula todo el libro.</t>
        </is>
      </c>
      <c r="H33" s="30" t="n"/>
      <c r="I33" s="30" t="n"/>
      <c r="J33" s="30" t="n"/>
      <c r="K33" s="32" t="n"/>
      <c r="L33" s="33" t="n"/>
      <c r="M33" s="32" t="n"/>
    </row>
    <row r="34">
      <c r="A34" s="30" t="n"/>
      <c r="B34" s="30" t="n"/>
      <c r="C34" s="30" t="n"/>
      <c r="D34" s="31" t="n"/>
      <c r="E34" s="32" t="n"/>
      <c r="F34" s="32" t="n"/>
      <c r="G34" s="32" t="n"/>
      <c r="H34" s="30" t="n"/>
      <c r="I34" s="30" t="n"/>
      <c r="J34" s="30" t="n"/>
      <c r="K34" s="32" t="n"/>
      <c r="L34" s="33" t="n"/>
      <c r="M34" s="32" t="n"/>
    </row>
    <row r="35">
      <c r="A35" s="30" t="n"/>
      <c r="B35" s="30" t="n"/>
      <c r="C35" s="30" t="n"/>
      <c r="D35" s="31" t="n"/>
      <c r="E35" s="32" t="n"/>
      <c r="F35" s="32" t="n"/>
      <c r="G35" s="32" t="n"/>
      <c r="H35" s="30" t="n"/>
      <c r="I35" s="30" t="n"/>
      <c r="J35" s="30" t="n"/>
      <c r="K35" s="32" t="n"/>
      <c r="L35" s="33" t="n"/>
      <c r="M35" s="32" t="n"/>
    </row>
    <row r="36">
      <c r="A36" s="30" t="n"/>
      <c r="B36" s="30" t="n"/>
      <c r="C36" s="30" t="n"/>
      <c r="D36" s="31" t="n"/>
      <c r="E36" s="32" t="n"/>
      <c r="F36" s="32" t="n"/>
      <c r="G36" s="32" t="n"/>
      <c r="H36" s="30" t="n"/>
      <c r="I36" s="30" t="n"/>
      <c r="J36" s="30" t="n"/>
      <c r="K36" s="32" t="n"/>
      <c r="L36" s="33" t="n"/>
      <c r="M36" s="32" t="n"/>
    </row>
    <row r="37">
      <c r="A37" s="30" t="n"/>
      <c r="B37" s="30" t="n"/>
      <c r="C37" s="30" t="n"/>
      <c r="D37" s="31" t="n"/>
      <c r="E37" s="32" t="n"/>
      <c r="F37" s="32" t="n"/>
      <c r="G37" s="32" t="n"/>
      <c r="H37" s="30" t="n"/>
      <c r="I37" s="30" t="n"/>
      <c r="J37" s="30" t="n"/>
      <c r="K37" s="32" t="n"/>
      <c r="L37" s="33" t="n"/>
      <c r="M37" s="32" t="n"/>
    </row>
    <row r="38">
      <c r="A38" s="30" t="n"/>
      <c r="B38" s="30" t="n"/>
      <c r="C38" s="30" t="n"/>
      <c r="D38" s="31" t="n"/>
      <c r="E38" s="32" t="n"/>
      <c r="F38" s="32" t="n"/>
      <c r="G38" s="32" t="n"/>
      <c r="H38" s="30" t="n"/>
      <c r="I38" s="30" t="n"/>
      <c r="J38" s="30" t="n"/>
      <c r="K38" s="32" t="n"/>
      <c r="L38" s="33" t="n"/>
      <c r="M38" s="32" t="n"/>
    </row>
    <row r="39">
      <c r="A39" s="30" t="n"/>
      <c r="B39" s="30" t="n"/>
      <c r="C39" s="30" t="n"/>
      <c r="D39" s="31" t="n"/>
      <c r="E39" s="32" t="n"/>
      <c r="F39" s="32" t="n"/>
      <c r="G39" s="32" t="n"/>
      <c r="H39" s="30" t="n"/>
      <c r="I39" s="30" t="n"/>
      <c r="J39" s="30" t="n"/>
      <c r="K39" s="32" t="n"/>
      <c r="L39" s="33" t="n"/>
      <c r="M39" s="32" t="n"/>
    </row>
    <row r="40">
      <c r="A40" s="30" t="n"/>
      <c r="B40" s="30" t="n"/>
      <c r="C40" s="30" t="n"/>
      <c r="D40" s="31" t="n"/>
      <c r="E40" s="32" t="n"/>
      <c r="F40" s="32" t="n"/>
      <c r="G40" s="32" t="n"/>
      <c r="H40" s="30" t="n"/>
      <c r="I40" s="30" t="n"/>
      <c r="J40" s="30" t="n"/>
      <c r="K40" s="32" t="n"/>
      <c r="L40" s="33" t="n"/>
      <c r="M40" s="32" t="n"/>
    </row>
    <row r="41">
      <c r="A41" s="30" t="n"/>
      <c r="B41" s="30" t="n"/>
      <c r="C41" s="30" t="n"/>
      <c r="D41" s="31" t="n"/>
      <c r="E41" s="32" t="n"/>
      <c r="F41" s="32" t="n"/>
      <c r="G41" s="32" t="n"/>
      <c r="H41" s="30" t="n"/>
      <c r="I41" s="30" t="n"/>
      <c r="J41" s="30" t="n"/>
      <c r="K41" s="32" t="n"/>
      <c r="L41" s="33" t="n"/>
      <c r="M41" s="32" t="n"/>
    </row>
    <row r="42">
      <c r="A42" s="30" t="n"/>
      <c r="B42" s="30" t="n"/>
      <c r="C42" s="30" t="n"/>
      <c r="D42" s="31" t="n"/>
      <c r="E42" s="32" t="n"/>
      <c r="F42" s="32" t="n"/>
      <c r="G42" s="32" t="n"/>
      <c r="H42" s="30" t="n"/>
      <c r="I42" s="30" t="n"/>
      <c r="J42" s="30" t="n"/>
      <c r="K42" s="32" t="n"/>
      <c r="L42" s="33" t="n"/>
      <c r="M42" s="32" t="n"/>
    </row>
  </sheetData>
  <sheetProtection selectLockedCells="0" selectUnlockedCells="0" sheet="1" objects="0" insertRows="0" insertHyperlinks="1" autoFilter="1" scenarios="0" formatColumns="0" deleteColumns="1" insertColumns="1" pivotTables="1" deleteRows="1" formatCells="1" formatRows="0" sort="0"/>
  <mergeCells count="2">
    <mergeCell ref="A2:H2"/>
    <mergeCell ref="A1:H1"/>
  </mergeCells>
  <conditionalFormatting sqref="I5:I29">
    <cfRule type="cellIs" priority="1" operator="equal" dxfId="0" stopIfTrue="1">
      <formula>"Dog"</formula>
    </cfRule>
    <cfRule type="cellIs" priority="2" operator="equal" dxfId="1" stopIfTrue="1">
      <formula>"Plowhorse"</formula>
    </cfRule>
    <cfRule type="cellIs" priority="3" operator="equal" dxfId="1" stopIfTrue="1">
      <formula>"Puzzle"</formula>
    </cfRule>
    <cfRule type="cellIs" priority="4" operator="equal" dxfId="2" stopIfTrue="1">
      <formula>"Star"</formula>
    </cfRule>
  </conditionalFormatting>
  <dataValidations count="3">
    <dataValidation sqref="C5 C6 C7 C8 C9 C10 C11 C12 C13 C14 C15 C16 C17 C18 C19 C20 C21 C22 C23 C24 C25 C26 C27 C28 C29" showDropDown="0" showInputMessage="0" showErrorMessage="1" allowBlank="1" errorTitle="Valor no válido" error="Elige un valor de la lista: Entrante, Principal, Postre, Menú degustación, Maridaje" type="list">
      <formula1>"Entrante,Principal,Postre,Menú degustación,Maridaje"</formula1>
    </dataValidation>
    <dataValidation sqref="D5 D6 D7 D8 D9 D10 D11 D12 D13 D14 D15 D16 D17 D18 D19 D20 D21 D22 D23 D24 D25 D26 D27 D28 D29 E5 E6 E7 E8 E9 E10 E11 E12 E13 E14 E15 E16 E17 E18 E19 E20 E21 E22 E23 E24 E25 E26 E27 E28 E29 F5 F6 F7 F8 F9 F10 F11 F12 F13 F14 F15 F16 F17 F18 F19 F20 F21 F22 F23 F24 F25 F26 F27 F28 F29" showDropDown="0" showInputMessage="0" showErrorMessage="1" allowBlank="1" errorTitle="Importe no válido" error="Escribe un número mayor o igual que 0." type="decimal" operator="greaterThanOrEqual">
      <formula1>0</formula1>
    </dataValidation>
    <dataValidation sqref="D33 I32"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Menu Engineering Matrix — Kasavana &amp; Smith · Cómo Montar un Restaurante Gastronómico 65 Plazas · v2.0</dc:title>
  <dc:description xmlns:dc="http://purl.org/dc/elements/1.1/">aichef.pro/guia-restaurante-gastronomico</dc:description>
  <dc:subject xmlns:dc="http://purl.org/dc/elements/1.1/">Cómo Montar un Restaurante Gastronómico 65 Plazas · v2.0</dc:subject>
  <dcterms:created xmlns:dcterms="http://purl.org/dc/terms/" xmlns:xsi="http://www.w3.org/2001/XMLSchema-instance" xsi:type="dcterms:W3CDTF">2026-04-05T22:25:49Z</dcterms:created>
  <dcterms:modified xmlns:dcterms="http://purl.org/dc/terms/" xmlns:xsi="http://www.w3.org/2001/XMLSchema-instance" xsi:type="dcterms:W3CDTF">2026-08-31T21:57:21Z</dcterms:modified>
  <cp:lastModifiedBy>AI Chef Pro</cp:lastModifiedBy>
  <cp:category>AI Chef Pro · Productos digitales</cp:category>
  <cp:keywords>guia restaurante gastronomico, AI Chef Pro</cp:keywords>
</cp:coreProperties>
</file>