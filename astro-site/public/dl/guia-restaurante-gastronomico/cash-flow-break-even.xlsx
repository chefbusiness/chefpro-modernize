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sh Flow 12 Meses" sheetId="2" state="visible" r:id="rId2"/>
  </sheets>
  <definedNames>
    <definedName name="_xlnm.Print_Titles" localSheetId="1">'Cash Flow 12 Meses'!$4:$4</definedName>
  </definedNames>
  <calcPr calcId="124519" fullCalcOnLoad="1"/>
</workbook>
</file>

<file path=xl/styles.xml><?xml version="1.0" encoding="utf-8"?>
<styleSheet xmlns="http://schemas.openxmlformats.org/spreadsheetml/2006/main">
  <numFmts count="2">
    <numFmt numFmtId="164" formatCode="#,##0.00 €"/>
    <numFmt numFmtId="165" formatCode="0.0%"/>
  </numFmts>
  <fonts count="11">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sz val="11"/>
    </font>
    <font>
      <name val="Calibri"/>
      <b val="1"/>
      <color rgb="001565C0"/>
      <sz val="11"/>
    </font>
    <font>
      <i val="1"/>
      <sz val="9"/>
    </font>
    <font>
      <b val="1"/>
      <color theme="1"/>
      <sz val="11"/>
    </font>
    <font>
      <color theme="1"/>
      <sz val="11"/>
    </font>
  </fonts>
  <fills count="5">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164" fontId="4" fillId="2" borderId="1" applyAlignment="1" pivotButton="0" quotePrefix="0" xfId="0">
      <alignment horizontal="center" vertical="center" wrapText="1"/>
    </xf>
    <xf numFmtId="164" fontId="7" fillId="0" borderId="1" applyAlignment="1" pivotButton="0" quotePrefix="0" xfId="0">
      <alignment horizontal="center" vertical="center" wrapText="1"/>
    </xf>
    <xf numFmtId="0" fontId="4" fillId="2" borderId="0" applyProtection="1" pivotButton="0" quotePrefix="0" xfId="0">
      <protection locked="0" hidden="0"/>
    </xf>
    <xf numFmtId="0" fontId="4" fillId="2" borderId="0" applyAlignment="1" applyProtection="1" pivotButton="0" quotePrefix="0" xfId="0">
      <alignment horizontal="left" vertical="top"/>
      <protection locked="0" hidden="0"/>
    </xf>
    <xf numFmtId="0" fontId="8" fillId="0" borderId="0" pivotButton="0" quotePrefix="0" xfId="0"/>
    <xf numFmtId="164" fontId="0" fillId="0" borderId="0" pivotButton="0" quotePrefix="0" xfId="0"/>
    <xf numFmtId="164" fontId="4" fillId="4" borderId="1" applyAlignment="1" applyProtection="1" pivotButton="0" quotePrefix="0" xfId="0">
      <alignment horizontal="center" vertical="center" wrapText="1"/>
      <protection locked="0" hidden="0"/>
    </xf>
    <xf numFmtId="164" fontId="9" fillId="0" borderId="0" pivotButton="0" quotePrefix="0" xfId="0"/>
    <xf numFmtId="0" fontId="9" fillId="0" borderId="0" pivotButton="0" quotePrefix="0" xfId="0"/>
    <xf numFmtId="165" fontId="0" fillId="4" borderId="0" applyProtection="1" pivotButton="0" quotePrefix="0" xfId="0">
      <protection locked="0" hidden="0"/>
    </xf>
    <xf numFmtId="165" fontId="0" fillId="0" borderId="0" pivotButton="0" quotePrefix="0" xfId="0"/>
    <xf numFmtId="164" fontId="0" fillId="4" borderId="0" applyProtection="1" pivotButton="0" quotePrefix="0" xfId="0">
      <protection locked="0" hidden="0"/>
    </xf>
    <xf numFmtId="0" fontId="8" fillId="0" borderId="0" applyAlignment="1" pivotButton="0" quotePrefix="0" xfId="0">
      <alignment horizontal="general" vertical="top" wrapText="1"/>
    </xf>
    <xf numFmtId="0" fontId="10" fillId="0" borderId="0" pivotButton="0" quotePrefix="0" xfId="0"/>
    <xf numFmtId="3" fontId="0" fillId="0" borderId="0" pivotButton="0" quotePrefix="0" xfId="0"/>
    <xf numFmtId="3" fontId="0" fillId="4" borderId="0" applyProtection="1" pivotButton="0" quotePrefix="0" xfId="0">
      <protection locked="0" hidden="0"/>
    </xf>
    <xf numFmtId="3" fontId="9" fillId="0" borderId="0" pivotButton="0" quotePrefix="0" xfId="0"/>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7"/>
  <sheetViews>
    <sheetView workbookViewId="0">
      <selection activeCell="A1" sqref="A1"/>
    </sheetView>
  </sheetViews>
  <sheetFormatPr baseColWidth="8" defaultRowHeight="15"/>
  <cols>
    <col width="80" customWidth="1" min="1" max="1"/>
  </cols>
  <sheetData>
    <row r="1" ht="30" customHeight="1">
      <c r="A1" s="1" t="inlineStr">
        <is>
          <t>Cash Flow y Break-Even</t>
        </is>
      </c>
    </row>
    <row r="2">
      <c r="A2" s="2" t="inlineStr">
        <is>
          <t>AI Chef Pro · aichef.pro — Restaurante Gastronómico</t>
        </is>
      </c>
    </row>
    <row r="3"/>
    <row r="4">
      <c r="A4" s="3" t="inlineStr">
        <is>
          <t>Instrucciones de uso</t>
        </is>
      </c>
    </row>
    <row r="5">
      <c r="A5" s="4" t="inlineStr">
        <is>
          <t>1. Rellena los ingresos y gastos mensuales previstos.</t>
        </is>
      </c>
    </row>
    <row r="6">
      <c r="A6" s="4" t="inlineStr">
        <is>
          <t>2. El cash flow acumulado y el break-even se calculan automáticamente.</t>
        </is>
      </c>
    </row>
    <row r="7"/>
    <row r="8">
      <c r="A8" s="11" t="inlineStr">
        <is>
          <t>Celdas verdes = campos editables</t>
        </is>
      </c>
    </row>
    <row r="9"/>
    <row r="10">
      <c r="A10" s="11" t="n"/>
    </row>
    <row r="11"/>
    <row r="12">
      <c r="A12" s="11" t="inlineStr">
        <is>
          <t>El break-even se lee sobre el flujo acumulado CON IVA y con la cuota del préstamo: sin la cuota, el punto de equilibrio sale antes de tiempo.</t>
        </is>
      </c>
    </row>
    <row r="13"/>
    <row r="14">
      <c r="A14" s="12" t="inlineStr">
        <is>
          <t>Todas las cifras van SIN IVA. En el cash flow también se escriben sin IVA: su capa de IVA (modelo 303) lo añade aparte, porque la tesorería es caja.</t>
        </is>
      </c>
    </row>
    <row r="15">
      <c r="A15" s="12" t="inlineStr">
        <is>
          <t>Para editar la estructura o una celda que no esté en verde: Revisar → Desproteger hoja (no tiene contraseña).</t>
        </is>
      </c>
    </row>
    <row r="16">
      <c r="A16" s="12" t="inlineStr">
        <is>
          <t>Diseñado por John Guerrero — chef y consultor gastronómico desde 2010, en cocina desde los 17 años · johnguerrero.es</t>
        </is>
      </c>
    </row>
    <row r="17">
      <c r="A17" s="12"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5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Cash Flow Mensual — 12 Meses</t>
        </is>
      </c>
    </row>
    <row r="2">
      <c r="A2" s="2" t="inlineStr">
        <is>
          <t>AI Chef Pro · aichef.pro — Restaurante Gastronómico</t>
        </is>
      </c>
    </row>
    <row r="3">
      <c r="A3" s="13" t="inlineStr">
        <is>
          <t>Escribe los ingresos y los gastos SIN IVA, igual que en el P&amp;L: la capa de IVA (modelo 303) de más abajo lo añade, porque el cash flow es caja.</t>
        </is>
      </c>
    </row>
    <row r="4">
      <c r="A4" s="6" t="inlineStr">
        <is>
          <t>Concepto</t>
        </is>
      </c>
      <c r="B4" s="6" t="inlineStr">
        <is>
          <t>Mes 1</t>
        </is>
      </c>
      <c r="C4" s="6" t="inlineStr">
        <is>
          <t>Mes 2</t>
        </is>
      </c>
      <c r="D4" s="6" t="inlineStr">
        <is>
          <t>Mes 3</t>
        </is>
      </c>
      <c r="E4" s="6" t="inlineStr">
        <is>
          <t>Mes 4</t>
        </is>
      </c>
      <c r="F4" s="6" t="inlineStr">
        <is>
          <t>Mes 5</t>
        </is>
      </c>
      <c r="G4" s="6" t="inlineStr">
        <is>
          <t>Mes 6</t>
        </is>
      </c>
      <c r="H4" s="6" t="inlineStr">
        <is>
          <t>Mes 7</t>
        </is>
      </c>
      <c r="I4" s="6" t="inlineStr">
        <is>
          <t>Mes 8</t>
        </is>
      </c>
      <c r="J4" s="6" t="inlineStr">
        <is>
          <t>Mes 9</t>
        </is>
      </c>
      <c r="K4" s="6" t="inlineStr">
        <is>
          <t>Mes 10</t>
        </is>
      </c>
      <c r="L4" s="6" t="inlineStr">
        <is>
          <t>Mes 11</t>
        </is>
      </c>
      <c r="M4" s="6" t="inlineStr">
        <is>
          <t>Mes 12</t>
        </is>
      </c>
      <c r="N4" s="6" t="inlineStr">
        <is>
          <t>Total Anual</t>
        </is>
      </c>
    </row>
    <row r="5">
      <c r="A5" s="7" t="inlineStr">
        <is>
          <t>INGRESOS</t>
        </is>
      </c>
      <c r="B5" s="14" t="n"/>
      <c r="C5" s="14" t="n"/>
      <c r="D5" s="14" t="n"/>
      <c r="E5" s="14" t="n"/>
      <c r="F5" s="14" t="n"/>
      <c r="G5" s="14" t="n"/>
      <c r="H5" s="14" t="n"/>
      <c r="I5" s="14" t="n"/>
      <c r="J5" s="14" t="n"/>
      <c r="K5" s="14" t="n"/>
      <c r="L5" s="14" t="n"/>
      <c r="M5" s="14" t="n"/>
      <c r="N5" s="14" t="n"/>
    </row>
    <row r="6">
      <c r="A6" s="8" t="inlineStr">
        <is>
          <t>Facturación comidas</t>
        </is>
      </c>
      <c r="B6" s="15" t="n">
        <v>24063.6</v>
      </c>
      <c r="C6" s="15" t="n">
        <v>28074.2</v>
      </c>
      <c r="D6" s="15" t="n">
        <v>32084.8</v>
      </c>
      <c r="E6" s="15" t="n">
        <v>34090.1</v>
      </c>
      <c r="F6" s="15" t="n">
        <v>36095.4</v>
      </c>
      <c r="G6" s="15" t="n">
        <v>38100.7</v>
      </c>
      <c r="H6" s="15" t="n">
        <v>40106</v>
      </c>
      <c r="I6" s="15" t="n">
        <v>40106</v>
      </c>
      <c r="J6" s="15" t="n">
        <v>40106</v>
      </c>
      <c r="K6" s="15" t="n">
        <v>40106</v>
      </c>
      <c r="L6" s="15" t="n">
        <v>40106</v>
      </c>
      <c r="M6" s="15" t="n">
        <v>40106</v>
      </c>
      <c r="N6" s="10">
        <f>SUM(B6:M6)</f>
        <v>433144.8</v>
      </c>
    </row>
    <row r="7">
      <c r="A7" s="8" t="inlineStr">
        <is>
          <t>Facturación cenas</t>
        </is>
      </c>
      <c r="B7" s="15" t="n">
        <v>69260.39999999999</v>
      </c>
      <c r="C7" s="15" t="n">
        <v>80803.8</v>
      </c>
      <c r="D7" s="15" t="n">
        <v>92347.2</v>
      </c>
      <c r="E7" s="15" t="n">
        <v>98118.89999999999</v>
      </c>
      <c r="F7" s="15" t="n">
        <v>103890.6</v>
      </c>
      <c r="G7" s="15" t="n">
        <v>109662.3</v>
      </c>
      <c r="H7" s="15" t="n">
        <v>115434</v>
      </c>
      <c r="I7" s="15" t="n">
        <v>115434</v>
      </c>
      <c r="J7" s="15" t="n">
        <v>115434</v>
      </c>
      <c r="K7" s="15" t="n">
        <v>115434</v>
      </c>
      <c r="L7" s="15" t="n">
        <v>115434</v>
      </c>
      <c r="M7" s="15" t="n">
        <v>115434</v>
      </c>
      <c r="N7" s="10">
        <f>SUM(B7:M7)</f>
        <v>1246687.2000000002</v>
      </c>
    </row>
    <row r="8">
      <c r="A8" s="8" t="inlineStr">
        <is>
          <t>Bebidas y vinos</t>
        </is>
      </c>
      <c r="B8" s="15" t="n">
        <v>20512.8</v>
      </c>
      <c r="C8" s="15" t="n">
        <v>23931.6</v>
      </c>
      <c r="D8" s="15" t="n">
        <v>27350.4</v>
      </c>
      <c r="E8" s="15" t="n">
        <v>29059.8</v>
      </c>
      <c r="F8" s="15" t="n">
        <v>30769.2</v>
      </c>
      <c r="G8" s="15" t="n">
        <v>32478.6</v>
      </c>
      <c r="H8" s="15" t="n">
        <v>34188</v>
      </c>
      <c r="I8" s="15" t="n">
        <v>34188</v>
      </c>
      <c r="J8" s="15" t="n">
        <v>34188</v>
      </c>
      <c r="K8" s="15" t="n">
        <v>34188</v>
      </c>
      <c r="L8" s="15" t="n">
        <v>34188</v>
      </c>
      <c r="M8" s="15" t="n">
        <v>34188</v>
      </c>
      <c r="N8" s="10">
        <f>SUM(B8:M8)</f>
        <v>369230.4</v>
      </c>
    </row>
    <row r="9">
      <c r="A9" s="8" t="inlineStr">
        <is>
          <t>Otros ingresos</t>
        </is>
      </c>
      <c r="B9" s="15" t="n">
        <v>0</v>
      </c>
      <c r="C9" s="15" t="n">
        <v>0</v>
      </c>
      <c r="D9" s="15" t="n">
        <v>0</v>
      </c>
      <c r="E9" s="15" t="n">
        <v>0</v>
      </c>
      <c r="F9" s="15" t="n">
        <v>0</v>
      </c>
      <c r="G9" s="15" t="n">
        <v>0</v>
      </c>
      <c r="H9" s="15" t="n">
        <v>0</v>
      </c>
      <c r="I9" s="15" t="n">
        <v>0</v>
      </c>
      <c r="J9" s="15" t="n">
        <v>0</v>
      </c>
      <c r="K9" s="15" t="n">
        <v>0</v>
      </c>
      <c r="L9" s="15" t="n">
        <v>0</v>
      </c>
      <c r="M9" s="15" t="n">
        <v>0</v>
      </c>
      <c r="N9" s="10">
        <f>SUM(B9:M9)</f>
        <v>0.0</v>
      </c>
    </row>
    <row r="10">
      <c r="A10" s="7" t="inlineStr">
        <is>
          <t>Total Ingresos</t>
        </is>
      </c>
      <c r="B10" s="14">
        <f>SUM(B6:B9)</f>
        <v>113836.8</v>
      </c>
      <c r="C10" s="14">
        <f>SUM(C6:C9)</f>
        <v>132809.6</v>
      </c>
      <c r="D10" s="14">
        <f>SUM(D6:D9)</f>
        <v>151782.4</v>
      </c>
      <c r="E10" s="14">
        <f>SUM(E6:E9)</f>
        <v>161268.8</v>
      </c>
      <c r="F10" s="14">
        <f>SUM(F6:F9)</f>
        <v>170755.2</v>
      </c>
      <c r="G10" s="14">
        <f>SUM(G6:G9)</f>
        <v>180241.6</v>
      </c>
      <c r="H10" s="14">
        <f>SUM(H6:H9)</f>
        <v>189728.0</v>
      </c>
      <c r="I10" s="14">
        <f>SUM(I6:I9)</f>
        <v>189728.0</v>
      </c>
      <c r="J10" s="14">
        <f>SUM(J6:J9)</f>
        <v>189728.0</v>
      </c>
      <c r="K10" s="14">
        <f>SUM(K6:K9)</f>
        <v>189728.0</v>
      </c>
      <c r="L10" s="14">
        <f>SUM(L6:L9)</f>
        <v>189728.0</v>
      </c>
      <c r="M10" s="14">
        <f>SUM(M6:M9)</f>
        <v>189728.0</v>
      </c>
      <c r="N10" s="14">
        <f>SUM(B10:M10)</f>
        <v>2049062.4</v>
      </c>
    </row>
    <row r="11">
      <c r="A11" s="8" t="inlineStr"/>
    </row>
    <row r="12">
      <c r="A12" s="7" t="inlineStr">
        <is>
          <t>GASTOS</t>
        </is>
      </c>
      <c r="B12" s="14" t="n"/>
      <c r="C12" s="14" t="n"/>
      <c r="D12" s="14" t="n"/>
      <c r="E12" s="14" t="n"/>
      <c r="F12" s="14" t="n"/>
      <c r="G12" s="14" t="n"/>
      <c r="H12" s="14" t="n"/>
      <c r="I12" s="14" t="n"/>
      <c r="J12" s="14" t="n"/>
      <c r="K12" s="14" t="n"/>
      <c r="L12" s="14" t="n"/>
      <c r="M12" s="14" t="n"/>
      <c r="N12" s="14" t="n"/>
    </row>
    <row r="13">
      <c r="A13" s="8" t="inlineStr">
        <is>
          <t>Materia prima</t>
        </is>
      </c>
      <c r="B13" s="15" t="n">
        <v>34151.04</v>
      </c>
      <c r="C13" s="15" t="n">
        <v>39842.88</v>
      </c>
      <c r="D13" s="15" t="n">
        <v>45534.72</v>
      </c>
      <c r="E13" s="15" t="n">
        <v>48380.64</v>
      </c>
      <c r="F13" s="15" t="n">
        <v>51226.56</v>
      </c>
      <c r="G13" s="15" t="n">
        <v>54072.48</v>
      </c>
      <c r="H13" s="15" t="n">
        <v>56918.4</v>
      </c>
      <c r="I13" s="15" t="n">
        <v>56918.4</v>
      </c>
      <c r="J13" s="15" t="n">
        <v>56918.4</v>
      </c>
      <c r="K13" s="15" t="n">
        <v>56918.4</v>
      </c>
      <c r="L13" s="15" t="n">
        <v>56918.4</v>
      </c>
      <c r="M13" s="15" t="n">
        <v>56918.4</v>
      </c>
      <c r="N13" s="10">
        <f>SUM(B13:M13)</f>
        <v>614718.7200000001</v>
      </c>
    </row>
    <row r="14">
      <c r="A14" s="8" t="inlineStr">
        <is>
          <t>Personal</t>
        </is>
      </c>
      <c r="B14" s="15" t="n">
        <v>59801.68</v>
      </c>
      <c r="C14" s="15" t="n">
        <v>59801.68</v>
      </c>
      <c r="D14" s="15" t="n">
        <v>59801.68</v>
      </c>
      <c r="E14" s="15" t="n">
        <v>59801.68</v>
      </c>
      <c r="F14" s="15" t="n">
        <v>59801.68</v>
      </c>
      <c r="G14" s="15" t="n">
        <v>59801.68</v>
      </c>
      <c r="H14" s="15" t="n">
        <v>59801.68</v>
      </c>
      <c r="I14" s="15" t="n">
        <v>59801.68</v>
      </c>
      <c r="J14" s="15" t="n">
        <v>59801.68</v>
      </c>
      <c r="K14" s="15" t="n">
        <v>59801.68</v>
      </c>
      <c r="L14" s="15" t="n">
        <v>59801.68</v>
      </c>
      <c r="M14" s="15" t="n">
        <v>59801.68</v>
      </c>
      <c r="N14" s="10">
        <f>SUM(B14:M14)</f>
        <v>717620.1600000001</v>
      </c>
    </row>
    <row r="15">
      <c r="A15" s="8" t="inlineStr">
        <is>
          <t>Alquiler</t>
        </is>
      </c>
      <c r="B15" s="15" t="n">
        <v>17000</v>
      </c>
      <c r="C15" s="15" t="n">
        <v>17000</v>
      </c>
      <c r="D15" s="15" t="n">
        <v>17000</v>
      </c>
      <c r="E15" s="15" t="n">
        <v>17000</v>
      </c>
      <c r="F15" s="15" t="n">
        <v>17000</v>
      </c>
      <c r="G15" s="15" t="n">
        <v>17000</v>
      </c>
      <c r="H15" s="15" t="n">
        <v>17000</v>
      </c>
      <c r="I15" s="15" t="n">
        <v>17000</v>
      </c>
      <c r="J15" s="15" t="n">
        <v>17000</v>
      </c>
      <c r="K15" s="15" t="n">
        <v>17000</v>
      </c>
      <c r="L15" s="15" t="n">
        <v>17000</v>
      </c>
      <c r="M15" s="15" t="n">
        <v>17000</v>
      </c>
      <c r="N15" s="10">
        <f>SUM(B15:M15)</f>
        <v>204000.0</v>
      </c>
    </row>
    <row r="16">
      <c r="A16" s="8" t="inlineStr">
        <is>
          <t>Suministros</t>
        </is>
      </c>
      <c r="B16" s="15" t="n">
        <v>6000</v>
      </c>
      <c r="C16" s="15" t="n">
        <v>6000</v>
      </c>
      <c r="D16" s="15" t="n">
        <v>6000</v>
      </c>
      <c r="E16" s="15" t="n">
        <v>6000</v>
      </c>
      <c r="F16" s="15" t="n">
        <v>6000</v>
      </c>
      <c r="G16" s="15" t="n">
        <v>6000</v>
      </c>
      <c r="H16" s="15" t="n">
        <v>6000</v>
      </c>
      <c r="I16" s="15" t="n">
        <v>6000</v>
      </c>
      <c r="J16" s="15" t="n">
        <v>6000</v>
      </c>
      <c r="K16" s="15" t="n">
        <v>6000</v>
      </c>
      <c r="L16" s="15" t="n">
        <v>6000</v>
      </c>
      <c r="M16" s="15" t="n">
        <v>6000</v>
      </c>
      <c r="N16" s="10">
        <f>SUM(B16:M16)</f>
        <v>72000.0</v>
      </c>
    </row>
    <row r="17">
      <c r="A17" s="8" t="inlineStr">
        <is>
          <t>Marketing</t>
        </is>
      </c>
      <c r="B17" s="15" t="n">
        <v>3500</v>
      </c>
      <c r="C17" s="15" t="n">
        <v>3500</v>
      </c>
      <c r="D17" s="15" t="n">
        <v>3500</v>
      </c>
      <c r="E17" s="15" t="n">
        <v>3500</v>
      </c>
      <c r="F17" s="15" t="n">
        <v>3500</v>
      </c>
      <c r="G17" s="15" t="n">
        <v>3500</v>
      </c>
      <c r="H17" s="15" t="n">
        <v>3500</v>
      </c>
      <c r="I17" s="15" t="n">
        <v>3500</v>
      </c>
      <c r="J17" s="15" t="n">
        <v>3500</v>
      </c>
      <c r="K17" s="15" t="n">
        <v>3500</v>
      </c>
      <c r="L17" s="15" t="n">
        <v>3500</v>
      </c>
      <c r="M17" s="15" t="n">
        <v>3500</v>
      </c>
      <c r="N17" s="10">
        <f>SUM(B17:M17)</f>
        <v>42000.0</v>
      </c>
    </row>
    <row r="18">
      <c r="A18" s="8" t="inlineStr">
        <is>
          <t>Otros gastos</t>
        </is>
      </c>
      <c r="B18" s="15" t="n">
        <v>12500</v>
      </c>
      <c r="C18" s="15" t="n">
        <v>12500</v>
      </c>
      <c r="D18" s="15" t="n">
        <v>12500</v>
      </c>
      <c r="E18" s="15" t="n">
        <v>12500</v>
      </c>
      <c r="F18" s="15" t="n">
        <v>12500</v>
      </c>
      <c r="G18" s="15" t="n">
        <v>12500</v>
      </c>
      <c r="H18" s="15" t="n">
        <v>12500</v>
      </c>
      <c r="I18" s="15" t="n">
        <v>12500</v>
      </c>
      <c r="J18" s="15" t="n">
        <v>12500</v>
      </c>
      <c r="K18" s="15" t="n">
        <v>12500</v>
      </c>
      <c r="L18" s="15" t="n">
        <v>12500</v>
      </c>
      <c r="M18" s="15" t="n">
        <v>12500</v>
      </c>
      <c r="N18" s="10">
        <f>SUM(B18:M18)</f>
        <v>150000.0</v>
      </c>
    </row>
    <row r="19">
      <c r="A19" s="7" t="inlineStr">
        <is>
          <t>Total Gastos</t>
        </is>
      </c>
      <c r="B19" s="14">
        <f>SUM(B13:B18)</f>
        <v>132952.72</v>
      </c>
      <c r="C19" s="14">
        <f>SUM(C13:C18)</f>
        <v>138644.56</v>
      </c>
      <c r="D19" s="14">
        <f>SUM(D13:D18)</f>
        <v>144336.4</v>
      </c>
      <c r="E19" s="14">
        <f>SUM(E13:E18)</f>
        <v>147182.32</v>
      </c>
      <c r="F19" s="14">
        <f>SUM(F13:F18)</f>
        <v>150028.24</v>
      </c>
      <c r="G19" s="14">
        <f>SUM(G13:G18)</f>
        <v>152874.16</v>
      </c>
      <c r="H19" s="14">
        <f>SUM(H13:H18)</f>
        <v>155720.08000000002</v>
      </c>
      <c r="I19" s="14">
        <f>SUM(I13:I18)</f>
        <v>155720.08000000002</v>
      </c>
      <c r="J19" s="14">
        <f>SUM(J13:J18)</f>
        <v>155720.08000000002</v>
      </c>
      <c r="K19" s="14">
        <f>SUM(K13:K18)</f>
        <v>155720.08000000002</v>
      </c>
      <c r="L19" s="14">
        <f>SUM(L13:L18)</f>
        <v>155720.08000000002</v>
      </c>
      <c r="M19" s="14">
        <f>SUM(M13:M18)</f>
        <v>155720.08000000002</v>
      </c>
      <c r="N19" s="14">
        <f>SUM(B19:M19)</f>
        <v>1800338.8800000004</v>
      </c>
    </row>
    <row r="20">
      <c r="A20" s="8" t="inlineStr"/>
    </row>
    <row r="21">
      <c r="A21" s="7" t="inlineStr">
        <is>
          <t>FLUJO DE CAJA NETO</t>
        </is>
      </c>
      <c r="B21" s="16">
        <f>B10-B19</f>
        <v>-19115.92</v>
      </c>
      <c r="C21" s="16">
        <f>C10-C19</f>
        <v>-5834.959999999992</v>
      </c>
      <c r="D21" s="16">
        <f>D10-D19</f>
        <v>7446.0</v>
      </c>
      <c r="E21" s="16">
        <f>E10-E19</f>
        <v>14086.479999999981</v>
      </c>
      <c r="F21" s="16">
        <f>F10-F19</f>
        <v>20726.96000000002</v>
      </c>
      <c r="G21" s="16">
        <f>G10-G19</f>
        <v>27367.440000000002</v>
      </c>
      <c r="H21" s="16">
        <f>H10-H19</f>
        <v>34007.919999999984</v>
      </c>
      <c r="I21" s="16">
        <f>I10-I19</f>
        <v>34007.919999999984</v>
      </c>
      <c r="J21" s="16">
        <f>J10-J19</f>
        <v>34007.919999999984</v>
      </c>
      <c r="K21" s="16">
        <f>K10-K19</f>
        <v>34007.919999999984</v>
      </c>
      <c r="L21" s="16">
        <f>L10-L19</f>
        <v>34007.919999999984</v>
      </c>
      <c r="M21" s="16">
        <f>M10-M19</f>
        <v>34007.919999999984</v>
      </c>
      <c r="N21" s="14">
        <f>SUM(B21:M21)</f>
        <v>248723.5199999999</v>
      </c>
    </row>
    <row r="22">
      <c r="A22" s="7" t="inlineStr">
        <is>
          <t>FLUJO ACUMULADO</t>
        </is>
      </c>
      <c r="B22" s="16">
        <f>B21</f>
        <v>-19115.92</v>
      </c>
      <c r="C22" s="16">
        <f>B22+C21</f>
        <v>-24950.87999999999</v>
      </c>
      <c r="D22" s="16">
        <f>C22+D21</f>
        <v>-17504.87999999999</v>
      </c>
      <c r="E22" s="16">
        <f>D22+E21</f>
        <v>-3418.4000000000087</v>
      </c>
      <c r="F22" s="16">
        <f>E22+F21</f>
        <v>17308.560000000012</v>
      </c>
      <c r="G22" s="16">
        <f>F22+G21</f>
        <v>44676.000000000015</v>
      </c>
      <c r="H22" s="16">
        <f>G22+H21</f>
        <v>78683.92</v>
      </c>
      <c r="I22" s="16">
        <f>H22+I21</f>
        <v>112691.83999999998</v>
      </c>
      <c r="J22" s="16">
        <f>I22+J21</f>
        <v>146699.75999999995</v>
      </c>
      <c r="K22" s="16">
        <f>J22+K21</f>
        <v>180707.67999999993</v>
      </c>
      <c r="L22" s="16">
        <f>K22+L21</f>
        <v>214715.59999999992</v>
      </c>
      <c r="M22" s="16">
        <f>L22+M21</f>
        <v>248723.5199999999</v>
      </c>
    </row>
    <row r="23"/>
    <row r="24">
      <c r="A24" s="17" t="inlineStr">
        <is>
          <t>IVA (MODELO 303) Y SERVICIO DE LA DEUDA</t>
        </is>
      </c>
      <c r="B24" s="14" t="n"/>
      <c r="C24" s="14" t="n"/>
      <c r="D24" s="14" t="n"/>
      <c r="E24" s="14" t="n"/>
      <c r="F24" s="14" t="n"/>
      <c r="G24" s="14" t="n"/>
      <c r="H24" s="14" t="n"/>
      <c r="I24" s="14" t="n"/>
      <c r="J24" s="14" t="n"/>
      <c r="K24" s="14" t="n"/>
      <c r="L24" s="14" t="n"/>
      <c r="M24" s="14" t="n"/>
      <c r="N24" s="14" t="n"/>
    </row>
    <row r="25">
      <c r="A25" t="inlineStr">
        <is>
          <t>Tipo de IVA de restauración (%)</t>
        </is>
      </c>
      <c r="B25" s="18" t="n">
        <v>0.1</v>
      </c>
      <c r="C25" s="19" t="n"/>
      <c r="D25" s="19" t="n"/>
      <c r="E25" s="19" t="n"/>
      <c r="F25" s="19" t="n"/>
      <c r="G25" s="19" t="n"/>
      <c r="H25" s="19" t="n"/>
      <c r="I25" s="19" t="n"/>
      <c r="J25" s="19" t="n"/>
      <c r="K25" s="19" t="n"/>
      <c r="L25" s="19" t="n"/>
      <c r="M25" s="19" t="n"/>
      <c r="N25" s="19" t="n"/>
    </row>
    <row r="26">
      <c r="A26" t="inlineStr">
        <is>
          <t>Tipo de IVA de la bebida alcohólica (%)</t>
        </is>
      </c>
      <c r="B26" s="18" t="n">
        <v>0.21</v>
      </c>
      <c r="C26" s="19" t="n"/>
      <c r="D26" s="19" t="n"/>
      <c r="E26" s="19" t="n"/>
      <c r="F26" s="19" t="n"/>
      <c r="G26" s="19" t="n"/>
      <c r="H26" s="19" t="n"/>
      <c r="I26" s="19" t="n"/>
      <c r="J26" s="19" t="n"/>
      <c r="K26" s="19" t="n"/>
      <c r="L26" s="19" t="n"/>
      <c r="M26" s="19" t="n"/>
      <c r="N26" s="19" t="n"/>
    </row>
    <row r="27">
      <c r="A27" t="inlineStr">
        <is>
          <t>Tipo de IVA general de los gastos (%)</t>
        </is>
      </c>
      <c r="B27" s="18" t="n">
        <v>0.21</v>
      </c>
      <c r="C27" s="19" t="n"/>
      <c r="D27" s="19" t="n"/>
      <c r="E27" s="19" t="n"/>
      <c r="F27" s="19" t="n"/>
      <c r="G27" s="19" t="n"/>
      <c r="H27" s="19" t="n"/>
      <c r="I27" s="19" t="n"/>
      <c r="J27" s="19" t="n"/>
      <c r="K27" s="19" t="n"/>
      <c r="L27" s="19" t="n"/>
      <c r="M27" s="19" t="n"/>
      <c r="N27" s="19" t="n"/>
    </row>
    <row r="28">
      <c r="A28" t="inlineStr">
        <is>
          <t>Base mensual de gastos con IVA (alquiler, suministros, marketing, otros) (€)</t>
        </is>
      </c>
      <c r="B28" s="20" t="n">
        <v>39000</v>
      </c>
      <c r="C28" s="14" t="n"/>
      <c r="D28" s="14" t="n"/>
      <c r="E28" s="14" t="n"/>
      <c r="F28" s="14" t="n"/>
      <c r="G28" s="14" t="n"/>
      <c r="H28" s="14" t="n"/>
      <c r="I28" s="14" t="n"/>
      <c r="J28" s="14" t="n"/>
      <c r="K28" s="14" t="n"/>
      <c r="L28" s="14" t="n"/>
      <c r="M28" s="14" t="n"/>
      <c r="N28" s="14" t="n"/>
    </row>
    <row r="29">
      <c r="A29" s="21" t="inlineStr">
        <is>
          <t>10 % general de restauración y 21 % en bebidas alcohólicas (art. 91 de la Ley del IVA). Las nóminas y la Seguridad Social NO llevan IVA: por eso la base de gastos con IVA no es el total de gastos. Las filas de arriba se escriben SIN IVA, igual que el P&amp;L; esta capa lo añade porque el cash flow es caja.</t>
        </is>
      </c>
      <c r="B29" s="14" t="n"/>
      <c r="C29" s="14" t="n"/>
      <c r="D29" s="14" t="n"/>
      <c r="E29" s="14" t="n"/>
      <c r="F29" s="14" t="n"/>
      <c r="G29" s="14" t="n"/>
      <c r="H29" s="14" t="n"/>
      <c r="I29" s="14" t="n"/>
      <c r="J29" s="14" t="n"/>
      <c r="K29" s="14" t="n"/>
      <c r="L29" s="14" t="n"/>
      <c r="M29" s="14" t="n"/>
      <c r="N29" s="14" t="n"/>
    </row>
    <row r="30">
      <c r="A30" s="22" t="inlineStr">
        <is>
          <t>(+) IVA repercutido (cobrado con las ventas)</t>
        </is>
      </c>
      <c r="B30" s="14">
        <f>(B10-IF(ISNUMBER(B8),B8,0))*$B$25+IF(ISNUMBER(B8),B8,0)*$B$26</f>
        <v>13640.088</v>
      </c>
      <c r="C30" s="14">
        <f>(C10-IF(ISNUMBER(C8),C8,0))*$B$25+IF(ISNUMBER(C8),C8,0)*$B$26</f>
        <v>15913.436000000002</v>
      </c>
      <c r="D30" s="14">
        <f>(D10-IF(ISNUMBER(D8),D8,0))*$B$25+IF(ISNUMBER(D8),D8,0)*$B$26</f>
        <v>18186.784</v>
      </c>
      <c r="E30" s="14">
        <f>(E10-IF(ISNUMBER(E8),E8,0))*$B$25+IF(ISNUMBER(E8),E8,0)*$B$26</f>
        <v>19323.458000000002</v>
      </c>
      <c r="F30" s="14">
        <f>(F10-IF(ISNUMBER(F8),F8,0))*$B$25+IF(ISNUMBER(F8),F8,0)*$B$26</f>
        <v>20460.132</v>
      </c>
      <c r="G30" s="14">
        <f>(G10-IF(ISNUMBER(G8),G8,0))*$B$25+IF(ISNUMBER(G8),G8,0)*$B$26</f>
        <v>21596.806</v>
      </c>
      <c r="H30" s="14">
        <f>(H10-IF(ISNUMBER(H8),H8,0))*$B$25+IF(ISNUMBER(H8),H8,0)*$B$26</f>
        <v>22733.48</v>
      </c>
      <c r="I30" s="14">
        <f>(I10-IF(ISNUMBER(I8),I8,0))*$B$25+IF(ISNUMBER(I8),I8,0)*$B$26</f>
        <v>22733.48</v>
      </c>
      <c r="J30" s="14">
        <f>(J10-IF(ISNUMBER(J8),J8,0))*$B$25+IF(ISNUMBER(J8),J8,0)*$B$26</f>
        <v>22733.48</v>
      </c>
      <c r="K30" s="14">
        <f>(K10-IF(ISNUMBER(K8),K8,0))*$B$25+IF(ISNUMBER(K8),K8,0)*$B$26</f>
        <v>22733.48</v>
      </c>
      <c r="L30" s="14">
        <f>(L10-IF(ISNUMBER(L8),L8,0))*$B$25+IF(ISNUMBER(L8),L8,0)*$B$26</f>
        <v>22733.48</v>
      </c>
      <c r="M30" s="14">
        <f>(M10-IF(ISNUMBER(M8),M8,0))*$B$25+IF(ISNUMBER(M8),M8,0)*$B$26</f>
        <v>22733.48</v>
      </c>
      <c r="N30" s="14">
        <f>SUM(B30:M30)</f>
        <v>245521.58400000006</v>
      </c>
    </row>
    <row r="31">
      <c r="A31" s="22" t="inlineStr">
        <is>
          <t>(-) IVA soportado (compras y gastos con IVA; las nóminas y la Seguridad Social no llevan)</t>
        </is>
      </c>
      <c r="B31" s="14">
        <f>IF(ISNUMBER(B13),B13*$B$25,0)+IF(ISNUMBER($B$28),$B$28*$B$27,0)</f>
        <v>11605.104</v>
      </c>
      <c r="C31" s="14">
        <f>IF(ISNUMBER(C13),C13*$B$25,0)+IF(ISNUMBER($B$28),$B$28*$B$27,0)</f>
        <v>12174.288</v>
      </c>
      <c r="D31" s="14">
        <f>IF(ISNUMBER(D13),D13*$B$25,0)+IF(ISNUMBER($B$28),$B$28*$B$27,0)</f>
        <v>12743.472000000002</v>
      </c>
      <c r="E31" s="14">
        <f>IF(ISNUMBER(E13),E13*$B$25,0)+IF(ISNUMBER($B$28),$B$28*$B$27,0)</f>
        <v>13028.064</v>
      </c>
      <c r="F31" s="14">
        <f>IF(ISNUMBER(F13),F13*$B$25,0)+IF(ISNUMBER($B$28),$B$28*$B$27,0)</f>
        <v>13312.655999999999</v>
      </c>
      <c r="G31" s="14">
        <f>IF(ISNUMBER(G13),G13*$B$25,0)+IF(ISNUMBER($B$28),$B$28*$B$27,0)</f>
        <v>13597.248</v>
      </c>
      <c r="H31" s="14">
        <f>IF(ISNUMBER(H13),H13*$B$25,0)+IF(ISNUMBER($B$28),$B$28*$B$27,0)</f>
        <v>13881.84</v>
      </c>
      <c r="I31" s="14">
        <f>IF(ISNUMBER(I13),I13*$B$25,0)+IF(ISNUMBER($B$28),$B$28*$B$27,0)</f>
        <v>13881.84</v>
      </c>
      <c r="J31" s="14">
        <f>IF(ISNUMBER(J13),J13*$B$25,0)+IF(ISNUMBER($B$28),$B$28*$B$27,0)</f>
        <v>13881.84</v>
      </c>
      <c r="K31" s="14">
        <f>IF(ISNUMBER(K13),K13*$B$25,0)+IF(ISNUMBER($B$28),$B$28*$B$27,0)</f>
        <v>13881.84</v>
      </c>
      <c r="L31" s="14">
        <f>IF(ISNUMBER(L13),L13*$B$25,0)+IF(ISNUMBER($B$28),$B$28*$B$27,0)</f>
        <v>13881.84</v>
      </c>
      <c r="M31" s="14">
        <f>IF(ISNUMBER(M13),M13*$B$25,0)+IF(ISNUMBER($B$28),$B$28*$B$27,0)</f>
        <v>13881.84</v>
      </c>
      <c r="N31" s="14">
        <f>SUM(B31:M31)</f>
        <v>159751.87199999997</v>
      </c>
    </row>
    <row r="32">
      <c r="A32" s="22" t="inlineStr">
        <is>
          <t>(-) Liquidación de IVA (modelo 303) — trimestre natural, se ingresa del 1 al 20 del mes siguiente</t>
        </is>
      </c>
      <c r="B32" s="14" t="n"/>
      <c r="C32" s="14" t="n"/>
      <c r="D32" s="14" t="n"/>
      <c r="E32" s="14">
        <f>SUM(B30:D30)-SUM(B31:D31)</f>
        <v>11217.444000000003</v>
      </c>
      <c r="F32" s="14" t="n"/>
      <c r="G32" s="14" t="n"/>
      <c r="H32" s="14">
        <f>SUM(E30:G30)-SUM(E31:G31)</f>
        <v>21442.428000000007</v>
      </c>
      <c r="I32" s="14" t="n"/>
      <c r="J32" s="14" t="n"/>
      <c r="K32" s="14">
        <f>SUM(H30:J30)-SUM(H31:J31)</f>
        <v>26554.92</v>
      </c>
      <c r="L32" s="14" t="n"/>
      <c r="M32" s="14" t="n"/>
      <c r="N32" s="14">
        <f>SUM(B32:M32)</f>
        <v>59214.79200000001</v>
      </c>
    </row>
    <row r="33">
      <c r="A33" s="22" t="inlineStr">
        <is>
          <t>(-) Cuota del préstamo (capital + intereses) — la calcula plan-financiero-3-anos.xlsx, hoja «Financiación»</t>
        </is>
      </c>
      <c r="B33" s="20" t="n">
        <v>3208.33</v>
      </c>
      <c r="C33" s="20" t="n">
        <v>3208.33</v>
      </c>
      <c r="D33" s="20" t="n">
        <v>3208.33</v>
      </c>
      <c r="E33" s="20" t="n">
        <v>3208.33</v>
      </c>
      <c r="F33" s="20" t="n">
        <v>3208.33</v>
      </c>
      <c r="G33" s="20" t="n">
        <v>3208.33</v>
      </c>
      <c r="H33" s="20" t="n">
        <v>3208.33</v>
      </c>
      <c r="I33" s="20" t="n">
        <v>3208.33</v>
      </c>
      <c r="J33" s="20" t="n">
        <v>3208.33</v>
      </c>
      <c r="K33" s="20" t="n">
        <v>3208.33</v>
      </c>
      <c r="L33" s="20" t="n">
        <v>3208.33</v>
      </c>
      <c r="M33" s="20" t="n">
        <v>3208.33</v>
      </c>
      <c r="N33" s="14">
        <f>SUM(B33:M33)</f>
        <v>38499.96000000001</v>
      </c>
    </row>
    <row r="34">
      <c r="A34" s="17" t="inlineStr">
        <is>
          <t>FLUJO DE CAJA NETO CON IVA Y DEUDA</t>
        </is>
      </c>
      <c r="B34" s="16">
        <f>B21+B30-B31-IF(ISNUMBER(B32),B32,0)-B33</f>
        <v>-20289.265999999996</v>
      </c>
      <c r="C34" s="16">
        <f>C21+C30-C31-IF(ISNUMBER(C32),C32,0)-C33</f>
        <v>-5304.141999999991</v>
      </c>
      <c r="D34" s="16">
        <f>D21+D30-D31-IF(ISNUMBER(D32),D32,0)-D33</f>
        <v>9680.981999999998</v>
      </c>
      <c r="E34" s="16">
        <f>E21+E30-E31-IF(ISNUMBER(E32),E32,0)-E33</f>
        <v>5956.0999999999785</v>
      </c>
      <c r="F34" s="16">
        <f>F21+F30-F31-IF(ISNUMBER(F32),F32,0)-F33</f>
        <v>24666.10600000002</v>
      </c>
      <c r="G34" s="16">
        <f>G21+G30-G31-IF(ISNUMBER(G32),G32,0)-G33</f>
        <v>32158.667999999998</v>
      </c>
      <c r="H34" s="16">
        <f>H21+H30-H31-IF(ISNUMBER(H32),H32,0)-H33</f>
        <v>18208.801999999974</v>
      </c>
      <c r="I34" s="16">
        <f>I21+I30-I31-IF(ISNUMBER(I32),I32,0)-I33</f>
        <v>39651.22999999998</v>
      </c>
      <c r="J34" s="16">
        <f>J21+J30-J31-IF(ISNUMBER(J32),J32,0)-J33</f>
        <v>39651.22999999998</v>
      </c>
      <c r="K34" s="16">
        <f>K21+K30-K31-IF(ISNUMBER(K32),K32,0)-K33</f>
        <v>13096.309999999985</v>
      </c>
      <c r="L34" s="16">
        <f>L21+L30-L31-IF(ISNUMBER(L32),L32,0)-L33</f>
        <v>39651.22999999998</v>
      </c>
      <c r="M34" s="16">
        <f>M21+M30-M31-IF(ISNUMBER(M32),M32,0)-M33</f>
        <v>39651.22999999998</v>
      </c>
      <c r="N34" s="14">
        <f>SUM(B34:M34)</f>
        <v>236778.4799999999</v>
      </c>
    </row>
    <row r="35">
      <c r="A35" s="17" t="inlineStr">
        <is>
          <t>FLUJO ACUMULADO CON IVA Y DEUDA</t>
        </is>
      </c>
      <c r="B35" s="16">
        <f>B34</f>
        <v>-20289.265999999996</v>
      </c>
      <c r="C35" s="16">
        <f>B35+C34</f>
        <v>-25593.40799999999</v>
      </c>
      <c r="D35" s="16">
        <f>C35+D34</f>
        <v>-15912.42599999999</v>
      </c>
      <c r="E35" s="16">
        <f>D35+E34</f>
        <v>-9956.326000000012</v>
      </c>
      <c r="F35" s="16">
        <f>E35+F34</f>
        <v>14709.78000000001</v>
      </c>
      <c r="G35" s="16">
        <f>F35+G34</f>
        <v>46868.448000000004</v>
      </c>
      <c r="H35" s="16">
        <f>G35+H34</f>
        <v>65077.24999999998</v>
      </c>
      <c r="I35" s="16">
        <f>H35+I34</f>
        <v>104728.47999999995</v>
      </c>
      <c r="J35" s="16">
        <f>I35+J34</f>
        <v>144379.70999999993</v>
      </c>
      <c r="K35" s="16">
        <f>J35+K34</f>
        <v>157476.01999999993</v>
      </c>
      <c r="L35" s="16">
        <f>K35+L34</f>
        <v>197127.2499999999</v>
      </c>
      <c r="M35" s="16">
        <f>L35+M34</f>
        <v>236778.4799999999</v>
      </c>
      <c r="N35" s="14" t="n"/>
    </row>
    <row r="36">
      <c r="A36" s="22" t="inlineStr">
        <is>
          <t>IVA del 4.º trimestre — se liquida en enero del año siguiente (no es caja de este ejercicio)</t>
        </is>
      </c>
      <c r="B36" s="14" t="n"/>
      <c r="C36" s="14" t="n"/>
      <c r="D36" s="14" t="n"/>
      <c r="E36" s="14" t="n"/>
      <c r="F36" s="14" t="n"/>
      <c r="G36" s="14" t="n"/>
      <c r="H36" s="14" t="n"/>
      <c r="I36" s="14" t="n"/>
      <c r="J36" s="14" t="n"/>
      <c r="K36" s="14" t="n"/>
      <c r="L36" s="14" t="n"/>
      <c r="M36" s="14" t="n"/>
      <c r="N36" s="14">
        <f>SUM(K30:M30)-SUM(K31:M31)</f>
        <v>26554.92</v>
      </c>
    </row>
    <row r="37">
      <c r="A37" s="21" t="inlineStr">
        <is>
          <t>La cuota la calcula plan-financiero-3-anos.xlsx, hoja «Financiación»: durante la carencia se pagan SOLO intereses (su celda «Cuota mensual DURANTE la carencia») y después la cuota completa (su celda «Cuota MENSUAL tras la carencia»). Estos 12 meses son el AÑO 1: con el préstamo de ejemplo caen dentro de la carencia. Copia ahí el valor que te corresponda.</t>
        </is>
      </c>
      <c r="B37" s="23" t="n"/>
      <c r="C37" s="23" t="n"/>
      <c r="D37" s="23" t="n"/>
      <c r="E37" s="23" t="n"/>
      <c r="F37" s="23" t="n"/>
      <c r="G37" s="23" t="n"/>
      <c r="H37" s="23" t="n"/>
      <c r="I37" s="23" t="n"/>
      <c r="J37" s="23" t="n"/>
      <c r="K37" s="23" t="n"/>
      <c r="L37" s="23" t="n"/>
      <c r="M37" s="23" t="n"/>
      <c r="N37" s="23" t="n"/>
    </row>
    <row r="38">
      <c r="A38" s="17" t="inlineStr">
        <is>
          <t>TESORERÍA DE LA APERTURA</t>
        </is>
      </c>
      <c r="B38" s="14" t="n"/>
      <c r="C38" s="14" t="n"/>
      <c r="D38" s="14" t="n"/>
      <c r="E38" s="14" t="n"/>
      <c r="F38" s="14" t="n"/>
      <c r="G38" s="14" t="n"/>
      <c r="H38" s="14" t="n"/>
      <c r="I38" s="14" t="n"/>
      <c r="J38" s="14" t="n"/>
      <c r="K38" s="14" t="n"/>
      <c r="L38" s="14" t="n"/>
      <c r="M38" s="14" t="n"/>
      <c r="N38" s="14" t="n"/>
    </row>
    <row r="39">
      <c r="A39" t="inlineStr">
        <is>
          <t>Saldo inicial de tesorería (€) — solo el mes 1</t>
        </is>
      </c>
      <c r="B39" s="20" t="n">
        <v>934320.48</v>
      </c>
      <c r="C39" s="14" t="n"/>
      <c r="D39" s="14" t="n"/>
      <c r="E39" s="14" t="n"/>
      <c r="F39" s="14" t="n"/>
      <c r="G39" s="14" t="n"/>
      <c r="H39" s="14" t="n"/>
      <c r="I39" s="14" t="n"/>
      <c r="J39" s="14" t="n"/>
      <c r="K39" s="14" t="n"/>
      <c r="L39" s="14" t="n"/>
      <c r="M39" s="14" t="n"/>
      <c r="N39" s="14" t="n"/>
    </row>
    <row r="40">
      <c r="A40" t="inlineStr">
        <is>
          <t>(-) Desembolso de la inversión (CAPEX) pagado dentro de estos 12 meses (€)</t>
        </is>
      </c>
      <c r="B40" s="20" t="n"/>
      <c r="C40" s="20" t="n"/>
      <c r="D40" s="20" t="n"/>
      <c r="E40" s="20" t="n"/>
      <c r="F40" s="20" t="n"/>
      <c r="G40" s="20" t="n"/>
      <c r="H40" s="20" t="n"/>
      <c r="I40" s="20" t="n"/>
      <c r="J40" s="20" t="n"/>
      <c r="K40" s="20" t="n"/>
      <c r="L40" s="20" t="n"/>
      <c r="M40" s="20" t="n"/>
      <c r="N40" s="14" t="n"/>
    </row>
    <row r="41">
      <c r="A41" t="inlineStr">
        <is>
          <t>(-) IVA soportado de la inversión (recuperable en el 303, con su plazo) (€)</t>
        </is>
      </c>
      <c r="B41" s="20" t="n"/>
      <c r="C41" s="20" t="n"/>
      <c r="D41" s="20" t="n"/>
      <c r="E41" s="20" t="n"/>
      <c r="F41" s="20" t="n"/>
      <c r="G41" s="20" t="n"/>
      <c r="H41" s="20" t="n"/>
      <c r="I41" s="20" t="n"/>
      <c r="J41" s="20" t="n"/>
      <c r="K41" s="20" t="n"/>
      <c r="L41" s="20" t="n"/>
      <c r="M41" s="20" t="n"/>
      <c r="N41" s="14" t="n"/>
    </row>
    <row r="42">
      <c r="A42" s="17" t="inlineStr">
        <is>
          <t>SALDO DE TESORERÍA (fin de mes)</t>
        </is>
      </c>
      <c r="B42" s="16">
        <f>IF(ISNUMBER(B39),B39,0)+B34-IF(ISNUMBER(B40),B40,0)-IF(ISNUMBER(B41),B41,0)</f>
        <v>914031.214</v>
      </c>
      <c r="C42" s="16">
        <f>IF(ISNUMBER(B42),B42,0)+C34-IF(ISNUMBER(C40),C40,0)-IF(ISNUMBER(C41),C41,0)</f>
        <v>908727.072</v>
      </c>
      <c r="D42" s="16">
        <f>IF(ISNUMBER(C42),C42,0)+D34-IF(ISNUMBER(D40),D40,0)-IF(ISNUMBER(D41),D41,0)</f>
        <v>918408.054</v>
      </c>
      <c r="E42" s="16">
        <f>IF(ISNUMBER(D42),D42,0)+E34-IF(ISNUMBER(E40),E40,0)-IF(ISNUMBER(E41),E41,0)</f>
        <v>924364.154</v>
      </c>
      <c r="F42" s="16">
        <f>IF(ISNUMBER(E42),E42,0)+F34-IF(ISNUMBER(F40),F40,0)-IF(ISNUMBER(F41),F41,0)</f>
        <v>949030.26</v>
      </c>
      <c r="G42" s="16">
        <f>IF(ISNUMBER(F42),F42,0)+G34-IF(ISNUMBER(G40),G40,0)-IF(ISNUMBER(G41),G41,0)</f>
        <v>981188.928</v>
      </c>
      <c r="H42" s="16">
        <f>IF(ISNUMBER(G42),G42,0)+H34-IF(ISNUMBER(H40),H40,0)-IF(ISNUMBER(H41),H41,0)</f>
        <v>999397.73</v>
      </c>
      <c r="I42" s="16">
        <f>IF(ISNUMBER(H42),H42,0)+I34-IF(ISNUMBER(I40),I40,0)-IF(ISNUMBER(I41),I41,0)</f>
        <v>1039048.96</v>
      </c>
      <c r="J42" s="16">
        <f>IF(ISNUMBER(I42),I42,0)+J34-IF(ISNUMBER(J40),J40,0)-IF(ISNUMBER(J41),J41,0)</f>
        <v>1078700.19</v>
      </c>
      <c r="K42" s="16">
        <f>IF(ISNUMBER(J42),J42,0)+K34-IF(ISNUMBER(K40),K40,0)-IF(ISNUMBER(K41),K41,0)</f>
        <v>1091796.5</v>
      </c>
      <c r="L42" s="16">
        <f>IF(ISNUMBER(K42),K42,0)+L34-IF(ISNUMBER(L40),L40,0)-IF(ISNUMBER(L41),L41,0)</f>
        <v>1131447.73</v>
      </c>
      <c r="M42" s="16">
        <f>IF(ISNUMBER(L42),L42,0)+M34-IF(ISNUMBER(M40),M40,0)-IF(ISNUMBER(M41),M41,0)</f>
        <v>1171098.96</v>
      </c>
      <c r="N42" s="14" t="n"/>
    </row>
    <row r="43">
      <c r="A43" s="21" t="inlineStr">
        <is>
          <t>El «flujo acumulado» de arriba arranca en cero: mide la EXPLOTACIÓN. Esta fila mide la CAJA, y por eso parte del saldo con el que abres —el fondo de maniobra que dimensiona plan-financiero-3-anos.xlsx, hoja «Inversión»— y resta la parte de la inversión y de su IVA que pagues dentro de estos doce meses. Un cash flow de apertura sin saldo inicial dice que el negocio va bien el primer mes en que gana dinero, no cuando ha recuperado lo invertido.</t>
        </is>
      </c>
      <c r="B43" s="23" t="n"/>
      <c r="C43" s="23" t="n"/>
      <c r="D43" s="23" t="n"/>
      <c r="E43" s="23" t="n"/>
      <c r="F43" s="23" t="n"/>
      <c r="G43" s="23" t="n"/>
      <c r="H43" s="23" t="n"/>
      <c r="I43" s="23" t="n"/>
      <c r="J43" s="23" t="n"/>
      <c r="K43" s="23" t="n"/>
      <c r="L43" s="23" t="n"/>
      <c r="M43" s="23" t="n"/>
      <c r="N43" s="23" t="n"/>
    </row>
    <row r="44"/>
    <row r="45">
      <c r="A45" s="17" t="inlineStr">
        <is>
          <t>BREAK-EVEN</t>
        </is>
      </c>
    </row>
    <row r="46">
      <c r="A46" t="inlineStr">
        <is>
          <t>Costes fijos mensuales, sin amortización (€)</t>
        </is>
      </c>
      <c r="B46" s="20" t="n">
        <v>98801.67999999999</v>
      </c>
      <c r="C46" s="14" t="n"/>
      <c r="D46" s="14" t="n"/>
      <c r="E46" s="14" t="n"/>
      <c r="F46" s="14" t="n"/>
      <c r="G46" s="14" t="n"/>
      <c r="H46" s="14" t="n"/>
      <c r="I46" s="14" t="n"/>
      <c r="J46" s="14" t="n"/>
      <c r="K46" s="14" t="n"/>
      <c r="L46" s="14" t="n"/>
      <c r="M46" s="14" t="n"/>
      <c r="N46" s="14" t="n"/>
    </row>
    <row r="47">
      <c r="A47" t="inlineStr">
        <is>
          <t>Margen de contribución (%)</t>
        </is>
      </c>
      <c r="B47" s="18" t="n">
        <v>0.7</v>
      </c>
      <c r="C47" s="19" t="n"/>
      <c r="D47" s="19" t="n"/>
      <c r="E47" s="19" t="n"/>
      <c r="F47" s="19" t="n"/>
      <c r="G47" s="19" t="n"/>
      <c r="H47" s="19" t="n"/>
      <c r="I47" s="19" t="n"/>
      <c r="J47" s="19" t="n"/>
      <c r="K47" s="19" t="n"/>
      <c r="L47" s="19" t="n"/>
      <c r="M47" s="19" t="n"/>
      <c r="N47" s="19" t="n"/>
    </row>
    <row r="48">
      <c r="A48" t="inlineStr">
        <is>
          <t>Umbral de ventas mensual — solo explotación (€)</t>
        </is>
      </c>
      <c r="B48" s="16">
        <f>IFERROR(B46/B47,"")</f>
        <v>141145.25714285715</v>
      </c>
      <c r="C48" s="14" t="n"/>
      <c r="D48" s="14" t="n"/>
      <c r="E48" s="14" t="n"/>
      <c r="F48" s="14" t="n"/>
      <c r="G48" s="14" t="n"/>
      <c r="H48" s="14" t="n"/>
      <c r="I48" s="14" t="n"/>
      <c r="J48" s="14" t="n"/>
      <c r="K48" s="14" t="n"/>
      <c r="L48" s="14" t="n"/>
      <c r="M48" s="14" t="n"/>
      <c r="N48" s="14" t="n"/>
    </row>
    <row r="49">
      <c r="A49" t="inlineStr">
        <is>
          <t>Cuota mensual del préstamo (€)</t>
        </is>
      </c>
      <c r="B49" s="20" t="n">
        <v>3208.33</v>
      </c>
      <c r="C49" s="14" t="n"/>
      <c r="D49" s="14" t="n"/>
      <c r="E49" s="14" t="n"/>
      <c r="F49" s="14" t="n"/>
      <c r="G49" s="14" t="n"/>
      <c r="H49" s="14" t="n"/>
      <c r="I49" s="14" t="n"/>
      <c r="J49" s="14" t="n"/>
      <c r="K49" s="14" t="n"/>
      <c r="L49" s="14" t="n"/>
      <c r="M49" s="14" t="n"/>
      <c r="N49" s="14" t="n"/>
    </row>
    <row r="50">
      <c r="A50" t="inlineStr">
        <is>
          <t>Umbral de ventas mensual CON el servicio de la deuda (€)</t>
        </is>
      </c>
      <c r="B50" s="16">
        <f>IFERROR((B46+IF(ISNUMBER(B49),B49,0))/B47,"")</f>
        <v>145728.58571428573</v>
      </c>
      <c r="C50" s="14" t="n"/>
      <c r="D50" s="14" t="n"/>
      <c r="E50" s="14" t="n"/>
      <c r="F50" s="14" t="n"/>
      <c r="G50" s="14" t="n"/>
      <c r="H50" s="14" t="n"/>
      <c r="I50" s="14" t="n"/>
      <c r="J50" s="14" t="n"/>
      <c r="K50" s="14" t="n"/>
      <c r="L50" s="14" t="n"/>
      <c r="M50" s="14" t="n"/>
      <c r="N50" s="14" t="n"/>
    </row>
    <row r="51">
      <c r="A51" t="inlineStr">
        <is>
          <t>Ticket medio (€)</t>
        </is>
      </c>
      <c r="B51" s="20" t="n">
        <v>123.2</v>
      </c>
      <c r="C51" s="14" t="n"/>
      <c r="D51" s="14" t="n"/>
      <c r="E51" s="14" t="n"/>
      <c r="F51" s="14" t="n"/>
      <c r="G51" s="14" t="n"/>
      <c r="H51" s="14" t="n"/>
      <c r="I51" s="14" t="n"/>
      <c r="J51" s="14" t="n"/>
      <c r="K51" s="14" t="n"/>
      <c r="L51" s="14" t="n"/>
      <c r="M51" s="14" t="n"/>
      <c r="N51" s="14" t="n"/>
    </row>
    <row r="52">
      <c r="A52" t="inlineStr">
        <is>
          <t>Días abierto/mes</t>
        </is>
      </c>
      <c r="B52" s="24" t="n">
        <v>22</v>
      </c>
      <c r="C52" s="23" t="n"/>
      <c r="D52" s="23" t="n"/>
      <c r="E52" s="23" t="n"/>
      <c r="F52" s="23" t="n"/>
      <c r="G52" s="23" t="n"/>
      <c r="H52" s="23" t="n"/>
      <c r="I52" s="23" t="n"/>
      <c r="J52" s="23" t="n"/>
      <c r="K52" s="23" t="n"/>
      <c r="L52" s="23" t="n"/>
      <c r="M52" s="23" t="n"/>
      <c r="N52" s="23" t="n"/>
    </row>
    <row r="53">
      <c r="A53" t="inlineStr">
        <is>
          <t>Cubiertos/día necesarios (con el servicio de la deuda)</t>
        </is>
      </c>
      <c r="B53" s="25">
        <f>IFERROR(B50/(B51*B52),"")</f>
        <v>53.76644986507</v>
      </c>
      <c r="C53" s="23" t="n"/>
      <c r="D53" s="23" t="n"/>
      <c r="E53" s="23" t="n"/>
      <c r="F53" s="23" t="n"/>
      <c r="G53" s="23" t="n"/>
      <c r="H53" s="23" t="n"/>
      <c r="I53" s="23" t="n"/>
      <c r="J53" s="23" t="n"/>
      <c r="K53" s="23" t="n"/>
      <c r="L53" s="23" t="n"/>
      <c r="M53" s="23" t="n"/>
      <c r="N53" s="23" t="n"/>
    </row>
    <row r="54">
      <c r="A54" t="inlineStr">
        <is>
          <t>Mes de break-even de caja</t>
        </is>
      </c>
      <c r="B54" s="17">
        <f>IFERROR(MATCH(TRUE,INDEX(B35:M35&gt;0,0),0),"No alcanzado")</f>
        <v>5.0</v>
      </c>
    </row>
    <row r="55">
      <c r="A55" s="21" t="inlineStr">
        <is>
          <t>El mes de break-even se lee sobre el FLUJO ACUMULADO CON IVA Y DEUDA: un punto de equilibrio sin la cuota del préstamo es un punto de equilibrio falso. Si el acumulado nunca cruza a positivo, la celda dice «No alcanzado» — no un número. Los dos umbrales de arriba son la misma idea en euros: el de explotación paga la estructura; el de la deuda paga además al banco, y es el que hay que superar para no comerse el fondo de maniobra.</t>
        </is>
      </c>
      <c r="B55" s="14" t="n"/>
      <c r="C55" s="14" t="n"/>
      <c r="D55" s="14" t="n"/>
      <c r="E55" s="14" t="n"/>
      <c r="F55" s="14" t="n"/>
      <c r="G55" s="14" t="n"/>
      <c r="H55" s="14" t="n"/>
      <c r="I55" s="14" t="n"/>
      <c r="J55" s="14" t="n"/>
      <c r="K55" s="14" t="n"/>
      <c r="L55" s="14" t="n"/>
      <c r="M55" s="14" t="n"/>
      <c r="N55" s="14" t="n"/>
    </row>
  </sheetData>
  <sheetProtection selectLockedCells="0" selectUnlockedCells="0" sheet="1" objects="0" insertRows="0" insertHyperlinks="1" autoFilter="1" scenarios="0" formatColumns="0" deleteColumns="1" insertColumns="1" pivotTables="1" deleteRows="1" formatCells="1" formatRows="0" sort="0"/>
  <mergeCells count="2">
    <mergeCell ref="A1:N1"/>
    <mergeCell ref="A2:N2"/>
  </mergeCells>
  <conditionalFormatting sqref="B22:M22">
    <cfRule type="expression" priority="1" dxfId="0" stopIfTrue="1">
      <formula>=AND(ISNUMBER(B22),B22&lt;0)</formula>
    </cfRule>
  </conditionalFormatting>
  <conditionalFormatting sqref="B35:M35">
    <cfRule type="expression" priority="2" dxfId="0" stopIfTrue="1">
      <formula>=AND(ISNUMBER(B35),B35&lt;0)</formula>
    </cfRule>
  </conditionalFormatting>
  <conditionalFormatting sqref="B42:M42">
    <cfRule type="expression" priority="3" dxfId="0" stopIfTrue="1">
      <formula>=AND(ISNUMBER(B42),B42&lt;0)</formula>
    </cfRule>
  </conditionalFormatting>
  <dataValidations count="2">
    <dataValidation sqref="B6 B7 B8 B9 B13 B14 B15 B16 B17 B18 B28 B33 B39 B40 B41 B46 B49 B51 B52 C6 C7 C8 C9 C13 C14 C15 C16 C17 C18 C33 C40 C41 D6 D7 D8 D9 D13 D14 D15 D16 D17 D18 D33 D40 D41 E6 E7 E8 E9 E13 E14 E15 E16 E17 E18 E33 E40 E41 F6 F7 F8 F9 F13 F14 F15 F16 F17 F18 F33 F40 F41 G6 G7 G8 G9 G13 G14 G15 G16 G17 G18 G33 G40 G41 H6 H7 H8 H9 H13 H14 H15 H16 H17 H18 H33 H40 H41 I6 I7 I8 I9 I13 I14 I15 I16 I17 I18 I33 I40 I41 J6 J7 J8 J9 J13 J14 J15 J16 J17 J18 J33 J40 J41 K6 K7 K8 K9 K13 K14 K15 K16 K17 K18 K33 K40 K41 L6 L7 L8 L9 L13 L14 L15 L16 L17 L18 L33 L40 L41 M6 M7 M8 M9 M13 M14 M15 M16 M17 M18 M33 M40 M41" showDropDown="0" showInputMessage="0" showErrorMessage="1" allowBlank="1" errorTitle="Importe no válido" error="Escribe un número mayor o igual que 0." type="decimal" operator="greaterThanOrEqual">
      <formula1>0</formula1>
    </dataValidation>
    <dataValidation sqref="B25 B26 B27 B4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Cash Flow y Break-Even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2026-04-05T22:25:49Z</dcterms:created>
  <dcterms:modified xmlns:dcterms="http://purl.org/dc/terms/" xmlns:xsi="http://www.w3.org/2001/XMLSchema-instance" xsi:type="dcterms:W3CDTF">2026-08-29T07:45:03Z</dcterms:modified>
  <cp:lastModifiedBy>AI Chef Pro</cp:lastModifiedBy>
  <cp:category>AI Chef Pro · Productos digitales</cp:category>
  <cp:keywords>guia restaurante gastronomico, AI Chef Pro</cp:keywords>
</cp:coreProperties>
</file>