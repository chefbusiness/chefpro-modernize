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tratación Equipo" sheetId="2" state="visible" r:id="rId2"/>
  </sheets>
  <definedNames>
    <definedName name="_xlnm._FilterDatabase" localSheetId="1" hidden="1">'Contratación Equipo'!$A$4:$H$4</definedName>
    <definedName name="_xlnm.Print_Titles" localSheetId="1">'Contratación Equipo'!$4:$4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dd/mm/yyyy"/>
    <numFmt numFmtId="166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  <font>
      <b val="1"/>
      <color theme="1"/>
      <sz val="11"/>
    </font>
    <font>
      <b val="1"/>
      <sz val="16"/>
    </font>
    <font>
      <b val="1"/>
      <sz val="12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 vertical="top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165" fontId="4" fillId="4" borderId="1" applyAlignment="1" applyProtection="1" pivotButton="0" quotePrefix="0" xfId="0">
      <alignment horizontal="left" vertical="center" wrapText="1"/>
      <protection locked="0" hidden="0"/>
    </xf>
    <xf numFmtId="164" fontId="4" fillId="4" borderId="1" applyAlignment="1" applyProtection="1" pivotButton="0" quotePrefix="0" xfId="0">
      <alignment horizontal="left" vertical="center" wrapText="1"/>
      <protection locked="0" hidden="0"/>
    </xf>
    <xf numFmtId="165" fontId="0" fillId="0" borderId="0" pivotButton="0" quotePrefix="0" xfId="0"/>
    <xf numFmtId="164" fontId="0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166" fontId="6" fillId="0" borderId="0" pivotButton="0" quotePrefix="0" xfId="0"/>
    <xf numFmtId="164" fontId="10" fillId="0" borderId="0" pivotButton="0" quotePrefix="0" xfId="0"/>
    <xf numFmtId="3" fontId="10" fillId="0" borderId="0" pivotButton="0" quotePrefix="0" xfId="0"/>
    <xf numFmtId="166" fontId="10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595959"/>
      </font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9" t="inlineStr">
        <is>
          <t>Checklist Contratación Equipo</t>
        </is>
      </c>
    </row>
    <row r="2">
      <c r="A2" t="inlineStr">
        <is>
          <t>AI Chef Pro · aichef.pro — Restaurante Gastronómico</t>
        </is>
      </c>
    </row>
    <row r="3"/>
    <row r="4">
      <c r="A4" s="10" t="inlineStr">
        <is>
          <t>Instrucciones de uso</t>
        </is>
      </c>
    </row>
    <row r="5">
      <c r="A5" t="inlineStr">
        <is>
          <t>1. Rellena las celdas verdes con tus datos; el resto lo calcula el libro.</t>
        </is>
      </c>
    </row>
    <row r="6">
      <c r="A6" t="inlineStr">
        <is>
          <t>2. Las hojas están protegidas SIN contraseña para que una copia accidental no borre una fórmula.</t>
        </is>
      </c>
    </row>
    <row r="7"/>
    <row r="8">
      <c r="A8" t="inlineStr">
        <is>
          <t>Celdas verdes = campos editables</t>
        </is>
      </c>
    </row>
    <row r="9"/>
    <row r="10">
      <c r="A10" s="11" t="inlineStr">
        <is>
          <t>Para editar la estructura o una celda que no esté en verde: Revisar → Desproteger hoja (no tiene contraseña).</t>
        </is>
      </c>
    </row>
    <row r="11">
      <c r="A11" s="11" t="inlineStr">
        <is>
          <t>Diseñado por John Guerrero — chef y consultor gastronómico desde 2010, en cocina desde los 17 años · johnguerrero.es</t>
        </is>
      </c>
    </row>
    <row r="12">
      <c r="A12" s="11" t="inlineStr">
        <is>
          <t>Versión 2.0 · agosto 2026 · aichef.pro/guia-restaurante-gastronomico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C2"/>
    <mergeCell ref="A1:C1"/>
  </mergeCells>
  <pageMargins left="0.59" right="0.59" top="0.59" bottom="0.59" header="0.3" footer="0.3"/>
  <pageSetup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18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 ht="30" customHeight="1">
      <c r="A1" s="1" t="inlineStr">
        <is>
          <t>Checklist Contratación Equipo</t>
        </is>
      </c>
    </row>
    <row r="2">
      <c r="A2" s="2" t="inlineStr">
        <is>
          <t>AI Chef Pro · aichef.pro — Restaurante Gastronómico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Perfiles</t>
        </is>
      </c>
      <c r="C5" s="5" t="inlineStr">
        <is>
          <t>Definir organigrama completo (cocina + sala)</t>
        </is>
      </c>
      <c r="D5" s="12" t="inlineStr">
        <is>
          <t>Chef + Maître</t>
        </is>
      </c>
      <c r="E5" s="13" t="n"/>
      <c r="F5" s="12" t="inlineStr">
        <is>
          <t>Pendiente</t>
        </is>
      </c>
      <c r="G5" s="14" t="n">
        <v>0</v>
      </c>
      <c r="H5" s="12" t="n"/>
    </row>
    <row r="6">
      <c r="A6" s="4" t="n">
        <v>2</v>
      </c>
      <c r="B6" s="5" t="inlineStr">
        <is>
          <t>Perfiles</t>
        </is>
      </c>
      <c r="C6" s="5" t="inlineStr">
        <is>
          <t>Fichas de puesto: funciones, requisitos, salario</t>
        </is>
      </c>
      <c r="D6" s="12" t="inlineStr">
        <is>
          <t>RRHH</t>
        </is>
      </c>
      <c r="E6" s="13" t="n"/>
      <c r="F6" s="12" t="inlineStr">
        <is>
          <t>Pendiente</t>
        </is>
      </c>
      <c r="G6" s="14" t="n">
        <v>0</v>
      </c>
      <c r="H6" s="12" t="n"/>
    </row>
    <row r="7">
      <c r="A7" s="4" t="n">
        <v>3</v>
      </c>
      <c r="B7" s="5" t="inlineStr">
        <is>
          <t>Perfiles</t>
        </is>
      </c>
      <c r="C7" s="5" t="inlineStr">
        <is>
          <t>Chef Ejecutivo: experiencia mínima 5 años en fine dining</t>
        </is>
      </c>
      <c r="D7" s="12" t="inlineStr">
        <is>
          <t>Propietario</t>
        </is>
      </c>
      <c r="E7" s="13" t="n"/>
      <c r="F7" s="12" t="inlineStr">
        <is>
          <t>Pendiente</t>
        </is>
      </c>
      <c r="G7" s="14" t="n">
        <v>0</v>
      </c>
      <c r="H7" s="12" t="n"/>
    </row>
    <row r="8">
      <c r="A8" s="4" t="n">
        <v>4</v>
      </c>
      <c r="B8" s="5" t="inlineStr">
        <is>
          <t>Perfiles</t>
        </is>
      </c>
      <c r="C8" s="5" t="inlineStr">
        <is>
          <t>Sous Chef: experiencia mínima 3 años en gastronómico</t>
        </is>
      </c>
      <c r="D8" s="12" t="inlineStr">
        <is>
          <t>Chef</t>
        </is>
      </c>
      <c r="E8" s="13" t="n"/>
      <c r="F8" s="12" t="inlineStr">
        <is>
          <t>Pendiente</t>
        </is>
      </c>
      <c r="G8" s="14" t="n">
        <v>0</v>
      </c>
      <c r="H8" s="12" t="n"/>
    </row>
    <row r="9">
      <c r="A9" s="4" t="n">
        <v>5</v>
      </c>
      <c r="B9" s="5" t="inlineStr">
        <is>
          <t>Perfiles</t>
        </is>
      </c>
      <c r="C9" s="5" t="inlineStr">
        <is>
          <t>Sommelier: certificación WSET o equivalente</t>
        </is>
      </c>
      <c r="D9" s="12" t="inlineStr">
        <is>
          <t>Maître</t>
        </is>
      </c>
      <c r="E9" s="13" t="n"/>
      <c r="F9" s="12" t="inlineStr">
        <is>
          <t>Pendiente</t>
        </is>
      </c>
      <c r="G9" s="14" t="n">
        <v>0</v>
      </c>
      <c r="H9" s="12" t="n"/>
    </row>
    <row r="10">
      <c r="A10" s="4" t="n">
        <v>6</v>
      </c>
      <c r="B10" s="5" t="inlineStr">
        <is>
          <t>Perfiles</t>
        </is>
      </c>
      <c r="C10" s="5" t="inlineStr">
        <is>
          <t>Maître: experiencia mínima 3 años en sala premium</t>
        </is>
      </c>
      <c r="D10" s="12" t="inlineStr">
        <is>
          <t>Propietario</t>
        </is>
      </c>
      <c r="E10" s="13" t="n"/>
      <c r="F10" s="12" t="inlineStr">
        <is>
          <t>Pendiente</t>
        </is>
      </c>
      <c r="G10" s="14" t="n">
        <v>0</v>
      </c>
      <c r="H10" s="12" t="n"/>
    </row>
    <row r="11">
      <c r="A11" s="4" t="n">
        <v>7</v>
      </c>
      <c r="B11" s="5" t="inlineStr">
        <is>
          <t>Selección</t>
        </is>
      </c>
      <c r="C11" s="5" t="inlineStr">
        <is>
          <t>Publicar ofertas en portales especializados (Hostelería)</t>
        </is>
      </c>
      <c r="D11" s="12" t="inlineStr">
        <is>
          <t>RRHH</t>
        </is>
      </c>
      <c r="E11" s="13" t="n"/>
      <c r="F11" s="12" t="inlineStr">
        <is>
          <t>Pendiente</t>
        </is>
      </c>
      <c r="G11" s="14" t="n">
        <v>200</v>
      </c>
      <c r="H11" s="12" t="n"/>
    </row>
    <row r="12">
      <c r="A12" s="4" t="n">
        <v>8</v>
      </c>
      <c r="B12" s="5" t="inlineStr">
        <is>
          <t>Selección</t>
        </is>
      </c>
      <c r="C12" s="5" t="inlineStr">
        <is>
          <t>Contactar escuelas de hostelería (BCC, Hofmann, etc.)</t>
        </is>
      </c>
      <c r="D12" s="12" t="inlineStr">
        <is>
          <t>Chef</t>
        </is>
      </c>
      <c r="E12" s="13" t="n"/>
      <c r="F12" s="12" t="inlineStr">
        <is>
          <t>Pendiente</t>
        </is>
      </c>
      <c r="G12" s="14" t="n">
        <v>0</v>
      </c>
      <c r="H12" s="12" t="n"/>
    </row>
    <row r="13">
      <c r="A13" s="4" t="n">
        <v>9</v>
      </c>
      <c r="B13" s="5" t="inlineStr">
        <is>
          <t>Selección</t>
        </is>
      </c>
      <c r="C13" s="5" t="inlineStr">
        <is>
          <t>Pruebas prácticas para cocineros (cocinar un plato)</t>
        </is>
      </c>
      <c r="D13" s="12" t="inlineStr">
        <is>
          <t>Chef</t>
        </is>
      </c>
      <c r="E13" s="13" t="n"/>
      <c r="F13" s="12" t="inlineStr">
        <is>
          <t>Pendiente</t>
        </is>
      </c>
      <c r="G13" s="14" t="n">
        <v>0</v>
      </c>
      <c r="H13" s="12" t="n"/>
    </row>
    <row r="14">
      <c r="A14" s="4" t="n">
        <v>10</v>
      </c>
      <c r="B14" s="5" t="inlineStr">
        <is>
          <t>Selección</t>
        </is>
      </c>
      <c r="C14" s="5" t="inlineStr">
        <is>
          <t>Entrevistas de servicio para personal de sala</t>
        </is>
      </c>
      <c r="D14" s="12" t="inlineStr">
        <is>
          <t>Maître</t>
        </is>
      </c>
      <c r="E14" s="13" t="n"/>
      <c r="F14" s="12" t="inlineStr">
        <is>
          <t>Pendiente</t>
        </is>
      </c>
      <c r="G14" s="14" t="n">
        <v>0</v>
      </c>
      <c r="H14" s="12" t="n"/>
    </row>
    <row r="15">
      <c r="A15" s="4" t="n">
        <v>11</v>
      </c>
      <c r="B15" s="5" t="inlineStr">
        <is>
          <t>Selección</t>
        </is>
      </c>
      <c r="C15" s="5" t="inlineStr">
        <is>
          <t>Verificar referencias de empleos anteriores</t>
        </is>
      </c>
      <c r="D15" s="12" t="inlineStr">
        <is>
          <t>RRHH</t>
        </is>
      </c>
      <c r="E15" s="13" t="n"/>
      <c r="F15" s="12" t="inlineStr">
        <is>
          <t>Pendiente</t>
        </is>
      </c>
      <c r="G15" s="14" t="n">
        <v>0</v>
      </c>
      <c r="H15" s="12" t="n"/>
    </row>
    <row r="16">
      <c r="A16" s="4" t="n">
        <v>12</v>
      </c>
      <c r="B16" s="5" t="inlineStr">
        <is>
          <t>Selección</t>
        </is>
      </c>
      <c r="C16" s="5" t="inlineStr">
        <is>
          <t>Stage de prueba (1‑3 días) antes de contrato definitivo</t>
        </is>
      </c>
      <c r="D16" s="12" t="inlineStr">
        <is>
          <t>Chef/Maître</t>
        </is>
      </c>
      <c r="E16" s="13" t="n"/>
      <c r="F16" s="12" t="inlineStr">
        <is>
          <t>Pendiente</t>
        </is>
      </c>
      <c r="G16" s="14" t="n">
        <v>0</v>
      </c>
      <c r="H16" s="12" t="n"/>
    </row>
    <row r="17">
      <c r="A17" s="4" t="n">
        <v>13</v>
      </c>
      <c r="B17" s="5" t="inlineStr">
        <is>
          <t>Documentación</t>
        </is>
      </c>
      <c r="C17" s="5" t="inlineStr">
        <is>
          <t>Contrato de trabajo (modalidad según puesto)</t>
        </is>
      </c>
      <c r="D17" s="12" t="inlineStr">
        <is>
          <t>Asesor laboral</t>
        </is>
      </c>
      <c r="E17" s="13" t="n"/>
      <c r="F17" s="12" t="inlineStr">
        <is>
          <t>Pendiente</t>
        </is>
      </c>
      <c r="G17" s="14" t="n">
        <v>300</v>
      </c>
      <c r="H17" s="12" t="n"/>
    </row>
    <row r="18">
      <c r="A18" s="4" t="n">
        <v>14</v>
      </c>
      <c r="B18" s="5" t="inlineStr">
        <is>
          <t>Documentación</t>
        </is>
      </c>
      <c r="C18" s="5" t="inlineStr">
        <is>
          <t>Alta en Seguridad Social</t>
        </is>
      </c>
      <c r="D18" s="12" t="inlineStr">
        <is>
          <t>Asesor laboral</t>
        </is>
      </c>
      <c r="E18" s="13" t="n"/>
      <c r="F18" s="12" t="inlineStr">
        <is>
          <t>Pendiente</t>
        </is>
      </c>
      <c r="G18" s="14" t="n">
        <v>0</v>
      </c>
      <c r="H18" s="12" t="n"/>
    </row>
    <row r="19">
      <c r="A19" s="4" t="n">
        <v>15</v>
      </c>
      <c r="B19" s="5" t="inlineStr">
        <is>
          <t>Documentación</t>
        </is>
      </c>
      <c r="C19" s="5" t="inlineStr">
        <is>
          <t>Certificado manipulador alimentos</t>
        </is>
      </c>
      <c r="D19" s="12" t="inlineStr">
        <is>
          <t>Empleado</t>
        </is>
      </c>
      <c r="E19" s="13" t="n"/>
      <c r="F19" s="12" t="inlineStr">
        <is>
          <t>Pendiente</t>
        </is>
      </c>
      <c r="G19" s="14" t="n">
        <v>50</v>
      </c>
      <c r="H19" s="12" t="n"/>
    </row>
    <row r="20">
      <c r="A20" s="4" t="n">
        <v>16</v>
      </c>
      <c r="B20" s="5" t="inlineStr">
        <is>
          <t>Documentación</t>
        </is>
      </c>
      <c r="C20" s="5" t="inlineStr">
        <is>
          <t>Pacto de no competencia postcontractual CON compensación económica pactada (art. 21.2 ET; máx. 2 años para técnicos)</t>
        </is>
      </c>
      <c r="D20" s="12" t="inlineStr">
        <is>
          <t>Abogado</t>
        </is>
      </c>
      <c r="E20" s="13" t="n"/>
      <c r="F20" s="12" t="inlineStr">
        <is>
          <t>Pendiente</t>
        </is>
      </c>
      <c r="G20" s="14" t="n">
        <v>200</v>
      </c>
      <c r="H20" s="12" t="inlineStr">
        <is>
          <t>Sin compensación económica adecuada el pacto es NULO. La confidencialidad durante el contrato es otra cosa y sí se puede pactar sin compensación. Registro retributivo y protocolo de acoso están en el checklist legal, categoría Laboral.</t>
        </is>
      </c>
    </row>
    <row r="21">
      <c r="A21" s="4" t="n">
        <v>17</v>
      </c>
      <c r="B21" s="5" t="inlineStr">
        <is>
          <t>Documentación</t>
        </is>
      </c>
      <c r="C21" s="5" t="inlineStr">
        <is>
          <t>Reconocimiento médico inicial</t>
        </is>
      </c>
      <c r="D21" s="12" t="inlineStr">
        <is>
          <t>Mutua</t>
        </is>
      </c>
      <c r="E21" s="13" t="n"/>
      <c r="F21" s="12" t="inlineStr">
        <is>
          <t>Pendiente</t>
        </is>
      </c>
      <c r="G21" s="14" t="n">
        <v>60</v>
      </c>
      <c r="H21" s="12" t="n"/>
    </row>
    <row r="22">
      <c r="A22" s="4" t="n">
        <v>18</v>
      </c>
      <c r="B22" s="5" t="inlineStr">
        <is>
          <t>Onboarding</t>
        </is>
      </c>
      <c r="C22" s="5" t="inlineStr">
        <is>
          <t>Manual de bienvenida y procedimientos</t>
        </is>
      </c>
      <c r="D22" s="12" t="inlineStr">
        <is>
          <t>Chef/Maître</t>
        </is>
      </c>
      <c r="E22" s="13" t="n"/>
      <c r="F22" s="12" t="inlineStr">
        <is>
          <t>Pendiente</t>
        </is>
      </c>
      <c r="G22" s="14" t="n">
        <v>0</v>
      </c>
      <c r="H22" s="12" t="n"/>
    </row>
    <row r="23">
      <c r="A23" s="4" t="n">
        <v>19</v>
      </c>
      <c r="B23" s="5" t="inlineStr">
        <is>
          <t>Onboarding</t>
        </is>
      </c>
      <c r="C23" s="5" t="inlineStr">
        <is>
          <t>Formación APPCC y alérgenos (primer día)</t>
        </is>
      </c>
      <c r="D23" s="12" t="inlineStr">
        <is>
          <t>Resp. APPCC</t>
        </is>
      </c>
      <c r="E23" s="13" t="n"/>
      <c r="F23" s="12" t="inlineStr">
        <is>
          <t>Pendiente</t>
        </is>
      </c>
      <c r="G23" s="14" t="n">
        <v>0</v>
      </c>
      <c r="H23" s="12" t="n"/>
    </row>
    <row r="24">
      <c r="A24" s="4" t="n">
        <v>20</v>
      </c>
      <c r="B24" s="5" t="inlineStr">
        <is>
          <t>Onboarding</t>
        </is>
      </c>
      <c r="C24" s="5" t="inlineStr">
        <is>
          <t>Tour completo de instalaciones</t>
        </is>
      </c>
      <c r="D24" s="12" t="inlineStr">
        <is>
          <t>Sous Chef</t>
        </is>
      </c>
      <c r="E24" s="13" t="n"/>
      <c r="F24" s="12" t="inlineStr">
        <is>
          <t>Pendiente</t>
        </is>
      </c>
      <c r="G24" s="14" t="n">
        <v>0</v>
      </c>
      <c r="H24" s="12" t="n"/>
    </row>
    <row r="25">
      <c r="A25" s="4" t="n">
        <v>21</v>
      </c>
      <c r="B25" s="5" t="inlineStr">
        <is>
          <t>Onboarding</t>
        </is>
      </c>
      <c r="C25" s="5" t="inlineStr">
        <is>
          <t>Asignación de uniforme y taquilla</t>
        </is>
      </c>
      <c r="D25" s="12" t="inlineStr">
        <is>
          <t>RRHH</t>
        </is>
      </c>
      <c r="E25" s="13" t="n"/>
      <c r="F25" s="12" t="inlineStr">
        <is>
          <t>Pendiente</t>
        </is>
      </c>
      <c r="G25" s="14" t="n">
        <v>200</v>
      </c>
      <c r="H25" s="12" t="n"/>
    </row>
    <row r="26">
      <c r="A26" s="4" t="n">
        <v>22</v>
      </c>
      <c r="B26" s="5" t="inlineStr">
        <is>
          <t>Onboarding</t>
        </is>
      </c>
      <c r="C26" s="5" t="inlineStr">
        <is>
          <t>Presentación al equipo completo</t>
        </is>
      </c>
      <c r="D26" s="12" t="inlineStr">
        <is>
          <t>Chef/Maître</t>
        </is>
      </c>
      <c r="E26" s="13" t="n"/>
      <c r="F26" s="12" t="inlineStr">
        <is>
          <t>Pendiente</t>
        </is>
      </c>
      <c r="G26" s="14" t="n">
        <v>0</v>
      </c>
      <c r="H26" s="12" t="n"/>
    </row>
    <row r="27">
      <c r="A27" s="4" t="n">
        <v>23</v>
      </c>
      <c r="B27" s="5" t="inlineStr">
        <is>
          <t>Formación</t>
        </is>
      </c>
      <c r="C27" s="5" t="inlineStr">
        <is>
          <t>Sesiones de entrenamiento pre-apertura (2‑4 semanas)</t>
        </is>
      </c>
      <c r="D27" s="12" t="inlineStr">
        <is>
          <t>Chef</t>
        </is>
      </c>
      <c r="E27" s="13" t="n"/>
      <c r="F27" s="12" t="inlineStr">
        <is>
          <t>Pendiente</t>
        </is>
      </c>
      <c r="G27" s="14" t="n">
        <v>0</v>
      </c>
      <c r="H27" s="12" t="n"/>
    </row>
    <row r="28">
      <c r="A28" s="4" t="n">
        <v>24</v>
      </c>
      <c r="B28" s="5" t="inlineStr">
        <is>
          <t>Formación</t>
        </is>
      </c>
      <c r="C28" s="5" t="inlineStr">
        <is>
          <t>Formación en carta de vinos y maridajes (sala)</t>
        </is>
      </c>
      <c r="D28" s="12" t="inlineStr">
        <is>
          <t>Sommelier</t>
        </is>
      </c>
      <c r="E28" s="13" t="n"/>
      <c r="F28" s="12" t="inlineStr">
        <is>
          <t>Pendiente</t>
        </is>
      </c>
      <c r="G28" s="14" t="n">
        <v>0</v>
      </c>
      <c r="H28" s="12" t="n"/>
    </row>
    <row r="29">
      <c r="A29" s="4" t="n">
        <v>25</v>
      </c>
      <c r="B29" s="5" t="inlineStr">
        <is>
          <t>Formación</t>
        </is>
      </c>
      <c r="C29" s="5" t="inlineStr">
        <is>
          <t>Protocolo de servicio de sala (manual)</t>
        </is>
      </c>
      <c r="D29" s="12" t="inlineStr">
        <is>
          <t>Maître</t>
        </is>
      </c>
      <c r="E29" s="13" t="n"/>
      <c r="F29" s="12" t="inlineStr">
        <is>
          <t>Pendiente</t>
        </is>
      </c>
      <c r="G29" s="14" t="n">
        <v>0</v>
      </c>
      <c r="H29" s="12" t="n"/>
    </row>
    <row r="30">
      <c r="A30" s="4" t="n">
        <v>26</v>
      </c>
      <c r="B30" s="5" t="inlineStr">
        <is>
          <t>Formación</t>
        </is>
      </c>
      <c r="C30" s="5" t="inlineStr">
        <is>
          <t>Simulacro de servicio completo (soft opening)</t>
        </is>
      </c>
      <c r="D30" s="12" t="inlineStr">
        <is>
          <t>Todo equipo</t>
        </is>
      </c>
      <c r="E30" s="13" t="n"/>
      <c r="F30" s="12" t="inlineStr">
        <is>
          <t>Pendiente</t>
        </is>
      </c>
      <c r="G30" s="14" t="n">
        <v>500</v>
      </c>
      <c r="H30" s="12" t="n"/>
    </row>
    <row r="31">
      <c r="A31" s="4" t="n">
        <v>27</v>
      </c>
      <c r="B31" s="5" t="inlineStr">
        <is>
          <t>Legal</t>
        </is>
      </c>
      <c r="C31" s="5" t="inlineStr">
        <is>
          <t>Convenio colectivo de hostelería aplicable</t>
        </is>
      </c>
      <c r="D31" s="12" t="inlineStr">
        <is>
          <t>Asesor laboral</t>
        </is>
      </c>
      <c r="E31" s="13" t="n"/>
      <c r="F31" s="12" t="inlineStr">
        <is>
          <t>Pendiente</t>
        </is>
      </c>
      <c r="G31" s="14" t="n">
        <v>0</v>
      </c>
      <c r="H31" s="12" t="n"/>
    </row>
    <row r="32">
      <c r="A32" s="4" t="n">
        <v>28</v>
      </c>
      <c r="B32" s="5" t="inlineStr">
        <is>
          <t>Legal</t>
        </is>
      </c>
      <c r="C32" s="5" t="inlineStr">
        <is>
          <t>Cuadro horario visible en el centro de trabajo</t>
        </is>
      </c>
      <c r="D32" s="12" t="inlineStr">
        <is>
          <t>RRHH</t>
        </is>
      </c>
      <c r="E32" s="13" t="n"/>
      <c r="F32" s="12" t="inlineStr">
        <is>
          <t>Pendiente</t>
        </is>
      </c>
      <c r="G32" s="14" t="n">
        <v>0</v>
      </c>
      <c r="H32" s="12" t="n"/>
    </row>
    <row r="33">
      <c r="A33" s="4" t="n">
        <v>29</v>
      </c>
      <c r="B33" s="5" t="inlineStr">
        <is>
          <t>Legal</t>
        </is>
      </c>
      <c r="C33" s="5" t="inlineStr">
        <is>
          <t>Registro de jornada digital (obligatorio)</t>
        </is>
      </c>
      <c r="D33" s="12" t="inlineStr">
        <is>
          <t>RRHH</t>
        </is>
      </c>
      <c r="E33" s="13" t="n"/>
      <c r="F33" s="12" t="inlineStr">
        <is>
          <t>Pendiente</t>
        </is>
      </c>
      <c r="G33" s="14" t="n">
        <v>100</v>
      </c>
      <c r="H33" s="12" t="inlineStr">
        <is>
          <t>Es la implantación del sistema de fichaje. La obligación y la conservación 4 años están en el checklist legal, categoría Laboral: son la misma cosa, no dos gastos.</t>
        </is>
      </c>
    </row>
    <row r="34">
      <c r="A34" s="4" t="n">
        <v>30</v>
      </c>
      <c r="B34" s="5" t="inlineStr">
        <is>
          <t>Legal</t>
        </is>
      </c>
      <c r="C34" s="5" t="inlineStr">
        <is>
          <t>Plan de igualdad (50 o más personas trabajadoras)</t>
        </is>
      </c>
      <c r="D34" s="12" t="inlineStr">
        <is>
          <t>RRHH</t>
        </is>
      </c>
      <c r="E34" s="13" t="n"/>
      <c r="F34" s="12" t="inlineStr">
        <is>
          <t>Pendiente</t>
        </is>
      </c>
      <c r="G34" s="14" t="n">
        <v>0</v>
      </c>
      <c r="H34" s="12" t="inlineStr">
        <is>
          <t>El umbral es «50 o más», no «más de 50»: escrito con «&gt;50» dejaba fuera justo a la empresa de 50.</t>
        </is>
      </c>
    </row>
    <row r="35">
      <c r="E35" s="15" t="n"/>
      <c r="G35" s="16" t="n"/>
    </row>
    <row r="36">
      <c r="A36" s="17" t="inlineStr">
        <is>
          <t>RESUMEN — lo calcula el libro (v2.0)</t>
        </is>
      </c>
      <c r="B36" s="18" t="n"/>
      <c r="C36" s="18" t="n"/>
      <c r="D36" s="18" t="n"/>
      <c r="E36" s="18" t="n"/>
      <c r="F36" s="18" t="n"/>
      <c r="G36" s="18" t="n"/>
      <c r="H36" s="18" t="n"/>
    </row>
    <row r="37">
      <c r="A37" s="17" t="inlineStr">
        <is>
          <t>TOTAL PRESUPUESTADO (€)</t>
        </is>
      </c>
      <c r="B37" s="18" t="n"/>
      <c r="C37" s="18" t="n"/>
      <c r="D37" s="18" t="n"/>
      <c r="E37" s="18" t="n"/>
      <c r="F37" s="18" t="n"/>
      <c r="G37" s="23">
        <f>SUM(G5:G34)</f>
        <v>1610.0</v>
      </c>
      <c r="H37" s="18" t="n"/>
    </row>
    <row r="38">
      <c r="A38" s="17" t="inlineStr">
        <is>
          <t>Partidas SIN importe (a presupuestar)</t>
        </is>
      </c>
      <c r="B38" s="18" t="n"/>
      <c r="C38" s="18" t="n"/>
      <c r="D38" s="18" t="n"/>
      <c r="E38" s="18" t="n"/>
      <c r="F38" s="18" t="n"/>
      <c r="G38" s="24">
        <f>COUNTIF(B5:B34,"&lt;&gt;")-COUNT(G5:G34)</f>
        <v>0.0</v>
      </c>
      <c r="H38" s="18" t="inlineStr">
        <is>
          <t>El TOTAL de arriba es un SUELO: no incluye estas partidas, que van a presupuestar.</t>
        </is>
      </c>
    </row>
    <row r="39">
      <c r="A39" s="17" t="inlineStr">
        <is>
          <t>Avance del checklist (% completado)</t>
        </is>
      </c>
      <c r="B39" s="18" t="n"/>
      <c r="C39" s="18" t="n"/>
      <c r="D39" s="18" t="n"/>
      <c r="E39" s="18" t="n"/>
      <c r="F39" s="25">
        <f>IFERROR(COUNTIF(F5:F34,"Completado")/COUNTIF(F5:F34,"&lt;&gt;"),"")</f>
        <v>0.0</v>
      </c>
      <c r="G39" s="18" t="inlineStr">
        <is>
          <t>Estado terminal de este checklist: «Completado»</t>
        </is>
      </c>
      <c r="H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</row>
    <row r="41">
      <c r="A41" s="17" t="inlineStr">
        <is>
          <t>SUBTOTALES POR CATEGORÍA</t>
        </is>
      </c>
      <c r="B41" s="18" t="n"/>
      <c r="C41" s="18" t="n"/>
      <c r="D41" s="18" t="n"/>
      <c r="E41" s="18" t="n"/>
      <c r="F41" s="18" t="n"/>
      <c r="G41" s="18" t="n"/>
      <c r="H41" s="18" t="n"/>
    </row>
    <row r="42">
      <c r="A42" s="18" t="inlineStr">
        <is>
          <t>Perfiles</t>
        </is>
      </c>
      <c r="B42" s="18" t="n"/>
      <c r="C42" s="18" t="n"/>
      <c r="D42" s="18" t="n"/>
      <c r="E42" s="18" t="n"/>
      <c r="F42" s="18" t="n"/>
      <c r="G42" s="26">
        <f>SUMIF($B$5:$B$34,$A42,$G$5:$G$34)</f>
        <v>0.0</v>
      </c>
      <c r="H42" s="18" t="n"/>
    </row>
    <row r="43">
      <c r="A43" s="18" t="inlineStr">
        <is>
          <t>Selección</t>
        </is>
      </c>
      <c r="B43" s="18" t="n"/>
      <c r="C43" s="18" t="n"/>
      <c r="D43" s="18" t="n"/>
      <c r="E43" s="18" t="n"/>
      <c r="F43" s="18" t="n"/>
      <c r="G43" s="26">
        <f>SUMIF($B$5:$B$34,$A43,$G$5:$G$34)</f>
        <v>200.0</v>
      </c>
      <c r="H43" s="18" t="n"/>
    </row>
    <row r="44">
      <c r="A44" s="18" t="inlineStr">
        <is>
          <t>Documentación</t>
        </is>
      </c>
      <c r="B44" s="18" t="n"/>
      <c r="C44" s="18" t="n"/>
      <c r="D44" s="18" t="n"/>
      <c r="E44" s="18" t="n"/>
      <c r="F44" s="18" t="n"/>
      <c r="G44" s="26">
        <f>SUMIF($B$5:$B$34,$A44,$G$5:$G$34)</f>
        <v>610.0</v>
      </c>
      <c r="H44" s="18" t="n"/>
    </row>
    <row r="45">
      <c r="A45" s="18" t="inlineStr">
        <is>
          <t>Onboarding</t>
        </is>
      </c>
      <c r="B45" s="18" t="n"/>
      <c r="C45" s="18" t="n"/>
      <c r="D45" s="18" t="n"/>
      <c r="E45" s="18" t="n"/>
      <c r="F45" s="18" t="n"/>
      <c r="G45" s="26">
        <f>SUMIF($B$5:$B$34,$A45,$G$5:$G$34)</f>
        <v>200.0</v>
      </c>
      <c r="H45" s="18" t="n"/>
    </row>
    <row r="46">
      <c r="A46" s="18" t="inlineStr">
        <is>
          <t>Formación</t>
        </is>
      </c>
      <c r="B46" s="18" t="n"/>
      <c r="C46" s="18" t="n"/>
      <c r="D46" s="18" t="n"/>
      <c r="E46" s="18" t="n"/>
      <c r="F46" s="18" t="n"/>
      <c r="G46" s="26">
        <f>SUMIF($B$5:$B$34,$A46,$G$5:$G$34)</f>
        <v>500.0</v>
      </c>
      <c r="H46" s="18" t="n"/>
    </row>
    <row r="47">
      <c r="A47" s="18" t="inlineStr">
        <is>
          <t>Legal</t>
        </is>
      </c>
      <c r="B47" s="18" t="n"/>
      <c r="C47" s="18" t="n"/>
      <c r="D47" s="18" t="n"/>
      <c r="E47" s="18" t="n"/>
      <c r="F47" s="18" t="n"/>
      <c r="G47" s="26">
        <f>SUMIF($B$5:$B$34,$A47,$G$5:$G$34)</f>
        <v>100.0</v>
      </c>
      <c r="H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</row>
    <row r="49">
      <c r="A49" s="18" t="inlineStr">
        <is>
          <t>AI Chef Pro · aichef.pro — Restaurante Gastronómico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autoFilter ref="A4:H4"/>
  <mergeCells count="3">
    <mergeCell ref="A2:H2"/>
    <mergeCell ref="A1:H1"/>
    <mergeCell ref="A49:H49"/>
  </mergeCells>
  <conditionalFormatting sqref="F5:F34">
    <cfRule type="cellIs" priority="2" operator="equal" dxfId="0" stopIfTrue="1">
      <formula>"Completado"</formula>
    </cfRule>
    <cfRule type="cellIs" priority="3" operator="equal" dxfId="1" stopIfTrue="1">
      <formula>"En Curso"</formula>
    </cfRule>
    <cfRule type="cellIs" priority="4" operator="equal" dxfId="2" stopIfTrue="1">
      <formula>"Pendiente"</formula>
    </cfRule>
  </conditionalFormatting>
  <conditionalFormatting sqref="G38">
    <cfRule type="expression" priority="4" dxfId="1" stopIfTrue="1">
      <formula>=AND(ISNUMBER(G38),G38&gt;0)</formula>
    </cfRule>
  </conditionalFormatting>
  <dataValidations count="3">
    <dataValidation sqref="E5 E6 E7 E8 E9 E10 E11 E12 E13 E14 E15 E16 E17 E18 E19 E20 E21 E22 E23 E24 E25 E26 E27 E28 E29 E30 E31 E32 E33 E34" showDropDown="0" showInputMessage="0" showErrorMessage="1" allowBlank="1" errorTitle="Fecha no válida" error="Escribe una fecha (dd/mm/aaaa) entre 2020 y 2040." type="date" operator="between">
      <formula1>DATE(2020,1,1)</formula1>
      <formula2>DATE(2040,12,31)</formula2>
    </dataValidation>
    <dataValidation sqref="F5 F6 F7 F8 F9 F10 F11 F12 F13 F14 F15 F16 F17 F18 F19 F20 F21 F22 F23 F24 F25 F26 F27 F28 F29 F30 F31 F32 F33 F34" showDropDown="0" showInputMessage="0" showErrorMessage="1" allowBlank="1" errorTitle="Valor no válido" error="Elige un valor de la lista: Pendiente, En Curso, Completado" type="list">
      <formula1>"Pendiente,En Curso,Completado"</formula1>
    </dataValidation>
    <dataValidation sqref="G5 G6 G7 G8 G9 G10 G11 G12 G13 G14 G15 G16 G17 G18 G19 G20 G21 G22 G23 G24 G25 G26 G27 G28 G29 G30 G31 G32 G33 G34" showDropDown="0" showInputMessage="0" showErrorMessage="1" allowBlank="1" errorTitle="Importe no válido" error="Escribe un número mayor o igual que 0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Contratación Equipo · Cómo Montar un Restaurante Gastronómico 65 Plazas · v2.0</dc:title>
  <dc:description xmlns:dc="http://purl.org/dc/elements/1.1/">aichef.pro/guia-restaurante-gastronomico</dc:description>
  <dc:subject xmlns:dc="http://purl.org/dc/elements/1.1/">Cómo Montar un Restaurante Gastronómico 65 Plazas · v2.0</dc:subject>
  <dcterms:created xmlns:dcterms="http://purl.org/dc/terms/" xmlns:xsi="http://www.w3.org/2001/XMLSchema-instance" xsi:type="dcterms:W3CDTF">2026-04-05T22:25:50Z</dcterms:created>
  <dcterms:modified xmlns:dcterms="http://purl.org/dc/terms/" xmlns:xsi="http://www.w3.org/2001/XMLSchema-instance" xsi:type="dcterms:W3CDTF">2026-08-29T08:34:20Z</dcterms:modified>
  <cp:lastModifiedBy>AI Chef Pro</cp:lastModifiedBy>
  <cp:category>AI Chef Pro · Productos digitales</cp:category>
  <cp:keywords>guia restaurante gastronomico, AI Chef Pro</cp:keywords>
</cp:coreProperties>
</file>