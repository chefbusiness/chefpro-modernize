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enarios" sheetId="2" state="visible" r:id="rId2"/>
  </sheets>
  <definedNames>
    <definedName name="_xlnm.Print_Titles" localSheetId="1">'Escenarios'!$4:$4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i val="1"/>
      <sz val="9"/>
    </font>
    <font>
      <b val="1"/>
      <sz val="11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6" fillId="0" borderId="0" pivotButton="0" quotePrefix="0" xfId="0"/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general" vertical="top" wrapText="1"/>
    </xf>
    <xf numFmtId="164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0" fillId="4" borderId="0" applyProtection="1" pivotButton="0" quotePrefix="0" xfId="0">
      <protection locked="0" hidden="0"/>
    </xf>
    <xf numFmtId="164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P&amp;L Mensual con 3 Escenarios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Tres escenarios: Pesimista, Realista, Optimista.</t>
        </is>
      </c>
    </row>
    <row r="6">
      <c r="A6" s="4" t="inlineStr">
        <is>
          <t>2. Modifica los parámetros de entrada (celdas verdes).</t>
        </is>
      </c>
    </row>
    <row r="7">
      <c r="A7" s="4" t="inlineStr">
        <is>
          <t>3. Los resultados se calculan automáticamente.</t>
        </is>
      </c>
    </row>
    <row r="8"/>
    <row r="9">
      <c r="A9" s="10" t="inlineStr">
        <is>
          <t>Celdas verdes = campos editables</t>
        </is>
      </c>
    </row>
    <row r="10"/>
    <row r="11">
      <c r="A11" s="11" t="inlineStr">
        <is>
          <t>Todas las cifras van SIN IVA. En el cash flow también se escriben sin IVA: su capa de IVA (modelo 303) lo añade aparte, porque la tesorería es caja.</t>
        </is>
      </c>
    </row>
    <row r="12">
      <c r="A12" s="11" t="inlineStr">
        <is>
          <t>Para editar la estructura o una celda que no esté en verde: Revisar → Desproteger hoja (no tiene contraseña).</t>
        </is>
      </c>
    </row>
    <row r="13">
      <c r="A13" s="11" t="inlineStr">
        <is>
          <t>Diseñado por John Guerrero — chef y consultor gastronómico desde 2010, en cocina desde los 17 años · johnguerrero.es</t>
        </is>
      </c>
    </row>
    <row r="14">
      <c r="A14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" t="inlineStr">
        <is>
          <t>P&amp;L Mensual — 3 Escenarios</t>
        </is>
      </c>
    </row>
    <row r="2">
      <c r="A2" s="2" t="inlineStr">
        <is>
          <t>AI Chef Pro · aichef.pro — Restaurante Gastronómico</t>
        </is>
      </c>
    </row>
    <row r="3">
      <c r="A3" s="12" t="inlineStr">
        <is>
          <t>Todas las cifras van SIN IVA. En el cash flow también se escriben sin IVA: su capa de IVA (modelo 303) lo añade aparte, porque la tesorería es caja.</t>
        </is>
      </c>
    </row>
    <row r="4">
      <c r="A4" s="6" t="inlineStr">
        <is>
          <t>Concepto</t>
        </is>
      </c>
      <c r="B4" s="6" t="inlineStr">
        <is>
          <t>Pesimista</t>
        </is>
      </c>
      <c r="C4" s="6" t="inlineStr">
        <is>
          <t>Realista</t>
        </is>
      </c>
      <c r="D4" s="6" t="inlineStr">
        <is>
          <t>Optimista</t>
        </is>
      </c>
      <c r="E4" s="6" t="inlineStr">
        <is>
          <t>Notas</t>
        </is>
      </c>
    </row>
    <row r="5">
      <c r="A5" s="7" t="inlineStr">
        <is>
          <t>PARÁMETROS</t>
        </is>
      </c>
    </row>
    <row r="6">
      <c r="A6" s="8" t="inlineStr">
        <is>
          <t>Cubiertos/día comida</t>
        </is>
      </c>
      <c r="B6" s="13" t="n">
        <v>22</v>
      </c>
      <c r="C6" s="13" t="n">
        <v>25</v>
      </c>
      <c r="D6" s="13" t="n">
        <v>28</v>
      </c>
    </row>
    <row r="7">
      <c r="A7" s="8" t="inlineStr">
        <is>
          <t>Cubiertos/día cena</t>
        </is>
      </c>
      <c r="B7" s="13" t="n">
        <v>38</v>
      </c>
      <c r="C7" s="13" t="n">
        <v>45</v>
      </c>
      <c r="D7" s="13" t="n">
        <v>50</v>
      </c>
    </row>
    <row r="8">
      <c r="A8" s="8" t="inlineStr">
        <is>
          <t>Ticket medio comida (€)</t>
        </is>
      </c>
      <c r="B8" s="14" t="n">
        <v>72.25</v>
      </c>
      <c r="C8" s="14" t="n">
        <v>88.91</v>
      </c>
      <c r="D8" s="14" t="n">
        <v>98.25</v>
      </c>
    </row>
    <row r="9">
      <c r="A9" s="8" t="inlineStr">
        <is>
          <t>Ticket medio cena (€)</t>
        </is>
      </c>
      <c r="B9" s="14" t="n">
        <v>115.75</v>
      </c>
      <c r="C9" s="14" t="n">
        <v>142.25</v>
      </c>
      <c r="D9" s="14" t="n">
        <v>157.14</v>
      </c>
    </row>
    <row r="10">
      <c r="A10" s="8" t="inlineStr">
        <is>
          <t>Días abierto/mes</t>
        </is>
      </c>
      <c r="B10" s="13" t="n">
        <v>22</v>
      </c>
      <c r="C10" s="13" t="n">
        <v>22</v>
      </c>
      <c r="D10" s="13" t="n">
        <v>22</v>
      </c>
    </row>
    <row r="11">
      <c r="A11" s="8" t="inlineStr">
        <is>
          <t>Food cost (%)</t>
        </is>
      </c>
      <c r="B11" s="15" t="n">
        <v>0.32</v>
      </c>
      <c r="C11" s="15" t="n">
        <v>0.3</v>
      </c>
      <c r="D11" s="15" t="n">
        <v>0.28</v>
      </c>
      <c r="E11" s="16" t="inlineStr">
        <is>
          <t>Capítulo 3: 25‑28 % en el modelo de solo menú degustación y 28‑32 % en el de carta + menú.</t>
        </is>
      </c>
    </row>
    <row r="12">
      <c r="A12" s="8" t="inlineStr">
        <is>
          <t>Coste personal mensual (€)</t>
        </is>
      </c>
      <c r="B12" s="14" t="n">
        <v>47000</v>
      </c>
      <c r="C12" s="14" t="n">
        <v>59801.68</v>
      </c>
      <c r="D12" s="14" t="n">
        <v>78000</v>
      </c>
      <c r="E12" s="16" t="inlineStr">
        <is>
          <t>Coste con la SS de la empresa YA incluida (33 %, la celda C41 de plantilla-turnos-brigada.xlsx). Los rangos del capítulo 13 —cocina 250.000‑450.000 €/año y sala 200.000‑350.000 €— son BRUTOS, sin SS: con el 33 % son cocina 322.400‑601.900 € y sala 234.000‑403.000 €, o 556 k€-1,0 M€ en total. Los tres escenarios (564 / 718 / 936 k€ al año) caben ahí. El realista NO se teclea: es el coste de la brigada de plantilla-turnos-brigada.xlsx.</t>
        </is>
      </c>
    </row>
    <row r="13">
      <c r="A13" s="8" t="inlineStr">
        <is>
          <t>Alquiler mensual (€)</t>
        </is>
      </c>
      <c r="B13" s="14" t="n">
        <v>17000</v>
      </c>
      <c r="C13" s="14" t="n">
        <v>17000</v>
      </c>
      <c r="D13" s="14" t="n">
        <v>17000</v>
      </c>
      <c r="E13" s="16" t="inlineStr">
        <is>
          <t>El alquiler es FIJO: no baja porque vendas menos. En el escenario realista son el 9,0 % de la facturación, dentro del 8‑12 % de zona premium del capítulo 8; en el pesimista pesan el 12,9 %, y eso es exactamente lo que significa un escenario malo.</t>
        </is>
      </c>
    </row>
    <row r="14">
      <c r="A14" s="8" t="inlineStr">
        <is>
          <t>Otros costes fijos mensuales (€)</t>
        </is>
      </c>
      <c r="B14" s="14" t="n">
        <v>22000</v>
      </c>
      <c r="C14" s="14" t="n">
        <v>22000</v>
      </c>
      <c r="D14" s="14" t="n">
        <v>26000</v>
      </c>
      <c r="E14" s="16" t="inlineStr">
        <is>
          <t>Suministros, seguros, marketing, tecnología, mantenimiento, limpieza y gestoría. La amortización va en su PROPIA fila, debajo: si entrase aquí, el «EBITDA» sería un EBIT. Parametrizado: sustitúyelo por tu presupuesto real.</t>
        </is>
      </c>
    </row>
    <row r="15">
      <c r="A15" s="8" t="inlineStr"/>
    </row>
    <row r="16">
      <c r="A16" s="7" t="inlineStr">
        <is>
          <t>RESULTADOS</t>
        </is>
      </c>
    </row>
    <row r="17">
      <c r="A17" s="8" t="inlineStr">
        <is>
          <t>Facturación mensual (€)</t>
        </is>
      </c>
      <c r="B17" s="17">
        <f>(B6*B8+B7*B9)*B10</f>
        <v>131736.0</v>
      </c>
      <c r="C17" s="17">
        <f>(C6*C8+C7*C9)*C10</f>
        <v>189728.0</v>
      </c>
      <c r="D17" s="17">
        <f>(D6*D8+D7*D9)*D10</f>
        <v>233376.0</v>
      </c>
    </row>
    <row r="18">
      <c r="A18" s="8" t="inlineStr">
        <is>
          <t>Coste materia prima (€)</t>
        </is>
      </c>
      <c r="B18" s="17">
        <f>B17*B11</f>
        <v>42155.520000000004</v>
      </c>
      <c r="C18" s="17">
        <f>C17*C11</f>
        <v>56918.4</v>
      </c>
      <c r="D18" s="17">
        <f>D17*D11</f>
        <v>65345.280000000006</v>
      </c>
    </row>
    <row r="19">
      <c r="A19" s="8" t="inlineStr">
        <is>
          <t>Margen bruto (€)</t>
        </is>
      </c>
      <c r="B19" s="17">
        <f>B17-B18</f>
        <v>89580.48</v>
      </c>
      <c r="C19" s="17">
        <f>C17-C18</f>
        <v>132809.6</v>
      </c>
      <c r="D19" s="17">
        <f>D17-D18</f>
        <v>168030.72</v>
      </c>
    </row>
    <row r="20">
      <c r="A20" s="8" t="inlineStr">
        <is>
          <t>Costes fijos totales (€)</t>
        </is>
      </c>
      <c r="B20" s="17">
        <f>SUM(B12:B14)</f>
        <v>86000.0</v>
      </c>
      <c r="C20" s="17">
        <f>SUM(C12:C14)</f>
        <v>98801.68</v>
      </c>
      <c r="D20" s="17">
        <f>SUM(D12:D14)</f>
        <v>121000.0</v>
      </c>
    </row>
    <row r="21">
      <c r="A21" s="8" t="inlineStr">
        <is>
          <t>EBITDA mensual (€)</t>
        </is>
      </c>
      <c r="B21" s="18">
        <f>B19-B20</f>
        <v>3580.479999999996</v>
      </c>
      <c r="C21" s="18">
        <f>C19-C20</f>
        <v>34007.92000000001</v>
      </c>
      <c r="D21" s="18">
        <f>D19-D20</f>
        <v>47030.72</v>
      </c>
    </row>
    <row r="22">
      <c r="A22" s="8" t="inlineStr">
        <is>
          <t>Margen EBITDA (%)</t>
        </is>
      </c>
      <c r="B22" s="19">
        <f>IF(B17=0,"",B21/B17)</f>
        <v>0.027179206898645746</v>
      </c>
      <c r="C22" s="19">
        <f>IF(C17=0,"",C21/C17)</f>
        <v>0.1792456569404622</v>
      </c>
      <c r="D22" s="19">
        <f>IF(D17=0,"",D21/D17)</f>
        <v>0.20152337858220212</v>
      </c>
    </row>
    <row r="23">
      <c r="A23" t="inlineStr">
        <is>
          <t>Amortización mensual (€)</t>
        </is>
      </c>
      <c r="B23" s="20" t="n">
        <v>6000</v>
      </c>
      <c r="C23" s="20" t="n">
        <v>6000</v>
      </c>
      <c r="D23" s="20" t="n">
        <v>6000</v>
      </c>
      <c r="E23" s="16" t="inlineStr">
        <is>
          <t>Amortización mensual del equipamiento y la obra. NO resta del EBITDA (por eso está debajo): resta del EBIT, que es la fila siguiente. Parametrizado: divide tu CAPEX amortizable entre los años de vida útil y entre 12.</t>
        </is>
      </c>
    </row>
    <row r="24">
      <c r="A24" t="inlineStr">
        <is>
          <t>EBIT — resultado de explotación (€)</t>
        </is>
      </c>
      <c r="B24" s="21">
        <f>IF(B21="","",B21-IF(ISNUMBER(B23),B23,0))</f>
        <v>-2419.520000000004</v>
      </c>
      <c r="C24" s="21">
        <f>IF(C21="","",C21-IF(ISNUMBER(C23),C23,0))</f>
        <v>28007.920000000013</v>
      </c>
      <c r="D24" s="21">
        <f>IF(D21="","",D21-IF(ISNUMBER(D23),D23,0))</f>
        <v>41030.72</v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E1"/>
    <mergeCell ref="A2:E2"/>
  </mergeCells>
  <conditionalFormatting sqref="B21:D21">
    <cfRule type="expression" priority="1" dxfId="0" stopIfTrue="1">
      <formula>=AND(ISNUMBER(B21),B21&lt;0)</formula>
    </cfRule>
  </conditionalFormatting>
  <conditionalFormatting sqref="B22:D22">
    <cfRule type="expression" priority="2" dxfId="0" stopIfTrue="1">
      <formula>=AND(ISNUMBER(B22),B22&lt;0)</formula>
    </cfRule>
  </conditionalFormatting>
  <conditionalFormatting sqref="B24:D24">
    <cfRule type="expression" priority="3" dxfId="0" stopIfTrue="1">
      <formula>=AND(ISNUMBER(B24),B24&lt;0)</formula>
    </cfRule>
  </conditionalFormatting>
  <dataValidations count="2">
    <dataValidation sqref="B6 B7 B8 B9 B10 B12 B13 B14 B23 C6 C7 C8 C9 C10 C12 C13 C14 C23 D6 D7 D8 D9 D10 D12 D13 D14 D23" showDropDown="0" showInputMessage="0" showErrorMessage="1" allowBlank="1" errorTitle="Importe no válido" error="Escribe un número mayor o igual que 0." type="decimal" operator="greaterThanOrEqual">
      <formula1>0</formula1>
    </dataValidation>
    <dataValidation sqref="B11 C11 D11" showDropDown="0" showInputMessage="1" showErrorMessage="1" allowBlank="1" errorTitle="Porcentaje" error="Escribe un porcentaje entre 0 y 1 (0,20 = 20 %)." promptTitle="Porcentaje" prompt="Se escribe en tanto por uno: 0,20 = 20 %." type="decimal" operator="between">
      <formula1>0</formula1>
      <formula2>1.0</formula2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P&amp;L Mensual con 3 Escenarios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2026-08-29T07:45:06Z</dcterms:modified>
  <cp:lastModifiedBy>AI Chef Pro</cp:lastModifiedBy>
  <cp:category>AI Chef Pro · Productos digitales</cp:category>
  <cp:keywords>guia restaurante gastronomico, AI Chef Pro</cp:keywords>
</cp:coreProperties>
</file>