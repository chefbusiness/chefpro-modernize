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Bodega" sheetId="2" state="visible" r:id="rId2"/>
  </sheets>
  <definedNames>
    <definedName name="_xlnm.Print_Titles" localSheetId="1">'Bodega'!$4:$4</definedName>
  </definedNames>
  <calcPr calcId="124519" fullCalcOnLoad="1"/>
</workbook>
</file>

<file path=xl/styles.xml><?xml version="1.0" encoding="utf-8"?>
<styleSheet xmlns="http://schemas.openxmlformats.org/spreadsheetml/2006/main">
  <numFmts count="3">
    <numFmt numFmtId="164" formatCode="#,##0.00 €"/>
    <numFmt numFmtId="165" formatCode="0.0%"/>
    <numFmt numFmtId="166" formatCode="#,##0.00&quot;×&quot;"/>
  </numFmts>
  <fonts count="10">
    <font>
      <name val="Calibri"/>
      <family val="2"/>
      <color theme="1"/>
      <sz val="11"/>
      <scheme val="minor"/>
    </font>
    <font>
      <name val="Calibri"/>
      <b val="1"/>
      <color rgb="00FFD700"/>
      <sz val="16"/>
    </font>
    <font>
      <name val="Calibri"/>
      <i val="1"/>
      <color rgb="00888888"/>
      <sz val="11"/>
    </font>
    <font>
      <name val="Calibri"/>
      <b val="1"/>
      <color rgb="00FFD700"/>
      <sz val="12"/>
    </font>
    <font>
      <name val="Calibri"/>
      <sz val="11"/>
    </font>
    <font>
      <name val="Calibri"/>
      <b val="1"/>
      <color rgb="00FFFFFF"/>
      <sz val="11"/>
    </font>
    <font>
      <name val="Calibri"/>
      <b val="1"/>
      <color rgb="001565C0"/>
      <sz val="11"/>
    </font>
    <font>
      <b val="1"/>
      <color theme="1"/>
      <sz val="11"/>
    </font>
    <font/>
    <font>
      <b val="1"/>
    </font>
  </fonts>
  <fills count="5">
    <fill>
      <patternFill/>
    </fill>
    <fill>
      <patternFill patternType="gray125"/>
    </fill>
    <fill>
      <patternFill patternType="solid">
        <fgColor rgb="00E8F5E9"/>
        <bgColor rgb="00E8F5E9"/>
      </patternFill>
    </fill>
    <fill>
      <patternFill patternType="solid">
        <fgColor rgb="002D2D2D"/>
        <bgColor rgb="002D2D2D"/>
      </patternFill>
    </fill>
    <fill>
      <patternFill patternType="solid">
        <f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4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2" borderId="0" pivotButton="0" quotePrefix="0" xfId="0"/>
    <xf numFmtId="0" fontId="5"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2" borderId="1" applyAlignment="1" pivotButton="0" quotePrefix="0" xfId="0">
      <alignment horizontal="left" vertical="center" wrapText="1"/>
    </xf>
    <xf numFmtId="164" fontId="4" fillId="2" borderId="1" applyAlignment="1" pivotButton="0" quotePrefix="0" xfId="0">
      <alignment horizontal="left" vertical="center" wrapText="1"/>
    </xf>
    <xf numFmtId="164" fontId="6" fillId="0" borderId="1" applyAlignment="1" pivotButton="0" quotePrefix="0" xfId="0">
      <alignment horizontal="left" vertical="center" wrapText="1"/>
    </xf>
    <xf numFmtId="165" fontId="6" fillId="0" borderId="1" applyAlignment="1" pivotButton="0" quotePrefix="0" xfId="0">
      <alignment horizontal="center" vertical="center" wrapText="1"/>
    </xf>
    <xf numFmtId="3" fontId="4" fillId="2" borderId="1" applyAlignment="1" pivotButton="0" quotePrefix="0" xfId="0">
      <alignment horizontal="center" vertical="center" wrapText="1"/>
    </xf>
    <xf numFmtId="0" fontId="4" fillId="2" borderId="0" applyProtection="1" pivotButton="0" quotePrefix="0" xfId="0">
      <protection locked="0" hidden="0"/>
    </xf>
    <xf numFmtId="0" fontId="4" fillId="2" borderId="0" applyAlignment="1" applyProtection="1" pivotButton="0" quotePrefix="0" xfId="0">
      <alignment horizontal="left" vertical="top"/>
      <protection locked="0" hidden="0"/>
    </xf>
    <xf numFmtId="0" fontId="4" fillId="4" borderId="1" applyAlignment="1" applyProtection="1" pivotButton="0" quotePrefix="0" xfId="0">
      <alignment horizontal="left" vertical="center" wrapText="1"/>
      <protection locked="0" hidden="0"/>
    </xf>
    <xf numFmtId="164" fontId="4" fillId="4" borderId="1" applyAlignment="1" applyProtection="1" pivotButton="0" quotePrefix="0" xfId="0">
      <alignment horizontal="left" vertical="center" wrapText="1"/>
      <protection locked="0" hidden="0"/>
    </xf>
    <xf numFmtId="166" fontId="6" fillId="0" borderId="1" applyAlignment="1" pivotButton="0" quotePrefix="0" xfId="0">
      <alignment horizontal="center" vertical="center" wrapText="1"/>
    </xf>
    <xf numFmtId="3" fontId="4" fillId="4" borderId="1" applyAlignment="1" applyProtection="1" pivotButton="0" quotePrefix="0" xfId="0">
      <alignment horizontal="center" vertical="center" wrapText="1"/>
      <protection locked="0" hidden="0"/>
    </xf>
    <xf numFmtId="4" fontId="4" fillId="0" borderId="1" applyAlignment="1" pivotButton="0" quotePrefix="0" xfId="0">
      <alignment horizontal="center" vertical="center" wrapText="1"/>
    </xf>
    <xf numFmtId="3" fontId="0" fillId="4" borderId="0" applyProtection="1" pivotButton="0" quotePrefix="0" xfId="0">
      <protection locked="0" hidden="0"/>
    </xf>
    <xf numFmtId="165" fontId="0" fillId="0" borderId="0" pivotButton="0" quotePrefix="0" xfId="0"/>
    <xf numFmtId="164" fontId="0" fillId="0" borderId="0" pivotButton="0" quotePrefix="0" xfId="0"/>
    <xf numFmtId="0" fontId="0" fillId="4" borderId="0" applyProtection="1" pivotButton="0" quotePrefix="0" xfId="0">
      <protection locked="0" hidden="0"/>
    </xf>
    <xf numFmtId="0" fontId="7" fillId="0" borderId="0" pivotButton="0" quotePrefix="0" xfId="0"/>
    <xf numFmtId="3" fontId="0" fillId="0" borderId="0" pivotButton="0" quotePrefix="0" xfId="0"/>
    <xf numFmtId="3" fontId="7" fillId="0" borderId="0" pivotButton="0" quotePrefix="0" xfId="0"/>
    <xf numFmtId="165" fontId="7" fillId="0" borderId="0" pivotButton="0" quotePrefix="0" xfId="0"/>
    <xf numFmtId="164" fontId="7" fillId="0" borderId="0" pivotButton="0" quotePrefix="0" xfId="0"/>
    <xf numFmtId="0" fontId="0" fillId="0" borderId="0" applyAlignment="1" pivotButton="0" quotePrefix="0" xfId="0">
      <alignment horizontal="general" vertical="top" wrapText="1"/>
    </xf>
    <xf numFmtId="165" fontId="0" fillId="4" borderId="0" applyProtection="1" pivotButton="0" quotePrefix="0" xfId="0">
      <protection locked="0" hidden="0"/>
    </xf>
    <xf numFmtId="165" fontId="0" fillId="0" borderId="0" applyAlignment="1" pivotButton="0" quotePrefix="0" xfId="0">
      <alignment horizontal="general" vertical="top" wrapText="1"/>
    </xf>
    <xf numFmtId="0" fontId="9" fillId="0" borderId="0" pivotButton="0" quotePrefix="0" xfId="0"/>
    <xf numFmtId="0" fontId="8" fillId="0" borderId="0" pivotButton="0" quotePrefix="0" xfId="0"/>
    <xf numFmtId="164" fontId="8" fillId="0" borderId="0" pivotButton="0" quotePrefix="0" xfId="0"/>
    <xf numFmtId="3" fontId="8" fillId="0" borderId="0" pivotButton="0" quotePrefix="0" xfId="0"/>
    <xf numFmtId="165" fontId="8" fillId="0" borderId="0" pivotButton="0" quotePrefix="0" xfId="0"/>
    <xf numFmtId="3" fontId="9" fillId="0" borderId="0" pivotButton="0" quotePrefix="0" xfId="0"/>
    <xf numFmtId="165" fontId="9" fillId="0" borderId="0" pivotButton="0" quotePrefix="0" xfId="0"/>
    <xf numFmtId="164" fontId="9" fillId="0" borderId="0" pivotButton="0" quotePrefix="0" xfId="0"/>
    <xf numFmtId="0" fontId="8" fillId="0" borderId="0" applyAlignment="1" pivotButton="0" quotePrefix="0" xfId="0">
      <alignment horizontal="general" vertical="top" wrapText="1"/>
    </xf>
    <xf numFmtId="165" fontId="8" fillId="4" borderId="0" applyProtection="1" pivotButton="0" quotePrefix="0" xfId="0">
      <protection locked="0" hidden="0"/>
    </xf>
    <xf numFmtId="165" fontId="8" fillId="0" borderId="0" applyAlignment="1" pivotButton="0" quotePrefix="0" xfId="0">
      <alignment horizontal="general"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A1:C28"/>
  <sheetViews>
    <sheetView workbookViewId="0">
      <selection activeCell="A1" sqref="A1"/>
    </sheetView>
  </sheetViews>
  <sheetFormatPr baseColWidth="8" defaultRowHeight="15"/>
  <cols>
    <col width="80" customWidth="1" min="1" max="1"/>
  </cols>
  <sheetData>
    <row r="1" ht="30" customHeight="1">
      <c r="A1" s="1" t="inlineStr">
        <is>
          <t>Budget de Bodega — Inventario de Vinos</t>
        </is>
      </c>
    </row>
    <row r="2">
      <c r="A2" s="2" t="inlineStr">
        <is>
          <t>AI Chef Pro · aichef.pro — Restaurante Gastronómico</t>
        </is>
      </c>
    </row>
    <row r="3"/>
    <row r="4">
      <c r="A4" s="3" t="inlineStr">
        <is>
          <t>Instrucciones de uso</t>
        </is>
      </c>
    </row>
    <row r="5">
      <c r="A5" s="4" t="inlineStr">
        <is>
          <t>1. Registra cada referencia de vino con coste, PVP y stock.</t>
        </is>
      </c>
    </row>
    <row r="6">
      <c r="A6" s="4" t="inlineStr">
        <is>
          <t>2. El margen y la rotación se calculan automáticamente.</t>
        </is>
      </c>
    </row>
    <row r="7"/>
    <row r="8">
      <c r="A8" s="13" t="inlineStr">
        <is>
          <t>Celdas verdes = campos editables</t>
        </is>
      </c>
    </row>
    <row r="9"/>
    <row r="10">
      <c r="A10" s="13" t="n"/>
    </row>
    <row r="11"/>
    <row r="12">
      <c r="A12" s="13" t="inlineStr">
        <is>
          <t>Los precios de la columna «PVP Carta (€)» van CON IVA, que es como se anuncian en España. El libro calcula el «PVP sin IVA» con el tipo de la bebida alcohólica (10 % en sala, en celda) y TODOS los indicadores salen de ahí: cruzar un coste sin IVA con un precio con IVA deja el food cost de bebida unos 3 puntos por debajo del real (con el 10 % de sala; con el 21 % de la venta para llevar serían 7).</t>
        </is>
      </c>
    </row>
    <row r="13"/>
    <row r="14">
      <c r="A14" s="13" t="inlineStr">
        <is>
          <t>La columna «Multiplicador (×)» es PVP ÷ coste (el x2,5-x3,5 del capítulo de bodega). El margen de verdad es «Margen s/PVP (%)», y el «Food cost bebida (%)» es el que se compara con el 28‑40 % de la guía.</t>
        </is>
      </c>
    </row>
    <row r="15"/>
    <row r="16">
      <c r="A16" s="13" t="inlineStr">
        <is>
          <t>Escribe las «Uds vendidas/mes» y la «Rotación/Mes» se calcula sola.</t>
        </is>
      </c>
    </row>
    <row r="17"/>
    <row r="18">
      <c r="A18" s="13" t="inlineStr">
        <is>
          <t>La fila TOTAL valora la bodega a coste y a PVP: es la cifra de la partida «Bodega inicial» del plan financiero.</t>
        </is>
      </c>
    </row>
    <row r="19"/>
    <row r="20">
      <c r="A20" s="14" t="inlineStr">
        <is>
          <t>Para editar la estructura o una celda que no esté en verde: Revisar → Desproteger hoja (no tiene contraseña).</t>
        </is>
      </c>
    </row>
    <row r="21">
      <c r="A21" s="14" t="inlineStr">
        <is>
          <t>Diseñado por John Guerrero — chef y consultor gastronómico desde 2010, en cocina desde los 17 años · johnguerrero.es</t>
        </is>
      </c>
    </row>
    <row r="22">
      <c r="A22" s="14" t="inlineStr">
        <is>
          <t>Versión 2.0 · agosto 2026 · aichef.pro/guia-restaurante-gastronomico · info@aichef.pro</t>
        </is>
      </c>
    </row>
    <row r="23"/>
    <row r="24">
      <c r="A24" s="14" t="n"/>
    </row>
    <row r="25"/>
    <row r="26">
      <c r="A26" s="14" t="n"/>
    </row>
    <row r="27">
      <c r="A27" s="14" t="n"/>
    </row>
    <row r="28">
      <c r="A28" s="14" t="n"/>
    </row>
  </sheetData>
  <sheetProtection selectLockedCells="0" selectUnlockedCells="0" sheet="1" objects="0" insertRows="0" insertHyperlinks="1" autoFilter="1" scenarios="0" formatColumns="0" deleteColumns="1" insertColumns="1" pivotTables="1" deleteRows="1" formatCells="1" formatRows="0" sort="0"/>
  <mergeCells count="2">
    <mergeCell ref="A2:C2"/>
    <mergeCell ref="A1:C1"/>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T67"/>
  <sheetViews>
    <sheetView workbookViewId="0">
      <pane ySplit="4" topLeftCell="A5" activePane="bottomLeft" state="frozen"/>
      <selection pane="bottomLeft" activeCell="A1" sqref="A1"/>
    </sheetView>
  </sheetViews>
  <sheetFormatPr baseColWidth="8" defaultRowHeight="15"/>
  <cols>
    <col width="5" customWidth="1" min="1" max="1"/>
    <col width="38" customWidth="1" min="2" max="2"/>
    <col width="12" customWidth="1" min="3" max="3"/>
    <col width="26" customWidth="1" min="4" max="4"/>
    <col width="12" customWidth="1" min="5" max="5"/>
    <col width="15" customWidth="1" min="6" max="6"/>
    <col width="12" customWidth="1" min="7" max="7"/>
    <col width="19" customWidth="1" min="8" max="8"/>
    <col width="13" customWidth="1" min="9" max="9"/>
    <col width="14" customWidth="1" min="10" max="10"/>
    <col width="18" customWidth="1" min="11" max="11"/>
    <col width="18" customWidth="1" min="12" max="12"/>
    <col width="22" customWidth="1" min="13" max="13"/>
    <col width="25" customWidth="1" min="14" max="14"/>
    <col width="23" customWidth="1" min="15" max="15"/>
    <col width="12" customWidth="1" min="16" max="16"/>
    <col width="10" customWidth="1" min="17" max="17"/>
    <col width="22" customWidth="1" min="18" max="18"/>
    <col width="17" customWidth="1" min="19" max="19"/>
    <col width="15" customWidth="1" min="20" max="20"/>
  </cols>
  <sheetData>
    <row r="1" ht="30" customHeight="1">
      <c r="A1" s="1" t="inlineStr">
        <is>
          <t>Inventario y Budget de Bodega</t>
        </is>
      </c>
    </row>
    <row r="2">
      <c r="A2" s="2" t="inlineStr">
        <is>
          <t>AI Chef Pro · aichef.pro — Restaurante Gastronómico</t>
        </is>
      </c>
    </row>
    <row r="3"/>
    <row r="4">
      <c r="A4" s="6" t="inlineStr">
        <is>
          <t>#</t>
        </is>
      </c>
      <c r="B4" s="6" t="inlineStr">
        <is>
          <t>Referencia</t>
        </is>
      </c>
      <c r="C4" s="6" t="inlineStr">
        <is>
          <t>Tipo</t>
        </is>
      </c>
      <c r="D4" s="6" t="inlineStr">
        <is>
          <t>D.O. / Región</t>
        </is>
      </c>
      <c r="E4" s="6" t="inlineStr">
        <is>
          <t>Coste (€)</t>
        </is>
      </c>
      <c r="F4" s="6" t="inlineStr">
        <is>
          <t>PVP Carta (€)</t>
        </is>
      </c>
      <c r="G4" s="6" t="inlineStr">
        <is>
          <t>Margen (€)</t>
        </is>
      </c>
      <c r="H4" s="6" t="inlineStr">
        <is>
          <t>Multiplicador (×)</t>
        </is>
      </c>
      <c r="I4" s="6" t="inlineStr">
        <is>
          <t>Stock (uds)</t>
        </is>
      </c>
      <c r="J4" s="6" t="inlineStr">
        <is>
          <t>Rotación/Mes</t>
        </is>
      </c>
      <c r="K4" s="6" t="inlineStr">
        <is>
          <t>Uds vendidas/mes</t>
        </is>
      </c>
      <c r="L4" s="6" t="inlineStr">
        <is>
          <t>Margen s/PVP (%)</t>
        </is>
      </c>
      <c r="M4" s="6" t="inlineStr">
        <is>
          <t>Food cost bebida (%)</t>
        </is>
      </c>
      <c r="N4" s="6" t="inlineStr">
        <is>
          <t>Valor stock a coste (€)</t>
        </is>
      </c>
      <c r="O4" s="6" t="inlineStr">
        <is>
          <t>Valor stock a PVP (€)</t>
        </is>
      </c>
      <c r="P4" s="6" t="inlineStr">
        <is>
          <t>Formato</t>
        </is>
      </c>
      <c r="Q4" s="6" t="inlineStr">
        <is>
          <t>Añada</t>
        </is>
      </c>
      <c r="R4" s="6" t="inlineStr">
        <is>
          <t>Proveedor</t>
        </is>
      </c>
      <c r="S4" s="6" t="inlineStr">
        <is>
          <t>Ubicación / bin</t>
        </is>
      </c>
      <c r="T4" s="6" t="inlineStr">
        <is>
          <t>PVP sin IVA (€)</t>
        </is>
      </c>
    </row>
    <row r="5">
      <c r="A5" s="7" t="n">
        <v>1</v>
      </c>
      <c r="B5" s="15" t="inlineStr">
        <is>
          <t>Rioja Reserva — tempranillo de finca</t>
        </is>
      </c>
      <c r="C5" s="15" t="inlineStr">
        <is>
          <t>Tinto</t>
        </is>
      </c>
      <c r="D5" s="15" t="inlineStr">
        <is>
          <t>D.O.Ca. Rioja</t>
        </is>
      </c>
      <c r="E5" s="16" t="n">
        <v>12</v>
      </c>
      <c r="F5" s="16" t="n">
        <v>40</v>
      </c>
      <c r="G5" s="10">
        <f>IFERROR(IF(OR($E5="",$T5=""),"",$T5-$E5),"")</f>
        <v>24.36363636363636</v>
      </c>
      <c r="H5" s="17">
        <f>IFERROR(IF(OR($E5="",$T5="",$E5=0),"",$T5/$E5),"")</f>
        <v>3.03030303030303</v>
      </c>
      <c r="I5" s="18" t="n">
        <v>48</v>
      </c>
      <c r="J5" s="19">
        <f>IFERROR(IF(OR($I5="",$K5="",$I5=0),"",$K5/$I5),"")</f>
        <v>0.4583333333333333</v>
      </c>
      <c r="K5" s="20" t="n">
        <v>22</v>
      </c>
      <c r="L5" s="21">
        <f>IFERROR(IF(OR($E5="",$T5="",$T5=0),"",($T5-$E5)/$T5),"")</f>
        <v>0.6699999999999999</v>
      </c>
      <c r="M5" s="21">
        <f>IFERROR(IF(OR($E5="",$T5="",$T5=0),"",$E5/$T5),"")</f>
        <v>0.33</v>
      </c>
      <c r="N5" s="22">
        <f>IFERROR(IF(OR($E5="",$I5=""),"",$E5*$I5),"")</f>
        <v>576.0</v>
      </c>
      <c r="O5" s="22">
        <f>IFERROR(IF(OR($T5="",$I5=""),"",$T5*$I5),"")</f>
        <v>1745.4545454545453</v>
      </c>
      <c r="P5" s="23" t="n"/>
      <c r="Q5" s="23" t="n"/>
      <c r="R5" s="23" t="n"/>
      <c r="S5" s="23" t="n"/>
      <c r="T5" s="22">
        <f>IFERROR(IF(OR($F5="",$C$59=""),"",$F5/(1+$C$59)),"")</f>
        <v>36.36363636363636</v>
      </c>
    </row>
    <row r="6">
      <c r="A6" s="7" t="n">
        <v>2</v>
      </c>
      <c r="B6" s="15" t="inlineStr">
        <is>
          <t>Ribera del Duero crianza</t>
        </is>
      </c>
      <c r="C6" s="15" t="inlineStr">
        <is>
          <t>Tinto</t>
        </is>
      </c>
      <c r="D6" s="15" t="inlineStr">
        <is>
          <t>D.O. Ribera del Duero</t>
        </is>
      </c>
      <c r="E6" s="16" t="n">
        <v>15</v>
      </c>
      <c r="F6" s="16" t="n">
        <v>50</v>
      </c>
      <c r="G6" s="10">
        <f>IFERROR(IF(OR($E6="",$T6=""),"",$T6-$E6),"")</f>
        <v>30.454545454545453</v>
      </c>
      <c r="H6" s="17">
        <f>IFERROR(IF(OR($E6="",$T6="",$E6=0),"",$T6/$E6),"")</f>
        <v>3.0303030303030303</v>
      </c>
      <c r="I6" s="18" t="n">
        <v>36</v>
      </c>
      <c r="J6" s="19">
        <f>IFERROR(IF(OR($I6="",$K6="",$I6=0),"",$K6/$I6),"")</f>
        <v>0.4444444444444444</v>
      </c>
      <c r="K6" s="20" t="n">
        <v>16</v>
      </c>
      <c r="L6" s="21">
        <f>IFERROR(IF(OR($E6="",$T6="",$T6=0),"",($T6-$E6)/$T6),"")</f>
        <v>0.67</v>
      </c>
      <c r="M6" s="21">
        <f>IFERROR(IF(OR($E6="",$T6="",$T6=0),"",$E6/$T6),"")</f>
        <v>0.33</v>
      </c>
      <c r="N6" s="22">
        <f>IFERROR(IF(OR($E6="",$I6=""),"",$E6*$I6),"")</f>
        <v>540.0</v>
      </c>
      <c r="O6" s="22">
        <f>IFERROR(IF(OR($T6="",$I6=""),"",$T6*$I6),"")</f>
        <v>1636.3636363636363</v>
      </c>
      <c r="P6" s="23" t="n"/>
      <c r="Q6" s="23" t="n"/>
      <c r="R6" s="23" t="n"/>
      <c r="S6" s="23" t="n"/>
      <c r="T6" s="22">
        <f>IFERROR(IF(OR($F6="",$C$59=""),"",$F6/(1+$C$59)),"")</f>
        <v>45.45454545454545</v>
      </c>
    </row>
    <row r="7">
      <c r="A7" s="7" t="n">
        <v>3</v>
      </c>
      <c r="B7" s="15" t="inlineStr">
        <is>
          <t>Mencía de parcela</t>
        </is>
      </c>
      <c r="C7" s="15" t="inlineStr">
        <is>
          <t>Tinto</t>
        </is>
      </c>
      <c r="D7" s="15" t="inlineStr">
        <is>
          <t>D.O. Bierzo</t>
        </is>
      </c>
      <c r="E7" s="16" t="n">
        <v>18</v>
      </c>
      <c r="F7" s="16" t="n">
        <v>58</v>
      </c>
      <c r="G7" s="10">
        <f>IFERROR(IF(OR($E7="",$T7=""),"",$T7-$E7),"")</f>
        <v>34.72727272727272</v>
      </c>
      <c r="H7" s="17">
        <f>IFERROR(IF(OR($E7="",$T7="",$E7=0),"",$T7/$E7),"")</f>
        <v>2.929292929292929</v>
      </c>
      <c r="I7" s="18" t="n">
        <v>24</v>
      </c>
      <c r="J7" s="19">
        <f>IFERROR(IF(OR($I7="",$K7="",$I7=0),"",$K7/$I7),"")</f>
        <v>0.4166666666666667</v>
      </c>
      <c r="K7" s="20" t="n">
        <v>10</v>
      </c>
      <c r="L7" s="21">
        <f>IFERROR(IF(OR($E7="",$T7="",$T7=0),"",($T7-$E7)/$T7),"")</f>
        <v>0.6586206896551724</v>
      </c>
      <c r="M7" s="21">
        <f>IFERROR(IF(OR($E7="",$T7="",$T7=0),"",$E7/$T7),"")</f>
        <v>0.34137931034482766</v>
      </c>
      <c r="N7" s="22">
        <f>IFERROR(IF(OR($E7="",$I7=""),"",$E7*$I7),"")</f>
        <v>432.0</v>
      </c>
      <c r="O7" s="22">
        <f>IFERROR(IF(OR($T7="",$I7=""),"",$T7*$I7),"")</f>
        <v>1265.4545454545453</v>
      </c>
      <c r="P7" s="23" t="n"/>
      <c r="Q7" s="23" t="n"/>
      <c r="R7" s="23" t="n"/>
      <c r="S7" s="23" t="n"/>
      <c r="T7" s="22">
        <f>IFERROR(IF(OR($F7="",$C$59=""),"",$F7/(1+$C$59)),"")</f>
        <v>52.72727272727272</v>
      </c>
    </row>
    <row r="8">
      <c r="A8" s="7" t="n">
        <v>4</v>
      </c>
      <c r="B8" s="15" t="inlineStr">
        <is>
          <t>Albariño sobre lías</t>
        </is>
      </c>
      <c r="C8" s="15" t="inlineStr">
        <is>
          <t>Blanco</t>
        </is>
      </c>
      <c r="D8" s="15" t="inlineStr">
        <is>
          <t>D.O. Rías Baixas</t>
        </is>
      </c>
      <c r="E8" s="16" t="n">
        <v>10</v>
      </c>
      <c r="F8" s="16" t="n">
        <v>34</v>
      </c>
      <c r="G8" s="10">
        <f>IFERROR(IF(OR($E8="",$T8=""),"",$T8-$E8),"")</f>
        <v>20.909090909090907</v>
      </c>
      <c r="H8" s="17">
        <f>IFERROR(IF(OR($E8="",$T8="",$E8=0),"",$T8/$E8),"")</f>
        <v>3.090909090909091</v>
      </c>
      <c r="I8" s="18" t="n">
        <v>48</v>
      </c>
      <c r="J8" s="19">
        <f>IFERROR(IF(OR($I8="",$K8="",$I8=0),"",$K8/$I8),"")</f>
        <v>0.5416666666666666</v>
      </c>
      <c r="K8" s="20" t="n">
        <v>26</v>
      </c>
      <c r="L8" s="21">
        <f>IFERROR(IF(OR($E8="",$T8="",$T8=0),"",($T8-$E8)/$T8),"")</f>
        <v>0.676470588235294</v>
      </c>
      <c r="M8" s="21">
        <f>IFERROR(IF(OR($E8="",$T8="",$T8=0),"",$E8/$T8),"")</f>
        <v>0.3235294117647059</v>
      </c>
      <c r="N8" s="22">
        <f>IFERROR(IF(OR($E8="",$I8=""),"",$E8*$I8),"")</f>
        <v>480.0</v>
      </c>
      <c r="O8" s="22">
        <f>IFERROR(IF(OR($T8="",$I8=""),"",$T8*$I8),"")</f>
        <v>1483.6363636363635</v>
      </c>
      <c r="P8" s="23" t="n"/>
      <c r="Q8" s="23" t="n"/>
      <c r="R8" s="23" t="n"/>
      <c r="S8" s="23" t="n"/>
      <c r="T8" s="22">
        <f>IFERROR(IF(OR($F8="",$C$59=""),"",$F8/(1+$C$59)),"")</f>
        <v>30.909090909090907</v>
      </c>
    </row>
    <row r="9">
      <c r="A9" s="7" t="n">
        <v>5</v>
      </c>
      <c r="B9" s="15" t="inlineStr">
        <is>
          <t>Godello de viñas viejas</t>
        </is>
      </c>
      <c r="C9" s="15" t="inlineStr">
        <is>
          <t>Blanco</t>
        </is>
      </c>
      <c r="D9" s="15" t="inlineStr">
        <is>
          <t>D.O. Valdeorras</t>
        </is>
      </c>
      <c r="E9" s="16" t="n">
        <v>13</v>
      </c>
      <c r="F9" s="16" t="n">
        <v>44</v>
      </c>
      <c r="G9" s="10">
        <f>IFERROR(IF(OR($E9="",$T9=""),"",$T9-$E9),"")</f>
        <v>27.0</v>
      </c>
      <c r="H9" s="17">
        <f>IFERROR(IF(OR($E9="",$T9="",$E9=0),"",$T9/$E9),"")</f>
        <v>3.076923076923077</v>
      </c>
      <c r="I9" s="18" t="n">
        <v>30</v>
      </c>
      <c r="J9" s="19">
        <f>IFERROR(IF(OR($I9="",$K9="",$I9=0),"",$K9/$I9),"")</f>
        <v>0.4</v>
      </c>
      <c r="K9" s="20" t="n">
        <v>12</v>
      </c>
      <c r="L9" s="21">
        <f>IFERROR(IF(OR($E9="",$T9="",$T9=0),"",($T9-$E9)/$T9),"")</f>
        <v>0.675</v>
      </c>
      <c r="M9" s="21">
        <f>IFERROR(IF(OR($E9="",$T9="",$T9=0),"",$E9/$T9),"")</f>
        <v>0.325</v>
      </c>
      <c r="N9" s="22">
        <f>IFERROR(IF(OR($E9="",$I9=""),"",$E9*$I9),"")</f>
        <v>390.0</v>
      </c>
      <c r="O9" s="22">
        <f>IFERROR(IF(OR($T9="",$I9=""),"",$T9*$I9),"")</f>
        <v>1200.0</v>
      </c>
      <c r="P9" s="23" t="n"/>
      <c r="Q9" s="23" t="n"/>
      <c r="R9" s="23" t="n"/>
      <c r="S9" s="23" t="n"/>
      <c r="T9" s="22">
        <f>IFERROR(IF(OR($F9="",$C$59=""),"",$F9/(1+$C$59)),"")</f>
        <v>40.0</v>
      </c>
    </row>
    <row r="10">
      <c r="A10" s="7" t="n">
        <v>6</v>
      </c>
      <c r="B10" s="15" t="inlineStr">
        <is>
          <t>Verdejo fermentado en barrica</t>
        </is>
      </c>
      <c r="C10" s="15" t="inlineStr">
        <is>
          <t>Blanco</t>
        </is>
      </c>
      <c r="D10" s="15" t="inlineStr">
        <is>
          <t>D.O. Rueda</t>
        </is>
      </c>
      <c r="E10" s="16" t="n">
        <v>9</v>
      </c>
      <c r="F10" s="16" t="n">
        <v>30</v>
      </c>
      <c r="G10" s="10">
        <f>IFERROR(IF(OR($E10="",$T10=""),"",$T10-$E10),"")</f>
        <v>18.27272727272727</v>
      </c>
      <c r="H10" s="17">
        <f>IFERROR(IF(OR($E10="",$T10="",$E10=0),"",$T10/$E10),"")</f>
        <v>3.03030303030303</v>
      </c>
      <c r="I10" s="18" t="n">
        <v>36</v>
      </c>
      <c r="J10" s="19">
        <f>IFERROR(IF(OR($I10="",$K10="",$I10=0),"",$K10/$I10),"")</f>
        <v>0.5</v>
      </c>
      <c r="K10" s="20" t="n">
        <v>18</v>
      </c>
      <c r="L10" s="21">
        <f>IFERROR(IF(OR($E10="",$T10="",$T10=0),"",($T10-$E10)/$T10),"")</f>
        <v>0.6699999999999999</v>
      </c>
      <c r="M10" s="21">
        <f>IFERROR(IF(OR($E10="",$T10="",$T10=0),"",$E10/$T10),"")</f>
        <v>0.33</v>
      </c>
      <c r="N10" s="22">
        <f>IFERROR(IF(OR($E10="",$I10=""),"",$E10*$I10),"")</f>
        <v>324.0</v>
      </c>
      <c r="O10" s="22">
        <f>IFERROR(IF(OR($T10="",$I10=""),"",$T10*$I10),"")</f>
        <v>981.8181818181818</v>
      </c>
      <c r="P10" s="23" t="n"/>
      <c r="Q10" s="23" t="n"/>
      <c r="R10" s="23" t="n"/>
      <c r="S10" s="23" t="n"/>
      <c r="T10" s="22">
        <f>IFERROR(IF(OR($F10="",$C$59=""),"",$F10/(1+$C$59)),"")</f>
        <v>27.27272727272727</v>
      </c>
    </row>
    <row r="11">
      <c r="A11" s="7" t="n">
        <v>7</v>
      </c>
      <c r="B11" s="15" t="inlineStr">
        <is>
          <t>Rosado de lágrima</t>
        </is>
      </c>
      <c r="C11" s="15" t="inlineStr">
        <is>
          <t>Rosado</t>
        </is>
      </c>
      <c r="D11" s="15" t="inlineStr">
        <is>
          <t>D.O. Navarra</t>
        </is>
      </c>
      <c r="E11" s="16" t="n">
        <v>8</v>
      </c>
      <c r="F11" s="16" t="n">
        <v>27</v>
      </c>
      <c r="G11" s="10">
        <f>IFERROR(IF(OR($E11="",$T11=""),"",$T11-$E11),"")</f>
        <v>16.545454545454543</v>
      </c>
      <c r="H11" s="17">
        <f>IFERROR(IF(OR($E11="",$T11="",$E11=0),"",$T11/$E11),"")</f>
        <v>3.068181818181818</v>
      </c>
      <c r="I11" s="18" t="n">
        <v>24</v>
      </c>
      <c r="J11" s="19">
        <f>IFERROR(IF(OR($I11="",$K11="",$I11=0),"",$K11/$I11),"")</f>
        <v>0.375</v>
      </c>
      <c r="K11" s="20" t="n">
        <v>9</v>
      </c>
      <c r="L11" s="21">
        <f>IFERROR(IF(OR($E11="",$T11="",$T11=0),"",($T11-$E11)/$T11),"")</f>
        <v>0.674074074074074</v>
      </c>
      <c r="M11" s="21">
        <f>IFERROR(IF(OR($E11="",$T11="",$T11=0),"",$E11/$T11),"")</f>
        <v>0.32592592592592595</v>
      </c>
      <c r="N11" s="22">
        <f>IFERROR(IF(OR($E11="",$I11=""),"",$E11*$I11),"")</f>
        <v>192.0</v>
      </c>
      <c r="O11" s="22">
        <f>IFERROR(IF(OR($T11="",$I11=""),"",$T11*$I11),"")</f>
        <v>589.090909090909</v>
      </c>
      <c r="P11" s="23" t="n"/>
      <c r="Q11" s="23" t="n"/>
      <c r="R11" s="23" t="n"/>
      <c r="S11" s="23" t="n"/>
      <c r="T11" s="22">
        <f>IFERROR(IF(OR($F11="",$C$59=""),"",$F11/(1+$C$59)),"")</f>
        <v>24.545454545454543</v>
      </c>
    </row>
    <row r="12">
      <c r="A12" s="7" t="n">
        <v>8</v>
      </c>
      <c r="B12" s="15" t="inlineStr">
        <is>
          <t>Corpinnat brut nature gran reserva</t>
        </is>
      </c>
      <c r="C12" s="15" t="inlineStr">
        <is>
          <t>Espumoso</t>
        </is>
      </c>
      <c r="D12" s="15" t="inlineStr">
        <is>
          <t>Penedès</t>
        </is>
      </c>
      <c r="E12" s="16" t="n">
        <v>16</v>
      </c>
      <c r="F12" s="16" t="n">
        <v>54</v>
      </c>
      <c r="G12" s="10">
        <f>IFERROR(IF(OR($E12="",$T12=""),"",$T12-$E12),"")</f>
        <v>33.090909090909086</v>
      </c>
      <c r="H12" s="17">
        <f>IFERROR(IF(OR($E12="",$T12="",$E12=0),"",$T12/$E12),"")</f>
        <v>3.068181818181818</v>
      </c>
      <c r="I12" s="18" t="n">
        <v>30</v>
      </c>
      <c r="J12" s="19">
        <f>IFERROR(IF(OR($I12="",$K12="",$I12=0),"",$K12/$I12),"")</f>
        <v>0.4666666666666667</v>
      </c>
      <c r="K12" s="20" t="n">
        <v>14</v>
      </c>
      <c r="L12" s="21">
        <f>IFERROR(IF(OR($E12="",$T12="",$T12=0),"",($T12-$E12)/$T12),"")</f>
        <v>0.674074074074074</v>
      </c>
      <c r="M12" s="21">
        <f>IFERROR(IF(OR($E12="",$T12="",$T12=0),"",$E12/$T12),"")</f>
        <v>0.32592592592592595</v>
      </c>
      <c r="N12" s="22">
        <f>IFERROR(IF(OR($E12="",$I12=""),"",$E12*$I12),"")</f>
        <v>480.0</v>
      </c>
      <c r="O12" s="22">
        <f>IFERROR(IF(OR($T12="",$I12=""),"",$T12*$I12),"")</f>
        <v>1472.7272727272725</v>
      </c>
      <c r="P12" s="23" t="n"/>
      <c r="Q12" s="23" t="n"/>
      <c r="R12" s="23" t="n"/>
      <c r="S12" s="23" t="n"/>
      <c r="T12" s="22">
        <f>IFERROR(IF(OR($F12="",$C$59=""),"",$F12/(1+$C$59)),"")</f>
        <v>49.090909090909086</v>
      </c>
    </row>
    <row r="13">
      <c r="A13" s="7" t="n">
        <v>9</v>
      </c>
      <c r="B13" s="15" t="inlineStr">
        <is>
          <t>Manzanilla pasada en rama</t>
        </is>
      </c>
      <c r="C13" s="15" t="inlineStr">
        <is>
          <t>Generoso</t>
        </is>
      </c>
      <c r="D13" s="15" t="inlineStr">
        <is>
          <t>D.O. Manzanilla-Sanlúcar</t>
        </is>
      </c>
      <c r="E13" s="16" t="n">
        <v>11</v>
      </c>
      <c r="F13" s="16" t="n">
        <v>37</v>
      </c>
      <c r="G13" s="10">
        <f>IFERROR(IF(OR($E13="",$T13=""),"",$T13-$E13),"")</f>
        <v>22.636363636363633</v>
      </c>
      <c r="H13" s="17">
        <f>IFERROR(IF(OR($E13="",$T13="",$E13=0),"",$T13/$E13),"")</f>
        <v>3.057851239669421</v>
      </c>
      <c r="I13" s="18" t="n">
        <v>18</v>
      </c>
      <c r="J13" s="19">
        <f>IFERROR(IF(OR($I13="",$K13="",$I13=0),"",$K13/$I13),"")</f>
        <v>0.4444444444444444</v>
      </c>
      <c r="K13" s="20" t="n">
        <v>8</v>
      </c>
      <c r="L13" s="21">
        <f>IFERROR(IF(OR($E13="",$T13="",$T13=0),"",($T13-$E13)/$T13),"")</f>
        <v>0.672972972972973</v>
      </c>
      <c r="M13" s="21">
        <f>IFERROR(IF(OR($E13="",$T13="",$T13=0),"",$E13/$T13),"")</f>
        <v>0.3270270270270271</v>
      </c>
      <c r="N13" s="22">
        <f>IFERROR(IF(OR($E13="",$I13=""),"",$E13*$I13),"")</f>
        <v>198.0</v>
      </c>
      <c r="O13" s="22">
        <f>IFERROR(IF(OR($T13="",$I13=""),"",$T13*$I13),"")</f>
        <v>605.4545454545454</v>
      </c>
      <c r="P13" s="23" t="n"/>
      <c r="Q13" s="23" t="n"/>
      <c r="R13" s="23" t="n"/>
      <c r="S13" s="23" t="n"/>
      <c r="T13" s="22">
        <f>IFERROR(IF(OR($F13="",$C$59=""),"",$F13/(1+$C$59)),"")</f>
        <v>33.63636363636363</v>
      </c>
    </row>
    <row r="14">
      <c r="A14" s="7" t="n">
        <v>10</v>
      </c>
      <c r="B14" s="15" t="inlineStr">
        <is>
          <t>Pedro Ximénez viejo (media botella)</t>
        </is>
      </c>
      <c r="C14" s="15" t="inlineStr">
        <is>
          <t>Dulce</t>
        </is>
      </c>
      <c r="D14" s="15" t="inlineStr">
        <is>
          <t>D.O. Montilla-Moriles</t>
        </is>
      </c>
      <c r="E14" s="16" t="n">
        <v>14</v>
      </c>
      <c r="F14" s="16" t="n">
        <v>47</v>
      </c>
      <c r="G14" s="10">
        <f>IFERROR(IF(OR($E14="",$T14=""),"",$T14-$E14),"")</f>
        <v>28.727272727272727</v>
      </c>
      <c r="H14" s="17">
        <f>IFERROR(IF(OR($E14="",$T14="",$E14=0),"",$T14/$E14),"")</f>
        <v>3.051948051948052</v>
      </c>
      <c r="I14" s="18" t="n">
        <v>12</v>
      </c>
      <c r="J14" s="19">
        <f>IFERROR(IF(OR($I14="",$K14="",$I14=0),"",$K14/$I14),"")</f>
        <v>0.5</v>
      </c>
      <c r="K14" s="20" t="n">
        <v>6</v>
      </c>
      <c r="L14" s="21">
        <f>IFERROR(IF(OR($E14="",$T14="",$T14=0),"",($T14-$E14)/$T14),"")</f>
        <v>0.6723404255319149</v>
      </c>
      <c r="M14" s="21">
        <f>IFERROR(IF(OR($E14="",$T14="",$T14=0),"",$E14/$T14),"")</f>
        <v>0.32765957446808514</v>
      </c>
      <c r="N14" s="22">
        <f>IFERROR(IF(OR($E14="",$I14=""),"",$E14*$I14),"")</f>
        <v>168.0</v>
      </c>
      <c r="O14" s="22">
        <f>IFERROR(IF(OR($T14="",$I14=""),"",$T14*$I14),"")</f>
        <v>512.7272727272727</v>
      </c>
      <c r="P14" s="23" t="n"/>
      <c r="Q14" s="23" t="n"/>
      <c r="R14" s="23" t="n"/>
      <c r="S14" s="23" t="n"/>
      <c r="T14" s="22">
        <f>IFERROR(IF(OR($F14="",$C$59=""),"",$F14/(1+$C$59)),"")</f>
        <v>42.72727272727273</v>
      </c>
    </row>
    <row r="15">
      <c r="A15" s="7" t="n">
        <v>11</v>
      </c>
      <c r="B15" s="15" t="n"/>
      <c r="C15" s="15" t="n"/>
      <c r="D15" s="15" t="n"/>
      <c r="E15" s="16" t="n"/>
      <c r="F15" s="16" t="n"/>
      <c r="G15" s="10">
        <f>IFERROR(IF(OR($E15="",$T15=""),"",$T15-$E15),"")</f>
        <v/>
      </c>
      <c r="H15" s="17">
        <f>IFERROR(IF(OR($E15="",$T15="",$E15=0),"",$T15/$E15),"")</f>
        <v/>
      </c>
      <c r="I15" s="18" t="n"/>
      <c r="J15" s="19">
        <f>IFERROR(IF(OR($I15="",$K15="",$I15=0),"",$K15/$I15),"")</f>
        <v/>
      </c>
      <c r="K15" s="20" t="n"/>
      <c r="L15" s="21">
        <f>IFERROR(IF(OR($E15="",$T15="",$T15=0),"",($T15-$E15)/$T15),"")</f>
        <v/>
      </c>
      <c r="M15" s="21">
        <f>IFERROR(IF(OR($E15="",$T15="",$T15=0),"",$E15/$T15),"")</f>
        <v/>
      </c>
      <c r="N15" s="22">
        <f>IFERROR(IF(OR($E15="",$I15=""),"",$E15*$I15),"")</f>
        <v/>
      </c>
      <c r="O15" s="22">
        <f>IFERROR(IF(OR($T15="",$I15=""),"",$T15*$I15),"")</f>
        <v/>
      </c>
      <c r="P15" s="23" t="n"/>
      <c r="Q15" s="23" t="n"/>
      <c r="R15" s="23" t="n"/>
      <c r="S15" s="23" t="n"/>
      <c r="T15" s="22">
        <f>IFERROR(IF(OR($F15="",$C$59=""),"",$F15/(1+$C$59)),"")</f>
        <v/>
      </c>
    </row>
    <row r="16">
      <c r="A16" s="7" t="n">
        <v>12</v>
      </c>
      <c r="B16" s="15" t="n"/>
      <c r="C16" s="15" t="n"/>
      <c r="D16" s="15" t="n"/>
      <c r="E16" s="16" t="n"/>
      <c r="F16" s="16" t="n"/>
      <c r="G16" s="10">
        <f>IFERROR(IF(OR($E16="",$T16=""),"",$T16-$E16),"")</f>
        <v/>
      </c>
      <c r="H16" s="17">
        <f>IFERROR(IF(OR($E16="",$T16="",$E16=0),"",$T16/$E16),"")</f>
        <v/>
      </c>
      <c r="I16" s="18" t="n"/>
      <c r="J16" s="19">
        <f>IFERROR(IF(OR($I16="",$K16="",$I16=0),"",$K16/$I16),"")</f>
        <v/>
      </c>
      <c r="K16" s="20" t="n"/>
      <c r="L16" s="21">
        <f>IFERROR(IF(OR($E16="",$T16="",$T16=0),"",($T16-$E16)/$T16),"")</f>
        <v/>
      </c>
      <c r="M16" s="21">
        <f>IFERROR(IF(OR($E16="",$T16="",$T16=0),"",$E16/$T16),"")</f>
        <v/>
      </c>
      <c r="N16" s="22">
        <f>IFERROR(IF(OR($E16="",$I16=""),"",$E16*$I16),"")</f>
        <v/>
      </c>
      <c r="O16" s="22">
        <f>IFERROR(IF(OR($T16="",$I16=""),"",$T16*$I16),"")</f>
        <v/>
      </c>
      <c r="P16" s="23" t="n"/>
      <c r="Q16" s="23" t="n"/>
      <c r="R16" s="23" t="n"/>
      <c r="S16" s="23" t="n"/>
      <c r="T16" s="22">
        <f>IFERROR(IF(OR($F16="",$C$59=""),"",$F16/(1+$C$59)),"")</f>
        <v/>
      </c>
    </row>
    <row r="17">
      <c r="A17" s="7" t="n">
        <v>13</v>
      </c>
      <c r="B17" s="15" t="n"/>
      <c r="C17" s="15" t="n"/>
      <c r="D17" s="15" t="n"/>
      <c r="E17" s="16" t="n"/>
      <c r="F17" s="16" t="n"/>
      <c r="G17" s="10">
        <f>IFERROR(IF(OR($E17="",$T17=""),"",$T17-$E17),"")</f>
        <v/>
      </c>
      <c r="H17" s="17">
        <f>IFERROR(IF(OR($E17="",$T17="",$E17=0),"",$T17/$E17),"")</f>
        <v/>
      </c>
      <c r="I17" s="18" t="n"/>
      <c r="J17" s="19">
        <f>IFERROR(IF(OR($I17="",$K17="",$I17=0),"",$K17/$I17),"")</f>
        <v/>
      </c>
      <c r="K17" s="20" t="n"/>
      <c r="L17" s="21">
        <f>IFERROR(IF(OR($E17="",$T17="",$T17=0),"",($T17-$E17)/$T17),"")</f>
        <v/>
      </c>
      <c r="M17" s="21">
        <f>IFERROR(IF(OR($E17="",$T17="",$T17=0),"",$E17/$T17),"")</f>
        <v/>
      </c>
      <c r="N17" s="22">
        <f>IFERROR(IF(OR($E17="",$I17=""),"",$E17*$I17),"")</f>
        <v/>
      </c>
      <c r="O17" s="22">
        <f>IFERROR(IF(OR($T17="",$I17=""),"",$T17*$I17),"")</f>
        <v/>
      </c>
      <c r="P17" s="23" t="n"/>
      <c r="Q17" s="23" t="n"/>
      <c r="R17" s="23" t="n"/>
      <c r="S17" s="23" t="n"/>
      <c r="T17" s="22">
        <f>IFERROR(IF(OR($F17="",$C$59=""),"",$F17/(1+$C$59)),"")</f>
        <v/>
      </c>
    </row>
    <row r="18">
      <c r="A18" s="7" t="n">
        <v>14</v>
      </c>
      <c r="B18" s="15" t="n"/>
      <c r="C18" s="15" t="n"/>
      <c r="D18" s="15" t="n"/>
      <c r="E18" s="16" t="n"/>
      <c r="F18" s="16" t="n"/>
      <c r="G18" s="10">
        <f>IFERROR(IF(OR($E18="",$T18=""),"",$T18-$E18),"")</f>
        <v/>
      </c>
      <c r="H18" s="17">
        <f>IFERROR(IF(OR($E18="",$T18="",$E18=0),"",$T18/$E18),"")</f>
        <v/>
      </c>
      <c r="I18" s="18" t="n"/>
      <c r="J18" s="19">
        <f>IFERROR(IF(OR($I18="",$K18="",$I18=0),"",$K18/$I18),"")</f>
        <v/>
      </c>
      <c r="K18" s="20" t="n"/>
      <c r="L18" s="21">
        <f>IFERROR(IF(OR($E18="",$T18="",$T18=0),"",($T18-$E18)/$T18),"")</f>
        <v/>
      </c>
      <c r="M18" s="21">
        <f>IFERROR(IF(OR($E18="",$T18="",$T18=0),"",$E18/$T18),"")</f>
        <v/>
      </c>
      <c r="N18" s="22">
        <f>IFERROR(IF(OR($E18="",$I18=""),"",$E18*$I18),"")</f>
        <v/>
      </c>
      <c r="O18" s="22">
        <f>IFERROR(IF(OR($T18="",$I18=""),"",$T18*$I18),"")</f>
        <v/>
      </c>
      <c r="P18" s="23" t="n"/>
      <c r="Q18" s="23" t="n"/>
      <c r="R18" s="23" t="n"/>
      <c r="S18" s="23" t="n"/>
      <c r="T18" s="22">
        <f>IFERROR(IF(OR($F18="",$C$59=""),"",$F18/(1+$C$59)),"")</f>
        <v/>
      </c>
    </row>
    <row r="19">
      <c r="A19" s="7" t="n">
        <v>15</v>
      </c>
      <c r="B19" s="15" t="n"/>
      <c r="C19" s="15" t="n"/>
      <c r="D19" s="15" t="n"/>
      <c r="E19" s="16" t="n"/>
      <c r="F19" s="16" t="n"/>
      <c r="G19" s="10">
        <f>IFERROR(IF(OR($E19="",$T19=""),"",$T19-$E19),"")</f>
        <v/>
      </c>
      <c r="H19" s="17">
        <f>IFERROR(IF(OR($E19="",$T19="",$E19=0),"",$T19/$E19),"")</f>
        <v/>
      </c>
      <c r="I19" s="18" t="n"/>
      <c r="J19" s="19">
        <f>IFERROR(IF(OR($I19="",$K19="",$I19=0),"",$K19/$I19),"")</f>
        <v/>
      </c>
      <c r="K19" s="20" t="n"/>
      <c r="L19" s="21">
        <f>IFERROR(IF(OR($E19="",$T19="",$T19=0),"",($T19-$E19)/$T19),"")</f>
        <v/>
      </c>
      <c r="M19" s="21">
        <f>IFERROR(IF(OR($E19="",$T19="",$T19=0),"",$E19/$T19),"")</f>
        <v/>
      </c>
      <c r="N19" s="22">
        <f>IFERROR(IF(OR($E19="",$I19=""),"",$E19*$I19),"")</f>
        <v/>
      </c>
      <c r="O19" s="22">
        <f>IFERROR(IF(OR($T19="",$I19=""),"",$T19*$I19),"")</f>
        <v/>
      </c>
      <c r="P19" s="23" t="n"/>
      <c r="Q19" s="23" t="n"/>
      <c r="R19" s="23" t="n"/>
      <c r="S19" s="23" t="n"/>
      <c r="T19" s="22">
        <f>IFERROR(IF(OR($F19="",$C$59=""),"",$F19/(1+$C$59)),"")</f>
        <v/>
      </c>
    </row>
    <row r="20">
      <c r="A20" s="7" t="n">
        <v>16</v>
      </c>
      <c r="B20" s="15" t="n"/>
      <c r="C20" s="15" t="n"/>
      <c r="D20" s="15" t="n"/>
      <c r="E20" s="16" t="n"/>
      <c r="F20" s="16" t="n"/>
      <c r="G20" s="10">
        <f>IFERROR(IF(OR($E20="",$T20=""),"",$T20-$E20),"")</f>
        <v/>
      </c>
      <c r="H20" s="17">
        <f>IFERROR(IF(OR($E20="",$T20="",$E20=0),"",$T20/$E20),"")</f>
        <v/>
      </c>
      <c r="I20" s="18" t="n"/>
      <c r="J20" s="19">
        <f>IFERROR(IF(OR($I20="",$K20="",$I20=0),"",$K20/$I20),"")</f>
        <v/>
      </c>
      <c r="K20" s="20" t="n"/>
      <c r="L20" s="21">
        <f>IFERROR(IF(OR($E20="",$T20="",$T20=0),"",($T20-$E20)/$T20),"")</f>
        <v/>
      </c>
      <c r="M20" s="21">
        <f>IFERROR(IF(OR($E20="",$T20="",$T20=0),"",$E20/$T20),"")</f>
        <v/>
      </c>
      <c r="N20" s="22">
        <f>IFERROR(IF(OR($E20="",$I20=""),"",$E20*$I20),"")</f>
        <v/>
      </c>
      <c r="O20" s="22">
        <f>IFERROR(IF(OR($T20="",$I20=""),"",$T20*$I20),"")</f>
        <v/>
      </c>
      <c r="P20" s="23" t="n"/>
      <c r="Q20" s="23" t="n"/>
      <c r="R20" s="23" t="n"/>
      <c r="S20" s="23" t="n"/>
      <c r="T20" s="22">
        <f>IFERROR(IF(OR($F20="",$C$59=""),"",$F20/(1+$C$59)),"")</f>
        <v/>
      </c>
    </row>
    <row r="21">
      <c r="A21" s="7" t="n">
        <v>17</v>
      </c>
      <c r="B21" s="15" t="n"/>
      <c r="C21" s="15" t="n"/>
      <c r="D21" s="15" t="n"/>
      <c r="E21" s="16" t="n"/>
      <c r="F21" s="16" t="n"/>
      <c r="G21" s="10">
        <f>IFERROR(IF(OR($E21="",$T21=""),"",$T21-$E21),"")</f>
        <v/>
      </c>
      <c r="H21" s="17">
        <f>IFERROR(IF(OR($E21="",$T21="",$E21=0),"",$T21/$E21),"")</f>
        <v/>
      </c>
      <c r="I21" s="18" t="n"/>
      <c r="J21" s="19">
        <f>IFERROR(IF(OR($I21="",$K21="",$I21=0),"",$K21/$I21),"")</f>
        <v/>
      </c>
      <c r="K21" s="20" t="n"/>
      <c r="L21" s="21">
        <f>IFERROR(IF(OR($E21="",$T21="",$T21=0),"",($T21-$E21)/$T21),"")</f>
        <v/>
      </c>
      <c r="M21" s="21">
        <f>IFERROR(IF(OR($E21="",$T21="",$T21=0),"",$E21/$T21),"")</f>
        <v/>
      </c>
      <c r="N21" s="22">
        <f>IFERROR(IF(OR($E21="",$I21=""),"",$E21*$I21),"")</f>
        <v/>
      </c>
      <c r="O21" s="22">
        <f>IFERROR(IF(OR($T21="",$I21=""),"",$T21*$I21),"")</f>
        <v/>
      </c>
      <c r="P21" s="23" t="n"/>
      <c r="Q21" s="23" t="n"/>
      <c r="R21" s="23" t="n"/>
      <c r="S21" s="23" t="n"/>
      <c r="T21" s="22">
        <f>IFERROR(IF(OR($F21="",$C$59=""),"",$F21/(1+$C$59)),"")</f>
        <v/>
      </c>
    </row>
    <row r="22">
      <c r="A22" s="7" t="n">
        <v>18</v>
      </c>
      <c r="B22" s="15" t="n"/>
      <c r="C22" s="15" t="n"/>
      <c r="D22" s="15" t="n"/>
      <c r="E22" s="16" t="n"/>
      <c r="F22" s="16" t="n"/>
      <c r="G22" s="10">
        <f>IFERROR(IF(OR($E22="",$T22=""),"",$T22-$E22),"")</f>
        <v/>
      </c>
      <c r="H22" s="17">
        <f>IFERROR(IF(OR($E22="",$T22="",$E22=0),"",$T22/$E22),"")</f>
        <v/>
      </c>
      <c r="I22" s="18" t="n"/>
      <c r="J22" s="19">
        <f>IFERROR(IF(OR($I22="",$K22="",$I22=0),"",$K22/$I22),"")</f>
        <v/>
      </c>
      <c r="K22" s="20" t="n"/>
      <c r="L22" s="21">
        <f>IFERROR(IF(OR($E22="",$T22="",$T22=0),"",($T22-$E22)/$T22),"")</f>
        <v/>
      </c>
      <c r="M22" s="21">
        <f>IFERROR(IF(OR($E22="",$T22="",$T22=0),"",$E22/$T22),"")</f>
        <v/>
      </c>
      <c r="N22" s="22">
        <f>IFERROR(IF(OR($E22="",$I22=""),"",$E22*$I22),"")</f>
        <v/>
      </c>
      <c r="O22" s="22">
        <f>IFERROR(IF(OR($T22="",$I22=""),"",$T22*$I22),"")</f>
        <v/>
      </c>
      <c r="P22" s="23" t="n"/>
      <c r="Q22" s="23" t="n"/>
      <c r="R22" s="23" t="n"/>
      <c r="S22" s="23" t="n"/>
      <c r="T22" s="22">
        <f>IFERROR(IF(OR($F22="",$C$59=""),"",$F22/(1+$C$59)),"")</f>
        <v/>
      </c>
    </row>
    <row r="23">
      <c r="A23" s="7" t="n">
        <v>19</v>
      </c>
      <c r="B23" s="15" t="n"/>
      <c r="C23" s="15" t="n"/>
      <c r="D23" s="15" t="n"/>
      <c r="E23" s="16" t="n"/>
      <c r="F23" s="16" t="n"/>
      <c r="G23" s="10">
        <f>IFERROR(IF(OR($E23="",$T23=""),"",$T23-$E23),"")</f>
        <v/>
      </c>
      <c r="H23" s="17">
        <f>IFERROR(IF(OR($E23="",$T23="",$E23=0),"",$T23/$E23),"")</f>
        <v/>
      </c>
      <c r="I23" s="18" t="n"/>
      <c r="J23" s="19">
        <f>IFERROR(IF(OR($I23="",$K23="",$I23=0),"",$K23/$I23),"")</f>
        <v/>
      </c>
      <c r="K23" s="20" t="n"/>
      <c r="L23" s="21">
        <f>IFERROR(IF(OR($E23="",$T23="",$T23=0),"",($T23-$E23)/$T23),"")</f>
        <v/>
      </c>
      <c r="M23" s="21">
        <f>IFERROR(IF(OR($E23="",$T23="",$T23=0),"",$E23/$T23),"")</f>
        <v/>
      </c>
      <c r="N23" s="22">
        <f>IFERROR(IF(OR($E23="",$I23=""),"",$E23*$I23),"")</f>
        <v/>
      </c>
      <c r="O23" s="22">
        <f>IFERROR(IF(OR($T23="",$I23=""),"",$T23*$I23),"")</f>
        <v/>
      </c>
      <c r="P23" s="23" t="n"/>
      <c r="Q23" s="23" t="n"/>
      <c r="R23" s="23" t="n"/>
      <c r="S23" s="23" t="n"/>
      <c r="T23" s="22">
        <f>IFERROR(IF(OR($F23="",$C$59=""),"",$F23/(1+$C$59)),"")</f>
        <v/>
      </c>
    </row>
    <row r="24">
      <c r="A24" s="7" t="n">
        <v>20</v>
      </c>
      <c r="B24" s="15" t="n"/>
      <c r="C24" s="15" t="n"/>
      <c r="D24" s="15" t="n"/>
      <c r="E24" s="16" t="n"/>
      <c r="F24" s="16" t="n"/>
      <c r="G24" s="10">
        <f>IFERROR(IF(OR($E24="",$T24=""),"",$T24-$E24),"")</f>
        <v/>
      </c>
      <c r="H24" s="17">
        <f>IFERROR(IF(OR($E24="",$T24="",$E24=0),"",$T24/$E24),"")</f>
        <v/>
      </c>
      <c r="I24" s="18" t="n"/>
      <c r="J24" s="19">
        <f>IFERROR(IF(OR($I24="",$K24="",$I24=0),"",$K24/$I24),"")</f>
        <v/>
      </c>
      <c r="K24" s="20" t="n"/>
      <c r="L24" s="21">
        <f>IFERROR(IF(OR($E24="",$T24="",$T24=0),"",($T24-$E24)/$T24),"")</f>
        <v/>
      </c>
      <c r="M24" s="21">
        <f>IFERROR(IF(OR($E24="",$T24="",$T24=0),"",$E24/$T24),"")</f>
        <v/>
      </c>
      <c r="N24" s="22">
        <f>IFERROR(IF(OR($E24="",$I24=""),"",$E24*$I24),"")</f>
        <v/>
      </c>
      <c r="O24" s="22">
        <f>IFERROR(IF(OR($T24="",$I24=""),"",$T24*$I24),"")</f>
        <v/>
      </c>
      <c r="P24" s="23" t="n"/>
      <c r="Q24" s="23" t="n"/>
      <c r="R24" s="23" t="n"/>
      <c r="S24" s="23" t="n"/>
      <c r="T24" s="22">
        <f>IFERROR(IF(OR($F24="",$C$59=""),"",$F24/(1+$C$59)),"")</f>
        <v/>
      </c>
    </row>
    <row r="25">
      <c r="A25" s="7" t="n">
        <v>21</v>
      </c>
      <c r="B25" s="15" t="n"/>
      <c r="C25" s="15" t="n"/>
      <c r="D25" s="15" t="n"/>
      <c r="E25" s="16" t="n"/>
      <c r="F25" s="16" t="n"/>
      <c r="G25" s="10">
        <f>IFERROR(IF(OR($E25="",$T25=""),"",$T25-$E25),"")</f>
        <v/>
      </c>
      <c r="H25" s="17">
        <f>IFERROR(IF(OR($E25="",$T25="",$E25=0),"",$T25/$E25),"")</f>
        <v/>
      </c>
      <c r="I25" s="18" t="n"/>
      <c r="J25" s="19">
        <f>IFERROR(IF(OR($I25="",$K25="",$I25=0),"",$K25/$I25),"")</f>
        <v/>
      </c>
      <c r="K25" s="20" t="n"/>
      <c r="L25" s="21">
        <f>IFERROR(IF(OR($E25="",$T25="",$T25=0),"",($T25-$E25)/$T25),"")</f>
        <v/>
      </c>
      <c r="M25" s="21">
        <f>IFERROR(IF(OR($E25="",$T25="",$T25=0),"",$E25/$T25),"")</f>
        <v/>
      </c>
      <c r="N25" s="22">
        <f>IFERROR(IF(OR($E25="",$I25=""),"",$E25*$I25),"")</f>
        <v/>
      </c>
      <c r="O25" s="22">
        <f>IFERROR(IF(OR($T25="",$I25=""),"",$T25*$I25),"")</f>
        <v/>
      </c>
      <c r="P25" s="23" t="n"/>
      <c r="Q25" s="23" t="n"/>
      <c r="R25" s="23" t="n"/>
      <c r="S25" s="23" t="n"/>
      <c r="T25" s="22">
        <f>IFERROR(IF(OR($F25="",$C$59=""),"",$F25/(1+$C$59)),"")</f>
        <v/>
      </c>
    </row>
    <row r="26">
      <c r="A26" s="7" t="n">
        <v>22</v>
      </c>
      <c r="B26" s="15" t="n"/>
      <c r="C26" s="15" t="n"/>
      <c r="D26" s="15" t="n"/>
      <c r="E26" s="16" t="n"/>
      <c r="F26" s="16" t="n"/>
      <c r="G26" s="10">
        <f>IFERROR(IF(OR($E26="",$T26=""),"",$T26-$E26),"")</f>
        <v/>
      </c>
      <c r="H26" s="17">
        <f>IFERROR(IF(OR($E26="",$T26="",$E26=0),"",$T26/$E26),"")</f>
        <v/>
      </c>
      <c r="I26" s="18" t="n"/>
      <c r="J26" s="19">
        <f>IFERROR(IF(OR($I26="",$K26="",$I26=0),"",$K26/$I26),"")</f>
        <v/>
      </c>
      <c r="K26" s="20" t="n"/>
      <c r="L26" s="21">
        <f>IFERROR(IF(OR($E26="",$T26="",$T26=0),"",($T26-$E26)/$T26),"")</f>
        <v/>
      </c>
      <c r="M26" s="21">
        <f>IFERROR(IF(OR($E26="",$T26="",$T26=0),"",$E26/$T26),"")</f>
        <v/>
      </c>
      <c r="N26" s="22">
        <f>IFERROR(IF(OR($E26="",$I26=""),"",$E26*$I26),"")</f>
        <v/>
      </c>
      <c r="O26" s="22">
        <f>IFERROR(IF(OR($T26="",$I26=""),"",$T26*$I26),"")</f>
        <v/>
      </c>
      <c r="P26" s="23" t="n"/>
      <c r="Q26" s="23" t="n"/>
      <c r="R26" s="23" t="n"/>
      <c r="S26" s="23" t="n"/>
      <c r="T26" s="22">
        <f>IFERROR(IF(OR($F26="",$C$59=""),"",$F26/(1+$C$59)),"")</f>
        <v/>
      </c>
    </row>
    <row r="27">
      <c r="A27" s="7" t="n">
        <v>23</v>
      </c>
      <c r="B27" s="15" t="n"/>
      <c r="C27" s="15" t="n"/>
      <c r="D27" s="15" t="n"/>
      <c r="E27" s="16" t="n"/>
      <c r="F27" s="16" t="n"/>
      <c r="G27" s="10">
        <f>IFERROR(IF(OR($E27="",$T27=""),"",$T27-$E27),"")</f>
        <v/>
      </c>
      <c r="H27" s="17">
        <f>IFERROR(IF(OR($E27="",$T27="",$E27=0),"",$T27/$E27),"")</f>
        <v/>
      </c>
      <c r="I27" s="18" t="n"/>
      <c r="J27" s="19">
        <f>IFERROR(IF(OR($I27="",$K27="",$I27=0),"",$K27/$I27),"")</f>
        <v/>
      </c>
      <c r="K27" s="20" t="n"/>
      <c r="L27" s="21">
        <f>IFERROR(IF(OR($E27="",$T27="",$T27=0),"",($T27-$E27)/$T27),"")</f>
        <v/>
      </c>
      <c r="M27" s="21">
        <f>IFERROR(IF(OR($E27="",$T27="",$T27=0),"",$E27/$T27),"")</f>
        <v/>
      </c>
      <c r="N27" s="22">
        <f>IFERROR(IF(OR($E27="",$I27=""),"",$E27*$I27),"")</f>
        <v/>
      </c>
      <c r="O27" s="22">
        <f>IFERROR(IF(OR($T27="",$I27=""),"",$T27*$I27),"")</f>
        <v/>
      </c>
      <c r="P27" s="23" t="n"/>
      <c r="Q27" s="23" t="n"/>
      <c r="R27" s="23" t="n"/>
      <c r="S27" s="23" t="n"/>
      <c r="T27" s="22">
        <f>IFERROR(IF(OR($F27="",$C$59=""),"",$F27/(1+$C$59)),"")</f>
        <v/>
      </c>
    </row>
    <row r="28">
      <c r="A28" s="7" t="n">
        <v>24</v>
      </c>
      <c r="B28" s="15" t="n"/>
      <c r="C28" s="15" t="n"/>
      <c r="D28" s="15" t="n"/>
      <c r="E28" s="16" t="n"/>
      <c r="F28" s="16" t="n"/>
      <c r="G28" s="10">
        <f>IFERROR(IF(OR($E28="",$T28=""),"",$T28-$E28),"")</f>
        <v/>
      </c>
      <c r="H28" s="17">
        <f>IFERROR(IF(OR($E28="",$T28="",$E28=0),"",$T28/$E28),"")</f>
        <v/>
      </c>
      <c r="I28" s="18" t="n"/>
      <c r="J28" s="19">
        <f>IFERROR(IF(OR($I28="",$K28="",$I28=0),"",$K28/$I28),"")</f>
        <v/>
      </c>
      <c r="K28" s="20" t="n"/>
      <c r="L28" s="21">
        <f>IFERROR(IF(OR($E28="",$T28="",$T28=0),"",($T28-$E28)/$T28),"")</f>
        <v/>
      </c>
      <c r="M28" s="21">
        <f>IFERROR(IF(OR($E28="",$T28="",$T28=0),"",$E28/$T28),"")</f>
        <v/>
      </c>
      <c r="N28" s="22">
        <f>IFERROR(IF(OR($E28="",$I28=""),"",$E28*$I28),"")</f>
        <v/>
      </c>
      <c r="O28" s="22">
        <f>IFERROR(IF(OR($T28="",$I28=""),"",$T28*$I28),"")</f>
        <v/>
      </c>
      <c r="P28" s="23" t="n"/>
      <c r="Q28" s="23" t="n"/>
      <c r="R28" s="23" t="n"/>
      <c r="S28" s="23" t="n"/>
      <c r="T28" s="22">
        <f>IFERROR(IF(OR($F28="",$C$59=""),"",$F28/(1+$C$59)),"")</f>
        <v/>
      </c>
    </row>
    <row r="29">
      <c r="A29" s="7" t="n">
        <v>25</v>
      </c>
      <c r="B29" s="15" t="n"/>
      <c r="C29" s="15" t="n"/>
      <c r="D29" s="15" t="n"/>
      <c r="E29" s="16" t="n"/>
      <c r="F29" s="16" t="n"/>
      <c r="G29" s="10">
        <f>IFERROR(IF(OR($E29="",$T29=""),"",$T29-$E29),"")</f>
        <v/>
      </c>
      <c r="H29" s="17">
        <f>IFERROR(IF(OR($E29="",$T29="",$E29=0),"",$T29/$E29),"")</f>
        <v/>
      </c>
      <c r="I29" s="18" t="n"/>
      <c r="J29" s="19">
        <f>IFERROR(IF(OR($I29="",$K29="",$I29=0),"",$K29/$I29),"")</f>
        <v/>
      </c>
      <c r="K29" s="20" t="n"/>
      <c r="L29" s="21">
        <f>IFERROR(IF(OR($E29="",$T29="",$T29=0),"",($T29-$E29)/$T29),"")</f>
        <v/>
      </c>
      <c r="M29" s="21">
        <f>IFERROR(IF(OR($E29="",$T29="",$T29=0),"",$E29/$T29),"")</f>
        <v/>
      </c>
      <c r="N29" s="22">
        <f>IFERROR(IF(OR($E29="",$I29=""),"",$E29*$I29),"")</f>
        <v/>
      </c>
      <c r="O29" s="22">
        <f>IFERROR(IF(OR($T29="",$I29=""),"",$T29*$I29),"")</f>
        <v/>
      </c>
      <c r="P29" s="23" t="n"/>
      <c r="Q29" s="23" t="n"/>
      <c r="R29" s="23" t="n"/>
      <c r="S29" s="23" t="n"/>
      <c r="T29" s="22">
        <f>IFERROR(IF(OR($F29="",$C$59=""),"",$F29/(1+$C$59)),"")</f>
        <v/>
      </c>
    </row>
    <row r="30">
      <c r="A30" s="7" t="n">
        <v>26</v>
      </c>
      <c r="B30" s="15" t="n"/>
      <c r="C30" s="15" t="n"/>
      <c r="D30" s="15" t="n"/>
      <c r="E30" s="16" t="n"/>
      <c r="F30" s="16" t="n"/>
      <c r="G30" s="10">
        <f>IFERROR(IF(OR($E30="",$T30=""),"",$T30-$E30),"")</f>
        <v/>
      </c>
      <c r="H30" s="17">
        <f>IFERROR(IF(OR($E30="",$T30="",$E30=0),"",$T30/$E30),"")</f>
        <v/>
      </c>
      <c r="I30" s="18" t="n"/>
      <c r="J30" s="19">
        <f>IFERROR(IF(OR($I30="",$K30="",$I30=0),"",$K30/$I30),"")</f>
        <v/>
      </c>
      <c r="K30" s="20" t="n"/>
      <c r="L30" s="21">
        <f>IFERROR(IF(OR($E30="",$T30="",$T30=0),"",($T30-$E30)/$T30),"")</f>
        <v/>
      </c>
      <c r="M30" s="21">
        <f>IFERROR(IF(OR($E30="",$T30="",$T30=0),"",$E30/$T30),"")</f>
        <v/>
      </c>
      <c r="N30" s="22">
        <f>IFERROR(IF(OR($E30="",$I30=""),"",$E30*$I30),"")</f>
        <v/>
      </c>
      <c r="O30" s="22">
        <f>IFERROR(IF(OR($T30="",$I30=""),"",$T30*$I30),"")</f>
        <v/>
      </c>
      <c r="P30" s="23" t="n"/>
      <c r="Q30" s="23" t="n"/>
      <c r="R30" s="23" t="n"/>
      <c r="S30" s="23" t="n"/>
      <c r="T30" s="22">
        <f>IFERROR(IF(OR($F30="",$C$59=""),"",$F30/(1+$C$59)),"")</f>
        <v/>
      </c>
    </row>
    <row r="31">
      <c r="A31" s="7" t="n">
        <v>27</v>
      </c>
      <c r="B31" s="15" t="n"/>
      <c r="C31" s="15" t="n"/>
      <c r="D31" s="15" t="n"/>
      <c r="E31" s="16" t="n"/>
      <c r="F31" s="16" t="n"/>
      <c r="G31" s="10">
        <f>IFERROR(IF(OR($E31="",$T31=""),"",$T31-$E31),"")</f>
        <v/>
      </c>
      <c r="H31" s="17">
        <f>IFERROR(IF(OR($E31="",$T31="",$E31=0),"",$T31/$E31),"")</f>
        <v/>
      </c>
      <c r="I31" s="18" t="n"/>
      <c r="J31" s="19">
        <f>IFERROR(IF(OR($I31="",$K31="",$I31=0),"",$K31/$I31),"")</f>
        <v/>
      </c>
      <c r="K31" s="20" t="n"/>
      <c r="L31" s="21">
        <f>IFERROR(IF(OR($E31="",$T31="",$T31=0),"",($T31-$E31)/$T31),"")</f>
        <v/>
      </c>
      <c r="M31" s="21">
        <f>IFERROR(IF(OR($E31="",$T31="",$T31=0),"",$E31/$T31),"")</f>
        <v/>
      </c>
      <c r="N31" s="22">
        <f>IFERROR(IF(OR($E31="",$I31=""),"",$E31*$I31),"")</f>
        <v/>
      </c>
      <c r="O31" s="22">
        <f>IFERROR(IF(OR($T31="",$I31=""),"",$T31*$I31),"")</f>
        <v/>
      </c>
      <c r="P31" s="23" t="n"/>
      <c r="Q31" s="23" t="n"/>
      <c r="R31" s="23" t="n"/>
      <c r="S31" s="23" t="n"/>
      <c r="T31" s="22">
        <f>IFERROR(IF(OR($F31="",$C$59=""),"",$F31/(1+$C$59)),"")</f>
        <v/>
      </c>
    </row>
    <row r="32">
      <c r="A32" s="7" t="n">
        <v>28</v>
      </c>
      <c r="B32" s="15" t="n"/>
      <c r="C32" s="15" t="n"/>
      <c r="D32" s="15" t="n"/>
      <c r="E32" s="16" t="n"/>
      <c r="F32" s="16" t="n"/>
      <c r="G32" s="10">
        <f>IFERROR(IF(OR($E32="",$T32=""),"",$T32-$E32),"")</f>
        <v/>
      </c>
      <c r="H32" s="17">
        <f>IFERROR(IF(OR($E32="",$T32="",$E32=0),"",$T32/$E32),"")</f>
        <v/>
      </c>
      <c r="I32" s="18" t="n"/>
      <c r="J32" s="19">
        <f>IFERROR(IF(OR($I32="",$K32="",$I32=0),"",$K32/$I32),"")</f>
        <v/>
      </c>
      <c r="K32" s="20" t="n"/>
      <c r="L32" s="21">
        <f>IFERROR(IF(OR($E32="",$T32="",$T32=0),"",($T32-$E32)/$T32),"")</f>
        <v/>
      </c>
      <c r="M32" s="21">
        <f>IFERROR(IF(OR($E32="",$T32="",$T32=0),"",$E32/$T32),"")</f>
        <v/>
      </c>
      <c r="N32" s="22">
        <f>IFERROR(IF(OR($E32="",$I32=""),"",$E32*$I32),"")</f>
        <v/>
      </c>
      <c r="O32" s="22">
        <f>IFERROR(IF(OR($T32="",$I32=""),"",$T32*$I32),"")</f>
        <v/>
      </c>
      <c r="P32" s="23" t="n"/>
      <c r="Q32" s="23" t="n"/>
      <c r="R32" s="23" t="n"/>
      <c r="S32" s="23" t="n"/>
      <c r="T32" s="22">
        <f>IFERROR(IF(OR($F32="",$C$59=""),"",$F32/(1+$C$59)),"")</f>
        <v/>
      </c>
    </row>
    <row r="33">
      <c r="A33" s="7" t="n">
        <v>29</v>
      </c>
      <c r="B33" s="15" t="n"/>
      <c r="C33" s="15" t="n"/>
      <c r="D33" s="15" t="n"/>
      <c r="E33" s="16" t="n"/>
      <c r="F33" s="16" t="n"/>
      <c r="G33" s="10">
        <f>IFERROR(IF(OR($E33="",$T33=""),"",$T33-$E33),"")</f>
        <v/>
      </c>
      <c r="H33" s="17">
        <f>IFERROR(IF(OR($E33="",$T33="",$E33=0),"",$T33/$E33),"")</f>
        <v/>
      </c>
      <c r="I33" s="18" t="n"/>
      <c r="J33" s="19">
        <f>IFERROR(IF(OR($I33="",$K33="",$I33=0),"",$K33/$I33),"")</f>
        <v/>
      </c>
      <c r="K33" s="20" t="n"/>
      <c r="L33" s="21">
        <f>IFERROR(IF(OR($E33="",$T33="",$T33=0),"",($T33-$E33)/$T33),"")</f>
        <v/>
      </c>
      <c r="M33" s="21">
        <f>IFERROR(IF(OR($E33="",$T33="",$T33=0),"",$E33/$T33),"")</f>
        <v/>
      </c>
      <c r="N33" s="22">
        <f>IFERROR(IF(OR($E33="",$I33=""),"",$E33*$I33),"")</f>
        <v/>
      </c>
      <c r="O33" s="22">
        <f>IFERROR(IF(OR($T33="",$I33=""),"",$T33*$I33),"")</f>
        <v/>
      </c>
      <c r="P33" s="23" t="n"/>
      <c r="Q33" s="23" t="n"/>
      <c r="R33" s="23" t="n"/>
      <c r="S33" s="23" t="n"/>
      <c r="T33" s="22">
        <f>IFERROR(IF(OR($F33="",$C$59=""),"",$F33/(1+$C$59)),"")</f>
        <v/>
      </c>
    </row>
    <row r="34">
      <c r="A34" s="7" t="n">
        <v>30</v>
      </c>
      <c r="B34" s="15" t="n"/>
      <c r="C34" s="15" t="n"/>
      <c r="D34" s="15" t="n"/>
      <c r="E34" s="16" t="n"/>
      <c r="F34" s="16" t="n"/>
      <c r="G34" s="10">
        <f>IFERROR(IF(OR($E34="",$T34=""),"",$T34-$E34),"")</f>
        <v/>
      </c>
      <c r="H34" s="17">
        <f>IFERROR(IF(OR($E34="",$T34="",$E34=0),"",$T34/$E34),"")</f>
        <v/>
      </c>
      <c r="I34" s="18" t="n"/>
      <c r="J34" s="19">
        <f>IFERROR(IF(OR($I34="",$K34="",$I34=0),"",$K34/$I34),"")</f>
        <v/>
      </c>
      <c r="K34" s="20" t="n"/>
      <c r="L34" s="21">
        <f>IFERROR(IF(OR($E34="",$T34="",$T34=0),"",($T34-$E34)/$T34),"")</f>
        <v/>
      </c>
      <c r="M34" s="21">
        <f>IFERROR(IF(OR($E34="",$T34="",$T34=0),"",$E34/$T34),"")</f>
        <v/>
      </c>
      <c r="N34" s="22">
        <f>IFERROR(IF(OR($E34="",$I34=""),"",$E34*$I34),"")</f>
        <v/>
      </c>
      <c r="O34" s="22">
        <f>IFERROR(IF(OR($T34="",$I34=""),"",$T34*$I34),"")</f>
        <v/>
      </c>
      <c r="P34" s="23" t="n"/>
      <c r="Q34" s="23" t="n"/>
      <c r="R34" s="23" t="n"/>
      <c r="S34" s="23" t="n"/>
      <c r="T34" s="22">
        <f>IFERROR(IF(OR($F34="",$C$59=""),"",$F34/(1+$C$59)),"")</f>
        <v/>
      </c>
    </row>
    <row r="35">
      <c r="A35" s="7" t="n">
        <v>31</v>
      </c>
      <c r="B35" s="15" t="n"/>
      <c r="C35" s="15" t="n"/>
      <c r="D35" s="15" t="n"/>
      <c r="E35" s="16" t="n"/>
      <c r="F35" s="16" t="n"/>
      <c r="G35" s="10">
        <f>IFERROR(IF(OR($E35="",$T35=""),"",$T35-$E35),"")</f>
        <v/>
      </c>
      <c r="H35" s="17">
        <f>IFERROR(IF(OR($E35="",$T35="",$E35=0),"",$T35/$E35),"")</f>
        <v/>
      </c>
      <c r="I35" s="18" t="n"/>
      <c r="J35" s="19">
        <f>IFERROR(IF(OR($I35="",$K35="",$I35=0),"",$K35/$I35),"")</f>
        <v/>
      </c>
      <c r="K35" s="20" t="n"/>
      <c r="L35" s="21">
        <f>IFERROR(IF(OR($E35="",$T35="",$T35=0),"",($T35-$E35)/$T35),"")</f>
        <v/>
      </c>
      <c r="M35" s="21">
        <f>IFERROR(IF(OR($E35="",$T35="",$T35=0),"",$E35/$T35),"")</f>
        <v/>
      </c>
      <c r="N35" s="22">
        <f>IFERROR(IF(OR($E35="",$I35=""),"",$E35*$I35),"")</f>
        <v/>
      </c>
      <c r="O35" s="22">
        <f>IFERROR(IF(OR($T35="",$I35=""),"",$T35*$I35),"")</f>
        <v/>
      </c>
      <c r="P35" s="23" t="n"/>
      <c r="Q35" s="23" t="n"/>
      <c r="R35" s="23" t="n"/>
      <c r="S35" s="23" t="n"/>
      <c r="T35" s="22">
        <f>IFERROR(IF(OR($F35="",$C$59=""),"",$F35/(1+$C$59)),"")</f>
        <v/>
      </c>
    </row>
    <row r="36">
      <c r="A36" s="7" t="n">
        <v>32</v>
      </c>
      <c r="B36" s="15" t="n"/>
      <c r="C36" s="15" t="n"/>
      <c r="D36" s="15" t="n"/>
      <c r="E36" s="16" t="n"/>
      <c r="F36" s="16" t="n"/>
      <c r="G36" s="10">
        <f>IFERROR(IF(OR($E36="",$T36=""),"",$T36-$E36),"")</f>
        <v/>
      </c>
      <c r="H36" s="17">
        <f>IFERROR(IF(OR($E36="",$T36="",$E36=0),"",$T36/$E36),"")</f>
        <v/>
      </c>
      <c r="I36" s="18" t="n"/>
      <c r="J36" s="19">
        <f>IFERROR(IF(OR($I36="",$K36="",$I36=0),"",$K36/$I36),"")</f>
        <v/>
      </c>
      <c r="K36" s="20" t="n"/>
      <c r="L36" s="21">
        <f>IFERROR(IF(OR($E36="",$T36="",$T36=0),"",($T36-$E36)/$T36),"")</f>
        <v/>
      </c>
      <c r="M36" s="21">
        <f>IFERROR(IF(OR($E36="",$T36="",$T36=0),"",$E36/$T36),"")</f>
        <v/>
      </c>
      <c r="N36" s="22">
        <f>IFERROR(IF(OR($E36="",$I36=""),"",$E36*$I36),"")</f>
        <v/>
      </c>
      <c r="O36" s="22">
        <f>IFERROR(IF(OR($T36="",$I36=""),"",$T36*$I36),"")</f>
        <v/>
      </c>
      <c r="P36" s="23" t="n"/>
      <c r="Q36" s="23" t="n"/>
      <c r="R36" s="23" t="n"/>
      <c r="S36" s="23" t="n"/>
      <c r="T36" s="22">
        <f>IFERROR(IF(OR($F36="",$C$59=""),"",$F36/(1+$C$59)),"")</f>
        <v/>
      </c>
    </row>
    <row r="37">
      <c r="A37" s="7" t="n">
        <v>33</v>
      </c>
      <c r="B37" s="15" t="n"/>
      <c r="C37" s="15" t="n"/>
      <c r="D37" s="15" t="n"/>
      <c r="E37" s="16" t="n"/>
      <c r="F37" s="16" t="n"/>
      <c r="G37" s="10">
        <f>IFERROR(IF(OR($E37="",$T37=""),"",$T37-$E37),"")</f>
        <v/>
      </c>
      <c r="H37" s="17">
        <f>IFERROR(IF(OR($E37="",$T37="",$E37=0),"",$T37/$E37),"")</f>
        <v/>
      </c>
      <c r="I37" s="18" t="n"/>
      <c r="J37" s="19">
        <f>IFERROR(IF(OR($I37="",$K37="",$I37=0),"",$K37/$I37),"")</f>
        <v/>
      </c>
      <c r="K37" s="20" t="n"/>
      <c r="L37" s="21">
        <f>IFERROR(IF(OR($E37="",$T37="",$T37=0),"",($T37-$E37)/$T37),"")</f>
        <v/>
      </c>
      <c r="M37" s="21">
        <f>IFERROR(IF(OR($E37="",$T37="",$T37=0),"",$E37/$T37),"")</f>
        <v/>
      </c>
      <c r="N37" s="22">
        <f>IFERROR(IF(OR($E37="",$I37=""),"",$E37*$I37),"")</f>
        <v/>
      </c>
      <c r="O37" s="22">
        <f>IFERROR(IF(OR($T37="",$I37=""),"",$T37*$I37),"")</f>
        <v/>
      </c>
      <c r="P37" s="23" t="n"/>
      <c r="Q37" s="23" t="n"/>
      <c r="R37" s="23" t="n"/>
      <c r="S37" s="23" t="n"/>
      <c r="T37" s="22">
        <f>IFERROR(IF(OR($F37="",$C$59=""),"",$F37/(1+$C$59)),"")</f>
        <v/>
      </c>
    </row>
    <row r="38">
      <c r="A38" s="7" t="n">
        <v>34</v>
      </c>
      <c r="B38" s="15" t="n"/>
      <c r="C38" s="15" t="n"/>
      <c r="D38" s="15" t="n"/>
      <c r="E38" s="16" t="n"/>
      <c r="F38" s="16" t="n"/>
      <c r="G38" s="10">
        <f>IFERROR(IF(OR($E38="",$T38=""),"",$T38-$E38),"")</f>
        <v/>
      </c>
      <c r="H38" s="17">
        <f>IFERROR(IF(OR($E38="",$T38="",$E38=0),"",$T38/$E38),"")</f>
        <v/>
      </c>
      <c r="I38" s="18" t="n"/>
      <c r="J38" s="19">
        <f>IFERROR(IF(OR($I38="",$K38="",$I38=0),"",$K38/$I38),"")</f>
        <v/>
      </c>
      <c r="K38" s="20" t="n"/>
      <c r="L38" s="21">
        <f>IFERROR(IF(OR($E38="",$T38="",$T38=0),"",($T38-$E38)/$T38),"")</f>
        <v/>
      </c>
      <c r="M38" s="21">
        <f>IFERROR(IF(OR($E38="",$T38="",$T38=0),"",$E38/$T38),"")</f>
        <v/>
      </c>
      <c r="N38" s="22">
        <f>IFERROR(IF(OR($E38="",$I38=""),"",$E38*$I38),"")</f>
        <v/>
      </c>
      <c r="O38" s="22">
        <f>IFERROR(IF(OR($T38="",$I38=""),"",$T38*$I38),"")</f>
        <v/>
      </c>
      <c r="P38" s="23" t="n"/>
      <c r="Q38" s="23" t="n"/>
      <c r="R38" s="23" t="n"/>
      <c r="S38" s="23" t="n"/>
      <c r="T38" s="22">
        <f>IFERROR(IF(OR($F38="",$C$59=""),"",$F38/(1+$C$59)),"")</f>
        <v/>
      </c>
    </row>
    <row r="39">
      <c r="A39" s="7" t="n">
        <v>35</v>
      </c>
      <c r="B39" s="15" t="n"/>
      <c r="C39" s="15" t="n"/>
      <c r="D39" s="15" t="n"/>
      <c r="E39" s="16" t="n"/>
      <c r="F39" s="16" t="n"/>
      <c r="G39" s="10">
        <f>IFERROR(IF(OR($E39="",$T39=""),"",$T39-$E39),"")</f>
        <v/>
      </c>
      <c r="H39" s="17">
        <f>IFERROR(IF(OR($E39="",$T39="",$E39=0),"",$T39/$E39),"")</f>
        <v/>
      </c>
      <c r="I39" s="18" t="n"/>
      <c r="J39" s="19">
        <f>IFERROR(IF(OR($I39="",$K39="",$I39=0),"",$K39/$I39),"")</f>
        <v/>
      </c>
      <c r="K39" s="20" t="n"/>
      <c r="L39" s="21">
        <f>IFERROR(IF(OR($E39="",$T39="",$T39=0),"",($T39-$E39)/$T39),"")</f>
        <v/>
      </c>
      <c r="M39" s="21">
        <f>IFERROR(IF(OR($E39="",$T39="",$T39=0),"",$E39/$T39),"")</f>
        <v/>
      </c>
      <c r="N39" s="22">
        <f>IFERROR(IF(OR($E39="",$I39=""),"",$E39*$I39),"")</f>
        <v/>
      </c>
      <c r="O39" s="22">
        <f>IFERROR(IF(OR($T39="",$I39=""),"",$T39*$I39),"")</f>
        <v/>
      </c>
      <c r="P39" s="23" t="n"/>
      <c r="Q39" s="23" t="n"/>
      <c r="R39" s="23" t="n"/>
      <c r="S39" s="23" t="n"/>
      <c r="T39" s="22">
        <f>IFERROR(IF(OR($F39="",$C$59=""),"",$F39/(1+$C$59)),"")</f>
        <v/>
      </c>
    </row>
    <row r="40">
      <c r="A40" s="7" t="n">
        <v>36</v>
      </c>
      <c r="B40" s="15" t="n"/>
      <c r="C40" s="15" t="n"/>
      <c r="D40" s="15" t="n"/>
      <c r="E40" s="16" t="n"/>
      <c r="F40" s="16" t="n"/>
      <c r="G40" s="10">
        <f>IFERROR(IF(OR($E40="",$T40=""),"",$T40-$E40),"")</f>
        <v/>
      </c>
      <c r="H40" s="17">
        <f>IFERROR(IF(OR($E40="",$T40="",$E40=0),"",$T40/$E40),"")</f>
        <v/>
      </c>
      <c r="I40" s="18" t="n"/>
      <c r="J40" s="19">
        <f>IFERROR(IF(OR($I40="",$K40="",$I40=0),"",$K40/$I40),"")</f>
        <v/>
      </c>
      <c r="K40" s="20" t="n"/>
      <c r="L40" s="21">
        <f>IFERROR(IF(OR($E40="",$T40="",$T40=0),"",($T40-$E40)/$T40),"")</f>
        <v/>
      </c>
      <c r="M40" s="21">
        <f>IFERROR(IF(OR($E40="",$T40="",$T40=0),"",$E40/$T40),"")</f>
        <v/>
      </c>
      <c r="N40" s="22">
        <f>IFERROR(IF(OR($E40="",$I40=""),"",$E40*$I40),"")</f>
        <v/>
      </c>
      <c r="O40" s="22">
        <f>IFERROR(IF(OR($T40="",$I40=""),"",$T40*$I40),"")</f>
        <v/>
      </c>
      <c r="P40" s="23" t="n"/>
      <c r="Q40" s="23" t="n"/>
      <c r="R40" s="23" t="n"/>
      <c r="S40" s="23" t="n"/>
      <c r="T40" s="22">
        <f>IFERROR(IF(OR($F40="",$C$59=""),"",$F40/(1+$C$59)),"")</f>
        <v/>
      </c>
    </row>
    <row r="41">
      <c r="A41" s="7" t="n">
        <v>37</v>
      </c>
      <c r="B41" s="15" t="n"/>
      <c r="C41" s="15" t="n"/>
      <c r="D41" s="15" t="n"/>
      <c r="E41" s="16" t="n"/>
      <c r="F41" s="16" t="n"/>
      <c r="G41" s="10">
        <f>IFERROR(IF(OR($E41="",$T41=""),"",$T41-$E41),"")</f>
        <v/>
      </c>
      <c r="H41" s="17">
        <f>IFERROR(IF(OR($E41="",$T41="",$E41=0),"",$T41/$E41),"")</f>
        <v/>
      </c>
      <c r="I41" s="18" t="n"/>
      <c r="J41" s="19">
        <f>IFERROR(IF(OR($I41="",$K41="",$I41=0),"",$K41/$I41),"")</f>
        <v/>
      </c>
      <c r="K41" s="20" t="n"/>
      <c r="L41" s="21">
        <f>IFERROR(IF(OR($E41="",$T41="",$T41=0),"",($T41-$E41)/$T41),"")</f>
        <v/>
      </c>
      <c r="M41" s="21">
        <f>IFERROR(IF(OR($E41="",$T41="",$T41=0),"",$E41/$T41),"")</f>
        <v/>
      </c>
      <c r="N41" s="22">
        <f>IFERROR(IF(OR($E41="",$I41=""),"",$E41*$I41),"")</f>
        <v/>
      </c>
      <c r="O41" s="22">
        <f>IFERROR(IF(OR($T41="",$I41=""),"",$T41*$I41),"")</f>
        <v/>
      </c>
      <c r="P41" s="23" t="n"/>
      <c r="Q41" s="23" t="n"/>
      <c r="R41" s="23" t="n"/>
      <c r="S41" s="23" t="n"/>
      <c r="T41" s="22">
        <f>IFERROR(IF(OR($F41="",$C$59=""),"",$F41/(1+$C$59)),"")</f>
        <v/>
      </c>
    </row>
    <row r="42">
      <c r="A42" s="7" t="n">
        <v>38</v>
      </c>
      <c r="B42" s="15" t="n"/>
      <c r="C42" s="15" t="n"/>
      <c r="D42" s="15" t="n"/>
      <c r="E42" s="16" t="n"/>
      <c r="F42" s="16" t="n"/>
      <c r="G42" s="10">
        <f>IFERROR(IF(OR($E42="",$T42=""),"",$T42-$E42),"")</f>
        <v/>
      </c>
      <c r="H42" s="17">
        <f>IFERROR(IF(OR($E42="",$T42="",$E42=0),"",$T42/$E42),"")</f>
        <v/>
      </c>
      <c r="I42" s="18" t="n"/>
      <c r="J42" s="19">
        <f>IFERROR(IF(OR($I42="",$K42="",$I42=0),"",$K42/$I42),"")</f>
        <v/>
      </c>
      <c r="K42" s="20" t="n"/>
      <c r="L42" s="21">
        <f>IFERROR(IF(OR($E42="",$T42="",$T42=0),"",($T42-$E42)/$T42),"")</f>
        <v/>
      </c>
      <c r="M42" s="21">
        <f>IFERROR(IF(OR($E42="",$T42="",$T42=0),"",$E42/$T42),"")</f>
        <v/>
      </c>
      <c r="N42" s="22">
        <f>IFERROR(IF(OR($E42="",$I42=""),"",$E42*$I42),"")</f>
        <v/>
      </c>
      <c r="O42" s="22">
        <f>IFERROR(IF(OR($T42="",$I42=""),"",$T42*$I42),"")</f>
        <v/>
      </c>
      <c r="P42" s="23" t="n"/>
      <c r="Q42" s="23" t="n"/>
      <c r="R42" s="23" t="n"/>
      <c r="S42" s="23" t="n"/>
      <c r="T42" s="22">
        <f>IFERROR(IF(OR($F42="",$C$59=""),"",$F42/(1+$C$59)),"")</f>
        <v/>
      </c>
    </row>
    <row r="43">
      <c r="A43" s="7" t="n">
        <v>39</v>
      </c>
      <c r="B43" s="15" t="n"/>
      <c r="C43" s="15" t="n"/>
      <c r="D43" s="15" t="n"/>
      <c r="E43" s="16" t="n"/>
      <c r="F43" s="16" t="n"/>
      <c r="G43" s="10">
        <f>IFERROR(IF(OR($E43="",$T43=""),"",$T43-$E43),"")</f>
        <v/>
      </c>
      <c r="H43" s="17">
        <f>IFERROR(IF(OR($E43="",$T43="",$E43=0),"",$T43/$E43),"")</f>
        <v/>
      </c>
      <c r="I43" s="18" t="n"/>
      <c r="J43" s="19">
        <f>IFERROR(IF(OR($I43="",$K43="",$I43=0),"",$K43/$I43),"")</f>
        <v/>
      </c>
      <c r="K43" s="20" t="n"/>
      <c r="L43" s="21">
        <f>IFERROR(IF(OR($E43="",$T43="",$T43=0),"",($T43-$E43)/$T43),"")</f>
        <v/>
      </c>
      <c r="M43" s="21">
        <f>IFERROR(IF(OR($E43="",$T43="",$T43=0),"",$E43/$T43),"")</f>
        <v/>
      </c>
      <c r="N43" s="22">
        <f>IFERROR(IF(OR($E43="",$I43=""),"",$E43*$I43),"")</f>
        <v/>
      </c>
      <c r="O43" s="22">
        <f>IFERROR(IF(OR($T43="",$I43=""),"",$T43*$I43),"")</f>
        <v/>
      </c>
      <c r="P43" s="23" t="n"/>
      <c r="Q43" s="23" t="n"/>
      <c r="R43" s="23" t="n"/>
      <c r="S43" s="23" t="n"/>
      <c r="T43" s="22">
        <f>IFERROR(IF(OR($F43="",$C$59=""),"",$F43/(1+$C$59)),"")</f>
        <v/>
      </c>
    </row>
    <row r="44">
      <c r="A44" s="7" t="n">
        <v>40</v>
      </c>
      <c r="B44" s="15" t="n"/>
      <c r="C44" s="15" t="n"/>
      <c r="D44" s="15" t="n"/>
      <c r="E44" s="16" t="n"/>
      <c r="F44" s="16" t="n"/>
      <c r="G44" s="10">
        <f>IFERROR(IF(OR($E44="",$T44=""),"",$T44-$E44),"")</f>
        <v/>
      </c>
      <c r="H44" s="17">
        <f>IFERROR(IF(OR($E44="",$T44="",$E44=0),"",$T44/$E44),"")</f>
        <v/>
      </c>
      <c r="I44" s="18" t="n"/>
      <c r="J44" s="19">
        <f>IFERROR(IF(OR($I44="",$K44="",$I44=0),"",$K44/$I44),"")</f>
        <v/>
      </c>
      <c r="K44" s="20" t="n"/>
      <c r="L44" s="21">
        <f>IFERROR(IF(OR($E44="",$T44="",$T44=0),"",($T44-$E44)/$T44),"")</f>
        <v/>
      </c>
      <c r="M44" s="21">
        <f>IFERROR(IF(OR($E44="",$T44="",$T44=0),"",$E44/$T44),"")</f>
        <v/>
      </c>
      <c r="N44" s="22">
        <f>IFERROR(IF(OR($E44="",$I44=""),"",$E44*$I44),"")</f>
        <v/>
      </c>
      <c r="O44" s="22">
        <f>IFERROR(IF(OR($T44="",$I44=""),"",$T44*$I44),"")</f>
        <v/>
      </c>
      <c r="P44" s="23" t="n"/>
      <c r="Q44" s="23" t="n"/>
      <c r="R44" s="23" t="n"/>
      <c r="S44" s="23" t="n"/>
      <c r="T44" s="22">
        <f>IFERROR(IF(OR($F44="",$C$59=""),"",$F44/(1+$C$59)),"")</f>
        <v/>
      </c>
    </row>
    <row r="45">
      <c r="A45" s="7" t="n">
        <v>41</v>
      </c>
      <c r="B45" s="15" t="n"/>
      <c r="C45" s="15" t="n"/>
      <c r="D45" s="15" t="n"/>
      <c r="E45" s="16" t="n"/>
      <c r="F45" s="16" t="n"/>
      <c r="G45" s="10">
        <f>IFERROR(IF(OR($E45="",$T45=""),"",$T45-$E45),"")</f>
        <v/>
      </c>
      <c r="H45" s="17">
        <f>IFERROR(IF(OR($E45="",$T45="",$E45=0),"",$T45/$E45),"")</f>
        <v/>
      </c>
      <c r="I45" s="18" t="n"/>
      <c r="J45" s="19">
        <f>IFERROR(IF(OR($I45="",$K45="",$I45=0),"",$K45/$I45),"")</f>
        <v/>
      </c>
      <c r="K45" s="20" t="n"/>
      <c r="L45" s="21">
        <f>IFERROR(IF(OR($E45="",$T45="",$T45=0),"",($T45-$E45)/$T45),"")</f>
        <v/>
      </c>
      <c r="M45" s="21">
        <f>IFERROR(IF(OR($E45="",$T45="",$T45=0),"",$E45/$T45),"")</f>
        <v/>
      </c>
      <c r="N45" s="22">
        <f>IFERROR(IF(OR($E45="",$I45=""),"",$E45*$I45),"")</f>
        <v/>
      </c>
      <c r="O45" s="22">
        <f>IFERROR(IF(OR($T45="",$I45=""),"",$T45*$I45),"")</f>
        <v/>
      </c>
      <c r="P45" s="23" t="n"/>
      <c r="Q45" s="23" t="n"/>
      <c r="R45" s="23" t="n"/>
      <c r="S45" s="23" t="n"/>
      <c r="T45" s="22">
        <f>IFERROR(IF(OR($F45="",$C$59=""),"",$F45/(1+$C$59)),"")</f>
        <v/>
      </c>
    </row>
    <row r="46">
      <c r="A46" s="7" t="n">
        <v>42</v>
      </c>
      <c r="B46" s="15" t="n"/>
      <c r="C46" s="15" t="n"/>
      <c r="D46" s="15" t="n"/>
      <c r="E46" s="16" t="n"/>
      <c r="F46" s="16" t="n"/>
      <c r="G46" s="10">
        <f>IFERROR(IF(OR($E46="",$T46=""),"",$T46-$E46),"")</f>
        <v/>
      </c>
      <c r="H46" s="17">
        <f>IFERROR(IF(OR($E46="",$T46="",$E46=0),"",$T46/$E46),"")</f>
        <v/>
      </c>
      <c r="I46" s="18" t="n"/>
      <c r="J46" s="19">
        <f>IFERROR(IF(OR($I46="",$K46="",$I46=0),"",$K46/$I46),"")</f>
        <v/>
      </c>
      <c r="K46" s="20" t="n"/>
      <c r="L46" s="21">
        <f>IFERROR(IF(OR($E46="",$T46="",$T46=0),"",($T46-$E46)/$T46),"")</f>
        <v/>
      </c>
      <c r="M46" s="21">
        <f>IFERROR(IF(OR($E46="",$T46="",$T46=0),"",$E46/$T46),"")</f>
        <v/>
      </c>
      <c r="N46" s="22">
        <f>IFERROR(IF(OR($E46="",$I46=""),"",$E46*$I46),"")</f>
        <v/>
      </c>
      <c r="O46" s="22">
        <f>IFERROR(IF(OR($T46="",$I46=""),"",$T46*$I46),"")</f>
        <v/>
      </c>
      <c r="P46" s="23" t="n"/>
      <c r="Q46" s="23" t="n"/>
      <c r="R46" s="23" t="n"/>
      <c r="S46" s="23" t="n"/>
      <c r="T46" s="22">
        <f>IFERROR(IF(OR($F46="",$C$59=""),"",$F46/(1+$C$59)),"")</f>
        <v/>
      </c>
    </row>
    <row r="47">
      <c r="A47" s="7" t="n">
        <v>43</v>
      </c>
      <c r="B47" s="15" t="n"/>
      <c r="C47" s="15" t="n"/>
      <c r="D47" s="15" t="n"/>
      <c r="E47" s="16" t="n"/>
      <c r="F47" s="16" t="n"/>
      <c r="G47" s="10">
        <f>IFERROR(IF(OR($E47="",$T47=""),"",$T47-$E47),"")</f>
        <v/>
      </c>
      <c r="H47" s="17">
        <f>IFERROR(IF(OR($E47="",$T47="",$E47=0),"",$T47/$E47),"")</f>
        <v/>
      </c>
      <c r="I47" s="18" t="n"/>
      <c r="J47" s="19">
        <f>IFERROR(IF(OR($I47="",$K47="",$I47=0),"",$K47/$I47),"")</f>
        <v/>
      </c>
      <c r="K47" s="20" t="n"/>
      <c r="L47" s="21">
        <f>IFERROR(IF(OR($E47="",$T47="",$T47=0),"",($T47-$E47)/$T47),"")</f>
        <v/>
      </c>
      <c r="M47" s="21">
        <f>IFERROR(IF(OR($E47="",$T47="",$T47=0),"",$E47/$T47),"")</f>
        <v/>
      </c>
      <c r="N47" s="22">
        <f>IFERROR(IF(OR($E47="",$I47=""),"",$E47*$I47),"")</f>
        <v/>
      </c>
      <c r="O47" s="22">
        <f>IFERROR(IF(OR($T47="",$I47=""),"",$T47*$I47),"")</f>
        <v/>
      </c>
      <c r="P47" s="23" t="n"/>
      <c r="Q47" s="23" t="n"/>
      <c r="R47" s="23" t="n"/>
      <c r="S47" s="23" t="n"/>
      <c r="T47" s="22">
        <f>IFERROR(IF(OR($F47="",$C$59=""),"",$F47/(1+$C$59)),"")</f>
        <v/>
      </c>
    </row>
    <row r="48">
      <c r="A48" s="7" t="n">
        <v>44</v>
      </c>
      <c r="B48" s="15" t="n"/>
      <c r="C48" s="15" t="n"/>
      <c r="D48" s="15" t="n"/>
      <c r="E48" s="16" t="n"/>
      <c r="F48" s="16" t="n"/>
      <c r="G48" s="10">
        <f>IFERROR(IF(OR($E48="",$T48=""),"",$T48-$E48),"")</f>
        <v/>
      </c>
      <c r="H48" s="17">
        <f>IFERROR(IF(OR($E48="",$T48="",$E48=0),"",$T48/$E48),"")</f>
        <v/>
      </c>
      <c r="I48" s="18" t="n"/>
      <c r="J48" s="19">
        <f>IFERROR(IF(OR($I48="",$K48="",$I48=0),"",$K48/$I48),"")</f>
        <v/>
      </c>
      <c r="K48" s="20" t="n"/>
      <c r="L48" s="21">
        <f>IFERROR(IF(OR($E48="",$T48="",$T48=0),"",($T48-$E48)/$T48),"")</f>
        <v/>
      </c>
      <c r="M48" s="21">
        <f>IFERROR(IF(OR($E48="",$T48="",$T48=0),"",$E48/$T48),"")</f>
        <v/>
      </c>
      <c r="N48" s="22">
        <f>IFERROR(IF(OR($E48="",$I48=""),"",$E48*$I48),"")</f>
        <v/>
      </c>
      <c r="O48" s="22">
        <f>IFERROR(IF(OR($T48="",$I48=""),"",$T48*$I48),"")</f>
        <v/>
      </c>
      <c r="P48" s="23" t="n"/>
      <c r="Q48" s="23" t="n"/>
      <c r="R48" s="23" t="n"/>
      <c r="S48" s="23" t="n"/>
      <c r="T48" s="22">
        <f>IFERROR(IF(OR($F48="",$C$59=""),"",$F48/(1+$C$59)),"")</f>
        <v/>
      </c>
    </row>
    <row r="49">
      <c r="A49" s="7" t="n">
        <v>45</v>
      </c>
      <c r="B49" s="15" t="n"/>
      <c r="C49" s="15" t="n"/>
      <c r="D49" s="15" t="n"/>
      <c r="E49" s="16" t="n"/>
      <c r="F49" s="16" t="n"/>
      <c r="G49" s="10">
        <f>IFERROR(IF(OR($E49="",$T49=""),"",$T49-$E49),"")</f>
        <v/>
      </c>
      <c r="H49" s="17">
        <f>IFERROR(IF(OR($E49="",$T49="",$E49=0),"",$T49/$E49),"")</f>
        <v/>
      </c>
      <c r="I49" s="18" t="n"/>
      <c r="J49" s="19">
        <f>IFERROR(IF(OR($I49="",$K49="",$I49=0),"",$K49/$I49),"")</f>
        <v/>
      </c>
      <c r="K49" s="20" t="n"/>
      <c r="L49" s="21">
        <f>IFERROR(IF(OR($E49="",$T49="",$T49=0),"",($T49-$E49)/$T49),"")</f>
        <v/>
      </c>
      <c r="M49" s="21">
        <f>IFERROR(IF(OR($E49="",$T49="",$T49=0),"",$E49/$T49),"")</f>
        <v/>
      </c>
      <c r="N49" s="22">
        <f>IFERROR(IF(OR($E49="",$I49=""),"",$E49*$I49),"")</f>
        <v/>
      </c>
      <c r="O49" s="22">
        <f>IFERROR(IF(OR($T49="",$I49=""),"",$T49*$I49),"")</f>
        <v/>
      </c>
      <c r="P49" s="23" t="n"/>
      <c r="Q49" s="23" t="n"/>
      <c r="R49" s="23" t="n"/>
      <c r="S49" s="23" t="n"/>
      <c r="T49" s="22">
        <f>IFERROR(IF(OR($F49="",$C$59=""),"",$F49/(1+$C$59)),"")</f>
        <v/>
      </c>
    </row>
    <row r="50">
      <c r="A50" s="7" t="n">
        <v>46</v>
      </c>
      <c r="B50" s="15" t="n"/>
      <c r="C50" s="15" t="n"/>
      <c r="D50" s="15" t="n"/>
      <c r="E50" s="16" t="n"/>
      <c r="F50" s="16" t="n"/>
      <c r="G50" s="10">
        <f>IFERROR(IF(OR($E50="",$T50=""),"",$T50-$E50),"")</f>
        <v/>
      </c>
      <c r="H50" s="17">
        <f>IFERROR(IF(OR($E50="",$T50="",$E50=0),"",$T50/$E50),"")</f>
        <v/>
      </c>
      <c r="I50" s="18" t="n"/>
      <c r="J50" s="19">
        <f>IFERROR(IF(OR($I50="",$K50="",$I50=0),"",$K50/$I50),"")</f>
        <v/>
      </c>
      <c r="K50" s="20" t="n"/>
      <c r="L50" s="21">
        <f>IFERROR(IF(OR($E50="",$T50="",$T50=0),"",($T50-$E50)/$T50),"")</f>
        <v/>
      </c>
      <c r="M50" s="21">
        <f>IFERROR(IF(OR($E50="",$T50="",$T50=0),"",$E50/$T50),"")</f>
        <v/>
      </c>
      <c r="N50" s="22">
        <f>IFERROR(IF(OR($E50="",$I50=""),"",$E50*$I50),"")</f>
        <v/>
      </c>
      <c r="O50" s="22">
        <f>IFERROR(IF(OR($T50="",$I50=""),"",$T50*$I50),"")</f>
        <v/>
      </c>
      <c r="P50" s="23" t="n"/>
      <c r="Q50" s="23" t="n"/>
      <c r="R50" s="23" t="n"/>
      <c r="S50" s="23" t="n"/>
      <c r="T50" s="22">
        <f>IFERROR(IF(OR($F50="",$C$59=""),"",$F50/(1+$C$59)),"")</f>
        <v/>
      </c>
    </row>
    <row r="51">
      <c r="A51" s="7" t="n">
        <v>47</v>
      </c>
      <c r="B51" s="15" t="n"/>
      <c r="C51" s="15" t="n"/>
      <c r="D51" s="15" t="n"/>
      <c r="E51" s="16" t="n"/>
      <c r="F51" s="16" t="n"/>
      <c r="G51" s="10">
        <f>IFERROR(IF(OR($E51="",$T51=""),"",$T51-$E51),"")</f>
        <v/>
      </c>
      <c r="H51" s="17">
        <f>IFERROR(IF(OR($E51="",$T51="",$E51=0),"",$T51/$E51),"")</f>
        <v/>
      </c>
      <c r="I51" s="18" t="n"/>
      <c r="J51" s="19">
        <f>IFERROR(IF(OR($I51="",$K51="",$I51=0),"",$K51/$I51),"")</f>
        <v/>
      </c>
      <c r="K51" s="20" t="n"/>
      <c r="L51" s="21">
        <f>IFERROR(IF(OR($E51="",$T51="",$T51=0),"",($T51-$E51)/$T51),"")</f>
        <v/>
      </c>
      <c r="M51" s="21">
        <f>IFERROR(IF(OR($E51="",$T51="",$T51=0),"",$E51/$T51),"")</f>
        <v/>
      </c>
      <c r="N51" s="22">
        <f>IFERROR(IF(OR($E51="",$I51=""),"",$E51*$I51),"")</f>
        <v/>
      </c>
      <c r="O51" s="22">
        <f>IFERROR(IF(OR($T51="",$I51=""),"",$T51*$I51),"")</f>
        <v/>
      </c>
      <c r="P51" s="23" t="n"/>
      <c r="Q51" s="23" t="n"/>
      <c r="R51" s="23" t="n"/>
      <c r="S51" s="23" t="n"/>
      <c r="T51" s="22">
        <f>IFERROR(IF(OR($F51="",$C$59=""),"",$F51/(1+$C$59)),"")</f>
        <v/>
      </c>
    </row>
    <row r="52">
      <c r="A52" s="7" t="n">
        <v>48</v>
      </c>
      <c r="B52" s="15" t="n"/>
      <c r="C52" s="15" t="n"/>
      <c r="D52" s="15" t="n"/>
      <c r="E52" s="16" t="n"/>
      <c r="F52" s="16" t="n"/>
      <c r="G52" s="10">
        <f>IFERROR(IF(OR($E52="",$T52=""),"",$T52-$E52),"")</f>
        <v/>
      </c>
      <c r="H52" s="17">
        <f>IFERROR(IF(OR($E52="",$T52="",$E52=0),"",$T52/$E52),"")</f>
        <v/>
      </c>
      <c r="I52" s="18" t="n"/>
      <c r="J52" s="19">
        <f>IFERROR(IF(OR($I52="",$K52="",$I52=0),"",$K52/$I52),"")</f>
        <v/>
      </c>
      <c r="K52" s="20" t="n"/>
      <c r="L52" s="21">
        <f>IFERROR(IF(OR($E52="",$T52="",$T52=0),"",($T52-$E52)/$T52),"")</f>
        <v/>
      </c>
      <c r="M52" s="21">
        <f>IFERROR(IF(OR($E52="",$T52="",$T52=0),"",$E52/$T52),"")</f>
        <v/>
      </c>
      <c r="N52" s="22">
        <f>IFERROR(IF(OR($E52="",$I52=""),"",$E52*$I52),"")</f>
        <v/>
      </c>
      <c r="O52" s="22">
        <f>IFERROR(IF(OR($T52="",$I52=""),"",$T52*$I52),"")</f>
        <v/>
      </c>
      <c r="P52" s="23" t="n"/>
      <c r="Q52" s="23" t="n"/>
      <c r="R52" s="23" t="n"/>
      <c r="S52" s="23" t="n"/>
      <c r="T52" s="22">
        <f>IFERROR(IF(OR($F52="",$C$59=""),"",$F52/(1+$C$59)),"")</f>
        <v/>
      </c>
    </row>
    <row r="53">
      <c r="A53" s="7" t="n">
        <v>49</v>
      </c>
      <c r="B53" s="15" t="n"/>
      <c r="C53" s="15" t="n"/>
      <c r="D53" s="15" t="n"/>
      <c r="E53" s="16" t="n"/>
      <c r="F53" s="16" t="n"/>
      <c r="G53" s="10">
        <f>IFERROR(IF(OR($E53="",$T53=""),"",$T53-$E53),"")</f>
        <v/>
      </c>
      <c r="H53" s="17">
        <f>IFERROR(IF(OR($E53="",$T53="",$E53=0),"",$T53/$E53),"")</f>
        <v/>
      </c>
      <c r="I53" s="18" t="n"/>
      <c r="J53" s="19">
        <f>IFERROR(IF(OR($I53="",$K53="",$I53=0),"",$K53/$I53),"")</f>
        <v/>
      </c>
      <c r="K53" s="20" t="n"/>
      <c r="L53" s="21">
        <f>IFERROR(IF(OR($E53="",$T53="",$T53=0),"",($T53-$E53)/$T53),"")</f>
        <v/>
      </c>
      <c r="M53" s="21">
        <f>IFERROR(IF(OR($E53="",$T53="",$T53=0),"",$E53/$T53),"")</f>
        <v/>
      </c>
      <c r="N53" s="22">
        <f>IFERROR(IF(OR($E53="",$I53=""),"",$E53*$I53),"")</f>
        <v/>
      </c>
      <c r="O53" s="22">
        <f>IFERROR(IF(OR($T53="",$I53=""),"",$T53*$I53),"")</f>
        <v/>
      </c>
      <c r="P53" s="23" t="n"/>
      <c r="Q53" s="23" t="n"/>
      <c r="R53" s="23" t="n"/>
      <c r="S53" s="23" t="n"/>
      <c r="T53" s="22">
        <f>IFERROR(IF(OR($F53="",$C$59=""),"",$F53/(1+$C$59)),"")</f>
        <v/>
      </c>
    </row>
    <row r="54">
      <c r="A54" s="7" t="n">
        <v>50</v>
      </c>
      <c r="B54" s="15" t="n"/>
      <c r="C54" s="15" t="n"/>
      <c r="D54" s="15" t="n"/>
      <c r="E54" s="16" t="n"/>
      <c r="F54" s="16" t="n"/>
      <c r="G54" s="10">
        <f>IFERROR(IF(OR($E54="",$T54=""),"",$T54-$E54),"")</f>
        <v/>
      </c>
      <c r="H54" s="17">
        <f>IFERROR(IF(OR($E54="",$T54="",$E54=0),"",$T54/$E54),"")</f>
        <v/>
      </c>
      <c r="I54" s="18" t="n"/>
      <c r="J54" s="19">
        <f>IFERROR(IF(OR($I54="",$K54="",$I54=0),"",$K54/$I54),"")</f>
        <v/>
      </c>
      <c r="K54" s="20" t="n"/>
      <c r="L54" s="21">
        <f>IFERROR(IF(OR($E54="",$T54="",$T54=0),"",($T54-$E54)/$T54),"")</f>
        <v/>
      </c>
      <c r="M54" s="21">
        <f>IFERROR(IF(OR($E54="",$T54="",$T54=0),"",$E54/$T54),"")</f>
        <v/>
      </c>
      <c r="N54" s="22">
        <f>IFERROR(IF(OR($E54="",$I54=""),"",$E54*$I54),"")</f>
        <v/>
      </c>
      <c r="O54" s="22">
        <f>IFERROR(IF(OR($T54="",$I54=""),"",$T54*$I54),"")</f>
        <v/>
      </c>
      <c r="P54" s="23" t="n"/>
      <c r="Q54" s="23" t="n"/>
      <c r="R54" s="23" t="n"/>
      <c r="S54" s="23" t="n"/>
      <c r="T54" s="22">
        <f>IFERROR(IF(OR($F54="",$C$59=""),"",$F54/(1+$C$59)),"")</f>
        <v/>
      </c>
    </row>
    <row r="55">
      <c r="A55" s="32" t="inlineStr">
        <is>
          <t>RESUMEN Y PARÁMETROS — lo calcula el libro (v2.0)</t>
        </is>
      </c>
      <c r="B55" s="33" t="n"/>
      <c r="C55" s="33" t="n"/>
      <c r="D55" s="33" t="n"/>
      <c r="E55" s="34" t="n"/>
      <c r="F55" s="34" t="n"/>
      <c r="G55" s="34" t="n"/>
      <c r="H55" s="33" t="n"/>
      <c r="I55" s="35" t="n"/>
      <c r="J55" s="33" t="n"/>
      <c r="K55" s="35" t="n"/>
      <c r="L55" s="36" t="n"/>
      <c r="M55" s="36" t="n"/>
      <c r="N55" s="34" t="n"/>
      <c r="O55" s="34" t="n"/>
      <c r="P55" s="33" t="n"/>
      <c r="Q55" s="33" t="n"/>
      <c r="R55" s="33" t="n"/>
      <c r="S55" s="33" t="n"/>
      <c r="T55" s="34" t="n"/>
    </row>
    <row r="56">
      <c r="A56" s="33" t="n"/>
      <c r="B56" s="32" t="inlineStr">
        <is>
          <t>TOTAL BODEGA</t>
        </is>
      </c>
      <c r="C56" s="33" t="n"/>
      <c r="D56" s="33" t="n"/>
      <c r="E56" s="34" t="n"/>
      <c r="F56" s="34" t="n"/>
      <c r="G56" s="34" t="n"/>
      <c r="H56" s="33" t="n"/>
      <c r="I56" s="37">
        <f>IF(COUNT(I5:I54)=0,"",SUM(I5:I54))</f>
        <v>306.0</v>
      </c>
      <c r="J56" s="33" t="n"/>
      <c r="K56" s="35" t="n"/>
      <c r="L56" s="38">
        <f>IFERROR(IF(OR($O$56="",$O$56=0,$N$56=""),"",($O$56-$N$56)/$O$56),"")</f>
        <v>0.6710963455149501</v>
      </c>
      <c r="M56" s="38">
        <f>IFERROR(IF(OR($N$56="",$O$56="",$O$56=0),"",$N$56/$O$56),"")</f>
        <v>0.3289036544850499</v>
      </c>
      <c r="N56" s="39">
        <f>IF(COUNT(N5:N54)=0,"",SUM(N5:N54))</f>
        <v>3780.0</v>
      </c>
      <c r="O56" s="39">
        <f>IF(COUNT(O5:O54)=0,"",SUM(O5:O54))</f>
        <v>11492.72727272727</v>
      </c>
      <c r="P56" s="33" t="n"/>
      <c r="Q56" s="33" t="n"/>
      <c r="R56" s="33" t="n"/>
      <c r="S56" s="33" t="n"/>
      <c r="T56" s="34" t="n"/>
    </row>
    <row r="57">
      <c r="A57" s="40" t="inlineStr">
        <is>
          <t>El «Valor stock a coste» de la fila TOTAL es la cifra que alimenta la partida «Bodega inicial (vinos)» de plan-financiero-3-anos.xlsx, hoja «Inversión». Cópiala a mano: los libros no se enlazan entre sí porque un .xlsx movido de carpeta daría #REF! [TEC-19 · §4.3 · §1.13].</t>
        </is>
      </c>
      <c r="B57" s="34" t="n"/>
      <c r="C57" s="34" t="n"/>
      <c r="D57" s="34" t="n"/>
      <c r="E57" s="34" t="n"/>
      <c r="F57" s="34" t="n"/>
      <c r="G57" s="34" t="n"/>
      <c r="H57" s="34" t="n"/>
      <c r="I57" s="35" t="n"/>
      <c r="J57" s="34" t="n"/>
      <c r="K57" s="35" t="n"/>
      <c r="L57" s="36" t="n"/>
      <c r="M57" s="36" t="n"/>
      <c r="N57" s="34" t="n"/>
      <c r="O57" s="34" t="n"/>
      <c r="P57" s="34" t="n"/>
      <c r="Q57" s="34" t="n"/>
      <c r="R57" s="34" t="n"/>
      <c r="S57" s="34" t="n"/>
      <c r="T57" s="34" t="n"/>
    </row>
    <row r="58">
      <c r="A58" s="33" t="n"/>
      <c r="B58" s="33" t="n"/>
      <c r="C58" s="33" t="n"/>
      <c r="D58" s="33" t="n"/>
      <c r="E58" s="34" t="n"/>
      <c r="F58" s="34" t="n"/>
      <c r="G58" s="34" t="n"/>
      <c r="H58" s="33" t="n"/>
      <c r="I58" s="35" t="n"/>
      <c r="J58" s="33" t="n"/>
      <c r="K58" s="35" t="n"/>
      <c r="L58" s="36" t="n"/>
      <c r="M58" s="36" t="n"/>
      <c r="N58" s="34" t="n"/>
      <c r="O58" s="34" t="n"/>
      <c r="P58" s="33" t="n"/>
      <c r="Q58" s="33" t="n"/>
      <c r="R58" s="33" t="n"/>
      <c r="S58" s="33" t="n"/>
      <c r="T58" s="34" t="n"/>
    </row>
    <row r="59">
      <c r="A59" s="33" t="inlineStr">
        <is>
          <t>IVA de la bebida alcohólica (%)</t>
        </is>
      </c>
      <c r="B59" s="36" t="n"/>
      <c r="C59" s="41" t="n">
        <v>0.1</v>
      </c>
      <c r="D59" s="42" t="inlineStr">
        <is>
          <t>10 %, igual que la comida: la bebida servida en sala es suministro «para consumir en el acto» (art. 91.Uno.2.2 de la Ley del IVA). El PVP de la columna F es el de CARTA, que en España se anuncia CON IVA: el multiplicador, el margen, el food cost y el valor a PVP se calculan sobre la columna «PVP sin IVA», no sobre el precio de carta. Si vendes para llevar, esa línea sí va al 21 %: sepárala.</t>
        </is>
      </c>
      <c r="E59" s="34" t="n"/>
      <c r="F59" s="34" t="n"/>
      <c r="G59" s="34" t="n"/>
      <c r="H59" s="36" t="n"/>
      <c r="I59" s="35" t="n"/>
      <c r="J59" s="36" t="n"/>
      <c r="K59" s="35" t="n"/>
      <c r="L59" s="36" t="n"/>
      <c r="M59" s="36" t="n"/>
      <c r="N59" s="34" t="n"/>
      <c r="O59" s="34" t="n"/>
      <c r="P59" s="36" t="n"/>
      <c r="Q59" s="36" t="n"/>
      <c r="R59" s="36" t="n"/>
      <c r="S59" s="36" t="n"/>
      <c r="T59" s="34" t="n"/>
    </row>
    <row r="60">
      <c r="A60" s="33" t="n"/>
      <c r="B60" s="33" t="n"/>
      <c r="C60" s="33" t="n"/>
      <c r="D60" s="33" t="n"/>
      <c r="E60" s="34" t="n"/>
      <c r="F60" s="34" t="n"/>
      <c r="G60" s="34" t="n"/>
      <c r="H60" s="33" t="n"/>
      <c r="I60" s="35" t="n"/>
      <c r="J60" s="33" t="n"/>
      <c r="K60" s="35" t="n"/>
      <c r="L60" s="36" t="n"/>
      <c r="M60" s="36" t="n"/>
      <c r="N60" s="34" t="n"/>
      <c r="O60" s="34" t="n"/>
      <c r="P60" s="33" t="n"/>
      <c r="Q60" s="33" t="n"/>
      <c r="R60" s="33" t="n"/>
      <c r="S60" s="33" t="n"/>
      <c r="T60" s="34" t="n"/>
    </row>
    <row r="61">
      <c r="A61" s="33" t="n"/>
      <c r="B61" s="33" t="n"/>
      <c r="C61" s="33" t="n"/>
      <c r="D61" s="33" t="n"/>
      <c r="E61" s="34" t="n"/>
      <c r="F61" s="34" t="n"/>
      <c r="G61" s="34" t="n"/>
      <c r="H61" s="33" t="n"/>
      <c r="I61" s="35" t="n"/>
      <c r="J61" s="33" t="n"/>
      <c r="K61" s="35" t="n"/>
      <c r="L61" s="36" t="n"/>
      <c r="M61" s="36" t="n"/>
      <c r="N61" s="34" t="n"/>
      <c r="O61" s="34" t="n"/>
      <c r="P61" s="33" t="n"/>
      <c r="Q61" s="33" t="n"/>
      <c r="R61" s="33" t="n"/>
      <c r="S61" s="33" t="n"/>
      <c r="T61" s="34" t="n"/>
    </row>
    <row r="62">
      <c r="A62" s="33" t="n"/>
      <c r="B62" s="33" t="n"/>
      <c r="C62" s="33" t="n"/>
      <c r="D62" s="33" t="n"/>
      <c r="E62" s="34" t="n"/>
      <c r="F62" s="34" t="n"/>
      <c r="G62" s="34" t="n"/>
      <c r="H62" s="33" t="n"/>
      <c r="I62" s="35" t="n"/>
      <c r="J62" s="33" t="n"/>
      <c r="K62" s="35" t="n"/>
      <c r="L62" s="36" t="n"/>
      <c r="M62" s="36" t="n"/>
      <c r="N62" s="34" t="n"/>
      <c r="O62" s="34" t="n"/>
      <c r="P62" s="33" t="n"/>
      <c r="Q62" s="33" t="n"/>
      <c r="R62" s="33" t="n"/>
      <c r="S62" s="33" t="n"/>
      <c r="T62" s="34" t="n"/>
    </row>
    <row r="63">
      <c r="A63" s="33" t="n"/>
      <c r="B63" s="33" t="n"/>
      <c r="C63" s="33" t="n"/>
      <c r="D63" s="33" t="n"/>
      <c r="E63" s="34" t="n"/>
      <c r="F63" s="34" t="n"/>
      <c r="G63" s="34" t="n"/>
      <c r="H63" s="33" t="n"/>
      <c r="I63" s="35" t="n"/>
      <c r="J63" s="33" t="n"/>
      <c r="K63" s="35" t="n"/>
      <c r="L63" s="36" t="n"/>
      <c r="M63" s="36" t="n"/>
      <c r="N63" s="34" t="n"/>
      <c r="O63" s="34" t="n"/>
      <c r="P63" s="33" t="n"/>
      <c r="Q63" s="33" t="n"/>
      <c r="R63" s="33" t="n"/>
      <c r="S63" s="33" t="n"/>
      <c r="T63" s="34" t="n"/>
    </row>
    <row r="64">
      <c r="A64" s="33" t="n"/>
      <c r="B64" s="33" t="n"/>
      <c r="C64" s="33" t="n"/>
      <c r="D64" s="33" t="n"/>
      <c r="E64" s="34" t="n"/>
      <c r="F64" s="34" t="n"/>
      <c r="G64" s="34" t="n"/>
      <c r="H64" s="33" t="n"/>
      <c r="I64" s="35" t="n"/>
      <c r="J64" s="33" t="n"/>
      <c r="K64" s="35" t="n"/>
      <c r="L64" s="36" t="n"/>
      <c r="M64" s="36" t="n"/>
      <c r="N64" s="34" t="n"/>
      <c r="O64" s="34" t="n"/>
      <c r="P64" s="33" t="n"/>
      <c r="Q64" s="33" t="n"/>
      <c r="R64" s="33" t="n"/>
      <c r="S64" s="33" t="n"/>
      <c r="T64" s="34" t="n"/>
    </row>
    <row r="65">
      <c r="A65" s="33" t="n"/>
      <c r="B65" s="33" t="n"/>
      <c r="C65" s="33" t="n"/>
      <c r="D65" s="33" t="n"/>
      <c r="E65" s="34" t="n"/>
      <c r="F65" s="34" t="n"/>
      <c r="G65" s="34" t="n"/>
      <c r="H65" s="33" t="n"/>
      <c r="I65" s="35" t="n"/>
      <c r="J65" s="33" t="n"/>
      <c r="K65" s="35" t="n"/>
      <c r="L65" s="36" t="n"/>
      <c r="M65" s="36" t="n"/>
      <c r="N65" s="34" t="n"/>
      <c r="O65" s="34" t="n"/>
      <c r="P65" s="33" t="n"/>
      <c r="Q65" s="33" t="n"/>
      <c r="R65" s="33" t="n"/>
      <c r="S65" s="33" t="n"/>
      <c r="T65" s="34" t="n"/>
    </row>
    <row r="66">
      <c r="A66" s="33" t="n"/>
      <c r="B66" s="33" t="n"/>
      <c r="C66" s="33" t="n"/>
      <c r="D66" s="33" t="n"/>
      <c r="E66" s="34" t="n"/>
      <c r="F66" s="34" t="n"/>
      <c r="G66" s="34" t="n"/>
      <c r="H66" s="33" t="n"/>
      <c r="I66" s="35" t="n"/>
      <c r="J66" s="33" t="n"/>
      <c r="K66" s="35" t="n"/>
      <c r="L66" s="36" t="n"/>
      <c r="M66" s="36" t="n"/>
      <c r="N66" s="34" t="n"/>
      <c r="O66" s="34" t="n"/>
      <c r="P66" s="33" t="n"/>
      <c r="Q66" s="33" t="n"/>
      <c r="R66" s="33" t="n"/>
      <c r="S66" s="33" t="n"/>
      <c r="T66" s="34" t="n"/>
    </row>
    <row r="67">
      <c r="A67" s="33" t="n"/>
      <c r="B67" s="33" t="n"/>
      <c r="C67" s="33" t="n"/>
      <c r="D67" s="33" t="n"/>
      <c r="E67" s="34" t="n"/>
      <c r="F67" s="34" t="n"/>
      <c r="G67" s="34" t="n"/>
      <c r="H67" s="33" t="n"/>
      <c r="I67" s="35" t="n"/>
      <c r="J67" s="33" t="n"/>
      <c r="K67" s="35" t="n"/>
      <c r="L67" s="36" t="n"/>
      <c r="M67" s="36" t="n"/>
      <c r="N67" s="34" t="n"/>
      <c r="O67" s="34" t="n"/>
      <c r="P67" s="33" t="n"/>
      <c r="Q67" s="33" t="n"/>
      <c r="R67" s="33" t="n"/>
      <c r="S67" s="33" t="n"/>
      <c r="T67" s="34" t="n"/>
    </row>
  </sheetData>
  <sheetProtection selectLockedCells="0" selectUnlockedCells="0" sheet="1" objects="0" insertRows="0" insertHyperlinks="1" autoFilter="1" scenarios="0" formatColumns="0" deleteColumns="1" insertColumns="1" pivotTables="1" deleteRows="1" formatCells="1" formatRows="0" sort="0"/>
  <mergeCells count="2">
    <mergeCell ref="A2:S2"/>
    <mergeCell ref="A1:S1"/>
  </mergeCells>
  <dataValidations count="3">
    <dataValidation sqref="C5 C6 C7 C8 C9 C10 C11 C12 C13 C14 C15 C16 C17 C18 C19 C20 C21 C22 C23 C24 C25 C26 C27 C28 C29 C30 C31 C32 C33 C34 C35 C36 C37 C38 C39 C40 C41 C42 C43 C44 C45 C46 C47 C48 C49 C50 C51 C52 C53 C54" showDropDown="0" showInputMessage="0" showErrorMessage="1" allowBlank="1" errorTitle="Valor no válido" error="Elige un valor de la lista: Tinto, Blanco, Rosado, Espumoso, Generoso, Dulce, Sake, Otros" type="list">
      <formula1>"Tinto,Blanco,Rosado,Espumoso,Generoso,Dulce,Sake,Otros"</formula1>
    </dataValidation>
    <dataValidation sqref="E5 E6 E7 E8 E9 E10 E11 E12 E13 E14 E15 E16 E17 E18 E19 E20 E21 E22 E23 E24 E25 E26 E27 E28 E29 E30 E31 E32 E33 E34 E35 E36 E37 E38 E39 E40 E41 E42 E43 E44 E45 E46 E47 E48 E49 E50 E51 E52 E53 E54 F5 F6 F7 F8 F9 F10 F11 F12 F13 F14 F15 F16 F17 F18 F19 F20 F21 F22 F23 F24 F25 F26 F27 F28 F29 F30 F31 F32 F33 F34 F35 F36 F37 F38 F39 F40 F41 F42 F43 F44 F45 F46 F47 F48 F49 F50 F51 F52 F53 F54 I5 I6 I7 I8 I9 I10 I11 I12 I13 I14 I15 I16 I17 I18 I19 I20 I21 I22 I23 I24 I25 I26 I27 I28 I29 I30 I31 I32 I33 I34 I35 I36 I37 I38 I39 I40 I41 I42 I43 I44 I45 I46 I47 I48 I49 I50 I51 I52 I53 I54 K5 K6 K7 K8 K9 K10 K11 K12 K13 K14 K15 K16 K17 K18 K19 K20 K21 K22 K23 K24 K25 K26 K27 K28 K29 K30 K31 K32 K33 K34 K35 K36 K37 K38 K39 K40 K41 K42 K43 K44 K45 K46 K47 K48 K49 K50 K51 K52 K53 K54" showDropDown="0" showInputMessage="0" showErrorMessage="1" allowBlank="1" errorTitle="Importe no válido" error="Escribe un número mayor o igual que 0." type="decimal" operator="greaterThanOrEqual">
      <formula1>0</formula1>
    </dataValidation>
    <dataValidation sqref="C59"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Budget de Bodega — Inventario de Vinos · Cómo Montar un Restaurante Gastronómico 65 Plazas · v2.0</dc:title>
  <dc:description xmlns:dc="http://purl.org/dc/elements/1.1/">aichef.pro/guia-restaurante-gastronomico</dc:description>
  <dc:subject xmlns:dc="http://purl.org/dc/elements/1.1/">Cómo Montar un Restaurante Gastronómico 65 Plazas · v2.0</dc:subject>
  <dcterms:created xmlns:dcterms="http://purl.org/dc/terms/" xmlns:xsi="http://www.w3.org/2001/XMLSchema-instance" xsi:type="dcterms:W3CDTF">2026-04-05T22:25:49Z</dcterms:created>
  <dcterms:modified xmlns:dcterms="http://purl.org/dc/terms/" xmlns:xsi="http://www.w3.org/2001/XMLSchema-instance" xsi:type="dcterms:W3CDTF">2026-08-31T21:57:17Z</dcterms:modified>
  <cp:lastModifiedBy>AI Chef Pro</cp:lastModifiedBy>
  <cp:category>AI Chef Pro · Productos digitales</cp:category>
  <cp:keywords>guia restaurante gastronomico, AI Chef Pro</cp:keywords>
</cp:coreProperties>
</file>