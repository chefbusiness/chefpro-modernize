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Vajilla, Cristalería" sheetId="2" state="visible" r:id="rId2"/>
  </sheets>
  <definedNames>
    <definedName name="_xlnm._FilterDatabase" localSheetId="1" hidden="1">'Vajilla, Cristalería'!$A$4:$H$4</definedName>
    <definedName name="_xlnm.Print_Titles" localSheetId="1">'Vajilla, Cristalería'!$4:$4</definedName>
  </definedNames>
  <calcPr calcId="124519" fullCalcOnLoad="1"/>
</workbook>
</file>

<file path=xl/styles.xml><?xml version="1.0" encoding="utf-8"?>
<styleSheet xmlns="http://schemas.openxmlformats.org/spreadsheetml/2006/main">
  <numFmts count="4">
    <numFmt numFmtId="164" formatCode="#,##0.00 €"/>
    <numFmt numFmtId="165" formatCode="#,##0.0"/>
    <numFmt numFmtId="166" formatCode="dd/mm/yyyy"/>
    <numFmt numFmtId="167" formatCode="0.0%"/>
  </numFmts>
  <fonts count="11">
    <font>
      <name val="Calibri"/>
      <family val="2"/>
      <color theme="1"/>
      <sz val="11"/>
      <scheme val="minor"/>
    </font>
    <font>
      <name val="Calibri"/>
      <b val="1"/>
      <color rgb="00FFD700"/>
      <sz val="16"/>
    </font>
    <font>
      <name val="Calibri"/>
      <i val="1"/>
      <color rgb="00888888"/>
      <sz val="11"/>
    </font>
    <font>
      <name val="Calibri"/>
      <b val="1"/>
      <color rgb="00FFFFFF"/>
      <sz val="11"/>
    </font>
    <font>
      <name val="Calibri"/>
      <sz val="11"/>
    </font>
    <font>
      <name val="Calibri"/>
      <i val="1"/>
      <color rgb="00888888"/>
      <sz val="9"/>
    </font>
    <font>
      <b val="1"/>
      <color theme="1"/>
      <sz val="11"/>
    </font>
    <font>
      <b val="1"/>
      <sz val="16"/>
    </font>
    <font>
      <b val="1"/>
      <sz val="12"/>
    </font>
    <font/>
    <font>
      <b val="1"/>
    </font>
  </fonts>
  <fills count="5">
    <fill>
      <patternFill/>
    </fill>
    <fill>
      <patternFill patternType="gray125"/>
    </fill>
    <fill>
      <patternFill patternType="solid">
        <fgColor rgb="002D2D2D"/>
        <bgColor rgb="002D2D2D"/>
      </patternFill>
    </fill>
    <fill>
      <patternFill patternType="solid">
        <fgColor rgb="00E8F5E9"/>
        <bgColor rgb="00E8F5E9"/>
      </patternFill>
    </fill>
    <fill>
      <patternFill patternType="solid">
        <f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3" borderId="1" applyAlignment="1" pivotButton="0" quotePrefix="0" xfId="0">
      <alignment horizontal="left" vertical="center" wrapText="1"/>
    </xf>
    <xf numFmtId="164" fontId="4" fillId="3" borderId="1" applyAlignment="1" pivotButton="0" quotePrefix="0" xfId="0">
      <alignment horizontal="left" vertical="center" wrapText="1"/>
    </xf>
    <xf numFmtId="0" fontId="5" fillId="0" borderId="0" applyAlignment="1" pivotButton="0" quotePrefix="0" xfId="0">
      <alignment horizontal="center" vertical="center" wrapText="1"/>
    </xf>
    <xf numFmtId="0" fontId="7" fillId="0" borderId="0" pivotButton="0" quotePrefix="0" xfId="0"/>
    <xf numFmtId="0" fontId="8" fillId="0" borderId="0" pivotButton="0" quotePrefix="0" xfId="0"/>
    <xf numFmtId="0" fontId="6" fillId="0" borderId="0" pivotButton="0" quotePrefix="0" xfId="0"/>
    <xf numFmtId="3" fontId="0" fillId="4" borderId="0" applyProtection="1" pivotButton="0" quotePrefix="0" xfId="0">
      <protection locked="0" hidden="0"/>
    </xf>
    <xf numFmtId="0" fontId="0" fillId="0" borderId="0" applyAlignment="1" pivotButton="0" quotePrefix="0" xfId="0">
      <alignment horizontal="general" vertical="top" wrapText="1"/>
    </xf>
    <xf numFmtId="165" fontId="0" fillId="4" borderId="0" applyProtection="1" pivotButton="0" quotePrefix="0" xfId="0">
      <protection locked="0" hidden="0"/>
    </xf>
    <xf numFmtId="0" fontId="0" fillId="0" borderId="0" applyAlignment="1" pivotButton="0" quotePrefix="0" xfId="0">
      <alignment horizontal="left" vertical="top"/>
    </xf>
    <xf numFmtId="0" fontId="4" fillId="4" borderId="1" applyAlignment="1" applyProtection="1" pivotButton="0" quotePrefix="0" xfId="0">
      <alignment horizontal="left" vertical="center" wrapText="1"/>
      <protection locked="0" hidden="0"/>
    </xf>
    <xf numFmtId="166" fontId="4" fillId="4" borderId="1" applyAlignment="1" applyProtection="1" pivotButton="0" quotePrefix="0" xfId="0">
      <alignment horizontal="left" vertical="center" wrapText="1"/>
      <protection locked="0" hidden="0"/>
    </xf>
    <xf numFmtId="164" fontId="4" fillId="4" borderId="1" applyAlignment="1" applyProtection="1" pivotButton="0" quotePrefix="0" xfId="0">
      <alignment horizontal="left" vertical="center" wrapText="1"/>
      <protection locked="0" hidden="0"/>
    </xf>
    <xf numFmtId="3" fontId="0" fillId="0" borderId="0" pivotButton="0" quotePrefix="0" xfId="0"/>
    <xf numFmtId="164" fontId="0" fillId="0" borderId="0" pivotButton="0" quotePrefix="0" xfId="0"/>
    <xf numFmtId="166" fontId="0" fillId="0" borderId="0" pivotButton="0" quotePrefix="0" xfId="0"/>
    <xf numFmtId="0" fontId="10" fillId="0" borderId="0" pivotButton="0" quotePrefix="0" xfId="0"/>
    <xf numFmtId="0" fontId="9" fillId="0" borderId="0" pivotButton="0" quotePrefix="0" xfId="0"/>
    <xf numFmtId="164" fontId="6" fillId="0" borderId="0" pivotButton="0" quotePrefix="0" xfId="0"/>
    <xf numFmtId="3" fontId="6" fillId="0" borderId="0" pivotButton="0" quotePrefix="0" xfId="0"/>
    <xf numFmtId="167" fontId="6" fillId="0" borderId="0" pivotButton="0" quotePrefix="0" xfId="0"/>
    <xf numFmtId="164" fontId="10" fillId="0" borderId="0" pivotButton="0" quotePrefix="0" xfId="0"/>
    <xf numFmtId="3" fontId="10" fillId="0" borderId="0" pivotButton="0" quotePrefix="0" xfId="0"/>
    <xf numFmtId="167" fontId="10" fillId="0" borderId="0" pivotButton="0" quotePrefix="0" xfId="0"/>
    <xf numFmtId="164" fontId="9" fillId="0" borderId="0" pivotButton="0" quotePrefix="0" xfId="0"/>
  </cellXfs>
  <cellStyles count="1">
    <cellStyle name="Normal" xfId="0" builtinId="0" hidden="0"/>
  </cellStyles>
  <dxfs count="3">
    <dxf>
      <font>
        <b val="1"/>
        <color rgb="00006100"/>
      </font>
      <fill>
        <patternFill patternType="solid">
          <fgColor rgb="00C6EFCE"/>
          <bgColor rgb="00C6EFCE"/>
        </patternFill>
      </fill>
    </dxf>
    <dxf>
      <font>
        <b val="1"/>
        <color rgb="009C6500"/>
      </font>
      <fill>
        <patternFill patternType="solid">
          <fgColor rgb="00FFEB9C"/>
          <bgColor rgb="00FFEB9C"/>
        </patternFill>
      </fill>
    </dxf>
    <dxf>
      <font>
        <b val="1"/>
        <color rgb="00595959"/>
      </font>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16"/>
  <sheetViews>
    <sheetView workbookViewId="0">
      <selection activeCell="A1" sqref="A1"/>
    </sheetView>
  </sheetViews>
  <sheetFormatPr baseColWidth="8" defaultRowHeight="15"/>
  <cols>
    <col width="80" customWidth="1" min="1" max="1"/>
    <col width="14" customWidth="1" min="2" max="2"/>
    <col width="62" customWidth="1" min="3" max="3"/>
  </cols>
  <sheetData>
    <row r="1">
      <c r="A1" s="9" t="inlineStr">
        <is>
          <t>Checklist Vajilla, Cristalería y Cubertería</t>
        </is>
      </c>
    </row>
    <row r="2">
      <c r="A2" t="inlineStr">
        <is>
          <t>AI Chef Pro · aichef.pro — Restaurante Gastronómico</t>
        </is>
      </c>
    </row>
    <row r="3"/>
    <row r="4">
      <c r="A4" s="10" t="inlineStr">
        <is>
          <t>Instrucciones de uso</t>
        </is>
      </c>
    </row>
    <row r="5">
      <c r="A5" t="inlineStr">
        <is>
          <t>1. Rellena las celdas verdes con tus datos; el resto lo calcula el libro.</t>
        </is>
      </c>
    </row>
    <row r="6">
      <c r="A6" t="inlineStr">
        <is>
          <t>2. Las hojas están protegidas SIN contraseña para que una copia accidental no borre una fórmula.</t>
        </is>
      </c>
    </row>
    <row r="7"/>
    <row r="8">
      <c r="A8" t="inlineStr">
        <is>
          <t>Celdas verdes = campos editables</t>
        </is>
      </c>
    </row>
    <row r="9"/>
    <row r="10">
      <c r="A10" s="11" t="inlineStr">
        <is>
          <t>Parámetros de este libro (edítalos: el libro recalcula)</t>
        </is>
      </c>
    </row>
    <row r="11">
      <c r="A11" t="inlineStr">
        <is>
          <t>Plazas de sala</t>
        </is>
      </c>
      <c r="B11" s="12" t="n">
        <v>65</v>
      </c>
      <c r="C11" s="13" t="inlineStr">
        <is>
          <t>65 plazas — es el supuesto del propio producto (título del pack y checklist-diseno-sala fila 1: «Plano de sala con 65 plazas»).</t>
        </is>
      </c>
    </row>
    <row r="12">
      <c r="A12" t="inlineStr">
        <is>
          <t>Rotación de lavado (veces por servicio)</t>
        </is>
      </c>
      <c r="B12" s="14" t="n">
        <v>1.5</v>
      </c>
      <c r="C12" s="13" t="inlineStr">
        <is>
          <t>1,5 — la regla de dotación del §3.4 de la SPEC: piezas = plazas × factor por comensal × rotación. Con 1,0 no hay margen para lavar entre pases.</t>
        </is>
      </c>
    </row>
    <row r="13"/>
    <row r="14">
      <c r="A14" s="15" t="inlineStr">
        <is>
          <t>Para editar la estructura o una celda que no esté en verde: Revisar → Desproteger hoja (no tiene contraseña).</t>
        </is>
      </c>
    </row>
    <row r="15">
      <c r="A15" s="15" t="inlineStr">
        <is>
          <t>Diseñado por John Guerrero — chef y consultor gastronómico desde 2010, en cocina desde los 17 años · johnguerrero.es</t>
        </is>
      </c>
    </row>
    <row r="16">
      <c r="A16" s="15" t="inlineStr">
        <is>
          <t>Versión 2.0 · agosto 2026 · aichef.pro/guia-restaurante-gastronomico · info@aichef.pro</t>
        </is>
      </c>
    </row>
  </sheetData>
  <sheetProtection selectLockedCells="0" selectUnlockedCells="0" sheet="1" objects="0" insertRows="0" insertHyperlinks="1" autoFilter="1" scenarios="0" formatColumns="0" deleteColumns="1" insertColumns="1" pivotTables="1" deleteRows="1" formatCells="1" formatRows="0" sort="0"/>
  <mergeCells count="2">
    <mergeCell ref="A2:C2"/>
    <mergeCell ref="A1:C1"/>
  </mergeCells>
  <dataValidations count="2">
    <dataValidation sqref="B11" showDropDown="0" showInputMessage="0" showErrorMessage="1" allowBlank="1" errorTitle="Importe no válido" error="Escribe un número mayor o igual que 0." type="decimal" operator="greaterThanOrEqual">
      <formula1>0</formula1>
    </dataValidation>
    <dataValidation sqref="B12"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L72"/>
  <sheetViews>
    <sheetView workbookViewId="0">
      <pane ySplit="4" topLeftCell="A5" activePane="bottomLeft" state="frozen"/>
      <selection pane="bottomLeft" activeCell="A1" sqref="A1"/>
    </sheetView>
  </sheetViews>
  <sheetFormatPr baseColWidth="8" defaultRowHeight="15"/>
  <cols>
    <col width="6" customWidth="1" min="1" max="1"/>
    <col width="22" customWidth="1" min="2" max="2"/>
    <col width="60" customWidth="1" min="3" max="3"/>
    <col width="18" customWidth="1" min="4" max="4"/>
    <col width="14" customWidth="1" min="5" max="5"/>
    <col width="14" customWidth="1" min="6" max="6"/>
    <col width="16" customWidth="1" min="7" max="7"/>
    <col width="60" customWidth="1" min="8" max="8"/>
    <col width="60" customWidth="1" min="9" max="9"/>
    <col width="24" customWidth="1" min="10" max="10"/>
    <col width="25" customWidth="1" min="11" max="11"/>
    <col width="18" customWidth="1" min="12" max="12"/>
  </cols>
  <sheetData>
    <row r="1" ht="30" customHeight="1">
      <c r="A1" s="1" t="inlineStr">
        <is>
          <t>Checklist Vajilla, Cristalería y Cubertería</t>
        </is>
      </c>
    </row>
    <row r="2">
      <c r="A2" s="2" t="inlineStr">
        <is>
          <t>AI Chef Pro · aichef.pro — Restaurante Gastronómico</t>
        </is>
      </c>
    </row>
    <row r="3"/>
    <row r="4">
      <c r="A4" s="3" t="inlineStr">
        <is>
          <t>#</t>
        </is>
      </c>
      <c r="B4" s="3" t="inlineStr">
        <is>
          <t>Categoría</t>
        </is>
      </c>
      <c r="C4" s="3" t="inlineStr">
        <is>
          <t>Tarea / Ítem</t>
        </is>
      </c>
      <c r="D4" s="3" t="inlineStr">
        <is>
          <t>Responsable</t>
        </is>
      </c>
      <c r="E4" s="3" t="inlineStr">
        <is>
          <t>Fecha Límite</t>
        </is>
      </c>
      <c r="F4" s="3" t="inlineStr">
        <is>
          <t>Estado</t>
        </is>
      </c>
      <c r="G4" s="3" t="inlineStr">
        <is>
          <t>Coste Est. (€)</t>
        </is>
      </c>
      <c r="H4" s="3" t="inlineStr">
        <is>
          <t>Notas</t>
        </is>
      </c>
      <c r="I4" s="3" t="inlineStr">
        <is>
          <t>Factor por comensal (menú degustación) — vacío = no es pieza por comensal</t>
        </is>
      </c>
      <c r="J4" s="3" t="inlineStr">
        <is>
          <t>Menú degustación (uds)</t>
        </is>
      </c>
      <c r="K4" s="3" t="inlineStr">
        <is>
          <t>Dotación de carta (uds)</t>
        </is>
      </c>
      <c r="L4" s="3" t="inlineStr">
        <is>
          <t>Coste ajustado a menú degustación (€)</t>
        </is>
      </c>
    </row>
    <row r="5">
      <c r="A5" s="4" t="n">
        <v>1</v>
      </c>
      <c r="B5" s="5" t="inlineStr">
        <is>
          <t>Platos</t>
        </is>
      </c>
      <c r="C5" s="5" t="inlineStr">
        <is>
          <t>Plato llano principal (×100)</t>
        </is>
      </c>
      <c r="D5" s="16" t="inlineStr">
        <is>
          <t>Maître</t>
        </is>
      </c>
      <c r="E5" s="17" t="n"/>
      <c r="F5" s="16" t="inlineStr">
        <is>
          <t>Pendiente</t>
        </is>
      </c>
      <c r="G5" s="18" t="n">
        <v>2000</v>
      </c>
      <c r="H5" s="16" t="n"/>
      <c r="I5" s="14" t="n">
        <v>2</v>
      </c>
      <c r="J5" s="19">
        <f>IF($I5="","",ROUND($I5*Instrucciones!$B$11*Instrucciones!$B$12,0))</f>
        <v>195.0</v>
      </c>
      <c r="K5" s="19" t="n">
        <v>100</v>
      </c>
      <c r="L5" s="20">
        <f>IFERROR(IF(OR($K5="",$K5=0,$J5="",$G5=""),"",ROUND($G5*$J5/$K5,2)),"")</f>
        <v>3900.0</v>
      </c>
    </row>
    <row r="6">
      <c r="A6" s="4" t="n">
        <v>2</v>
      </c>
      <c r="B6" s="5" t="inlineStr">
        <is>
          <t>Platos</t>
        </is>
      </c>
      <c r="C6" s="5" t="inlineStr">
        <is>
          <t>Plato hondo / sopero (×80)</t>
        </is>
      </c>
      <c r="D6" s="16" t="inlineStr">
        <is>
          <t>Maître</t>
        </is>
      </c>
      <c r="E6" s="17" t="n"/>
      <c r="F6" s="16" t="inlineStr">
        <is>
          <t>Pendiente</t>
        </is>
      </c>
      <c r="G6" s="18" t="n">
        <v>1600</v>
      </c>
      <c r="H6" s="16" t="n"/>
      <c r="I6" s="14" t="n">
        <v>1</v>
      </c>
      <c r="J6" s="19">
        <f>IF($I6="","",ROUND($I6*Instrucciones!$B$11*Instrucciones!$B$12,0))</f>
        <v>98.0</v>
      </c>
      <c r="K6" s="19" t="n">
        <v>80</v>
      </c>
      <c r="L6" s="20">
        <f>IFERROR(IF(OR($K6="",$K6=0,$J6="",$G6=""),"",ROUND($G6*$J6/$K6,2)),"")</f>
        <v>1960.0</v>
      </c>
    </row>
    <row r="7">
      <c r="A7" s="4" t="n">
        <v>3</v>
      </c>
      <c r="B7" s="5" t="inlineStr">
        <is>
          <t>Platos</t>
        </is>
      </c>
      <c r="C7" s="5" t="inlineStr">
        <is>
          <t>Plato postre (×80)</t>
        </is>
      </c>
      <c r="D7" s="16" t="inlineStr">
        <is>
          <t>Maître</t>
        </is>
      </c>
      <c r="E7" s="17" t="n"/>
      <c r="F7" s="16" t="inlineStr">
        <is>
          <t>Pendiente</t>
        </is>
      </c>
      <c r="G7" s="18" t="n">
        <v>1200</v>
      </c>
      <c r="H7" s="16" t="n"/>
      <c r="I7" s="14" t="n">
        <v>1</v>
      </c>
      <c r="J7" s="19">
        <f>IF($I7="","",ROUND($I7*Instrucciones!$B$11*Instrucciones!$B$12,0))</f>
        <v>98.0</v>
      </c>
      <c r="K7" s="19" t="n">
        <v>80</v>
      </c>
      <c r="L7" s="20">
        <f>IFERROR(IF(OR($K7="",$K7=0,$J7="",$G7=""),"",ROUND($G7*$J7/$K7,2)),"")</f>
        <v>1470.0</v>
      </c>
    </row>
    <row r="8">
      <c r="A8" s="4" t="n">
        <v>4</v>
      </c>
      <c r="B8" s="5" t="inlineStr">
        <is>
          <t>Platos</t>
        </is>
      </c>
      <c r="C8" s="5" t="inlineStr">
        <is>
          <t>Plato pan (×80)</t>
        </is>
      </c>
      <c r="D8" s="16" t="inlineStr">
        <is>
          <t>Maître</t>
        </is>
      </c>
      <c r="E8" s="17" t="n"/>
      <c r="F8" s="16" t="inlineStr">
        <is>
          <t>Pendiente</t>
        </is>
      </c>
      <c r="G8" s="18" t="n">
        <v>800</v>
      </c>
      <c r="H8" s="16" t="n"/>
      <c r="I8" s="14" t="n">
        <v>1</v>
      </c>
      <c r="J8" s="19">
        <f>IF($I8="","",ROUND($I8*Instrucciones!$B$11*Instrucciones!$B$12,0))</f>
        <v>98.0</v>
      </c>
      <c r="K8" s="19" t="n">
        <v>80</v>
      </c>
      <c r="L8" s="20">
        <f>IFERROR(IF(OR($K8="",$K8=0,$J8="",$G8=""),"",ROUND($G8*$J8/$K8,2)),"")</f>
        <v>980.0</v>
      </c>
    </row>
    <row r="9">
      <c r="A9" s="4" t="n">
        <v>5</v>
      </c>
      <c r="B9" s="5" t="inlineStr">
        <is>
          <t>Platos</t>
        </is>
      </c>
      <c r="C9" s="5" t="inlineStr">
        <is>
          <t>Platos presentación / show plate (×70)</t>
        </is>
      </c>
      <c r="D9" s="16" t="inlineStr">
        <is>
          <t>Chef</t>
        </is>
      </c>
      <c r="E9" s="17" t="n"/>
      <c r="F9" s="16" t="inlineStr">
        <is>
          <t>Pendiente</t>
        </is>
      </c>
      <c r="G9" s="18" t="n">
        <v>2100</v>
      </c>
      <c r="H9" s="16" t="n"/>
      <c r="I9" s="14" t="n">
        <v>1</v>
      </c>
      <c r="J9" s="19">
        <f>IF($I9="","",ROUND($I9*Instrucciones!$B$11*Instrucciones!$B$12,0))</f>
        <v>98.0</v>
      </c>
      <c r="K9" s="19" t="n">
        <v>70</v>
      </c>
      <c r="L9" s="20">
        <f>IFERROR(IF(OR($K9="",$K9=0,$J9="",$G9=""),"",ROUND($G9*$J9/$K9,2)),"")</f>
        <v>2940.0</v>
      </c>
    </row>
    <row r="10">
      <c r="A10" s="4" t="n">
        <v>6</v>
      </c>
      <c r="B10" s="5" t="inlineStr">
        <is>
          <t>Platos</t>
        </is>
      </c>
      <c r="C10" s="5" t="inlineStr">
        <is>
          <t>Boles variados para entrantes (×60)</t>
        </is>
      </c>
      <c r="D10" s="16" t="inlineStr">
        <is>
          <t>Chef</t>
        </is>
      </c>
      <c r="E10" s="17" t="n"/>
      <c r="F10" s="16" t="inlineStr">
        <is>
          <t>Pendiente</t>
        </is>
      </c>
      <c r="G10" s="18" t="n">
        <v>900</v>
      </c>
      <c r="H10" s="16" t="n"/>
      <c r="I10" s="14" t="n">
        <v>3</v>
      </c>
      <c r="J10" s="19">
        <f>IF($I10="","",ROUND($I10*Instrucciones!$B$11*Instrucciones!$B$12,0))</f>
        <v>293.0</v>
      </c>
      <c r="K10" s="19" t="n">
        <v>60</v>
      </c>
      <c r="L10" s="20">
        <f>IFERROR(IF(OR($K10="",$K10=0,$J10="",$G10=""),"",ROUND($G10*$J10/$K10,2)),"")</f>
        <v>4395.0</v>
      </c>
    </row>
    <row r="11">
      <c r="A11" s="4" t="n">
        <v>7</v>
      </c>
      <c r="B11" s="5" t="inlineStr">
        <is>
          <t>Platos</t>
        </is>
      </c>
      <c r="C11" s="5" t="inlineStr">
        <is>
          <t>Pizarras / bandejas presentación (×20)</t>
        </is>
      </c>
      <c r="D11" s="16" t="inlineStr">
        <is>
          <t>Chef</t>
        </is>
      </c>
      <c r="E11" s="17" t="n"/>
      <c r="F11" s="16" t="inlineStr">
        <is>
          <t>Pendiente</t>
        </is>
      </c>
      <c r="G11" s="18" t="n">
        <v>600</v>
      </c>
      <c r="H11" s="16" t="n"/>
      <c r="I11" s="14" t="n">
        <v>1</v>
      </c>
      <c r="J11" s="19">
        <f>IF($I11="","",ROUND($I11*Instrucciones!$B$11*Instrucciones!$B$12,0))</f>
        <v>98.0</v>
      </c>
      <c r="K11" s="19" t="n">
        <v>20</v>
      </c>
      <c r="L11" s="20">
        <f>IFERROR(IF(OR($K11="",$K11=0,$J11="",$G11=""),"",ROUND($G11*$J11/$K11,2)),"")</f>
        <v>2940.0</v>
      </c>
    </row>
    <row r="12">
      <c r="A12" s="4" t="n">
        <v>8</v>
      </c>
      <c r="B12" s="5" t="inlineStr">
        <is>
          <t>Platos</t>
        </is>
      </c>
      <c r="C12" s="5" t="inlineStr">
        <is>
          <t>Vajilla petit fours / mignardises (×70)</t>
        </is>
      </c>
      <c r="D12" s="16" t="inlineStr">
        <is>
          <t>Chef Pastelero</t>
        </is>
      </c>
      <c r="E12" s="17" t="n"/>
      <c r="F12" s="16" t="inlineStr">
        <is>
          <t>Pendiente</t>
        </is>
      </c>
      <c r="G12" s="18" t="n">
        <v>500</v>
      </c>
      <c r="H12" s="16" t="n"/>
      <c r="I12" s="14" t="n">
        <v>1</v>
      </c>
      <c r="J12" s="19">
        <f>IF($I12="","",ROUND($I12*Instrucciones!$B$11*Instrucciones!$B$12,0))</f>
        <v>98.0</v>
      </c>
      <c r="K12" s="19" t="n">
        <v>70</v>
      </c>
      <c r="L12" s="20">
        <f>IFERROR(IF(OR($K12="",$K12=0,$J12="",$G12=""),"",ROUND($G12*$J12/$K12,2)),"")</f>
        <v>700.0</v>
      </c>
    </row>
    <row r="13">
      <c r="A13" s="4" t="n">
        <v>9</v>
      </c>
      <c r="B13" s="5" t="inlineStr">
        <is>
          <t>Cristalería</t>
        </is>
      </c>
      <c r="C13" s="5" t="inlineStr">
        <is>
          <t>Copa vino tinto Burgundy (×80)</t>
        </is>
      </c>
      <c r="D13" s="16" t="inlineStr">
        <is>
          <t>Sommelier</t>
        </is>
      </c>
      <c r="E13" s="17" t="n"/>
      <c r="F13" s="16" t="inlineStr">
        <is>
          <t>Pendiente</t>
        </is>
      </c>
      <c r="G13" s="18" t="n">
        <v>1600</v>
      </c>
      <c r="H13" s="16" t="n"/>
      <c r="I13" s="14" t="n">
        <v>2</v>
      </c>
      <c r="J13" s="19">
        <f>IF($I13="","",ROUND($I13*Instrucciones!$B$11*Instrucciones!$B$12,0))</f>
        <v>195.0</v>
      </c>
      <c r="K13" s="19" t="n">
        <v>80</v>
      </c>
      <c r="L13" s="20">
        <f>IFERROR(IF(OR($K13="",$K13=0,$J13="",$G13=""),"",ROUND($G13*$J13/$K13,2)),"")</f>
        <v>3900.0</v>
      </c>
    </row>
    <row r="14">
      <c r="A14" s="4" t="n">
        <v>10</v>
      </c>
      <c r="B14" s="5" t="inlineStr">
        <is>
          <t>Cristalería</t>
        </is>
      </c>
      <c r="C14" s="5" t="inlineStr">
        <is>
          <t>Copa vino tinto Bordeaux (×80)</t>
        </is>
      </c>
      <c r="D14" s="16" t="inlineStr">
        <is>
          <t>Sommelier</t>
        </is>
      </c>
      <c r="E14" s="17" t="n"/>
      <c r="F14" s="16" t="inlineStr">
        <is>
          <t>Pendiente</t>
        </is>
      </c>
      <c r="G14" s="18" t="n">
        <v>1600</v>
      </c>
      <c r="H14" s="16" t="n"/>
      <c r="I14" s="14" t="n">
        <v>2</v>
      </c>
      <c r="J14" s="19">
        <f>IF($I14="","",ROUND($I14*Instrucciones!$B$11*Instrucciones!$B$12,0))</f>
        <v>195.0</v>
      </c>
      <c r="K14" s="19" t="n">
        <v>80</v>
      </c>
      <c r="L14" s="20">
        <f>IFERROR(IF(OR($K14="",$K14=0,$J14="",$G14=""),"",ROUND($G14*$J14/$K14,2)),"")</f>
        <v>3900.0</v>
      </c>
    </row>
    <row r="15">
      <c r="A15" s="4" t="n">
        <v>11</v>
      </c>
      <c r="B15" s="5" t="inlineStr">
        <is>
          <t>Cristalería</t>
        </is>
      </c>
      <c r="C15" s="5" t="inlineStr">
        <is>
          <t>Copa vino blanco (×80)</t>
        </is>
      </c>
      <c r="D15" s="16" t="inlineStr">
        <is>
          <t>Sommelier</t>
        </is>
      </c>
      <c r="E15" s="17" t="n"/>
      <c r="F15" s="16" t="inlineStr">
        <is>
          <t>Pendiente</t>
        </is>
      </c>
      <c r="G15" s="18" t="n">
        <v>1200</v>
      </c>
      <c r="H15" s="16" t="n"/>
      <c r="I15" s="14" t="n">
        <v>1</v>
      </c>
      <c r="J15" s="19">
        <f>IF($I15="","",ROUND($I15*Instrucciones!$B$11*Instrucciones!$B$12,0))</f>
        <v>98.0</v>
      </c>
      <c r="K15" s="19" t="n">
        <v>80</v>
      </c>
      <c r="L15" s="20">
        <f>IFERROR(IF(OR($K15="",$K15=0,$J15="",$G15=""),"",ROUND($G15*$J15/$K15,2)),"")</f>
        <v>1470.0</v>
      </c>
    </row>
    <row r="16">
      <c r="A16" s="4" t="n">
        <v>12</v>
      </c>
      <c r="B16" s="5" t="inlineStr">
        <is>
          <t>Cristalería</t>
        </is>
      </c>
      <c r="C16" s="5" t="inlineStr">
        <is>
          <t>Copa champán / espumoso (×60)</t>
        </is>
      </c>
      <c r="D16" s="16" t="inlineStr">
        <is>
          <t>Sommelier</t>
        </is>
      </c>
      <c r="E16" s="17" t="n"/>
      <c r="F16" s="16" t="inlineStr">
        <is>
          <t>Pendiente</t>
        </is>
      </c>
      <c r="G16" s="18" t="n">
        <v>900</v>
      </c>
      <c r="H16" s="16" t="n"/>
      <c r="I16" s="14" t="n">
        <v>1</v>
      </c>
      <c r="J16" s="19">
        <f>IF($I16="","",ROUND($I16*Instrucciones!$B$11*Instrucciones!$B$12,0))</f>
        <v>98.0</v>
      </c>
      <c r="K16" s="19" t="n">
        <v>60</v>
      </c>
      <c r="L16" s="20">
        <f>IFERROR(IF(OR($K16="",$K16=0,$J16="",$G16=""),"",ROUND($G16*$J16/$K16,2)),"")</f>
        <v>1470.0</v>
      </c>
    </row>
    <row r="17">
      <c r="A17" s="4" t="n">
        <v>13</v>
      </c>
      <c r="B17" s="5" t="inlineStr">
        <is>
          <t>Cristalería</t>
        </is>
      </c>
      <c r="C17" s="5" t="inlineStr">
        <is>
          <t>Vaso de agua (×80)</t>
        </is>
      </c>
      <c r="D17" s="16" t="inlineStr">
        <is>
          <t>Maître</t>
        </is>
      </c>
      <c r="E17" s="17" t="n"/>
      <c r="F17" s="16" t="inlineStr">
        <is>
          <t>Pendiente</t>
        </is>
      </c>
      <c r="G17" s="18" t="n">
        <v>400</v>
      </c>
      <c r="H17" s="16" t="n"/>
      <c r="I17" s="14" t="n">
        <v>1</v>
      </c>
      <c r="J17" s="19">
        <f>IF($I17="","",ROUND($I17*Instrucciones!$B$11*Instrucciones!$B$12,0))</f>
        <v>98.0</v>
      </c>
      <c r="K17" s="19" t="n">
        <v>80</v>
      </c>
      <c r="L17" s="20">
        <f>IFERROR(IF(OR($K17="",$K17=0,$J17="",$G17=""),"",ROUND($G17*$J17/$K17,2)),"")</f>
        <v>490.0</v>
      </c>
    </row>
    <row r="18">
      <c r="A18" s="4" t="n">
        <v>14</v>
      </c>
      <c r="B18" s="5" t="inlineStr">
        <is>
          <t>Cristalería</t>
        </is>
      </c>
      <c r="C18" s="5" t="inlineStr">
        <is>
          <t>Copa de cóctel / aperitivo (×40)</t>
        </is>
      </c>
      <c r="D18" s="16" t="inlineStr">
        <is>
          <t>Sommelier</t>
        </is>
      </c>
      <c r="E18" s="17" t="n"/>
      <c r="F18" s="16" t="inlineStr">
        <is>
          <t>Pendiente</t>
        </is>
      </c>
      <c r="G18" s="18" t="n">
        <v>600</v>
      </c>
      <c r="H18" s="16" t="n"/>
      <c r="I18" s="14" t="n">
        <v>1</v>
      </c>
      <c r="J18" s="19">
        <f>IF($I18="","",ROUND($I18*Instrucciones!$B$11*Instrucciones!$B$12,0))</f>
        <v>98.0</v>
      </c>
      <c r="K18" s="19" t="n">
        <v>40</v>
      </c>
      <c r="L18" s="20">
        <f>IFERROR(IF(OR($K18="",$K18=0,$J18="",$G18=""),"",ROUND($G18*$J18/$K18,2)),"")</f>
        <v>1470.0</v>
      </c>
    </row>
    <row r="19">
      <c r="A19" s="4" t="n">
        <v>15</v>
      </c>
      <c r="B19" s="5" t="inlineStr">
        <is>
          <t>Cristalería</t>
        </is>
      </c>
      <c r="C19" s="5" t="inlineStr">
        <is>
          <t>Copa de postre / licor (×40)</t>
        </is>
      </c>
      <c r="D19" s="16" t="inlineStr">
        <is>
          <t>Sommelier</t>
        </is>
      </c>
      <c r="E19" s="17" t="n"/>
      <c r="F19" s="16" t="inlineStr">
        <is>
          <t>Pendiente</t>
        </is>
      </c>
      <c r="G19" s="18" t="n">
        <v>400</v>
      </c>
      <c r="H19" s="16" t="n"/>
      <c r="I19" s="14" t="n">
        <v>1</v>
      </c>
      <c r="J19" s="19">
        <f>IF($I19="","",ROUND($I19*Instrucciones!$B$11*Instrucciones!$B$12,0))</f>
        <v>98.0</v>
      </c>
      <c r="K19" s="19" t="n">
        <v>40</v>
      </c>
      <c r="L19" s="20">
        <f>IFERROR(IF(OR($K19="",$K19=0,$J19="",$G19=""),"",ROUND($G19*$J19/$K19,2)),"")</f>
        <v>980.0</v>
      </c>
    </row>
    <row r="20">
      <c r="A20" s="4" t="n">
        <v>16</v>
      </c>
      <c r="B20" s="5" t="inlineStr">
        <is>
          <t>Cristalería</t>
        </is>
      </c>
      <c r="C20" s="5" t="inlineStr">
        <is>
          <t>Decantadores (×6)</t>
        </is>
      </c>
      <c r="D20" s="16" t="inlineStr">
        <is>
          <t>Sommelier</t>
        </is>
      </c>
      <c r="E20" s="17" t="n"/>
      <c r="F20" s="16" t="inlineStr">
        <is>
          <t>Pendiente</t>
        </is>
      </c>
      <c r="G20" s="18" t="n">
        <v>600</v>
      </c>
      <c r="H20" s="16" t="n"/>
      <c r="I20" s="14" t="n"/>
      <c r="J20" s="19">
        <f>IF($I20="","",ROUND($I20*Instrucciones!$B$11*Instrucciones!$B$12,0))</f>
        <v/>
      </c>
      <c r="K20" s="19" t="n">
        <v>6</v>
      </c>
      <c r="L20" s="20">
        <f>IFERROR(IF(OR($K20="",$K20=0,$J20="",$G20=""),"",ROUND($G20*$J20/$K20,2)),"")</f>
        <v/>
      </c>
    </row>
    <row r="21">
      <c r="A21" s="4" t="n">
        <v>17</v>
      </c>
      <c r="B21" s="5" t="inlineStr">
        <is>
          <t>Cristalería</t>
        </is>
      </c>
      <c r="C21" s="5" t="inlineStr">
        <is>
          <t>Jarra de agua cristal (×20)</t>
        </is>
      </c>
      <c r="D21" s="16" t="inlineStr">
        <is>
          <t>Maître</t>
        </is>
      </c>
      <c r="E21" s="17" t="n"/>
      <c r="F21" s="16" t="inlineStr">
        <is>
          <t>Pendiente</t>
        </is>
      </c>
      <c r="G21" s="18" t="n">
        <v>400</v>
      </c>
      <c r="H21" s="16" t="n"/>
      <c r="I21" s="14" t="n"/>
      <c r="J21" s="19">
        <f>IF($I21="","",ROUND($I21*Instrucciones!$B$11*Instrucciones!$B$12,0))</f>
        <v/>
      </c>
      <c r="K21" s="19" t="n">
        <v>20</v>
      </c>
      <c r="L21" s="20">
        <f>IFERROR(IF(OR($K21="",$K21=0,$J21="",$G21=""),"",ROUND($G21*$J21/$K21,2)),"")</f>
        <v/>
      </c>
    </row>
    <row r="22">
      <c r="A22" s="4" t="n">
        <v>18</v>
      </c>
      <c r="B22" s="5" t="inlineStr">
        <is>
          <t>Cristalería</t>
        </is>
      </c>
      <c r="C22" s="5" t="inlineStr">
        <is>
          <t>Copa de cata ISO para sommelier y formación (×12)</t>
        </is>
      </c>
      <c r="D22" s="16" t="inlineStr">
        <is>
          <t>Sommelier</t>
        </is>
      </c>
      <c r="E22" s="17" t="n"/>
      <c r="F22" s="16" t="inlineStr">
        <is>
          <t>Pendiente</t>
        </is>
      </c>
      <c r="G22" s="18" t="n"/>
      <c r="H22" s="16" t="inlineStr">
        <is>
          <t>Sin importe tasado en la guía: pide presupuesto y escríbelo aquí (la celda es editable y el TOTAL se recalcula).</t>
        </is>
      </c>
      <c r="I22" s="14" t="n"/>
      <c r="J22" s="19">
        <f>IF($I22="","",ROUND($I22*Instrucciones!$B$11*Instrucciones!$B$12,0))</f>
        <v/>
      </c>
      <c r="K22" s="19" t="n">
        <v>12</v>
      </c>
      <c r="L22" s="20">
        <f>IFERROR(IF(OR($K22="",$K22=0,$J22="",$G22=""),"",ROUND($G22*$J22/$K22,2)),"")</f>
        <v/>
      </c>
    </row>
    <row r="23">
      <c r="A23" s="4" t="n">
        <v>19</v>
      </c>
      <c r="B23" s="5" t="inlineStr">
        <is>
          <t>Cristalería</t>
        </is>
      </c>
      <c r="C23" s="5" t="inlineStr">
        <is>
          <t>Copa de vino generoso / jerez (×40)</t>
        </is>
      </c>
      <c r="D23" s="16" t="inlineStr">
        <is>
          <t>Sommelier</t>
        </is>
      </c>
      <c r="E23" s="17" t="n"/>
      <c r="F23" s="16" t="inlineStr">
        <is>
          <t>Pendiente</t>
        </is>
      </c>
      <c r="G23" s="18" t="n"/>
      <c r="H23" s="16" t="inlineStr">
        <is>
          <t>Un maridaje largo abre y cierra con generosos: sin copa propia se sirven en la de blanco. Sin importe tasado en la guía: pide presupuesto y escríbelo aquí (la celda es editable y el TOTAL se recalcula).</t>
        </is>
      </c>
      <c r="I23" s="14" t="n">
        <v>1</v>
      </c>
      <c r="J23" s="19">
        <f>IF($I23="","",ROUND($I23*Instrucciones!$B$11*Instrucciones!$B$12,0))</f>
        <v>98.0</v>
      </c>
      <c r="K23" s="19" t="n">
        <v>40</v>
      </c>
      <c r="L23" s="20">
        <f>IFERROR(IF(OR($K23="",$K23=0,$J23="",$G23=""),"",ROUND($G23*$J23/$K23,2)),"")</f>
        <v/>
      </c>
    </row>
    <row r="24">
      <c r="A24" s="4" t="n">
        <v>20</v>
      </c>
      <c r="B24" s="5" t="inlineStr">
        <is>
          <t>Cristalería</t>
        </is>
      </c>
      <c r="C24" s="5" t="inlineStr">
        <is>
          <t>Cubiteras y soportes de pie para espumosos (×6)</t>
        </is>
      </c>
      <c r="D24" s="16" t="inlineStr">
        <is>
          <t>Sommelier</t>
        </is>
      </c>
      <c r="E24" s="17" t="n"/>
      <c r="F24" s="16" t="inlineStr">
        <is>
          <t>Pendiente</t>
        </is>
      </c>
      <c r="G24" s="18" t="n"/>
      <c r="H24" s="16" t="inlineStr">
        <is>
          <t>Sin importe tasado en la guía: pide presupuesto y escríbelo aquí (la celda es editable y el TOTAL se recalcula).</t>
        </is>
      </c>
      <c r="I24" s="14" t="n"/>
      <c r="J24" s="19">
        <f>IF($I24="","",ROUND($I24*Instrucciones!$B$11*Instrucciones!$B$12,0))</f>
        <v/>
      </c>
      <c r="K24" s="19" t="n">
        <v>6</v>
      </c>
      <c r="L24" s="20">
        <f>IFERROR(IF(OR($K24="",$K24=0,$J24="",$G24=""),"",ROUND($G24*$J24/$K24,2)),"")</f>
        <v/>
      </c>
    </row>
    <row r="25">
      <c r="A25" s="4" t="n">
        <v>21</v>
      </c>
      <c r="B25" s="5" t="inlineStr">
        <is>
          <t>Cubertería</t>
        </is>
      </c>
      <c r="C25" s="5" t="inlineStr">
        <is>
          <t>Cuchillo mesa principal (×80)</t>
        </is>
      </c>
      <c r="D25" s="16" t="inlineStr">
        <is>
          <t>Maître</t>
        </is>
      </c>
      <c r="E25" s="17" t="n"/>
      <c r="F25" s="16" t="inlineStr">
        <is>
          <t>Pendiente</t>
        </is>
      </c>
      <c r="G25" s="18" t="n">
        <v>800</v>
      </c>
      <c r="H25" s="16" t="n"/>
      <c r="I25" s="14" t="n">
        <v>2</v>
      </c>
      <c r="J25" s="19">
        <f>IF($I25="","",ROUND($I25*Instrucciones!$B$11*Instrucciones!$B$12,0))</f>
        <v>195.0</v>
      </c>
      <c r="K25" s="19" t="n">
        <v>80</v>
      </c>
      <c r="L25" s="20">
        <f>IFERROR(IF(OR($K25="",$K25=0,$J25="",$G25=""),"",ROUND($G25*$J25/$K25,2)),"")</f>
        <v>1950.0</v>
      </c>
    </row>
    <row r="26">
      <c r="A26" s="4" t="n">
        <v>22</v>
      </c>
      <c r="B26" s="5" t="inlineStr">
        <is>
          <t>Cubertería</t>
        </is>
      </c>
      <c r="C26" s="5" t="inlineStr">
        <is>
          <t>Tenedor mesa principal (×80)</t>
        </is>
      </c>
      <c r="D26" s="16" t="inlineStr">
        <is>
          <t>Maître</t>
        </is>
      </c>
      <c r="E26" s="17" t="n"/>
      <c r="F26" s="16" t="inlineStr">
        <is>
          <t>Pendiente</t>
        </is>
      </c>
      <c r="G26" s="18" t="n">
        <v>800</v>
      </c>
      <c r="H26" s="16" t="n"/>
      <c r="I26" s="14" t="n">
        <v>2</v>
      </c>
      <c r="J26" s="19">
        <f>IF($I26="","",ROUND($I26*Instrucciones!$B$11*Instrucciones!$B$12,0))</f>
        <v>195.0</v>
      </c>
      <c r="K26" s="19" t="n">
        <v>80</v>
      </c>
      <c r="L26" s="20">
        <f>IFERROR(IF(OR($K26="",$K26=0,$J26="",$G26=""),"",ROUND($G26*$J26/$K26,2)),"")</f>
        <v>1950.0</v>
      </c>
    </row>
    <row r="27">
      <c r="A27" s="4" t="n">
        <v>23</v>
      </c>
      <c r="B27" s="5" t="inlineStr">
        <is>
          <t>Cubertería</t>
        </is>
      </c>
      <c r="C27" s="5" t="inlineStr">
        <is>
          <t>Cuchara sopera (×80)</t>
        </is>
      </c>
      <c r="D27" s="16" t="inlineStr">
        <is>
          <t>Maître</t>
        </is>
      </c>
      <c r="E27" s="17" t="n"/>
      <c r="F27" s="16" t="inlineStr">
        <is>
          <t>Pendiente</t>
        </is>
      </c>
      <c r="G27" s="18" t="n">
        <v>600</v>
      </c>
      <c r="H27" s="16" t="n"/>
      <c r="I27" s="14" t="n">
        <v>1</v>
      </c>
      <c r="J27" s="19">
        <f>IF($I27="","",ROUND($I27*Instrucciones!$B$11*Instrucciones!$B$12,0))</f>
        <v>98.0</v>
      </c>
      <c r="K27" s="19" t="n">
        <v>80</v>
      </c>
      <c r="L27" s="20">
        <f>IFERROR(IF(OR($K27="",$K27=0,$J27="",$G27=""),"",ROUND($G27*$J27/$K27,2)),"")</f>
        <v>735.0</v>
      </c>
    </row>
    <row r="28">
      <c r="A28" s="4" t="n">
        <v>24</v>
      </c>
      <c r="B28" s="5" t="inlineStr">
        <is>
          <t>Cubertería</t>
        </is>
      </c>
      <c r="C28" s="5" t="inlineStr">
        <is>
          <t>Pala pescado (×80)</t>
        </is>
      </c>
      <c r="D28" s="16" t="inlineStr">
        <is>
          <t>Maître</t>
        </is>
      </c>
      <c r="E28" s="17" t="n"/>
      <c r="F28" s="16" t="inlineStr">
        <is>
          <t>Pendiente</t>
        </is>
      </c>
      <c r="G28" s="18" t="n">
        <v>700</v>
      </c>
      <c r="H28" s="16" t="n"/>
      <c r="I28" s="14" t="n">
        <v>2</v>
      </c>
      <c r="J28" s="19">
        <f>IF($I28="","",ROUND($I28*Instrucciones!$B$11*Instrucciones!$B$12,0))</f>
        <v>195.0</v>
      </c>
      <c r="K28" s="19" t="n">
        <v>80</v>
      </c>
      <c r="L28" s="20">
        <f>IFERROR(IF(OR($K28="",$K28=0,$J28="",$G28=""),"",ROUND($G28*$J28/$K28,2)),"")</f>
        <v>1706.25</v>
      </c>
    </row>
    <row r="29">
      <c r="A29" s="4" t="n">
        <v>25</v>
      </c>
      <c r="B29" s="5" t="inlineStr">
        <is>
          <t>Cubertería</t>
        </is>
      </c>
      <c r="C29" s="5" t="inlineStr">
        <is>
          <t>Tenedor postre (×80)</t>
        </is>
      </c>
      <c r="D29" s="16" t="inlineStr">
        <is>
          <t>Maître</t>
        </is>
      </c>
      <c r="E29" s="17" t="n"/>
      <c r="F29" s="16" t="inlineStr">
        <is>
          <t>Pendiente</t>
        </is>
      </c>
      <c r="G29" s="18" t="n">
        <v>500</v>
      </c>
      <c r="H29" s="16" t="n"/>
      <c r="I29" s="14" t="n">
        <v>1</v>
      </c>
      <c r="J29" s="19">
        <f>IF($I29="","",ROUND($I29*Instrucciones!$B$11*Instrucciones!$B$12,0))</f>
        <v>98.0</v>
      </c>
      <c r="K29" s="19" t="n">
        <v>80</v>
      </c>
      <c r="L29" s="20">
        <f>IFERROR(IF(OR($K29="",$K29=0,$J29="",$G29=""),"",ROUND($G29*$J29/$K29,2)),"")</f>
        <v>612.5</v>
      </c>
    </row>
    <row r="30">
      <c r="A30" s="4" t="n">
        <v>26</v>
      </c>
      <c r="B30" s="5" t="inlineStr">
        <is>
          <t>Cubertería</t>
        </is>
      </c>
      <c r="C30" s="5" t="inlineStr">
        <is>
          <t>Cuchara postre (×80)</t>
        </is>
      </c>
      <c r="D30" s="16" t="inlineStr">
        <is>
          <t>Maître</t>
        </is>
      </c>
      <c r="E30" s="17" t="n"/>
      <c r="F30" s="16" t="inlineStr">
        <is>
          <t>Pendiente</t>
        </is>
      </c>
      <c r="G30" s="18" t="n">
        <v>500</v>
      </c>
      <c r="H30" s="16" t="n"/>
      <c r="I30" s="14" t="n">
        <v>1</v>
      </c>
      <c r="J30" s="19">
        <f>IF($I30="","",ROUND($I30*Instrucciones!$B$11*Instrucciones!$B$12,0))</f>
        <v>98.0</v>
      </c>
      <c r="K30" s="19" t="n">
        <v>80</v>
      </c>
      <c r="L30" s="20">
        <f>IFERROR(IF(OR($K30="",$K30=0,$J30="",$G30=""),"",ROUND($G30*$J30/$K30,2)),"")</f>
        <v>612.5</v>
      </c>
    </row>
    <row r="31">
      <c r="A31" s="4" t="n">
        <v>27</v>
      </c>
      <c r="B31" s="5" t="inlineStr">
        <is>
          <t>Cubertería</t>
        </is>
      </c>
      <c r="C31" s="5" t="inlineStr">
        <is>
          <t>Cuchillo mantequilla (×80)</t>
        </is>
      </c>
      <c r="D31" s="16" t="inlineStr">
        <is>
          <t>Maître</t>
        </is>
      </c>
      <c r="E31" s="17" t="n"/>
      <c r="F31" s="16" t="inlineStr">
        <is>
          <t>Pendiente</t>
        </is>
      </c>
      <c r="G31" s="18" t="n">
        <v>400</v>
      </c>
      <c r="H31" s="16" t="n"/>
      <c r="I31" s="14" t="n">
        <v>1</v>
      </c>
      <c r="J31" s="19">
        <f>IF($I31="","",ROUND($I31*Instrucciones!$B$11*Instrucciones!$B$12,0))</f>
        <v>98.0</v>
      </c>
      <c r="K31" s="19" t="n">
        <v>80</v>
      </c>
      <c r="L31" s="20">
        <f>IFERROR(IF(OR($K31="",$K31=0,$J31="",$G31=""),"",ROUND($G31*$J31/$K31,2)),"")</f>
        <v>490.0</v>
      </c>
    </row>
    <row r="32">
      <c r="A32" s="4" t="n">
        <v>28</v>
      </c>
      <c r="B32" s="5" t="inlineStr">
        <is>
          <t>Cubertería</t>
        </is>
      </c>
      <c r="C32" s="5" t="inlineStr">
        <is>
          <t>Cucharilla café / infusión (×80)</t>
        </is>
      </c>
      <c r="D32" s="16" t="inlineStr">
        <is>
          <t>Maître</t>
        </is>
      </c>
      <c r="E32" s="17" t="n"/>
      <c r="F32" s="16" t="inlineStr">
        <is>
          <t>Pendiente</t>
        </is>
      </c>
      <c r="G32" s="18" t="n">
        <v>300</v>
      </c>
      <c r="H32" s="16" t="n"/>
      <c r="I32" s="14" t="n">
        <v>1</v>
      </c>
      <c r="J32" s="19">
        <f>IF($I32="","",ROUND($I32*Instrucciones!$B$11*Instrucciones!$B$12,0))</f>
        <v>98.0</v>
      </c>
      <c r="K32" s="19" t="n">
        <v>80</v>
      </c>
      <c r="L32" s="20">
        <f>IFERROR(IF(OR($K32="",$K32=0,$J32="",$G32=""),"",ROUND($G32*$J32/$K32,2)),"")</f>
        <v>367.5</v>
      </c>
    </row>
    <row r="33">
      <c r="A33" s="4" t="n">
        <v>29</v>
      </c>
      <c r="B33" s="5" t="inlineStr">
        <is>
          <t>Cubertería</t>
        </is>
      </c>
      <c r="C33" s="5" t="inlineStr">
        <is>
          <t>Pinzas servicio (×10)</t>
        </is>
      </c>
      <c r="D33" s="16" t="inlineStr">
        <is>
          <t>Maître</t>
        </is>
      </c>
      <c r="E33" s="17" t="n"/>
      <c r="F33" s="16" t="inlineStr">
        <is>
          <t>Pendiente</t>
        </is>
      </c>
      <c r="G33" s="18" t="n">
        <v>200</v>
      </c>
      <c r="H33" s="16" t="n"/>
      <c r="I33" s="14" t="n"/>
      <c r="J33" s="19">
        <f>IF($I33="","",ROUND($I33*Instrucciones!$B$11*Instrucciones!$B$12,0))</f>
        <v/>
      </c>
      <c r="K33" s="19" t="n">
        <v>10</v>
      </c>
      <c r="L33" s="20">
        <f>IFERROR(IF(OR($K33="",$K33=0,$J33="",$G33=""),"",ROUND($G33*$J33/$K33,2)),"")</f>
        <v/>
      </c>
    </row>
    <row r="34">
      <c r="A34" s="4" t="n">
        <v>30</v>
      </c>
      <c r="B34" s="5" t="inlineStr">
        <is>
          <t>Cubertería</t>
        </is>
      </c>
      <c r="C34" s="5" t="inlineStr">
        <is>
          <t>Cuchara de degustación / amuse-bouche (×100)</t>
        </is>
      </c>
      <c r="D34" s="16" t="inlineStr">
        <is>
          <t>Maître</t>
        </is>
      </c>
      <c r="E34" s="17" t="n"/>
      <c r="F34" s="16" t="inlineStr">
        <is>
          <t>Pendiente</t>
        </is>
      </c>
      <c r="G34" s="18" t="n"/>
      <c r="H34" s="16" t="inlineStr">
        <is>
          <t>Un menú de 8‑12 pases empieza con snacks: es la pieza que más rota. Sin importe tasado en la guía: pide presupuesto y escríbelo aquí (la celda es editable y el TOTAL se recalcula).</t>
        </is>
      </c>
      <c r="I34" s="14" t="n">
        <v>2</v>
      </c>
      <c r="J34" s="19">
        <f>IF($I34="","",ROUND($I34*Instrucciones!$B$11*Instrucciones!$B$12,0))</f>
        <v>195.0</v>
      </c>
      <c r="K34" s="19" t="n">
        <v>100</v>
      </c>
      <c r="L34" s="20">
        <f>IFERROR(IF(OR($K34="",$K34=0,$J34="",$G34=""),"",ROUND($G34*$J34/$K34,2)),"")</f>
        <v/>
      </c>
    </row>
    <row r="35">
      <c r="A35" s="4" t="n">
        <v>31</v>
      </c>
      <c r="B35" s="5" t="inlineStr">
        <is>
          <t>Cubertería</t>
        </is>
      </c>
      <c r="C35" s="5" t="inlineStr">
        <is>
          <t>Cubertería de crudos y tartar (tenedor y cucharilla pequeños, ×80)</t>
        </is>
      </c>
      <c r="D35" s="16" t="inlineStr">
        <is>
          <t>Maître</t>
        </is>
      </c>
      <c r="E35" s="17" t="n"/>
      <c r="F35" s="16" t="inlineStr">
        <is>
          <t>Pendiente</t>
        </is>
      </c>
      <c r="G35" s="18" t="n"/>
      <c r="H35" s="16" t="inlineStr">
        <is>
          <t>Sin importe tasado en la guía: pide presupuesto y escríbelo aquí (la celda es editable y el TOTAL se recalcula).</t>
        </is>
      </c>
      <c r="I35" s="14" t="n">
        <v>1</v>
      </c>
      <c r="J35" s="19">
        <f>IF($I35="","",ROUND($I35*Instrucciones!$B$11*Instrucciones!$B$12,0))</f>
        <v>98.0</v>
      </c>
      <c r="K35" s="19" t="n"/>
      <c r="L35" s="20">
        <f>IFERROR(IF(OR($K35="",$K35=0,$J35="",$G35=""),"",ROUND($G35*$J35/$K35,2)),"")</f>
        <v/>
      </c>
    </row>
    <row r="36">
      <c r="A36" s="4" t="n">
        <v>32</v>
      </c>
      <c r="B36" s="5" t="inlineStr">
        <is>
          <t>Mantelería</t>
        </is>
      </c>
      <c r="C36" s="5" t="inlineStr">
        <is>
          <t>Manteles individuales o de mesa (×40)</t>
        </is>
      </c>
      <c r="D36" s="16" t="inlineStr">
        <is>
          <t>Maître</t>
        </is>
      </c>
      <c r="E36" s="17" t="n"/>
      <c r="F36" s="16" t="inlineStr">
        <is>
          <t>Pendiente</t>
        </is>
      </c>
      <c r="G36" s="18" t="n">
        <v>1200</v>
      </c>
      <c r="H36" s="16" t="n"/>
      <c r="I36" s="14" t="n">
        <v>1</v>
      </c>
      <c r="J36" s="19">
        <f>IF($I36="","",ROUND($I36*Instrucciones!$B$11*Instrucciones!$B$12,0))</f>
        <v>98.0</v>
      </c>
      <c r="K36" s="19" t="n">
        <v>40</v>
      </c>
      <c r="L36" s="20">
        <f>IFERROR(IF(OR($K36="",$K36=0,$J36="",$G36=""),"",ROUND($G36*$J36/$K36,2)),"")</f>
        <v>2940.0</v>
      </c>
    </row>
    <row r="37">
      <c r="A37" s="4" t="n">
        <v>33</v>
      </c>
      <c r="B37" s="5" t="inlineStr">
        <is>
          <t>Mantelería</t>
        </is>
      </c>
      <c r="C37" s="5" t="inlineStr">
        <is>
          <t>Servilletas tela (×120)</t>
        </is>
      </c>
      <c r="D37" s="16" t="inlineStr">
        <is>
          <t>Maître</t>
        </is>
      </c>
      <c r="E37" s="17" t="n"/>
      <c r="F37" s="16" t="inlineStr">
        <is>
          <t>Pendiente</t>
        </is>
      </c>
      <c r="G37" s="18" t="n">
        <v>600</v>
      </c>
      <c r="H37" s="16" t="n"/>
      <c r="I37" s="14" t="n">
        <v>2</v>
      </c>
      <c r="J37" s="19">
        <f>IF($I37="","",ROUND($I37*Instrucciones!$B$11*Instrucciones!$B$12,0))</f>
        <v>195.0</v>
      </c>
      <c r="K37" s="19" t="n">
        <v>120</v>
      </c>
      <c r="L37" s="20">
        <f>IFERROR(IF(OR($K37="",$K37=0,$J37="",$G37=""),"",ROUND($G37*$J37/$K37,2)),"")</f>
        <v>975.0</v>
      </c>
    </row>
    <row r="38">
      <c r="A38" s="4" t="n">
        <v>34</v>
      </c>
      <c r="B38" s="5" t="inlineStr">
        <is>
          <t>Mantelería</t>
        </is>
      </c>
      <c r="C38" s="5" t="inlineStr">
        <is>
          <t>Muletones protectores (×20)</t>
        </is>
      </c>
      <c r="D38" s="16" t="inlineStr">
        <is>
          <t>Maître</t>
        </is>
      </c>
      <c r="E38" s="17" t="n"/>
      <c r="F38" s="16" t="inlineStr">
        <is>
          <t>Pendiente</t>
        </is>
      </c>
      <c r="G38" s="18" t="n">
        <v>400</v>
      </c>
      <c r="H38" s="16" t="n"/>
      <c r="I38" s="14" t="n"/>
      <c r="J38" s="19">
        <f>IF($I38="","",ROUND($I38*Instrucciones!$B$11*Instrucciones!$B$12,0))</f>
        <v/>
      </c>
      <c r="K38" s="19" t="n">
        <v>20</v>
      </c>
      <c r="L38" s="20">
        <f>IFERROR(IF(OR($K38="",$K38=0,$J38="",$G38=""),"",ROUND($G38*$J38/$K38,2)),"")</f>
        <v/>
      </c>
    </row>
    <row r="39">
      <c r="A39" s="4" t="n">
        <v>35</v>
      </c>
      <c r="B39" s="5" t="inlineStr">
        <is>
          <t>Mantelería</t>
        </is>
      </c>
      <c r="C39" s="5" t="inlineStr">
        <is>
          <t>Paños de lino para abrillantado de copas (×40)</t>
        </is>
      </c>
      <c r="D39" s="16" t="inlineStr">
        <is>
          <t>Maître</t>
        </is>
      </c>
      <c r="E39" s="17" t="n"/>
      <c r="F39" s="16" t="inlineStr">
        <is>
          <t>Pendiente</t>
        </is>
      </c>
      <c r="G39" s="18" t="n"/>
      <c r="H39" s="16" t="inlineStr">
        <is>
          <t>Con 300‑600 copas por servicio, el abrillantado es una tarea de brigada, no un detalle. Sin importe tasado en la guía: pide presupuesto y escríbelo aquí (la celda es editable y el TOTAL se recalcula).</t>
        </is>
      </c>
      <c r="I39" s="14" t="n"/>
      <c r="J39" s="19">
        <f>IF($I39="","",ROUND($I39*Instrucciones!$B$11*Instrucciones!$B$12,0))</f>
        <v/>
      </c>
      <c r="K39" s="19" t="n">
        <v>40</v>
      </c>
      <c r="L39" s="20">
        <f>IFERROR(IF(OR($K39="",$K39=0,$J39="",$G39=""),"",ROUND($G39*$J39/$K39,2)),"")</f>
        <v/>
      </c>
    </row>
    <row r="40">
      <c r="A40" s="4" t="n">
        <v>36</v>
      </c>
      <c r="B40" s="5" t="inlineStr">
        <is>
          <t>Petit menage</t>
        </is>
      </c>
      <c r="C40" s="5" t="inlineStr">
        <is>
          <t>Saleros y pimenteros (×20 sets)</t>
        </is>
      </c>
      <c r="D40" s="16" t="inlineStr">
        <is>
          <t>Maître</t>
        </is>
      </c>
      <c r="E40" s="17" t="n"/>
      <c r="F40" s="16" t="inlineStr">
        <is>
          <t>Pendiente</t>
        </is>
      </c>
      <c r="G40" s="18" t="n">
        <v>300</v>
      </c>
      <c r="H40" s="16" t="n"/>
      <c r="I40" s="14" t="n"/>
      <c r="J40" s="19">
        <f>IF($I40="","",ROUND($I40*Instrucciones!$B$11*Instrucciones!$B$12,0))</f>
        <v/>
      </c>
      <c r="K40" s="19" t="n"/>
      <c r="L40" s="20">
        <f>IFERROR(IF(OR($K40="",$K40=0,$J40="",$G40=""),"",ROUND($G40*$J40/$K40,2)),"")</f>
        <v/>
      </c>
    </row>
    <row r="41">
      <c r="A41" s="4" t="n">
        <v>37</v>
      </c>
      <c r="B41" s="5" t="inlineStr">
        <is>
          <t>Petit menage</t>
        </is>
      </c>
      <c r="C41" s="5" t="inlineStr">
        <is>
          <t>Aceiteras / vinajeras (×10)</t>
        </is>
      </c>
      <c r="D41" s="16" t="inlineStr">
        <is>
          <t>Maître</t>
        </is>
      </c>
      <c r="E41" s="17" t="n"/>
      <c r="F41" s="16" t="inlineStr">
        <is>
          <t>Pendiente</t>
        </is>
      </c>
      <c r="G41" s="18" t="n">
        <v>200</v>
      </c>
      <c r="H41" s="16" t="n"/>
      <c r="I41" s="14" t="n"/>
      <c r="J41" s="19">
        <f>IF($I41="","",ROUND($I41*Instrucciones!$B$11*Instrucciones!$B$12,0))</f>
        <v/>
      </c>
      <c r="K41" s="19" t="n">
        <v>10</v>
      </c>
      <c r="L41" s="20">
        <f>IFERROR(IF(OR($K41="",$K41=0,$J41="",$G41=""),"",ROUND($G41*$J41/$K41,2)),"")</f>
        <v/>
      </c>
    </row>
    <row r="42">
      <c r="A42" s="4" t="n">
        <v>38</v>
      </c>
      <c r="B42" s="5" t="inlineStr">
        <is>
          <t>Petit menage</t>
        </is>
      </c>
      <c r="C42" s="5" t="inlineStr">
        <is>
          <t>Cestitas de pan (×20)</t>
        </is>
      </c>
      <c r="D42" s="16" t="inlineStr">
        <is>
          <t>Maître</t>
        </is>
      </c>
      <c r="E42" s="17" t="n"/>
      <c r="F42" s="16" t="inlineStr">
        <is>
          <t>Pendiente</t>
        </is>
      </c>
      <c r="G42" s="18" t="n">
        <v>300</v>
      </c>
      <c r="H42" s="16" t="n"/>
      <c r="I42" s="14" t="n"/>
      <c r="J42" s="19">
        <f>IF($I42="","",ROUND($I42*Instrucciones!$B$11*Instrucciones!$B$12,0))</f>
        <v/>
      </c>
      <c r="K42" s="19" t="n">
        <v>20</v>
      </c>
      <c r="L42" s="20">
        <f>IFERROR(IF(OR($K42="",$K42=0,$J42="",$G42=""),"",ROUND($G42*$J42/$K42,2)),"")</f>
        <v/>
      </c>
    </row>
    <row r="43">
      <c r="A43" s="4" t="n">
        <v>39</v>
      </c>
      <c r="B43" s="5" t="inlineStr">
        <is>
          <t>Petit menage</t>
        </is>
      </c>
      <c r="C43" s="5" t="inlineStr">
        <is>
          <t>Portavelas / centros mesa (×20)</t>
        </is>
      </c>
      <c r="D43" s="16" t="inlineStr">
        <is>
          <t>Maître</t>
        </is>
      </c>
      <c r="E43" s="17" t="n"/>
      <c r="F43" s="16" t="inlineStr">
        <is>
          <t>Pendiente</t>
        </is>
      </c>
      <c r="G43" s="18" t="n">
        <v>400</v>
      </c>
      <c r="H43" s="16" t="n"/>
      <c r="I43" s="14" t="n"/>
      <c r="J43" s="19">
        <f>IF($I43="","",ROUND($I43*Instrucciones!$B$11*Instrucciones!$B$12,0))</f>
        <v/>
      </c>
      <c r="K43" s="19" t="n">
        <v>20</v>
      </c>
      <c r="L43" s="20">
        <f>IFERROR(IF(OR($K43="",$K43=0,$J43="",$G43=""),"",ROUND($G43*$J43/$K43,2)),"")</f>
        <v/>
      </c>
    </row>
    <row r="44">
      <c r="A44" s="4" t="n">
        <v>40</v>
      </c>
      <c r="B44" s="5" t="inlineStr">
        <is>
          <t>Servicio vino</t>
        </is>
      </c>
      <c r="C44" s="5" t="inlineStr">
        <is>
          <t>Sacacorchos Pulltap / Laguiole (×6)</t>
        </is>
      </c>
      <c r="D44" s="16" t="inlineStr">
        <is>
          <t>Sommelier</t>
        </is>
      </c>
      <c r="E44" s="17" t="n"/>
      <c r="F44" s="16" t="inlineStr">
        <is>
          <t>Pendiente</t>
        </is>
      </c>
      <c r="G44" s="18" t="n">
        <v>300</v>
      </c>
      <c r="H44" s="16" t="n"/>
      <c r="I44" s="14" t="n"/>
      <c r="J44" s="19">
        <f>IF($I44="","",ROUND($I44*Instrucciones!$B$11*Instrucciones!$B$12,0))</f>
        <v/>
      </c>
      <c r="K44" s="19" t="n">
        <v>6</v>
      </c>
      <c r="L44" s="20">
        <f>IFERROR(IF(OR($K44="",$K44=0,$J44="",$G44=""),"",ROUND($G44*$J44/$K44,2)),"")</f>
        <v/>
      </c>
    </row>
    <row r="45">
      <c r="A45" s="4" t="n">
        <v>41</v>
      </c>
      <c r="B45" s="5" t="inlineStr">
        <is>
          <t>Servicio vino</t>
        </is>
      </c>
      <c r="C45" s="5" t="inlineStr">
        <is>
          <t>Enfriadores de mesa (×10)</t>
        </is>
      </c>
      <c r="D45" s="16" t="inlineStr">
        <is>
          <t>Sommelier</t>
        </is>
      </c>
      <c r="E45" s="17" t="n"/>
      <c r="F45" s="16" t="inlineStr">
        <is>
          <t>Pendiente</t>
        </is>
      </c>
      <c r="G45" s="18" t="n">
        <v>500</v>
      </c>
      <c r="H45" s="16" t="n"/>
      <c r="I45" s="14" t="n"/>
      <c r="J45" s="19">
        <f>IF($I45="","",ROUND($I45*Instrucciones!$B$11*Instrucciones!$B$12,0))</f>
        <v/>
      </c>
      <c r="K45" s="19" t="n">
        <v>10</v>
      </c>
      <c r="L45" s="20">
        <f>IFERROR(IF(OR($K45="",$K45=0,$J45="",$G45=""),"",ROUND($G45*$J45/$K45,2)),"")</f>
        <v/>
      </c>
    </row>
    <row r="46">
      <c r="A46" s="4" t="n">
        <v>42</v>
      </c>
      <c r="B46" s="5" t="inlineStr">
        <is>
          <t>Servicio vino</t>
        </is>
      </c>
      <c r="C46" s="5" t="inlineStr">
        <is>
          <t>Drop stops / antigoteo (×20)</t>
        </is>
      </c>
      <c r="D46" s="16" t="inlineStr">
        <is>
          <t>Sommelier</t>
        </is>
      </c>
      <c r="E46" s="17" t="n"/>
      <c r="F46" s="16" t="inlineStr">
        <is>
          <t>Pendiente</t>
        </is>
      </c>
      <c r="G46" s="18" t="n">
        <v>40</v>
      </c>
      <c r="H46" s="16" t="n"/>
      <c r="I46" s="14" t="n"/>
      <c r="J46" s="19">
        <f>IF($I46="","",ROUND($I46*Instrucciones!$B$11*Instrucciones!$B$12,0))</f>
        <v/>
      </c>
      <c r="K46" s="19" t="n">
        <v>20</v>
      </c>
      <c r="L46" s="20">
        <f>IFERROR(IF(OR($K46="",$K46=0,$J46="",$G46=""),"",ROUND($G46*$J46/$K46,2)),"")</f>
        <v/>
      </c>
    </row>
    <row r="47">
      <c r="A47" s="4" t="n">
        <v>43</v>
      </c>
      <c r="B47" s="5" t="inlineStr">
        <is>
          <t>Servicio vino</t>
        </is>
      </c>
      <c r="C47" s="5" t="inlineStr">
        <is>
          <t>Termómetro de vino digital</t>
        </is>
      </c>
      <c r="D47" s="16" t="inlineStr">
        <is>
          <t>Sommelier</t>
        </is>
      </c>
      <c r="E47" s="17" t="n"/>
      <c r="F47" s="16" t="inlineStr">
        <is>
          <t>Pendiente</t>
        </is>
      </c>
      <c r="G47" s="18" t="n">
        <v>30</v>
      </c>
      <c r="H47" s="16" t="n"/>
      <c r="I47" s="14" t="n"/>
      <c r="J47" s="19">
        <f>IF($I47="","",ROUND($I47*Instrucciones!$B$11*Instrucciones!$B$12,0))</f>
        <v/>
      </c>
      <c r="K47" s="19" t="n"/>
      <c r="L47" s="20">
        <f>IFERROR(IF(OR($K47="",$K47=0,$J47="",$G47=""),"",ROUND($G47*$J47/$K47,2)),"")</f>
        <v/>
      </c>
    </row>
    <row r="48">
      <c r="A48" s="4" t="n">
        <v>44</v>
      </c>
      <c r="B48" s="5" t="inlineStr">
        <is>
          <t>Cocina pase</t>
        </is>
      </c>
      <c r="C48" s="5" t="inlineStr">
        <is>
          <t>Pinzas emplatado profesionales (×10)</t>
        </is>
      </c>
      <c r="D48" s="16" t="inlineStr">
        <is>
          <t>Chef</t>
        </is>
      </c>
      <c r="E48" s="17" t="n"/>
      <c r="F48" s="16" t="inlineStr">
        <is>
          <t>Pendiente</t>
        </is>
      </c>
      <c r="G48" s="18" t="n">
        <v>200</v>
      </c>
      <c r="H48" s="16" t="n"/>
      <c r="I48" s="14" t="n"/>
      <c r="J48" s="19">
        <f>IF($I48="","",ROUND($I48*Instrucciones!$B$11*Instrucciones!$B$12,0))</f>
        <v/>
      </c>
      <c r="K48" s="19" t="n">
        <v>10</v>
      </c>
      <c r="L48" s="20">
        <f>IFERROR(IF(OR($K48="",$K48=0,$J48="",$G48=""),"",ROUND($G48*$J48/$K48,2)),"")</f>
        <v/>
      </c>
    </row>
    <row r="49">
      <c r="A49" s="4" t="n">
        <v>45</v>
      </c>
      <c r="B49" s="5" t="inlineStr">
        <is>
          <t>Cocina pase</t>
        </is>
      </c>
      <c r="C49" s="5" t="inlineStr">
        <is>
          <t>Biberones de salsa (×20)</t>
        </is>
      </c>
      <c r="D49" s="16" t="inlineStr">
        <is>
          <t>Chef</t>
        </is>
      </c>
      <c r="E49" s="17" t="n"/>
      <c r="F49" s="16" t="inlineStr">
        <is>
          <t>Pendiente</t>
        </is>
      </c>
      <c r="G49" s="18" t="n">
        <v>60</v>
      </c>
      <c r="H49" s="16" t="n"/>
      <c r="I49" s="14" t="n"/>
      <c r="J49" s="19">
        <f>IF($I49="","",ROUND($I49*Instrucciones!$B$11*Instrucciones!$B$12,0))</f>
        <v/>
      </c>
      <c r="K49" s="19" t="n">
        <v>20</v>
      </c>
      <c r="L49" s="20">
        <f>IFERROR(IF(OR($K49="",$K49=0,$J49="",$G49=""),"",ROUND($G49*$J49/$K49,2)),"")</f>
        <v/>
      </c>
    </row>
    <row r="50">
      <c r="A50" s="4" t="n">
        <v>46</v>
      </c>
      <c r="B50" s="5" t="inlineStr">
        <is>
          <t>Cocina pase</t>
        </is>
      </c>
      <c r="C50" s="5" t="inlineStr">
        <is>
          <t>Cloches / campanas (×10)</t>
        </is>
      </c>
      <c r="D50" s="16" t="inlineStr">
        <is>
          <t>Chef</t>
        </is>
      </c>
      <c r="E50" s="17" t="n"/>
      <c r="F50" s="16" t="inlineStr">
        <is>
          <t>Pendiente</t>
        </is>
      </c>
      <c r="G50" s="18" t="n">
        <v>500</v>
      </c>
      <c r="H50" s="16" t="n"/>
      <c r="I50" s="14" t="n"/>
      <c r="J50" s="19">
        <f>IF($I50="","",ROUND($I50*Instrucciones!$B$11*Instrucciones!$B$12,0))</f>
        <v/>
      </c>
      <c r="K50" s="19" t="n">
        <v>10</v>
      </c>
      <c r="L50" s="20">
        <f>IFERROR(IF(OR($K50="",$K50=0,$J50="",$G50=""),"",ROUND($G50*$J50/$K50,2)),"")</f>
        <v/>
      </c>
    </row>
    <row r="51">
      <c r="A51" s="4" t="n">
        <v>47</v>
      </c>
      <c r="B51" s="5" t="inlineStr">
        <is>
          <t>Reposición</t>
        </is>
      </c>
      <c r="C51" s="5" t="inlineStr">
        <is>
          <t>Stock seguridad platos (+20%)</t>
        </is>
      </c>
      <c r="D51" s="16" t="inlineStr">
        <is>
          <t>Maître</t>
        </is>
      </c>
      <c r="E51" s="17" t="n"/>
      <c r="F51" s="16" t="inlineStr">
        <is>
          <t>Pendiente</t>
        </is>
      </c>
      <c r="G51" s="18" t="n">
        <v>1500</v>
      </c>
      <c r="H51" s="16" t="n"/>
      <c r="I51" s="14" t="n"/>
      <c r="J51" s="19">
        <f>IF($I51="","",ROUND($I51*Instrucciones!$B$11*Instrucciones!$B$12,0))</f>
        <v/>
      </c>
      <c r="K51" s="19" t="n"/>
      <c r="L51" s="20">
        <f>IFERROR(IF(OR($K51="",$K51=0,$J51="",$G51=""),"",ROUND($G51*$J51/$K51,2)),"")</f>
        <v/>
      </c>
    </row>
    <row r="52">
      <c r="A52" s="4" t="n">
        <v>48</v>
      </c>
      <c r="B52" s="5" t="inlineStr">
        <is>
          <t>Reposición</t>
        </is>
      </c>
      <c r="C52" s="5" t="inlineStr">
        <is>
          <t>Stock seguridad copas (+25%)</t>
        </is>
      </c>
      <c r="D52" s="16" t="inlineStr">
        <is>
          <t>Sommelier</t>
        </is>
      </c>
      <c r="E52" s="17" t="n"/>
      <c r="F52" s="16" t="inlineStr">
        <is>
          <t>Pendiente</t>
        </is>
      </c>
      <c r="G52" s="18" t="n">
        <v>1000</v>
      </c>
      <c r="H52" s="16" t="n"/>
      <c r="I52" s="14" t="n"/>
      <c r="J52" s="19">
        <f>IF($I52="","",ROUND($I52*Instrucciones!$B$11*Instrucciones!$B$12,0))</f>
        <v/>
      </c>
      <c r="K52" s="19" t="n"/>
      <c r="L52" s="20">
        <f>IFERROR(IF(OR($K52="",$K52=0,$J52="",$G52=""),"",ROUND($G52*$J52/$K52,2)),"")</f>
        <v/>
      </c>
    </row>
    <row r="53">
      <c r="A53" s="4" t="n">
        <v>49</v>
      </c>
      <c r="B53" s="5" t="inlineStr">
        <is>
          <t>Reposición</t>
        </is>
      </c>
      <c r="C53" s="5" t="inlineStr">
        <is>
          <t>Stock seguridad cubertería (+15%)</t>
        </is>
      </c>
      <c r="D53" s="16" t="inlineStr">
        <is>
          <t>Maître</t>
        </is>
      </c>
      <c r="E53" s="17" t="n"/>
      <c r="F53" s="16" t="inlineStr">
        <is>
          <t>Pendiente</t>
        </is>
      </c>
      <c r="G53" s="18" t="n">
        <v>500</v>
      </c>
      <c r="H53" s="16" t="n"/>
      <c r="I53" s="14" t="n"/>
      <c r="J53" s="19">
        <f>IF($I53="","",ROUND($I53*Instrucciones!$B$11*Instrucciones!$B$12,0))</f>
        <v/>
      </c>
      <c r="K53" s="19" t="n"/>
      <c r="L53" s="20">
        <f>IFERROR(IF(OR($K53="",$K53=0,$J53="",$G53=""),"",ROUND($G53*$J53/$K53,2)),"")</f>
        <v/>
      </c>
    </row>
    <row r="54">
      <c r="A54" s="4" t="n">
        <v>50</v>
      </c>
      <c r="B54" s="5" t="inlineStr">
        <is>
          <t>Reposición</t>
        </is>
      </c>
      <c r="C54" s="5" t="inlineStr">
        <is>
          <t>Cajas y fundas de almacenaje y transporte de cristalería (×10)</t>
        </is>
      </c>
      <c r="D54" s="16" t="inlineStr">
        <is>
          <t>Sommelier</t>
        </is>
      </c>
      <c r="E54" s="17" t="n"/>
      <c r="F54" s="16" t="inlineStr">
        <is>
          <t>Pendiente</t>
        </is>
      </c>
      <c r="G54" s="18" t="n"/>
      <c r="H54" s="16" t="inlineStr">
        <is>
          <t>Sin importe tasado en la guía: pide presupuesto y escríbelo aquí (la celda es editable y el TOTAL se recalcula).</t>
        </is>
      </c>
      <c r="I54" s="14" t="n"/>
      <c r="J54" s="19">
        <f>IF($I54="","",ROUND($I54*Instrucciones!$B$11*Instrucciones!$B$12,0))</f>
        <v/>
      </c>
      <c r="K54" s="19" t="n">
        <v>10</v>
      </c>
      <c r="L54" s="20">
        <f>IFERROR(IF(OR($K54="",$K54=0,$J54="",$G54=""),"",ROUND($G54*$J54/$K54,2)),"")</f>
        <v/>
      </c>
    </row>
    <row r="55">
      <c r="E55" s="21" t="n"/>
      <c r="G55" s="20" t="n"/>
      <c r="J55" s="19" t="n"/>
      <c r="K55" s="19" t="n"/>
      <c r="L55" s="20" t="n"/>
    </row>
    <row r="56">
      <c r="A56" s="22" t="inlineStr">
        <is>
          <t>RESUMEN — lo calcula el libro (v2.0)</t>
        </is>
      </c>
      <c r="B56" s="23" t="n"/>
      <c r="C56" s="23" t="n"/>
      <c r="D56" s="23" t="n"/>
      <c r="E56" s="23" t="n"/>
      <c r="F56" s="23" t="n"/>
      <c r="G56" s="23" t="n"/>
      <c r="H56" s="23" t="n"/>
      <c r="I56" s="23" t="n"/>
      <c r="J56" s="23" t="n"/>
      <c r="K56" s="23" t="n"/>
      <c r="L56" s="23" t="n"/>
    </row>
    <row r="57">
      <c r="A57" s="22" t="inlineStr">
        <is>
          <t>TOTAL PRESUPUESTADO (€)</t>
        </is>
      </c>
      <c r="B57" s="23" t="n"/>
      <c r="C57" s="23" t="n"/>
      <c r="D57" s="23" t="n"/>
      <c r="E57" s="23" t="n"/>
      <c r="F57" s="23" t="n"/>
      <c r="G57" s="27">
        <f>SUM(G5:G54)</f>
        <v>30230.0</v>
      </c>
      <c r="H57" s="23" t="n"/>
      <c r="I57" s="23" t="n"/>
      <c r="J57" s="23" t="n"/>
      <c r="K57" s="23" t="n"/>
      <c r="L57" s="23" t="n"/>
    </row>
    <row r="58">
      <c r="A58" s="22" t="inlineStr">
        <is>
          <t>Partidas SIN importe (a presupuestar)</t>
        </is>
      </c>
      <c r="B58" s="23" t="n"/>
      <c r="C58" s="23" t="n"/>
      <c r="D58" s="23" t="n"/>
      <c r="E58" s="23" t="n"/>
      <c r="F58" s="23" t="n"/>
      <c r="G58" s="28">
        <f>COUNTIF(B5:B54,"&lt;&gt;")-COUNT(G5:G54)</f>
        <v>7.0</v>
      </c>
      <c r="H58" s="23" t="inlineStr">
        <is>
          <t>El TOTAL de arriba es un SUELO: no incluye estas partidas, que van a presupuestar.</t>
        </is>
      </c>
      <c r="I58" s="23" t="n"/>
      <c r="J58" s="23" t="n"/>
      <c r="K58" s="23" t="n"/>
      <c r="L58" s="23" t="n"/>
    </row>
    <row r="59">
      <c r="A59" s="22" t="inlineStr">
        <is>
          <t>TOTAL AJUSTADO A MENÚ DEGUSTACIÓN (€)</t>
        </is>
      </c>
      <c r="B59" s="23" t="n"/>
      <c r="C59" s="23" t="n"/>
      <c r="D59" s="23" t="n"/>
      <c r="E59" s="23" t="n"/>
      <c r="F59" s="23" t="n"/>
      <c r="G59" s="23" t="n"/>
      <c r="H59" s="23" t="n"/>
      <c r="I59" s="23" t="n"/>
      <c r="J59" s="23" t="n"/>
      <c r="K59" s="23" t="n"/>
      <c r="L59" s="27">
        <f>SUM(L5:L54)</f>
        <v>45303.75</v>
      </c>
    </row>
    <row r="60">
      <c r="A60" s="22" t="inlineStr">
        <is>
          <t>Avance del checklist (% completado)</t>
        </is>
      </c>
      <c r="B60" s="23" t="n"/>
      <c r="C60" s="23" t="n"/>
      <c r="D60" s="23" t="n"/>
      <c r="E60" s="23" t="n"/>
      <c r="F60" s="29">
        <f>IFERROR(COUNTIF(F5:F54,"Completado")/COUNTIF(F5:F54,"&lt;&gt;"),"")</f>
        <v>0.0</v>
      </c>
      <c r="G60" s="23" t="inlineStr">
        <is>
          <t>Estado terminal de este checklist: «Completado»</t>
        </is>
      </c>
      <c r="H60" s="23" t="n"/>
      <c r="I60" s="23" t="n"/>
      <c r="J60" s="23" t="n"/>
      <c r="K60" s="23" t="n"/>
      <c r="L60" s="23" t="n"/>
    </row>
    <row r="61">
      <c r="A61" s="23" t="n"/>
      <c r="B61" s="23" t="n"/>
      <c r="C61" s="23" t="n"/>
      <c r="D61" s="23" t="n"/>
      <c r="E61" s="23" t="n"/>
      <c r="F61" s="23" t="n"/>
      <c r="G61" s="23" t="n"/>
      <c r="H61" s="23" t="n"/>
      <c r="I61" s="23" t="n"/>
      <c r="J61" s="23" t="n"/>
      <c r="K61" s="23" t="n"/>
      <c r="L61" s="23" t="n"/>
    </row>
    <row r="62">
      <c r="A62" s="22" t="inlineStr">
        <is>
          <t>SUBTOTALES POR CATEGORÍA</t>
        </is>
      </c>
      <c r="B62" s="23" t="n"/>
      <c r="C62" s="23" t="n"/>
      <c r="D62" s="23" t="n"/>
      <c r="E62" s="23" t="n"/>
      <c r="F62" s="23" t="n"/>
      <c r="G62" s="23" t="n"/>
      <c r="H62" s="23" t="n"/>
      <c r="I62" s="23" t="n"/>
      <c r="J62" s="23" t="n"/>
      <c r="K62" s="23" t="n"/>
      <c r="L62" s="23" t="n"/>
    </row>
    <row r="63">
      <c r="A63" s="23" t="inlineStr">
        <is>
          <t>Platos</t>
        </is>
      </c>
      <c r="B63" s="23" t="n"/>
      <c r="C63" s="23" t="n"/>
      <c r="D63" s="23" t="n"/>
      <c r="E63" s="23" t="n"/>
      <c r="F63" s="23" t="n"/>
      <c r="G63" s="30">
        <f>SUMIF($B$5:$B$54,$A63,$G$5:$G$54)</f>
        <v>9700.0</v>
      </c>
      <c r="H63" s="23" t="n"/>
      <c r="I63" s="23" t="n"/>
      <c r="J63" s="23" t="n"/>
      <c r="K63" s="23" t="n"/>
      <c r="L63" s="23" t="n"/>
    </row>
    <row r="64">
      <c r="A64" s="23" t="inlineStr">
        <is>
          <t>Cristalería</t>
        </is>
      </c>
      <c r="B64" s="23" t="n"/>
      <c r="C64" s="23" t="n"/>
      <c r="D64" s="23" t="n"/>
      <c r="E64" s="23" t="n"/>
      <c r="F64" s="23" t="n"/>
      <c r="G64" s="30">
        <f>SUMIF($B$5:$B$54,$A64,$G$5:$G$54)</f>
        <v>7700.0</v>
      </c>
      <c r="H64" s="23" t="n"/>
      <c r="I64" s="23" t="n"/>
      <c r="J64" s="23" t="n"/>
      <c r="K64" s="23" t="n"/>
      <c r="L64" s="23" t="n"/>
    </row>
    <row r="65">
      <c r="A65" s="23" t="inlineStr">
        <is>
          <t>Cubertería</t>
        </is>
      </c>
      <c r="B65" s="23" t="n"/>
      <c r="C65" s="23" t="n"/>
      <c r="D65" s="23" t="n"/>
      <c r="E65" s="23" t="n"/>
      <c r="F65" s="23" t="n"/>
      <c r="G65" s="30">
        <f>SUMIF($B$5:$B$54,$A65,$G$5:$G$54)</f>
        <v>4800.0</v>
      </c>
      <c r="H65" s="23" t="n"/>
      <c r="I65" s="23" t="n"/>
      <c r="J65" s="23" t="n"/>
      <c r="K65" s="23" t="n"/>
      <c r="L65" s="23" t="n"/>
    </row>
    <row r="66">
      <c r="A66" s="23" t="inlineStr">
        <is>
          <t>Mantelería</t>
        </is>
      </c>
      <c r="B66" s="23" t="n"/>
      <c r="C66" s="23" t="n"/>
      <c r="D66" s="23" t="n"/>
      <c r="E66" s="23" t="n"/>
      <c r="F66" s="23" t="n"/>
      <c r="G66" s="30">
        <f>SUMIF($B$5:$B$54,$A66,$G$5:$G$54)</f>
        <v>2200.0</v>
      </c>
      <c r="H66" s="23" t="n"/>
      <c r="I66" s="23" t="n"/>
      <c r="J66" s="23" t="n"/>
      <c r="K66" s="23" t="n"/>
      <c r="L66" s="23" t="n"/>
    </row>
    <row r="67">
      <c r="A67" s="23" t="inlineStr">
        <is>
          <t>Petit menage</t>
        </is>
      </c>
      <c r="B67" s="23" t="n"/>
      <c r="C67" s="23" t="n"/>
      <c r="D67" s="23" t="n"/>
      <c r="E67" s="23" t="n"/>
      <c r="F67" s="23" t="n"/>
      <c r="G67" s="30">
        <f>SUMIF($B$5:$B$54,$A67,$G$5:$G$54)</f>
        <v>1200.0</v>
      </c>
      <c r="H67" s="23" t="n"/>
      <c r="I67" s="23" t="n"/>
      <c r="J67" s="23" t="n"/>
      <c r="K67" s="23" t="n"/>
      <c r="L67" s="23" t="n"/>
    </row>
    <row r="68">
      <c r="A68" s="23" t="inlineStr">
        <is>
          <t>Servicio vino</t>
        </is>
      </c>
      <c r="B68" s="23" t="n"/>
      <c r="C68" s="23" t="n"/>
      <c r="D68" s="23" t="n"/>
      <c r="E68" s="23" t="n"/>
      <c r="F68" s="23" t="n"/>
      <c r="G68" s="30">
        <f>SUMIF($B$5:$B$54,$A68,$G$5:$G$54)</f>
        <v>870.0</v>
      </c>
      <c r="H68" s="23" t="n"/>
      <c r="I68" s="23" t="n"/>
      <c r="J68" s="23" t="n"/>
      <c r="K68" s="23" t="n"/>
      <c r="L68" s="23" t="n"/>
    </row>
    <row r="69">
      <c r="A69" s="23" t="inlineStr">
        <is>
          <t>Cocina pase</t>
        </is>
      </c>
      <c r="B69" s="23" t="n"/>
      <c r="C69" s="23" t="n"/>
      <c r="D69" s="23" t="n"/>
      <c r="E69" s="23" t="n"/>
      <c r="F69" s="23" t="n"/>
      <c r="G69" s="30">
        <f>SUMIF($B$5:$B$54,$A69,$G$5:$G$54)</f>
        <v>760.0</v>
      </c>
      <c r="H69" s="23" t="n"/>
      <c r="I69" s="23" t="n"/>
      <c r="J69" s="23" t="n"/>
      <c r="K69" s="23" t="n"/>
      <c r="L69" s="23" t="n"/>
    </row>
    <row r="70">
      <c r="A70" s="23" t="inlineStr">
        <is>
          <t>Reposición</t>
        </is>
      </c>
      <c r="B70" s="23" t="n"/>
      <c r="C70" s="23" t="n"/>
      <c r="D70" s="23" t="n"/>
      <c r="E70" s="23" t="n"/>
      <c r="F70" s="23" t="n"/>
      <c r="G70" s="30">
        <f>SUMIF($B$5:$B$54,$A70,$G$5:$G$54)</f>
        <v>3000.0</v>
      </c>
      <c r="H70" s="23" t="n"/>
      <c r="I70" s="23" t="n"/>
      <c r="J70" s="23" t="n"/>
      <c r="K70" s="23" t="n"/>
      <c r="L70" s="23" t="n"/>
    </row>
    <row r="71">
      <c r="A71" s="23" t="n"/>
      <c r="B71" s="23" t="n"/>
      <c r="C71" s="23" t="n"/>
      <c r="D71" s="23" t="n"/>
      <c r="E71" s="23" t="n"/>
      <c r="F71" s="23" t="n"/>
      <c r="G71" s="23" t="n"/>
      <c r="H71" s="23" t="n"/>
      <c r="I71" s="23" t="n"/>
      <c r="J71" s="23" t="n"/>
      <c r="K71" s="23" t="n"/>
      <c r="L71" s="23" t="n"/>
    </row>
    <row r="72">
      <c r="A72" s="23" t="inlineStr">
        <is>
          <t>AI Chef Pro · aichef.pro — Restaurante Gastronómico</t>
        </is>
      </c>
    </row>
  </sheetData>
  <sheetProtection selectLockedCells="0" selectUnlockedCells="0" sheet="1" objects="0" insertRows="0" insertHyperlinks="1" autoFilter="1" scenarios="0" formatColumns="0" deleteColumns="1" insertColumns="1" pivotTables="1" deleteRows="1" formatCells="1" formatRows="0" sort="0"/>
  <autoFilter ref="A4:H4"/>
  <mergeCells count="3">
    <mergeCell ref="A72:L72"/>
    <mergeCell ref="A2:H2"/>
    <mergeCell ref="A1:H1"/>
  </mergeCells>
  <conditionalFormatting sqref="F5:F54">
    <cfRule type="cellIs" priority="2" operator="equal" dxfId="0" stopIfTrue="1">
      <formula>"Completado"</formula>
    </cfRule>
    <cfRule type="cellIs" priority="3" operator="equal" dxfId="1" stopIfTrue="1">
      <formula>"En Curso"</formula>
    </cfRule>
    <cfRule type="cellIs" priority="4" operator="equal" dxfId="2" stopIfTrue="1">
      <formula>"Pendiente"</formula>
    </cfRule>
  </conditionalFormatting>
  <conditionalFormatting sqref="G58">
    <cfRule type="expression" priority="4" dxfId="1" stopIfTrue="1">
      <formula>=AND(ISNUMBER(G58),G58&gt;0)</formula>
    </cfRule>
  </conditionalFormatting>
  <dataValidations count="3">
    <dataValidation sqref="E5 E6 E7 E8 E9 E10 E11 E12 E13 E14 E15 E16 E17 E18 E19 E20 E21 E22 E23 E24 E25 E26 E27 E28 E29 E30 E31 E32 E33 E34 E35 E36 E37 E38 E39 E40 E41 E42 E43 E44 E45 E46 E47 E48 E49 E50 E51 E52 E53 E54" showDropDown="0" showInputMessage="0" showErrorMessage="1" allowBlank="1" errorTitle="Fecha no válida" error="Escribe una fecha (dd/mm/aaaa) entre 2020 y 2040." type="date" operator="between">
      <formula1>DATE(2020,1,1)</formula1>
      <formula2>DATE(2040,12,31)</formula2>
    </dataValidation>
    <dataValidation sqref="F5 F6 F7 F8 F9 F10 F11 F12 F13 F14 F15 F16 F17 F18 F19 F20 F21 F22 F23 F24 F25 F26 F27 F28 F29 F30 F31 F32 F33 F34 F35 F36 F37 F38 F39 F40 F41 F42 F43 F44 F45 F46 F47 F48 F49 F50 F51 F52 F53 F54" showDropDown="0" showInputMessage="0" showErrorMessage="1" allowBlank="1" errorTitle="Valor no válido" error="Elige un valor de la lista: Pendiente, En Curso, Completado" type="list">
      <formula1>"Pendiente,En Curso,Completado"</formula1>
    </dataValidation>
    <dataValidation sqref="G5 G6 G7 G8 G9 G10 G11 G12 G13 G14 G15 G16 G17 G18 G19 G20 G21 G22 G23 G24 G25 G26 G27 G28 G29 G30 G31 G32 G33 G34 G35 G36 G37 G38 G39 G40 G41 G42 G43 G44 G45 G46 G47 G48 G49 G50 G51 G52 G53 G54 I5 I6 I7 I8 I9 I10 I11 I12 I13 I14 I15 I16 I17 I18 I19 I20 I21 I22 I23 I24 I25 I26 I27 I28 I29 I30 I31 I32 I33 I34 I35 I36 I37 I38 I39 I40 I41 I42 I43 I44 I45 I46 I47 I48 I49 I50 I51 I52 I53 I54"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Checklist Vajilla, Cristalería y Cubertería · Cómo Montar un Restaurante Gastronómico 65 Plazas · v2.0</dc:title>
  <dc:description xmlns:dc="http://purl.org/dc/elements/1.1/">aichef.pro/guia-restaurante-gastronomico</dc:description>
  <dc:subject xmlns:dc="http://purl.org/dc/elements/1.1/">Cómo Montar un Restaurante Gastronómico 65 Plazas · v2.0</dc:subject>
  <dcterms:created xmlns:dcterms="http://purl.org/dc/terms/" xmlns:xsi="http://www.w3.org/2001/XMLSchema-instance" xsi:type="dcterms:W3CDTF">2026-04-05T22:25:50Z</dcterms:created>
  <dcterms:modified xmlns:dcterms="http://purl.org/dc/terms/" xmlns:xsi="http://www.w3.org/2001/XMLSchema-instance" xsi:type="dcterms:W3CDTF">2026-08-29T08:34:22Z</dcterms:modified>
  <cp:lastModifiedBy>AI Chef Pro</cp:lastModifiedBy>
  <cp:category>AI Chef Pro · Productos digitales</cp:category>
  <cp:keywords>guia restaurante gastronomico, AI Chef Pro</cp:keywords>
</cp:coreProperties>
</file>