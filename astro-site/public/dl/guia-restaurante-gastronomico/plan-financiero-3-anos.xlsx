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rsión" sheetId="2" state="visible" r:id="rId2"/>
    <sheet xmlns:r="http://schemas.openxmlformats.org/officeDocument/2006/relationships" name="P&amp;L Mensu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1565C0"/>
      <sz val="11"/>
    </font>
    <font>
      <name val="Calibri"/>
      <b val="1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Plan Financiero 3 Años — Restaurante Gastronómico</t>
        </is>
      </c>
    </row>
    <row r="2">
      <c r="A2" s="2" t="inlineStr">
        <is>
          <t>AI Chef Pro · aichef.pro — Restaurante Gastronómico</t>
        </is>
      </c>
    </row>
    <row r="4">
      <c r="A4" s="3" t="inlineStr">
        <is>
          <t>Instrucciones de uso</t>
        </is>
      </c>
    </row>
    <row r="5">
      <c r="A5" s="4" t="inlineStr">
        <is>
          <t>1. Rellena las celdas verdes con tus datos de inversión y costes previstos.</t>
        </is>
      </c>
    </row>
    <row r="6">
      <c r="A6" s="4" t="inlineStr">
        <is>
          <t>2. Las fórmulas calcularán automáticamente P&amp;L, margen y proyección a 3 años.</t>
        </is>
      </c>
    </row>
    <row r="7">
      <c r="A7" s="4" t="inlineStr">
        <is>
          <t>3. La pestaña 'Inversión' desglosa el CAPEX por categoría.</t>
        </is>
      </c>
    </row>
    <row r="8">
      <c r="A8" s="4" t="inlineStr">
        <is>
          <t>4. La pestaña 'P&amp;L Mensual' calcula la cuenta de resultados mensual.</t>
        </is>
      </c>
    </row>
    <row r="9">
      <c r="A9" s="4" t="inlineStr">
        <is>
          <t>5. La pestaña 'Proyección 3 Años' extrapola con crecimiento anual.</t>
        </is>
      </c>
    </row>
    <row r="11">
      <c r="A11" s="5" t="inlineStr">
        <is>
          <t>Celdas verdes = campos editables</t>
        </is>
      </c>
    </row>
  </sheetData>
  <mergeCells count="2">
    <mergeCell ref="A2:C2"/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18" customWidth="1" min="3" max="3"/>
    <col width="18" customWidth="1" min="4" max="4"/>
    <col width="16" customWidth="1" min="5" max="5"/>
  </cols>
  <sheetData>
    <row r="1" ht="30" customHeight="1">
      <c r="A1" s="1" t="inlineStr">
        <is>
          <t>Inversión Inicial — CAPEX</t>
        </is>
      </c>
    </row>
    <row r="2">
      <c r="A2" s="2" t="inlineStr">
        <is>
          <t>AI Chef Pro · aichef.pro — Restaurante Gastronómico</t>
        </is>
      </c>
    </row>
    <row r="4">
      <c r="A4" s="6" t="inlineStr">
        <is>
          <t>#</t>
        </is>
      </c>
      <c r="B4" s="6" t="inlineStr">
        <is>
          <t>Concepto</t>
        </is>
      </c>
      <c r="C4" s="6" t="inlineStr">
        <is>
          <t>Presupuesto (€)</t>
        </is>
      </c>
      <c r="D4" s="6" t="inlineStr">
        <is>
          <t>Real (€)</t>
        </is>
      </c>
      <c r="E4" s="6" t="inlineStr">
        <is>
          <t>Desviación (%)</t>
        </is>
      </c>
    </row>
    <row r="5">
      <c r="A5" s="7" t="n">
        <v>1</v>
      </c>
      <c r="B5" s="8" t="inlineStr">
        <is>
          <t>Obra civil y reforma integral</t>
        </is>
      </c>
      <c r="C5" s="9" t="n"/>
      <c r="D5" s="9" t="n"/>
      <c r="E5" s="10">
        <f>IF(C5=0,0,(D5-C5)/C5)</f>
        <v/>
      </c>
    </row>
    <row r="6">
      <c r="A6" s="7" t="n">
        <v>2</v>
      </c>
      <c r="B6" s="8" t="inlineStr">
        <is>
          <t>Instalaciones (electricidad, fontanería, gas, ventilación)</t>
        </is>
      </c>
      <c r="C6" s="9" t="n"/>
      <c r="D6" s="9" t="n"/>
      <c r="E6" s="10">
        <f>IF(C6=0,0,(D6-C6)/C6)</f>
        <v/>
      </c>
    </row>
    <row r="7">
      <c r="A7" s="7" t="n">
        <v>3</v>
      </c>
      <c r="B7" s="8" t="inlineStr">
        <is>
          <t>Equipamiento cocina caliente</t>
        </is>
      </c>
      <c r="C7" s="9" t="n"/>
      <c r="D7" s="9" t="n"/>
      <c r="E7" s="10">
        <f>IF(C7=0,0,(D7-C7)/C7)</f>
        <v/>
      </c>
    </row>
    <row r="8">
      <c r="A8" s="7" t="n">
        <v>4</v>
      </c>
      <c r="B8" s="8" t="inlineStr">
        <is>
          <t>Equipamiento cocina fría</t>
        </is>
      </c>
      <c r="C8" s="9" t="n"/>
      <c r="D8" s="9" t="n"/>
      <c r="E8" s="10">
        <f>IF(C8=0,0,(D8-C8)/C8)</f>
        <v/>
      </c>
    </row>
    <row r="9">
      <c r="A9" s="7" t="n">
        <v>5</v>
      </c>
      <c r="B9" s="8" t="inlineStr">
        <is>
          <t>Pastelería y obrador</t>
        </is>
      </c>
      <c r="C9" s="9" t="n"/>
      <c r="D9" s="9" t="n"/>
      <c r="E9" s="10">
        <f>IF(C9=0,0,(D9-C9)/C9)</f>
        <v/>
      </c>
    </row>
    <row r="10">
      <c r="A10" s="7" t="n">
        <v>6</v>
      </c>
      <c r="B10" s="8" t="inlineStr">
        <is>
          <t>Zona de pase y expedición</t>
        </is>
      </c>
      <c r="C10" s="9" t="n"/>
      <c r="D10" s="9" t="n"/>
      <c r="E10" s="10">
        <f>IF(C10=0,0,(D10-C10)/C10)</f>
        <v/>
      </c>
    </row>
    <row r="11">
      <c r="A11" s="7" t="n">
        <v>7</v>
      </c>
      <c r="B11" s="8" t="inlineStr">
        <is>
          <t>Plonge y lavado</t>
        </is>
      </c>
      <c r="C11" s="9" t="n"/>
      <c r="D11" s="9" t="n"/>
      <c r="E11" s="10">
        <f>IF(C11=0,0,(D11-C11)/C11)</f>
        <v/>
      </c>
    </row>
    <row r="12">
      <c r="A12" s="7" t="n">
        <v>8</v>
      </c>
      <c r="B12" s="8" t="inlineStr">
        <is>
          <t>Almacenamiento y cámaras</t>
        </is>
      </c>
      <c r="C12" s="9" t="n"/>
      <c r="D12" s="9" t="n"/>
      <c r="E12" s="10">
        <f>IF(C12=0,0,(D12-C12)/C12)</f>
        <v/>
      </c>
    </row>
    <row r="13">
      <c r="A13" s="7" t="n">
        <v>9</v>
      </c>
      <c r="B13" s="8" t="inlineStr">
        <is>
          <t>Mobiliario sala (mesas, sillas, sofás)</t>
        </is>
      </c>
      <c r="C13" s="9" t="n"/>
      <c r="D13" s="9" t="n"/>
      <c r="E13" s="10">
        <f>IF(C13=0,0,(D13-C13)/C13)</f>
        <v/>
      </c>
    </row>
    <row r="14">
      <c r="A14" s="7" t="n">
        <v>10</v>
      </c>
      <c r="B14" s="8" t="inlineStr">
        <is>
          <t>Iluminación y decoración</t>
        </is>
      </c>
      <c r="C14" s="9" t="n"/>
      <c r="D14" s="9" t="n"/>
      <c r="E14" s="10">
        <f>IF(C14=0,0,(D14-C14)/C14)</f>
        <v/>
      </c>
    </row>
    <row r="15">
      <c r="A15" s="7" t="n">
        <v>11</v>
      </c>
      <c r="B15" s="8" t="inlineStr">
        <is>
          <t>Vajilla, cristalería, cubertería</t>
        </is>
      </c>
      <c r="C15" s="9" t="n"/>
      <c r="D15" s="9" t="n"/>
      <c r="E15" s="10">
        <f>IF(C15=0,0,(D15-C15)/C15)</f>
        <v/>
      </c>
    </row>
    <row r="16">
      <c r="A16" s="7" t="n">
        <v>12</v>
      </c>
      <c r="B16" s="8" t="inlineStr">
        <is>
          <t>Mantelería y textil</t>
        </is>
      </c>
      <c r="C16" s="9" t="n"/>
      <c r="D16" s="9" t="n"/>
      <c r="E16" s="10">
        <f>IF(C16=0,0,(D16-C16)/C16)</f>
        <v/>
      </c>
    </row>
    <row r="17">
      <c r="A17" s="7" t="n">
        <v>13</v>
      </c>
      <c r="B17" s="8" t="inlineStr">
        <is>
          <t>Bodega inicial (vinos)</t>
        </is>
      </c>
      <c r="C17" s="9" t="n"/>
      <c r="D17" s="9" t="n"/>
      <c r="E17" s="10">
        <f>IF(C17=0,0,(D17-C17)/C17)</f>
        <v/>
      </c>
    </row>
    <row r="18">
      <c r="A18" s="7" t="n">
        <v>14</v>
      </c>
      <c r="B18" s="8" t="inlineStr">
        <is>
          <t>Vitrina climatizada</t>
        </is>
      </c>
      <c r="C18" s="9" t="n"/>
      <c r="D18" s="9" t="n"/>
      <c r="E18" s="10">
        <f>IF(C18=0,0,(D18-C18)/C18)</f>
        <v/>
      </c>
    </row>
    <row r="19">
      <c r="A19" s="7" t="n">
        <v>15</v>
      </c>
      <c r="B19" s="8" t="inlineStr">
        <is>
          <t>TPV, software, tablets</t>
        </is>
      </c>
      <c r="C19" s="9" t="n"/>
      <c r="D19" s="9" t="n"/>
      <c r="E19" s="10">
        <f>IF(C19=0,0,(D19-C19)/C19)</f>
        <v/>
      </c>
    </row>
    <row r="20">
      <c r="A20" s="7" t="n">
        <v>16</v>
      </c>
      <c r="B20" s="8" t="inlineStr">
        <is>
          <t>Web, branding, diseño gráfico</t>
        </is>
      </c>
      <c r="C20" s="9" t="n"/>
      <c r="D20" s="9" t="n"/>
      <c r="E20" s="10">
        <f>IF(C20=0,0,(D20-C20)/C20)</f>
        <v/>
      </c>
    </row>
    <row r="21">
      <c r="A21" s="7" t="n">
        <v>17</v>
      </c>
      <c r="B21" s="8" t="inlineStr">
        <is>
          <t>Marketing de lanzamiento</t>
        </is>
      </c>
      <c r="C21" s="9" t="n"/>
      <c r="D21" s="9" t="n"/>
      <c r="E21" s="10">
        <f>IF(C21=0,0,(D21-C21)/C21)</f>
        <v/>
      </c>
    </row>
    <row r="22">
      <c r="A22" s="7" t="n">
        <v>18</v>
      </c>
      <c r="B22" s="8" t="inlineStr">
        <is>
          <t>Proyecto técnico y licencias</t>
        </is>
      </c>
      <c r="C22" s="9" t="n"/>
      <c r="D22" s="9" t="n"/>
      <c r="E22" s="10">
        <f>IF(C22=0,0,(D22-C22)/C22)</f>
        <v/>
      </c>
    </row>
    <row r="23">
      <c r="A23" s="7" t="n">
        <v>19</v>
      </c>
      <c r="B23" s="8" t="inlineStr">
        <is>
          <t>Seguros (primer año)</t>
        </is>
      </c>
      <c r="C23" s="9" t="n"/>
      <c r="D23" s="9" t="n"/>
      <c r="E23" s="10">
        <f>IF(C23=0,0,(D23-C23)/C23)</f>
        <v/>
      </c>
    </row>
    <row r="24">
      <c r="A24" s="7" t="n">
        <v>20</v>
      </c>
      <c r="B24" s="8" t="inlineStr">
        <is>
          <t>Stock inicial materias primas</t>
        </is>
      </c>
      <c r="C24" s="9" t="n"/>
      <c r="D24" s="9" t="n"/>
      <c r="E24" s="10">
        <f>IF(C24=0,0,(D24-C24)/C24)</f>
        <v/>
      </c>
    </row>
    <row r="25">
      <c r="A25" s="7" t="n">
        <v>21</v>
      </c>
      <c r="B25" s="8" t="inlineStr">
        <is>
          <t>Uniformes equipo</t>
        </is>
      </c>
      <c r="C25" s="9" t="n"/>
      <c r="D25" s="9" t="n"/>
      <c r="E25" s="10">
        <f>IF(C25=0,0,(D25-C25)/C25)</f>
        <v/>
      </c>
    </row>
    <row r="26">
      <c r="A26" s="7" t="n">
        <v>22</v>
      </c>
      <c r="B26" s="8" t="inlineStr">
        <is>
          <t>Fondo de maniobra (6 meses)</t>
        </is>
      </c>
      <c r="C26" s="9" t="n"/>
      <c r="D26" s="9" t="n"/>
      <c r="E26" s="10">
        <f>IF(C26=0,0,(D26-C26)/C26)</f>
        <v/>
      </c>
    </row>
    <row r="27">
      <c r="B27" s="11" t="inlineStr">
        <is>
          <t>TOTAL</t>
        </is>
      </c>
      <c r="C27" s="12">
        <f>SUM(C5:C26)</f>
        <v/>
      </c>
      <c r="D27" s="12">
        <f>SUM(D5:D26)</f>
        <v/>
      </c>
      <c r="E27" s="10">
        <f>IF(C27=0,0,(D27-C27)/C27)</f>
        <v/>
      </c>
    </row>
    <row r="29">
      <c r="A29" s="13" t="inlineStr">
        <is>
          <t>AI Chef Pro · aichef.pro — Restaurante Gastronómico</t>
        </is>
      </c>
    </row>
  </sheetData>
  <mergeCells count="3">
    <mergeCell ref="A29:E29"/>
    <mergeCell ref="A1:E1"/>
    <mergeCell ref="A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30" customWidth="1" min="4" max="4"/>
  </cols>
  <sheetData>
    <row r="1" ht="30" customHeight="1">
      <c r="A1" s="1" t="inlineStr">
        <is>
          <t>Cuenta de Resultados Mensual</t>
        </is>
      </c>
    </row>
    <row r="2">
      <c r="A2" s="2" t="inlineStr">
        <is>
          <t>AI Chef Pro · aichef.pro — Restaurante Gastronómico</t>
        </is>
      </c>
    </row>
    <row r="4">
      <c r="A4" s="6" t="inlineStr">
        <is>
          <t>Concepto</t>
        </is>
      </c>
      <c r="B4" s="6" t="inlineStr">
        <is>
          <t>Importe (€)</t>
        </is>
      </c>
      <c r="C4" s="6" t="inlineStr">
        <is>
          <t>% s/Ventas</t>
        </is>
      </c>
      <c r="D4" s="6" t="inlineStr">
        <is>
          <t>Notas</t>
        </is>
      </c>
    </row>
    <row r="5">
      <c r="A5" s="11" t="inlineStr">
        <is>
          <t>INGRESOS</t>
        </is>
      </c>
      <c r="D5" s="14" t="n"/>
    </row>
    <row r="6">
      <c r="A6" s="8" t="inlineStr">
        <is>
          <t>Comidas (cubiertos × ticket medio)</t>
        </is>
      </c>
      <c r="B6" s="9" t="n"/>
      <c r="C6" s="10">
        <f>IF($B$10=0,0,B6/$B$10)</f>
        <v/>
      </c>
      <c r="D6" s="14" t="n"/>
    </row>
    <row r="7">
      <c r="A7" s="8" t="inlineStr">
        <is>
          <t>Cenas (cubiertos × ticket medio)</t>
        </is>
      </c>
      <c r="B7" s="9" t="n"/>
      <c r="C7" s="10">
        <f>IF($B$10=0,0,B7/$B$10)</f>
        <v/>
      </c>
      <c r="D7" s="14" t="n"/>
    </row>
    <row r="8">
      <c r="A8" s="8" t="inlineStr">
        <is>
          <t>Vinos y bebidas</t>
        </is>
      </c>
      <c r="B8" s="9" t="n"/>
      <c r="C8" s="10">
        <f>IF($B$10=0,0,B8/$B$10)</f>
        <v/>
      </c>
      <c r="D8" s="14" t="n"/>
    </row>
    <row r="9">
      <c r="A9" s="8" t="inlineStr">
        <is>
          <t>Eventos privados / chef's table</t>
        </is>
      </c>
      <c r="B9" s="9" t="n"/>
      <c r="C9" s="10">
        <f>IF($B$10=0,0,B9/$B$10)</f>
        <v/>
      </c>
      <c r="D9" s="14" t="n"/>
    </row>
    <row r="10">
      <c r="A10" s="11" t="inlineStr">
        <is>
          <t>TOTAL INGRESOS</t>
        </is>
      </c>
      <c r="B10" s="12">
        <f>SUM(B6:B9)</f>
        <v/>
      </c>
      <c r="C10" s="10">
        <f>IF($B$10=0,0,B10/$B$10)</f>
        <v/>
      </c>
      <c r="D10" s="14" t="n"/>
    </row>
    <row r="11">
      <c r="A11" s="8" t="inlineStr"/>
      <c r="D11" s="14" t="n"/>
    </row>
    <row r="12">
      <c r="A12" s="11" t="inlineStr">
        <is>
          <t>COSTES VARIABLES</t>
        </is>
      </c>
      <c r="D12" s="14" t="n"/>
    </row>
    <row r="13">
      <c r="A13" s="8" t="inlineStr">
        <is>
          <t>Materia prima (food cost)</t>
        </is>
      </c>
      <c r="B13" s="9" t="n"/>
      <c r="C13" s="10">
        <f>IF($B$10=0,0,B13/$B$10)</f>
        <v/>
      </c>
      <c r="D13" s="14" t="n"/>
    </row>
    <row r="14">
      <c r="A14" s="8" t="inlineStr">
        <is>
          <t>Bebidas (coste bodega)</t>
        </is>
      </c>
      <c r="B14" s="9" t="n"/>
      <c r="C14" s="10">
        <f>IF($B$10=0,0,B14/$B$10)</f>
        <v/>
      </c>
      <c r="D14" s="14" t="n"/>
    </row>
    <row r="15">
      <c r="A15" s="11" t="inlineStr">
        <is>
          <t>TOTAL COSTES VARIABLES</t>
        </is>
      </c>
      <c r="B15" s="12">
        <f>SUM(B13:B14)</f>
        <v/>
      </c>
      <c r="C15" s="10">
        <f>IF($B$10=0,0,B15/$B$10)</f>
        <v/>
      </c>
      <c r="D15" s="14" t="n"/>
    </row>
    <row r="16">
      <c r="A16" s="8" t="inlineStr"/>
      <c r="D16" s="14" t="n"/>
    </row>
    <row r="17">
      <c r="A17" s="11" t="inlineStr">
        <is>
          <t>MARGEN BRUTO</t>
        </is>
      </c>
      <c r="B17" s="12">
        <f>B10-B15</f>
        <v/>
      </c>
      <c r="C17" s="10">
        <f>IF($B$10=0,0,B17/$B$10)</f>
        <v/>
      </c>
      <c r="D17" s="14" t="n"/>
    </row>
    <row r="18">
      <c r="A18" s="8" t="inlineStr"/>
      <c r="D18" s="14" t="n"/>
    </row>
    <row r="19">
      <c r="A19" s="11" t="inlineStr">
        <is>
          <t>COSTES FIJOS</t>
        </is>
      </c>
      <c r="D19" s="14" t="n"/>
    </row>
    <row r="20">
      <c r="A20" s="8" t="inlineStr">
        <is>
          <t>Personal cocina</t>
        </is>
      </c>
      <c r="B20" s="9" t="n"/>
      <c r="C20" s="10">
        <f>IF($B$10=0,0,B20/$B$10)</f>
        <v/>
      </c>
      <c r="D20" s="14" t="n"/>
    </row>
    <row r="21">
      <c r="A21" s="8" t="inlineStr">
        <is>
          <t>Personal sala</t>
        </is>
      </c>
      <c r="B21" s="9" t="n"/>
      <c r="C21" s="10">
        <f>IF($B$10=0,0,B21/$B$10)</f>
        <v/>
      </c>
      <c r="D21" s="14" t="n"/>
    </row>
    <row r="22">
      <c r="A22" s="8" t="inlineStr">
        <is>
          <t>Alquiler</t>
        </is>
      </c>
      <c r="B22" s="9" t="n"/>
      <c r="C22" s="10">
        <f>IF($B$10=0,0,B22/$B$10)</f>
        <v/>
      </c>
      <c r="D22" s="14" t="n"/>
    </row>
    <row r="23">
      <c r="A23" s="8" t="inlineStr">
        <is>
          <t>Suministros (luz, gas, agua)</t>
        </is>
      </c>
      <c r="B23" s="9" t="n"/>
      <c r="C23" s="10">
        <f>IF($B$10=0,0,B23/$B$10)</f>
        <v/>
      </c>
      <c r="D23" s="14" t="n"/>
    </row>
    <row r="24">
      <c r="A24" s="8" t="inlineStr">
        <is>
          <t>Seguros</t>
        </is>
      </c>
      <c r="B24" s="9" t="n"/>
      <c r="C24" s="10">
        <f>IF($B$10=0,0,B24/$B$10)</f>
        <v/>
      </c>
      <c r="D24" s="14" t="n"/>
    </row>
    <row r="25">
      <c r="A25" s="8" t="inlineStr">
        <is>
          <t>Marketing</t>
        </is>
      </c>
      <c r="B25" s="9" t="n"/>
      <c r="C25" s="10">
        <f>IF($B$10=0,0,B25/$B$10)</f>
        <v/>
      </c>
      <c r="D25" s="14" t="n"/>
    </row>
    <row r="26">
      <c r="A26" s="8" t="inlineStr">
        <is>
          <t>Tecnología y software</t>
        </is>
      </c>
      <c r="B26" s="9" t="n"/>
      <c r="C26" s="10">
        <f>IF($B$10=0,0,B26/$B$10)</f>
        <v/>
      </c>
      <c r="D26" s="14" t="n"/>
    </row>
    <row r="27">
      <c r="A27" s="8" t="inlineStr">
        <is>
          <t>Mantenimiento y reparaciones</t>
        </is>
      </c>
      <c r="B27" s="9" t="n"/>
      <c r="C27" s="10">
        <f>IF($B$10=0,0,B27/$B$10)</f>
        <v/>
      </c>
      <c r="D27" s="14" t="n"/>
    </row>
    <row r="28">
      <c r="A28" s="8" t="inlineStr">
        <is>
          <t>Limpieza externa</t>
        </is>
      </c>
      <c r="B28" s="9" t="n"/>
      <c r="C28" s="10">
        <f>IF($B$10=0,0,B28/$B$10)</f>
        <v/>
      </c>
      <c r="D28" s="14" t="n"/>
    </row>
    <row r="29">
      <c r="A29" s="8" t="inlineStr">
        <is>
          <t>Asesoría y gestoría</t>
        </is>
      </c>
      <c r="B29" s="9" t="n"/>
      <c r="C29" s="10">
        <f>IF($B$10=0,0,B29/$B$10)</f>
        <v/>
      </c>
      <c r="D29" s="14" t="n"/>
    </row>
    <row r="30">
      <c r="A30" s="8" t="inlineStr">
        <is>
          <t>Amortización equipamiento</t>
        </is>
      </c>
      <c r="B30" s="9" t="n"/>
      <c r="C30" s="10">
        <f>IF($B$10=0,0,B30/$B$10)</f>
        <v/>
      </c>
      <c r="D30" s="14" t="n"/>
    </row>
    <row r="31">
      <c r="A31" s="8" t="inlineStr">
        <is>
          <t>Otros gastos fijos</t>
        </is>
      </c>
      <c r="B31" s="9" t="n"/>
      <c r="C31" s="10">
        <f>IF($B$10=0,0,B31/$B$10)</f>
        <v/>
      </c>
      <c r="D31" s="14" t="n"/>
    </row>
    <row r="32">
      <c r="A32" s="11" t="inlineStr">
        <is>
          <t>TOTAL COSTES FIJOS</t>
        </is>
      </c>
      <c r="B32" s="12">
        <f>SUM(B20:B31)</f>
        <v/>
      </c>
      <c r="C32" s="10">
        <f>IF($B$10=0,0,B32/$B$10)</f>
        <v/>
      </c>
      <c r="D32" s="14" t="n"/>
    </row>
    <row r="33">
      <c r="A33" s="8" t="inlineStr"/>
      <c r="D33" s="14" t="n"/>
    </row>
    <row r="34">
      <c r="A34" s="11" t="inlineStr">
        <is>
          <t>EBITDA</t>
        </is>
      </c>
      <c r="B34" s="12">
        <f>B17-B32</f>
        <v/>
      </c>
      <c r="C34" s="10">
        <f>IF($B$10=0,0,B34/$B$10)</f>
        <v/>
      </c>
      <c r="D34" s="14" t="n"/>
    </row>
    <row r="35">
      <c r="A35" s="11" t="inlineStr">
        <is>
          <t>Margen EBITDA</t>
        </is>
      </c>
      <c r="B35" s="12">
        <f>IF(B10=0,0,B34/B10)</f>
        <v/>
      </c>
      <c r="C35" s="10">
        <f>IF($B$10=0,0,B35/$B$10)</f>
        <v/>
      </c>
      <c r="D35" s="14" t="n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2026-04-05T22:25:49Z</dcterms:modified>
</cp:coreProperties>
</file>