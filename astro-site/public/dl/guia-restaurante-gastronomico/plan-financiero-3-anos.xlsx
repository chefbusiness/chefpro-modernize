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Inversión" sheetId="2" state="visible" r:id="rId2"/>
    <sheet xmlns:r="http://schemas.openxmlformats.org/officeDocument/2006/relationships" name="P&amp;L Mensual" sheetId="3" state="visible" r:id="rId3"/>
    <sheet xmlns:r="http://schemas.openxmlformats.org/officeDocument/2006/relationships" name="Proyección 3 Años" sheetId="4" state="visible" r:id="rId4"/>
    <sheet xmlns:r="http://schemas.openxmlformats.org/officeDocument/2006/relationships" name="Financiación" sheetId="5" state="visible" r:id="rId5"/>
  </sheets>
  <definedNames>
    <definedName name="_xlnm.Print_Titles" localSheetId="1">'Inversión'!$4:$4</definedName>
    <definedName name="_xlnm.Print_Titles" localSheetId="2">'P&amp;L Mensual'!$4:$4</definedName>
  </definedNames>
  <calcPr calcId="124519" fullCalcOnLoad="1"/>
</workbook>
</file>

<file path=xl/styles.xml><?xml version="1.0" encoding="utf-8"?>
<styleSheet xmlns="http://schemas.openxmlformats.org/spreadsheetml/2006/main">
  <numFmts count="3">
    <numFmt numFmtId="164" formatCode="#,##0.00 €"/>
    <numFmt numFmtId="165" formatCode="0.0%"/>
    <numFmt numFmtId="166" formatCode="0.000%"/>
  </numFmts>
  <fonts count="15">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name val="Calibri"/>
      <b val="1"/>
      <sz val="11"/>
    </font>
    <font>
      <name val="Calibri"/>
      <i val="1"/>
      <color rgb="00888888"/>
      <sz val="9"/>
    </font>
    <font>
      <i val="1"/>
      <sz val="9"/>
    </font>
    <font>
      <b val="1"/>
      <color rgb="001565C0"/>
      <sz val="11"/>
    </font>
    <font>
      <b val="1"/>
      <color theme="1"/>
      <sz val="11"/>
    </font>
    <font/>
    <font>
      <b val="1"/>
      <sz val="14"/>
    </font>
    <font>
      <b val="1"/>
      <color rgb="00FFFFFF"/>
      <sz val="10"/>
    </font>
  </fonts>
  <fills count="6">
    <fill>
      <patternFill/>
    </fill>
    <fill>
      <patternFill patternType="gray125"/>
    </fill>
    <fill>
      <patternFill patternType="solid">
        <fgColor rgb="00E8F5E9"/>
        <bgColor rgb="00E8F5E9"/>
      </patternFill>
    </fill>
    <fill>
      <patternFill patternType="solid">
        <fgColor rgb="002D2D2D"/>
        <bgColor rgb="002D2D2D"/>
      </patternFill>
    </fill>
    <fill>
      <patternFill patternType="solid">
        <fgColor rgb="00E8F5E9"/>
      </patternFill>
    </fill>
    <fill>
      <patternFill patternType="solid">
        <f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2" borderId="1" applyAlignment="1" pivotButton="0" quotePrefix="0" xfId="0">
      <alignment horizontal="left" vertical="center" wrapText="1"/>
    </xf>
    <xf numFmtId="165" fontId="6" fillId="0" borderId="1" applyAlignment="1" pivotButton="0" quotePrefix="0" xfId="0">
      <alignment horizontal="center" vertical="center" wrapText="1"/>
    </xf>
    <xf numFmtId="0" fontId="7" fillId="0" borderId="1" applyAlignment="1" pivotButton="0" quotePrefix="0" xfId="0">
      <alignment horizontal="left" vertical="center" wrapText="1"/>
    </xf>
    <xf numFmtId="164" fontId="6" fillId="0" borderId="1" applyAlignment="1" pivotButton="0" quotePrefix="0" xfId="0">
      <alignment horizontal="left" vertical="center" wrapText="1"/>
    </xf>
    <xf numFmtId="0" fontId="8"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0" applyProtection="1" pivotButton="0" quotePrefix="0" xfId="0">
      <protection locked="0" hidden="0"/>
    </xf>
    <xf numFmtId="0" fontId="4" fillId="2" borderId="0" applyAlignment="1" applyProtection="1" pivotButton="0" quotePrefix="0" xfId="0">
      <alignment horizontal="left" vertical="top"/>
      <protection locked="0" hidden="0"/>
    </xf>
    <xf numFmtId="0" fontId="14" fillId="5" borderId="0" applyAlignment="1" pivotButton="0" quotePrefix="0" xfId="0">
      <alignment horizontal="center" wrapText="1"/>
    </xf>
    <xf numFmtId="164" fontId="4" fillId="4" borderId="1" applyAlignment="1" applyProtection="1" pivotButton="0" quotePrefix="0" xfId="0">
      <alignment horizontal="left" vertical="center" wrapText="1"/>
      <protection locked="0" hidden="0"/>
    </xf>
    <xf numFmtId="164" fontId="4" fillId="2" borderId="1" applyAlignment="1" applyProtection="1" pivotButton="0" quotePrefix="0" xfId="0">
      <alignment horizontal="left" vertical="center" wrapText="1"/>
      <protection locked="0" hidden="0"/>
    </xf>
    <xf numFmtId="164" fontId="4" fillId="0" borderId="1" applyAlignment="1" pivotButton="0" quotePrefix="0" xfId="0">
      <alignment horizontal="left" vertical="center" wrapText="1"/>
    </xf>
    <xf numFmtId="164" fontId="10" fillId="0" borderId="1" applyAlignment="1" pivotButton="0" quotePrefix="0" xfId="0">
      <alignment horizontal="left" vertical="center" wrapText="1"/>
    </xf>
    <xf numFmtId="164" fontId="0" fillId="0" borderId="0" pivotButton="0" quotePrefix="0" xfId="0"/>
    <xf numFmtId="165" fontId="0" fillId="0" borderId="0" pivotButton="0" quotePrefix="0" xfId="0"/>
    <xf numFmtId="0" fontId="11" fillId="0" borderId="0" pivotButton="0" quotePrefix="0" xfId="0"/>
    <xf numFmtId="3" fontId="0" fillId="0" borderId="0" pivotButton="0" quotePrefix="0" xfId="0"/>
    <xf numFmtId="3" fontId="0" fillId="4" borderId="0" applyProtection="1" pivotButton="0" quotePrefix="0" xfId="0">
      <protection locked="0" hidden="0"/>
    </xf>
    <xf numFmtId="164" fontId="11" fillId="0" borderId="0" pivotButton="0" quotePrefix="0" xfId="0"/>
    <xf numFmtId="0" fontId="9" fillId="0" borderId="0" applyAlignment="1" pivotButton="0" quotePrefix="0" xfId="0">
      <alignment horizontal="general" vertical="top" wrapText="1"/>
    </xf>
    <xf numFmtId="0" fontId="9" fillId="0" borderId="0" pivotButton="0" quotePrefix="0" xfId="0"/>
    <xf numFmtId="0" fontId="4" fillId="2" borderId="1" applyAlignment="1" applyProtection="1" pivotButton="0" quotePrefix="0" xfId="0">
      <alignment horizontal="left" vertical="center" wrapText="1"/>
      <protection locked="0" hidden="0"/>
    </xf>
    <xf numFmtId="0" fontId="9" fillId="2" borderId="1" applyAlignment="1" applyProtection="1" pivotButton="0" quotePrefix="0" xfId="0">
      <alignment horizontal="general" vertical="top" wrapText="1"/>
      <protection locked="0" hidden="0"/>
    </xf>
    <xf numFmtId="165" fontId="6" fillId="0" borderId="1" applyAlignment="1" pivotButton="0" quotePrefix="0" xfId="0">
      <alignment horizontal="left" vertical="center" wrapText="1"/>
    </xf>
    <xf numFmtId="165" fontId="12" fillId="0" borderId="1" pivotButton="0" quotePrefix="0" xfId="0"/>
    <xf numFmtId="0" fontId="13" fillId="0" borderId="0" pivotButton="0" quotePrefix="0" xfId="0"/>
    <xf numFmtId="0" fontId="14" fillId="5" borderId="0" applyAlignment="1" pivotButton="0" quotePrefix="0" xfId="0">
      <alignment horizontal="center" vertical="center" wrapText="1"/>
    </xf>
    <xf numFmtId="165" fontId="0" fillId="4" borderId="0" applyProtection="1" pivotButton="0" quotePrefix="0" xfId="0">
      <protection locked="0" hidden="0"/>
    </xf>
    <xf numFmtId="164" fontId="0" fillId="4" borderId="0" applyProtection="1" pivotButton="0" quotePrefix="0" xfId="0">
      <protection locked="0" hidden="0"/>
    </xf>
    <xf numFmtId="166" fontId="0" fillId="0"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26"/>
  <sheetViews>
    <sheetView workbookViewId="0">
      <selection activeCell="A1" sqref="A1"/>
    </sheetView>
  </sheetViews>
  <sheetFormatPr baseColWidth="8" defaultRowHeight="15"/>
  <cols>
    <col width="80" customWidth="1" min="1" max="1"/>
  </cols>
  <sheetData>
    <row r="1" ht="30" customHeight="1">
      <c r="A1" s="1" t="inlineStr">
        <is>
          <t>Plan Financiero 3 Años — Restaurante Gastronómico</t>
        </is>
      </c>
    </row>
    <row r="2">
      <c r="A2" s="2" t="inlineStr">
        <is>
          <t>AI Chef Pro · aichef.pro — Restaurante Gastronómico</t>
        </is>
      </c>
    </row>
    <row r="3"/>
    <row r="4">
      <c r="A4" s="3" t="inlineStr">
        <is>
          <t>Instrucciones de uso</t>
        </is>
      </c>
    </row>
    <row r="5">
      <c r="A5" s="4" t="inlineStr">
        <is>
          <t>1. Rellena las celdas verdes con tus datos de inversión y costes previstos.</t>
        </is>
      </c>
    </row>
    <row r="6">
      <c r="A6" s="4" t="inlineStr">
        <is>
          <t>2. Las fórmulas calcularán automáticamente P&amp;L, margen y proyección a 3 años.</t>
        </is>
      </c>
    </row>
    <row r="7">
      <c r="A7" s="4" t="inlineStr">
        <is>
          <t>3. La pestaña 'Inversión' desglosa el CAPEX por categoría.</t>
        </is>
      </c>
    </row>
    <row r="8">
      <c r="A8" s="4" t="inlineStr">
        <is>
          <t>4. La pestaña 'P&amp;L Mensual' calcula la cuenta de resultados mensual.</t>
        </is>
      </c>
    </row>
    <row r="9">
      <c r="A9" s="4" t="inlineStr">
        <is>
          <t>5. La pestaña 'Proyección 3 Años' extrapola con crecimiento anual.</t>
        </is>
      </c>
    </row>
    <row r="10"/>
    <row r="11">
      <c r="A11" s="15" t="inlineStr">
        <is>
          <t>Celdas verdes = campos editables</t>
        </is>
      </c>
    </row>
    <row r="12"/>
    <row r="13">
      <c r="A13" s="15" t="n"/>
    </row>
    <row r="14"/>
    <row r="15">
      <c r="A15" s="15" t="inlineStr">
        <is>
          <t>La pestaña «Proyección 3 Años» ya existe: el Año 1 sale del P&amp;L Mensual por referencia, corregido por la rampa de arranque de sus dos celdas verdes (los mismos meses que modela cash-flow-break-even.xlsx, así que las dos facturaciones del año 1 coinciden); los años 2 y 3 salen de los dos porcentajes verdes sobre el ritmo de crucero.</t>
        </is>
      </c>
    </row>
    <row r="16"/>
    <row r="17">
      <c r="A17" s="15" t="inlineStr">
        <is>
          <t>La columna «Real (€)» de esta hoja «Inversión» se entrega VACÍA a propósito: es donde vas anotando lo que pagas de verdad, y por eso su fila TOTAL aparece en blanco hasta que escribas la primera cifra (el libro nunca escribe un 0 donde no hay dato). La «Desviación (%)» se enciende sola en cuanto haya un Real.</t>
        </is>
      </c>
    </row>
    <row r="18"/>
    <row r="19">
      <c r="A19" s="15" t="inlineStr">
        <is>
          <t>La pestaña «Financiación» calcula la cuota del préstamo y su cuadro de amortización; sus intereses alimentan la proyección y su cuota mensual se repite en cash-flow-break-even.xlsx.</t>
        </is>
      </c>
    </row>
    <row r="20"/>
    <row r="21">
      <c r="A21" s="15" t="inlineStr">
        <is>
          <t>Fuente de cada cifra: esta hoja «Inversión» es TU CAPEX (el que va al banco). calculadora-capex.xlsx es la hoja de RANGOS DE MERCADO, con el desglose por categorías; la última columna de «Inversión» dice a qué categoría suya corresponde cada concepto. La NECESIDAD TOTAL de esta hoja (CAPEX + preapertura + fondo de maniobra) tiene que caber en el rango de aquella: sus filas de preapertura y fondo de maniobra llegan con esta misma cifra de ejemplo.</t>
        </is>
      </c>
    </row>
    <row r="22"/>
    <row r="23">
      <c r="A23" s="16" t="inlineStr">
        <is>
          <t>Todas las cifras van SIN IVA. En el cash flow también se escriben sin IVA: su capa de IVA (modelo 303) lo añade aparte, porque la tesorería es caja.</t>
        </is>
      </c>
    </row>
    <row r="24">
      <c r="A24" s="16" t="inlineStr">
        <is>
          <t>Para editar la estructura o una celda que no esté en verde: Revisar → Desproteger hoja (no tiene contraseña).</t>
        </is>
      </c>
    </row>
    <row r="25">
      <c r="A25" s="16" t="inlineStr">
        <is>
          <t>Diseñado por John Guerrero — chef y consultor gastronómico desde 2010, en cocina desde los 17 años · johnguerrero.es</t>
        </is>
      </c>
    </row>
    <row r="26">
      <c r="A26" s="16" t="inlineStr">
        <is>
          <t>Versión 2.0 · agosto 2026 · aichef.pro/guia-restaurante-gastronomico · info@aichef.pro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47"/>
  <sheetViews>
    <sheetView workbookViewId="0">
      <pane ySplit="4" topLeftCell="A5" activePane="bottomLeft" state="frozen"/>
      <selection pane="bottomLeft" activeCell="A1" sqref="A1"/>
    </sheetView>
  </sheetViews>
  <sheetFormatPr baseColWidth="8" defaultRowHeight="15"/>
  <cols>
    <col width="6" customWidth="1" min="1" max="1"/>
    <col width="60" customWidth="1" min="2" max="2"/>
    <col width="18" customWidth="1" min="3" max="3"/>
    <col width="18" customWidth="1" min="4" max="4"/>
    <col width="16" customWidth="1" min="5" max="5"/>
    <col width="34" customWidth="1" min="6" max="6"/>
  </cols>
  <sheetData>
    <row r="1" ht="30" customHeight="1">
      <c r="A1" s="1" t="inlineStr">
        <is>
          <t>Inversión Inicial — CAPEX</t>
        </is>
      </c>
    </row>
    <row r="2">
      <c r="A2" s="2" t="inlineStr">
        <is>
          <t>AI Chef Pro · aichef.pro — Restaurante Gastronómico</t>
        </is>
      </c>
    </row>
    <row r="3"/>
    <row r="4">
      <c r="A4" s="6" t="inlineStr">
        <is>
          <t>#</t>
        </is>
      </c>
      <c r="B4" s="6" t="inlineStr">
        <is>
          <t>Concepto</t>
        </is>
      </c>
      <c r="C4" s="6" t="inlineStr">
        <is>
          <t>Presupuesto (€)</t>
        </is>
      </c>
      <c r="D4" s="6" t="inlineStr">
        <is>
          <t>Real (€)</t>
        </is>
      </c>
      <c r="E4" s="6" t="inlineStr">
        <is>
          <t>Desviación (%)</t>
        </is>
      </c>
      <c r="F4" s="17" t="inlineStr">
        <is>
          <t>Categoría equivalente en calculadora-capex.xlsx</t>
        </is>
      </c>
    </row>
    <row r="5">
      <c r="A5" s="7" t="n">
        <v>1</v>
      </c>
      <c r="B5" s="8" t="inlineStr">
        <is>
          <t>Obra civil y reforma integral</t>
        </is>
      </c>
      <c r="C5" s="18" t="n">
        <v>250000</v>
      </c>
      <c r="D5" s="19" t="n"/>
      <c r="E5" s="10">
        <f>IF(D5="","",IFERROR((D5-C5)/C5,""))</f>
        <v/>
      </c>
      <c r="F5" t="inlineStr">
        <is>
          <t>Obra civil y reforma integral</t>
        </is>
      </c>
    </row>
    <row r="6">
      <c r="A6" s="7" t="n">
        <v>2</v>
      </c>
      <c r="B6" s="8" t="inlineStr">
        <is>
          <t>Instalaciones (electricidad, fontanería, gas, ventilación)</t>
        </is>
      </c>
      <c r="C6" s="18" t="n">
        <v>60000</v>
      </c>
      <c r="D6" s="19" t="n"/>
      <c r="E6" s="10">
        <f>IF(D6="","",IFERROR((D6-C6)/C6,""))</f>
        <v/>
      </c>
      <c r="F6" t="inlineStr">
        <is>
          <t>Obra civil y reforma integral</t>
        </is>
      </c>
    </row>
    <row r="7">
      <c r="A7" s="7" t="n">
        <v>3</v>
      </c>
      <c r="B7" s="8" t="inlineStr">
        <is>
          <t>Equipamiento cocina caliente</t>
        </is>
      </c>
      <c r="C7" s="18" t="n">
        <v>78000</v>
      </c>
      <c r="D7" s="19" t="n"/>
      <c r="E7" s="10">
        <f>IF(D7="","",IFERROR((D7-C7)/C7,""))</f>
        <v/>
      </c>
      <c r="F7" t="inlineStr">
        <is>
          <t>Equipamiento cocina profesional</t>
        </is>
      </c>
    </row>
    <row r="8">
      <c r="A8" s="7" t="n">
        <v>4</v>
      </c>
      <c r="B8" s="8" t="inlineStr">
        <is>
          <t>Equipamiento cocina fría</t>
        </is>
      </c>
      <c r="C8" s="18" t="n">
        <v>42000</v>
      </c>
      <c r="D8" s="19" t="n"/>
      <c r="E8" s="10">
        <f>IF(D8="","",IFERROR((D8-C8)/C8,""))</f>
        <v/>
      </c>
      <c r="F8" t="inlineStr">
        <is>
          <t>Equipamiento cocina profesional</t>
        </is>
      </c>
    </row>
    <row r="9">
      <c r="A9" s="7" t="n">
        <v>5</v>
      </c>
      <c r="B9" s="8" t="inlineStr">
        <is>
          <t>Pastelería y obrador</t>
        </is>
      </c>
      <c r="C9" s="18" t="n">
        <v>14000</v>
      </c>
      <c r="D9" s="19" t="n"/>
      <c r="E9" s="10">
        <f>IF(D9="","",IFERROR((D9-C9)/C9,""))</f>
        <v/>
      </c>
      <c r="F9" t="inlineStr">
        <is>
          <t>Equipamiento cocina profesional</t>
        </is>
      </c>
    </row>
    <row r="10">
      <c r="A10" s="7" t="n">
        <v>6</v>
      </c>
      <c r="B10" s="8" t="inlineStr">
        <is>
          <t>Zona de pase y expedición</t>
        </is>
      </c>
      <c r="C10" s="18" t="n">
        <v>8000</v>
      </c>
      <c r="D10" s="19" t="n"/>
      <c r="E10" s="10">
        <f>IF(D10="","",IFERROR((D10-C10)/C10,""))</f>
        <v/>
      </c>
      <c r="F10" t="inlineStr">
        <is>
          <t>Equipamiento cocina profesional</t>
        </is>
      </c>
    </row>
    <row r="11">
      <c r="A11" s="7" t="n">
        <v>7</v>
      </c>
      <c r="B11" s="8" t="inlineStr">
        <is>
          <t>Plonge y lavado</t>
        </is>
      </c>
      <c r="C11" s="18" t="n">
        <v>6430.4</v>
      </c>
      <c r="D11" s="19" t="n"/>
      <c r="E11" s="10">
        <f>IF(D11="","",IFERROR((D11-C11)/C11,""))</f>
        <v/>
      </c>
      <c r="F11" t="inlineStr">
        <is>
          <t>Equipamiento cocina profesional</t>
        </is>
      </c>
    </row>
    <row r="12">
      <c r="A12" s="7" t="n">
        <v>8</v>
      </c>
      <c r="B12" s="8" t="inlineStr">
        <is>
          <t>Almacenamiento y cámaras</t>
        </is>
      </c>
      <c r="C12" s="18" t="n">
        <v>13000</v>
      </c>
      <c r="D12" s="19" t="n"/>
      <c r="E12" s="10">
        <f>IF(D12="","",IFERROR((D12-C12)/C12,""))</f>
        <v/>
      </c>
      <c r="F12" t="inlineStr">
        <is>
          <t>Equipamiento cocina profesional</t>
        </is>
      </c>
    </row>
    <row r="13">
      <c r="A13" s="7" t="n">
        <v>9</v>
      </c>
      <c r="B13" s="8" t="inlineStr">
        <is>
          <t>Mobiliario sala (mesas, sillas, sofás)</t>
        </is>
      </c>
      <c r="C13" s="18" t="n">
        <v>62000</v>
      </c>
      <c r="D13" s="19" t="n"/>
      <c r="E13" s="10">
        <f>IF(D13="","",IFERROR((D13-C13)/C13,""))</f>
        <v/>
      </c>
      <c r="F13" t="inlineStr">
        <is>
          <t>Mobiliario sala (65 plazas)</t>
        </is>
      </c>
    </row>
    <row r="14">
      <c r="A14" s="7" t="n">
        <v>10</v>
      </c>
      <c r="B14" s="8" t="inlineStr">
        <is>
          <t>Iluminación y decoración</t>
        </is>
      </c>
      <c r="C14" s="18" t="n">
        <v>46200</v>
      </c>
      <c r="D14" s="19" t="n"/>
      <c r="E14" s="10">
        <f>IF(D14="","",IFERROR((D14-C14)/C14,""))</f>
        <v/>
      </c>
      <c r="F14" t="inlineStr">
        <is>
          <t>Interiorismo y decoración</t>
        </is>
      </c>
    </row>
    <row r="15">
      <c r="A15" s="7" t="n">
        <v>11</v>
      </c>
      <c r="B15" s="8" t="inlineStr">
        <is>
          <t>Vajilla, cristalería, cubertería</t>
        </is>
      </c>
      <c r="C15" s="18" t="n">
        <v>26000</v>
      </c>
      <c r="D15" s="19" t="n"/>
      <c r="E15" s="10">
        <f>IF(D15="","",IFERROR((D15-C15)/C15,""))</f>
        <v/>
      </c>
      <c r="F15" t="inlineStr">
        <is>
          <t>Vajilla, cristalería, cubertería</t>
        </is>
      </c>
    </row>
    <row r="16">
      <c r="A16" s="7" t="n">
        <v>12</v>
      </c>
      <c r="B16" s="8" t="inlineStr">
        <is>
          <t>Mantelería y textil</t>
        </is>
      </c>
      <c r="C16" s="18" t="n">
        <v>4230</v>
      </c>
      <c r="D16" s="19" t="n"/>
      <c r="E16" s="10">
        <f>IF(D16="","",IFERROR((D16-C16)/C16,""))</f>
        <v/>
      </c>
      <c r="F16" t="inlineStr">
        <is>
          <t>Vajilla, cristalería, cubertería</t>
        </is>
      </c>
    </row>
    <row r="17">
      <c r="A17" s="7" t="n">
        <v>13</v>
      </c>
      <c r="B17" s="8" t="inlineStr">
        <is>
          <t>Bodega inicial (vinos)</t>
        </is>
      </c>
      <c r="C17" s="18" t="n">
        <v>40000</v>
      </c>
      <c r="D17" s="19" t="n"/>
      <c r="E17" s="10">
        <f>IF(D17="","",IFERROR((D17-C17)/C17,""))</f>
        <v/>
      </c>
      <c r="F17" t="inlineStr">
        <is>
          <t>Bodega inicial (vinos)</t>
        </is>
      </c>
    </row>
    <row r="18">
      <c r="A18" s="7" t="n">
        <v>14</v>
      </c>
      <c r="B18" s="8" t="inlineStr">
        <is>
          <t>Vitrina climatizada</t>
        </is>
      </c>
      <c r="C18" s="18" t="n">
        <v>6500</v>
      </c>
      <c r="D18" s="19" t="n"/>
      <c r="E18" s="10">
        <f>IF(D18="","",IFERROR((D18-C18)/C18,""))</f>
        <v/>
      </c>
      <c r="F18" t="inlineStr">
        <is>
          <t>Bodega inicial (vinos)</t>
        </is>
      </c>
    </row>
    <row r="19">
      <c r="A19" s="7" t="n">
        <v>15</v>
      </c>
      <c r="B19" s="8" t="inlineStr">
        <is>
          <t>TPV, software, tablets</t>
        </is>
      </c>
      <c r="C19" s="18" t="n">
        <v>9900</v>
      </c>
      <c r="D19" s="19" t="n"/>
      <c r="E19" s="10">
        <f>IF(D19="","",IFERROR((D19-C19)/C19,""))</f>
        <v/>
      </c>
      <c r="F19" t="inlineStr">
        <is>
          <t>Tecnología (TPV, reservas, software)</t>
        </is>
      </c>
    </row>
    <row r="20">
      <c r="A20" s="7" t="n">
        <v>16</v>
      </c>
      <c r="B20" s="8" t="inlineStr">
        <is>
          <t>Web, branding, diseño gráfico</t>
        </is>
      </c>
      <c r="C20" s="18" t="n">
        <v>8800</v>
      </c>
      <c r="D20" s="19" t="n"/>
      <c r="E20" s="10">
        <f>IF(D20="","",IFERROR((D20-C20)/C20,""))</f>
        <v/>
      </c>
      <c r="F20" t="inlineStr">
        <is>
          <t>Marketing lanzamiento</t>
        </is>
      </c>
    </row>
    <row r="21">
      <c r="A21" s="7" t="n">
        <v>17</v>
      </c>
      <c r="B21" s="8" t="inlineStr">
        <is>
          <t>Marketing de lanzamiento</t>
        </is>
      </c>
      <c r="C21" s="18" t="n">
        <v>15000</v>
      </c>
      <c r="D21" s="19" t="n"/>
      <c r="E21" s="10">
        <f>IF(D21="","",IFERROR((D21-C21)/C21,""))</f>
        <v/>
      </c>
      <c r="F21" t="inlineStr">
        <is>
          <t>Marketing lanzamiento</t>
        </is>
      </c>
    </row>
    <row r="22">
      <c r="A22" s="7" t="n">
        <v>18</v>
      </c>
      <c r="B22" s="8" t="inlineStr">
        <is>
          <t>Proyecto técnico y licencias</t>
        </is>
      </c>
      <c r="C22" s="18" t="n">
        <v>23960</v>
      </c>
      <c r="D22" s="19" t="n"/>
      <c r="E22" s="10">
        <f>IF(D22="","",IFERROR((D22-C22)/C22,""))</f>
        <v/>
      </c>
      <c r="F22" t="inlineStr">
        <is>
          <t>Proyecto técnico + licencias</t>
        </is>
      </c>
    </row>
    <row r="23">
      <c r="A23" s="7" t="n">
        <v>19</v>
      </c>
      <c r="B23" s="8" t="inlineStr">
        <is>
          <t>Seguros (primer año)</t>
        </is>
      </c>
      <c r="C23" s="18" t="n">
        <v>4500</v>
      </c>
      <c r="D23" s="19" t="n"/>
      <c r="E23" s="10">
        <f>IF(D23="","",IFERROR((D23-C23)/C23,""))</f>
        <v/>
      </c>
      <c r="F23" t="inlineStr">
        <is>
          <t>Seguros y otros</t>
        </is>
      </c>
    </row>
    <row r="24">
      <c r="A24" s="7" t="n">
        <v>20</v>
      </c>
      <c r="B24" s="8" t="inlineStr">
        <is>
          <t>Stock inicial materias primas</t>
        </is>
      </c>
      <c r="C24" s="18" t="n">
        <v>12000</v>
      </c>
      <c r="D24" s="19" t="n"/>
      <c r="E24" s="10">
        <f>IF(D24="","",IFERROR((D24-C24)/C24,""))</f>
        <v/>
      </c>
      <c r="F24" t="inlineStr">
        <is>
          <t>Stock inicial materias primas</t>
        </is>
      </c>
    </row>
    <row r="25">
      <c r="A25" s="7" t="n">
        <v>21</v>
      </c>
      <c r="B25" s="8" t="inlineStr">
        <is>
          <t>Uniformes equipo</t>
        </is>
      </c>
      <c r="C25" s="18" t="n">
        <v>3500</v>
      </c>
      <c r="D25" s="19" t="n"/>
      <c r="E25" s="10">
        <f>IF(D25="","",IFERROR((D25-C25)/C25,""))</f>
        <v/>
      </c>
      <c r="F25" t="inlineStr">
        <is>
          <t>Seguros y otros</t>
        </is>
      </c>
    </row>
    <row r="26">
      <c r="A26" s="7" t="n">
        <v>22</v>
      </c>
      <c r="B26" s="8" t="inlineStr">
        <is>
          <t>Fondo de maniobra (6 meses)</t>
        </is>
      </c>
      <c r="C26" s="20">
        <f>IF(C43="","",C43)</f>
        <v>934320.48</v>
      </c>
      <c r="D26" s="19" t="n"/>
      <c r="E26" s="10">
        <f>IF(D26="","",IFERROR((D26-C26)/C26,""))</f>
        <v/>
      </c>
      <c r="F26" t="inlineStr">
        <is>
          <t>Fondo de maniobra (6 meses)</t>
        </is>
      </c>
    </row>
    <row r="27">
      <c r="B27" s="11" t="inlineStr">
        <is>
          <t>TOTAL</t>
        </is>
      </c>
      <c r="C27" s="21">
        <f>IF(COUNT(C5:C26)=0,"",SUM(C5:C26))</f>
        <v>1668340.88</v>
      </c>
      <c r="D27" s="21">
        <f>IF(COUNT(D5:D26)=0,"",SUM(D5:D26))</f>
        <v/>
      </c>
      <c r="E27" s="10">
        <f>IF(D27="","",IFERROR((D27-C27)/C27,""))</f>
        <v/>
      </c>
    </row>
    <row r="28">
      <c r="C28" s="22" t="n"/>
      <c r="D28" s="22" t="n"/>
      <c r="E28" s="23" t="n"/>
    </row>
    <row r="29">
      <c r="A29" s="13" t="inlineStr">
        <is>
          <t>AI Chef Pro · aichef.pro — Restaurante Gastronómico</t>
        </is>
      </c>
    </row>
    <row r="30">
      <c r="C30" s="22" t="n"/>
      <c r="D30" s="22" t="n"/>
      <c r="E30" s="23" t="n"/>
    </row>
    <row r="31">
      <c r="A31" s="24" t="inlineStr">
        <is>
          <t>PREAPERTURA Y FONDO DE MANIOBRA — lo calcula el libro (la fila 26 de la tabla sale de aquí)</t>
        </is>
      </c>
      <c r="C31" s="22" t="n"/>
      <c r="D31" s="22" t="n"/>
      <c r="E31" s="23" t="n"/>
    </row>
    <row r="32">
      <c r="A32" t="inlineStr">
        <is>
          <t>Coste mensual de estructura (fijos sin amortización + variables) (€)</t>
        </is>
      </c>
      <c r="B32" s="22" t="n"/>
      <c r="C32" s="22">
        <f>IF(OR('P&amp;L Mensual'!B32="",'P&amp;L Mensual'!B15=""),"",'P&amp;L Mensual'!B32+'P&amp;L Mensual'!B15)</f>
        <v>155720.08</v>
      </c>
      <c r="D32" s="22" t="n"/>
      <c r="E32" s="23" t="n"/>
      <c r="F32" s="22" t="n"/>
    </row>
    <row r="33">
      <c r="A33" t="inlineStr">
        <is>
          <t>Alquiler mensual (€)</t>
        </is>
      </c>
      <c r="B33" s="22" t="n"/>
      <c r="C33" s="22">
        <f>IF('P&amp;L Mensual'!B22="","",'P&amp;L Mensual'!B22)</f>
        <v>17000.0</v>
      </c>
      <c r="D33" s="22" t="n"/>
      <c r="E33" s="23" t="n"/>
      <c r="F33" s="22" t="n"/>
    </row>
    <row r="34">
      <c r="A34" t="inlineStr">
        <is>
          <t>Coste mensual de la brigada (€)</t>
        </is>
      </c>
      <c r="B34" s="22" t="n"/>
      <c r="C34" s="22">
        <f>IF(COUNT('P&amp;L Mensual'!B20,'P&amp;L Mensual'!B21)=0,"",SUM('P&amp;L Mensual'!B20,'P&amp;L Mensual'!B21))</f>
        <v>59801.68</v>
      </c>
      <c r="D34" s="22" t="n"/>
      <c r="E34" s="23" t="n"/>
      <c r="F34" s="22" t="n"/>
    </row>
    <row r="35">
      <c r="A35" t="inlineStr">
        <is>
          <t>Meses de renta ANTES de abrir (fuera de la carencia que negocies)</t>
        </is>
      </c>
      <c r="B35" s="25" t="n"/>
      <c r="C35" s="26" t="n">
        <v>6</v>
      </c>
      <c r="D35" s="22" t="n"/>
      <c r="E35" s="23" t="n"/>
      <c r="F35" s="25" t="n"/>
    </row>
    <row r="36">
      <c r="A36" t="inlineStr">
        <is>
          <t>Meses de nómina de la brigada ANTES de abrir</t>
        </is>
      </c>
      <c r="B36" s="25" t="n"/>
      <c r="C36" s="26" t="n">
        <v>2</v>
      </c>
      <c r="D36" s="22" t="n"/>
      <c r="E36" s="23" t="n"/>
      <c r="F36" s="25" t="n"/>
    </row>
    <row r="37">
      <c r="A37" t="inlineStr">
        <is>
          <t>Rentas y suministros de preapertura (€)</t>
        </is>
      </c>
      <c r="B37" s="22" t="n"/>
      <c r="C37" s="22">
        <f>IF(OR(C33="",C35=""),"",C33*C35)</f>
        <v>102000.0</v>
      </c>
      <c r="D37" s="22" t="n"/>
      <c r="E37" s="23" t="n"/>
      <c r="F37" s="22" t="n"/>
    </row>
    <row r="38">
      <c r="A38" t="inlineStr">
        <is>
          <t>Nóminas de preapertura (€)</t>
        </is>
      </c>
      <c r="B38" s="22" t="n"/>
      <c r="C38" s="22">
        <f>IF(OR(C34="",C36=""),"",C34*C36)</f>
        <v>119603.36</v>
      </c>
      <c r="D38" s="22" t="n"/>
      <c r="E38" s="23" t="n"/>
      <c r="F38" s="22" t="n"/>
    </row>
    <row r="39">
      <c r="A39" s="24" t="inlineStr">
        <is>
          <t>TOTAL COSTES DE PREAPERTURA (€)</t>
        </is>
      </c>
      <c r="B39" s="22" t="n"/>
      <c r="C39" s="27">
        <f>IF(COUNT(C37:C38)=0,"",SUM(C37:C38))</f>
        <v>221603.36</v>
      </c>
      <c r="D39" s="22" t="n"/>
      <c r="E39" s="23" t="n"/>
      <c r="F39" s="22" t="n"/>
    </row>
    <row r="40">
      <c r="A40" s="28" t="inlineStr">
        <is>
          <t>El cronograma de este mismo pack firma el arrendamiento en el mes 3 y contrata la brigada en el 12 para abrir en el 18: hay renta y hay nóminas antes de facturar un euro, y el checklist legal lo dice («son 6‑10 meses de renta antes de facturar»). Esta partida no está entre los conceptos de la tabla de arriba: se suma aparte, en la necesidad total.</t>
        </is>
      </c>
      <c r="B40" s="25" t="n"/>
      <c r="C40" s="22" t="n"/>
      <c r="D40" s="22" t="n"/>
      <c r="E40" s="23" t="n"/>
      <c r="F40" s="25" t="n"/>
    </row>
    <row r="41">
      <c r="C41" s="22" t="n"/>
      <c r="D41" s="22" t="n"/>
      <c r="E41" s="23" t="n"/>
    </row>
    <row r="42">
      <c r="A42" t="inlineStr">
        <is>
          <t>Meses de colchón (mínimo 6)</t>
        </is>
      </c>
      <c r="B42" s="25" t="n"/>
      <c r="C42" s="26" t="n">
        <v>6</v>
      </c>
      <c r="D42" s="22" t="n"/>
      <c r="E42" s="23" t="n"/>
      <c r="F42" s="25" t="n"/>
    </row>
    <row r="43">
      <c r="A43" t="inlineStr">
        <is>
          <t>Fondo de maniobra necesario (€)</t>
        </is>
      </c>
      <c r="B43" s="22" t="n"/>
      <c r="C43" s="27">
        <f>IF(OR(C32="",C42=""),"",C32*C42)</f>
        <v>934320.48</v>
      </c>
      <c r="D43" s="22" t="n"/>
      <c r="E43" s="23" t="n"/>
      <c r="F43" s="22" t="n"/>
    </row>
    <row r="44">
      <c r="A44" s="28" t="inlineStr">
        <is>
          <t>Los 60.000 / 120.000 / 200.000 € que trae calculadora-capex.xlsx no cubren ni dos meses de la estructura que describe el propio libro. Aquí se dimensiona con TUS costes: rellena el P&amp;L Mensual y esta fila se calcula sola. El coste de personal sale de plantilla-turnos-brigada.xlsx (§7-bis.7).</t>
        </is>
      </c>
      <c r="B44" s="25" t="n"/>
      <c r="C44" s="22" t="n"/>
      <c r="D44" s="22" t="n"/>
      <c r="E44" s="23" t="n"/>
      <c r="F44" s="25" t="n"/>
    </row>
    <row r="45">
      <c r="C45" s="22" t="n"/>
      <c r="D45" s="22" t="n"/>
      <c r="E45" s="23" t="n"/>
    </row>
    <row r="46">
      <c r="A46" s="24" t="inlineStr">
        <is>
          <t>NECESIDAD TOTAL DE FINANCIACIÓN (€) — CAPEX de la tabla + preapertura</t>
        </is>
      </c>
      <c r="B46" s="22" t="n"/>
      <c r="C46" s="27">
        <f>IF(OR(C27="",C27=0),"",C27+IF(ISNUMBER(C39),C39,0))</f>
        <v>1889944.2399999998</v>
      </c>
      <c r="D46" s="22" t="n"/>
      <c r="E46" s="23" t="n"/>
      <c r="F46" s="22" t="n"/>
    </row>
    <row r="47">
      <c r="A47" s="28" t="inlineStr">
        <is>
          <t>Esta es la cifra que tiene que cuadrar la hoja «Financiación»: fondos propios + préstamo + otras fuentes. El fondo de maniobra ya está dentro, en la fila 26 de la tabla.</t>
        </is>
      </c>
      <c r="C47" s="22" t="n"/>
      <c r="D47" s="22" t="n"/>
      <c r="E47" s="23" t="n"/>
    </row>
  </sheetData>
  <sheetProtection selectLockedCells="0" selectUnlockedCells="0" sheet="1" objects="0" insertRows="0" insertHyperlinks="1" autoFilter="1" scenarios="0" formatColumns="0" deleteColumns="1" insertColumns="1" pivotTables="1" deleteRows="1" formatCells="1" formatRows="0" sort="0"/>
  <mergeCells count="3">
    <mergeCell ref="A29:E29"/>
    <mergeCell ref="A1:E1"/>
    <mergeCell ref="A2:E2"/>
  </mergeCells>
  <conditionalFormatting sqref="C42">
    <cfRule type="expression" priority="2" dxfId="0" stopIfTrue="1">
      <formula>=AND(ISNUMBER(C42),C42&lt;6)</formula>
    </cfRule>
  </conditionalFormatting>
  <conditionalFormatting sqref="E5:E27">
    <cfRule type="expression" priority="2" dxfId="0" stopIfTrue="1">
      <formula>=AND(ISNUMBER($E5),$E5&gt;0.1)</formula>
    </cfRule>
  </conditionalFormatting>
  <dataValidations count="1">
    <dataValidation sqref="C5 C6 C7 C8 C9 C10 C11 C12 C13 C14 C15 C16 C17 C18 C19 C20 C21 C22 C23 C24 C25 C35 C36 C42 D5 D6 D7 D8 D9 D10 D11 D12 D13 D14 D15 D16 D17 D18 D19 D20 D21 D22 D23 D24 D25 D26"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D37"/>
  <sheetViews>
    <sheetView workbookViewId="0">
      <pane ySplit="4" topLeftCell="A5" activePane="bottomLeft" state="frozen"/>
      <selection pane="bottomLeft" activeCell="A1" sqref="A1"/>
    </sheetView>
  </sheetViews>
  <sheetFormatPr baseColWidth="8" defaultRowHeight="15"/>
  <cols>
    <col width="46" customWidth="1" min="1" max="1"/>
    <col width="18" customWidth="1" min="2" max="2"/>
    <col width="14" customWidth="1" min="3" max="3"/>
    <col width="30" customWidth="1" min="4" max="4"/>
  </cols>
  <sheetData>
    <row r="1" ht="30" customHeight="1">
      <c r="A1" s="1" t="inlineStr">
        <is>
          <t>Cuenta de Resultados Mensual</t>
        </is>
      </c>
    </row>
    <row r="2">
      <c r="A2" s="2" t="inlineStr">
        <is>
          <t>AI Chef Pro · aichef.pro — Restaurante Gastronómico</t>
        </is>
      </c>
    </row>
    <row r="3">
      <c r="A3" s="29" t="inlineStr">
        <is>
          <t>Todas las cifras van SIN IVA. En el cash flow también se escriben sin IVA: su capa de IVA (modelo 303) lo añade aparte, porque la tesorería es caja.</t>
        </is>
      </c>
    </row>
    <row r="4">
      <c r="A4" s="6" t="inlineStr">
        <is>
          <t>Concepto</t>
        </is>
      </c>
      <c r="B4" s="6" t="inlineStr">
        <is>
          <t>Importe (€)</t>
        </is>
      </c>
      <c r="C4" s="6" t="inlineStr">
        <is>
          <t>% s/Ventas</t>
        </is>
      </c>
      <c r="D4" s="6" t="inlineStr">
        <is>
          <t>Notas</t>
        </is>
      </c>
    </row>
    <row r="5">
      <c r="A5" s="11" t="inlineStr">
        <is>
          <t>INGRESOS</t>
        </is>
      </c>
      <c r="B5" s="22" t="n"/>
      <c r="C5" s="23" t="n"/>
      <c r="D5" s="30" t="n"/>
    </row>
    <row r="6">
      <c r="A6" s="8" t="inlineStr">
        <is>
          <t>Comidas (cubiertos × ticket medio)</t>
        </is>
      </c>
      <c r="B6" s="18" t="n">
        <v>40106</v>
      </c>
      <c r="C6" s="10">
        <f>IF(OR($B$10="",$B$10=0,B6=""),"",B6/$B$10)</f>
        <v>0.21138682745825602</v>
      </c>
      <c r="D6" s="31" t="inlineStr">
        <is>
          <t>Escenario REALISTA de pl-mensual-escenarios.xlsx: 25 cubiertos de comida × 72,92 € × 22 días. Valor de ejemplo: cámbialo por el tuyo y el libro entero se recalcula.</t>
        </is>
      </c>
    </row>
    <row r="7">
      <c r="A7" s="8" t="inlineStr">
        <is>
          <t>Cenas (cubiertos × ticket medio)</t>
        </is>
      </c>
      <c r="B7" s="18" t="n">
        <v>115434</v>
      </c>
      <c r="C7" s="10">
        <f>IF(OR($B$10="",$B$10=0,B7=""),"",B7/$B$10)</f>
        <v>0.6084183673469388</v>
      </c>
      <c r="D7" s="31" t="inlineStr">
        <is>
          <t>45 cubiertos de cena × 116,60 € × 22 días (escenario realista).</t>
        </is>
      </c>
    </row>
    <row r="8">
      <c r="A8" s="8" t="inlineStr">
        <is>
          <t>Vinos y bebidas</t>
        </is>
      </c>
      <c r="B8" s="18" t="n">
        <v>34188</v>
      </c>
      <c r="C8" s="10">
        <f>IF(OR($B$10="",$B$10=0,B8=""),"",B8/$B$10)</f>
        <v>0.18019480519480519</v>
      </c>
      <c r="D8" s="31" t="inlineStr">
        <is>
          <t>Maridaje y copa del simulador de ticket medio: (18,00 + 4,20) € × 70 cubiertos × 22 días.</t>
        </is>
      </c>
    </row>
    <row r="9">
      <c r="A9" s="8" t="inlineStr">
        <is>
          <t>Eventos privados / chef's table</t>
        </is>
      </c>
      <c r="B9" s="18" t="n">
        <v>0</v>
      </c>
      <c r="C9" s="10">
        <f>IF(OR($B$10="",$B$10=0,B9=""),"",B9/$B$10)</f>
        <v>0.0</v>
      </c>
      <c r="D9" s="30" t="n"/>
    </row>
    <row r="10">
      <c r="A10" s="11" t="inlineStr">
        <is>
          <t>TOTAL INGRESOS</t>
        </is>
      </c>
      <c r="B10" s="21">
        <f>IF(COUNT(B6:B9)=0,"",SUM(B6:B9))</f>
        <v>189728.0</v>
      </c>
      <c r="C10" s="10">
        <f>IF(OR($B$10="",$B$10=0,B10=""),"",B10/$B$10)</f>
        <v>1.0</v>
      </c>
      <c r="D10" s="30" t="n"/>
    </row>
    <row r="11">
      <c r="A11" s="8" t="inlineStr"/>
      <c r="B11" s="22" t="n"/>
      <c r="C11" s="23" t="n"/>
      <c r="D11" s="30" t="n"/>
    </row>
    <row r="12">
      <c r="A12" s="11" t="inlineStr">
        <is>
          <t>COSTES VARIABLES</t>
        </is>
      </c>
      <c r="B12" s="22" t="n"/>
      <c r="C12" s="23" t="n"/>
      <c r="D12" s="30" t="n"/>
    </row>
    <row r="13">
      <c r="A13" s="8" t="inlineStr">
        <is>
          <t>Materia prima (food cost)</t>
        </is>
      </c>
      <c r="B13" s="18" t="n">
        <v>45636.36</v>
      </c>
      <c r="C13" s="10">
        <f>IF(OR($B$10="",$B$10=0,B13=""),"",B13/$B$10)</f>
        <v>0.2405357142857143</v>
      </c>
      <c r="D13" s="30" t="n"/>
    </row>
    <row r="14">
      <c r="A14" s="8" t="inlineStr">
        <is>
          <t>Bebidas (coste bodega)</t>
        </is>
      </c>
      <c r="B14" s="18" t="n">
        <v>11282.04</v>
      </c>
      <c r="C14" s="10">
        <f>IF(OR($B$10="",$B$10=0,B14=""),"",B14/$B$10)</f>
        <v>0.05946428571428572</v>
      </c>
      <c r="D14" s="30" t="n"/>
    </row>
    <row r="15">
      <c r="A15" s="11" t="inlineStr">
        <is>
          <t>TOTAL COSTES VARIABLES</t>
        </is>
      </c>
      <c r="B15" s="21">
        <f>IF(COUNT(B13:B14)=0,"",SUM(B13:B14))</f>
        <v>56918.4</v>
      </c>
      <c r="C15" s="10">
        <f>IF(OR($B$10="",$B$10=0,B15=""),"",B15/$B$10)</f>
        <v>0.3</v>
      </c>
      <c r="D15" s="30" t="n"/>
    </row>
    <row r="16">
      <c r="A16" s="8" t="inlineStr"/>
      <c r="B16" s="22" t="n"/>
      <c r="C16" s="23" t="n"/>
      <c r="D16" s="30" t="n"/>
    </row>
    <row r="17">
      <c r="A17" s="11" t="inlineStr">
        <is>
          <t>MARGEN BRUTO</t>
        </is>
      </c>
      <c r="B17" s="21">
        <f>IF(OR(B10="",B15=""),"",B10-B15)</f>
        <v>132809.6</v>
      </c>
      <c r="C17" s="10">
        <f>IF(OR($B$10="",$B$10=0,B17=""),"",B17/$B$10)</f>
        <v>0.7000000000000001</v>
      </c>
      <c r="D17" s="30" t="n"/>
    </row>
    <row r="18">
      <c r="A18" s="8" t="inlineStr"/>
      <c r="B18" s="22" t="n"/>
      <c r="C18" s="23" t="n"/>
      <c r="D18" s="30" t="n"/>
    </row>
    <row r="19">
      <c r="A19" s="11" t="inlineStr">
        <is>
          <t>COSTES FIJOS</t>
        </is>
      </c>
      <c r="B19" s="22" t="n"/>
      <c r="C19" s="23" t="n"/>
      <c r="D19" s="30" t="n"/>
    </row>
    <row r="20">
      <c r="A20" s="8" t="inlineStr">
        <is>
          <t>Personal cocina</t>
        </is>
      </c>
      <c r="B20" s="18" t="n">
        <v>38390.01</v>
      </c>
      <c r="C20" s="10">
        <f>IF(OR($B$10="",$B$10=0,B20=""),"",B20/$B$10)</f>
        <v>0.20234235326361952</v>
      </c>
      <c r="D20" s="31" t="inlineStr">
        <is>
          <t>Coste CON la Seguridad Social de la empresa. La fuente del coste de personal es plantilla-turnos-brigada.xlsx (§7-bis.7): 59.801,68 €/mes = 717.620,12 €/año para las 24 personas del cuadrante, con el 33 % de SS.</t>
        </is>
      </c>
    </row>
    <row r="21">
      <c r="A21" s="8" t="inlineStr">
        <is>
          <t>Personal sala</t>
        </is>
      </c>
      <c r="B21" s="18" t="n">
        <v>21411.67</v>
      </c>
      <c r="C21" s="10">
        <f>IF(OR($B$10="",$B$10=0,B21=""),"",B21/$B$10)</f>
        <v>0.11285456021251475</v>
      </c>
      <c r="D21" s="30" t="n"/>
    </row>
    <row r="22">
      <c r="A22" s="8" t="inlineStr">
        <is>
          <t>Alquiler</t>
        </is>
      </c>
      <c r="B22" s="18" t="n">
        <v>17000</v>
      </c>
      <c r="C22" s="10">
        <f>IF(OR($B$10="",$B$10=0,B22=""),"",B22/$B$10)</f>
        <v>0.08960195648507337</v>
      </c>
      <c r="D22" s="30" t="n"/>
    </row>
    <row r="23">
      <c r="A23" s="8" t="inlineStr">
        <is>
          <t>Suministros (luz, gas, agua)</t>
        </is>
      </c>
      <c r="B23" s="18" t="n">
        <v>6000</v>
      </c>
      <c r="C23" s="10">
        <f>IF(OR($B$10="",$B$10=0,B23=""),"",B23/$B$10)</f>
        <v>0.03162421993590825</v>
      </c>
      <c r="D23" s="30" t="n"/>
    </row>
    <row r="24">
      <c r="A24" s="8" t="inlineStr">
        <is>
          <t>Seguros</t>
        </is>
      </c>
      <c r="B24" s="18" t="n">
        <v>900</v>
      </c>
      <c r="C24" s="10">
        <f>IF(OR($B$10="",$B$10=0,B24=""),"",B24/$B$10)</f>
        <v>0.004743632990386237</v>
      </c>
      <c r="D24" s="30" t="n"/>
    </row>
    <row r="25">
      <c r="A25" s="8" t="inlineStr">
        <is>
          <t>Marketing</t>
        </is>
      </c>
      <c r="B25" s="18" t="n">
        <v>3500</v>
      </c>
      <c r="C25" s="10">
        <f>IF(OR($B$10="",$B$10=0,B25=""),"",B25/$B$10)</f>
        <v>0.01844746162927981</v>
      </c>
      <c r="D25" s="30" t="n"/>
    </row>
    <row r="26">
      <c r="A26" s="8" t="inlineStr">
        <is>
          <t>Tecnología y software</t>
        </is>
      </c>
      <c r="B26" s="18" t="n">
        <v>1200</v>
      </c>
      <c r="C26" s="10">
        <f>IF(OR($B$10="",$B$10=0,B26=""),"",B26/$B$10)</f>
        <v>0.00632484398718165</v>
      </c>
      <c r="D26" s="30" t="n"/>
    </row>
    <row r="27">
      <c r="A27" s="8" t="inlineStr">
        <is>
          <t>Mantenimiento y reparaciones</t>
        </is>
      </c>
      <c r="B27" s="18" t="n">
        <v>2400</v>
      </c>
      <c r="C27" s="10">
        <f>IF(OR($B$10="",$B$10=0,B27=""),"",B27/$B$10)</f>
        <v>0.0126496879743633</v>
      </c>
      <c r="D27" s="30" t="n"/>
    </row>
    <row r="28">
      <c r="A28" s="8" t="inlineStr">
        <is>
          <t>Limpieza externa</t>
        </is>
      </c>
      <c r="B28" s="18" t="n">
        <v>2800</v>
      </c>
      <c r="C28" s="10">
        <f>IF(OR($B$10="",$B$10=0,B28=""),"",B28/$B$10)</f>
        <v>0.01475796930342385</v>
      </c>
      <c r="D28" s="30" t="n"/>
    </row>
    <row r="29">
      <c r="A29" s="8" t="inlineStr">
        <is>
          <t>Asesoría y gestoría</t>
        </is>
      </c>
      <c r="B29" s="18" t="n">
        <v>1200</v>
      </c>
      <c r="C29" s="10">
        <f>IF(OR($B$10="",$B$10=0,B29=""),"",B29/$B$10)</f>
        <v>0.00632484398718165</v>
      </c>
      <c r="D29" s="30" t="n"/>
    </row>
    <row r="30">
      <c r="A30" s="8" t="inlineStr">
        <is>
          <t>Amortización equipamiento</t>
        </is>
      </c>
      <c r="B30" s="18" t="n">
        <v>6000</v>
      </c>
      <c r="C30" s="10">
        <f>IF(OR($B$10="",$B$10=0,B30=""),"",B30/$B$10)</f>
        <v>0.03162421993590825</v>
      </c>
      <c r="D30" s="31" t="inlineStr">
        <is>
          <t>Queda FUERA del EBITDA (fila 32) y resta en el EBIT (fila 37): un EBITDA con la amortización dentro es un EBIT con otro nombre.</t>
        </is>
      </c>
    </row>
    <row r="31">
      <c r="A31" s="8" t="inlineStr">
        <is>
          <t>Otros gastos fijos</t>
        </is>
      </c>
      <c r="B31" s="18" t="n">
        <v>4000</v>
      </c>
      <c r="C31" s="10">
        <f>IF(OR($B$10="",$B$10=0,B31=""),"",B31/$B$10)</f>
        <v>0.021082813290605497</v>
      </c>
      <c r="D31" s="30" t="n"/>
    </row>
    <row r="32">
      <c r="A32" s="11" t="inlineStr">
        <is>
          <t>TOTAL COSTES FIJOS (sin amortización)</t>
        </is>
      </c>
      <c r="B32" s="12">
        <f>IF(COUNT(B20:B29,B31)=0,"",SUM(B20:B29)+B31)</f>
        <v>98801.68</v>
      </c>
      <c r="C32" s="10">
        <f>IF(OR($B$10="",$B$10=0,B32=""),"",B32/$B$10)</f>
        <v>0.5207543430595378</v>
      </c>
      <c r="D32" s="31" t="inlineStr">
        <is>
          <t>No incluye la amortización de la fila 30: por eso la fila de abajo es EBITDA y no EBIT.</t>
        </is>
      </c>
    </row>
    <row r="33">
      <c r="A33" s="8" t="inlineStr"/>
      <c r="B33" s="22" t="n"/>
      <c r="C33" s="23" t="n"/>
      <c r="D33" s="30" t="n"/>
    </row>
    <row r="34">
      <c r="A34" s="11" t="inlineStr">
        <is>
          <t>EBITDA</t>
        </is>
      </c>
      <c r="B34" s="21">
        <f>IF(OR(B17="",B32=""),"",B17-B32)</f>
        <v>34007.92000000001</v>
      </c>
      <c r="C34" s="10">
        <f>IF(OR($B$10="",$B$10=0,B34=""),"",B34/$B$10)</f>
        <v>0.1792456569404622</v>
      </c>
      <c r="D34" s="30" t="n"/>
    </row>
    <row r="35">
      <c r="A35" s="11" t="inlineStr">
        <is>
          <t>Margen EBITDA</t>
        </is>
      </c>
      <c r="B35" s="32">
        <f>IF(OR(B10="",B10=0,B34=""),"",B34/B10)</f>
        <v>0.1792456569404622</v>
      </c>
      <c r="C35" s="33" t="n"/>
      <c r="D35" s="30" t="n"/>
    </row>
    <row r="36">
      <c r="A36" t="inlineStr">
        <is>
          <t>Amortización (fuera del EBITDA, ver fila 30)</t>
        </is>
      </c>
      <c r="B36" s="22">
        <f>IF(B30="","",B30)</f>
        <v>6000.0</v>
      </c>
      <c r="C36" s="23">
        <f>IF(OR($B$10="",$B$10=0,B36=""),"",B36/$B$10)</f>
        <v>0.03162421993590825</v>
      </c>
    </row>
    <row r="37">
      <c r="A37" t="inlineStr">
        <is>
          <t>EBIT (resultado de explotación)</t>
        </is>
      </c>
      <c r="B37" s="27">
        <f>IF(B34="","",B34-IF(ISNUMBER(B36),B36,0))</f>
        <v>28007.920000000013</v>
      </c>
      <c r="C37" s="23">
        <f>IF(OR($B$10="",$B$10=0,B37=""),"",B37/$B$10)</f>
        <v>0.14762143700455396</v>
      </c>
    </row>
  </sheetData>
  <sheetProtection selectLockedCells="0" selectUnlockedCells="0" sheet="1" objects="0" insertRows="0" insertHyperlinks="1" autoFilter="1" scenarios="0" formatColumns="0" deleteColumns="1" insertColumns="1" pivotTables="1" deleteRows="1" formatCells="1" formatRows="0" sort="0"/>
  <mergeCells count="2">
    <mergeCell ref="A1:D1"/>
    <mergeCell ref="A2:D2"/>
  </mergeCells>
  <conditionalFormatting sqref="B34">
    <cfRule type="expression" priority="2" dxfId="0" stopIfTrue="1">
      <formula>=AND(ISNUMBER($B$34),$B$34&lt;0)</formula>
    </cfRule>
  </conditionalFormatting>
  <conditionalFormatting sqref="B37">
    <cfRule type="expression" priority="2" dxfId="0" stopIfTrue="1">
      <formula>=AND(ISNUMBER($B$37),$B$37&lt;0)</formula>
    </cfRule>
  </conditionalFormatting>
  <dataValidations count="1">
    <dataValidation sqref="B6 B7 B8 B9 B13 B14 B20 B21 B22 B23 B24 B25 B26 B27 B28 B29 B30 B31"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24"/>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52" customWidth="1" min="5" max="5"/>
  </cols>
  <sheetData>
    <row r="1">
      <c r="A1" s="34" t="inlineStr">
        <is>
          <t>Proyección a 3 años</t>
        </is>
      </c>
    </row>
    <row r="2">
      <c r="A2" s="29" t="inlineStr">
        <is>
          <t>AI Chef Pro · aichef.pro — Restaurante Gastronómico</t>
        </is>
      </c>
    </row>
    <row r="3"/>
    <row r="4">
      <c r="A4" s="35" t="inlineStr">
        <is>
          <t>Concepto</t>
        </is>
      </c>
      <c r="B4" s="35" t="inlineStr">
        <is>
          <t>Año 1</t>
        </is>
      </c>
      <c r="C4" s="35" t="inlineStr">
        <is>
          <t>Año 2</t>
        </is>
      </c>
      <c r="D4" s="35" t="inlineStr">
        <is>
          <t>Año 3</t>
        </is>
      </c>
      <c r="E4" s="35" t="inlineStr">
        <is>
          <t>Notas</t>
        </is>
      </c>
    </row>
    <row r="5">
      <c r="A5" s="24" t="inlineStr">
        <is>
          <t>PARÁMETROS</t>
        </is>
      </c>
    </row>
    <row r="6">
      <c r="A6" t="inlineStr">
        <is>
          <t>Crecimiento de ventas (%)</t>
        </is>
      </c>
      <c r="B6" s="23" t="n"/>
      <c r="C6" s="36" t="n">
        <v>0.08</v>
      </c>
      <c r="D6" s="36" t="n">
        <v>0.05</v>
      </c>
      <c r="E6" s="28" t="inlineStr">
        <is>
          <t>Sobre el año anterior. El Año 1 es la base: sale del P&amp;L mensual de este mismo libro.</t>
        </is>
      </c>
    </row>
    <row r="7">
      <c r="A7" t="inlineStr">
        <is>
          <t>Inflación de costes (%)</t>
        </is>
      </c>
      <c r="B7" s="23" t="n"/>
      <c r="C7" s="36" t="n">
        <v>0.03</v>
      </c>
      <c r="D7" s="36" t="n">
        <v>0.03</v>
      </c>
    </row>
    <row r="8">
      <c r="A8" t="inlineStr">
        <is>
          <t>Tipo del Impuesto de Sociedades (%)</t>
        </is>
      </c>
      <c r="B8" s="36" t="n">
        <v>0.25</v>
      </c>
      <c r="C8" s="36" t="n">
        <v>0.25</v>
      </c>
      <c r="D8" s="36" t="n">
        <v>0.25</v>
      </c>
      <c r="E8" s="28" t="inlineStr">
        <is>
          <t>Tipo general 25 %. Una entidad de NUEVA CREACIÓN tributa al 15 % en el primer ejercicio con base positiva y en el siguiente (art. 29.1 LIS).</t>
        </is>
      </c>
    </row>
    <row r="9">
      <c r="A9" t="inlineStr">
        <is>
          <t>Meses de rampa hasta el mes de crucero</t>
        </is>
      </c>
      <c r="B9" s="26" t="n">
        <v>6</v>
      </c>
      <c r="C9" s="25" t="n"/>
      <c r="D9" s="25" t="n"/>
      <c r="E9" s="28" t="inlineStr">
        <is>
          <t>Cuántos meses tardas en llegar al ritmo de crucero. Escribe 0 y el Año 1 vuelve a ser el mes tipo × 12. Con 6 y 60 %, el Año 1 factura exactamente lo mismo que cash-flow-break-even.xlsx de este mismo pack, que modela la misma rampa mes a mes.</t>
        </is>
      </c>
    </row>
    <row r="10">
      <c r="A10" t="inlineStr">
        <is>
          <t>% del crucero que se factura el primer mes</t>
        </is>
      </c>
      <c r="B10" s="36" t="n">
        <v>0.6</v>
      </c>
      <c r="C10" s="23" t="n"/>
      <c r="D10" s="23" t="n"/>
      <c r="E10" s="28" t="inlineStr">
        <is>
          <t>Qué parte del mes de crucero facturas el PRIMER mes. De ahí sube en línea recta hasta el 100 % en el mes de crucero.</t>
        </is>
      </c>
    </row>
    <row r="11"/>
    <row r="12">
      <c r="A12" s="24" t="inlineStr">
        <is>
          <t>CUENTA DE RESULTADOS PREVISIONAL</t>
        </is>
      </c>
    </row>
    <row r="13">
      <c r="A13" t="inlineStr">
        <is>
          <t>Ingresos (€)</t>
        </is>
      </c>
      <c r="B13" s="22">
        <f>IF(OR('P&amp;L Mensual'!B10="",'P&amp;L Mensual'!B10=0),"",'P&amp;L Mensual'!B10*IF(OR($B$9="",$B$9&lt;=1,$B$10=""),12,$B$9*(1+$B$10)/2+(12-$B$9)))</f>
        <v>2049062.4000000001</v>
      </c>
      <c r="C13" s="22">
        <f>IF($B$13="","",('P&amp;L Mensual'!B10*12)*(1+C6))</f>
        <v>2458874.8800000004</v>
      </c>
      <c r="D13" s="22">
        <f>IF($B$13="","",C13*(1+D6))</f>
        <v>2581818.6240000003</v>
      </c>
      <c r="E13" s="28" t="inlineStr">
        <is>
          <t>Año 1 = el mes tipo del P&amp;L Mensual (el mes de CRUCERO) × la suma de los doce factores de la rampa de arriba; con 0 meses de rampa, × 12. El cash flow de este mismo pack reparte la rampa mes a mes; el TOTAL del año coincide al céntimo. Los años 2 y 3 parten del ritmo de CRUCERO anualizado, no del año 1, porque en ellos ya no hay rampa. Si cambias el P&amp;L, cambia la proyección entera: no hay ni una constante aquí.</t>
        </is>
      </c>
    </row>
    <row r="14">
      <c r="A14" t="inlineStr">
        <is>
          <t>Costes variables (€)</t>
        </is>
      </c>
      <c r="B14" s="22">
        <f>IFERROR(IF($B$13="","",'P&amp;L Mensual'!B15*IF(OR($B$9="",$B$9&lt;=1,$B$10=""),12,$B$9*(1+$B$10)/2+(12-$B$9))),"")</f>
        <v>614718.7200000001</v>
      </c>
      <c r="C14" s="22">
        <f>IF($B$13="","",('P&amp;L Mensual'!B15*12)*(1+C6)*(1+C7))</f>
        <v>759792.3379200002</v>
      </c>
      <c r="D14" s="22">
        <f>IF($B$13="","",C14*(1+D6)*(1+D7))</f>
        <v>821715.4134604802</v>
      </c>
      <c r="E14" s="28" t="inlineStr">
        <is>
          <t>Los costes variables llevan la misma rampa que las ventas; los fijos y la amortización, no.</t>
        </is>
      </c>
    </row>
    <row r="15">
      <c r="A15" t="inlineStr">
        <is>
          <t>Margen bruto (€)</t>
        </is>
      </c>
      <c r="B15" s="22">
        <f>IF($B$13="","",B13-B14)</f>
        <v>1434343.6800000002</v>
      </c>
      <c r="C15" s="22">
        <f>IF($B$13="","",C13-C14)</f>
        <v>1699082.54208</v>
      </c>
      <c r="D15" s="22">
        <f>IF($B$13="","",D13-D14)</f>
        <v>1760103.2105395203</v>
      </c>
    </row>
    <row r="16">
      <c r="A16" t="inlineStr">
        <is>
          <t>Costes fijos sin amortización (€)</t>
        </is>
      </c>
      <c r="B16" s="22">
        <f>IFERROR(IF($B$13="","",'P&amp;L Mensual'!B32*12),"")</f>
        <v>1185620.16</v>
      </c>
      <c r="C16" s="22">
        <f>IF($B$13="","",B16*(1+C7))</f>
        <v>1221188.7648</v>
      </c>
      <c r="D16" s="22">
        <f>IF($B$13="","",C16*(1+D7))</f>
        <v>1257824.427744</v>
      </c>
    </row>
    <row r="17">
      <c r="A17" t="inlineStr">
        <is>
          <t>EBITDA (€)</t>
        </is>
      </c>
      <c r="B17" s="27">
        <f>IF($B$13="","",B15-B16)</f>
        <v>248723.52000000025</v>
      </c>
      <c r="C17" s="27">
        <f>IF($B$13="","",C15-C16)</f>
        <v>477893.77728000004</v>
      </c>
      <c r="D17" s="27">
        <f>IF($B$13="","",D15-D16)</f>
        <v>502278.78279552027</v>
      </c>
    </row>
    <row r="18">
      <c r="A18" t="inlineStr">
        <is>
          <t>Amortización (€)</t>
        </is>
      </c>
      <c r="B18" s="22">
        <f>IFERROR(IF($B$13="","",'P&amp;L Mensual'!B30*12),"")</f>
        <v>72000.0</v>
      </c>
      <c r="C18" s="22">
        <f>IF($B$13="","",B18)</f>
        <v>72000.0</v>
      </c>
      <c r="D18" s="22">
        <f>IF($B$13="","",C18)</f>
        <v>72000.0</v>
      </c>
    </row>
    <row r="19">
      <c r="A19" t="inlineStr">
        <is>
          <t>EBIT — resultado de explotación (€)</t>
        </is>
      </c>
      <c r="B19" s="22">
        <f>IF($B$13="","",B17-B18)</f>
        <v>176723.52000000025</v>
      </c>
      <c r="C19" s="22">
        <f>IF($B$13="","",C17-C18)</f>
        <v>405893.77728000004</v>
      </c>
      <c r="D19" s="22">
        <f>IF($B$13="","",D17-D18)</f>
        <v>430278.78279552027</v>
      </c>
    </row>
    <row r="20">
      <c r="A20" t="inlineStr">
        <is>
          <t>Gastos financieros (€)</t>
        </is>
      </c>
      <c r="B20" s="22">
        <f>IF($B$13="","",IF(ISNUMBER('Financiación'!D18),'Financiación'!D18,0))</f>
        <v>38500.0</v>
      </c>
      <c r="C20" s="22">
        <f>IF($B$13="","",IF(ISNUMBER('Financiación'!D19),'Financiación'!D19,0))</f>
        <v>36956.88325917194</v>
      </c>
      <c r="D20" s="22">
        <f>IF($B$13="","",IF(ISNUMBER('Financiación'!D20),'Financiación'!D20,0))</f>
        <v>33469.34928176526</v>
      </c>
      <c r="E20" s="28" t="inlineStr">
        <is>
          <t>Intereses del año, tomados del cuadro francés de la hoja «Financiación».</t>
        </is>
      </c>
    </row>
    <row r="21">
      <c r="A21" t="inlineStr">
        <is>
          <t>BAI — beneficio antes de impuestos (€)</t>
        </is>
      </c>
      <c r="B21" s="22">
        <f>IF($B$13="","",B19-B20)</f>
        <v>138223.52000000025</v>
      </c>
      <c r="C21" s="22">
        <f>IF($B$13="","",C19-C20)</f>
        <v>368936.89402082807</v>
      </c>
      <c r="D21" s="22">
        <f>IF($B$13="","",D19-D20)</f>
        <v>396809.433513755</v>
      </c>
    </row>
    <row r="22">
      <c r="A22" t="inlineStr">
        <is>
          <t>Impuesto de Sociedades (€)</t>
        </is>
      </c>
      <c r="B22" s="22">
        <f>IF($B$13="","",IF(B21&lt;=0,0,B21*B8))</f>
        <v>34555.88000000006</v>
      </c>
      <c r="C22" s="22">
        <f>IF($B$13="","",IF(C21&lt;=0,0,C21*C8))</f>
        <v>92234.22350520702</v>
      </c>
      <c r="D22" s="22">
        <f>IF($B$13="","",IF(D21&lt;=0,0,D21*D8))</f>
        <v>99202.35837843874</v>
      </c>
    </row>
    <row r="23">
      <c r="A23" t="inlineStr">
        <is>
          <t>Resultado neto (€)</t>
        </is>
      </c>
      <c r="B23" s="27">
        <f>IF($B$13="","",B21-B22)</f>
        <v>103667.64000000019</v>
      </c>
      <c r="C23" s="27">
        <f>IF($B$13="","",C21-C22)</f>
        <v>276702.6705156211</v>
      </c>
      <c r="D23" s="27">
        <f>IF($B$13="","",D21-D22)</f>
        <v>297607.07513531623</v>
      </c>
    </row>
    <row r="24">
      <c r="A24" t="inlineStr">
        <is>
          <t>Margen EBITDA (%)</t>
        </is>
      </c>
      <c r="B24" s="23">
        <f>IF($B$13="","",IFERROR(B17/B13,""))</f>
        <v>0.12138406326718026</v>
      </c>
      <c r="C24" s="23">
        <f>IF($B$13="","",IFERROR(C17/C13,""))</f>
        <v>0.1943546543043296</v>
      </c>
      <c r="D24" s="23">
        <f>IF($B$13="","",IFERROR(D17/D13,""))</f>
        <v>0.1945445656509139</v>
      </c>
    </row>
  </sheetData>
  <sheetProtection selectLockedCells="0" selectUnlockedCells="0" sheet="1" objects="0" insertRows="0" insertHyperlinks="1" autoFilter="1" scenarios="0" formatColumns="0" deleteColumns="1" insertColumns="1" pivotTables="1" deleteRows="1" formatCells="1" formatRows="0" sort="0"/>
  <conditionalFormatting sqref="C6">
    <cfRule type="expression" priority="5" dxfId="1" stopIfTrue="1">
      <formula>=AND(ISNUMBER(C6),C6&gt;0.3)</formula>
    </cfRule>
  </conditionalFormatting>
  <conditionalFormatting sqref="D6">
    <cfRule type="expression" priority="5" dxfId="1" stopIfTrue="1">
      <formula>=AND(ISNUMBER(D6),D6&gt;0.3)</formula>
    </cfRule>
  </conditionalFormatting>
  <conditionalFormatting sqref="B17:D17">
    <cfRule type="expression" priority="5" dxfId="0" stopIfTrue="1">
      <formula>=AND(ISNUMBER(B17),B17&lt;0)</formula>
    </cfRule>
  </conditionalFormatting>
  <conditionalFormatting sqref="B23:D23">
    <cfRule type="expression" priority="5" dxfId="0" stopIfTrue="1">
      <formula>=AND(ISNUMBER(B23),B23&lt;0)</formula>
    </cfRule>
  </conditionalFormatting>
  <conditionalFormatting sqref="B24:D24">
    <cfRule type="expression" priority="5" dxfId="0" stopIfTrue="1">
      <formula>=AND(ISNUMBER(B24),B24&lt;0)</formula>
    </cfRule>
  </conditionalFormatting>
  <dataValidations count="4">
    <dataValidation sqref="C6 C7 D6 D7" showDropDown="0" showInputMessage="1" showErrorMessage="1" allowBlank="1" errorTitle="Porcentaje" error="Escribe un porcentaje entre -0,5 y 1 (0,08 = 8 %). Admite negativo: una caída de ventas es -0,10." promptTitle="Porcentaje" prompt="Se escribe en tanto por uno: 0,08 = 8 %. Admite negativo para una caída de ventas." type="decimal" operator="between">
      <formula1>-0.5</formula1>
      <formula2>1.0</formula2>
    </dataValidation>
    <dataValidation sqref="B9" showDropDown="0" showInputMessage="1" showErrorMessage="1" allowBlank="1" errorTitle="Meses de rampa" error="Un número entero entre 0 y 12. 0 = abres ya al ritmo de crucero (el año 1 sería el mes tipo × 12)." promptTitle="Meses de rampa" prompt="Meses que tardas en llegar al mes de crucero. Con 0 el año 1 es el P&amp;L mensual × 12." type="decimal" operator="between">
      <formula1>0</formula1>
      <formula2>12</formula2>
    </dataValidation>
    <dataValidation sqref="B10" showDropDown="0" showInputMessage="1" showErrorMessage="1" allowBlank="1" errorTitle="Porcentaje del crucero" error="Se escribe en tanto por uno: 0,60 = 60 % del mes de crucero." promptTitle="Porcentaje del crucero" prompt="Qué parte del mes de crucero facturas el PRIMER mes. Entre 0 y 1 (0,60 = 60 %)." type="decimal" operator="between">
      <formula1>0</formula1>
      <formula2>1</formula2>
    </dataValidation>
    <dataValidation sqref="B8 C8 D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36"/>
  <sheetViews>
    <sheetView workbookViewId="0">
      <selection activeCell="A1" sqref="A1"/>
    </sheetView>
  </sheetViews>
  <sheetFormatPr baseColWidth="8" defaultRowHeight="15"/>
  <cols>
    <col width="60" customWidth="1" min="1" max="1"/>
    <col width="21" customWidth="1" min="2" max="2"/>
    <col width="19" customWidth="1" min="3" max="3"/>
    <col width="15" customWidth="1" min="4" max="4"/>
    <col width="32" customWidth="1" min="5" max="5"/>
    <col width="13" customWidth="1" min="6" max="6"/>
  </cols>
  <sheetData>
    <row r="1">
      <c r="A1" s="34" t="inlineStr">
        <is>
          <t>Financiación del proyecto</t>
        </is>
      </c>
    </row>
    <row r="2">
      <c r="A2" s="29" t="inlineStr">
        <is>
          <t>AI Chef Pro · aichef.pro — Restaurante Gastronómico</t>
        </is>
      </c>
    </row>
    <row r="3"/>
    <row r="4">
      <c r="A4" s="24" t="inlineStr">
        <is>
          <t>PARÁMETROS DEL PRÉSTAMO</t>
        </is>
      </c>
    </row>
    <row r="5">
      <c r="A5" t="inlineStr">
        <is>
          <t>Importe del préstamo (€)</t>
        </is>
      </c>
      <c r="B5" s="37" t="n">
        <v>700000</v>
      </c>
      <c r="C5" s="22" t="n"/>
      <c r="D5" s="22" t="n"/>
      <c r="E5" s="22" t="n"/>
    </row>
    <row r="6">
      <c r="A6" t="inlineStr">
        <is>
          <t>Plazo (años)</t>
        </is>
      </c>
      <c r="B6" s="26" t="n">
        <v>10</v>
      </c>
    </row>
    <row r="7">
      <c r="A7" t="inlineStr">
        <is>
          <t>Tipo de interés nominal anual (%)</t>
        </is>
      </c>
      <c r="B7" s="36" t="n">
        <v>0.055</v>
      </c>
      <c r="C7" s="23" t="n"/>
      <c r="D7" s="23" t="n"/>
      <c r="E7" s="23" t="n"/>
    </row>
    <row r="8">
      <c r="A8" t="inlineStr">
        <is>
          <t>Carencia (años, solo intereses)</t>
        </is>
      </c>
      <c r="B8" s="26" t="n">
        <v>1</v>
      </c>
    </row>
    <row r="9"/>
    <row r="10">
      <c r="A10" t="inlineStr">
        <is>
          <t>Tipo mensual (%)</t>
        </is>
      </c>
      <c r="B10" s="38">
        <f>B7/12</f>
        <v>0.004583333333333333</v>
      </c>
      <c r="C10" s="23" t="n"/>
      <c r="D10" s="23" t="n"/>
      <c r="E10" s="23" t="n"/>
    </row>
    <row r="11">
      <c r="A11" t="inlineStr">
        <is>
          <t>Cuotas de amortización (meses)</t>
        </is>
      </c>
      <c r="B11" s="25">
        <f>(B6-B8)*12</f>
        <v>108.0</v>
      </c>
      <c r="C11" s="25" t="n"/>
      <c r="D11" s="25" t="n"/>
      <c r="E11" s="25" t="n"/>
    </row>
    <row r="12">
      <c r="A12" t="inlineStr">
        <is>
          <t>Cuota MENSUAL tras la carencia (€) — la que va al cash flow</t>
        </is>
      </c>
      <c r="B12" s="27">
        <f>IF(B5=0,"",IF(B11&lt;=0,"",IFERROR(B5*B10/(1-(1+B10)^-B11),"")))</f>
        <v>8231.997943918335</v>
      </c>
      <c r="C12" s="22" t="n"/>
      <c r="D12" s="22" t="n"/>
      <c r="E12" s="22" t="n"/>
    </row>
    <row r="13">
      <c r="A13" t="inlineStr">
        <is>
          <t>Cuota mensual DURANTE la carencia (€) — solo intereses</t>
        </is>
      </c>
      <c r="B13" s="22">
        <f>IF(B5=0,"",IF(B8&lt;=0,"",B5*B10))</f>
        <v>3208.3333333333335</v>
      </c>
      <c r="C13" s="22" t="n"/>
      <c r="D13" s="22" t="n"/>
      <c r="E13" s="22" t="n"/>
    </row>
    <row r="14">
      <c r="A14" t="inlineStr">
        <is>
          <t>Meses de carencia</t>
        </is>
      </c>
      <c r="B14" s="25">
        <f>B8*12</f>
        <v>12.0</v>
      </c>
      <c r="C14" s="25" t="n"/>
      <c r="D14" s="25" t="n"/>
      <c r="E14" s="25" t="n"/>
    </row>
    <row r="15">
      <c r="A15" s="28" t="inlineStr">
        <is>
          <t>La cuota se calcula como anualidad: importe × i / (1 - (1+i)^-n), con i mensual y n el número de cuotas. Durante la carencia solo se pagan intereses y el capital pendiente no baja.</t>
        </is>
      </c>
      <c r="B15" s="22" t="n"/>
      <c r="C15" s="22" t="n"/>
      <c r="D15" s="22" t="n"/>
      <c r="E15" s="22" t="n"/>
    </row>
    <row r="16">
      <c r="A16" s="28" t="inlineStr">
        <is>
          <t>El cuadro cubre 10 años; si tu plazo es mayor, copia la última fila hacia abajo. La cuota mensual de B12 es la que se repite en cash-flow-break-even.xlsx (no hay enlace entre libros: un .xlsx movido de carpeta daría #REF!).</t>
        </is>
      </c>
      <c r="B16" s="22" t="n"/>
      <c r="C16" s="22" t="n"/>
      <c r="D16" s="22" t="n"/>
      <c r="E16" s="22" t="n"/>
    </row>
    <row r="17">
      <c r="A17" s="35" t="inlineStr">
        <is>
          <t>Año</t>
        </is>
      </c>
      <c r="B17" s="35" t="inlineStr">
        <is>
          <t>Capital inicial (€)</t>
        </is>
      </c>
      <c r="C17" s="35" t="inlineStr">
        <is>
          <t>Cuota del año (€)</t>
        </is>
      </c>
      <c r="D17" s="35" t="inlineStr">
        <is>
          <t>Intereses (€)</t>
        </is>
      </c>
      <c r="E17" s="35" t="inlineStr">
        <is>
          <t>Amortización del principal (€)</t>
        </is>
      </c>
      <c r="F17" s="35" t="inlineStr">
        <is>
          <t>Capital pendiente (€)</t>
        </is>
      </c>
    </row>
    <row r="18">
      <c r="A18" s="25" t="n">
        <v>1</v>
      </c>
      <c r="B18" s="22">
        <f>$B$5</f>
        <v>700000.0</v>
      </c>
      <c r="C18" s="22">
        <f>IF($B$8&gt;=$B$6,"La carencia no puede igualar ni superar el plazo",IF(A18&gt;$B$6,0,IF(A18&lt;=$B$8,$B$5*$B$7,$B$12*12)))</f>
        <v>38500.0</v>
      </c>
      <c r="D18" s="22">
        <f>IF(ISNUMBER(C18),C18-E18,B18*$B$7)</f>
        <v>38500.0</v>
      </c>
      <c r="E18" s="22">
        <f>IF(ISNUMBER(C18),B18-F18,0)</f>
        <v>0.0</v>
      </c>
      <c r="F18" s="22">
        <f>IF($B$8&gt;=$B$6,B18,IF(A18&gt;=$B$6,0,IFERROR($B$5*((1+$B$10)^$B$11-(1+$B$10)^MIN($B$11,MAX(0,12*A18-$B$14)))/((1+$B$10)^$B$11-1),B18)))</f>
        <v>700000.0</v>
      </c>
    </row>
    <row r="19">
      <c r="A19" s="25" t="n">
        <v>2</v>
      </c>
      <c r="B19" s="22">
        <f>F18</f>
        <v>700000.0</v>
      </c>
      <c r="C19" s="22">
        <f>IF($B$8&gt;=$B$6,"La carencia no puede igualar ni superar el plazo",IF(A19&gt;$B$6,0,IF(A19&lt;=$B$8,$B$5*$B$7,$B$12*12)))</f>
        <v>98783.97532702002</v>
      </c>
      <c r="D19" s="22">
        <f>IF(ISNUMBER(C19),C19-E19,B19*$B$7)</f>
        <v>36956.88325917194</v>
      </c>
      <c r="E19" s="22">
        <f>IF(ISNUMBER(C19),B19-F19,0)</f>
        <v>61827.092067848076</v>
      </c>
      <c r="F19" s="22">
        <f>IF($B$8&gt;=$B$6,B19,IF(A19&gt;=$B$6,0,IFERROR($B$5*((1+$B$10)^$B$11-(1+$B$10)^MIN($B$11,MAX(0,12*A19-$B$14)))/((1+$B$10)^$B$11-1),B19)))</f>
        <v>638172.9079321519</v>
      </c>
    </row>
    <row r="20">
      <c r="A20" s="25" t="n">
        <v>3</v>
      </c>
      <c r="B20" s="22">
        <f>F19</f>
        <v>638172.9079321519</v>
      </c>
      <c r="C20" s="22">
        <f>IF($B$8&gt;=$B$6,"La carencia no puede igualar ni superar el plazo",IF(A20&gt;$B$6,0,IF(A20&lt;=$B$8,$B$5*$B$7,$B$12*12)))</f>
        <v>98783.97532702002</v>
      </c>
      <c r="D20" s="22">
        <f>IF(ISNUMBER(C20),C20-E20,B20*$B$7)</f>
        <v>33469.34928176526</v>
      </c>
      <c r="E20" s="22">
        <f>IF(ISNUMBER(C20),B20-F20,0)</f>
        <v>65314.62604525476</v>
      </c>
      <c r="F20" s="22">
        <f>IF($B$8&gt;=$B$6,B20,IF(A20&gt;=$B$6,0,IFERROR($B$5*((1+$B$10)^$B$11-(1+$B$10)^MIN($B$11,MAX(0,12*A20-$B$14)))/((1+$B$10)^$B$11-1),B20)))</f>
        <v>572858.2818868972</v>
      </c>
    </row>
    <row r="21">
      <c r="A21" s="25" t="n">
        <v>4</v>
      </c>
      <c r="B21" s="22">
        <f>F20</f>
        <v>572858.2818868972</v>
      </c>
      <c r="C21" s="22">
        <f>IF($B$8&gt;=$B$6,"La carencia no puede igualar ni superar el plazo",IF(A21&gt;$B$6,0,IF(A21&lt;=$B$8,$B$5*$B$7,$B$12*12)))</f>
        <v>98783.97532702002</v>
      </c>
      <c r="D21" s="22">
        <f>IF(ISNUMBER(C21),C21-E21,B21*$B$7)</f>
        <v>29785.090974670806</v>
      </c>
      <c r="E21" s="22">
        <f>IF(ISNUMBER(C21),B21-F21,0)</f>
        <v>68998.88435234921</v>
      </c>
      <c r="F21" s="22">
        <f>IF($B$8&gt;=$B$6,B21,IF(A21&gt;=$B$6,0,IFERROR($B$5*((1+$B$10)^$B$11-(1+$B$10)^MIN($B$11,MAX(0,12*A21-$B$14)))/((1+$B$10)^$B$11-1),B21)))</f>
        <v>503859.39753454796</v>
      </c>
    </row>
    <row r="22">
      <c r="A22" s="25" t="n">
        <v>5</v>
      </c>
      <c r="B22" s="22">
        <f>F21</f>
        <v>503859.39753454796</v>
      </c>
      <c r="C22" s="22">
        <f>IF($B$8&gt;=$B$6,"La carencia no puede igualar ni superar el plazo",IF(A22&gt;$B$6,0,IF(A22&lt;=$B$8,$B$5*$B$7,$B$12*12)))</f>
        <v>98783.97532702002</v>
      </c>
      <c r="D22" s="22">
        <f>IF(ISNUMBER(C22),C22-E22,B22*$B$7)</f>
        <v>25893.011539366067</v>
      </c>
      <c r="E22" s="22">
        <f>IF(ISNUMBER(C22),B22-F22,0)</f>
        <v>72890.96378765395</v>
      </c>
      <c r="F22" s="22">
        <f>IF($B$8&gt;=$B$6,B22,IF(A22&gt;=$B$6,0,IFERROR($B$5*((1+$B$10)^$B$11-(1+$B$10)^MIN($B$11,MAX(0,12*A22-$B$14)))/((1+$B$10)^$B$11-1),B22)))</f>
        <v>430968.433746894</v>
      </c>
    </row>
    <row r="23">
      <c r="A23" s="25" t="n">
        <v>6</v>
      </c>
      <c r="B23" s="22">
        <f>F22</f>
        <v>430968.433746894</v>
      </c>
      <c r="C23" s="22">
        <f>IF($B$8&gt;=$B$6,"La carencia no puede igualar ni superar el plazo",IF(A23&gt;$B$6,0,IF(A23&lt;=$B$8,$B$5*$B$7,$B$12*12)))</f>
        <v>98783.97532702002</v>
      </c>
      <c r="D23" s="22">
        <f>IF(ISNUMBER(C23),C23-E23,B23*$B$7)</f>
        <v>21781.388230664626</v>
      </c>
      <c r="E23" s="22">
        <f>IF(ISNUMBER(C23),B23-F23,0)</f>
        <v>77002.58709635539</v>
      </c>
      <c r="F23" s="22">
        <f>IF($B$8&gt;=$B$6,B23,IF(A23&gt;=$B$6,0,IFERROR($B$5*((1+$B$10)^$B$11-(1+$B$10)^MIN($B$11,MAX(0,12*A23-$B$14)))/((1+$B$10)^$B$11-1),B23)))</f>
        <v>353965.8466505386</v>
      </c>
    </row>
    <row r="24">
      <c r="A24" s="25" t="n">
        <v>7</v>
      </c>
      <c r="B24" s="22">
        <f>F23</f>
        <v>353965.8466505386</v>
      </c>
      <c r="C24" s="22">
        <f>IF($B$8&gt;=$B$6,"La carencia no puede igualar ni superar el plazo",IF(A24&gt;$B$6,0,IF(A24&lt;=$B$8,$B$5*$B$7,$B$12*12)))</f>
        <v>98783.97532702002</v>
      </c>
      <c r="D24" s="22">
        <f>IF(ISNUMBER(C24),C24-E24,B24*$B$7)</f>
        <v>17437.83704840843</v>
      </c>
      <c r="E24" s="22">
        <f>IF(ISNUMBER(C24),B24-F24,0)</f>
        <v>81346.13827861159</v>
      </c>
      <c r="F24" s="22">
        <f>IF($B$8&gt;=$B$6,B24,IF(A24&gt;=$B$6,0,IFERROR($B$5*((1+$B$10)^$B$11-(1+$B$10)^MIN($B$11,MAX(0,12*A24-$B$14)))/((1+$B$10)^$B$11-1),B24)))</f>
        <v>272619.70837192703</v>
      </c>
    </row>
    <row r="25">
      <c r="A25" s="25" t="n">
        <v>8</v>
      </c>
      <c r="B25" s="22">
        <f>F24</f>
        <v>272619.70837192703</v>
      </c>
      <c r="C25" s="22">
        <f>IF($B$8&gt;=$B$6,"La carencia no puede igualar ni superar el plazo",IF(A25&gt;$B$6,0,IF(A25&lt;=$B$8,$B$5*$B$7,$B$12*12)))</f>
        <v>98783.97532702002</v>
      </c>
      <c r="D25" s="22">
        <f>IF(ISNUMBER(C25),C25-E25,B25*$B$7)</f>
        <v>12849.275437486154</v>
      </c>
      <c r="E25" s="22">
        <f>IF(ISNUMBER(C25),B25-F25,0)</f>
        <v>85934.69988953386</v>
      </c>
      <c r="F25" s="22">
        <f>IF($B$8&gt;=$B$6,B25,IF(A25&gt;=$B$6,0,IFERROR($B$5*((1+$B$10)^$B$11-(1+$B$10)^MIN($B$11,MAX(0,12*A25-$B$14)))/((1+$B$10)^$B$11-1),B25)))</f>
        <v>186685.00848239317</v>
      </c>
    </row>
    <row r="26">
      <c r="A26" s="25" t="n">
        <v>9</v>
      </c>
      <c r="B26" s="22">
        <f>F25</f>
        <v>186685.00848239317</v>
      </c>
      <c r="C26" s="22">
        <f>IF($B$8&gt;=$B$6,"La carencia no puede igualar ni superar el plazo",IF(A26&gt;$B$6,0,IF(A26&lt;=$B$8,$B$5*$B$7,$B$12*12)))</f>
        <v>98783.97532702002</v>
      </c>
      <c r="D26" s="22">
        <f>IF(ISNUMBER(C26),C26-E26,B26*$B$7)</f>
        <v>8001.882883844286</v>
      </c>
      <c r="E26" s="22">
        <f>IF(ISNUMBER(C26),B26-F26,0)</f>
        <v>90782.09244317573</v>
      </c>
      <c r="F26" s="22">
        <f>IF($B$8&gt;=$B$6,B26,IF(A26&gt;=$B$6,0,IFERROR($B$5*((1+$B$10)^$B$11-(1+$B$10)^MIN($B$11,MAX(0,12*A26-$B$14)))/((1+$B$10)^$B$11-1),B26)))</f>
        <v>95902.91603921744</v>
      </c>
    </row>
    <row r="27">
      <c r="A27" s="25" t="n">
        <v>10</v>
      </c>
      <c r="B27" s="22">
        <f>F26</f>
        <v>95902.91603921744</v>
      </c>
      <c r="C27" s="22">
        <f>IF($B$8&gt;=$B$6,"La carencia no puede igualar ni superar el plazo",IF(A27&gt;$B$6,0,IF(A27&lt;=$B$8,$B$5*$B$7,$B$12*12)))</f>
        <v>98783.97532702002</v>
      </c>
      <c r="D27" s="22">
        <f>IF(ISNUMBER(C27),C27-E27,B27*$B$7)</f>
        <v>2881.059287802578</v>
      </c>
      <c r="E27" s="22">
        <f>IF(ISNUMBER(C27),B27-F27,0)</f>
        <v>95902.91603921744</v>
      </c>
      <c r="F27" s="22">
        <f>IF($B$8&gt;=$B$6,B27,IF(A27&gt;=$B$6,0,IFERROR($B$5*((1+$B$10)^$B$11-(1+$B$10)^MIN($B$11,MAX(0,12*A27-$B$14)))/((1+$B$10)^$B$11-1),B27)))</f>
        <v>0.0</v>
      </c>
    </row>
    <row r="28"/>
    <row r="29">
      <c r="A29" s="24" t="inlineStr">
        <is>
          <t>PLAN DE FINANCIACIÓN — tiene que cuadrar con la hoja «Inversión»</t>
        </is>
      </c>
      <c r="B29" s="22" t="n"/>
      <c r="C29" s="22" t="n"/>
      <c r="D29" s="22" t="n"/>
      <c r="E29" s="22" t="n"/>
    </row>
    <row r="30">
      <c r="A30" t="inlineStr">
        <is>
          <t>Necesidad total de financiación (€)</t>
        </is>
      </c>
      <c r="B30" s="22">
        <f>IF('Inversión'!C46="","",'Inversión'!C46)</f>
        <v>1889944.2399999998</v>
      </c>
      <c r="C30" s="28" t="inlineStr">
        <is>
          <t>Sale de la hoja «Inversión» de este mismo libro: los 22 conceptos de CAPEX (con el fondo de maniobra ya calculado) más los costes de preapertura.</t>
        </is>
      </c>
      <c r="D30" s="22" t="n"/>
      <c r="E30" s="22" t="n"/>
    </row>
    <row r="31">
      <c r="A31" t="inlineStr">
        <is>
          <t>Fondos propios / aportación de socios (€)</t>
        </is>
      </c>
      <c r="B31" s="37" t="n">
        <v>1189944.24</v>
      </c>
      <c r="C31" s="22" t="n"/>
      <c r="D31" s="22" t="n"/>
      <c r="E31" s="22" t="n"/>
    </row>
    <row r="32">
      <c r="A32" t="inlineStr">
        <is>
          <t>Préstamo bancario (€)</t>
        </is>
      </c>
      <c r="B32" s="22">
        <f>B5</f>
        <v>700000.0</v>
      </c>
      <c r="C32" s="22" t="n"/>
      <c r="D32" s="22" t="n"/>
      <c r="E32" s="22" t="n"/>
    </row>
    <row r="33">
      <c r="A33" t="inlineStr">
        <is>
          <t>Otras fuentes (subvención, ENISA, socio industrial) (€)</t>
        </is>
      </c>
      <c r="B33" s="37" t="n">
        <v>0</v>
      </c>
      <c r="C33" s="22" t="n"/>
      <c r="D33" s="22" t="n"/>
      <c r="E33" s="22" t="n"/>
    </row>
    <row r="34">
      <c r="A34" s="24" t="inlineStr">
        <is>
          <t>TOTAL FINANCIACIÓN (€)</t>
        </is>
      </c>
      <c r="B34" s="27">
        <f>IF(COUNT(B31:B33)=0,"",SUM(B31:B33))</f>
        <v>1889944.24</v>
      </c>
      <c r="C34" s="22" t="n"/>
      <c r="D34" s="22" t="n"/>
      <c r="E34" s="22" t="n"/>
    </row>
    <row r="35">
      <c r="A35" s="24" t="inlineStr">
        <is>
          <t>Diferencia (necesidad - financiación) (€)</t>
        </is>
      </c>
      <c r="B35" s="27">
        <f>IF(OR(B30="",B34=""),"",ROUND(B30-B34,2))</f>
        <v>-0.0</v>
      </c>
      <c r="C35" s="22" t="n"/>
      <c r="D35" s="22" t="n"/>
      <c r="E35" s="22" t="n"/>
    </row>
    <row r="36">
      <c r="A36" s="28" t="inlineStr">
        <is>
          <t>Si esta fila no es cero, el plan NO está financiado: sube el préstamo o los fondos propios, baja los meses de colchón o recorta el CAPEX. Es la primera comprobación que hace un analista de riesgos y la que decide si el expediente sigue adelante.</t>
        </is>
      </c>
      <c r="B36" s="25" t="n"/>
      <c r="C36" s="25" t="n"/>
      <c r="D36" s="25" t="n"/>
      <c r="E36" s="25" t="n"/>
    </row>
  </sheetData>
  <sheetProtection selectLockedCells="0" selectUnlockedCells="0" sheet="1" objects="0" insertRows="0" insertHyperlinks="1" autoFilter="1" scenarios="0" formatColumns="0" deleteColumns="1" insertColumns="1" pivotTables="1" deleteRows="1" formatCells="1" formatRows="0" sort="0"/>
  <conditionalFormatting sqref="F18:F27">
    <cfRule type="expression" priority="2" dxfId="0" stopIfTrue="1">
      <formula>=AND(ISNUMBER($F18),$F18&lt;0)</formula>
    </cfRule>
  </conditionalFormatting>
  <conditionalFormatting sqref="B35">
    <cfRule type="expression" priority="2" dxfId="0" stopIfTrue="1">
      <formula>=AND(ISNUMBER(B35),ABS(B35)&gt;0.01)</formula>
    </cfRule>
  </conditionalFormatting>
  <dataValidations count="2">
    <dataValidation sqref="B5 B6 B8 B31 B33" showDropDown="0" showInputMessage="0" showErrorMessage="1" allowBlank="1" errorTitle="Importe no válido" error="Escribe un número mayor o igual que 0." type="decimal" operator="greaterThanOrEqual">
      <formula1>0</formula1>
    </dataValidation>
    <dataValidation sqref="B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3 Años — Restaurante Gastronómico · Cómo Montar un Restaurante Gastronómico 65 Plazas · v2.0</dc:title>
  <dc:description xmlns:dc="http://purl.org/dc/elements/1.1/">aichef.pro/guia-restaurante-gastronomico</dc:description>
  <dc:subject xmlns:dc="http://purl.org/dc/elements/1.1/">Cómo Montar un Restaurante Gastronómico 65 Plazas · v2.0</dc:subject>
  <dcterms:created xmlns:dcterms="http://purl.org/dc/terms/" xmlns:xsi="http://www.w3.org/2001/XMLSchema-instance" xsi:type="dcterms:W3CDTF">2026-04-05T22:25:49Z</dcterms:created>
  <dcterms:modified xmlns:dcterms="http://purl.org/dc/terms/" xmlns:xsi="http://www.w3.org/2001/XMLSchema-instance" xsi:type="dcterms:W3CDTF">2026-08-29T08:34:23Z</dcterms:modified>
  <cp:lastModifiedBy>AI Chef Pro</cp:lastModifiedBy>
  <cp:category>AI Chef Pro · Productos digitales</cp:category>
  <cp:keywords>guia restaurante gastronomico, AI Chef Pro</cp:keywords>
</cp:coreProperties>
</file>