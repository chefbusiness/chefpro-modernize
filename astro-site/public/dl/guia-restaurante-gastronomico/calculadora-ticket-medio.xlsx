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icket Medio" sheetId="2" state="visible" r:id="rId2"/>
  </sheets>
  <definedNames>
    <definedName name="_xlnm.Print_Titles" localSheetId="1">'Ticket Medio'!$4:$4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i val="1"/>
      <sz val="9"/>
    </font>
    <font>
      <b val="1"/>
      <sz val="11"/>
    </font>
    <font>
      <b val="1"/>
      <color rgb="00FFFFFF"/>
      <sz val="11"/>
    </font>
    <font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2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left" vertical="top"/>
      <protection locked="0" hidden="0"/>
    </xf>
    <xf numFmtId="0" fontId="7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165" fontId="4" fillId="4" borderId="1" applyAlignment="1" applyProtection="1" pivotButton="0" quotePrefix="0" xfId="0">
      <alignment horizontal="center" vertical="center" wrapText="1"/>
      <protection locked="0" hidden="0"/>
    </xf>
    <xf numFmtId="164" fontId="4" fillId="4" borderId="1" applyAlignment="1" applyProtection="1" pivotButton="0" quotePrefix="0" xfId="0">
      <alignment horizontal="center" vertical="center" wrapText="1"/>
      <protection locked="0" hidden="0"/>
    </xf>
    <xf numFmtId="165" fontId="0" fillId="0" borderId="0" pivotButton="0" quotePrefix="0" xfId="0"/>
    <xf numFmtId="0" fontId="7" fillId="0" borderId="0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center" vertical="center" wrapText="1"/>
    </xf>
    <xf numFmtId="3" fontId="4" fillId="4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164" fontId="0" fillId="0" borderId="0" pivotButton="0" quotePrefix="0" xfId="0"/>
    <xf numFmtId="165" fontId="0" fillId="4" borderId="0" applyProtection="1" pivotButton="0" quotePrefix="0" xfId="0">
      <protection locked="0" hidden="0"/>
    </xf>
    <xf numFmtId="165" fontId="7" fillId="0" borderId="0" applyAlignment="1" pivotButton="0" quotePrefix="0" xfId="0">
      <alignment horizontal="general" vertical="top" wrapText="1"/>
    </xf>
    <xf numFmtId="3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Calculadora Ticket Medio</t>
        </is>
      </c>
    </row>
    <row r="2">
      <c r="A2" s="2" t="inlineStr">
        <is>
          <t>AI Chef Pro · aichef.pro — Restaurante Gastronómico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Simula diferentes escenarios de mix de menús y vinos.</t>
        </is>
      </c>
    </row>
    <row r="6">
      <c r="A6" s="4" t="inlineStr">
        <is>
          <t>2. Calcula el ticket medio ponderado y la facturación estimada.</t>
        </is>
      </c>
    </row>
    <row r="7"/>
    <row r="8">
      <c r="A8" s="10" t="inlineStr">
        <is>
          <t>Celdas verdes = campos editables</t>
        </is>
      </c>
    </row>
    <row r="9"/>
    <row r="10">
      <c r="A10" s="11" t="inlineStr">
        <is>
          <t>Todas las cifras van SIN IVA. En el cash flow también se escriben sin IVA: su capa de IVA (modelo 303) lo añade aparte, porque la tesorería es caja.</t>
        </is>
      </c>
    </row>
    <row r="11">
      <c r="A11" s="11" t="inlineStr">
        <is>
          <t>Para editar la estructura o una celda que no esté en verde: Revisar → Desproteger hoja (no tiene contraseña).</t>
        </is>
      </c>
    </row>
    <row r="12">
      <c r="A12" s="11" t="inlineStr">
        <is>
          <t>Diseñado por John Guerrero — chef y consultor gastronómico desde 2010, en cocina desde los 17 años · johnguerrero.es</t>
        </is>
      </c>
    </row>
    <row r="13">
      <c r="A13" s="11" t="inlineStr">
        <is>
          <t>Versión 2.0 · agosto 2026 · aichef.pro/guia-restaurante-gastronomico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20" customWidth="1" min="5" max="5"/>
  </cols>
  <sheetData>
    <row r="1" ht="30" customHeight="1">
      <c r="A1" s="1" t="inlineStr">
        <is>
          <t>Simulador Ticket Medio — Escenarios</t>
        </is>
      </c>
    </row>
    <row r="2">
      <c r="A2" s="2" t="inlineStr">
        <is>
          <t>AI Chef Pro · aichef.pro — Restaurante Gastronómico</t>
        </is>
      </c>
    </row>
    <row r="3">
      <c r="A3" s="12" t="inlineStr">
        <is>
          <t>Todas las cifras van SIN IVA. En el cash flow también se escriben sin IVA: su capa de IVA (modelo 303) lo añade aparte, porque la tesorería es caja.</t>
        </is>
      </c>
    </row>
    <row r="4">
      <c r="A4" s="6" t="inlineStr">
        <is>
          <t>Concepto</t>
        </is>
      </c>
      <c r="B4" s="13" t="inlineStr">
        <is>
          <t>Pesimista</t>
        </is>
      </c>
      <c r="C4" s="13" t="inlineStr">
        <is>
          <t>Realista</t>
        </is>
      </c>
      <c r="D4" s="13" t="inlineStr">
        <is>
          <t>Optimista</t>
        </is>
      </c>
      <c r="E4" s="6" t="inlineStr">
        <is>
          <t>Notas</t>
        </is>
      </c>
    </row>
    <row r="5">
      <c r="A5" s="7" t="inlineStr">
        <is>
          <t>% comensales menú degustación largo</t>
        </is>
      </c>
      <c r="B5" s="14" t="n">
        <v>0.3</v>
      </c>
      <c r="C5" s="14" t="n">
        <v>0.4</v>
      </c>
      <c r="D5" s="14" t="n">
        <v>0.65</v>
      </c>
    </row>
    <row r="6">
      <c r="A6" s="7" t="inlineStr">
        <is>
          <t>Precio menú largo (€)</t>
        </is>
      </c>
      <c r="B6" s="15" t="n">
        <v>110</v>
      </c>
      <c r="C6" s="15" t="n">
        <v>130</v>
      </c>
      <c r="D6" s="15" t="n">
        <v>120</v>
      </c>
    </row>
    <row r="7">
      <c r="A7" s="7" t="inlineStr">
        <is>
          <t>% comensales menú degustación corto</t>
        </is>
      </c>
      <c r="B7" s="14" t="n">
        <v>0.25</v>
      </c>
      <c r="C7" s="14" t="n">
        <v>0.2</v>
      </c>
      <c r="D7" s="14" t="n">
        <v>0.2</v>
      </c>
    </row>
    <row r="8">
      <c r="A8" s="7" t="inlineStr">
        <is>
          <t>Precio menú corto (€)</t>
        </is>
      </c>
      <c r="B8" s="15" t="n">
        <v>70</v>
      </c>
      <c r="C8" s="15" t="n">
        <v>75</v>
      </c>
      <c r="D8" s="15" t="n">
        <v>72</v>
      </c>
    </row>
    <row r="9">
      <c r="A9" s="7" t="inlineStr">
        <is>
          <t>% comensales carta</t>
        </is>
      </c>
      <c r="B9" s="14" t="n">
        <v>0.45</v>
      </c>
      <c r="C9" s="14" t="n">
        <v>0.4</v>
      </c>
      <c r="D9" s="14" t="n">
        <v>0.15</v>
      </c>
    </row>
    <row r="10">
      <c r="A10" s="7" t="inlineStr">
        <is>
          <t>Ticket medio carta (€)</t>
        </is>
      </c>
      <c r="B10" s="15" t="n">
        <v>75</v>
      </c>
      <c r="C10" s="15" t="n">
        <v>85</v>
      </c>
      <c r="D10" s="15" t="n">
        <v>82</v>
      </c>
    </row>
    <row r="11">
      <c r="A11" s="7" t="inlineStr">
        <is>
          <t>% comensales con maridaje vinos</t>
        </is>
      </c>
      <c r="B11" s="14" t="n">
        <v>0.2</v>
      </c>
      <c r="C11" s="14" t="n">
        <v>0.3</v>
      </c>
      <c r="D11" s="14" t="n">
        <v>0.5</v>
      </c>
    </row>
    <row r="12">
      <c r="A12" s="7" t="inlineStr">
        <is>
          <t>Precio maridaje (€)</t>
        </is>
      </c>
      <c r="B12" s="15" t="n">
        <v>55</v>
      </c>
      <c r="C12" s="15" t="n">
        <v>60</v>
      </c>
      <c r="D12" s="15" t="n">
        <v>57</v>
      </c>
    </row>
    <row r="13">
      <c r="A13" s="7" t="inlineStr">
        <is>
          <t>% comensales con copa de vino</t>
        </is>
      </c>
      <c r="B13" s="14" t="n">
        <v>0.35</v>
      </c>
      <c r="C13" s="14" t="n">
        <v>0.3</v>
      </c>
      <c r="D13" s="14" t="n">
        <v>0.2</v>
      </c>
    </row>
    <row r="14">
      <c r="A14" s="7" t="inlineStr">
        <is>
          <t>Precio copa media (€)</t>
        </is>
      </c>
      <c r="B14" s="15" t="n">
        <v>13</v>
      </c>
      <c r="C14" s="15" t="n">
        <v>14</v>
      </c>
      <c r="D14" s="15" t="n">
        <v>14</v>
      </c>
    </row>
    <row r="15">
      <c r="A15" s="7" t="inlineStr">
        <is>
          <t>% de comensales asignado (debe sumar 100 %)</t>
        </is>
      </c>
      <c r="B15" s="16">
        <f>B5+B7+B9</f>
        <v>1.0</v>
      </c>
      <c r="C15" s="16">
        <f>C5+C7+C9</f>
        <v>1.0</v>
      </c>
      <c r="D15" s="16">
        <f>D5+D7+D9</f>
        <v>1.0</v>
      </c>
      <c r="E15" s="17" t="inlineStr">
        <is>
          <t>Los tramos del menú se reparten el 100 % de los comensales. El maridaje y la copa NO entran aquí: son consumo adicional sobre el mismo comensal, por eso pueden sumar más de 100 %.</t>
        </is>
      </c>
    </row>
    <row r="16">
      <c r="A16" s="9" t="inlineStr">
        <is>
          <t>TICKET MEDIO PONDERADO (€)</t>
        </is>
      </c>
      <c r="B16" s="18">
        <f>B5*B6+B7*B8+B9*B10+B11*B12+B13*B14</f>
        <v>99.8</v>
      </c>
      <c r="C16" s="18">
        <f>C5*C6+C7*C8+C9*C10+C11*C12+C13*C14</f>
        <v>123.2</v>
      </c>
      <c r="D16" s="18">
        <f>D5*D6+D7*D8+D9*D10+D11*D12+D13*D14</f>
        <v>136.0</v>
      </c>
    </row>
    <row r="17">
      <c r="A17" s="7" t="inlineStr">
        <is>
          <t>Cubiertos/día</t>
        </is>
      </c>
      <c r="B17" s="19" t="n">
        <v>60</v>
      </c>
      <c r="C17" s="19" t="n">
        <v>70</v>
      </c>
      <c r="D17" s="19" t="n">
        <v>78</v>
      </c>
    </row>
    <row r="18">
      <c r="A18" s="9" t="inlineStr">
        <is>
          <t>Facturación diaria (€)</t>
        </is>
      </c>
      <c r="B18" s="20">
        <f>B16*B17</f>
        <v>5988.0</v>
      </c>
      <c r="C18" s="20">
        <f>C16*C17</f>
        <v>8624.0</v>
      </c>
      <c r="D18" s="20">
        <f>D16*D17</f>
        <v>10608.0</v>
      </c>
    </row>
    <row r="19">
      <c r="A19" s="7" t="inlineStr">
        <is>
          <t>Días abierto/mes</t>
        </is>
      </c>
      <c r="B19" s="19" t="n">
        <v>22</v>
      </c>
      <c r="C19" s="19" t="n">
        <v>22</v>
      </c>
      <c r="D19" s="19" t="n">
        <v>22</v>
      </c>
    </row>
    <row r="20">
      <c r="A20" s="9" t="inlineStr">
        <is>
          <t>Facturación mensual (€)</t>
        </is>
      </c>
      <c r="B20" s="20">
        <f>B18*B19</f>
        <v>131736.0</v>
      </c>
      <c r="C20" s="20">
        <f>C18*C19</f>
        <v>189728.0</v>
      </c>
      <c r="D20" s="20">
        <f>D18*D19</f>
        <v>233376.0</v>
      </c>
    </row>
    <row r="21"/>
    <row r="22">
      <c r="A22" s="21" t="inlineStr">
        <is>
          <t>IVA Y CUADRE CON EL P&amp;L DE ESCENARIOS</t>
        </is>
      </c>
      <c r="B22" s="22" t="n"/>
      <c r="C22" s="22" t="n"/>
      <c r="D22" s="22" t="n"/>
    </row>
    <row r="23">
      <c r="A23" t="inlineStr">
        <is>
          <t>Tipo de IVA de los precios de esta hoja (%)</t>
        </is>
      </c>
      <c r="B23" s="23" t="n">
        <v>0.1</v>
      </c>
      <c r="C23" s="24" t="inlineStr">
        <is>
          <t>Los precios de arriba se escriben SIN IVA, igual que el P&amp;L. Esta celda solo sirve para la fila «Ticket medio CON IVA», que es el precio que el comensal ve en la carta: 10 % general de restauración y 21 % en la parte de bebida alcohólica.</t>
        </is>
      </c>
      <c r="D23" s="16" t="n"/>
    </row>
    <row r="24">
      <c r="A24" t="inlineStr">
        <is>
          <t>Ticket medio CON IVA — el precio que ve el comensal (€)</t>
        </is>
      </c>
      <c r="B24" s="22">
        <f>IF(B16="","",B16*(1+$B$23))</f>
        <v>109.78</v>
      </c>
      <c r="C24" s="22">
        <f>IF(C16="","",C16*(1+$B$23))</f>
        <v>135.52</v>
      </c>
      <c r="D24" s="22">
        <f>IF(D16="","",D16*(1+$B$23))</f>
        <v>149.60000000000002</v>
      </c>
    </row>
    <row r="25">
      <c r="A25" t="inlineStr">
        <is>
          <t>Facturación mensual del P&amp;L de escenarios (€) — la que va al banco</t>
        </is>
      </c>
      <c r="B25" s="22" t="n">
        <v>131736</v>
      </c>
      <c r="C25" s="22" t="n">
        <v>189728</v>
      </c>
      <c r="D25" s="22" t="n">
        <v>233376</v>
      </c>
    </row>
    <row r="26">
      <c r="A26" t="inlineStr">
        <is>
          <t>Diferencia con este simulador (%)</t>
        </is>
      </c>
      <c r="B26" s="16">
        <f>IF(OR(B25="",B25=0,B20=""),"",(B20-B25)/B25)</f>
        <v>0.0</v>
      </c>
      <c r="C26" s="16">
        <f>IF(OR(C25="",C25=0,C20=""),"",(C20-C25)/C25)</f>
        <v>0.0</v>
      </c>
      <c r="D26" s="16">
        <f>IF(OR(D25="",D25=0,D20=""),"",(D20-D25)/D25)</f>
        <v>0.0</v>
      </c>
    </row>
    <row r="27">
      <c r="A27" s="17" t="inlineStr">
        <is>
          <t>Las dos hojas describen el MISMO restaurante: mismos cubiertos/día y mismos días abiertos. Los tickets de comida y cena del P&amp;L están calibrados contra el ticket ponderado de esta hoja, así que esta fila tiene que dar 0,0 %. Si no lo da, has cambiado un precio aquí y no allí — y la cifra que vale es la del P&amp;L (§7-bis.7).</t>
        </is>
      </c>
      <c r="B27" s="25" t="n"/>
      <c r="C27" s="25" t="n"/>
      <c r="D27" s="25" t="n"/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:E1"/>
    <mergeCell ref="A2:E2"/>
  </mergeCells>
  <conditionalFormatting sqref="B15:D15">
    <cfRule type="expression" priority="1" dxfId="0" stopIfTrue="1">
      <formula>=AND(ISNUMBER(B15),B15&lt;&gt;1)</formula>
    </cfRule>
  </conditionalFormatting>
  <conditionalFormatting sqref="B26:D26">
    <cfRule type="expression" priority="2" dxfId="0" stopIfTrue="1">
      <formula>=AND(ISNUMBER(B26),B26&gt;0.02)</formula>
    </cfRule>
  </conditionalFormatting>
  <dataValidations count="2">
    <dataValidation sqref="B6 B8 B10 B12 B14 B17 B19 C6 C8 C10 C12 C14 C17 C19 D6 D8 D10 D12 D14 D17 D19" showDropDown="0" showInputMessage="0" showErrorMessage="1" allowBlank="1" errorTitle="Importe no válido" error="Escribe un número mayor o igual que 0." type="decimal" operator="greaterThanOrEqual">
      <formula1>0</formula1>
    </dataValidation>
    <dataValidation sqref="B5 B7 B9 B11 B13 B23 C5 C7 C9 C11 C13 D5 D7 D9 D11 D13" showDropDown="0" showInputMessage="1" showErrorMessage="1" allowBlank="1" errorTitle="Porcentaje" error="Escribe un porcentaje entre 0 y 1 (0,20 = 20 %)." promptTitle="Porcentaje" prompt="Se escribe en tanto por uno: 0,20 = 20 %." type="decimal" operator="between">
      <formula1>0</formula1>
      <formula2>1.0</formula2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Ticket Medio · Cómo Montar un Restaurante Gastronómico 65 Plazas · v2.0</dc:title>
  <dc:description xmlns:dc="http://purl.org/dc/elements/1.1/">aichef.pro/guia-restaurante-gastronomico</dc:description>
  <dc:subject xmlns:dc="http://purl.org/dc/elements/1.1/">Cómo Montar un Restaurante Gastronómico 65 Plazas · v2.0</dc:subject>
  <dcterms:created xmlns:dcterms="http://purl.org/dc/terms/" xmlns:xsi="http://www.w3.org/2001/XMLSchema-instance" xsi:type="dcterms:W3CDTF">2026-04-05T22:25:49Z</dcterms:created>
  <dcterms:modified xmlns:dcterms="http://purl.org/dc/terms/" xmlns:xsi="http://www.w3.org/2001/XMLSchema-instance" xsi:type="dcterms:W3CDTF">2026-08-31T21:10:09Z</dcterms:modified>
  <cp:lastModifiedBy>AI Chef Pro</cp:lastModifiedBy>
  <cp:category>AI Chef Pro · Productos digitales</cp:category>
  <cp:keywords>guia restaurante gastronomico, AI Chef Pro</cp:keywords>
</cp:coreProperties>
</file>