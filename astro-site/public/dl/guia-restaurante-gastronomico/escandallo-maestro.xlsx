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Ficha (plantilla)" sheetId="2" state="visible" r:id="rId2"/>
    <sheet xmlns:r="http://schemas.openxmlformats.org/officeDocument/2006/relationships" name="Resumen" sheetId="3" state="visible" r:id="rId3"/>
  </sheets>
  <definedNames>
    <definedName name="_xlnm.Print_Titles" localSheetId="1">'Ficha (plantilla)'!$6:$6</definedName>
  </definedNames>
  <calcPr calcId="124519" fullCalcOnLoad="1"/>
</workbook>
</file>

<file path=xl/styles.xml><?xml version="1.0" encoding="utf-8"?>
<styleSheet xmlns="http://schemas.openxmlformats.org/spreadsheetml/2006/main">
  <numFmts count="3">
    <numFmt numFmtId="164" formatCode="#,##0.00 €"/>
    <numFmt numFmtId="165" formatCode="#,##0.000"/>
    <numFmt numFmtId="166" formatCode="0.0%"/>
  </numFmts>
  <fonts count="12">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sz val="11"/>
    </font>
    <font>
      <name val="Calibri"/>
      <b val="1"/>
      <color rgb="00FFFFFF"/>
      <sz val="11"/>
    </font>
    <font>
      <name val="Calibri"/>
      <b val="1"/>
      <color rgb="001565C0"/>
      <sz val="11"/>
    </font>
    <font/>
    <font>
      <b val="1"/>
    </font>
    <font>
      <b val="1"/>
      <color theme="1"/>
      <sz val="11"/>
    </font>
    <font>
      <b val="1"/>
      <sz val="14"/>
    </font>
  </fonts>
  <fills count="5">
    <fill>
      <patternFill/>
    </fill>
    <fill>
      <patternFill patternType="gray125"/>
    </fill>
    <fill>
      <patternFill patternType="solid">
        <fgColor rgb="00E8F5E9"/>
        <bgColor rgb="00E8F5E9"/>
      </patternFill>
    </fill>
    <fill>
      <patternFill patternType="solid">
        <fgColor rgb="002D2D2D"/>
        <bgColor rgb="002D2D2D"/>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0" borderId="0" pivotButton="0" quotePrefix="0" xfId="0"/>
    <xf numFmtId="0" fontId="0" fillId="2" borderId="0" pivotButton="0" quotePrefix="0" xfId="0"/>
    <xf numFmtId="0" fontId="6"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2" borderId="1" applyAlignment="1" pivotButton="0" quotePrefix="0" xfId="0">
      <alignment horizontal="left" vertical="center" wrapText="1"/>
    </xf>
    <xf numFmtId="4"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0" fontId="5" fillId="0" borderId="1" applyAlignment="1" pivotButton="0" quotePrefix="0" xfId="0">
      <alignment horizontal="left" vertical="center" wrapText="1"/>
    </xf>
    <xf numFmtId="0" fontId="4" fillId="2" borderId="0" applyProtection="1" pivotButton="0" quotePrefix="0" xfId="0">
      <protection locked="0" hidden="0"/>
    </xf>
    <xf numFmtId="0" fontId="4" fillId="2" borderId="0" applyAlignment="1" applyProtection="1" pivotButton="0" quotePrefix="0" xfId="0">
      <alignment horizontal="left" vertical="top"/>
      <protection locked="0" hidden="0"/>
    </xf>
    <xf numFmtId="0" fontId="0" fillId="4" borderId="0" applyProtection="1" pivotButton="0" quotePrefix="0" xfId="0">
      <protection locked="0" hidden="0"/>
    </xf>
    <xf numFmtId="3" fontId="0" fillId="4" borderId="0" applyProtection="1" pivotButton="0" quotePrefix="0" xfId="0">
      <protection locked="0" hidden="0"/>
    </xf>
    <xf numFmtId="9" fontId="0" fillId="4" borderId="0" applyProtection="1" pivotButton="0" quotePrefix="0" xfId="0">
      <protection locked="0" hidden="0"/>
    </xf>
    <xf numFmtId="0" fontId="4" fillId="4" borderId="1" applyAlignment="1" applyProtection="1" pivotButton="0" quotePrefix="0" xfId="0">
      <alignment horizontal="left" vertical="center" wrapText="1"/>
      <protection locked="0" hidden="0"/>
    </xf>
    <xf numFmtId="165" fontId="4" fillId="4" borderId="1" applyAlignment="1" applyProtection="1" pivotButton="0" quotePrefix="0" xfId="0">
      <alignment horizontal="left" vertical="center" wrapText="1"/>
      <protection locked="0" hidden="0"/>
    </xf>
    <xf numFmtId="164" fontId="4" fillId="4" borderId="1" applyAlignment="1" applyProtection="1" pivotButton="0" quotePrefix="0" xfId="0">
      <alignment horizontal="left" vertical="center" wrapText="1"/>
      <protection locked="0" hidden="0"/>
    </xf>
    <xf numFmtId="166" fontId="4" fillId="4" borderId="1" applyAlignment="1" applyProtection="1" pivotButton="0" quotePrefix="0" xfId="0">
      <alignment horizontal="left" vertical="center" wrapText="1"/>
      <protection locked="0" hidden="0"/>
    </xf>
    <xf numFmtId="165" fontId="7" fillId="0" borderId="1" applyAlignment="1" pivotButton="0" quotePrefix="0" xfId="0">
      <alignment horizontal="left" vertical="center" wrapText="1"/>
    </xf>
    <xf numFmtId="0" fontId="8" fillId="0" borderId="0" pivotButton="0" quotePrefix="0" xfId="0"/>
    <xf numFmtId="164" fontId="8" fillId="0" borderId="0" pivotButton="0" quotePrefix="0" xfId="0"/>
    <xf numFmtId="166" fontId="8" fillId="0" borderId="0" pivotButton="0" quotePrefix="0" xfId="0"/>
    <xf numFmtId="0" fontId="9" fillId="0" borderId="1" pivotButton="0" quotePrefix="0" xfId="0"/>
    <xf numFmtId="164" fontId="8" fillId="0" borderId="1" pivotButton="0" quotePrefix="0" xfId="0"/>
    <xf numFmtId="164" fontId="9" fillId="0" borderId="1" pivotButton="0" quotePrefix="0" xfId="0"/>
    <xf numFmtId="164" fontId="0" fillId="0" borderId="0" pivotButton="0" quotePrefix="0" xfId="0"/>
    <xf numFmtId="166" fontId="0" fillId="0" borderId="0" pivotButton="0" quotePrefix="0" xfId="0"/>
    <xf numFmtId="0" fontId="10" fillId="0" borderId="0" pivotButton="0" quotePrefix="0" xfId="0"/>
    <xf numFmtId="164" fontId="10" fillId="0" borderId="0" pivotButton="0" quotePrefix="0" xfId="0"/>
    <xf numFmtId="166" fontId="0" fillId="4" borderId="0" applyProtection="1" pivotButton="0" quotePrefix="0" xfId="0">
      <protection locked="0" hidden="0"/>
    </xf>
    <xf numFmtId="0" fontId="0" fillId="0" borderId="0" applyAlignment="1" pivotButton="0" quotePrefix="0" xfId="0">
      <alignment horizontal="general" vertical="top" wrapText="1"/>
    </xf>
    <xf numFmtId="164" fontId="0" fillId="4" borderId="0" applyProtection="1" pivotButton="0" quotePrefix="0" xfId="0">
      <protection locked="0" hidden="0"/>
    </xf>
    <xf numFmtId="166" fontId="10" fillId="0" borderId="0" pivotButton="0" quotePrefix="0" xfId="0"/>
    <xf numFmtId="0" fontId="11" fillId="0" borderId="0" pivotButton="0" quotePrefix="0" xfId="0"/>
    <xf numFmtId="0" fontId="0" fillId="0" borderId="0" applyAlignment="1" pivotButton="0" quotePrefix="0" xfId="0">
      <alignment vertical="top" wrapText="1"/>
    </xf>
    <xf numFmtId="0" fontId="9" fillId="0" borderId="0" pivotButton="0" quotePrefix="0" xfId="0"/>
    <xf numFmtId="164" fontId="9" fillId="0" borderId="0" pivotButton="0" quotePrefix="0" xfId="0"/>
    <xf numFmtId="166" fontId="8" fillId="4" borderId="0" applyProtection="1" pivotButton="0" quotePrefix="0" xfId="0">
      <protection locked="0" hidden="0"/>
    </xf>
    <xf numFmtId="0" fontId="8" fillId="0" borderId="0" applyAlignment="1" pivotButton="0" quotePrefix="0" xfId="0">
      <alignment horizontal="general" vertical="top" wrapText="1"/>
    </xf>
    <xf numFmtId="164" fontId="8" fillId="4" borderId="0" applyProtection="1" pivotButton="0" quotePrefix="0" xfId="0">
      <protection locked="0" hidden="0"/>
    </xf>
    <xf numFmtId="166"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C21"/>
  <sheetViews>
    <sheetView workbookViewId="0">
      <selection activeCell="A1" sqref="A1"/>
    </sheetView>
  </sheetViews>
  <sheetFormatPr baseColWidth="8" defaultRowHeight="15"/>
  <cols>
    <col width="80" customWidth="1" min="1" max="1"/>
  </cols>
  <sheetData>
    <row r="1" ht="30" customHeight="1">
      <c r="A1" s="1" t="inlineStr">
        <is>
          <t>Escandallo Maestro — Fichas Técnicas</t>
        </is>
      </c>
    </row>
    <row r="2">
      <c r="A2" s="2" t="inlineStr">
        <is>
          <t>AI Chef Pro · aichef.pro — Restaurante Gastronómico</t>
        </is>
      </c>
    </row>
    <row r="3"/>
    <row r="4">
      <c r="A4" s="3" t="inlineStr">
        <is>
          <t>Instrucciones de uso</t>
        </is>
      </c>
    </row>
    <row r="5">
      <c r="A5" s="4" t="inlineStr">
        <is>
          <t>1. Crea una ficha técnica por plato del menú.</t>
        </is>
      </c>
    </row>
    <row r="6">
      <c r="A6" s="4" t="inlineStr">
        <is>
          <t>2. Introduce ingredientes, gramaje, precio y merma.</t>
        </is>
      </c>
    </row>
    <row r="7">
      <c r="A7" s="4" t="inlineStr">
        <is>
          <t>3. El coste total y PVP sugerido se calculan automáticamente.</t>
        </is>
      </c>
    </row>
    <row r="8"/>
    <row r="9">
      <c r="A9" s="14" t="inlineStr">
        <is>
          <t>Celdas verdes = campos editables</t>
        </is>
      </c>
    </row>
    <row r="10"/>
    <row r="11">
      <c r="A11" s="14" t="n"/>
    </row>
    <row r="12"/>
    <row r="13">
      <c r="A13" s="14" t="inlineStr">
        <is>
          <t>Duplica la hoja «Ficha (plantilla)» para cada plato: clic derecho sobre la pestaña → Mover o copiar → «Crear una copia», y renómbrala con el nombre del plato. La hoja «Resumen» consolida el coste y el PVP de todas.</t>
        </is>
      </c>
    </row>
    <row r="14"/>
    <row r="15">
      <c r="A15" s="14" t="inlineStr">
        <is>
          <t>La merma se escribe en tanto por uno (0,20 = 20 %) y ENTRA en el coste: la cantidad que compras es la neta dividida por (1 - merma).</t>
        </is>
      </c>
    </row>
    <row r="16"/>
    <row r="17">
      <c r="A17" s="14" t="inlineStr">
        <is>
          <t>El food cost objetivo y el tipo de IVA son celdas verdes: cámbialos y el PVP se recalcula.</t>
        </is>
      </c>
    </row>
    <row r="18"/>
    <row r="19">
      <c r="A19" s="15" t="inlineStr">
        <is>
          <t>Para editar la estructura o una celda que no esté en verde: Revisar → Desproteger hoja (no tiene contraseña).</t>
        </is>
      </c>
    </row>
    <row r="20">
      <c r="A20" s="15" t="inlineStr">
        <is>
          <t>Diseñado por John Guerrero — chef y consultor gastronómico desde 2010, en cocina desde los 17 años · johnguerrero.es</t>
        </is>
      </c>
    </row>
    <row r="21">
      <c r="A21" s="15" t="inlineStr">
        <is>
          <t>Versión 2.0 · agosto 2026 · aichef.pro/guia-restaurante-gastronomico · info@aichef.pro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C2"/>
    <mergeCell ref="A1:C1"/>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41"/>
  <sheetViews>
    <sheetView workbookViewId="0">
      <pane ySplit="6" topLeftCell="A7" activePane="bottomLeft" state="frozen"/>
      <selection pane="bottomLeft" activeCell="A1" sqref="A1"/>
    </sheetView>
  </sheetViews>
  <sheetFormatPr baseColWidth="8" defaultRowHeight="15"/>
  <cols>
    <col width="5" customWidth="1" min="1" max="1"/>
    <col width="28" customWidth="1" min="2" max="2"/>
    <col width="10" customWidth="1" min="3" max="3"/>
    <col width="24" customWidth="1" min="4" max="4"/>
    <col width="15" customWidth="1" min="5" max="5"/>
    <col width="11" customWidth="1" min="6" max="6"/>
    <col width="22" customWidth="1" min="7" max="7"/>
    <col width="14" customWidth="1" min="8" max="8"/>
    <col width="20" customWidth="1" min="9" max="9"/>
  </cols>
  <sheetData>
    <row r="1" ht="30" customHeight="1">
      <c r="A1" s="1" t="inlineStr">
        <is>
          <t>Ficha Técnica / Escandallo</t>
        </is>
      </c>
    </row>
    <row r="2">
      <c r="A2" s="2" t="inlineStr">
        <is>
          <t>AI Chef Pro · aichef.pro — Restaurante Gastronómico</t>
        </is>
      </c>
    </row>
    <row r="3"/>
    <row r="4">
      <c r="A4" s="6" t="inlineStr">
        <is>
          <t>Nombre del plato:</t>
        </is>
      </c>
      <c r="C4" s="16" t="n"/>
      <c r="D4" s="16" t="n"/>
      <c r="E4" s="6" t="inlineStr">
        <is>
          <t>Raciones:</t>
        </is>
      </c>
      <c r="F4" s="17" t="n">
        <v>1</v>
      </c>
      <c r="G4" s="6" t="inlineStr">
        <is>
          <t>Food Cost Objetivo:</t>
        </is>
      </c>
      <c r="H4" s="18" t="n">
        <v>0.28</v>
      </c>
    </row>
    <row r="5"/>
    <row r="6">
      <c r="A6" s="8" t="inlineStr">
        <is>
          <t>#</t>
        </is>
      </c>
      <c r="B6" s="8" t="inlineStr">
        <is>
          <t>Ingrediente</t>
        </is>
      </c>
      <c r="C6" s="8" t="inlineStr">
        <is>
          <t>Unidad</t>
        </is>
      </c>
      <c r="D6" s="8" t="inlineStr">
        <is>
          <t>Cantidad NETA (ración)</t>
        </is>
      </c>
      <c r="E6" s="8" t="inlineStr">
        <is>
          <t>Precio/Ud (€)</t>
        </is>
      </c>
      <c r="F6" s="8" t="inlineStr">
        <is>
          <t>Merma (%)</t>
        </is>
      </c>
      <c r="G6" s="8" t="inlineStr">
        <is>
          <t>Cantidad BRUTA a comprar</t>
        </is>
      </c>
      <c r="H6" s="8" t="inlineStr">
        <is>
          <t>Coste (€)</t>
        </is>
      </c>
      <c r="I6" s="8" t="inlineStr">
        <is>
          <t>Notas</t>
        </is>
      </c>
    </row>
    <row r="7">
      <c r="A7" s="9" t="n">
        <v>1</v>
      </c>
      <c r="B7" s="19" t="n"/>
      <c r="C7" s="19" t="n"/>
      <c r="D7" s="20" t="n"/>
      <c r="E7" s="21" t="n"/>
      <c r="F7" s="22" t="n"/>
      <c r="G7" s="23">
        <f>IFERROR(IF(OR($D7="",$F7&gt;=1),"",$D7/(1-$F7)),"")</f>
        <v/>
      </c>
      <c r="H7" s="12">
        <f>IFERROR(IF(OR($G7="",$E7=""),"",$G7*$E7),"")</f>
        <v/>
      </c>
      <c r="I7" s="19" t="n"/>
    </row>
    <row r="8">
      <c r="A8" s="9" t="n">
        <v>2</v>
      </c>
      <c r="B8" s="19" t="n"/>
      <c r="C8" s="19" t="n"/>
      <c r="D8" s="20" t="n"/>
      <c r="E8" s="21" t="n"/>
      <c r="F8" s="22" t="n"/>
      <c r="G8" s="23">
        <f>IFERROR(IF(OR($D8="",$F8&gt;=1),"",$D8/(1-$F8)),"")</f>
        <v/>
      </c>
      <c r="H8" s="12">
        <f>IFERROR(IF(OR($G8="",$E8=""),"",$G8*$E8),"")</f>
        <v/>
      </c>
      <c r="I8" s="19" t="n"/>
    </row>
    <row r="9">
      <c r="A9" s="9" t="n">
        <v>3</v>
      </c>
      <c r="B9" s="19" t="n"/>
      <c r="C9" s="19" t="n"/>
      <c r="D9" s="20" t="n"/>
      <c r="E9" s="21" t="n"/>
      <c r="F9" s="22" t="n"/>
      <c r="G9" s="23">
        <f>IFERROR(IF(OR($D9="",$F9&gt;=1),"",$D9/(1-$F9)),"")</f>
        <v/>
      </c>
      <c r="H9" s="12">
        <f>IFERROR(IF(OR($G9="",$E9=""),"",$G9*$E9),"")</f>
        <v/>
      </c>
      <c r="I9" s="19" t="n"/>
    </row>
    <row r="10">
      <c r="A10" s="9" t="n">
        <v>4</v>
      </c>
      <c r="B10" s="19" t="n"/>
      <c r="C10" s="19" t="n"/>
      <c r="D10" s="20" t="n"/>
      <c r="E10" s="21" t="n"/>
      <c r="F10" s="22" t="n"/>
      <c r="G10" s="23">
        <f>IFERROR(IF(OR($D10="",$F10&gt;=1),"",$D10/(1-$F10)),"")</f>
        <v/>
      </c>
      <c r="H10" s="12">
        <f>IFERROR(IF(OR($G10="",$E10=""),"",$G10*$E10),"")</f>
        <v/>
      </c>
      <c r="I10" s="19" t="n"/>
    </row>
    <row r="11">
      <c r="A11" s="9" t="n">
        <v>5</v>
      </c>
      <c r="B11" s="19" t="n"/>
      <c r="C11" s="19" t="n"/>
      <c r="D11" s="20" t="n"/>
      <c r="E11" s="21" t="n"/>
      <c r="F11" s="22" t="n"/>
      <c r="G11" s="23">
        <f>IFERROR(IF(OR($D11="",$F11&gt;=1),"",$D11/(1-$F11)),"")</f>
        <v/>
      </c>
      <c r="H11" s="12">
        <f>IFERROR(IF(OR($G11="",$E11=""),"",$G11*$E11),"")</f>
        <v/>
      </c>
      <c r="I11" s="19" t="n"/>
    </row>
    <row r="12">
      <c r="A12" s="9" t="n">
        <v>6</v>
      </c>
      <c r="B12" s="19" t="n"/>
      <c r="C12" s="19" t="n"/>
      <c r="D12" s="20" t="n"/>
      <c r="E12" s="21" t="n"/>
      <c r="F12" s="22" t="n"/>
      <c r="G12" s="23">
        <f>IFERROR(IF(OR($D12="",$F12&gt;=1),"",$D12/(1-$F12)),"")</f>
        <v/>
      </c>
      <c r="H12" s="12">
        <f>IFERROR(IF(OR($G12="",$E12=""),"",$G12*$E12),"")</f>
        <v/>
      </c>
      <c r="I12" s="19" t="n"/>
    </row>
    <row r="13">
      <c r="A13" s="9" t="n">
        <v>7</v>
      </c>
      <c r="B13" s="19" t="n"/>
      <c r="C13" s="19" t="n"/>
      <c r="D13" s="20" t="n"/>
      <c r="E13" s="21" t="n"/>
      <c r="F13" s="22" t="n"/>
      <c r="G13" s="23">
        <f>IFERROR(IF(OR($D13="",$F13&gt;=1),"",$D13/(1-$F13)),"")</f>
        <v/>
      </c>
      <c r="H13" s="12">
        <f>IFERROR(IF(OR($G13="",$E13=""),"",$G13*$E13),"")</f>
        <v/>
      </c>
      <c r="I13" s="19" t="n"/>
    </row>
    <row r="14">
      <c r="A14" s="9" t="n">
        <v>8</v>
      </c>
      <c r="B14" s="19" t="n"/>
      <c r="C14" s="19" t="n"/>
      <c r="D14" s="20" t="n"/>
      <c r="E14" s="21" t="n"/>
      <c r="F14" s="22" t="n"/>
      <c r="G14" s="23">
        <f>IFERROR(IF(OR($D14="",$F14&gt;=1),"",$D14/(1-$F14)),"")</f>
        <v/>
      </c>
      <c r="H14" s="12">
        <f>IFERROR(IF(OR($G14="",$E14=""),"",$G14*$E14),"")</f>
        <v/>
      </c>
      <c r="I14" s="19" t="n"/>
    </row>
    <row r="15">
      <c r="A15" s="9" t="n">
        <v>9</v>
      </c>
      <c r="B15" s="19" t="n"/>
      <c r="C15" s="19" t="n"/>
      <c r="D15" s="20" t="n"/>
      <c r="E15" s="21" t="n"/>
      <c r="F15" s="22" t="n"/>
      <c r="G15" s="23">
        <f>IFERROR(IF(OR($D15="",$F15&gt;=1),"",$D15/(1-$F15)),"")</f>
        <v/>
      </c>
      <c r="H15" s="12">
        <f>IFERROR(IF(OR($G15="",$E15=""),"",$G15*$E15),"")</f>
        <v/>
      </c>
      <c r="I15" s="19" t="n"/>
    </row>
    <row r="16">
      <c r="A16" s="9" t="n">
        <v>10</v>
      </c>
      <c r="B16" s="19" t="n"/>
      <c r="C16" s="19" t="n"/>
      <c r="D16" s="20" t="n"/>
      <c r="E16" s="21" t="n"/>
      <c r="F16" s="22" t="n"/>
      <c r="G16" s="23">
        <f>IFERROR(IF(OR($D16="",$F16&gt;=1),"",$D16/(1-$F16)),"")</f>
        <v/>
      </c>
      <c r="H16" s="12">
        <f>IFERROR(IF(OR($G16="",$E16=""),"",$G16*$E16),"")</f>
        <v/>
      </c>
      <c r="I16" s="19" t="n"/>
    </row>
    <row r="17">
      <c r="A17" s="9" t="n">
        <v>11</v>
      </c>
      <c r="B17" s="19" t="n"/>
      <c r="C17" s="19" t="n"/>
      <c r="D17" s="20" t="n"/>
      <c r="E17" s="21" t="n"/>
      <c r="F17" s="22" t="n"/>
      <c r="G17" s="23">
        <f>IFERROR(IF(OR($D17="",$F17&gt;=1),"",$D17/(1-$F17)),"")</f>
        <v/>
      </c>
      <c r="H17" s="12">
        <f>IFERROR(IF(OR($G17="",$E17=""),"",$G17*$E17),"")</f>
        <v/>
      </c>
      <c r="I17" s="19" t="n"/>
    </row>
    <row r="18">
      <c r="A18" s="9" t="n">
        <v>12</v>
      </c>
      <c r="B18" s="19" t="n"/>
      <c r="C18" s="19" t="n"/>
      <c r="D18" s="20" t="n"/>
      <c r="E18" s="21" t="n"/>
      <c r="F18" s="22" t="n"/>
      <c r="G18" s="23">
        <f>IFERROR(IF(OR($D18="",$F18&gt;=1),"",$D18/(1-$F18)),"")</f>
        <v/>
      </c>
      <c r="H18" s="12">
        <f>IFERROR(IF(OR($G18="",$E18=""),"",$G18*$E18),"")</f>
        <v/>
      </c>
      <c r="I18" s="19" t="n"/>
    </row>
    <row r="19">
      <c r="A19" s="9" t="n">
        <v>13</v>
      </c>
      <c r="B19" s="19" t="n"/>
      <c r="C19" s="19" t="n"/>
      <c r="D19" s="20" t="n"/>
      <c r="E19" s="21" t="n"/>
      <c r="F19" s="22" t="n"/>
      <c r="G19" s="23">
        <f>IFERROR(IF(OR($D19="",$F19&gt;=1),"",$D19/(1-$F19)),"")</f>
        <v/>
      </c>
      <c r="H19" s="12">
        <f>IFERROR(IF(OR($G19="",$E19=""),"",$G19*$E19),"")</f>
        <v/>
      </c>
      <c r="I19" s="19" t="n"/>
    </row>
    <row r="20">
      <c r="A20" s="9" t="n">
        <v>14</v>
      </c>
      <c r="B20" s="19" t="n"/>
      <c r="C20" s="19" t="n"/>
      <c r="D20" s="20" t="n"/>
      <c r="E20" s="21" t="n"/>
      <c r="F20" s="22" t="n"/>
      <c r="G20" s="23">
        <f>IFERROR(IF(OR($D20="",$F20&gt;=1),"",$D20/(1-$F20)),"")</f>
        <v/>
      </c>
      <c r="H20" s="12">
        <f>IFERROR(IF(OR($G20="",$E20=""),"",$G20*$E20),"")</f>
        <v/>
      </c>
      <c r="I20" s="19" t="n"/>
    </row>
    <row r="21">
      <c r="A21" s="9" t="n">
        <v>15</v>
      </c>
      <c r="B21" s="19" t="n"/>
      <c r="C21" s="19" t="n"/>
      <c r="D21" s="20" t="n"/>
      <c r="E21" s="21" t="n"/>
      <c r="F21" s="22" t="n"/>
      <c r="G21" s="23">
        <f>IFERROR(IF(OR($D21="",$F21&gt;=1),"",$D21/(1-$F21)),"")</f>
        <v/>
      </c>
      <c r="H21" s="12">
        <f>IFERROR(IF(OR($G21="",$E21=""),"",$G21*$E21),"")</f>
        <v/>
      </c>
      <c r="I21" s="19" t="n"/>
    </row>
    <row r="22">
      <c r="A22" s="9" t="n">
        <v>16</v>
      </c>
      <c r="B22" s="19" t="n"/>
      <c r="C22" s="19" t="n"/>
      <c r="D22" s="20" t="n"/>
      <c r="E22" s="21" t="n"/>
      <c r="F22" s="22" t="n"/>
      <c r="G22" s="23">
        <f>IFERROR(IF(OR($D22="",$F22&gt;=1),"",$D22/(1-$F22)),"")</f>
        <v/>
      </c>
      <c r="H22" s="12">
        <f>IFERROR(IF(OR($G22="",$E22=""),"",$G22*$E22),"")</f>
        <v/>
      </c>
      <c r="I22" s="19" t="n"/>
    </row>
    <row r="23">
      <c r="A23" s="9" t="n">
        <v>17</v>
      </c>
      <c r="B23" s="19" t="n"/>
      <c r="C23" s="19" t="n"/>
      <c r="D23" s="20" t="n"/>
      <c r="E23" s="21" t="n"/>
      <c r="F23" s="22" t="n"/>
      <c r="G23" s="23">
        <f>IFERROR(IF(OR($D23="",$F23&gt;=1),"",$D23/(1-$F23)),"")</f>
        <v/>
      </c>
      <c r="H23" s="12">
        <f>IFERROR(IF(OR($G23="",$E23=""),"",$G23*$E23),"")</f>
        <v/>
      </c>
      <c r="I23" s="19" t="n"/>
    </row>
    <row r="24">
      <c r="A24" s="9" t="n">
        <v>18</v>
      </c>
      <c r="B24" s="19" t="n"/>
      <c r="C24" s="19" t="n"/>
      <c r="D24" s="20" t="n"/>
      <c r="E24" s="21" t="n"/>
      <c r="F24" s="22" t="n"/>
      <c r="G24" s="23">
        <f>IFERROR(IF(OR($D24="",$F24&gt;=1),"",$D24/(1-$F24)),"")</f>
        <v/>
      </c>
      <c r="H24" s="12">
        <f>IFERROR(IF(OR($G24="",$E24=""),"",$G24*$E24),"")</f>
        <v/>
      </c>
      <c r="I24" s="19" t="n"/>
    </row>
    <row r="25">
      <c r="A25" s="9" t="n">
        <v>19</v>
      </c>
      <c r="B25" s="19" t="n"/>
      <c r="C25" s="19" t="n"/>
      <c r="D25" s="20" t="n"/>
      <c r="E25" s="21" t="n"/>
      <c r="F25" s="22" t="n"/>
      <c r="G25" s="23">
        <f>IFERROR(IF(OR($D25="",$F25&gt;=1),"",$D25/(1-$F25)),"")</f>
        <v/>
      </c>
      <c r="H25" s="12">
        <f>IFERROR(IF(OR($G25="",$E25=""),"",$G25*$E25),"")</f>
        <v/>
      </c>
      <c r="I25" s="19" t="n"/>
    </row>
    <row r="26">
      <c r="A26" s="9" t="n">
        <v>20</v>
      </c>
      <c r="B26" s="19" t="n"/>
      <c r="C26" s="19" t="n"/>
      <c r="D26" s="20" t="n"/>
      <c r="E26" s="21" t="n"/>
      <c r="F26" s="22" t="n"/>
      <c r="G26" s="23">
        <f>IFERROR(IF(OR($D26="",$F26&gt;=1),"",$D26/(1-$F26)),"")</f>
        <v/>
      </c>
      <c r="H26" s="12">
        <f>IFERROR(IF(OR($G26="",$E26=""),"",$G26*$E26),"")</f>
        <v/>
      </c>
      <c r="I26" s="19" t="n"/>
    </row>
    <row r="27">
      <c r="A27" s="24" t="n"/>
      <c r="B27" s="24" t="n"/>
      <c r="C27" s="24" t="n"/>
      <c r="D27" s="24" t="n"/>
      <c r="E27" s="25" t="n"/>
      <c r="F27" s="26" t="n"/>
      <c r="G27" s="27" t="inlineStr">
        <is>
          <t>RESUMEN Y PARÁMETROS — lo calcula el libro (v2.0)</t>
        </is>
      </c>
      <c r="H27" s="28" t="n"/>
      <c r="I27" s="24" t="n"/>
      <c r="J27" s="24" t="n"/>
      <c r="K27" s="24" t="n"/>
      <c r="L27" s="24" t="n"/>
    </row>
    <row r="28">
      <c r="A28" s="24" t="n"/>
      <c r="B28" s="24" t="n"/>
      <c r="C28" s="24" t="n"/>
      <c r="D28" s="24" t="n"/>
      <c r="E28" s="25" t="n"/>
      <c r="F28" s="26" t="n"/>
      <c r="G28" s="27" t="inlineStr">
        <is>
          <t>COSTE TOTAL DE LA FICHA (€)</t>
        </is>
      </c>
      <c r="H28" s="29">
        <f>IF(COUNT(H7:H26)=0,"",SUM(H7:H26))</f>
        <v/>
      </c>
      <c r="I28" s="24" t="n"/>
      <c r="J28" s="24" t="n"/>
      <c r="K28" s="24" t="n"/>
      <c r="L28" s="24" t="n"/>
    </row>
    <row r="29">
      <c r="A29" s="24" t="n"/>
      <c r="B29" s="24" t="n"/>
      <c r="C29" s="24" t="n"/>
      <c r="D29" s="24" t="n"/>
      <c r="E29" s="25" t="n"/>
      <c r="F29" s="26" t="n"/>
      <c r="G29" s="40" t="inlineStr">
        <is>
          <t>Coste por ración (€)</t>
        </is>
      </c>
      <c r="H29" s="41">
        <f>IFERROR(IF(OR($H$28="",$F$4="",$F$4=0),"",$H$28/$F$4),"")</f>
        <v/>
      </c>
      <c r="I29" s="24" t="n"/>
      <c r="J29" s="24" t="n"/>
      <c r="K29" s="24" t="n"/>
      <c r="L29" s="24" t="n"/>
    </row>
    <row r="30">
      <c r="A30" s="24" t="n"/>
      <c r="B30" s="24" t="n"/>
      <c r="C30" s="24" t="n"/>
      <c r="D30" s="24" t="n"/>
      <c r="E30" s="25" t="n"/>
      <c r="F30" s="26" t="n"/>
      <c r="G30" s="24" t="str">
        <f>"PVP sugerido ("&amp;TEXT($H$4,"0%")&amp;"), sin IVA:"</f>
        <v>PVP sugerido (28%), sin IVA:</v>
      </c>
      <c r="H30" s="41">
        <f>IFERROR(IF(OR($H$29="",$H$4="",$H$4=0),"",$H$29/$H$4),"")</f>
        <v/>
      </c>
      <c r="I30" s="24" t="n"/>
      <c r="J30" s="24" t="n"/>
      <c r="K30" s="24" t="n"/>
      <c r="L30" s="24" t="n"/>
    </row>
    <row r="31">
      <c r="A31" s="24" t="n"/>
      <c r="B31" s="24" t="n"/>
      <c r="C31" s="24" t="n"/>
      <c r="D31" s="24" t="n"/>
      <c r="E31" s="25" t="n"/>
      <c r="F31" s="26" t="n"/>
      <c r="G31" s="24" t="inlineStr">
        <is>
          <t>Tipo de IVA de restauración (%)</t>
        </is>
      </c>
      <c r="H31" s="42" t="n">
        <v>0.1</v>
      </c>
      <c r="I31" s="43" t="inlineStr">
        <is>
          <t>10 % en restauración, INCLUIDA la bebida alcohólica servida en sala: el art. 91.Uno.2.2 de la Ley del IVA grava a ese tipo los servicios de hostelería y «el suministro de comidas y bebidas para consumir en el acto», y no excluye el alcohol. Cámbialo aquí y se recalcula todo el libro.</t>
        </is>
      </c>
      <c r="J31" s="24" t="n"/>
      <c r="K31" s="24" t="n"/>
      <c r="L31" s="24" t="n"/>
    </row>
    <row r="32">
      <c r="A32" s="24" t="n"/>
      <c r="B32" s="24" t="n"/>
      <c r="C32" s="24" t="n"/>
      <c r="D32" s="24" t="n"/>
      <c r="E32" s="25" t="n"/>
      <c r="F32" s="26" t="n"/>
      <c r="G32" s="40" t="inlineStr">
        <is>
          <t>PVP con IVA (€) — el que va en la carta</t>
        </is>
      </c>
      <c r="H32" s="41">
        <f>IFERROR(IF($H$30="","",$H$30*(1+$H$31)),"")</f>
        <v/>
      </c>
      <c r="I32" s="24" t="n"/>
      <c r="J32" s="24" t="n"/>
      <c r="K32" s="24" t="n"/>
      <c r="L32" s="24" t="n"/>
    </row>
    <row r="33">
      <c r="A33" s="24" t="n"/>
      <c r="B33" s="24" t="n"/>
      <c r="C33" s="24" t="n"/>
      <c r="D33" s="24" t="n"/>
      <c r="E33" s="25" t="n"/>
      <c r="F33" s="26" t="n"/>
      <c r="G33" s="24" t="inlineStr">
        <is>
          <t>PVP REAL de carta, con IVA (€) — el que imprimes</t>
        </is>
      </c>
      <c r="H33" s="44" t="n"/>
      <c r="I33" s="43" t="inlineStr">
        <is>
          <t>Escribe aquí el precio redondeado que va en la carta. Mientras esté vacío, las dos filas de abajo usan el PVP sugerido.</t>
        </is>
      </c>
      <c r="J33" s="24" t="n"/>
      <c r="K33" s="24" t="n"/>
      <c r="L33" s="24" t="n"/>
    </row>
    <row r="34">
      <c r="A34" s="24" t="n"/>
      <c r="B34" s="24" t="n"/>
      <c r="C34" s="24" t="n"/>
      <c r="D34" s="24" t="n"/>
      <c r="E34" s="25" t="n"/>
      <c r="F34" s="26" t="n"/>
      <c r="G34" s="40" t="inlineStr">
        <is>
          <t>Food cost real sobre el precio de carta (%)</t>
        </is>
      </c>
      <c r="H34" s="45">
        <f>IFERROR(IF($H$29="","",IF($H$33&lt;&gt;"",$H$29/($H$33/(1+$H$31)),IF($H$30="","",$H$29/$H$30))),"")</f>
        <v/>
      </c>
      <c r="I34" s="24" t="n"/>
      <c r="J34" s="24" t="n"/>
      <c r="K34" s="24" t="n"/>
      <c r="L34" s="24" t="n"/>
    </row>
    <row r="35">
      <c r="A35" s="24" t="n"/>
      <c r="B35" s="24" t="n"/>
      <c r="C35" s="24" t="n"/>
      <c r="D35" s="24" t="n"/>
      <c r="E35" s="25" t="n"/>
      <c r="F35" s="26" t="n"/>
      <c r="G35" s="24" t="inlineStr">
        <is>
          <t>Food cost si pusieras el PVP SIN IVA en la carta (%)</t>
        </is>
      </c>
      <c r="H35" s="26">
        <f>IFERROR(IF(OR($H$29="",$H$30="",$H$30=0),"",$H$29/($H$30/(1+$H$31))),"")</f>
        <v/>
      </c>
      <c r="I35" s="24" t="n"/>
      <c r="J35" s="24" t="n"/>
      <c r="K35" s="24" t="n"/>
      <c r="L35" s="24" t="n"/>
    </row>
    <row r="36">
      <c r="A36" s="24" t="n"/>
      <c r="B36" s="24" t="n"/>
      <c r="C36" s="24" t="n"/>
      <c r="D36" s="24" t="n"/>
      <c r="E36" s="25" t="n"/>
      <c r="F36" s="26" t="n"/>
      <c r="G36" s="24" t="n"/>
      <c r="H36" s="25" t="n"/>
      <c r="I36" s="24" t="n"/>
      <c r="J36" s="24" t="n"/>
      <c r="K36" s="24" t="n"/>
      <c r="L36" s="24" t="n"/>
    </row>
    <row r="37">
      <c r="A37" s="43" t="inlineStr">
        <is>
          <t>En España el precio de carta se muestra CON IVA incluido: aplicar el PVP sin IVA tal cual deja el food cost real por encima del objetivo (con un objetivo del 28 % y el IVA al 10 %, sube al 30,8 %) — y esa es exactamente la fila de arriba, que ahora sí lo calcula. Usa la fila «PVP con IVA», o escribe tu precio redondeado en «PVP REAL de carta» y mira el food cost que te queda de verdad [DOM-03 · COM-14 · RT-10 · RD-22 · RC-18].</t>
        </is>
      </c>
      <c r="B37" s="25" t="n"/>
      <c r="C37" s="25" t="n"/>
      <c r="D37" s="25" t="n"/>
      <c r="E37" s="25" t="n"/>
      <c r="F37" s="26" t="n"/>
      <c r="G37" s="25" t="n"/>
      <c r="H37" s="25" t="n"/>
      <c r="I37" s="24" t="n"/>
      <c r="J37" s="25" t="n"/>
      <c r="K37" s="25" t="n"/>
      <c r="L37" s="25" t="n"/>
    </row>
    <row r="38">
      <c r="A38" s="24" t="n"/>
      <c r="B38" s="24" t="n"/>
      <c r="C38" s="24" t="n"/>
      <c r="D38" s="24" t="n"/>
      <c r="E38" s="25" t="n"/>
      <c r="F38" s="26" t="n"/>
      <c r="G38" s="24" t="n"/>
      <c r="H38" s="25" t="n"/>
      <c r="I38" s="24" t="n"/>
      <c r="J38" s="24" t="n"/>
      <c r="K38" s="24" t="n"/>
      <c r="L38" s="24" t="n"/>
    </row>
    <row r="39">
      <c r="A39" s="24" t="n"/>
      <c r="B39" s="24" t="n"/>
      <c r="C39" s="24" t="n"/>
      <c r="D39" s="24" t="n"/>
      <c r="E39" s="25" t="n"/>
      <c r="F39" s="26" t="n"/>
      <c r="G39" s="24" t="n"/>
      <c r="H39" s="25" t="n"/>
      <c r="I39" s="24" t="n"/>
      <c r="J39" s="24" t="n"/>
      <c r="K39" s="24" t="n"/>
      <c r="L39" s="24" t="n"/>
    </row>
    <row r="40">
      <c r="A40" s="24" t="n"/>
      <c r="B40" s="24" t="n"/>
      <c r="C40" s="24" t="n"/>
      <c r="D40" s="24" t="n"/>
      <c r="E40" s="25" t="n"/>
      <c r="F40" s="26" t="n"/>
      <c r="G40" s="24" t="n"/>
      <c r="H40" s="25" t="n"/>
      <c r="I40" s="24" t="n"/>
      <c r="J40" s="24" t="n"/>
      <c r="K40" s="24" t="n"/>
      <c r="L40" s="24" t="n"/>
    </row>
    <row r="41">
      <c r="A41" s="24" t="n"/>
      <c r="B41" s="24" t="n"/>
      <c r="C41" s="24" t="n"/>
      <c r="D41" s="24" t="n"/>
      <c r="E41" s="25" t="n"/>
      <c r="F41" s="26" t="n"/>
      <c r="G41" s="24" t="n"/>
      <c r="H41" s="25" t="n"/>
      <c r="I41" s="24" t="n"/>
      <c r="J41" s="24" t="n"/>
      <c r="K41" s="24" t="n"/>
      <c r="L41" s="24" t="n"/>
    </row>
  </sheetData>
  <sheetProtection selectLockedCells="0" selectUnlockedCells="0" sheet="1" objects="0" insertRows="0" insertHyperlinks="1" autoFilter="1" scenarios="0" formatColumns="0" deleteColumns="1" insertColumns="1" pivotTables="1" deleteRows="1" formatCells="1" formatRows="0" sort="0"/>
  <mergeCells count="4">
    <mergeCell ref="C4:D4"/>
    <mergeCell ref="A2:I2"/>
    <mergeCell ref="A4:B4"/>
    <mergeCell ref="A1:I1"/>
  </mergeCells>
  <dataValidations count="3">
    <dataValidation sqref="D7 D8 D9 D10 D11 D12 D13 D14 D15 D16 D17 D18 D19 D20 D21 D22 D23 D24 D25 D26 E7 E8 E9 E10 E11 E12 E13 E14 E15 E16 E17 E18 E19 E20 E21 E22 E23 E24 E25 E26 F4 H33" showDropDown="0" showInputMessage="0" showErrorMessage="1" allowBlank="1" errorTitle="Importe no válido" error="Escribe un número mayor o igual que 0." type="decimal" operator="greaterThanOrEqual">
      <formula1>0</formula1>
    </dataValidation>
    <dataValidation sqref="H4 H31"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F7 F8 F9 F10 F11 F12 F13 F14 F15 F16 F17 F18 F19 F20 F21 F22 F23 F24 F25 F26" showDropDown="0" showInputMessage="1" showErrorMessage="1" allowBlank="1" errorTitle="Merma (%)" error="Escribe un porcentaje entre 0 y 0,95 (0,20 = 20 %)." promptTitle="Merma (%)" prompt="Se escribe en tanto por uno: 0,20 = 20 %. Tope 0,95 porque la merma entra en el coste como neta/(1-merma)." type="decimal" operator="between">
      <formula1>0</formula1>
      <formula2>0.95</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21"/>
  <sheetViews>
    <sheetView workbookViewId="0">
      <selection activeCell="A1" sqref="A1"/>
    </sheetView>
  </sheetViews>
  <sheetFormatPr baseColWidth="8" defaultRowHeight="15"/>
  <cols>
    <col width="26" customWidth="1" min="1" max="1"/>
    <col width="34" customWidth="1" min="2" max="2"/>
    <col width="18" customWidth="1" min="3" max="3"/>
    <col width="22" customWidth="1" min="4" max="4"/>
    <col width="18" customWidth="1" min="5" max="5"/>
    <col width="18" customWidth="1" min="6" max="6"/>
    <col width="18" customWidth="1" min="7" max="7"/>
  </cols>
  <sheetData>
    <row r="1">
      <c r="A1" s="38" t="inlineStr">
        <is>
          <t>Resumen de fichas técnicas</t>
        </is>
      </c>
    </row>
    <row r="2">
      <c r="A2" t="inlineStr">
        <is>
          <t>AI Chef Pro · aichef.pro</t>
        </is>
      </c>
    </row>
    <row r="3"/>
    <row r="4">
      <c r="A4" s="32" t="inlineStr">
        <is>
          <t>Hoja de la ficha</t>
        </is>
      </c>
      <c r="B4" s="32" t="inlineStr">
        <is>
          <t>Plato</t>
        </is>
      </c>
      <c r="C4" s="32" t="inlineStr">
        <is>
          <t>Coste total (€)</t>
        </is>
      </c>
      <c r="D4" s="32" t="inlineStr">
        <is>
          <t>Coste por ración (€)</t>
        </is>
      </c>
      <c r="E4" s="32" t="inlineStr">
        <is>
          <t>PVP sin IVA (€)</t>
        </is>
      </c>
      <c r="F4" s="32" t="inlineStr">
        <is>
          <t>PVP con IVA (€)</t>
        </is>
      </c>
      <c r="G4" s="32" t="inlineStr">
        <is>
          <t>Food cost real (%)</t>
        </is>
      </c>
    </row>
    <row r="5">
      <c r="A5" t="inlineStr">
        <is>
          <t>Ficha (plantilla)</t>
        </is>
      </c>
      <c r="B5">
        <f>IFERROR(IF('Ficha (plantilla)'!C4="","",'Ficha (plantilla)'!C4),"")</f>
        <v/>
      </c>
      <c r="C5" s="30">
        <f>IFERROR(IF('Ficha (plantilla)'!H28="","",'Ficha (plantilla)'!H28),"")</f>
        <v/>
      </c>
      <c r="D5" s="30">
        <f>IFERROR(IF('Ficha (plantilla)'!H29="","",'Ficha (plantilla)'!H29),"")</f>
        <v/>
      </c>
      <c r="E5" s="30">
        <f>IFERROR(IF('Ficha (plantilla)'!H30="","",'Ficha (plantilla)'!H30),"")</f>
        <v/>
      </c>
      <c r="F5" s="30">
        <f>IFERROR(IF('Ficha (plantilla)'!H32="","",'Ficha (plantilla)'!H32),"")</f>
        <v/>
      </c>
      <c r="G5" s="31">
        <f>IFERROR(IF('Ficha (plantilla)'!H34="","",'Ficha (plantilla)'!H34),"")</f>
        <v/>
      </c>
      <c r="H5" s="35" t="inlineStr">
        <is>
          <t>Esta fila va cableada a la plantilla: no cambies su nombre aquí. Las de abajo se alimentan del nombre que escribas en la columna A.</t>
        </is>
      </c>
    </row>
    <row r="6">
      <c r="A6" s="16" t="n"/>
      <c r="B6">
        <f>IF($A6="","",IFERROR(IF(INDIRECT("'"&amp;$A6&amp;"'!C4")="","",INDIRECT("'"&amp;$A6&amp;"'!C4")),""))</f>
        <v/>
      </c>
      <c r="C6" s="30">
        <f>IF($A6="","",IFERROR(IF(INDIRECT("'"&amp;$A6&amp;"'!H28")="","",INDIRECT("'"&amp;$A6&amp;"'!H28")),""))</f>
        <v/>
      </c>
      <c r="D6" s="30">
        <f>IF($A6="","",IFERROR(IF(INDIRECT("'"&amp;$A6&amp;"'!H29")="","",INDIRECT("'"&amp;$A6&amp;"'!H29")),""))</f>
        <v/>
      </c>
      <c r="E6" s="30">
        <f>IF($A6="","",IFERROR(IF(INDIRECT("'"&amp;$A6&amp;"'!H30")="","",INDIRECT("'"&amp;$A6&amp;"'!H30")),""))</f>
        <v/>
      </c>
      <c r="F6" s="30">
        <f>IF($A6="","",IFERROR(IF(INDIRECT("'"&amp;$A6&amp;"'!H32")="","",INDIRECT("'"&amp;$A6&amp;"'!H32")),""))</f>
        <v/>
      </c>
      <c r="G6" s="31">
        <f>IF($A6="","",IFERROR(IF(INDIRECT("'"&amp;$A6&amp;"'!H34")="","",INDIRECT("'"&amp;$A6&amp;"'!H34")),""))</f>
        <v/>
      </c>
    </row>
    <row r="7">
      <c r="A7" s="16" t="n"/>
      <c r="B7">
        <f>IF($A7="","",IFERROR(IF(INDIRECT("'"&amp;$A7&amp;"'!C4")="","",INDIRECT("'"&amp;$A7&amp;"'!C4")),""))</f>
        <v/>
      </c>
      <c r="C7" s="30">
        <f>IF($A7="","",IFERROR(IF(INDIRECT("'"&amp;$A7&amp;"'!H28")="","",INDIRECT("'"&amp;$A7&amp;"'!H28")),""))</f>
        <v/>
      </c>
      <c r="D7" s="30">
        <f>IF($A7="","",IFERROR(IF(INDIRECT("'"&amp;$A7&amp;"'!H29")="","",INDIRECT("'"&amp;$A7&amp;"'!H29")),""))</f>
        <v/>
      </c>
      <c r="E7" s="30">
        <f>IF($A7="","",IFERROR(IF(INDIRECT("'"&amp;$A7&amp;"'!H30")="","",INDIRECT("'"&amp;$A7&amp;"'!H30")),""))</f>
        <v/>
      </c>
      <c r="F7" s="30">
        <f>IF($A7="","",IFERROR(IF(INDIRECT("'"&amp;$A7&amp;"'!H32")="","",INDIRECT("'"&amp;$A7&amp;"'!H32")),""))</f>
        <v/>
      </c>
      <c r="G7" s="31">
        <f>IF($A7="","",IFERROR(IF(INDIRECT("'"&amp;$A7&amp;"'!H34")="","",INDIRECT("'"&amp;$A7&amp;"'!H34")),""))</f>
        <v/>
      </c>
    </row>
    <row r="8">
      <c r="A8" s="16" t="n"/>
      <c r="B8">
        <f>IF($A8="","",IFERROR(IF(INDIRECT("'"&amp;$A8&amp;"'!C4")="","",INDIRECT("'"&amp;$A8&amp;"'!C4")),""))</f>
        <v/>
      </c>
      <c r="C8" s="30">
        <f>IF($A8="","",IFERROR(IF(INDIRECT("'"&amp;$A8&amp;"'!H28")="","",INDIRECT("'"&amp;$A8&amp;"'!H28")),""))</f>
        <v/>
      </c>
      <c r="D8" s="30">
        <f>IF($A8="","",IFERROR(IF(INDIRECT("'"&amp;$A8&amp;"'!H29")="","",INDIRECT("'"&amp;$A8&amp;"'!H29")),""))</f>
        <v/>
      </c>
      <c r="E8" s="30">
        <f>IF($A8="","",IFERROR(IF(INDIRECT("'"&amp;$A8&amp;"'!H30")="","",INDIRECT("'"&amp;$A8&amp;"'!H30")),""))</f>
        <v/>
      </c>
      <c r="F8" s="30">
        <f>IF($A8="","",IFERROR(IF(INDIRECT("'"&amp;$A8&amp;"'!H32")="","",INDIRECT("'"&amp;$A8&amp;"'!H32")),""))</f>
        <v/>
      </c>
      <c r="G8" s="31">
        <f>IF($A8="","",IFERROR(IF(INDIRECT("'"&amp;$A8&amp;"'!H34")="","",INDIRECT("'"&amp;$A8&amp;"'!H34")),""))</f>
        <v/>
      </c>
    </row>
    <row r="9">
      <c r="A9" s="16" t="n"/>
      <c r="B9">
        <f>IF($A9="","",IFERROR(IF(INDIRECT("'"&amp;$A9&amp;"'!C4")="","",INDIRECT("'"&amp;$A9&amp;"'!C4")),""))</f>
        <v/>
      </c>
      <c r="C9" s="30">
        <f>IF($A9="","",IFERROR(IF(INDIRECT("'"&amp;$A9&amp;"'!H28")="","",INDIRECT("'"&amp;$A9&amp;"'!H28")),""))</f>
        <v/>
      </c>
      <c r="D9" s="30">
        <f>IF($A9="","",IFERROR(IF(INDIRECT("'"&amp;$A9&amp;"'!H29")="","",INDIRECT("'"&amp;$A9&amp;"'!H29")),""))</f>
        <v/>
      </c>
      <c r="E9" s="30">
        <f>IF($A9="","",IFERROR(IF(INDIRECT("'"&amp;$A9&amp;"'!H30")="","",INDIRECT("'"&amp;$A9&amp;"'!H30")),""))</f>
        <v/>
      </c>
      <c r="F9" s="30">
        <f>IF($A9="","",IFERROR(IF(INDIRECT("'"&amp;$A9&amp;"'!H32")="","",INDIRECT("'"&amp;$A9&amp;"'!H32")),""))</f>
        <v/>
      </c>
      <c r="G9" s="31">
        <f>IF($A9="","",IFERROR(IF(INDIRECT("'"&amp;$A9&amp;"'!H34")="","",INDIRECT("'"&amp;$A9&amp;"'!H34")),""))</f>
        <v/>
      </c>
    </row>
    <row r="10">
      <c r="A10" s="16" t="n"/>
      <c r="B10">
        <f>IF($A10="","",IFERROR(IF(INDIRECT("'"&amp;$A10&amp;"'!C4")="","",INDIRECT("'"&amp;$A10&amp;"'!C4")),""))</f>
        <v/>
      </c>
      <c r="C10" s="30">
        <f>IF($A10="","",IFERROR(IF(INDIRECT("'"&amp;$A10&amp;"'!H28")="","",INDIRECT("'"&amp;$A10&amp;"'!H28")),""))</f>
        <v/>
      </c>
      <c r="D10" s="30">
        <f>IF($A10="","",IFERROR(IF(INDIRECT("'"&amp;$A10&amp;"'!H29")="","",INDIRECT("'"&amp;$A10&amp;"'!H29")),""))</f>
        <v/>
      </c>
      <c r="E10" s="30">
        <f>IF($A10="","",IFERROR(IF(INDIRECT("'"&amp;$A10&amp;"'!H30")="","",INDIRECT("'"&amp;$A10&amp;"'!H30")),""))</f>
        <v/>
      </c>
      <c r="F10" s="30">
        <f>IF($A10="","",IFERROR(IF(INDIRECT("'"&amp;$A10&amp;"'!H32")="","",INDIRECT("'"&amp;$A10&amp;"'!H32")),""))</f>
        <v/>
      </c>
      <c r="G10" s="31">
        <f>IF($A10="","",IFERROR(IF(INDIRECT("'"&amp;$A10&amp;"'!H34")="","",INDIRECT("'"&amp;$A10&amp;"'!H34")),""))</f>
        <v/>
      </c>
    </row>
    <row r="11">
      <c r="A11" s="16" t="n"/>
      <c r="B11">
        <f>IF($A11="","",IFERROR(IF(INDIRECT("'"&amp;$A11&amp;"'!C4")="","",INDIRECT("'"&amp;$A11&amp;"'!C4")),""))</f>
        <v/>
      </c>
      <c r="C11" s="30">
        <f>IF($A11="","",IFERROR(IF(INDIRECT("'"&amp;$A11&amp;"'!H28")="","",INDIRECT("'"&amp;$A11&amp;"'!H28")),""))</f>
        <v/>
      </c>
      <c r="D11" s="30">
        <f>IF($A11="","",IFERROR(IF(INDIRECT("'"&amp;$A11&amp;"'!H29")="","",INDIRECT("'"&amp;$A11&amp;"'!H29")),""))</f>
        <v/>
      </c>
      <c r="E11" s="30">
        <f>IF($A11="","",IFERROR(IF(INDIRECT("'"&amp;$A11&amp;"'!H30")="","",INDIRECT("'"&amp;$A11&amp;"'!H30")),""))</f>
        <v/>
      </c>
      <c r="F11" s="30">
        <f>IF($A11="","",IFERROR(IF(INDIRECT("'"&amp;$A11&amp;"'!H32")="","",INDIRECT("'"&amp;$A11&amp;"'!H32")),""))</f>
        <v/>
      </c>
      <c r="G11" s="31">
        <f>IF($A11="","",IFERROR(IF(INDIRECT("'"&amp;$A11&amp;"'!H34")="","",INDIRECT("'"&amp;$A11&amp;"'!H34")),""))</f>
        <v/>
      </c>
    </row>
    <row r="12">
      <c r="A12" s="16" t="n"/>
      <c r="B12">
        <f>IF($A12="","",IFERROR(IF(INDIRECT("'"&amp;$A12&amp;"'!C4")="","",INDIRECT("'"&amp;$A12&amp;"'!C4")),""))</f>
        <v/>
      </c>
      <c r="C12" s="30">
        <f>IF($A12="","",IFERROR(IF(INDIRECT("'"&amp;$A12&amp;"'!H28")="","",INDIRECT("'"&amp;$A12&amp;"'!H28")),""))</f>
        <v/>
      </c>
      <c r="D12" s="30">
        <f>IF($A12="","",IFERROR(IF(INDIRECT("'"&amp;$A12&amp;"'!H29")="","",INDIRECT("'"&amp;$A12&amp;"'!H29")),""))</f>
        <v/>
      </c>
      <c r="E12" s="30">
        <f>IF($A12="","",IFERROR(IF(INDIRECT("'"&amp;$A12&amp;"'!H30")="","",INDIRECT("'"&amp;$A12&amp;"'!H30")),""))</f>
        <v/>
      </c>
      <c r="F12" s="30">
        <f>IF($A12="","",IFERROR(IF(INDIRECT("'"&amp;$A12&amp;"'!H32")="","",INDIRECT("'"&amp;$A12&amp;"'!H32")),""))</f>
        <v/>
      </c>
      <c r="G12" s="31">
        <f>IF($A12="","",IFERROR(IF(INDIRECT("'"&amp;$A12&amp;"'!H34")="","",INDIRECT("'"&amp;$A12&amp;"'!H34")),""))</f>
        <v/>
      </c>
    </row>
    <row r="13">
      <c r="A13" s="16" t="n"/>
      <c r="B13">
        <f>IF($A13="","",IFERROR(IF(INDIRECT("'"&amp;$A13&amp;"'!C4")="","",INDIRECT("'"&amp;$A13&amp;"'!C4")),""))</f>
        <v/>
      </c>
      <c r="C13" s="30">
        <f>IF($A13="","",IFERROR(IF(INDIRECT("'"&amp;$A13&amp;"'!H28")="","",INDIRECT("'"&amp;$A13&amp;"'!H28")),""))</f>
        <v/>
      </c>
      <c r="D13" s="30">
        <f>IF($A13="","",IFERROR(IF(INDIRECT("'"&amp;$A13&amp;"'!H29")="","",INDIRECT("'"&amp;$A13&amp;"'!H29")),""))</f>
        <v/>
      </c>
      <c r="E13" s="30">
        <f>IF($A13="","",IFERROR(IF(INDIRECT("'"&amp;$A13&amp;"'!H30")="","",INDIRECT("'"&amp;$A13&amp;"'!H30")),""))</f>
        <v/>
      </c>
      <c r="F13" s="30">
        <f>IF($A13="","",IFERROR(IF(INDIRECT("'"&amp;$A13&amp;"'!H32")="","",INDIRECT("'"&amp;$A13&amp;"'!H32")),""))</f>
        <v/>
      </c>
      <c r="G13" s="31">
        <f>IF($A13="","",IFERROR(IF(INDIRECT("'"&amp;$A13&amp;"'!H34")="","",INDIRECT("'"&amp;$A13&amp;"'!H34")),""))</f>
        <v/>
      </c>
    </row>
    <row r="14">
      <c r="A14" s="16" t="n"/>
      <c r="B14">
        <f>IF($A14="","",IFERROR(IF(INDIRECT("'"&amp;$A14&amp;"'!C4")="","",INDIRECT("'"&amp;$A14&amp;"'!C4")),""))</f>
        <v/>
      </c>
      <c r="C14" s="30">
        <f>IF($A14="","",IFERROR(IF(INDIRECT("'"&amp;$A14&amp;"'!H28")="","",INDIRECT("'"&amp;$A14&amp;"'!H28")),""))</f>
        <v/>
      </c>
      <c r="D14" s="30">
        <f>IF($A14="","",IFERROR(IF(INDIRECT("'"&amp;$A14&amp;"'!H29")="","",INDIRECT("'"&amp;$A14&amp;"'!H29")),""))</f>
        <v/>
      </c>
      <c r="E14" s="30">
        <f>IF($A14="","",IFERROR(IF(INDIRECT("'"&amp;$A14&amp;"'!H30")="","",INDIRECT("'"&amp;$A14&amp;"'!H30")),""))</f>
        <v/>
      </c>
      <c r="F14" s="30">
        <f>IF($A14="","",IFERROR(IF(INDIRECT("'"&amp;$A14&amp;"'!H32")="","",INDIRECT("'"&amp;$A14&amp;"'!H32")),""))</f>
        <v/>
      </c>
      <c r="G14" s="31">
        <f>IF($A14="","",IFERROR(IF(INDIRECT("'"&amp;$A14&amp;"'!H34")="","",INDIRECT("'"&amp;$A14&amp;"'!H34")),""))</f>
        <v/>
      </c>
    </row>
    <row r="15">
      <c r="A15" s="16" t="n"/>
      <c r="B15">
        <f>IF($A15="","",IFERROR(IF(INDIRECT("'"&amp;$A15&amp;"'!C4")="","",INDIRECT("'"&amp;$A15&amp;"'!C4")),""))</f>
        <v/>
      </c>
      <c r="C15" s="30">
        <f>IF($A15="","",IFERROR(IF(INDIRECT("'"&amp;$A15&amp;"'!H28")="","",INDIRECT("'"&amp;$A15&amp;"'!H28")),""))</f>
        <v/>
      </c>
      <c r="D15" s="30">
        <f>IF($A15="","",IFERROR(IF(INDIRECT("'"&amp;$A15&amp;"'!H29")="","",INDIRECT("'"&amp;$A15&amp;"'!H29")),""))</f>
        <v/>
      </c>
      <c r="E15" s="30">
        <f>IF($A15="","",IFERROR(IF(INDIRECT("'"&amp;$A15&amp;"'!H30")="","",INDIRECT("'"&amp;$A15&amp;"'!H30")),""))</f>
        <v/>
      </c>
      <c r="F15" s="30">
        <f>IF($A15="","",IFERROR(IF(INDIRECT("'"&amp;$A15&amp;"'!H32")="","",INDIRECT("'"&amp;$A15&amp;"'!H32")),""))</f>
        <v/>
      </c>
      <c r="G15" s="31">
        <f>IF($A15="","",IFERROR(IF(INDIRECT("'"&amp;$A15&amp;"'!H34")="","",INDIRECT("'"&amp;$A15&amp;"'!H34")),""))</f>
        <v/>
      </c>
    </row>
    <row r="16">
      <c r="A16" s="16" t="n"/>
      <c r="B16">
        <f>IF($A16="","",IFERROR(IF(INDIRECT("'"&amp;$A16&amp;"'!C4")="","",INDIRECT("'"&amp;$A16&amp;"'!C4")),""))</f>
        <v/>
      </c>
      <c r="C16" s="30">
        <f>IF($A16="","",IFERROR(IF(INDIRECT("'"&amp;$A16&amp;"'!H28")="","",INDIRECT("'"&amp;$A16&amp;"'!H28")),""))</f>
        <v/>
      </c>
      <c r="D16" s="30">
        <f>IF($A16="","",IFERROR(IF(INDIRECT("'"&amp;$A16&amp;"'!H29")="","",INDIRECT("'"&amp;$A16&amp;"'!H29")),""))</f>
        <v/>
      </c>
      <c r="E16" s="30">
        <f>IF($A16="","",IFERROR(IF(INDIRECT("'"&amp;$A16&amp;"'!H30")="","",INDIRECT("'"&amp;$A16&amp;"'!H30")),""))</f>
        <v/>
      </c>
      <c r="F16" s="30">
        <f>IF($A16="","",IFERROR(IF(INDIRECT("'"&amp;$A16&amp;"'!H32")="","",INDIRECT("'"&amp;$A16&amp;"'!H32")),""))</f>
        <v/>
      </c>
      <c r="G16" s="31">
        <f>IF($A16="","",IFERROR(IF(INDIRECT("'"&amp;$A16&amp;"'!H34")="","",INDIRECT("'"&amp;$A16&amp;"'!H34")),""))</f>
        <v/>
      </c>
    </row>
    <row r="17"/>
    <row r="18">
      <c r="A18" s="32" t="inlineStr">
        <is>
          <t>Cómo añadir una ficha más</t>
        </is>
      </c>
    </row>
    <row r="19">
      <c r="A19" s="39" t="inlineStr">
        <is>
          <t>1. Clic derecho sobre la pestaña «Ficha (plantilla)» → Mover o copiar → marca «Crear una copia» y renómbrala con el nombre del plato.</t>
        </is>
      </c>
      <c r="B19" s="39" t="n"/>
    </row>
    <row r="20">
      <c r="A20" s="39" t="inlineStr">
        <is>
          <t>2. Escribe ese mismo nombre en la columna «Hoja de la ficha» de esta hoja, en cualquier fila de la 6 a la 16. NO hay que tocar ninguna fórmula: esas filas leen la hoja que nombres en la columna A.</t>
        </is>
      </c>
      <c r="B20" s="39" t="n"/>
    </row>
    <row r="21">
      <c r="A21" s="39" t="inlineStr">
        <is>
          <t>3. Un menú degustación de 8‑12 pases necesita una ficha por pase: por eso hay doce filas. Si te faltan, copia la última hacia abajo [TEC-23 · RC-19].</t>
        </is>
      </c>
      <c r="B21" s="39" t="n"/>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Escandallo Maestro — Fichas Técnicas · Cómo Montar un Restaurante Gastronómico 65 Plazas · v2.0</dc:title>
  <dc:description xmlns:dc="http://purl.org/dc/elements/1.1/">aichef.pro/guia-restaurante-gastronomico</dc:description>
  <dc:subject xmlns:dc="http://purl.org/dc/elements/1.1/">Cómo Montar un Restaurante Gastronómico 65 Plazas · v2.0</dc:subject>
  <dcterms:created xmlns:dcterms="http://purl.org/dc/terms/" xmlns:xsi="http://www.w3.org/2001/XMLSchema-instance" xsi:type="dcterms:W3CDTF">2026-04-05T22:25:49Z</dcterms:created>
  <dcterms:modified xmlns:dcterms="http://purl.org/dc/terms/" xmlns:xsi="http://www.w3.org/2001/XMLSchema-instance" xsi:type="dcterms:W3CDTF">2026-08-31T21:57:21Z</dcterms:modified>
  <cp:lastModifiedBy>AI Chef Pro</cp:lastModifiedBy>
  <cp:category>AI Chef Pro · Productos digitales</cp:category>
  <cp:keywords>guia restaurante gastronomico, AI Chef Pro</cp:keywords>
</cp:coreProperties>
</file>