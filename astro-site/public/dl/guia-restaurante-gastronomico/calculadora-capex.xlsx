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PEX" sheetId="2" state="visible" r:id="rId2"/>
  </sheets>
  <definedNames>
    <definedName name="_xlnm.Print_Titles" localSheetId="1">'CAPEX'!$4:$4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1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565C0"/>
      <sz val="11"/>
    </font>
    <font>
      <b val="1"/>
      <color rgb="001565C0"/>
      <sz val="11"/>
    </font>
    <font>
      <b val="1"/>
      <color rgb="00FFFFFF"/>
      <sz val="10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  <fill>
      <patternFill patternType="solid">
        <f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2" borderId="0" applyProtection="1" pivotButton="0" quotePrefix="0" xfId="0">
      <protection locked="0" hidden="0"/>
    </xf>
    <xf numFmtId="0" fontId="4" fillId="2" borderId="0" applyAlignment="1" applyProtection="1" pivotButton="0" quotePrefix="0" xfId="0">
      <alignment horizontal="left" vertical="top"/>
      <protection locked="0" hidden="0"/>
    </xf>
    <xf numFmtId="0" fontId="9" fillId="5" borderId="0" applyAlignment="1" pivotButton="0" quotePrefix="0" xfId="0">
      <alignment horizontal="center" wrapText="1"/>
    </xf>
    <xf numFmtId="3" fontId="4" fillId="0" borderId="1" applyAlignment="1" pivotButton="0" quotePrefix="0" xfId="0">
      <alignment horizontal="center" vertical="center" wrapText="1"/>
    </xf>
    <xf numFmtId="164" fontId="4" fillId="2" borderId="1" applyAlignment="1" applyProtection="1" pivotButton="0" quotePrefix="0" xfId="0">
      <alignment horizontal="center" vertical="center" wrapText="1"/>
      <protection locked="0" hidden="0"/>
    </xf>
    <xf numFmtId="0" fontId="10" fillId="0" borderId="0" applyAlignment="1" pivotButton="0" quotePrefix="0" xfId="0">
      <alignment horizontal="general" vertical="top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3" fontId="0" fillId="0" borderId="0" pivotButton="0" quotePrefix="0" xfId="0"/>
    <xf numFmtId="164" fontId="7" fillId="4" borderId="1" applyAlignment="1" applyProtection="1" pivotButton="0" quotePrefix="0" xfId="0">
      <alignment horizontal="center" vertical="center" wrapText="1"/>
      <protection locked="0" hidden="0"/>
    </xf>
    <xf numFmtId="164" fontId="8" fillId="0" borderId="1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Calculadora CAPEX — Restaurante Gastronómico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Cada categoría tiene rangos bajo/medio/alto para referencia.</t>
        </is>
      </c>
    </row>
    <row r="6">
      <c r="A6" s="4" t="inlineStr">
        <is>
          <t>2. Rellena la columna 'Tu Presupuesto' con tu inversión prevista.</t>
        </is>
      </c>
    </row>
    <row r="7">
      <c r="A7" s="4" t="inlineStr">
        <is>
          <t>3. El total se calcula automáticamente.</t>
        </is>
      </c>
    </row>
    <row r="8"/>
    <row r="9">
      <c r="A9" s="13" t="inlineStr">
        <is>
          <t>Celdas verdes = campos editables</t>
        </is>
      </c>
    </row>
    <row r="10"/>
    <row r="11">
      <c r="A11" s="13" t="n"/>
    </row>
    <row r="12"/>
    <row r="13">
      <c r="A13" s="13" t="inlineStr">
        <is>
          <t>Esta calculadora es la hoja de RANGOS DE MERCADO. TU CAPEX, el que va al banco, se rellena en plan-financiero-3-anos.xlsx, hoja «Inversión», que trae la correspondencia concepto → categoría de esta hoja. Los dos libros se comparan; ninguno lee del otro (un .xlsx movido de carpeta daría #REF!).</t>
        </is>
      </c>
    </row>
    <row r="14"/>
    <row r="15">
      <c r="A15" s="13" t="inlineStr">
        <is>
          <t>Los rangos cubren la NECESIDAD TOTAL, no solo la obra y el equipo: incluyen la preapertura (rentas y nóminas antes de abrir) y el fondo de maniobra de seis meses, que son las dos partidas que hunden a quien abre. Las dos llegan con la cifra del plan financiero de este kit como EJEMPLO en la columna verde; ajústalas a tu caso.</t>
        </is>
      </c>
    </row>
    <row r="16"/>
    <row r="17">
      <c r="A17" s="14" t="inlineStr">
        <is>
          <t>Para editar la estructura o una celda que no esté en verde: Revisar → Desproteger hoja (no tiene contraseña).</t>
        </is>
      </c>
    </row>
    <row r="18">
      <c r="A18" s="14" t="inlineStr">
        <is>
          <t>Diseñado por John Guerrero — chef y consultor gastronómico desde 2010, en cocina desde los 17 años · johnguerrero.es</t>
        </is>
      </c>
    </row>
    <row r="19">
      <c r="A19" s="14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7" customWidth="1" min="2" max="2"/>
    <col width="18" customWidth="1" min="3" max="3"/>
    <col width="18" customWidth="1" min="4" max="4"/>
    <col width="18" customWidth="1" min="5" max="5"/>
    <col width="20" customWidth="1" min="6" max="6"/>
    <col width="52" customWidth="1" min="7" max="7"/>
  </cols>
  <sheetData>
    <row r="1" ht="30" customHeight="1">
      <c r="A1" s="1" t="inlineStr">
        <is>
          <t>Calculadora CAPEX Restaurante Gastronómico 65 Plazas</t>
        </is>
      </c>
    </row>
    <row r="2">
      <c r="A2" s="2" t="inlineStr">
        <is>
          <t>AI Chef Pro · aichef.pro — Restaurante Gastronómico</t>
        </is>
      </c>
    </row>
    <row r="3"/>
    <row r="4">
      <c r="A4" s="6" t="inlineStr">
        <is>
          <t>#</t>
        </is>
      </c>
      <c r="B4" s="6" t="inlineStr">
        <is>
          <t>Categoría</t>
        </is>
      </c>
      <c r="C4" s="6" t="inlineStr">
        <is>
          <t>Rango Bajo (€)</t>
        </is>
      </c>
      <c r="D4" s="6" t="inlineStr">
        <is>
          <t>Rango Medio (€)</t>
        </is>
      </c>
      <c r="E4" s="6" t="inlineStr">
        <is>
          <t>Rango Alto (€)</t>
        </is>
      </c>
      <c r="F4" s="6" t="inlineStr">
        <is>
          <t>Tu Presupuesto (€)</t>
        </is>
      </c>
      <c r="G4" s="15" t="inlineStr">
        <is>
          <t>De dónde sale este rango</t>
        </is>
      </c>
    </row>
    <row r="5">
      <c r="A5" s="16" t="n">
        <v>1</v>
      </c>
      <c r="B5" s="8" t="inlineStr">
        <is>
          <t>Obra civil y reforma integral</t>
        </is>
      </c>
      <c r="C5" s="9" t="n">
        <v>150000</v>
      </c>
      <c r="D5" s="9" t="n">
        <v>250000</v>
      </c>
      <c r="E5" s="9" t="n">
        <v>450000</v>
      </c>
      <c r="F5" s="17" t="n"/>
    </row>
    <row r="6">
      <c r="A6" s="16" t="n">
        <v>2</v>
      </c>
      <c r="B6" s="8" t="inlineStr">
        <is>
          <t>Equipamiento cocina profesional</t>
        </is>
      </c>
      <c r="C6" s="9" t="n">
        <v>55000</v>
      </c>
      <c r="D6" s="9" t="n">
        <v>110000</v>
      </c>
      <c r="E6" s="9" t="n">
        <v>180000</v>
      </c>
      <c r="F6" s="17" t="n"/>
      <c r="G6" s="18" t="inlineStr">
        <is>
          <t>El rango alto llega a 180.000 € porque el checklist-equipamiento-cocina.xlsx de este mismo pack tasa 161.430,40 € para una cocina completa con Josper, horno mixto de 10 GN, abatidor y dos cámaras.</t>
        </is>
      </c>
    </row>
    <row r="7">
      <c r="A7" s="16" t="n">
        <v>3</v>
      </c>
      <c r="B7" s="8" t="inlineStr">
        <is>
          <t>Mobiliario sala (65 plazas)</t>
        </is>
      </c>
      <c r="C7" s="9" t="n">
        <v>30000</v>
      </c>
      <c r="D7" s="9" t="n">
        <v>60000</v>
      </c>
      <c r="E7" s="9" t="n">
        <v>120000</v>
      </c>
      <c r="F7" s="17" t="n"/>
    </row>
    <row r="8">
      <c r="A8" s="16" t="n">
        <v>4</v>
      </c>
      <c r="B8" s="8" t="inlineStr">
        <is>
          <t>Vajilla, cristalería, cubertería</t>
        </is>
      </c>
      <c r="C8" s="9" t="n">
        <v>15000</v>
      </c>
      <c r="D8" s="9" t="n">
        <v>35000</v>
      </c>
      <c r="E8" s="9" t="n">
        <v>65000</v>
      </c>
      <c r="F8" s="17" t="n"/>
    </row>
    <row r="9">
      <c r="A9" s="16" t="n">
        <v>5</v>
      </c>
      <c r="B9" s="8" t="inlineStr">
        <is>
          <t>Interiorismo y decoración</t>
        </is>
      </c>
      <c r="C9" s="9" t="n">
        <v>20000</v>
      </c>
      <c r="D9" s="9" t="n">
        <v>50000</v>
      </c>
      <c r="E9" s="9" t="n">
        <v>100000</v>
      </c>
      <c r="F9" s="17" t="n"/>
    </row>
    <row r="10">
      <c r="A10" s="16" t="n">
        <v>6</v>
      </c>
      <c r="B10" s="8" t="inlineStr">
        <is>
          <t>Bodega inicial (vinos)</t>
        </is>
      </c>
      <c r="C10" s="9" t="n">
        <v>15000</v>
      </c>
      <c r="D10" s="9" t="n">
        <v>40000</v>
      </c>
      <c r="E10" s="9" t="n">
        <v>80000</v>
      </c>
      <c r="F10" s="17" t="n"/>
    </row>
    <row r="11">
      <c r="A11" s="16" t="n">
        <v>7</v>
      </c>
      <c r="B11" s="8" t="inlineStr">
        <is>
          <t>Proyecto técnico + licencias</t>
        </is>
      </c>
      <c r="C11" s="9" t="n">
        <v>8000</v>
      </c>
      <c r="D11" s="9" t="n">
        <v>15000</v>
      </c>
      <c r="E11" s="9" t="n">
        <v>25000</v>
      </c>
      <c r="F11" s="17" t="n"/>
    </row>
    <row r="12">
      <c r="A12" s="16" t="n">
        <v>8</v>
      </c>
      <c r="B12" s="8" t="inlineStr">
        <is>
          <t>Tecnología (TPV, reservas, software)</t>
        </is>
      </c>
      <c r="C12" s="9" t="n">
        <v>5000</v>
      </c>
      <c r="D12" s="9" t="n">
        <v>10000</v>
      </c>
      <c r="E12" s="9" t="n">
        <v>20000</v>
      </c>
      <c r="F12" s="17" t="n"/>
    </row>
    <row r="13">
      <c r="A13" s="16" t="n">
        <v>9</v>
      </c>
      <c r="B13" s="8" t="inlineStr">
        <is>
          <t>Marketing lanzamiento</t>
        </is>
      </c>
      <c r="C13" s="9" t="n">
        <v>5000</v>
      </c>
      <c r="D13" s="9" t="n">
        <v>15000</v>
      </c>
      <c r="E13" s="9" t="n">
        <v>30000</v>
      </c>
      <c r="F13" s="17" t="n"/>
    </row>
    <row r="14">
      <c r="A14" s="16" t="n">
        <v>10</v>
      </c>
      <c r="B14" s="8" t="inlineStr">
        <is>
          <t>Stock inicial materias primas</t>
        </is>
      </c>
      <c r="C14" s="9" t="n">
        <v>5000</v>
      </c>
      <c r="D14" s="9" t="n">
        <v>10000</v>
      </c>
      <c r="E14" s="9" t="n">
        <v>20000</v>
      </c>
      <c r="F14" s="17" t="n"/>
    </row>
    <row r="15">
      <c r="A15" s="16" t="n">
        <v>11</v>
      </c>
      <c r="B15" s="8" t="inlineStr">
        <is>
          <t>Fondo de maniobra (6 meses)</t>
        </is>
      </c>
      <c r="C15" s="9" t="n">
        <v>180000</v>
      </c>
      <c r="D15" s="9" t="n">
        <v>450000</v>
      </c>
      <c r="E15" s="9" t="n">
        <v>950000</v>
      </c>
      <c r="F15" s="19" t="n">
        <v>934320.48</v>
      </c>
      <c r="G15" s="18" t="inlineStr">
        <is>
          <t>Estos tres números son un rango de mercado; el TUYO lo calcula plan-financiero-3-anos.xlsx, hoja «Inversión», con TUS costes fijos. Seis meses del escenario realista de este pack son 6 × 155.720,08 € = 934.320,48 €, que es la cifra de ejemplo de la columna verde y la que marca el rango alto. Ajústala a tu caso.</t>
        </is>
      </c>
    </row>
    <row r="16">
      <c r="A16" s="16" t="n">
        <v>12</v>
      </c>
      <c r="B16" s="8" t="inlineStr">
        <is>
          <t>Seguros y otros</t>
        </is>
      </c>
      <c r="C16" s="9" t="n">
        <v>5000</v>
      </c>
      <c r="D16" s="9" t="n">
        <v>8000</v>
      </c>
      <c r="E16" s="9" t="n">
        <v>15000</v>
      </c>
      <c r="F16" s="17" t="n"/>
    </row>
    <row r="17">
      <c r="A17" s="20" t="n">
        <v>13</v>
      </c>
      <c r="B17" s="11" t="inlineStr">
        <is>
          <t>Preapertura (rentas y nóminas antes de abrir)</t>
        </is>
      </c>
      <c r="C17" s="12" t="n">
        <v>40000</v>
      </c>
      <c r="D17" s="12" t="n">
        <v>110000</v>
      </c>
      <c r="E17" s="12" t="n">
        <v>250000</v>
      </c>
      <c r="F17" s="21" t="n">
        <v>221603.36</v>
      </c>
      <c r="G17" s="18" t="inlineStr">
        <is>
          <t>Rentas y suministros del local antes de abrir (la licencia tarda 4‑8 meses) más las nóminas de la brigada durante la formación. La cifra verde, 221.603,36 €, es la de ejemplo del plan financiero de este kit (6 meses de renta + 2 de nómina); ajústala a tu caso. Sin esta fila, la calculadora pedía menos dinero del que el propio plan dice que hace falta.</t>
        </is>
      </c>
    </row>
    <row r="18">
      <c r="B18" s="11" t="inlineStr">
        <is>
          <t>TOTAL</t>
        </is>
      </c>
      <c r="C18" s="22">
        <f>SUM(C5:C17)</f>
        <v>533000.0</v>
      </c>
      <c r="D18" s="22">
        <f>SUM(D5:D17)</f>
        <v>1163000.0</v>
      </c>
      <c r="E18" s="22">
        <f>SUM(E5:E17)</f>
        <v>2305000.0</v>
      </c>
      <c r="F18" s="22">
        <f>IF(COUNT(F5:F17)=0,"",SUM(F5:F17))</f>
        <v>1155923.8399999999</v>
      </c>
    </row>
    <row r="19">
      <c r="C19" s="23" t="n"/>
      <c r="D19" s="23" t="n"/>
      <c r="E19" s="23" t="n"/>
      <c r="F19" s="23" t="n"/>
    </row>
    <row r="20">
      <c r="A20" t="inlineStr">
        <is>
          <t>Tu presupuesto frente al rango de mercado</t>
        </is>
      </c>
      <c r="B20" s="23" t="n"/>
      <c r="C20" s="23" t="n"/>
      <c r="D20" s="23" t="n"/>
      <c r="E20" s="23" t="n"/>
      <c r="F20" t="str">
        <f>IF(COUNT(F5:F17)=0,"",IF(COUNT(F5:F17)&lt;COUNTIF($B$5:$B$17,"&lt;&gt;"),"Columna incompleta: el TOTAL sólo suma las filas que has rellenado",IF(F18&lt;C18,"Por debajo del rango bajo",IF(F18&gt;E18,"Por encima del rango alto","Dentro del rango"))))</f>
        <v>Columna incompleta: el TOTAL sólo suma las filas que has rellenado</v>
      </c>
      <c r="G20" s="23" t="n"/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:F1"/>
    <mergeCell ref="A2:F2"/>
  </mergeCells>
  <dataValidations count="1">
    <dataValidation sqref="F5 F6 F7 F8 F9 F10 F11 F12 F13 F14 F15 F16 F17" showDropDown="0" showInputMessage="0" showErrorMessage="1" allowBlank="1" errorTitle="Importe no válido" error="Escribe un número mayor o igual que 0." type="decimal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CAPEX — Restaurante Gastronómico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2026-08-29T07:45:02Z</dcterms:modified>
  <cp:lastModifiedBy>AI Chef Pro</cp:lastModifiedBy>
  <cp:category>AI Chef Pro · Productos digitales</cp:category>
  <cp:keywords>guia restaurante gastronomico, AI Chef Pro</cp:keywords>
</cp:coreProperties>
</file>