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PEX" sheetId="2" state="visible" r:id="rId2"/>
  </sheets>
  <definedNames>
    <definedName name="_xlnm.Print_Titles" localSheetId="1">'CAPEX'!$4:$4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8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565C0"/>
      <sz val="11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Calculadora CAPEX — Restaurante Gastronómico</t>
        </is>
      </c>
    </row>
    <row r="2">
      <c r="A2" s="2" t="inlineStr">
        <is>
          <t>AI Chef Pro · aichef.pro — Restaurante Gastronómico</t>
        </is>
      </c>
    </row>
    <row r="3"/>
    <row r="4">
      <c r="A4" s="3" t="inlineStr">
        <is>
          <t>Instrucciones de uso</t>
        </is>
      </c>
    </row>
    <row r="5">
      <c r="A5" s="4" t="inlineStr">
        <is>
          <t>1. Cada categoría tiene rangos bajo/medio/alto para referencia.</t>
        </is>
      </c>
    </row>
    <row r="6">
      <c r="A6" s="4" t="inlineStr">
        <is>
          <t>2. Rellena la columna 'Tu Presupuesto' con tu inversión prevista.</t>
        </is>
      </c>
    </row>
    <row r="7">
      <c r="A7" s="4" t="inlineStr">
        <is>
          <t>3. El total se calcula automáticamente.</t>
        </is>
      </c>
    </row>
    <row r="8"/>
    <row r="9">
      <c r="A9" s="5" t="inlineStr">
        <is>
          <t>Celdas verdes = campos editables</t>
        </is>
      </c>
    </row>
    <row r="10"/>
    <row r="11">
      <c r="A11" s="5" t="inlineStr">
        <is>
          <t>Versión 1.1 · agosto 2026 · aichef.pro/guia-restaurante-gastronomico · info@aichef.pro</t>
        </is>
      </c>
    </row>
  </sheetData>
  <mergeCells count="2">
    <mergeCell ref="A2:C2"/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8" customWidth="1" min="3" max="3"/>
    <col width="18" customWidth="1" min="4" max="4"/>
    <col width="18" customWidth="1" min="5" max="5"/>
    <col width="20" customWidth="1" min="6" max="6"/>
  </cols>
  <sheetData>
    <row r="1" ht="30" customHeight="1">
      <c r="A1" s="1" t="inlineStr">
        <is>
          <t>Calculadora CAPEX Restaurante Gastronómico 65 Plazas</t>
        </is>
      </c>
    </row>
    <row r="2">
      <c r="A2" s="2" t="inlineStr">
        <is>
          <t>AI Chef Pro · aichef.pro — Restaurante Gastronómico</t>
        </is>
      </c>
    </row>
    <row r="3"/>
    <row r="4">
      <c r="A4" s="6" t="inlineStr">
        <is>
          <t>#</t>
        </is>
      </c>
      <c r="B4" s="6" t="inlineStr">
        <is>
          <t>Categoría</t>
        </is>
      </c>
      <c r="C4" s="6" t="inlineStr">
        <is>
          <t>Rango Bajo (€)</t>
        </is>
      </c>
      <c r="D4" s="6" t="inlineStr">
        <is>
          <t>Rango Medio (€)</t>
        </is>
      </c>
      <c r="E4" s="6" t="inlineStr">
        <is>
          <t>Rango Alto (€)</t>
        </is>
      </c>
      <c r="F4" s="6" t="inlineStr">
        <is>
          <t>Tu Presupuesto (€)</t>
        </is>
      </c>
    </row>
    <row r="5">
      <c r="A5" s="7" t="n">
        <v>1</v>
      </c>
      <c r="B5" s="8" t="inlineStr">
        <is>
          <t>Obra civil y reforma integral</t>
        </is>
      </c>
      <c r="C5" s="9" t="n">
        <v>150000</v>
      </c>
      <c r="D5" s="9" t="n">
        <v>250000</v>
      </c>
      <c r="E5" s="9" t="n">
        <v>450000</v>
      </c>
      <c r="F5" s="10" t="n"/>
    </row>
    <row r="6">
      <c r="A6" s="7" t="n">
        <v>2</v>
      </c>
      <c r="B6" s="8" t="inlineStr">
        <is>
          <t>Equipamiento cocina profesional</t>
        </is>
      </c>
      <c r="C6" s="9" t="n">
        <v>55000</v>
      </c>
      <c r="D6" s="9" t="n">
        <v>90000</v>
      </c>
      <c r="E6" s="9" t="n">
        <v>150000</v>
      </c>
      <c r="F6" s="10" t="n"/>
    </row>
    <row r="7">
      <c r="A7" s="7" t="n">
        <v>3</v>
      </c>
      <c r="B7" s="8" t="inlineStr">
        <is>
          <t>Mobiliario sala (65 plazas)</t>
        </is>
      </c>
      <c r="C7" s="9" t="n">
        <v>30000</v>
      </c>
      <c r="D7" s="9" t="n">
        <v>60000</v>
      </c>
      <c r="E7" s="9" t="n">
        <v>120000</v>
      </c>
      <c r="F7" s="10" t="n"/>
    </row>
    <row r="8">
      <c r="A8" s="7" t="n">
        <v>4</v>
      </c>
      <c r="B8" s="8" t="inlineStr">
        <is>
          <t>Vajilla, cristalería, cubertería</t>
        </is>
      </c>
      <c r="C8" s="9" t="n">
        <v>15000</v>
      </c>
      <c r="D8" s="9" t="n">
        <v>35000</v>
      </c>
      <c r="E8" s="9" t="n">
        <v>65000</v>
      </c>
      <c r="F8" s="10" t="n"/>
    </row>
    <row r="9">
      <c r="A9" s="7" t="n">
        <v>5</v>
      </c>
      <c r="B9" s="8" t="inlineStr">
        <is>
          <t>Interiorismo y decoración</t>
        </is>
      </c>
      <c r="C9" s="9" t="n">
        <v>20000</v>
      </c>
      <c r="D9" s="9" t="n">
        <v>50000</v>
      </c>
      <c r="E9" s="9" t="n">
        <v>100000</v>
      </c>
      <c r="F9" s="10" t="n"/>
    </row>
    <row r="10">
      <c r="A10" s="7" t="n">
        <v>6</v>
      </c>
      <c r="B10" s="8" t="inlineStr">
        <is>
          <t>Bodega inicial (vinos)</t>
        </is>
      </c>
      <c r="C10" s="9" t="n">
        <v>15000</v>
      </c>
      <c r="D10" s="9" t="n">
        <v>40000</v>
      </c>
      <c r="E10" s="9" t="n">
        <v>80000</v>
      </c>
      <c r="F10" s="10" t="n"/>
    </row>
    <row r="11">
      <c r="A11" s="7" t="n">
        <v>7</v>
      </c>
      <c r="B11" s="8" t="inlineStr">
        <is>
          <t>Proyecto técnico + licencias</t>
        </is>
      </c>
      <c r="C11" s="9" t="n">
        <v>8000</v>
      </c>
      <c r="D11" s="9" t="n">
        <v>15000</v>
      </c>
      <c r="E11" s="9" t="n">
        <v>25000</v>
      </c>
      <c r="F11" s="10" t="n"/>
    </row>
    <row r="12">
      <c r="A12" s="7" t="n">
        <v>8</v>
      </c>
      <c r="B12" s="8" t="inlineStr">
        <is>
          <t>Tecnología (TPV, reservas, software)</t>
        </is>
      </c>
      <c r="C12" s="9" t="n">
        <v>5000</v>
      </c>
      <c r="D12" s="9" t="n">
        <v>10000</v>
      </c>
      <c r="E12" s="9" t="n">
        <v>20000</v>
      </c>
      <c r="F12" s="10" t="n"/>
    </row>
    <row r="13">
      <c r="A13" s="7" t="n">
        <v>9</v>
      </c>
      <c r="B13" s="8" t="inlineStr">
        <is>
          <t>Marketing lanzamiento</t>
        </is>
      </c>
      <c r="C13" s="9" t="n">
        <v>5000</v>
      </c>
      <c r="D13" s="9" t="n">
        <v>15000</v>
      </c>
      <c r="E13" s="9" t="n">
        <v>30000</v>
      </c>
      <c r="F13" s="10" t="n"/>
    </row>
    <row r="14">
      <c r="A14" s="7" t="n">
        <v>10</v>
      </c>
      <c r="B14" s="8" t="inlineStr">
        <is>
          <t>Stock inicial materias primas</t>
        </is>
      </c>
      <c r="C14" s="9" t="n">
        <v>5000</v>
      </c>
      <c r="D14" s="9" t="n">
        <v>10000</v>
      </c>
      <c r="E14" s="9" t="n">
        <v>20000</v>
      </c>
      <c r="F14" s="10" t="n"/>
    </row>
    <row r="15">
      <c r="A15" s="7" t="n">
        <v>11</v>
      </c>
      <c r="B15" s="8" t="inlineStr">
        <is>
          <t>Fondo de maniobra (6 meses)</t>
        </is>
      </c>
      <c r="C15" s="9" t="n">
        <v>60000</v>
      </c>
      <c r="D15" s="9" t="n">
        <v>120000</v>
      </c>
      <c r="E15" s="9" t="n">
        <v>200000</v>
      </c>
      <c r="F15" s="10" t="n"/>
    </row>
    <row r="16">
      <c r="A16" s="7" t="n">
        <v>12</v>
      </c>
      <c r="B16" s="8" t="inlineStr">
        <is>
          <t>Seguros y otros</t>
        </is>
      </c>
      <c r="C16" s="9" t="n">
        <v>5000</v>
      </c>
      <c r="D16" s="9" t="n">
        <v>8000</v>
      </c>
      <c r="E16" s="9" t="n">
        <v>15000</v>
      </c>
      <c r="F16" s="10" t="n"/>
    </row>
    <row r="17">
      <c r="B17" s="11" t="inlineStr">
        <is>
          <t>TOTAL</t>
        </is>
      </c>
      <c r="C17" s="12">
        <f>SUM(C5:C16)</f>
        <v>373000.0</v>
      </c>
      <c r="D17" s="12">
        <f>SUM(D5:D16)</f>
        <v>703000.0</v>
      </c>
      <c r="E17" s="12">
        <f>SUM(E5:E16)</f>
        <v>1275000.0</v>
      </c>
      <c r="F17" s="12">
        <f>SUM(F5:F16)</f>
        <v>0.0</v>
      </c>
    </row>
  </sheetData>
  <mergeCells count="2">
    <mergeCell ref="A1:F1"/>
    <mergeCell ref="A2:F2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Calculadora CAPEX — Restaurante Gastronómico · Cómo Montar un Restaurante Gastronómico 65 Plazas</dc:title>
  <dc:description xmlns:dc="http://purl.org/dc/elements/1.1/">aichef.pro/guia-restaurante-gastronomico</dc:description>
  <dc:subject xmlns:dc="http://purl.org/dc/elements/1.1/">Cómo Montar un Restaurante Gastronómico 65 Plazas · v1.1</dc:subject>
  <dcterms:created xmlns:dcterms="http://purl.org/dc/terms/" xmlns:xsi="http://www.w3.org/2001/XMLSchema-instance" xsi:type="dcterms:W3CDTF">2026-04-05T22:25:49Z</dcterms:created>
  <dcterms:modified xmlns:dcterms="http://purl.org/dc/terms/" xmlns:xsi="http://www.w3.org/2001/XMLSchema-instance" xsi:type="dcterms:W3CDTF">2026-08-22T09:12:36Z</dcterms:modified>
  <cp:lastModifiedBy>AI Chef Pro</cp:lastModifiedBy>
  <cp:category>AI Chef Pro · Productos digitales</cp:category>
  <cp:keywords>guia restaurante gastronomico, AI Chef Pro</cp:keywords>
</cp:coreProperties>
</file>