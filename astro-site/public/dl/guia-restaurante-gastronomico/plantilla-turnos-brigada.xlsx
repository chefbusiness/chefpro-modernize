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Turnos Semana" sheetId="2" state="visible" r:id="rId2"/>
    <sheet xmlns:r="http://schemas.openxmlformats.org/officeDocument/2006/relationships" name="Registro de jornada" sheetId="3" state="visible" r:id="rId3"/>
  </sheets>
  <definedNames>
    <definedName name="_xlnm.Print_Titles" localSheetId="1">'Turnos Semana'!$4:$4</definedName>
  </definedNames>
  <calcPr calcId="124519" fullCalcOnLoad="1"/>
</workbook>
</file>

<file path=xl/styles.xml><?xml version="1.0" encoding="utf-8"?>
<styleSheet xmlns="http://schemas.openxmlformats.org/spreadsheetml/2006/main">
  <numFmts count="6">
    <numFmt numFmtId="164" formatCode="#,##0.00 €"/>
    <numFmt numFmtId="165" formatCode="0.0%"/>
    <numFmt numFmtId="166" formatCode="#,##0.0"/>
    <numFmt numFmtId="167" formatCode="dd/mm/yyyy"/>
    <numFmt numFmtId="168" formatCode="hh:mm"/>
    <numFmt numFmtId="169" formatCode="[h]:mm"/>
  </numFmts>
  <fonts count="11">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font>
      <b val="1"/>
    </font>
    <font>
      <b val="1"/>
      <color theme="1"/>
      <sz val="11"/>
    </font>
    <font>
      <b val="1"/>
      <sz val="14"/>
    </font>
    <font>
      <b val="1"/>
      <color rgb="00FFFFFF"/>
      <sz val="11"/>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FFF8E1"/>
        <bgColor rgb="00FFF8E1"/>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0" fillId="4" borderId="0" pivotButton="0" quotePrefix="0" xfId="0"/>
    <xf numFmtId="0" fontId="3" fillId="4"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center" vertical="center" wrapText="1"/>
    </xf>
    <xf numFmtId="3" fontId="4" fillId="2"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164" fontId="0" fillId="0" borderId="0" pivotButton="0" quotePrefix="0" xfId="0"/>
    <xf numFmtId="3" fontId="0" fillId="0" borderId="0" pivotButton="0" quotePrefix="0" xfId="0"/>
    <xf numFmtId="165" fontId="0" fillId="0" borderId="0" pivotButton="0" quotePrefix="0" xfId="0"/>
    <xf numFmtId="3" fontId="4" fillId="0" borderId="1" applyAlignment="1" pivotButton="0" quotePrefix="0" xfId="0">
      <alignment horizontal="center" vertical="center" wrapText="1"/>
    </xf>
    <xf numFmtId="0" fontId="4" fillId="5" borderId="1" applyAlignment="1" applyProtection="1" pivotButton="0" quotePrefix="0" xfId="0">
      <alignment horizontal="left" vertical="center" wrapText="1"/>
      <protection locked="0" hidden="0"/>
    </xf>
    <xf numFmtId="0" fontId="4" fillId="5" borderId="1" applyAlignment="1" applyProtection="1" pivotButton="0" quotePrefix="0" xfId="0">
      <alignment horizontal="center" vertical="center" wrapText="1"/>
      <protection locked="0" hidden="0"/>
    </xf>
    <xf numFmtId="166" fontId="4" fillId="0" borderId="1" applyAlignment="1" pivotButton="0" quotePrefix="0" xfId="0">
      <alignment horizontal="center" vertical="center" wrapText="1"/>
    </xf>
    <xf numFmtId="164" fontId="0" fillId="5" borderId="0" applyProtection="1" pivotButton="0" quotePrefix="0" xfId="0">
      <protection locked="0" hidden="0"/>
    </xf>
    <xf numFmtId="3" fontId="0" fillId="5" borderId="0" applyProtection="1" pivotButton="0" quotePrefix="0" xfId="0">
      <protection locked="0" hidden="0"/>
    </xf>
    <xf numFmtId="165" fontId="0" fillId="5" borderId="0" applyProtection="1" pivotButton="0" quotePrefix="0" xfId="0">
      <protection locked="0" hidden="0"/>
    </xf>
    <xf numFmtId="0" fontId="7" fillId="0" borderId="0" pivotButton="0" quotePrefix="0" xfId="0"/>
    <xf numFmtId="0" fontId="6" fillId="0" borderId="0" pivotButton="0" quotePrefix="0" xfId="0"/>
    <xf numFmtId="164" fontId="6" fillId="0" borderId="0" pivotButton="0" quotePrefix="0" xfId="0"/>
    <xf numFmtId="166" fontId="7" fillId="0" borderId="0" pivotButton="0" quotePrefix="0" xfId="0"/>
    <xf numFmtId="164" fontId="7" fillId="0" borderId="0" pivotButton="0" quotePrefix="0" xfId="0"/>
    <xf numFmtId="0" fontId="8" fillId="0" borderId="0" pivotButton="0" quotePrefix="0" xfId="0"/>
    <xf numFmtId="164" fontId="8" fillId="0" borderId="0" pivotButton="0" quotePrefix="0" xfId="0"/>
    <xf numFmtId="0" fontId="6" fillId="0" borderId="0" applyAlignment="1" pivotButton="0" quotePrefix="0" xfId="0">
      <alignment horizontal="general" vertical="top" wrapText="1"/>
    </xf>
    <xf numFmtId="166" fontId="6" fillId="5" borderId="0" applyProtection="1" pivotButton="0" quotePrefix="0" xfId="0">
      <protection locked="0" hidden="0"/>
    </xf>
    <xf numFmtId="165" fontId="6" fillId="0" borderId="0" pivotButton="0" quotePrefix="0" xfId="0"/>
    <xf numFmtId="165" fontId="6" fillId="5" borderId="0" applyProtection="1" pivotButton="0" quotePrefix="0" xfId="0">
      <protection locked="0" hidden="0"/>
    </xf>
    <xf numFmtId="165" fontId="6" fillId="0" borderId="0" applyAlignment="1" pivotButton="0" quotePrefix="0" xfId="0">
      <alignment horizontal="general" vertical="top" wrapText="1"/>
    </xf>
    <xf numFmtId="164" fontId="6" fillId="5" borderId="0" applyProtection="1" pivotButton="0" quotePrefix="0" xfId="0">
      <protection locked="0" hidden="0"/>
    </xf>
    <xf numFmtId="3" fontId="6" fillId="5" borderId="0" applyProtection="1" pivotButton="0" quotePrefix="0" xfId="0">
      <protection locked="0" hidden="0"/>
    </xf>
    <xf numFmtId="3" fontId="6" fillId="0" borderId="0" pivotButton="0" quotePrefix="0" xfId="0"/>
    <xf numFmtId="3" fontId="6" fillId="0" borderId="0" applyAlignment="1" pivotButton="0" quotePrefix="0" xfId="0">
      <alignment horizontal="general" vertical="top" wrapText="1"/>
    </xf>
    <xf numFmtId="3" fontId="7" fillId="0" borderId="0" pivotButton="0" quotePrefix="0" xfId="0"/>
    <xf numFmtId="0" fontId="9" fillId="0" borderId="0" pivotButton="0" quotePrefix="0" xfId="0"/>
    <xf numFmtId="167" fontId="0" fillId="5" borderId="0" applyProtection="1" pivotButton="0" quotePrefix="0" xfId="0">
      <protection locked="0" hidden="0"/>
    </xf>
    <xf numFmtId="0" fontId="0" fillId="5" borderId="0" applyProtection="1" pivotButton="0" quotePrefix="0" xfId="0">
      <protection locked="0" hidden="0"/>
    </xf>
    <xf numFmtId="168" fontId="0" fillId="5" borderId="0" applyProtection="1" pivotButton="0" quotePrefix="0" xfId="0">
      <protection locked="0" hidden="0"/>
    </xf>
    <xf numFmtId="169" fontId="0" fillId="0" borderId="0" pivotButton="0" quotePrefix="0" xfId="0"/>
    <xf numFmtId="169" fontId="0" fillId="5" borderId="0" applyProtection="1" pivotButton="0" quotePrefix="0" xfId="0">
      <protection locked="0" hidden="0"/>
    </xf>
    <xf numFmtId="0" fontId="0" fillId="0" borderId="0" applyAlignment="1" pivotButton="0" quotePrefix="0" xfId="0">
      <alignment horizontal="general" vertical="top" wrapText="1"/>
    </xf>
    <xf numFmtId="164" fontId="0" fillId="0" borderId="0" pivotButton="0" quotePrefix="0" xfId="0"/>
    <xf numFmtId="166" fontId="4" fillId="0" borderId="1" applyAlignment="1" pivotButton="0" quotePrefix="0" xfId="0">
      <alignment horizontal="center" vertical="center" wrapText="1"/>
    </xf>
    <xf numFmtId="164" fontId="0" fillId="5" borderId="0" applyProtection="1" pivotButton="0" quotePrefix="0" xfId="0">
      <protection locked="0" hidden="0"/>
    </xf>
    <xf numFmtId="164" fontId="6" fillId="0" borderId="0" pivotButton="0" quotePrefix="0" xfId="0"/>
    <xf numFmtId="166" fontId="7" fillId="0" borderId="0" pivotButton="0" quotePrefix="0" xfId="0"/>
    <xf numFmtId="164" fontId="7" fillId="0" borderId="0" pivotButton="0" quotePrefix="0" xfId="0"/>
    <xf numFmtId="166" fontId="6" fillId="5" borderId="0" applyProtection="1" pivotButton="0" quotePrefix="0" xfId="0">
      <protection locked="0" hidden="0"/>
    </xf>
    <xf numFmtId="164" fontId="6" fillId="5" borderId="0" applyProtection="1" pivotButton="0" quotePrefix="0" xfId="0">
      <protection locked="0" hidden="0"/>
    </xf>
    <xf numFmtId="167" fontId="0" fillId="5" borderId="0" applyProtection="1" pivotButton="0" quotePrefix="0" xfId="0">
      <protection locked="0" hidden="0"/>
    </xf>
    <xf numFmtId="168" fontId="0" fillId="5" borderId="0" applyProtection="1" pivotButton="0" quotePrefix="0" xfId="0">
      <protection locked="0" hidden="0"/>
    </xf>
    <xf numFmtId="169" fontId="0" fillId="0" borderId="0" pivotButton="0" quotePrefix="0" xfId="0"/>
    <xf numFmtId="169" fontId="0" fillId="5" borderId="0" applyProtection="1" pivotButton="0" quotePrefix="0" xfId="0">
      <protection locked="0" hidden="0"/>
    </xf>
  </cellXfs>
  <cellStyles count="1">
    <cellStyle name="Normal" xfId="0" builtinId="0" hidden="0"/>
  </cellStyles>
  <dxfs count="2">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3"/>
  <sheetViews>
    <sheetView workbookViewId="0">
      <selection activeCell="A1" sqref="A1"/>
    </sheetView>
  </sheetViews>
  <sheetFormatPr baseColWidth="8" defaultRowHeight="15"/>
  <cols>
    <col width="80" customWidth="1" min="1" max="1"/>
  </cols>
  <sheetData>
    <row r="1" ht="30" customHeight="1">
      <c r="A1" s="1" t="inlineStr">
        <is>
          <t>Plantilla Turnos Brigada (24 personas)</t>
        </is>
      </c>
    </row>
    <row r="2">
      <c r="A2" s="2" t="inlineStr">
        <is>
          <t>AI Chef Pro · aichef.pro — Restaurante Gastronómico</t>
        </is>
      </c>
    </row>
    <row r="3"/>
    <row r="4">
      <c r="A4" s="3" t="inlineStr">
        <is>
          <t>Instrucciones de uso</t>
        </is>
      </c>
    </row>
    <row r="5">
      <c r="A5" s="4" t="inlineStr">
        <is>
          <t>1. Un cuadrante semanal para toda la brigada.</t>
        </is>
      </c>
    </row>
    <row r="6">
      <c r="A6" s="4" t="inlineStr">
        <is>
          <t>2. Rellena los turnos (M=Mañana, T=Tarde, P=Partido, L=Libre).</t>
        </is>
      </c>
    </row>
    <row r="7">
      <c r="A7" s="4" t="inlineStr">
        <is>
          <t>3. Las horas y costes se calculan automáticamente.</t>
        </is>
      </c>
    </row>
    <row r="8"/>
    <row r="9">
      <c r="A9" s="14" t="inlineStr">
        <is>
          <t>Celdas verdes = campos editables</t>
        </is>
      </c>
    </row>
    <row r="10"/>
    <row r="11">
      <c r="A11" s="14" t="n"/>
    </row>
    <row r="12"/>
    <row r="13">
      <c r="A13" s="14" t="inlineStr">
        <is>
          <t>La columna «Horas/Semana» se calcula sola desde los turnos: M, T, P, L y V. La V es VACACIONES (estaba en el desplegable y no la explicaba ninguna parte del fichero).</t>
        </is>
      </c>
    </row>
    <row r="14"/>
    <row r="15">
      <c r="A15" s="14" t="inlineStr">
        <is>
          <t>Escribe el «Bruto anual» de cada puesto y la «Jornada anual de convenio»: el libro calcula el coste/hora con la Seguridad Social a cargo de la empresa y el coste de la semana.</t>
        </is>
      </c>
    </row>
    <row r="16"/>
    <row r="17">
      <c r="A17" s="14" t="inlineStr">
        <is>
          <t>Si un bruto anual queda por debajo del SMI, la celda se pinta de rojo.</t>
        </is>
      </c>
    </row>
    <row r="18"/>
    <row r="19">
      <c r="A19" s="14" t="inlineStr">
        <is>
          <t>La hoja «Registro de jornada» es la que cumple el registro de jornada del art. 34.9 del Estatuto de los Trabajadores: un cuadrante con letras M/T/P/L no lo cumple.</t>
        </is>
      </c>
    </row>
    <row r="20"/>
    <row r="21">
      <c r="A21" s="15" t="inlineStr">
        <is>
          <t>Para editar la estructura o una celda que no esté en verde: Revisar → Desproteger hoja (no tiene contraseña).</t>
        </is>
      </c>
    </row>
    <row r="22">
      <c r="A22" s="15" t="inlineStr">
        <is>
          <t>Diseñado por John Guerrero — chef y consultor gastronómico desde 2010, en cocina desde los 17 años · johnguerrero.es</t>
        </is>
      </c>
    </row>
    <row r="23">
      <c r="A23"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Q5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2" customWidth="1" min="2" max="2"/>
    <col width="25" customWidth="1" min="3" max="3"/>
    <col width="6" customWidth="1" min="4" max="4"/>
    <col width="6" customWidth="1" min="5" max="5"/>
    <col width="6" customWidth="1" min="6" max="6"/>
    <col width="6" customWidth="1" min="7" max="7"/>
    <col width="6" customWidth="1" min="8" max="8"/>
    <col width="6" customWidth="1" min="9" max="9"/>
    <col width="6" customWidth="1" min="10" max="10"/>
    <col width="14" customWidth="1" min="11" max="11"/>
    <col width="17" customWidth="1" min="12" max="12"/>
    <col width="13" customWidth="1" min="13" max="13"/>
    <col width="24" customWidth="1" min="14" max="14"/>
    <col width="16" customWidth="1" min="15" max="15"/>
    <col width="18" customWidth="1" min="16" max="16"/>
    <col width="13" customWidth="1" min="17" max="17"/>
  </cols>
  <sheetData>
    <row r="1" ht="30" customHeight="1">
      <c r="A1" s="1" t="inlineStr">
        <is>
          <t>Cuadrante Semanal — Brigada Restaurante Gastronómico</t>
        </is>
      </c>
    </row>
    <row r="2">
      <c r="A2" s="2" t="inlineStr">
        <is>
          <t>AI Chef Pro · aichef.pro — Restaurante Gastronómico</t>
        </is>
      </c>
    </row>
    <row r="3"/>
    <row r="4">
      <c r="A4" s="6" t="inlineStr">
        <is>
          <t>#</t>
        </is>
      </c>
      <c r="B4" s="6" t="inlineStr">
        <is>
          <t>Nombre</t>
        </is>
      </c>
      <c r="C4" s="6" t="inlineStr">
        <is>
          <t>Puesto</t>
        </is>
      </c>
      <c r="D4" s="6" t="inlineStr">
        <is>
          <t>Lun</t>
        </is>
      </c>
      <c r="E4" s="6" t="inlineStr">
        <is>
          <t>Mar</t>
        </is>
      </c>
      <c r="F4" s="6" t="inlineStr">
        <is>
          <t>Mié</t>
        </is>
      </c>
      <c r="G4" s="6" t="inlineStr">
        <is>
          <t>Jue</t>
        </is>
      </c>
      <c r="H4" s="6" t="inlineStr">
        <is>
          <t>Vie</t>
        </is>
      </c>
      <c r="I4" s="6" t="inlineStr">
        <is>
          <t>Sáb</t>
        </is>
      </c>
      <c r="J4" s="6" t="inlineStr">
        <is>
          <t>Dom</t>
        </is>
      </c>
      <c r="K4" s="6" t="inlineStr">
        <is>
          <t>Horas/Semana</t>
        </is>
      </c>
      <c r="L4" s="6" t="inlineStr">
        <is>
          <t>Bruto anual (€)</t>
        </is>
      </c>
      <c r="M4" s="6" t="inlineStr">
        <is>
          <t>Nº de pagas</t>
        </is>
      </c>
      <c r="N4" s="6" t="inlineStr">
        <is>
          <t>Bruto por paga (€)</t>
        </is>
      </c>
      <c r="O4" s="6" t="inlineStr">
        <is>
          <t>Coste/hora (€)</t>
        </is>
      </c>
      <c r="P4" s="6" t="inlineStr">
        <is>
          <t>Coste semana (€)</t>
        </is>
      </c>
      <c r="Q4" s="6" t="inlineStr">
        <is>
          <t>% de jornada</t>
        </is>
      </c>
    </row>
    <row r="5">
      <c r="A5" s="7" t="n"/>
      <c r="B5" s="8" t="inlineStr">
        <is>
          <t>COCINA</t>
        </is>
      </c>
      <c r="C5" s="7" t="n"/>
      <c r="D5" s="7" t="n"/>
      <c r="E5" s="7" t="n"/>
      <c r="F5" s="7" t="n"/>
      <c r="G5" s="7" t="n"/>
      <c r="H5" s="7" t="n"/>
      <c r="I5" s="7" t="n"/>
      <c r="J5" s="7" t="n"/>
      <c r="K5" s="7" t="n"/>
      <c r="L5" s="50" t="n"/>
      <c r="M5" s="17" t="n"/>
      <c r="N5" s="50" t="n"/>
      <c r="O5" s="50" t="n"/>
      <c r="P5" s="50" t="n"/>
      <c r="Q5" s="18" t="n"/>
    </row>
    <row r="6">
      <c r="A6" s="19" t="n">
        <v>1</v>
      </c>
      <c r="B6" s="20" t="n"/>
      <c r="C6" s="11" t="inlineStr">
        <is>
          <t>Chef Ejecutivo</t>
        </is>
      </c>
      <c r="D6" s="21" t="inlineStr">
        <is>
          <t>P</t>
        </is>
      </c>
      <c r="E6" s="21" t="inlineStr">
        <is>
          <t>P</t>
        </is>
      </c>
      <c r="F6" s="21" t="inlineStr">
        <is>
          <t>P</t>
        </is>
      </c>
      <c r="G6" s="21" t="inlineStr">
        <is>
          <t>P</t>
        </is>
      </c>
      <c r="H6" s="21" t="inlineStr">
        <is>
          <t>L</t>
        </is>
      </c>
      <c r="I6" s="21" t="inlineStr">
        <is>
          <t>L</t>
        </is>
      </c>
      <c r="J6" s="21" t="inlineStr">
        <is>
          <t>L</t>
        </is>
      </c>
      <c r="K6" s="51">
        <f>IF(COUNTIF(D6:J6,"&lt;&gt;")=0,"",ROUND(SUMPRODUCT((D6:J6="M")*$C$36+(D6:J6="T")*$C$37+(D6:J6="P")*$C$38+(D6:J6="L")*$C$39+(D6:J6="V")*$C$40),2))</f>
        <v>40.0</v>
      </c>
      <c r="L6" s="52" t="n">
        <v>55000</v>
      </c>
      <c r="M6" s="24" t="n">
        <v>14</v>
      </c>
      <c r="N6" s="50">
        <f>IFERROR(IF(OR($L6="",$M6="",$M6=0),"",$L6/$M6),"")</f>
        <v>3928.5714285714284</v>
      </c>
      <c r="O6" s="50">
        <f>IFERROR(IF(OR($L6="",$C$51="",$C$51=0),"",$L6*(1+$C$41)/$C$51),"")</f>
        <v>40.70673344462994</v>
      </c>
      <c r="P6" s="50">
        <f>IFERROR(IF(OR($K6="",$O6=""),"",$K6*$O6),"")</f>
        <v>1628.2693377851976</v>
      </c>
      <c r="Q6" s="25" t="n">
        <v>1</v>
      </c>
    </row>
    <row r="7">
      <c r="A7" s="19" t="n">
        <v>2</v>
      </c>
      <c r="B7" s="20" t="n"/>
      <c r="C7" s="11" t="inlineStr">
        <is>
          <t>Sous Chef</t>
        </is>
      </c>
      <c r="D7" s="21" t="inlineStr">
        <is>
          <t>P</t>
        </is>
      </c>
      <c r="E7" s="21" t="inlineStr">
        <is>
          <t>P</t>
        </is>
      </c>
      <c r="F7" s="21" t="inlineStr">
        <is>
          <t>P</t>
        </is>
      </c>
      <c r="G7" s="21" t="inlineStr">
        <is>
          <t>L</t>
        </is>
      </c>
      <c r="H7" s="21" t="inlineStr">
        <is>
          <t>L</t>
        </is>
      </c>
      <c r="I7" s="21" t="inlineStr">
        <is>
          <t>L</t>
        </is>
      </c>
      <c r="J7" s="21" t="inlineStr">
        <is>
          <t>P</t>
        </is>
      </c>
      <c r="K7" s="51">
        <f>IF(COUNTIF(D7:J7,"&lt;&gt;")=0,"",ROUND(SUMPRODUCT((D7:J7="M")*$C$36+(D7:J7="T")*$C$37+(D7:J7="P")*$C$38+(D7:J7="L")*$C$39+(D7:J7="V")*$C$40),2))</f>
        <v>40.0</v>
      </c>
      <c r="L7" s="52" t="n">
        <v>32000</v>
      </c>
      <c r="M7" s="24" t="n">
        <v>14</v>
      </c>
      <c r="N7" s="50">
        <f>IFERROR(IF(OR($L7="",$M7="",$M7=0),"",$L7/$M7),"")</f>
        <v>2285.714285714286</v>
      </c>
      <c r="O7" s="50">
        <f>IFERROR(IF(OR($L7="",$C$51="",$C$51=0),"",$L7*(1+$C$41)/$C$51),"")</f>
        <v>23.683917640511964</v>
      </c>
      <c r="P7" s="50">
        <f>IFERROR(IF(OR($K7="",$O7=""),"",$K7*$O7),"")</f>
        <v>947.3567056204786</v>
      </c>
      <c r="Q7" s="25" t="n">
        <v>1</v>
      </c>
    </row>
    <row r="8">
      <c r="A8" s="19" t="n">
        <v>3</v>
      </c>
      <c r="B8" s="20" t="n"/>
      <c r="C8" s="11" t="inlineStr">
        <is>
          <t>Jefe Partida Carnes</t>
        </is>
      </c>
      <c r="D8" s="21" t="inlineStr">
        <is>
          <t>P</t>
        </is>
      </c>
      <c r="E8" s="21" t="inlineStr">
        <is>
          <t>P</t>
        </is>
      </c>
      <c r="F8" s="21" t="inlineStr">
        <is>
          <t>L</t>
        </is>
      </c>
      <c r="G8" s="21" t="inlineStr">
        <is>
          <t>L</t>
        </is>
      </c>
      <c r="H8" s="21" t="inlineStr">
        <is>
          <t>L</t>
        </is>
      </c>
      <c r="I8" s="21" t="inlineStr">
        <is>
          <t>P</t>
        </is>
      </c>
      <c r="J8" s="21" t="inlineStr">
        <is>
          <t>P</t>
        </is>
      </c>
      <c r="K8" s="51">
        <f>IF(COUNTIF(D8:J8,"&lt;&gt;")=0,"",ROUND(SUMPRODUCT((D8:J8="M")*$C$36+(D8:J8="T")*$C$37+(D8:J8="P")*$C$38+(D8:J8="L")*$C$39+(D8:J8="V")*$C$40),2))</f>
        <v>40.0</v>
      </c>
      <c r="L8" s="52" t="n">
        <v>24000</v>
      </c>
      <c r="M8" s="24" t="n">
        <v>14</v>
      </c>
      <c r="N8" s="50">
        <f>IFERROR(IF(OR($L8="",$M8="",$M8=0),"",$L8/$M8),"")</f>
        <v>1714.2857142857142</v>
      </c>
      <c r="O8" s="50">
        <f>IFERROR(IF(OR($L8="",$C$51="",$C$51=0),"",$L8*(1+$C$41)/$C$51),"")</f>
        <v>17.762938230383973</v>
      </c>
      <c r="P8" s="50">
        <f>IFERROR(IF(OR($K8="",$O8=""),"",$K8*$O8),"")</f>
        <v>710.517529215359</v>
      </c>
      <c r="Q8" s="25" t="n">
        <v>1</v>
      </c>
    </row>
    <row r="9">
      <c r="A9" s="19" t="n">
        <v>4</v>
      </c>
      <c r="B9" s="20" t="n"/>
      <c r="C9" s="11" t="inlineStr">
        <is>
          <t>Jefe Partida Pescados</t>
        </is>
      </c>
      <c r="D9" s="21" t="inlineStr">
        <is>
          <t>P</t>
        </is>
      </c>
      <c r="E9" s="21" t="inlineStr">
        <is>
          <t>L</t>
        </is>
      </c>
      <c r="F9" s="21" t="inlineStr">
        <is>
          <t>L</t>
        </is>
      </c>
      <c r="G9" s="21" t="inlineStr">
        <is>
          <t>L</t>
        </is>
      </c>
      <c r="H9" s="21" t="inlineStr">
        <is>
          <t>P</t>
        </is>
      </c>
      <c r="I9" s="21" t="inlineStr">
        <is>
          <t>P</t>
        </is>
      </c>
      <c r="J9" s="21" t="inlineStr">
        <is>
          <t>P</t>
        </is>
      </c>
      <c r="K9" s="51">
        <f>IF(COUNTIF(D9:J9,"&lt;&gt;")=0,"",ROUND(SUMPRODUCT((D9:J9="M")*$C$36+(D9:J9="T")*$C$37+(D9:J9="P")*$C$38+(D9:J9="L")*$C$39+(D9:J9="V")*$C$40),2))</f>
        <v>40.0</v>
      </c>
      <c r="L9" s="52" t="n">
        <v>24000</v>
      </c>
      <c r="M9" s="24" t="n">
        <v>14</v>
      </c>
      <c r="N9" s="50">
        <f>IFERROR(IF(OR($L9="",$M9="",$M9=0),"",$L9/$M9),"")</f>
        <v>1714.2857142857142</v>
      </c>
      <c r="O9" s="50">
        <f>IFERROR(IF(OR($L9="",$C$51="",$C$51=0),"",$L9*(1+$C$41)/$C$51),"")</f>
        <v>17.762938230383973</v>
      </c>
      <c r="P9" s="50">
        <f>IFERROR(IF(OR($K9="",$O9=""),"",$K9*$O9),"")</f>
        <v>710.517529215359</v>
      </c>
      <c r="Q9" s="25" t="n">
        <v>1</v>
      </c>
    </row>
    <row r="10">
      <c r="A10" s="19" t="n">
        <v>5</v>
      </c>
      <c r="B10" s="20" t="n"/>
      <c r="C10" s="11" t="inlineStr">
        <is>
          <t>Jefe Partida Fríos</t>
        </is>
      </c>
      <c r="D10" s="21" t="inlineStr">
        <is>
          <t>L</t>
        </is>
      </c>
      <c r="E10" s="21" t="inlineStr">
        <is>
          <t>L</t>
        </is>
      </c>
      <c r="F10" s="21" t="inlineStr">
        <is>
          <t>L</t>
        </is>
      </c>
      <c r="G10" s="21" t="inlineStr">
        <is>
          <t>P</t>
        </is>
      </c>
      <c r="H10" s="21" t="inlineStr">
        <is>
          <t>P</t>
        </is>
      </c>
      <c r="I10" s="21" t="inlineStr">
        <is>
          <t>P</t>
        </is>
      </c>
      <c r="J10" s="21" t="inlineStr">
        <is>
          <t>P</t>
        </is>
      </c>
      <c r="K10" s="51">
        <f>IF(COUNTIF(D10:J10,"&lt;&gt;")=0,"",ROUND(SUMPRODUCT((D10:J10="M")*$C$36+(D10:J10="T")*$C$37+(D10:J10="P")*$C$38+(D10:J10="L")*$C$39+(D10:J10="V")*$C$40),2))</f>
        <v>40.0</v>
      </c>
      <c r="L10" s="52" t="n">
        <v>24000</v>
      </c>
      <c r="M10" s="24" t="n">
        <v>14</v>
      </c>
      <c r="N10" s="50">
        <f>IFERROR(IF(OR($L10="",$M10="",$M10=0),"",$L10/$M10),"")</f>
        <v>1714.2857142857142</v>
      </c>
      <c r="O10" s="50">
        <f>IFERROR(IF(OR($L10="",$C$51="",$C$51=0),"",$L10*(1+$C$41)/$C$51),"")</f>
        <v>17.762938230383973</v>
      </c>
      <c r="P10" s="50">
        <f>IFERROR(IF(OR($K10="",$O10=""),"",$K10*$O10),"")</f>
        <v>710.517529215359</v>
      </c>
      <c r="Q10" s="25" t="n">
        <v>1</v>
      </c>
    </row>
    <row r="11">
      <c r="A11" s="19" t="n">
        <v>6</v>
      </c>
      <c r="B11" s="20" t="n"/>
      <c r="C11" s="11" t="inlineStr">
        <is>
          <t>Jefe Partida Pastelería</t>
        </is>
      </c>
      <c r="D11" s="21" t="inlineStr">
        <is>
          <t>M</t>
        </is>
      </c>
      <c r="E11" s="21" t="inlineStr">
        <is>
          <t>M</t>
        </is>
      </c>
      <c r="F11" s="21" t="inlineStr">
        <is>
          <t>M</t>
        </is>
      </c>
      <c r="G11" s="21" t="inlineStr">
        <is>
          <t>M</t>
        </is>
      </c>
      <c r="H11" s="21" t="inlineStr">
        <is>
          <t>M</t>
        </is>
      </c>
      <c r="I11" s="21" t="inlineStr">
        <is>
          <t>L</t>
        </is>
      </c>
      <c r="J11" s="21" t="inlineStr">
        <is>
          <t>L</t>
        </is>
      </c>
      <c r="K11" s="51">
        <f>IF(COUNTIF(D11:J11,"&lt;&gt;")=0,"",ROUND(SUMPRODUCT((D11:J11="M")*$C$36+(D11:J11="T")*$C$37+(D11:J11="P")*$C$38+(D11:J11="L")*$C$39+(D11:J11="V")*$C$40),2))</f>
        <v>40.0</v>
      </c>
      <c r="L11" s="52" t="n">
        <v>24000</v>
      </c>
      <c r="M11" s="24" t="n">
        <v>14</v>
      </c>
      <c r="N11" s="50">
        <f>IFERROR(IF(OR($L11="",$M11="",$M11=0),"",$L11/$M11),"")</f>
        <v>1714.2857142857142</v>
      </c>
      <c r="O11" s="50">
        <f>IFERROR(IF(OR($L11="",$C$51="",$C$51=0),"",$L11*(1+$C$41)/$C$51),"")</f>
        <v>17.762938230383973</v>
      </c>
      <c r="P11" s="50">
        <f>IFERROR(IF(OR($K11="",$O11=""),"",$K11*$O11),"")</f>
        <v>710.517529215359</v>
      </c>
      <c r="Q11" s="25" t="n">
        <v>1</v>
      </c>
    </row>
    <row r="12">
      <c r="A12" s="19" t="n">
        <v>7</v>
      </c>
      <c r="B12" s="20" t="n"/>
      <c r="C12" s="11" t="inlineStr">
        <is>
          <t>Commis 1</t>
        </is>
      </c>
      <c r="D12" s="21" t="inlineStr">
        <is>
          <t>M</t>
        </is>
      </c>
      <c r="E12" s="21" t="inlineStr">
        <is>
          <t>M</t>
        </is>
      </c>
      <c r="F12" s="21" t="inlineStr">
        <is>
          <t>M</t>
        </is>
      </c>
      <c r="G12" s="21" t="inlineStr">
        <is>
          <t>M</t>
        </is>
      </c>
      <c r="H12" s="21" t="inlineStr">
        <is>
          <t>M</t>
        </is>
      </c>
      <c r="I12" s="21" t="inlineStr">
        <is>
          <t>L</t>
        </is>
      </c>
      <c r="J12" s="21" t="inlineStr">
        <is>
          <t>L</t>
        </is>
      </c>
      <c r="K12" s="51">
        <f>IF(COUNTIF(D12:J12,"&lt;&gt;")=0,"",ROUND(SUMPRODUCT((D12:J12="M")*$C$36+(D12:J12="T")*$C$37+(D12:J12="P")*$C$38+(D12:J12="L")*$C$39+(D12:J12="V")*$C$40),2))</f>
        <v>40.0</v>
      </c>
      <c r="L12" s="52" t="n">
        <v>19000</v>
      </c>
      <c r="M12" s="24" t="n">
        <v>14</v>
      </c>
      <c r="N12" s="50">
        <f>IFERROR(IF(OR($L12="",$M12="",$M12=0),"",$L12/$M12),"")</f>
        <v>1357.142857142857</v>
      </c>
      <c r="O12" s="50">
        <f>IFERROR(IF(OR($L12="",$C$51="",$C$51=0),"",$L12*(1+$C$41)/$C$51),"")</f>
        <v>14.062326099053978</v>
      </c>
      <c r="P12" s="50">
        <f>IFERROR(IF(OR($K12="",$O12=""),"",$K12*$O12),"")</f>
        <v>562.4930439621592</v>
      </c>
      <c r="Q12" s="25" t="n">
        <v>1</v>
      </c>
    </row>
    <row r="13">
      <c r="A13" s="19" t="n">
        <v>8</v>
      </c>
      <c r="B13" s="20" t="n"/>
      <c r="C13" s="11" t="inlineStr">
        <is>
          <t>Commis 2</t>
        </is>
      </c>
      <c r="D13" s="21" t="inlineStr">
        <is>
          <t>M</t>
        </is>
      </c>
      <c r="E13" s="21" t="inlineStr">
        <is>
          <t>M</t>
        </is>
      </c>
      <c r="F13" s="21" t="inlineStr">
        <is>
          <t>M</t>
        </is>
      </c>
      <c r="G13" s="21" t="inlineStr">
        <is>
          <t>M</t>
        </is>
      </c>
      <c r="H13" s="21" t="inlineStr">
        <is>
          <t>L</t>
        </is>
      </c>
      <c r="I13" s="21" t="inlineStr">
        <is>
          <t>L</t>
        </is>
      </c>
      <c r="J13" s="21" t="inlineStr">
        <is>
          <t>M</t>
        </is>
      </c>
      <c r="K13" s="51">
        <f>IF(COUNTIF(D13:J13,"&lt;&gt;")=0,"",ROUND(SUMPRODUCT((D13:J13="M")*$C$36+(D13:J13="T")*$C$37+(D13:J13="P")*$C$38+(D13:J13="L")*$C$39+(D13:J13="V")*$C$40),2))</f>
        <v>40.0</v>
      </c>
      <c r="L13" s="52" t="n">
        <v>19000</v>
      </c>
      <c r="M13" s="24" t="n">
        <v>14</v>
      </c>
      <c r="N13" s="50">
        <f>IFERROR(IF(OR($L13="",$M13="",$M13=0),"",$L13/$M13),"")</f>
        <v>1357.142857142857</v>
      </c>
      <c r="O13" s="50">
        <f>IFERROR(IF(OR($L13="",$C$51="",$C$51=0),"",$L13*(1+$C$41)/$C$51),"")</f>
        <v>14.062326099053978</v>
      </c>
      <c r="P13" s="50">
        <f>IFERROR(IF(OR($K13="",$O13=""),"",$K13*$O13),"")</f>
        <v>562.4930439621592</v>
      </c>
      <c r="Q13" s="25" t="n">
        <v>1</v>
      </c>
    </row>
    <row r="14">
      <c r="A14" s="19" t="n">
        <v>9</v>
      </c>
      <c r="B14" s="20" t="n"/>
      <c r="C14" s="11" t="inlineStr">
        <is>
          <t>Commis 3</t>
        </is>
      </c>
      <c r="D14" s="21" t="inlineStr">
        <is>
          <t>T</t>
        </is>
      </c>
      <c r="E14" s="21" t="inlineStr">
        <is>
          <t>T</t>
        </is>
      </c>
      <c r="F14" s="21" t="inlineStr">
        <is>
          <t>T</t>
        </is>
      </c>
      <c r="G14" s="21" t="inlineStr">
        <is>
          <t>T</t>
        </is>
      </c>
      <c r="H14" s="21" t="inlineStr">
        <is>
          <t>T</t>
        </is>
      </c>
      <c r="I14" s="21" t="inlineStr">
        <is>
          <t>L</t>
        </is>
      </c>
      <c r="J14" s="21" t="inlineStr">
        <is>
          <t>L</t>
        </is>
      </c>
      <c r="K14" s="51">
        <f>IF(COUNTIF(D14:J14,"&lt;&gt;")=0,"",ROUND(SUMPRODUCT((D14:J14="M")*$C$36+(D14:J14="T")*$C$37+(D14:J14="P")*$C$38+(D14:J14="L")*$C$39+(D14:J14="V")*$C$40),2))</f>
        <v>40.0</v>
      </c>
      <c r="L14" s="52" t="n">
        <v>19000</v>
      </c>
      <c r="M14" s="24" t="n">
        <v>14</v>
      </c>
      <c r="N14" s="50">
        <f>IFERROR(IF(OR($L14="",$M14="",$M14=0),"",$L14/$M14),"")</f>
        <v>1357.142857142857</v>
      </c>
      <c r="O14" s="50">
        <f>IFERROR(IF(OR($L14="",$C$51="",$C$51=0),"",$L14*(1+$C$41)/$C$51),"")</f>
        <v>14.062326099053978</v>
      </c>
      <c r="P14" s="50">
        <f>IFERROR(IF(OR($K14="",$O14=""),"",$K14*$O14),"")</f>
        <v>562.4930439621592</v>
      </c>
      <c r="Q14" s="25" t="n">
        <v>1</v>
      </c>
    </row>
    <row r="15">
      <c r="A15" s="19" t="n">
        <v>10</v>
      </c>
      <c r="B15" s="20" t="n"/>
      <c r="C15" s="11" t="inlineStr">
        <is>
          <t>Commis 4</t>
        </is>
      </c>
      <c r="D15" s="21" t="inlineStr">
        <is>
          <t>T</t>
        </is>
      </c>
      <c r="E15" s="21" t="inlineStr">
        <is>
          <t>T</t>
        </is>
      </c>
      <c r="F15" s="21" t="inlineStr">
        <is>
          <t>T</t>
        </is>
      </c>
      <c r="G15" s="21" t="inlineStr">
        <is>
          <t>T</t>
        </is>
      </c>
      <c r="H15" s="21" t="inlineStr">
        <is>
          <t>L</t>
        </is>
      </c>
      <c r="I15" s="21" t="inlineStr">
        <is>
          <t>L</t>
        </is>
      </c>
      <c r="J15" s="21" t="inlineStr">
        <is>
          <t>T</t>
        </is>
      </c>
      <c r="K15" s="51">
        <f>IF(COUNTIF(D15:J15,"&lt;&gt;")=0,"",ROUND(SUMPRODUCT((D15:J15="M")*$C$36+(D15:J15="T")*$C$37+(D15:J15="P")*$C$38+(D15:J15="L")*$C$39+(D15:J15="V")*$C$40),2))</f>
        <v>40.0</v>
      </c>
      <c r="L15" s="52" t="n">
        <v>19000</v>
      </c>
      <c r="M15" s="24" t="n">
        <v>14</v>
      </c>
      <c r="N15" s="50">
        <f>IFERROR(IF(OR($L15="",$M15="",$M15=0),"",$L15/$M15),"")</f>
        <v>1357.142857142857</v>
      </c>
      <c r="O15" s="50">
        <f>IFERROR(IF(OR($L15="",$C$51="",$C$51=0),"",$L15*(1+$C$41)/$C$51),"")</f>
        <v>14.062326099053978</v>
      </c>
      <c r="P15" s="50">
        <f>IFERROR(IF(OR($K15="",$O15=""),"",$K15*$O15),"")</f>
        <v>562.4930439621592</v>
      </c>
      <c r="Q15" s="25" t="n">
        <v>1</v>
      </c>
    </row>
    <row r="16">
      <c r="A16" s="19" t="n">
        <v>11</v>
      </c>
      <c r="B16" s="20" t="n"/>
      <c r="C16" s="11" t="inlineStr">
        <is>
          <t>Commis 5</t>
        </is>
      </c>
      <c r="D16" s="21" t="inlineStr">
        <is>
          <t>T</t>
        </is>
      </c>
      <c r="E16" s="21" t="inlineStr">
        <is>
          <t>T</t>
        </is>
      </c>
      <c r="F16" s="21" t="inlineStr">
        <is>
          <t>T</t>
        </is>
      </c>
      <c r="G16" s="21" t="inlineStr">
        <is>
          <t>L</t>
        </is>
      </c>
      <c r="H16" s="21" t="inlineStr">
        <is>
          <t>L</t>
        </is>
      </c>
      <c r="I16" s="21" t="inlineStr">
        <is>
          <t>T</t>
        </is>
      </c>
      <c r="J16" s="21" t="inlineStr">
        <is>
          <t>T</t>
        </is>
      </c>
      <c r="K16" s="51">
        <f>IF(COUNTIF(D16:J16,"&lt;&gt;")=0,"",ROUND(SUMPRODUCT((D16:J16="M")*$C$36+(D16:J16="T")*$C$37+(D16:J16="P")*$C$38+(D16:J16="L")*$C$39+(D16:J16="V")*$C$40),2))</f>
        <v>40.0</v>
      </c>
      <c r="L16" s="52" t="n">
        <v>19000</v>
      </c>
      <c r="M16" s="24" t="n">
        <v>14</v>
      </c>
      <c r="N16" s="50">
        <f>IFERROR(IF(OR($L16="",$M16="",$M16=0),"",$L16/$M16),"")</f>
        <v>1357.142857142857</v>
      </c>
      <c r="O16" s="50">
        <f>IFERROR(IF(OR($L16="",$C$51="",$C$51=0),"",$L16*(1+$C$41)/$C$51),"")</f>
        <v>14.062326099053978</v>
      </c>
      <c r="P16" s="50">
        <f>IFERROR(IF(OR($K16="",$O16=""),"",$K16*$O16),"")</f>
        <v>562.4930439621592</v>
      </c>
      <c r="Q16" s="25" t="n">
        <v>1</v>
      </c>
    </row>
    <row r="17">
      <c r="A17" s="19" t="n">
        <v>12</v>
      </c>
      <c r="B17" s="20" t="n"/>
      <c r="C17" s="11" t="inlineStr">
        <is>
          <t>Ayudante 1</t>
        </is>
      </c>
      <c r="D17" s="21" t="inlineStr">
        <is>
          <t>M</t>
        </is>
      </c>
      <c r="E17" s="21" t="inlineStr">
        <is>
          <t>M</t>
        </is>
      </c>
      <c r="F17" s="21" t="inlineStr">
        <is>
          <t>M</t>
        </is>
      </c>
      <c r="G17" s="21" t="inlineStr">
        <is>
          <t>M</t>
        </is>
      </c>
      <c r="H17" s="21" t="inlineStr">
        <is>
          <t>M</t>
        </is>
      </c>
      <c r="I17" s="21" t="inlineStr">
        <is>
          <t>L</t>
        </is>
      </c>
      <c r="J17" s="21" t="inlineStr">
        <is>
          <t>L</t>
        </is>
      </c>
      <c r="K17" s="51">
        <f>IF(COUNTIF(D17:J17,"&lt;&gt;")=0,"",ROUND(SUMPRODUCT((D17:J17="M")*$C$36+(D17:J17="T")*$C$37+(D17:J17="P")*$C$38+(D17:J17="L")*$C$39+(D17:J17="V")*$C$40),2))</f>
        <v>40.0</v>
      </c>
      <c r="L17" s="52" t="n">
        <v>17094</v>
      </c>
      <c r="M17" s="24" t="n">
        <v>14</v>
      </c>
      <c r="N17" s="50">
        <f>IFERROR(IF(OR($L17="",$M17="",$M17=0),"",$L17/$M17),"")</f>
        <v>1221.0</v>
      </c>
      <c r="O17" s="50">
        <f>IFERROR(IF(OR($L17="",$C$51="",$C$51=0),"",$L17*(1+$C$41)/$C$51),"")</f>
        <v>12.651652754590986</v>
      </c>
      <c r="P17" s="50">
        <f>IFERROR(IF(OR($K17="",$O17=""),"",$K17*$O17),"")</f>
        <v>506.0661101836394</v>
      </c>
      <c r="Q17" s="25" t="n">
        <v>1</v>
      </c>
    </row>
    <row r="18">
      <c r="A18" s="19" t="n">
        <v>13</v>
      </c>
      <c r="B18" s="20" t="n"/>
      <c r="C18" s="11" t="inlineStr">
        <is>
          <t>Ayudante 2</t>
        </is>
      </c>
      <c r="D18" s="21" t="inlineStr">
        <is>
          <t>T</t>
        </is>
      </c>
      <c r="E18" s="21" t="inlineStr">
        <is>
          <t>T</t>
        </is>
      </c>
      <c r="F18" s="21" t="inlineStr">
        <is>
          <t>T</t>
        </is>
      </c>
      <c r="G18" s="21" t="inlineStr">
        <is>
          <t>T</t>
        </is>
      </c>
      <c r="H18" s="21" t="inlineStr">
        <is>
          <t>T</t>
        </is>
      </c>
      <c r="I18" s="21" t="inlineStr">
        <is>
          <t>L</t>
        </is>
      </c>
      <c r="J18" s="21" t="inlineStr">
        <is>
          <t>L</t>
        </is>
      </c>
      <c r="K18" s="51">
        <f>IF(COUNTIF(D18:J18,"&lt;&gt;")=0,"",ROUND(SUMPRODUCT((D18:J18="M")*$C$36+(D18:J18="T")*$C$37+(D18:J18="P")*$C$38+(D18:J18="L")*$C$39+(D18:J18="V")*$C$40),2))</f>
        <v>40.0</v>
      </c>
      <c r="L18" s="52" t="n">
        <v>17094</v>
      </c>
      <c r="M18" s="24" t="n">
        <v>14</v>
      </c>
      <c r="N18" s="50">
        <f>IFERROR(IF(OR($L18="",$M18="",$M18=0),"",$L18/$M18),"")</f>
        <v>1221.0</v>
      </c>
      <c r="O18" s="50">
        <f>IFERROR(IF(OR($L18="",$C$51="",$C$51=0),"",$L18*(1+$C$41)/$C$51),"")</f>
        <v>12.651652754590986</v>
      </c>
      <c r="P18" s="50">
        <f>IFERROR(IF(OR($K18="",$O18=""),"",$K18*$O18),"")</f>
        <v>506.0661101836394</v>
      </c>
      <c r="Q18" s="25" t="n">
        <v>1</v>
      </c>
    </row>
    <row r="19">
      <c r="A19" s="19" t="n">
        <v>14</v>
      </c>
      <c r="B19" s="20" t="n"/>
      <c r="C19" s="11" t="inlineStr">
        <is>
          <t>Plonge 1</t>
        </is>
      </c>
      <c r="D19" s="21" t="inlineStr">
        <is>
          <t>T</t>
        </is>
      </c>
      <c r="E19" s="21" t="inlineStr">
        <is>
          <t>T</t>
        </is>
      </c>
      <c r="F19" s="21" t="inlineStr">
        <is>
          <t>T</t>
        </is>
      </c>
      <c r="G19" s="21" t="inlineStr">
        <is>
          <t>T</t>
        </is>
      </c>
      <c r="H19" s="21" t="inlineStr">
        <is>
          <t>T</t>
        </is>
      </c>
      <c r="I19" s="21" t="inlineStr">
        <is>
          <t>L</t>
        </is>
      </c>
      <c r="J19" s="21" t="inlineStr">
        <is>
          <t>L</t>
        </is>
      </c>
      <c r="K19" s="51">
        <f>IF(COUNTIF(D19:J19,"&lt;&gt;")=0,"",ROUND(SUMPRODUCT((D19:J19="M")*$C$36+(D19:J19="T")*$C$37+(D19:J19="P")*$C$38+(D19:J19="L")*$C$39+(D19:J19="V")*$C$40),2))</f>
        <v>40.0</v>
      </c>
      <c r="L19" s="52" t="n">
        <v>17094</v>
      </c>
      <c r="M19" s="24" t="n">
        <v>14</v>
      </c>
      <c r="N19" s="50">
        <f>IFERROR(IF(OR($L19="",$M19="",$M19=0),"",$L19/$M19),"")</f>
        <v>1221.0</v>
      </c>
      <c r="O19" s="50">
        <f>IFERROR(IF(OR($L19="",$C$51="",$C$51=0),"",$L19*(1+$C$41)/$C$51),"")</f>
        <v>12.651652754590986</v>
      </c>
      <c r="P19" s="50">
        <f>IFERROR(IF(OR($K19="",$O19=""),"",$K19*$O19),"")</f>
        <v>506.0661101836394</v>
      </c>
      <c r="Q19" s="25" t="n">
        <v>1</v>
      </c>
    </row>
    <row r="20">
      <c r="A20" s="19" t="n">
        <v>15</v>
      </c>
      <c r="B20" s="20" t="n"/>
      <c r="C20" s="11" t="inlineStr">
        <is>
          <t>Plonge 2</t>
        </is>
      </c>
      <c r="D20" s="21" t="inlineStr">
        <is>
          <t>T</t>
        </is>
      </c>
      <c r="E20" s="21" t="inlineStr">
        <is>
          <t>T</t>
        </is>
      </c>
      <c r="F20" s="21" t="inlineStr">
        <is>
          <t>T</t>
        </is>
      </c>
      <c r="G20" s="21" t="inlineStr">
        <is>
          <t>T</t>
        </is>
      </c>
      <c r="H20" s="21" t="inlineStr">
        <is>
          <t>L</t>
        </is>
      </c>
      <c r="I20" s="21" t="inlineStr">
        <is>
          <t>L</t>
        </is>
      </c>
      <c r="J20" s="21" t="inlineStr">
        <is>
          <t>T</t>
        </is>
      </c>
      <c r="K20" s="51">
        <f>IF(COUNTIF(D20:J20,"&lt;&gt;")=0,"",ROUND(SUMPRODUCT((D20:J20="M")*$C$36+(D20:J20="T")*$C$37+(D20:J20="P")*$C$38+(D20:J20="L")*$C$39+(D20:J20="V")*$C$40),2))</f>
        <v>40.0</v>
      </c>
      <c r="L20" s="52" t="n">
        <v>17094</v>
      </c>
      <c r="M20" s="24" t="n">
        <v>14</v>
      </c>
      <c r="N20" s="50">
        <f>IFERROR(IF(OR($L20="",$M20="",$M20=0),"",$L20/$M20),"")</f>
        <v>1221.0</v>
      </c>
      <c r="O20" s="50">
        <f>IFERROR(IF(OR($L20="",$C$51="",$C$51=0),"",$L20*(1+$C$41)/$C$51),"")</f>
        <v>12.651652754590986</v>
      </c>
      <c r="P20" s="50">
        <f>IFERROR(IF(OR($K20="",$O20=""),"",$K20*$O20),"")</f>
        <v>506.0661101836394</v>
      </c>
      <c r="Q20" s="25" t="n">
        <v>1</v>
      </c>
    </row>
    <row r="21">
      <c r="A21" s="7" t="n"/>
      <c r="B21" s="8" t="inlineStr">
        <is>
          <t>SALA</t>
        </is>
      </c>
      <c r="C21" s="7" t="n"/>
      <c r="D21" s="7" t="n"/>
      <c r="E21" s="7" t="n"/>
      <c r="F21" s="7" t="n"/>
      <c r="G21" s="7" t="n"/>
      <c r="H21" s="7" t="n"/>
      <c r="I21" s="7" t="n"/>
      <c r="J21" s="7" t="n"/>
      <c r="K21" s="7" t="n"/>
      <c r="L21" s="50" t="n"/>
      <c r="M21" s="17" t="n"/>
      <c r="N21" s="50" t="n"/>
      <c r="O21" s="50" t="n"/>
      <c r="P21" s="50" t="n"/>
      <c r="Q21" s="18" t="n"/>
    </row>
    <row r="22">
      <c r="A22" s="19" t="n">
        <v>16</v>
      </c>
      <c r="B22" s="20" t="n"/>
      <c r="C22" s="11" t="inlineStr">
        <is>
          <t>Maître</t>
        </is>
      </c>
      <c r="D22" s="21" t="inlineStr">
        <is>
          <t>P</t>
        </is>
      </c>
      <c r="E22" s="21" t="inlineStr">
        <is>
          <t>P</t>
        </is>
      </c>
      <c r="F22" s="21" t="inlineStr">
        <is>
          <t>L</t>
        </is>
      </c>
      <c r="G22" s="21" t="inlineStr">
        <is>
          <t>P</t>
        </is>
      </c>
      <c r="H22" s="21" t="inlineStr">
        <is>
          <t>P</t>
        </is>
      </c>
      <c r="I22" s="21" t="inlineStr">
        <is>
          <t>L</t>
        </is>
      </c>
      <c r="J22" s="21" t="inlineStr">
        <is>
          <t>L</t>
        </is>
      </c>
      <c r="K22" s="51">
        <f>IF(COUNTIF(D22:J22,"&lt;&gt;")=0,"",ROUND(SUMPRODUCT((D22:J22="M")*$C$36+(D22:J22="T")*$C$37+(D22:J22="P")*$C$38+(D22:J22="L")*$C$39+(D22:J22="V")*$C$40),2))</f>
        <v>40.0</v>
      </c>
      <c r="L22" s="52" t="n">
        <v>32000</v>
      </c>
      <c r="M22" s="24" t="n">
        <v>14</v>
      </c>
      <c r="N22" s="50">
        <f>IFERROR(IF(OR($L22="",$M22="",$M22=0),"",$L22/$M22),"")</f>
        <v>2285.714285714286</v>
      </c>
      <c r="O22" s="50">
        <f>IFERROR(IF(OR($L22="",$C$51="",$C$51=0),"",$L22*(1+$C$41)/$C$51),"")</f>
        <v>23.683917640511964</v>
      </c>
      <c r="P22" s="50">
        <f>IFERROR(IF(OR($K22="",$O22=""),"",$K22*$O22),"")</f>
        <v>947.3567056204786</v>
      </c>
      <c r="Q22" s="25" t="n">
        <v>1</v>
      </c>
    </row>
    <row r="23">
      <c r="A23" s="19" t="n">
        <v>17</v>
      </c>
      <c r="B23" s="20" t="n"/>
      <c r="C23" s="11" t="inlineStr">
        <is>
          <t>Sommelier</t>
        </is>
      </c>
      <c r="D23" s="21" t="inlineStr">
        <is>
          <t>T</t>
        </is>
      </c>
      <c r="E23" s="21" t="inlineStr">
        <is>
          <t>T</t>
        </is>
      </c>
      <c r="F23" s="21" t="inlineStr">
        <is>
          <t>T</t>
        </is>
      </c>
      <c r="G23" s="21" t="inlineStr">
        <is>
          <t>T</t>
        </is>
      </c>
      <c r="H23" s="21" t="inlineStr">
        <is>
          <t>T</t>
        </is>
      </c>
      <c r="I23" s="21" t="inlineStr">
        <is>
          <t>L</t>
        </is>
      </c>
      <c r="J23" s="21" t="inlineStr">
        <is>
          <t>L</t>
        </is>
      </c>
      <c r="K23" s="51">
        <f>IF(COUNTIF(D23:J23,"&lt;&gt;")=0,"",ROUND(SUMPRODUCT((D23:J23="M")*$C$36+(D23:J23="T")*$C$37+(D23:J23="P")*$C$38+(D23:J23="L")*$C$39+(D23:J23="V")*$C$40),2))</f>
        <v>40.0</v>
      </c>
      <c r="L23" s="52" t="n">
        <v>32000</v>
      </c>
      <c r="M23" s="24" t="n">
        <v>14</v>
      </c>
      <c r="N23" s="50">
        <f>IFERROR(IF(OR($L23="",$M23="",$M23=0),"",$L23/$M23),"")</f>
        <v>2285.714285714286</v>
      </c>
      <c r="O23" s="50">
        <f>IFERROR(IF(OR($L23="",$C$51="",$C$51=0),"",$L23*(1+$C$41)/$C$51),"")</f>
        <v>23.683917640511964</v>
      </c>
      <c r="P23" s="50">
        <f>IFERROR(IF(OR($K23="",$O23=""),"",$K23*$O23),"")</f>
        <v>947.3567056204786</v>
      </c>
      <c r="Q23" s="25" t="n">
        <v>1</v>
      </c>
    </row>
    <row r="24">
      <c r="A24" s="19" t="n">
        <v>18</v>
      </c>
      <c r="B24" s="20" t="n"/>
      <c r="C24" s="11" t="inlineStr">
        <is>
          <t>Camarero Rango 1</t>
        </is>
      </c>
      <c r="D24" s="21" t="inlineStr">
        <is>
          <t>T</t>
        </is>
      </c>
      <c r="E24" s="21" t="inlineStr">
        <is>
          <t>T</t>
        </is>
      </c>
      <c r="F24" s="21" t="inlineStr">
        <is>
          <t>T</t>
        </is>
      </c>
      <c r="G24" s="21" t="inlineStr">
        <is>
          <t>T</t>
        </is>
      </c>
      <c r="H24" s="21" t="inlineStr">
        <is>
          <t>T</t>
        </is>
      </c>
      <c r="I24" s="21" t="inlineStr">
        <is>
          <t>L</t>
        </is>
      </c>
      <c r="J24" s="21" t="inlineStr">
        <is>
          <t>L</t>
        </is>
      </c>
      <c r="K24" s="51">
        <f>IF(COUNTIF(D24:J24,"&lt;&gt;")=0,"",ROUND(SUMPRODUCT((D24:J24="M")*$C$36+(D24:J24="T")*$C$37+(D24:J24="P")*$C$38+(D24:J24="L")*$C$39+(D24:J24="V")*$C$40),2))</f>
        <v>40.0</v>
      </c>
      <c r="L24" s="52" t="n">
        <v>19000</v>
      </c>
      <c r="M24" s="24" t="n">
        <v>14</v>
      </c>
      <c r="N24" s="50">
        <f>IFERROR(IF(OR($L24="",$M24="",$M24=0),"",$L24/$M24),"")</f>
        <v>1357.142857142857</v>
      </c>
      <c r="O24" s="50">
        <f>IFERROR(IF(OR($L24="",$C$51="",$C$51=0),"",$L24*(1+$C$41)/$C$51),"")</f>
        <v>14.062326099053978</v>
      </c>
      <c r="P24" s="50">
        <f>IFERROR(IF(OR($K24="",$O24=""),"",$K24*$O24),"")</f>
        <v>562.4930439621592</v>
      </c>
      <c r="Q24" s="25" t="n">
        <v>1</v>
      </c>
    </row>
    <row r="25">
      <c r="A25" s="19" t="n">
        <v>19</v>
      </c>
      <c r="B25" s="20" t="n"/>
      <c r="C25" s="11" t="inlineStr">
        <is>
          <t>Camarero Rango 2</t>
        </is>
      </c>
      <c r="D25" s="21" t="inlineStr">
        <is>
          <t>T</t>
        </is>
      </c>
      <c r="E25" s="21" t="inlineStr">
        <is>
          <t>T</t>
        </is>
      </c>
      <c r="F25" s="21" t="inlineStr">
        <is>
          <t>T</t>
        </is>
      </c>
      <c r="G25" s="21" t="inlineStr">
        <is>
          <t>T</t>
        </is>
      </c>
      <c r="H25" s="21" t="inlineStr">
        <is>
          <t>L</t>
        </is>
      </c>
      <c r="I25" s="21" t="inlineStr">
        <is>
          <t>L</t>
        </is>
      </c>
      <c r="J25" s="21" t="inlineStr">
        <is>
          <t>T</t>
        </is>
      </c>
      <c r="K25" s="51">
        <f>IF(COUNTIF(D25:J25,"&lt;&gt;")=0,"",ROUND(SUMPRODUCT((D25:J25="M")*$C$36+(D25:J25="T")*$C$37+(D25:J25="P")*$C$38+(D25:J25="L")*$C$39+(D25:J25="V")*$C$40),2))</f>
        <v>40.0</v>
      </c>
      <c r="L25" s="52" t="n">
        <v>19000</v>
      </c>
      <c r="M25" s="24" t="n">
        <v>14</v>
      </c>
      <c r="N25" s="50">
        <f>IFERROR(IF(OR($L25="",$M25="",$M25=0),"",$L25/$M25),"")</f>
        <v>1357.142857142857</v>
      </c>
      <c r="O25" s="50">
        <f>IFERROR(IF(OR($L25="",$C$51="",$C$51=0),"",$L25*(1+$C$41)/$C$51),"")</f>
        <v>14.062326099053978</v>
      </c>
      <c r="P25" s="50">
        <f>IFERROR(IF(OR($K25="",$O25=""),"",$K25*$O25),"")</f>
        <v>562.4930439621592</v>
      </c>
      <c r="Q25" s="25" t="n">
        <v>1</v>
      </c>
    </row>
    <row r="26">
      <c r="A26" s="19" t="n">
        <v>20</v>
      </c>
      <c r="B26" s="20" t="n"/>
      <c r="C26" s="11" t="inlineStr">
        <is>
          <t>Camarero Rango 3</t>
        </is>
      </c>
      <c r="D26" s="21" t="inlineStr">
        <is>
          <t>P</t>
        </is>
      </c>
      <c r="E26" s="21" t="inlineStr">
        <is>
          <t>P</t>
        </is>
      </c>
      <c r="F26" s="21" t="inlineStr">
        <is>
          <t>P</t>
        </is>
      </c>
      <c r="G26" s="21" t="inlineStr">
        <is>
          <t>L</t>
        </is>
      </c>
      <c r="H26" s="21" t="inlineStr">
        <is>
          <t>L</t>
        </is>
      </c>
      <c r="I26" s="21" t="inlineStr">
        <is>
          <t>L</t>
        </is>
      </c>
      <c r="J26" s="21" t="inlineStr">
        <is>
          <t>P</t>
        </is>
      </c>
      <c r="K26" s="51">
        <f>IF(COUNTIF(D26:J26,"&lt;&gt;")=0,"",ROUND(SUMPRODUCT((D26:J26="M")*$C$36+(D26:J26="T")*$C$37+(D26:J26="P")*$C$38+(D26:J26="L")*$C$39+(D26:J26="V")*$C$40),2))</f>
        <v>40.0</v>
      </c>
      <c r="L26" s="52" t="n">
        <v>19000</v>
      </c>
      <c r="M26" s="24" t="n">
        <v>14</v>
      </c>
      <c r="N26" s="50">
        <f>IFERROR(IF(OR($L26="",$M26="",$M26=0),"",$L26/$M26),"")</f>
        <v>1357.142857142857</v>
      </c>
      <c r="O26" s="50">
        <f>IFERROR(IF(OR($L26="",$C$51="",$C$51=0),"",$L26*(1+$C$41)/$C$51),"")</f>
        <v>14.062326099053978</v>
      </c>
      <c r="P26" s="50">
        <f>IFERROR(IF(OR($K26="",$O26=""),"",$K26*$O26),"")</f>
        <v>562.4930439621592</v>
      </c>
      <c r="Q26" s="25" t="n">
        <v>1</v>
      </c>
    </row>
    <row r="27">
      <c r="A27" s="19" t="n">
        <v>21</v>
      </c>
      <c r="B27" s="20" t="n"/>
      <c r="C27" s="11" t="inlineStr">
        <is>
          <t>Camarero Rango 4</t>
        </is>
      </c>
      <c r="D27" s="21" t="inlineStr">
        <is>
          <t>P</t>
        </is>
      </c>
      <c r="E27" s="21" t="inlineStr">
        <is>
          <t>L</t>
        </is>
      </c>
      <c r="F27" s="21" t="inlineStr">
        <is>
          <t>L</t>
        </is>
      </c>
      <c r="G27" s="21" t="inlineStr">
        <is>
          <t>L</t>
        </is>
      </c>
      <c r="H27" s="21" t="inlineStr">
        <is>
          <t>P</t>
        </is>
      </c>
      <c r="I27" s="21" t="inlineStr">
        <is>
          <t>P</t>
        </is>
      </c>
      <c r="J27" s="21" t="inlineStr">
        <is>
          <t>P</t>
        </is>
      </c>
      <c r="K27" s="51">
        <f>IF(COUNTIF(D27:J27,"&lt;&gt;")=0,"",ROUND(SUMPRODUCT((D27:J27="M")*$C$36+(D27:J27="T")*$C$37+(D27:J27="P")*$C$38+(D27:J27="L")*$C$39+(D27:J27="V")*$C$40),2))</f>
        <v>40.0</v>
      </c>
      <c r="L27" s="52" t="n">
        <v>19000</v>
      </c>
      <c r="M27" s="24" t="n">
        <v>14</v>
      </c>
      <c r="N27" s="50">
        <f>IFERROR(IF(OR($L27="",$M27="",$M27=0),"",$L27/$M27),"")</f>
        <v>1357.142857142857</v>
      </c>
      <c r="O27" s="50">
        <f>IFERROR(IF(OR($L27="",$C$51="",$C$51=0),"",$L27*(1+$C$41)/$C$51),"")</f>
        <v>14.062326099053978</v>
      </c>
      <c r="P27" s="50">
        <f>IFERROR(IF(OR($K27="",$O27=""),"",$K27*$O27),"")</f>
        <v>562.4930439621592</v>
      </c>
      <c r="Q27" s="25" t="n">
        <v>1</v>
      </c>
    </row>
    <row r="28">
      <c r="A28" s="19" t="n">
        <v>22</v>
      </c>
      <c r="B28" s="20" t="n"/>
      <c r="C28" s="11" t="inlineStr">
        <is>
          <t>Runner 1</t>
        </is>
      </c>
      <c r="D28" s="21" t="inlineStr">
        <is>
          <t>T</t>
        </is>
      </c>
      <c r="E28" s="21" t="inlineStr">
        <is>
          <t>T</t>
        </is>
      </c>
      <c r="F28" s="21" t="inlineStr">
        <is>
          <t>T</t>
        </is>
      </c>
      <c r="G28" s="21" t="inlineStr">
        <is>
          <t>T</t>
        </is>
      </c>
      <c r="H28" s="21" t="inlineStr">
        <is>
          <t>T</t>
        </is>
      </c>
      <c r="I28" s="21" t="inlineStr">
        <is>
          <t>L</t>
        </is>
      </c>
      <c r="J28" s="21" t="inlineStr">
        <is>
          <t>L</t>
        </is>
      </c>
      <c r="K28" s="51">
        <f>IF(COUNTIF(D28:J28,"&lt;&gt;")=0,"",ROUND(SUMPRODUCT((D28:J28="M")*$C$36+(D28:J28="T")*$C$37+(D28:J28="P")*$C$38+(D28:J28="L")*$C$39+(D28:J28="V")*$C$40),2))</f>
        <v>40.0</v>
      </c>
      <c r="L28" s="52" t="n">
        <v>17094</v>
      </c>
      <c r="M28" s="24" t="n">
        <v>14</v>
      </c>
      <c r="N28" s="50">
        <f>IFERROR(IF(OR($L28="",$M28="",$M28=0),"",$L28/$M28),"")</f>
        <v>1221.0</v>
      </c>
      <c r="O28" s="50">
        <f>IFERROR(IF(OR($L28="",$C$51="",$C$51=0),"",$L28*(1+$C$41)/$C$51),"")</f>
        <v>12.651652754590986</v>
      </c>
      <c r="P28" s="50">
        <f>IFERROR(IF(OR($K28="",$O28=""),"",$K28*$O28),"")</f>
        <v>506.0661101836394</v>
      </c>
      <c r="Q28" s="25" t="n">
        <v>1</v>
      </c>
    </row>
    <row r="29">
      <c r="A29" s="19" t="n">
        <v>23</v>
      </c>
      <c r="B29" s="20" t="n"/>
      <c r="C29" s="11" t="inlineStr">
        <is>
          <t>Runner 2</t>
        </is>
      </c>
      <c r="D29" s="21" t="inlineStr">
        <is>
          <t>T</t>
        </is>
      </c>
      <c r="E29" s="21" t="inlineStr">
        <is>
          <t>T</t>
        </is>
      </c>
      <c r="F29" s="21" t="inlineStr">
        <is>
          <t>T</t>
        </is>
      </c>
      <c r="G29" s="21" t="inlineStr">
        <is>
          <t>T</t>
        </is>
      </c>
      <c r="H29" s="21" t="inlineStr">
        <is>
          <t>L</t>
        </is>
      </c>
      <c r="I29" s="21" t="inlineStr">
        <is>
          <t>L</t>
        </is>
      </c>
      <c r="J29" s="21" t="inlineStr">
        <is>
          <t>T</t>
        </is>
      </c>
      <c r="K29" s="51">
        <f>IF(COUNTIF(D29:J29,"&lt;&gt;")=0,"",ROUND(SUMPRODUCT((D29:J29="M")*$C$36+(D29:J29="T")*$C$37+(D29:J29="P")*$C$38+(D29:J29="L")*$C$39+(D29:J29="V")*$C$40),2))</f>
        <v>40.0</v>
      </c>
      <c r="L29" s="52" t="n">
        <v>17094</v>
      </c>
      <c r="M29" s="24" t="n">
        <v>14</v>
      </c>
      <c r="N29" s="50">
        <f>IFERROR(IF(OR($L29="",$M29="",$M29=0),"",$L29/$M29),"")</f>
        <v>1221.0</v>
      </c>
      <c r="O29" s="50">
        <f>IFERROR(IF(OR($L29="",$C$51="",$C$51=0),"",$L29*(1+$C$41)/$C$51),"")</f>
        <v>12.651652754590986</v>
      </c>
      <c r="P29" s="50">
        <f>IFERROR(IF(OR($K29="",$O29=""),"",$K29*$O29),"")</f>
        <v>506.0661101836394</v>
      </c>
      <c r="Q29" s="25" t="n">
        <v>1</v>
      </c>
    </row>
    <row r="30">
      <c r="A30" s="19" t="n">
        <v>24</v>
      </c>
      <c r="B30" s="20" t="n"/>
      <c r="C30" s="11" t="inlineStr">
        <is>
          <t>Hostess</t>
        </is>
      </c>
      <c r="D30" s="21" t="inlineStr">
        <is>
          <t>T</t>
        </is>
      </c>
      <c r="E30" s="21" t="inlineStr">
        <is>
          <t>T</t>
        </is>
      </c>
      <c r="F30" s="21" t="inlineStr">
        <is>
          <t>T</t>
        </is>
      </c>
      <c r="G30" s="21" t="inlineStr">
        <is>
          <t>T</t>
        </is>
      </c>
      <c r="H30" s="21" t="inlineStr">
        <is>
          <t>T</t>
        </is>
      </c>
      <c r="I30" s="21" t="inlineStr">
        <is>
          <t>L</t>
        </is>
      </c>
      <c r="J30" s="21" t="inlineStr">
        <is>
          <t>L</t>
        </is>
      </c>
      <c r="K30" s="51">
        <f>IF(COUNTIF(D30:J30,"&lt;&gt;")=0,"",ROUND(SUMPRODUCT((D30:J30="M")*$C$36+(D30:J30="T")*$C$37+(D30:J30="P")*$C$38+(D30:J30="L")*$C$39+(D30:J30="V")*$C$40),2))</f>
        <v>40.0</v>
      </c>
      <c r="L30" s="52" t="n">
        <v>19000</v>
      </c>
      <c r="M30" s="24" t="n">
        <v>14</v>
      </c>
      <c r="N30" s="50">
        <f>IFERROR(IF(OR($L30="",$M30="",$M30=0),"",$L30/$M30),"")</f>
        <v>1357.142857142857</v>
      </c>
      <c r="O30" s="50">
        <f>IFERROR(IF(OR($L30="",$C$51="",$C$51=0),"",$L30*(1+$C$41)/$C$51),"")</f>
        <v>14.062326099053978</v>
      </c>
      <c r="P30" s="50">
        <f>IFERROR(IF(OR($K30="",$O30=""),"",$K30*$O30),"")</f>
        <v>562.4930439621592</v>
      </c>
      <c r="Q30" s="25" t="n">
        <v>1</v>
      </c>
    </row>
    <row r="31">
      <c r="L31" s="50" t="n"/>
      <c r="M31" s="17" t="n"/>
      <c r="N31" s="50" t="n"/>
      <c r="O31" s="50" t="n"/>
      <c r="P31" s="50" t="n"/>
      <c r="Q31" s="18" t="n"/>
    </row>
    <row r="32">
      <c r="A32" s="26" t="inlineStr">
        <is>
          <t>RESUMEN Y PARÁMETROS — lo calcula el libro (v2.0)</t>
        </is>
      </c>
      <c r="B32" s="27" t="n"/>
      <c r="C32" s="27" t="n"/>
      <c r="D32" s="27" t="n"/>
      <c r="E32" s="27" t="n"/>
      <c r="F32" s="27" t="n"/>
      <c r="G32" s="27" t="n"/>
      <c r="H32" s="27" t="n"/>
      <c r="I32" s="27" t="n"/>
      <c r="J32" s="27" t="n"/>
      <c r="K32" s="27" t="n"/>
      <c r="L32" s="53" t="n"/>
      <c r="M32" s="40" t="n"/>
      <c r="N32" s="53" t="n"/>
      <c r="O32" s="53" t="n"/>
      <c r="P32" s="53" t="n"/>
      <c r="Q32" s="35" t="n"/>
    </row>
    <row r="33">
      <c r="A33" s="27" t="n"/>
      <c r="B33" s="26" t="inlineStr">
        <is>
          <t>TOTAL BRIGADA</t>
        </is>
      </c>
      <c r="C33" s="27" t="n"/>
      <c r="D33" s="27" t="n"/>
      <c r="E33" s="27" t="n"/>
      <c r="F33" s="27" t="n"/>
      <c r="G33" s="27" t="n"/>
      <c r="H33" s="27" t="n"/>
      <c r="I33" s="27" t="n"/>
      <c r="J33" s="27" t="n"/>
      <c r="K33" s="54">
        <f>IF(COUNT(K6:K30)=0,"",SUM(K6:K30))</f>
        <v>960.0</v>
      </c>
      <c r="L33" s="55">
        <f>IF(COUNT(L6:L30)=0,"",SUM(L6:L30))</f>
        <v>539564.0</v>
      </c>
      <c r="M33" s="40" t="n"/>
      <c r="N33" s="26" t="inlineStr">
        <is>
          <t>Coste anual con SS (€)</t>
        </is>
      </c>
      <c r="O33" s="55">
        <f>IFERROR(IF($L$33="","",$L$33*(1+$C$41)),"")</f>
        <v>717620.12</v>
      </c>
      <c r="P33" s="55">
        <f>IF(COUNT(P6:P30)=0,"",SUM(P6:P30))</f>
        <v>15973.736672231496</v>
      </c>
      <c r="Q33" s="35" t="n"/>
    </row>
    <row r="34">
      <c r="A34" s="33" t="inlineStr">
        <is>
          <t>El coste de la SEMANA (P33) multiplicado por 52 no tiene por qué coincidir con el coste ANUAL (O33): el anual sale del bruto de convenio y el semanal, de las horas que programes. 52 semanas de 40 h son 2.080 h y la «Jornada anual de REFERENCIA» de abajo son 1.797 h, porque descuenta vacaciones y festivos; por eso el semanal por 52 queda alrededor de un 16 % por encima del anual. Si se separan mucho más, estás programando más horas de las que pagas.</t>
        </is>
      </c>
      <c r="B34" s="53" t="n"/>
      <c r="C34" s="53" t="n"/>
      <c r="D34" s="53" t="n"/>
      <c r="E34" s="53" t="n"/>
      <c r="F34" s="53" t="n"/>
      <c r="G34" s="53" t="n"/>
      <c r="H34" s="53" t="n"/>
      <c r="I34" s="53" t="n"/>
      <c r="J34" s="53" t="n"/>
      <c r="K34" s="53" t="n"/>
      <c r="L34" s="53" t="n"/>
      <c r="M34" s="40" t="n"/>
      <c r="N34" s="53" t="n"/>
      <c r="O34" s="53" t="n"/>
      <c r="P34" s="53" t="n"/>
      <c r="Q34" s="35" t="n"/>
    </row>
    <row r="35">
      <c r="A35" s="26" t="inlineStr">
        <is>
          <t>PARÁMETROS DE ESTE LIBRO (edítalos: el libro recalcula)</t>
        </is>
      </c>
      <c r="B35" s="27" t="n"/>
      <c r="C35" s="27" t="n"/>
      <c r="D35" s="27" t="n"/>
      <c r="E35" s="27" t="n"/>
      <c r="F35" s="27" t="n"/>
      <c r="G35" s="27" t="n"/>
      <c r="H35" s="27" t="n"/>
      <c r="I35" s="27" t="n"/>
      <c r="J35" s="27" t="n"/>
      <c r="K35" s="27" t="n"/>
      <c r="L35" s="53" t="n"/>
      <c r="M35" s="40" t="n"/>
      <c r="N35" s="53" t="n"/>
      <c r="O35" s="53" t="n"/>
      <c r="P35" s="53" t="n"/>
      <c r="Q35" s="35" t="n"/>
    </row>
    <row r="36">
      <c r="A36" s="27" t="inlineStr">
        <is>
          <t>Horas del turno M (Mañana)</t>
        </is>
      </c>
      <c r="B36" s="27" t="n"/>
      <c r="C36" s="56" t="n">
        <v>8</v>
      </c>
      <c r="D36" s="33" t="inlineStr">
        <is>
          <t>Tabla de equivalencia turno → horas. La «V» del desplegable existía y no estaba documentada en ninguna parte del fichero: es Vacaciones [TEC-12].</t>
        </is>
      </c>
      <c r="E36" s="27" t="n"/>
      <c r="F36" s="27" t="n"/>
      <c r="G36" s="27" t="n"/>
      <c r="H36" s="27" t="n"/>
      <c r="I36" s="27" t="n"/>
      <c r="J36" s="27" t="n"/>
      <c r="K36" s="27" t="n"/>
      <c r="L36" s="53" t="n"/>
      <c r="M36" s="40" t="n"/>
      <c r="N36" s="53" t="n"/>
      <c r="O36" s="53" t="n"/>
      <c r="P36" s="53" t="n"/>
      <c r="Q36" s="35" t="n"/>
    </row>
    <row r="37">
      <c r="A37" s="27" t="inlineStr">
        <is>
          <t>Horas del turno T (Tarde)</t>
        </is>
      </c>
      <c r="B37" s="27" t="n"/>
      <c r="C37" s="56" t="n">
        <v>8</v>
      </c>
      <c r="D37" s="27" t="n"/>
      <c r="E37" s="27" t="n"/>
      <c r="F37" s="27" t="n"/>
      <c r="G37" s="27" t="n"/>
      <c r="H37" s="27" t="n"/>
      <c r="I37" s="27" t="n"/>
      <c r="J37" s="27" t="n"/>
      <c r="K37" s="27" t="n"/>
      <c r="L37" s="53" t="n"/>
      <c r="M37" s="40" t="n"/>
      <c r="N37" s="53" t="n"/>
      <c r="O37" s="53" t="n"/>
      <c r="P37" s="53" t="n"/>
      <c r="Q37" s="35" t="n"/>
    </row>
    <row r="38">
      <c r="A38" s="27" t="inlineStr">
        <is>
          <t>Horas del turno P (Partido)</t>
        </is>
      </c>
      <c r="B38" s="27" t="n"/>
      <c r="C38" s="56" t="n">
        <v>10</v>
      </c>
      <c r="D38" s="27" t="n"/>
      <c r="E38" s="27" t="n"/>
      <c r="F38" s="27" t="n"/>
      <c r="G38" s="27" t="n"/>
      <c r="H38" s="27" t="n"/>
      <c r="I38" s="27" t="n"/>
      <c r="J38" s="27" t="n"/>
      <c r="K38" s="27" t="n"/>
      <c r="L38" s="53" t="n"/>
      <c r="M38" s="40" t="n"/>
      <c r="N38" s="53" t="n"/>
      <c r="O38" s="53" t="n"/>
      <c r="P38" s="53" t="n"/>
      <c r="Q38" s="35" t="n"/>
    </row>
    <row r="39">
      <c r="A39" s="27" t="inlineStr">
        <is>
          <t>Horas del turno L (Libre)</t>
        </is>
      </c>
      <c r="B39" s="27" t="n"/>
      <c r="C39" s="56" t="n">
        <v>0</v>
      </c>
      <c r="D39" s="27" t="n"/>
      <c r="E39" s="27" t="n"/>
      <c r="F39" s="27" t="n"/>
      <c r="G39" s="27" t="n"/>
      <c r="H39" s="27" t="n"/>
      <c r="I39" s="27" t="n"/>
      <c r="J39" s="27" t="n"/>
      <c r="K39" s="27" t="n"/>
      <c r="L39" s="53" t="n"/>
      <c r="M39" s="40" t="n"/>
      <c r="N39" s="53" t="n"/>
      <c r="O39" s="53" t="n"/>
      <c r="P39" s="53" t="n"/>
      <c r="Q39" s="35" t="n"/>
    </row>
    <row r="40">
      <c r="A40" s="27" t="inlineStr">
        <is>
          <t>Horas del turno V (Vacaciones)</t>
        </is>
      </c>
      <c r="B40" s="27" t="n"/>
      <c r="C40" s="56" t="n">
        <v>0</v>
      </c>
      <c r="D40" s="27" t="n"/>
      <c r="E40" s="27" t="n"/>
      <c r="F40" s="27" t="n"/>
      <c r="G40" s="27" t="n"/>
      <c r="H40" s="27" t="n"/>
      <c r="I40" s="27" t="n"/>
      <c r="J40" s="27" t="n"/>
      <c r="K40" s="27" t="n"/>
      <c r="L40" s="53" t="n"/>
      <c r="M40" s="40" t="n"/>
      <c r="N40" s="53" t="n"/>
      <c r="O40" s="53" t="n"/>
      <c r="P40" s="53" t="n"/>
      <c r="Q40" s="35" t="n"/>
    </row>
    <row r="41">
      <c r="A41" s="27" t="inlineStr">
        <is>
          <t>Seguridad Social a cargo de la empresa (%)</t>
        </is>
      </c>
      <c r="B41" s="35" t="n"/>
      <c r="C41" s="36" t="n">
        <v>0.33</v>
      </c>
      <c r="D41" s="37" t="inlineStr">
        <is>
          <t>Cotización empresarial aproximada sobre el salario bruto (contingencias comunes, desempleo, FOGASA y formación). Ajústala a tu convenio y a tus contratos.</t>
        </is>
      </c>
      <c r="E41" s="35" t="n"/>
      <c r="F41" s="35" t="n"/>
      <c r="G41" s="35" t="n"/>
      <c r="H41" s="35" t="n"/>
      <c r="I41" s="35" t="n"/>
      <c r="J41" s="35" t="n"/>
      <c r="K41" s="35" t="n"/>
      <c r="L41" s="53" t="n"/>
      <c r="M41" s="40" t="n"/>
      <c r="N41" s="53" t="n"/>
      <c r="O41" s="53" t="n"/>
      <c r="P41" s="53" t="n"/>
      <c r="Q41" s="35" t="n"/>
    </row>
    <row r="42">
      <c r="A42" s="27" t="inlineStr">
        <is>
          <t>SMI vigente (€/año, 14 pagas)</t>
        </is>
      </c>
      <c r="B42" s="27" t="n"/>
      <c r="C42" s="57" t="n">
        <v>17094</v>
      </c>
      <c r="D42" s="33" t="inlineStr">
        <is>
          <t>1.221 €/mes × 14 pagas = 17.094 €/año — Real Decreto 126/2026, de 18 de febrero (BOE-A-2026-3815), con efectos desde el 1-ene-2026. El convenio provincial de hostelería prevalece si fija un mínimo superior.</t>
        </is>
      </c>
      <c r="E42" s="27" t="n"/>
      <c r="F42" s="27" t="n"/>
      <c r="G42" s="27" t="n"/>
      <c r="H42" s="27" t="n"/>
      <c r="I42" s="27" t="n"/>
      <c r="J42" s="27" t="n"/>
      <c r="K42" s="27" t="n"/>
      <c r="L42" s="53" t="n"/>
      <c r="M42" s="40" t="n"/>
      <c r="N42" s="53" t="n"/>
      <c r="O42" s="53" t="n"/>
      <c r="P42" s="53" t="n"/>
      <c r="Q42" s="35" t="n"/>
    </row>
    <row r="43">
      <c r="A43" s="27" t="inlineStr">
        <is>
          <t>Jornada anual de convenio (h/año)</t>
        </is>
      </c>
      <c r="B43" s="27" t="n"/>
      <c r="C43" s="39" t="n"/>
      <c r="D43" s="33" t="inlineStr">
        <is>
          <t>La fija el convenio provincial de hostelería, en su tabla salarial anual. No se precarga con una cifra inventada: escríbela tú y prevalece sobre la jornada de referencia de abajo. Mientras esté vacía, el libro usa la de referencia.</t>
        </is>
      </c>
      <c r="E43" s="27" t="n"/>
      <c r="F43" s="27" t="n"/>
      <c r="G43" s="27" t="n"/>
      <c r="H43" s="27" t="n"/>
      <c r="I43" s="27" t="n"/>
      <c r="J43" s="27" t="n"/>
      <c r="K43" s="27" t="n"/>
      <c r="L43" s="53" t="n"/>
      <c r="M43" s="40" t="n"/>
      <c r="N43" s="53" t="n"/>
      <c r="O43" s="53" t="n"/>
      <c r="P43" s="53" t="n"/>
      <c r="Q43" s="35" t="n"/>
    </row>
    <row r="44">
      <c r="A44" s="27" t="inlineStr">
        <is>
          <t>Jornada máxima semanal (h)</t>
        </is>
      </c>
      <c r="B44" s="27" t="n"/>
      <c r="C44" s="56" t="n">
        <v>40</v>
      </c>
      <c r="D44" s="33" t="inlineStr">
        <is>
          <t>40 h de promedio en cómputo anual (art. 34.1 ET). El convenio puede fijar menos.</t>
        </is>
      </c>
      <c r="E44" s="27" t="n"/>
      <c r="F44" s="27" t="n"/>
      <c r="G44" s="27" t="n"/>
      <c r="H44" s="27" t="n"/>
      <c r="I44" s="27" t="n"/>
      <c r="J44" s="27" t="n"/>
      <c r="K44" s="27" t="n"/>
      <c r="L44" s="53" t="n"/>
      <c r="M44" s="40" t="n"/>
      <c r="N44" s="53" t="n"/>
      <c r="O44" s="53" t="n"/>
      <c r="P44" s="53" t="n"/>
      <c r="Q44" s="35" t="n"/>
    </row>
    <row r="45">
      <c r="A45" s="27" t="inlineStr">
        <is>
          <t>Semanas del año</t>
        </is>
      </c>
      <c r="B45" s="27" t="n"/>
      <c r="C45" s="39" t="n">
        <v>52</v>
      </c>
      <c r="D45" s="33" t="inlineStr">
        <is>
          <t>52 semanas.</t>
        </is>
      </c>
      <c r="E45" s="27" t="n"/>
      <c r="F45" s="27" t="n"/>
      <c r="G45" s="27" t="n"/>
      <c r="H45" s="27" t="n"/>
      <c r="I45" s="27" t="n"/>
      <c r="J45" s="27" t="n"/>
      <c r="K45" s="27" t="n"/>
      <c r="L45" s="53" t="n"/>
      <c r="M45" s="40" t="n"/>
      <c r="N45" s="53" t="n"/>
      <c r="O45" s="53" t="n"/>
      <c r="P45" s="53" t="n"/>
      <c r="Q45" s="35" t="n"/>
    </row>
    <row r="46">
      <c r="A46" s="27" t="inlineStr">
        <is>
          <t>Días de vacaciones al año (naturales)</t>
        </is>
      </c>
      <c r="B46" s="40" t="n"/>
      <c r="C46" s="39" t="n">
        <v>30</v>
      </c>
      <c r="D46" s="41" t="inlineStr">
        <is>
          <t>30 días naturales, el mínimo del art. 38.1 ET. El convenio puede dar más.</t>
        </is>
      </c>
      <c r="E46" s="40" t="n"/>
      <c r="F46" s="40" t="n"/>
      <c r="G46" s="40" t="n"/>
      <c r="H46" s="40" t="n"/>
      <c r="I46" s="40" t="n"/>
      <c r="J46" s="40" t="n"/>
      <c r="K46" s="40" t="n"/>
      <c r="L46" s="53" t="n"/>
      <c r="M46" s="40" t="n"/>
      <c r="N46" s="53" t="n"/>
      <c r="O46" s="53" t="n"/>
      <c r="P46" s="53" t="n"/>
      <c r="Q46" s="35" t="n"/>
    </row>
    <row r="47">
      <c r="A47" s="27" t="inlineStr">
        <is>
          <t>Festivos anuales retribuidos</t>
        </is>
      </c>
      <c r="B47" s="27" t="n"/>
      <c r="C47" s="39" t="n">
        <v>14</v>
      </c>
      <c r="D47" s="33" t="inlineStr">
        <is>
          <t>14 al año como máximo (art. 37.2 ET): 12 nacionales o autonómicos más 2 locales.</t>
        </is>
      </c>
      <c r="E47" s="27" t="n"/>
      <c r="F47" s="27" t="n"/>
      <c r="G47" s="27" t="n"/>
      <c r="H47" s="27" t="n"/>
      <c r="I47" s="27" t="n"/>
      <c r="J47" s="27" t="n"/>
      <c r="K47" s="27" t="n"/>
      <c r="L47" s="53" t="n"/>
      <c r="M47" s="40" t="n"/>
      <c r="N47" s="53" t="n"/>
      <c r="O47" s="53" t="n"/>
      <c r="P47" s="53" t="n"/>
      <c r="Q47" s="35" t="n"/>
    </row>
    <row r="48">
      <c r="A48" s="27" t="inlineStr">
        <is>
          <t>Días naturales de la semana</t>
        </is>
      </c>
      <c r="B48" s="40" t="n"/>
      <c r="C48" s="39" t="n">
        <v>7</v>
      </c>
      <c r="D48" s="41" t="inlineStr">
        <is>
          <t>7. Convierte los días naturales de vacaciones en semanas.</t>
        </is>
      </c>
      <c r="E48" s="40" t="n"/>
      <c r="F48" s="40" t="n"/>
      <c r="G48" s="40" t="n"/>
      <c r="H48" s="40" t="n"/>
      <c r="I48" s="40" t="n"/>
      <c r="J48" s="40" t="n"/>
      <c r="K48" s="40" t="n"/>
      <c r="L48" s="53" t="n"/>
      <c r="M48" s="40" t="n"/>
      <c r="N48" s="53" t="n"/>
      <c r="O48" s="53" t="n"/>
      <c r="P48" s="53" t="n"/>
      <c r="Q48" s="35" t="n"/>
    </row>
    <row r="49">
      <c r="A49" s="27" t="inlineStr">
        <is>
          <t>Días de trabajo por semana</t>
        </is>
      </c>
      <c r="B49" s="40" t="n"/>
      <c r="C49" s="39" t="n">
        <v>5</v>
      </c>
      <c r="D49" s="41" t="inlineStr">
        <is>
          <t>5 con el descanso semanal de día y medio del art. 37.1 ET. Convierte cada festivo en horas.</t>
        </is>
      </c>
      <c r="E49" s="40" t="n"/>
      <c r="F49" s="40" t="n"/>
      <c r="G49" s="40" t="n"/>
      <c r="H49" s="40" t="n"/>
      <c r="I49" s="40" t="n"/>
      <c r="J49" s="40" t="n"/>
      <c r="K49" s="40" t="n"/>
      <c r="L49" s="53" t="n"/>
      <c r="M49" s="40" t="n"/>
      <c r="N49" s="53" t="n"/>
      <c r="O49" s="53" t="n"/>
      <c r="P49" s="53" t="n"/>
      <c r="Q49" s="35" t="n"/>
    </row>
    <row r="50">
      <c r="A50" s="27" t="inlineStr">
        <is>
          <t>Jornada anual de REFERENCIA (h/año)</t>
        </is>
      </c>
      <c r="B50" s="27" t="n"/>
      <c r="C50" s="40">
        <f>IFERROR(ROUND($C$44*$C$45-$C$44*$C$46/$C$48-$C$47*$C$44/$C$49,0),"")</f>
        <v>1797.0</v>
      </c>
      <c r="D50" s="33" t="inlineStr">
        <is>
          <t>NO es un dato del convenio: se calcula con los cuatro parámetros de arriba, y los cuatro salen de la ley (art. 34.1, 38.1 y 37.2 ET). Sirve para que el libro enseñe el coste/hora desde el primer momento; en cuanto escribas la jornada de TU convenio, manda la de arriba.</t>
        </is>
      </c>
      <c r="E50" s="27" t="n"/>
      <c r="F50" s="27" t="n"/>
      <c r="G50" s="27" t="n"/>
      <c r="H50" s="27" t="n"/>
      <c r="I50" s="27" t="n"/>
      <c r="J50" s="27" t="n"/>
      <c r="K50" s="27" t="n"/>
      <c r="L50" s="53" t="n"/>
      <c r="M50" s="40" t="n"/>
      <c r="N50" s="53" t="n"/>
      <c r="O50" s="53" t="n"/>
      <c r="P50" s="53" t="n"/>
      <c r="Q50" s="35" t="n"/>
    </row>
    <row r="51">
      <c r="A51" s="26" t="inlineStr">
        <is>
          <t>Jornada anual aplicada (h/año)</t>
        </is>
      </c>
      <c r="B51" s="27" t="n"/>
      <c r="C51" s="42">
        <f>IF($C$43="",IF($C$50="","",$C$50),$C$43)</f>
        <v>1797.0</v>
      </c>
      <c r="D51" s="33" t="inlineStr">
        <is>
          <t>La que divide en «Coste/hora»: la de tu convenio si la has escrito, y si no, la de referencia.</t>
        </is>
      </c>
      <c r="E51" s="27" t="n"/>
      <c r="F51" s="27" t="n"/>
      <c r="G51" s="27" t="n"/>
      <c r="H51" s="27" t="n"/>
      <c r="I51" s="27" t="n"/>
      <c r="J51" s="27" t="n"/>
      <c r="K51" s="27" t="n"/>
      <c r="L51" s="53" t="n"/>
      <c r="M51" s="40" t="n"/>
      <c r="N51" s="53" t="n"/>
      <c r="O51" s="53" t="n"/>
      <c r="P51" s="53" t="n"/>
      <c r="Q51" s="35" t="n"/>
    </row>
    <row r="52">
      <c r="A52" s="33" t="inlineStr">
        <is>
          <t>Los brutos anuales que trae el libro son los del capítulo de brigada de esta misma guía, ELEVADOS al SMI vigente donde el capítulo se quedaba por debajo (el capítulo publicaba dos puestos bajo el SMI: ésos se han subido, no se han copiado). Son valores de EJEMPLO: escribe los tuyos y el semáforo se enciende en rojo si alguno queda por debajo del SMI prorrateado a su jornada [DOM-13 · §7-bis.16 · RD-04 · RD-25].</t>
        </is>
      </c>
      <c r="B52" s="27" t="n"/>
      <c r="C52" s="27" t="n"/>
      <c r="D52" s="27" t="n"/>
      <c r="E52" s="27" t="n"/>
      <c r="F52" s="27" t="n"/>
      <c r="G52" s="27" t="n"/>
      <c r="H52" s="27" t="n"/>
      <c r="I52" s="27" t="n"/>
      <c r="J52" s="27" t="n"/>
      <c r="K52" s="27" t="n"/>
      <c r="L52" s="53" t="n"/>
      <c r="M52" s="40" t="n"/>
      <c r="N52" s="53" t="n"/>
      <c r="O52" s="53" t="n"/>
      <c r="P52" s="53" t="n"/>
      <c r="Q52" s="35" t="n"/>
    </row>
    <row r="53">
      <c r="A53" s="27" t="n"/>
      <c r="B53" s="27" t="n"/>
      <c r="C53" s="27" t="n"/>
      <c r="D53" s="27" t="n"/>
      <c r="E53" s="27" t="n"/>
      <c r="F53" s="27" t="n"/>
      <c r="G53" s="27" t="n"/>
      <c r="H53" s="27" t="n"/>
      <c r="I53" s="27" t="n"/>
      <c r="J53" s="27" t="n"/>
      <c r="K53" s="27" t="n"/>
      <c r="L53" s="53" t="n"/>
      <c r="M53" s="40" t="n"/>
      <c r="N53" s="53" t="n"/>
      <c r="O53" s="53" t="n"/>
      <c r="P53" s="53" t="n"/>
      <c r="Q53" s="35" t="n"/>
    </row>
    <row r="54">
      <c r="A54" s="27" t="n"/>
      <c r="B54" s="27" t="n"/>
      <c r="C54" s="27" t="n"/>
      <c r="D54" s="27" t="n"/>
      <c r="E54" s="27" t="n"/>
      <c r="F54" s="27" t="n"/>
      <c r="G54" s="27" t="n"/>
      <c r="H54" s="27" t="n"/>
      <c r="I54" s="27" t="n"/>
      <c r="J54" s="27" t="n"/>
      <c r="K54" s="27" t="n"/>
      <c r="L54" s="53" t="n"/>
      <c r="M54" s="40" t="n"/>
      <c r="N54" s="53" t="n"/>
      <c r="O54" s="53" t="n"/>
      <c r="P54" s="53" t="n"/>
      <c r="Q54" s="35" t="n"/>
    </row>
    <row r="55">
      <c r="A55" s="27" t="n"/>
      <c r="B55" s="27" t="n"/>
      <c r="C55" s="27" t="n"/>
      <c r="D55" s="27" t="n"/>
      <c r="E55" s="27" t="n"/>
      <c r="F55" s="27" t="n"/>
      <c r="G55" s="27" t="n"/>
      <c r="H55" s="27" t="n"/>
      <c r="I55" s="27" t="n"/>
      <c r="J55" s="27" t="n"/>
      <c r="K55" s="27" t="n"/>
      <c r="L55" s="53" t="n"/>
      <c r="M55" s="40" t="n"/>
      <c r="N55" s="53" t="n"/>
      <c r="O55" s="53" t="n"/>
      <c r="P55" s="53" t="n"/>
      <c r="Q55" s="35" t="n"/>
    </row>
    <row r="56">
      <c r="A56" s="27" t="n"/>
      <c r="B56" s="27" t="n"/>
      <c r="C56" s="27" t="n"/>
      <c r="D56" s="27" t="n"/>
      <c r="E56" s="27" t="n"/>
      <c r="F56" s="27" t="n"/>
      <c r="G56" s="27" t="n"/>
      <c r="H56" s="27" t="n"/>
      <c r="I56" s="27" t="n"/>
      <c r="J56" s="27" t="n"/>
      <c r="K56" s="27" t="n"/>
      <c r="L56" s="53" t="n"/>
      <c r="M56" s="40" t="n"/>
      <c r="N56" s="53" t="n"/>
      <c r="O56" s="53" t="n"/>
      <c r="P56" s="53" t="n"/>
      <c r="Q56" s="35" t="n"/>
    </row>
    <row r="57">
      <c r="A57" s="27" t="n"/>
      <c r="B57" s="27" t="n"/>
      <c r="C57" s="27" t="n"/>
      <c r="D57" s="27" t="n"/>
      <c r="E57" s="27" t="n"/>
      <c r="F57" s="27" t="n"/>
      <c r="G57" s="27" t="n"/>
      <c r="H57" s="27" t="n"/>
      <c r="I57" s="27" t="n"/>
      <c r="J57" s="27" t="n"/>
      <c r="K57" s="27" t="n"/>
      <c r="L57" s="53" t="n"/>
      <c r="M57" s="40" t="n"/>
      <c r="N57" s="53" t="n"/>
      <c r="O57" s="53" t="n"/>
      <c r="P57" s="53" t="n"/>
      <c r="Q57" s="35" t="n"/>
    </row>
    <row r="58">
      <c r="A58" s="27" t="n"/>
      <c r="B58" s="27" t="n"/>
      <c r="C58" s="27" t="n"/>
      <c r="D58" s="27" t="n"/>
      <c r="E58" s="27" t="n"/>
      <c r="F58" s="27" t="n"/>
      <c r="G58" s="27" t="n"/>
      <c r="H58" s="27" t="n"/>
      <c r="I58" s="27" t="n"/>
      <c r="J58" s="27" t="n"/>
      <c r="K58" s="27" t="n"/>
      <c r="L58" s="53" t="n"/>
      <c r="M58" s="40" t="n"/>
      <c r="N58" s="53" t="n"/>
      <c r="O58" s="53" t="n"/>
      <c r="P58" s="53" t="n"/>
      <c r="Q58" s="35" t="n"/>
    </row>
  </sheetData>
  <sheetProtection selectLockedCells="0" selectUnlockedCells="0" sheet="1" objects="0" insertRows="0" insertHyperlinks="1" autoFilter="1" scenarios="0" formatColumns="0" deleteColumns="1" insertColumns="1" pivotTables="1" deleteRows="1" formatCells="1" formatRows="0" sort="0"/>
  <mergeCells count="2">
    <mergeCell ref="A2:K2"/>
    <mergeCell ref="A1:K1"/>
  </mergeCells>
  <conditionalFormatting sqref="L6:L30">
    <cfRule type="expression" priority="2" dxfId="0" stopIfTrue="1">
      <formula>=AND(ISNUMBER($L6),ISNUMBER($Q6),$L6&lt;$C$42*$Q6)</formula>
    </cfRule>
  </conditionalFormatting>
  <conditionalFormatting sqref="K6:K30">
    <cfRule type="expression" priority="2" dxfId="1" stopIfTrue="1">
      <formula>=AND(ISNUMBER($K6),$K6&gt;$C$44)</formula>
    </cfRule>
  </conditionalFormatting>
  <dataValidations count="5">
    <dataValidation sqref="M6 M7 M8 M9 M10 M11 M12 M13 M14 M15 M16 M17 M18 M19 M20 M22 M23 M24 M25 M26 M27 M28 M29 M30" showDropDown="0" showInputMessage="0" showErrorMessage="1" allowBlank="1" errorTitle="Nº de pagas" error="12, 14 o 15 pagas (14 es lo habitual en hostelería)." type="list">
      <formula1>"12,14,15"</formula1>
    </dataValidation>
    <dataValidation sqref="D6 D7 D8 D9 D10 D11 D12 D13 D14 D15 D16 D17 D18 D19 D20 D22 D23 D24 D25 D26 D27 D28 D29 D30 E6 E7 E8 E9 E10 E11 E12 E13 E14 E15 E16 E17 E18 E19 E20 E22 E23 E24 E25 E26 E27 E28 E29 E30 F6 F7 F8 F9 F10 F11 F12 F13 F14 F15 F16 F17 F18 F19 F20 F22 F23 F24 F25 F26 F27 F28 F29 F30 G6 G7 G8 G9 G10 G11 G12 G13 G14 G15 G16 G17 G18 G19 G20 G22 G23 G24 G25 G26 G27 G28 G29 G30 H6 H7 H8 H9 H10 H11 H12 H13 H14 H15 H16 H17 H18 H19 H20 H22 H23 H24 H25 H26 H27 H28 H29 H30 I6 I7 I8 I9 I10 I11 I12 I13 I14 I15 I16 I17 I18 I19 I20 I22 I23 I24 I25 I26 I27 I28 I29 I30 J6 J7 J8 J9 J10 J11 J12 J13 J14 J15 J16 J17 J18 J19 J20 J22 J23 J24 J25 J26 J27 J28 J29 J30" showDropDown="0" showInputMessage="0" showErrorMessage="1" allowBlank="1" errorTitle="Turno" error="Escribe M (mañana), T (tarde), P (partido), L (libre) o V (vacaciones). Cualquier otra letra la cuenta como 0 h y te resta horas y coste de brigada sin avisar." type="list">
      <formula1>"M,T,P,L,V"</formula1>
    </dataValidation>
    <dataValidation sqref="C36 C37 C38 C39 C40 C42 C43 C44 C45 C46 C47 C48 C49 L6 L7 L8 L9 L10 L11 L12 L13 L14 L15 L16 L17 L18 L19 L20 L22 L23 L24 L25 L26 L27 L28 L29 L30" showDropDown="0" showInputMessage="0" showErrorMessage="1" allowBlank="1" errorTitle="Importe no válido" error="Escribe un número mayor o igual que 0." type="decimal" operator="greaterThanOrEqual">
      <formula1>0</formula1>
    </dataValidation>
    <dataValidation sqref="Q6 Q7 Q8 Q9 Q10 Q11 Q12 Q13 Q14 Q15 Q16 Q17 Q18 Q19 Q20 Q22 Q23 Q24 Q25 Q26 Q27 Q28 Q29 Q30" showDropDown="0" showInputMessage="1" showErrorMessage="1" allowBlank="1" errorTitle="Jornada" error="Escribe un porcentaje entre 0 y 1 (0,20 = 20 %)." promptTitle="Jornada" prompt="Se escribe en tanto por uno: 1 = jornada completa, 0,5 = media jornada. El SMI se compara prorrateado a este porcentaje." type="decimal" operator="between">
      <formula1>0</formula1>
      <formula2>1.0</formula2>
    </dataValidation>
    <dataValidation sqref="C4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91"/>
  <sheetViews>
    <sheetView workbookViewId="0">
      <selection activeCell="A1" sqref="A1"/>
    </sheetView>
  </sheetViews>
  <sheetFormatPr baseColWidth="8" defaultRowHeight="15"/>
  <cols>
    <col width="14" customWidth="1" min="1" max="1"/>
    <col width="26" customWidth="1" min="2" max="2"/>
    <col width="12" customWidth="1" min="3" max="3"/>
    <col width="11" customWidth="1" min="4" max="4"/>
    <col width="11" customWidth="1" min="5" max="5"/>
    <col width="15" customWidth="1" min="6" max="6"/>
    <col width="18" customWidth="1" min="7" max="7"/>
    <col width="40" customWidth="1" min="8" max="8"/>
    <col width="16" customWidth="1" min="9" max="9"/>
  </cols>
  <sheetData>
    <row r="1">
      <c r="A1" s="43" t="inlineStr">
        <is>
          <t>Registro de jornada (art. 34.9 del Estatuto de los Trabajadores)</t>
        </is>
      </c>
    </row>
    <row r="2">
      <c r="A2" t="inlineStr">
        <is>
          <t>AI Chef Pro · aichef.pro — una fila por trabajador y día, con hora de entrada y de salida.</t>
        </is>
      </c>
    </row>
    <row r="3"/>
    <row r="4">
      <c r="A4" s="6" t="inlineStr">
        <is>
          <t>Fecha</t>
        </is>
      </c>
      <c r="B4" s="6" t="inlineStr">
        <is>
          <t>Trabajador</t>
        </is>
      </c>
      <c r="C4" s="6" t="inlineStr">
        <is>
          <t>Semana</t>
        </is>
      </c>
      <c r="D4" s="6" t="inlineStr">
        <is>
          <t>Entrada</t>
        </is>
      </c>
      <c r="E4" s="6" t="inlineStr">
        <is>
          <t>Salida</t>
        </is>
      </c>
      <c r="F4" s="6" t="inlineStr">
        <is>
          <t>Horas del día</t>
        </is>
      </c>
      <c r="G4" s="6" t="inlineStr">
        <is>
          <t>Descanso previo</t>
        </is>
      </c>
      <c r="H4" s="6" t="inlineStr">
        <is>
          <t>Aviso</t>
        </is>
      </c>
      <c r="I4" s="6" t="inlineStr">
        <is>
          <t>Firma</t>
        </is>
      </c>
    </row>
    <row r="5">
      <c r="A5" s="58" t="n"/>
      <c r="B5" s="45" t="n"/>
      <c r="C5" s="45" t="n"/>
      <c r="D5" s="59" t="n"/>
      <c r="E5" s="59" t="n"/>
      <c r="F5" s="60">
        <f>IF(OR($D5="",$E5=""),"",MOD($E5-$D5,1))</f>
        <v/>
      </c>
      <c r="G5" s="60" t="n"/>
      <c r="H5">
        <f>IF($G5="","",IF($G5&lt;$C$175,"Descanso inferior al mínimo legal entre jornadas (art. 34.3 ET)",""))</f>
        <v/>
      </c>
      <c r="I5" s="45" t="n"/>
    </row>
    <row r="6">
      <c r="A6" s="58" t="n"/>
      <c r="B6" s="45" t="n"/>
      <c r="C6" s="45" t="n"/>
      <c r="D6" s="59" t="n"/>
      <c r="E6" s="59" t="n"/>
      <c r="F6" s="60">
        <f>IF(OR($D6="",$E6=""),"",MOD($E6-$D6,1))</f>
        <v/>
      </c>
      <c r="G6" s="60">
        <f>IF(OR($B6="",$B6&lt;&gt;$B5,$D6="",$E5=""),"",IF(OR($A6="",$A5=""),IF(MOD($D6-$E5,1)=0,1,MOD($D6-$E5,1)),($A6+$D6)-($A5+$E5)))</f>
        <v/>
      </c>
      <c r="H6">
        <f>IF($G6="","",IF($G6&lt;$C$175,"Descanso inferior al mínimo legal entre jornadas (art. 34.3 ET)",""))</f>
        <v/>
      </c>
      <c r="I6" s="45" t="n"/>
    </row>
    <row r="7">
      <c r="A7" s="58" t="n"/>
      <c r="B7" s="45" t="n"/>
      <c r="C7" s="45" t="n"/>
      <c r="D7" s="59" t="n"/>
      <c r="E7" s="59" t="n"/>
      <c r="F7" s="60">
        <f>IF(OR($D7="",$E7=""),"",MOD($E7-$D7,1))</f>
        <v/>
      </c>
      <c r="G7" s="60">
        <f>IF(OR($B7="",$B7&lt;&gt;$B6,$D7="",$E6=""),"",IF(OR($A7="",$A6=""),IF(MOD($D7-$E6,1)=0,1,MOD($D7-$E6,1)),($A7+$D7)-($A6+$E6)))</f>
        <v/>
      </c>
      <c r="H7">
        <f>IF($G7="","",IF($G7&lt;$C$175,"Descanso inferior al mínimo legal entre jornadas (art. 34.3 ET)",""))</f>
        <v/>
      </c>
      <c r="I7" s="45" t="n"/>
    </row>
    <row r="8">
      <c r="A8" s="58" t="n"/>
      <c r="B8" s="45" t="n"/>
      <c r="C8" s="45" t="n"/>
      <c r="D8" s="59" t="n"/>
      <c r="E8" s="59" t="n"/>
      <c r="F8" s="60">
        <f>IF(OR($D8="",$E8=""),"",MOD($E8-$D8,1))</f>
        <v/>
      </c>
      <c r="G8" s="60">
        <f>IF(OR($B8="",$B8&lt;&gt;$B7,$D8="",$E7=""),"",IF(OR($A8="",$A7=""),IF(MOD($D8-$E7,1)=0,1,MOD($D8-$E7,1)),($A8+$D8)-($A7+$E7)))</f>
        <v/>
      </c>
      <c r="H8">
        <f>IF($G8="","",IF($G8&lt;$C$175,"Descanso inferior al mínimo legal entre jornadas (art. 34.3 ET)",""))</f>
        <v/>
      </c>
      <c r="I8" s="45" t="n"/>
    </row>
    <row r="9">
      <c r="A9" s="58" t="n"/>
      <c r="B9" s="45" t="n"/>
      <c r="C9" s="45" t="n"/>
      <c r="D9" s="59" t="n"/>
      <c r="E9" s="59" t="n"/>
      <c r="F9" s="60">
        <f>IF(OR($D9="",$E9=""),"",MOD($E9-$D9,1))</f>
        <v/>
      </c>
      <c r="G9" s="60">
        <f>IF(OR($B9="",$B9&lt;&gt;$B8,$D9="",$E8=""),"",IF(OR($A9="",$A8=""),IF(MOD($D9-$E8,1)=0,1,MOD($D9-$E8,1)),($A9+$D9)-($A8+$E8)))</f>
        <v/>
      </c>
      <c r="H9">
        <f>IF($G9="","",IF($G9&lt;$C$175,"Descanso inferior al mínimo legal entre jornadas (art. 34.3 ET)",""))</f>
        <v/>
      </c>
      <c r="I9" s="45" t="n"/>
    </row>
    <row r="10">
      <c r="A10" s="58" t="n"/>
      <c r="B10" s="45" t="n"/>
      <c r="C10" s="45" t="n"/>
      <c r="D10" s="59" t="n"/>
      <c r="E10" s="59" t="n"/>
      <c r="F10" s="60">
        <f>IF(OR($D10="",$E10=""),"",MOD($E10-$D10,1))</f>
        <v/>
      </c>
      <c r="G10" s="60">
        <f>IF(OR($B10="",$B10&lt;&gt;$B9,$D10="",$E9=""),"",IF(OR($A10="",$A9=""),IF(MOD($D10-$E9,1)=0,1,MOD($D10-$E9,1)),($A10+$D10)-($A9+$E9)))</f>
        <v/>
      </c>
      <c r="H10">
        <f>IF($G10="","",IF($G10&lt;$C$175,"Descanso inferior al mínimo legal entre jornadas (art. 34.3 ET)",""))</f>
        <v/>
      </c>
      <c r="I10" s="45" t="n"/>
    </row>
    <row r="11">
      <c r="A11" s="58" t="n"/>
      <c r="B11" s="45" t="n"/>
      <c r="C11" s="45" t="n"/>
      <c r="D11" s="59" t="n"/>
      <c r="E11" s="59" t="n"/>
      <c r="F11" s="60">
        <f>IF(OR($D11="",$E11=""),"",MOD($E11-$D11,1))</f>
        <v/>
      </c>
      <c r="G11" s="60">
        <f>IF(OR($B11="",$B11&lt;&gt;$B10,$D11="",$E10=""),"",IF(OR($A11="",$A10=""),IF(MOD($D11-$E10,1)=0,1,MOD($D11-$E10,1)),($A11+$D11)-($A10+$E10)))</f>
        <v/>
      </c>
      <c r="H11">
        <f>IF($G11="","",IF($G11&lt;$C$175,"Descanso inferior al mínimo legal entre jornadas (art. 34.3 ET)",""))</f>
        <v/>
      </c>
      <c r="I11" s="45" t="n"/>
    </row>
    <row r="12">
      <c r="A12" s="58" t="n"/>
      <c r="B12" s="45" t="n"/>
      <c r="C12" s="45" t="n"/>
      <c r="D12" s="59" t="n"/>
      <c r="E12" s="59" t="n"/>
      <c r="F12" s="60">
        <f>IF(OR($D12="",$E12=""),"",MOD($E12-$D12,1))</f>
        <v/>
      </c>
      <c r="G12" s="60">
        <f>IF(OR($B12="",$B12&lt;&gt;$B11,$D12="",$E11=""),"",IF(OR($A12="",$A11=""),IF(MOD($D12-$E11,1)=0,1,MOD($D12-$E11,1)),($A12+$D12)-($A11+$E11)))</f>
        <v/>
      </c>
      <c r="H12">
        <f>IF($G12="","",IF($G12&lt;$C$175,"Descanso inferior al mínimo legal entre jornadas (art. 34.3 ET)",""))</f>
        <v/>
      </c>
      <c r="I12" s="45" t="n"/>
    </row>
    <row r="13">
      <c r="A13" s="58" t="n"/>
      <c r="B13" s="45" t="n"/>
      <c r="C13" s="45" t="n"/>
      <c r="D13" s="59" t="n"/>
      <c r="E13" s="59" t="n"/>
      <c r="F13" s="60">
        <f>IF(OR($D13="",$E13=""),"",MOD($E13-$D13,1))</f>
        <v/>
      </c>
      <c r="G13" s="60">
        <f>IF(OR($B13="",$B13&lt;&gt;$B12,$D13="",$E12=""),"",IF(OR($A13="",$A12=""),IF(MOD($D13-$E12,1)=0,1,MOD($D13-$E12,1)),($A13+$D13)-($A12+$E12)))</f>
        <v/>
      </c>
      <c r="H13">
        <f>IF($G13="","",IF($G13&lt;$C$175,"Descanso inferior al mínimo legal entre jornadas (art. 34.3 ET)",""))</f>
        <v/>
      </c>
      <c r="I13" s="45" t="n"/>
    </row>
    <row r="14">
      <c r="A14" s="58" t="n"/>
      <c r="B14" s="45" t="n"/>
      <c r="C14" s="45" t="n"/>
      <c r="D14" s="59" t="n"/>
      <c r="E14" s="59" t="n"/>
      <c r="F14" s="60">
        <f>IF(OR($D14="",$E14=""),"",MOD($E14-$D14,1))</f>
        <v/>
      </c>
      <c r="G14" s="60">
        <f>IF(OR($B14="",$B14&lt;&gt;$B13,$D14="",$E13=""),"",IF(OR($A14="",$A13=""),IF(MOD($D14-$E13,1)=0,1,MOD($D14-$E13,1)),($A14+$D14)-($A13+$E13)))</f>
        <v/>
      </c>
      <c r="H14">
        <f>IF($G14="","",IF($G14&lt;$C$175,"Descanso inferior al mínimo legal entre jornadas (art. 34.3 ET)",""))</f>
        <v/>
      </c>
      <c r="I14" s="45" t="n"/>
    </row>
    <row r="15">
      <c r="A15" s="58" t="n"/>
      <c r="B15" s="45" t="n"/>
      <c r="C15" s="45" t="n"/>
      <c r="D15" s="59" t="n"/>
      <c r="E15" s="59" t="n"/>
      <c r="F15" s="60">
        <f>IF(OR($D15="",$E15=""),"",MOD($E15-$D15,1))</f>
        <v/>
      </c>
      <c r="G15" s="60">
        <f>IF(OR($B15="",$B15&lt;&gt;$B14,$D15="",$E14=""),"",IF(OR($A15="",$A14=""),IF(MOD($D15-$E14,1)=0,1,MOD($D15-$E14,1)),($A15+$D15)-($A14+$E14)))</f>
        <v/>
      </c>
      <c r="H15">
        <f>IF($G15="","",IF($G15&lt;$C$175,"Descanso inferior al mínimo legal entre jornadas (art. 34.3 ET)",""))</f>
        <v/>
      </c>
      <c r="I15" s="45" t="n"/>
    </row>
    <row r="16">
      <c r="A16" s="58" t="n"/>
      <c r="B16" s="45" t="n"/>
      <c r="C16" s="45" t="n"/>
      <c r="D16" s="59" t="n"/>
      <c r="E16" s="59" t="n"/>
      <c r="F16" s="60">
        <f>IF(OR($D16="",$E16=""),"",MOD($E16-$D16,1))</f>
        <v/>
      </c>
      <c r="G16" s="60">
        <f>IF(OR($B16="",$B16&lt;&gt;$B15,$D16="",$E15=""),"",IF(OR($A16="",$A15=""),IF(MOD($D16-$E15,1)=0,1,MOD($D16-$E15,1)),($A16+$D16)-($A15+$E15)))</f>
        <v/>
      </c>
      <c r="H16">
        <f>IF($G16="","",IF($G16&lt;$C$175,"Descanso inferior al mínimo legal entre jornadas (art. 34.3 ET)",""))</f>
        <v/>
      </c>
      <c r="I16" s="45" t="n"/>
    </row>
    <row r="17">
      <c r="A17" s="58" t="n"/>
      <c r="B17" s="45" t="n"/>
      <c r="C17" s="45" t="n"/>
      <c r="D17" s="59" t="n"/>
      <c r="E17" s="59" t="n"/>
      <c r="F17" s="60">
        <f>IF(OR($D17="",$E17=""),"",MOD($E17-$D17,1))</f>
        <v/>
      </c>
      <c r="G17" s="60">
        <f>IF(OR($B17="",$B17&lt;&gt;$B16,$D17="",$E16=""),"",IF(OR($A17="",$A16=""),IF(MOD($D17-$E16,1)=0,1,MOD($D17-$E16,1)),($A17+$D17)-($A16+$E16)))</f>
        <v/>
      </c>
      <c r="H17">
        <f>IF($G17="","",IF($G17&lt;$C$175,"Descanso inferior al mínimo legal entre jornadas (art. 34.3 ET)",""))</f>
        <v/>
      </c>
      <c r="I17" s="45" t="n"/>
    </row>
    <row r="18">
      <c r="A18" s="58" t="n"/>
      <c r="B18" s="45" t="n"/>
      <c r="C18" s="45" t="n"/>
      <c r="D18" s="59" t="n"/>
      <c r="E18" s="59" t="n"/>
      <c r="F18" s="60">
        <f>IF(OR($D18="",$E18=""),"",MOD($E18-$D18,1))</f>
        <v/>
      </c>
      <c r="G18" s="60">
        <f>IF(OR($B18="",$B18&lt;&gt;$B17,$D18="",$E17=""),"",IF(OR($A18="",$A17=""),IF(MOD($D18-$E17,1)=0,1,MOD($D18-$E17,1)),($A18+$D18)-($A17+$E17)))</f>
        <v/>
      </c>
      <c r="H18">
        <f>IF($G18="","",IF($G18&lt;$C$175,"Descanso inferior al mínimo legal entre jornadas (art. 34.3 ET)",""))</f>
        <v/>
      </c>
      <c r="I18" s="45" t="n"/>
    </row>
    <row r="19">
      <c r="A19" s="58" t="n"/>
      <c r="B19" s="45" t="n"/>
      <c r="C19" s="45" t="n"/>
      <c r="D19" s="59" t="n"/>
      <c r="E19" s="59" t="n"/>
      <c r="F19" s="60">
        <f>IF(OR($D19="",$E19=""),"",MOD($E19-$D19,1))</f>
        <v/>
      </c>
      <c r="G19" s="60">
        <f>IF(OR($B19="",$B19&lt;&gt;$B18,$D19="",$E18=""),"",IF(OR($A19="",$A18=""),IF(MOD($D19-$E18,1)=0,1,MOD($D19-$E18,1)),($A19+$D19)-($A18+$E18)))</f>
        <v/>
      </c>
      <c r="H19">
        <f>IF($G19="","",IF($G19&lt;$C$175,"Descanso inferior al mínimo legal entre jornadas (art. 34.3 ET)",""))</f>
        <v/>
      </c>
      <c r="I19" s="45" t="n"/>
    </row>
    <row r="20">
      <c r="A20" s="58" t="n"/>
      <c r="B20" s="45" t="n"/>
      <c r="C20" s="45" t="n"/>
      <c r="D20" s="59" t="n"/>
      <c r="E20" s="59" t="n"/>
      <c r="F20" s="60">
        <f>IF(OR($D20="",$E20=""),"",MOD($E20-$D20,1))</f>
        <v/>
      </c>
      <c r="G20" s="60">
        <f>IF(OR($B20="",$B20&lt;&gt;$B19,$D20="",$E19=""),"",IF(OR($A20="",$A19=""),IF(MOD($D20-$E19,1)=0,1,MOD($D20-$E19,1)),($A20+$D20)-($A19+$E19)))</f>
        <v/>
      </c>
      <c r="H20">
        <f>IF($G20="","",IF($G20&lt;$C$175,"Descanso inferior al mínimo legal entre jornadas (art. 34.3 ET)",""))</f>
        <v/>
      </c>
      <c r="I20" s="45" t="n"/>
    </row>
    <row r="21">
      <c r="A21" s="58" t="n"/>
      <c r="B21" s="45" t="n"/>
      <c r="C21" s="45" t="n"/>
      <c r="D21" s="59" t="n"/>
      <c r="E21" s="59" t="n"/>
      <c r="F21" s="60">
        <f>IF(OR($D21="",$E21=""),"",MOD($E21-$D21,1))</f>
        <v/>
      </c>
      <c r="G21" s="60">
        <f>IF(OR($B21="",$B21&lt;&gt;$B20,$D21="",$E20=""),"",IF(OR($A21="",$A20=""),IF(MOD($D21-$E20,1)=0,1,MOD($D21-$E20,1)),($A21+$D21)-($A20+$E20)))</f>
        <v/>
      </c>
      <c r="H21">
        <f>IF($G21="","",IF($G21&lt;$C$175,"Descanso inferior al mínimo legal entre jornadas (art. 34.3 ET)",""))</f>
        <v/>
      </c>
      <c r="I21" s="45" t="n"/>
    </row>
    <row r="22">
      <c r="A22" s="58" t="n"/>
      <c r="B22" s="45" t="n"/>
      <c r="C22" s="45" t="n"/>
      <c r="D22" s="59" t="n"/>
      <c r="E22" s="59" t="n"/>
      <c r="F22" s="60">
        <f>IF(OR($D22="",$E22=""),"",MOD($E22-$D22,1))</f>
        <v/>
      </c>
      <c r="G22" s="60">
        <f>IF(OR($B22="",$B22&lt;&gt;$B21,$D22="",$E21=""),"",IF(OR($A22="",$A21=""),IF(MOD($D22-$E21,1)=0,1,MOD($D22-$E21,1)),($A22+$D22)-($A21+$E21)))</f>
        <v/>
      </c>
      <c r="H22">
        <f>IF($G22="","",IF($G22&lt;$C$175,"Descanso inferior al mínimo legal entre jornadas (art. 34.3 ET)",""))</f>
        <v/>
      </c>
      <c r="I22" s="45" t="n"/>
    </row>
    <row r="23">
      <c r="A23" s="58" t="n"/>
      <c r="B23" s="45" t="n"/>
      <c r="C23" s="45" t="n"/>
      <c r="D23" s="59" t="n"/>
      <c r="E23" s="59" t="n"/>
      <c r="F23" s="60">
        <f>IF(OR($D23="",$E23=""),"",MOD($E23-$D23,1))</f>
        <v/>
      </c>
      <c r="G23" s="60">
        <f>IF(OR($B23="",$B23&lt;&gt;$B22,$D23="",$E22=""),"",IF(OR($A23="",$A22=""),IF(MOD($D23-$E22,1)=0,1,MOD($D23-$E22,1)),($A23+$D23)-($A22+$E22)))</f>
        <v/>
      </c>
      <c r="H23">
        <f>IF($G23="","",IF($G23&lt;$C$175,"Descanso inferior al mínimo legal entre jornadas (art. 34.3 ET)",""))</f>
        <v/>
      </c>
      <c r="I23" s="45" t="n"/>
    </row>
    <row r="24">
      <c r="A24" s="58" t="n"/>
      <c r="B24" s="45" t="n"/>
      <c r="C24" s="45" t="n"/>
      <c r="D24" s="59" t="n"/>
      <c r="E24" s="59" t="n"/>
      <c r="F24" s="60">
        <f>IF(OR($D24="",$E24=""),"",MOD($E24-$D24,1))</f>
        <v/>
      </c>
      <c r="G24" s="60">
        <f>IF(OR($B24="",$B24&lt;&gt;$B23,$D24="",$E23=""),"",IF(OR($A24="",$A23=""),IF(MOD($D24-$E23,1)=0,1,MOD($D24-$E23,1)),($A24+$D24)-($A23+$E23)))</f>
        <v/>
      </c>
      <c r="H24">
        <f>IF($G24="","",IF($G24&lt;$C$175,"Descanso inferior al mínimo legal entre jornadas (art. 34.3 ET)",""))</f>
        <v/>
      </c>
      <c r="I24" s="45" t="n"/>
    </row>
    <row r="25">
      <c r="A25" s="58" t="n"/>
      <c r="B25" s="45" t="n"/>
      <c r="C25" s="45" t="n"/>
      <c r="D25" s="59" t="n"/>
      <c r="E25" s="59" t="n"/>
      <c r="F25" s="60">
        <f>IF(OR($D25="",$E25=""),"",MOD($E25-$D25,1))</f>
        <v/>
      </c>
      <c r="G25" s="60">
        <f>IF(OR($B25="",$B25&lt;&gt;$B24,$D25="",$E24=""),"",IF(OR($A25="",$A24=""),IF(MOD($D25-$E24,1)=0,1,MOD($D25-$E24,1)),($A25+$D25)-($A24+$E24)))</f>
        <v/>
      </c>
      <c r="H25">
        <f>IF($G25="","",IF($G25&lt;$C$175,"Descanso inferior al mínimo legal entre jornadas (art. 34.3 ET)",""))</f>
        <v/>
      </c>
      <c r="I25" s="45" t="n"/>
    </row>
    <row r="26">
      <c r="A26" s="58" t="n"/>
      <c r="B26" s="45" t="n"/>
      <c r="C26" s="45" t="n"/>
      <c r="D26" s="59" t="n"/>
      <c r="E26" s="59" t="n"/>
      <c r="F26" s="60">
        <f>IF(OR($D26="",$E26=""),"",MOD($E26-$D26,1))</f>
        <v/>
      </c>
      <c r="G26" s="60">
        <f>IF(OR($B26="",$B26&lt;&gt;$B25,$D26="",$E25=""),"",IF(OR($A26="",$A25=""),IF(MOD($D26-$E25,1)=0,1,MOD($D26-$E25,1)),($A26+$D26)-($A25+$E25)))</f>
        <v/>
      </c>
      <c r="H26">
        <f>IF($G26="","",IF($G26&lt;$C$175,"Descanso inferior al mínimo legal entre jornadas (art. 34.3 ET)",""))</f>
        <v/>
      </c>
      <c r="I26" s="45" t="n"/>
    </row>
    <row r="27">
      <c r="A27" s="58" t="n"/>
      <c r="B27" s="45" t="n"/>
      <c r="C27" s="45" t="n"/>
      <c r="D27" s="59" t="n"/>
      <c r="E27" s="59" t="n"/>
      <c r="F27" s="60">
        <f>IF(OR($D27="",$E27=""),"",MOD($E27-$D27,1))</f>
        <v/>
      </c>
      <c r="G27" s="60">
        <f>IF(OR($B27="",$B27&lt;&gt;$B26,$D27="",$E26=""),"",IF(OR($A27="",$A26=""),IF(MOD($D27-$E26,1)=0,1,MOD($D27-$E26,1)),($A27+$D27)-($A26+$E26)))</f>
        <v/>
      </c>
      <c r="H27">
        <f>IF($G27="","",IF($G27&lt;$C$175,"Descanso inferior al mínimo legal entre jornadas (art. 34.3 ET)",""))</f>
        <v/>
      </c>
      <c r="I27" s="45" t="n"/>
    </row>
    <row r="28">
      <c r="A28" s="58" t="n"/>
      <c r="B28" s="45" t="n"/>
      <c r="C28" s="45" t="n"/>
      <c r="D28" s="59" t="n"/>
      <c r="E28" s="59" t="n"/>
      <c r="F28" s="60">
        <f>IF(OR($D28="",$E28=""),"",MOD($E28-$D28,1))</f>
        <v/>
      </c>
      <c r="G28" s="60">
        <f>IF(OR($B28="",$B28&lt;&gt;$B27,$D28="",$E27=""),"",IF(OR($A28="",$A27=""),IF(MOD($D28-$E27,1)=0,1,MOD($D28-$E27,1)),($A28+$D28)-($A27+$E27)))</f>
        <v/>
      </c>
      <c r="H28">
        <f>IF($G28="","",IF($G28&lt;$C$175,"Descanso inferior al mínimo legal entre jornadas (art. 34.3 ET)",""))</f>
        <v/>
      </c>
      <c r="I28" s="45" t="n"/>
    </row>
    <row r="29">
      <c r="A29" s="58" t="n"/>
      <c r="B29" s="45" t="n"/>
      <c r="C29" s="45" t="n"/>
      <c r="D29" s="59" t="n"/>
      <c r="E29" s="59" t="n"/>
      <c r="F29" s="60">
        <f>IF(OR($D29="",$E29=""),"",MOD($E29-$D29,1))</f>
        <v/>
      </c>
      <c r="G29" s="60">
        <f>IF(OR($B29="",$B29&lt;&gt;$B28,$D29="",$E28=""),"",IF(OR($A29="",$A28=""),IF(MOD($D29-$E28,1)=0,1,MOD($D29-$E28,1)),($A29+$D29)-($A28+$E28)))</f>
        <v/>
      </c>
      <c r="H29">
        <f>IF($G29="","",IF($G29&lt;$C$175,"Descanso inferior al mínimo legal entre jornadas (art. 34.3 ET)",""))</f>
        <v/>
      </c>
      <c r="I29" s="45" t="n"/>
    </row>
    <row r="30">
      <c r="A30" s="58" t="n"/>
      <c r="B30" s="45" t="n"/>
      <c r="C30" s="45" t="n"/>
      <c r="D30" s="59" t="n"/>
      <c r="E30" s="59" t="n"/>
      <c r="F30" s="60">
        <f>IF(OR($D30="",$E30=""),"",MOD($E30-$D30,1))</f>
        <v/>
      </c>
      <c r="G30" s="60">
        <f>IF(OR($B30="",$B30&lt;&gt;$B29,$D30="",$E29=""),"",IF(OR($A30="",$A29=""),IF(MOD($D30-$E29,1)=0,1,MOD($D30-$E29,1)),($A30+$D30)-($A29+$E29)))</f>
        <v/>
      </c>
      <c r="H30">
        <f>IF($G30="","",IF($G30&lt;$C$175,"Descanso inferior al mínimo legal entre jornadas (art. 34.3 ET)",""))</f>
        <v/>
      </c>
      <c r="I30" s="45" t="n"/>
    </row>
    <row r="31">
      <c r="A31" s="58" t="n"/>
      <c r="B31" s="45" t="n"/>
      <c r="C31" s="45" t="n"/>
      <c r="D31" s="59" t="n"/>
      <c r="E31" s="59" t="n"/>
      <c r="F31" s="60">
        <f>IF(OR($D31="",$E31=""),"",MOD($E31-$D31,1))</f>
        <v/>
      </c>
      <c r="G31" s="60">
        <f>IF(OR($B31="",$B31&lt;&gt;$B30,$D31="",$E30=""),"",IF(OR($A31="",$A30=""),IF(MOD($D31-$E30,1)=0,1,MOD($D31-$E30,1)),($A31+$D31)-($A30+$E30)))</f>
        <v/>
      </c>
      <c r="H31">
        <f>IF($G31="","",IF($G31&lt;$C$175,"Descanso inferior al mínimo legal entre jornadas (art. 34.3 ET)",""))</f>
        <v/>
      </c>
      <c r="I31" s="45" t="n"/>
    </row>
    <row r="32">
      <c r="A32" s="58" t="n"/>
      <c r="B32" s="45" t="n"/>
      <c r="C32" s="45" t="n"/>
      <c r="D32" s="59" t="n"/>
      <c r="E32" s="59" t="n"/>
      <c r="F32" s="60">
        <f>IF(OR($D32="",$E32=""),"",MOD($E32-$D32,1))</f>
        <v/>
      </c>
      <c r="G32" s="60">
        <f>IF(OR($B32="",$B32&lt;&gt;$B31,$D32="",$E31=""),"",IF(OR($A32="",$A31=""),IF(MOD($D32-$E31,1)=0,1,MOD($D32-$E31,1)),($A32+$D32)-($A31+$E31)))</f>
        <v/>
      </c>
      <c r="H32">
        <f>IF($G32="","",IF($G32&lt;$C$175,"Descanso inferior al mínimo legal entre jornadas (art. 34.3 ET)",""))</f>
        <v/>
      </c>
      <c r="I32" s="45" t="n"/>
    </row>
    <row r="33">
      <c r="A33" s="58" t="n"/>
      <c r="B33" s="45" t="n"/>
      <c r="C33" s="45" t="n"/>
      <c r="D33" s="59" t="n"/>
      <c r="E33" s="59" t="n"/>
      <c r="F33" s="60">
        <f>IF(OR($D33="",$E33=""),"",MOD($E33-$D33,1))</f>
        <v/>
      </c>
      <c r="G33" s="60">
        <f>IF(OR($B33="",$B33&lt;&gt;$B32,$D33="",$E32=""),"",IF(OR($A33="",$A32=""),IF(MOD($D33-$E32,1)=0,1,MOD($D33-$E32,1)),($A33+$D33)-($A32+$E32)))</f>
        <v/>
      </c>
      <c r="H33">
        <f>IF($G33="","",IF($G33&lt;$C$175,"Descanso inferior al mínimo legal entre jornadas (art. 34.3 ET)",""))</f>
        <v/>
      </c>
      <c r="I33" s="45" t="n"/>
    </row>
    <row r="34">
      <c r="A34" s="58" t="n"/>
      <c r="B34" s="45" t="n"/>
      <c r="C34" s="45" t="n"/>
      <c r="D34" s="59" t="n"/>
      <c r="E34" s="59" t="n"/>
      <c r="F34" s="60">
        <f>IF(OR($D34="",$E34=""),"",MOD($E34-$D34,1))</f>
        <v/>
      </c>
      <c r="G34" s="60">
        <f>IF(OR($B34="",$B34&lt;&gt;$B33,$D34="",$E33=""),"",IF(OR($A34="",$A33=""),IF(MOD($D34-$E33,1)=0,1,MOD($D34-$E33,1)),($A34+$D34)-($A33+$E33)))</f>
        <v/>
      </c>
      <c r="H34">
        <f>IF($G34="","",IF($G34&lt;$C$175,"Descanso inferior al mínimo legal entre jornadas (art. 34.3 ET)",""))</f>
        <v/>
      </c>
      <c r="I34" s="45" t="n"/>
    </row>
    <row r="35">
      <c r="A35" s="58" t="n"/>
      <c r="B35" s="45" t="n"/>
      <c r="C35" s="45" t="n"/>
      <c r="D35" s="59" t="n"/>
      <c r="E35" s="59" t="n"/>
      <c r="F35" s="60">
        <f>IF(OR($D35="",$E35=""),"",MOD($E35-$D35,1))</f>
        <v/>
      </c>
      <c r="G35" s="60">
        <f>IF(OR($B35="",$B35&lt;&gt;$B34,$D35="",$E34=""),"",IF(OR($A35="",$A34=""),IF(MOD($D35-$E34,1)=0,1,MOD($D35-$E34,1)),($A35+$D35)-($A34+$E34)))</f>
        <v/>
      </c>
      <c r="H35">
        <f>IF($G35="","",IF($G35&lt;$C$175,"Descanso inferior al mínimo legal entre jornadas (art. 34.3 ET)",""))</f>
        <v/>
      </c>
      <c r="I35" s="45" t="n"/>
    </row>
    <row r="36">
      <c r="A36" s="58" t="n"/>
      <c r="B36" s="45" t="n"/>
      <c r="C36" s="45" t="n"/>
      <c r="D36" s="59" t="n"/>
      <c r="E36" s="59" t="n"/>
      <c r="F36" s="60">
        <f>IF(OR($D36="",$E36=""),"",MOD($E36-$D36,1))</f>
        <v/>
      </c>
      <c r="G36" s="60">
        <f>IF(OR($B36="",$B36&lt;&gt;$B35,$D36="",$E35=""),"",IF(OR($A36="",$A35=""),IF(MOD($D36-$E35,1)=0,1,MOD($D36-$E35,1)),($A36+$D36)-($A35+$E35)))</f>
        <v/>
      </c>
      <c r="H36">
        <f>IF($G36="","",IF($G36&lt;$C$175,"Descanso inferior al mínimo legal entre jornadas (art. 34.3 ET)",""))</f>
        <v/>
      </c>
      <c r="I36" s="45" t="n"/>
    </row>
    <row r="37">
      <c r="A37" s="58" t="n"/>
      <c r="B37" s="45" t="n"/>
      <c r="C37" s="45" t="n"/>
      <c r="D37" s="59" t="n"/>
      <c r="E37" s="59" t="n"/>
      <c r="F37" s="60">
        <f>IF(OR($D37="",$E37=""),"",MOD($E37-$D37,1))</f>
        <v/>
      </c>
      <c r="G37" s="60">
        <f>IF(OR($B37="",$B37&lt;&gt;$B36,$D37="",$E36=""),"",IF(OR($A37="",$A36=""),IF(MOD($D37-$E36,1)=0,1,MOD($D37-$E36,1)),($A37+$D37)-($A36+$E36)))</f>
        <v/>
      </c>
      <c r="H37">
        <f>IF($G37="","",IF($G37&lt;$C$175,"Descanso inferior al mínimo legal entre jornadas (art. 34.3 ET)",""))</f>
        <v/>
      </c>
      <c r="I37" s="45" t="n"/>
    </row>
    <row r="38">
      <c r="A38" s="58" t="n"/>
      <c r="B38" s="45" t="n"/>
      <c r="C38" s="45" t="n"/>
      <c r="D38" s="59" t="n"/>
      <c r="E38" s="59" t="n"/>
      <c r="F38" s="60">
        <f>IF(OR($D38="",$E38=""),"",MOD($E38-$D38,1))</f>
        <v/>
      </c>
      <c r="G38" s="60">
        <f>IF(OR($B38="",$B38&lt;&gt;$B37,$D38="",$E37=""),"",IF(OR($A38="",$A37=""),IF(MOD($D38-$E37,1)=0,1,MOD($D38-$E37,1)),($A38+$D38)-($A37+$E37)))</f>
        <v/>
      </c>
      <c r="H38">
        <f>IF($G38="","",IF($G38&lt;$C$175,"Descanso inferior al mínimo legal entre jornadas (art. 34.3 ET)",""))</f>
        <v/>
      </c>
      <c r="I38" s="45" t="n"/>
    </row>
    <row r="39">
      <c r="A39" s="58" t="n"/>
      <c r="B39" s="45" t="n"/>
      <c r="C39" s="45" t="n"/>
      <c r="D39" s="59" t="n"/>
      <c r="E39" s="59" t="n"/>
      <c r="F39" s="60">
        <f>IF(OR($D39="",$E39=""),"",MOD($E39-$D39,1))</f>
        <v/>
      </c>
      <c r="G39" s="60">
        <f>IF(OR($B39="",$B39&lt;&gt;$B38,$D39="",$E38=""),"",IF(OR($A39="",$A38=""),IF(MOD($D39-$E38,1)=0,1,MOD($D39-$E38,1)),($A39+$D39)-($A38+$E38)))</f>
        <v/>
      </c>
      <c r="H39">
        <f>IF($G39="","",IF($G39&lt;$C$175,"Descanso inferior al mínimo legal entre jornadas (art. 34.3 ET)",""))</f>
        <v/>
      </c>
      <c r="I39" s="45" t="n"/>
    </row>
    <row r="40">
      <c r="A40" s="58" t="n"/>
      <c r="B40" s="45" t="n"/>
      <c r="C40" s="45" t="n"/>
      <c r="D40" s="59" t="n"/>
      <c r="E40" s="59" t="n"/>
      <c r="F40" s="60">
        <f>IF(OR($D40="",$E40=""),"",MOD($E40-$D40,1))</f>
        <v/>
      </c>
      <c r="G40" s="60">
        <f>IF(OR($B40="",$B40&lt;&gt;$B39,$D40="",$E39=""),"",IF(OR($A40="",$A39=""),IF(MOD($D40-$E39,1)=0,1,MOD($D40-$E39,1)),($A40+$D40)-($A39+$E39)))</f>
        <v/>
      </c>
      <c r="H40">
        <f>IF($G40="","",IF($G40&lt;$C$175,"Descanso inferior al mínimo legal entre jornadas (art. 34.3 ET)",""))</f>
        <v/>
      </c>
      <c r="I40" s="45" t="n"/>
    </row>
    <row r="41">
      <c r="A41" s="58" t="n"/>
      <c r="B41" s="45" t="n"/>
      <c r="C41" s="45" t="n"/>
      <c r="D41" s="59" t="n"/>
      <c r="E41" s="59" t="n"/>
      <c r="F41" s="60">
        <f>IF(OR($D41="",$E41=""),"",MOD($E41-$D41,1))</f>
        <v/>
      </c>
      <c r="G41" s="60">
        <f>IF(OR($B41="",$B41&lt;&gt;$B40,$D41="",$E40=""),"",IF(OR($A41="",$A40=""),IF(MOD($D41-$E40,1)=0,1,MOD($D41-$E40,1)),($A41+$D41)-($A40+$E40)))</f>
        <v/>
      </c>
      <c r="H41">
        <f>IF($G41="","",IF($G41&lt;$C$175,"Descanso inferior al mínimo legal entre jornadas (art. 34.3 ET)",""))</f>
        <v/>
      </c>
      <c r="I41" s="45" t="n"/>
    </row>
    <row r="42">
      <c r="A42" s="58" t="n"/>
      <c r="B42" s="45" t="n"/>
      <c r="C42" s="45" t="n"/>
      <c r="D42" s="59" t="n"/>
      <c r="E42" s="59" t="n"/>
      <c r="F42" s="60">
        <f>IF(OR($D42="",$E42=""),"",MOD($E42-$D42,1))</f>
        <v/>
      </c>
      <c r="G42" s="60">
        <f>IF(OR($B42="",$B42&lt;&gt;$B41,$D42="",$E41=""),"",IF(OR($A42="",$A41=""),IF(MOD($D42-$E41,1)=0,1,MOD($D42-$E41,1)),($A42+$D42)-($A41+$E41)))</f>
        <v/>
      </c>
      <c r="H42">
        <f>IF($G42="","",IF($G42&lt;$C$175,"Descanso inferior al mínimo legal entre jornadas (art. 34.3 ET)",""))</f>
        <v/>
      </c>
      <c r="I42" s="45" t="n"/>
    </row>
    <row r="43">
      <c r="A43" s="58" t="n"/>
      <c r="B43" s="45" t="n"/>
      <c r="C43" s="45" t="n"/>
      <c r="D43" s="59" t="n"/>
      <c r="E43" s="59" t="n"/>
      <c r="F43" s="60">
        <f>IF(OR($D43="",$E43=""),"",MOD($E43-$D43,1))</f>
        <v/>
      </c>
      <c r="G43" s="60">
        <f>IF(OR($B43="",$B43&lt;&gt;$B42,$D43="",$E42=""),"",IF(OR($A43="",$A42=""),IF(MOD($D43-$E42,1)=0,1,MOD($D43-$E42,1)),($A43+$D43)-($A42+$E42)))</f>
        <v/>
      </c>
      <c r="H43">
        <f>IF($G43="","",IF($G43&lt;$C$175,"Descanso inferior al mínimo legal entre jornadas (art. 34.3 ET)",""))</f>
        <v/>
      </c>
      <c r="I43" s="45" t="n"/>
    </row>
    <row r="44">
      <c r="A44" s="58" t="n"/>
      <c r="B44" s="45" t="n"/>
      <c r="C44" s="45" t="n"/>
      <c r="D44" s="59" t="n"/>
      <c r="E44" s="59" t="n"/>
      <c r="F44" s="60">
        <f>IF(OR($D44="",$E44=""),"",MOD($E44-$D44,1))</f>
        <v/>
      </c>
      <c r="G44" s="60">
        <f>IF(OR($B44="",$B44&lt;&gt;$B43,$D44="",$E43=""),"",IF(OR($A44="",$A43=""),IF(MOD($D44-$E43,1)=0,1,MOD($D44-$E43,1)),($A44+$D44)-($A43+$E43)))</f>
        <v/>
      </c>
      <c r="H44">
        <f>IF($G44="","",IF($G44&lt;$C$175,"Descanso inferior al mínimo legal entre jornadas (art. 34.3 ET)",""))</f>
        <v/>
      </c>
      <c r="I44" s="45" t="n"/>
    </row>
    <row r="45">
      <c r="A45" s="58" t="n"/>
      <c r="B45" s="45" t="n"/>
      <c r="C45" s="45" t="n"/>
      <c r="D45" s="59" t="n"/>
      <c r="E45" s="59" t="n"/>
      <c r="F45" s="60">
        <f>IF(OR($D45="",$E45=""),"",MOD($E45-$D45,1))</f>
        <v/>
      </c>
      <c r="G45" s="60">
        <f>IF(OR($B45="",$B45&lt;&gt;$B44,$D45="",$E44=""),"",IF(OR($A45="",$A44=""),IF(MOD($D45-$E44,1)=0,1,MOD($D45-$E44,1)),($A45+$D45)-($A44+$E44)))</f>
        <v/>
      </c>
      <c r="H45">
        <f>IF($G45="","",IF($G45&lt;$C$175,"Descanso inferior al mínimo legal entre jornadas (art. 34.3 ET)",""))</f>
        <v/>
      </c>
      <c r="I45" s="45" t="n"/>
    </row>
    <row r="46">
      <c r="A46" s="58" t="n"/>
      <c r="B46" s="45" t="n"/>
      <c r="C46" s="45" t="n"/>
      <c r="D46" s="59" t="n"/>
      <c r="E46" s="59" t="n"/>
      <c r="F46" s="60">
        <f>IF(OR($D46="",$E46=""),"",MOD($E46-$D46,1))</f>
        <v/>
      </c>
      <c r="G46" s="60">
        <f>IF(OR($B46="",$B46&lt;&gt;$B45,$D46="",$E45=""),"",IF(OR($A46="",$A45=""),IF(MOD($D46-$E45,1)=0,1,MOD($D46-$E45,1)),($A46+$D46)-($A45+$E45)))</f>
        <v/>
      </c>
      <c r="H46">
        <f>IF($G46="","",IF($G46&lt;$C$175,"Descanso inferior al mínimo legal entre jornadas (art. 34.3 ET)",""))</f>
        <v/>
      </c>
      <c r="I46" s="45" t="n"/>
    </row>
    <row r="47">
      <c r="A47" s="58" t="n"/>
      <c r="B47" s="45" t="n"/>
      <c r="C47" s="45" t="n"/>
      <c r="D47" s="59" t="n"/>
      <c r="E47" s="59" t="n"/>
      <c r="F47" s="60">
        <f>IF(OR($D47="",$E47=""),"",MOD($E47-$D47,1))</f>
        <v/>
      </c>
      <c r="G47" s="60">
        <f>IF(OR($B47="",$B47&lt;&gt;$B46,$D47="",$E46=""),"",IF(OR($A47="",$A46=""),IF(MOD($D47-$E46,1)=0,1,MOD($D47-$E46,1)),($A47+$D47)-($A46+$E46)))</f>
        <v/>
      </c>
      <c r="H47">
        <f>IF($G47="","",IF($G47&lt;$C$175,"Descanso inferior al mínimo legal entre jornadas (art. 34.3 ET)",""))</f>
        <v/>
      </c>
      <c r="I47" s="45" t="n"/>
    </row>
    <row r="48">
      <c r="A48" s="58" t="n"/>
      <c r="B48" s="45" t="n"/>
      <c r="C48" s="45" t="n"/>
      <c r="D48" s="59" t="n"/>
      <c r="E48" s="59" t="n"/>
      <c r="F48" s="60">
        <f>IF(OR($D48="",$E48=""),"",MOD($E48-$D48,1))</f>
        <v/>
      </c>
      <c r="G48" s="60">
        <f>IF(OR($B48="",$B48&lt;&gt;$B47,$D48="",$E47=""),"",IF(OR($A48="",$A47=""),IF(MOD($D48-$E47,1)=0,1,MOD($D48-$E47,1)),($A48+$D48)-($A47+$E47)))</f>
        <v/>
      </c>
      <c r="H48">
        <f>IF($G48="","",IF($G48&lt;$C$175,"Descanso inferior al mínimo legal entre jornadas (art. 34.3 ET)",""))</f>
        <v/>
      </c>
      <c r="I48" s="45" t="n"/>
    </row>
    <row r="49">
      <c r="A49" s="58" t="n"/>
      <c r="B49" s="45" t="n"/>
      <c r="C49" s="45" t="n"/>
      <c r="D49" s="59" t="n"/>
      <c r="E49" s="59" t="n"/>
      <c r="F49" s="60">
        <f>IF(OR($D49="",$E49=""),"",MOD($E49-$D49,1))</f>
        <v/>
      </c>
      <c r="G49" s="60">
        <f>IF(OR($B49="",$B49&lt;&gt;$B48,$D49="",$E48=""),"",IF(OR($A49="",$A48=""),IF(MOD($D49-$E48,1)=0,1,MOD($D49-$E48,1)),($A49+$D49)-($A48+$E48)))</f>
        <v/>
      </c>
      <c r="H49">
        <f>IF($G49="","",IF($G49&lt;$C$175,"Descanso inferior al mínimo legal entre jornadas (art. 34.3 ET)",""))</f>
        <v/>
      </c>
      <c r="I49" s="45" t="n"/>
    </row>
    <row r="50">
      <c r="A50" s="58" t="n"/>
      <c r="B50" s="45" t="n"/>
      <c r="C50" s="45" t="n"/>
      <c r="D50" s="59" t="n"/>
      <c r="E50" s="59" t="n"/>
      <c r="F50" s="60">
        <f>IF(OR($D50="",$E50=""),"",MOD($E50-$D50,1))</f>
        <v/>
      </c>
      <c r="G50" s="60">
        <f>IF(OR($B50="",$B50&lt;&gt;$B49,$D50="",$E49=""),"",IF(OR($A50="",$A49=""),IF(MOD($D50-$E49,1)=0,1,MOD($D50-$E49,1)),($A50+$D50)-($A49+$E49)))</f>
        <v/>
      </c>
      <c r="H50">
        <f>IF($G50="","",IF($G50&lt;$C$175,"Descanso inferior al mínimo legal entre jornadas (art. 34.3 ET)",""))</f>
        <v/>
      </c>
      <c r="I50" s="45" t="n"/>
    </row>
    <row r="51">
      <c r="A51" s="58" t="n"/>
      <c r="B51" s="45" t="n"/>
      <c r="C51" s="45" t="n"/>
      <c r="D51" s="59" t="n"/>
      <c r="E51" s="59" t="n"/>
      <c r="F51" s="60">
        <f>IF(OR($D51="",$E51=""),"",MOD($E51-$D51,1))</f>
        <v/>
      </c>
      <c r="G51" s="60">
        <f>IF(OR($B51="",$B51&lt;&gt;$B50,$D51="",$E50=""),"",IF(OR($A51="",$A50=""),IF(MOD($D51-$E50,1)=0,1,MOD($D51-$E50,1)),($A51+$D51)-($A50+$E50)))</f>
        <v/>
      </c>
      <c r="H51">
        <f>IF($G51="","",IF($G51&lt;$C$175,"Descanso inferior al mínimo legal entre jornadas (art. 34.3 ET)",""))</f>
        <v/>
      </c>
      <c r="I51" s="45" t="n"/>
    </row>
    <row r="52">
      <c r="A52" s="58" t="n"/>
      <c r="B52" s="45" t="n"/>
      <c r="C52" s="45" t="n"/>
      <c r="D52" s="59" t="n"/>
      <c r="E52" s="59" t="n"/>
      <c r="F52" s="60">
        <f>IF(OR($D52="",$E52=""),"",MOD($E52-$D52,1))</f>
        <v/>
      </c>
      <c r="G52" s="60">
        <f>IF(OR($B52="",$B52&lt;&gt;$B51,$D52="",$E51=""),"",IF(OR($A52="",$A51=""),IF(MOD($D52-$E51,1)=0,1,MOD($D52-$E51,1)),($A52+$D52)-($A51+$E51)))</f>
        <v/>
      </c>
      <c r="H52">
        <f>IF($G52="","",IF($G52&lt;$C$175,"Descanso inferior al mínimo legal entre jornadas (art. 34.3 ET)",""))</f>
        <v/>
      </c>
      <c r="I52" s="45" t="n"/>
    </row>
    <row r="53">
      <c r="A53" s="58" t="n"/>
      <c r="B53" s="45" t="n"/>
      <c r="C53" s="45" t="n"/>
      <c r="D53" s="59" t="n"/>
      <c r="E53" s="59" t="n"/>
      <c r="F53" s="60">
        <f>IF(OR($D53="",$E53=""),"",MOD($E53-$D53,1))</f>
        <v/>
      </c>
      <c r="G53" s="60">
        <f>IF(OR($B53="",$B53&lt;&gt;$B52,$D53="",$E52=""),"",IF(OR($A53="",$A52=""),IF(MOD($D53-$E52,1)=0,1,MOD($D53-$E52,1)),($A53+$D53)-($A52+$E52)))</f>
        <v/>
      </c>
      <c r="H53">
        <f>IF($G53="","",IF($G53&lt;$C$175,"Descanso inferior al mínimo legal entre jornadas (art. 34.3 ET)",""))</f>
        <v/>
      </c>
      <c r="I53" s="45" t="n"/>
    </row>
    <row r="54">
      <c r="A54" s="58" t="n"/>
      <c r="B54" s="45" t="n"/>
      <c r="C54" s="45" t="n"/>
      <c r="D54" s="59" t="n"/>
      <c r="E54" s="59" t="n"/>
      <c r="F54" s="60">
        <f>IF(OR($D54="",$E54=""),"",MOD($E54-$D54,1))</f>
        <v/>
      </c>
      <c r="G54" s="60">
        <f>IF(OR($B54="",$B54&lt;&gt;$B53,$D54="",$E53=""),"",IF(OR($A54="",$A53=""),IF(MOD($D54-$E53,1)=0,1,MOD($D54-$E53,1)),($A54+$D54)-($A53+$E53)))</f>
        <v/>
      </c>
      <c r="H54">
        <f>IF($G54="","",IF($G54&lt;$C$175,"Descanso inferior al mínimo legal entre jornadas (art. 34.3 ET)",""))</f>
        <v/>
      </c>
      <c r="I54" s="45" t="n"/>
    </row>
    <row r="55">
      <c r="A55" s="58" t="n"/>
      <c r="B55" s="45" t="n"/>
      <c r="C55" s="45" t="n"/>
      <c r="D55" s="59" t="n"/>
      <c r="E55" s="59" t="n"/>
      <c r="F55" s="60">
        <f>IF(OR($D55="",$E55=""),"",MOD($E55-$D55,1))</f>
        <v/>
      </c>
      <c r="G55" s="60">
        <f>IF(OR($B55="",$B55&lt;&gt;$B54,$D55="",$E54=""),"",IF(OR($A55="",$A54=""),IF(MOD($D55-$E54,1)=0,1,MOD($D55-$E54,1)),($A55+$D55)-($A54+$E54)))</f>
        <v/>
      </c>
      <c r="H55">
        <f>IF($G55="","",IF($G55&lt;$C$175,"Descanso inferior al mínimo legal entre jornadas (art. 34.3 ET)",""))</f>
        <v/>
      </c>
      <c r="I55" s="45" t="n"/>
    </row>
    <row r="56">
      <c r="A56" s="58" t="n"/>
      <c r="B56" s="45" t="n"/>
      <c r="C56" s="45" t="n"/>
      <c r="D56" s="59" t="n"/>
      <c r="E56" s="59" t="n"/>
      <c r="F56" s="60">
        <f>IF(OR($D56="",$E56=""),"",MOD($E56-$D56,1))</f>
        <v/>
      </c>
      <c r="G56" s="60">
        <f>IF(OR($B56="",$B56&lt;&gt;$B55,$D56="",$E55=""),"",IF(OR($A56="",$A55=""),IF(MOD($D56-$E55,1)=0,1,MOD($D56-$E55,1)),($A56+$D56)-($A55+$E55)))</f>
        <v/>
      </c>
      <c r="H56">
        <f>IF($G56="","",IF($G56&lt;$C$175,"Descanso inferior al mínimo legal entre jornadas (art. 34.3 ET)",""))</f>
        <v/>
      </c>
      <c r="I56" s="45" t="n"/>
    </row>
    <row r="57">
      <c r="A57" s="58" t="n"/>
      <c r="B57" s="45" t="n"/>
      <c r="C57" s="45" t="n"/>
      <c r="D57" s="59" t="n"/>
      <c r="E57" s="59" t="n"/>
      <c r="F57" s="60">
        <f>IF(OR($D57="",$E57=""),"",MOD($E57-$D57,1))</f>
        <v/>
      </c>
      <c r="G57" s="60">
        <f>IF(OR($B57="",$B57&lt;&gt;$B56,$D57="",$E56=""),"",IF(OR($A57="",$A56=""),IF(MOD($D57-$E56,1)=0,1,MOD($D57-$E56,1)),($A57+$D57)-($A56+$E56)))</f>
        <v/>
      </c>
      <c r="H57">
        <f>IF($G57="","",IF($G57&lt;$C$175,"Descanso inferior al mínimo legal entre jornadas (art. 34.3 ET)",""))</f>
        <v/>
      </c>
      <c r="I57" s="45" t="n"/>
    </row>
    <row r="58">
      <c r="A58" s="58" t="n"/>
      <c r="B58" s="45" t="n"/>
      <c r="C58" s="45" t="n"/>
      <c r="D58" s="59" t="n"/>
      <c r="E58" s="59" t="n"/>
      <c r="F58" s="60">
        <f>IF(OR($D58="",$E58=""),"",MOD($E58-$D58,1))</f>
        <v/>
      </c>
      <c r="G58" s="60">
        <f>IF(OR($B58="",$B58&lt;&gt;$B57,$D58="",$E57=""),"",IF(OR($A58="",$A57=""),IF(MOD($D58-$E57,1)=0,1,MOD($D58-$E57,1)),($A58+$D58)-($A57+$E57)))</f>
        <v/>
      </c>
      <c r="H58">
        <f>IF($G58="","",IF($G58&lt;$C$175,"Descanso inferior al mínimo legal entre jornadas (art. 34.3 ET)",""))</f>
        <v/>
      </c>
      <c r="I58" s="45" t="n"/>
    </row>
    <row r="59">
      <c r="A59" s="58" t="n"/>
      <c r="B59" s="45" t="n"/>
      <c r="C59" s="45" t="n"/>
      <c r="D59" s="59" t="n"/>
      <c r="E59" s="59" t="n"/>
      <c r="F59" s="60">
        <f>IF(OR($D59="",$E59=""),"",MOD($E59-$D59,1))</f>
        <v/>
      </c>
      <c r="G59" s="60">
        <f>IF(OR($B59="",$B59&lt;&gt;$B58,$D59="",$E58=""),"",IF(OR($A59="",$A58=""),IF(MOD($D59-$E58,1)=0,1,MOD($D59-$E58,1)),($A59+$D59)-($A58+$E58)))</f>
        <v/>
      </c>
      <c r="H59">
        <f>IF($G59="","",IF($G59&lt;$C$175,"Descanso inferior al mínimo legal entre jornadas (art. 34.3 ET)",""))</f>
        <v/>
      </c>
      <c r="I59" s="45" t="n"/>
    </row>
    <row r="60">
      <c r="A60" s="58" t="n"/>
      <c r="B60" s="45" t="n"/>
      <c r="C60" s="45" t="n"/>
      <c r="D60" s="59" t="n"/>
      <c r="E60" s="59" t="n"/>
      <c r="F60" s="60">
        <f>IF(OR($D60="",$E60=""),"",MOD($E60-$D60,1))</f>
        <v/>
      </c>
      <c r="G60" s="60">
        <f>IF(OR($B60="",$B60&lt;&gt;$B59,$D60="",$E59=""),"",IF(OR($A60="",$A59=""),IF(MOD($D60-$E59,1)=0,1,MOD($D60-$E59,1)),($A60+$D60)-($A59+$E59)))</f>
        <v/>
      </c>
      <c r="H60">
        <f>IF($G60="","",IF($G60&lt;$C$175,"Descanso inferior al mínimo legal entre jornadas (art. 34.3 ET)",""))</f>
        <v/>
      </c>
      <c r="I60" s="45" t="n"/>
    </row>
    <row r="61">
      <c r="A61" s="58" t="n"/>
      <c r="B61" s="45" t="n"/>
      <c r="C61" s="45" t="n"/>
      <c r="D61" s="59" t="n"/>
      <c r="E61" s="59" t="n"/>
      <c r="F61" s="60">
        <f>IF(OR($D61="",$E61=""),"",MOD($E61-$D61,1))</f>
        <v/>
      </c>
      <c r="G61" s="60">
        <f>IF(OR($B61="",$B61&lt;&gt;$B60,$D61="",$E60=""),"",IF(OR($A61="",$A60=""),IF(MOD($D61-$E60,1)=0,1,MOD($D61-$E60,1)),($A61+$D61)-($A60+$E60)))</f>
        <v/>
      </c>
      <c r="H61">
        <f>IF($G61="","",IF($G61&lt;$C$175,"Descanso inferior al mínimo legal entre jornadas (art. 34.3 ET)",""))</f>
        <v/>
      </c>
      <c r="I61" s="45" t="n"/>
    </row>
    <row r="62">
      <c r="A62" s="58" t="n"/>
      <c r="B62" s="45" t="n"/>
      <c r="C62" s="45" t="n"/>
      <c r="D62" s="59" t="n"/>
      <c r="E62" s="59" t="n"/>
      <c r="F62" s="60">
        <f>IF(OR($D62="",$E62=""),"",MOD($E62-$D62,1))</f>
        <v/>
      </c>
      <c r="G62" s="60">
        <f>IF(OR($B62="",$B62&lt;&gt;$B61,$D62="",$E61=""),"",IF(OR($A62="",$A61=""),IF(MOD($D62-$E61,1)=0,1,MOD($D62-$E61,1)),($A62+$D62)-($A61+$E61)))</f>
        <v/>
      </c>
      <c r="H62">
        <f>IF($G62="","",IF($G62&lt;$C$175,"Descanso inferior al mínimo legal entre jornadas (art. 34.3 ET)",""))</f>
        <v/>
      </c>
      <c r="I62" s="45" t="n"/>
    </row>
    <row r="63">
      <c r="A63" s="58" t="n"/>
      <c r="B63" s="45" t="n"/>
      <c r="C63" s="45" t="n"/>
      <c r="D63" s="59" t="n"/>
      <c r="E63" s="59" t="n"/>
      <c r="F63" s="60">
        <f>IF(OR($D63="",$E63=""),"",MOD($E63-$D63,1))</f>
        <v/>
      </c>
      <c r="G63" s="60">
        <f>IF(OR($B63="",$B63&lt;&gt;$B62,$D63="",$E62=""),"",IF(OR($A63="",$A62=""),IF(MOD($D63-$E62,1)=0,1,MOD($D63-$E62,1)),($A63+$D63)-($A62+$E62)))</f>
        <v/>
      </c>
      <c r="H63">
        <f>IF($G63="","",IF($G63&lt;$C$175,"Descanso inferior al mínimo legal entre jornadas (art. 34.3 ET)",""))</f>
        <v/>
      </c>
      <c r="I63" s="45" t="n"/>
    </row>
    <row r="64">
      <c r="A64" s="58" t="n"/>
      <c r="B64" s="45" t="n"/>
      <c r="C64" s="45" t="n"/>
      <c r="D64" s="59" t="n"/>
      <c r="E64" s="59" t="n"/>
      <c r="F64" s="60">
        <f>IF(OR($D64="",$E64=""),"",MOD($E64-$D64,1))</f>
        <v/>
      </c>
      <c r="G64" s="60">
        <f>IF(OR($B64="",$B64&lt;&gt;$B63,$D64="",$E63=""),"",IF(OR($A64="",$A63=""),IF(MOD($D64-$E63,1)=0,1,MOD($D64-$E63,1)),($A64+$D64)-($A63+$E63)))</f>
        <v/>
      </c>
      <c r="H64">
        <f>IF($G64="","",IF($G64&lt;$C$175,"Descanso inferior al mínimo legal entre jornadas (art. 34.3 ET)",""))</f>
        <v/>
      </c>
      <c r="I64" s="45" t="n"/>
    </row>
    <row r="65">
      <c r="A65" s="58" t="n"/>
      <c r="B65" s="45" t="n"/>
      <c r="C65" s="45" t="n"/>
      <c r="D65" s="59" t="n"/>
      <c r="E65" s="59" t="n"/>
      <c r="F65" s="60">
        <f>IF(OR($D65="",$E65=""),"",MOD($E65-$D65,1))</f>
        <v/>
      </c>
      <c r="G65" s="60">
        <f>IF(OR($B65="",$B65&lt;&gt;$B64,$D65="",$E64=""),"",IF(OR($A65="",$A64=""),IF(MOD($D65-$E64,1)=0,1,MOD($D65-$E64,1)),($A65+$D65)-($A64+$E64)))</f>
        <v/>
      </c>
      <c r="H65">
        <f>IF($G65="","",IF($G65&lt;$C$175,"Descanso inferior al mínimo legal entre jornadas (art. 34.3 ET)",""))</f>
        <v/>
      </c>
      <c r="I65" s="45" t="n"/>
    </row>
    <row r="66">
      <c r="A66" s="58" t="n"/>
      <c r="B66" s="45" t="n"/>
      <c r="C66" s="45" t="n"/>
      <c r="D66" s="59" t="n"/>
      <c r="E66" s="59" t="n"/>
      <c r="F66" s="60">
        <f>IF(OR($D66="",$E66=""),"",MOD($E66-$D66,1))</f>
        <v/>
      </c>
      <c r="G66" s="60">
        <f>IF(OR($B66="",$B66&lt;&gt;$B65,$D66="",$E65=""),"",IF(OR($A66="",$A65=""),IF(MOD($D66-$E65,1)=0,1,MOD($D66-$E65,1)),($A66+$D66)-($A65+$E65)))</f>
        <v/>
      </c>
      <c r="H66">
        <f>IF($G66="","",IF($G66&lt;$C$175,"Descanso inferior al mínimo legal entre jornadas (art. 34.3 ET)",""))</f>
        <v/>
      </c>
      <c r="I66" s="45" t="n"/>
    </row>
    <row r="67">
      <c r="A67" s="58" t="n"/>
      <c r="B67" s="45" t="n"/>
      <c r="C67" s="45" t="n"/>
      <c r="D67" s="59" t="n"/>
      <c r="E67" s="59" t="n"/>
      <c r="F67" s="60">
        <f>IF(OR($D67="",$E67=""),"",MOD($E67-$D67,1))</f>
        <v/>
      </c>
      <c r="G67" s="60">
        <f>IF(OR($B67="",$B67&lt;&gt;$B66,$D67="",$E66=""),"",IF(OR($A67="",$A66=""),IF(MOD($D67-$E66,1)=0,1,MOD($D67-$E66,1)),($A67+$D67)-($A66+$E66)))</f>
        <v/>
      </c>
      <c r="H67">
        <f>IF($G67="","",IF($G67&lt;$C$175,"Descanso inferior al mínimo legal entre jornadas (art. 34.3 ET)",""))</f>
        <v/>
      </c>
      <c r="I67" s="45" t="n"/>
    </row>
    <row r="68">
      <c r="A68" s="58" t="n"/>
      <c r="B68" s="45" t="n"/>
      <c r="C68" s="45" t="n"/>
      <c r="D68" s="59" t="n"/>
      <c r="E68" s="59" t="n"/>
      <c r="F68" s="60">
        <f>IF(OR($D68="",$E68=""),"",MOD($E68-$D68,1))</f>
        <v/>
      </c>
      <c r="G68" s="60">
        <f>IF(OR($B68="",$B68&lt;&gt;$B67,$D68="",$E67=""),"",IF(OR($A68="",$A67=""),IF(MOD($D68-$E67,1)=0,1,MOD($D68-$E67,1)),($A68+$D68)-($A67+$E67)))</f>
        <v/>
      </c>
      <c r="H68">
        <f>IF($G68="","",IF($G68&lt;$C$175,"Descanso inferior al mínimo legal entre jornadas (art. 34.3 ET)",""))</f>
        <v/>
      </c>
      <c r="I68" s="45" t="n"/>
    </row>
    <row r="69">
      <c r="A69" s="58" t="n"/>
      <c r="B69" s="45" t="n"/>
      <c r="C69" s="45" t="n"/>
      <c r="D69" s="59" t="n"/>
      <c r="E69" s="59" t="n"/>
      <c r="F69" s="60">
        <f>IF(OR($D69="",$E69=""),"",MOD($E69-$D69,1))</f>
        <v/>
      </c>
      <c r="G69" s="60">
        <f>IF(OR($B69="",$B69&lt;&gt;$B68,$D69="",$E68=""),"",IF(OR($A69="",$A68=""),IF(MOD($D69-$E68,1)=0,1,MOD($D69-$E68,1)),($A69+$D69)-($A68+$E68)))</f>
        <v/>
      </c>
      <c r="H69">
        <f>IF($G69="","",IF($G69&lt;$C$175,"Descanso inferior al mínimo legal entre jornadas (art. 34.3 ET)",""))</f>
        <v/>
      </c>
      <c r="I69" s="45" t="n"/>
    </row>
    <row r="70">
      <c r="A70" s="58" t="n"/>
      <c r="B70" s="45" t="n"/>
      <c r="C70" s="45" t="n"/>
      <c r="D70" s="59" t="n"/>
      <c r="E70" s="59" t="n"/>
      <c r="F70" s="60">
        <f>IF(OR($D70="",$E70=""),"",MOD($E70-$D70,1))</f>
        <v/>
      </c>
      <c r="G70" s="60">
        <f>IF(OR($B70="",$B70&lt;&gt;$B69,$D70="",$E69=""),"",IF(OR($A70="",$A69=""),IF(MOD($D70-$E69,1)=0,1,MOD($D70-$E69,1)),($A70+$D70)-($A69+$E69)))</f>
        <v/>
      </c>
      <c r="H70">
        <f>IF($G70="","",IF($G70&lt;$C$175,"Descanso inferior al mínimo legal entre jornadas (art. 34.3 ET)",""))</f>
        <v/>
      </c>
      <c r="I70" s="45" t="n"/>
    </row>
    <row r="71">
      <c r="A71" s="58" t="n"/>
      <c r="B71" s="45" t="n"/>
      <c r="C71" s="45" t="n"/>
      <c r="D71" s="59" t="n"/>
      <c r="E71" s="59" t="n"/>
      <c r="F71" s="60">
        <f>IF(OR($D71="",$E71=""),"",MOD($E71-$D71,1))</f>
        <v/>
      </c>
      <c r="G71" s="60">
        <f>IF(OR($B71="",$B71&lt;&gt;$B70,$D71="",$E70=""),"",IF(OR($A71="",$A70=""),IF(MOD($D71-$E70,1)=0,1,MOD($D71-$E70,1)),($A71+$D71)-($A70+$E70)))</f>
        <v/>
      </c>
      <c r="H71">
        <f>IF($G71="","",IF($G71&lt;$C$175,"Descanso inferior al mínimo legal entre jornadas (art. 34.3 ET)",""))</f>
        <v/>
      </c>
      <c r="I71" s="45" t="n"/>
    </row>
    <row r="72">
      <c r="A72" s="58" t="n"/>
      <c r="B72" s="45" t="n"/>
      <c r="C72" s="45" t="n"/>
      <c r="D72" s="59" t="n"/>
      <c r="E72" s="59" t="n"/>
      <c r="F72" s="60">
        <f>IF(OR($D72="",$E72=""),"",MOD($E72-$D72,1))</f>
        <v/>
      </c>
      <c r="G72" s="60">
        <f>IF(OR($B72="",$B72&lt;&gt;$B71,$D72="",$E71=""),"",IF(OR($A72="",$A71=""),IF(MOD($D72-$E71,1)=0,1,MOD($D72-$E71,1)),($A72+$D72)-($A71+$E71)))</f>
        <v/>
      </c>
      <c r="H72">
        <f>IF($G72="","",IF($G72&lt;$C$175,"Descanso inferior al mínimo legal entre jornadas (art. 34.3 ET)",""))</f>
        <v/>
      </c>
      <c r="I72" s="45" t="n"/>
    </row>
    <row r="73">
      <c r="A73" s="58" t="n"/>
      <c r="B73" s="45" t="n"/>
      <c r="C73" s="45" t="n"/>
      <c r="D73" s="59" t="n"/>
      <c r="E73" s="59" t="n"/>
      <c r="F73" s="60">
        <f>IF(OR($D73="",$E73=""),"",MOD($E73-$D73,1))</f>
        <v/>
      </c>
      <c r="G73" s="60">
        <f>IF(OR($B73="",$B73&lt;&gt;$B72,$D73="",$E72=""),"",IF(OR($A73="",$A72=""),IF(MOD($D73-$E72,1)=0,1,MOD($D73-$E72,1)),($A73+$D73)-($A72+$E72)))</f>
        <v/>
      </c>
      <c r="H73">
        <f>IF($G73="","",IF($G73&lt;$C$175,"Descanso inferior al mínimo legal entre jornadas (art. 34.3 ET)",""))</f>
        <v/>
      </c>
      <c r="I73" s="45" t="n"/>
    </row>
    <row r="74">
      <c r="A74" s="58" t="n"/>
      <c r="B74" s="45" t="n"/>
      <c r="C74" s="45" t="n"/>
      <c r="D74" s="59" t="n"/>
      <c r="E74" s="59" t="n"/>
      <c r="F74" s="60">
        <f>IF(OR($D74="",$E74=""),"",MOD($E74-$D74,1))</f>
        <v/>
      </c>
      <c r="G74" s="60">
        <f>IF(OR($B74="",$B74&lt;&gt;$B73,$D74="",$E73=""),"",IF(OR($A74="",$A73=""),IF(MOD($D74-$E73,1)=0,1,MOD($D74-$E73,1)),($A74+$D74)-($A73+$E73)))</f>
        <v/>
      </c>
      <c r="H74">
        <f>IF($G74="","",IF($G74&lt;$C$175,"Descanso inferior al mínimo legal entre jornadas (art. 34.3 ET)",""))</f>
        <v/>
      </c>
      <c r="I74" s="45" t="n"/>
    </row>
    <row r="75">
      <c r="A75" s="58" t="n"/>
      <c r="B75" s="45" t="n"/>
      <c r="C75" s="45" t="n"/>
      <c r="D75" s="59" t="n"/>
      <c r="E75" s="59" t="n"/>
      <c r="F75" s="60">
        <f>IF(OR($D75="",$E75=""),"",MOD($E75-$D75,1))</f>
        <v/>
      </c>
      <c r="G75" s="60">
        <f>IF(OR($B75="",$B75&lt;&gt;$B74,$D75="",$E74=""),"",IF(OR($A75="",$A74=""),IF(MOD($D75-$E74,1)=0,1,MOD($D75-$E74,1)),($A75+$D75)-($A74+$E74)))</f>
        <v/>
      </c>
      <c r="H75">
        <f>IF($G75="","",IF($G75&lt;$C$175,"Descanso inferior al mínimo legal entre jornadas (art. 34.3 ET)",""))</f>
        <v/>
      </c>
      <c r="I75" s="45" t="n"/>
    </row>
    <row r="76">
      <c r="A76" s="58" t="n"/>
      <c r="B76" s="45" t="n"/>
      <c r="C76" s="45" t="n"/>
      <c r="D76" s="59" t="n"/>
      <c r="E76" s="59" t="n"/>
      <c r="F76" s="60">
        <f>IF(OR($D76="",$E76=""),"",MOD($E76-$D76,1))</f>
        <v/>
      </c>
      <c r="G76" s="60">
        <f>IF(OR($B76="",$B76&lt;&gt;$B75,$D76="",$E75=""),"",IF(OR($A76="",$A75=""),IF(MOD($D76-$E75,1)=0,1,MOD($D76-$E75,1)),($A76+$D76)-($A75+$E75)))</f>
        <v/>
      </c>
      <c r="H76">
        <f>IF($G76="","",IF($G76&lt;$C$175,"Descanso inferior al mínimo legal entre jornadas (art. 34.3 ET)",""))</f>
        <v/>
      </c>
      <c r="I76" s="45" t="n"/>
    </row>
    <row r="77">
      <c r="A77" s="58" t="n"/>
      <c r="B77" s="45" t="n"/>
      <c r="C77" s="45" t="n"/>
      <c r="D77" s="59" t="n"/>
      <c r="E77" s="59" t="n"/>
      <c r="F77" s="60">
        <f>IF(OR($D77="",$E77=""),"",MOD($E77-$D77,1))</f>
        <v/>
      </c>
      <c r="G77" s="60">
        <f>IF(OR($B77="",$B77&lt;&gt;$B76,$D77="",$E76=""),"",IF(OR($A77="",$A76=""),IF(MOD($D77-$E76,1)=0,1,MOD($D77-$E76,1)),($A77+$D77)-($A76+$E76)))</f>
        <v/>
      </c>
      <c r="H77">
        <f>IF($G77="","",IF($G77&lt;$C$175,"Descanso inferior al mínimo legal entre jornadas (art. 34.3 ET)",""))</f>
        <v/>
      </c>
      <c r="I77" s="45" t="n"/>
    </row>
    <row r="78">
      <c r="A78" s="58" t="n"/>
      <c r="B78" s="45" t="n"/>
      <c r="C78" s="45" t="n"/>
      <c r="D78" s="59" t="n"/>
      <c r="E78" s="59" t="n"/>
      <c r="F78" s="60">
        <f>IF(OR($D78="",$E78=""),"",MOD($E78-$D78,1))</f>
        <v/>
      </c>
      <c r="G78" s="60">
        <f>IF(OR($B78="",$B78&lt;&gt;$B77,$D78="",$E77=""),"",IF(OR($A78="",$A77=""),IF(MOD($D78-$E77,1)=0,1,MOD($D78-$E77,1)),($A78+$D78)-($A77+$E77)))</f>
        <v/>
      </c>
      <c r="H78">
        <f>IF($G78="","",IF($G78&lt;$C$175,"Descanso inferior al mínimo legal entre jornadas (art. 34.3 ET)",""))</f>
        <v/>
      </c>
      <c r="I78" s="45" t="n"/>
    </row>
    <row r="79">
      <c r="A79" s="58" t="n"/>
      <c r="B79" s="45" t="n"/>
      <c r="C79" s="45" t="n"/>
      <c r="D79" s="59" t="n"/>
      <c r="E79" s="59" t="n"/>
      <c r="F79" s="60">
        <f>IF(OR($D79="",$E79=""),"",MOD($E79-$D79,1))</f>
        <v/>
      </c>
      <c r="G79" s="60">
        <f>IF(OR($B79="",$B79&lt;&gt;$B78,$D79="",$E78=""),"",IF(OR($A79="",$A78=""),IF(MOD($D79-$E78,1)=0,1,MOD($D79-$E78,1)),($A79+$D79)-($A78+$E78)))</f>
        <v/>
      </c>
      <c r="H79">
        <f>IF($G79="","",IF($G79&lt;$C$175,"Descanso inferior al mínimo legal entre jornadas (art. 34.3 ET)",""))</f>
        <v/>
      </c>
      <c r="I79" s="45" t="n"/>
    </row>
    <row r="80">
      <c r="A80" s="58" t="n"/>
      <c r="B80" s="45" t="n"/>
      <c r="C80" s="45" t="n"/>
      <c r="D80" s="59" t="n"/>
      <c r="E80" s="59" t="n"/>
      <c r="F80" s="60">
        <f>IF(OR($D80="",$E80=""),"",MOD($E80-$D80,1))</f>
        <v/>
      </c>
      <c r="G80" s="60">
        <f>IF(OR($B80="",$B80&lt;&gt;$B79,$D80="",$E79=""),"",IF(OR($A80="",$A79=""),IF(MOD($D80-$E79,1)=0,1,MOD($D80-$E79,1)),($A80+$D80)-($A79+$E79)))</f>
        <v/>
      </c>
      <c r="H80">
        <f>IF($G80="","",IF($G80&lt;$C$175,"Descanso inferior al mínimo legal entre jornadas (art. 34.3 ET)",""))</f>
        <v/>
      </c>
      <c r="I80" s="45" t="n"/>
    </row>
    <row r="81">
      <c r="A81" s="58" t="n"/>
      <c r="B81" s="45" t="n"/>
      <c r="C81" s="45" t="n"/>
      <c r="D81" s="59" t="n"/>
      <c r="E81" s="59" t="n"/>
      <c r="F81" s="60">
        <f>IF(OR($D81="",$E81=""),"",MOD($E81-$D81,1))</f>
        <v/>
      </c>
      <c r="G81" s="60">
        <f>IF(OR($B81="",$B81&lt;&gt;$B80,$D81="",$E80=""),"",IF(OR($A81="",$A80=""),IF(MOD($D81-$E80,1)=0,1,MOD($D81-$E80,1)),($A81+$D81)-($A80+$E80)))</f>
        <v/>
      </c>
      <c r="H81">
        <f>IF($G81="","",IF($G81&lt;$C$175,"Descanso inferior al mínimo legal entre jornadas (art. 34.3 ET)",""))</f>
        <v/>
      </c>
      <c r="I81" s="45" t="n"/>
    </row>
    <row r="82">
      <c r="A82" s="58" t="n"/>
      <c r="B82" s="45" t="n"/>
      <c r="C82" s="45" t="n"/>
      <c r="D82" s="59" t="n"/>
      <c r="E82" s="59" t="n"/>
      <c r="F82" s="60">
        <f>IF(OR($D82="",$E82=""),"",MOD($E82-$D82,1))</f>
        <v/>
      </c>
      <c r="G82" s="60">
        <f>IF(OR($B82="",$B82&lt;&gt;$B81,$D82="",$E81=""),"",IF(OR($A82="",$A81=""),IF(MOD($D82-$E81,1)=0,1,MOD($D82-$E81,1)),($A82+$D82)-($A81+$E81)))</f>
        <v/>
      </c>
      <c r="H82">
        <f>IF($G82="","",IF($G82&lt;$C$175,"Descanso inferior al mínimo legal entre jornadas (art. 34.3 ET)",""))</f>
        <v/>
      </c>
      <c r="I82" s="45" t="n"/>
    </row>
    <row r="83">
      <c r="A83" s="58" t="n"/>
      <c r="B83" s="45" t="n"/>
      <c r="C83" s="45" t="n"/>
      <c r="D83" s="59" t="n"/>
      <c r="E83" s="59" t="n"/>
      <c r="F83" s="60">
        <f>IF(OR($D83="",$E83=""),"",MOD($E83-$D83,1))</f>
        <v/>
      </c>
      <c r="G83" s="60">
        <f>IF(OR($B83="",$B83&lt;&gt;$B82,$D83="",$E82=""),"",IF(OR($A83="",$A82=""),IF(MOD($D83-$E82,1)=0,1,MOD($D83-$E82,1)),($A83+$D83)-($A82+$E82)))</f>
        <v/>
      </c>
      <c r="H83">
        <f>IF($G83="","",IF($G83&lt;$C$175,"Descanso inferior al mínimo legal entre jornadas (art. 34.3 ET)",""))</f>
        <v/>
      </c>
      <c r="I83" s="45" t="n"/>
    </row>
    <row r="84">
      <c r="A84" s="58" t="n"/>
      <c r="B84" s="45" t="n"/>
      <c r="C84" s="45" t="n"/>
      <c r="D84" s="59" t="n"/>
      <c r="E84" s="59" t="n"/>
      <c r="F84" s="60">
        <f>IF(OR($D84="",$E84=""),"",MOD($E84-$D84,1))</f>
        <v/>
      </c>
      <c r="G84" s="60">
        <f>IF(OR($B84="",$B84&lt;&gt;$B83,$D84="",$E83=""),"",IF(OR($A84="",$A83=""),IF(MOD($D84-$E83,1)=0,1,MOD($D84-$E83,1)),($A84+$D84)-($A83+$E83)))</f>
        <v/>
      </c>
      <c r="H84">
        <f>IF($G84="","",IF($G84&lt;$C$175,"Descanso inferior al mínimo legal entre jornadas (art. 34.3 ET)",""))</f>
        <v/>
      </c>
      <c r="I84" s="45" t="n"/>
    </row>
    <row r="85">
      <c r="A85" s="58" t="n"/>
      <c r="B85" s="45" t="n"/>
      <c r="C85" s="45" t="n"/>
      <c r="D85" s="59" t="n"/>
      <c r="E85" s="59" t="n"/>
      <c r="F85" s="60">
        <f>IF(OR($D85="",$E85=""),"",MOD($E85-$D85,1))</f>
        <v/>
      </c>
      <c r="G85" s="60">
        <f>IF(OR($B85="",$B85&lt;&gt;$B84,$D85="",$E84=""),"",IF(OR($A85="",$A84=""),IF(MOD($D85-$E84,1)=0,1,MOD($D85-$E84,1)),($A85+$D85)-($A84+$E84)))</f>
        <v/>
      </c>
      <c r="H85">
        <f>IF($G85="","",IF($G85&lt;$C$175,"Descanso inferior al mínimo legal entre jornadas (art. 34.3 ET)",""))</f>
        <v/>
      </c>
      <c r="I85" s="45" t="n"/>
    </row>
    <row r="86">
      <c r="A86" s="58" t="n"/>
      <c r="B86" s="45" t="n"/>
      <c r="C86" s="45" t="n"/>
      <c r="D86" s="59" t="n"/>
      <c r="E86" s="59" t="n"/>
      <c r="F86" s="60">
        <f>IF(OR($D86="",$E86=""),"",MOD($E86-$D86,1))</f>
        <v/>
      </c>
      <c r="G86" s="60">
        <f>IF(OR($B86="",$B86&lt;&gt;$B85,$D86="",$E85=""),"",IF(OR($A86="",$A85=""),IF(MOD($D86-$E85,1)=0,1,MOD($D86-$E85,1)),($A86+$D86)-($A85+$E85)))</f>
        <v/>
      </c>
      <c r="H86">
        <f>IF($G86="","",IF($G86&lt;$C$175,"Descanso inferior al mínimo legal entre jornadas (art. 34.3 ET)",""))</f>
        <v/>
      </c>
      <c r="I86" s="45" t="n"/>
    </row>
    <row r="87">
      <c r="A87" s="58" t="n"/>
      <c r="B87" s="45" t="n"/>
      <c r="C87" s="45" t="n"/>
      <c r="D87" s="59" t="n"/>
      <c r="E87" s="59" t="n"/>
      <c r="F87" s="60">
        <f>IF(OR($D87="",$E87=""),"",MOD($E87-$D87,1))</f>
        <v/>
      </c>
      <c r="G87" s="60">
        <f>IF(OR($B87="",$B87&lt;&gt;$B86,$D87="",$E86=""),"",IF(OR($A87="",$A86=""),IF(MOD($D87-$E86,1)=0,1,MOD($D87-$E86,1)),($A87+$D87)-($A86+$E86)))</f>
        <v/>
      </c>
      <c r="H87">
        <f>IF($G87="","",IF($G87&lt;$C$175,"Descanso inferior al mínimo legal entre jornadas (art. 34.3 ET)",""))</f>
        <v/>
      </c>
      <c r="I87" s="45" t="n"/>
    </row>
    <row r="88">
      <c r="A88" s="58" t="n"/>
      <c r="B88" s="45" t="n"/>
      <c r="C88" s="45" t="n"/>
      <c r="D88" s="59" t="n"/>
      <c r="E88" s="59" t="n"/>
      <c r="F88" s="60">
        <f>IF(OR($D88="",$E88=""),"",MOD($E88-$D88,1))</f>
        <v/>
      </c>
      <c r="G88" s="60">
        <f>IF(OR($B88="",$B88&lt;&gt;$B87,$D88="",$E87=""),"",IF(OR($A88="",$A87=""),IF(MOD($D88-$E87,1)=0,1,MOD($D88-$E87,1)),($A88+$D88)-($A87+$E87)))</f>
        <v/>
      </c>
      <c r="H88">
        <f>IF($G88="","",IF($G88&lt;$C$175,"Descanso inferior al mínimo legal entre jornadas (art. 34.3 ET)",""))</f>
        <v/>
      </c>
      <c r="I88" s="45" t="n"/>
    </row>
    <row r="89">
      <c r="A89" s="58" t="n"/>
      <c r="B89" s="45" t="n"/>
      <c r="C89" s="45" t="n"/>
      <c r="D89" s="59" t="n"/>
      <c r="E89" s="59" t="n"/>
      <c r="F89" s="60">
        <f>IF(OR($D89="",$E89=""),"",MOD($E89-$D89,1))</f>
        <v/>
      </c>
      <c r="G89" s="60">
        <f>IF(OR($B89="",$B89&lt;&gt;$B88,$D89="",$E88=""),"",IF(OR($A89="",$A88=""),IF(MOD($D89-$E88,1)=0,1,MOD($D89-$E88,1)),($A89+$D89)-($A88+$E88)))</f>
        <v/>
      </c>
      <c r="H89">
        <f>IF($G89="","",IF($G89&lt;$C$175,"Descanso inferior al mínimo legal entre jornadas (art. 34.3 ET)",""))</f>
        <v/>
      </c>
      <c r="I89" s="45" t="n"/>
    </row>
    <row r="90">
      <c r="A90" s="58" t="n"/>
      <c r="B90" s="45" t="n"/>
      <c r="C90" s="45" t="n"/>
      <c r="D90" s="59" t="n"/>
      <c r="E90" s="59" t="n"/>
      <c r="F90" s="60">
        <f>IF(OR($D90="",$E90=""),"",MOD($E90-$D90,1))</f>
        <v/>
      </c>
      <c r="G90" s="60">
        <f>IF(OR($B90="",$B90&lt;&gt;$B89,$D90="",$E89=""),"",IF(OR($A90="",$A89=""),IF(MOD($D90-$E89,1)=0,1,MOD($D90-$E89,1)),($A90+$D90)-($A89+$E89)))</f>
        <v/>
      </c>
      <c r="H90">
        <f>IF($G90="","",IF($G90&lt;$C$175,"Descanso inferior al mínimo legal entre jornadas (art. 34.3 ET)",""))</f>
        <v/>
      </c>
      <c r="I90" s="45" t="n"/>
    </row>
    <row r="91">
      <c r="A91" s="58" t="n"/>
      <c r="B91" s="45" t="n"/>
      <c r="C91" s="45" t="n"/>
      <c r="D91" s="59" t="n"/>
      <c r="E91" s="59" t="n"/>
      <c r="F91" s="60">
        <f>IF(OR($D91="",$E91=""),"",MOD($E91-$D91,1))</f>
        <v/>
      </c>
      <c r="G91" s="60">
        <f>IF(OR($B91="",$B91&lt;&gt;$B90,$D91="",$E90=""),"",IF(OR($A91="",$A90=""),IF(MOD($D91-$E90,1)=0,1,MOD($D91-$E90,1)),($A91+$D91)-($A90+$E90)))</f>
        <v/>
      </c>
      <c r="H91">
        <f>IF($G91="","",IF($G91&lt;$C$175,"Descanso inferior al mínimo legal entre jornadas (art. 34.3 ET)",""))</f>
        <v/>
      </c>
      <c r="I91" s="45" t="n"/>
    </row>
    <row r="92">
      <c r="A92" s="58" t="n"/>
      <c r="B92" s="45" t="n"/>
      <c r="C92" s="45" t="n"/>
      <c r="D92" s="59" t="n"/>
      <c r="E92" s="59" t="n"/>
      <c r="F92" s="60">
        <f>IF(OR($D92="",$E92=""),"",MOD($E92-$D92,1))</f>
        <v/>
      </c>
      <c r="G92" s="60">
        <f>IF(OR($B92="",$B92&lt;&gt;$B91,$D92="",$E91=""),"",IF(OR($A92="",$A91=""),IF(MOD($D92-$E91,1)=0,1,MOD($D92-$E91,1)),($A92+$D92)-($A91+$E91)))</f>
        <v/>
      </c>
      <c r="H92">
        <f>IF($G92="","",IF($G92&lt;$C$175,"Descanso inferior al mínimo legal entre jornadas (art. 34.3 ET)",""))</f>
        <v/>
      </c>
      <c r="I92" s="45" t="n"/>
    </row>
    <row r="93">
      <c r="A93" s="58" t="n"/>
      <c r="B93" s="45" t="n"/>
      <c r="C93" s="45" t="n"/>
      <c r="D93" s="59" t="n"/>
      <c r="E93" s="59" t="n"/>
      <c r="F93" s="60">
        <f>IF(OR($D93="",$E93=""),"",MOD($E93-$D93,1))</f>
        <v/>
      </c>
      <c r="G93" s="60">
        <f>IF(OR($B93="",$B93&lt;&gt;$B92,$D93="",$E92=""),"",IF(OR($A93="",$A92=""),IF(MOD($D93-$E92,1)=0,1,MOD($D93-$E92,1)),($A93+$D93)-($A92+$E92)))</f>
        <v/>
      </c>
      <c r="H93">
        <f>IF($G93="","",IF($G93&lt;$C$175,"Descanso inferior al mínimo legal entre jornadas (art. 34.3 ET)",""))</f>
        <v/>
      </c>
      <c r="I93" s="45" t="n"/>
    </row>
    <row r="94">
      <c r="A94" s="58" t="n"/>
      <c r="B94" s="45" t="n"/>
      <c r="C94" s="45" t="n"/>
      <c r="D94" s="59" t="n"/>
      <c r="E94" s="59" t="n"/>
      <c r="F94" s="60">
        <f>IF(OR($D94="",$E94=""),"",MOD($E94-$D94,1))</f>
        <v/>
      </c>
      <c r="G94" s="60">
        <f>IF(OR($B94="",$B94&lt;&gt;$B93,$D94="",$E93=""),"",IF(OR($A94="",$A93=""),IF(MOD($D94-$E93,1)=0,1,MOD($D94-$E93,1)),($A94+$D94)-($A93+$E93)))</f>
        <v/>
      </c>
      <c r="H94">
        <f>IF($G94="","",IF($G94&lt;$C$175,"Descanso inferior al mínimo legal entre jornadas (art. 34.3 ET)",""))</f>
        <v/>
      </c>
      <c r="I94" s="45" t="n"/>
    </row>
    <row r="95">
      <c r="A95" s="58" t="n"/>
      <c r="B95" s="45" t="n"/>
      <c r="C95" s="45" t="n"/>
      <c r="D95" s="59" t="n"/>
      <c r="E95" s="59" t="n"/>
      <c r="F95" s="60">
        <f>IF(OR($D95="",$E95=""),"",MOD($E95-$D95,1))</f>
        <v/>
      </c>
      <c r="G95" s="60">
        <f>IF(OR($B95="",$B95&lt;&gt;$B94,$D95="",$E94=""),"",IF(OR($A95="",$A94=""),IF(MOD($D95-$E94,1)=0,1,MOD($D95-$E94,1)),($A95+$D95)-($A94+$E94)))</f>
        <v/>
      </c>
      <c r="H95">
        <f>IF($G95="","",IF($G95&lt;$C$175,"Descanso inferior al mínimo legal entre jornadas (art. 34.3 ET)",""))</f>
        <v/>
      </c>
      <c r="I95" s="45" t="n"/>
    </row>
    <row r="96">
      <c r="A96" s="58" t="n"/>
      <c r="B96" s="45" t="n"/>
      <c r="C96" s="45" t="n"/>
      <c r="D96" s="59" t="n"/>
      <c r="E96" s="59" t="n"/>
      <c r="F96" s="60">
        <f>IF(OR($D96="",$E96=""),"",MOD($E96-$D96,1))</f>
        <v/>
      </c>
      <c r="G96" s="60">
        <f>IF(OR($B96="",$B96&lt;&gt;$B95,$D96="",$E95=""),"",IF(OR($A96="",$A95=""),IF(MOD($D96-$E95,1)=0,1,MOD($D96-$E95,1)),($A96+$D96)-($A95+$E95)))</f>
        <v/>
      </c>
      <c r="H96">
        <f>IF($G96="","",IF($G96&lt;$C$175,"Descanso inferior al mínimo legal entre jornadas (art. 34.3 ET)",""))</f>
        <v/>
      </c>
      <c r="I96" s="45" t="n"/>
    </row>
    <row r="97">
      <c r="A97" s="58" t="n"/>
      <c r="B97" s="45" t="n"/>
      <c r="C97" s="45" t="n"/>
      <c r="D97" s="59" t="n"/>
      <c r="E97" s="59" t="n"/>
      <c r="F97" s="60">
        <f>IF(OR($D97="",$E97=""),"",MOD($E97-$D97,1))</f>
        <v/>
      </c>
      <c r="G97" s="60">
        <f>IF(OR($B97="",$B97&lt;&gt;$B96,$D97="",$E96=""),"",IF(OR($A97="",$A96=""),IF(MOD($D97-$E96,1)=0,1,MOD($D97-$E96,1)),($A97+$D97)-($A96+$E96)))</f>
        <v/>
      </c>
      <c r="H97">
        <f>IF($G97="","",IF($G97&lt;$C$175,"Descanso inferior al mínimo legal entre jornadas (art. 34.3 ET)",""))</f>
        <v/>
      </c>
      <c r="I97" s="45" t="n"/>
    </row>
    <row r="98">
      <c r="A98" s="58" t="n"/>
      <c r="B98" s="45" t="n"/>
      <c r="C98" s="45" t="n"/>
      <c r="D98" s="59" t="n"/>
      <c r="E98" s="59" t="n"/>
      <c r="F98" s="60">
        <f>IF(OR($D98="",$E98=""),"",MOD($E98-$D98,1))</f>
        <v/>
      </c>
      <c r="G98" s="60">
        <f>IF(OR($B98="",$B98&lt;&gt;$B97,$D98="",$E97=""),"",IF(OR($A98="",$A97=""),IF(MOD($D98-$E97,1)=0,1,MOD($D98-$E97,1)),($A98+$D98)-($A97+$E97)))</f>
        <v/>
      </c>
      <c r="H98">
        <f>IF($G98="","",IF($G98&lt;$C$175,"Descanso inferior al mínimo legal entre jornadas (art. 34.3 ET)",""))</f>
        <v/>
      </c>
      <c r="I98" s="45" t="n"/>
    </row>
    <row r="99">
      <c r="A99" s="58" t="n"/>
      <c r="B99" s="45" t="n"/>
      <c r="C99" s="45" t="n"/>
      <c r="D99" s="59" t="n"/>
      <c r="E99" s="59" t="n"/>
      <c r="F99" s="60">
        <f>IF(OR($D99="",$E99=""),"",MOD($E99-$D99,1))</f>
        <v/>
      </c>
      <c r="G99" s="60">
        <f>IF(OR($B99="",$B99&lt;&gt;$B98,$D99="",$E98=""),"",IF(OR($A99="",$A98=""),IF(MOD($D99-$E98,1)=0,1,MOD($D99-$E98,1)),($A99+$D99)-($A98+$E98)))</f>
        <v/>
      </c>
      <c r="H99">
        <f>IF($G99="","",IF($G99&lt;$C$175,"Descanso inferior al mínimo legal entre jornadas (art. 34.3 ET)",""))</f>
        <v/>
      </c>
      <c r="I99" s="45" t="n"/>
    </row>
    <row r="100">
      <c r="A100" s="58" t="n"/>
      <c r="B100" s="45" t="n"/>
      <c r="C100" s="45" t="n"/>
      <c r="D100" s="59" t="n"/>
      <c r="E100" s="59" t="n"/>
      <c r="F100" s="60">
        <f>IF(OR($D100="",$E100=""),"",MOD($E100-$D100,1))</f>
        <v/>
      </c>
      <c r="G100" s="60">
        <f>IF(OR($B100="",$B100&lt;&gt;$B99,$D100="",$E99=""),"",IF(OR($A100="",$A99=""),IF(MOD($D100-$E99,1)=0,1,MOD($D100-$E99,1)),($A100+$D100)-($A99+$E99)))</f>
        <v/>
      </c>
      <c r="H100">
        <f>IF($G100="","",IF($G100&lt;$C$175,"Descanso inferior al mínimo legal entre jornadas (art. 34.3 ET)",""))</f>
        <v/>
      </c>
      <c r="I100" s="45" t="n"/>
    </row>
    <row r="101">
      <c r="A101" s="58" t="n"/>
      <c r="B101" s="45" t="n"/>
      <c r="C101" s="45" t="n"/>
      <c r="D101" s="59" t="n"/>
      <c r="E101" s="59" t="n"/>
      <c r="F101" s="60">
        <f>IF(OR($D101="",$E101=""),"",MOD($E101-$D101,1))</f>
        <v/>
      </c>
      <c r="G101" s="60">
        <f>IF(OR($B101="",$B101&lt;&gt;$B100,$D101="",$E100=""),"",IF(OR($A101="",$A100=""),IF(MOD($D101-$E100,1)=0,1,MOD($D101-$E100,1)),($A101+$D101)-($A100+$E100)))</f>
        <v/>
      </c>
      <c r="H101">
        <f>IF($G101="","",IF($G101&lt;$C$175,"Descanso inferior al mínimo legal entre jornadas (art. 34.3 ET)",""))</f>
        <v/>
      </c>
      <c r="I101" s="45" t="n"/>
    </row>
    <row r="102">
      <c r="A102" s="58" t="n"/>
      <c r="B102" s="45" t="n"/>
      <c r="C102" s="45" t="n"/>
      <c r="D102" s="59" t="n"/>
      <c r="E102" s="59" t="n"/>
      <c r="F102" s="60">
        <f>IF(OR($D102="",$E102=""),"",MOD($E102-$D102,1))</f>
        <v/>
      </c>
      <c r="G102" s="60">
        <f>IF(OR($B102="",$B102&lt;&gt;$B101,$D102="",$E101=""),"",IF(OR($A102="",$A101=""),IF(MOD($D102-$E101,1)=0,1,MOD($D102-$E101,1)),($A102+$D102)-($A101+$E101)))</f>
        <v/>
      </c>
      <c r="H102">
        <f>IF($G102="","",IF($G102&lt;$C$175,"Descanso inferior al mínimo legal entre jornadas (art. 34.3 ET)",""))</f>
        <v/>
      </c>
      <c r="I102" s="45" t="n"/>
    </row>
    <row r="103">
      <c r="A103" s="58" t="n"/>
      <c r="B103" s="45" t="n"/>
      <c r="C103" s="45" t="n"/>
      <c r="D103" s="59" t="n"/>
      <c r="E103" s="59" t="n"/>
      <c r="F103" s="60">
        <f>IF(OR($D103="",$E103=""),"",MOD($E103-$D103,1))</f>
        <v/>
      </c>
      <c r="G103" s="60">
        <f>IF(OR($B103="",$B103&lt;&gt;$B102,$D103="",$E102=""),"",IF(OR($A103="",$A102=""),IF(MOD($D103-$E102,1)=0,1,MOD($D103-$E102,1)),($A103+$D103)-($A102+$E102)))</f>
        <v/>
      </c>
      <c r="H103">
        <f>IF($G103="","",IF($G103&lt;$C$175,"Descanso inferior al mínimo legal entre jornadas (art. 34.3 ET)",""))</f>
        <v/>
      </c>
      <c r="I103" s="45" t="n"/>
    </row>
    <row r="104">
      <c r="A104" s="58" t="n"/>
      <c r="B104" s="45" t="n"/>
      <c r="C104" s="45" t="n"/>
      <c r="D104" s="59" t="n"/>
      <c r="E104" s="59" t="n"/>
      <c r="F104" s="60">
        <f>IF(OR($D104="",$E104=""),"",MOD($E104-$D104,1))</f>
        <v/>
      </c>
      <c r="G104" s="60">
        <f>IF(OR($B104="",$B104&lt;&gt;$B103,$D104="",$E103=""),"",IF(OR($A104="",$A103=""),IF(MOD($D104-$E103,1)=0,1,MOD($D104-$E103,1)),($A104+$D104)-($A103+$E103)))</f>
        <v/>
      </c>
      <c r="H104">
        <f>IF($G104="","",IF($G104&lt;$C$175,"Descanso inferior al mínimo legal entre jornadas (art. 34.3 ET)",""))</f>
        <v/>
      </c>
      <c r="I104" s="45" t="n"/>
    </row>
    <row r="105">
      <c r="A105" s="58" t="n"/>
      <c r="B105" s="45" t="n"/>
      <c r="C105" s="45" t="n"/>
      <c r="D105" s="59" t="n"/>
      <c r="E105" s="59" t="n"/>
      <c r="F105" s="60">
        <f>IF(OR($D105="",$E105=""),"",MOD($E105-$D105,1))</f>
        <v/>
      </c>
      <c r="G105" s="60">
        <f>IF(OR($B105="",$B105&lt;&gt;$B104,$D105="",$E104=""),"",IF(OR($A105="",$A104=""),IF(MOD($D105-$E104,1)=0,1,MOD($D105-$E104,1)),($A105+$D105)-($A104+$E104)))</f>
        <v/>
      </c>
      <c r="H105">
        <f>IF($G105="","",IF($G105&lt;$C$175,"Descanso inferior al mínimo legal entre jornadas (art. 34.3 ET)",""))</f>
        <v/>
      </c>
      <c r="I105" s="45" t="n"/>
    </row>
    <row r="106">
      <c r="A106" s="58" t="n"/>
      <c r="B106" s="45" t="n"/>
      <c r="C106" s="45" t="n"/>
      <c r="D106" s="59" t="n"/>
      <c r="E106" s="59" t="n"/>
      <c r="F106" s="60">
        <f>IF(OR($D106="",$E106=""),"",MOD($E106-$D106,1))</f>
        <v/>
      </c>
      <c r="G106" s="60">
        <f>IF(OR($B106="",$B106&lt;&gt;$B105,$D106="",$E105=""),"",IF(OR($A106="",$A105=""),IF(MOD($D106-$E105,1)=0,1,MOD($D106-$E105,1)),($A106+$D106)-($A105+$E105)))</f>
        <v/>
      </c>
      <c r="H106">
        <f>IF($G106="","",IF($G106&lt;$C$175,"Descanso inferior al mínimo legal entre jornadas (art. 34.3 ET)",""))</f>
        <v/>
      </c>
      <c r="I106" s="45" t="n"/>
    </row>
    <row r="107">
      <c r="A107" s="58" t="n"/>
      <c r="B107" s="45" t="n"/>
      <c r="C107" s="45" t="n"/>
      <c r="D107" s="59" t="n"/>
      <c r="E107" s="59" t="n"/>
      <c r="F107" s="60">
        <f>IF(OR($D107="",$E107=""),"",MOD($E107-$D107,1))</f>
        <v/>
      </c>
      <c r="G107" s="60">
        <f>IF(OR($B107="",$B107&lt;&gt;$B106,$D107="",$E106=""),"",IF(OR($A107="",$A106=""),IF(MOD($D107-$E106,1)=0,1,MOD($D107-$E106,1)),($A107+$D107)-($A106+$E106)))</f>
        <v/>
      </c>
      <c r="H107">
        <f>IF($G107="","",IF($G107&lt;$C$175,"Descanso inferior al mínimo legal entre jornadas (art. 34.3 ET)",""))</f>
        <v/>
      </c>
      <c r="I107" s="45" t="n"/>
    </row>
    <row r="108">
      <c r="A108" s="58" t="n"/>
      <c r="B108" s="45" t="n"/>
      <c r="C108" s="45" t="n"/>
      <c r="D108" s="59" t="n"/>
      <c r="E108" s="59" t="n"/>
      <c r="F108" s="60">
        <f>IF(OR($D108="",$E108=""),"",MOD($E108-$D108,1))</f>
        <v/>
      </c>
      <c r="G108" s="60">
        <f>IF(OR($B108="",$B108&lt;&gt;$B107,$D108="",$E107=""),"",IF(OR($A108="",$A107=""),IF(MOD($D108-$E107,1)=0,1,MOD($D108-$E107,1)),($A108+$D108)-($A107+$E107)))</f>
        <v/>
      </c>
      <c r="H108">
        <f>IF($G108="","",IF($G108&lt;$C$175,"Descanso inferior al mínimo legal entre jornadas (art. 34.3 ET)",""))</f>
        <v/>
      </c>
      <c r="I108" s="45" t="n"/>
    </row>
    <row r="109">
      <c r="A109" s="58" t="n"/>
      <c r="B109" s="45" t="n"/>
      <c r="C109" s="45" t="n"/>
      <c r="D109" s="59" t="n"/>
      <c r="E109" s="59" t="n"/>
      <c r="F109" s="60">
        <f>IF(OR($D109="",$E109=""),"",MOD($E109-$D109,1))</f>
        <v/>
      </c>
      <c r="G109" s="60">
        <f>IF(OR($B109="",$B109&lt;&gt;$B108,$D109="",$E108=""),"",IF(OR($A109="",$A108=""),IF(MOD($D109-$E108,1)=0,1,MOD($D109-$E108,1)),($A109+$D109)-($A108+$E108)))</f>
        <v/>
      </c>
      <c r="H109">
        <f>IF($G109="","",IF($G109&lt;$C$175,"Descanso inferior al mínimo legal entre jornadas (art. 34.3 ET)",""))</f>
        <v/>
      </c>
      <c r="I109" s="45" t="n"/>
    </row>
    <row r="110">
      <c r="A110" s="58" t="n"/>
      <c r="B110" s="45" t="n"/>
      <c r="C110" s="45" t="n"/>
      <c r="D110" s="59" t="n"/>
      <c r="E110" s="59" t="n"/>
      <c r="F110" s="60">
        <f>IF(OR($D110="",$E110=""),"",MOD($E110-$D110,1))</f>
        <v/>
      </c>
      <c r="G110" s="60">
        <f>IF(OR($B110="",$B110&lt;&gt;$B109,$D110="",$E109=""),"",IF(OR($A110="",$A109=""),IF(MOD($D110-$E109,1)=0,1,MOD($D110-$E109,1)),($A110+$D110)-($A109+$E109)))</f>
        <v/>
      </c>
      <c r="H110">
        <f>IF($G110="","",IF($G110&lt;$C$175,"Descanso inferior al mínimo legal entre jornadas (art. 34.3 ET)",""))</f>
        <v/>
      </c>
      <c r="I110" s="45" t="n"/>
    </row>
    <row r="111">
      <c r="A111" s="58" t="n"/>
      <c r="B111" s="45" t="n"/>
      <c r="C111" s="45" t="n"/>
      <c r="D111" s="59" t="n"/>
      <c r="E111" s="59" t="n"/>
      <c r="F111" s="60">
        <f>IF(OR($D111="",$E111=""),"",MOD($E111-$D111,1))</f>
        <v/>
      </c>
      <c r="G111" s="60">
        <f>IF(OR($B111="",$B111&lt;&gt;$B110,$D111="",$E110=""),"",IF(OR($A111="",$A110=""),IF(MOD($D111-$E110,1)=0,1,MOD($D111-$E110,1)),($A111+$D111)-($A110+$E110)))</f>
        <v/>
      </c>
      <c r="H111">
        <f>IF($G111="","",IF($G111&lt;$C$175,"Descanso inferior al mínimo legal entre jornadas (art. 34.3 ET)",""))</f>
        <v/>
      </c>
      <c r="I111" s="45" t="n"/>
    </row>
    <row r="112">
      <c r="A112" s="58" t="n"/>
      <c r="B112" s="45" t="n"/>
      <c r="C112" s="45" t="n"/>
      <c r="D112" s="59" t="n"/>
      <c r="E112" s="59" t="n"/>
      <c r="F112" s="60">
        <f>IF(OR($D112="",$E112=""),"",MOD($E112-$D112,1))</f>
        <v/>
      </c>
      <c r="G112" s="60">
        <f>IF(OR($B112="",$B112&lt;&gt;$B111,$D112="",$E111=""),"",IF(OR($A112="",$A111=""),IF(MOD($D112-$E111,1)=0,1,MOD($D112-$E111,1)),($A112+$D112)-($A111+$E111)))</f>
        <v/>
      </c>
      <c r="H112">
        <f>IF($G112="","",IF($G112&lt;$C$175,"Descanso inferior al mínimo legal entre jornadas (art. 34.3 ET)",""))</f>
        <v/>
      </c>
      <c r="I112" s="45" t="n"/>
    </row>
    <row r="113">
      <c r="A113" s="58" t="n"/>
      <c r="B113" s="45" t="n"/>
      <c r="C113" s="45" t="n"/>
      <c r="D113" s="59" t="n"/>
      <c r="E113" s="59" t="n"/>
      <c r="F113" s="60">
        <f>IF(OR($D113="",$E113=""),"",MOD($E113-$D113,1))</f>
        <v/>
      </c>
      <c r="G113" s="60">
        <f>IF(OR($B113="",$B113&lt;&gt;$B112,$D113="",$E112=""),"",IF(OR($A113="",$A112=""),IF(MOD($D113-$E112,1)=0,1,MOD($D113-$E112,1)),($A113+$D113)-($A112+$E112)))</f>
        <v/>
      </c>
      <c r="H113">
        <f>IF($G113="","",IF($G113&lt;$C$175,"Descanso inferior al mínimo legal entre jornadas (art. 34.3 ET)",""))</f>
        <v/>
      </c>
      <c r="I113" s="45" t="n"/>
    </row>
    <row r="114">
      <c r="A114" s="58" t="n"/>
      <c r="B114" s="45" t="n"/>
      <c r="C114" s="45" t="n"/>
      <c r="D114" s="59" t="n"/>
      <c r="E114" s="59" t="n"/>
      <c r="F114" s="60">
        <f>IF(OR($D114="",$E114=""),"",MOD($E114-$D114,1))</f>
        <v/>
      </c>
      <c r="G114" s="60">
        <f>IF(OR($B114="",$B114&lt;&gt;$B113,$D114="",$E113=""),"",IF(OR($A114="",$A113=""),IF(MOD($D114-$E113,1)=0,1,MOD($D114-$E113,1)),($A114+$D114)-($A113+$E113)))</f>
        <v/>
      </c>
      <c r="H114">
        <f>IF($G114="","",IF($G114&lt;$C$175,"Descanso inferior al mínimo legal entre jornadas (art. 34.3 ET)",""))</f>
        <v/>
      </c>
      <c r="I114" s="45" t="n"/>
    </row>
    <row r="115">
      <c r="A115" s="58" t="n"/>
      <c r="B115" s="45" t="n"/>
      <c r="C115" s="45" t="n"/>
      <c r="D115" s="59" t="n"/>
      <c r="E115" s="59" t="n"/>
      <c r="F115" s="60">
        <f>IF(OR($D115="",$E115=""),"",MOD($E115-$D115,1))</f>
        <v/>
      </c>
      <c r="G115" s="60">
        <f>IF(OR($B115="",$B115&lt;&gt;$B114,$D115="",$E114=""),"",IF(OR($A115="",$A114=""),IF(MOD($D115-$E114,1)=0,1,MOD($D115-$E114,1)),($A115+$D115)-($A114+$E114)))</f>
        <v/>
      </c>
      <c r="H115">
        <f>IF($G115="","",IF($G115&lt;$C$175,"Descanso inferior al mínimo legal entre jornadas (art. 34.3 ET)",""))</f>
        <v/>
      </c>
      <c r="I115" s="45" t="n"/>
    </row>
    <row r="116">
      <c r="A116" s="58" t="n"/>
      <c r="B116" s="45" t="n"/>
      <c r="C116" s="45" t="n"/>
      <c r="D116" s="59" t="n"/>
      <c r="E116" s="59" t="n"/>
      <c r="F116" s="60">
        <f>IF(OR($D116="",$E116=""),"",MOD($E116-$D116,1))</f>
        <v/>
      </c>
      <c r="G116" s="60">
        <f>IF(OR($B116="",$B116&lt;&gt;$B115,$D116="",$E115=""),"",IF(OR($A116="",$A115=""),IF(MOD($D116-$E115,1)=0,1,MOD($D116-$E115,1)),($A116+$D116)-($A115+$E115)))</f>
        <v/>
      </c>
      <c r="H116">
        <f>IF($G116="","",IF($G116&lt;$C$175,"Descanso inferior al mínimo legal entre jornadas (art. 34.3 ET)",""))</f>
        <v/>
      </c>
      <c r="I116" s="45" t="n"/>
    </row>
    <row r="117">
      <c r="A117" s="58" t="n"/>
      <c r="B117" s="45" t="n"/>
      <c r="C117" s="45" t="n"/>
      <c r="D117" s="59" t="n"/>
      <c r="E117" s="59" t="n"/>
      <c r="F117" s="60">
        <f>IF(OR($D117="",$E117=""),"",MOD($E117-$D117,1))</f>
        <v/>
      </c>
      <c r="G117" s="60">
        <f>IF(OR($B117="",$B117&lt;&gt;$B116,$D117="",$E116=""),"",IF(OR($A117="",$A116=""),IF(MOD($D117-$E116,1)=0,1,MOD($D117-$E116,1)),($A117+$D117)-($A116+$E116)))</f>
        <v/>
      </c>
      <c r="H117">
        <f>IF($G117="","",IF($G117&lt;$C$175,"Descanso inferior al mínimo legal entre jornadas (art. 34.3 ET)",""))</f>
        <v/>
      </c>
      <c r="I117" s="45" t="n"/>
    </row>
    <row r="118">
      <c r="A118" s="58" t="n"/>
      <c r="B118" s="45" t="n"/>
      <c r="C118" s="45" t="n"/>
      <c r="D118" s="59" t="n"/>
      <c r="E118" s="59" t="n"/>
      <c r="F118" s="60">
        <f>IF(OR($D118="",$E118=""),"",MOD($E118-$D118,1))</f>
        <v/>
      </c>
      <c r="G118" s="60">
        <f>IF(OR($B118="",$B118&lt;&gt;$B117,$D118="",$E117=""),"",IF(OR($A118="",$A117=""),IF(MOD($D118-$E117,1)=0,1,MOD($D118-$E117,1)),($A118+$D118)-($A117+$E117)))</f>
        <v/>
      </c>
      <c r="H118">
        <f>IF($G118="","",IF($G118&lt;$C$175,"Descanso inferior al mínimo legal entre jornadas (art. 34.3 ET)",""))</f>
        <v/>
      </c>
      <c r="I118" s="45" t="n"/>
    </row>
    <row r="119">
      <c r="A119" s="58" t="n"/>
      <c r="B119" s="45" t="n"/>
      <c r="C119" s="45" t="n"/>
      <c r="D119" s="59" t="n"/>
      <c r="E119" s="59" t="n"/>
      <c r="F119" s="60">
        <f>IF(OR($D119="",$E119=""),"",MOD($E119-$D119,1))</f>
        <v/>
      </c>
      <c r="G119" s="60">
        <f>IF(OR($B119="",$B119&lt;&gt;$B118,$D119="",$E118=""),"",IF(OR($A119="",$A118=""),IF(MOD($D119-$E118,1)=0,1,MOD($D119-$E118,1)),($A119+$D119)-($A118+$E118)))</f>
        <v/>
      </c>
      <c r="H119">
        <f>IF($G119="","",IF($G119&lt;$C$175,"Descanso inferior al mínimo legal entre jornadas (art. 34.3 ET)",""))</f>
        <v/>
      </c>
      <c r="I119" s="45" t="n"/>
    </row>
    <row r="120">
      <c r="A120" s="58" t="n"/>
      <c r="B120" s="45" t="n"/>
      <c r="C120" s="45" t="n"/>
      <c r="D120" s="59" t="n"/>
      <c r="E120" s="59" t="n"/>
      <c r="F120" s="60">
        <f>IF(OR($D120="",$E120=""),"",MOD($E120-$D120,1))</f>
        <v/>
      </c>
      <c r="G120" s="60">
        <f>IF(OR($B120="",$B120&lt;&gt;$B119,$D120="",$E119=""),"",IF(OR($A120="",$A119=""),IF(MOD($D120-$E119,1)=0,1,MOD($D120-$E119,1)),($A120+$D120)-($A119+$E119)))</f>
        <v/>
      </c>
      <c r="H120">
        <f>IF($G120="","",IF($G120&lt;$C$175,"Descanso inferior al mínimo legal entre jornadas (art. 34.3 ET)",""))</f>
        <v/>
      </c>
      <c r="I120" s="45" t="n"/>
    </row>
    <row r="121">
      <c r="A121" s="58" t="n"/>
      <c r="B121" s="45" t="n"/>
      <c r="C121" s="45" t="n"/>
      <c r="D121" s="59" t="n"/>
      <c r="E121" s="59" t="n"/>
      <c r="F121" s="60">
        <f>IF(OR($D121="",$E121=""),"",MOD($E121-$D121,1))</f>
        <v/>
      </c>
      <c r="G121" s="60">
        <f>IF(OR($B121="",$B121&lt;&gt;$B120,$D121="",$E120=""),"",IF(OR($A121="",$A120=""),IF(MOD($D121-$E120,1)=0,1,MOD($D121-$E120,1)),($A121+$D121)-($A120+$E120)))</f>
        <v/>
      </c>
      <c r="H121">
        <f>IF($G121="","",IF($G121&lt;$C$175,"Descanso inferior al mínimo legal entre jornadas (art. 34.3 ET)",""))</f>
        <v/>
      </c>
      <c r="I121" s="45" t="n"/>
    </row>
    <row r="122">
      <c r="A122" s="58" t="n"/>
      <c r="B122" s="45" t="n"/>
      <c r="C122" s="45" t="n"/>
      <c r="D122" s="59" t="n"/>
      <c r="E122" s="59" t="n"/>
      <c r="F122" s="60">
        <f>IF(OR($D122="",$E122=""),"",MOD($E122-$D122,1))</f>
        <v/>
      </c>
      <c r="G122" s="60">
        <f>IF(OR($B122="",$B122&lt;&gt;$B121,$D122="",$E121=""),"",IF(OR($A122="",$A121=""),IF(MOD($D122-$E121,1)=0,1,MOD($D122-$E121,1)),($A122+$D122)-($A121+$E121)))</f>
        <v/>
      </c>
      <c r="H122">
        <f>IF($G122="","",IF($G122&lt;$C$175,"Descanso inferior al mínimo legal entre jornadas (art. 34.3 ET)",""))</f>
        <v/>
      </c>
      <c r="I122" s="45" t="n"/>
    </row>
    <row r="123">
      <c r="A123" s="58" t="n"/>
      <c r="B123" s="45" t="n"/>
      <c r="C123" s="45" t="n"/>
      <c r="D123" s="59" t="n"/>
      <c r="E123" s="59" t="n"/>
      <c r="F123" s="60">
        <f>IF(OR($D123="",$E123=""),"",MOD($E123-$D123,1))</f>
        <v/>
      </c>
      <c r="G123" s="60">
        <f>IF(OR($B123="",$B123&lt;&gt;$B122,$D123="",$E122=""),"",IF(OR($A123="",$A122=""),IF(MOD($D123-$E122,1)=0,1,MOD($D123-$E122,1)),($A123+$D123)-($A122+$E122)))</f>
        <v/>
      </c>
      <c r="H123">
        <f>IF($G123="","",IF($G123&lt;$C$175,"Descanso inferior al mínimo legal entre jornadas (art. 34.3 ET)",""))</f>
        <v/>
      </c>
      <c r="I123" s="45" t="n"/>
    </row>
    <row r="124">
      <c r="A124" s="58" t="n"/>
      <c r="B124" s="45" t="n"/>
      <c r="C124" s="45" t="n"/>
      <c r="D124" s="59" t="n"/>
      <c r="E124" s="59" t="n"/>
      <c r="F124" s="60">
        <f>IF(OR($D124="",$E124=""),"",MOD($E124-$D124,1))</f>
        <v/>
      </c>
      <c r="G124" s="60">
        <f>IF(OR($B124="",$B124&lt;&gt;$B123,$D124="",$E123=""),"",IF(OR($A124="",$A123=""),IF(MOD($D124-$E123,1)=0,1,MOD($D124-$E123,1)),($A124+$D124)-($A123+$E123)))</f>
        <v/>
      </c>
      <c r="H124">
        <f>IF($G124="","",IF($G124&lt;$C$175,"Descanso inferior al mínimo legal entre jornadas (art. 34.3 ET)",""))</f>
        <v/>
      </c>
      <c r="I124" s="45" t="n"/>
    </row>
    <row r="125">
      <c r="A125" s="58" t="n"/>
      <c r="B125" s="45" t="n"/>
      <c r="C125" s="45" t="n"/>
      <c r="D125" s="59" t="n"/>
      <c r="E125" s="59" t="n"/>
      <c r="F125" s="60">
        <f>IF(OR($D125="",$E125=""),"",MOD($E125-$D125,1))</f>
        <v/>
      </c>
      <c r="G125" s="60">
        <f>IF(OR($B125="",$B125&lt;&gt;$B124,$D125="",$E124=""),"",IF(OR($A125="",$A124=""),IF(MOD($D125-$E124,1)=0,1,MOD($D125-$E124,1)),($A125+$D125)-($A124+$E124)))</f>
        <v/>
      </c>
      <c r="H125">
        <f>IF($G125="","",IF($G125&lt;$C$175,"Descanso inferior al mínimo legal entre jornadas (art. 34.3 ET)",""))</f>
        <v/>
      </c>
      <c r="I125" s="45" t="n"/>
    </row>
    <row r="126">
      <c r="A126" s="58" t="n"/>
      <c r="B126" s="45" t="n"/>
      <c r="C126" s="45" t="n"/>
      <c r="D126" s="59" t="n"/>
      <c r="E126" s="59" t="n"/>
      <c r="F126" s="60">
        <f>IF(OR($D126="",$E126=""),"",MOD($E126-$D126,1))</f>
        <v/>
      </c>
      <c r="G126" s="60">
        <f>IF(OR($B126="",$B126&lt;&gt;$B125,$D126="",$E125=""),"",IF(OR($A126="",$A125=""),IF(MOD($D126-$E125,1)=0,1,MOD($D126-$E125,1)),($A126+$D126)-($A125+$E125)))</f>
        <v/>
      </c>
      <c r="H126">
        <f>IF($G126="","",IF($G126&lt;$C$175,"Descanso inferior al mínimo legal entre jornadas (art. 34.3 ET)",""))</f>
        <v/>
      </c>
      <c r="I126" s="45" t="n"/>
    </row>
    <row r="127">
      <c r="A127" s="58" t="n"/>
      <c r="B127" s="45" t="n"/>
      <c r="C127" s="45" t="n"/>
      <c r="D127" s="59" t="n"/>
      <c r="E127" s="59" t="n"/>
      <c r="F127" s="60">
        <f>IF(OR($D127="",$E127=""),"",MOD($E127-$D127,1))</f>
        <v/>
      </c>
      <c r="G127" s="60">
        <f>IF(OR($B127="",$B127&lt;&gt;$B126,$D127="",$E126=""),"",IF(OR($A127="",$A126=""),IF(MOD($D127-$E126,1)=0,1,MOD($D127-$E126,1)),($A127+$D127)-($A126+$E126)))</f>
        <v/>
      </c>
      <c r="H127">
        <f>IF($G127="","",IF($G127&lt;$C$175,"Descanso inferior al mínimo legal entre jornadas (art. 34.3 ET)",""))</f>
        <v/>
      </c>
      <c r="I127" s="45" t="n"/>
    </row>
    <row r="128">
      <c r="A128" s="58" t="n"/>
      <c r="B128" s="45" t="n"/>
      <c r="C128" s="45" t="n"/>
      <c r="D128" s="59" t="n"/>
      <c r="E128" s="59" t="n"/>
      <c r="F128" s="60">
        <f>IF(OR($D128="",$E128=""),"",MOD($E128-$D128,1))</f>
        <v/>
      </c>
      <c r="G128" s="60">
        <f>IF(OR($B128="",$B128&lt;&gt;$B127,$D128="",$E127=""),"",IF(OR($A128="",$A127=""),IF(MOD($D128-$E127,1)=0,1,MOD($D128-$E127,1)),($A128+$D128)-($A127+$E127)))</f>
        <v/>
      </c>
      <c r="H128">
        <f>IF($G128="","",IF($G128&lt;$C$175,"Descanso inferior al mínimo legal entre jornadas (art. 34.3 ET)",""))</f>
        <v/>
      </c>
      <c r="I128" s="45" t="n"/>
    </row>
    <row r="129">
      <c r="A129" s="58" t="n"/>
      <c r="B129" s="45" t="n"/>
      <c r="C129" s="45" t="n"/>
      <c r="D129" s="59" t="n"/>
      <c r="E129" s="59" t="n"/>
      <c r="F129" s="60">
        <f>IF(OR($D129="",$E129=""),"",MOD($E129-$D129,1))</f>
        <v/>
      </c>
      <c r="G129" s="60">
        <f>IF(OR($B129="",$B129&lt;&gt;$B128,$D129="",$E128=""),"",IF(OR($A129="",$A128=""),IF(MOD($D129-$E128,1)=0,1,MOD($D129-$E128,1)),($A129+$D129)-($A128+$E128)))</f>
        <v/>
      </c>
      <c r="H129">
        <f>IF($G129="","",IF($G129&lt;$C$175,"Descanso inferior al mínimo legal entre jornadas (art. 34.3 ET)",""))</f>
        <v/>
      </c>
      <c r="I129" s="45" t="n"/>
    </row>
    <row r="130">
      <c r="A130" s="58" t="n"/>
      <c r="B130" s="45" t="n"/>
      <c r="C130" s="45" t="n"/>
      <c r="D130" s="59" t="n"/>
      <c r="E130" s="59" t="n"/>
      <c r="F130" s="60">
        <f>IF(OR($D130="",$E130=""),"",MOD($E130-$D130,1))</f>
        <v/>
      </c>
      <c r="G130" s="60">
        <f>IF(OR($B130="",$B130&lt;&gt;$B129,$D130="",$E129=""),"",IF(OR($A130="",$A129=""),IF(MOD($D130-$E129,1)=0,1,MOD($D130-$E129,1)),($A130+$D130)-($A129+$E129)))</f>
        <v/>
      </c>
      <c r="H130">
        <f>IF($G130="","",IF($G130&lt;$C$175,"Descanso inferior al mínimo legal entre jornadas (art. 34.3 ET)",""))</f>
        <v/>
      </c>
      <c r="I130" s="45" t="n"/>
    </row>
    <row r="131">
      <c r="A131" s="58" t="n"/>
      <c r="B131" s="45" t="n"/>
      <c r="C131" s="45" t="n"/>
      <c r="D131" s="59" t="n"/>
      <c r="E131" s="59" t="n"/>
      <c r="F131" s="60">
        <f>IF(OR($D131="",$E131=""),"",MOD($E131-$D131,1))</f>
        <v/>
      </c>
      <c r="G131" s="60">
        <f>IF(OR($B131="",$B131&lt;&gt;$B130,$D131="",$E130=""),"",IF(OR($A131="",$A130=""),IF(MOD($D131-$E130,1)=0,1,MOD($D131-$E130,1)),($A131+$D131)-($A130+$E130)))</f>
        <v/>
      </c>
      <c r="H131">
        <f>IF($G131="","",IF($G131&lt;$C$175,"Descanso inferior al mínimo legal entre jornadas (art. 34.3 ET)",""))</f>
        <v/>
      </c>
      <c r="I131" s="45" t="n"/>
    </row>
    <row r="132">
      <c r="A132" s="58" t="n"/>
      <c r="B132" s="45" t="n"/>
      <c r="C132" s="45" t="n"/>
      <c r="D132" s="59" t="n"/>
      <c r="E132" s="59" t="n"/>
      <c r="F132" s="60">
        <f>IF(OR($D132="",$E132=""),"",MOD($E132-$D132,1))</f>
        <v/>
      </c>
      <c r="G132" s="60">
        <f>IF(OR($B132="",$B132&lt;&gt;$B131,$D132="",$E131=""),"",IF(OR($A132="",$A131=""),IF(MOD($D132-$E131,1)=0,1,MOD($D132-$E131,1)),($A132+$D132)-($A131+$E131)))</f>
        <v/>
      </c>
      <c r="H132">
        <f>IF($G132="","",IF($G132&lt;$C$175,"Descanso inferior al mínimo legal entre jornadas (art. 34.3 ET)",""))</f>
        <v/>
      </c>
      <c r="I132" s="45" t="n"/>
    </row>
    <row r="133">
      <c r="A133" s="58" t="n"/>
      <c r="B133" s="45" t="n"/>
      <c r="C133" s="45" t="n"/>
      <c r="D133" s="59" t="n"/>
      <c r="E133" s="59" t="n"/>
      <c r="F133" s="60">
        <f>IF(OR($D133="",$E133=""),"",MOD($E133-$D133,1))</f>
        <v/>
      </c>
      <c r="G133" s="60">
        <f>IF(OR($B133="",$B133&lt;&gt;$B132,$D133="",$E132=""),"",IF(OR($A133="",$A132=""),IF(MOD($D133-$E132,1)=0,1,MOD($D133-$E132,1)),($A133+$D133)-($A132+$E132)))</f>
        <v/>
      </c>
      <c r="H133">
        <f>IF($G133="","",IF($G133&lt;$C$175,"Descanso inferior al mínimo legal entre jornadas (art. 34.3 ET)",""))</f>
        <v/>
      </c>
      <c r="I133" s="45" t="n"/>
    </row>
    <row r="134">
      <c r="A134" s="58" t="n"/>
      <c r="B134" s="45" t="n"/>
      <c r="C134" s="45" t="n"/>
      <c r="D134" s="59" t="n"/>
      <c r="E134" s="59" t="n"/>
      <c r="F134" s="60">
        <f>IF(OR($D134="",$E134=""),"",MOD($E134-$D134,1))</f>
        <v/>
      </c>
      <c r="G134" s="60">
        <f>IF(OR($B134="",$B134&lt;&gt;$B133,$D134="",$E133=""),"",IF(OR($A134="",$A133=""),IF(MOD($D134-$E133,1)=0,1,MOD($D134-$E133,1)),($A134+$D134)-($A133+$E133)))</f>
        <v/>
      </c>
      <c r="H134">
        <f>IF($G134="","",IF($G134&lt;$C$175,"Descanso inferior al mínimo legal entre jornadas (art. 34.3 ET)",""))</f>
        <v/>
      </c>
      <c r="I134" s="45" t="n"/>
    </row>
    <row r="135">
      <c r="A135" s="58" t="n"/>
      <c r="B135" s="45" t="n"/>
      <c r="C135" s="45" t="n"/>
      <c r="D135" s="59" t="n"/>
      <c r="E135" s="59" t="n"/>
      <c r="F135" s="60">
        <f>IF(OR($D135="",$E135=""),"",MOD($E135-$D135,1))</f>
        <v/>
      </c>
      <c r="G135" s="60">
        <f>IF(OR($B135="",$B135&lt;&gt;$B134,$D135="",$E134=""),"",IF(OR($A135="",$A134=""),IF(MOD($D135-$E134,1)=0,1,MOD($D135-$E134,1)),($A135+$D135)-($A134+$E134)))</f>
        <v/>
      </c>
      <c r="H135">
        <f>IF($G135="","",IF($G135&lt;$C$175,"Descanso inferior al mínimo legal entre jornadas (art. 34.3 ET)",""))</f>
        <v/>
      </c>
      <c r="I135" s="45" t="n"/>
    </row>
    <row r="136">
      <c r="A136" s="58" t="n"/>
      <c r="B136" s="45" t="n"/>
      <c r="C136" s="45" t="n"/>
      <c r="D136" s="59" t="n"/>
      <c r="E136" s="59" t="n"/>
      <c r="F136" s="60">
        <f>IF(OR($D136="",$E136=""),"",MOD($E136-$D136,1))</f>
        <v/>
      </c>
      <c r="G136" s="60">
        <f>IF(OR($B136="",$B136&lt;&gt;$B135,$D136="",$E135=""),"",IF(OR($A136="",$A135=""),IF(MOD($D136-$E135,1)=0,1,MOD($D136-$E135,1)),($A136+$D136)-($A135+$E135)))</f>
        <v/>
      </c>
      <c r="H136">
        <f>IF($G136="","",IF($G136&lt;$C$175,"Descanso inferior al mínimo legal entre jornadas (art. 34.3 ET)",""))</f>
        <v/>
      </c>
      <c r="I136" s="45" t="n"/>
    </row>
    <row r="137">
      <c r="A137" s="58" t="n"/>
      <c r="B137" s="45" t="n"/>
      <c r="C137" s="45" t="n"/>
      <c r="D137" s="59" t="n"/>
      <c r="E137" s="59" t="n"/>
      <c r="F137" s="60">
        <f>IF(OR($D137="",$E137=""),"",MOD($E137-$D137,1))</f>
        <v/>
      </c>
      <c r="G137" s="60">
        <f>IF(OR($B137="",$B137&lt;&gt;$B136,$D137="",$E136=""),"",IF(OR($A137="",$A136=""),IF(MOD($D137-$E136,1)=0,1,MOD($D137-$E136,1)),($A137+$D137)-($A136+$E136)))</f>
        <v/>
      </c>
      <c r="H137">
        <f>IF($G137="","",IF($G137&lt;$C$175,"Descanso inferior al mínimo legal entre jornadas (art. 34.3 ET)",""))</f>
        <v/>
      </c>
      <c r="I137" s="45" t="n"/>
    </row>
    <row r="138">
      <c r="A138" s="58" t="n"/>
      <c r="B138" s="45" t="n"/>
      <c r="C138" s="45" t="n"/>
      <c r="D138" s="59" t="n"/>
      <c r="E138" s="59" t="n"/>
      <c r="F138" s="60">
        <f>IF(OR($D138="",$E138=""),"",MOD($E138-$D138,1))</f>
        <v/>
      </c>
      <c r="G138" s="60">
        <f>IF(OR($B138="",$B138&lt;&gt;$B137,$D138="",$E137=""),"",IF(OR($A138="",$A137=""),IF(MOD($D138-$E137,1)=0,1,MOD($D138-$E137,1)),($A138+$D138)-($A137+$E137)))</f>
        <v/>
      </c>
      <c r="H138">
        <f>IF($G138="","",IF($G138&lt;$C$175,"Descanso inferior al mínimo legal entre jornadas (art. 34.3 ET)",""))</f>
        <v/>
      </c>
      <c r="I138" s="45" t="n"/>
    </row>
    <row r="139">
      <c r="A139" s="58" t="n"/>
      <c r="B139" s="45" t="n"/>
      <c r="C139" s="45" t="n"/>
      <c r="D139" s="59" t="n"/>
      <c r="E139" s="59" t="n"/>
      <c r="F139" s="60">
        <f>IF(OR($D139="",$E139=""),"",MOD($E139-$D139,1))</f>
        <v/>
      </c>
      <c r="G139" s="60">
        <f>IF(OR($B139="",$B139&lt;&gt;$B138,$D139="",$E138=""),"",IF(OR($A139="",$A138=""),IF(MOD($D139-$E138,1)=0,1,MOD($D139-$E138,1)),($A139+$D139)-($A138+$E138)))</f>
        <v/>
      </c>
      <c r="H139">
        <f>IF($G139="","",IF($G139&lt;$C$175,"Descanso inferior al mínimo legal entre jornadas (art. 34.3 ET)",""))</f>
        <v/>
      </c>
      <c r="I139" s="45" t="n"/>
    </row>
    <row r="140">
      <c r="A140" s="58" t="n"/>
      <c r="B140" s="45" t="n"/>
      <c r="C140" s="45" t="n"/>
      <c r="D140" s="59" t="n"/>
      <c r="E140" s="59" t="n"/>
      <c r="F140" s="60">
        <f>IF(OR($D140="",$E140=""),"",MOD($E140-$D140,1))</f>
        <v/>
      </c>
      <c r="G140" s="60">
        <f>IF(OR($B140="",$B140&lt;&gt;$B139,$D140="",$E139=""),"",IF(OR($A140="",$A139=""),IF(MOD($D140-$E139,1)=0,1,MOD($D140-$E139,1)),($A140+$D140)-($A139+$E139)))</f>
        <v/>
      </c>
      <c r="H140">
        <f>IF($G140="","",IF($G140&lt;$C$175,"Descanso inferior al mínimo legal entre jornadas (art. 34.3 ET)",""))</f>
        <v/>
      </c>
      <c r="I140" s="45" t="n"/>
    </row>
    <row r="141">
      <c r="A141" s="58" t="n"/>
      <c r="B141" s="45" t="n"/>
      <c r="C141" s="45" t="n"/>
      <c r="D141" s="59" t="n"/>
      <c r="E141" s="59" t="n"/>
      <c r="F141" s="60">
        <f>IF(OR($D141="",$E141=""),"",MOD($E141-$D141,1))</f>
        <v/>
      </c>
      <c r="G141" s="60">
        <f>IF(OR($B141="",$B141&lt;&gt;$B140,$D141="",$E140=""),"",IF(OR($A141="",$A140=""),IF(MOD($D141-$E140,1)=0,1,MOD($D141-$E140,1)),($A141+$D141)-($A140+$E140)))</f>
        <v/>
      </c>
      <c r="H141">
        <f>IF($G141="","",IF($G141&lt;$C$175,"Descanso inferior al mínimo legal entre jornadas (art. 34.3 ET)",""))</f>
        <v/>
      </c>
      <c r="I141" s="45" t="n"/>
    </row>
    <row r="142">
      <c r="A142" s="58" t="n"/>
      <c r="B142" s="45" t="n"/>
      <c r="C142" s="45" t="n"/>
      <c r="D142" s="59" t="n"/>
      <c r="E142" s="59" t="n"/>
      <c r="F142" s="60">
        <f>IF(OR($D142="",$E142=""),"",MOD($E142-$D142,1))</f>
        <v/>
      </c>
      <c r="G142" s="60">
        <f>IF(OR($B142="",$B142&lt;&gt;$B141,$D142="",$E141=""),"",IF(OR($A142="",$A141=""),IF(MOD($D142-$E141,1)=0,1,MOD($D142-$E141,1)),($A142+$D142)-($A141+$E141)))</f>
        <v/>
      </c>
      <c r="H142">
        <f>IF($G142="","",IF($G142&lt;$C$175,"Descanso inferior al mínimo legal entre jornadas (art. 34.3 ET)",""))</f>
        <v/>
      </c>
      <c r="I142" s="45" t="n"/>
    </row>
    <row r="143">
      <c r="A143" s="58" t="n"/>
      <c r="B143" s="45" t="n"/>
      <c r="C143" s="45" t="n"/>
      <c r="D143" s="59" t="n"/>
      <c r="E143" s="59" t="n"/>
      <c r="F143" s="60">
        <f>IF(OR($D143="",$E143=""),"",MOD($E143-$D143,1))</f>
        <v/>
      </c>
      <c r="G143" s="60">
        <f>IF(OR($B143="",$B143&lt;&gt;$B142,$D143="",$E142=""),"",IF(OR($A143="",$A142=""),IF(MOD($D143-$E142,1)=0,1,MOD($D143-$E142,1)),($A143+$D143)-($A142+$E142)))</f>
        <v/>
      </c>
      <c r="H143">
        <f>IF($G143="","",IF($G143&lt;$C$175,"Descanso inferior al mínimo legal entre jornadas (art. 34.3 ET)",""))</f>
        <v/>
      </c>
      <c r="I143" s="45" t="n"/>
    </row>
    <row r="144">
      <c r="A144" s="58" t="n"/>
      <c r="B144" s="45" t="n"/>
      <c r="C144" s="45" t="n"/>
      <c r="D144" s="59" t="n"/>
      <c r="E144" s="59" t="n"/>
      <c r="F144" s="60">
        <f>IF(OR($D144="",$E144=""),"",MOD($E144-$D144,1))</f>
        <v/>
      </c>
      <c r="G144" s="60">
        <f>IF(OR($B144="",$B144&lt;&gt;$B143,$D144="",$E143=""),"",IF(OR($A144="",$A143=""),IF(MOD($D144-$E143,1)=0,1,MOD($D144-$E143,1)),($A144+$D144)-($A143+$E143)))</f>
        <v/>
      </c>
      <c r="H144">
        <f>IF($G144="","",IF($G144&lt;$C$175,"Descanso inferior al mínimo legal entre jornadas (art. 34.3 ET)",""))</f>
        <v/>
      </c>
      <c r="I144" s="45" t="n"/>
    </row>
    <row r="145">
      <c r="A145" s="58" t="n"/>
      <c r="B145" s="45" t="n"/>
      <c r="C145" s="45" t="n"/>
      <c r="D145" s="59" t="n"/>
      <c r="E145" s="59" t="n"/>
      <c r="F145" s="60">
        <f>IF(OR($D145="",$E145=""),"",MOD($E145-$D145,1))</f>
        <v/>
      </c>
      <c r="G145" s="60">
        <f>IF(OR($B145="",$B145&lt;&gt;$B144,$D145="",$E144=""),"",IF(OR($A145="",$A144=""),IF(MOD($D145-$E144,1)=0,1,MOD($D145-$E144,1)),($A145+$D145)-($A144+$E144)))</f>
        <v/>
      </c>
      <c r="H145">
        <f>IF($G145="","",IF($G145&lt;$C$175,"Descanso inferior al mínimo legal entre jornadas (art. 34.3 ET)",""))</f>
        <v/>
      </c>
      <c r="I145" s="45" t="n"/>
    </row>
    <row r="146">
      <c r="A146" s="58" t="n"/>
      <c r="B146" s="45" t="n"/>
      <c r="C146" s="45" t="n"/>
      <c r="D146" s="59" t="n"/>
      <c r="E146" s="59" t="n"/>
      <c r="F146" s="60">
        <f>IF(OR($D146="",$E146=""),"",MOD($E146-$D146,1))</f>
        <v/>
      </c>
      <c r="G146" s="60">
        <f>IF(OR($B146="",$B146&lt;&gt;$B145,$D146="",$E145=""),"",IF(OR($A146="",$A145=""),IF(MOD($D146-$E145,1)=0,1,MOD($D146-$E145,1)),($A146+$D146)-($A145+$E145)))</f>
        <v/>
      </c>
      <c r="H146">
        <f>IF($G146="","",IF($G146&lt;$C$175,"Descanso inferior al mínimo legal entre jornadas (art. 34.3 ET)",""))</f>
        <v/>
      </c>
      <c r="I146" s="45" t="n"/>
    </row>
    <row r="147">
      <c r="A147" s="58" t="n"/>
      <c r="B147" s="45" t="n"/>
      <c r="C147" s="45" t="n"/>
      <c r="D147" s="59" t="n"/>
      <c r="E147" s="59" t="n"/>
      <c r="F147" s="60">
        <f>IF(OR($D147="",$E147=""),"",MOD($E147-$D147,1))</f>
        <v/>
      </c>
      <c r="G147" s="60">
        <f>IF(OR($B147="",$B147&lt;&gt;$B146,$D147="",$E146=""),"",IF(OR($A147="",$A146=""),IF(MOD($D147-$E146,1)=0,1,MOD($D147-$E146,1)),($A147+$D147)-($A146+$E146)))</f>
        <v/>
      </c>
      <c r="H147">
        <f>IF($G147="","",IF($G147&lt;$C$175,"Descanso inferior al mínimo legal entre jornadas (art. 34.3 ET)",""))</f>
        <v/>
      </c>
      <c r="I147" s="45" t="n"/>
    </row>
    <row r="148">
      <c r="A148" s="58" t="n"/>
      <c r="B148" s="45" t="n"/>
      <c r="C148" s="45" t="n"/>
      <c r="D148" s="59" t="n"/>
      <c r="E148" s="59" t="n"/>
      <c r="F148" s="60">
        <f>IF(OR($D148="",$E148=""),"",MOD($E148-$D148,1))</f>
        <v/>
      </c>
      <c r="G148" s="60">
        <f>IF(OR($B148="",$B148&lt;&gt;$B147,$D148="",$E147=""),"",IF(OR($A148="",$A147=""),IF(MOD($D148-$E147,1)=0,1,MOD($D148-$E147,1)),($A148+$D148)-($A147+$E147)))</f>
        <v/>
      </c>
      <c r="H148">
        <f>IF($G148="","",IF($G148&lt;$C$175,"Descanso inferior al mínimo legal entre jornadas (art. 34.3 ET)",""))</f>
        <v/>
      </c>
      <c r="I148" s="45" t="n"/>
    </row>
    <row r="149">
      <c r="A149" s="58" t="n"/>
      <c r="B149" s="45" t="n"/>
      <c r="C149" s="45" t="n"/>
      <c r="D149" s="59" t="n"/>
      <c r="E149" s="59" t="n"/>
      <c r="F149" s="60">
        <f>IF(OR($D149="",$E149=""),"",MOD($E149-$D149,1))</f>
        <v/>
      </c>
      <c r="G149" s="60">
        <f>IF(OR($B149="",$B149&lt;&gt;$B148,$D149="",$E148=""),"",IF(OR($A149="",$A148=""),IF(MOD($D149-$E148,1)=0,1,MOD($D149-$E148,1)),($A149+$D149)-($A148+$E148)))</f>
        <v/>
      </c>
      <c r="H149">
        <f>IF($G149="","",IF($G149&lt;$C$175,"Descanso inferior al mínimo legal entre jornadas (art. 34.3 ET)",""))</f>
        <v/>
      </c>
      <c r="I149" s="45" t="n"/>
    </row>
    <row r="150">
      <c r="A150" s="58" t="n"/>
      <c r="B150" s="45" t="n"/>
      <c r="C150" s="45" t="n"/>
      <c r="D150" s="59" t="n"/>
      <c r="E150" s="59" t="n"/>
      <c r="F150" s="60">
        <f>IF(OR($D150="",$E150=""),"",MOD($E150-$D150,1))</f>
        <v/>
      </c>
      <c r="G150" s="60">
        <f>IF(OR($B150="",$B150&lt;&gt;$B149,$D150="",$E149=""),"",IF(OR($A150="",$A149=""),IF(MOD($D150-$E149,1)=0,1,MOD($D150-$E149,1)),($A150+$D150)-($A149+$E149)))</f>
        <v/>
      </c>
      <c r="H150">
        <f>IF($G150="","",IF($G150&lt;$C$175,"Descanso inferior al mínimo legal entre jornadas (art. 34.3 ET)",""))</f>
        <v/>
      </c>
      <c r="I150" s="45" t="n"/>
    </row>
    <row r="151">
      <c r="A151" s="58" t="n"/>
      <c r="B151" s="45" t="n"/>
      <c r="C151" s="45" t="n"/>
      <c r="D151" s="59" t="n"/>
      <c r="E151" s="59" t="n"/>
      <c r="F151" s="60">
        <f>IF(OR($D151="",$E151=""),"",MOD($E151-$D151,1))</f>
        <v/>
      </c>
      <c r="G151" s="60">
        <f>IF(OR($B151="",$B151&lt;&gt;$B150,$D151="",$E150=""),"",IF(OR($A151="",$A150=""),IF(MOD($D151-$E150,1)=0,1,MOD($D151-$E150,1)),($A151+$D151)-($A150+$E150)))</f>
        <v/>
      </c>
      <c r="H151">
        <f>IF($G151="","",IF($G151&lt;$C$175,"Descanso inferior al mínimo legal entre jornadas (art. 34.3 ET)",""))</f>
        <v/>
      </c>
      <c r="I151" s="45" t="n"/>
    </row>
    <row r="152">
      <c r="A152" s="58" t="n"/>
      <c r="B152" s="45" t="n"/>
      <c r="C152" s="45" t="n"/>
      <c r="D152" s="59" t="n"/>
      <c r="E152" s="59" t="n"/>
      <c r="F152" s="60">
        <f>IF(OR($D152="",$E152=""),"",MOD($E152-$D152,1))</f>
        <v/>
      </c>
      <c r="G152" s="60">
        <f>IF(OR($B152="",$B152&lt;&gt;$B151,$D152="",$E151=""),"",IF(OR($A152="",$A151=""),IF(MOD($D152-$E151,1)=0,1,MOD($D152-$E151,1)),($A152+$D152)-($A151+$E151)))</f>
        <v/>
      </c>
      <c r="H152">
        <f>IF($G152="","",IF($G152&lt;$C$175,"Descanso inferior al mínimo legal entre jornadas (art. 34.3 ET)",""))</f>
        <v/>
      </c>
      <c r="I152" s="45" t="n"/>
    </row>
    <row r="153">
      <c r="A153" s="58" t="n"/>
      <c r="B153" s="45" t="n"/>
      <c r="C153" s="45" t="n"/>
      <c r="D153" s="59" t="n"/>
      <c r="E153" s="59" t="n"/>
      <c r="F153" s="60">
        <f>IF(OR($D153="",$E153=""),"",MOD($E153-$D153,1))</f>
        <v/>
      </c>
      <c r="G153" s="60">
        <f>IF(OR($B153="",$B153&lt;&gt;$B152,$D153="",$E152=""),"",IF(OR($A153="",$A152=""),IF(MOD($D153-$E152,1)=0,1,MOD($D153-$E152,1)),($A153+$D153)-($A152+$E152)))</f>
        <v/>
      </c>
      <c r="H153">
        <f>IF($G153="","",IF($G153&lt;$C$175,"Descanso inferior al mínimo legal entre jornadas (art. 34.3 ET)",""))</f>
        <v/>
      </c>
      <c r="I153" s="45" t="n"/>
    </row>
    <row r="154">
      <c r="A154" s="58" t="n"/>
      <c r="B154" s="45" t="n"/>
      <c r="C154" s="45" t="n"/>
      <c r="D154" s="59" t="n"/>
      <c r="E154" s="59" t="n"/>
      <c r="F154" s="60">
        <f>IF(OR($D154="",$E154=""),"",MOD($E154-$D154,1))</f>
        <v/>
      </c>
      <c r="G154" s="60">
        <f>IF(OR($B154="",$B154&lt;&gt;$B153,$D154="",$E153=""),"",IF(OR($A154="",$A153=""),IF(MOD($D154-$E153,1)=0,1,MOD($D154-$E153,1)),($A154+$D154)-($A153+$E153)))</f>
        <v/>
      </c>
      <c r="H154">
        <f>IF($G154="","",IF($G154&lt;$C$175,"Descanso inferior al mínimo legal entre jornadas (art. 34.3 ET)",""))</f>
        <v/>
      </c>
      <c r="I154" s="45" t="n"/>
    </row>
    <row r="155">
      <c r="A155" s="58" t="n"/>
      <c r="B155" s="45" t="n"/>
      <c r="C155" s="45" t="n"/>
      <c r="D155" s="59" t="n"/>
      <c r="E155" s="59" t="n"/>
      <c r="F155" s="60">
        <f>IF(OR($D155="",$E155=""),"",MOD($E155-$D155,1))</f>
        <v/>
      </c>
      <c r="G155" s="60">
        <f>IF(OR($B155="",$B155&lt;&gt;$B154,$D155="",$E154=""),"",IF(OR($A155="",$A154=""),IF(MOD($D155-$E154,1)=0,1,MOD($D155-$E154,1)),($A155+$D155)-($A154+$E154)))</f>
        <v/>
      </c>
      <c r="H155">
        <f>IF($G155="","",IF($G155&lt;$C$175,"Descanso inferior al mínimo legal entre jornadas (art. 34.3 ET)",""))</f>
        <v/>
      </c>
      <c r="I155" s="45" t="n"/>
    </row>
    <row r="156">
      <c r="A156" s="58" t="n"/>
      <c r="B156" s="45" t="n"/>
      <c r="C156" s="45" t="n"/>
      <c r="D156" s="59" t="n"/>
      <c r="E156" s="59" t="n"/>
      <c r="F156" s="60">
        <f>IF(OR($D156="",$E156=""),"",MOD($E156-$D156,1))</f>
        <v/>
      </c>
      <c r="G156" s="60">
        <f>IF(OR($B156="",$B156&lt;&gt;$B155,$D156="",$E155=""),"",IF(OR($A156="",$A155=""),IF(MOD($D156-$E155,1)=0,1,MOD($D156-$E155,1)),($A156+$D156)-($A155+$E155)))</f>
        <v/>
      </c>
      <c r="H156">
        <f>IF($G156="","",IF($G156&lt;$C$175,"Descanso inferior al mínimo legal entre jornadas (art. 34.3 ET)",""))</f>
        <v/>
      </c>
      <c r="I156" s="45" t="n"/>
    </row>
    <row r="157">
      <c r="A157" s="58" t="n"/>
      <c r="B157" s="45" t="n"/>
      <c r="C157" s="45" t="n"/>
      <c r="D157" s="59" t="n"/>
      <c r="E157" s="59" t="n"/>
      <c r="F157" s="60">
        <f>IF(OR($D157="",$E157=""),"",MOD($E157-$D157,1))</f>
        <v/>
      </c>
      <c r="G157" s="60">
        <f>IF(OR($B157="",$B157&lt;&gt;$B156,$D157="",$E156=""),"",IF(OR($A157="",$A156=""),IF(MOD($D157-$E156,1)=0,1,MOD($D157-$E156,1)),($A157+$D157)-($A156+$E156)))</f>
        <v/>
      </c>
      <c r="H157">
        <f>IF($G157="","",IF($G157&lt;$C$175,"Descanso inferior al mínimo legal entre jornadas (art. 34.3 ET)",""))</f>
        <v/>
      </c>
      <c r="I157" s="45" t="n"/>
    </row>
    <row r="158">
      <c r="A158" s="58" t="n"/>
      <c r="B158" s="45" t="n"/>
      <c r="C158" s="45" t="n"/>
      <c r="D158" s="59" t="n"/>
      <c r="E158" s="59" t="n"/>
      <c r="F158" s="60">
        <f>IF(OR($D158="",$E158=""),"",MOD($E158-$D158,1))</f>
        <v/>
      </c>
      <c r="G158" s="60">
        <f>IF(OR($B158="",$B158&lt;&gt;$B157,$D158="",$E157=""),"",IF(OR($A158="",$A157=""),IF(MOD($D158-$E157,1)=0,1,MOD($D158-$E157,1)),($A158+$D158)-($A157+$E157)))</f>
        <v/>
      </c>
      <c r="H158">
        <f>IF($G158="","",IF($G158&lt;$C$175,"Descanso inferior al mínimo legal entre jornadas (art. 34.3 ET)",""))</f>
        <v/>
      </c>
      <c r="I158" s="45" t="n"/>
    </row>
    <row r="159">
      <c r="A159" s="58" t="n"/>
      <c r="B159" s="45" t="n"/>
      <c r="C159" s="45" t="n"/>
      <c r="D159" s="59" t="n"/>
      <c r="E159" s="59" t="n"/>
      <c r="F159" s="60">
        <f>IF(OR($D159="",$E159=""),"",MOD($E159-$D159,1))</f>
        <v/>
      </c>
      <c r="G159" s="60">
        <f>IF(OR($B159="",$B159&lt;&gt;$B158,$D159="",$E158=""),"",IF(OR($A159="",$A158=""),IF(MOD($D159-$E158,1)=0,1,MOD($D159-$E158,1)),($A159+$D159)-($A158+$E158)))</f>
        <v/>
      </c>
      <c r="H159">
        <f>IF($G159="","",IF($G159&lt;$C$175,"Descanso inferior al mínimo legal entre jornadas (art. 34.3 ET)",""))</f>
        <v/>
      </c>
      <c r="I159" s="45" t="n"/>
    </row>
    <row r="160">
      <c r="A160" s="58" t="n"/>
      <c r="B160" s="45" t="n"/>
      <c r="C160" s="45" t="n"/>
      <c r="D160" s="59" t="n"/>
      <c r="E160" s="59" t="n"/>
      <c r="F160" s="60">
        <f>IF(OR($D160="",$E160=""),"",MOD($E160-$D160,1))</f>
        <v/>
      </c>
      <c r="G160" s="60">
        <f>IF(OR($B160="",$B160&lt;&gt;$B159,$D160="",$E159=""),"",IF(OR($A160="",$A159=""),IF(MOD($D160-$E159,1)=0,1,MOD($D160-$E159,1)),($A160+$D160)-($A159+$E159)))</f>
        <v/>
      </c>
      <c r="H160">
        <f>IF($G160="","",IF($G160&lt;$C$175,"Descanso inferior al mínimo legal entre jornadas (art. 34.3 ET)",""))</f>
        <v/>
      </c>
      <c r="I160" s="45" t="n"/>
    </row>
    <row r="161">
      <c r="A161" s="58" t="n"/>
      <c r="B161" s="45" t="n"/>
      <c r="C161" s="45" t="n"/>
      <c r="D161" s="59" t="n"/>
      <c r="E161" s="59" t="n"/>
      <c r="F161" s="60">
        <f>IF(OR($D161="",$E161=""),"",MOD($E161-$D161,1))</f>
        <v/>
      </c>
      <c r="G161" s="60">
        <f>IF(OR($B161="",$B161&lt;&gt;$B160,$D161="",$E160=""),"",IF(OR($A161="",$A160=""),IF(MOD($D161-$E160,1)=0,1,MOD($D161-$E160,1)),($A161+$D161)-($A160+$E160)))</f>
        <v/>
      </c>
      <c r="H161">
        <f>IF($G161="","",IF($G161&lt;$C$175,"Descanso inferior al mínimo legal entre jornadas (art. 34.3 ET)",""))</f>
        <v/>
      </c>
      <c r="I161" s="45" t="n"/>
    </row>
    <row r="162">
      <c r="A162" s="58" t="n"/>
      <c r="B162" s="45" t="n"/>
      <c r="C162" s="45" t="n"/>
      <c r="D162" s="59" t="n"/>
      <c r="E162" s="59" t="n"/>
      <c r="F162" s="60">
        <f>IF(OR($D162="",$E162=""),"",MOD($E162-$D162,1))</f>
        <v/>
      </c>
      <c r="G162" s="60">
        <f>IF(OR($B162="",$B162&lt;&gt;$B161,$D162="",$E161=""),"",IF(OR($A162="",$A161=""),IF(MOD($D162-$E161,1)=0,1,MOD($D162-$E161,1)),($A162+$D162)-($A161+$E161)))</f>
        <v/>
      </c>
      <c r="H162">
        <f>IF($G162="","",IF($G162&lt;$C$175,"Descanso inferior al mínimo legal entre jornadas (art. 34.3 ET)",""))</f>
        <v/>
      </c>
      <c r="I162" s="45" t="n"/>
    </row>
    <row r="163">
      <c r="A163" s="58" t="n"/>
      <c r="B163" s="45" t="n"/>
      <c r="C163" s="45" t="n"/>
      <c r="D163" s="59" t="n"/>
      <c r="E163" s="59" t="n"/>
      <c r="F163" s="60">
        <f>IF(OR($D163="",$E163=""),"",MOD($E163-$D163,1))</f>
        <v/>
      </c>
      <c r="G163" s="60">
        <f>IF(OR($B163="",$B163&lt;&gt;$B162,$D163="",$E162=""),"",IF(OR($A163="",$A162=""),IF(MOD($D163-$E162,1)=0,1,MOD($D163-$E162,1)),($A163+$D163)-($A162+$E162)))</f>
        <v/>
      </c>
      <c r="H163">
        <f>IF($G163="","",IF($G163&lt;$C$175,"Descanso inferior al mínimo legal entre jornadas (art. 34.3 ET)",""))</f>
        <v/>
      </c>
      <c r="I163" s="45" t="n"/>
    </row>
    <row r="164">
      <c r="A164" s="58" t="n"/>
      <c r="B164" s="45" t="n"/>
      <c r="C164" s="45" t="n"/>
      <c r="D164" s="59" t="n"/>
      <c r="E164" s="59" t="n"/>
      <c r="F164" s="60">
        <f>IF(OR($D164="",$E164=""),"",MOD($E164-$D164,1))</f>
        <v/>
      </c>
      <c r="G164" s="60">
        <f>IF(OR($B164="",$B164&lt;&gt;$B163,$D164="",$E163=""),"",IF(OR($A164="",$A163=""),IF(MOD($D164-$E163,1)=0,1,MOD($D164-$E163,1)),($A164+$D164)-($A163+$E163)))</f>
        <v/>
      </c>
      <c r="H164">
        <f>IF($G164="","",IF($G164&lt;$C$175,"Descanso inferior al mínimo legal entre jornadas (art. 34.3 ET)",""))</f>
        <v/>
      </c>
      <c r="I164" s="45" t="n"/>
    </row>
    <row r="165">
      <c r="A165" s="58" t="n"/>
      <c r="B165" s="45" t="n"/>
      <c r="C165" s="45" t="n"/>
      <c r="D165" s="59" t="n"/>
      <c r="E165" s="59" t="n"/>
      <c r="F165" s="60">
        <f>IF(OR($D165="",$E165=""),"",MOD($E165-$D165,1))</f>
        <v/>
      </c>
      <c r="G165" s="60">
        <f>IF(OR($B165="",$B165&lt;&gt;$B164,$D165="",$E164=""),"",IF(OR($A165="",$A164=""),IF(MOD($D165-$E164,1)=0,1,MOD($D165-$E164,1)),($A165+$D165)-($A164+$E164)))</f>
        <v/>
      </c>
      <c r="H165">
        <f>IF($G165="","",IF($G165&lt;$C$175,"Descanso inferior al mínimo legal entre jornadas (art. 34.3 ET)",""))</f>
        <v/>
      </c>
      <c r="I165" s="45" t="n"/>
    </row>
    <row r="166">
      <c r="A166" s="58" t="n"/>
      <c r="B166" s="45" t="n"/>
      <c r="C166" s="45" t="n"/>
      <c r="D166" s="59" t="n"/>
      <c r="E166" s="59" t="n"/>
      <c r="F166" s="60">
        <f>IF(OR($D166="",$E166=""),"",MOD($E166-$D166,1))</f>
        <v/>
      </c>
      <c r="G166" s="60">
        <f>IF(OR($B166="",$B166&lt;&gt;$B165,$D166="",$E165=""),"",IF(OR($A166="",$A165=""),IF(MOD($D166-$E165,1)=0,1,MOD($D166-$E165,1)),($A166+$D166)-($A165+$E165)))</f>
        <v/>
      </c>
      <c r="H166">
        <f>IF($G166="","",IF($G166&lt;$C$175,"Descanso inferior al mínimo legal entre jornadas (art. 34.3 ET)",""))</f>
        <v/>
      </c>
      <c r="I166" s="45" t="n"/>
    </row>
    <row r="167">
      <c r="A167" s="58" t="n"/>
      <c r="B167" s="45" t="n"/>
      <c r="C167" s="45" t="n"/>
      <c r="D167" s="59" t="n"/>
      <c r="E167" s="59" t="n"/>
      <c r="F167" s="60">
        <f>IF(OR($D167="",$E167=""),"",MOD($E167-$D167,1))</f>
        <v/>
      </c>
      <c r="G167" s="60">
        <f>IF(OR($B167="",$B167&lt;&gt;$B166,$D167="",$E166=""),"",IF(OR($A167="",$A166=""),IF(MOD($D167-$E166,1)=0,1,MOD($D167-$E166,1)),($A167+$D167)-($A166+$E166)))</f>
        <v/>
      </c>
      <c r="H167">
        <f>IF($G167="","",IF($G167&lt;$C$175,"Descanso inferior al mínimo legal entre jornadas (art. 34.3 ET)",""))</f>
        <v/>
      </c>
      <c r="I167" s="45" t="n"/>
    </row>
    <row r="168">
      <c r="A168" s="58" t="n"/>
      <c r="B168" s="45" t="n"/>
      <c r="C168" s="45" t="n"/>
      <c r="D168" s="59" t="n"/>
      <c r="E168" s="59" t="n"/>
      <c r="F168" s="60">
        <f>IF(OR($D168="",$E168=""),"",MOD($E168-$D168,1))</f>
        <v/>
      </c>
      <c r="G168" s="60">
        <f>IF(OR($B168="",$B168&lt;&gt;$B167,$D168="",$E167=""),"",IF(OR($A168="",$A167=""),IF(MOD($D168-$E167,1)=0,1,MOD($D168-$E167,1)),($A168+$D168)-($A167+$E167)))</f>
        <v/>
      </c>
      <c r="H168">
        <f>IF($G168="","",IF($G168&lt;$C$175,"Descanso inferior al mínimo legal entre jornadas (art. 34.3 ET)",""))</f>
        <v/>
      </c>
      <c r="I168" s="45" t="n"/>
    </row>
    <row r="169">
      <c r="A169" s="58" t="n"/>
      <c r="B169" s="45" t="n"/>
      <c r="C169" s="45" t="n"/>
      <c r="D169" s="59" t="n"/>
      <c r="E169" s="59" t="n"/>
      <c r="F169" s="60">
        <f>IF(OR($D169="",$E169=""),"",MOD($E169-$D169,1))</f>
        <v/>
      </c>
      <c r="G169" s="60">
        <f>IF(OR($B169="",$B169&lt;&gt;$B168,$D169="",$E168=""),"",IF(OR($A169="",$A168=""),IF(MOD($D169-$E168,1)=0,1,MOD($D169-$E168,1)),($A169+$D169)-($A168+$E168)))</f>
        <v/>
      </c>
      <c r="H169">
        <f>IF($G169="","",IF($G169&lt;$C$175,"Descanso inferior al mínimo legal entre jornadas (art. 34.3 ET)",""))</f>
        <v/>
      </c>
      <c r="I169" s="45" t="n"/>
    </row>
    <row r="170">
      <c r="A170" s="58" t="n"/>
      <c r="B170" s="45" t="n"/>
      <c r="C170" s="45" t="n"/>
      <c r="D170" s="59" t="n"/>
      <c r="E170" s="59" t="n"/>
      <c r="F170" s="60">
        <f>IF(OR($D170="",$E170=""),"",MOD($E170-$D170,1))</f>
        <v/>
      </c>
      <c r="G170" s="60">
        <f>IF(OR($B170="",$B170&lt;&gt;$B169,$D170="",$E169=""),"",IF(OR($A170="",$A169=""),IF(MOD($D170-$E169,1)=0,1,MOD($D170-$E169,1)),($A170+$D170)-($A169+$E169)))</f>
        <v/>
      </c>
      <c r="H170">
        <f>IF($G170="","",IF($G170&lt;$C$175,"Descanso inferior al mínimo legal entre jornadas (art. 34.3 ET)",""))</f>
        <v/>
      </c>
      <c r="I170" s="45" t="n"/>
    </row>
    <row r="171">
      <c r="A171" s="58" t="n"/>
      <c r="B171" s="45" t="n"/>
      <c r="C171" s="45" t="n"/>
      <c r="D171" s="59" t="n"/>
      <c r="E171" s="59" t="n"/>
      <c r="F171" s="60">
        <f>IF(OR($D171="",$E171=""),"",MOD($E171-$D171,1))</f>
        <v/>
      </c>
      <c r="G171" s="60">
        <f>IF(OR($B171="",$B171&lt;&gt;$B170,$D171="",$E170=""),"",IF(OR($A171="",$A170=""),IF(MOD($D171-$E170,1)=0,1,MOD($D171-$E170,1)),($A171+$D171)-($A170+$E170)))</f>
        <v/>
      </c>
      <c r="H171">
        <f>IF($G171="","",IF($G171&lt;$C$175,"Descanso inferior al mínimo legal entre jornadas (art. 34.3 ET)",""))</f>
        <v/>
      </c>
      <c r="I171" s="45" t="n"/>
    </row>
    <row r="172">
      <c r="A172" s="58" t="n"/>
      <c r="B172" s="45" t="n"/>
      <c r="C172" s="45" t="n"/>
      <c r="D172" s="59" t="n"/>
      <c r="E172" s="59" t="n"/>
      <c r="F172" s="60">
        <f>IF(OR($D172="",$E172=""),"",MOD($E172-$D172,1))</f>
        <v/>
      </c>
      <c r="G172" s="60">
        <f>IF(OR($B172="",$B172&lt;&gt;$B171,$D172="",$E171=""),"",IF(OR($A172="",$A171=""),IF(MOD($D172-$E171,1)=0,1,MOD($D172-$E171,1)),($A172+$D172)-($A171+$E171)))</f>
        <v/>
      </c>
      <c r="H172">
        <f>IF($G172="","",IF($G172&lt;$C$175,"Descanso inferior al mínimo legal entre jornadas (art. 34.3 ET)",""))</f>
        <v/>
      </c>
      <c r="I172" s="45" t="n"/>
    </row>
    <row r="173"/>
    <row r="174">
      <c r="A174" s="31" t="inlineStr">
        <is>
          <t>PARÁMETROS DE ESTE LIBRO (edítalos: el libro recalcula)</t>
        </is>
      </c>
    </row>
    <row r="175">
      <c r="A175" t="inlineStr">
        <is>
          <t>Descanso mínimo entre jornadas</t>
        </is>
      </c>
      <c r="C175" s="61" t="n">
        <v>0.5</v>
      </c>
      <c r="D175" s="49" t="inlineStr">
        <is>
          <t>12:00 = doce horas (art. 34.3 ET). Se escribe como hora, no como número.</t>
        </is>
      </c>
    </row>
    <row r="176"/>
    <row r="177">
      <c r="A177" s="31" t="inlineStr">
        <is>
          <t>Horas registradas por trabajador y semana</t>
        </is>
      </c>
    </row>
    <row r="178">
      <c r="A178" s="31" t="inlineStr">
        <is>
          <t>Trabajador</t>
        </is>
      </c>
      <c r="B178" s="31" t="inlineStr">
        <is>
          <t>Semana</t>
        </is>
      </c>
      <c r="C178" s="31" t="inlineStr">
        <is>
          <t>Horas registradas</t>
        </is>
      </c>
    </row>
    <row r="179">
      <c r="A179" s="45" t="n"/>
      <c r="B179" s="45" t="n"/>
      <c r="C179" s="60">
        <f>IF(OR($A179="",$B179=""),"",ROUND(SUMPRODUCT(--($B$5:$B$172=$A179),--($C$5:$C$172=$B179),IFERROR($F$5:$F$172*1,0)),5))</f>
        <v/>
      </c>
    </row>
    <row r="180">
      <c r="A180" s="45" t="n"/>
      <c r="B180" s="45" t="n"/>
      <c r="C180" s="60">
        <f>IF(OR($A180="",$B180=""),"",ROUND(SUMPRODUCT(--($B$5:$B$172=$A180),--($C$5:$C$172=$B180),IFERROR($F$5:$F$172*1,0)),5))</f>
        <v/>
      </c>
    </row>
    <row r="181">
      <c r="A181" s="45" t="n"/>
      <c r="B181" s="45" t="n"/>
      <c r="C181" s="60">
        <f>IF(OR($A181="",$B181=""),"",ROUND(SUMPRODUCT(--($B$5:$B$172=$A181),--($C$5:$C$172=$B181),IFERROR($F$5:$F$172*1,0)),5))</f>
        <v/>
      </c>
    </row>
    <row r="182">
      <c r="A182" s="45" t="n"/>
      <c r="B182" s="45" t="n"/>
      <c r="C182" s="60">
        <f>IF(OR($A182="",$B182=""),"",ROUND(SUMPRODUCT(--($B$5:$B$172=$A182),--($C$5:$C$172=$B182),IFERROR($F$5:$F$172*1,0)),5))</f>
        <v/>
      </c>
    </row>
    <row r="183">
      <c r="A183" s="45" t="n"/>
      <c r="B183" s="45" t="n"/>
      <c r="C183" s="60">
        <f>IF(OR($A183="",$B183=""),"",ROUND(SUMPRODUCT(--($B$5:$B$172=$A183),--($C$5:$C$172=$B183),IFERROR($F$5:$F$172*1,0)),5))</f>
        <v/>
      </c>
    </row>
    <row r="184">
      <c r="A184" s="45" t="n"/>
      <c r="B184" s="45" t="n"/>
      <c r="C184" s="60">
        <f>IF(OR($A184="",$B184=""),"",ROUND(SUMPRODUCT(--($B$5:$B$172=$A184),--($C$5:$C$172=$B184),IFERROR($F$5:$F$172*1,0)),5))</f>
        <v/>
      </c>
    </row>
    <row r="185">
      <c r="A185" s="45" t="n"/>
      <c r="B185" s="45" t="n"/>
      <c r="C185" s="60">
        <f>IF(OR($A185="",$B185=""),"",ROUND(SUMPRODUCT(--($B$5:$B$172=$A185),--($C$5:$C$172=$B185),IFERROR($F$5:$F$172*1,0)),5))</f>
        <v/>
      </c>
    </row>
    <row r="186">
      <c r="A186" s="45" t="n"/>
      <c r="B186" s="45" t="n"/>
      <c r="C186" s="60">
        <f>IF(OR($A186="",$B186=""),"",ROUND(SUMPRODUCT(--($B$5:$B$172=$A186),--($C$5:$C$172=$B186),IFERROR($F$5:$F$172*1,0)),5))</f>
        <v/>
      </c>
    </row>
    <row r="187">
      <c r="A187" s="45" t="n"/>
      <c r="B187" s="45" t="n"/>
      <c r="C187" s="60">
        <f>IF(OR($A187="",$B187=""),"",ROUND(SUMPRODUCT(--($B$5:$B$172=$A187),--($C$5:$C$172=$B187),IFERROR($F$5:$F$172*1,0)),5))</f>
        <v/>
      </c>
    </row>
    <row r="188">
      <c r="A188" s="45" t="n"/>
      <c r="B188" s="45" t="n"/>
      <c r="C188" s="60">
        <f>IF(OR($A188="",$B188=""),"",ROUND(SUMPRODUCT(--($B$5:$B$172=$A188),--($C$5:$C$172=$B188),IFERROR($F$5:$F$172*1,0)),5))</f>
        <v/>
      </c>
    </row>
    <row r="189"/>
    <row r="190">
      <c r="A190" s="49" t="inlineStr">
        <is>
          <t>Un cuadrante con letras M/T/P/L en siete columnas NO cumple el registro de jornada: hace falta la hora de entrada y de salida de cada trabajador cada día. El propio checklist de contratación lo exige («Registro de jornada digital (obligatorio)») [DOM-16].</t>
        </is>
      </c>
    </row>
    <row r="191">
      <c r="A191" s="49" t="inlineStr">
        <is>
          <t>Escribe las horas como hora («08:00», «23:30»). El cruce de medianoche está contemplado: una salida a las 02:00 del día siguiente cuenta bien.</t>
        </is>
      </c>
    </row>
  </sheetData>
  <sheetProtection selectLockedCells="0" selectUnlockedCells="0" sheet="1" objects="0" insertRows="0" insertHyperlinks="1" autoFilter="1" scenarios="0" formatColumns="0" deleteColumns="1" insertColumns="1" pivotTables="1" deleteRows="1" formatCells="1" formatRows="0" sort="0"/>
  <conditionalFormatting sqref="G5:G172">
    <cfRule type="expression" priority="1" dxfId="0" stopIfTrue="1">
      <formula>=AND(ISNUMBER($G5),$G5&lt;$C$175)</formula>
    </cfRule>
  </conditionalFormatting>
  <dataValidations count="2">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showDropDown="0" showInputMessage="0" showErrorMessage="1" allowBlank="1" errorTitle="Fecha no válida" error="Escribe una fecha (dd/mm/aaaa) entre 2020 y 2040." type="date" operator="between">
      <formula1>DATE(2020,1,1)</formula1>
      <formula2>DATE(2040,12,31)</formula2>
    </dataValidation>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showDropDown="0" showInputMessage="0" showErrorMessage="1" allowBlank="1" errorTitle="Trabajador" error="Elige un trabajador de la lista (sale de los PUESTOS del cuadrante: escribe los nombres en su columna «Nombre» y vuelve a abrir esta hoja para que el desplegable ofrezca personas)." type="list">
      <formula1>"Chef Ejecutivo,Sous Chef,Jefe Partida Carnes,Jefe Partida Pescados,Jefe Partida Fríos,Jefe Partida Pastelería,Commis 1,Commis 2,Commis 3,Commis 4,Commis 5,Ayudante 1,Ayudante 2,Plonge 1,Plonge 2,Maître,Sommelier,Camarero Rango 1,Camarero Rango 2,Camarero Rango 3,Camarero Rango 4,Runner 1,Runner 2,Hostess"</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Plantilla Turnos Brigada (24 personas)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2026-08-31T21:10:14Z</dcterms:modified>
  <cp:lastModifiedBy>AI Chef Pro</cp:lastModifiedBy>
  <cp:category>AI Chef Pro · Productos digitales</cp:category>
  <cp:keywords>guia restaurante gastronomico, AI Chef Pro</cp:keywords>
</cp:coreProperties>
</file>