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Gantt" sheetId="2" state="visible" r:id="rId2"/>
  </sheets>
  <definedNames>
    <definedName name="_xlnm.Print_Titles" localSheetId="1">'Gantt'!$4:$4</definedName>
  </definedNames>
  <calcPr calcId="124519" fullCalcOnLoad="1"/>
</workbook>
</file>

<file path=xl/styles.xml><?xml version="1.0" encoding="utf-8"?>
<styleSheet xmlns="http://schemas.openxmlformats.org/spreadsheetml/2006/main">
  <numFmts count="2">
    <numFmt numFmtId="164" formatCode="&quot;M&quot;0"/>
    <numFmt numFmtId="165" formatCode="dd/mm/yyyy"/>
  </numFmts>
  <fonts count="6">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s>
  <fills count="6">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FFF8E1"/>
        <bgColor rgb="00FFF8E1"/>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left" vertical="center" wrapText="1"/>
    </xf>
    <xf numFmtId="0" fontId="4" fillId="2" borderId="0" applyProtection="1" pivotButton="0" quotePrefix="0" xfId="0">
      <protection locked="0" hidden="0"/>
    </xf>
    <xf numFmtId="0" fontId="4" fillId="2" borderId="0" applyAlignment="1" applyProtection="1" pivotButton="0" quotePrefix="0" xfId="0">
      <alignment horizontal="left" vertical="top"/>
      <protection locked="0" hidden="0"/>
    </xf>
    <xf numFmtId="164" fontId="5" fillId="3" borderId="1" applyAlignment="1" pivotButton="0" quotePrefix="0" xfId="0">
      <alignment horizontal="center"/>
    </xf>
    <xf numFmtId="164" fontId="5" fillId="3" borderId="1" applyAlignment="1" pivotButton="0" quotePrefix="0" xfId="0">
      <alignment horizontal="center" vertical="center" wrapText="1"/>
    </xf>
    <xf numFmtId="165" fontId="0" fillId="0" borderId="0" pivotButton="0" quotePrefix="0" xfId="0"/>
    <xf numFmtId="3" fontId="0" fillId="0" borderId="0" pivotButton="0" quotePrefix="0" xfId="0"/>
    <xf numFmtId="0" fontId="4" fillId="2" borderId="1" applyAlignment="1" applyProtection="1" pivotButton="0" quotePrefix="0" xfId="0">
      <alignment horizontal="left" vertical="center" wrapText="1"/>
      <protection locked="0" hidden="0"/>
    </xf>
    <xf numFmtId="165" fontId="4" fillId="5" borderId="1" applyAlignment="1" applyProtection="1" pivotButton="0" quotePrefix="0" xfId="0">
      <alignment horizontal="left" vertical="center" wrapText="1"/>
      <protection locked="0" hidden="0"/>
    </xf>
    <xf numFmtId="3" fontId="0" fillId="5" borderId="0" applyAlignment="1" applyProtection="1" pivotButton="0" quotePrefix="0" xfId="0">
      <alignment horizontal="center"/>
      <protection locked="0" hidden="0"/>
    </xf>
    <xf numFmtId="0" fontId="0" fillId="5" borderId="0" applyAlignment="1" applyProtection="1" pivotButton="0" quotePrefix="0" xfId="0">
      <alignment horizontal="left" wrapText="1"/>
      <protection locked="0" hidden="0"/>
    </xf>
    <xf numFmtId="3" fontId="4" fillId="2" borderId="1" applyAlignment="1" applyProtection="1" pivotButton="0" quotePrefix="0" xfId="0">
      <alignment horizontal="left" vertical="center" wrapText="1"/>
      <protection locked="0" hidden="0"/>
    </xf>
  </cellXfs>
  <cellStyles count="1">
    <cellStyle name="Normal" xfId="0" builtinId="0" hidden="0"/>
  </cellStyles>
  <dxfs count="5">
    <dxf>
      <font>
        <b val="1"/>
        <color rgb="001F3864"/>
      </font>
      <fill>
        <patternFill patternType="solid">
          <fgColor rgb="00D9E1F2"/>
          <bgColor rgb="00D9E1F2"/>
        </patternFill>
      </fill>
    </dxf>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7"/>
  <sheetViews>
    <sheetView workbookViewId="0">
      <selection activeCell="A1" sqref="A1"/>
    </sheetView>
  </sheetViews>
  <sheetFormatPr baseColWidth="8" defaultRowHeight="15"/>
  <cols>
    <col width="80" customWidth="1" min="1" max="1"/>
  </cols>
  <sheetData>
    <row r="1" ht="30" customHeight="1">
      <c r="A1" s="1" t="inlineStr">
        <is>
          <t>Cronograma de Apertura — Gantt 18 Meses</t>
        </is>
      </c>
    </row>
    <row r="2">
      <c r="A2" s="2" t="inlineStr">
        <is>
          <t>AI Chef Pro · aichef.pro — Restaurante Gastronómico</t>
        </is>
      </c>
    </row>
    <row r="3"/>
    <row r="4">
      <c r="A4" s="3" t="inlineStr">
        <is>
          <t>Instrucciones de uso</t>
        </is>
      </c>
    </row>
    <row r="5">
      <c r="A5" s="4" t="inlineStr">
        <is>
          <t>1. Rellena «Mes inicio» y «Duración (meses)»: la barra de los meses se pinta sola a partir de esas dos celdas (formato condicional).</t>
        </is>
      </c>
    </row>
    <row r="6">
      <c r="A6" s="4" t="inlineStr">
        <is>
          <t>2. «Depende de» dice qué tarea tiene que estar terminada antes de empezar ésta.</t>
        </is>
      </c>
    </row>
    <row r="7">
      <c r="A7" s="4" t="inlineStr">
        <is>
          <t>3. Usa las columnas de estado para hacer seguimiento.</t>
        </is>
      </c>
    </row>
    <row r="8"/>
    <row r="9">
      <c r="A9" s="10" t="inlineStr">
        <is>
          <t>Celdas verdes = campos editables</t>
        </is>
      </c>
    </row>
    <row r="10"/>
    <row r="11">
      <c r="A11" s="10" t="n"/>
    </row>
    <row r="12"/>
    <row r="13">
      <c r="A13" s="10" t="inlineStr">
        <is>
          <t>«Días» se calcula solo a partir de Inicio y Fin.</t>
        </is>
      </c>
    </row>
    <row r="14"/>
    <row r="15">
      <c r="A15" s="11" t="inlineStr">
        <is>
          <t>Para editar la estructura o una celda que no esté en verde: Revisar → Desproteger hoja (no tiene contraseña).</t>
        </is>
      </c>
    </row>
    <row r="16">
      <c r="A16" s="11" t="inlineStr">
        <is>
          <t>Diseñado por John Guerrero — chef y consultor gastronómico desde 2010, en cocina desde los 17 años · johnguerrero.es</t>
        </is>
      </c>
    </row>
    <row r="17">
      <c r="A17" s="11" t="inlineStr">
        <is>
          <t>Versión 2.0 · agosto 2026 · aichef.pro/guia-restaurante-gastronomico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A39"/>
  <sheetViews>
    <sheetView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60" customWidth="1" min="1" max="1"/>
    <col width="27" customWidth="1" min="2" max="2"/>
    <col width="14" customWidth="1" min="3" max="3"/>
    <col width="12" customWidth="1" min="4" max="4"/>
    <col width="12"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13" customWidth="1" min="24" max="24"/>
    <col width="18" customWidth="1" min="25" max="25"/>
    <col width="60" customWidth="1" min="26" max="26"/>
    <col width="13" customWidth="1" min="27" max="27"/>
  </cols>
  <sheetData>
    <row r="1" ht="30" customHeight="1">
      <c r="A1" s="1" t="inlineStr">
        <is>
          <t>Cronograma de Apertura — 18 Meses</t>
        </is>
      </c>
    </row>
    <row r="2">
      <c r="A2" s="2" t="inlineStr">
        <is>
          <t>AI Chef Pro · aichef.pro — Restaurante Gastronómico</t>
        </is>
      </c>
    </row>
    <row r="3"/>
    <row r="4">
      <c r="A4" s="6" t="inlineStr">
        <is>
          <t>Fase / Tarea</t>
        </is>
      </c>
      <c r="B4" s="6" t="inlineStr">
        <is>
          <t>Responsable</t>
        </is>
      </c>
      <c r="C4" s="6" t="inlineStr">
        <is>
          <t>Estado</t>
        </is>
      </c>
      <c r="D4" s="6" t="inlineStr">
        <is>
          <t>Inicio</t>
        </is>
      </c>
      <c r="E4" s="6" t="inlineStr">
        <is>
          <t>Fin</t>
        </is>
      </c>
      <c r="F4" s="12" t="n">
        <v>1</v>
      </c>
      <c r="G4" s="12" t="n">
        <v>2</v>
      </c>
      <c r="H4" s="12" t="n">
        <v>3</v>
      </c>
      <c r="I4" s="12" t="n">
        <v>4</v>
      </c>
      <c r="J4" s="12" t="n">
        <v>5</v>
      </c>
      <c r="K4" s="12" t="n">
        <v>6</v>
      </c>
      <c r="L4" s="12" t="n">
        <v>7</v>
      </c>
      <c r="M4" s="12" t="n">
        <v>8</v>
      </c>
      <c r="N4" s="12" t="n">
        <v>9</v>
      </c>
      <c r="O4" s="12" t="n">
        <v>10</v>
      </c>
      <c r="P4" s="12" t="n">
        <v>11</v>
      </c>
      <c r="Q4" s="12" t="n">
        <v>12</v>
      </c>
      <c r="R4" s="12" t="n">
        <v>13</v>
      </c>
      <c r="S4" s="12" t="n">
        <v>14</v>
      </c>
      <c r="T4" s="12" t="n">
        <v>15</v>
      </c>
      <c r="U4" s="12" t="n">
        <v>16</v>
      </c>
      <c r="V4" s="12" t="n">
        <v>17</v>
      </c>
      <c r="W4" s="12" t="n">
        <v>18</v>
      </c>
      <c r="X4" s="13" t="inlineStr">
        <is>
          <t>Mes inicio</t>
        </is>
      </c>
      <c r="Y4" s="13" t="inlineStr">
        <is>
          <t>Duración (meses)</t>
        </is>
      </c>
      <c r="Z4" s="13" t="inlineStr">
        <is>
          <t>Depende de</t>
        </is>
      </c>
      <c r="AA4" s="13" t="inlineStr">
        <is>
          <t>Días</t>
        </is>
      </c>
    </row>
    <row r="5">
      <c r="A5" s="7" t="inlineStr">
        <is>
          <t>FASE 1: PLANIFICACIÓN</t>
        </is>
      </c>
      <c r="D5" s="14" t="n"/>
      <c r="E5" s="14" t="n"/>
      <c r="Y5" s="15" t="n"/>
      <c r="AA5" s="15" t="n"/>
    </row>
    <row r="6">
      <c r="A6" s="8" t="inlineStr">
        <is>
          <t>Estudio de viabilidad financiera</t>
        </is>
      </c>
      <c r="B6" s="16" t="n"/>
      <c r="C6" s="16" t="inlineStr">
        <is>
          <t>Pendiente</t>
        </is>
      </c>
      <c r="D6" s="17" t="n"/>
      <c r="E6" s="17" t="n"/>
      <c r="X6" s="18" t="n">
        <v>1</v>
      </c>
      <c r="Y6" s="18" t="n">
        <v>2</v>
      </c>
      <c r="Z6" s="19" t="n"/>
      <c r="AA6" s="15">
        <f>IFERROR(IF(OR($D6="",$E6=""),"",$E6-$D6),"")</f>
        <v/>
      </c>
    </row>
    <row r="7">
      <c r="A7" s="8" t="inlineStr">
        <is>
          <t>Búsqueda y selección de local</t>
        </is>
      </c>
      <c r="B7" s="16" t="n"/>
      <c r="C7" s="16" t="inlineStr">
        <is>
          <t>Pendiente</t>
        </is>
      </c>
      <c r="D7" s="17" t="n"/>
      <c r="E7" s="17" t="n"/>
      <c r="X7" s="18" t="n">
        <v>1</v>
      </c>
      <c r="Y7" s="18" t="n">
        <v>3</v>
      </c>
      <c r="Z7" s="19" t="n"/>
      <c r="AA7" s="15">
        <f>IFERROR(IF(OR($D7="",$E7=""),"",$E7-$D7),"")</f>
        <v/>
      </c>
    </row>
    <row r="8">
      <c r="A8" s="8" t="inlineStr">
        <is>
          <t>Negociación y firma del arrendamiento (con carencia)</t>
        </is>
      </c>
      <c r="B8" s="16" t="inlineStr">
        <is>
          <t>Propietario + abogado</t>
        </is>
      </c>
      <c r="C8" s="16" t="inlineStr">
        <is>
          <t>Pendiente</t>
        </is>
      </c>
      <c r="D8" s="17" t="n"/>
      <c r="E8" s="17" t="n"/>
      <c r="X8" s="18" t="n">
        <v>4</v>
      </c>
      <c r="Y8" s="18" t="n">
        <v>2</v>
      </c>
      <c r="Z8" s="19" t="inlineStr">
        <is>
          <t>Búsqueda y selección de local</t>
        </is>
      </c>
      <c r="AA8" s="15">
        <f>IFERROR(IF(OR($D8="",$E8=""),"",$E8-$D8),"")</f>
        <v/>
      </c>
    </row>
    <row r="9">
      <c r="A9" s="8" t="inlineStr">
        <is>
          <t>Constitución de sociedad (SL)</t>
        </is>
      </c>
      <c r="B9" s="16" t="n"/>
      <c r="C9" s="16" t="inlineStr">
        <is>
          <t>Pendiente</t>
        </is>
      </c>
      <c r="D9" s="17" t="n"/>
      <c r="E9" s="17" t="n"/>
      <c r="X9" s="18" t="n">
        <v>2</v>
      </c>
      <c r="Y9" s="18" t="n">
        <v>1</v>
      </c>
      <c r="Z9" s="19" t="n"/>
      <c r="AA9" s="15">
        <f>IFERROR(IF(OR($D9="",$E9=""),"",$E9-$D9),"")</f>
        <v/>
      </c>
    </row>
    <row r="10">
      <c r="A10" s="8" t="inlineStr">
        <is>
          <t>Dossier bancario, negociación de financiación, firma y disposición</t>
        </is>
      </c>
      <c r="B10" s="16" t="inlineStr">
        <is>
          <t>Propietario</t>
        </is>
      </c>
      <c r="C10" s="16" t="inlineStr">
        <is>
          <t>Pendiente</t>
        </is>
      </c>
      <c r="D10" s="17" t="n"/>
      <c r="E10" s="17" t="n"/>
      <c r="X10" s="18" t="n">
        <v>3</v>
      </c>
      <c r="Y10" s="18" t="n">
        <v>4</v>
      </c>
      <c r="Z10" s="19" t="inlineStr">
        <is>
          <t>Estudio de viabilidad financiera</t>
        </is>
      </c>
      <c r="AA10" s="15">
        <f>IFERROR(IF(OR($D10="",$E10=""),"",$E10-$D10),"")</f>
        <v/>
      </c>
    </row>
    <row r="11">
      <c r="A11" s="8" t="inlineStr">
        <is>
          <t>Contratación arquitecto/interiorista</t>
        </is>
      </c>
      <c r="B11" s="16" t="n"/>
      <c r="C11" s="16" t="inlineStr">
        <is>
          <t>Pendiente</t>
        </is>
      </c>
      <c r="D11" s="17" t="n"/>
      <c r="E11" s="17" t="n"/>
      <c r="X11" s="18" t="n">
        <v>4</v>
      </c>
      <c r="Y11" s="18" t="n">
        <v>1</v>
      </c>
      <c r="Z11" s="19" t="inlineStr">
        <is>
          <t>Búsqueda y selección de local</t>
        </is>
      </c>
      <c r="AA11" s="15">
        <f>IFERROR(IF(OR($D11="",$E11=""),"",$E11-$D11),"")</f>
        <v/>
      </c>
    </row>
    <row r="12">
      <c r="A12" s="7" t="inlineStr">
        <is>
          <t>FASE 2: LICENCIAS Y PROYECTO</t>
        </is>
      </c>
      <c r="D12" s="14" t="n"/>
      <c r="E12" s="14" t="n"/>
      <c r="Y12" s="15" t="n"/>
      <c r="AA12" s="15" t="n"/>
    </row>
    <row r="13">
      <c r="A13" s="8" t="inlineStr">
        <is>
          <t>Proyecto técnico (arquitecto)</t>
        </is>
      </c>
      <c r="B13" s="16" t="n"/>
      <c r="C13" s="16" t="inlineStr">
        <is>
          <t>Pendiente</t>
        </is>
      </c>
      <c r="D13" s="17" t="n"/>
      <c r="E13" s="17" t="n"/>
      <c r="X13" s="18" t="n">
        <v>5</v>
      </c>
      <c r="Y13" s="18" t="n">
        <v>2</v>
      </c>
      <c r="Z13" s="19" t="inlineStr">
        <is>
          <t>Contratación arquitecto/interiorista</t>
        </is>
      </c>
      <c r="AA13" s="15">
        <f>IFERROR(IF(OR($D13="",$E13=""),"",$E13-$D13),"")</f>
        <v/>
      </c>
    </row>
    <row r="14">
      <c r="A14" s="8" t="inlineStr">
        <is>
          <t>Solicitud de acometidas y aumento de potencia (luz, gas y agua)</t>
        </is>
      </c>
      <c r="B14" s="16" t="inlineStr">
        <is>
          <t>Arquitecto + instalador</t>
        </is>
      </c>
      <c r="C14" s="16" t="inlineStr">
        <is>
          <t>Pendiente</t>
        </is>
      </c>
      <c r="D14" s="17" t="n"/>
      <c r="E14" s="17" t="n"/>
      <c r="X14" s="18" t="n">
        <v>7</v>
      </c>
      <c r="Y14" s="18" t="n">
        <v>4</v>
      </c>
      <c r="Z14" s="19" t="inlineStr">
        <is>
          <t>Proyecto técnico (arquitecto)</t>
        </is>
      </c>
      <c r="AA14" s="15">
        <f>IFERROR(IF(OR($D14="",$E14=""),"",$E14-$D14),"")</f>
        <v/>
      </c>
    </row>
    <row r="15">
      <c r="A15" s="8" t="inlineStr">
        <is>
          <t>Solicitud licencia de obras</t>
        </is>
      </c>
      <c r="B15" s="16" t="n"/>
      <c r="C15" s="16" t="inlineStr">
        <is>
          <t>Pendiente</t>
        </is>
      </c>
      <c r="D15" s="17" t="n"/>
      <c r="E15" s="17" t="n"/>
      <c r="X15" s="18" t="n">
        <v>7</v>
      </c>
      <c r="Y15" s="18" t="n">
        <v>2</v>
      </c>
      <c r="Z15" s="19" t="inlineStr">
        <is>
          <t>Proyecto técnico (arquitecto)</t>
        </is>
      </c>
      <c r="AA15" s="15">
        <f>IFERROR(IF(OR($D15="",$E15=""),"",$E15-$D15),"")</f>
        <v/>
      </c>
    </row>
    <row r="16">
      <c r="A16" s="8" t="inlineStr">
        <is>
          <t>Solicitud de licencia de actividad clasificada (el nombre depende de la ordenanza municipal; C3 en algunos municipios)</t>
        </is>
      </c>
      <c r="B16" s="16" t="n"/>
      <c r="C16" s="16" t="inlineStr">
        <is>
          <t>Pendiente</t>
        </is>
      </c>
      <c r="D16" s="17" t="n"/>
      <c r="E16" s="17" t="n"/>
      <c r="X16" s="18" t="n">
        <v>7</v>
      </c>
      <c r="Y16" s="18" t="n">
        <v>5</v>
      </c>
      <c r="Z16" s="19" t="inlineStr">
        <is>
          <t>Proyecto técnico (arquitecto)</t>
        </is>
      </c>
      <c r="AA16" s="15">
        <f>IFERROR(IF(OR($D16="",$E16=""),"",$E16-$D16),"")</f>
        <v/>
      </c>
    </row>
    <row r="17">
      <c r="A17" s="8" t="inlineStr">
        <is>
          <t>Registro sanitario CCAA</t>
        </is>
      </c>
      <c r="B17" s="16" t="n"/>
      <c r="C17" s="16" t="inlineStr">
        <is>
          <t>Pendiente</t>
        </is>
      </c>
      <c r="D17" s="17" t="n"/>
      <c r="E17" s="17" t="n"/>
      <c r="X17" s="18" t="n">
        <v>14</v>
      </c>
      <c r="Y17" s="18" t="n">
        <v>1</v>
      </c>
      <c r="Z17" s="19" t="inlineStr">
        <is>
          <t>Certificado final de obra y certificados de las instalaciones (BT, gas, ventilación)</t>
        </is>
      </c>
      <c r="AA17" s="15">
        <f>IFERROR(IF(OR($D17="",$E17=""),"",$E17-$D17),"")</f>
        <v/>
      </c>
    </row>
    <row r="18">
      <c r="A18" s="7" t="inlineStr">
        <is>
          <t>FASE 3: OBRA Y EQUIPAMIENTO</t>
        </is>
      </c>
      <c r="D18" s="14" t="n"/>
      <c r="E18" s="14" t="n"/>
      <c r="Y18" s="15" t="n"/>
      <c r="AA18" s="15" t="n"/>
    </row>
    <row r="19">
      <c r="A19" s="8" t="inlineStr">
        <is>
          <t>Obra civil y reforma integral</t>
        </is>
      </c>
      <c r="B19" s="16" t="n"/>
      <c r="C19" s="16" t="inlineStr">
        <is>
          <t>Pendiente</t>
        </is>
      </c>
      <c r="D19" s="17" t="n"/>
      <c r="E19" s="17" t="n"/>
      <c r="X19" s="18" t="n">
        <v>9</v>
      </c>
      <c r="Y19" s="18" t="n">
        <v>4</v>
      </c>
      <c r="Z19" s="19" t="inlineStr">
        <is>
          <t>Solicitud licencia de obras</t>
        </is>
      </c>
      <c r="AA19" s="15">
        <f>IFERROR(IF(OR($D19="",$E19=""),"",$E19-$D19),"")</f>
        <v/>
      </c>
    </row>
    <row r="20">
      <c r="A20" s="8" t="inlineStr">
        <is>
          <t>Certificado final de obra y certificados de las instalaciones (BT, gas, ventilación)</t>
        </is>
      </c>
      <c r="B20" s="16" t="inlineStr">
        <is>
          <t>Arquitecto + instaladores</t>
        </is>
      </c>
      <c r="C20" s="16" t="inlineStr">
        <is>
          <t>Pendiente</t>
        </is>
      </c>
      <c r="D20" s="17" t="n"/>
      <c r="E20" s="17" t="n"/>
      <c r="X20" s="18" t="n">
        <v>13</v>
      </c>
      <c r="Y20" s="18" t="n">
        <v>1</v>
      </c>
      <c r="Z20" s="19" t="inlineStr">
        <is>
          <t>Obra civil y reforma integral</t>
        </is>
      </c>
      <c r="AA20" s="15">
        <f>IFERROR(IF(OR($D20="",$E20=""),"",$E20-$D20),"")</f>
        <v/>
      </c>
    </row>
    <row r="21">
      <c r="A21" s="8" t="inlineStr">
        <is>
          <t>Resolución de la licencia de actividad y acta de comprobación municipal</t>
        </is>
      </c>
      <c r="B21" s="16" t="inlineStr">
        <is>
          <t>Ayuntamiento</t>
        </is>
      </c>
      <c r="C21" s="16" t="inlineStr">
        <is>
          <t>Pendiente</t>
        </is>
      </c>
      <c r="D21" s="17" t="n"/>
      <c r="E21" s="17" t="n"/>
      <c r="X21" s="18" t="n">
        <v>14</v>
      </c>
      <c r="Y21" s="18" t="n">
        <v>1</v>
      </c>
      <c r="Z21" s="19" t="inlineStr">
        <is>
          <t>Certificado final de obra y certificados de las instalaciones (BT, gas, ventilación)</t>
        </is>
      </c>
      <c r="AA21" s="15">
        <f>IFERROR(IF(OR($D21="",$E21=""),"",$E21-$D21),"")</f>
        <v/>
      </c>
    </row>
    <row r="22">
      <c r="A22" s="8" t="inlineStr">
        <is>
          <t>Instalación cocina profesional</t>
        </is>
      </c>
      <c r="B22" s="16" t="n"/>
      <c r="C22" s="16" t="inlineStr">
        <is>
          <t>Pendiente</t>
        </is>
      </c>
      <c r="D22" s="17" t="n"/>
      <c r="E22" s="17" t="n"/>
      <c r="X22" s="18" t="n">
        <v>13</v>
      </c>
      <c r="Y22" s="18" t="n">
        <v>2</v>
      </c>
      <c r="Z22" s="19" t="inlineStr">
        <is>
          <t>Obra civil y reforma integral</t>
        </is>
      </c>
      <c r="AA22" s="15">
        <f>IFERROR(IF(OR($D22="",$E22=""),"",$E22-$D22),"")</f>
        <v/>
      </c>
    </row>
    <row r="23">
      <c r="A23" s="8" t="inlineStr">
        <is>
          <t>Mobiliario y decoración sala</t>
        </is>
      </c>
      <c r="B23" s="16" t="n"/>
      <c r="C23" s="16" t="inlineStr">
        <is>
          <t>Pendiente</t>
        </is>
      </c>
      <c r="D23" s="17" t="n"/>
      <c r="E23" s="17" t="n"/>
      <c r="X23" s="18" t="n">
        <v>13</v>
      </c>
      <c r="Y23" s="18" t="n">
        <v>2</v>
      </c>
      <c r="Z23" s="19" t="inlineStr">
        <is>
          <t>Obra civil y reforma integral</t>
        </is>
      </c>
      <c r="AA23" s="15">
        <f>IFERROR(IF(OR($D23="",$E23=""),"",$E23-$D23),"")</f>
        <v/>
      </c>
    </row>
    <row r="24">
      <c r="A24" s="8" t="inlineStr">
        <is>
          <t>Instalación tecnología (TPV, etc.)</t>
        </is>
      </c>
      <c r="B24" s="16" t="n"/>
      <c r="C24" s="16" t="inlineStr">
        <is>
          <t>Pendiente</t>
        </is>
      </c>
      <c r="D24" s="17" t="n"/>
      <c r="E24" s="17" t="n"/>
      <c r="X24" s="18" t="n">
        <v>15</v>
      </c>
      <c r="Y24" s="18" t="n">
        <v>1</v>
      </c>
      <c r="Z24" s="19" t="inlineStr">
        <is>
          <t>Instalación cocina profesional</t>
        </is>
      </c>
      <c r="AA24" s="15">
        <f>IFERROR(IF(OR($D24="",$E24=""),"",$E24-$D24),"")</f>
        <v/>
      </c>
    </row>
    <row r="25">
      <c r="A25" s="7" t="inlineStr">
        <is>
          <t>FASE 4: EQUIPO Y BODEGA</t>
        </is>
      </c>
      <c r="D25" s="14" t="n"/>
      <c r="E25" s="14" t="n"/>
      <c r="Y25" s="15" t="n"/>
      <c r="AA25" s="15" t="n"/>
    </row>
    <row r="26">
      <c r="A26" s="8" t="inlineStr">
        <is>
          <t>Selección y contratación brigada cocina</t>
        </is>
      </c>
      <c r="B26" s="16" t="n"/>
      <c r="C26" s="16" t="inlineStr">
        <is>
          <t>Pendiente</t>
        </is>
      </c>
      <c r="D26" s="17" t="n"/>
      <c r="E26" s="17" t="n"/>
      <c r="X26" s="18" t="n">
        <v>12</v>
      </c>
      <c r="Y26" s="18" t="n">
        <v>3</v>
      </c>
      <c r="Z26" s="19" t="n"/>
      <c r="AA26" s="15">
        <f>IFERROR(IF(OR($D26="",$E26=""),"",$E26-$D26),"")</f>
        <v/>
      </c>
    </row>
    <row r="27">
      <c r="A27" s="8" t="inlineStr">
        <is>
          <t>Selección equipo de sala</t>
        </is>
      </c>
      <c r="B27" s="16" t="n"/>
      <c r="C27" s="16" t="inlineStr">
        <is>
          <t>Pendiente</t>
        </is>
      </c>
      <c r="D27" s="17" t="n"/>
      <c r="E27" s="17" t="n"/>
      <c r="X27" s="18" t="n">
        <v>13</v>
      </c>
      <c r="Y27" s="18" t="n">
        <v>2</v>
      </c>
      <c r="Z27" s="19" t="n"/>
      <c r="AA27" s="15">
        <f>IFERROR(IF(OR($D27="",$E27=""),"",$E27-$D27),"")</f>
        <v/>
      </c>
    </row>
    <row r="28">
      <c r="A28" s="8" t="inlineStr">
        <is>
          <t>Compra vajilla/cristalería/cubertería</t>
        </is>
      </c>
      <c r="B28" s="16" t="n"/>
      <c r="C28" s="16" t="inlineStr">
        <is>
          <t>Pendiente</t>
        </is>
      </c>
      <c r="D28" s="17" t="n"/>
      <c r="E28" s="17" t="n"/>
      <c r="X28" s="18" t="n">
        <v>15</v>
      </c>
      <c r="Y28" s="18" t="n">
        <v>1</v>
      </c>
      <c r="Z28" s="19" t="inlineStr">
        <is>
          <t>Mobiliario y decoración sala</t>
        </is>
      </c>
      <c r="AA28" s="15">
        <f>IFERROR(IF(OR($D28="",$E28=""),"",$E28-$D28),"")</f>
        <v/>
      </c>
    </row>
    <row r="29">
      <c r="A29" s="8" t="inlineStr">
        <is>
          <t>Selección proveedores y bodega</t>
        </is>
      </c>
      <c r="B29" s="16" t="n"/>
      <c r="C29" s="16" t="inlineStr">
        <is>
          <t>Pendiente</t>
        </is>
      </c>
      <c r="D29" s="17" t="n"/>
      <c r="E29" s="17" t="n"/>
      <c r="X29" s="18" t="n">
        <v>13</v>
      </c>
      <c r="Y29" s="18" t="n">
        <v>2</v>
      </c>
      <c r="Z29" s="19" t="n"/>
      <c r="AA29" s="15">
        <f>IFERROR(IF(OR($D29="",$E29=""),"",$E29-$D29),"")</f>
        <v/>
      </c>
    </row>
    <row r="30">
      <c r="A30" s="7" t="inlineStr">
        <is>
          <t>FASE 5: PRE-APERTURA</t>
        </is>
      </c>
      <c r="D30" s="14" t="n"/>
      <c r="E30" s="14" t="n"/>
      <c r="Y30" s="15" t="n"/>
      <c r="AA30" s="15" t="n"/>
    </row>
    <row r="31">
      <c r="A31" s="8" t="inlineStr">
        <is>
          <t>Formación de equipo (2‑4 semanas)</t>
        </is>
      </c>
      <c r="B31" s="16" t="n"/>
      <c r="C31" s="16" t="inlineStr">
        <is>
          <t>Pendiente</t>
        </is>
      </c>
      <c r="D31" s="17" t="n"/>
      <c r="E31" s="17" t="n"/>
      <c r="X31" s="18" t="n">
        <v>15</v>
      </c>
      <c r="Y31" s="18" t="n">
        <v>1</v>
      </c>
      <c r="Z31" s="19" t="inlineStr">
        <is>
          <t>Selección y contratación brigada cocina</t>
        </is>
      </c>
      <c r="AA31" s="15">
        <f>IFERROR(IF(OR($D31="",$E31=""),"",$E31-$D31),"")</f>
        <v/>
      </c>
    </row>
    <row r="32">
      <c r="A32" s="8" t="inlineStr">
        <is>
          <t>Pruebas de carta y menús</t>
        </is>
      </c>
      <c r="B32" s="16" t="n"/>
      <c r="C32" s="16" t="inlineStr">
        <is>
          <t>Pendiente</t>
        </is>
      </c>
      <c r="D32" s="17" t="n"/>
      <c r="E32" s="17" t="n"/>
      <c r="X32" s="18" t="n">
        <v>15</v>
      </c>
      <c r="Y32" s="18" t="n">
        <v>1</v>
      </c>
      <c r="Z32" s="19" t="inlineStr">
        <is>
          <t>Instalación cocina profesional</t>
        </is>
      </c>
      <c r="AA32" s="15">
        <f>IFERROR(IF(OR($D32="",$E32=""),"",$E32-$D32),"")</f>
        <v/>
      </c>
    </row>
    <row r="33">
      <c r="A33" s="8" t="inlineStr">
        <is>
          <t>Fotografía profesional de platos</t>
        </is>
      </c>
      <c r="B33" s="16" t="n"/>
      <c r="C33" s="16" t="inlineStr">
        <is>
          <t>Pendiente</t>
        </is>
      </c>
      <c r="D33" s="17" t="n"/>
      <c r="E33" s="17" t="n"/>
      <c r="X33" s="18" t="n">
        <v>16</v>
      </c>
      <c r="Y33" s="18" t="n">
        <v>1</v>
      </c>
      <c r="Z33" s="19" t="inlineStr">
        <is>
          <t>Pruebas de carta y menús</t>
        </is>
      </c>
      <c r="AA33" s="15">
        <f>IFERROR(IF(OR($D33="",$E33=""),"",$E33-$D33),"")</f>
        <v/>
      </c>
    </row>
    <row r="34">
      <c r="A34" s="8" t="inlineStr">
        <is>
          <t>Marketing pre-apertura y prensa</t>
        </is>
      </c>
      <c r="B34" s="16" t="n"/>
      <c r="C34" s="16" t="inlineStr">
        <is>
          <t>Pendiente</t>
        </is>
      </c>
      <c r="D34" s="17" t="n"/>
      <c r="E34" s="17" t="n"/>
      <c r="X34" s="18" t="n">
        <v>15</v>
      </c>
      <c r="Y34" s="18" t="n">
        <v>2</v>
      </c>
      <c r="Z34" s="19" t="n"/>
      <c r="AA34" s="15">
        <f>IFERROR(IF(OR($D34="",$E34=""),"",$E34-$D34),"")</f>
        <v/>
      </c>
    </row>
    <row r="35">
      <c r="A35" s="8" t="inlineStr">
        <is>
          <t>Servicios de prueba (soft opening)</t>
        </is>
      </c>
      <c r="B35" s="16" t="n"/>
      <c r="C35" s="16" t="inlineStr">
        <is>
          <t>Pendiente</t>
        </is>
      </c>
      <c r="D35" s="17" t="n"/>
      <c r="E35" s="17" t="n"/>
      <c r="X35" s="18" t="n">
        <v>16</v>
      </c>
      <c r="Y35" s="18" t="n">
        <v>1</v>
      </c>
      <c r="Z35" s="19" t="inlineStr">
        <is>
          <t>Pruebas de carta y menús</t>
        </is>
      </c>
      <c r="AA35" s="15">
        <f>IFERROR(IF(OR($D35="",$E35=""),"",$E35-$D35),"")</f>
        <v/>
      </c>
    </row>
    <row r="36">
      <c r="A36" s="7" t="inlineStr">
        <is>
          <t>FASE 6: APERTURA</t>
        </is>
      </c>
      <c r="D36" s="14" t="n"/>
      <c r="E36" s="14" t="n"/>
      <c r="Y36" s="15" t="n"/>
      <c r="AA36" s="15" t="n"/>
    </row>
    <row r="37">
      <c r="A37" s="8" t="inlineStr">
        <is>
          <t>Apertura oficial</t>
        </is>
      </c>
      <c r="B37" s="16" t="n"/>
      <c r="C37" s="16" t="inlineStr">
        <is>
          <t>Pendiente</t>
        </is>
      </c>
      <c r="D37" s="17" t="n"/>
      <c r="E37" s="17" t="n"/>
      <c r="X37" s="18" t="n">
        <v>17</v>
      </c>
      <c r="Y37" s="18" t="n">
        <v>1</v>
      </c>
      <c r="Z37" s="19" t="inlineStr">
        <is>
          <t>Servicios de prueba (soft opening)</t>
        </is>
      </c>
      <c r="AA37" s="15">
        <f>IFERROR(IF(OR($D37="",$E37=""),"",$E37-$D37),"")</f>
        <v/>
      </c>
    </row>
    <row r="38">
      <c r="A38" s="8" t="inlineStr">
        <is>
          <t>Primeros 30 días: monitorización</t>
        </is>
      </c>
      <c r="B38" s="16" t="n"/>
      <c r="C38" s="20" t="inlineStr">
        <is>
          <t>Pendiente</t>
        </is>
      </c>
      <c r="D38" s="17" t="n"/>
      <c r="E38" s="17" t="n"/>
      <c r="F38" s="15" t="n"/>
      <c r="G38" s="15" t="n"/>
      <c r="H38" s="15" t="n"/>
      <c r="I38" s="15" t="n"/>
      <c r="J38" s="15" t="n"/>
      <c r="K38" s="15" t="n"/>
      <c r="L38" s="15" t="n"/>
      <c r="M38" s="15" t="n"/>
      <c r="N38" s="15" t="n"/>
      <c r="O38" s="15" t="n"/>
      <c r="P38" s="15" t="n"/>
      <c r="Q38" s="15" t="n"/>
      <c r="R38" s="15" t="n"/>
      <c r="S38" s="15" t="n"/>
      <c r="T38" s="15" t="n"/>
      <c r="U38" s="15" t="n"/>
      <c r="V38" s="15" t="n"/>
      <c r="W38" s="15" t="n"/>
      <c r="X38" s="18" t="n">
        <v>18</v>
      </c>
      <c r="Y38" s="18" t="n">
        <v>1</v>
      </c>
      <c r="Z38" s="19" t="inlineStr">
        <is>
          <t>Apertura oficial</t>
        </is>
      </c>
      <c r="AA38" s="15">
        <f>IFERROR(IF(OR($D38="",$E38=""),"",$E38-$D38),"")</f>
        <v/>
      </c>
    </row>
    <row r="39">
      <c r="A39" s="8" t="inlineStr">
        <is>
          <t>Ajustes de carta según feedback</t>
        </is>
      </c>
      <c r="B39" s="16" t="n"/>
      <c r="C39" s="16" t="inlineStr">
        <is>
          <t>Pendiente</t>
        </is>
      </c>
      <c r="D39" s="17" t="n"/>
      <c r="E39" s="17" t="n"/>
      <c r="X39" s="18" t="n">
        <v>18</v>
      </c>
      <c r="Y39" s="18" t="n">
        <v>1</v>
      </c>
      <c r="Z39" s="19" t="inlineStr">
        <is>
          <t>Apertura oficial</t>
        </is>
      </c>
      <c r="AA39" s="15">
        <f>IFERROR(IF(OR($D39="",$E39=""),"",$E39-$D39),"")</f>
        <v/>
      </c>
    </row>
  </sheetData>
  <sheetProtection selectLockedCells="0" selectUnlockedCells="0" sheet="1" objects="0" insertRows="0" insertHyperlinks="1" autoFilter="1" scenarios="0" formatColumns="0" deleteColumns="1" insertColumns="1" pivotTables="1" deleteRows="1" formatCells="1" formatRows="0" sort="0"/>
  <mergeCells count="2">
    <mergeCell ref="A1:V1"/>
    <mergeCell ref="A2:V2"/>
  </mergeCells>
  <conditionalFormatting sqref="F6:W39">
    <cfRule type="expression" priority="1" dxfId="0" stopIfTrue="1">
      <formula>=AND(ISNUMBER($X6),ISNUMBER($Y6),F$4&gt;=$X6,F$4&lt;$X6+$Y6)</formula>
    </cfRule>
  </conditionalFormatting>
  <conditionalFormatting sqref="X6:Y39">
    <cfRule type="expression" priority="2" dxfId="1" stopIfTrue="1">
      <formula>=AND(ISNUMBER($X6),ISNUMBER($Y6),$X6+$Y6-1&gt;MAX($F$4:$W$4))</formula>
    </cfRule>
  </conditionalFormatting>
  <conditionalFormatting sqref="Z6:Z39">
    <cfRule type="expression" priority="3" dxfId="1" stopIfTrue="1">
      <formula>=AND($Z6&lt;&gt;"",OR(COUNTIF($A$6:$A$39,$Z6)=0,AND(ISNUMBER($X6),$X6&lt;=SUMIF($A$6:$A$39,$Z6,$X$6:$X$39)+SUMIF($A$6:$A$39,$Z6,$Y$6:$Y$39)-1)))</formula>
    </cfRule>
  </conditionalFormatting>
  <conditionalFormatting sqref="C6:C39">
    <cfRule type="cellIs" priority="4" operator="equal" dxfId="2" stopIfTrue="1">
      <formula>"Completado"</formula>
    </cfRule>
    <cfRule type="cellIs" priority="5" operator="equal" dxfId="3" stopIfTrue="1">
      <formula>"En Curso"</formula>
    </cfRule>
    <cfRule type="cellIs" priority="6" operator="equal" dxfId="4" stopIfTrue="1">
      <formula>"Pendiente"</formula>
    </cfRule>
  </conditionalFormatting>
  <dataValidations count="4">
    <dataValidation sqref="D6 D7 D8 D9 D10 D11 D13 D14 D15 D16 D17 D19 D20 D21 D22 D23 D24 D26 D27 D28 D29 D31 D32 D33 D34 D35 D37 D38 D39 E6 E7 E8 E9 E10 E11 E13 E14 E15 E16 E17 E19 E20 E21 E22 E23 E24 E26 E27 E28 E29 E31 E32 E33 E34 E35 E37 E38 E39" showDropDown="0" showInputMessage="0" showErrorMessage="1" allowBlank="1" errorTitle="Fecha no válida" error="Escribe una fecha (dd/mm/aaaa) entre 2020 y 2040." type="date" operator="between">
      <formula1>DATE(2020,1,1)</formula1>
      <formula2>DATE(2040,12,31)</formula2>
    </dataValidation>
    <dataValidation sqref="C6 C7 C8 C9 C10 C11 C13 C14 C15 C16 C17 C19 C20 C21 C22 C23 C24 C26 C27 C28 C29 C31 C32 C33 C34 C35 C37 C38 C39" showDropDown="0" showInputMessage="0" showErrorMessage="1" allowBlank="1" errorTitle="Valor no válido" error="Elige un valor de la lista: Pendiente, En Curso, Completado" type="list">
      <formula1>"Pendiente,En Curso,Completado"</formula1>
    </dataValidation>
    <dataValidation sqref="Y6 Y7 Y8 Y9 Y10 Y11 Y13 Y14 Y15 Y16 Y17 Y19 Y20 Y21 Y22 Y23 Y24 Y26 Y27 Y28 Y29 Y31 Y32 Y33 Y34 Y35 Y37 Y38 Y39" showDropDown="0" showInputMessage="1" showErrorMessage="1" allowBlank="1" errorTitle="Duración" error="Escribe los meses que dura la tarea, entre 1 y 18 (el horizonte de este cuadro)." promptTitle="Duración" prompt="Meses de duración. La barra se pinta desde «Mes inicio» y durante estos meses." type="decimal" operator="between">
      <formula1>1</formula1>
      <formula2>18</formula2>
    </dataValidation>
    <dataValidation sqref="X6 X7 X8 X9 X10 X11 X13 X14 X15 X16 X17 X19 X20 X21 X22 X23 X24 X26 X27 X28 X29 X31 X32 X33 X34 X35 X37 X38 X39"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Cronograma de Apertura — Gantt 18 Meses · Cómo Montar un Restaurante Gastronómico 65 Plazas · v2.0</dc:title>
  <dc:description xmlns:dc="http://purl.org/dc/elements/1.1/">aichef.pro/guia-restaurante-gastronomico</dc:description>
  <dc:subject xmlns:dc="http://purl.org/dc/elements/1.1/">Cómo Montar un Restaurante Gastronómico 65 Plazas · v2.0</dc:subject>
  <dcterms:created xmlns:dcterms="http://purl.org/dc/terms/" xmlns:xsi="http://www.w3.org/2001/XMLSchema-instance" xsi:type="dcterms:W3CDTF">2026-04-05T22:25:49Z</dcterms:created>
  <dcterms:modified xmlns:dcterms="http://purl.org/dc/terms/" xmlns:xsi="http://www.w3.org/2001/XMLSchema-instance" xsi:type="dcterms:W3CDTF">2026-08-29T07:45:05Z</dcterms:modified>
  <cp:lastModifiedBy>AI Chef Pro</cp:lastModifiedBy>
  <cp:category>AI Chef Pro · Productos digitales</cp:category>
  <cp:keywords>guia restaurante gastronomico, AI Chef Pro</cp:keywords>
</cp:coreProperties>
</file>