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Legal" sheetId="2" state="visible" r:id="rId2"/>
  </sheets>
  <definedNames>
    <definedName name="_xlnm._FilterDatabase" localSheetId="1" hidden="1">'Legal'!$A$4:$H$4</definedName>
    <definedName name="_xlnm.Print_Titles" localSheetId="1">'Legal'!$4:$4</definedName>
  </definedNames>
  <calcPr calcId="124519" fullCalcOnLoad="1"/>
</workbook>
</file>

<file path=xl/styles.xml><?xml version="1.0" encoding="utf-8"?>
<styleSheet xmlns="http://schemas.openxmlformats.org/spreadsheetml/2006/main">
  <numFmts count="3">
    <numFmt numFmtId="164" formatCode="#,##0.00 €"/>
    <numFmt numFmtId="165" formatCode="dd/mm/yyyy"/>
    <numFmt numFmtId="166" formatCode="0.0%"/>
  </numFmts>
  <fonts count="11">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
      <b val="1"/>
      <color theme="1"/>
      <sz val="11"/>
    </font>
    <font>
      <b val="1"/>
      <sz val="16"/>
    </font>
    <font>
      <b val="1"/>
      <sz val="12"/>
    </font>
    <font/>
    <font>
      <b val="1"/>
    </font>
  </fonts>
  <fills count="5">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xf numFmtId="0" fontId="7" fillId="0" borderId="0" pivotButton="0" quotePrefix="0" xfId="0"/>
    <xf numFmtId="0" fontId="8" fillId="0" borderId="0" pivotButton="0" quotePrefix="0" xfId="0"/>
    <xf numFmtId="0" fontId="6" fillId="0" borderId="0" pivotButton="0" quotePrefix="0" xfId="0"/>
    <xf numFmtId="164" fontId="0" fillId="4" borderId="0" applyProtection="1" pivotButton="0" quotePrefix="0" xfId="0">
      <protection locked="0" hidden="0"/>
    </xf>
    <xf numFmtId="0" fontId="0" fillId="0" borderId="0" applyAlignment="1" pivotButton="0" quotePrefix="0" xfId="0">
      <alignment horizontal="general" vertical="top" wrapText="1"/>
    </xf>
    <xf numFmtId="0" fontId="0" fillId="0" borderId="0" applyAlignment="1" pivotButton="0" quotePrefix="0" xfId="0">
      <alignment horizontal="left" vertical="top"/>
    </xf>
    <xf numFmtId="0" fontId="4" fillId="4" borderId="1" applyAlignment="1" applyProtection="1" pivotButton="0" quotePrefix="0" xfId="0">
      <alignment horizontal="left" vertical="center" wrapText="1"/>
      <protection locked="0" hidden="0"/>
    </xf>
    <xf numFmtId="165" fontId="4" fillId="4" borderId="1" applyAlignment="1" applyProtection="1" pivotButton="0" quotePrefix="0" xfId="0">
      <alignment horizontal="left" vertical="center" wrapText="1"/>
      <protection locked="0" hidden="0"/>
    </xf>
    <xf numFmtId="164" fontId="4" fillId="3" borderId="1" applyAlignment="1" applyProtection="1" pivotButton="0" quotePrefix="0" xfId="0">
      <alignment horizontal="left" vertical="center" wrapText="1"/>
      <protection locked="0" hidden="0"/>
    </xf>
    <xf numFmtId="164" fontId="4" fillId="0" borderId="1" applyAlignment="1" pivotButton="0" quotePrefix="0" xfId="0">
      <alignment horizontal="left" vertical="center" wrapText="1"/>
    </xf>
    <xf numFmtId="165" fontId="0" fillId="0" borderId="0" pivotButton="0" quotePrefix="0" xfId="0"/>
    <xf numFmtId="164" fontId="0" fillId="0" borderId="0" pivotButton="0" quotePrefix="0" xfId="0"/>
    <xf numFmtId="0" fontId="10" fillId="0" borderId="0" pivotButton="0" quotePrefix="0" xfId="0"/>
    <xf numFmtId="0" fontId="9" fillId="0" borderId="0" pivotButton="0" quotePrefix="0" xfId="0"/>
    <xf numFmtId="164" fontId="6" fillId="0" borderId="0" pivotButton="0" quotePrefix="0" xfId="0"/>
    <xf numFmtId="3" fontId="6" fillId="0" borderId="0" pivotButton="0" quotePrefix="0" xfId="0"/>
    <xf numFmtId="166" fontId="6" fillId="0" borderId="0"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5"/>
  <sheetViews>
    <sheetView workbookViewId="0">
      <selection activeCell="A1" sqref="A1"/>
    </sheetView>
  </sheetViews>
  <sheetFormatPr baseColWidth="8" defaultRowHeight="15"/>
  <cols>
    <col width="80" customWidth="1" min="1" max="1"/>
    <col width="14" customWidth="1" min="2" max="2"/>
    <col width="62" customWidth="1" min="3" max="3"/>
  </cols>
  <sheetData>
    <row r="1">
      <c r="A1" s="9" t="inlineStr">
        <is>
          <t>Checklist Legal — Restaurante Gastronómico</t>
        </is>
      </c>
    </row>
    <row r="2">
      <c r="A2" t="inlineStr">
        <is>
          <t>AI Chef Pro · aichef.pro — Restaurante Gastronómico</t>
        </is>
      </c>
    </row>
    <row r="3"/>
    <row r="4">
      <c r="A4" s="10" t="inlineStr">
        <is>
          <t>Instrucciones de uso</t>
        </is>
      </c>
    </row>
    <row r="5">
      <c r="A5" t="inlineStr">
        <is>
          <t>1. Rellena las celdas verdes con tus datos; el resto lo calcula el libro.</t>
        </is>
      </c>
    </row>
    <row r="6">
      <c r="A6" t="inlineStr">
        <is>
          <t>2. Las hojas están protegidas SIN contraseña para que una copia accidental no borre una fórmula.</t>
        </is>
      </c>
    </row>
    <row r="7"/>
    <row r="8">
      <c r="A8" t="inlineStr">
        <is>
          <t>Celdas verdes = campos editables</t>
        </is>
      </c>
    </row>
    <row r="9"/>
    <row r="10">
      <c r="A10" s="11" t="inlineStr">
        <is>
          <t>Parámetros de este libro (edítalos: el libro recalcula)</t>
        </is>
      </c>
    </row>
    <row r="11">
      <c r="A11" t="inlineStr">
        <is>
          <t>Renta mensual del local (€)</t>
        </is>
      </c>
      <c r="B11" s="12" t="n">
        <v>17000</v>
      </c>
      <c r="C11" s="13" t="inlineStr">
        <is>
          <t>Alquiler mensual del escenario realista de pl-mensual-escenarios.xlsx (§7-bis.7: una sola cifra por magnitud). Escribe el tuyo y la fianza se recalcula.</t>
        </is>
      </c>
    </row>
    <row r="12"/>
    <row r="13">
      <c r="A13" s="14" t="inlineStr">
        <is>
          <t>Para editar la estructura o una celda que no esté en verde: Revisar → Desproteger hoja (no tiene contraseña).</t>
        </is>
      </c>
    </row>
    <row r="14">
      <c r="A14" s="14" t="inlineStr">
        <is>
          <t>Diseñado por John Guerrero — chef y consultor gastronómico desde 2010, en cocina desde los 17 años · johnguerrero.es</t>
        </is>
      </c>
    </row>
    <row r="15">
      <c r="A15" s="14" t="inlineStr">
        <is>
          <t>Versión 2.0 · agosto 2026 · aichef.pro/guia-restaurante-gastronomico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C2"/>
    <mergeCell ref="A1:C1"/>
  </mergeCells>
  <dataValidations count="1">
    <dataValidation sqref="B11"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70"/>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60" customWidth="1" min="3" max="3"/>
    <col width="18" customWidth="1" min="4" max="4"/>
    <col width="14" customWidth="1" min="5" max="5"/>
    <col width="14" customWidth="1" min="6" max="6"/>
    <col width="16" customWidth="1" min="7" max="7"/>
    <col width="30" customWidth="1" min="8" max="8"/>
  </cols>
  <sheetData>
    <row r="1" ht="30" customHeight="1">
      <c r="A1" s="1" t="inlineStr">
        <is>
          <t>Checklist Legal — Restaurante Gastronómico</t>
        </is>
      </c>
    </row>
    <row r="2">
      <c r="A2" s="2" t="inlineStr">
        <is>
          <t>AI Chef Pro · aichef.pro — Restaurante Gastronómico</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Constitución</t>
        </is>
      </c>
      <c r="C5" s="5" t="inlineStr">
        <is>
          <t>Elegir forma jurídica (SL recomendada)</t>
        </is>
      </c>
      <c r="D5" s="15" t="inlineStr">
        <is>
          <t>Abogado/Notario</t>
        </is>
      </c>
      <c r="E5" s="16" t="n"/>
      <c r="F5" s="15" t="inlineStr">
        <is>
          <t>Pendiente</t>
        </is>
      </c>
      <c r="G5" s="17" t="n">
        <v>600</v>
      </c>
      <c r="H5" s="15" t="n"/>
    </row>
    <row r="6">
      <c r="A6" s="4" t="n">
        <v>2</v>
      </c>
      <c r="B6" s="5" t="inlineStr">
        <is>
          <t>Constitución</t>
        </is>
      </c>
      <c r="C6" s="5" t="inlineStr">
        <is>
          <t>Escritura pública ante notario</t>
        </is>
      </c>
      <c r="D6" s="15" t="inlineStr">
        <is>
          <t>Notario</t>
        </is>
      </c>
      <c r="E6" s="16" t="n"/>
      <c r="F6" s="15" t="inlineStr">
        <is>
          <t>Pendiente</t>
        </is>
      </c>
      <c r="G6" s="17" t="n">
        <v>300</v>
      </c>
      <c r="H6" s="15" t="n"/>
    </row>
    <row r="7">
      <c r="A7" s="4" t="n">
        <v>3</v>
      </c>
      <c r="B7" s="5" t="inlineStr">
        <is>
          <t>Constitución</t>
        </is>
      </c>
      <c r="C7" s="5" t="inlineStr">
        <is>
          <t>Inscripción en el Registro Mercantil</t>
        </is>
      </c>
      <c r="D7" s="15" t="inlineStr">
        <is>
          <t>Notario</t>
        </is>
      </c>
      <c r="E7" s="16" t="n"/>
      <c r="F7" s="15" t="inlineStr">
        <is>
          <t>Pendiente</t>
        </is>
      </c>
      <c r="G7" s="17" t="n">
        <v>200</v>
      </c>
      <c r="H7" s="15" t="n"/>
    </row>
    <row r="8">
      <c r="A8" s="4" t="n">
        <v>4</v>
      </c>
      <c r="B8" s="5" t="inlineStr">
        <is>
          <t>Constitución</t>
        </is>
      </c>
      <c r="C8" s="5" t="inlineStr">
        <is>
          <t>Obtener NIF provisional y definitivo</t>
        </is>
      </c>
      <c r="D8" s="15" t="inlineStr">
        <is>
          <t>Hacienda</t>
        </is>
      </c>
      <c r="E8" s="16" t="n"/>
      <c r="F8" s="15" t="inlineStr">
        <is>
          <t>Pendiente</t>
        </is>
      </c>
      <c r="G8" s="17" t="n">
        <v>0</v>
      </c>
      <c r="H8" s="15" t="n"/>
    </row>
    <row r="9">
      <c r="A9" s="4" t="n">
        <v>5</v>
      </c>
      <c r="B9" s="5" t="inlineStr">
        <is>
          <t>Constitución</t>
        </is>
      </c>
      <c r="C9" s="5" t="inlineStr">
        <is>
          <t>Alta censal en Hacienda (Modelo 036/037)</t>
        </is>
      </c>
      <c r="D9" s="15" t="inlineStr">
        <is>
          <t>Asesor fiscal</t>
        </is>
      </c>
      <c r="E9" s="16" t="n"/>
      <c r="F9" s="15" t="inlineStr">
        <is>
          <t>Pendiente</t>
        </is>
      </c>
      <c r="G9" s="17" t="n">
        <v>0</v>
      </c>
      <c r="H9" s="15" t="n"/>
    </row>
    <row r="10">
      <c r="A10" s="4" t="n">
        <v>6</v>
      </c>
      <c r="B10" s="5" t="inlineStr">
        <is>
          <t>Constitución</t>
        </is>
      </c>
      <c r="C10" s="5" t="inlineStr">
        <is>
          <t>Alta en el IAE (epígrafe hostelería)</t>
        </is>
      </c>
      <c r="D10" s="15" t="inlineStr">
        <is>
          <t>Asesor fiscal</t>
        </is>
      </c>
      <c r="E10" s="16" t="n"/>
      <c r="F10" s="15" t="inlineStr">
        <is>
          <t>Pendiente</t>
        </is>
      </c>
      <c r="G10" s="17" t="n">
        <v>0</v>
      </c>
      <c r="H10" s="15" t="n"/>
    </row>
    <row r="11">
      <c r="A11" s="4" t="n">
        <v>7</v>
      </c>
      <c r="B11" s="5" t="inlineStr">
        <is>
          <t>Constitución</t>
        </is>
      </c>
      <c r="C11" s="5" t="inlineStr">
        <is>
          <t>Certificación negativa de denominación social</t>
        </is>
      </c>
      <c r="D11" s="15" t="inlineStr">
        <is>
          <t>Registro Mercantil</t>
        </is>
      </c>
      <c r="E11" s="16" t="n"/>
      <c r="F11" s="15" t="inlineStr">
        <is>
          <t>Pendiente</t>
        </is>
      </c>
      <c r="G11" s="17" t="n">
        <v>20</v>
      </c>
      <c r="H11" s="15" t="n"/>
    </row>
    <row r="12">
      <c r="A12" s="4" t="n">
        <v>8</v>
      </c>
      <c r="B12" s="5" t="inlineStr">
        <is>
          <t>Licencias</t>
        </is>
      </c>
      <c r="C12" s="5" t="inlineStr">
        <is>
          <t>Informe de compatibilidad urbanística</t>
        </is>
      </c>
      <c r="D12" s="15" t="inlineStr">
        <is>
          <t>Arquitecto</t>
        </is>
      </c>
      <c r="E12" s="16" t="n"/>
      <c r="F12" s="15" t="inlineStr">
        <is>
          <t>Pendiente</t>
        </is>
      </c>
      <c r="G12" s="17" t="n">
        <v>500</v>
      </c>
      <c r="H12" s="15" t="inlineStr">
        <is>
          <t>Pídelo ANTES de firmar el arrendamiento: con una licencia de 4‑8 meses por delante, firmar sin esto son meses de renta sobre un local que quizá no pueda abrir.</t>
        </is>
      </c>
    </row>
    <row r="13">
      <c r="A13" s="4" t="n">
        <v>9</v>
      </c>
      <c r="B13" s="5" t="inlineStr">
        <is>
          <t>Licencias</t>
        </is>
      </c>
      <c r="C13" s="5" t="inlineStr">
        <is>
          <t>Proyecto técnico de actividad (arquitecto/ingeniero)</t>
        </is>
      </c>
      <c r="D13" s="15" t="inlineStr">
        <is>
          <t>Arquitecto</t>
        </is>
      </c>
      <c r="E13" s="16" t="n"/>
      <c r="F13" s="15" t="inlineStr">
        <is>
          <t>Pendiente</t>
        </is>
      </c>
      <c r="G13" s="17" t="n">
        <v>5000</v>
      </c>
      <c r="H13" s="15" t="n"/>
    </row>
    <row r="14">
      <c r="A14" s="4" t="n">
        <v>10</v>
      </c>
      <c r="B14" s="5" t="inlineStr">
        <is>
          <t>Licencias</t>
        </is>
      </c>
      <c r="C14" s="5" t="inlineStr">
        <is>
          <t>Licencia de obras (si hay reforma)</t>
        </is>
      </c>
      <c r="D14" s="15" t="inlineStr">
        <is>
          <t>Ayuntamiento</t>
        </is>
      </c>
      <c r="E14" s="16" t="n"/>
      <c r="F14" s="15" t="inlineStr">
        <is>
          <t>Pendiente</t>
        </is>
      </c>
      <c r="G14" s="17" t="n">
        <v>2000</v>
      </c>
      <c r="H14" s="15" t="n"/>
    </row>
    <row r="15">
      <c r="A15" s="4" t="n">
        <v>11</v>
      </c>
      <c r="B15" s="5" t="inlineStr">
        <is>
          <t>Licencias</t>
        </is>
      </c>
      <c r="C15" s="5" t="inlineStr">
        <is>
          <t>Licencia de actividad clasificada de restaurante — la clasificación y el nombre dependen de la ordenanza municipal y del catálogo autonómico; en algunos municipios se denomina C3</t>
        </is>
      </c>
      <c r="D15" s="15" t="inlineStr">
        <is>
          <t>Ayuntamiento</t>
        </is>
      </c>
      <c r="E15" s="16" t="n"/>
      <c r="F15" s="15" t="inlineStr">
        <is>
          <t>Pendiente</t>
        </is>
      </c>
      <c r="G15" s="17" t="n">
        <v>2500</v>
      </c>
      <c r="H15" s="15" t="inlineStr">
        <is>
          <t>No es una categoría nacional: en Cataluña, Andalucía o Valencia ese epígrafe no existe. Consulta el catálogo de tu CCAA y la ordenanza de tu municipio. Plazo orientativo 4‑8 meses (cap. 5).</t>
        </is>
      </c>
    </row>
    <row r="16">
      <c r="A16" s="4" t="n">
        <v>12</v>
      </c>
      <c r="B16" s="5" t="inlineStr">
        <is>
          <t>Licencias</t>
        </is>
      </c>
      <c r="C16" s="5" t="inlineStr">
        <is>
          <t>Certificado de seguridad contra incendios</t>
        </is>
      </c>
      <c r="D16" s="15" t="inlineStr">
        <is>
          <t>Instalador</t>
        </is>
      </c>
      <c r="E16" s="16" t="n"/>
      <c r="F16" s="15" t="inlineStr">
        <is>
          <t>Pendiente</t>
        </is>
      </c>
      <c r="G16" s="17" t="n">
        <v>800</v>
      </c>
      <c r="H16" s="15" t="n"/>
    </row>
    <row r="17">
      <c r="A17" s="4" t="n">
        <v>13</v>
      </c>
      <c r="B17" s="5" t="inlineStr">
        <is>
          <t>Licencias</t>
        </is>
      </c>
      <c r="C17" s="5" t="inlineStr">
        <is>
          <t>Certificado de instalación eléctrica (BT)</t>
        </is>
      </c>
      <c r="D17" s="15" t="inlineStr">
        <is>
          <t>Instalador</t>
        </is>
      </c>
      <c r="E17" s="16" t="n"/>
      <c r="F17" s="15" t="inlineStr">
        <is>
          <t>Pendiente</t>
        </is>
      </c>
      <c r="G17" s="17" t="n">
        <v>400</v>
      </c>
      <c r="H17" s="15" t="n"/>
    </row>
    <row r="18">
      <c r="A18" s="4" t="n">
        <v>14</v>
      </c>
      <c r="B18" s="5" t="inlineStr">
        <is>
          <t>Licencias</t>
        </is>
      </c>
      <c r="C18" s="5" t="inlineStr">
        <is>
          <t>Certificado de instalación de gas</t>
        </is>
      </c>
      <c r="D18" s="15" t="inlineStr">
        <is>
          <t>Instalador</t>
        </is>
      </c>
      <c r="E18" s="16" t="n"/>
      <c r="F18" s="15" t="inlineStr">
        <is>
          <t>Pendiente</t>
        </is>
      </c>
      <c r="G18" s="17" t="n">
        <v>300</v>
      </c>
      <c r="H18" s="15" t="n"/>
    </row>
    <row r="19">
      <c r="A19" s="4" t="n">
        <v>15</v>
      </c>
      <c r="B19" s="5" t="inlineStr">
        <is>
          <t>Licencias</t>
        </is>
      </c>
      <c r="C19" s="5" t="inlineStr">
        <is>
          <t>Proyecto de ventilación y extracción</t>
        </is>
      </c>
      <c r="D19" s="15" t="inlineStr">
        <is>
          <t>Ingeniero</t>
        </is>
      </c>
      <c r="E19" s="16" t="n"/>
      <c r="F19" s="15" t="inlineStr">
        <is>
          <t>Pendiente</t>
        </is>
      </c>
      <c r="G19" s="17" t="n">
        <v>1500</v>
      </c>
      <c r="H19" s="15" t="n"/>
    </row>
    <row r="20">
      <c r="A20" s="4" t="n">
        <v>16</v>
      </c>
      <c r="B20" s="5" t="inlineStr">
        <is>
          <t>Licencias</t>
        </is>
      </c>
      <c r="C20" s="5" t="inlineStr">
        <is>
          <t>Licencia de terraza (si aplica)</t>
        </is>
      </c>
      <c r="D20" s="15" t="inlineStr">
        <is>
          <t>Ayuntamiento</t>
        </is>
      </c>
      <c r="E20" s="16" t="n"/>
      <c r="F20" s="15" t="inlineStr">
        <is>
          <t>Pendiente</t>
        </is>
      </c>
      <c r="G20" s="17" t="n">
        <v>1000</v>
      </c>
      <c r="H20" s="15" t="n"/>
    </row>
    <row r="21">
      <c r="A21" s="4" t="n">
        <v>17</v>
      </c>
      <c r="B21" s="5" t="inlineStr">
        <is>
          <t>Licencias</t>
        </is>
      </c>
      <c r="C21" s="5" t="inlineStr">
        <is>
          <t>Licencia de música (SGAE/AGEDI)</t>
        </is>
      </c>
      <c r="D21" s="15" t="inlineStr">
        <is>
          <t>SGAE</t>
        </is>
      </c>
      <c r="E21" s="16" t="n"/>
      <c r="F21" s="15" t="inlineStr">
        <is>
          <t>Pendiente</t>
        </is>
      </c>
      <c r="G21" s="17" t="n">
        <v>600</v>
      </c>
      <c r="H21" s="15" t="n"/>
    </row>
    <row r="22">
      <c r="A22" s="4" t="n">
        <v>18</v>
      </c>
      <c r="B22" s="5" t="inlineStr">
        <is>
          <t>Licencias</t>
        </is>
      </c>
      <c r="C22" s="5" t="inlineStr">
        <is>
          <t>Arqueta separadora de grasas y autorización o declaración de vertido a la red de saneamiento</t>
        </is>
      </c>
      <c r="D22" s="15" t="inlineStr">
        <is>
          <t>Arquitecto / instalador</t>
        </is>
      </c>
      <c r="E22" s="16" t="n"/>
      <c r="F22" s="15" t="inlineStr">
        <is>
          <t>Pendiente</t>
        </is>
      </c>
      <c r="G22" s="17" t="n"/>
      <c r="H22" s="15" t="inlineStr">
        <is>
          <t>Las cadenas «grasa», «separador» y «vertido» no aparecían en ninguno de los 18 entregables, y este pack presupuesta freidora de doble cuba, parrilla de brasa y fregadero de doble seno. La mayoría de ordenanzas municipales lo exigen para conceder la licencia de actividad, y su ausencia es causa clásica de acta desfavorable. Va en obra: pídelo en el proyecto técnico. Sin importe tasado en la guía: pide presupuesto y escríbelo aquí (la celda es editable y el TOTAL se recalcula).</t>
        </is>
      </c>
    </row>
    <row r="23">
      <c r="A23" s="4" t="n">
        <v>19</v>
      </c>
      <c r="B23" s="5" t="inlineStr">
        <is>
          <t>Sanidad</t>
        </is>
      </c>
      <c r="C23" s="5" t="inlineStr">
        <is>
          <t>Registro sanitario en la CCAA</t>
        </is>
      </c>
      <c r="D23" s="15" t="inlineStr">
        <is>
          <t>CCAA</t>
        </is>
      </c>
      <c r="E23" s="16" t="n"/>
      <c r="F23" s="15" t="inlineStr">
        <is>
          <t>Pendiente</t>
        </is>
      </c>
      <c r="G23" s="17" t="n">
        <v>0</v>
      </c>
      <c r="H23" s="15" t="n"/>
    </row>
    <row r="24">
      <c r="A24" s="4" t="n">
        <v>20</v>
      </c>
      <c r="B24" s="5" t="inlineStr">
        <is>
          <t>Sanidad</t>
        </is>
      </c>
      <c r="C24" s="5" t="inlineStr">
        <is>
          <t>Elaborar e implementar Plan APPCC</t>
        </is>
      </c>
      <c r="D24" s="15" t="inlineStr">
        <is>
          <t>Consultor APPCC</t>
        </is>
      </c>
      <c r="E24" s="16" t="n"/>
      <c r="F24" s="15" t="inlineStr">
        <is>
          <t>Pendiente</t>
        </is>
      </c>
      <c r="G24" s="17" t="n">
        <v>1500</v>
      </c>
      <c r="H24" s="15" t="n"/>
    </row>
    <row r="25">
      <c r="A25" s="4" t="n">
        <v>21</v>
      </c>
      <c r="B25" s="5" t="inlineStr">
        <is>
          <t>Sanidad</t>
        </is>
      </c>
      <c r="C25" s="5" t="inlineStr">
        <is>
          <t>Plan de prerrequisitos (limpieza, plagas, agua...)</t>
        </is>
      </c>
      <c r="D25" s="15" t="inlineStr">
        <is>
          <t>Consultor APPCC</t>
        </is>
      </c>
      <c r="E25" s="16" t="n"/>
      <c r="F25" s="15" t="inlineStr">
        <is>
          <t>Pendiente</t>
        </is>
      </c>
      <c r="G25" s="17" t="n">
        <v>0</v>
      </c>
      <c r="H25" s="15" t="n"/>
    </row>
    <row r="26">
      <c r="A26" s="4" t="n">
        <v>22</v>
      </c>
      <c r="B26" s="5" t="inlineStr">
        <is>
          <t>Sanidad</t>
        </is>
      </c>
      <c r="C26" s="5" t="inlineStr">
        <is>
          <t>Formación manipuladores alimentos (equipo)</t>
        </is>
      </c>
      <c r="D26" s="15" t="inlineStr">
        <is>
          <t>Centro formación</t>
        </is>
      </c>
      <c r="E26" s="16" t="n"/>
      <c r="F26" s="15" t="inlineStr">
        <is>
          <t>Pendiente</t>
        </is>
      </c>
      <c r="G26" s="17" t="n">
        <v>300</v>
      </c>
      <c r="H26" s="15" t="n"/>
    </row>
    <row r="27">
      <c r="A27" s="4" t="n">
        <v>23</v>
      </c>
      <c r="B27" s="5" t="inlineStr">
        <is>
          <t>Sanidad</t>
        </is>
      </c>
      <c r="C27" s="5" t="inlineStr">
        <is>
          <t>Contrato empresa control de plagas (DDD)</t>
        </is>
      </c>
      <c r="D27" s="15" t="inlineStr">
        <is>
          <t>Empresa DDD</t>
        </is>
      </c>
      <c r="E27" s="16" t="n"/>
      <c r="F27" s="15" t="inlineStr">
        <is>
          <t>Pendiente</t>
        </is>
      </c>
      <c r="G27" s="17" t="n">
        <v>600</v>
      </c>
      <c r="H27" s="15" t="n"/>
    </row>
    <row r="28">
      <c r="A28" s="4" t="n">
        <v>24</v>
      </c>
      <c r="B28" s="5" t="inlineStr">
        <is>
          <t>Sanidad</t>
        </is>
      </c>
      <c r="C28" s="5" t="inlineStr">
        <is>
          <t>Análisis microbiológico de agua</t>
        </is>
      </c>
      <c r="D28" s="15" t="inlineStr">
        <is>
          <t>Laboratorio</t>
        </is>
      </c>
      <c r="E28" s="16" t="n"/>
      <c r="F28" s="15" t="inlineStr">
        <is>
          <t>Pendiente</t>
        </is>
      </c>
      <c r="G28" s="17" t="n">
        <v>150</v>
      </c>
      <c r="H28" s="15" t="n"/>
    </row>
    <row r="29">
      <c r="A29" s="4" t="n">
        <v>25</v>
      </c>
      <c r="B29" s="5" t="inlineStr">
        <is>
          <t>Sanidad</t>
        </is>
      </c>
      <c r="C29" s="5" t="inlineStr">
        <is>
          <t>Carnet de manipulador de alimentos</t>
        </is>
      </c>
      <c r="D29" s="15" t="inlineStr">
        <is>
          <t>Online/Presencial</t>
        </is>
      </c>
      <c r="E29" s="16" t="n"/>
      <c r="F29" s="15" t="inlineStr">
        <is>
          <t>Pendiente</t>
        </is>
      </c>
      <c r="G29" s="17" t="n">
        <v>50</v>
      </c>
      <c r="H29" s="15" t="n"/>
    </row>
    <row r="30">
      <c r="A30" s="4" t="n">
        <v>26</v>
      </c>
      <c r="B30" s="5" t="inlineStr">
        <is>
          <t>Seguros</t>
        </is>
      </c>
      <c r="C30" s="5" t="inlineStr">
        <is>
          <t>Seguro de responsabilidad civil</t>
        </is>
      </c>
      <c r="D30" s="15" t="inlineStr">
        <is>
          <t>Aseguradora</t>
        </is>
      </c>
      <c r="E30" s="16" t="n"/>
      <c r="F30" s="15" t="inlineStr">
        <is>
          <t>Pendiente</t>
        </is>
      </c>
      <c r="G30" s="17" t="n">
        <v>1200</v>
      </c>
      <c r="H30" s="15" t="n"/>
    </row>
    <row r="31">
      <c r="A31" s="4" t="n">
        <v>27</v>
      </c>
      <c r="B31" s="5" t="inlineStr">
        <is>
          <t>Seguros</t>
        </is>
      </c>
      <c r="C31" s="5" t="inlineStr">
        <is>
          <t>Seguro de convenio colectivo hostelería</t>
        </is>
      </c>
      <c r="D31" s="15" t="inlineStr">
        <is>
          <t>Aseguradora</t>
        </is>
      </c>
      <c r="E31" s="16" t="n"/>
      <c r="F31" s="15" t="inlineStr">
        <is>
          <t>Pendiente</t>
        </is>
      </c>
      <c r="G31" s="17" t="n">
        <v>500</v>
      </c>
      <c r="H31" s="15" t="n"/>
    </row>
    <row r="32">
      <c r="A32" s="4" t="n">
        <v>28</v>
      </c>
      <c r="B32" s="5" t="inlineStr">
        <is>
          <t>Seguros</t>
        </is>
      </c>
      <c r="C32" s="5" t="inlineStr">
        <is>
          <t>Seguro de local y contenido</t>
        </is>
      </c>
      <c r="D32" s="15" t="inlineStr">
        <is>
          <t>Aseguradora</t>
        </is>
      </c>
      <c r="E32" s="16" t="n"/>
      <c r="F32" s="15" t="inlineStr">
        <is>
          <t>Pendiente</t>
        </is>
      </c>
      <c r="G32" s="17" t="n">
        <v>1500</v>
      </c>
      <c r="H32" s="15" t="n"/>
    </row>
    <row r="33">
      <c r="A33" s="4" t="n">
        <v>29</v>
      </c>
      <c r="B33" s="5" t="inlineStr">
        <is>
          <t>Seguros</t>
        </is>
      </c>
      <c r="C33" s="5" t="inlineStr">
        <is>
          <t>Seguro de interrupción de negocio</t>
        </is>
      </c>
      <c r="D33" s="15" t="inlineStr">
        <is>
          <t>Aseguradora</t>
        </is>
      </c>
      <c r="E33" s="16" t="n"/>
      <c r="F33" s="15" t="inlineStr">
        <is>
          <t>Pendiente</t>
        </is>
      </c>
      <c r="G33" s="17" t="n">
        <v>800</v>
      </c>
      <c r="H33" s="15" t="n"/>
    </row>
    <row r="34">
      <c r="A34" s="4" t="n">
        <v>30</v>
      </c>
      <c r="B34" s="5" t="inlineStr">
        <is>
          <t>Laboral</t>
        </is>
      </c>
      <c r="C34" s="5" t="inlineStr">
        <is>
          <t>Alta empresa en Seguridad Social</t>
        </is>
      </c>
      <c r="D34" s="15" t="inlineStr">
        <is>
          <t>Asesor laboral</t>
        </is>
      </c>
      <c r="E34" s="16" t="n"/>
      <c r="F34" s="15" t="inlineStr">
        <is>
          <t>Pendiente</t>
        </is>
      </c>
      <c r="G34" s="17" t="n">
        <v>0</v>
      </c>
      <c r="H34" s="15" t="n"/>
    </row>
    <row r="35">
      <c r="A35" s="4" t="n">
        <v>31</v>
      </c>
      <c r="B35" s="5" t="inlineStr">
        <is>
          <t>Laboral</t>
        </is>
      </c>
      <c r="C35" s="5" t="inlineStr">
        <is>
          <t>Contratos de trabajo (modelo hostelería)</t>
        </is>
      </c>
      <c r="D35" s="15" t="inlineStr">
        <is>
          <t>Asesor laboral</t>
        </is>
      </c>
      <c r="E35" s="16" t="n"/>
      <c r="F35" s="15" t="inlineStr">
        <is>
          <t>Pendiente</t>
        </is>
      </c>
      <c r="G35" s="17" t="n">
        <v>200</v>
      </c>
      <c r="H35" s="15" t="n"/>
    </row>
    <row r="36">
      <c r="A36" s="4" t="n">
        <v>32</v>
      </c>
      <c r="B36" s="5" t="inlineStr">
        <is>
          <t>Laboral</t>
        </is>
      </c>
      <c r="C36" s="5" t="inlineStr">
        <is>
          <t>Plan de prevención de riesgos laborales</t>
        </is>
      </c>
      <c r="D36" s="15" t="inlineStr">
        <is>
          <t>SPA</t>
        </is>
      </c>
      <c r="E36" s="16" t="n"/>
      <c r="F36" s="15" t="inlineStr">
        <is>
          <t>Pendiente</t>
        </is>
      </c>
      <c r="G36" s="17" t="n">
        <v>500</v>
      </c>
      <c r="H36" s="15" t="n"/>
    </row>
    <row r="37">
      <c r="A37" s="4" t="n">
        <v>33</v>
      </c>
      <c r="B37" s="5" t="inlineStr">
        <is>
          <t>Laboral</t>
        </is>
      </c>
      <c r="C37" s="5" t="inlineStr">
        <is>
          <t>Reconocimientos médicos del personal</t>
        </is>
      </c>
      <c r="D37" s="15" t="inlineStr">
        <is>
          <t>Mutua</t>
        </is>
      </c>
      <c r="E37" s="16" t="n"/>
      <c r="F37" s="15" t="inlineStr">
        <is>
          <t>Pendiente</t>
        </is>
      </c>
      <c r="G37" s="17" t="n">
        <v>400</v>
      </c>
      <c r="H37" s="15" t="n"/>
    </row>
    <row r="38">
      <c r="A38" s="4" t="n">
        <v>34</v>
      </c>
      <c r="B38" s="5" t="inlineStr">
        <is>
          <t>Laboral</t>
        </is>
      </c>
      <c r="C38" s="5" t="inlineStr">
        <is>
          <t>Registro diario de jornada (RD‑ley 8/2019, art. 34.9 ET): sistema de fichaje y conservación 4 años</t>
        </is>
      </c>
      <c r="D38" s="15" t="inlineStr">
        <is>
          <t>Asesor laboral</t>
        </is>
      </c>
      <c r="E38" s="16" t="n"/>
      <c r="F38" s="15" t="inlineStr">
        <is>
          <t>Pendiente</t>
        </is>
      </c>
      <c r="G38" s="17" t="n"/>
      <c r="H38" s="15" t="inlineStr">
        <is>
          <t>Sustituye al libro de visitas, derogado (Ley 23/2015 y Orden ESS/1452/2016). Es de las infracciones más sancionadas en hostelería. Sin importe tasado en la guía: pide presupuesto y escríbelo aquí (la celda es editable y el TOTAL se recalcula).</t>
        </is>
      </c>
    </row>
    <row r="39">
      <c r="A39" s="4" t="n">
        <v>35</v>
      </c>
      <c r="B39" s="5" t="inlineStr">
        <is>
          <t>Laboral</t>
        </is>
      </c>
      <c r="C39" s="5" t="inlineStr">
        <is>
          <t>Comunicación de apertura del centro de trabajo a la autoridad laboral</t>
        </is>
      </c>
      <c r="D39" s="15" t="inlineStr">
        <is>
          <t>Asesor laboral</t>
        </is>
      </c>
      <c r="E39" s="16" t="n"/>
      <c r="F39" s="15" t="inlineStr">
        <is>
          <t>Pendiente</t>
        </is>
      </c>
      <c r="G39" s="17" t="n"/>
      <c r="H39" s="15" t="inlineStr">
        <is>
          <t>Obligatoria al iniciar la actividad (art. 6 RD 337/2010). La tramita tu asesoría. Sin importe tasado en la guía: pide presupuesto y escríbelo aquí (la celda es editable y el TOTAL se recalcula).</t>
        </is>
      </c>
    </row>
    <row r="40">
      <c r="A40" s="4" t="n">
        <v>36</v>
      </c>
      <c r="B40" s="5" t="inlineStr">
        <is>
          <t>Laboral</t>
        </is>
      </c>
      <c r="C40" s="5" t="inlineStr">
        <is>
          <t>Registro retributivo (RD 902/2020)</t>
        </is>
      </c>
      <c r="D40" s="15" t="inlineStr">
        <is>
          <t>Asesor laboral</t>
        </is>
      </c>
      <c r="E40" s="16" t="n"/>
      <c r="F40" s="15" t="inlineStr">
        <is>
          <t>Pendiente</t>
        </is>
      </c>
      <c r="G40" s="17" t="n"/>
      <c r="H40" s="15" t="inlineStr">
        <is>
          <t>Obligatorio para TODAS las empresas, sin umbral de plantilla. Sin importe tasado en la guía: pide presupuesto y escríbelo aquí (la celda es editable y el TOTAL se recalcula).</t>
        </is>
      </c>
    </row>
    <row r="41">
      <c r="A41" s="4" t="n">
        <v>37</v>
      </c>
      <c r="B41" s="5" t="inlineStr">
        <is>
          <t>Laboral</t>
        </is>
      </c>
      <c r="C41" s="5" t="inlineStr">
        <is>
          <t>Protocolo de prevención del acoso sexual (LO 3/2007 art. 48)</t>
        </is>
      </c>
      <c r="D41" s="15" t="inlineStr">
        <is>
          <t>Abogado / SPA</t>
        </is>
      </c>
      <c r="E41" s="16" t="n"/>
      <c r="F41" s="15" t="inlineStr">
        <is>
          <t>Pendiente</t>
        </is>
      </c>
      <c r="G41" s="17" t="n"/>
      <c r="H41" s="15" t="inlineStr">
        <is>
          <t>También sin umbral de plantilla. Va acompañado de formación al equipo. Sin importe tasado en la guía: pide presupuesto y escríbelo aquí (la celda es editable y el TOTAL se recalcula).</t>
        </is>
      </c>
    </row>
    <row r="42">
      <c r="A42" s="4" t="n">
        <v>38</v>
      </c>
      <c r="B42" s="5" t="inlineStr">
        <is>
          <t>Protección datos</t>
        </is>
      </c>
      <c r="C42" s="5" t="inlineStr">
        <is>
          <t>Registro de actividades de tratamiento (RGPD)</t>
        </is>
      </c>
      <c r="D42" s="15" t="inlineStr">
        <is>
          <t>Abogado</t>
        </is>
      </c>
      <c r="E42" s="16" t="n"/>
      <c r="F42" s="15" t="inlineStr">
        <is>
          <t>Pendiente</t>
        </is>
      </c>
      <c r="G42" s="17" t="n">
        <v>300</v>
      </c>
      <c r="H42" s="15" t="n"/>
    </row>
    <row r="43">
      <c r="A43" s="4" t="n">
        <v>39</v>
      </c>
      <c r="B43" s="5" t="inlineStr">
        <is>
          <t>Protección datos</t>
        </is>
      </c>
      <c r="C43" s="5" t="inlineStr">
        <is>
          <t>Política de privacidad y cookies (web)</t>
        </is>
      </c>
      <c r="D43" s="15" t="inlineStr">
        <is>
          <t>Abogado</t>
        </is>
      </c>
      <c r="E43" s="16" t="n"/>
      <c r="F43" s="15" t="inlineStr">
        <is>
          <t>Pendiente</t>
        </is>
      </c>
      <c r="G43" s="17" t="n">
        <v>200</v>
      </c>
      <c r="H43" s="15" t="n"/>
    </row>
    <row r="44">
      <c r="A44" s="4" t="n">
        <v>40</v>
      </c>
      <c r="B44" s="5" t="inlineStr">
        <is>
          <t>Protección datos</t>
        </is>
      </c>
      <c r="C44" s="5" t="inlineStr">
        <is>
          <t>Contrato de encargado de tratamiento (TPV, reservas)</t>
        </is>
      </c>
      <c r="D44" s="15" t="inlineStr">
        <is>
          <t>Abogado</t>
        </is>
      </c>
      <c r="E44" s="16" t="n"/>
      <c r="F44" s="15" t="inlineStr">
        <is>
          <t>Pendiente</t>
        </is>
      </c>
      <c r="G44" s="17" t="n">
        <v>0</v>
      </c>
      <c r="H44" s="15" t="n"/>
    </row>
    <row r="45">
      <c r="A45" s="4" t="n">
        <v>41</v>
      </c>
      <c r="B45" s="5" t="inlineStr">
        <is>
          <t>Fiscal</t>
        </is>
      </c>
      <c r="C45" s="5" t="inlineStr">
        <is>
          <t>Sistema informático de facturación verificable en el TPV (RD 1007/2023 y su Orden de desarrollo)</t>
        </is>
      </c>
      <c r="D45" s="15" t="inlineStr">
        <is>
          <t>Asesor fiscal + proveedor de TPV</t>
        </is>
      </c>
      <c r="E45" s="16" t="n"/>
      <c r="F45" s="15" t="inlineStr">
        <is>
          <t>Pendiente</t>
        </is>
      </c>
      <c r="G45" s="17" t="n"/>
      <c r="H45" s="15" t="inlineStr">
        <is>
          <t>El alta censal ya está en el bloque «Constitución» (Modelo 036/037): estaba dos veces. Aquí va lo que faltaba de verdad — que tu TPV emita facturas con los registros y la huella que exige la norma. Sin importe tasado en la guía: pide presupuesto y escríbelo aquí (la celda es editable y el TOTAL se recalcula).</t>
        </is>
      </c>
    </row>
    <row r="46">
      <c r="A46" s="4" t="n">
        <v>42</v>
      </c>
      <c r="B46" s="5" t="inlineStr">
        <is>
          <t>Fiscal</t>
        </is>
      </c>
      <c r="C46" s="5" t="inlineStr">
        <is>
          <t>Comunicación del sistema de facturación electrónica</t>
        </is>
      </c>
      <c r="D46" s="15" t="inlineStr">
        <is>
          <t>Asesor</t>
        </is>
      </c>
      <c r="E46" s="16" t="n"/>
      <c r="F46" s="15" t="inlineStr">
        <is>
          <t>Pendiente</t>
        </is>
      </c>
      <c r="G46" s="17" t="n">
        <v>0</v>
      </c>
      <c r="H46" s="15" t="n"/>
    </row>
    <row r="47">
      <c r="A47" s="4" t="n">
        <v>43</v>
      </c>
      <c r="B47" s="5" t="inlineStr">
        <is>
          <t>Fiscal</t>
        </is>
      </c>
      <c r="C47" s="5" t="inlineStr">
        <is>
          <t>Hojas de reclamaciones (obligatorio en todas las CCAA)</t>
        </is>
      </c>
      <c r="D47" s="15" t="inlineStr">
        <is>
          <t>Papelería</t>
        </is>
      </c>
      <c r="E47" s="16" t="n"/>
      <c r="F47" s="15" t="inlineStr">
        <is>
          <t>Pendiente</t>
        </is>
      </c>
      <c r="G47" s="17" t="n">
        <v>10</v>
      </c>
      <c r="H47" s="15" t="n"/>
    </row>
    <row r="48">
      <c r="A48" s="4" t="n">
        <v>44</v>
      </c>
      <c r="B48" s="5" t="inlineStr">
        <is>
          <t>Fiscal</t>
        </is>
      </c>
      <c r="C48" s="5" t="inlineStr">
        <is>
          <t>Cartel de horario de apertura y aforo</t>
        </is>
      </c>
      <c r="D48" s="15" t="inlineStr">
        <is>
          <t>Imprenta</t>
        </is>
      </c>
      <c r="E48" s="16" t="n"/>
      <c r="F48" s="15" t="inlineStr">
        <is>
          <t>Pendiente</t>
        </is>
      </c>
      <c r="G48" s="17" t="n">
        <v>30</v>
      </c>
      <c r="H48" s="15" t="n"/>
    </row>
    <row r="49">
      <c r="A49" s="4" t="n">
        <v>45</v>
      </c>
      <c r="B49" s="5" t="inlineStr">
        <is>
          <t>Local</t>
        </is>
      </c>
      <c r="C49" s="5" t="inlineStr">
        <is>
          <t>Contrato de arrendamiento para uso distinto de vivienda (duración, prórrogas, renta y actualización)</t>
        </is>
      </c>
      <c r="D49" s="15" t="inlineStr">
        <is>
          <t>Abogado</t>
        </is>
      </c>
      <c r="E49" s="16" t="n"/>
      <c r="F49" s="15" t="inlineStr">
        <is>
          <t>Pendiente</t>
        </is>
      </c>
      <c r="G49" s="17" t="n"/>
      <c r="H49" s="15" t="inlineStr">
        <is>
          <t>Las cadenas «arrendamiento», «fianza», «traspaso» y «carencia» no aparecían en ninguno de los 22 entregables. Es el documento más caro de negociar de la apertura. Sin importe tasado en la guía: pide presupuesto y escríbelo aquí (la celda es editable y el TOTAL se recalcula).</t>
        </is>
      </c>
    </row>
    <row r="50">
      <c r="A50" s="4" t="n">
        <v>46</v>
      </c>
      <c r="B50" s="5" t="inlineStr">
        <is>
          <t>Local</t>
        </is>
      </c>
      <c r="C50" s="5" t="inlineStr">
        <is>
          <t>Fianza legal de 2 mensualidades y garantía adicional (aval o depósito)</t>
        </is>
      </c>
      <c r="D50" s="15" t="inlineStr">
        <is>
          <t>Propiedad</t>
        </is>
      </c>
      <c r="E50" s="16" t="n"/>
      <c r="F50" s="15" t="inlineStr">
        <is>
          <t>Pendiente</t>
        </is>
      </c>
      <c r="G50" s="18">
        <f>IF(Instrucciones!$B$11="","",2*Instrucciones!$B$11)</f>
        <v>34000.0</v>
      </c>
      <c r="H50" s="15" t="inlineStr">
        <is>
          <t>Dos mensualidades de la renta, que es el mínimo legal del art. 36 LAU para uso distinto de vivienda. La garantía adicional (aval o depósito) se negocia aparte y suele ser de otras 2‑6 mensualidades: añádela a mano si tu propiedad la pide.</t>
        </is>
      </c>
    </row>
    <row r="51">
      <c r="A51" s="4" t="n">
        <v>47</v>
      </c>
      <c r="B51" s="5" t="inlineStr">
        <is>
          <t>Local</t>
        </is>
      </c>
      <c r="C51" s="5" t="inlineStr">
        <is>
          <t>Carencia de renta durante la obra y la tramitación de la licencia, pactada por escrito</t>
        </is>
      </c>
      <c r="D51" s="15" t="inlineStr">
        <is>
          <t>Abogado</t>
        </is>
      </c>
      <c r="E51" s="16" t="n"/>
      <c r="F51" s="15" t="inlineStr">
        <is>
          <t>Pendiente</t>
        </is>
      </c>
      <c r="G51" s="17" t="n"/>
      <c r="H51" s="15" t="inlineStr">
        <is>
          <t>Con licencia de 4‑8 meses y obra por delante son 6‑10 meses de renta antes de facturar un euro. Es la cláusula que más dinero ahorra de toda la lista.</t>
        </is>
      </c>
    </row>
    <row r="52">
      <c r="A52" s="4" t="n">
        <v>48</v>
      </c>
      <c r="B52" s="5" t="inlineStr">
        <is>
          <t>Local</t>
        </is>
      </c>
      <c r="C52" s="5" t="inlineStr">
        <is>
          <t>Cláusula de cesión y traspaso pactada expresamente</t>
        </is>
      </c>
      <c r="D52" s="15" t="inlineStr">
        <is>
          <t>Abogado</t>
        </is>
      </c>
      <c r="E52" s="16" t="n"/>
      <c r="F52" s="15" t="inlineStr">
        <is>
          <t>Pendiente</t>
        </is>
      </c>
      <c r="G52" s="17" t="n"/>
      <c r="H52" s="15" t="inlineStr">
        <is>
          <t>Sin ella, vender el negocio depende del criterio de la propiedad.</t>
        </is>
      </c>
    </row>
    <row r="53">
      <c r="A53" s="4" t="n">
        <v>49</v>
      </c>
      <c r="B53" s="5" t="inlineStr">
        <is>
          <t>Local</t>
        </is>
      </c>
      <c r="C53" s="5" t="inlineStr">
        <is>
          <t>Condición suspensiva por denegación de la licencia de actividad</t>
        </is>
      </c>
      <c r="D53" s="15" t="inlineStr">
        <is>
          <t>Abogado</t>
        </is>
      </c>
      <c r="E53" s="16" t="n"/>
      <c r="F53" s="15" t="inlineStr">
        <is>
          <t>Pendiente</t>
        </is>
      </c>
      <c r="G53" s="17" t="n"/>
      <c r="H53" s="15" t="inlineStr">
        <is>
          <t>Si el ayuntamiento deniega la licencia, el contrato decae y recuperas la fianza. Es la contrapartida de firmar antes de tenerla.</t>
        </is>
      </c>
    </row>
    <row r="54">
      <c r="E54" s="19" t="n"/>
      <c r="G54" s="20" t="n"/>
    </row>
    <row r="55">
      <c r="A55" s="21" t="inlineStr">
        <is>
          <t>RESUMEN — lo calcula el libro (v2.0)</t>
        </is>
      </c>
      <c r="B55" s="22" t="n"/>
      <c r="C55" s="22" t="n"/>
      <c r="D55" s="22" t="n"/>
      <c r="E55" s="22" t="n"/>
      <c r="F55" s="22" t="n"/>
      <c r="G55" s="22" t="n"/>
      <c r="H55" s="22" t="n"/>
    </row>
    <row r="56">
      <c r="A56" s="11" t="inlineStr">
        <is>
          <t>TOTAL PRESUPUESTADO (€)</t>
        </is>
      </c>
      <c r="G56" s="23">
        <f>SUM(G5:G53)</f>
        <v>57960.0</v>
      </c>
    </row>
    <row r="57">
      <c r="A57" s="11" t="inlineStr">
        <is>
          <t>Partidas SIN importe (a presupuestar)</t>
        </is>
      </c>
      <c r="G57" s="24">
        <f>COUNTIF(B5:B53,"&lt;&gt;")-COUNT(G5:G53)</f>
        <v>10.0</v>
      </c>
      <c r="H57" t="inlineStr">
        <is>
          <t>El TOTAL de arriba es un SUELO: no incluye estas partidas, que van a presupuestar.</t>
        </is>
      </c>
    </row>
    <row r="58">
      <c r="A58" s="11" t="inlineStr">
        <is>
          <t>Avance del checklist (% completado)</t>
        </is>
      </c>
      <c r="F58" s="25">
        <f>IFERROR(COUNTIF(F5:F53,"Completado")/COUNTIF(F5:F53,"&lt;&gt;"),"")</f>
        <v>0.0</v>
      </c>
      <c r="G58" t="inlineStr">
        <is>
          <t>Estado terminal de este checklist: «Completado»</t>
        </is>
      </c>
    </row>
    <row r="59"/>
    <row r="60">
      <c r="A60" s="11" t="inlineStr">
        <is>
          <t>SUBTOTALES POR CATEGORÍA</t>
        </is>
      </c>
    </row>
    <row r="61">
      <c r="A61" t="inlineStr">
        <is>
          <t>Constitución</t>
        </is>
      </c>
      <c r="G61" s="20">
        <f>SUMIF($B$5:$B$53,$A61,$G$5:$G$53)</f>
        <v>1120.0</v>
      </c>
    </row>
    <row r="62">
      <c r="A62" t="inlineStr">
        <is>
          <t>Licencias</t>
        </is>
      </c>
      <c r="G62" s="20">
        <f>SUMIF($B$5:$B$53,$A62,$G$5:$G$53)</f>
        <v>14600.0</v>
      </c>
    </row>
    <row r="63">
      <c r="A63" t="inlineStr">
        <is>
          <t>Sanidad</t>
        </is>
      </c>
      <c r="G63" s="20">
        <f>SUMIF($B$5:$B$53,$A63,$G$5:$G$53)</f>
        <v>2600.0</v>
      </c>
    </row>
    <row r="64">
      <c r="A64" t="inlineStr">
        <is>
          <t>Seguros</t>
        </is>
      </c>
      <c r="G64" s="20">
        <f>SUMIF($B$5:$B$53,$A64,$G$5:$G$53)</f>
        <v>4000.0</v>
      </c>
    </row>
    <row r="65">
      <c r="A65" t="inlineStr">
        <is>
          <t>Laboral</t>
        </is>
      </c>
      <c r="G65" s="20">
        <f>SUMIF($B$5:$B$53,$A65,$G$5:$G$53)</f>
        <v>1100.0</v>
      </c>
    </row>
    <row r="66">
      <c r="A66" t="inlineStr">
        <is>
          <t>Protección datos</t>
        </is>
      </c>
      <c r="G66" s="20">
        <f>SUMIF($B$5:$B$53,$A66,$G$5:$G$53)</f>
        <v>500.0</v>
      </c>
    </row>
    <row r="67">
      <c r="A67" t="inlineStr">
        <is>
          <t>Fiscal</t>
        </is>
      </c>
      <c r="G67" s="20">
        <f>SUMIF($B$5:$B$53,$A67,$G$5:$G$53)</f>
        <v>40.0</v>
      </c>
    </row>
    <row r="68">
      <c r="A68" t="inlineStr">
        <is>
          <t>Local</t>
        </is>
      </c>
      <c r="G68" s="20">
        <f>SUMIF($B$5:$B$53,$A68,$G$5:$G$53)</f>
        <v>34000.0</v>
      </c>
    </row>
    <row r="69"/>
    <row r="70">
      <c r="A70" t="inlineStr">
        <is>
          <t>AI Chef Pro · aichef.pro — Restaurante Gastronómico</t>
        </is>
      </c>
    </row>
  </sheetData>
  <sheetProtection selectLockedCells="0" selectUnlockedCells="0" sheet="1" objects="0" insertRows="0" insertHyperlinks="1" autoFilter="1" scenarios="0" formatColumns="0" deleteColumns="1" insertColumns="1" pivotTables="1" deleteRows="1" formatCells="1" formatRows="0" sort="0"/>
  <autoFilter ref="A4:H4"/>
  <mergeCells count="3">
    <mergeCell ref="A2:H2"/>
    <mergeCell ref="A1:H1"/>
    <mergeCell ref="A70:H70"/>
  </mergeCells>
  <conditionalFormatting sqref="F5:F53">
    <cfRule type="cellIs" priority="1" operator="equal" dxfId="0" stopIfTrue="1">
      <formula>"Completado"</formula>
    </cfRule>
    <cfRule type="cellIs" priority="2" operator="equal" dxfId="1" stopIfTrue="1">
      <formula>"En Curso"</formula>
    </cfRule>
    <cfRule type="cellIs" priority="3" operator="equal" dxfId="2" stopIfTrue="1">
      <formula>"Pendiente"</formula>
    </cfRule>
  </conditionalFormatting>
  <conditionalFormatting sqref="G57">
    <cfRule type="expression" priority="4" dxfId="1" stopIfTrue="1">
      <formula>=AND(ISNUMBER(G57),G57&gt;0)</formula>
    </cfRule>
  </conditionalFormatting>
  <dataValidations count="3">
    <dataValidation sqref="E5 E6 E7 E8 E9 E10 E11 E12 E13 E14 E15 E16 E17 E18 E19 E20 E21 E22 E23 E24 E25 E26 E27 E28 E29 E30 E31 E32 E33 E34 E35 E36 E37 E38 E39 E40 E41 E42 E43 E44 E45 E46 E47 E48 E49 E50 E51 E52 E53" showDropDown="0" showInputMessage="0" showErrorMessage="1" allowBlank="1" errorTitle="Fecha no válida" error="Escribe una fecha (dd/mm/aaaa) entre 2020 y 2040." type="date" operator="between">
      <formula1>DATE(2020,1,1)</formula1>
      <formula2>DATE(2040,12,31)</formula2>
    </dataValidation>
    <dataValidation sqref="F5 F6 F7 F8 F9 F10 F11 F12 F13 F14 F15 F16 F17 F18 F19 F20 F21 F22 F23 F24 F25 F26 F27 F28 F29 F30 F31 F32 F33 F34 F35 F36 F37 F38 F39 F40 F41 F42 F43 F44 F45 F46 F47 F48 F49 F50 F51 F52 F53" showDropDown="0" showInputMessage="0" showErrorMessage="1" allowBlank="1" errorTitle="Valor no válido" error="Elige un valor de la lista: Pendiente, En Curso, Completado" type="list">
      <formula1>"Pendiente,En Curso,Completado"</formula1>
    </dataValidation>
    <dataValidation sqref="G5 G6 G7 G8 G9 G10 G11 G12 G13 G14 G15 G16 G17 G18 G19 G20 G21 G22 G23 G24 G25 G26 G27 G28 G29 G30 G31 G32 G33 G34 G35 G36 G37 G38 G39 G40 G41 G42 G43 G44 G45 G46 G47 G48 G49 G51 G52 G53"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Legal — Restaurante Gastronómico · Cómo Montar un Restaurante Gastronómico 65 Plazas · v2.0</dc:title>
  <dc:description xmlns:dc="http://purl.org/dc/elements/1.1/">aichef.pro/guia-restaurante-gastronomico</dc:description>
  <dc:subject xmlns:dc="http://purl.org/dc/elements/1.1/">Cómo Montar un Restaurante Gastronómico 65 Plazas · v2.0</dc:subject>
  <dcterms:created xmlns:dcterms="http://purl.org/dc/terms/" xmlns:xsi="http://www.w3.org/2001/XMLSchema-instance" xsi:type="dcterms:W3CDTF">2026-04-05T22:25:50Z</dcterms:created>
  <dcterms:modified xmlns:dcterms="http://purl.org/dc/terms/" xmlns:xsi="http://www.w3.org/2001/XMLSchema-instance" xsi:type="dcterms:W3CDTF">2026-08-29T07:45:04Z</dcterms:modified>
  <cp:lastModifiedBy>AI Chef Pro</cp:lastModifiedBy>
  <cp:category>AI Chef Pro · Productos digitales</cp:category>
  <cp:keywords>guia restaurante gastronomico, AI Chef Pro</cp:keywords>
</cp:coreProperties>
</file>