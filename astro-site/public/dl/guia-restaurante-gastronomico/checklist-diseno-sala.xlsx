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Diseño de Sala (FOH)" sheetId="2" state="visible" r:id="rId2"/>
  </sheets>
  <definedNames>
    <definedName name="_xlnm._FilterDatabase" localSheetId="1" hidden="1">'Diseño de Sala (FOH)'!$A$4:$H$4</definedName>
    <definedName name="_xlnm.Print_Titles" localSheetId="1">'Diseño de Sala (FOH)'!$4:$4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Diseño de Sala (FOH)</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56"/>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Diseño de Sala (FOH)</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Distribución</t>
        </is>
      </c>
      <c r="C5" s="5" t="inlineStr">
        <is>
          <t>Plano de sala con 65 plazas (1,8‑2,5 m² por comensal)</t>
        </is>
      </c>
      <c r="D5" s="12" t="inlineStr">
        <is>
          <t>Interiorista</t>
        </is>
      </c>
      <c r="E5" s="13" t="n"/>
      <c r="F5" s="12" t="inlineStr">
        <is>
          <t>Pendiente</t>
        </is>
      </c>
      <c r="G5" s="14" t="n">
        <v>3000</v>
      </c>
      <c r="H5" s="12" t="n"/>
    </row>
    <row r="6">
      <c r="A6" s="4" t="n">
        <v>2</v>
      </c>
      <c r="B6" s="5" t="inlineStr">
        <is>
          <t>Distribución</t>
        </is>
      </c>
      <c r="C6" s="5" t="inlineStr">
        <is>
          <t>Zona comedor principal (45‑50 plazas)</t>
        </is>
      </c>
      <c r="D6" s="12" t="inlineStr">
        <is>
          <t>Interiorista</t>
        </is>
      </c>
      <c r="E6" s="13" t="n"/>
      <c r="F6" s="12" t="inlineStr">
        <is>
          <t>Pendiente</t>
        </is>
      </c>
      <c r="G6" s="14" t="n">
        <v>0</v>
      </c>
      <c r="H6" s="12" t="n"/>
    </row>
    <row r="7">
      <c r="A7" s="4" t="n">
        <v>3</v>
      </c>
      <c r="B7" s="5" t="inlineStr">
        <is>
          <t>Distribución</t>
        </is>
      </c>
      <c r="C7" s="5" t="inlineStr">
        <is>
          <t>Comedor privado / chef's table (8‑10 plazas)</t>
        </is>
      </c>
      <c r="D7" s="12" t="inlineStr">
        <is>
          <t>Interiorista</t>
        </is>
      </c>
      <c r="E7" s="13" t="n"/>
      <c r="F7" s="12" t="inlineStr">
        <is>
          <t>Pendiente</t>
        </is>
      </c>
      <c r="G7" s="14" t="n">
        <v>5000</v>
      </c>
      <c r="H7" s="12" t="n"/>
    </row>
    <row r="8">
      <c r="A8" s="4" t="n">
        <v>4</v>
      </c>
      <c r="B8" s="5" t="inlineStr">
        <is>
          <t>Distribución</t>
        </is>
      </c>
      <c r="C8" s="5" t="inlineStr">
        <is>
          <t>Barra / counter (6‑8 plazas)</t>
        </is>
      </c>
      <c r="D8" s="12" t="inlineStr">
        <is>
          <t>Interiorista</t>
        </is>
      </c>
      <c r="E8" s="13" t="n"/>
      <c r="F8" s="12" t="inlineStr">
        <is>
          <t>Pendiente</t>
        </is>
      </c>
      <c r="G8" s="14" t="n">
        <v>8000</v>
      </c>
      <c r="H8" s="12" t="n"/>
    </row>
    <row r="9">
      <c r="A9" s="4" t="n">
        <v>5</v>
      </c>
      <c r="B9" s="5" t="inlineStr">
        <is>
          <t>Distribución</t>
        </is>
      </c>
      <c r="C9" s="5" t="inlineStr">
        <is>
          <t>Zona de recepción / espera con aperitivo</t>
        </is>
      </c>
      <c r="D9" s="12" t="inlineStr">
        <is>
          <t>Interiorista</t>
        </is>
      </c>
      <c r="E9" s="13" t="n"/>
      <c r="F9" s="12" t="inlineStr">
        <is>
          <t>Pendiente</t>
        </is>
      </c>
      <c r="G9" s="14" t="n">
        <v>3000</v>
      </c>
      <c r="H9" s="12" t="n"/>
    </row>
    <row r="10">
      <c r="A10" s="4" t="n">
        <v>6</v>
      </c>
      <c r="B10" s="5" t="inlineStr">
        <is>
          <t>Distribución</t>
        </is>
      </c>
      <c r="C10" s="5" t="inlineStr">
        <is>
          <t>Flujo de circulación camareros sin cruzar comensales</t>
        </is>
      </c>
      <c r="D10" s="12" t="inlineStr">
        <is>
          <t>Interiorista</t>
        </is>
      </c>
      <c r="E10" s="13" t="n"/>
      <c r="F10" s="12" t="inlineStr">
        <is>
          <t>Pendiente</t>
        </is>
      </c>
      <c r="G10" s="14" t="n">
        <v>0</v>
      </c>
      <c r="H10" s="12" t="n"/>
    </row>
    <row r="11">
      <c r="A11" s="4" t="n">
        <v>7</v>
      </c>
      <c r="B11" s="5" t="inlineStr">
        <is>
          <t>Distribución</t>
        </is>
      </c>
      <c r="C11" s="5" t="inlineStr">
        <is>
          <t>Acceso a baños sin cruzar cocina</t>
        </is>
      </c>
      <c r="D11" s="12" t="inlineStr">
        <is>
          <t>Arquitecto</t>
        </is>
      </c>
      <c r="E11" s="13" t="n"/>
      <c r="F11" s="12" t="inlineStr">
        <is>
          <t>Pendiente</t>
        </is>
      </c>
      <c r="G11" s="14" t="n">
        <v>0</v>
      </c>
      <c r="H11" s="12" t="n"/>
    </row>
    <row r="12">
      <c r="A12" s="4" t="n">
        <v>8</v>
      </c>
      <c r="B12" s="5" t="inlineStr">
        <is>
          <t>Distribución</t>
        </is>
      </c>
      <c r="C12" s="5" t="inlineStr">
        <is>
          <t>Espacio para carrito de gueridón / servicio mesa</t>
        </is>
      </c>
      <c r="D12" s="12" t="inlineStr">
        <is>
          <t>Maître</t>
        </is>
      </c>
      <c r="E12" s="13" t="n"/>
      <c r="F12" s="12" t="inlineStr">
        <is>
          <t>Pendiente</t>
        </is>
      </c>
      <c r="G12" s="14" t="n">
        <v>2000</v>
      </c>
      <c r="H12" s="12" t="n"/>
    </row>
    <row r="13">
      <c r="A13" s="4" t="n">
        <v>9</v>
      </c>
      <c r="B13" s="5" t="inlineStr">
        <is>
          <t>Iluminación</t>
        </is>
      </c>
      <c r="C13" s="5" t="inlineStr">
        <is>
          <t>Iluminación cálida 2700-3000K en comedor</t>
        </is>
      </c>
      <c r="D13" s="12" t="inlineStr">
        <is>
          <t>Interiorista</t>
        </is>
      </c>
      <c r="E13" s="13" t="n"/>
      <c r="F13" s="12" t="inlineStr">
        <is>
          <t>Pendiente</t>
        </is>
      </c>
      <c r="G13" s="14" t="n">
        <v>5000</v>
      </c>
      <c r="H13" s="12" t="n"/>
    </row>
    <row r="14">
      <c r="A14" s="4" t="n">
        <v>10</v>
      </c>
      <c r="B14" s="5" t="inlineStr">
        <is>
          <t>Iluminación</t>
        </is>
      </c>
      <c r="C14" s="5" t="inlineStr">
        <is>
          <t>Reguladores de intensidad (dimmer) por zonas</t>
        </is>
      </c>
      <c r="D14" s="12" t="inlineStr">
        <is>
          <t>Electricista</t>
        </is>
      </c>
      <c r="E14" s="13" t="n"/>
      <c r="F14" s="12" t="inlineStr">
        <is>
          <t>Pendiente</t>
        </is>
      </c>
      <c r="G14" s="14" t="n">
        <v>1000</v>
      </c>
      <c r="H14" s="12" t="n"/>
    </row>
    <row r="15">
      <c r="A15" s="4" t="n">
        <v>11</v>
      </c>
      <c r="B15" s="5" t="inlineStr">
        <is>
          <t>Iluminación</t>
        </is>
      </c>
      <c r="C15" s="5" t="inlineStr">
        <is>
          <t>Luz directa sobre cada mesa (pendientes/spots)</t>
        </is>
      </c>
      <c r="D15" s="12" t="inlineStr">
        <is>
          <t>Interiorista</t>
        </is>
      </c>
      <c r="E15" s="13" t="n"/>
      <c r="F15" s="12" t="inlineStr">
        <is>
          <t>Pendiente</t>
        </is>
      </c>
      <c r="G15" s="14" t="n">
        <v>3000</v>
      </c>
      <c r="H15" s="12" t="n"/>
    </row>
    <row r="16">
      <c r="A16" s="4" t="n">
        <v>12</v>
      </c>
      <c r="B16" s="5" t="inlineStr">
        <is>
          <t>Iluminación</t>
        </is>
      </c>
      <c r="C16" s="5" t="inlineStr">
        <is>
          <t>Iluminación específica para carta de vinos</t>
        </is>
      </c>
      <c r="D16" s="12" t="inlineStr">
        <is>
          <t>Interiorista</t>
        </is>
      </c>
      <c r="E16" s="13" t="n"/>
      <c r="F16" s="12" t="inlineStr">
        <is>
          <t>Pendiente</t>
        </is>
      </c>
      <c r="G16" s="14" t="n">
        <v>500</v>
      </c>
      <c r="H16" s="12" t="n"/>
    </row>
    <row r="17">
      <c r="A17" s="4" t="n">
        <v>13</v>
      </c>
      <c r="B17" s="5" t="inlineStr">
        <is>
          <t>Iluminación</t>
        </is>
      </c>
      <c r="C17" s="5" t="inlineStr">
        <is>
          <t>Sin reflejos ni deslumbramiento en ojos del comensal</t>
        </is>
      </c>
      <c r="D17" s="12" t="inlineStr">
        <is>
          <t>Interiorista</t>
        </is>
      </c>
      <c r="E17" s="13" t="n"/>
      <c r="F17" s="12" t="inlineStr">
        <is>
          <t>Pendiente</t>
        </is>
      </c>
      <c r="G17" s="14" t="n">
        <v>0</v>
      </c>
      <c r="H17" s="12" t="n"/>
    </row>
    <row r="18">
      <c r="A18" s="4" t="n">
        <v>14</v>
      </c>
      <c r="B18" s="5" t="inlineStr">
        <is>
          <t>Acústica</t>
        </is>
      </c>
      <c r="C18" s="5" t="inlineStr">
        <is>
          <t>Tratamiento acústico (paneles absorbentes)</t>
        </is>
      </c>
      <c r="D18" s="12" t="inlineStr">
        <is>
          <t>Interiorista</t>
        </is>
      </c>
      <c r="E18" s="13" t="n"/>
      <c r="F18" s="12" t="inlineStr">
        <is>
          <t>Pendiente</t>
        </is>
      </c>
      <c r="G18" s="14" t="n">
        <v>3000</v>
      </c>
      <c r="H18" s="12" t="n"/>
    </row>
    <row r="19">
      <c r="A19" s="4" t="n">
        <v>15</v>
      </c>
      <c r="B19" s="5" t="inlineStr">
        <is>
          <t>Acústica</t>
        </is>
      </c>
      <c r="C19" s="5" t="inlineStr">
        <is>
          <t>Nivel sonoro objetivo: 60‑65 dB en servicio</t>
        </is>
      </c>
      <c r="D19" s="12" t="inlineStr">
        <is>
          <t>Interiorista</t>
        </is>
      </c>
      <c r="E19" s="13" t="n"/>
      <c r="F19" s="12" t="inlineStr">
        <is>
          <t>Pendiente</t>
        </is>
      </c>
      <c r="G19" s="14" t="n">
        <v>0</v>
      </c>
      <c r="H19" s="12" t="n"/>
    </row>
    <row r="20">
      <c r="A20" s="4" t="n">
        <v>16</v>
      </c>
      <c r="B20" s="5" t="inlineStr">
        <is>
          <t>Acústica</t>
        </is>
      </c>
      <c r="C20" s="5" t="inlineStr">
        <is>
          <t>Hilo musical: sistema de sonido discreto</t>
        </is>
      </c>
      <c r="D20" s="12" t="inlineStr">
        <is>
          <t>Instalador</t>
        </is>
      </c>
      <c r="E20" s="13" t="n"/>
      <c r="F20" s="12" t="inlineStr">
        <is>
          <t>Pendiente</t>
        </is>
      </c>
      <c r="G20" s="14" t="n">
        <v>2000</v>
      </c>
      <c r="H20" s="12" t="n"/>
    </row>
    <row r="21">
      <c r="A21" s="4" t="n">
        <v>17</v>
      </c>
      <c r="B21" s="5" t="inlineStr">
        <is>
          <t>Acústica</t>
        </is>
      </c>
      <c r="C21" s="5" t="inlineStr">
        <is>
          <t>Limitador‑registrador acústico homologado y estudio de impacto acústico</t>
        </is>
      </c>
      <c r="D21" s="12" t="inlineStr">
        <is>
          <t>Ingeniero acústico</t>
        </is>
      </c>
      <c r="E21" s="13" t="n"/>
      <c r="F21" s="12" t="inlineStr">
        <is>
          <t>Pendiente</t>
        </is>
      </c>
      <c r="G21" s="14" t="n"/>
      <c r="H21" s="12" t="inlineStr">
        <is>
          <t>La cadena «limitador» no aparecía en ninguno de los 141 ficheros de la familia. En Cataluña el estudio es obligatorio y en buena parte de las ordenanzas del resto de CCAA también, para locales con música. Condiciona la licencia. Sin importe tasado en la guía: pide presupuesto y escríbelo aquí (la celda es editable y el TOTAL se recalcula).</t>
        </is>
      </c>
    </row>
    <row r="22">
      <c r="A22" s="4" t="n">
        <v>18</v>
      </c>
      <c r="B22" s="5" t="inlineStr">
        <is>
          <t>Climatización</t>
        </is>
      </c>
      <c r="C22" s="5" t="inlineStr">
        <is>
          <t>Sistema de climatización silencioso y eficiente</t>
        </is>
      </c>
      <c r="D22" s="12" t="inlineStr">
        <is>
          <t>Instalador</t>
        </is>
      </c>
      <c r="E22" s="13" t="n"/>
      <c r="F22" s="12" t="inlineStr">
        <is>
          <t>Pendiente</t>
        </is>
      </c>
      <c r="G22" s="14" t="n">
        <v>8000</v>
      </c>
      <c r="H22" s="12" t="n"/>
    </row>
    <row r="23">
      <c r="A23" s="4" t="n">
        <v>19</v>
      </c>
      <c r="B23" s="5" t="inlineStr">
        <is>
          <t>Climatización</t>
        </is>
      </c>
      <c r="C23" s="5" t="inlineStr">
        <is>
          <t>Temperatura 21‑23°C constante</t>
        </is>
      </c>
      <c r="D23" s="12" t="inlineStr">
        <is>
          <t>Instalador</t>
        </is>
      </c>
      <c r="E23" s="13" t="n"/>
      <c r="F23" s="12" t="inlineStr">
        <is>
          <t>Pendiente</t>
        </is>
      </c>
      <c r="G23" s="14" t="n">
        <v>0</v>
      </c>
      <c r="H23" s="12" t="n"/>
    </row>
    <row r="24">
      <c r="A24" s="4" t="n">
        <v>20</v>
      </c>
      <c r="B24" s="5" t="inlineStr">
        <is>
          <t>Climatización</t>
        </is>
      </c>
      <c r="C24" s="5" t="inlineStr">
        <is>
          <t>Extracción de olores de cocina sin afectar sala</t>
        </is>
      </c>
      <c r="D24" s="12" t="inlineStr">
        <is>
          <t>Instalador</t>
        </is>
      </c>
      <c r="E24" s="13" t="n"/>
      <c r="F24" s="12" t="inlineStr">
        <is>
          <t>Pendiente</t>
        </is>
      </c>
      <c r="G24" s="14" t="n">
        <v>2000</v>
      </c>
      <c r="H24" s="12" t="n"/>
    </row>
    <row r="25">
      <c r="A25" s="4" t="n">
        <v>21</v>
      </c>
      <c r="B25" s="5" t="inlineStr">
        <is>
          <t>Mobiliario</t>
        </is>
      </c>
      <c r="C25" s="5" t="inlineStr">
        <is>
          <t>Mesas: estables, tamaño adecuado, material premium</t>
        </is>
      </c>
      <c r="D25" s="12" t="inlineStr">
        <is>
          <t>Interiorista</t>
        </is>
      </c>
      <c r="E25" s="13" t="n"/>
      <c r="F25" s="12" t="inlineStr">
        <is>
          <t>Pendiente</t>
        </is>
      </c>
      <c r="G25" s="14" t="n">
        <v>10000</v>
      </c>
      <c r="H25" s="12" t="n"/>
    </row>
    <row r="26">
      <c r="A26" s="4" t="n">
        <v>22</v>
      </c>
      <c r="B26" s="5" t="inlineStr">
        <is>
          <t>Mobiliario</t>
        </is>
      </c>
      <c r="C26" s="5" t="inlineStr">
        <is>
          <t>Sillas: cómodas para servicio de 2h+, tapizadas</t>
        </is>
      </c>
      <c r="D26" s="12" t="inlineStr">
        <is>
          <t>Interiorista</t>
        </is>
      </c>
      <c r="E26" s="13" t="n"/>
      <c r="F26" s="12" t="inlineStr">
        <is>
          <t>Pendiente</t>
        </is>
      </c>
      <c r="G26" s="14" t="n">
        <v>15000</v>
      </c>
      <c r="H26" s="12" t="n"/>
    </row>
    <row r="27">
      <c r="A27" s="4" t="n">
        <v>23</v>
      </c>
      <c r="B27" s="5" t="inlineStr">
        <is>
          <t>Mobiliario</t>
        </is>
      </c>
      <c r="C27" s="5" t="inlineStr">
        <is>
          <t>Aparador/consola de servicio por zona</t>
        </is>
      </c>
      <c r="D27" s="12" t="inlineStr">
        <is>
          <t>Interiorista</t>
        </is>
      </c>
      <c r="E27" s="13" t="n"/>
      <c r="F27" s="12" t="inlineStr">
        <is>
          <t>Pendiente</t>
        </is>
      </c>
      <c r="G27" s="14" t="n">
        <v>3000</v>
      </c>
      <c r="H27" s="12" t="n"/>
    </row>
    <row r="28">
      <c r="A28" s="4" t="n">
        <v>24</v>
      </c>
      <c r="B28" s="5" t="inlineStr">
        <is>
          <t>Mobiliario</t>
        </is>
      </c>
      <c r="C28" s="5" t="inlineStr">
        <is>
          <t>Estación de sommelier (decantadores, copas, etc.)</t>
        </is>
      </c>
      <c r="D28" s="12" t="inlineStr">
        <is>
          <t>Sommelier</t>
        </is>
      </c>
      <c r="E28" s="13" t="n"/>
      <c r="F28" s="12" t="inlineStr">
        <is>
          <t>Pendiente</t>
        </is>
      </c>
      <c r="G28" s="14" t="n">
        <v>2000</v>
      </c>
      <c r="H28" s="12" t="n"/>
    </row>
    <row r="29">
      <c r="A29" s="4" t="n">
        <v>25</v>
      </c>
      <c r="B29" s="5" t="inlineStr">
        <is>
          <t>Mobiliario</t>
        </is>
      </c>
      <c r="C29" s="5" t="inlineStr">
        <is>
          <t>Vitrina de vinos climatizada (elemento visual)</t>
        </is>
      </c>
      <c r="D29" s="12" t="inlineStr">
        <is>
          <t>Proveedor</t>
        </is>
      </c>
      <c r="E29" s="13" t="n"/>
      <c r="F29" s="12" t="inlineStr">
        <is>
          <t>Pendiente</t>
        </is>
      </c>
      <c r="G29" s="14" t="n">
        <v>15000</v>
      </c>
      <c r="H29" s="12" t="n"/>
    </row>
    <row r="30">
      <c r="A30" s="4" t="n">
        <v>26</v>
      </c>
      <c r="B30" s="5" t="inlineStr">
        <is>
          <t>Baños</t>
        </is>
      </c>
      <c r="C30" s="5" t="inlineStr">
        <is>
          <t>Baños clientes: diseño premium, coherente con sala</t>
        </is>
      </c>
      <c r="D30" s="12" t="inlineStr">
        <is>
          <t>Interiorista</t>
        </is>
      </c>
      <c r="E30" s="13" t="n"/>
      <c r="F30" s="12" t="inlineStr">
        <is>
          <t>Pendiente</t>
        </is>
      </c>
      <c r="G30" s="14" t="n">
        <v>5000</v>
      </c>
      <c r="H30" s="12" t="n"/>
    </row>
    <row r="31">
      <c r="A31" s="4" t="n">
        <v>27</v>
      </c>
      <c r="B31" s="5" t="inlineStr">
        <is>
          <t>Baños</t>
        </is>
      </c>
      <c r="C31" s="5" t="inlineStr">
        <is>
          <t>Baño adaptado personas con movilidad reducida (obligatorio)</t>
        </is>
      </c>
      <c r="D31" s="12" t="inlineStr">
        <is>
          <t>Arquitecto</t>
        </is>
      </c>
      <c r="E31" s="13" t="n"/>
      <c r="F31" s="12" t="inlineStr">
        <is>
          <t>Pendiente</t>
        </is>
      </c>
      <c r="G31" s="14" t="n">
        <v>2000</v>
      </c>
      <c r="H31" s="12" t="n"/>
    </row>
    <row r="32">
      <c r="A32" s="4" t="n">
        <v>28</v>
      </c>
      <c r="B32" s="5" t="inlineStr">
        <is>
          <t>Baños</t>
        </is>
      </c>
      <c r="C32" s="5" t="inlineStr">
        <is>
          <t>Amenities: jabón, crema, ambientador de calidad</t>
        </is>
      </c>
      <c r="D32" s="12" t="inlineStr">
        <is>
          <t>Maître</t>
        </is>
      </c>
      <c r="E32" s="13" t="n"/>
      <c r="F32" s="12" t="inlineStr">
        <is>
          <t>Pendiente</t>
        </is>
      </c>
      <c r="G32" s="14" t="n">
        <v>200</v>
      </c>
      <c r="H32" s="12" t="n"/>
    </row>
    <row r="33">
      <c r="A33" s="4" t="n">
        <v>29</v>
      </c>
      <c r="B33" s="5" t="inlineStr">
        <is>
          <t>Baños</t>
        </is>
      </c>
      <c r="C33" s="5" t="inlineStr">
        <is>
          <t>Aseos y vestuarios de personal separados de los de clientes (RD 486/1997)</t>
        </is>
      </c>
      <c r="D33" s="12" t="inlineStr">
        <is>
          <t>Arquitecto</t>
        </is>
      </c>
      <c r="E33" s="13" t="n"/>
      <c r="F33" s="12" t="inlineStr">
        <is>
          <t>Pendiente</t>
        </is>
      </c>
      <c r="G33" s="14" t="n"/>
      <c r="H33" s="12" t="inlineStr">
        <is>
          <t>El checklist cubría los baños de clientes y el adaptado, pero no los del equipo: son las 24 personas del cuadrante de plantilla-turnos-brigada.xlsx (15 de cocina y 9 de sala), que es la fuente única de plantilla de este producto. Sin importe tasado en la guía: pide presupuesto y escríbelo aquí (la celda es editable y el TOTAL se recalcula).</t>
        </is>
      </c>
    </row>
    <row r="34">
      <c r="A34" s="4" t="n">
        <v>30</v>
      </c>
      <c r="B34" s="5" t="inlineStr">
        <is>
          <t>Accesibilidad</t>
        </is>
      </c>
      <c r="C34" s="5" t="inlineStr">
        <is>
          <t>Acceso sin barreras desde la calle (rampa o nivel)</t>
        </is>
      </c>
      <c r="D34" s="12" t="inlineStr">
        <is>
          <t>Arquitecto</t>
        </is>
      </c>
      <c r="E34" s="13" t="n"/>
      <c r="F34" s="12" t="inlineStr">
        <is>
          <t>Pendiente</t>
        </is>
      </c>
      <c r="G34" s="14" t="n">
        <v>2000</v>
      </c>
      <c r="H34" s="12" t="n"/>
    </row>
    <row r="35">
      <c r="A35" s="4" t="n">
        <v>31</v>
      </c>
      <c r="B35" s="5" t="inlineStr">
        <is>
          <t>Accesibilidad</t>
        </is>
      </c>
      <c r="C35" s="5" t="inlineStr">
        <is>
          <t>Señalización clara y visible</t>
        </is>
      </c>
      <c r="D35" s="12" t="inlineStr">
        <is>
          <t>Interiorista</t>
        </is>
      </c>
      <c r="E35" s="13" t="n"/>
      <c r="F35" s="12" t="inlineStr">
        <is>
          <t>Pendiente</t>
        </is>
      </c>
      <c r="G35" s="14" t="n">
        <v>500</v>
      </c>
      <c r="H35" s="12" t="n"/>
    </row>
    <row r="36">
      <c r="A36" s="4" t="n">
        <v>32</v>
      </c>
      <c r="B36" s="5" t="inlineStr">
        <is>
          <t>Accesibilidad</t>
        </is>
      </c>
      <c r="C36" s="5" t="inlineStr">
        <is>
          <t>Alumbrado de emergencia y señalización de evacuación (CTE DB‑SUA / DB‑SI)</t>
        </is>
      </c>
      <c r="D36" s="12" t="inlineStr">
        <is>
          <t>Instalador</t>
        </is>
      </c>
      <c r="E36" s="13" t="n"/>
      <c r="F36" s="12" t="inlineStr">
        <is>
          <t>Pendiente</t>
        </is>
      </c>
      <c r="G36" s="14" t="n"/>
      <c r="H36" s="12" t="inlineStr">
        <is>
          <t>Sin importe tasado en la guía: pide presupuesto y escríbelo aquí (la celda es editable y el TOTAL se recalcula).</t>
        </is>
      </c>
    </row>
    <row r="37">
      <c r="A37" s="4" t="n">
        <v>33</v>
      </c>
      <c r="B37" s="5" t="inlineStr">
        <is>
          <t>Accesibilidad</t>
        </is>
      </c>
      <c r="C37" s="5" t="inlineStr">
        <is>
          <t>Certificación de aforo y anchura de los recorridos de evacuación</t>
        </is>
      </c>
      <c r="D37" s="12" t="inlineStr">
        <is>
          <t>Arquitecto</t>
        </is>
      </c>
      <c r="E37" s="13" t="n"/>
      <c r="F37" s="12" t="inlineStr">
        <is>
          <t>Pendiente</t>
        </is>
      </c>
      <c r="G37" s="14" t="n"/>
      <c r="H37" s="12" t="inlineStr">
        <is>
          <t>El aforo declarado tiene que cuadrar con las 65 plazas del plano (fila 1) y con el cartel de aforo del checklist legal.</t>
        </is>
      </c>
    </row>
    <row r="38">
      <c r="A38" s="4" t="n">
        <v>34</v>
      </c>
      <c r="B38" s="5" t="inlineStr">
        <is>
          <t>Terraza</t>
        </is>
      </c>
      <c r="C38" s="5" t="inlineStr">
        <is>
          <t>Mobiliario exterior coherente con interior (si aplica)</t>
        </is>
      </c>
      <c r="D38" s="12" t="inlineStr">
        <is>
          <t>Interiorista</t>
        </is>
      </c>
      <c r="E38" s="13" t="n"/>
      <c r="F38" s="12" t="inlineStr">
        <is>
          <t>Pendiente</t>
        </is>
      </c>
      <c r="G38" s="14" t="n">
        <v>5000</v>
      </c>
      <c r="H38" s="12" t="n"/>
    </row>
    <row r="39">
      <c r="A39" s="4" t="n">
        <v>35</v>
      </c>
      <c r="B39" s="5" t="inlineStr">
        <is>
          <t>Terraza</t>
        </is>
      </c>
      <c r="C39" s="5" t="inlineStr">
        <is>
          <t>Toldos/parasoles y calefacción exterior (si aplica)</t>
        </is>
      </c>
      <c r="D39" s="12" t="inlineStr">
        <is>
          <t>Instalador</t>
        </is>
      </c>
      <c r="E39" s="13" t="n"/>
      <c r="F39" s="12" t="inlineStr">
        <is>
          <t>Pendiente</t>
        </is>
      </c>
      <c r="G39" s="14" t="n">
        <v>3000</v>
      </c>
      <c r="H39" s="12" t="n"/>
    </row>
    <row r="40">
      <c r="E40" s="15" t="n"/>
      <c r="G40" s="16" t="n"/>
    </row>
    <row r="41">
      <c r="A41" s="17" t="inlineStr">
        <is>
          <t>RESUMEN — lo calcula el libro (v2.0)</t>
        </is>
      </c>
      <c r="B41" s="18" t="n"/>
      <c r="C41" s="18" t="n"/>
      <c r="D41" s="18" t="n"/>
      <c r="E41" s="18" t="n"/>
      <c r="F41" s="18" t="n"/>
      <c r="G41" s="18" t="n"/>
      <c r="H41" s="18" t="n"/>
    </row>
    <row r="42">
      <c r="A42" s="17" t="inlineStr">
        <is>
          <t>TOTAL PRESUPUESTADO (€)</t>
        </is>
      </c>
      <c r="B42" s="18" t="n"/>
      <c r="C42" s="18" t="n"/>
      <c r="D42" s="18" t="n"/>
      <c r="E42" s="18" t="n"/>
      <c r="F42" s="18" t="n"/>
      <c r="G42" s="23">
        <f>SUM(G5:G39)</f>
        <v>108200.0</v>
      </c>
      <c r="H42" s="18" t="n"/>
    </row>
    <row r="43">
      <c r="A43" s="17" t="inlineStr">
        <is>
          <t>Partidas SIN importe (a presupuestar)</t>
        </is>
      </c>
      <c r="B43" s="18" t="n"/>
      <c r="C43" s="18" t="n"/>
      <c r="D43" s="18" t="n"/>
      <c r="E43" s="18" t="n"/>
      <c r="F43" s="18" t="n"/>
      <c r="G43" s="24">
        <f>COUNTIF(B5:B39,"&lt;&gt;")-COUNT(G5:G39)</f>
        <v>4.0</v>
      </c>
      <c r="H43" s="18" t="inlineStr">
        <is>
          <t>El TOTAL de arriba es un SUELO: no incluye estas partidas, que van a presupuestar.</t>
        </is>
      </c>
    </row>
    <row r="44">
      <c r="A44" s="17" t="inlineStr">
        <is>
          <t>Avance del checklist (% completado)</t>
        </is>
      </c>
      <c r="B44" s="18" t="n"/>
      <c r="C44" s="18" t="n"/>
      <c r="D44" s="18" t="n"/>
      <c r="E44" s="18" t="n"/>
      <c r="F44" s="25">
        <f>IFERROR(COUNTIF(F5:F39,"Completado")/COUNTIF(F5:F39,"&lt;&gt;"),"")</f>
        <v>0.0</v>
      </c>
      <c r="G44" s="18" t="inlineStr">
        <is>
          <t>Estado terminal de este checklist: «Completado»</t>
        </is>
      </c>
      <c r="H44" s="18" t="n"/>
    </row>
    <row r="45">
      <c r="A45" s="18" t="n"/>
      <c r="B45" s="18" t="n"/>
      <c r="C45" s="18" t="n"/>
      <c r="D45" s="18" t="n"/>
      <c r="E45" s="18" t="n"/>
      <c r="F45" s="18" t="n"/>
      <c r="G45" s="18" t="n"/>
      <c r="H45" s="18" t="n"/>
    </row>
    <row r="46">
      <c r="A46" s="17" t="inlineStr">
        <is>
          <t>SUBTOTALES POR CATEGORÍA</t>
        </is>
      </c>
      <c r="B46" s="18" t="n"/>
      <c r="C46" s="18" t="n"/>
      <c r="D46" s="18" t="n"/>
      <c r="E46" s="18" t="n"/>
      <c r="F46" s="18" t="n"/>
      <c r="G46" s="18" t="n"/>
      <c r="H46" s="18" t="n"/>
    </row>
    <row r="47">
      <c r="A47" s="18" t="inlineStr">
        <is>
          <t>Distribución</t>
        </is>
      </c>
      <c r="B47" s="18" t="n"/>
      <c r="C47" s="18" t="n"/>
      <c r="D47" s="18" t="n"/>
      <c r="E47" s="18" t="n"/>
      <c r="F47" s="18" t="n"/>
      <c r="G47" s="26">
        <f>SUMIF($B$5:$B$39,$A47,$G$5:$G$39)</f>
        <v>21000.0</v>
      </c>
      <c r="H47" s="18" t="n"/>
    </row>
    <row r="48">
      <c r="A48" s="18" t="inlineStr">
        <is>
          <t>Iluminación</t>
        </is>
      </c>
      <c r="B48" s="18" t="n"/>
      <c r="C48" s="18" t="n"/>
      <c r="D48" s="18" t="n"/>
      <c r="E48" s="18" t="n"/>
      <c r="F48" s="18" t="n"/>
      <c r="G48" s="26">
        <f>SUMIF($B$5:$B$39,$A48,$G$5:$G$39)</f>
        <v>9500.0</v>
      </c>
      <c r="H48" s="18" t="n"/>
    </row>
    <row r="49">
      <c r="A49" s="18" t="inlineStr">
        <is>
          <t>Acústica</t>
        </is>
      </c>
      <c r="B49" s="18" t="n"/>
      <c r="C49" s="18" t="n"/>
      <c r="D49" s="18" t="n"/>
      <c r="E49" s="18" t="n"/>
      <c r="F49" s="18" t="n"/>
      <c r="G49" s="26">
        <f>SUMIF($B$5:$B$39,$A49,$G$5:$G$39)</f>
        <v>5000.0</v>
      </c>
      <c r="H49" s="18" t="n"/>
    </row>
    <row r="50">
      <c r="A50" s="18" t="inlineStr">
        <is>
          <t>Climatización</t>
        </is>
      </c>
      <c r="B50" s="18" t="n"/>
      <c r="C50" s="18" t="n"/>
      <c r="D50" s="18" t="n"/>
      <c r="E50" s="18" t="n"/>
      <c r="F50" s="18" t="n"/>
      <c r="G50" s="26">
        <f>SUMIF($B$5:$B$39,$A50,$G$5:$G$39)</f>
        <v>10000.0</v>
      </c>
      <c r="H50" s="18" t="n"/>
    </row>
    <row r="51">
      <c r="A51" s="18" t="inlineStr">
        <is>
          <t>Mobiliario</t>
        </is>
      </c>
      <c r="B51" s="18" t="n"/>
      <c r="C51" s="18" t="n"/>
      <c r="D51" s="18" t="n"/>
      <c r="E51" s="18" t="n"/>
      <c r="F51" s="18" t="n"/>
      <c r="G51" s="26">
        <f>SUMIF($B$5:$B$39,$A51,$G$5:$G$39)</f>
        <v>45000.0</v>
      </c>
      <c r="H51" s="18" t="n"/>
    </row>
    <row r="52">
      <c r="A52" s="18" t="inlineStr">
        <is>
          <t>Baños</t>
        </is>
      </c>
      <c r="B52" s="18" t="n"/>
      <c r="C52" s="18" t="n"/>
      <c r="D52" s="18" t="n"/>
      <c r="E52" s="18" t="n"/>
      <c r="F52" s="18" t="n"/>
      <c r="G52" s="26">
        <f>SUMIF($B$5:$B$39,$A52,$G$5:$G$39)</f>
        <v>7200.0</v>
      </c>
      <c r="H52" s="18" t="n"/>
    </row>
    <row r="53">
      <c r="A53" s="18" t="inlineStr">
        <is>
          <t>Accesibilidad</t>
        </is>
      </c>
      <c r="B53" s="18" t="n"/>
      <c r="C53" s="18" t="n"/>
      <c r="D53" s="18" t="n"/>
      <c r="E53" s="18" t="n"/>
      <c r="F53" s="18" t="n"/>
      <c r="G53" s="26">
        <f>SUMIF($B$5:$B$39,$A53,$G$5:$G$39)</f>
        <v>2500.0</v>
      </c>
      <c r="H53" s="18" t="n"/>
    </row>
    <row r="54">
      <c r="A54" s="18" t="inlineStr">
        <is>
          <t>Terraza</t>
        </is>
      </c>
      <c r="B54" s="18" t="n"/>
      <c r="C54" s="18" t="n"/>
      <c r="D54" s="18" t="n"/>
      <c r="E54" s="18" t="n"/>
      <c r="F54" s="18" t="n"/>
      <c r="G54" s="26">
        <f>SUMIF($B$5:$B$39,$A54,$G$5:$G$39)</f>
        <v>8000.0</v>
      </c>
      <c r="H54" s="18" t="n"/>
    </row>
    <row r="55">
      <c r="A55" s="18" t="n"/>
      <c r="B55" s="18" t="n"/>
      <c r="C55" s="18" t="n"/>
      <c r="D55" s="18" t="n"/>
      <c r="E55" s="18" t="n"/>
      <c r="F55" s="18" t="n"/>
      <c r="G55" s="18" t="n"/>
      <c r="H55" s="18" t="n"/>
    </row>
    <row r="56">
      <c r="A56" s="18"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56:H56"/>
  </mergeCells>
  <conditionalFormatting sqref="F5:F39">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43">
    <cfRule type="expression" priority="4" dxfId="1" stopIfTrue="1">
      <formula>=AND(ISNUMBER(G43),G43&gt;0)</formula>
    </cfRule>
  </conditionalFormatting>
  <dataValidations count="3">
    <dataValidation sqref="E5 E6 E7 E8 E9 E10 E11 E12 E13 E14 E15 E16 E17 E18 E19 E20 E21 E22 E23 E24 E25 E26 E27 E28 E29 E30 E31 E32 E33 E34 E35 E36 E37 E38 E3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Diseño de Sala (FOH)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2026-08-31T21:57:19Z</dcterms:modified>
  <cp:lastModifiedBy>AI Chef Pro</cp:lastModifiedBy>
  <cp:category>AI Chef Pro · Productos digitales</cp:category>
  <cp:keywords>guia restaurante gastronomico, AI Chef Pro</cp:keywords>
</cp:coreProperties>
</file>