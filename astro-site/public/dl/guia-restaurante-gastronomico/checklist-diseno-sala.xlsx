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Diseño de Sala (FOH)" sheetId="2" state="visible" r:id="rId2"/>
  </sheets>
  <definedNames>
    <definedName name="_xlnm._FilterDatabase" localSheetId="1" hidden="1">'Diseño de Sala (FOH)'!$A$4:$H$4</definedName>
    <definedName name="_xlnm.Print_Titles" localSheetId="1">'Diseño de Sala (FOH)'!$4:$4</definedName>
  </definedNames>
  <calcPr calcId="124519" fullCalcOnLoad="1"/>
</workbook>
</file>

<file path=xl/styles.xml><?xml version="1.0" encoding="utf-8"?>
<styleSheet xmlns="http://schemas.openxmlformats.org/spreadsheetml/2006/main">
  <numFmts count="3">
    <numFmt numFmtId="164" formatCode="#,##0.00 €"/>
    <numFmt numFmtId="165" formatCode="dd/mm/yyyy"/>
    <numFmt numFmtId="166" formatCode="0.0%"/>
  </numFmts>
  <fonts count="11">
    <font>
      <name val="Calibri"/>
      <family val="2"/>
      <color theme="1"/>
      <sz val="11"/>
      <scheme val="minor"/>
    </font>
    <font>
      <name val="Calibri"/>
      <b val="1"/>
      <color rgb="00FFD700"/>
      <sz val="16"/>
    </font>
    <font>
      <name val="Calibri"/>
      <i val="1"/>
      <color rgb="00888888"/>
      <sz val="11"/>
    </font>
    <font>
      <name val="Calibri"/>
      <b val="1"/>
      <color rgb="00FFFFFF"/>
      <sz val="11"/>
    </font>
    <font>
      <name val="Calibri"/>
      <sz val="11"/>
    </font>
    <font>
      <name val="Calibri"/>
      <i val="1"/>
      <color rgb="00888888"/>
      <sz val="9"/>
    </font>
    <font>
      <b val="1"/>
      <color theme="1"/>
      <sz val="11"/>
    </font>
    <font>
      <b val="1"/>
      <sz val="16"/>
    </font>
    <font>
      <b val="1"/>
      <sz val="12"/>
    </font>
    <font/>
    <font>
      <b val="1"/>
    </font>
  </fonts>
  <fills count="5">
    <fill>
      <patternFill/>
    </fill>
    <fill>
      <patternFill patternType="gray125"/>
    </fill>
    <fill>
      <patternFill patternType="solid">
        <fgColor rgb="002D2D2D"/>
        <bgColor rgb="002D2D2D"/>
      </patternFill>
    </fill>
    <fill>
      <patternFill patternType="solid">
        <fgColor rgb="00E8F5E9"/>
        <bgColor rgb="00E8F5E9"/>
      </patternFill>
    </fill>
    <fill>
      <patternFill patternType="solid">
        <f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xf>
    <xf numFmtId="0" fontId="4" fillId="3" borderId="1" applyAlignment="1" pivotButton="0" quotePrefix="0" xfId="0">
      <alignment horizontal="left" vertical="center" wrapText="1"/>
    </xf>
    <xf numFmtId="164" fontId="4" fillId="3" borderId="1" applyAlignment="1" pivotButton="0" quotePrefix="0" xfId="0">
      <alignment horizontal="left" vertical="center" wrapText="1"/>
    </xf>
    <xf numFmtId="0" fontId="5" fillId="0" borderId="0" applyAlignment="1" pivotButton="0" quotePrefix="0" xfId="0">
      <alignment horizontal="center" vertical="center" wrapText="1"/>
    </xf>
    <xf numFmtId="0" fontId="7" fillId="0" borderId="0" pivotButton="0" quotePrefix="0" xfId="0"/>
    <xf numFmtId="0" fontId="8" fillId="0" borderId="0" pivotButton="0" quotePrefix="0" xfId="0"/>
    <xf numFmtId="0" fontId="0" fillId="0" borderId="0" applyAlignment="1" pivotButton="0" quotePrefix="0" xfId="0">
      <alignment horizontal="left" vertical="top"/>
    </xf>
    <xf numFmtId="0" fontId="4" fillId="4" borderId="1" applyAlignment="1" applyProtection="1" pivotButton="0" quotePrefix="0" xfId="0">
      <alignment horizontal="left" vertical="center" wrapText="1"/>
      <protection locked="0" hidden="0"/>
    </xf>
    <xf numFmtId="165" fontId="4" fillId="4" borderId="1" applyAlignment="1" applyProtection="1" pivotButton="0" quotePrefix="0" xfId="0">
      <alignment horizontal="left" vertical="center" wrapText="1"/>
      <protection locked="0" hidden="0"/>
    </xf>
    <xf numFmtId="164" fontId="4" fillId="4" borderId="1" applyAlignment="1" applyProtection="1" pivotButton="0" quotePrefix="0" xfId="0">
      <alignment horizontal="left" vertical="center" wrapText="1"/>
      <protection locked="0" hidden="0"/>
    </xf>
    <xf numFmtId="165" fontId="0" fillId="0" borderId="0" pivotButton="0" quotePrefix="0" xfId="0"/>
    <xf numFmtId="164" fontId="0" fillId="0" borderId="0" pivotButton="0" quotePrefix="0" xfId="0"/>
    <xf numFmtId="0" fontId="10" fillId="0" borderId="0" pivotButton="0" quotePrefix="0" xfId="0"/>
    <xf numFmtId="0" fontId="9" fillId="0" borderId="0" pivotButton="0" quotePrefix="0" xfId="0"/>
    <xf numFmtId="0" fontId="6" fillId="0" borderId="0" pivotButton="0" quotePrefix="0" xfId="0"/>
    <xf numFmtId="164" fontId="6" fillId="0" borderId="0" pivotButton="0" quotePrefix="0" xfId="0"/>
    <xf numFmtId="3" fontId="6" fillId="0" borderId="0" pivotButton="0" quotePrefix="0" xfId="0"/>
    <xf numFmtId="166" fontId="6" fillId="0" borderId="0" pivotButton="0" quotePrefix="0" xfId="0"/>
    <xf numFmtId="164" fontId="10" fillId="0" borderId="0" pivotButton="0" quotePrefix="0" xfId="0"/>
    <xf numFmtId="3" fontId="10" fillId="0" borderId="0" pivotButton="0" quotePrefix="0" xfId="0"/>
    <xf numFmtId="166" fontId="10" fillId="0" borderId="0" pivotButton="0" quotePrefix="0" xfId="0"/>
    <xf numFmtId="164" fontId="9" fillId="0" borderId="0" pivotButton="0" quotePrefix="0" xfId="0"/>
  </cellXfs>
  <cellStyles count="1">
    <cellStyle name="Normal" xfId="0" builtinId="0" hidden="0"/>
  </cellStyles>
  <dxfs count="3">
    <dxf>
      <font>
        <b val="1"/>
        <color rgb="00006100"/>
      </font>
      <fill>
        <patternFill patternType="solid">
          <fgColor rgb="00C6EFCE"/>
          <bgColor rgb="00C6EFCE"/>
        </patternFill>
      </fill>
    </dxf>
    <dxf>
      <font>
        <b val="1"/>
        <color rgb="009C6500"/>
      </font>
      <fill>
        <patternFill patternType="solid">
          <fgColor rgb="00FFEB9C"/>
          <bgColor rgb="00FFEB9C"/>
        </patternFill>
      </fill>
    </dxf>
    <dxf>
      <font>
        <b val="1"/>
        <color rgb="00595959"/>
      </font>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12"/>
  <sheetViews>
    <sheetView workbookViewId="0">
      <selection activeCell="A1" sqref="A1"/>
    </sheetView>
  </sheetViews>
  <sheetFormatPr baseColWidth="8" defaultRowHeight="15"/>
  <cols>
    <col width="80" customWidth="1" min="1" max="1"/>
  </cols>
  <sheetData>
    <row r="1">
      <c r="A1" s="9" t="inlineStr">
        <is>
          <t>Checklist Diseño de Sala (FOH)</t>
        </is>
      </c>
    </row>
    <row r="2">
      <c r="A2" t="inlineStr">
        <is>
          <t>AI Chef Pro · aichef.pro — Restaurante Gastronómico</t>
        </is>
      </c>
    </row>
    <row r="3"/>
    <row r="4">
      <c r="A4" s="10" t="inlineStr">
        <is>
          <t>Instrucciones de uso</t>
        </is>
      </c>
    </row>
    <row r="5">
      <c r="A5" t="inlineStr">
        <is>
          <t>1. Rellena las celdas verdes con tus datos; el resto lo calcula el libro.</t>
        </is>
      </c>
    </row>
    <row r="6">
      <c r="A6" t="inlineStr">
        <is>
          <t>2. Las hojas están protegidas SIN contraseña para que una copia accidental no borre una fórmula.</t>
        </is>
      </c>
    </row>
    <row r="7"/>
    <row r="8">
      <c r="A8" t="inlineStr">
        <is>
          <t>Celdas verdes = campos editables</t>
        </is>
      </c>
    </row>
    <row r="9"/>
    <row r="10">
      <c r="A10" s="11" t="inlineStr">
        <is>
          <t>Para editar la estructura o una celda que no esté en verde: Revisar → Desproteger hoja (no tiene contraseña).</t>
        </is>
      </c>
    </row>
    <row r="11">
      <c r="A11" s="11" t="inlineStr">
        <is>
          <t>Diseñado por John Guerrero — chef y consultor gastronómico desde 2010, en cocina desde los 17 años · johnguerrero.es</t>
        </is>
      </c>
    </row>
    <row r="12">
      <c r="A12" s="11" t="inlineStr">
        <is>
          <t>Versión 2.0 · agosto 2026 · aichef.pro/guia-restaurante-gastronomico · info@aichef.pro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2:C2"/>
    <mergeCell ref="A1:C1"/>
  </mergeCell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H56"/>
  <sheetViews>
    <sheetView workbookViewId="0">
      <pane ySplit="4" topLeftCell="A5" activePane="bottomLeft" state="frozen"/>
      <selection pane="bottomLeft" activeCell="A1" sqref="A1"/>
    </sheetView>
  </sheetViews>
  <sheetFormatPr baseColWidth="8" defaultRowHeight="15"/>
  <cols>
    <col width="6" customWidth="1" min="1" max="1"/>
    <col width="22" customWidth="1" min="2" max="2"/>
    <col width="60" customWidth="1" min="3" max="3"/>
    <col width="18" customWidth="1" min="4" max="4"/>
    <col width="14" customWidth="1" min="5" max="5"/>
    <col width="14" customWidth="1" min="6" max="6"/>
    <col width="16" customWidth="1" min="7" max="7"/>
    <col width="30" customWidth="1" min="8" max="8"/>
  </cols>
  <sheetData>
    <row r="1" ht="30" customHeight="1">
      <c r="A1" s="1" t="inlineStr">
        <is>
          <t>Checklist Diseño de Sala (FOH)</t>
        </is>
      </c>
    </row>
    <row r="2">
      <c r="A2" s="2" t="inlineStr">
        <is>
          <t>AI Chef Pro · aichef.pro — Restaurante Gastronómico</t>
        </is>
      </c>
    </row>
    <row r="3"/>
    <row r="4">
      <c r="A4" s="3" t="inlineStr">
        <is>
          <t>#</t>
        </is>
      </c>
      <c r="B4" s="3" t="inlineStr">
        <is>
          <t>Categoría</t>
        </is>
      </c>
      <c r="C4" s="3" t="inlineStr">
        <is>
          <t>Tarea / Ítem</t>
        </is>
      </c>
      <c r="D4" s="3" t="inlineStr">
        <is>
          <t>Responsable</t>
        </is>
      </c>
      <c r="E4" s="3" t="inlineStr">
        <is>
          <t>Fecha Límite</t>
        </is>
      </c>
      <c r="F4" s="3" t="inlineStr">
        <is>
          <t>Estado</t>
        </is>
      </c>
      <c r="G4" s="3" t="inlineStr">
        <is>
          <t>Coste Est. (€)</t>
        </is>
      </c>
      <c r="H4" s="3" t="inlineStr">
        <is>
          <t>Notas</t>
        </is>
      </c>
    </row>
    <row r="5">
      <c r="A5" s="4" t="n">
        <v>1</v>
      </c>
      <c r="B5" s="5" t="inlineStr">
        <is>
          <t>Distribución</t>
        </is>
      </c>
      <c r="C5" s="5" t="inlineStr">
        <is>
          <t>Plano de sala con 65 plazas (1,8‑2,5 m² por comensal)</t>
        </is>
      </c>
      <c r="D5" s="12" t="inlineStr">
        <is>
          <t>Interiorista</t>
        </is>
      </c>
      <c r="E5" s="13" t="n"/>
      <c r="F5" s="12" t="inlineStr">
        <is>
          <t>Pendiente</t>
        </is>
      </c>
      <c r="G5" s="14" t="n">
        <v>3000</v>
      </c>
      <c r="H5" s="12" t="n"/>
    </row>
    <row r="6">
      <c r="A6" s="4" t="n">
        <v>2</v>
      </c>
      <c r="B6" s="5" t="inlineStr">
        <is>
          <t>Distribución</t>
        </is>
      </c>
      <c r="C6" s="5" t="inlineStr">
        <is>
          <t>Zona comedor principal (45‑50 plazas)</t>
        </is>
      </c>
      <c r="D6" s="12" t="inlineStr">
        <is>
          <t>Interiorista</t>
        </is>
      </c>
      <c r="E6" s="13" t="n"/>
      <c r="F6" s="12" t="inlineStr">
        <is>
          <t>Pendiente</t>
        </is>
      </c>
      <c r="G6" s="14" t="n">
        <v>0</v>
      </c>
      <c r="H6" s="12" t="n"/>
    </row>
    <row r="7">
      <c r="A7" s="4" t="n">
        <v>3</v>
      </c>
      <c r="B7" s="5" t="inlineStr">
        <is>
          <t>Distribución</t>
        </is>
      </c>
      <c r="C7" s="5" t="inlineStr">
        <is>
          <t>Comedor privado / chef's table (8‑10 plazas)</t>
        </is>
      </c>
      <c r="D7" s="12" t="inlineStr">
        <is>
          <t>Interiorista</t>
        </is>
      </c>
      <c r="E7" s="13" t="n"/>
      <c r="F7" s="12" t="inlineStr">
        <is>
          <t>Pendiente</t>
        </is>
      </c>
      <c r="G7" s="14" t="n">
        <v>5000</v>
      </c>
      <c r="H7" s="12" t="n"/>
    </row>
    <row r="8">
      <c r="A8" s="4" t="n">
        <v>4</v>
      </c>
      <c r="B8" s="5" t="inlineStr">
        <is>
          <t>Distribución</t>
        </is>
      </c>
      <c r="C8" s="5" t="inlineStr">
        <is>
          <t>Barra / counter (6‑8 plazas)</t>
        </is>
      </c>
      <c r="D8" s="12" t="inlineStr">
        <is>
          <t>Interiorista</t>
        </is>
      </c>
      <c r="E8" s="13" t="n"/>
      <c r="F8" s="12" t="inlineStr">
        <is>
          <t>Pendiente</t>
        </is>
      </c>
      <c r="G8" s="14" t="n">
        <v>8000</v>
      </c>
      <c r="H8" s="12" t="n"/>
    </row>
    <row r="9">
      <c r="A9" s="4" t="n">
        <v>5</v>
      </c>
      <c r="B9" s="5" t="inlineStr">
        <is>
          <t>Distribución</t>
        </is>
      </c>
      <c r="C9" s="5" t="inlineStr">
        <is>
          <t>Zona de recepción / espera con aperitivo</t>
        </is>
      </c>
      <c r="D9" s="12" t="inlineStr">
        <is>
          <t>Interiorista</t>
        </is>
      </c>
      <c r="E9" s="13" t="n"/>
      <c r="F9" s="12" t="inlineStr">
        <is>
          <t>Pendiente</t>
        </is>
      </c>
      <c r="G9" s="14" t="n">
        <v>3000</v>
      </c>
      <c r="H9" s="12" t="n"/>
    </row>
    <row r="10">
      <c r="A10" s="4" t="n">
        <v>6</v>
      </c>
      <c r="B10" s="5" t="inlineStr">
        <is>
          <t>Distribución</t>
        </is>
      </c>
      <c r="C10" s="5" t="inlineStr">
        <is>
          <t>Flujo de circulación camareros sin cruzar comensales</t>
        </is>
      </c>
      <c r="D10" s="12" t="inlineStr">
        <is>
          <t>Interiorista</t>
        </is>
      </c>
      <c r="E10" s="13" t="n"/>
      <c r="F10" s="12" t="inlineStr">
        <is>
          <t>Pendiente</t>
        </is>
      </c>
      <c r="G10" s="14" t="n">
        <v>0</v>
      </c>
      <c r="H10" s="12" t="n"/>
    </row>
    <row r="11">
      <c r="A11" s="4" t="n">
        <v>7</v>
      </c>
      <c r="B11" s="5" t="inlineStr">
        <is>
          <t>Distribución</t>
        </is>
      </c>
      <c r="C11" s="5" t="inlineStr">
        <is>
          <t>Acceso a baños sin cruzar cocina</t>
        </is>
      </c>
      <c r="D11" s="12" t="inlineStr">
        <is>
          <t>Arquitecto</t>
        </is>
      </c>
      <c r="E11" s="13" t="n"/>
      <c r="F11" s="12" t="inlineStr">
        <is>
          <t>Pendiente</t>
        </is>
      </c>
      <c r="G11" s="14" t="n">
        <v>0</v>
      </c>
      <c r="H11" s="12" t="n"/>
    </row>
    <row r="12">
      <c r="A12" s="4" t="n">
        <v>8</v>
      </c>
      <c r="B12" s="5" t="inlineStr">
        <is>
          <t>Distribución</t>
        </is>
      </c>
      <c r="C12" s="5" t="inlineStr">
        <is>
          <t>Espacio para carrito de gueridón / servicio mesa</t>
        </is>
      </c>
      <c r="D12" s="12" t="inlineStr">
        <is>
          <t>Maître</t>
        </is>
      </c>
      <c r="E12" s="13" t="n"/>
      <c r="F12" s="12" t="inlineStr">
        <is>
          <t>Pendiente</t>
        </is>
      </c>
      <c r="G12" s="14" t="n">
        <v>2000</v>
      </c>
      <c r="H12" s="12" t="n"/>
    </row>
    <row r="13">
      <c r="A13" s="4" t="n">
        <v>9</v>
      </c>
      <c r="B13" s="5" t="inlineStr">
        <is>
          <t>Iluminación</t>
        </is>
      </c>
      <c r="C13" s="5" t="inlineStr">
        <is>
          <t>Iluminación cálida 2700-3000K en comedor</t>
        </is>
      </c>
      <c r="D13" s="12" t="inlineStr">
        <is>
          <t>Interiorista</t>
        </is>
      </c>
      <c r="E13" s="13" t="n"/>
      <c r="F13" s="12" t="inlineStr">
        <is>
          <t>Pendiente</t>
        </is>
      </c>
      <c r="G13" s="14" t="n">
        <v>5000</v>
      </c>
      <c r="H13" s="12" t="n"/>
    </row>
    <row r="14">
      <c r="A14" s="4" t="n">
        <v>10</v>
      </c>
      <c r="B14" s="5" t="inlineStr">
        <is>
          <t>Iluminación</t>
        </is>
      </c>
      <c r="C14" s="5" t="inlineStr">
        <is>
          <t>Reguladores de intensidad (dimmer) por zonas</t>
        </is>
      </c>
      <c r="D14" s="12" t="inlineStr">
        <is>
          <t>Electricista</t>
        </is>
      </c>
      <c r="E14" s="13" t="n"/>
      <c r="F14" s="12" t="inlineStr">
        <is>
          <t>Pendiente</t>
        </is>
      </c>
      <c r="G14" s="14" t="n">
        <v>1000</v>
      </c>
      <c r="H14" s="12" t="n"/>
    </row>
    <row r="15">
      <c r="A15" s="4" t="n">
        <v>11</v>
      </c>
      <c r="B15" s="5" t="inlineStr">
        <is>
          <t>Iluminación</t>
        </is>
      </c>
      <c r="C15" s="5" t="inlineStr">
        <is>
          <t>Luz directa sobre cada mesa (pendientes/spots)</t>
        </is>
      </c>
      <c r="D15" s="12" t="inlineStr">
        <is>
          <t>Interiorista</t>
        </is>
      </c>
      <c r="E15" s="13" t="n"/>
      <c r="F15" s="12" t="inlineStr">
        <is>
          <t>Pendiente</t>
        </is>
      </c>
      <c r="G15" s="14" t="n">
        <v>3000</v>
      </c>
      <c r="H15" s="12" t="n"/>
    </row>
    <row r="16">
      <c r="A16" s="4" t="n">
        <v>12</v>
      </c>
      <c r="B16" s="5" t="inlineStr">
        <is>
          <t>Iluminación</t>
        </is>
      </c>
      <c r="C16" s="5" t="inlineStr">
        <is>
          <t>Iluminación específica para carta de vinos</t>
        </is>
      </c>
      <c r="D16" s="12" t="inlineStr">
        <is>
          <t>Interiorista</t>
        </is>
      </c>
      <c r="E16" s="13" t="n"/>
      <c r="F16" s="12" t="inlineStr">
        <is>
          <t>Pendiente</t>
        </is>
      </c>
      <c r="G16" s="14" t="n">
        <v>500</v>
      </c>
      <c r="H16" s="12" t="n"/>
    </row>
    <row r="17">
      <c r="A17" s="4" t="n">
        <v>13</v>
      </c>
      <c r="B17" s="5" t="inlineStr">
        <is>
          <t>Iluminación</t>
        </is>
      </c>
      <c r="C17" s="5" t="inlineStr">
        <is>
          <t>Sin reflejos ni deslumbramiento en ojos del comensal</t>
        </is>
      </c>
      <c r="D17" s="12" t="inlineStr">
        <is>
          <t>Interiorista</t>
        </is>
      </c>
      <c r="E17" s="13" t="n"/>
      <c r="F17" s="12" t="inlineStr">
        <is>
          <t>Pendiente</t>
        </is>
      </c>
      <c r="G17" s="14" t="n">
        <v>0</v>
      </c>
      <c r="H17" s="12" t="n"/>
    </row>
    <row r="18">
      <c r="A18" s="4" t="n">
        <v>14</v>
      </c>
      <c r="B18" s="5" t="inlineStr">
        <is>
          <t>Acústica</t>
        </is>
      </c>
      <c r="C18" s="5" t="inlineStr">
        <is>
          <t>Tratamiento acústico (paneles absorbentes)</t>
        </is>
      </c>
      <c r="D18" s="12" t="inlineStr">
        <is>
          <t>Interiorista</t>
        </is>
      </c>
      <c r="E18" s="13" t="n"/>
      <c r="F18" s="12" t="inlineStr">
        <is>
          <t>Pendiente</t>
        </is>
      </c>
      <c r="G18" s="14" t="n">
        <v>3000</v>
      </c>
      <c r="H18" s="12" t="n"/>
    </row>
    <row r="19">
      <c r="A19" s="4" t="n">
        <v>15</v>
      </c>
      <c r="B19" s="5" t="inlineStr">
        <is>
          <t>Acústica</t>
        </is>
      </c>
      <c r="C19" s="5" t="inlineStr">
        <is>
          <t>Nivel sonoro objetivo: 60‑65 dB en servicio</t>
        </is>
      </c>
      <c r="D19" s="12" t="inlineStr">
        <is>
          <t>Interiorista</t>
        </is>
      </c>
      <c r="E19" s="13" t="n"/>
      <c r="F19" s="12" t="inlineStr">
        <is>
          <t>Pendiente</t>
        </is>
      </c>
      <c r="G19" s="14" t="n">
        <v>0</v>
      </c>
      <c r="H19" s="12" t="n"/>
    </row>
    <row r="20">
      <c r="A20" s="4" t="n">
        <v>16</v>
      </c>
      <c r="B20" s="5" t="inlineStr">
        <is>
          <t>Acústica</t>
        </is>
      </c>
      <c r="C20" s="5" t="inlineStr">
        <is>
          <t>Hilo musical: sistema de sonido discreto</t>
        </is>
      </c>
      <c r="D20" s="12" t="inlineStr">
        <is>
          <t>Instalador</t>
        </is>
      </c>
      <c r="E20" s="13" t="n"/>
      <c r="F20" s="12" t="inlineStr">
        <is>
          <t>Pendiente</t>
        </is>
      </c>
      <c r="G20" s="14" t="n">
        <v>2000</v>
      </c>
      <c r="H20" s="12" t="n"/>
    </row>
    <row r="21">
      <c r="A21" s="4" t="n">
        <v>17</v>
      </c>
      <c r="B21" s="5" t="inlineStr">
        <is>
          <t>Acústica</t>
        </is>
      </c>
      <c r="C21" s="5" t="inlineStr">
        <is>
          <t>Limitador‑registrador acústico homologado y estudio de impacto acústico</t>
        </is>
      </c>
      <c r="D21" s="12" t="inlineStr">
        <is>
          <t>Ingeniero acústico</t>
        </is>
      </c>
      <c r="E21" s="13" t="n"/>
      <c r="F21" s="12" t="inlineStr">
        <is>
          <t>Pendiente</t>
        </is>
      </c>
      <c r="G21" s="14" t="n"/>
      <c r="H21" s="12" t="inlineStr">
        <is>
          <t>La cadena «limitador» no aparecía en ninguno de los 141 ficheros de la familia. En Cataluña el estudio es obligatorio y en buena parte de las ordenanzas del resto de CCAA también, para locales con música. Condiciona la licencia. Sin importe tasado en la guía: pide presupuesto y escríbelo aquí (la celda es editable y el TOTAL se recalcula).</t>
        </is>
      </c>
    </row>
    <row r="22">
      <c r="A22" s="4" t="n">
        <v>18</v>
      </c>
      <c r="B22" s="5" t="inlineStr">
        <is>
          <t>Climatización</t>
        </is>
      </c>
      <c r="C22" s="5" t="inlineStr">
        <is>
          <t>Sistema de climatización silencioso y eficiente</t>
        </is>
      </c>
      <c r="D22" s="12" t="inlineStr">
        <is>
          <t>Instalador</t>
        </is>
      </c>
      <c r="E22" s="13" t="n"/>
      <c r="F22" s="12" t="inlineStr">
        <is>
          <t>Pendiente</t>
        </is>
      </c>
      <c r="G22" s="14" t="n">
        <v>8000</v>
      </c>
      <c r="H22" s="12" t="n"/>
    </row>
    <row r="23">
      <c r="A23" s="4" t="n">
        <v>19</v>
      </c>
      <c r="B23" s="5" t="inlineStr">
        <is>
          <t>Climatización</t>
        </is>
      </c>
      <c r="C23" s="5" t="inlineStr">
        <is>
          <t>Temperatura 21‑23°C constante</t>
        </is>
      </c>
      <c r="D23" s="12" t="inlineStr">
        <is>
          <t>Instalador</t>
        </is>
      </c>
      <c r="E23" s="13" t="n"/>
      <c r="F23" s="12" t="inlineStr">
        <is>
          <t>Pendiente</t>
        </is>
      </c>
      <c r="G23" s="14" t="n">
        <v>0</v>
      </c>
      <c r="H23" s="12" t="n"/>
    </row>
    <row r="24">
      <c r="A24" s="4" t="n">
        <v>20</v>
      </c>
      <c r="B24" s="5" t="inlineStr">
        <is>
          <t>Climatización</t>
        </is>
      </c>
      <c r="C24" s="5" t="inlineStr">
        <is>
          <t>Extracción de olores de cocina sin afectar sala</t>
        </is>
      </c>
      <c r="D24" s="12" t="inlineStr">
        <is>
          <t>Instalador</t>
        </is>
      </c>
      <c r="E24" s="13" t="n"/>
      <c r="F24" s="12" t="inlineStr">
        <is>
          <t>Pendiente</t>
        </is>
      </c>
      <c r="G24" s="14" t="n">
        <v>2000</v>
      </c>
      <c r="H24" s="12" t="n"/>
    </row>
    <row r="25">
      <c r="A25" s="4" t="n">
        <v>21</v>
      </c>
      <c r="B25" s="5" t="inlineStr">
        <is>
          <t>Mobiliario</t>
        </is>
      </c>
      <c r="C25" s="5" t="inlineStr">
        <is>
          <t>Mesas: estables, tamaño adecuado, material premium</t>
        </is>
      </c>
      <c r="D25" s="12" t="inlineStr">
        <is>
          <t>Interiorista</t>
        </is>
      </c>
      <c r="E25" s="13" t="n"/>
      <c r="F25" s="12" t="inlineStr">
        <is>
          <t>Pendiente</t>
        </is>
      </c>
      <c r="G25" s="14" t="n">
        <v>10000</v>
      </c>
      <c r="H25" s="12" t="n"/>
    </row>
    <row r="26">
      <c r="A26" s="4" t="n">
        <v>22</v>
      </c>
      <c r="B26" s="5" t="inlineStr">
        <is>
          <t>Mobiliario</t>
        </is>
      </c>
      <c r="C26" s="5" t="inlineStr">
        <is>
          <t>Sillas: cómodas para servicio de 2h+, tapizadas</t>
        </is>
      </c>
      <c r="D26" s="12" t="inlineStr">
        <is>
          <t>Interiorista</t>
        </is>
      </c>
      <c r="E26" s="13" t="n"/>
      <c r="F26" s="12" t="inlineStr">
        <is>
          <t>Pendiente</t>
        </is>
      </c>
      <c r="G26" s="14" t="n">
        <v>15000</v>
      </c>
      <c r="H26" s="12" t="n"/>
    </row>
    <row r="27">
      <c r="A27" s="4" t="n">
        <v>23</v>
      </c>
      <c r="B27" s="5" t="inlineStr">
        <is>
          <t>Mobiliario</t>
        </is>
      </c>
      <c r="C27" s="5" t="inlineStr">
        <is>
          <t>Aparador/consola de servicio por zona</t>
        </is>
      </c>
      <c r="D27" s="12" t="inlineStr">
        <is>
          <t>Interiorista</t>
        </is>
      </c>
      <c r="E27" s="13" t="n"/>
      <c r="F27" s="12" t="inlineStr">
        <is>
          <t>Pendiente</t>
        </is>
      </c>
      <c r="G27" s="14" t="n">
        <v>3000</v>
      </c>
      <c r="H27" s="12" t="n"/>
    </row>
    <row r="28">
      <c r="A28" s="4" t="n">
        <v>24</v>
      </c>
      <c r="B28" s="5" t="inlineStr">
        <is>
          <t>Mobiliario</t>
        </is>
      </c>
      <c r="C28" s="5" t="inlineStr">
        <is>
          <t>Estación de sommelier (decantadores, copas, etc.)</t>
        </is>
      </c>
      <c r="D28" s="12" t="inlineStr">
        <is>
          <t>Sommelier</t>
        </is>
      </c>
      <c r="E28" s="13" t="n"/>
      <c r="F28" s="12" t="inlineStr">
        <is>
          <t>Pendiente</t>
        </is>
      </c>
      <c r="G28" s="14" t="n">
        <v>2000</v>
      </c>
      <c r="H28" s="12" t="n"/>
    </row>
    <row r="29">
      <c r="A29" s="4" t="n">
        <v>25</v>
      </c>
      <c r="B29" s="5" t="inlineStr">
        <is>
          <t>Mobiliario</t>
        </is>
      </c>
      <c r="C29" s="5" t="inlineStr">
        <is>
          <t>Vitrina de vinos climatizada (elemento visual)</t>
        </is>
      </c>
      <c r="D29" s="12" t="inlineStr">
        <is>
          <t>Proveedor</t>
        </is>
      </c>
      <c r="E29" s="13" t="n"/>
      <c r="F29" s="12" t="inlineStr">
        <is>
          <t>Pendiente</t>
        </is>
      </c>
      <c r="G29" s="14" t="n">
        <v>15000</v>
      </c>
      <c r="H29" s="12" t="n"/>
    </row>
    <row r="30">
      <c r="A30" s="4" t="n">
        <v>26</v>
      </c>
      <c r="B30" s="5" t="inlineStr">
        <is>
          <t>Baños</t>
        </is>
      </c>
      <c r="C30" s="5" t="inlineStr">
        <is>
          <t>Baños clientes: diseño premium, coherente con sala</t>
        </is>
      </c>
      <c r="D30" s="12" t="inlineStr">
        <is>
          <t>Interiorista</t>
        </is>
      </c>
      <c r="E30" s="13" t="n"/>
      <c r="F30" s="12" t="inlineStr">
        <is>
          <t>Pendiente</t>
        </is>
      </c>
      <c r="G30" s="14" t="n">
        <v>5000</v>
      </c>
      <c r="H30" s="12" t="n"/>
    </row>
    <row r="31">
      <c r="A31" s="4" t="n">
        <v>27</v>
      </c>
      <c r="B31" s="5" t="inlineStr">
        <is>
          <t>Baños</t>
        </is>
      </c>
      <c r="C31" s="5" t="inlineStr">
        <is>
          <t>Baño adaptado personas con movilidad reducida (obligatorio)</t>
        </is>
      </c>
      <c r="D31" s="12" t="inlineStr">
        <is>
          <t>Arquitecto</t>
        </is>
      </c>
      <c r="E31" s="13" t="n"/>
      <c r="F31" s="12" t="inlineStr">
        <is>
          <t>Pendiente</t>
        </is>
      </c>
      <c r="G31" s="14" t="n">
        <v>2000</v>
      </c>
      <c r="H31" s="12" t="n"/>
    </row>
    <row r="32">
      <c r="A32" s="4" t="n">
        <v>28</v>
      </c>
      <c r="B32" s="5" t="inlineStr">
        <is>
          <t>Baños</t>
        </is>
      </c>
      <c r="C32" s="5" t="inlineStr">
        <is>
          <t>Amenities: jabón, crema, ambientador de calidad</t>
        </is>
      </c>
      <c r="D32" s="12" t="inlineStr">
        <is>
          <t>Maître</t>
        </is>
      </c>
      <c r="E32" s="13" t="n"/>
      <c r="F32" s="12" t="inlineStr">
        <is>
          <t>Pendiente</t>
        </is>
      </c>
      <c r="G32" s="14" t="n">
        <v>200</v>
      </c>
      <c r="H32" s="12" t="n"/>
    </row>
    <row r="33">
      <c r="A33" s="4" t="n">
        <v>29</v>
      </c>
      <c r="B33" s="5" t="inlineStr">
        <is>
          <t>Baños</t>
        </is>
      </c>
      <c r="C33" s="5" t="inlineStr">
        <is>
          <t>Aseos y vestuarios de personal separados de los de clientes (RD 486/1997)</t>
        </is>
      </c>
      <c r="D33" s="12" t="inlineStr">
        <is>
          <t>Arquitecto</t>
        </is>
      </c>
      <c r="E33" s="13" t="n"/>
      <c r="F33" s="12" t="inlineStr">
        <is>
          <t>Pendiente</t>
        </is>
      </c>
      <c r="G33" s="14" t="n"/>
      <c r="H33" s="12" t="inlineStr">
        <is>
          <t>El checklist cubría los baños de clientes y el adaptado, pero no los del equipo: son las 24 personas del cuadrante de plantilla-turnos-brigada.xlsx (15 de cocina y 9 de sala), que es la fuente única de plantilla de este producto. Sin importe tasado en la guía: pide presupuesto y escríbelo aquí (la celda es editable y el TOTAL se recalcula).</t>
        </is>
      </c>
    </row>
    <row r="34">
      <c r="A34" s="4" t="n">
        <v>30</v>
      </c>
      <c r="B34" s="5" t="inlineStr">
        <is>
          <t>Accesibilidad</t>
        </is>
      </c>
      <c r="C34" s="5" t="inlineStr">
        <is>
          <t>Acceso sin barreras desde la calle (rampa o nivel)</t>
        </is>
      </c>
      <c r="D34" s="12" t="inlineStr">
        <is>
          <t>Arquitecto</t>
        </is>
      </c>
      <c r="E34" s="13" t="n"/>
      <c r="F34" s="12" t="inlineStr">
        <is>
          <t>Pendiente</t>
        </is>
      </c>
      <c r="G34" s="14" t="n">
        <v>2000</v>
      </c>
      <c r="H34" s="12" t="n"/>
    </row>
    <row r="35">
      <c r="A35" s="4" t="n">
        <v>31</v>
      </c>
      <c r="B35" s="5" t="inlineStr">
        <is>
          <t>Accesibilidad</t>
        </is>
      </c>
      <c r="C35" s="5" t="inlineStr">
        <is>
          <t>Señalización clara y visible</t>
        </is>
      </c>
      <c r="D35" s="12" t="inlineStr">
        <is>
          <t>Interiorista</t>
        </is>
      </c>
      <c r="E35" s="13" t="n"/>
      <c r="F35" s="12" t="inlineStr">
        <is>
          <t>Pendiente</t>
        </is>
      </c>
      <c r="G35" s="14" t="n">
        <v>500</v>
      </c>
      <c r="H35" s="12" t="n"/>
    </row>
    <row r="36">
      <c r="A36" s="4" t="n">
        <v>32</v>
      </c>
      <c r="B36" s="5" t="inlineStr">
        <is>
          <t>Accesibilidad</t>
        </is>
      </c>
      <c r="C36" s="5" t="inlineStr">
        <is>
          <t>Alumbrado de emergencia y señalización de evacuación (CTE DB‑SUA / DB‑SI)</t>
        </is>
      </c>
      <c r="D36" s="12" t="inlineStr">
        <is>
          <t>Instalador</t>
        </is>
      </c>
      <c r="E36" s="13" t="n"/>
      <c r="F36" s="12" t="inlineStr">
        <is>
          <t>Pendiente</t>
        </is>
      </c>
      <c r="G36" s="14" t="n"/>
      <c r="H36" s="12" t="inlineStr">
        <is>
          <t>Sin importe tasado en la guía: pide presupuesto y escríbelo aquí (la celda es editable y el TOTAL se recalcula).</t>
        </is>
      </c>
    </row>
    <row r="37">
      <c r="A37" s="4" t="n">
        <v>33</v>
      </c>
      <c r="B37" s="5" t="inlineStr">
        <is>
          <t>Accesibilidad</t>
        </is>
      </c>
      <c r="C37" s="5" t="inlineStr">
        <is>
          <t>Certificación de aforo y anchura de los recorridos de evacuación</t>
        </is>
      </c>
      <c r="D37" s="12" t="inlineStr">
        <is>
          <t>Arquitecto</t>
        </is>
      </c>
      <c r="E37" s="13" t="n"/>
      <c r="F37" s="12" t="inlineStr">
        <is>
          <t>Pendiente</t>
        </is>
      </c>
      <c r="G37" s="14" t="n"/>
      <c r="H37" s="12" t="inlineStr">
        <is>
          <t>El aforo declarado tiene que cuadrar con las 65 plazas del plano (fila 1) y con el cartel de aforo del checklist legal.</t>
        </is>
      </c>
    </row>
    <row r="38">
      <c r="A38" s="4" t="n">
        <v>34</v>
      </c>
      <c r="B38" s="5" t="inlineStr">
        <is>
          <t>Terraza</t>
        </is>
      </c>
      <c r="C38" s="5" t="inlineStr">
        <is>
          <t>Mobiliario exterior coherente con interior (si aplica)</t>
        </is>
      </c>
      <c r="D38" s="12" t="inlineStr">
        <is>
          <t>Interiorista</t>
        </is>
      </c>
      <c r="E38" s="13" t="n"/>
      <c r="F38" s="12" t="inlineStr">
        <is>
          <t>Pendiente</t>
        </is>
      </c>
      <c r="G38" s="14" t="n">
        <v>5000</v>
      </c>
      <c r="H38" s="12" t="n"/>
    </row>
    <row r="39">
      <c r="A39" s="4" t="n">
        <v>35</v>
      </c>
      <c r="B39" s="5" t="inlineStr">
        <is>
          <t>Terraza</t>
        </is>
      </c>
      <c r="C39" s="5" t="inlineStr">
        <is>
          <t>Toldos/parasoles y calefacción exterior (si aplica)</t>
        </is>
      </c>
      <c r="D39" s="12" t="inlineStr">
        <is>
          <t>Instalador</t>
        </is>
      </c>
      <c r="E39" s="13" t="n"/>
      <c r="F39" s="12" t="inlineStr">
        <is>
          <t>Pendiente</t>
        </is>
      </c>
      <c r="G39" s="14" t="n">
        <v>3000</v>
      </c>
      <c r="H39" s="12" t="n"/>
    </row>
    <row r="40">
      <c r="E40" s="15" t="n"/>
      <c r="G40" s="16" t="n"/>
    </row>
    <row r="41">
      <c r="A41" s="17" t="inlineStr">
        <is>
          <t>RESUMEN — lo calcula el libro (v2.0)</t>
        </is>
      </c>
      <c r="B41" s="18" t="n"/>
      <c r="C41" s="18" t="n"/>
      <c r="D41" s="18" t="n"/>
      <c r="E41" s="18" t="n"/>
      <c r="F41" s="18" t="n"/>
      <c r="G41" s="18" t="n"/>
      <c r="H41" s="18" t="n"/>
    </row>
    <row r="42">
      <c r="A42" s="17" t="inlineStr">
        <is>
          <t>TOTAL PRESUPUESTADO (€)</t>
        </is>
      </c>
      <c r="B42" s="18" t="n"/>
      <c r="C42" s="18" t="n"/>
      <c r="D42" s="18" t="n"/>
      <c r="E42" s="18" t="n"/>
      <c r="F42" s="18" t="n"/>
      <c r="G42" s="23">
        <f>SUM(G5:G39)</f>
        <v>108200.0</v>
      </c>
      <c r="H42" s="18" t="n"/>
    </row>
    <row r="43">
      <c r="A43" s="17" t="inlineStr">
        <is>
          <t>Partidas SIN importe (a presupuestar)</t>
        </is>
      </c>
      <c r="B43" s="18" t="n"/>
      <c r="C43" s="18" t="n"/>
      <c r="D43" s="18" t="n"/>
      <c r="E43" s="18" t="n"/>
      <c r="F43" s="18" t="n"/>
      <c r="G43" s="24">
        <f>COUNTIF(B5:B39,"&lt;&gt;")-COUNT(G5:G39)</f>
        <v>4.0</v>
      </c>
      <c r="H43" s="18" t="inlineStr">
        <is>
          <t>El TOTAL de arriba es un SUELO: no incluye estas partidas, que van a presupuestar.</t>
        </is>
      </c>
    </row>
    <row r="44">
      <c r="A44" s="17" t="inlineStr">
        <is>
          <t>Avance del checklist (% completado)</t>
        </is>
      </c>
      <c r="B44" s="18" t="n"/>
      <c r="C44" s="18" t="n"/>
      <c r="D44" s="18" t="n"/>
      <c r="E44" s="18" t="n"/>
      <c r="F44" s="25">
        <f>IFERROR(COUNTIF(F5:F39,"Completado")/COUNTIF(F5:F39,"&lt;&gt;"),"")</f>
        <v>0.0</v>
      </c>
      <c r="G44" s="18" t="inlineStr">
        <is>
          <t>Estado terminal de este checklist: «Completado»</t>
        </is>
      </c>
      <c r="H44" s="18" t="n"/>
    </row>
    <row r="45">
      <c r="A45" s="18" t="n"/>
      <c r="B45" s="18" t="n"/>
      <c r="C45" s="18" t="n"/>
      <c r="D45" s="18" t="n"/>
      <c r="E45" s="18" t="n"/>
      <c r="F45" s="18" t="n"/>
      <c r="G45" s="18" t="n"/>
      <c r="H45" s="18" t="n"/>
    </row>
    <row r="46">
      <c r="A46" s="17" t="inlineStr">
        <is>
          <t>SUBTOTALES POR CATEGORÍA</t>
        </is>
      </c>
      <c r="B46" s="18" t="n"/>
      <c r="C46" s="18" t="n"/>
      <c r="D46" s="18" t="n"/>
      <c r="E46" s="18" t="n"/>
      <c r="F46" s="18" t="n"/>
      <c r="G46" s="18" t="n"/>
      <c r="H46" s="18" t="n"/>
    </row>
    <row r="47">
      <c r="A47" s="18" t="inlineStr">
        <is>
          <t>Distribución</t>
        </is>
      </c>
      <c r="B47" s="18" t="n"/>
      <c r="C47" s="18" t="n"/>
      <c r="D47" s="18" t="n"/>
      <c r="E47" s="18" t="n"/>
      <c r="F47" s="18" t="n"/>
      <c r="G47" s="26">
        <f>SUMIF($B$5:$B$39,$A47,$G$5:$G$39)</f>
        <v>21000.0</v>
      </c>
      <c r="H47" s="18" t="n"/>
    </row>
    <row r="48">
      <c r="A48" s="18" t="inlineStr">
        <is>
          <t>Iluminación</t>
        </is>
      </c>
      <c r="B48" s="18" t="n"/>
      <c r="C48" s="18" t="n"/>
      <c r="D48" s="18" t="n"/>
      <c r="E48" s="18" t="n"/>
      <c r="F48" s="18" t="n"/>
      <c r="G48" s="26">
        <f>SUMIF($B$5:$B$39,$A48,$G$5:$G$39)</f>
        <v>9500.0</v>
      </c>
      <c r="H48" s="18" t="n"/>
    </row>
    <row r="49">
      <c r="A49" s="18" t="inlineStr">
        <is>
          <t>Acústica</t>
        </is>
      </c>
      <c r="B49" s="18" t="n"/>
      <c r="C49" s="18" t="n"/>
      <c r="D49" s="18" t="n"/>
      <c r="E49" s="18" t="n"/>
      <c r="F49" s="18" t="n"/>
      <c r="G49" s="26">
        <f>SUMIF($B$5:$B$39,$A49,$G$5:$G$39)</f>
        <v>5000.0</v>
      </c>
      <c r="H49" s="18" t="n"/>
    </row>
    <row r="50">
      <c r="A50" s="18" t="inlineStr">
        <is>
          <t>Climatización</t>
        </is>
      </c>
      <c r="B50" s="18" t="n"/>
      <c r="C50" s="18" t="n"/>
      <c r="D50" s="18" t="n"/>
      <c r="E50" s="18" t="n"/>
      <c r="F50" s="18" t="n"/>
      <c r="G50" s="26">
        <f>SUMIF($B$5:$B$39,$A50,$G$5:$G$39)</f>
        <v>10000.0</v>
      </c>
      <c r="H50" s="18" t="n"/>
    </row>
    <row r="51">
      <c r="A51" s="18" t="inlineStr">
        <is>
          <t>Mobiliario</t>
        </is>
      </c>
      <c r="B51" s="18" t="n"/>
      <c r="C51" s="18" t="n"/>
      <c r="D51" s="18" t="n"/>
      <c r="E51" s="18" t="n"/>
      <c r="F51" s="18" t="n"/>
      <c r="G51" s="26">
        <f>SUMIF($B$5:$B$39,$A51,$G$5:$G$39)</f>
        <v>45000.0</v>
      </c>
      <c r="H51" s="18" t="n"/>
    </row>
    <row r="52">
      <c r="A52" s="18" t="inlineStr">
        <is>
          <t>Baños</t>
        </is>
      </c>
      <c r="B52" s="18" t="n"/>
      <c r="C52" s="18" t="n"/>
      <c r="D52" s="18" t="n"/>
      <c r="E52" s="18" t="n"/>
      <c r="F52" s="18" t="n"/>
      <c r="G52" s="26">
        <f>SUMIF($B$5:$B$39,$A52,$G$5:$G$39)</f>
        <v>7200.0</v>
      </c>
      <c r="H52" s="18" t="n"/>
    </row>
    <row r="53">
      <c r="A53" s="18" t="inlineStr">
        <is>
          <t>Accesibilidad</t>
        </is>
      </c>
      <c r="B53" s="18" t="n"/>
      <c r="C53" s="18" t="n"/>
      <c r="D53" s="18" t="n"/>
      <c r="E53" s="18" t="n"/>
      <c r="F53" s="18" t="n"/>
      <c r="G53" s="26">
        <f>SUMIF($B$5:$B$39,$A53,$G$5:$G$39)</f>
        <v>2500.0</v>
      </c>
      <c r="H53" s="18" t="n"/>
    </row>
    <row r="54">
      <c r="A54" s="18" t="inlineStr">
        <is>
          <t>Terraza</t>
        </is>
      </c>
      <c r="B54" s="18" t="n"/>
      <c r="C54" s="18" t="n"/>
      <c r="D54" s="18" t="n"/>
      <c r="E54" s="18" t="n"/>
      <c r="F54" s="18" t="n"/>
      <c r="G54" s="26">
        <f>SUMIF($B$5:$B$39,$A54,$G$5:$G$39)</f>
        <v>8000.0</v>
      </c>
      <c r="H54" s="18" t="n"/>
    </row>
    <row r="55">
      <c r="A55" s="18" t="n"/>
      <c r="B55" s="18" t="n"/>
      <c r="C55" s="18" t="n"/>
      <c r="D55" s="18" t="n"/>
      <c r="E55" s="18" t="n"/>
      <c r="F55" s="18" t="n"/>
      <c r="G55" s="18" t="n"/>
      <c r="H55" s="18" t="n"/>
    </row>
    <row r="56">
      <c r="A56" s="18" t="inlineStr">
        <is>
          <t>AI Chef Pro · aichef.pro — Restaurante Gastronómico</t>
        </is>
      </c>
    </row>
  </sheetData>
  <sheetProtection selectLockedCells="0" selectUnlockedCells="0" sheet="1" objects="0" insertRows="0" insertHyperlinks="1" autoFilter="1" scenarios="0" formatColumns="0" deleteColumns="1" insertColumns="1" pivotTables="1" deleteRows="1" formatCells="1" formatRows="0" sort="0"/>
  <autoFilter ref="A4:H4"/>
  <mergeCells count="3">
    <mergeCell ref="A2:H2"/>
    <mergeCell ref="A1:H1"/>
    <mergeCell ref="A56:H56"/>
  </mergeCells>
  <conditionalFormatting sqref="F5:F39">
    <cfRule type="cellIs" priority="2" operator="equal" dxfId="0" stopIfTrue="1">
      <formula>"Completado"</formula>
    </cfRule>
    <cfRule type="cellIs" priority="3" operator="equal" dxfId="1" stopIfTrue="1">
      <formula>"En Curso"</formula>
    </cfRule>
    <cfRule type="cellIs" priority="4" operator="equal" dxfId="2" stopIfTrue="1">
      <formula>"Pendiente"</formula>
    </cfRule>
  </conditionalFormatting>
  <conditionalFormatting sqref="G43">
    <cfRule type="expression" priority="4" dxfId="1" stopIfTrue="1">
      <formula>=AND(ISNUMBER(G43),G43&gt;0)</formula>
    </cfRule>
  </conditionalFormatting>
  <dataValidations count="3">
    <dataValidation sqref="E5 E6 E7 E8 E9 E10 E11 E12 E13 E14 E15 E16 E17 E18 E19 E20 E21 E22 E23 E24 E25 E26 E27 E28 E29 E30 E31 E32 E33 E34 E35 E36 E37 E38 E39" showDropDown="0" showInputMessage="0" showErrorMessage="1" allowBlank="1" errorTitle="Fecha no válida" error="Escribe una fecha (dd/mm/aaaa) entre 2020 y 2040." type="date" operator="between">
      <formula1>DATE(2020,1,1)</formula1>
      <formula2>DATE(2040,12,31)</formula2>
    </dataValidation>
    <dataValidation sqref="F5 F6 F7 F8 F9 F10 F11 F12 F13 F14 F15 F16 F17 F18 F19 F20 F21 F22 F23 F24 F25 F26 F27 F28 F29 F30 F31 F32 F33 F34 F35 F36 F37 F38 F39" showDropDown="0" showInputMessage="0" showErrorMessage="1" allowBlank="1" errorTitle="Valor no válido" error="Elige un valor de la lista: Pendiente, En Curso, Completado" type="list">
      <formula1>"Pendiente,En Curso,Completado"</formula1>
    </dataValidation>
    <dataValidation sqref="G5 G6 G7 G8 G9 G10 G11 G12 G13 G14 G15 G16 G17 G18 G19 G20 G21 G22 G23 G24 G25 G26 G27 G28 G29 G30 G31 G32 G33 G34 G35 G36 G37 G38 G39"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Checklist Diseño de Sala (FOH) · Cómo Montar un Restaurante Gastronómico 65 Plazas · v2.0</dc:title>
  <dc:description xmlns:dc="http://purl.org/dc/elements/1.1/">aichef.pro/guia-restaurante-gastronomico</dc:description>
  <dc:subject xmlns:dc="http://purl.org/dc/elements/1.1/">Cómo Montar un Restaurante Gastronómico 65 Plazas · v2.0</dc:subject>
  <dcterms:created xmlns:dcterms="http://purl.org/dc/terms/" xmlns:xsi="http://www.w3.org/2001/XMLSchema-instance" xsi:type="dcterms:W3CDTF">2026-04-05T22:25:50Z</dcterms:created>
  <dcterms:modified xmlns:dcterms="http://purl.org/dc/terms/" xmlns:xsi="http://www.w3.org/2001/XMLSchema-instance" xsi:type="dcterms:W3CDTF">2026-08-29T08:34:20Z</dcterms:modified>
  <cp:lastModifiedBy>AI Chef Pro</cp:lastModifiedBy>
  <cp:category>AI Chef Pro · Productos digitales</cp:category>
  <cp:keywords>guia restaurante gastronomico, AI Chef Pro</cp:keywords>
</cp:coreProperties>
</file>