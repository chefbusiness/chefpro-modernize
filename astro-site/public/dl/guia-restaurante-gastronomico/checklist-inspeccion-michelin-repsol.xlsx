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reparación Inspección" sheetId="2" state="visible" r:id="rId2"/>
  </sheets>
  <definedNames>
    <definedName name="_xlnm._FilterDatabase" localSheetId="1" hidden="1">'Preparación Inspección'!$A$4:$H$4</definedName>
    <definedName name="_xlnm.Print_Titles" localSheetId="1">'Preparación Inspección'!$4:$4</definedName>
  </definedNames>
  <calcPr calcId="124519" fullCalcOnLoad="1"/>
</workbook>
</file>

<file path=xl/styles.xml><?xml version="1.0" encoding="utf-8"?>
<styleSheet xmlns="http://schemas.openxmlformats.org/spreadsheetml/2006/main">
  <numFmts count="3">
    <numFmt numFmtId="164" formatCode="#,##0.00 €"/>
    <numFmt numFmtId="165" formatCode="dd/mm/yyyy"/>
    <numFmt numFmtId="166" formatCode="0.0%"/>
  </numFmts>
  <fonts count="11">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
      <b val="1"/>
      <color theme="1"/>
      <sz val="11"/>
    </font>
    <font>
      <b val="1"/>
      <sz val="16"/>
    </font>
    <font>
      <b val="1"/>
      <sz val="12"/>
    </font>
    <font/>
    <font>
      <b val="1"/>
    </font>
  </fonts>
  <fills count="5">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xf numFmtId="0" fontId="7" fillId="0" borderId="0" pivotButton="0" quotePrefix="0" xfId="0"/>
    <xf numFmtId="0" fontId="8" fillId="0" borderId="0" pivotButton="0" quotePrefix="0" xfId="0"/>
    <xf numFmtId="0" fontId="0" fillId="0" borderId="0" applyAlignment="1" pivotButton="0" quotePrefix="0" xfId="0">
      <alignment horizontal="left" vertical="top"/>
    </xf>
    <xf numFmtId="0" fontId="4" fillId="4" borderId="1" applyAlignment="1" applyProtection="1" pivotButton="0" quotePrefix="0" xfId="0">
      <alignment horizontal="left" vertical="center" wrapText="1"/>
      <protection locked="0" hidden="0"/>
    </xf>
    <xf numFmtId="165" fontId="4" fillId="4" borderId="1" applyAlignment="1" applyProtection="1" pivotButton="0" quotePrefix="0" xfId="0">
      <alignment horizontal="left" vertical="center" wrapText="1"/>
      <protection locked="0" hidden="0"/>
    </xf>
    <xf numFmtId="164" fontId="4" fillId="4" borderId="1" applyAlignment="1" applyProtection="1" pivotButton="0" quotePrefix="0" xfId="0">
      <alignment horizontal="left" vertical="center" wrapText="1"/>
      <protection locked="0" hidden="0"/>
    </xf>
    <xf numFmtId="165" fontId="0" fillId="0" borderId="0" pivotButton="0" quotePrefix="0" xfId="0"/>
    <xf numFmtId="164" fontId="0" fillId="0" borderId="0" pivotButton="0" quotePrefix="0" xfId="0"/>
    <xf numFmtId="0" fontId="10" fillId="0" borderId="0" pivotButton="0" quotePrefix="0" xfId="0"/>
    <xf numFmtId="0" fontId="9" fillId="0" borderId="0" pivotButton="0" quotePrefix="0" xfId="0"/>
    <xf numFmtId="0" fontId="6" fillId="0" borderId="0" pivotButton="0" quotePrefix="0" xfId="0"/>
    <xf numFmtId="164" fontId="6" fillId="0" borderId="0" pivotButton="0" quotePrefix="0" xfId="0"/>
    <xf numFmtId="3" fontId="6" fillId="0" borderId="0" pivotButton="0" quotePrefix="0" xfId="0"/>
    <xf numFmtId="166" fontId="6" fillId="0" borderId="0" pivotButton="0" quotePrefix="0" xfId="0"/>
    <xf numFmtId="164" fontId="10" fillId="0" borderId="0" pivotButton="0" quotePrefix="0" xfId="0"/>
    <xf numFmtId="3" fontId="10" fillId="0" borderId="0" pivotButton="0" quotePrefix="0" xfId="0"/>
    <xf numFmtId="166" fontId="10" fillId="0" borderId="0" pivotButton="0" quotePrefix="0" xfId="0"/>
    <xf numFmtId="164" fontId="9" fillId="0" borderId="0"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2"/>
  <sheetViews>
    <sheetView workbookViewId="0">
      <selection activeCell="A1" sqref="A1"/>
    </sheetView>
  </sheetViews>
  <sheetFormatPr baseColWidth="8" defaultRowHeight="15"/>
  <cols>
    <col width="80" customWidth="1" min="1" max="1"/>
  </cols>
  <sheetData>
    <row r="1">
      <c r="A1" s="9" t="inlineStr">
        <is>
          <t>Checklist Preparación Inspección Michelin / Sol Repsol</t>
        </is>
      </c>
    </row>
    <row r="2">
      <c r="A2" t="inlineStr">
        <is>
          <t>AI Chef Pro · aichef.pro — Restaurante Gastronómico</t>
        </is>
      </c>
    </row>
    <row r="3"/>
    <row r="4">
      <c r="A4" s="10" t="inlineStr">
        <is>
          <t>Instrucciones de uso</t>
        </is>
      </c>
    </row>
    <row r="5">
      <c r="A5" t="inlineStr">
        <is>
          <t>1. Rellena las celdas verdes con tus datos; el resto lo calcula el libro.</t>
        </is>
      </c>
    </row>
    <row r="6">
      <c r="A6" t="inlineStr">
        <is>
          <t>2. Las hojas están protegidas SIN contraseña para que una copia accidental no borre una fórmula.</t>
        </is>
      </c>
    </row>
    <row r="7"/>
    <row r="8">
      <c r="A8" t="inlineStr">
        <is>
          <t>Celdas verdes = campos editables</t>
        </is>
      </c>
    </row>
    <row r="9"/>
    <row r="10">
      <c r="A10" s="11" t="inlineStr">
        <is>
          <t>Para editar la estructura o una celda que no esté en verde: Revisar → Desproteger hoja (no tiene contraseña).</t>
        </is>
      </c>
    </row>
    <row r="11">
      <c r="A11" s="11" t="inlineStr">
        <is>
          <t>Diseñado por John Guerrero — chef y consultor gastronómico desde 2010, en cocina desde los 17 años · johnguerrero.es</t>
        </is>
      </c>
    </row>
    <row r="12">
      <c r="A12" s="11" t="inlineStr">
        <is>
          <t>Versión 2.0 · agosto 2026 · aichef.pro/guia-restaurante-gastronomico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C2"/>
    <mergeCell ref="A1:C1"/>
  </mergeCell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68"/>
  <sheetViews>
    <sheetView workbookViewId="0">
      <pane ySplit="4" topLeftCell="A5" activePane="bottomLeft" state="frozen"/>
      <selection pane="bottomLeft" activeCell="A1" sqref="A1"/>
    </sheetView>
  </sheetViews>
  <sheetFormatPr baseColWidth="8" defaultRowHeight="15"/>
  <cols>
    <col width="6" customWidth="1" min="1" max="1"/>
    <col width="51" customWidth="1" min="2" max="2"/>
    <col width="60" customWidth="1" min="3" max="3"/>
    <col width="18" customWidth="1" min="4" max="4"/>
    <col width="14" customWidth="1" min="5" max="5"/>
    <col width="14" customWidth="1" min="6" max="6"/>
    <col width="16" customWidth="1" min="7" max="7"/>
    <col width="30" customWidth="1" min="8" max="8"/>
  </cols>
  <sheetData>
    <row r="1" ht="30" customHeight="1">
      <c r="A1" s="1" t="inlineStr">
        <is>
          <t>Checklist Preparación Inspección Michelin / Sol Repsol</t>
        </is>
      </c>
    </row>
    <row r="2">
      <c r="A2" s="2" t="inlineStr">
        <is>
          <t>AI Chef Pro · aichef.pro — Restaurante Gastronómico</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Ingredientes</t>
        </is>
      </c>
      <c r="C5" s="5" t="inlineStr">
        <is>
          <t>Trazabilidad completa de cada producto</t>
        </is>
      </c>
      <c r="D5" s="12" t="inlineStr">
        <is>
          <t>Chef</t>
        </is>
      </c>
      <c r="E5" s="13" t="n"/>
      <c r="F5" s="12" t="inlineStr">
        <is>
          <t>Pendiente</t>
        </is>
      </c>
      <c r="G5" s="14" t="n">
        <v>0</v>
      </c>
      <c r="H5" s="12" t="n"/>
    </row>
    <row r="6">
      <c r="A6" s="4" t="n">
        <v>2</v>
      </c>
      <c r="B6" s="5" t="inlineStr">
        <is>
          <t>Ingredientes</t>
        </is>
      </c>
      <c r="C6" s="5" t="inlineStr">
        <is>
          <t>Relación directa con productores locales documentada</t>
        </is>
      </c>
      <c r="D6" s="12" t="inlineStr">
        <is>
          <t>Chef</t>
        </is>
      </c>
      <c r="E6" s="13" t="n"/>
      <c r="F6" s="12" t="inlineStr">
        <is>
          <t>Pendiente</t>
        </is>
      </c>
      <c r="G6" s="14" t="n">
        <v>0</v>
      </c>
      <c r="H6" s="12" t="n"/>
    </row>
    <row r="7">
      <c r="A7" s="4" t="n">
        <v>3</v>
      </c>
      <c r="B7" s="5" t="inlineStr">
        <is>
          <t>Ingredientes</t>
        </is>
      </c>
      <c r="C7" s="5" t="inlineStr">
        <is>
          <t>Producto de temporada (carta cambia con estaciones)</t>
        </is>
      </c>
      <c r="D7" s="12" t="inlineStr">
        <is>
          <t>Chef</t>
        </is>
      </c>
      <c r="E7" s="13" t="n"/>
      <c r="F7" s="12" t="inlineStr">
        <is>
          <t>Pendiente</t>
        </is>
      </c>
      <c r="G7" s="14" t="n">
        <v>0</v>
      </c>
      <c r="H7" s="12" t="n"/>
    </row>
    <row r="8">
      <c r="A8" s="4" t="n">
        <v>4</v>
      </c>
      <c r="B8" s="5" t="inlineStr">
        <is>
          <t>Ingredientes</t>
        </is>
      </c>
      <c r="C8" s="5" t="inlineStr">
        <is>
          <t>Calidad constante: mismo nivel de producto cada día</t>
        </is>
      </c>
      <c r="D8" s="12" t="inlineStr">
        <is>
          <t>Sous Chef</t>
        </is>
      </c>
      <c r="E8" s="13" t="n"/>
      <c r="F8" s="12" t="inlineStr">
        <is>
          <t>Pendiente</t>
        </is>
      </c>
      <c r="G8" s="14" t="n">
        <v>0</v>
      </c>
      <c r="H8" s="12" t="n"/>
    </row>
    <row r="9">
      <c r="A9" s="4" t="n">
        <v>5</v>
      </c>
      <c r="B9" s="5" t="inlineStr">
        <is>
          <t>Ingredientes</t>
        </is>
      </c>
      <c r="C9" s="5" t="inlineStr">
        <is>
          <t>Almacenamiento impecable (etiquetado, FIFO, temperaturas)</t>
        </is>
      </c>
      <c r="D9" s="12" t="inlineStr">
        <is>
          <t>Sous Chef</t>
        </is>
      </c>
      <c r="E9" s="13" t="n"/>
      <c r="F9" s="12" t="inlineStr">
        <is>
          <t>Pendiente</t>
        </is>
      </c>
      <c r="G9" s="14" t="n">
        <v>0</v>
      </c>
      <c r="H9" s="12" t="n"/>
    </row>
    <row r="10">
      <c r="A10" s="4" t="n">
        <v>6</v>
      </c>
      <c r="B10" s="5" t="inlineStr">
        <is>
          <t>Técnica</t>
        </is>
      </c>
      <c r="C10" s="5" t="inlineStr">
        <is>
          <t>Cocciones precisas y consistentes (termómetros calibrados)</t>
        </is>
      </c>
      <c r="D10" s="12" t="inlineStr">
        <is>
          <t>Jefes Partida</t>
        </is>
      </c>
      <c r="E10" s="13" t="n"/>
      <c r="F10" s="12" t="inlineStr">
        <is>
          <t>Pendiente</t>
        </is>
      </c>
      <c r="G10" s="14" t="n">
        <v>0</v>
      </c>
      <c r="H10" s="12" t="n"/>
    </row>
    <row r="11">
      <c r="A11" s="4" t="n">
        <v>7</v>
      </c>
      <c r="B11" s="5" t="inlineStr">
        <is>
          <t>Técnica</t>
        </is>
      </c>
      <c r="C11" s="5" t="inlineStr">
        <is>
          <t>Texturas variadas y bien ejecutadas en cada plato</t>
        </is>
      </c>
      <c r="D11" s="12" t="inlineStr">
        <is>
          <t>Chef</t>
        </is>
      </c>
      <c r="E11" s="13" t="n"/>
      <c r="F11" s="12" t="inlineStr">
        <is>
          <t>Pendiente</t>
        </is>
      </c>
      <c r="G11" s="14" t="n">
        <v>0</v>
      </c>
      <c r="H11" s="12" t="n"/>
    </row>
    <row r="12">
      <c r="A12" s="4" t="n">
        <v>8</v>
      </c>
      <c r="B12" s="5" t="inlineStr">
        <is>
          <t>Técnica</t>
        </is>
      </c>
      <c r="C12" s="5" t="inlineStr">
        <is>
          <t>Emplatados limpios, estéticos y coherentes</t>
        </is>
      </c>
      <c r="D12" s="12" t="inlineStr">
        <is>
          <t>Chef</t>
        </is>
      </c>
      <c r="E12" s="13" t="n"/>
      <c r="F12" s="12" t="inlineStr">
        <is>
          <t>Pendiente</t>
        </is>
      </c>
      <c r="G12" s="14" t="n">
        <v>0</v>
      </c>
      <c r="H12" s="12" t="n"/>
    </row>
    <row r="13">
      <c r="A13" s="4" t="n">
        <v>9</v>
      </c>
      <c r="B13" s="5" t="inlineStr">
        <is>
          <t>Técnica</t>
        </is>
      </c>
      <c r="C13" s="5" t="inlineStr">
        <is>
          <t>Técnicas modernas dominadas (sous-vide, fermentación, etc.)</t>
        </is>
      </c>
      <c r="D13" s="12" t="inlineStr">
        <is>
          <t>Chef</t>
        </is>
      </c>
      <c r="E13" s="13" t="n"/>
      <c r="F13" s="12" t="inlineStr">
        <is>
          <t>Pendiente</t>
        </is>
      </c>
      <c r="G13" s="14" t="n">
        <v>0</v>
      </c>
      <c r="H13" s="12" t="n"/>
    </row>
    <row r="14">
      <c r="A14" s="4" t="n">
        <v>10</v>
      </c>
      <c r="B14" s="5" t="inlineStr">
        <is>
          <t>Técnica</t>
        </is>
      </c>
      <c r="C14" s="5" t="inlineStr">
        <is>
          <t>Pan y petit fours de producción propia</t>
        </is>
      </c>
      <c r="D14" s="12" t="inlineStr">
        <is>
          <t>Chef Pastelero</t>
        </is>
      </c>
      <c r="E14" s="13" t="n"/>
      <c r="F14" s="12" t="inlineStr">
        <is>
          <t>Pendiente</t>
        </is>
      </c>
      <c r="G14" s="14" t="n">
        <v>0</v>
      </c>
      <c r="H14" s="12" t="n"/>
    </row>
    <row r="15">
      <c r="A15" s="4" t="n">
        <v>11</v>
      </c>
      <c r="B15" s="5" t="inlineStr">
        <is>
          <t>Armonía</t>
        </is>
      </c>
      <c r="C15" s="5" t="inlineStr">
        <is>
          <t>Equilibrio de sabores en cada plato</t>
        </is>
      </c>
      <c r="D15" s="12" t="inlineStr">
        <is>
          <t>Chef</t>
        </is>
      </c>
      <c r="E15" s="13" t="n"/>
      <c r="F15" s="12" t="inlineStr">
        <is>
          <t>Pendiente</t>
        </is>
      </c>
      <c r="G15" s="14" t="n">
        <v>0</v>
      </c>
      <c r="H15" s="12" t="n"/>
    </row>
    <row r="16">
      <c r="A16" s="4" t="n">
        <v>12</v>
      </c>
      <c r="B16" s="5" t="inlineStr">
        <is>
          <t>Armonía</t>
        </is>
      </c>
      <c r="C16" s="5" t="inlineStr">
        <is>
          <t>Complejidad sin confusión: cada elemento tiene razón de ser</t>
        </is>
      </c>
      <c r="D16" s="12" t="inlineStr">
        <is>
          <t>Chef</t>
        </is>
      </c>
      <c r="E16" s="13" t="n"/>
      <c r="F16" s="12" t="inlineStr">
        <is>
          <t>Pendiente</t>
        </is>
      </c>
      <c r="G16" s="14" t="n">
        <v>0</v>
      </c>
      <c r="H16" s="12" t="n"/>
    </row>
    <row r="17">
      <c r="A17" s="4" t="n">
        <v>13</v>
      </c>
      <c r="B17" s="5" t="inlineStr">
        <is>
          <t>Armonía</t>
        </is>
      </c>
      <c r="C17" s="5" t="inlineStr">
        <is>
          <t>Limpieza de sabor: sabores nítidos, no empastados</t>
        </is>
      </c>
      <c r="D17" s="12" t="inlineStr">
        <is>
          <t>Chef</t>
        </is>
      </c>
      <c r="E17" s="13" t="n"/>
      <c r="F17" s="12" t="inlineStr">
        <is>
          <t>Pendiente</t>
        </is>
      </c>
      <c r="G17" s="14" t="n">
        <v>0</v>
      </c>
      <c r="H17" s="12" t="n"/>
    </row>
    <row r="18">
      <c r="A18" s="4" t="n">
        <v>14</v>
      </c>
      <c r="B18" s="5" t="inlineStr">
        <is>
          <t>Armonía</t>
        </is>
      </c>
      <c r="C18" s="5" t="inlineStr">
        <is>
          <t>Coherencia entre los pases del menú degustación</t>
        </is>
      </c>
      <c r="D18" s="12" t="inlineStr">
        <is>
          <t>Chef</t>
        </is>
      </c>
      <c r="E18" s="13" t="n"/>
      <c r="F18" s="12" t="inlineStr">
        <is>
          <t>Pendiente</t>
        </is>
      </c>
      <c r="G18" s="14" t="n">
        <v>0</v>
      </c>
      <c r="H18" s="12" t="n"/>
    </row>
    <row r="19">
      <c r="A19" s="4" t="n">
        <v>15</v>
      </c>
      <c r="B19" s="5" t="inlineStr">
        <is>
          <t>Armonía</t>
        </is>
      </c>
      <c r="C19" s="5" t="inlineStr">
        <is>
          <t>Progresión lógica de intensidad en el menú</t>
        </is>
      </c>
      <c r="D19" s="12" t="inlineStr">
        <is>
          <t>Chef</t>
        </is>
      </c>
      <c r="E19" s="13" t="n"/>
      <c r="F19" s="12" t="inlineStr">
        <is>
          <t>Pendiente</t>
        </is>
      </c>
      <c r="G19" s="14" t="n">
        <v>0</v>
      </c>
      <c r="H19" s="12" t="n"/>
    </row>
    <row r="20">
      <c r="A20" s="4" t="n">
        <v>16</v>
      </c>
      <c r="B20" s="5" t="inlineStr">
        <is>
          <t>Personalidad</t>
        </is>
      </c>
      <c r="C20" s="5" t="inlineStr">
        <is>
          <t>Identidad culinaria clara y reconocible</t>
        </is>
      </c>
      <c r="D20" s="12" t="inlineStr">
        <is>
          <t>Chef</t>
        </is>
      </c>
      <c r="E20" s="13" t="n"/>
      <c r="F20" s="12" t="inlineStr">
        <is>
          <t>Pendiente</t>
        </is>
      </c>
      <c r="G20" s="14" t="n">
        <v>0</v>
      </c>
      <c r="H20" s="12" t="n"/>
    </row>
    <row r="21">
      <c r="A21" s="4" t="n">
        <v>17</v>
      </c>
      <c r="B21" s="5" t="inlineStr">
        <is>
          <t>Personalidad</t>
        </is>
      </c>
      <c r="C21" s="5" t="inlineStr">
        <is>
          <t>Firma del chef visible en cada plato</t>
        </is>
      </c>
      <c r="D21" s="12" t="inlineStr">
        <is>
          <t>Chef</t>
        </is>
      </c>
      <c r="E21" s="13" t="n"/>
      <c r="F21" s="12" t="inlineStr">
        <is>
          <t>Pendiente</t>
        </is>
      </c>
      <c r="G21" s="14" t="n">
        <v>0</v>
      </c>
      <c r="H21" s="12" t="n"/>
    </row>
    <row r="22">
      <c r="A22" s="4" t="n">
        <v>18</v>
      </c>
      <c r="B22" s="5" t="inlineStr">
        <is>
          <t>Personalidad</t>
        </is>
      </c>
      <c r="C22" s="5" t="inlineStr">
        <is>
          <t>Coherencia conceptual (historia, territorio, filosofía)</t>
        </is>
      </c>
      <c r="D22" s="12" t="inlineStr">
        <is>
          <t>Chef</t>
        </is>
      </c>
      <c r="E22" s="13" t="n"/>
      <c r="F22" s="12" t="inlineStr">
        <is>
          <t>Pendiente</t>
        </is>
      </c>
      <c r="G22" s="14" t="n">
        <v>0</v>
      </c>
      <c r="H22" s="12" t="n"/>
    </row>
    <row r="23">
      <c r="A23" s="4" t="n">
        <v>19</v>
      </c>
      <c r="B23" s="5" t="inlineStr">
        <is>
          <t>Personalidad</t>
        </is>
      </c>
      <c r="C23" s="5" t="inlineStr">
        <is>
          <t>Diferenciación clara respecto a competidores</t>
        </is>
      </c>
      <c r="D23" s="12" t="inlineStr">
        <is>
          <t>Chef</t>
        </is>
      </c>
      <c r="E23" s="13" t="n"/>
      <c r="F23" s="12" t="inlineStr">
        <is>
          <t>Pendiente</t>
        </is>
      </c>
      <c r="G23" s="14" t="n">
        <v>0</v>
      </c>
      <c r="H23" s="12" t="n"/>
    </row>
    <row r="24">
      <c r="A24" s="4" t="n">
        <v>20</v>
      </c>
      <c r="B24" s="5" t="inlineStr">
        <is>
          <t>Personalidad</t>
        </is>
      </c>
      <c r="C24" s="5" t="inlineStr">
        <is>
          <t>Evolución constante sin perder identidad</t>
        </is>
      </c>
      <c r="D24" s="12" t="inlineStr">
        <is>
          <t>Chef</t>
        </is>
      </c>
      <c r="E24" s="13" t="n"/>
      <c r="F24" s="12" t="inlineStr">
        <is>
          <t>Pendiente</t>
        </is>
      </c>
      <c r="G24" s="14" t="n">
        <v>0</v>
      </c>
      <c r="H24" s="12" t="n"/>
    </row>
    <row r="25">
      <c r="A25" s="4" t="n">
        <v>21</v>
      </c>
      <c r="B25" s="5" t="inlineStr">
        <is>
          <t>Consistencia</t>
        </is>
      </c>
      <c r="C25" s="5" t="inlineStr">
        <is>
          <t>Mismo nivel de calidad cada servicio, cada día</t>
        </is>
      </c>
      <c r="D25" s="12" t="inlineStr">
        <is>
          <t>Sous Chef</t>
        </is>
      </c>
      <c r="E25" s="13" t="n"/>
      <c r="F25" s="12" t="inlineStr">
        <is>
          <t>Pendiente</t>
        </is>
      </c>
      <c r="G25" s="14" t="n">
        <v>0</v>
      </c>
      <c r="H25" s="12" t="n"/>
    </row>
    <row r="26">
      <c r="A26" s="4" t="n">
        <v>22</v>
      </c>
      <c r="B26" s="5" t="inlineStr">
        <is>
          <t>Consistencia</t>
        </is>
      </c>
      <c r="C26" s="5" t="inlineStr">
        <is>
          <t>Fichas técnicas detalladas de cada plato</t>
        </is>
      </c>
      <c r="D26" s="12" t="inlineStr">
        <is>
          <t>Jefes Partida</t>
        </is>
      </c>
      <c r="E26" s="13" t="n"/>
      <c r="F26" s="12" t="inlineStr">
        <is>
          <t>Pendiente</t>
        </is>
      </c>
      <c r="G26" s="14" t="n">
        <v>0</v>
      </c>
      <c r="H26" s="12" t="n"/>
    </row>
    <row r="27">
      <c r="A27" s="4" t="n">
        <v>23</v>
      </c>
      <c r="B27" s="5" t="inlineStr">
        <is>
          <t>Consistencia</t>
        </is>
      </c>
      <c r="C27" s="5" t="inlineStr">
        <is>
          <t>Mise en place estandarizada y verificada</t>
        </is>
      </c>
      <c r="D27" s="12" t="inlineStr">
        <is>
          <t>Jefes Partida</t>
        </is>
      </c>
      <c r="E27" s="13" t="n"/>
      <c r="F27" s="12" t="inlineStr">
        <is>
          <t>Pendiente</t>
        </is>
      </c>
      <c r="G27" s="14" t="n">
        <v>0</v>
      </c>
      <c r="H27" s="12" t="n"/>
    </row>
    <row r="28">
      <c r="A28" s="4" t="n">
        <v>24</v>
      </c>
      <c r="B28" s="5" t="inlineStr">
        <is>
          <t>Consistencia</t>
        </is>
      </c>
      <c r="C28" s="5" t="inlineStr">
        <is>
          <t>Briefing pre-servicio diario obligatorio</t>
        </is>
      </c>
      <c r="D28" s="12" t="inlineStr">
        <is>
          <t>Chef</t>
        </is>
      </c>
      <c r="E28" s="13" t="n"/>
      <c r="F28" s="12" t="inlineStr">
        <is>
          <t>Pendiente</t>
        </is>
      </c>
      <c r="G28" s="14" t="n">
        <v>0</v>
      </c>
      <c r="H28" s="12" t="n"/>
    </row>
    <row r="29">
      <c r="A29" s="4" t="n">
        <v>25</v>
      </c>
      <c r="B29" s="5" t="inlineStr">
        <is>
          <t>Consistencia</t>
        </is>
      </c>
      <c r="C29" s="5" t="inlineStr">
        <is>
          <t>Formación continua del equipo</t>
        </is>
      </c>
      <c r="D29" s="12" t="inlineStr">
        <is>
          <t>Chef</t>
        </is>
      </c>
      <c r="E29" s="13" t="n"/>
      <c r="F29" s="12" t="inlineStr">
        <is>
          <t>Pendiente</t>
        </is>
      </c>
      <c r="G29" s="14" t="n">
        <v>0</v>
      </c>
      <c r="H29" s="12" t="n"/>
    </row>
    <row r="30">
      <c r="A30" s="4" t="n">
        <v>26</v>
      </c>
      <c r="B30" s="5" t="inlineStr">
        <is>
          <t>Repsol Extra</t>
        </is>
      </c>
      <c r="C30" s="5" t="inlineStr">
        <is>
          <t>Experiencia global: reserva → despedida impecable</t>
        </is>
      </c>
      <c r="D30" s="12" t="inlineStr">
        <is>
          <t>Maître</t>
        </is>
      </c>
      <c r="E30" s="13" t="n"/>
      <c r="F30" s="12" t="inlineStr">
        <is>
          <t>Pendiente</t>
        </is>
      </c>
      <c r="G30" s="14" t="n">
        <v>0</v>
      </c>
      <c r="H30" s="12" t="n"/>
    </row>
    <row r="31">
      <c r="A31" s="4" t="n">
        <v>27</v>
      </c>
      <c r="B31" s="5" t="inlineStr">
        <is>
          <t>Repsol Extra</t>
        </is>
      </c>
      <c r="C31" s="5" t="inlineStr">
        <is>
          <t>Sostenibilidad documentada (Km0, residuos, energía)</t>
        </is>
      </c>
      <c r="D31" s="12" t="inlineStr">
        <is>
          <t>Gerente</t>
        </is>
      </c>
      <c r="E31" s="13" t="n"/>
      <c r="F31" s="12" t="inlineStr">
        <is>
          <t>Pendiente</t>
        </is>
      </c>
      <c r="G31" s="14" t="n">
        <v>0</v>
      </c>
      <c r="H31" s="12" t="n"/>
    </row>
    <row r="32">
      <c r="A32" s="4" t="n">
        <v>28</v>
      </c>
      <c r="B32" s="5" t="inlineStr">
        <is>
          <t>Repsol Extra</t>
        </is>
      </c>
      <c r="C32" s="5" t="inlineStr">
        <is>
          <t>Coherencia cocina-local-servicio-bodega</t>
        </is>
      </c>
      <c r="D32" s="12" t="inlineStr">
        <is>
          <t>Chef + Maître</t>
        </is>
      </c>
      <c r="E32" s="13" t="n"/>
      <c r="F32" s="12" t="inlineStr">
        <is>
          <t>Pendiente</t>
        </is>
      </c>
      <c r="G32" s="14" t="n">
        <v>0</v>
      </c>
      <c r="H32" s="12" t="n"/>
    </row>
    <row r="33">
      <c r="A33" s="4" t="n">
        <v>29</v>
      </c>
      <c r="B33" s="5" t="inlineStr">
        <is>
          <t>Repsol Extra</t>
        </is>
      </c>
      <c r="C33" s="5" t="inlineStr">
        <is>
          <t>Servicio de sala excepcional y formado</t>
        </is>
      </c>
      <c r="D33" s="12" t="inlineStr">
        <is>
          <t>Maître</t>
        </is>
      </c>
      <c r="E33" s="13" t="n"/>
      <c r="F33" s="12" t="inlineStr">
        <is>
          <t>Pendiente</t>
        </is>
      </c>
      <c r="G33" s="14" t="n">
        <v>0</v>
      </c>
      <c r="H33" s="12" t="n"/>
    </row>
    <row r="34">
      <c r="A34" s="4" t="n">
        <v>30</v>
      </c>
      <c r="B34" s="5" t="inlineStr">
        <is>
          <t>Repsol Extra</t>
        </is>
      </c>
      <c r="C34" s="5" t="inlineStr">
        <is>
          <t>Carta de vinos coherente con la propuesta gastronómica</t>
        </is>
      </c>
      <c r="D34" s="12" t="inlineStr">
        <is>
          <t>Sommelier</t>
        </is>
      </c>
      <c r="E34" s="13" t="n"/>
      <c r="F34" s="12" t="inlineStr">
        <is>
          <t>Pendiente</t>
        </is>
      </c>
      <c r="G34" s="14" t="n">
        <v>0</v>
      </c>
      <c r="H34" s="12" t="n"/>
    </row>
    <row r="35">
      <c r="A35" s="4" t="n">
        <v>31</v>
      </c>
      <c r="B35" s="5" t="inlineStr">
        <is>
          <t>Prensa y notoriedad (NO influye en la inspección)</t>
        </is>
      </c>
      <c r="C35" s="5" t="inlineStr">
        <is>
          <t>Participación en eventos gastronómicos (Madrid Fusión, etc.)</t>
        </is>
      </c>
      <c r="D35" s="12" t="inlineStr">
        <is>
          <t>Chef</t>
        </is>
      </c>
      <c r="E35" s="13" t="n"/>
      <c r="F35" s="12" t="inlineStr">
        <is>
          <t>Pendiente</t>
        </is>
      </c>
      <c r="G35" s="14" t="n">
        <v>5000</v>
      </c>
      <c r="H35" s="12" t="n"/>
    </row>
    <row r="36">
      <c r="A36" s="4" t="n">
        <v>32</v>
      </c>
      <c r="B36" s="5" t="inlineStr">
        <is>
          <t>Prensa y notoriedad (NO influye en la inspección)</t>
        </is>
      </c>
      <c r="C36" s="5" t="inlineStr">
        <is>
          <t>Relación con prensa gastronómica nacional</t>
        </is>
      </c>
      <c r="D36" s="12" t="inlineStr">
        <is>
          <t>Marketing</t>
        </is>
      </c>
      <c r="E36" s="13" t="n"/>
      <c r="F36" s="12" t="inlineStr">
        <is>
          <t>Pendiente</t>
        </is>
      </c>
      <c r="G36" s="14" t="n">
        <v>2000</v>
      </c>
      <c r="H36" s="12" t="n"/>
    </row>
    <row r="37">
      <c r="A37" s="4" t="n">
        <v>33</v>
      </c>
      <c r="B37" s="5" t="inlineStr">
        <is>
          <t>Prensa y notoriedad (NO influye en la inspección)</t>
        </is>
      </c>
      <c r="C37" s="5" t="inlineStr">
        <is>
          <t>Presencia en redes sociales con contenido profesional</t>
        </is>
      </c>
      <c r="D37" s="12" t="inlineStr">
        <is>
          <t>Marketing</t>
        </is>
      </c>
      <c r="E37" s="13" t="n"/>
      <c r="F37" s="12" t="inlineStr">
        <is>
          <t>Pendiente</t>
        </is>
      </c>
      <c r="G37" s="14" t="n">
        <v>0</v>
      </c>
      <c r="H37" s="12" t="n"/>
    </row>
    <row r="38">
      <c r="A38" s="4" t="n">
        <v>34</v>
      </c>
      <c r="B38" s="5" t="inlineStr">
        <is>
          <t>Prensa y notoriedad (NO influye en la inspección)</t>
        </is>
      </c>
      <c r="C38" s="5" t="inlineStr">
        <is>
          <t>Invitaciones estratégicas a críticos y periodistas</t>
        </is>
      </c>
      <c r="D38" s="12" t="inlineStr">
        <is>
          <t>Chef</t>
        </is>
      </c>
      <c r="E38" s="13" t="n"/>
      <c r="F38" s="12" t="inlineStr">
        <is>
          <t>Pendiente</t>
        </is>
      </c>
      <c r="G38" s="14" t="n">
        <v>3000</v>
      </c>
      <c r="H38" s="12" t="inlineStr">
        <is>
          <t>NO aplica a los inspectores: son anónimos y pagan su cuenta (cap. 17). Esto es prensa, no estrella.</t>
        </is>
      </c>
    </row>
    <row r="39">
      <c r="A39" s="4" t="n">
        <v>35</v>
      </c>
      <c r="B39" s="5" t="inlineStr">
        <is>
          <t>Requisitos previos</t>
        </is>
      </c>
      <c r="C39" s="5" t="inlineStr">
        <is>
          <t>Mínimo 18‑24 meses de operación consistente antes de aspirar</t>
        </is>
      </c>
      <c r="D39" s="12" t="inlineStr">
        <is>
          <t>Todo equipo</t>
        </is>
      </c>
      <c r="E39" s="13" t="n"/>
      <c r="F39" s="12" t="inlineStr">
        <is>
          <t>Pendiente</t>
        </is>
      </c>
      <c r="G39" s="14" t="n">
        <v>0</v>
      </c>
      <c r="H39" s="12" t="inlineStr">
        <is>
          <t>Esto SÍ cuenta: no es comunicación. Los inspectores necesitan varias visitas en fechas distintas para juzgar la regularidad, y ése es el reloj que manda. Estaba clasificado en «Prensa y notoriedad», donde el propio rótulo dice que no influye.</t>
        </is>
      </c>
    </row>
    <row r="40">
      <c r="A40" s="4" t="n">
        <v>36</v>
      </c>
      <c r="B40" s="5" t="inlineStr">
        <is>
          <t>Operativa</t>
        </is>
      </c>
      <c r="C40" s="5" t="inlineStr">
        <is>
          <t>Registros APPCC impecables (inspectores lo revisan)</t>
        </is>
      </c>
      <c r="D40" s="12" t="inlineStr">
        <is>
          <t>Resp. APPCC</t>
        </is>
      </c>
      <c r="E40" s="13" t="n"/>
      <c r="F40" s="12" t="inlineStr">
        <is>
          <t>Pendiente</t>
        </is>
      </c>
      <c r="G40" s="14" t="n">
        <v>0</v>
      </c>
      <c r="H40" s="12" t="n"/>
    </row>
    <row r="41">
      <c r="A41" s="4" t="n">
        <v>37</v>
      </c>
      <c r="B41" s="5" t="inlineStr">
        <is>
          <t>Operativa</t>
        </is>
      </c>
      <c r="C41" s="5" t="inlineStr">
        <is>
          <t>Limpieza visible en cocina y sala (incluido baños)</t>
        </is>
      </c>
      <c r="D41" s="12" t="inlineStr">
        <is>
          <t>Todo equipo</t>
        </is>
      </c>
      <c r="E41" s="13" t="n"/>
      <c r="F41" s="12" t="inlineStr">
        <is>
          <t>Pendiente</t>
        </is>
      </c>
      <c r="G41" s="14" t="n">
        <v>0</v>
      </c>
      <c r="H41" s="12" t="n"/>
    </row>
    <row r="42">
      <c r="A42" s="4" t="n">
        <v>38</v>
      </c>
      <c r="B42" s="5" t="inlineStr">
        <is>
          <t>Operativa</t>
        </is>
      </c>
      <c r="C42" s="5" t="inlineStr">
        <is>
          <t>Uniformes limpios y profesionales</t>
        </is>
      </c>
      <c r="D42" s="12" t="inlineStr">
        <is>
          <t>Todo equipo</t>
        </is>
      </c>
      <c r="E42" s="13" t="n"/>
      <c r="F42" s="12" t="inlineStr">
        <is>
          <t>Pendiente</t>
        </is>
      </c>
      <c r="G42" s="14" t="n">
        <v>1000</v>
      </c>
      <c r="H42" s="12" t="n"/>
    </row>
    <row r="43">
      <c r="A43" s="4" t="n">
        <v>39</v>
      </c>
      <c r="B43" s="5" t="inlineStr">
        <is>
          <t>Operativa</t>
        </is>
      </c>
      <c r="C43" s="5" t="inlineStr">
        <is>
          <t>Temperatura de servicio correcta en cada plato</t>
        </is>
      </c>
      <c r="D43" s="12" t="inlineStr">
        <is>
          <t>Jefes Partida</t>
        </is>
      </c>
      <c r="E43" s="13" t="n"/>
      <c r="F43" s="12" t="inlineStr">
        <is>
          <t>Pendiente</t>
        </is>
      </c>
      <c r="G43" s="14" t="n">
        <v>0</v>
      </c>
      <c r="H43" s="12" t="n"/>
    </row>
    <row r="44">
      <c r="A44" s="4" t="n">
        <v>40</v>
      </c>
      <c r="B44" s="5" t="inlineStr">
        <is>
          <t>Operativa</t>
        </is>
      </c>
      <c r="C44" s="5" t="inlineStr">
        <is>
          <t>Tiempos entre pases controlados y fluidos</t>
        </is>
      </c>
      <c r="D44" s="12" t="inlineStr">
        <is>
          <t>Chef + Maître</t>
        </is>
      </c>
      <c r="E44" s="13" t="n"/>
      <c r="F44" s="12" t="inlineStr">
        <is>
          <t>Pendiente</t>
        </is>
      </c>
      <c r="G44" s="14" t="n">
        <v>0</v>
      </c>
      <c r="H44" s="12" t="n"/>
    </row>
    <row r="45">
      <c r="A45" s="4" t="n">
        <v>41</v>
      </c>
      <c r="B45" s="5" t="inlineStr">
        <is>
          <t>Estrella Verde</t>
        </is>
      </c>
      <c r="C45" s="5" t="inlineStr">
        <is>
          <t>Política de sostenibilidad escrita y comunicada al comensal</t>
        </is>
      </c>
      <c r="D45" s="12" t="inlineStr">
        <is>
          <t>Gerente</t>
        </is>
      </c>
      <c r="E45" s="13" t="n"/>
      <c r="F45" s="12" t="inlineStr">
        <is>
          <t>Pendiente</t>
        </is>
      </c>
      <c r="G45" s="14" t="n"/>
      <c r="H45" s="12" t="inlineStr">
        <is>
          <t>La Estrella Verde se evalúa aparte de la estrella gastronómica y tiene sus propios criterios.</t>
        </is>
      </c>
    </row>
    <row r="46">
      <c r="A46" s="4" t="n">
        <v>42</v>
      </c>
      <c r="B46" s="5" t="inlineStr">
        <is>
          <t>Estrella Verde</t>
        </is>
      </c>
      <c r="C46" s="5" t="inlineStr">
        <is>
          <t>Medición del desperdicio alimentario y de la gestión de residuos (kg/mes)</t>
        </is>
      </c>
      <c r="D46" s="12" t="inlineStr">
        <is>
          <t>Sous Chef</t>
        </is>
      </c>
      <c r="E46" s="13" t="n"/>
      <c r="F46" s="12" t="inlineStr">
        <is>
          <t>Pendiente</t>
        </is>
      </c>
      <c r="G46" s="14" t="n"/>
      <c r="H46" s="12" t="inlineStr">
        <is>
          <t>Medido, no declarado: sin cifra mensual no hay nada que enseñar.</t>
        </is>
      </c>
    </row>
    <row r="47">
      <c r="A47" s="4" t="n">
        <v>43</v>
      </c>
      <c r="B47" s="5" t="inlineStr">
        <is>
          <t>Estrella Verde</t>
        </is>
      </c>
      <c r="C47" s="5" t="inlineStr">
        <is>
          <t>Proveedores de proximidad y de temporada documentados (km y trazabilidad)</t>
        </is>
      </c>
      <c r="D47" s="12" t="inlineStr">
        <is>
          <t>Resp. compras</t>
        </is>
      </c>
      <c r="E47" s="13" t="n"/>
      <c r="F47" s="12" t="inlineStr">
        <is>
          <t>Pendiente</t>
        </is>
      </c>
      <c r="G47" s="14" t="n"/>
      <c r="H47" s="12" t="n"/>
    </row>
    <row r="48">
      <c r="A48" s="4" t="n">
        <v>44</v>
      </c>
      <c r="B48" s="5" t="inlineStr">
        <is>
          <t>Estrella Verde</t>
        </is>
      </c>
      <c r="C48" s="5" t="inlineStr">
        <is>
          <t>Consumo de energía y agua medido, con medidas de eficiencia aplicadas</t>
        </is>
      </c>
      <c r="D48" s="12" t="inlineStr">
        <is>
          <t>Gerente</t>
        </is>
      </c>
      <c r="E48" s="13" t="n"/>
      <c r="F48" s="12" t="inlineStr">
        <is>
          <t>Pendiente</t>
        </is>
      </c>
      <c r="G48" s="14" t="n"/>
      <c r="H48" s="12" t="inlineStr">
        <is>
          <t>Sin importe tasado en la guía: pide presupuesto y escríbelo aquí (la celda es editable y el TOTAL se recalcula).</t>
        </is>
      </c>
    </row>
    <row r="49">
      <c r="A49" s="4" t="n">
        <v>45</v>
      </c>
      <c r="B49" s="5" t="inlineStr">
        <is>
          <t>Estrella Verde</t>
        </is>
      </c>
      <c r="C49" s="5" t="inlineStr">
        <is>
          <t>Equipo formado en las prácticas sostenibles y condiciones laborales documentadas</t>
        </is>
      </c>
      <c r="D49" s="12" t="inlineStr">
        <is>
          <t>Chef</t>
        </is>
      </c>
      <c r="E49" s="13" t="n"/>
      <c r="F49" s="12" t="inlineStr">
        <is>
          <t>Pendiente</t>
        </is>
      </c>
      <c r="G49" s="14" t="n"/>
      <c r="H49" s="12" t="inlineStr">
        <is>
          <t>El apartado de sostenibilidad de las guías incluye a las personas, no solo al producto.</t>
        </is>
      </c>
    </row>
    <row r="50">
      <c r="E50" s="15" t="n"/>
      <c r="G50" s="16" t="n"/>
    </row>
    <row r="51">
      <c r="A51" s="17" t="inlineStr">
        <is>
          <t>RESUMEN — lo calcula el libro (v2.0)</t>
        </is>
      </c>
      <c r="B51" s="18" t="n"/>
      <c r="C51" s="18" t="n"/>
      <c r="D51" s="18" t="n"/>
      <c r="E51" s="18" t="n"/>
      <c r="F51" s="18" t="n"/>
      <c r="G51" s="18" t="n"/>
      <c r="H51" s="18" t="n"/>
    </row>
    <row r="52">
      <c r="A52" s="17" t="inlineStr">
        <is>
          <t>TOTAL PRESUPUESTADO (€)</t>
        </is>
      </c>
      <c r="B52" s="18" t="n"/>
      <c r="C52" s="18" t="n"/>
      <c r="D52" s="18" t="n"/>
      <c r="E52" s="18" t="n"/>
      <c r="F52" s="18" t="n"/>
      <c r="G52" s="23">
        <f>SUM(G5:G49)</f>
        <v>11000.0</v>
      </c>
      <c r="H52" s="18" t="n"/>
    </row>
    <row r="53">
      <c r="A53" s="17" t="inlineStr">
        <is>
          <t>Partidas SIN importe (a presupuestar)</t>
        </is>
      </c>
      <c r="B53" s="18" t="n"/>
      <c r="C53" s="18" t="n"/>
      <c r="D53" s="18" t="n"/>
      <c r="E53" s="18" t="n"/>
      <c r="F53" s="18" t="n"/>
      <c r="G53" s="24">
        <f>COUNTIF(B5:B49,"&lt;&gt;")-COUNT(G5:G49)</f>
        <v>5.0</v>
      </c>
      <c r="H53" s="18" t="inlineStr">
        <is>
          <t>El TOTAL de arriba es un SUELO: no incluye estas partidas, que van a presupuestar.</t>
        </is>
      </c>
    </row>
    <row r="54">
      <c r="A54" s="17" t="inlineStr">
        <is>
          <t>Avance del checklist (% completado)</t>
        </is>
      </c>
      <c r="B54" s="18" t="n"/>
      <c r="C54" s="18" t="n"/>
      <c r="D54" s="18" t="n"/>
      <c r="E54" s="18" t="n"/>
      <c r="F54" s="25">
        <f>IFERROR(COUNTIF(F5:F49,"Completado")/COUNTIF(F5:F49,"&lt;&gt;"),"")</f>
        <v>0.0</v>
      </c>
      <c r="G54" s="18" t="inlineStr">
        <is>
          <t>Estado terminal de este checklist: «Completado»</t>
        </is>
      </c>
      <c r="H54" s="18" t="n"/>
    </row>
    <row r="55">
      <c r="A55" s="18" t="n"/>
      <c r="B55" s="18" t="n"/>
      <c r="C55" s="18" t="n"/>
      <c r="D55" s="18" t="n"/>
      <c r="E55" s="18" t="n"/>
      <c r="F55" s="18" t="n"/>
      <c r="G55" s="18" t="n"/>
      <c r="H55" s="18" t="n"/>
    </row>
    <row r="56">
      <c r="A56" s="17" t="inlineStr">
        <is>
          <t>SUBTOTALES POR CATEGORÍA</t>
        </is>
      </c>
      <c r="B56" s="18" t="n"/>
      <c r="C56" s="18" t="n"/>
      <c r="D56" s="18" t="n"/>
      <c r="E56" s="18" t="n"/>
      <c r="F56" s="18" t="n"/>
      <c r="G56" s="18" t="n"/>
      <c r="H56" s="18" t="n"/>
    </row>
    <row r="57">
      <c r="A57" s="18" t="inlineStr">
        <is>
          <t>Ingredientes</t>
        </is>
      </c>
      <c r="B57" s="18" t="n"/>
      <c r="C57" s="18" t="n"/>
      <c r="D57" s="18" t="n"/>
      <c r="E57" s="18" t="n"/>
      <c r="F57" s="18" t="n"/>
      <c r="G57" s="26">
        <f>SUMIF($B$5:$B$49,$A57,$G$5:$G$49)</f>
        <v>0.0</v>
      </c>
      <c r="H57" s="18" t="n"/>
    </row>
    <row r="58">
      <c r="A58" s="18" t="inlineStr">
        <is>
          <t>Técnica</t>
        </is>
      </c>
      <c r="B58" s="18" t="n"/>
      <c r="C58" s="18" t="n"/>
      <c r="D58" s="18" t="n"/>
      <c r="E58" s="18" t="n"/>
      <c r="F58" s="18" t="n"/>
      <c r="G58" s="26">
        <f>SUMIF($B$5:$B$49,$A58,$G$5:$G$49)</f>
        <v>0.0</v>
      </c>
      <c r="H58" s="18" t="n"/>
    </row>
    <row r="59">
      <c r="A59" s="18" t="inlineStr">
        <is>
          <t>Armonía</t>
        </is>
      </c>
      <c r="B59" s="18" t="n"/>
      <c r="C59" s="18" t="n"/>
      <c r="D59" s="18" t="n"/>
      <c r="E59" s="18" t="n"/>
      <c r="F59" s="18" t="n"/>
      <c r="G59" s="26">
        <f>SUMIF($B$5:$B$49,$A59,$G$5:$G$49)</f>
        <v>0.0</v>
      </c>
      <c r="H59" s="18" t="n"/>
    </row>
    <row r="60">
      <c r="A60" s="18" t="inlineStr">
        <is>
          <t>Personalidad</t>
        </is>
      </c>
      <c r="B60" s="18" t="n"/>
      <c r="C60" s="18" t="n"/>
      <c r="D60" s="18" t="n"/>
      <c r="E60" s="18" t="n"/>
      <c r="F60" s="18" t="n"/>
      <c r="G60" s="26">
        <f>SUMIF($B$5:$B$49,$A60,$G$5:$G$49)</f>
        <v>0.0</v>
      </c>
      <c r="H60" s="18" t="n"/>
    </row>
    <row r="61">
      <c r="A61" s="18" t="inlineStr">
        <is>
          <t>Consistencia</t>
        </is>
      </c>
      <c r="B61" s="18" t="n"/>
      <c r="C61" s="18" t="n"/>
      <c r="D61" s="18" t="n"/>
      <c r="E61" s="18" t="n"/>
      <c r="F61" s="18" t="n"/>
      <c r="G61" s="26">
        <f>SUMIF($B$5:$B$49,$A61,$G$5:$G$49)</f>
        <v>0.0</v>
      </c>
      <c r="H61" s="18" t="n"/>
    </row>
    <row r="62">
      <c r="A62" s="18" t="inlineStr">
        <is>
          <t>Repsol Extra</t>
        </is>
      </c>
      <c r="B62" s="18" t="n"/>
      <c r="C62" s="18" t="n"/>
      <c r="D62" s="18" t="n"/>
      <c r="E62" s="18" t="n"/>
      <c r="F62" s="18" t="n"/>
      <c r="G62" s="26">
        <f>SUMIF($B$5:$B$49,$A62,$G$5:$G$49)</f>
        <v>0.0</v>
      </c>
      <c r="H62" s="18" t="n"/>
    </row>
    <row r="63">
      <c r="A63" s="18" t="inlineStr">
        <is>
          <t>Prensa y notoriedad (NO influye en la inspección)</t>
        </is>
      </c>
      <c r="B63" s="18" t="n"/>
      <c r="C63" s="18" t="n"/>
      <c r="D63" s="18" t="n"/>
      <c r="E63" s="18" t="n"/>
      <c r="F63" s="18" t="n"/>
      <c r="G63" s="26">
        <f>SUMIF($B$5:$B$49,$A63,$G$5:$G$49)</f>
        <v>10000.0</v>
      </c>
      <c r="H63" s="18" t="n"/>
    </row>
    <row r="64">
      <c r="A64" s="18" t="inlineStr">
        <is>
          <t>Requisitos previos</t>
        </is>
      </c>
      <c r="B64" s="18" t="n"/>
      <c r="C64" s="18" t="n"/>
      <c r="D64" s="18" t="n"/>
      <c r="E64" s="18" t="n"/>
      <c r="F64" s="18" t="n"/>
      <c r="G64" s="26">
        <f>SUMIF($B$5:$B$49,$A64,$G$5:$G$49)</f>
        <v>0.0</v>
      </c>
      <c r="H64" s="18" t="n"/>
    </row>
    <row r="65">
      <c r="A65" s="18" t="inlineStr">
        <is>
          <t>Operativa</t>
        </is>
      </c>
      <c r="B65" s="18" t="n"/>
      <c r="C65" s="18" t="n"/>
      <c r="D65" s="18" t="n"/>
      <c r="E65" s="18" t="n"/>
      <c r="F65" s="18" t="n"/>
      <c r="G65" s="26">
        <f>SUMIF($B$5:$B$49,$A65,$G$5:$G$49)</f>
        <v>1000.0</v>
      </c>
      <c r="H65" s="18" t="n"/>
    </row>
    <row r="66">
      <c r="A66" s="18" t="inlineStr">
        <is>
          <t>Estrella Verde</t>
        </is>
      </c>
      <c r="B66" s="18" t="n"/>
      <c r="C66" s="18" t="n"/>
      <c r="D66" s="18" t="n"/>
      <c r="E66" s="18" t="n"/>
      <c r="F66" s="18" t="n"/>
      <c r="G66" s="26">
        <f>SUMIF($B$5:$B$49,$A66,$G$5:$G$49)</f>
        <v>0.0</v>
      </c>
      <c r="H66" s="18" t="n"/>
    </row>
    <row r="67">
      <c r="A67" s="18" t="n"/>
      <c r="B67" s="18" t="n"/>
      <c r="C67" s="18" t="n"/>
      <c r="D67" s="18" t="n"/>
      <c r="E67" s="18" t="n"/>
      <c r="F67" s="18" t="n"/>
      <c r="G67" s="18" t="n"/>
      <c r="H67" s="18" t="n"/>
    </row>
    <row r="68">
      <c r="A68" s="18" t="inlineStr">
        <is>
          <t>AI Chef Pro · aichef.pro — Restaurante Gastronómico</t>
        </is>
      </c>
    </row>
  </sheetData>
  <sheetProtection selectLockedCells="0" selectUnlockedCells="0" sheet="1" objects="0" insertRows="0" insertHyperlinks="1" autoFilter="1" scenarios="0" formatColumns="0" deleteColumns="1" insertColumns="1" pivotTables="1" deleteRows="1" formatCells="1" formatRows="0" sort="0"/>
  <autoFilter ref="A4:H4"/>
  <mergeCells count="3">
    <mergeCell ref="A2:H2"/>
    <mergeCell ref="A1:H1"/>
    <mergeCell ref="A68:H68"/>
  </mergeCells>
  <conditionalFormatting sqref="F5:F49">
    <cfRule type="cellIs" priority="2" operator="equal" dxfId="0" stopIfTrue="1">
      <formula>"Completado"</formula>
    </cfRule>
    <cfRule type="cellIs" priority="3" operator="equal" dxfId="1" stopIfTrue="1">
      <formula>"En Curso"</formula>
    </cfRule>
    <cfRule type="cellIs" priority="4" operator="equal" dxfId="2" stopIfTrue="1">
      <formula>"Pendiente"</formula>
    </cfRule>
  </conditionalFormatting>
  <conditionalFormatting sqref="G53">
    <cfRule type="expression" priority="4" dxfId="1" stopIfTrue="1">
      <formula>=AND(ISNUMBER(G53),G53&gt;0)</formula>
    </cfRule>
  </conditionalFormatting>
  <dataValidations count="3">
    <dataValidation sqref="E5 E6 E7 E8 E9 E10 E11 E12 E13 E14 E15 E16 E17 E18 E19 E20 E21 E22 E23 E24 E25 E26 E27 E28 E29 E30 E31 E32 E33 E34 E35 E36 E37 E38 E39 E40 E41 E42 E43 E44 E45 E46 E47 E48 E49" showDropDown="0" showInputMessage="0" showErrorMessage="1" allowBlank="1" errorTitle="Fecha no válida" error="Escribe una fecha (dd/mm/aaaa) entre 2020 y 2040." type="date" operator="between">
      <formula1>DATE(2020,1,1)</formula1>
      <formula2>DATE(2040,12,31)</formula2>
    </dataValidation>
    <dataValidation sqref="F5 F6 F7 F8 F9 F10 F11 F12 F13 F14 F15 F16 F17 F18 F19 F20 F21 F22 F23 F24 F25 F26 F27 F28 F29 F30 F31 F32 F33 F34 F35 F36 F37 F38 F39 F40 F41 F42 F43 F44 F45 F46 F47 F48 F49" showDropDown="0" showInputMessage="0" showErrorMessage="1" allowBlank="1" errorTitle="Valor no válido" error="Elige un valor de la lista: Pendiente, En Curso, Completado" type="list">
      <formula1>"Pendiente,En Curso,Completado"</formula1>
    </dataValidation>
    <dataValidation sqref="G5 G6 G7 G8 G9 G10 G11 G12 G13 G14 G15 G16 G17 G18 G19 G20 G21 G22 G23 G24 G25 G26 G27 G28 G29 G30 G31 G32 G33 G34 G35 G36 G37 G38 G39 G40 G41 G42 G43 G44 G45 G46 G47 G48 G49"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Preparación Inspección Michelin / Sol Repsol · Cómo Montar un Restaurante Gastronómico 65 Plazas · v2.0</dc:title>
  <dc:description xmlns:dc="http://purl.org/dc/elements/1.1/">aichef.pro/guia-restaurante-gastronomico</dc:description>
  <dc:subject xmlns:dc="http://purl.org/dc/elements/1.1/">Cómo Montar un Restaurante Gastronómico 65 Plazas · v2.0</dc:subject>
  <dcterms:created xmlns:dcterms="http://purl.org/dc/terms/" xmlns:xsi="http://www.w3.org/2001/XMLSchema-instance" xsi:type="dcterms:W3CDTF">2026-04-05T22:25:50Z</dcterms:created>
  <dcterms:modified xmlns:dcterms="http://purl.org/dc/terms/" xmlns:xsi="http://www.w3.org/2001/XMLSchema-instance" xsi:type="dcterms:W3CDTF">2026-08-31T21:10:11Z</dcterms:modified>
  <cp:lastModifiedBy>AI Chef Pro</cp:lastModifiedBy>
  <cp:category>AI Chef Pro · Productos digitales</cp:category>
  <cp:keywords>guia restaurante gastronomico, AI Chef Pro</cp:keywords>
</cp:coreProperties>
</file>