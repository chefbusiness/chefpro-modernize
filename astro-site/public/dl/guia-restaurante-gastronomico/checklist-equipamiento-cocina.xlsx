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quipamiento Cocina" sheetId="2" state="visible" r:id="rId2"/>
  </sheets>
  <definedNames>
    <definedName name="_xlnm._FilterDatabase" localSheetId="1" hidden="1">'Equipamiento Cocina'!$A$4:$H$4</definedName>
    <definedName name="_xlnm.Print_Titles" localSheetId="1">'Equipamiento Cocina'!$4:$4</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dd/mm/yyyy"/>
  </numFmts>
  <fonts count="11">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
      <b val="1"/>
      <color theme="1"/>
      <sz val="11"/>
    </font>
    <font>
      <b val="1"/>
      <sz val="16"/>
    </font>
    <font>
      <b val="1"/>
      <sz val="12"/>
    </font>
    <font/>
    <font>
      <b val="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6" fillId="0" borderId="0" pivotButton="0" quotePrefix="0" xfId="0"/>
    <xf numFmtId="165" fontId="0" fillId="4" borderId="0" applyProtection="1" pivotButton="0" quotePrefix="0" xfId="0">
      <protection locked="0" hidden="0"/>
    </xf>
    <xf numFmtId="0" fontId="0" fillId="0" borderId="0" applyAlignment="1" pivotButton="0" quotePrefix="0" xfId="0">
      <alignment horizontal="general" vertical="top" wrapText="1"/>
    </xf>
    <xf numFmtId="0" fontId="0" fillId="0" borderId="0" applyAlignment="1" pivotButton="0" quotePrefix="0" xfId="0">
      <alignment horizontal="left" vertical="top"/>
    </xf>
    <xf numFmtId="0" fontId="4" fillId="4" borderId="1" applyAlignment="1" applyProtection="1" pivotButton="0" quotePrefix="0" xfId="0">
      <alignment horizontal="left" vertical="center" wrapText="1"/>
      <protection locked="0" hidden="0"/>
    </xf>
    <xf numFmtId="166" fontId="4" fillId="4" borderId="1" applyAlignment="1" applyProtection="1" pivotButton="0" quotePrefix="0" xfId="0">
      <alignment horizontal="left" vertical="center" wrapText="1"/>
      <protection locked="0" hidden="0"/>
    </xf>
    <xf numFmtId="164" fontId="4" fillId="3" borderId="1" applyAlignment="1" applyProtection="1" pivotButton="0" quotePrefix="0" xfId="0">
      <alignment horizontal="left" vertical="center" wrapText="1"/>
      <protection locked="0" hidden="0"/>
    </xf>
    <xf numFmtId="0" fontId="0" fillId="4" borderId="0" applyAlignment="1" applyProtection="1" pivotButton="0" quotePrefix="0" xfId="0">
      <alignment horizontal="center"/>
      <protection locked="0" hidden="0"/>
    </xf>
    <xf numFmtId="164" fontId="4" fillId="0" borderId="1" applyAlignment="1" pivotButton="0" quotePrefix="0" xfId="0">
      <alignment horizontal="left" vertical="center" wrapText="1"/>
    </xf>
    <xf numFmtId="166" fontId="0" fillId="0" borderId="0" pivotButton="0" quotePrefix="0" xfId="0"/>
    <xf numFmtId="164" fontId="0" fillId="0" borderId="0" pivotButton="0" quotePrefix="0" xfId="0"/>
    <xf numFmtId="0" fontId="10" fillId="0" borderId="0" pivotButton="0" quotePrefix="0" xfId="0"/>
    <xf numFmtId="0" fontId="9" fillId="0" borderId="0" pivotButton="0" quotePrefix="0" xfId="0"/>
    <xf numFmtId="164" fontId="6" fillId="0" borderId="0" pivotButton="0" quotePrefix="0" xfId="0"/>
    <xf numFmtId="3" fontId="6" fillId="0" borderId="0" pivotButton="0" quotePrefix="0" xfId="0"/>
    <xf numFmtId="165" fontId="6" fillId="0" borderId="0" pivotButton="0" quotePrefix="0" xfId="0"/>
    <xf numFmtId="164" fontId="10" fillId="0" borderId="0" pivotButton="0" quotePrefix="0" xfId="0"/>
    <xf numFmtId="3" fontId="10" fillId="0" borderId="0" pivotButton="0" quotePrefix="0" xfId="0"/>
    <xf numFmtId="165" fontId="10" fillId="0" borderId="0" pivotButton="0" quotePrefix="0" xfId="0"/>
    <xf numFmtId="164" fontId="9"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80" customWidth="1" min="1" max="1"/>
    <col width="14" customWidth="1" min="2" max="2"/>
    <col width="62" customWidth="1" min="3" max="3"/>
  </cols>
  <sheetData>
    <row r="1">
      <c r="A1" s="9" t="inlineStr">
        <is>
          <t>Checklist Equipamiento Cocina</t>
        </is>
      </c>
    </row>
    <row r="2">
      <c r="A2" t="inlineStr">
        <is>
          <t>AI Chef Pro · aichef.pro — Restaurante Gastronómico</t>
        </is>
      </c>
    </row>
    <row r="3"/>
    <row r="4">
      <c r="A4" s="10" t="inlineStr">
        <is>
          <t>Instrucciones de uso</t>
        </is>
      </c>
    </row>
    <row r="5">
      <c r="A5" t="inlineStr">
        <is>
          <t>1. Rellena las celdas verdes con tus datos; el resto lo calcula el libro.</t>
        </is>
      </c>
    </row>
    <row r="6">
      <c r="A6" t="inlineStr">
        <is>
          <t>2. Las hojas están protegidas SIN contraseña para que una copia accidental no borre una fórmula.</t>
        </is>
      </c>
    </row>
    <row r="7"/>
    <row r="8">
      <c r="A8" t="inlineStr">
        <is>
          <t>Celdas verdes = campos editables</t>
        </is>
      </c>
    </row>
    <row r="9"/>
    <row r="10">
      <c r="A10" s="11" t="inlineStr">
        <is>
          <t>Parámetros de este libro (edítalos: el libro recalcula)</t>
        </is>
      </c>
    </row>
    <row r="11">
      <c r="A11" t="inlineStr">
        <is>
          <t>Instalación, transporte y puesta en marcha (%)</t>
        </is>
      </c>
      <c r="B11" s="12" t="n">
        <v>0.12</v>
      </c>
      <c r="C11" s="13" t="inlineStr">
        <is>
          <t>12 % sobre la suma del resto de partidas de este checklist (SPEC §3.4). Es lo que cuesta subir, colocar, conexionar y poner en marcha la maquinaria, y no estaba presupuestado en ninguna línea. NO se aplica sobre las categorías «Extracción e instalaciones» ni «Tecnología»: la primera YA es obra e instalación y la segunda la monta otro proveedor. Cámbialo y el importe se recalcula.</t>
        </is>
      </c>
    </row>
    <row r="12"/>
    <row r="13">
      <c r="A13" s="14" t="inlineStr">
        <is>
          <t>Para editar la estructura o una celda que no esté en verde: Revisar → Desproteger hoja (no tiene contraseña).</t>
        </is>
      </c>
    </row>
    <row r="14">
      <c r="A14" s="14" t="inlineStr">
        <is>
          <t>Diseñado por John Guerrero — chef y consultor gastronómico desde 2010, en cocina desde los 17 años · johnguerrero.es</t>
        </is>
      </c>
    </row>
    <row r="15">
      <c r="A15" s="14"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dataValidations count="1">
    <dataValidation sqref="B1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114"/>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60" customWidth="1" min="3" max="3"/>
    <col width="18" customWidth="1" min="4" max="4"/>
    <col width="14" customWidth="1" min="5" max="5"/>
    <col width="14" customWidth="1" min="6" max="6"/>
    <col width="16" customWidth="1" min="7" max="7"/>
    <col width="60" customWidth="1" min="8" max="8"/>
    <col width="15" customWidth="1" min="9" max="9"/>
  </cols>
  <sheetData>
    <row r="1" ht="30" customHeight="1">
      <c r="A1" s="1" t="inlineStr">
        <is>
          <t>Checklist Equipamiento Cocina</t>
        </is>
      </c>
    </row>
    <row r="2">
      <c r="A2" s="2" t="inlineStr">
        <is>
          <t>AI Chef Pro · aichef.pro — Restaurante Gastronómico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c r="I4" s="3" t="inlineStr">
        <is>
          <t>Incluir en el total</t>
        </is>
      </c>
    </row>
    <row r="5">
      <c r="A5" s="4" t="n">
        <v>1</v>
      </c>
      <c r="B5" s="5" t="inlineStr">
        <is>
          <t>Cuarto Frío</t>
        </is>
      </c>
      <c r="C5" s="5" t="inlineStr">
        <is>
          <t>Mesa refrigerada 2 puertas</t>
        </is>
      </c>
      <c r="D5" s="15" t="inlineStr">
        <is>
          <t>Jefe Partida</t>
        </is>
      </c>
      <c r="E5" s="16" t="n"/>
      <c r="F5" s="15" t="inlineStr">
        <is>
          <t>Pendiente</t>
        </is>
      </c>
      <c r="G5" s="17" t="n">
        <v>3500</v>
      </c>
      <c r="H5" s="15" t="n"/>
      <c r="I5" s="18" t="inlineStr">
        <is>
          <t>Sí</t>
        </is>
      </c>
    </row>
    <row r="6">
      <c r="A6" s="4" t="n">
        <v>2</v>
      </c>
      <c r="B6" s="5" t="inlineStr">
        <is>
          <t>Cuarto Frío</t>
        </is>
      </c>
      <c r="C6" s="5" t="inlineStr">
        <is>
          <t>Cortadora de fiambres profesional</t>
        </is>
      </c>
      <c r="D6" s="15" t="inlineStr">
        <is>
          <t>Sous Chef</t>
        </is>
      </c>
      <c r="E6" s="16" t="n"/>
      <c r="F6" s="15" t="inlineStr">
        <is>
          <t>Pendiente</t>
        </is>
      </c>
      <c r="G6" s="17" t="n">
        <v>1200</v>
      </c>
      <c r="H6" s="15" t="n"/>
      <c r="I6" s="18" t="inlineStr">
        <is>
          <t>Sí</t>
        </is>
      </c>
    </row>
    <row r="7">
      <c r="A7" s="4" t="n">
        <v>3</v>
      </c>
      <c r="B7" s="5" t="inlineStr">
        <is>
          <t>Cuarto Frío</t>
        </is>
      </c>
      <c r="C7" s="5" t="inlineStr">
        <is>
          <t>Abatidor de temperatura 10 GN</t>
        </is>
      </c>
      <c r="D7" s="15" t="inlineStr">
        <is>
          <t>Chef</t>
        </is>
      </c>
      <c r="E7" s="16" t="n"/>
      <c r="F7" s="15" t="inlineStr">
        <is>
          <t>Pendiente</t>
        </is>
      </c>
      <c r="G7" s="17" t="n">
        <v>5000</v>
      </c>
      <c r="H7" s="15" t="n"/>
      <c r="I7" s="18" t="inlineStr">
        <is>
          <t>Sí</t>
        </is>
      </c>
    </row>
    <row r="8">
      <c r="A8" s="4" t="n">
        <v>4</v>
      </c>
      <c r="B8" s="5" t="inlineStr">
        <is>
          <t>Cuarto Frío</t>
        </is>
      </c>
      <c r="C8" s="5" t="inlineStr">
        <is>
          <t>Envasadora al vacío profesional</t>
        </is>
      </c>
      <c r="D8" s="15" t="inlineStr">
        <is>
          <t>Chef</t>
        </is>
      </c>
      <c r="E8" s="16" t="n"/>
      <c r="F8" s="15" t="inlineStr">
        <is>
          <t>Pendiente</t>
        </is>
      </c>
      <c r="G8" s="17" t="n">
        <v>2500</v>
      </c>
      <c r="H8" s="15" t="n"/>
      <c r="I8" s="18" t="inlineStr">
        <is>
          <t>Sí</t>
        </is>
      </c>
    </row>
    <row r="9">
      <c r="A9" s="4" t="n">
        <v>5</v>
      </c>
      <c r="B9" s="5" t="inlineStr">
        <is>
          <t>Cuarto Frío</t>
        </is>
      </c>
      <c r="C9" s="5" t="inlineStr">
        <is>
          <t>Cutter/Robot de cocina industrial</t>
        </is>
      </c>
      <c r="D9" s="15" t="inlineStr">
        <is>
          <t>Jefe Partida</t>
        </is>
      </c>
      <c r="E9" s="16" t="n"/>
      <c r="F9" s="15" t="inlineStr">
        <is>
          <t>Pendiente</t>
        </is>
      </c>
      <c r="G9" s="17" t="n">
        <v>3000</v>
      </c>
      <c r="H9" s="15" t="n"/>
      <c r="I9" s="18" t="inlineStr">
        <is>
          <t>Sí</t>
        </is>
      </c>
    </row>
    <row r="10">
      <c r="A10" s="4" t="n">
        <v>6</v>
      </c>
      <c r="B10" s="5" t="inlineStr">
        <is>
          <t>Cuarto Frío</t>
        </is>
      </c>
      <c r="C10" s="5" t="inlineStr">
        <is>
          <t>Balanza de precisión</t>
        </is>
      </c>
      <c r="D10" s="15" t="inlineStr">
        <is>
          <t>Jefe Partida</t>
        </is>
      </c>
      <c r="E10" s="16" t="n"/>
      <c r="F10" s="15" t="inlineStr">
        <is>
          <t>Pendiente</t>
        </is>
      </c>
      <c r="G10" s="17" t="n">
        <v>200</v>
      </c>
      <c r="H10" s="15" t="n"/>
      <c r="I10" s="18" t="inlineStr">
        <is>
          <t>Sí</t>
        </is>
      </c>
    </row>
    <row r="11">
      <c r="A11" s="4" t="n">
        <v>7</v>
      </c>
      <c r="B11" s="5" t="inlineStr">
        <is>
          <t>Cuarto Frío</t>
        </is>
      </c>
      <c r="C11" s="5" t="inlineStr">
        <is>
          <t>Mandolina profesional</t>
        </is>
      </c>
      <c r="D11" s="15" t="inlineStr">
        <is>
          <t>Jefe Partida</t>
        </is>
      </c>
      <c r="E11" s="16" t="n"/>
      <c r="F11" s="15" t="inlineStr">
        <is>
          <t>Pendiente</t>
        </is>
      </c>
      <c r="G11" s="17" t="n">
        <v>150</v>
      </c>
      <c r="H11" s="15" t="n"/>
      <c r="I11" s="18" t="inlineStr">
        <is>
          <t>Sí</t>
        </is>
      </c>
    </row>
    <row r="12">
      <c r="A12" s="4" t="n">
        <v>8</v>
      </c>
      <c r="B12" s="5" t="inlineStr">
        <is>
          <t>Cuarto Frío</t>
        </is>
      </c>
      <c r="C12" s="5" t="inlineStr">
        <is>
          <t>Set de cortadores y aros de emplatado</t>
        </is>
      </c>
      <c r="D12" s="15" t="inlineStr">
        <is>
          <t>Chef</t>
        </is>
      </c>
      <c r="E12" s="16" t="n"/>
      <c r="F12" s="15" t="inlineStr">
        <is>
          <t>Pendiente</t>
        </is>
      </c>
      <c r="G12" s="17" t="n">
        <v>300</v>
      </c>
      <c r="H12" s="15" t="n"/>
      <c r="I12" s="18" t="inlineStr">
        <is>
          <t>Sí</t>
        </is>
      </c>
    </row>
    <row r="13">
      <c r="A13" s="4" t="n">
        <v>9</v>
      </c>
      <c r="B13" s="5" t="inlineStr">
        <is>
          <t>Cuarto Frío</t>
        </is>
      </c>
      <c r="C13" s="5" t="inlineStr">
        <is>
          <t>Robot térmico tipo Thermomix</t>
        </is>
      </c>
      <c r="D13" s="15" t="inlineStr">
        <is>
          <t>Chef</t>
        </is>
      </c>
      <c r="E13" s="16" t="n"/>
      <c r="F13" s="15" t="inlineStr">
        <is>
          <t>Pendiente</t>
        </is>
      </c>
      <c r="G13" s="17" t="n"/>
      <c r="H13" s="15" t="inlineStr">
        <is>
          <t>La tarjeta del cap. 9 lo nombra como gancho y no aparecía en ninguno de los 141 ficheros de la familia. Sin importe tasado en la guía: pide presupuesto y escríbelo aquí (la celda es editable y el TOTAL se recalcula).</t>
        </is>
      </c>
      <c r="I13" s="18" t="inlineStr">
        <is>
          <t>Sí</t>
        </is>
      </c>
    </row>
    <row r="14">
      <c r="A14" s="4" t="n">
        <v>10</v>
      </c>
      <c r="B14" s="5" t="inlineStr">
        <is>
          <t>Cuarto Frío</t>
        </is>
      </c>
      <c r="C14" s="5" t="inlineStr">
        <is>
          <t>Deshidratadora profesional de bandejas</t>
        </is>
      </c>
      <c r="D14" s="15" t="inlineStr">
        <is>
          <t>Jefe Partida</t>
        </is>
      </c>
      <c r="E14" s="16" t="n"/>
      <c r="F14" s="15" t="inlineStr">
        <is>
          <t>Pendiente</t>
        </is>
      </c>
      <c r="G14" s="17" t="n"/>
      <c r="H14" s="15" t="inlineStr">
        <is>
          <t>Sin importe tasado en la guía: pide presupuesto y escríbelo aquí (la celda es editable y el TOTAL se recalcula).</t>
        </is>
      </c>
      <c r="I14" s="18" t="inlineStr">
        <is>
          <t>Sí</t>
        </is>
      </c>
    </row>
    <row r="15">
      <c r="A15" s="4" t="n">
        <v>11</v>
      </c>
      <c r="B15" s="5" t="inlineStr">
        <is>
          <t>Cuarto Frío</t>
        </is>
      </c>
      <c r="C15" s="5" t="inlineStr">
        <is>
          <t>Sifones de 1 L y cargas de N2O (set)</t>
        </is>
      </c>
      <c r="D15" s="15" t="inlineStr">
        <is>
          <t>Jefe Partida</t>
        </is>
      </c>
      <c r="E15" s="16" t="n"/>
      <c r="F15" s="15" t="inlineStr">
        <is>
          <t>Pendiente</t>
        </is>
      </c>
      <c r="G15" s="17" t="n"/>
      <c r="H15" s="15" t="inlineStr">
        <is>
          <t>Sin importe tasado en la guía: pide presupuesto y escríbelo aquí (la celda es editable y el TOTAL se recalcula).</t>
        </is>
      </c>
      <c r="I15" s="18" t="inlineStr">
        <is>
          <t>Sí</t>
        </is>
      </c>
    </row>
    <row r="16">
      <c r="A16" s="4" t="n">
        <v>12</v>
      </c>
      <c r="B16" s="5" t="inlineStr">
        <is>
          <t>Cuarto Frío</t>
        </is>
      </c>
      <c r="C16" s="5" t="inlineStr">
        <is>
          <t>Termoselladora de barquetas para mise en place</t>
        </is>
      </c>
      <c r="D16" s="15" t="inlineStr">
        <is>
          <t>Sous Chef</t>
        </is>
      </c>
      <c r="E16" s="16" t="n"/>
      <c r="F16" s="15" t="inlineStr">
        <is>
          <t>Pendiente</t>
        </is>
      </c>
      <c r="G16" s="17" t="n"/>
      <c r="H16" s="15" t="inlineStr">
        <is>
          <t>Sin importe tasado en la guía: pide presupuesto y escríbelo aquí (la celda es editable y el TOTAL se recalcula).</t>
        </is>
      </c>
      <c r="I16" s="18" t="inlineStr">
        <is>
          <t>Sí</t>
        </is>
      </c>
    </row>
    <row r="17">
      <c r="A17" s="4" t="n">
        <v>13</v>
      </c>
      <c r="B17" s="5" t="inlineStr">
        <is>
          <t>Cuarto Frío</t>
        </is>
      </c>
      <c r="C17" s="5" t="inlineStr">
        <is>
          <t>Armario de maduración y curado controlado</t>
        </is>
      </c>
      <c r="D17" s="15" t="inlineStr">
        <is>
          <t>Chef</t>
        </is>
      </c>
      <c r="E17" s="16" t="n"/>
      <c r="F17" s="15" t="inlineStr">
        <is>
          <t>Pendiente</t>
        </is>
      </c>
      <c r="G17" s="17" t="n"/>
      <c r="H17" s="15" t="inlineStr">
        <is>
          <t>Sin importe tasado en la guía: pide presupuesto y escríbelo aquí (la celda es editable y el TOTAL se recalcula).</t>
        </is>
      </c>
      <c r="I17" s="18" t="inlineStr">
        <is>
          <t>Sí</t>
        </is>
      </c>
    </row>
    <row r="18">
      <c r="A18" s="4" t="n">
        <v>14</v>
      </c>
      <c r="B18" s="5" t="inlineStr">
        <is>
          <t>Partida Carnes</t>
        </is>
      </c>
      <c r="C18" s="5" t="inlineStr">
        <is>
          <t>Horno Josper HJX-25 (brasa)</t>
        </is>
      </c>
      <c r="D18" s="15" t="inlineStr">
        <is>
          <t>Chef</t>
        </is>
      </c>
      <c r="E18" s="16" t="n"/>
      <c r="F18" s="15" t="inlineStr">
        <is>
          <t>Pendiente</t>
        </is>
      </c>
      <c r="G18" s="17" t="n">
        <v>12000</v>
      </c>
      <c r="H18" s="15" t="n"/>
      <c r="I18" s="18" t="inlineStr">
        <is>
          <t>Sí</t>
        </is>
      </c>
    </row>
    <row r="19">
      <c r="A19" s="4" t="n">
        <v>15</v>
      </c>
      <c r="B19" s="5" t="inlineStr">
        <is>
          <t>Partida Carnes</t>
        </is>
      </c>
      <c r="C19" s="5" t="inlineStr">
        <is>
          <t>Plancha industrial 4 quemadores</t>
        </is>
      </c>
      <c r="D19" s="15" t="inlineStr">
        <is>
          <t>Sous Chef</t>
        </is>
      </c>
      <c r="E19" s="16" t="n"/>
      <c r="F19" s="15" t="inlineStr">
        <is>
          <t>Pendiente</t>
        </is>
      </c>
      <c r="G19" s="17" t="n">
        <v>2000</v>
      </c>
      <c r="H19" s="15" t="n"/>
      <c r="I19" s="18" t="inlineStr">
        <is>
          <t>Sí</t>
        </is>
      </c>
    </row>
    <row r="20">
      <c r="A20" s="4" t="n">
        <v>16</v>
      </c>
      <c r="B20" s="5" t="inlineStr">
        <is>
          <t>Partida Carnes</t>
        </is>
      </c>
      <c r="C20" s="5" t="inlineStr">
        <is>
          <t>Salamandra profesional</t>
        </is>
      </c>
      <c r="D20" s="15" t="inlineStr">
        <is>
          <t>Sous Chef</t>
        </is>
      </c>
      <c r="E20" s="16" t="n"/>
      <c r="F20" s="15" t="inlineStr">
        <is>
          <t>Pendiente</t>
        </is>
      </c>
      <c r="G20" s="17" t="n">
        <v>1500</v>
      </c>
      <c r="H20" s="15" t="n"/>
      <c r="I20" s="18" t="inlineStr">
        <is>
          <t>Sí</t>
        </is>
      </c>
    </row>
    <row r="21">
      <c r="A21" s="4" t="n">
        <v>17</v>
      </c>
      <c r="B21" s="5" t="inlineStr">
        <is>
          <t>Partida Carnes</t>
        </is>
      </c>
      <c r="C21" s="5" t="inlineStr">
        <is>
          <t>Mesa de trabajo inox 2m</t>
        </is>
      </c>
      <c r="D21" s="15" t="inlineStr">
        <is>
          <t>Sous Chef</t>
        </is>
      </c>
      <c r="E21" s="16" t="n"/>
      <c r="F21" s="15" t="inlineStr">
        <is>
          <t>Pendiente</t>
        </is>
      </c>
      <c r="G21" s="17" t="n">
        <v>500</v>
      </c>
      <c r="H21" s="15" t="n"/>
      <c r="I21" s="18" t="inlineStr">
        <is>
          <t>Sí</t>
        </is>
      </c>
    </row>
    <row r="22">
      <c r="A22" s="4" t="n">
        <v>18</v>
      </c>
      <c r="B22" s="5" t="inlineStr">
        <is>
          <t>Partida Carnes</t>
        </is>
      </c>
      <c r="C22" s="5" t="inlineStr">
        <is>
          <t>Sierra de huesos</t>
        </is>
      </c>
      <c r="D22" s="15" t="inlineStr">
        <is>
          <t>Jefe Partida</t>
        </is>
      </c>
      <c r="E22" s="16" t="n"/>
      <c r="F22" s="15" t="inlineStr">
        <is>
          <t>Pendiente</t>
        </is>
      </c>
      <c r="G22" s="17" t="n">
        <v>2000</v>
      </c>
      <c r="H22" s="15" t="n"/>
      <c r="I22" s="18" t="inlineStr">
        <is>
          <t>Sí</t>
        </is>
      </c>
    </row>
    <row r="23">
      <c r="A23" s="4" t="n">
        <v>19</v>
      </c>
      <c r="B23" s="5" t="inlineStr">
        <is>
          <t>Partida Carnes</t>
        </is>
      </c>
      <c r="C23" s="5" t="inlineStr">
        <is>
          <t>Termómetro de sonda digital</t>
        </is>
      </c>
      <c r="D23" s="15" t="inlineStr">
        <is>
          <t>Jefe Partida</t>
        </is>
      </c>
      <c r="E23" s="16" t="n"/>
      <c r="F23" s="15" t="inlineStr">
        <is>
          <t>Pendiente</t>
        </is>
      </c>
      <c r="G23" s="17" t="n">
        <v>80</v>
      </c>
      <c r="H23" s="15" t="n"/>
      <c r="I23" s="18" t="inlineStr">
        <is>
          <t>Sí</t>
        </is>
      </c>
    </row>
    <row r="24">
      <c r="A24" s="4" t="n">
        <v>20</v>
      </c>
      <c r="B24" s="5" t="inlineStr">
        <is>
          <t>Partida Carnes</t>
        </is>
      </c>
      <c r="C24" s="5" t="inlineStr">
        <is>
          <t>Ahumador en frío / pistola de humo con virutas</t>
        </is>
      </c>
      <c r="D24" s="15" t="inlineStr">
        <is>
          <t>Jefe Partida</t>
        </is>
      </c>
      <c r="E24" s="16" t="n"/>
      <c r="F24" s="15" t="inlineStr">
        <is>
          <t>Pendiente</t>
        </is>
      </c>
      <c r="G24" s="17" t="n"/>
      <c r="H24" s="15" t="inlineStr">
        <is>
          <t>Sin importe tasado en la guía: pide presupuesto y escríbelo aquí (la celda es editable y el TOTAL se recalcula).</t>
        </is>
      </c>
      <c r="I24" s="18" t="inlineStr">
        <is>
          <t>Sí</t>
        </is>
      </c>
    </row>
    <row r="25">
      <c r="A25" s="4" t="n">
        <v>21</v>
      </c>
      <c r="B25" s="5" t="inlineStr">
        <is>
          <t>Partida Carnes</t>
        </is>
      </c>
      <c r="C25" s="5" t="inlineStr">
        <is>
          <t>Cuchillería profesional y estación de afilado (piedras y chaira)</t>
        </is>
      </c>
      <c r="D25" s="15" t="inlineStr">
        <is>
          <t>Chef</t>
        </is>
      </c>
      <c r="E25" s="16" t="n"/>
      <c r="F25" s="15" t="inlineStr">
        <is>
          <t>Pendiente</t>
        </is>
      </c>
      <c r="G25" s="17" t="n"/>
      <c r="H25" s="15" t="inlineStr">
        <is>
          <t>Sin importe tasado en la guía: pide presupuesto y escríbelo aquí (la celda es editable y el TOTAL se recalcula).</t>
        </is>
      </c>
      <c r="I25" s="18" t="inlineStr">
        <is>
          <t>Sí</t>
        </is>
      </c>
    </row>
    <row r="26">
      <c r="A26" s="4" t="n">
        <v>22</v>
      </c>
      <c r="B26" s="5" t="inlineStr">
        <is>
          <t>Partida Carnes</t>
        </is>
      </c>
      <c r="C26" s="5" t="inlineStr">
        <is>
          <t>Rebanadora de producto congelado para tataki y carpaccios</t>
        </is>
      </c>
      <c r="D26" s="15" t="inlineStr">
        <is>
          <t>Jefe Partida</t>
        </is>
      </c>
      <c r="E26" s="16" t="n"/>
      <c r="F26" s="15" t="inlineStr">
        <is>
          <t>Pendiente</t>
        </is>
      </c>
      <c r="G26" s="17" t="n"/>
      <c r="H26" s="15" t="inlineStr">
        <is>
          <t>Sin importe tasado en la guía: pide presupuesto y escríbelo aquí (la celda es editable y el TOTAL se recalcula).</t>
        </is>
      </c>
      <c r="I26" s="18" t="inlineStr">
        <is>
          <t>Sí</t>
        </is>
      </c>
    </row>
    <row r="27">
      <c r="A27" s="4" t="n">
        <v>23</v>
      </c>
      <c r="B27" s="5" t="inlineStr">
        <is>
          <t>Partida Pescados</t>
        </is>
      </c>
      <c r="C27" s="5" t="inlineStr">
        <is>
          <t>Plancha lisa/ranurada combinada</t>
        </is>
      </c>
      <c r="D27" s="15" t="inlineStr">
        <is>
          <t>Sous Chef</t>
        </is>
      </c>
      <c r="E27" s="16" t="n"/>
      <c r="F27" s="15" t="inlineStr">
        <is>
          <t>Pendiente</t>
        </is>
      </c>
      <c r="G27" s="17" t="n">
        <v>1800</v>
      </c>
      <c r="H27" s="15" t="n"/>
      <c r="I27" s="18" t="inlineStr">
        <is>
          <t>Sí</t>
        </is>
      </c>
    </row>
    <row r="28">
      <c r="A28" s="4" t="n">
        <v>24</v>
      </c>
      <c r="B28" s="5" t="inlineStr">
        <is>
          <t>Partida Pescados</t>
        </is>
      </c>
      <c r="C28" s="5" t="inlineStr">
        <is>
          <t>Mesa de trabajo inox con balda</t>
        </is>
      </c>
      <c r="D28" s="15" t="inlineStr">
        <is>
          <t>Sous Chef</t>
        </is>
      </c>
      <c r="E28" s="16" t="n"/>
      <c r="F28" s="15" t="inlineStr">
        <is>
          <t>Pendiente</t>
        </is>
      </c>
      <c r="G28" s="17" t="n">
        <v>500</v>
      </c>
      <c r="H28" s="15" t="n"/>
      <c r="I28" s="18" t="inlineStr">
        <is>
          <t>Sí</t>
        </is>
      </c>
    </row>
    <row r="29">
      <c r="A29" s="4" t="n">
        <v>25</v>
      </c>
      <c r="B29" s="5" t="inlineStr">
        <is>
          <t>Partida Pescados</t>
        </is>
      </c>
      <c r="C29" s="5" t="inlineStr">
        <is>
          <t>Sartenes de hierro fundido (set)</t>
        </is>
      </c>
      <c r="D29" s="15" t="inlineStr">
        <is>
          <t>Jefe Partida</t>
        </is>
      </c>
      <c r="E29" s="16" t="n"/>
      <c r="F29" s="15" t="inlineStr">
        <is>
          <t>Pendiente</t>
        </is>
      </c>
      <c r="G29" s="17" t="n">
        <v>300</v>
      </c>
      <c r="H29" s="15" t="n"/>
      <c r="I29" s="18" t="inlineStr">
        <is>
          <t>Sí</t>
        </is>
      </c>
    </row>
    <row r="30">
      <c r="A30" s="4" t="n">
        <v>26</v>
      </c>
      <c r="B30" s="5" t="inlineStr">
        <is>
          <t>Partida Pescados</t>
        </is>
      </c>
      <c r="C30" s="5" t="inlineStr">
        <is>
          <t>Escamador eléctrico</t>
        </is>
      </c>
      <c r="D30" s="15" t="inlineStr">
        <is>
          <t>Jefe Partida</t>
        </is>
      </c>
      <c r="E30" s="16" t="n"/>
      <c r="F30" s="15" t="inlineStr">
        <is>
          <t>Pendiente</t>
        </is>
      </c>
      <c r="G30" s="17" t="n">
        <v>250</v>
      </c>
      <c r="H30" s="15" t="n"/>
      <c r="I30" s="18" t="inlineStr">
        <is>
          <t>Sí</t>
        </is>
      </c>
    </row>
    <row r="31">
      <c r="A31" s="4" t="n">
        <v>27</v>
      </c>
      <c r="B31" s="5" t="inlineStr">
        <is>
          <t>Partida Pescados</t>
        </is>
      </c>
      <c r="C31" s="5" t="inlineStr">
        <is>
          <t>Pinzas de espinas profesionales</t>
        </is>
      </c>
      <c r="D31" s="15" t="inlineStr">
        <is>
          <t>Jefe Partida</t>
        </is>
      </c>
      <c r="E31" s="16" t="n"/>
      <c r="F31" s="15" t="inlineStr">
        <is>
          <t>Pendiente</t>
        </is>
      </c>
      <c r="G31" s="17" t="n">
        <v>40</v>
      </c>
      <c r="H31" s="15" t="n"/>
      <c r="I31" s="18" t="inlineStr">
        <is>
          <t>Sí</t>
        </is>
      </c>
    </row>
    <row r="32">
      <c r="A32" s="4" t="n">
        <v>28</v>
      </c>
      <c r="B32" s="5" t="inlineStr">
        <is>
          <t>Partida Pescados</t>
        </is>
      </c>
      <c r="C32" s="5" t="inlineStr">
        <is>
          <t>Máquina de hielo en escamas y cuba de conservación</t>
        </is>
      </c>
      <c r="D32" s="15" t="inlineStr">
        <is>
          <t>Sous Chef</t>
        </is>
      </c>
      <c r="E32" s="16" t="n"/>
      <c r="F32" s="15" t="inlineStr">
        <is>
          <t>Pendiente</t>
        </is>
      </c>
      <c r="G32" s="17" t="n"/>
      <c r="H32" s="15" t="inlineStr">
        <is>
          <t>Sin importe tasado en la guía: pide presupuesto y escríbelo aquí (la celda es editable y el TOTAL se recalcula).</t>
        </is>
      </c>
      <c r="I32" s="18" t="inlineStr">
        <is>
          <t>Sí</t>
        </is>
      </c>
    </row>
    <row r="33">
      <c r="A33" s="4" t="n">
        <v>29</v>
      </c>
      <c r="B33" s="5" t="inlineStr">
        <is>
          <t>Partida Pescados</t>
        </is>
      </c>
      <c r="C33" s="5" t="inlineStr">
        <is>
          <t>Expositor de pescado sobre hielo para mise en place</t>
        </is>
      </c>
      <c r="D33" s="15" t="inlineStr">
        <is>
          <t>Jefe Partida</t>
        </is>
      </c>
      <c r="E33" s="16" t="n"/>
      <c r="F33" s="15" t="inlineStr">
        <is>
          <t>Pendiente</t>
        </is>
      </c>
      <c r="G33" s="17" t="n"/>
      <c r="H33" s="15" t="inlineStr">
        <is>
          <t>Sin importe tasado en la guía: pide presupuesto y escríbelo aquí (la celda es editable y el TOTAL se recalcula).</t>
        </is>
      </c>
      <c r="I33" s="18" t="inlineStr">
        <is>
          <t>Sí</t>
        </is>
      </c>
    </row>
    <row r="34">
      <c r="A34" s="4" t="n">
        <v>30</v>
      </c>
      <c r="B34" s="5" t="inlineStr">
        <is>
          <t>Partida Pescados</t>
        </is>
      </c>
      <c r="C34" s="5" t="inlineStr">
        <is>
          <t>Verificar que el abatidor alcanza ‑20 °C / ‑35 °C para la congelación preventiva de anisakis</t>
        </is>
      </c>
      <c r="D34" s="15" t="inlineStr">
        <is>
          <t>Chef</t>
        </is>
      </c>
      <c r="E34" s="16" t="n"/>
      <c r="F34" s="15" t="inlineStr">
        <is>
          <t>Pendiente</t>
        </is>
      </c>
      <c r="G34" s="17" t="n"/>
      <c r="H34" s="15" t="inlineStr">
        <is>
          <t>No todos los abatidores llegan. Si el tuyo no baja de ‑20 °C, necesitas un congelador de choque: sin él no puedes servir crudos ni marinados. Va unido al bloque de anisakis del checklist APPCC.</t>
        </is>
      </c>
      <c r="I34" s="18" t="inlineStr">
        <is>
          <t>Sí</t>
        </is>
      </c>
    </row>
    <row r="35">
      <c r="A35" s="4" t="n">
        <v>31</v>
      </c>
      <c r="B35" s="5" t="inlineStr">
        <is>
          <t>Cocina Caliente</t>
        </is>
      </c>
      <c r="C35" s="5" t="inlineStr">
        <is>
          <t>Cocina industrial 6 fuegos + horno</t>
        </is>
      </c>
      <c r="D35" s="15" t="inlineStr">
        <is>
          <t>Chef</t>
        </is>
      </c>
      <c r="E35" s="16" t="n"/>
      <c r="F35" s="15" t="inlineStr">
        <is>
          <t>Pendiente</t>
        </is>
      </c>
      <c r="G35" s="17" t="n">
        <v>5200</v>
      </c>
      <c r="H35" s="15" t="inlineStr">
        <is>
          <t>Escalón de gama PROFESIONAL ESTÁNDAR. El bloque modular de alta gama es la línea nueva de esta misma categoría: en un gastronómico que aspira a estrella son dos decisiones distintas, no la misma partida.</t>
        </is>
      </c>
      <c r="I35" s="18" t="inlineStr">
        <is>
          <t>Sí</t>
        </is>
      </c>
    </row>
    <row r="36">
      <c r="A36" s="4" t="n">
        <v>32</v>
      </c>
      <c r="B36" s="5" t="inlineStr">
        <is>
          <t>Cocina Caliente</t>
        </is>
      </c>
      <c r="C36" s="5" t="inlineStr">
        <is>
          <t>Cocina industrial 4 fuegos auxiliar</t>
        </is>
      </c>
      <c r="D36" s="15" t="inlineStr">
        <is>
          <t>Chef</t>
        </is>
      </c>
      <c r="E36" s="16" t="n"/>
      <c r="F36" s="15" t="inlineStr">
        <is>
          <t>Pendiente</t>
        </is>
      </c>
      <c r="G36" s="17" t="n">
        <v>3500</v>
      </c>
      <c r="H36" s="15" t="n"/>
      <c r="I36" s="18" t="inlineStr">
        <is>
          <t>Sí</t>
        </is>
      </c>
    </row>
    <row r="37">
      <c r="A37" s="4" t="n">
        <v>33</v>
      </c>
      <c r="B37" s="5" t="inlineStr">
        <is>
          <t>Cocina Caliente</t>
        </is>
      </c>
      <c r="C37" s="5" t="inlineStr">
        <is>
          <t>Roner / sous-vide profesional</t>
        </is>
      </c>
      <c r="D37" s="15" t="inlineStr">
        <is>
          <t>Sous Chef</t>
        </is>
      </c>
      <c r="E37" s="16" t="n"/>
      <c r="F37" s="15" t="inlineStr">
        <is>
          <t>Pendiente</t>
        </is>
      </c>
      <c r="G37" s="17" t="n">
        <v>1500</v>
      </c>
      <c r="H37" s="15" t="n"/>
      <c r="I37" s="18" t="inlineStr">
        <is>
          <t>Sí</t>
        </is>
      </c>
    </row>
    <row r="38">
      <c r="A38" s="4" t="n">
        <v>34</v>
      </c>
      <c r="B38" s="5" t="inlineStr">
        <is>
          <t>Cocina Caliente</t>
        </is>
      </c>
      <c r="C38" s="5" t="inlineStr">
        <is>
          <t>Marmita basculante 50L</t>
        </is>
      </c>
      <c r="D38" s="15" t="inlineStr">
        <is>
          <t>Chef</t>
        </is>
      </c>
      <c r="E38" s="16" t="n"/>
      <c r="F38" s="15" t="inlineStr">
        <is>
          <t>Pendiente</t>
        </is>
      </c>
      <c r="G38" s="17" t="n">
        <v>4000</v>
      </c>
      <c r="H38" s="15" t="n"/>
      <c r="I38" s="18" t="inlineStr">
        <is>
          <t>Sí</t>
        </is>
      </c>
    </row>
    <row r="39">
      <c r="A39" s="4" t="n">
        <v>35</v>
      </c>
      <c r="B39" s="5" t="inlineStr">
        <is>
          <t>Cocina Caliente</t>
        </is>
      </c>
      <c r="C39" s="5" t="inlineStr">
        <is>
          <t>Freidora doble cuba 10+10L</t>
        </is>
      </c>
      <c r="D39" s="15" t="inlineStr">
        <is>
          <t>Sous Chef</t>
        </is>
      </c>
      <c r="E39" s="16" t="n"/>
      <c r="F39" s="15" t="inlineStr">
        <is>
          <t>Pendiente</t>
        </is>
      </c>
      <c r="G39" s="17" t="n">
        <v>1800</v>
      </c>
      <c r="H39" s="15" t="n"/>
      <c r="I39" s="18" t="inlineStr">
        <is>
          <t>Sí</t>
        </is>
      </c>
    </row>
    <row r="40">
      <c r="A40" s="4" t="n">
        <v>36</v>
      </c>
      <c r="B40" s="5" t="inlineStr">
        <is>
          <t>Cocina Caliente</t>
        </is>
      </c>
      <c r="C40" s="5" t="inlineStr">
        <is>
          <t>Baño maría 3 cubetas GN</t>
        </is>
      </c>
      <c r="D40" s="15" t="inlineStr">
        <is>
          <t>Sous Chef</t>
        </is>
      </c>
      <c r="E40" s="16" t="n"/>
      <c r="F40" s="15" t="inlineStr">
        <is>
          <t>Pendiente</t>
        </is>
      </c>
      <c r="G40" s="17" t="n">
        <v>600</v>
      </c>
      <c r="H40" s="15" t="n"/>
      <c r="I40" s="18" t="inlineStr">
        <is>
          <t>Sí</t>
        </is>
      </c>
    </row>
    <row r="41">
      <c r="A41" s="4" t="n">
        <v>37</v>
      </c>
      <c r="B41" s="5" t="inlineStr">
        <is>
          <t>Cocina Caliente</t>
        </is>
      </c>
      <c r="C41" s="5" t="inlineStr">
        <is>
          <t>Sartenes y ollas profesionales (set)</t>
        </is>
      </c>
      <c r="D41" s="15" t="inlineStr">
        <is>
          <t>Chef</t>
        </is>
      </c>
      <c r="E41" s="16" t="n"/>
      <c r="F41" s="15" t="inlineStr">
        <is>
          <t>Pendiente</t>
        </is>
      </c>
      <c r="G41" s="17" t="n">
        <v>2000</v>
      </c>
      <c r="H41" s="15" t="n"/>
      <c r="I41" s="18" t="inlineStr">
        <is>
          <t>Sí</t>
        </is>
      </c>
    </row>
    <row r="42">
      <c r="A42" s="4" t="n">
        <v>38</v>
      </c>
      <c r="B42" s="5" t="inlineStr">
        <is>
          <t>Cocina Caliente</t>
        </is>
      </c>
      <c r="C42" s="5" t="inlineStr">
        <is>
          <t>Horno mixto 10 GN (Rational o equivalente)</t>
        </is>
      </c>
      <c r="D42" s="15" t="inlineStr">
        <is>
          <t>Chef</t>
        </is>
      </c>
      <c r="E42" s="16" t="n"/>
      <c r="F42" s="15" t="inlineStr">
        <is>
          <t>Pendiente</t>
        </is>
      </c>
      <c r="G42" s="17" t="n">
        <v>17500</v>
      </c>
      <c r="H42" s="15" t="inlineStr">
        <is>
          <t>Es el equipo nº 1 de la tabla 1 del propio libro y NO estaba en las 54 filas del checklist. La única línea de horno era el de convección de pastelería (6.000 €), que es otra cosa.</t>
        </is>
      </c>
      <c r="I42" s="18" t="inlineStr">
        <is>
          <t>Sí</t>
        </is>
      </c>
    </row>
    <row r="43">
      <c r="A43" s="4" t="n">
        <v>39</v>
      </c>
      <c r="B43" s="5" t="inlineStr">
        <is>
          <t>Cocina Caliente</t>
        </is>
      </c>
      <c r="C43" s="5" t="inlineStr">
        <is>
          <t>Bloque modular de cocción de alta gama (alternativa al bloque estándar)</t>
        </is>
      </c>
      <c r="D43" s="15" t="inlineStr">
        <is>
          <t>Chef</t>
        </is>
      </c>
      <c r="E43" s="16" t="n"/>
      <c r="F43" s="15" t="inlineStr">
        <is>
          <t>Pendiente</t>
        </is>
      </c>
      <c r="G43" s="17" t="n"/>
      <c r="H43" s="15" t="inlineStr">
        <is>
          <t>El bloque de 6 fuegos está presupuestado a 5.200 € —precio de hostelería estándar— en una guía que enseña a aspirar a estrella. Son dos escalones distintos: elige uno y pon el otro a 0. Sin importe tasado en la guía: pide presupuesto y escríbelo aquí (la celda es editable y el TOTAL se recalcula).</t>
        </is>
      </c>
      <c r="I43" s="18" t="inlineStr">
        <is>
          <t>No</t>
        </is>
      </c>
    </row>
    <row r="44">
      <c r="A44" s="4" t="n">
        <v>40</v>
      </c>
      <c r="B44" s="5" t="inlineStr">
        <is>
          <t>Cocina Caliente</t>
        </is>
      </c>
      <c r="C44" s="5" t="inlineStr">
        <is>
          <t>Placa de inducción de alto rendimiento para el pase (2 zonas)</t>
        </is>
      </c>
      <c r="D44" s="15" t="inlineStr">
        <is>
          <t>Sous Chef</t>
        </is>
      </c>
      <c r="E44" s="16" t="n"/>
      <c r="F44" s="15" t="inlineStr">
        <is>
          <t>Pendiente</t>
        </is>
      </c>
      <c r="G44" s="17" t="n"/>
      <c r="H44" s="15" t="inlineStr">
        <is>
          <t>Sin importe tasado en la guía: pide presupuesto y escríbelo aquí (la celda es editable y el TOTAL se recalcula).</t>
        </is>
      </c>
      <c r="I44" s="18" t="inlineStr">
        <is>
          <t>Sí</t>
        </is>
      </c>
    </row>
    <row r="45">
      <c r="A45" s="4" t="n">
        <v>41</v>
      </c>
      <c r="B45" s="5" t="inlineStr">
        <is>
          <t>Cocina Caliente</t>
        </is>
      </c>
      <c r="C45" s="5" t="inlineStr">
        <is>
          <t>Segundo roner y cuba termostática para servicio en paralelo</t>
        </is>
      </c>
      <c r="D45" s="15" t="inlineStr">
        <is>
          <t>Sous Chef</t>
        </is>
      </c>
      <c r="E45" s="16" t="n"/>
      <c r="F45" s="15" t="inlineStr">
        <is>
          <t>Pendiente</t>
        </is>
      </c>
      <c r="G45" s="17" t="n"/>
      <c r="H45" s="15" t="inlineStr">
        <is>
          <t>Con un solo roner no se sostienen dos binomios distintos en el mismo servicio. Sin importe tasado en la guía: pide presupuesto y escríbelo aquí (la celda es editable y el TOTAL se recalcula).</t>
        </is>
      </c>
      <c r="I45" s="18" t="inlineStr">
        <is>
          <t>Sí</t>
        </is>
      </c>
    </row>
    <row r="46">
      <c r="A46" s="4" t="n">
        <v>42</v>
      </c>
      <c r="B46" s="5" t="inlineStr">
        <is>
          <t>Cocina Caliente</t>
        </is>
      </c>
      <c r="C46" s="5" t="inlineStr">
        <is>
          <t>Sonda multipunto con registro para cocción a baja temperatura</t>
        </is>
      </c>
      <c r="D46" s="15" t="inlineStr">
        <is>
          <t>Resp. APPCC</t>
        </is>
      </c>
      <c r="E46" s="16" t="n"/>
      <c r="F46" s="15" t="inlineStr">
        <is>
          <t>Pendiente</t>
        </is>
      </c>
      <c r="G46" s="17" t="n"/>
      <c r="H46" s="15" t="inlineStr">
        <is>
          <t>Es el equipo que produce el «registro de sonda por lote» que pide el bloque nuevo del APPCC. Sin importe tasado en la guía: pide presupuesto y escríbelo aquí (la celda es editable y el TOTAL se recalcula).</t>
        </is>
      </c>
      <c r="I46" s="18" t="inlineStr">
        <is>
          <t>Sí</t>
        </is>
      </c>
    </row>
    <row r="47">
      <c r="A47" s="4" t="n">
        <v>43</v>
      </c>
      <c r="B47" s="5" t="inlineStr">
        <is>
          <t>Cocina Caliente</t>
        </is>
      </c>
      <c r="C47" s="5" t="inlineStr">
        <is>
          <t>Juego completo de cubetas gastronorm y contenedores herméticos</t>
        </is>
      </c>
      <c r="D47" s="15" t="inlineStr">
        <is>
          <t>Sous Chef</t>
        </is>
      </c>
      <c r="E47" s="16" t="n"/>
      <c r="F47" s="15" t="inlineStr">
        <is>
          <t>Pendiente</t>
        </is>
      </c>
      <c r="G47" s="17" t="n"/>
      <c r="H47" s="15" t="inlineStr">
        <is>
          <t>Sin importe tasado en la guía: pide presupuesto y escríbelo aquí (la celda es editable y el TOTAL se recalcula).</t>
        </is>
      </c>
      <c r="I47" s="18" t="inlineStr">
        <is>
          <t>Sí</t>
        </is>
      </c>
    </row>
    <row r="48">
      <c r="A48" s="4" t="n">
        <v>44</v>
      </c>
      <c r="B48" s="5" t="inlineStr">
        <is>
          <t>Pastelería/Obrador</t>
        </is>
      </c>
      <c r="C48" s="5" t="inlineStr">
        <is>
          <t>Horno de convección 10 GN</t>
        </is>
      </c>
      <c r="D48" s="15" t="inlineStr">
        <is>
          <t>Chef Pastelero</t>
        </is>
      </c>
      <c r="E48" s="16" t="n"/>
      <c r="F48" s="15" t="inlineStr">
        <is>
          <t>Pendiente</t>
        </is>
      </c>
      <c r="G48" s="17" t="n">
        <v>6000</v>
      </c>
      <c r="H48" s="15" t="n"/>
      <c r="I48" s="18" t="inlineStr">
        <is>
          <t>Sí</t>
        </is>
      </c>
    </row>
    <row r="49">
      <c r="A49" s="4" t="n">
        <v>45</v>
      </c>
      <c r="B49" s="5" t="inlineStr">
        <is>
          <t>Pastelería/Obrador</t>
        </is>
      </c>
      <c r="C49" s="5" t="inlineStr">
        <is>
          <t>Amasadora planetaria 20L</t>
        </is>
      </c>
      <c r="D49" s="15" t="inlineStr">
        <is>
          <t>Chef Pastelero</t>
        </is>
      </c>
      <c r="E49" s="16" t="n"/>
      <c r="F49" s="15" t="inlineStr">
        <is>
          <t>Pendiente</t>
        </is>
      </c>
      <c r="G49" s="17" t="n">
        <v>2500</v>
      </c>
      <c r="H49" s="15" t="n"/>
      <c r="I49" s="18" t="inlineStr">
        <is>
          <t>Sí</t>
        </is>
      </c>
    </row>
    <row r="50">
      <c r="A50" s="4" t="n">
        <v>46</v>
      </c>
      <c r="B50" s="5" t="inlineStr">
        <is>
          <t>Pastelería/Obrador</t>
        </is>
      </c>
      <c r="C50" s="5" t="inlineStr">
        <is>
          <t>Heladera batch freezer</t>
        </is>
      </c>
      <c r="D50" s="15" t="inlineStr">
        <is>
          <t>Chef Pastelero</t>
        </is>
      </c>
      <c r="E50" s="16" t="n"/>
      <c r="F50" s="15" t="inlineStr">
        <is>
          <t>Pendiente</t>
        </is>
      </c>
      <c r="G50" s="17" t="n">
        <v>5000</v>
      </c>
      <c r="H50" s="15" t="n"/>
      <c r="I50" s="18" t="inlineStr">
        <is>
          <t>Sí</t>
        </is>
      </c>
    </row>
    <row r="51">
      <c r="A51" s="4" t="n">
        <v>47</v>
      </c>
      <c r="B51" s="5" t="inlineStr">
        <is>
          <t>Pastelería/Obrador</t>
        </is>
      </c>
      <c r="C51" s="5" t="inlineStr">
        <is>
          <t>Temperadora de chocolate</t>
        </is>
      </c>
      <c r="D51" s="15" t="inlineStr">
        <is>
          <t>Chef Pastelero</t>
        </is>
      </c>
      <c r="E51" s="16" t="n"/>
      <c r="F51" s="15" t="inlineStr">
        <is>
          <t>Pendiente</t>
        </is>
      </c>
      <c r="G51" s="17" t="n">
        <v>1500</v>
      </c>
      <c r="H51" s="15" t="n"/>
      <c r="I51" s="18" t="inlineStr">
        <is>
          <t>Sí</t>
        </is>
      </c>
    </row>
    <row r="52">
      <c r="A52" s="4" t="n">
        <v>48</v>
      </c>
      <c r="B52" s="5" t="inlineStr">
        <is>
          <t>Pastelería/Obrador</t>
        </is>
      </c>
      <c r="C52" s="5" t="inlineStr">
        <is>
          <t>Laminadora de masas</t>
        </is>
      </c>
      <c r="D52" s="15" t="inlineStr">
        <is>
          <t>Chef Pastelero</t>
        </is>
      </c>
      <c r="E52" s="16" t="n"/>
      <c r="F52" s="15" t="inlineStr">
        <is>
          <t>Pendiente</t>
        </is>
      </c>
      <c r="G52" s="17" t="n">
        <v>3000</v>
      </c>
      <c r="H52" s="15" t="n"/>
      <c r="I52" s="18" t="inlineStr">
        <is>
          <t>Sí</t>
        </is>
      </c>
    </row>
    <row r="53">
      <c r="A53" s="4" t="n">
        <v>49</v>
      </c>
      <c r="B53" s="5" t="inlineStr">
        <is>
          <t>Pastelería/Obrador</t>
        </is>
      </c>
      <c r="C53" s="5" t="inlineStr">
        <is>
          <t>Abatidor de temperatura (compartido)</t>
        </is>
      </c>
      <c r="D53" s="15" t="inlineStr">
        <is>
          <t>Chef Pastelero</t>
        </is>
      </c>
      <c r="E53" s="16" t="n"/>
      <c r="F53" s="15" t="inlineStr">
        <is>
          <t>Pendiente</t>
        </is>
      </c>
      <c r="G53" s="17" t="n">
        <v>0</v>
      </c>
      <c r="H53" s="15" t="n"/>
      <c r="I53" s="18" t="inlineStr">
        <is>
          <t>Sí</t>
        </is>
      </c>
    </row>
    <row r="54">
      <c r="A54" s="4" t="n">
        <v>50</v>
      </c>
      <c r="B54" s="5" t="inlineStr">
        <is>
          <t>Pastelería/Obrador</t>
        </is>
      </c>
      <c r="C54" s="5" t="inlineStr">
        <is>
          <t>Moldes, aros y utensilios pastelería</t>
        </is>
      </c>
      <c r="D54" s="15" t="inlineStr">
        <is>
          <t>Chef Pastelero</t>
        </is>
      </c>
      <c r="E54" s="16" t="n"/>
      <c r="F54" s="15" t="inlineStr">
        <is>
          <t>Pendiente</t>
        </is>
      </c>
      <c r="G54" s="17" t="n">
        <v>1000</v>
      </c>
      <c r="H54" s="15" t="n"/>
      <c r="I54" s="18" t="inlineStr">
        <is>
          <t>Sí</t>
        </is>
      </c>
    </row>
    <row r="55">
      <c r="A55" s="4" t="n">
        <v>51</v>
      </c>
      <c r="B55" s="5" t="inlineStr">
        <is>
          <t>Pastelería/Obrador</t>
        </is>
      </c>
      <c r="C55" s="5" t="inlineStr">
        <is>
          <t>Pacojet (helados, purés y polvos en frío)</t>
        </is>
      </c>
      <c r="D55" s="15" t="inlineStr">
        <is>
          <t>Chef Pastelero</t>
        </is>
      </c>
      <c r="E55" s="16" t="n"/>
      <c r="F55" s="15" t="inlineStr">
        <is>
          <t>Pendiente</t>
        </is>
      </c>
      <c r="G55" s="17" t="n"/>
      <c r="H55" s="15" t="inlineStr">
        <is>
          <t>Como el Thermomix: la tarjeta del cap. 9 lo nombra y no existía en ningún fichero. Sin importe tasado en la guía: pide presupuesto y escríbelo aquí (la celda es editable y el TOTAL se recalcula).</t>
        </is>
      </c>
      <c r="I55" s="18" t="inlineStr">
        <is>
          <t>Sí</t>
        </is>
      </c>
    </row>
    <row r="56">
      <c r="A56" s="4" t="n">
        <v>52</v>
      </c>
      <c r="B56" s="5" t="inlineStr">
        <is>
          <t>Pastelería/Obrador</t>
        </is>
      </c>
      <c r="C56" s="5" t="inlineStr">
        <is>
          <t>Armario de fermentación controlada (panadería propia)</t>
        </is>
      </c>
      <c r="D56" s="15" t="inlineStr">
        <is>
          <t>Chef Pastelero</t>
        </is>
      </c>
      <c r="E56" s="16" t="n"/>
      <c r="F56" s="15" t="inlineStr">
        <is>
          <t>Pendiente</t>
        </is>
      </c>
      <c r="G56" s="17" t="n"/>
      <c r="H56" s="15" t="inlineStr">
        <is>
          <t>El checklist Michelin pide «pan y petit fours de producción propia»: esto es lo que hace falta para cumplirlo. Sin importe tasado en la guía: pide presupuesto y escríbelo aquí (la celda es editable y el TOTAL se recalcula).</t>
        </is>
      </c>
      <c r="I56" s="18" t="inlineStr">
        <is>
          <t>Sí</t>
        </is>
      </c>
    </row>
    <row r="57">
      <c r="A57" s="4" t="n">
        <v>53</v>
      </c>
      <c r="B57" s="5" t="inlineStr">
        <is>
          <t>Pastelería/Obrador</t>
        </is>
      </c>
      <c r="C57" s="5" t="inlineStr">
        <is>
          <t>Pistola de pintura para chocolate con compresor</t>
        </is>
      </c>
      <c r="D57" s="15" t="inlineStr">
        <is>
          <t>Chef Pastelero</t>
        </is>
      </c>
      <c r="E57" s="16" t="n"/>
      <c r="F57" s="15" t="inlineStr">
        <is>
          <t>Pendiente</t>
        </is>
      </c>
      <c r="G57" s="17" t="n"/>
      <c r="H57" s="15" t="inlineStr">
        <is>
          <t>Sin importe tasado en la guía: pide presupuesto y escríbelo aquí (la celda es editable y el TOTAL se recalcula).</t>
        </is>
      </c>
      <c r="I57" s="18" t="inlineStr">
        <is>
          <t>Sí</t>
        </is>
      </c>
    </row>
    <row r="58">
      <c r="A58" s="4" t="n">
        <v>54</v>
      </c>
      <c r="B58" s="5" t="inlineStr">
        <is>
          <t>Pastelería/Obrador</t>
        </is>
      </c>
      <c r="C58" s="5" t="inlineStr">
        <is>
          <t>Pasteurizador / madurador de mezcla de helado</t>
        </is>
      </c>
      <c r="D58" s="15" t="inlineStr">
        <is>
          <t>Chef Pastelero</t>
        </is>
      </c>
      <c r="E58" s="16" t="n"/>
      <c r="F58" s="15" t="inlineStr">
        <is>
          <t>Pendiente</t>
        </is>
      </c>
      <c r="G58" s="17" t="n"/>
      <c r="H58" s="15" t="inlineStr">
        <is>
          <t>Sin importe tasado en la guía: pide presupuesto y escríbelo aquí (la celda es editable y el TOTAL se recalcula).</t>
        </is>
      </c>
      <c r="I58" s="18" t="inlineStr">
        <is>
          <t>Sí</t>
        </is>
      </c>
    </row>
    <row r="59">
      <c r="A59" s="4" t="n">
        <v>55</v>
      </c>
      <c r="B59" s="5" t="inlineStr">
        <is>
          <t>Pase/Expedición</t>
        </is>
      </c>
      <c r="C59" s="5" t="inlineStr">
        <is>
          <t>Mesa caliente pass-through con lámparas IR</t>
        </is>
      </c>
      <c r="D59" s="15" t="inlineStr">
        <is>
          <t>Chef</t>
        </is>
      </c>
      <c r="E59" s="16" t="n"/>
      <c r="F59" s="15" t="inlineStr">
        <is>
          <t>Pendiente</t>
        </is>
      </c>
      <c r="G59" s="17" t="n">
        <v>3000</v>
      </c>
      <c r="H59" s="15" t="n"/>
      <c r="I59" s="18" t="inlineStr">
        <is>
          <t>Sí</t>
        </is>
      </c>
    </row>
    <row r="60">
      <c r="A60" s="4" t="n">
        <v>56</v>
      </c>
      <c r="B60" s="5" t="inlineStr">
        <is>
          <t>Pase/Expedición</t>
        </is>
      </c>
      <c r="C60" s="5" t="inlineStr">
        <is>
          <t>Campana extractora industrial</t>
        </is>
      </c>
      <c r="D60" s="15" t="inlineStr">
        <is>
          <t>Instalador</t>
        </is>
      </c>
      <c r="E60" s="16" t="n"/>
      <c r="F60" s="15" t="inlineStr">
        <is>
          <t>Pendiente</t>
        </is>
      </c>
      <c r="G60" s="17" t="n">
        <v>2500</v>
      </c>
      <c r="H60" s="15" t="inlineStr">
        <is>
          <t>Esto es SOLO la campana. El sistema completo hasta cubierta —conducto, ventilador, silenciador y aportación de aire— va en las líneas nuevas del bloque «Extracción e instalaciones»: el cap. 5 lo llama «obstáculo técnico número 1» y estaba presupuestado en 2.500 € en total.</t>
        </is>
      </c>
      <c r="I60" s="18" t="inlineStr">
        <is>
          <t>Sí</t>
        </is>
      </c>
    </row>
    <row r="61">
      <c r="A61" s="4" t="n">
        <v>57</v>
      </c>
      <c r="B61" s="5" t="inlineStr">
        <is>
          <t>Pase/Expedición</t>
        </is>
      </c>
      <c r="C61" s="5" t="inlineStr">
        <is>
          <t>Lámparas de calor infrarrojo (×4)</t>
        </is>
      </c>
      <c r="D61" s="15" t="inlineStr">
        <is>
          <t>Chef</t>
        </is>
      </c>
      <c r="E61" s="16" t="n"/>
      <c r="F61" s="15" t="inlineStr">
        <is>
          <t>Pendiente</t>
        </is>
      </c>
      <c r="G61" s="17" t="n">
        <v>800</v>
      </c>
      <c r="H61" s="15" t="n"/>
      <c r="I61" s="18" t="inlineStr">
        <is>
          <t>Sí</t>
        </is>
      </c>
    </row>
    <row r="62">
      <c r="A62" s="4" t="n">
        <v>58</v>
      </c>
      <c r="B62" s="5" t="inlineStr">
        <is>
          <t>Pase/Expedición</t>
        </is>
      </c>
      <c r="C62" s="5" t="inlineStr">
        <is>
          <t>Timbre/campana de servicio</t>
        </is>
      </c>
      <c r="D62" s="15" t="inlineStr">
        <is>
          <t>Chef</t>
        </is>
      </c>
      <c r="E62" s="16" t="n"/>
      <c r="F62" s="15" t="inlineStr">
        <is>
          <t>Pendiente</t>
        </is>
      </c>
      <c r="G62" s="17" t="n">
        <v>50</v>
      </c>
      <c r="H62" s="15" t="n"/>
      <c r="I62" s="18" t="inlineStr">
        <is>
          <t>Sí</t>
        </is>
      </c>
    </row>
    <row r="63">
      <c r="A63" s="4" t="n">
        <v>59</v>
      </c>
      <c r="B63" s="5" t="inlineStr">
        <is>
          <t>Pase/Expedición</t>
        </is>
      </c>
      <c r="C63" s="5" t="inlineStr">
        <is>
          <t>Iluminación de emplatado (4000K)</t>
        </is>
      </c>
      <c r="D63" s="15" t="inlineStr">
        <is>
          <t>Instalador</t>
        </is>
      </c>
      <c r="E63" s="16" t="n"/>
      <c r="F63" s="15" t="inlineStr">
        <is>
          <t>Pendiente</t>
        </is>
      </c>
      <c r="G63" s="17" t="n">
        <v>500</v>
      </c>
      <c r="H63" s="15" t="n"/>
      <c r="I63" s="18" t="inlineStr">
        <is>
          <t>Sí</t>
        </is>
      </c>
    </row>
    <row r="64">
      <c r="A64" s="4" t="n">
        <v>60</v>
      </c>
      <c r="B64" s="5" t="inlineStr">
        <is>
          <t>Pase/Expedición</t>
        </is>
      </c>
      <c r="C64" s="5" t="inlineStr">
        <is>
          <t>Carro caliente de mantenimiento para eventos y comedor privado</t>
        </is>
      </c>
      <c r="D64" s="15" t="inlineStr">
        <is>
          <t>Chef</t>
        </is>
      </c>
      <c r="E64" s="16" t="n"/>
      <c r="F64" s="15" t="inlineStr">
        <is>
          <t>Pendiente</t>
        </is>
      </c>
      <c r="G64" s="17" t="n"/>
      <c r="H64" s="15" t="inlineStr">
        <is>
          <t>El checklist de sala presupuesta un comedor privado / chef's table de 8‑10 plazas: hay que llegar hasta allí con el plato caliente. Sin importe tasado en la guía: pide presupuesto y escríbelo aquí (la celda es editable y el TOTAL se recalcula).</t>
        </is>
      </c>
      <c r="I64" s="18" t="inlineStr">
        <is>
          <t>Sí</t>
        </is>
      </c>
    </row>
    <row r="65">
      <c r="A65" s="4" t="n">
        <v>61</v>
      </c>
      <c r="B65" s="5" t="inlineStr">
        <is>
          <t>Pase/Expedición</t>
        </is>
      </c>
      <c r="C65" s="5" t="inlineStr">
        <is>
          <t>Temporizadores de pase y reloj de cocina (set)</t>
        </is>
      </c>
      <c r="D65" s="15" t="inlineStr">
        <is>
          <t>Chef</t>
        </is>
      </c>
      <c r="E65" s="16" t="n"/>
      <c r="F65" s="15" t="inlineStr">
        <is>
          <t>Pendiente</t>
        </is>
      </c>
      <c r="G65" s="17" t="n"/>
      <c r="H65" s="15" t="inlineStr">
        <is>
          <t>El checklist Michelin exige «tiempos entre pases controlados y fluidos». Sin importe tasado en la guía: pide presupuesto y escríbelo aquí (la celda es editable y el TOTAL se recalcula).</t>
        </is>
      </c>
      <c r="I65" s="18" t="inlineStr">
        <is>
          <t>Sí</t>
        </is>
      </c>
    </row>
    <row r="66">
      <c r="A66" s="4" t="n">
        <v>62</v>
      </c>
      <c r="B66" s="5" t="inlineStr">
        <is>
          <t>Pase/Expedición</t>
        </is>
      </c>
      <c r="C66" s="5" t="inlineStr">
        <is>
          <t>Mesa de apoyo refrigerada para el pase de fríos</t>
        </is>
      </c>
      <c r="D66" s="15" t="inlineStr">
        <is>
          <t>Chef</t>
        </is>
      </c>
      <c r="E66" s="16" t="n"/>
      <c r="F66" s="15" t="inlineStr">
        <is>
          <t>Pendiente</t>
        </is>
      </c>
      <c r="G66" s="17" t="n"/>
      <c r="H66" s="15" t="inlineStr">
        <is>
          <t>Sin importe tasado en la guía: pide presupuesto y escríbelo aquí (la celda es editable y el TOTAL se recalcula).</t>
        </is>
      </c>
      <c r="I66" s="18" t="inlineStr">
        <is>
          <t>Sí</t>
        </is>
      </c>
    </row>
    <row r="67">
      <c r="A67" s="4" t="n">
        <v>63</v>
      </c>
      <c r="B67" s="5" t="inlineStr">
        <is>
          <t>Almacenamiento</t>
        </is>
      </c>
      <c r="C67" s="5" t="inlineStr">
        <is>
          <t>Cámara frigorífica modular conservación</t>
        </is>
      </c>
      <c r="D67" s="15" t="inlineStr">
        <is>
          <t>Chef</t>
        </is>
      </c>
      <c r="E67" s="16" t="n"/>
      <c r="F67" s="15" t="inlineStr">
        <is>
          <t>Pendiente</t>
        </is>
      </c>
      <c r="G67" s="17" t="n">
        <v>2500</v>
      </c>
      <c r="H67" s="15" t="n"/>
      <c r="I67" s="18" t="inlineStr">
        <is>
          <t>Sí</t>
        </is>
      </c>
    </row>
    <row r="68">
      <c r="A68" s="4" t="n">
        <v>64</v>
      </c>
      <c r="B68" s="5" t="inlineStr">
        <is>
          <t>Almacenamiento</t>
        </is>
      </c>
      <c r="C68" s="5" t="inlineStr">
        <is>
          <t>Cámara frigorífica modular congelación</t>
        </is>
      </c>
      <c r="D68" s="15" t="inlineStr">
        <is>
          <t>Chef</t>
        </is>
      </c>
      <c r="E68" s="16" t="n"/>
      <c r="F68" s="15" t="inlineStr">
        <is>
          <t>Pendiente</t>
        </is>
      </c>
      <c r="G68" s="17" t="n">
        <v>3000</v>
      </c>
      <c r="H68" s="15" t="n"/>
      <c r="I68" s="18" t="inlineStr">
        <is>
          <t>Sí</t>
        </is>
      </c>
    </row>
    <row r="69">
      <c r="A69" s="4" t="n">
        <v>65</v>
      </c>
      <c r="B69" s="5" t="inlineStr">
        <is>
          <t>Almacenamiento</t>
        </is>
      </c>
      <c r="C69" s="5" t="inlineStr">
        <is>
          <t>Armario frigorífico 600L</t>
        </is>
      </c>
      <c r="D69" s="15" t="inlineStr">
        <is>
          <t>Sous Chef</t>
        </is>
      </c>
      <c r="E69" s="16" t="n"/>
      <c r="F69" s="15" t="inlineStr">
        <is>
          <t>Pendiente</t>
        </is>
      </c>
      <c r="G69" s="17" t="n">
        <v>4000</v>
      </c>
      <c r="H69" s="15" t="n"/>
      <c r="I69" s="18" t="inlineStr">
        <is>
          <t>Sí</t>
        </is>
      </c>
    </row>
    <row r="70">
      <c r="A70" s="4" t="n">
        <v>66</v>
      </c>
      <c r="B70" s="5" t="inlineStr">
        <is>
          <t>Almacenamiento</t>
        </is>
      </c>
      <c r="C70" s="5" t="inlineStr">
        <is>
          <t>Armario congelador 1400L</t>
        </is>
      </c>
      <c r="D70" s="15" t="inlineStr">
        <is>
          <t>Sous Chef</t>
        </is>
      </c>
      <c r="E70" s="16" t="n"/>
      <c r="F70" s="15" t="inlineStr">
        <is>
          <t>Pendiente</t>
        </is>
      </c>
      <c r="G70" s="17" t="n">
        <v>5000</v>
      </c>
      <c r="H70" s="15" t="n"/>
      <c r="I70" s="18" t="inlineStr">
        <is>
          <t>Sí</t>
        </is>
      </c>
    </row>
    <row r="71">
      <c r="A71" s="4" t="n">
        <v>67</v>
      </c>
      <c r="B71" s="5" t="inlineStr">
        <is>
          <t>Almacenamiento</t>
        </is>
      </c>
      <c r="C71" s="5" t="inlineStr">
        <is>
          <t>Estanterías inox almacén seco (×4)</t>
        </is>
      </c>
      <c r="D71" s="15" t="inlineStr">
        <is>
          <t>Sous Chef</t>
        </is>
      </c>
      <c r="E71" s="16" t="n"/>
      <c r="F71" s="15" t="inlineStr">
        <is>
          <t>Pendiente</t>
        </is>
      </c>
      <c r="G71" s="17" t="n">
        <v>1500</v>
      </c>
      <c r="H71" s="15" t="n"/>
      <c r="I71" s="18" t="inlineStr">
        <is>
          <t>Sí</t>
        </is>
      </c>
    </row>
    <row r="72">
      <c r="A72" s="4" t="n">
        <v>68</v>
      </c>
      <c r="B72" s="5" t="inlineStr">
        <is>
          <t>Almacenamiento</t>
        </is>
      </c>
      <c r="C72" s="5" t="inlineStr">
        <is>
          <t>Estanterías desmontables de polipropileno para cámaras</t>
        </is>
      </c>
      <c r="D72" s="15" t="inlineStr">
        <is>
          <t>Sous Chef</t>
        </is>
      </c>
      <c r="E72" s="16" t="n"/>
      <c r="F72" s="15" t="inlineStr">
        <is>
          <t>Pendiente</t>
        </is>
      </c>
      <c r="G72" s="17" t="n"/>
      <c r="H72" s="15" t="inlineStr">
        <is>
          <t>Desmontables porque el plan de limpieza del APPCC exige limpiar la cámara por dentro. Sin importe tasado en la guía: pide presupuesto y escríbelo aquí (la celda es editable y el TOTAL se recalcula).</t>
        </is>
      </c>
      <c r="I72" s="18" t="inlineStr">
        <is>
          <t>Sí</t>
        </is>
      </c>
    </row>
    <row r="73">
      <c r="A73" s="4" t="n">
        <v>69</v>
      </c>
      <c r="B73" s="5" t="inlineStr">
        <is>
          <t>Almacenamiento</t>
        </is>
      </c>
      <c r="C73" s="5" t="inlineStr">
        <is>
          <t>Impresora de etiquetas de trazabilidad y consumibles</t>
        </is>
      </c>
      <c r="D73" s="15" t="inlineStr">
        <is>
          <t>Resp. APPCC</t>
        </is>
      </c>
      <c r="E73" s="16" t="n"/>
      <c r="F73" s="15" t="inlineStr">
        <is>
          <t>Pendiente</t>
        </is>
      </c>
      <c r="G73" s="17" t="n"/>
      <c r="H73" s="15" t="inlineStr">
        <is>
          <t>Es lo que hace posible el «etiquetado de productos con fecha y lote» del APPCC. Sin importe tasado en la guía: pide presupuesto y escríbelo aquí (la celda es editable y el TOTAL se recalcula).</t>
        </is>
      </c>
      <c r="I73" s="18" t="inlineStr">
        <is>
          <t>Sí</t>
        </is>
      </c>
    </row>
    <row r="74">
      <c r="A74" s="4" t="n">
        <v>70</v>
      </c>
      <c r="B74" s="5" t="inlineStr">
        <is>
          <t>Almacenamiento</t>
        </is>
      </c>
      <c r="C74" s="5" t="inlineStr">
        <is>
          <t>Báscula de recepción de mercancía (hasta 60 kg)</t>
        </is>
      </c>
      <c r="D74" s="15" t="inlineStr">
        <is>
          <t>Resp. compras</t>
        </is>
      </c>
      <c r="E74" s="16" t="n"/>
      <c r="F74" s="15" t="inlineStr">
        <is>
          <t>Pendiente</t>
        </is>
      </c>
      <c r="G74" s="17" t="n"/>
      <c r="H74" s="15" t="inlineStr">
        <is>
          <t>Sin importe tasado en la guía: pide presupuesto y escríbelo aquí (la celda es editable y el TOTAL se recalcula).</t>
        </is>
      </c>
      <c r="I74" s="18" t="inlineStr">
        <is>
          <t>Sí</t>
        </is>
      </c>
    </row>
    <row r="75">
      <c r="A75" s="4" t="n">
        <v>71</v>
      </c>
      <c r="B75" s="5" t="inlineStr">
        <is>
          <t>Plonge/Lavado</t>
        </is>
      </c>
      <c r="C75" s="5" t="inlineStr">
        <is>
          <t>Lavavajillas de capota 50×50</t>
        </is>
      </c>
      <c r="D75" s="15" t="inlineStr">
        <is>
          <t>Responsable</t>
        </is>
      </c>
      <c r="E75" s="16" t="n"/>
      <c r="F75" s="15" t="inlineStr">
        <is>
          <t>Pendiente</t>
        </is>
      </c>
      <c r="G75" s="17" t="n">
        <v>3500</v>
      </c>
      <c r="H75" s="15" t="inlineStr">
        <is>
          <t>Elige UNA de las dos: capota o túnel de lavado (línea nueva del bloque Plonge/Lavado). Con menú degustación y maridaje —300‑600 copas por servicio— la capota no da abasto. Si eliges el túnel, pon esta línea a 0.</t>
        </is>
      </c>
      <c r="I75" s="18" t="inlineStr">
        <is>
          <t>Sí</t>
        </is>
      </c>
    </row>
    <row r="76">
      <c r="A76" s="4" t="n">
        <v>72</v>
      </c>
      <c r="B76" s="5" t="inlineStr">
        <is>
          <t>Plonge/Lavado</t>
        </is>
      </c>
      <c r="C76" s="5" t="inlineStr">
        <is>
          <t>Fregadero industrial doble seno</t>
        </is>
      </c>
      <c r="D76" s="15" t="inlineStr">
        <is>
          <t>Responsable</t>
        </is>
      </c>
      <c r="E76" s="16" t="n"/>
      <c r="F76" s="15" t="inlineStr">
        <is>
          <t>Pendiente</t>
        </is>
      </c>
      <c r="G76" s="17" t="n">
        <v>800</v>
      </c>
      <c r="H76" s="15" t="n"/>
      <c r="I76" s="18" t="inlineStr">
        <is>
          <t>Sí</t>
        </is>
      </c>
    </row>
    <row r="77">
      <c r="A77" s="4" t="n">
        <v>73</v>
      </c>
      <c r="B77" s="5" t="inlineStr">
        <is>
          <t>Plonge/Lavado</t>
        </is>
      </c>
      <c r="C77" s="5" t="inlineStr">
        <is>
          <t>Estantería escurrido vajilla</t>
        </is>
      </c>
      <c r="D77" s="15" t="inlineStr">
        <is>
          <t>Responsable</t>
        </is>
      </c>
      <c r="E77" s="16" t="n"/>
      <c r="F77" s="15" t="inlineStr">
        <is>
          <t>Pendiente</t>
        </is>
      </c>
      <c r="G77" s="17" t="n">
        <v>400</v>
      </c>
      <c r="H77" s="15" t="n"/>
      <c r="I77" s="18" t="inlineStr">
        <is>
          <t>Sí</t>
        </is>
      </c>
    </row>
    <row r="78">
      <c r="A78" s="4" t="n">
        <v>74</v>
      </c>
      <c r="B78" s="5" t="inlineStr">
        <is>
          <t>Plonge/Lavado</t>
        </is>
      </c>
      <c r="C78" s="5" t="inlineStr">
        <is>
          <t>Contenedores reciclaje separado</t>
        </is>
      </c>
      <c r="D78" s="15" t="inlineStr">
        <is>
          <t>Responsable</t>
        </is>
      </c>
      <c r="E78" s="16" t="n"/>
      <c r="F78" s="15" t="inlineStr">
        <is>
          <t>Pendiente</t>
        </is>
      </c>
      <c r="G78" s="17" t="n">
        <v>200</v>
      </c>
      <c r="H78" s="15" t="n"/>
      <c r="I78" s="18" t="inlineStr">
        <is>
          <t>Sí</t>
        </is>
      </c>
    </row>
    <row r="79">
      <c r="A79" s="4" t="n">
        <v>75</v>
      </c>
      <c r="B79" s="5" t="inlineStr">
        <is>
          <t>Plonge/Lavado</t>
        </is>
      </c>
      <c r="C79" s="5" t="inlineStr">
        <is>
          <t>Túnel de lavado con mesas de entrada y salida (ALTERNATIVA a la capota)</t>
        </is>
      </c>
      <c r="D79" s="15" t="inlineStr">
        <is>
          <t>Instalador</t>
        </is>
      </c>
      <c r="E79" s="16" t="n"/>
      <c r="F79" s="15" t="inlineStr">
        <is>
          <t>Pendiente</t>
        </is>
      </c>
      <c r="G79" s="17" t="n"/>
      <c r="H79" s="15" t="inlineStr">
        <is>
          <t>Rango medido 12.000‑25.000 €. Va SIN importe a propósito: es una alternativa al lavavajillas de capota, no una partida adicional. Elige una de las dos y pon la otra a 0, o el presupuesto contará dos veces el mismo lavado.</t>
        </is>
      </c>
      <c r="I79" s="18" t="inlineStr">
        <is>
          <t>No</t>
        </is>
      </c>
    </row>
    <row r="80">
      <c r="A80" s="4" t="n">
        <v>76</v>
      </c>
      <c r="B80" s="5" t="inlineStr">
        <is>
          <t>Plonge/Lavado</t>
        </is>
      </c>
      <c r="C80" s="5" t="inlineStr">
        <is>
          <t>Lavavasos independiente para la cristalería de maridaje</t>
        </is>
      </c>
      <c r="D80" s="15" t="inlineStr">
        <is>
          <t>Responsable</t>
        </is>
      </c>
      <c r="E80" s="16" t="n"/>
      <c r="F80" s="15" t="inlineStr">
        <is>
          <t>Pendiente</t>
        </is>
      </c>
      <c r="G80" s="17" t="n"/>
      <c r="H80" s="15" t="inlineStr">
        <is>
          <t>Sin importe tasado en la guía: pide presupuesto y escríbelo aquí (la celda es editable y el TOTAL se recalcula).</t>
        </is>
      </c>
      <c r="I80" s="18" t="inlineStr">
        <is>
          <t>Sí</t>
        </is>
      </c>
    </row>
    <row r="81">
      <c r="A81" s="4" t="n">
        <v>77</v>
      </c>
      <c r="B81" s="5" t="inlineStr">
        <is>
          <t>Plonge/Lavado</t>
        </is>
      </c>
      <c r="C81" s="5" t="inlineStr">
        <is>
          <t>Descalcificador y tratamiento de agua para el lavado</t>
        </is>
      </c>
      <c r="D81" s="15" t="inlineStr">
        <is>
          <t>Instalador</t>
        </is>
      </c>
      <c r="E81" s="16" t="n"/>
      <c r="F81" s="15" t="inlineStr">
        <is>
          <t>Pendiente</t>
        </is>
      </c>
      <c r="G81" s="17" t="n"/>
      <c r="H81" s="15" t="inlineStr">
        <is>
          <t>Sin él, la cristalería de maridaje sale velada. Sin importe tasado en la guía: pide presupuesto y escríbelo aquí (la celda es editable y el TOTAL se recalcula).</t>
        </is>
      </c>
      <c r="I81" s="18" t="inlineStr">
        <is>
          <t>Sí</t>
        </is>
      </c>
    </row>
    <row r="82">
      <c r="A82" s="4" t="n">
        <v>78</v>
      </c>
      <c r="B82" s="5" t="inlineStr">
        <is>
          <t>Tecnología</t>
        </is>
      </c>
      <c r="C82" s="5" t="inlineStr">
        <is>
          <t>TPV principal (hardware + software)</t>
        </is>
      </c>
      <c r="D82" s="15" t="inlineStr">
        <is>
          <t>Gerente</t>
        </is>
      </c>
      <c r="E82" s="16" t="n"/>
      <c r="F82" s="15" t="inlineStr">
        <is>
          <t>Pendiente</t>
        </is>
      </c>
      <c r="G82" s="17" t="n">
        <v>3000</v>
      </c>
      <c r="H82" s="15" t="n"/>
      <c r="I82" s="18" t="inlineStr">
        <is>
          <t>Sí</t>
        </is>
      </c>
    </row>
    <row r="83">
      <c r="A83" s="4" t="n">
        <v>79</v>
      </c>
      <c r="B83" s="5" t="inlineStr">
        <is>
          <t>Tecnología</t>
        </is>
      </c>
      <c r="C83" s="5" t="inlineStr">
        <is>
          <t>TPV auxiliar sala</t>
        </is>
      </c>
      <c r="D83" s="15" t="inlineStr">
        <is>
          <t>Gerente</t>
        </is>
      </c>
      <c r="E83" s="16" t="n"/>
      <c r="F83" s="15" t="inlineStr">
        <is>
          <t>Pendiente</t>
        </is>
      </c>
      <c r="G83" s="17" t="n">
        <v>1500</v>
      </c>
      <c r="H83" s="15" t="n"/>
      <c r="I83" s="18" t="inlineStr">
        <is>
          <t>Sí</t>
        </is>
      </c>
    </row>
    <row r="84">
      <c r="A84" s="4" t="n">
        <v>80</v>
      </c>
      <c r="B84" s="5" t="inlineStr">
        <is>
          <t>Tecnología</t>
        </is>
      </c>
      <c r="C84" s="5" t="inlineStr">
        <is>
          <t>Impresora de comandas cocina (×2)</t>
        </is>
      </c>
      <c r="D84" s="15" t="inlineStr">
        <is>
          <t>Gerente</t>
        </is>
      </c>
      <c r="E84" s="16" t="n"/>
      <c r="F84" s="15" t="inlineStr">
        <is>
          <t>Pendiente</t>
        </is>
      </c>
      <c r="G84" s="17" t="n">
        <v>600</v>
      </c>
      <c r="H84" s="15" t="n"/>
      <c r="I84" s="18" t="inlineStr">
        <is>
          <t>Sí</t>
        </is>
      </c>
    </row>
    <row r="85">
      <c r="A85" s="4" t="n">
        <v>81</v>
      </c>
      <c r="B85" s="5" t="inlineStr">
        <is>
          <t>Tecnología</t>
        </is>
      </c>
      <c r="C85" s="5" t="inlineStr">
        <is>
          <t>Tablet para reservas/hostess</t>
        </is>
      </c>
      <c r="D85" s="15" t="inlineStr">
        <is>
          <t>Gerente</t>
        </is>
      </c>
      <c r="E85" s="16" t="n"/>
      <c r="F85" s="15" t="inlineStr">
        <is>
          <t>Pendiente</t>
        </is>
      </c>
      <c r="G85" s="17" t="n">
        <v>500</v>
      </c>
      <c r="H85" s="15" t="n"/>
      <c r="I85" s="18" t="inlineStr">
        <is>
          <t>Sí</t>
        </is>
      </c>
    </row>
    <row r="86">
      <c r="A86" s="4" t="n">
        <v>82</v>
      </c>
      <c r="B86" s="5" t="inlineStr">
        <is>
          <t>Tecnología</t>
        </is>
      </c>
      <c r="C86" s="5" t="inlineStr">
        <is>
          <t>Red WiFi profesional</t>
        </is>
      </c>
      <c r="D86" s="15" t="inlineStr">
        <is>
          <t>Instalador</t>
        </is>
      </c>
      <c r="E86" s="16" t="n"/>
      <c r="F86" s="15" t="inlineStr">
        <is>
          <t>Pendiente</t>
        </is>
      </c>
      <c r="G86" s="17" t="n">
        <v>800</v>
      </c>
      <c r="H86" s="15" t="n"/>
      <c r="I86" s="18" t="inlineStr">
        <is>
          <t>Sí</t>
        </is>
      </c>
    </row>
    <row r="87">
      <c r="A87" s="4" t="n">
        <v>83</v>
      </c>
      <c r="B87" s="5" t="inlineStr">
        <is>
          <t>Tecnología</t>
        </is>
      </c>
      <c r="C87" s="5" t="inlineStr">
        <is>
          <t>Sistema de sonido sala</t>
        </is>
      </c>
      <c r="D87" s="15" t="inlineStr">
        <is>
          <t>Interiorista</t>
        </is>
      </c>
      <c r="E87" s="16" t="n"/>
      <c r="F87" s="15" t="inlineStr">
        <is>
          <t>Pendiente</t>
        </is>
      </c>
      <c r="G87" s="17" t="n">
        <v>2000</v>
      </c>
      <c r="H87" s="15" t="n"/>
      <c r="I87" s="18" t="inlineStr">
        <is>
          <t>Sí</t>
        </is>
      </c>
    </row>
    <row r="88">
      <c r="A88" s="4" t="n">
        <v>84</v>
      </c>
      <c r="B88" s="5" t="inlineStr">
        <is>
          <t>Tecnología</t>
        </is>
      </c>
      <c r="C88" s="5" t="inlineStr">
        <is>
          <t>Cámaras de seguridad (CCTV)</t>
        </is>
      </c>
      <c r="D88" s="15" t="inlineStr">
        <is>
          <t>Instalador</t>
        </is>
      </c>
      <c r="E88" s="16" t="n"/>
      <c r="F88" s="15" t="inlineStr">
        <is>
          <t>Pendiente</t>
        </is>
      </c>
      <c r="G88" s="17" t="n">
        <v>1500</v>
      </c>
      <c r="H88" s="15" t="n"/>
      <c r="I88" s="18" t="inlineStr">
        <is>
          <t>Sí</t>
        </is>
      </c>
    </row>
    <row r="89">
      <c r="A89" s="4" t="n">
        <v>85</v>
      </c>
      <c r="B89" s="5" t="inlineStr">
        <is>
          <t>Tecnología</t>
        </is>
      </c>
      <c r="C89" s="5" t="inlineStr">
        <is>
          <t>KDS: pantallas de comandas en cocina</t>
        </is>
      </c>
      <c r="D89" s="15" t="inlineStr">
        <is>
          <t>Gerente</t>
        </is>
      </c>
      <c r="E89" s="16" t="n"/>
      <c r="F89" s="15" t="inlineStr">
        <is>
          <t>Pendiente</t>
        </is>
      </c>
      <c r="G89" s="17" t="n"/>
      <c r="H89" s="15" t="inlineStr">
        <is>
          <t>Sin importe tasado en la guía: pide presupuesto y escríbelo aquí (la celda es editable y el TOTAL se recalcula).</t>
        </is>
      </c>
      <c r="I89" s="18" t="inlineStr">
        <is>
          <t>Sí</t>
        </is>
      </c>
    </row>
    <row r="90">
      <c r="A90" s="4" t="n">
        <v>86</v>
      </c>
      <c r="B90" s="5" t="inlineStr">
        <is>
          <t>Tecnología</t>
        </is>
      </c>
      <c r="C90" s="5" t="inlineStr">
        <is>
          <t>SAI/UPS para TPV, cámaras y comunicaciones</t>
        </is>
      </c>
      <c r="D90" s="15" t="inlineStr">
        <is>
          <t>Instalador</t>
        </is>
      </c>
      <c r="E90" s="16" t="n"/>
      <c r="F90" s="15" t="inlineStr">
        <is>
          <t>Pendiente</t>
        </is>
      </c>
      <c r="G90" s="17" t="n"/>
      <c r="H90" s="15" t="inlineStr">
        <is>
          <t>Sin importe tasado en la guía: pide presupuesto y escríbelo aquí (la celda es editable y el TOTAL se recalcula).</t>
        </is>
      </c>
      <c r="I90" s="18" t="inlineStr">
        <is>
          <t>Sí</t>
        </is>
      </c>
    </row>
    <row r="91">
      <c r="A91" s="4" t="n">
        <v>87</v>
      </c>
      <c r="B91" s="5" t="inlineStr">
        <is>
          <t>Tecnología</t>
        </is>
      </c>
      <c r="C91" s="5" t="inlineStr">
        <is>
          <t>Software de escandallos y APPCC digital</t>
        </is>
      </c>
      <c r="D91" s="15" t="inlineStr">
        <is>
          <t>Gerente</t>
        </is>
      </c>
      <c r="E91" s="16" t="n"/>
      <c r="F91" s="15" t="inlineStr">
        <is>
          <t>Pendiente</t>
        </is>
      </c>
      <c r="G91" s="17" t="n"/>
      <c r="H91" s="15" t="inlineStr">
        <is>
          <t>Sin importe tasado en la guía: pide presupuesto y escríbelo aquí (la celda es editable y el TOTAL se recalcula).</t>
        </is>
      </c>
      <c r="I91" s="18" t="inlineStr">
        <is>
          <t>Sí</t>
        </is>
      </c>
    </row>
    <row r="92">
      <c r="A92" s="4" t="n">
        <v>88</v>
      </c>
      <c r="B92" s="5" t="inlineStr">
        <is>
          <t>Extracción e instalaciones</t>
        </is>
      </c>
      <c r="C92" s="5" t="inlineStr">
        <is>
          <t>Conducto de extracción hasta cubierta + ventilador + silenciador</t>
        </is>
      </c>
      <c r="D92" s="15" t="inlineStr">
        <is>
          <t>Instalador</t>
        </is>
      </c>
      <c r="E92" s="16" t="n"/>
      <c r="F92" s="15" t="inlineStr">
        <is>
          <t>Pendiente</t>
        </is>
      </c>
      <c r="G92" s="17" t="n">
        <v>12000</v>
      </c>
      <c r="H92" s="15" t="inlineStr">
        <is>
          <t>Rango 12.000‑30.000 € según recorrido y altura; va precargado el MÍNIMO. El cap. 5 lo llama «obstáculo técnico número 1» y toda la extracción estaba presupuestada en 2.500 €.</t>
        </is>
      </c>
      <c r="I92" s="18" t="inlineStr">
        <is>
          <t>Sí</t>
        </is>
      </c>
    </row>
    <row r="93">
      <c r="A93" s="4" t="n">
        <v>89</v>
      </c>
      <c r="B93" s="5" t="inlineStr">
        <is>
          <t>Extracción e instalaciones</t>
        </is>
      </c>
      <c r="C93" s="5" t="inlineStr">
        <is>
          <t>Sistema de aportación de aire (compensación)</t>
        </is>
      </c>
      <c r="D93" s="15" t="inlineStr">
        <is>
          <t>Instalador</t>
        </is>
      </c>
      <c r="E93" s="16" t="n"/>
      <c r="F93" s="15" t="inlineStr">
        <is>
          <t>Pendiente</t>
        </is>
      </c>
      <c r="G93" s="17" t="n">
        <v>3000</v>
      </c>
      <c r="H93" s="15" t="inlineStr">
        <is>
          <t>Rango 3.000‑6.000 €; precargado el mínimo. Sin aportación de aire la campana no extrae y la sala se queda en depresión.</t>
        </is>
      </c>
      <c r="I93" s="18" t="inlineStr">
        <is>
          <t>Sí</t>
        </is>
      </c>
    </row>
    <row r="94">
      <c r="A94" s="4" t="n">
        <v>90</v>
      </c>
      <c r="B94" s="5" t="inlineStr">
        <is>
          <t>Extracción e instalaciones</t>
        </is>
      </c>
      <c r="C94" s="5" t="inlineStr">
        <is>
          <t>Sistema automático de extinción en campana (CTE DB‑SI y aseguradora)</t>
        </is>
      </c>
      <c r="D94" s="15" t="inlineStr">
        <is>
          <t>Instalador</t>
        </is>
      </c>
      <c r="E94" s="16" t="n"/>
      <c r="F94" s="15" t="inlineStr">
        <is>
          <t>Pendiente</t>
        </is>
      </c>
      <c r="G94" s="17" t="n">
        <v>2500</v>
      </c>
      <c r="H94" s="15" t="inlineStr">
        <is>
          <t>Rango 2.500‑4.000 €; precargado el mínimo. Con freidora es exigible, y la aseguradora lo pide para emitir la póliza. La cadena «extinción» no aparecía en ningún fichero de la familia.</t>
        </is>
      </c>
      <c r="I94" s="18" t="inlineStr">
        <is>
          <t>Sí</t>
        </is>
      </c>
    </row>
    <row r="95">
      <c r="A95" s="4" t="n">
        <v>91</v>
      </c>
      <c r="B95" s="5" t="inlineStr">
        <is>
          <t>Extracción e instalaciones</t>
        </is>
      </c>
      <c r="C95" s="5" t="inlineStr">
        <is>
          <t>Instalación, transporte y puesta en marcha (% sobre el equipamiento)</t>
        </is>
      </c>
      <c r="D95" s="15" t="inlineStr">
        <is>
          <t>Instalador</t>
        </is>
      </c>
      <c r="E95" s="16" t="n"/>
      <c r="F95" s="15" t="inlineStr">
        <is>
          <t>Pendiente</t>
        </is>
      </c>
      <c r="G95" s="19">
        <f>IFERROR(ROUND((SUMIFS($G$5:$G$94,$B$5:$B$94,"&lt;&gt;Extracción e instalaciones",$B$5:$B$94,"&lt;&gt;Tecnología"))*Instrucciones!$B$11,2),"")</f>
        <v>14360.4</v>
      </c>
      <c r="H95" s="15" t="inlineStr">
        <is>
          <t>CALCULADO: es el porcentaje de la hoja «Instrucciones» aplicado a la suma del resto de partidas de este checklist. No hace falta que lo escribas: cambia solo cuando cambias el equipamiento.</t>
        </is>
      </c>
      <c r="I95" s="18" t="inlineStr">
        <is>
          <t>Sí</t>
        </is>
      </c>
    </row>
    <row r="96">
      <c r="E96" s="20" t="n"/>
      <c r="G96" s="21" t="n"/>
    </row>
    <row r="97">
      <c r="A97" s="22" t="inlineStr">
        <is>
          <t>RESUMEN — lo calcula el libro (v2.0)</t>
        </is>
      </c>
      <c r="B97" s="23" t="n"/>
      <c r="C97" s="23" t="n"/>
      <c r="D97" s="23" t="n"/>
      <c r="E97" s="23" t="n"/>
      <c r="F97" s="23" t="n"/>
      <c r="G97" s="23" t="n"/>
      <c r="H97" s="23" t="n"/>
      <c r="I97" s="23" t="n"/>
    </row>
    <row r="98">
      <c r="A98" s="22" t="inlineStr">
        <is>
          <t>TOTAL PRESUPUESTADO (€)</t>
        </is>
      </c>
      <c r="B98" s="23" t="n"/>
      <c r="C98" s="23" t="n"/>
      <c r="D98" s="23" t="n"/>
      <c r="E98" s="23" t="n"/>
      <c r="F98" s="23" t="n"/>
      <c r="G98" s="27">
        <f>SUMIF($I$5:$I$95,"Sí",$G$5:$G$95)</f>
        <v>161430.4</v>
      </c>
      <c r="H98" s="23" t="n"/>
      <c r="I98" s="23" t="n"/>
    </row>
    <row r="99">
      <c r="A99" s="22" t="inlineStr">
        <is>
          <t>Partidas SIN importe (a presupuestar)</t>
        </is>
      </c>
      <c r="B99" s="23" t="n"/>
      <c r="C99" s="23" t="n"/>
      <c r="D99" s="23" t="n"/>
      <c r="E99" s="23" t="n"/>
      <c r="F99" s="23" t="n"/>
      <c r="G99" s="28">
        <f>COUNTIF(B5:B95,"&lt;&gt;")-COUNT(G5:G95)</f>
        <v>32.0</v>
      </c>
      <c r="H99" s="23" t="inlineStr">
        <is>
          <t>El TOTAL de arriba es un SUELO: no incluye estas partidas, que van a presupuestar.</t>
        </is>
      </c>
      <c r="I99" s="23" t="n"/>
    </row>
    <row r="100">
      <c r="A100" s="22" t="inlineStr">
        <is>
          <t>Avance del checklist (% completado)</t>
        </is>
      </c>
      <c r="B100" s="23" t="n"/>
      <c r="C100" s="23" t="n"/>
      <c r="D100" s="23" t="n"/>
      <c r="E100" s="23" t="n"/>
      <c r="F100" s="29">
        <f>IFERROR(COUNTIF(F5:F95,"Completado")/COUNTIF(F5:F95,"&lt;&gt;"),"")</f>
        <v>0.0</v>
      </c>
      <c r="G100" s="23" t="inlineStr">
        <is>
          <t>Estado terminal de este checklist: «Completado»</t>
        </is>
      </c>
      <c r="H100" s="23" t="n"/>
      <c r="I100" s="23" t="n"/>
    </row>
    <row r="101">
      <c r="A101" s="23" t="n"/>
      <c r="B101" s="23" t="n"/>
      <c r="C101" s="23" t="n"/>
      <c r="D101" s="23" t="n"/>
      <c r="E101" s="23" t="n"/>
      <c r="F101" s="23" t="n"/>
      <c r="G101" s="23" t="n"/>
      <c r="H101" s="23" t="n"/>
      <c r="I101" s="23" t="n"/>
    </row>
    <row r="102">
      <c r="A102" s="22" t="inlineStr">
        <is>
          <t>SUBTOTALES POR CATEGORÍA</t>
        </is>
      </c>
      <c r="B102" s="23" t="n"/>
      <c r="C102" s="23" t="n"/>
      <c r="D102" s="23" t="n"/>
      <c r="E102" s="23" t="n"/>
      <c r="F102" s="23" t="n"/>
      <c r="G102" s="23" t="n"/>
      <c r="H102" s="23" t="n"/>
      <c r="I102" s="23" t="n"/>
    </row>
    <row r="103">
      <c r="A103" s="23" t="inlineStr">
        <is>
          <t>Cuarto Frío</t>
        </is>
      </c>
      <c r="B103" s="23" t="n"/>
      <c r="C103" s="23" t="n"/>
      <c r="D103" s="23" t="n"/>
      <c r="E103" s="23" t="n"/>
      <c r="F103" s="23" t="n"/>
      <c r="G103" s="30">
        <f>SUMIFS($G$5:$G$95,$B$5:$B$95,$A103,$I$5:$I$95,"Sí")</f>
        <v>15850.0</v>
      </c>
      <c r="H103" s="23" t="n"/>
      <c r="I103" s="23" t="n"/>
    </row>
    <row r="104">
      <c r="A104" s="23" t="inlineStr">
        <is>
          <t>Partida Carnes</t>
        </is>
      </c>
      <c r="B104" s="23" t="n"/>
      <c r="C104" s="23" t="n"/>
      <c r="D104" s="23" t="n"/>
      <c r="E104" s="23" t="n"/>
      <c r="F104" s="23" t="n"/>
      <c r="G104" s="30">
        <f>SUMIFS($G$5:$G$95,$B$5:$B$95,$A104,$I$5:$I$95,"Sí")</f>
        <v>18080.0</v>
      </c>
      <c r="H104" s="23" t="n"/>
      <c r="I104" s="23" t="n"/>
    </row>
    <row r="105">
      <c r="A105" s="23" t="inlineStr">
        <is>
          <t>Partida Pescados</t>
        </is>
      </c>
      <c r="B105" s="23" t="n"/>
      <c r="C105" s="23" t="n"/>
      <c r="D105" s="23" t="n"/>
      <c r="E105" s="23" t="n"/>
      <c r="F105" s="23" t="n"/>
      <c r="G105" s="30">
        <f>SUMIFS($G$5:$G$95,$B$5:$B$95,$A105,$I$5:$I$95,"Sí")</f>
        <v>2890.0</v>
      </c>
      <c r="H105" s="23" t="n"/>
      <c r="I105" s="23" t="n"/>
    </row>
    <row r="106">
      <c r="A106" s="23" t="inlineStr">
        <is>
          <t>Cocina Caliente</t>
        </is>
      </c>
      <c r="B106" s="23" t="n"/>
      <c r="C106" s="23" t="n"/>
      <c r="D106" s="23" t="n"/>
      <c r="E106" s="23" t="n"/>
      <c r="F106" s="23" t="n"/>
      <c r="G106" s="30">
        <f>SUMIFS($G$5:$G$95,$B$5:$B$95,$A106,$I$5:$I$95,"Sí")</f>
        <v>36100.0</v>
      </c>
      <c r="H106" s="23" t="n"/>
      <c r="I106" s="23" t="n"/>
    </row>
    <row r="107">
      <c r="A107" s="23" t="inlineStr">
        <is>
          <t>Pastelería/Obrador</t>
        </is>
      </c>
      <c r="B107" s="23" t="n"/>
      <c r="C107" s="23" t="n"/>
      <c r="D107" s="23" t="n"/>
      <c r="E107" s="23" t="n"/>
      <c r="F107" s="23" t="n"/>
      <c r="G107" s="30">
        <f>SUMIFS($G$5:$G$95,$B$5:$B$95,$A107,$I$5:$I$95,"Sí")</f>
        <v>19000.0</v>
      </c>
      <c r="H107" s="23" t="n"/>
      <c r="I107" s="23" t="n"/>
    </row>
    <row r="108">
      <c r="A108" s="23" t="inlineStr">
        <is>
          <t>Pase/Expedición</t>
        </is>
      </c>
      <c r="B108" s="23" t="n"/>
      <c r="C108" s="23" t="n"/>
      <c r="D108" s="23" t="n"/>
      <c r="E108" s="23" t="n"/>
      <c r="F108" s="23" t="n"/>
      <c r="G108" s="30">
        <f>SUMIFS($G$5:$G$95,$B$5:$B$95,$A108,$I$5:$I$95,"Sí")</f>
        <v>6850.0</v>
      </c>
      <c r="H108" s="23" t="n"/>
      <c r="I108" s="23" t="n"/>
    </row>
    <row r="109">
      <c r="A109" s="23" t="inlineStr">
        <is>
          <t>Almacenamiento</t>
        </is>
      </c>
      <c r="B109" s="23" t="n"/>
      <c r="C109" s="23" t="n"/>
      <c r="D109" s="23" t="n"/>
      <c r="E109" s="23" t="n"/>
      <c r="F109" s="23" t="n"/>
      <c r="G109" s="30">
        <f>SUMIFS($G$5:$G$95,$B$5:$B$95,$A109,$I$5:$I$95,"Sí")</f>
        <v>16000.0</v>
      </c>
      <c r="H109" s="23" t="n"/>
      <c r="I109" s="23" t="n"/>
    </row>
    <row r="110">
      <c r="A110" s="23" t="inlineStr">
        <is>
          <t>Plonge/Lavado</t>
        </is>
      </c>
      <c r="B110" s="23" t="n"/>
      <c r="C110" s="23" t="n"/>
      <c r="D110" s="23" t="n"/>
      <c r="E110" s="23" t="n"/>
      <c r="F110" s="23" t="n"/>
      <c r="G110" s="30">
        <f>SUMIFS($G$5:$G$95,$B$5:$B$95,$A110,$I$5:$I$95,"Sí")</f>
        <v>4900.0</v>
      </c>
      <c r="H110" s="23" t="n"/>
      <c r="I110" s="23" t="n"/>
    </row>
    <row r="111">
      <c r="A111" s="23" t="inlineStr">
        <is>
          <t>Tecnología</t>
        </is>
      </c>
      <c r="B111" s="23" t="n"/>
      <c r="C111" s="23" t="n"/>
      <c r="D111" s="23" t="n"/>
      <c r="E111" s="23" t="n"/>
      <c r="F111" s="23" t="n"/>
      <c r="G111" s="30">
        <f>SUMIFS($G$5:$G$95,$B$5:$B$95,$A111,$I$5:$I$95,"Sí")</f>
        <v>9900.0</v>
      </c>
      <c r="H111" s="23" t="n"/>
      <c r="I111" s="23" t="n"/>
    </row>
    <row r="112">
      <c r="A112" s="23" t="inlineStr">
        <is>
          <t>Extracción e instalaciones</t>
        </is>
      </c>
      <c r="B112" s="23" t="n"/>
      <c r="C112" s="23" t="n"/>
      <c r="D112" s="23" t="n"/>
      <c r="E112" s="23" t="n"/>
      <c r="F112" s="23" t="n"/>
      <c r="G112" s="30">
        <f>SUMIFS($G$5:$G$95,$B$5:$B$95,$A112,$I$5:$I$95,"Sí")</f>
        <v>31860.4</v>
      </c>
      <c r="H112" s="23" t="n"/>
      <c r="I112" s="23" t="n"/>
    </row>
    <row r="113">
      <c r="A113" s="23" t="n"/>
      <c r="B113" s="23" t="n"/>
      <c r="C113" s="23" t="n"/>
      <c r="D113" s="23" t="n"/>
      <c r="E113" s="23" t="n"/>
      <c r="F113" s="23" t="n"/>
      <c r="G113" s="23" t="n"/>
      <c r="H113" s="23" t="n"/>
      <c r="I113" s="23" t="n"/>
    </row>
    <row r="114">
      <c r="A114" s="23" t="inlineStr">
        <is>
          <t>AI Chef Pro · aichef.pro — Restaurante Gastronómico</t>
        </is>
      </c>
    </row>
  </sheetData>
  <sheetProtection selectLockedCells="0" selectUnlockedCells="0" sheet="1" objects="0" insertRows="0" insertHyperlinks="1" autoFilter="1" scenarios="0" formatColumns="0" deleteColumns="1" insertColumns="1" pivotTables="1" deleteRows="1" formatCells="1" formatRows="0" sort="0"/>
  <autoFilter ref="A4:H4"/>
  <mergeCells count="3">
    <mergeCell ref="A2:H2"/>
    <mergeCell ref="A114:I114"/>
    <mergeCell ref="A1:H1"/>
  </mergeCells>
  <conditionalFormatting sqref="I5:I95">
    <cfRule type="cellIs" priority="5" operator="equal" dxfId="0" stopIfTrue="1">
      <formula>"Sí"</formula>
    </cfRule>
    <cfRule type="cellIs" priority="6" operator="equal" dxfId="1" stopIfTrue="1">
      <formula>"No"</formula>
    </cfRule>
  </conditionalFormatting>
  <conditionalFormatting sqref="F5:F95">
    <cfRule type="cellIs" priority="4" operator="equal" dxfId="0" stopIfTrue="1">
      <formula>"Completado"</formula>
    </cfRule>
    <cfRule type="cellIs" priority="5" operator="equal" dxfId="1" stopIfTrue="1">
      <formula>"En Curso"</formula>
    </cfRule>
    <cfRule type="cellIs" priority="6" operator="equal" dxfId="2" stopIfTrue="1">
      <formula>"Pendiente"</formula>
    </cfRule>
  </conditionalFormatting>
  <conditionalFormatting sqref="G99">
    <cfRule type="expression" priority="6" dxfId="1" stopIfTrue="1">
      <formula>=AND(ISNUMBER(G99),G99&gt;0)</formula>
    </cfRule>
  </conditionalFormatting>
  <dataValidations count="4">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showDropDown="0" showInputMessage="0" showErrorMessage="1" allowBlank="1" errorTitle="Incluir en el total" error="Escribe «Sí» o «No». Las líneas marcadas «No» no suman en el TOTAL ni en los subtotales: son la opción que NO has elegido." type="list">
      <formula1>"Sí,No"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showDropDown="0" showInputMessage="0" showErrorMessage="1" allowBlank="1" errorTitle="Fecha no válida" error="Escribe una fecha (dd/mm/aaaa) entre 2020 y 2040." type="date" operator="between">
      <formula1>DATE(2020,1,1)</formula1>
      <formula2>DATE(2040,12,31)</formula2>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showDropDown="0" showInputMessage="0" showErrorMessage="1" allowBlank="1" errorTitle="Valor no válido" error="Elige un valor de la lista: Pendiente, En Curso, Completado" type="list">
      <formula1>"Pendiente,En Curso,Completado"</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Equipamiento Cocina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2026-04-05T22:25:50Z</dcterms:created>
  <dcterms:modified xmlns:dcterms="http://purl.org/dc/terms/" xmlns:xsi="http://www.w3.org/2001/XMLSchema-instance" xsi:type="dcterms:W3CDTF">2026-08-31T21:10:10Z</dcterms:modified>
  <cp:lastModifiedBy>AI Chef Pro</cp:lastModifiedBy>
  <cp:category>AI Chef Pro · Productos digitales</cp:category>
  <cp:keywords>guia restaurante gastronomico, AI Chef Pro</cp:keywords>
</cp:coreProperties>
</file>