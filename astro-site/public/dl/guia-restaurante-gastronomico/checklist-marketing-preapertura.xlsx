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Marketing Pre-Apertura" sheetId="2" state="visible" r:id="rId2"/>
  </sheets>
  <definedNames>
    <definedName name="_xlnm._FilterDatabase" localSheetId="1" hidden="1">'Marketing Pre-Apertura'!$A$4:$H$4</definedName>
    <definedName name="_xlnm.Print_Titles" localSheetId="1">'Marketing Pre-Apertura'!$4:$4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0" fontId="6" fillId="0" borderId="0" pivotButton="0" quotePrefix="0" xfId="0"/>
    <xf numFmtId="164" fontId="6" fillId="0" borderId="0" pivotButton="0" quotePrefix="0" xfId="0"/>
    <xf numFmtId="3" fontId="6" fillId="0" borderId="0" pivotButton="0" quotePrefix="0" xfId="0"/>
    <xf numFmtId="166" fontId="6" fillId="0" borderId="0" pivotButton="0" quotePrefix="0" xfId="0"/>
    <xf numFmtId="164" fontId="10" fillId="0" borderId="0" pivotButton="0" quotePrefix="0" xfId="0"/>
    <xf numFmtId="3" fontId="10" fillId="0" borderId="0" pivotButton="0" quotePrefix="0" xfId="0"/>
    <xf numFmtId="166"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2"/>
  <sheetViews>
    <sheetView workbookViewId="0">
      <selection activeCell="A1" sqref="A1"/>
    </sheetView>
  </sheetViews>
  <sheetFormatPr baseColWidth="8" defaultRowHeight="15"/>
  <cols>
    <col width="80" customWidth="1" min="1" max="1"/>
  </cols>
  <sheetData>
    <row r="1">
      <c r="A1" s="9" t="inlineStr">
        <is>
          <t>Checklist Marketing Pre-Apertura</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Para editar la estructura o una celda que no esté en verde: Revisar → Desproteger hoja (no tiene contraseña).</t>
        </is>
      </c>
    </row>
    <row r="11">
      <c r="A11" s="11" t="inlineStr">
        <is>
          <t>Diseñado por John Guerrero — chef y consultor gastronómico desde 2010, en cocina desde los 17 años · johnguerrero.es</t>
        </is>
      </c>
    </row>
    <row r="12">
      <c r="A12"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56"/>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Marketing Pre-Apertura</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Identidad</t>
        </is>
      </c>
      <c r="C5" s="5" t="inlineStr">
        <is>
          <t>Nombre del restaurante y registro de marca</t>
        </is>
      </c>
      <c r="D5" s="12" t="inlineStr">
        <is>
          <t>Propietario</t>
        </is>
      </c>
      <c r="E5" s="13" t="n"/>
      <c r="F5" s="12" t="inlineStr">
        <is>
          <t>Pendiente</t>
        </is>
      </c>
      <c r="G5" s="14" t="n">
        <v>300</v>
      </c>
      <c r="H5" s="12" t="n"/>
    </row>
    <row r="6">
      <c r="A6" s="4" t="n">
        <v>2</v>
      </c>
      <c r="B6" s="5" t="inlineStr">
        <is>
          <t>Identidad</t>
        </is>
      </c>
      <c r="C6" s="5" t="inlineStr">
        <is>
          <t>Diseño de logo y branding profesional</t>
        </is>
      </c>
      <c r="D6" s="12" t="inlineStr">
        <is>
          <t>Diseñador</t>
        </is>
      </c>
      <c r="E6" s="13" t="n"/>
      <c r="F6" s="12" t="inlineStr">
        <is>
          <t>Pendiente</t>
        </is>
      </c>
      <c r="G6" s="14" t="n">
        <v>3000</v>
      </c>
      <c r="H6" s="12" t="n"/>
    </row>
    <row r="7">
      <c r="A7" s="4" t="n">
        <v>3</v>
      </c>
      <c r="B7" s="5" t="inlineStr">
        <is>
          <t>Identidad</t>
        </is>
      </c>
      <c r="C7" s="5" t="inlineStr">
        <is>
          <t>Línea gráfica: carta, tarjetas, uniformes, señalética</t>
        </is>
      </c>
      <c r="D7" s="12" t="inlineStr">
        <is>
          <t>Diseñador</t>
        </is>
      </c>
      <c r="E7" s="13" t="n"/>
      <c r="F7" s="12" t="inlineStr">
        <is>
          <t>Pendiente</t>
        </is>
      </c>
      <c r="G7" s="14" t="n">
        <v>2000</v>
      </c>
      <c r="H7" s="12" t="n"/>
    </row>
    <row r="8">
      <c r="A8" s="4" t="n">
        <v>4</v>
      </c>
      <c r="B8" s="5" t="inlineStr">
        <is>
          <t>Identidad</t>
        </is>
      </c>
      <c r="C8" s="5" t="inlineStr">
        <is>
          <t>Historia/narrativa del chef y del restaurante</t>
        </is>
      </c>
      <c r="D8" s="12" t="inlineStr">
        <is>
          <t>Chef + Marketing</t>
        </is>
      </c>
      <c r="E8" s="13" t="n"/>
      <c r="F8" s="12" t="inlineStr">
        <is>
          <t>Pendiente</t>
        </is>
      </c>
      <c r="G8" s="14" t="n">
        <v>0</v>
      </c>
      <c r="H8" s="12" t="n"/>
    </row>
    <row r="9">
      <c r="A9" s="4" t="n">
        <v>5</v>
      </c>
      <c r="B9" s="5" t="inlineStr">
        <is>
          <t>Digital</t>
        </is>
      </c>
      <c r="C9" s="5" t="inlineStr">
        <is>
          <t>Web propia optimizada SEO (restaurante + ciudad)</t>
        </is>
      </c>
      <c r="D9" s="12" t="inlineStr">
        <is>
          <t>Agencia web</t>
        </is>
      </c>
      <c r="E9" s="13" t="n"/>
      <c r="F9" s="12" t="inlineStr">
        <is>
          <t>Pendiente</t>
        </is>
      </c>
      <c r="G9" s="14" t="n">
        <v>4000</v>
      </c>
      <c r="H9" s="12" t="n"/>
    </row>
    <row r="10">
      <c r="A10" s="4" t="n">
        <v>6</v>
      </c>
      <c r="B10" s="5" t="inlineStr">
        <is>
          <t>Digital</t>
        </is>
      </c>
      <c r="C10" s="5" t="inlineStr">
        <is>
          <t>Perfil Google My Business completo y verificado</t>
        </is>
      </c>
      <c r="D10" s="12" t="inlineStr">
        <is>
          <t>Marketing</t>
        </is>
      </c>
      <c r="E10" s="13" t="n"/>
      <c r="F10" s="12" t="inlineStr">
        <is>
          <t>Pendiente</t>
        </is>
      </c>
      <c r="G10" s="14" t="n">
        <v>0</v>
      </c>
      <c r="H10" s="12" t="n"/>
    </row>
    <row r="11">
      <c r="A11" s="4" t="n">
        <v>7</v>
      </c>
      <c r="B11" s="5" t="inlineStr">
        <is>
          <t>Digital</t>
        </is>
      </c>
      <c r="C11" s="5" t="inlineStr">
        <is>
          <t>Instagram: perfil profesional con grid planificado</t>
        </is>
      </c>
      <c r="D11" s="12" t="inlineStr">
        <is>
          <t>Marketing</t>
        </is>
      </c>
      <c r="E11" s="13" t="n"/>
      <c r="F11" s="12" t="inlineStr">
        <is>
          <t>Pendiente</t>
        </is>
      </c>
      <c r="G11" s="14" t="n">
        <v>0</v>
      </c>
      <c r="H11" s="12" t="n"/>
    </row>
    <row r="12">
      <c r="A12" s="4" t="n">
        <v>8</v>
      </c>
      <c r="B12" s="5" t="inlineStr">
        <is>
          <t>Digital</t>
        </is>
      </c>
      <c r="C12" s="5" t="inlineStr">
        <is>
          <t>Sesión de fotos profesional de platos (15‑25 platos)</t>
        </is>
      </c>
      <c r="D12" s="12" t="inlineStr">
        <is>
          <t>Fotógrafo</t>
        </is>
      </c>
      <c r="E12" s="13" t="n"/>
      <c r="F12" s="12" t="inlineStr">
        <is>
          <t>Pendiente</t>
        </is>
      </c>
      <c r="G12" s="14" t="n">
        <v>1500</v>
      </c>
      <c r="H12" s="12" t="inlineStr">
        <is>
          <t>Rango real 1.500‑3.000 € (SPEC §3.4). Va precargado el MÍNIMO: ajústalo con presupuesto. Los 500 € anteriores no compraban fotografía gastronómica profesional y contradecían el propio rango de lanzamiento de 5.000‑30.000 € del libro.</t>
        </is>
      </c>
    </row>
    <row r="13">
      <c r="A13" s="4" t="n">
        <v>9</v>
      </c>
      <c r="B13" s="5" t="inlineStr">
        <is>
          <t>Digital</t>
        </is>
      </c>
      <c r="C13" s="5" t="inlineStr">
        <is>
          <t>Vídeo del restaurante y cocina (60‑90 segundos)</t>
        </is>
      </c>
      <c r="D13" s="12" t="inlineStr">
        <is>
          <t>Videógrafo</t>
        </is>
      </c>
      <c r="E13" s="13" t="n"/>
      <c r="F13" s="12" t="inlineStr">
        <is>
          <t>Pendiente</t>
        </is>
      </c>
      <c r="G13" s="14" t="n">
        <v>1500</v>
      </c>
      <c r="H13" s="12" t="n"/>
    </row>
    <row r="14">
      <c r="A14" s="4" t="n">
        <v>10</v>
      </c>
      <c r="B14" s="5" t="inlineStr">
        <is>
          <t>Digital</t>
        </is>
      </c>
      <c r="C14" s="5" t="inlineStr">
        <is>
          <t>Perfil en TheFork/ElTenedor optimizado</t>
        </is>
      </c>
      <c r="D14" s="12" t="inlineStr">
        <is>
          <t>Maître</t>
        </is>
      </c>
      <c r="E14" s="13" t="n"/>
      <c r="F14" s="12" t="inlineStr">
        <is>
          <t>Pendiente</t>
        </is>
      </c>
      <c r="G14" s="14" t="n">
        <v>0</v>
      </c>
      <c r="H14" s="12" t="n"/>
    </row>
    <row r="15">
      <c r="A15" s="4" t="n">
        <v>11</v>
      </c>
      <c r="B15" s="5" t="inlineStr">
        <is>
          <t>Digital</t>
        </is>
      </c>
      <c r="C15" s="5" t="inlineStr">
        <is>
          <t>Perfil en TripAdvisor reclamado</t>
        </is>
      </c>
      <c r="D15" s="12" t="inlineStr">
        <is>
          <t>Marketing</t>
        </is>
      </c>
      <c r="E15" s="13" t="n"/>
      <c r="F15" s="12" t="inlineStr">
        <is>
          <t>Pendiente</t>
        </is>
      </c>
      <c r="G15" s="14" t="n">
        <v>0</v>
      </c>
      <c r="H15" s="12" t="n"/>
    </row>
    <row r="16">
      <c r="A16" s="4" t="n">
        <v>12</v>
      </c>
      <c r="B16" s="5" t="inlineStr">
        <is>
          <t>Digital</t>
        </is>
      </c>
      <c r="C16" s="5" t="inlineStr">
        <is>
          <t>Sesión de fotos del equipo, la sala y la cocina (no solo platos)</t>
        </is>
      </c>
      <c r="D16" s="12" t="inlineStr">
        <is>
          <t>Fotógrafo</t>
        </is>
      </c>
      <c r="E16" s="13" t="n"/>
      <c r="F16" s="12" t="inlineStr">
        <is>
          <t>Pendiente</t>
        </is>
      </c>
      <c r="G16" s="14" t="n"/>
      <c r="H16" s="12" t="inlineStr">
        <is>
          <t>La prensa gastronómica pide retrato de chef y de sala; sin ellas la nota de prensa sale sin foto. Sin importe tasado en la guía: pide presupuesto y escríbelo aquí (la celda es editable y el TOTAL se recalcula).</t>
        </is>
      </c>
    </row>
    <row r="17">
      <c r="A17" s="4" t="n">
        <v>13</v>
      </c>
      <c r="B17" s="5" t="inlineStr">
        <is>
          <t>Digital</t>
        </is>
      </c>
      <c r="C17" s="5" t="inlineStr">
        <is>
          <t>Página de reservas propia con seguimiento de origen (UTM) y confirmación por email</t>
        </is>
      </c>
      <c r="D17" s="12" t="inlineStr">
        <is>
          <t>Agencia web</t>
        </is>
      </c>
      <c r="E17" s="13" t="n"/>
      <c r="F17" s="12" t="inlineStr">
        <is>
          <t>Pendiente</t>
        </is>
      </c>
      <c r="G17" s="14" t="n"/>
      <c r="H17" s="12" t="inlineStr">
        <is>
          <t>Sin UTM no se sabe qué canal trae reservas y todo el presupuesto de lanzamiento se gasta a ciegas.</t>
        </is>
      </c>
    </row>
    <row r="18">
      <c r="A18" s="4" t="n">
        <v>14</v>
      </c>
      <c r="B18" s="5" t="inlineStr">
        <is>
          <t>PR/Prensa</t>
        </is>
      </c>
      <c r="C18" s="5" t="inlineStr">
        <is>
          <t>Nota de prensa profesional para medios</t>
        </is>
      </c>
      <c r="D18" s="12" t="inlineStr">
        <is>
          <t>Agencia PR</t>
        </is>
      </c>
      <c r="E18" s="13" t="n"/>
      <c r="F18" s="12" t="inlineStr">
        <is>
          <t>Pendiente</t>
        </is>
      </c>
      <c r="G18" s="14" t="n">
        <v>500</v>
      </c>
      <c r="H18" s="12" t="n"/>
    </row>
    <row r="19">
      <c r="A19" s="4" t="n">
        <v>15</v>
      </c>
      <c r="B19" s="5" t="inlineStr">
        <is>
          <t>PR/Prensa</t>
        </is>
      </c>
      <c r="C19" s="5" t="inlineStr">
        <is>
          <t>Envío a medios gastronómicos (El Comidista, Bon Viveur)</t>
        </is>
      </c>
      <c r="D19" s="12" t="inlineStr">
        <is>
          <t>Agencia PR</t>
        </is>
      </c>
      <c r="E19" s="13" t="n"/>
      <c r="F19" s="12" t="inlineStr">
        <is>
          <t>Pendiente</t>
        </is>
      </c>
      <c r="G19" s="14" t="n">
        <v>0</v>
      </c>
      <c r="H19" s="12" t="n"/>
    </row>
    <row r="20">
      <c r="A20" s="4" t="n">
        <v>16</v>
      </c>
      <c r="B20" s="5" t="inlineStr">
        <is>
          <t>PR/Prensa</t>
        </is>
      </c>
      <c r="C20" s="5" t="inlineStr">
        <is>
          <t>Envío a medios locales y regionales</t>
        </is>
      </c>
      <c r="D20" s="12" t="inlineStr">
        <is>
          <t>Agencia PR</t>
        </is>
      </c>
      <c r="E20" s="13" t="n"/>
      <c r="F20" s="12" t="inlineStr">
        <is>
          <t>Pendiente</t>
        </is>
      </c>
      <c r="G20" s="14" t="n">
        <v>0</v>
      </c>
      <c r="H20" s="12" t="n"/>
    </row>
    <row r="21">
      <c r="A21" s="4" t="n">
        <v>17</v>
      </c>
      <c r="B21" s="5" t="inlineStr">
        <is>
          <t>PR/Prensa</t>
        </is>
      </c>
      <c r="C21" s="5" t="inlineStr">
        <is>
          <t>Invitación a 5‑10 periodistas/influencers gastronómicos</t>
        </is>
      </c>
      <c r="D21" s="12" t="inlineStr">
        <is>
          <t>Chef</t>
        </is>
      </c>
      <c r="E21" s="13" t="n"/>
      <c r="F21" s="12" t="inlineStr">
        <is>
          <t>Pendiente</t>
        </is>
      </c>
      <c r="G21" s="14" t="n">
        <v>2000</v>
      </c>
      <c r="H21" s="12" t="n"/>
    </row>
    <row r="22">
      <c r="A22" s="4" t="n">
        <v>18</v>
      </c>
      <c r="B22" s="5" t="inlineStr">
        <is>
          <t>PR/Prensa</t>
        </is>
      </c>
      <c r="C22" s="5" t="inlineStr">
        <is>
          <t>Contratar agencia de comunicación gastronómica</t>
        </is>
      </c>
      <c r="D22" s="12" t="inlineStr">
        <is>
          <t>Propietario</t>
        </is>
      </c>
      <c r="E22" s="13" t="n"/>
      <c r="F22" s="12" t="inlineStr">
        <is>
          <t>Pendiente</t>
        </is>
      </c>
      <c r="G22" s="14" t="n">
        <v>3000</v>
      </c>
      <c r="H22" s="12" t="n"/>
    </row>
    <row r="23">
      <c r="A23" s="4" t="n">
        <v>19</v>
      </c>
      <c r="B23" s="5" t="inlineStr">
        <is>
          <t>PR/Prensa</t>
        </is>
      </c>
      <c r="C23" s="5" t="inlineStr">
        <is>
          <t>Dossier de prensa y kit de imágenes en alta resolución descargable</t>
        </is>
      </c>
      <c r="D23" s="12" t="inlineStr">
        <is>
          <t>Agencia PR</t>
        </is>
      </c>
      <c r="E23" s="13" t="n"/>
      <c r="F23" s="12" t="inlineStr">
        <is>
          <t>Pendiente</t>
        </is>
      </c>
      <c r="G23" s="14" t="n"/>
      <c r="H23" s="12" t="inlineStr">
        <is>
          <t>Sin importe tasado en la guía: pide presupuesto y escríbelo aquí (la celda es editable y el TOTAL se recalcula).</t>
        </is>
      </c>
    </row>
    <row r="24">
      <c r="A24" s="4" t="n">
        <v>20</v>
      </c>
      <c r="B24" s="5" t="inlineStr">
        <is>
          <t>Eventos</t>
        </is>
      </c>
      <c r="C24" s="5" t="inlineStr">
        <is>
          <t>Evento de pre-apertura (prensa + amigos + industria)</t>
        </is>
      </c>
      <c r="D24" s="12" t="inlineStr">
        <is>
          <t>Marketing</t>
        </is>
      </c>
      <c r="E24" s="13" t="n"/>
      <c r="F24" s="12" t="inlineStr">
        <is>
          <t>Pendiente</t>
        </is>
      </c>
      <c r="G24" s="14" t="n">
        <v>3000</v>
      </c>
      <c r="H24" s="12" t="n"/>
    </row>
    <row r="25">
      <c r="A25" s="4" t="n">
        <v>21</v>
      </c>
      <c r="B25" s="5" t="inlineStr">
        <is>
          <t>Eventos</t>
        </is>
      </c>
      <c r="C25" s="5" t="inlineStr">
        <is>
          <t>Soft opening: 2 semanas de servicio de prueba</t>
        </is>
      </c>
      <c r="D25" s="12" t="inlineStr">
        <is>
          <t>Chef + Maître</t>
        </is>
      </c>
      <c r="E25" s="13" t="n"/>
      <c r="F25" s="12" t="inlineStr">
        <is>
          <t>Pendiente</t>
        </is>
      </c>
      <c r="G25" s="14" t="n">
        <v>0</v>
      </c>
      <c r="H25" s="12" t="n"/>
    </row>
    <row r="26">
      <c r="A26" s="4" t="n">
        <v>22</v>
      </c>
      <c r="B26" s="5" t="inlineStr">
        <is>
          <t>Eventos</t>
        </is>
      </c>
      <c r="C26" s="5" t="inlineStr">
        <is>
          <t>Planificar participación en Madrid Fusión / Gastronomika</t>
        </is>
      </c>
      <c r="D26" s="12" t="inlineStr">
        <is>
          <t>Chef</t>
        </is>
      </c>
      <c r="E26" s="13" t="n"/>
      <c r="F26" s="12" t="inlineStr">
        <is>
          <t>Pendiente</t>
        </is>
      </c>
      <c r="G26" s="14" t="n">
        <v>2000</v>
      </c>
      <c r="H26" s="12" t="n"/>
    </row>
    <row r="27">
      <c r="A27" s="4" t="n">
        <v>23</v>
      </c>
      <c r="B27" s="5" t="inlineStr">
        <is>
          <t>Eventos</t>
        </is>
      </c>
      <c r="C27" s="5" t="inlineStr">
        <is>
          <t>Colaboraciones con productores locales (eventos Km0)</t>
        </is>
      </c>
      <c r="D27" s="12" t="inlineStr">
        <is>
          <t>Chef</t>
        </is>
      </c>
      <c r="E27" s="13" t="n"/>
      <c r="F27" s="12" t="inlineStr">
        <is>
          <t>Pendiente</t>
        </is>
      </c>
      <c r="G27" s="14" t="n">
        <v>500</v>
      </c>
      <c r="H27" s="12" t="n"/>
    </row>
    <row r="28">
      <c r="A28" s="4" t="n">
        <v>24</v>
      </c>
      <c r="B28" s="5" t="inlineStr">
        <is>
          <t>Reservas</t>
        </is>
      </c>
      <c r="C28" s="5" t="inlineStr">
        <is>
          <t>Sistema de reservas configurado (Tock, TheFork, Cover Manager o Restoo)</t>
        </is>
      </c>
      <c r="D28" s="12" t="inlineStr">
        <is>
          <t>Maître</t>
        </is>
      </c>
      <c r="E28" s="13" t="n"/>
      <c r="F28" s="12" t="inlineStr">
        <is>
          <t>Pendiente</t>
        </is>
      </c>
      <c r="G28" s="14" t="n">
        <v>500</v>
      </c>
      <c r="H28" s="12" t="inlineStr">
        <is>
          <t>Resy fuera: no opera en España y era la única cifra en dólares de todo el producto (300‑500 USD/mes). Las cuatro alternativas sí están disponibles aquí y facturan en euros.</t>
        </is>
      </c>
    </row>
    <row r="29">
      <c r="A29" s="4" t="n">
        <v>25</v>
      </c>
      <c r="B29" s="5" t="inlineStr">
        <is>
          <t>Reservas</t>
        </is>
      </c>
      <c r="C29" s="5" t="inlineStr">
        <is>
          <t>Política de reservas, cancelación y no-show definida</t>
        </is>
      </c>
      <c r="D29" s="12" t="inlineStr">
        <is>
          <t>Maître</t>
        </is>
      </c>
      <c r="E29" s="13" t="n"/>
      <c r="F29" s="12" t="inlineStr">
        <is>
          <t>Pendiente</t>
        </is>
      </c>
      <c r="G29" s="14" t="n">
        <v>0</v>
      </c>
      <c r="H29" s="12" t="n"/>
    </row>
    <row r="30">
      <c r="A30" s="4" t="n">
        <v>26</v>
      </c>
      <c r="B30" s="5" t="inlineStr">
        <is>
          <t>Reservas</t>
        </is>
      </c>
      <c r="C30" s="5" t="inlineStr">
        <is>
          <t>Protocolo de gestión de lista de espera</t>
        </is>
      </c>
      <c r="D30" s="12" t="inlineStr">
        <is>
          <t>Hostess</t>
        </is>
      </c>
      <c r="E30" s="13" t="n"/>
      <c r="F30" s="12" t="inlineStr">
        <is>
          <t>Pendiente</t>
        </is>
      </c>
      <c r="G30" s="14" t="n">
        <v>0</v>
      </c>
      <c r="H30" s="12" t="n"/>
    </row>
    <row r="31">
      <c r="A31" s="4" t="n">
        <v>27</v>
      </c>
      <c r="B31" s="5" t="inlineStr">
        <is>
          <t>Guías</t>
        </is>
      </c>
      <c r="C31" s="5" t="inlineStr">
        <is>
          <t>Informar a la Guía Michelin de la apertura</t>
        </is>
      </c>
      <c r="D31" s="12" t="inlineStr">
        <is>
          <t>Chef</t>
        </is>
      </c>
      <c r="E31" s="13" t="n"/>
      <c r="F31" s="12" t="inlineStr">
        <is>
          <t>Pendiente</t>
        </is>
      </c>
      <c r="G31" s="14" t="n">
        <v>0</v>
      </c>
      <c r="H31" s="12" t="n"/>
    </row>
    <row r="32">
      <c r="A32" s="4" t="n">
        <v>28</v>
      </c>
      <c r="B32" s="5" t="inlineStr">
        <is>
          <t>Guías</t>
        </is>
      </c>
      <c r="C32" s="5" t="inlineStr">
        <is>
          <t>Informar a la Guía Repsol de la apertura</t>
        </is>
      </c>
      <c r="D32" s="12" t="inlineStr">
        <is>
          <t>Chef</t>
        </is>
      </c>
      <c r="E32" s="13" t="n"/>
      <c r="F32" s="12" t="inlineStr">
        <is>
          <t>Pendiente</t>
        </is>
      </c>
      <c r="G32" s="14" t="n">
        <v>0</v>
      </c>
      <c r="H32" s="12" t="n"/>
    </row>
    <row r="33">
      <c r="A33" s="4" t="n">
        <v>29</v>
      </c>
      <c r="B33" s="5" t="inlineStr">
        <is>
          <t>Guías</t>
        </is>
      </c>
      <c r="C33" s="5" t="inlineStr">
        <is>
          <t>Enviar información a guías locales y regionales</t>
        </is>
      </c>
      <c r="D33" s="12" t="inlineStr">
        <is>
          <t>Marketing</t>
        </is>
      </c>
      <c r="E33" s="13" t="n"/>
      <c r="F33" s="12" t="inlineStr">
        <is>
          <t>Pendiente</t>
        </is>
      </c>
      <c r="G33" s="14" t="n">
        <v>0</v>
      </c>
      <c r="H33" s="12" t="n"/>
    </row>
    <row r="34">
      <c r="A34" s="4" t="n">
        <v>30</v>
      </c>
      <c r="B34" s="5" t="inlineStr">
        <is>
          <t>Fidelización</t>
        </is>
      </c>
      <c r="C34" s="5" t="inlineStr">
        <is>
          <t>Base de datos de clientes (CRM básico)</t>
        </is>
      </c>
      <c r="D34" s="12" t="inlineStr">
        <is>
          <t>Marketing</t>
        </is>
      </c>
      <c r="E34" s="13" t="n"/>
      <c r="F34" s="12" t="inlineStr">
        <is>
          <t>Pendiente</t>
        </is>
      </c>
      <c r="G34" s="14" t="n">
        <v>0</v>
      </c>
      <c r="H34" s="12" t="n"/>
    </row>
    <row r="35">
      <c r="A35" s="4" t="n">
        <v>31</v>
      </c>
      <c r="B35" s="5" t="inlineStr">
        <is>
          <t>Fidelización</t>
        </is>
      </c>
      <c r="C35" s="5" t="inlineStr">
        <is>
          <t>Newsletter mensual / trimestral</t>
        </is>
      </c>
      <c r="D35" s="12" t="inlineStr">
        <is>
          <t>Marketing</t>
        </is>
      </c>
      <c r="E35" s="13" t="n"/>
      <c r="F35" s="12" t="inlineStr">
        <is>
          <t>Pendiente</t>
        </is>
      </c>
      <c r="G35" s="14" t="n">
        <v>0</v>
      </c>
      <c r="H35" s="12" t="n"/>
    </row>
    <row r="36">
      <c r="A36" s="4" t="n">
        <v>32</v>
      </c>
      <c r="B36" s="5" t="inlineStr">
        <is>
          <t>Fidelización</t>
        </is>
      </c>
      <c r="C36" s="5" t="inlineStr">
        <is>
          <t>Programa de recomendación boca a boca</t>
        </is>
      </c>
      <c r="D36" s="12" t="inlineStr">
        <is>
          <t>Maître</t>
        </is>
      </c>
      <c r="E36" s="13" t="n"/>
      <c r="F36" s="12" t="inlineStr">
        <is>
          <t>Pendiente</t>
        </is>
      </c>
      <c r="G36" s="14" t="n">
        <v>0</v>
      </c>
      <c r="H36" s="12" t="n"/>
    </row>
    <row r="37">
      <c r="A37" s="4" t="n">
        <v>33</v>
      </c>
      <c r="B37" s="5" t="inlineStr">
        <is>
          <t>Fidelización</t>
        </is>
      </c>
      <c r="C37" s="5" t="inlineStr">
        <is>
          <t>Seguimiento de reseñas online (responder todas)</t>
        </is>
      </c>
      <c r="D37" s="12" t="inlineStr">
        <is>
          <t>Marketing</t>
        </is>
      </c>
      <c r="E37" s="13" t="n"/>
      <c r="F37" s="12" t="inlineStr">
        <is>
          <t>Pendiente</t>
        </is>
      </c>
      <c r="G37" s="14" t="n">
        <v>0</v>
      </c>
      <c r="H37" s="12" t="n"/>
    </row>
    <row r="38">
      <c r="A38" s="4" t="n">
        <v>34</v>
      </c>
      <c r="B38" s="5" t="inlineStr">
        <is>
          <t>Medición</t>
        </is>
      </c>
      <c r="C38" s="5" t="inlineStr">
        <is>
          <t>Presupuesto de lanzamiento repartido por canal y por mes</t>
        </is>
      </c>
      <c r="D38" s="12" t="inlineStr">
        <is>
          <t>Marketing</t>
        </is>
      </c>
      <c r="E38" s="13" t="n"/>
      <c r="F38" s="12" t="inlineStr">
        <is>
          <t>Pendiente</t>
        </is>
      </c>
      <c r="G38" s="14" t="n"/>
      <c r="H38" s="12" t="inlineStr">
        <is>
          <t>El libro maneja un rango de lanzamiento de 5.000‑30.000 €: repártelo antes de gastarlo.</t>
        </is>
      </c>
    </row>
    <row r="39">
      <c r="A39" s="4" t="n">
        <v>35</v>
      </c>
      <c r="B39" s="5" t="inlineStr">
        <is>
          <t>Medición</t>
        </is>
      </c>
      <c r="C39" s="5" t="inlineStr">
        <is>
          <t>Cuadro de mando: reservas por origen y coste de captación por cliente</t>
        </is>
      </c>
      <c r="D39" s="12" t="inlineStr">
        <is>
          <t>Marketing</t>
        </is>
      </c>
      <c r="E39" s="13" t="n"/>
      <c r="F39" s="12" t="inlineStr">
        <is>
          <t>Pendiente</t>
        </is>
      </c>
      <c r="G39" s="14" t="n"/>
      <c r="H39" s="12" t="n"/>
    </row>
    <row r="40">
      <c r="E40" s="15" t="n"/>
      <c r="G40" s="16" t="n"/>
    </row>
    <row r="41">
      <c r="A41" s="17" t="inlineStr">
        <is>
          <t>RESUMEN — lo calcula el libro (v2.0)</t>
        </is>
      </c>
      <c r="B41" s="18" t="n"/>
      <c r="C41" s="18" t="n"/>
      <c r="D41" s="18" t="n"/>
      <c r="E41" s="18" t="n"/>
      <c r="F41" s="18" t="n"/>
      <c r="G41" s="18" t="n"/>
      <c r="H41" s="18" t="n"/>
    </row>
    <row r="42">
      <c r="A42" s="17" t="inlineStr">
        <is>
          <t>TOTAL PRESUPUESTADO (€)</t>
        </is>
      </c>
      <c r="B42" s="18" t="n"/>
      <c r="C42" s="18" t="n"/>
      <c r="D42" s="18" t="n"/>
      <c r="E42" s="18" t="n"/>
      <c r="F42" s="18" t="n"/>
      <c r="G42" s="23">
        <f>SUM(G5:G39)</f>
        <v>23800.0</v>
      </c>
      <c r="H42" s="18" t="n"/>
    </row>
    <row r="43">
      <c r="A43" s="17" t="inlineStr">
        <is>
          <t>Partidas SIN importe (a presupuestar)</t>
        </is>
      </c>
      <c r="B43" s="18" t="n"/>
      <c r="C43" s="18" t="n"/>
      <c r="D43" s="18" t="n"/>
      <c r="E43" s="18" t="n"/>
      <c r="F43" s="18" t="n"/>
      <c r="G43" s="24">
        <f>COUNTIF(B5:B39,"&lt;&gt;")-COUNT(G5:G39)</f>
        <v>5.0</v>
      </c>
      <c r="H43" s="18" t="inlineStr">
        <is>
          <t>El TOTAL de arriba es un SUELO: no incluye estas partidas, que van a presupuestar.</t>
        </is>
      </c>
    </row>
    <row r="44">
      <c r="A44" s="17" t="inlineStr">
        <is>
          <t>Avance del checklist (% completado)</t>
        </is>
      </c>
      <c r="B44" s="18" t="n"/>
      <c r="C44" s="18" t="n"/>
      <c r="D44" s="18" t="n"/>
      <c r="E44" s="18" t="n"/>
      <c r="F44" s="25">
        <f>IFERROR(COUNTIF(F5:F39,"Completado")/COUNTIF(F5:F39,"&lt;&gt;"),"")</f>
        <v>0.0</v>
      </c>
      <c r="G44" s="18" t="inlineStr">
        <is>
          <t>Estado terminal de este checklist: «Completado»</t>
        </is>
      </c>
      <c r="H44" s="18" t="n"/>
    </row>
    <row r="45">
      <c r="A45" s="18" t="n"/>
      <c r="B45" s="18" t="n"/>
      <c r="C45" s="18" t="n"/>
      <c r="D45" s="18" t="n"/>
      <c r="E45" s="18" t="n"/>
      <c r="F45" s="18" t="n"/>
      <c r="G45" s="18" t="n"/>
      <c r="H45" s="18" t="n"/>
    </row>
    <row r="46">
      <c r="A46" s="17" t="inlineStr">
        <is>
          <t>SUBTOTALES POR CATEGORÍA</t>
        </is>
      </c>
      <c r="B46" s="18" t="n"/>
      <c r="C46" s="18" t="n"/>
      <c r="D46" s="18" t="n"/>
      <c r="E46" s="18" t="n"/>
      <c r="F46" s="18" t="n"/>
      <c r="G46" s="18" t="n"/>
      <c r="H46" s="18" t="n"/>
    </row>
    <row r="47">
      <c r="A47" s="18" t="inlineStr">
        <is>
          <t>Identidad</t>
        </is>
      </c>
      <c r="B47" s="18" t="n"/>
      <c r="C47" s="18" t="n"/>
      <c r="D47" s="18" t="n"/>
      <c r="E47" s="18" t="n"/>
      <c r="F47" s="18" t="n"/>
      <c r="G47" s="26">
        <f>SUMIF($B$5:$B$39,$A47,$G$5:$G$39)</f>
        <v>5300.0</v>
      </c>
      <c r="H47" s="18" t="n"/>
    </row>
    <row r="48">
      <c r="A48" s="18" t="inlineStr">
        <is>
          <t>Digital</t>
        </is>
      </c>
      <c r="B48" s="18" t="n"/>
      <c r="C48" s="18" t="n"/>
      <c r="D48" s="18" t="n"/>
      <c r="E48" s="18" t="n"/>
      <c r="F48" s="18" t="n"/>
      <c r="G48" s="26">
        <f>SUMIF($B$5:$B$39,$A48,$G$5:$G$39)</f>
        <v>7000.0</v>
      </c>
      <c r="H48" s="18" t="n"/>
    </row>
    <row r="49">
      <c r="A49" s="18" t="inlineStr">
        <is>
          <t>PR/Prensa</t>
        </is>
      </c>
      <c r="B49" s="18" t="n"/>
      <c r="C49" s="18" t="n"/>
      <c r="D49" s="18" t="n"/>
      <c r="E49" s="18" t="n"/>
      <c r="F49" s="18" t="n"/>
      <c r="G49" s="26">
        <f>SUMIF($B$5:$B$39,$A49,$G$5:$G$39)</f>
        <v>5500.0</v>
      </c>
      <c r="H49" s="18" t="n"/>
    </row>
    <row r="50">
      <c r="A50" s="18" t="inlineStr">
        <is>
          <t>Eventos</t>
        </is>
      </c>
      <c r="B50" s="18" t="n"/>
      <c r="C50" s="18" t="n"/>
      <c r="D50" s="18" t="n"/>
      <c r="E50" s="18" t="n"/>
      <c r="F50" s="18" t="n"/>
      <c r="G50" s="26">
        <f>SUMIF($B$5:$B$39,$A50,$G$5:$G$39)</f>
        <v>5500.0</v>
      </c>
      <c r="H50" s="18" t="n"/>
    </row>
    <row r="51">
      <c r="A51" s="18" t="inlineStr">
        <is>
          <t>Reservas</t>
        </is>
      </c>
      <c r="B51" s="18" t="n"/>
      <c r="C51" s="18" t="n"/>
      <c r="D51" s="18" t="n"/>
      <c r="E51" s="18" t="n"/>
      <c r="F51" s="18" t="n"/>
      <c r="G51" s="26">
        <f>SUMIF($B$5:$B$39,$A51,$G$5:$G$39)</f>
        <v>500.0</v>
      </c>
      <c r="H51" s="18" t="n"/>
    </row>
    <row r="52">
      <c r="A52" s="18" t="inlineStr">
        <is>
          <t>Guías</t>
        </is>
      </c>
      <c r="B52" s="18" t="n"/>
      <c r="C52" s="18" t="n"/>
      <c r="D52" s="18" t="n"/>
      <c r="E52" s="18" t="n"/>
      <c r="F52" s="18" t="n"/>
      <c r="G52" s="26">
        <f>SUMIF($B$5:$B$39,$A52,$G$5:$G$39)</f>
        <v>0.0</v>
      </c>
      <c r="H52" s="18" t="n"/>
    </row>
    <row r="53">
      <c r="A53" s="18" t="inlineStr">
        <is>
          <t>Fidelización</t>
        </is>
      </c>
      <c r="B53" s="18" t="n"/>
      <c r="C53" s="18" t="n"/>
      <c r="D53" s="18" t="n"/>
      <c r="E53" s="18" t="n"/>
      <c r="F53" s="18" t="n"/>
      <c r="G53" s="26">
        <f>SUMIF($B$5:$B$39,$A53,$G$5:$G$39)</f>
        <v>0.0</v>
      </c>
      <c r="H53" s="18" t="n"/>
    </row>
    <row r="54">
      <c r="A54" s="18" t="inlineStr">
        <is>
          <t>Medición</t>
        </is>
      </c>
      <c r="B54" s="18" t="n"/>
      <c r="C54" s="18" t="n"/>
      <c r="D54" s="18" t="n"/>
      <c r="E54" s="18" t="n"/>
      <c r="F54" s="18" t="n"/>
      <c r="G54" s="26">
        <f>SUMIF($B$5:$B$39,$A54,$G$5:$G$39)</f>
        <v>0.0</v>
      </c>
      <c r="H54" s="18" t="n"/>
    </row>
    <row r="55">
      <c r="A55" s="18" t="n"/>
      <c r="B55" s="18" t="n"/>
      <c r="C55" s="18" t="n"/>
      <c r="D55" s="18" t="n"/>
      <c r="E55" s="18" t="n"/>
      <c r="F55" s="18" t="n"/>
      <c r="G55" s="18" t="n"/>
      <c r="H55" s="18" t="n"/>
    </row>
    <row r="56">
      <c r="A56" s="18"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56:H56"/>
  </mergeCells>
  <conditionalFormatting sqref="F5:F39">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43">
    <cfRule type="expression" priority="4" dxfId="1" stopIfTrue="1">
      <formula>=AND(ISNUMBER(G43),G43&gt;0)</formula>
    </cfRule>
  </conditionalFormatting>
  <dataValidations count="3">
    <dataValidation sqref="E5 E6 E7 E8 E9 E10 E11 E12 E13 E14 E15 E16 E17 E18 E19 E20 E21 E22 E23 E24 E25 E26 E27 E28 E29 E30 E31 E32 E33 E34 E35 E36 E37 E38 E39"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Marketing Pre-Apertura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2026-08-31T21:57:20Z</dcterms:modified>
  <cp:lastModifiedBy>AI Chef Pro</cp:lastModifiedBy>
  <cp:category>AI Chef Pro · Productos digitales</cp:category>
  <cp:keywords>guia restaurante gastronomico, AI Chef Pro</cp:keywords>
</cp:coreProperties>
</file>