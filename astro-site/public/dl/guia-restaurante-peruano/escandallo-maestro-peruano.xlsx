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>
    <definedName name="_xlnm.Print_Titles" localSheetId="1">'Escandallo'!$4:$4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Escandallo Maestro — Restaurante Peruano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Una ficha técnica por plato.</t>
        </is>
      </c>
    </row>
    <row r="6">
      <c r="A6" s="4" t="inlineStr">
        <is>
          <t>2. Introduce ingredientes, cantidades y precios.</t>
        </is>
      </c>
    </row>
    <row r="7">
      <c r="A7" s="4" t="inlineStr">
        <is>
          <t>3. El food cost se calcula automáticamente.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aichef.pro/guia-restaurante-peruano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Escandallo Maestro — Fichas Técnicas de Platos Peruanos</t>
        </is>
      </c>
    </row>
    <row r="2">
      <c r="A2" s="2" t="inlineStr">
        <is>
          <t>AI Chef Pro · aichef.pro — Restaurante Peruano</t>
        </is>
      </c>
    </row>
    <row r="3"/>
    <row r="4">
      <c r="A4" s="6" t="inlineStr">
        <is>
          <t>#</t>
        </is>
      </c>
      <c r="B4" s="6" t="inlineStr">
        <is>
          <t>Ingrediente</t>
        </is>
      </c>
      <c r="C4" s="6" t="inlineStr">
        <is>
          <t>Cantidad (g/ml)</t>
        </is>
      </c>
      <c r="D4" s="6" t="inlineStr">
        <is>
          <t>Precio/Kg (€)</t>
        </is>
      </c>
      <c r="E4" s="6" t="inlineStr">
        <is>
          <t>Coste (€)</t>
        </is>
      </c>
      <c r="F4" s="6" t="inlineStr">
        <is>
          <t>Merma (%)</t>
        </is>
      </c>
      <c r="G4" s="6" t="inlineStr">
        <is>
          <t>Coste Real (€)</t>
        </is>
      </c>
    </row>
    <row r="5">
      <c r="A5" s="7" t="n"/>
      <c r="B5" s="8" t="inlineStr">
        <is>
          <t>NOMBRE DEL PLATO:</t>
        </is>
      </c>
      <c r="C5" s="9" t="inlineStr">
        <is>
          <t>Ejemplo: Ceviche Clásico de Corvina</t>
        </is>
      </c>
    </row>
    <row r="6">
      <c r="A6" s="10" t="n">
        <v>1</v>
      </c>
      <c r="B6" s="9" t="inlineStr">
        <is>
          <t>Corvina fresca (previamente congelada -20°C/24h)</t>
        </is>
      </c>
      <c r="C6" s="9" t="n">
        <v>200</v>
      </c>
      <c r="D6" s="11" t="n">
        <v>18</v>
      </c>
      <c r="E6" s="12">
        <f>(C6/1000)*D6</f>
        <v>3.6</v>
      </c>
      <c r="F6" s="13" t="n">
        <v>0.15</v>
      </c>
      <c r="G6" s="12">
        <f>E6*(1+F6)</f>
        <v>4.14</v>
      </c>
    </row>
    <row r="7">
      <c r="A7" s="10" t="n">
        <v>2</v>
      </c>
      <c r="B7" s="9" t="inlineStr">
        <is>
          <t>Zumo de limón fresco (o lima)</t>
        </is>
      </c>
      <c r="C7" s="9" t="n">
        <v>80</v>
      </c>
      <c r="D7" s="11" t="n">
        <v>3</v>
      </c>
      <c r="E7" s="12">
        <f>(C7/1000)*D7</f>
        <v>0.24</v>
      </c>
      <c r="F7" s="13" t="n">
        <v>0.1</v>
      </c>
      <c r="G7" s="12">
        <f>E7*(1+F7)</f>
        <v>0.264</v>
      </c>
    </row>
    <row r="8">
      <c r="A8" s="10" t="n">
        <v>3</v>
      </c>
      <c r="B8" s="9" t="inlineStr">
        <is>
          <t>Cebolla morada</t>
        </is>
      </c>
      <c r="C8" s="9" t="n">
        <v>60</v>
      </c>
      <c r="D8" s="11" t="n">
        <v>2</v>
      </c>
      <c r="E8" s="12">
        <f>(C8/1000)*D8</f>
        <v>0.12</v>
      </c>
      <c r="F8" s="13" t="n">
        <v>0.1</v>
      </c>
      <c r="G8" s="12">
        <f>E8*(1+F8)</f>
        <v>0.132</v>
      </c>
    </row>
    <row r="9">
      <c r="A9" s="10" t="n">
        <v>4</v>
      </c>
      <c r="B9" s="9" t="inlineStr">
        <is>
          <t>Ají limo (o ají similar)</t>
        </is>
      </c>
      <c r="C9" s="9" t="n">
        <v>5</v>
      </c>
      <c r="D9" s="11" t="n">
        <v>25</v>
      </c>
      <c r="E9" s="12">
        <f>(C9/1000)*D9</f>
        <v>0.125</v>
      </c>
      <c r="F9" s="13" t="n">
        <v>0.05</v>
      </c>
      <c r="G9" s="12">
        <f>E9*(1+F9)</f>
        <v>0.13125</v>
      </c>
    </row>
    <row r="10">
      <c r="A10" s="10" t="n">
        <v>5</v>
      </c>
      <c r="B10" s="9" t="inlineStr">
        <is>
          <t>Cilantro fresco</t>
        </is>
      </c>
      <c r="C10" s="9" t="n">
        <v>10</v>
      </c>
      <c r="D10" s="11" t="n">
        <v>6</v>
      </c>
      <c r="E10" s="12">
        <f>(C10/1000)*D10</f>
        <v>0.06</v>
      </c>
      <c r="F10" s="13" t="n">
        <v>0.2</v>
      </c>
      <c r="G10" s="12">
        <f>E10*(1+F10)</f>
        <v>0.072</v>
      </c>
    </row>
    <row r="11">
      <c r="A11" s="10" t="n">
        <v>6</v>
      </c>
      <c r="B11" s="9" t="inlineStr">
        <is>
          <t>Ají amarillo en pasta</t>
        </is>
      </c>
      <c r="C11" s="9" t="n">
        <v>8</v>
      </c>
      <c r="D11" s="11" t="n">
        <v>12</v>
      </c>
      <c r="E11" s="12">
        <f>(C11/1000)*D11</f>
        <v>0.096</v>
      </c>
      <c r="F11" s="13" t="n">
        <v>0</v>
      </c>
      <c r="G11" s="12">
        <f>E11*(1+F11)</f>
        <v>0.096</v>
      </c>
    </row>
    <row r="12">
      <c r="A12" s="10" t="n">
        <v>7</v>
      </c>
      <c r="B12" s="9" t="inlineStr">
        <is>
          <t>Sal, pimienta</t>
        </is>
      </c>
      <c r="C12" s="9" t="n">
        <v>3</v>
      </c>
      <c r="D12" s="11" t="n">
        <v>5</v>
      </c>
      <c r="E12" s="12">
        <f>(C12/1000)*D12</f>
        <v>0.015</v>
      </c>
      <c r="F12" s="13" t="n">
        <v>0</v>
      </c>
      <c r="G12" s="12">
        <f>E12*(1+F12)</f>
        <v>0.015</v>
      </c>
    </row>
    <row r="13">
      <c r="A13" s="10" t="n">
        <v>8</v>
      </c>
      <c r="B13" s="9" t="inlineStr">
        <is>
          <t>Camote cocido (guarnición)</t>
        </is>
      </c>
      <c r="C13" s="9" t="n">
        <v>80</v>
      </c>
      <c r="D13" s="11" t="n">
        <v>1.5</v>
      </c>
      <c r="E13" s="12">
        <f>(C13/1000)*D13</f>
        <v>0.12</v>
      </c>
      <c r="F13" s="13" t="n">
        <v>0.1</v>
      </c>
      <c r="G13" s="12">
        <f>E13*(1+F13)</f>
        <v>0.132</v>
      </c>
    </row>
    <row r="14">
      <c r="A14" s="10" t="n">
        <v>9</v>
      </c>
      <c r="B14" s="9" t="inlineStr">
        <is>
          <t>Choclo desgranado (guarnición)</t>
        </is>
      </c>
      <c r="C14" s="9" t="n">
        <v>40</v>
      </c>
      <c r="D14" s="11" t="n">
        <v>4</v>
      </c>
      <c r="E14" s="12">
        <f>(C14/1000)*D14</f>
        <v>0.16</v>
      </c>
      <c r="F14" s="13" t="n">
        <v>0.05</v>
      </c>
      <c r="G14" s="12">
        <f>E14*(1+F14)</f>
        <v>0.168</v>
      </c>
    </row>
    <row r="15">
      <c r="A15" s="10" t="n">
        <v>10</v>
      </c>
      <c r="B15" s="9" t="inlineStr">
        <is>
          <t>Lechuga (decoración base)</t>
        </is>
      </c>
      <c r="C15" s="9" t="n">
        <v>15</v>
      </c>
      <c r="D15" s="11" t="n">
        <v>2.5</v>
      </c>
      <c r="E15" s="12">
        <f>(C15/1000)*D15</f>
        <v>0.0375</v>
      </c>
      <c r="F15" s="13" t="n">
        <v>0.15</v>
      </c>
      <c r="G15" s="12">
        <f>E15*(1+F15)</f>
        <v>0.043125</v>
      </c>
    </row>
    <row r="16"/>
    <row r="17">
      <c r="B17" s="8" t="inlineStr">
        <is>
          <t>COSTE TOTAL PLATO</t>
        </is>
      </c>
      <c r="G17" s="14">
        <f>SUM(G6:G15)</f>
        <v>5.193374999999999</v>
      </c>
    </row>
    <row r="18">
      <c r="B18" s="8" t="inlineStr">
        <is>
          <t>PVP sugerido (food cost 30%)</t>
        </is>
      </c>
      <c r="G18" s="12">
        <f>G17/0.30</f>
        <v>17.311249999999998</v>
      </c>
    </row>
    <row r="19">
      <c r="B19" s="8" t="inlineStr">
        <is>
          <t>PVP con IVA (10%)</t>
        </is>
      </c>
      <c r="G19" s="12">
        <f>G18*1.10</f>
        <v>19.042375</v>
      </c>
    </row>
    <row r="20"/>
    <row r="21">
      <c r="A21" s="15" t="inlineStr">
        <is>
          <t>AI Chef Pro · aichef.pro — Restaurante Peruano</t>
        </is>
      </c>
    </row>
  </sheetData>
  <mergeCells count="3">
    <mergeCell ref="A2:H2"/>
    <mergeCell ref="A21:G21"/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Maestro — Restaurante Peruano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