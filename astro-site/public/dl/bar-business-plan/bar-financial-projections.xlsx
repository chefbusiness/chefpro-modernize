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6" fontId="0" fillId="4" borderId="0" applyProtection="1" pivotButton="0" quotePrefix="0" xfId="0">
      <protection locked="0" hidden="0"/>
    </xf>
    <xf numFmtId="166" fontId="0" fillId="0" borderId="0" pivotButton="0" quotePrefix="0" xfId="0"/>
    <xf numFmtId="166" fontId="10" fillId="0" borderId="3" pivotButton="0" quotePrefix="0" xfId="0"/>
    <xf numFmtId="166" fontId="9" fillId="0" borderId="3" pivotButton="0" quotePrefix="0" xfId="0"/>
    <xf numFmtId="3" fontId="12" fillId="0" borderId="0" pivotButton="0" quotePrefix="0" xfId="0"/>
    <xf numFmtId="166" fontId="12" fillId="0" borderId="0" pivotButton="0" quotePrefix="0" xfId="0"/>
    <xf numFmtId="166" fontId="11"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xf numFmtId="166" fontId="9"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Covers per day (year-1 average)</t>
        </is>
      </c>
      <c r="B4" s="18" t="n">
        <v>95</v>
      </c>
      <c r="C4" t="inlineStr">
        <is>
          <t>Average covers served per day over the year, bar and table service combined. Divide it by the seats on this sheet to get the implied seat turns per day (calculated below) and compare them with the seat-turn ceiling on the "Break-Even" tab. Start conservative: a new bar rarely fills its seats from the first month</t>
        </is>
      </c>
    </row>
    <row r="5">
      <c r="A5" t="inlineStr">
        <is>
          <t>Average check (excl. sales tax)</t>
        </is>
      </c>
      <c r="B5" s="25" t="n">
        <v>27</v>
      </c>
      <c r="C5" t="inlineStr">
        <is>
          <t>Average check per guest EXCLUDING sales tax: what you ring up before tax is added. The "Menu price incl. sales tax (calculated)" row below shows what the guest sees on the menu once your local rate is applied. Compare both with the average check range in the benchmarks table on "Instructions"</t>
        </is>
      </c>
    </row>
    <row r="6">
      <c r="A6" t="inlineStr">
        <is>
          <t>Operating days per year</t>
        </is>
      </c>
      <c r="B6" s="18" t="n">
        <v>360</v>
      </c>
      <c r="C6" t="inlineStr">
        <is>
          <t>One figure feeds the P&amp;L, the break-even and the scenarios, so all three tabs always agree. It assumes the bar opens seven days a week, minus a few closed holidays: enter the days you will really be open. See "3-Year P&amp;L" for how it drives annual sales</t>
        </is>
      </c>
    </row>
    <row r="7">
      <c r="A7" t="inlineStr">
        <is>
          <t>Volume growth in year 2</t>
        </is>
      </c>
      <c r="B7" s="63" t="n">
        <v>0.15</v>
      </c>
      <c r="C7" t="inlineStr">
        <is>
          <t>Growth in daily covers in year 2. Kept deliberately modest: a neighborhood bar takes time to build a base of regulars, so the plan does not lean on the after-work crowd consolidating in year 1</t>
        </is>
      </c>
    </row>
    <row r="8">
      <c r="A8" t="inlineStr">
        <is>
          <t>Volume growth in year 3</t>
        </is>
      </c>
      <c r="B8" s="63" t="n">
        <v>0.1</v>
      </c>
      <c r="C8" t="inlineStr">
        <is>
          <t>Growth in daily covers in year 3. Smaller than in year 2 on purpose: a bar with a fixed number of seats grows into its capacity and growth slows as it fills up</t>
        </is>
      </c>
    </row>
    <row r="9">
      <c r="A9" t="inlineStr">
        <is>
          <t>Menu price incl. sales tax (calculated)</t>
        </is>
      </c>
      <c r="B9" s="24">
        <f>IFERROR(IF($B$5="","",$B$5*(1+SUMPRODUCT('3-Year P&amp;L'!$E$10:$E$11,'3-Year P&amp;L'!$G$10:$G$11))),"")</f>
        <v>29.160000000000004</v>
      </c>
      <c r="C9" t="str">
        <f>IFERROR("Average check excl. sales tax plus the weighted sales tax of your sales lines ("&amp;TEXT(SUMPRODUCT('3-Year P&amp;L'!$E$10:$E$11,'3-Year P&amp;L'!$G$10:$G$11)*100,"0")&amp;"%), rounded. In the US, menu prices usually exclude sales tax and it is added at the register; in the UK, menu prices include VAT.","")</f>
        <v>Average check excl. sales tax plus the weighted sales tax of your sales lines (8%), rounded. In the US, menu prices usually exclude sales tax and it is added at the register; in the UK, menu prices include VAT.</v>
      </c>
    </row>
    <row r="10">
      <c r="A10" s="16" t="inlineStr">
        <is>
          <t>SALES MIX AND COST OF GOODS SOLD</t>
        </is>
      </c>
    </row>
    <row r="11">
      <c r="A11" t="inlineStr">
        <is>
          <t>FOOD share of total sales</t>
        </is>
      </c>
      <c r="B11" s="63" t="n">
        <v>0.35</v>
      </c>
      <c r="C11" t="inlineStr">
        <is>
          <t>Share of FOOD in total sales. It is an INPUT: change it here and the P&amp;L, the cash flow and the sales tax collected recalculate on their own</t>
        </is>
      </c>
    </row>
    <row r="12">
      <c r="A12" t="inlineStr">
        <is>
          <t>BEVERAGE share of total sales</t>
        </is>
      </c>
      <c r="B12" s="64">
        <f>IFERROR(IF(COUNT(B11)=0,"",1-B11),"")</f>
        <v>0.65</v>
      </c>
      <c r="C12" t="inlineStr">
        <is>
          <t>Calculated as the remainder: food + beverage = 100%</t>
        </is>
      </c>
    </row>
    <row r="13">
      <c r="A13" t="inlineStr">
        <is>
          <t>Cost of goods sold on FOOD sales</t>
        </is>
      </c>
      <c r="B13" s="63" t="n">
        <v>0.3</v>
      </c>
      <c r="C13" t="inlineStr">
        <is>
          <t>Food cost on FOOD sales (small plates): ingredients as a share of what the kitchen sells. Stay inside the small-plates range in the benchmarks table on "Instructions"</t>
        </is>
      </c>
    </row>
    <row r="14">
      <c r="A14" t="inlineStr">
        <is>
          <t>Cost of goods sold on BEVERAGE sales</t>
        </is>
      </c>
      <c r="B14" s="63" t="n">
        <v>0.22</v>
      </c>
      <c r="C14" t="inlineStr">
        <is>
          <t>Pour cost on BEVERAGE sales: beer, wine, spirits and cocktail ingredients as a share of what the bar sells. It is a weighted blend of the beer and wine pour cost and the cocktail pour cost in the benchmarks on "Instructions", and it includes garnish and spillage</t>
        </is>
      </c>
    </row>
    <row r="15">
      <c r="A15" t="inlineStr">
        <is>
          <t>Disposables and packaging as % of sales</t>
        </is>
      </c>
      <c r="B15" s="63" t="n">
        <v>0.01</v>
      </c>
      <c r="C15" t="inlineStr">
        <is>
          <t>Disposable take-out containers, napkins and bar paper, as a share of sales</t>
        </is>
      </c>
    </row>
    <row r="16">
      <c r="A16" t="inlineStr">
        <is>
          <t>Delivery share of total sales</t>
        </is>
      </c>
      <c r="B16" s="63" t="n">
        <v>0</v>
      </c>
      <c r="C16" t="inlineStr">
        <is>
          <t>Zero by default: the opening checklist treats delivery as an option for later, only if margins allow it, not for day one. Raise it to the real share of the channel once you turn it on</t>
        </is>
      </c>
    </row>
    <row r="17">
      <c r="A17" t="inlineStr">
        <is>
          <t>Delivery platform fee</t>
        </is>
      </c>
      <c r="B17" s="63" t="n">
        <v>0.25</v>
      </c>
      <c r="C17" t="inlineStr">
        <is>
          <t>Percentage a delivery marketplace (DoorDash, Uber Eats) keeps from each order. Confirm your real rate in the platform contract, and add it only if you switch delivery on</t>
        </is>
      </c>
    </row>
    <row r="18">
      <c r="A18" t="inlineStr">
        <is>
          <t>Card processing fee</t>
        </is>
      </c>
      <c r="B18" s="63" t="n">
        <v>0.035</v>
      </c>
      <c r="C18" t="inlineStr">
        <is>
          <t>Card and mobile wallet / contactless processing fees on total sales. A neighborhood bar collects most of its drinks by card, so use your processor's effective rate rather than the headline one</t>
        </is>
      </c>
    </row>
    <row r="19">
      <c r="A19" s="16" t="inlineStr">
        <is>
          <t>LABOR</t>
        </is>
      </c>
    </row>
    <row r="20">
      <c r="A20" t="inlineStr">
        <is>
          <t>Employer payroll taxes</t>
        </is>
      </c>
      <c r="B20" s="63"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RENT AND FIXED COSTS</t>
        </is>
      </c>
    </row>
    <row r="24">
      <c r="A24" t="inlineStr">
        <is>
          <t>Monthly rent</t>
        </is>
      </c>
      <c r="B24" s="18" t="n">
        <v>6500</v>
      </c>
      <c r="C24" t="inlineStr">
        <is>
          <t>Monthly rent for a space with a bar counter and a patio. It must stay under the rent ceiling in the benchmarks table on "Instructions" and in the traffic light of the "3-Year P&amp;L". Compare it with real quotes in your area, and negotiate the lease terms with your attorney</t>
        </is>
      </c>
    </row>
    <row r="25">
      <c r="A25" t="inlineStr">
        <is>
          <t>Security deposit (months of rent)</t>
        </is>
      </c>
      <c r="B25" s="18" t="n">
        <v>2</v>
      </c>
      <c r="C25" t="inlineStr">
        <is>
          <t>Months of rent held as a security deposit. It is set in your commercial lease, so check the terms before you sign</t>
        </is>
      </c>
    </row>
    <row r="26">
      <c r="A26" t="inlineStr">
        <is>
          <t>Monthly utilities (electricity, water, gas)</t>
        </is>
      </c>
      <c r="B26" s="18" t="n">
        <v>2000</v>
      </c>
      <c r="C26" t="inlineStr">
        <is>
          <t>Electricity, water and gas for a kitchen with a griddle, fryer and oven, plus the draft beer cooler and the back-bar refrigeration. Ask the landlord or the last tenant for the utility history ahead of signing</t>
        </is>
      </c>
    </row>
    <row r="27">
      <c r="A27" t="inlineStr">
        <is>
          <t>Insurance (per year)</t>
        </is>
      </c>
      <c r="B27" s="18" t="n">
        <v>12000</v>
      </c>
      <c r="C27" t="inlineStr">
        <is>
          <t>Annual premium for general liability + liquor liability (dram shop) + property insurance, entered as one figure. Landlords and lenders ask for proof of coverage ahead of opening</t>
        </is>
      </c>
    </row>
    <row r="28">
      <c r="A28" t="inlineStr">
        <is>
          <t>Miscellaneous and contingency as % of sales</t>
        </is>
      </c>
      <c r="B28" s="63" t="n">
        <v>0.01</v>
      </c>
      <c r="C28" t="inlineStr">
        <is>
          <t>Cushion for unbudgeted running costs. It is a VARIABLE cost: it rises and falls with sales, so it does not belong among the fixed costs</t>
        </is>
      </c>
    </row>
    <row r="29">
      <c r="A29" s="16" t="inlineStr">
        <is>
          <t>FINANCING</t>
        </is>
      </c>
    </row>
    <row r="30">
      <c r="A30" t="inlineStr">
        <is>
          <t>Owner's equity contributed</t>
        </is>
      </c>
      <c r="B30" s="18" t="n">
        <v>120000</v>
      </c>
      <c r="C30" t="inlineStr">
        <is>
          <t>Cash you and your partners put in. Lenders usually expect an owner equity injection (often around 10% for SBA start-ups; many want 20-30%). Check the equity share of your plan against what your lender asks for</t>
        </is>
      </c>
    </row>
    <row r="31">
      <c r="A31" t="inlineStr">
        <is>
          <t>Loan requested</t>
        </is>
      </c>
      <c r="B31" s="18" t="n">
        <v>369000</v>
      </c>
      <c r="C31" t="inlineStr">
        <is>
          <t>Principal you request from your lender, for example an SBA 7(a) loan through a bank. The "Financing" tab checks that sources and uses match the cash need calculated on "Startup Costs", and has a cell that calculates the exact amount that balances them</t>
        </is>
      </c>
    </row>
    <row r="32">
      <c r="A32" t="inlineStr">
        <is>
          <t>Nominal annual interest rate (not APR)</t>
        </is>
      </c>
      <c r="B32" s="63" t="n">
        <v>0.1</v>
      </c>
      <c r="C32" t="inlineStr">
        <is>
          <t>Nominal annual rate, not APR; get offers from two lenders, including an SBA-guaranteed loan, before you fix it</t>
        </is>
      </c>
    </row>
    <row r="33">
      <c r="A33" t="inlineStr">
        <is>
          <t>Loan term (years)</t>
        </is>
      </c>
      <c r="B33" s="18" t="n">
        <v>10</v>
      </c>
      <c r="C33" t="inlineStr">
        <is>
          <t>Total years, interest-only period included</t>
        </is>
      </c>
    </row>
    <row r="34">
      <c r="A34" t="inlineStr">
        <is>
          <t>Interest-only period (years)</t>
        </is>
      </c>
      <c r="B34" s="18" t="n">
        <v>0</v>
      </c>
      <c r="C34" t="inlineStr">
        <is>
          <t>Years you pay interest only, before principal repayment begins. A year of interest only can ease the tightest cash period (build-out and the first weeks of trading); ask your lender whether it offers it</t>
        </is>
      </c>
    </row>
    <row r="35">
      <c r="A35" t="inlineStr">
        <is>
          <t>Working capital (months of fixed costs)</t>
        </is>
      </c>
      <c r="B35" s="18" t="n">
        <v>3</v>
      </c>
      <c r="C35" t="inlineStr">
        <is>
          <t>The minimum this workbook requires (see "Instructions"): a cushion of less than 3 months will not cover a slow season</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It varies widely by state and city: look up yours. UK: 20% VAT on hot food and dine-in</t>
        </is>
      </c>
    </row>
    <row r="40">
      <c r="A40" t="inlineStr">
        <is>
          <t>Sales tax rate on alcohol to go</t>
        </is>
      </c>
      <c r="B40" s="63"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10</v>
      </c>
      <c r="C44" t="inlineStr">
        <is>
          <t>Build-out, installations, ventilation and decor of a bar with a commercial kitchen, including the draft beer system. Straight-line depreciation for the books; tax depreciation (MACRS, Section 179) can differ, so ask your CPA</t>
        </is>
      </c>
    </row>
    <row r="45">
      <c r="A45" t="inlineStr">
        <is>
          <t>Useful life of machinery, furniture and equipment (years)</t>
        </is>
      </c>
      <c r="B45" s="18" t="n">
        <v>7</v>
      </c>
      <c r="C45" t="inlineStr">
        <is>
          <t>Griddle, fryer, oven, refrigeration, the bar build and furniture. Straight-line depreciation over the useful life you enter; tax depreciation (MACRS, Section 179) can differ, so confirm it with your CPA</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0">
      <c r="A50" t="inlineStr">
        <is>
          <t>Implied seat turns per day (calculated)</t>
        </is>
      </c>
      <c r="B50" s="24">
        <f>IFERROR($B$4/$B$51,"")</f>
        <v>1.5833333333333333</v>
      </c>
      <c r="C50" t="str">
        <f>IFERROR("That is "&amp;TEXT(INT(ROUND(B50,1)),"0")&amp;"."&amp;TEXT(ROUND(MOD(ROUND(B50,1),1)*10,0),"0")&amp;" seat turns per day on the "&amp;TEXT($B$51,"0")&amp;" seats in the cell below. Compare it with the ceiling on seat turns typed in ""Break-Even"" and with the turns your opening hours and your room really allow before you rely on either figure.","")</f>
        <v>That is 1.6 seat turns per day on the 60 seats in the cell below. Compare it with the ceiling on seat turns typed in "Break-Even" and with the turns your opening hours and your room really allow before you rely on either figure.</v>
      </c>
    </row>
    <row r="51">
      <c r="A51" t="inlineStr">
        <is>
          <t>Seating capacity (seats at tables + bar)</t>
        </is>
      </c>
      <c r="B51" s="18" t="n">
        <v>60</v>
      </c>
      <c r="C51" t="inlineStr">
        <is>
          <t>TOTAL capacity of the space: dining room seats and bar stools; add patio seats only if they are open most of the year. Count it on your floor plan rather than copying the example: counting a year-round patio raises capacity and lowers the implied seat turns. Daily covers ÷ seats gives the implied seat turns in the row below</t>
        </is>
      </c>
    </row>
    <row r="52">
      <c r="A52" t="inlineStr">
        <is>
          <t>Month-1 activity as a % of steady-state activity</t>
        </is>
      </c>
      <c r="B52" s="63" t="n">
        <v>0.55</v>
      </c>
      <c r="C52" t="inlineStr">
        <is>
          <t>A new business does not sell on day one what it sells six months later. The daily volume above is the year-1 AVERAGE: the ramp only spreads year 1's sales across the months (slower start, stronger finish) and keeps the annual total. At 100% there is no ramp</t>
        </is>
      </c>
    </row>
    <row r="53">
      <c r="A53" t="inlineStr">
        <is>
          <t>Months to reach steady state</t>
        </is>
      </c>
      <c r="B53" s="18" t="n">
        <v>6</v>
      </c>
      <c r="C53" t="inlineStr">
        <is>
          <t>The ramp rises in a straight line from the percentage above to 100% over this number of months</t>
        </is>
      </c>
    </row>
    <row r="54">
      <c r="A54" t="inlineStr">
        <is>
          <t>Months of rent BEFORE opening (build-out and permits)</t>
        </is>
      </c>
      <c r="B54" s="18" t="n">
        <v>2</v>
      </c>
      <c r="C54" t="inlineStr">
        <is>
          <t>You pay for the space from the day you sign. These months are a startup cost: they do NOT overlap the P&amp;L, which starts on opening day. If your liquor license is likely to take longer than the build-out (often 3-12 months from signing), enter the months until it is issued, or negotiate a license contingency and rent abatement in the lease.</t>
        </is>
      </c>
    </row>
    <row r="55">
      <c r="A55" t="inlineStr">
        <is>
          <t>Contingency on the BUILD-OUT lines of the space block (%)</t>
        </is>
      </c>
      <c r="B55" s="63" t="n">
        <v>0.1</v>
      </c>
      <c r="C55" t="inlineStr">
        <is>
          <t>Cushion on the build-out and fit-out line. A lender will not finance a renovation without it</t>
        </is>
      </c>
    </row>
    <row r="57">
      <c r="A57" s="16" t="inlineStr">
        <is>
          <t>RECEIPTS, PAYMENTS AND SALES TAX BREAKDOWN</t>
        </is>
      </c>
    </row>
    <row r="58">
      <c r="A58" t="inlineStr">
        <is>
          <t>Average collection days</t>
        </is>
      </c>
      <c r="B58" s="18" t="n">
        <v>1</v>
      </c>
      <c r="C58" t="inlineStr">
        <is>
          <t>At 1 day, card settlements reach your bank the next business day. Raise it if you work with reservation or delivery platforms, which usually pay out between the next day and 30 days later</t>
        </is>
      </c>
    </row>
    <row r="59">
      <c r="A59" t="inlineStr">
        <is>
          <t>Average days to pay suppliers</t>
        </is>
      </c>
      <c r="B59" s="18" t="n">
        <v>14</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ALCOHOLIC beverages as a share of total beverage sales</t>
        </is>
      </c>
      <c r="B62" s="63" t="n">
        <v>0.9</v>
      </c>
      <c r="C62" t="inlineStr">
        <is>
          <t>Share of beverage sales that is alcohol. The beverage line of this plan is cocktails, beer and wine, so a neighborhood bar sells mostly alcohol; the rest (soft drinks, water, coffee, non-alcoholic drinks) can be taxed differently. It works together with the sales tax rows for alcohol below</t>
        </is>
      </c>
    </row>
    <row r="63">
      <c r="A63" t="inlineStr">
        <is>
          <t>Sales tax rate on alcohol served on site</t>
        </is>
      </c>
      <c r="B63" s="63" t="n">
        <v>0.08</v>
      </c>
      <c r="C63" t="inlineStr">
        <is>
          <t>Same example rate as the rest of on-site sales (8%: state + local). Some states add a tax on drinks served on premises; e.g. Texas: 8.25% mixed beverage sales tax (paid by the customer) + 6.7% gross receipts tax (paid by the bar): put the first here and add 6.7% × your alcohol share (about 6 points at 90%) to your beverage cost %. The workbook applies this rate only to the ALCOHOLIC part of beverage sales</t>
        </is>
      </c>
    </row>
    <row r="64">
      <c r="A64" s="16" t="inlineStr">
        <is>
          <t>CONTROL THRESHOLDS AND FLOORS</t>
        </is>
      </c>
    </row>
    <row r="65">
      <c r="A65" t="inlineStr">
        <is>
          <t>DSCR limit (minimum acceptable)</t>
        </is>
      </c>
      <c r="B65" s="25" t="n">
        <v>1.15</v>
      </c>
      <c r="C65" t="inlineStr">
        <is>
          <t>Below 1.0 the business does not generate enough to repay the loan. Lenders often write a minimum DSCR into the loan covenants: ask yours. Kit default: 1.15×</t>
        </is>
      </c>
    </row>
    <row r="66">
      <c r="A66" t="inlineStr">
        <is>
          <t>DSCR target (green)</t>
        </is>
      </c>
      <c r="B66" s="25" t="n">
        <v>1.25</v>
      </c>
      <c r="C66" t="inlineStr">
        <is>
          <t>What lenders commonly look for before approving a loan comfortably. Kit default: 1.25× (editable estimate)</t>
        </is>
      </c>
    </row>
    <row r="67">
      <c r="A67" t="inlineStr">
        <is>
          <t>Minimum cushion above break-even</t>
        </is>
      </c>
      <c r="B67" s="63" t="n">
        <v>0.15</v>
      </c>
      <c r="C67" t="inlineStr">
        <is>
          <t>How far planned sales must sit above cash break-even (fixed costs and the loan payment). The drop you can absorb is somewhat smaller: with a 15% cushion, about 13% of plan</t>
        </is>
      </c>
    </row>
    <row r="68">
      <c r="A68" t="inlineStr">
        <is>
          <t>State / local minimum wage, annual full-time</t>
        </is>
      </c>
      <c r="B68" s="18" t="n"/>
      <c r="C68" t="inlineStr">
        <is>
          <t>Your STATE or LOCAL minimum wage can be higher than the federal one: enter it here as an annual full-time figure (hourly rate × 2,080 hours). The higher of the two applies. Leave it empty or at 0 and the traffic light compares only against the federal minimum</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BAR BUSINESS PLAN: NEIGHBORHOOD BAR WITH SMALL PLATES</t>
        </is>
      </c>
    </row>
    <row r="2">
      <c r="A2" s="2" t="inlineStr">
        <is>
          <t>Estimated Startup Costs — US kit example (2026)</t>
        </is>
      </c>
    </row>
    <row r="3">
      <c r="A3" s="3" t="inlineStr">
        <is>
          <t>US kit example (2026) — replace with your own quotes.</t>
        </is>
      </c>
    </row>
    <row r="5">
      <c r="A5" s="26" t="inlineStr">
        <is>
          <t>Item</t>
        </is>
      </c>
      <c r="B5" s="26" t="inlineStr">
        <is>
          <t>Amount</t>
        </is>
      </c>
      <c r="C5" s="26" t="inlineStr">
        <is>
          <t>% of startup costs</t>
        </is>
      </c>
      <c r="D5" s="26" t="inlineStr">
        <is>
          <t>Notes</t>
        </is>
      </c>
      <c r="E5" s="26" t="inlineStr">
        <is>
          <t>Taxable / recoverable tax?</t>
        </is>
      </c>
    </row>
    <row r="6">
      <c r="A6" s="26" t="inlineStr">
        <is>
          <t>STARTUP COSTS</t>
        </is>
      </c>
      <c r="B6" s="54">
        <f>IFERROR(IF(COUNT(B7:B27)=0,"",SUM(B7:B27)),"")</f>
        <v>361700.0</v>
      </c>
      <c r="C6" s="65">
        <f>IFERROR(B6/$B$30,"")</f>
        <v>0.7397759769358426</v>
      </c>
      <c r="D6" s="29" t="n"/>
      <c r="E6" s="29" t="n"/>
    </row>
    <row r="7">
      <c r="A7" s="29" t="inlineStr">
        <is>
          <t>LLC formation + legal</t>
        </is>
      </c>
      <c r="B7" s="51" t="n">
        <v>2500</v>
      </c>
      <c r="C7" s="66">
        <f>IFERROR(B7/$B$30,"")</f>
        <v>0.005113187565218708</v>
      </c>
      <c r="D7" s="29" t="inlineStr">
        <is>
          <t>Articles of organization (state filing fee), registered agent and attorney time for the operating agreement. Fees vary by state</t>
        </is>
      </c>
      <c r="E7" s="32" t="inlineStr">
        <is>
          <t>No</t>
        </is>
      </c>
    </row>
    <row r="8">
      <c r="A8" s="29" t="inlineStr">
        <is>
          <t>Liquor license + local permits (non-quota state example)</t>
        </is>
      </c>
      <c r="B8" s="51" t="n">
        <v>15000</v>
      </c>
      <c r="C8" s="66">
        <f>IFERROR(B8/$B$30,"")</f>
        <v>0.030679125391312245</v>
      </c>
      <c r="D8" s="29" t="inlineStr">
        <is>
          <t>Beer &amp; wine licenses start around $3,000; full liquor runs $12,000-$400,000. In quota states you buy an existing license at market price, which costs far more; this row is an example for a state WITHOUT a quota. A license bought from another owner is an intangible asset: ask your CPA. Apply right after signing the lease: it often takes 3-12 months. Most states also charge an annual or biennial renewal fee: add it to your fixed costs</t>
        </is>
      </c>
      <c r="E8" s="32" t="inlineStr">
        <is>
          <t>No</t>
        </is>
      </c>
    </row>
    <row r="9">
      <c r="A9" s="29" t="inlineStr">
        <is>
          <t>Architect, MEP drawings + permit fees</t>
        </is>
      </c>
      <c r="B9" s="51" t="n">
        <v>15000</v>
      </c>
      <c r="C9" s="66">
        <f>IFERROR(B9/$B$30,"")</f>
        <v>0.030679125391312245</v>
      </c>
      <c r="D9" s="29" t="inlineStr">
        <is>
          <t>Architect and MEP drawings plus permit fees, required with a commercial kitchen</t>
        </is>
      </c>
      <c r="E9" s="32" t="inlineStr">
        <is>
          <t>Yes</t>
        </is>
      </c>
    </row>
    <row r="10">
      <c r="A10" s="29" t="inlineStr">
        <is>
          <t>Build-out (second-generation space)</t>
        </is>
      </c>
      <c r="B10" s="51" t="n">
        <v>70000</v>
      </c>
      <c r="C10" s="66">
        <f>IFERROR(B10/$B$30,"")</f>
        <v>0.1431692518261238</v>
      </c>
      <c r="D10" s="29" t="inlineStr">
        <is>
          <t>Flooring, paint, an accessible restroom (ADA) and the work to adapt a second-generation space</t>
        </is>
      </c>
      <c r="E10" s="32" t="inlineStr">
        <is>
          <t>Yes</t>
        </is>
      </c>
    </row>
    <row r="11">
      <c r="A11" s="29" t="inlineStr">
        <is>
          <t>Electrical + HVAC</t>
        </is>
      </c>
      <c r="B11" s="51" t="n">
        <v>22000</v>
      </c>
      <c r="C11" s="66">
        <f>IFERROR(B11/$B$30,"")</f>
        <v>0.044996050573924626</v>
      </c>
      <c r="D11" s="29" t="inlineStr">
        <is>
          <t>Electrical service sized for the kitchen and the back bar, plus heating and air conditioning</t>
        </is>
      </c>
      <c r="E11" s="32" t="inlineStr">
        <is>
          <t>Yes</t>
        </is>
      </c>
    </row>
    <row r="12">
      <c r="A12" s="29" t="inlineStr">
        <is>
          <t>Plumbing, grease interceptor + Type I hood</t>
        </is>
      </c>
      <c r="B12" s="51" t="n">
        <v>28000</v>
      </c>
      <c r="C12" s="66">
        <f>IFERROR(B12/$B$30,"")</f>
        <v>0.057267700730449525</v>
      </c>
      <c r="D12" s="29" t="inlineStr">
        <is>
          <t>Type I hood, exhaust, grease interceptor and plumbing</t>
        </is>
      </c>
      <c r="E12" s="32" t="inlineStr">
        <is>
          <t>Yes</t>
        </is>
      </c>
    </row>
    <row r="13">
      <c r="A13" s="29" t="inlineStr">
        <is>
          <t>Kitchen equipment (griddle, fryer, oven)</t>
        </is>
      </c>
      <c r="B13" s="51" t="n">
        <v>20000</v>
      </c>
      <c r="C13" s="66">
        <f>IFERROR(B13/$B$30,"")</f>
        <v>0.04090550052174966</v>
      </c>
      <c r="D13" s="29" t="inlineStr">
        <is>
          <t>Commercial griddle, fryer, convection oven and broiler for the small-plates menu</t>
        </is>
      </c>
      <c r="E13" s="32" t="inlineStr">
        <is>
          <t>Yes</t>
        </is>
      </c>
    </row>
    <row r="14">
      <c r="A14" s="29" t="inlineStr">
        <is>
          <t>Refrigeration (walk-in + back-bar coolers)</t>
        </is>
      </c>
      <c r="B14" s="51" t="n">
        <v>18000</v>
      </c>
      <c r="C14" s="66">
        <f>IFERROR(B14/$B$30,"")</f>
        <v>0.03681495046957469</v>
      </c>
      <c r="D14" s="29" t="inlineStr">
        <is>
          <t>Walk-in cooler plus under-bar and back-bar refrigerators for beer, wine and mixers</t>
        </is>
      </c>
      <c r="E14" s="32" t="inlineStr">
        <is>
          <t>Yes</t>
        </is>
      </c>
    </row>
    <row r="15">
      <c r="A15" s="29" t="inlineStr">
        <is>
          <t>Bar build (bar top + underbar stations)</t>
        </is>
      </c>
      <c r="B15" s="51" t="n">
        <v>35000</v>
      </c>
      <c r="C15" s="66">
        <f>IFERROR(B15/$B$30,"")</f>
        <v>0.0715846259130619</v>
      </c>
      <c r="D15" s="29" t="inlineStr">
        <is>
          <t>Bar top and underbar stations (ice well, sinks, speed rails), plus a display case for small plates and the draft taps</t>
        </is>
      </c>
      <c r="E15" s="32" t="inlineStr">
        <is>
          <t>Yes</t>
        </is>
      </c>
    </row>
    <row r="16">
      <c r="A16" s="29" t="inlineStr">
        <is>
          <t>Draft beer system + installation</t>
        </is>
      </c>
      <c r="B16" s="51" t="n">
        <v>14000</v>
      </c>
      <c r="C16" s="66">
        <f>IFERROR(B16/$B$30,"")</f>
        <v>0.028633850365224763</v>
      </c>
      <c r="D16" s="29" t="inlineStr">
        <is>
          <t>Taps, draft lines, keg cooler, kegs and CO2, plus installation</t>
        </is>
      </c>
      <c r="E16" s="32" t="inlineStr">
        <is>
          <t>Yes</t>
        </is>
      </c>
    </row>
    <row r="17">
      <c r="A17" s="29" t="inlineStr">
        <is>
          <t>Furniture (tables, high-tops + bar stools)</t>
        </is>
      </c>
      <c r="B17" s="51" t="n">
        <v>15000</v>
      </c>
      <c r="C17" s="66">
        <f>IFERROR(B17/$B$30,"")</f>
        <v>0.030679125391312245</v>
      </c>
      <c r="D17" s="29" t="inlineStr">
        <is>
          <t>High-tops, tables and bar stools for the dining room and bar</t>
        </is>
      </c>
      <c r="E17" s="32" t="inlineStr">
        <is>
          <t>Yes</t>
        </is>
      </c>
    </row>
    <row r="18">
      <c r="A18" s="29" t="inlineStr">
        <is>
          <t>Patio (furniture + awning)</t>
        </is>
      </c>
      <c r="B18" s="51" t="n">
        <v>6000</v>
      </c>
      <c r="C18" s="66">
        <f>IFERROR(B18/$B$30,"")</f>
        <v>0.012271650156524897</v>
      </c>
      <c r="D18" s="29" t="inlineStr">
        <is>
          <t>Tables, chairs and an awning for the patio, if your permit allows it</t>
        </is>
      </c>
      <c r="E18" s="32" t="inlineStr">
        <is>
          <t>Yes</t>
        </is>
      </c>
    </row>
    <row r="19">
      <c r="A19" s="29" t="inlineStr">
        <is>
          <t>Glassware, smallwares + tableware</t>
        </is>
      </c>
      <c r="B19" s="51" t="n">
        <v>8000</v>
      </c>
      <c r="C19" s="66">
        <f>IFERROR(B19/$B$30,"")</f>
        <v>0.016362200208699863</v>
      </c>
      <c r="D19" s="29" t="inlineStr">
        <is>
          <t>Plates for small plates, wine glasses, pint glasses, cocktail glassware and flatware</t>
        </is>
      </c>
      <c r="E19" s="32" t="inlineStr">
        <is>
          <t>Yes</t>
        </is>
      </c>
    </row>
    <row r="20">
      <c r="A20" s="29" t="inlineStr">
        <is>
          <t>Decor, lighting + sound</t>
        </is>
      </c>
      <c r="B20" s="51" t="n">
        <v>18000</v>
      </c>
      <c r="C20" s="66">
        <f>IFERROR(B20/$B$30,"")</f>
        <v>0.03681495046957469</v>
      </c>
      <c r="D20" s="29" t="inlineStr">
        <is>
          <t>Warm lighting, wood and tile finishes, and the sound system</t>
        </is>
      </c>
      <c r="E20" s="32" t="inlineStr">
        <is>
          <t>Yes</t>
        </is>
      </c>
    </row>
    <row r="21">
      <c r="A21" s="29" t="inlineStr">
        <is>
          <t>Exterior signage</t>
        </is>
      </c>
      <c r="B21" s="51" t="n">
        <v>5000</v>
      </c>
      <c r="C21" s="66">
        <f>IFERROR(B21/$B$30,"")</f>
        <v>0.010226375130437415</v>
      </c>
      <c r="D21" s="29" t="inlineStr">
        <is>
          <t>Exterior sign, small-plates menu board and window vinyl</t>
        </is>
      </c>
      <c r="E21" s="32" t="inlineStr">
        <is>
          <t>Yes</t>
        </is>
      </c>
    </row>
    <row r="22">
      <c r="A22" s="29" t="inlineStr">
        <is>
          <t>Launch marketing</t>
        </is>
      </c>
      <c r="B22" s="51" t="n">
        <v>7000</v>
      </c>
      <c r="C22" s="66">
        <f>IFERROR(B22/$B$30,"")</f>
        <v>0.014316925182612381</v>
      </c>
      <c r="D22" s="29" t="inlineStr">
        <is>
          <t>Website, Google Business Profile, Yelp and social media, plus an opening-night event</t>
        </is>
      </c>
      <c r="E22" s="32" t="inlineStr">
        <is>
          <t>Yes</t>
        </is>
      </c>
    </row>
    <row r="23">
      <c r="A23" s="29" t="inlineStr">
        <is>
          <t>Opening inventory (liquor, beer, wine + food)</t>
        </is>
      </c>
      <c r="B23" s="51" t="n">
        <v>15000</v>
      </c>
      <c r="C23" s="66">
        <f>IFERROR(B23/$B$30,"")</f>
        <v>0.030679125391312245</v>
      </c>
      <c r="D23" s="29" t="inlineStr">
        <is>
          <t>Opening inventory: liquor, beer and kegs, wine and perishable food</t>
        </is>
      </c>
      <c r="E23" s="32" t="inlineStr">
        <is>
          <t>Yes</t>
        </is>
      </c>
    </row>
    <row r="24">
      <c r="A24" s="29" t="inlineStr">
        <is>
          <t>POS + handhelds + software</t>
        </is>
      </c>
      <c r="B24" s="51" t="n">
        <v>5000</v>
      </c>
      <c r="C24" s="66">
        <f>IFERROR(B24/$B$30,"")</f>
        <v>0.010226375130437415</v>
      </c>
      <c r="D24" s="29" t="inlineStr">
        <is>
          <t>Countertop POS at the bar, wireless handheld POS and management software</t>
        </is>
      </c>
      <c r="E24" s="32" t="inlineStr">
        <is>
          <t>Yes</t>
        </is>
      </c>
    </row>
    <row r="25">
      <c r="A25" s="29" t="inlineStr">
        <is>
          <t>Security deposit</t>
        </is>
      </c>
      <c r="B25" s="41">
        <f>IFERROR(IF('0. Assumptions'!$B$24="","",'0. Assumptions'!$B$24*'0. Assumptions'!$B$25),"")</f>
        <v>13000.0</v>
      </c>
      <c r="C25" s="66">
        <f>IFERROR(B25/$B$30,"")</f>
        <v>0.02658857533913728</v>
      </c>
      <c r="D25" s="29"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5" s="29" t="inlineStr">
        <is>
          <t>No</t>
        </is>
      </c>
    </row>
    <row r="26">
      <c r="A26" s="29" t="inlineStr">
        <is>
          <t>Rent paid before opening</t>
        </is>
      </c>
      <c r="B26" s="41">
        <f>IFERROR(IF('0. Assumptions'!$B$24="","",'0. Assumptions'!$B$24*'0. Assumptions'!$B$54),"")</f>
        <v>13000.0</v>
      </c>
      <c r="C26" s="66">
        <f>IFERROR(B26/$B$30,"")</f>
        <v>0.02658857533913728</v>
      </c>
      <c r="D26" s="29" t="str">
        <f>IFERROR("Rent "&amp;IF('0. Assumptions'!$B$54=1,"for the month","for the "&amp;TEXT('0. Assumptions'!$B$54,"0")&amp;" months")&amp;" of build-out and permits before opening. It does not overlap the P&amp;L, which starts on opening day: its twelve months are twelve trading months","")</f>
        <v>Rent for the 2 months of build-out and permits before opening. It does not overlap the P&amp;L, which starts on opening day: its twelve months are twelve trading months</v>
      </c>
      <c r="E26" s="29" t="inlineStr">
        <is>
          <t>Yes</t>
        </is>
      </c>
    </row>
    <row r="27">
      <c r="A27" s="34" t="inlineStr">
        <is>
          <t>Build-out and setup contingency</t>
        </is>
      </c>
      <c r="B27" s="43">
        <f>IFERROR(IF(COUNT(B9,B10,B11,B12,B16,B20,B21)=0,"",ROUND((B9+B10+B11+B12+B16+B20+B21)*'0. Assumptions'!$B$55,0)),"")</f>
        <v>17200.0</v>
      </c>
      <c r="C27" s="64">
        <f>IFERROR(B27/$B$30,"")</f>
        <v>0.03517873044870471</v>
      </c>
      <c r="D27" t="str">
        <f>IFERROR("At "&amp;TEXT('0. Assumptions'!$B$55,"0%")&amp;" of the BUILD-OUT items of this block (architect and MEP drawings, build-out, electrical and HVAC, plumbing, grease interceptor and hood, draft beer system, decor and lighting, signage), not of the whole block: the other items are left "&amp;"out. No lender funds a build-out without a cushion: the percentage is in ""0. Assumptions""","")</f>
        <v>At 10% of the BUILD-OUT items of this block (architect and MEP drawings, build-out, electrical and HVAC, plumbing, grease interceptor and hood, draft beer system, decor and lighting, signage), not of the whole block: the other items are left out. No lender funds a build-out without a cushion: the percentage is in "0. Assumptions"</v>
      </c>
      <c r="E27" s="34" t="inlineStr">
        <is>
          <t>Yes</t>
        </is>
      </c>
    </row>
    <row r="28">
      <c r="A28" s="16" t="inlineStr">
        <is>
          <t>WORKING CAPITAL</t>
        </is>
      </c>
      <c r="B28" s="67">
        <f>IFERROR(IF(B29="","",B29),"")</f>
        <v>127231.79999999999</v>
      </c>
      <c r="C28" s="68">
        <f>IFERROR(B28/$B$30,"")</f>
        <v>0.2602240230641574</v>
      </c>
    </row>
    <row r="29">
      <c r="A29" s="34" t="inlineStr">
        <is>
          <t>Operating cushion until break-even</t>
        </is>
      </c>
      <c r="B29" s="43">
        <f>IFERROR(IF('0. Assumptions'!$B$35*('3-Year P&amp;L'!$B$37-'3-Year P&amp;L'!$B$35)=0,"",'0. Assumptions'!$B$35*('3-Year P&amp;L'!$B$37-'3-Year P&amp;L'!$B$35)/12),"")</f>
        <v>127231.79999999999</v>
      </c>
      <c r="C29" s="64">
        <f>IFERROR(B29/$B$30,"")</f>
        <v>0.2602240230641574</v>
      </c>
      <c r="D29"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9" s="34" t="inlineStr">
        <is>
          <t>No</t>
        </is>
      </c>
    </row>
    <row r="30">
      <c r="A30" s="16" t="inlineStr">
        <is>
          <t>TOTAL STARTUP COSTS (sum of the blocks)</t>
        </is>
      </c>
      <c r="B30" s="67">
        <f>IFERROR(B6+B28,"")</f>
        <v>488931.8</v>
      </c>
      <c r="D30" s="38" t="str">
        <f>IFERROR("The percentages in column C are read on this figure, which includes the working capital ("&amp;TEXT(C28,"0%")&amp;" of the total). To compare the breakdown with another plan, use the CAPEX row below.","")</f>
        <v>The percentages in column C are read on this figure, which includes the working capital (26% of the total). To compare the breakdown with another plan, use the CAPEX row below.</v>
      </c>
    </row>
    <row r="31">
      <c r="A31" s="16" t="inlineStr">
        <is>
          <t>CAPEX (startup costs excluding working capital)</t>
        </is>
      </c>
      <c r="B31" s="67">
        <f>IFERROR(B30-B28,"")</f>
        <v>361700.0</v>
      </c>
      <c r="D31" s="16" t="inlineStr">
        <is>
          <t>What you buy: build-out, equipment, launch and formation costs. The cash cushion is not an investment: it is working capital</t>
        </is>
      </c>
    </row>
    <row r="32">
      <c r="A32" s="34" t="inlineStr">
        <is>
          <t>Recoverable input tax on capex</t>
        </is>
      </c>
      <c r="B32" s="43">
        <f>IFERROR(IF(B30="","",SUMIF($E$7:$E$27,"Yes",$B$7:$B$27)*'0. Assumptions'!$B$41),"")</f>
        <v>0.0</v>
      </c>
      <c r="D32"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33">
      <c r="A33" s="16" t="inlineStr">
        <is>
          <t>TOTAL CASH NEEDED AT LAUNCH</t>
        </is>
      </c>
      <c r="B33" s="67">
        <f>IFERROR(B30+B32,"")</f>
        <v>488931.8</v>
      </c>
      <c r="D33" s="16" t="inlineStr">
        <is>
          <t>This is the figure the Financing tab has to cover</t>
        </is>
      </c>
    </row>
    <row r="34">
      <c r="A34" s="16" t="inlineStr">
        <is>
          <t>DEPRECIATION BASES (not added to startup costs)</t>
        </is>
      </c>
    </row>
    <row r="35">
      <c r="A35" s="34" t="inlineStr">
        <is>
          <t>Build-out, fixtures and setup</t>
        </is>
      </c>
      <c r="B35" s="43">
        <f>IFERROR(IF(B9="","",B9+B10+B11+B12+B16+B20+B21+B27),"")</f>
        <v>189200.0</v>
      </c>
      <c r="D35" t="str">
        <f>IFERROR("Depreciated over "&amp;TEXT('0. Assumptions'!$B$44,"0")&amp;" years","")</f>
        <v>Depreciated over 10 years</v>
      </c>
    </row>
    <row r="36">
      <c r="A36" s="34" t="inlineStr">
        <is>
          <t>Machinery, furniture and equipment</t>
        </is>
      </c>
      <c r="B36" s="43">
        <f>IFERROR(IF(B13="","",B13+B14+B15+B17+B18+B19+B24),"")</f>
        <v>107000.0</v>
      </c>
      <c r="D36" t="str">
        <f>IFERROR("Depreciated over "&amp;TEXT('0. Assumptions'!$B$45,"0")&amp;" years","")</f>
        <v>Depreciated over 7 years</v>
      </c>
    </row>
    <row r="37">
      <c r="A37" s="16" t="inlineStr">
        <is>
          <t>Annual depreciation of fixed assets</t>
        </is>
      </c>
      <c r="B37" s="67">
        <f>IFERROR(B35/MAX(1,'0. Assumptions'!$B$44)+B36/MAX(1,'0. Assumptions'!$B$45),"")</f>
        <v>34205.71428571429</v>
      </c>
      <c r="D37" s="38" t="str">
        <f>IFERROR("Not depreciated, because they are not fixed assets: LLC formation and legal, liquor license and local permits (a license bought from another owner is an intangible asset: ask your CPA), launch marketing, opening inventory, security "&amp;"deposit, pre-opening rent and the working capital reserve. They add up to "&amp;TEXT(B30-B35-B36,"#,##0")&amp;" of the "&amp;TEXT(B30,"#,##0")&amp;" total investment.","")</f>
        <v>Not depreciated, because they are not fixed assets: LLC formation and legal, liquor license and local permits (a license bought from another owner is an intangible asset: ask your CPA), launch marketing, opening inventory, security deposit, pre-opening rent and the working capital reserve. They add up to 192732 of the 488932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PRO FORMA P&amp;L — 3 YEARS</t>
        </is>
      </c>
    </row>
    <row r="2">
      <c r="A2" s="3" t="inlineStr">
        <is>
          <t>Base case — neighborhood bar with small plates, 60 seats</t>
        </is>
      </c>
    </row>
    <row r="4">
      <c r="A4" s="40" t="inlineStr">
        <is>
          <t>Item</t>
        </is>
      </c>
      <c r="B4" s="40" t="inlineStr">
        <is>
          <t>Year 1</t>
        </is>
      </c>
      <c r="C4" s="40" t="inlineStr">
        <is>
          <t>Year 2</t>
        </is>
      </c>
      <c r="D4" s="40" t="inlineStr">
        <is>
          <t>Year 3</t>
        </is>
      </c>
      <c r="E4" s="40" t="inlineStr">
        <is>
          <t>% of sales (year 1)</t>
        </is>
      </c>
      <c r="F4" s="40" t="inlineStr">
        <is>
          <t>Notes</t>
        </is>
      </c>
      <c r="G4" s="40" t="inlineStr">
        <is>
          <t>Sales tax rate on the line (%)</t>
        </is>
      </c>
      <c r="H4" s="29" t="n"/>
    </row>
    <row r="5">
      <c r="A5" s="26" t="inlineStr">
        <is>
          <t>REVENUE</t>
        </is>
      </c>
      <c r="B5" s="29" t="n"/>
      <c r="C5" s="29" t="n"/>
      <c r="D5" s="29" t="n"/>
      <c r="E5" s="29" t="n"/>
      <c r="F5" s="29" t="n"/>
      <c r="G5" s="29" t="n"/>
      <c r="H5" s="29" t="n"/>
    </row>
    <row r="6">
      <c r="A6" s="29" t="inlineStr">
        <is>
          <t>Covers per day (average)</t>
        </is>
      </c>
      <c r="B6" s="41">
        <f>IFERROR(IF('0. Assumptions'!$B$4="","",'0. Assumptions'!$B$4),"")</f>
        <v>95.0</v>
      </c>
      <c r="C6" s="41">
        <f>IFERROR(B6*(1+'0. Assumptions'!$B$7),"")</f>
        <v>109.24999999999999</v>
      </c>
      <c r="D6" s="41">
        <f>IFERROR(C6*(1+'0. Assumptions'!$B$8),"")</f>
        <v>120.175</v>
      </c>
      <c r="E6" s="29" t="n"/>
      <c r="F6" s="29" t="inlineStr">
        <is>
          <t>Growth for years 2 and 3 is set in "0. Assumptions"</t>
        </is>
      </c>
      <c r="G6" s="29" t="n"/>
      <c r="H6" s="29" t="n"/>
    </row>
    <row r="7">
      <c r="A7" s="29" t="inlineStr">
        <is>
          <t>Average check (excl. sales tax)</t>
        </is>
      </c>
      <c r="B7" s="62">
        <f>IFERROR(IF('0. Assumptions'!$B$5="","",'0. Assumptions'!$B$5),"")</f>
        <v>27.0</v>
      </c>
      <c r="C7" s="62">
        <f>IFERROR(IF(B7="","",B7),"")</f>
        <v>27.0</v>
      </c>
      <c r="D7" s="62">
        <f>IFERROR(IF(C7="","",C7),"")</f>
        <v>27.0</v>
      </c>
      <c r="E7" s="29" t="n"/>
      <c r="F7" s="29" t="inlineStr">
        <is>
          <t>Held constant at year-1 prices: a price increase is a separate decision</t>
        </is>
      </c>
      <c r="G7" s="29" t="n"/>
      <c r="H7" s="29" t="n"/>
    </row>
    <row r="8">
      <c r="A8" s="29" t="inlineStr">
        <is>
          <t>Operating days per year</t>
        </is>
      </c>
      <c r="B8" s="41">
        <f>IFERROR(IF('0. Assumptions'!$B$6="","",'0. Assumptions'!$B$6),"")</f>
        <v>360.0</v>
      </c>
      <c r="C8" s="41">
        <f>IFERROR(IF(B8="","",B8),"")</f>
        <v>360.0</v>
      </c>
      <c r="D8" s="41">
        <f>IFERROR(IF(C8="","",C8),"")</f>
        <v>360.0</v>
      </c>
      <c r="E8" s="29" t="n"/>
      <c r="F8" s="29" t="n"/>
      <c r="G8" s="29" t="n"/>
      <c r="H8" s="29" t="n"/>
    </row>
    <row r="9">
      <c r="A9" s="26" t="inlineStr">
        <is>
          <t>TOTAL REVENUE (excl. sales tax)</t>
        </is>
      </c>
      <c r="B9" s="54">
        <f>IFERROR(IF(B6*B7*B8=0,"",B6*B7*B8),"")</f>
        <v>923400.0</v>
      </c>
      <c r="C9" s="54">
        <f>IFERROR(IF(C6*C7*C8=0,"",C6*C7*C8),"")</f>
        <v>1061909.9999999998</v>
      </c>
      <c r="D9" s="54">
        <f>IFERROR(IF(D6*D7*D8=0,"",D6*D7*D8),"")</f>
        <v>1168101.0</v>
      </c>
      <c r="E9" s="65">
        <f>IFERROR(IF(B9="","",1),"")</f>
        <v>1.0</v>
      </c>
      <c r="F9" s="29" t="n"/>
      <c r="G9" s="29" t="n"/>
      <c r="H9" s="29" t="n"/>
    </row>
    <row r="10">
      <c r="A10" s="29" t="inlineStr">
        <is>
          <t>Food sales (small plates)</t>
        </is>
      </c>
      <c r="B10" s="41">
        <f>IFERROR(IF(B9="","",B9*$E$10),"")</f>
        <v>323190.0</v>
      </c>
      <c r="C10" s="41">
        <f>IFERROR(IF(C9="","",C9*$E$10),"")</f>
        <v>371668.4999999999</v>
      </c>
      <c r="D10" s="41">
        <f>IFERROR(IF(D9="","",D9*$E$10),"")</f>
        <v>408835.35</v>
      </c>
      <c r="E10" s="66">
        <f>IFERROR(IF('0. Assumptions'!$B$11="","",'0. Assumptions'!$B$11),"")</f>
        <v>0.35</v>
      </c>
      <c r="F10" s="29" t="inlineStr">
        <is>
          <t>Small plates sold at the bar and at tables, plus events, catering and take-out</t>
        </is>
      </c>
      <c r="G10" s="66">
        <f>IFERROR(IF(B9="","",'0. Assumptions'!$B$39),"")</f>
        <v>0.08</v>
      </c>
      <c r="H10" s="29" t="n"/>
    </row>
    <row r="11">
      <c r="A11" s="29" t="inlineStr">
        <is>
          <t>Beverage sales (cocktails, beer, wine + non-alcoholic)</t>
        </is>
      </c>
      <c r="B11" s="41">
        <f>IFERROR(IF(B9="","",B9*$E$11),"")</f>
        <v>600210.0</v>
      </c>
      <c r="C11" s="41">
        <f>IFERROR(IF(C9="","",C9*$E$11),"")</f>
        <v>690241.4999999999</v>
      </c>
      <c r="D11" s="41">
        <f>IFERROR(IF(D9="","",D9*$E$11),"")</f>
        <v>759265.65</v>
      </c>
      <c r="E11" s="66">
        <f>IFERROR(IF('0. Assumptions'!$B$12="","",'0. Assumptions'!$B$12),"")</f>
        <v>0.65</v>
      </c>
      <c r="F11" s="29" t="inlineStr">
        <is>
          <t>Draft beer, wine and cocktails and spirits (a higher cost per drink because of preparation: see the pour cost range in the benchmarks on "Instructions"), plus non-alcoholic drinks</t>
        </is>
      </c>
      <c r="G11" s="66">
        <f>IFERROR(IF(B9="","",('0. Assumptions'!$B$62*((1-'0. Assumptions'!$B$16)*'0. Assumptions'!$B$63+'0. Assumptions'!$B$16*'0. Assumptions'!$B$40)+(1-'0. Assumptions'!$B$62)*'0. Assumptions'!$B$39)),"")</f>
        <v>0.08</v>
      </c>
      <c r="H11" s="29" t="n"/>
    </row>
    <row r="12">
      <c r="A12" s="26" t="inlineStr">
        <is>
          <t>VARIABLE COSTS</t>
        </is>
      </c>
      <c r="B12" s="29" t="n"/>
      <c r="C12" s="29" t="n"/>
      <c r="D12" s="29" t="n"/>
      <c r="E12" s="29" t="n"/>
      <c r="F12" s="29" t="n"/>
      <c r="G12" s="29" t="n"/>
      <c r="H12" s="29" t="n"/>
    </row>
    <row r="13">
      <c r="A13" s="29" t="inlineStr">
        <is>
          <t>Cost of goods sold — food</t>
        </is>
      </c>
      <c r="B13" s="41">
        <f>IFERROR(IF(B9="","",B9*'0. Assumptions'!$B$11*'0. Assumptions'!$B$13),"")</f>
        <v>96957.0</v>
      </c>
      <c r="C13" s="41">
        <f>IFERROR(IF(C9="","",C9*'0. Assumptions'!$B$11*'0. Assumptions'!$B$13),"")</f>
        <v>111500.54999999996</v>
      </c>
      <c r="D13" s="41">
        <f>IFERROR(IF(D9="","",D9*'0. Assumptions'!$B$11*'0. Assumptions'!$B$13),"")</f>
        <v>122650.60499999998</v>
      </c>
      <c r="E13" s="66">
        <f>IFERROR(B13/$B$9,"")</f>
        <v>0.105</v>
      </c>
      <c r="F13" s="29" t="str">
        <f>IFERROR("At "&amp;TEXT('0. Assumptions'!$B$13,"0%")&amp;" of FOOD sales, not of total sales: beverages have their own line","")</f>
        <v>At 30% of FOOD sales, not of total sales: beverages have their own line</v>
      </c>
      <c r="G13" s="66">
        <f>IFERROR(IF(B9="","",'0. Assumptions'!$B$41),"")</f>
        <v>0.0</v>
      </c>
      <c r="H13" s="29" t="n"/>
    </row>
    <row r="14">
      <c r="A14" s="29" t="inlineStr">
        <is>
          <t>Cost of goods sold — beverage</t>
        </is>
      </c>
      <c r="B14" s="41">
        <f>IFERROR(IF(B9="","",B9*'0. Assumptions'!$B$12*'0. Assumptions'!$B$14),"")</f>
        <v>132046.2</v>
      </c>
      <c r="C14" s="41">
        <f>IFERROR(IF(C9="","",C9*'0. Assumptions'!$B$12*'0. Assumptions'!$B$14),"")</f>
        <v>151853.12999999998</v>
      </c>
      <c r="D14" s="41">
        <f>IFERROR(IF(D9="","",D9*'0. Assumptions'!$B$12*'0. Assumptions'!$B$14),"")</f>
        <v>167038.443</v>
      </c>
      <c r="E14" s="66">
        <f>IFERROR(B14/$B$9,"")</f>
        <v>0.14300000000000002</v>
      </c>
      <c r="F14" s="29" t="str">
        <f>IFERROR("At "&amp;TEXT('0. Assumptions'!$B$14,"0%")&amp;" of BEVERAGE sales","")</f>
        <v>At 22% of BEVERAGE sales</v>
      </c>
      <c r="G14" s="66">
        <f>IFERROR(IF(B9="","",'0. Assumptions'!$B$41),"")</f>
        <v>0.0</v>
      </c>
      <c r="H14" s="29" t="n"/>
    </row>
    <row r="15">
      <c r="A15" s="29" t="inlineStr">
        <is>
          <t>Disposables and packaging</t>
        </is>
      </c>
      <c r="B15" s="41">
        <f>IFERROR(IF(B9="","",B9*'0. Assumptions'!$B$15),"")</f>
        <v>9234.0</v>
      </c>
      <c r="C15" s="41">
        <f>IFERROR(IF(C9="","",C9*'0. Assumptions'!$B$15),"")</f>
        <v>10619.099999999999</v>
      </c>
      <c r="D15" s="41">
        <f>IFERROR(IF(D9="","",D9*'0. Assumptions'!$B$15),"")</f>
        <v>11681.01</v>
      </c>
      <c r="E15" s="66">
        <f>IFERROR(B15/$B$9,"")</f>
        <v>0.01</v>
      </c>
      <c r="F15" s="29" t="n"/>
      <c r="G15" s="66">
        <f>IFERROR(IF(B9="","",'0. Assumptions'!$B$41),"")</f>
        <v>0.0</v>
      </c>
      <c r="H15" s="29" t="n"/>
    </row>
    <row r="16">
      <c r="A16" s="29" t="inlineStr">
        <is>
          <t>Delivery platform fees</t>
        </is>
      </c>
      <c r="B16" s="41">
        <f>IFERROR(IF(B9="","",B9*'0. Assumptions'!$B$16*'0. Assumptions'!$B$17),"")</f>
        <v>0.0</v>
      </c>
      <c r="C16" s="41">
        <f>IFERROR(IF(C9="","",C9*'0. Assumptions'!$B$16*'0. Assumptions'!$B$17),"")</f>
        <v>0.0</v>
      </c>
      <c r="D16" s="41">
        <f>IFERROR(IF(D9="","",D9*'0. Assumptions'!$B$16*'0. Assumptions'!$B$17),"")</f>
        <v>0.0</v>
      </c>
      <c r="E16" s="66">
        <f>IFERROR(B16/$B$9,"")</f>
        <v>0.0</v>
      </c>
      <c r="F16" s="29" t="inlineStr">
        <is>
          <t>Applied to the sales of THAT CHANNEL. With 0% delivery in Assumptions, this line is zero</t>
        </is>
      </c>
      <c r="G16" s="66">
        <f>IFERROR(IF(B9="","",'0. Assumptions'!$B$41),"")</f>
        <v>0.0</v>
      </c>
      <c r="H16" s="29" t="n"/>
    </row>
    <row r="17">
      <c r="A17" s="29" t="inlineStr">
        <is>
          <t>Card processing fees</t>
        </is>
      </c>
      <c r="B17" s="41">
        <f>IFERROR(IF(B9="","",B9*'0. Assumptions'!$B$18),"")</f>
        <v>32319.000000000004</v>
      </c>
      <c r="C17" s="41">
        <f>IFERROR(IF(C9="","",C9*'0. Assumptions'!$B$18),"")</f>
        <v>37166.85</v>
      </c>
      <c r="D17" s="41">
        <f>IFERROR(IF(D9="","",D9*'0. Assumptions'!$B$18),"")</f>
        <v>40883.535</v>
      </c>
      <c r="E17" s="66">
        <f>IFERROR(B17/$B$9,"")</f>
        <v>0.035</v>
      </c>
      <c r="F17" s="29" t="inlineStr">
        <is>
          <t>Card processing fees are not subject to sales tax: no tax is recovered or deducted for them</t>
        </is>
      </c>
      <c r="G17" s="66" t="n">
        <v>0</v>
      </c>
      <c r="H17" s="29" t="n"/>
    </row>
    <row r="18">
      <c r="A18" s="29" t="inlineStr">
        <is>
          <t>Miscellaneous and contingency</t>
        </is>
      </c>
      <c r="B18" s="41">
        <f>IFERROR(IF(B9="","",B9*'0. Assumptions'!$B$28),"")</f>
        <v>9234.0</v>
      </c>
      <c r="C18" s="41">
        <f>IFERROR(IF(C9="","",C9*'0. Assumptions'!$B$28),"")</f>
        <v>10619.099999999999</v>
      </c>
      <c r="D18" s="41">
        <f>IFERROR(IF(D9="","",D9*'0. Assumptions'!$B$28),"")</f>
        <v>11681.01</v>
      </c>
      <c r="E18" s="66">
        <f>IFERROR(B18/$B$9,"")</f>
        <v>0.01</v>
      </c>
      <c r="F18" s="29" t="str">
        <f>IFERROR("At "&amp;TEXT('0. Assumptions'!$B$28,"0%")&amp;" of sales. It is a VARIABLE cost: it moves with revenue, so it cannot sit in fixed costs","")</f>
        <v>At 1% of sales. It is a VARIABLE cost: it moves with revenue, so it cannot sit in fixed costs</v>
      </c>
      <c r="G18" s="66">
        <f>IFERROR(IF(B9="","",'0. Assumptions'!$B$41),"")</f>
        <v>0.0</v>
      </c>
      <c r="H18" s="29" t="n"/>
    </row>
    <row r="19">
      <c r="A19" s="26" t="inlineStr">
        <is>
          <t>TOTAL VARIABLE COSTS</t>
        </is>
      </c>
      <c r="B19" s="54">
        <f>IFERROR(IF(B9="","",SUM(B13:B18)),"")</f>
        <v>279790.2</v>
      </c>
      <c r="C19" s="54">
        <f>IFERROR(IF(C9="","",SUM(C13:C18)),"")</f>
        <v>321758.7299999999</v>
      </c>
      <c r="D19" s="54">
        <f>IFERROR(IF(D9="","",SUM(D13:D18)),"")</f>
        <v>353934.603</v>
      </c>
      <c r="E19" s="65">
        <f>IFERROR(B19/$B$9,"")</f>
        <v>0.303</v>
      </c>
      <c r="F19" s="29" t="n"/>
      <c r="G19" s="29" t="n"/>
      <c r="H19" s="29" t="n"/>
    </row>
    <row r="20">
      <c r="A20" s="26" t="inlineStr">
        <is>
          <t>GROSS MARGIN</t>
        </is>
      </c>
      <c r="B20" s="54">
        <f>IFERROR(IF(B9="","",B9-B19),"")</f>
        <v>643609.8</v>
      </c>
      <c r="C20" s="54">
        <f>IFERROR(IF(C9="","",C9-C19),"")</f>
        <v>740151.2699999998</v>
      </c>
      <c r="D20" s="54">
        <f>IFERROR(IF(D9="","",D9-D19),"")</f>
        <v>814166.397</v>
      </c>
      <c r="E20" s="65">
        <f>IFERROR(B20/$B$9,"")</f>
        <v>0.6970000000000001</v>
      </c>
      <c r="F20" s="29" t="n"/>
      <c r="G20" s="29" t="n"/>
      <c r="H20" s="29" t="n"/>
    </row>
    <row r="21">
      <c r="A21" s="26" t="inlineStr">
        <is>
          <t>FIXED COSTS</t>
        </is>
      </c>
      <c r="B21" s="29" t="n"/>
      <c r="C21" s="29" t="n"/>
      <c r="D21" s="29" t="n"/>
      <c r="E21" s="29" t="n"/>
      <c r="F21" s="29" t="n"/>
      <c r="G21" s="29" t="n"/>
      <c r="H21" s="29" t="n"/>
    </row>
    <row r="22">
      <c r="A22" s="29" t="inlineStr">
        <is>
          <t>Rent</t>
        </is>
      </c>
      <c r="B22" s="41">
        <f>IFERROR(IF(B9="","",'0. Assumptions'!$B$24*12),"")</f>
        <v>78000.0</v>
      </c>
      <c r="C22" s="41">
        <f>IFERROR(IF(C9="","",B22*(1+'0. Assumptions'!$B$48)),"")</f>
        <v>78000.0</v>
      </c>
      <c r="D22" s="41">
        <f>IFERROR(IF(D9="","",C22*(1+'0. Assumptions'!$B$48)),"")</f>
        <v>78000.0</v>
      </c>
      <c r="E22" s="66">
        <f>IFERROR(B22/$B$9,"")</f>
        <v>0.08447043534762833</v>
      </c>
      <c r="F22" s="29" t="inlineStr">
        <is>
          <t>The monthly amount is on the "0. Assumptions" tab; here it is multiplied by twelve. Rent for the build-out months, which comes before opening, is on the Startup Costs tab and is NOT counted twice</t>
        </is>
      </c>
      <c r="G22" s="66">
        <f>IFERROR(IF(B9="","",'0. Assumptions'!$B$41),"")</f>
        <v>0.0</v>
      </c>
      <c r="H22" s="29" t="n"/>
    </row>
    <row r="23">
      <c r="A23" s="29" t="inlineStr">
        <is>
          <t>Labor (wages + employer payroll taxes)</t>
        </is>
      </c>
      <c r="B23" s="41">
        <f>IFERROR(IF(B9="","",Staffing!$G$12),"")</f>
        <v>308827.2</v>
      </c>
      <c r="C23" s="41">
        <f>IFERROR(IF(C9="","",Staffing!$B$16),"")</f>
        <v>314827.2</v>
      </c>
      <c r="D23" s="41">
        <f>IFERROR(IF(D9="","",Staffing!$B$17),"")</f>
        <v>320827.2</v>
      </c>
      <c r="E23" s="66">
        <f>IFERROR(B23/$B$9,"")</f>
        <v>0.33444574398960364</v>
      </c>
      <c r="F23" s="29" t="inlineStr">
        <is>
          <t>Comes from the Staffing tab: it is the SAME number, not a separate estimate. Years 2 and 3 add the new hires declared on that tab, not a percentage of volume</t>
        </is>
      </c>
      <c r="G23" s="66" t="n">
        <v>0</v>
      </c>
      <c r="H23" s="29" t="n"/>
    </row>
    <row r="24">
      <c r="A24" s="29" t="inlineStr">
        <is>
          <t>Utilities (electricity, water, gas)</t>
        </is>
      </c>
      <c r="B24" s="41">
        <f>IFERROR(IF(B9="","",'0. Assumptions'!$B$26*12),"")</f>
        <v>24000.0</v>
      </c>
      <c r="C24" s="41">
        <f>IFERROR(IF(C9="","",B24*(1+'0. Assumptions'!$B$48)),"")</f>
        <v>24000.0</v>
      </c>
      <c r="D24" s="41">
        <f>IFERROR(IF(D9="","",C24*(1+'0. Assumptions'!$B$48)),"")</f>
        <v>24000.0</v>
      </c>
      <c r="E24" s="66">
        <f>IFERROR(B24/$B$9,"")</f>
        <v>0.02599090318388564</v>
      </c>
      <c r="F24" s="29" t="inlineStr">
        <is>
          <t>Enter the monthly bills excl. sales tax. The workbook applies a single tax treatment to this whole line, the one in the column next to it; if one utility is taxed differently in your area, give it its own line</t>
        </is>
      </c>
      <c r="G24" s="66">
        <f>IFERROR(IF(B9="","",'0. Assumptions'!$B$41),"")</f>
        <v>0.0</v>
      </c>
      <c r="H24" s="29" t="n"/>
    </row>
    <row r="25">
      <c r="A25" s="29" t="inlineStr">
        <is>
          <t>Insurance (general + liquor liability + property)</t>
        </is>
      </c>
      <c r="B25" s="41">
        <f>IFERROR(IF(B9="","",'0. Assumptions'!$B$27),"")</f>
        <v>12000.0</v>
      </c>
      <c r="C25" s="41">
        <f>IFERROR(IF(C9="","",B25*(1+'0. Assumptions'!$B$48)),"")</f>
        <v>12000.0</v>
      </c>
      <c r="D25" s="41">
        <f>IFERROR(IF(D9="","",C25*(1+'0. Assumptions'!$B$48)),"")</f>
        <v>12000.0</v>
      </c>
      <c r="E25" s="66">
        <f>IFERROR(B25/$B$9,"")</f>
        <v>0.01299545159194282</v>
      </c>
      <c r="F25" s="29" t="inlineStr">
        <is>
          <t>Insurance premiums are not subject to sales tax: there is no recoverable tax on them</t>
        </is>
      </c>
      <c r="G25" s="66" t="n">
        <v>0</v>
      </c>
      <c r="H25" s="29" t="n"/>
    </row>
    <row r="26">
      <c r="A26" s="29" t="inlineStr">
        <is>
          <t>Accounting + bookkeeping</t>
        </is>
      </c>
      <c r="B26" s="51" t="n">
        <v>6000</v>
      </c>
      <c r="C26" s="41">
        <f>IFERROR(IF(C9="","",B26*(1+'0. Assumptions'!$B$48)),"")</f>
        <v>6000.0</v>
      </c>
      <c r="D26" s="41">
        <f>IFERROR(IF(D9="","",C26*(1+'0. Assumptions'!$B$48)),"")</f>
        <v>6000.0</v>
      </c>
      <c r="E26" s="66">
        <f>IFERROR(B26/$B$9,"")</f>
        <v>0.00649772579597141</v>
      </c>
      <c r="F26" s="29" t="n"/>
      <c r="G26" s="66">
        <f>IFERROR(IF(B9="","",'0. Assumptions'!$B$41),"")</f>
        <v>0.0</v>
      </c>
      <c r="H26" s="29" t="n"/>
    </row>
    <row r="27">
      <c r="A27" s="29" t="inlineStr">
        <is>
          <t>Equipment maintenance</t>
        </is>
      </c>
      <c r="B27" s="51" t="n">
        <v>8000</v>
      </c>
      <c r="C27" s="41">
        <f>IFERROR(IF(C9="","",B27*(1+'0. Assumptions'!$B$48)),"")</f>
        <v>8000.0</v>
      </c>
      <c r="D27" s="41">
        <f>IFERROR(IF(D9="","",C27*(1+'0. Assumptions'!$B$48)),"")</f>
        <v>8000.0</v>
      </c>
      <c r="E27" s="66">
        <f>IFERROR(B27/$B$9,"")</f>
        <v>0.008663634394628547</v>
      </c>
      <c r="F27" s="29" t="n"/>
      <c r="G27" s="66">
        <f>IFERROR(IF(B9="","",'0. Assumptions'!$B$41),"")</f>
        <v>0.0</v>
      </c>
      <c r="H27" s="29" t="n"/>
    </row>
    <row r="28">
      <c r="A28" s="29" t="inlineStr">
        <is>
          <t>Marketing and advertising</t>
        </is>
      </c>
      <c r="B28" s="51" t="n">
        <v>15000</v>
      </c>
      <c r="C28" s="41">
        <f>IFERROR(IF(C9="","",B28*(1+'0. Assumptions'!$B$48)),"")</f>
        <v>15000.0</v>
      </c>
      <c r="D28" s="41">
        <f>IFERROR(IF(D9="","",C28*(1+'0. Assumptions'!$B$48)),"")</f>
        <v>15000.0</v>
      </c>
      <c r="E28" s="66">
        <f>IFERROR(B28/$B$9,"")</f>
        <v>0.016244314489928524</v>
      </c>
      <c r="F28" s="29" t="n"/>
      <c r="G28" s="66">
        <f>IFERROR(IF(B9="","",'0. Assumptions'!$B$41),"")</f>
        <v>0.0</v>
      </c>
      <c r="H28" s="29" t="n"/>
    </row>
    <row r="29">
      <c r="A29" s="29" t="inlineStr">
        <is>
          <t>Software (POS, reservations, inventory)</t>
        </is>
      </c>
      <c r="B29" s="51" t="n">
        <v>4800</v>
      </c>
      <c r="C29" s="41">
        <f>IFERROR(IF(C9="","",B29*(1+'0. Assumptions'!$B$48)),"")</f>
        <v>4800.0</v>
      </c>
      <c r="D29" s="41">
        <f>IFERROR(IF(D9="","",C29*(1+'0. Assumptions'!$B$48)),"")</f>
        <v>4800.0</v>
      </c>
      <c r="E29" s="66">
        <f>IFERROR(B29/$B$9,"")</f>
        <v>0.005198180636777128</v>
      </c>
      <c r="F29" s="29" t="n"/>
      <c r="G29" s="66">
        <f>IFERROR(IF(B9="","",'0. Assumptions'!$B$41),"")</f>
        <v>0.0</v>
      </c>
      <c r="H29" s="29" t="n"/>
    </row>
    <row r="30">
      <c r="A30" s="29" t="inlineStr">
        <is>
          <t>Cleaning supplies + linens</t>
        </is>
      </c>
      <c r="B30" s="51" t="n">
        <v>7200</v>
      </c>
      <c r="C30" s="41">
        <f>IFERROR(IF(C9="","",B30*(1+'0. Assumptions'!$B$48)),"")</f>
        <v>7200.0</v>
      </c>
      <c r="D30" s="41">
        <f>IFERROR(IF(D9="","",C30*(1+'0. Assumptions'!$B$48)),"")</f>
        <v>7200.0</v>
      </c>
      <c r="E30" s="66">
        <f>IFERROR(B30/$B$9,"")</f>
        <v>0.007797270955165692</v>
      </c>
      <c r="F30" s="29" t="n"/>
      <c r="G30" s="66">
        <f>IFERROR(IF(B9="","",'0. Assumptions'!$B$41),"")</f>
        <v>0.0</v>
      </c>
      <c r="H30" s="29" t="n"/>
    </row>
    <row r="31">
      <c r="A31" s="29" t="inlineStr">
        <is>
          <t>Waste + grease hauling (trash, recycling, used oil)</t>
        </is>
      </c>
      <c r="B31" s="51" t="n">
        <v>3000</v>
      </c>
      <c r="C31" s="41">
        <f>IFERROR(IF(C9="","",B31*(1+'0. Assumptions'!$B$48)),"")</f>
        <v>3000.0</v>
      </c>
      <c r="D31" s="41">
        <f>IFERROR(IF(D9="","",C31*(1+'0. Assumptions'!$B$48)),"")</f>
        <v>3000.0</v>
      </c>
      <c r="E31" s="66">
        <f>IFERROR(B31/$B$9,"")</f>
        <v>0.003248862897985705</v>
      </c>
      <c r="F31" s="29" t="inlineStr">
        <is>
          <t>Licensed waste / grease hauler; the opening checklist asks for it ahead of opening. With a griddle and fryer running, a bar with a kitchen produces more used oil than a coffee shop, so get a quote for your area</t>
        </is>
      </c>
      <c r="G31" s="66">
        <f>IFERROR(IF(B9="","",'0. Assumptions'!$B$41),"")</f>
        <v>0.0</v>
      </c>
      <c r="H31" s="29" t="n"/>
    </row>
    <row r="32">
      <c r="A32" s="29" t="inlineStr">
        <is>
          <t>Pest control</t>
        </is>
      </c>
      <c r="B32" s="51" t="n">
        <v>1200</v>
      </c>
      <c r="C32" s="41">
        <f>IFERROR(IF(C9="","",B32*(1+'0. Assumptions'!$B$48)),"")</f>
        <v>1200.0</v>
      </c>
      <c r="D32" s="41">
        <f>IFERROR(IF(D9="","",C32*(1+'0. Assumptions'!$B$48)),"")</f>
        <v>1200.0</v>
      </c>
      <c r="E32" s="66">
        <f>IFERROR(B32/$B$9,"")</f>
        <v>0.001299545159194282</v>
      </c>
      <c r="F32" s="29" t="inlineStr">
        <is>
          <t>Licensed pest control company. It is part of the HACCP-based food safety plan, alongside the allergen and food safety training that the opening checklist asks for in its staff phase</t>
        </is>
      </c>
      <c r="G32" s="66">
        <f>IFERROR(IF(B9="","",'0. Assumptions'!$B$41),"")</f>
        <v>0.0</v>
      </c>
      <c r="H32" s="29" t="n"/>
    </row>
    <row r="33">
      <c r="A33" s="29" t="inlineStr">
        <is>
          <t>Music licensing (ASCAP/BMI/SESAC)</t>
        </is>
      </c>
      <c r="B33" s="51" t="n">
        <v>3000</v>
      </c>
      <c r="C33" s="41">
        <f>IFERROR(IF(C9="","",B33*(1+'0. Assumptions'!$B$48)),"")</f>
        <v>3000.0</v>
      </c>
      <c r="D33" s="41">
        <f>IFERROR(IF(D9="","",C33*(1+'0. Assumptions'!$B$48)),"")</f>
        <v>3000.0</v>
      </c>
      <c r="E33" s="66">
        <f>IFERROR(B33/$B$9,"")</f>
        <v>0.003248862897985705</v>
      </c>
      <c r="F33" s="29" t="inlineStr">
        <is>
          <t>Public-performance licenses from ASCAP, BMI and SESAC. They are separate from your local permits: budget for them if you play music in the bar or hire a DJ</t>
        </is>
      </c>
      <c r="G33" s="66">
        <f>IFERROR(IF(B9="","",'0. Assumptions'!$B$41),"")</f>
        <v>0.0</v>
      </c>
      <c r="H33" s="29" t="n"/>
    </row>
    <row r="34">
      <c r="A34" s="29" t="inlineStr">
        <is>
          <t>Safety + responsible-service training</t>
        </is>
      </c>
      <c r="B34" s="51" t="n">
        <v>1000</v>
      </c>
      <c r="C34" s="41">
        <f>IFERROR(IF(C9="","",B34*(1+'0. Assumptions'!$B$48)),"")</f>
        <v>1000.0</v>
      </c>
      <c r="D34" s="41">
        <f>IFERROR(IF(D9="","",C34*(1+'0. Assumptions'!$B$48)),"")</f>
        <v>1000.0</v>
      </c>
      <c r="E34" s="66">
        <f>IFERROR(B34/$B$9,"")</f>
        <v>0.0010829542993285683</v>
      </c>
      <c r="F34" s="29" t="inlineStr">
        <is>
          <t>Staff training in responsible beverage service (TIPS / ServSafe Alcohol) and in workplace safety. Check what your state or city requires for people who pour alcohol; it also supports your dram shop liability coverage</t>
        </is>
      </c>
      <c r="G34" s="66">
        <f>IFERROR(IF(B9="","",'0. Assumptions'!$B$41),"")</f>
        <v>0.0</v>
      </c>
      <c r="H34" s="29" t="n"/>
    </row>
    <row r="35">
      <c r="A35" s="29" t="inlineStr">
        <is>
          <t>Depreciation of fixed assets</t>
        </is>
      </c>
      <c r="B35" s="41">
        <f>IFERROR(IF(B9="","",'Startup Costs'!$B$37),"")</f>
        <v>34205.71428571429</v>
      </c>
      <c r="C35" s="41">
        <f>IFERROR(IF(C9="","",B35),"")</f>
        <v>34205.71428571429</v>
      </c>
      <c r="D35" s="41">
        <f>IFERROR(IF(D9="","",B35),"")</f>
        <v>34205.71428571429</v>
      </c>
      <c r="E35" s="66">
        <f>IFERROR(B35/$B$9,"")</f>
        <v>0.037043225347318916</v>
      </c>
      <c r="F35" s="29" t="inlineStr">
        <is>
          <t>Comes from the depreciation bases on the Startup Costs tab: real fixed assets only. It does NOT rise with inflation: it is a charge on the HISTORICAL cost of the assets</t>
        </is>
      </c>
      <c r="G35" s="66" t="n">
        <v>0</v>
      </c>
      <c r="H35" s="29" t="n"/>
    </row>
    <row r="36">
      <c r="A36" s="29" t="inlineStr">
        <is>
          <t>Interest expense (loan interest)</t>
        </is>
      </c>
      <c r="B36" s="41">
        <f>IFERROR(IF(B9="","",Financing!$B$44),"")</f>
        <v>36900.0</v>
      </c>
      <c r="C36" s="41">
        <f>IFERROR(IF(C9="","",Financing!$B$46),"")</f>
        <v>34584.69492883533</v>
      </c>
      <c r="D36" s="41">
        <f>IFERROR(IF(D9="","",Financing!$B$48),"")</f>
        <v>32037.859350554187</v>
      </c>
      <c r="E36" s="66">
        <f>IFERROR(B36/$B$9,"")</f>
        <v>0.03996101364522417</v>
      </c>
      <c r="F36" s="29" t="inlineStr">
        <is>
          <t>Only INTEREST is an expense. Principal repaid appears on the cash flow tab</t>
        </is>
      </c>
      <c r="G36" s="66" t="n">
        <v>0</v>
      </c>
      <c r="H36" s="29" t="n"/>
    </row>
    <row r="37">
      <c r="A37" s="26" t="inlineStr">
        <is>
          <t>TOTAL FIXED COSTS</t>
        </is>
      </c>
      <c r="B37" s="54">
        <f>IFERROR(IF(B9="","",SUM(B22:B36)),"")</f>
        <v>543132.9142857143</v>
      </c>
      <c r="C37" s="54">
        <f>IFERROR(IF(C9="","",SUM(C22:C36)),"")</f>
        <v>546817.6092145497</v>
      </c>
      <c r="D37" s="54">
        <f>IFERROR(IF(D9="","",SUM(D22:D36)),"")</f>
        <v>550270.7736362685</v>
      </c>
      <c r="E37" s="65">
        <f>IFERROR(B37/$B$9,"")</f>
        <v>0.5881881246325691</v>
      </c>
      <c r="F37" s="29" t="n"/>
      <c r="G37" s="29" t="n"/>
      <c r="H37" s="29" t="n"/>
    </row>
    <row r="38">
      <c r="A38" s="29" t="inlineStr">
        <is>
          <t>Recoverable input tax on variable costs</t>
        </is>
      </c>
      <c r="B38" s="41">
        <f>IFERROR(IF(B9="","",SUMPRODUCT(B13:B18,G13:G18)),"")</f>
        <v>0.0</v>
      </c>
      <c r="C38" s="41">
        <f>IFERROR(IF(C9="","",SUMPRODUCT(C13:C18,G13:G18)),"")</f>
        <v>0.0</v>
      </c>
      <c r="D38" s="41">
        <f>IFERROR(IF(D9="","",SUMPRODUCT(D13:D18,G13:G18)),"")</f>
        <v>0.0</v>
      </c>
      <c r="E38" s="29" t="n"/>
      <c r="F38" s="29" t="inlineStr">
        <is>
          <t>Each line at ITS OWN rate, read from the column next to it. It is what the cash flow tab overpays to suppliers and later deducts (zero wherever no tax is recoverable)</t>
        </is>
      </c>
      <c r="G38" s="29" t="n"/>
      <c r="H38" s="29" t="n"/>
    </row>
    <row r="39">
      <c r="A39" s="34" t="inlineStr">
        <is>
          <t>Recoverable input tax on fixed costs</t>
        </is>
      </c>
      <c r="B39" s="43">
        <f>IFERROR(IF(B9="","",SUMPRODUCT(B22:B36,G22:G36)),"")</f>
        <v>0.0</v>
      </c>
      <c r="C39" s="43">
        <f>IFERROR(IF(C9="","",SUMPRODUCT(C22:C36,G22:G36)),"")</f>
        <v>0.0</v>
      </c>
      <c r="D39" s="43">
        <f>IFERROR(IF(D9="","",SUMPRODUCT(D22:D36,G22:G36)),"")</f>
        <v>0.0</v>
      </c>
    </row>
    <row r="40">
      <c r="A40" s="16" t="inlineStr">
        <is>
          <t>PRE-TAX INCOME (EBT)</t>
        </is>
      </c>
      <c r="B40" s="67">
        <f>IFERROR(IF(B9="","",B20-B37),"")</f>
        <v>100476.88571428577</v>
      </c>
      <c r="C40" s="67">
        <f>IFERROR(IF(C9="","",C20-C37),"")</f>
        <v>193333.66078545013</v>
      </c>
      <c r="D40" s="67">
        <f>IFERROR(IF(D9="","",D20-D37),"")</f>
        <v>263895.62336373155</v>
      </c>
      <c r="E40" s="68">
        <f>IFERROR(B40/$B$9,"")</f>
        <v>0.10881187536743099</v>
      </c>
    </row>
    <row r="41">
      <c r="A41" s="34" t="inlineStr">
        <is>
          <t>Net operating losses carried forward (opening)</t>
        </is>
      </c>
      <c r="B41" s="43">
        <f>IFERROR(IF(B9="","",'0. Assumptions'!$B$42),"")</f>
        <v>0.0</v>
      </c>
      <c r="C41" s="43">
        <f>IFERROR(IF(C9="","",B46),"")</f>
        <v>0.0</v>
      </c>
      <c r="D41" s="43">
        <f>IFERROR(IF(D9="","",C46),"")</f>
        <v>0.0</v>
      </c>
      <c r="F41" s="34" t="inlineStr">
        <is>
          <t>Federal rules let a year's losses offset the profits of later years (the federal limit is 80% of taxable income; this model offsets 100% as a simplification)</t>
        </is>
      </c>
    </row>
    <row r="42">
      <c r="A42" s="34" t="inlineStr">
        <is>
          <t>Taxable income (after loss offset)</t>
        </is>
      </c>
      <c r="B42" s="43">
        <f>IFERROR(IF(B9="","",MAX(0,B40-B41)),"")</f>
        <v>100476.88571428577</v>
      </c>
      <c r="C42" s="43">
        <f>IFERROR(IF(C9="","",MAX(0,C40-C41)),"")</f>
        <v>193333.66078545013</v>
      </c>
      <c r="D42" s="43">
        <f>IFERROR(IF(D9="","",MAX(0,D40-D41)),"")</f>
        <v>263895.62336373155</v>
      </c>
    </row>
    <row r="43">
      <c r="A43" s="34" t="inlineStr">
        <is>
          <t>Years with positive taxable income (cumulative)</t>
        </is>
      </c>
      <c r="B43" s="43">
        <f>IFERROR(IF(B9="","",IF(B42&gt;0,1,0)),"")</f>
        <v>1.0</v>
      </c>
      <c r="C43" s="43">
        <f>IFERROR(IF(C9="","",B43+IF(C42&gt;0,1,0)),"")</f>
        <v>2.0</v>
      </c>
      <c r="D43" s="43">
        <f>IFERROR(IF(D9="","",C43+IF(D42&gt;0,1,0)),"")</f>
        <v>3.0</v>
      </c>
    </row>
    <row r="44">
      <c r="A44" s="34" t="inlineStr">
        <is>
          <t>Effective income tax rate applied</t>
        </is>
      </c>
      <c r="B44" s="64">
        <f>IFERROR(IF(B9="","",IF(B42&lt;=0,"",IF(B43&lt;=2,'0. Assumptions'!$B$37,'0. Assumptions'!$B$38))),"")</f>
        <v>0.25</v>
      </c>
      <c r="C44" s="64">
        <f>IFERROR(IF(C9="","",IF(C42&lt;=0,"",IF(C43&lt;=2,'0. Assumptions'!$B$37,'0. Assumptions'!$B$38))),"")</f>
        <v>0.25</v>
      </c>
      <c r="D44" s="64">
        <f>IFERROR(IF(D9="","",IF(D42&lt;=0,"",IF(D43&lt;=2,'0. Assumptions'!$B$37,'0. Assumptions'!$B$38))),"")</f>
        <v>0.25</v>
      </c>
      <c r="F44" s="34" t="inlineStr">
        <is>
          <t>The "years 1-2" rate applies to the first two years with positive taxable income, not to the first two calendar years of the business. The model approximates this by counting the first two profitable years</t>
        </is>
      </c>
    </row>
    <row r="45">
      <c r="A45" s="34" t="inlineStr">
        <is>
          <t>Income tax</t>
        </is>
      </c>
      <c r="B45" s="43">
        <f>IFERROR(IF(B9="","",IF(B44="",0,B42*B44)),"")</f>
        <v>25119.221428571444</v>
      </c>
      <c r="C45" s="43">
        <f>IFERROR(IF(C9="","",IF(C44="",0,C42*C44)),"")</f>
        <v>48333.41519636253</v>
      </c>
      <c r="D45" s="43">
        <f>IFERROR(IF(D9="","",IF(D44="",0,D42*D44)),"")</f>
        <v>65973.90584093289</v>
      </c>
    </row>
    <row r="46">
      <c r="A46" s="34" t="inlineStr">
        <is>
          <t>Net operating losses carried forward (closing)</t>
        </is>
      </c>
      <c r="B46" s="43">
        <f>IFERROR(IF(B9="","",MAX(0,B41-B40)),"")</f>
        <v>0.0</v>
      </c>
      <c r="C46" s="43">
        <f>IFERROR(IF(C9="","",MAX(0,C41-C40)),"")</f>
        <v>0.0</v>
      </c>
      <c r="D46" s="43">
        <f>IFERROR(IF(D9="","",MAX(0,D41-D40)),"")</f>
        <v>0.0</v>
      </c>
    </row>
    <row r="47">
      <c r="A47" s="16" t="inlineStr">
        <is>
          <t>NET INCOME</t>
        </is>
      </c>
      <c r="B47" s="67">
        <f>IFERROR(IF(B9="","",B40-B45),"")</f>
        <v>75357.66428571433</v>
      </c>
      <c r="C47" s="67">
        <f>IFERROR(IF(C9="","",C40-C45),"")</f>
        <v>145000.2455890876</v>
      </c>
      <c r="D47" s="67">
        <f>IFERROR(IF(D9="","",D40-D45),"")</f>
        <v>197921.71752279866</v>
      </c>
      <c r="E47" s="68">
        <f>IFERROR(B47/$B$9,"")</f>
        <v>0.08160890652557325</v>
      </c>
    </row>
    <row r="48">
      <c r="A48" s="16" t="inlineStr">
        <is>
          <t>KEY RATIOS</t>
        </is>
      </c>
    </row>
    <row r="49">
      <c r="A49" s="16" t="inlineStr">
        <is>
          <t>Ratio</t>
        </is>
      </c>
      <c r="B49" s="16" t="inlineStr">
        <is>
          <t>Year 1</t>
        </is>
      </c>
      <c r="C49" s="16" t="inlineStr">
        <is>
          <t>Year 2</t>
        </is>
      </c>
      <c r="D49" s="16" t="inlineStr">
        <is>
          <t>Year 3</t>
        </is>
      </c>
      <c r="E49" s="16" t="inlineStr">
        <is>
          <t>Threshold</t>
        </is>
      </c>
      <c r="F49" s="16" t="inlineStr">
        <is>
          <t>Comment</t>
        </is>
      </c>
    </row>
    <row r="50">
      <c r="A50" s="34" t="inlineStr">
        <is>
          <t>Gross margin / Sales</t>
        </is>
      </c>
      <c r="B50" s="64">
        <f>IFERROR(IF(B9="","",B20/B9),"")</f>
        <v>0.6970000000000001</v>
      </c>
      <c r="C50" s="64">
        <f>IFERROR(IF(C9="","",C20/C9),"")</f>
        <v>0.697</v>
      </c>
      <c r="D50" s="64">
        <f>IFERROR(IF(D9="","",D20/D9),"")</f>
        <v>0.697</v>
      </c>
      <c r="E50" s="69" t="n">
        <v>0.68</v>
      </c>
      <c r="F50" s="34" t="inlineStr">
        <is>
          <t>Floor set by this workbook (see "Instructions"): gross margin at or above 68% (kit benchmark, editable estimate)</t>
        </is>
      </c>
    </row>
    <row r="51">
      <c r="A51" s="34" t="inlineStr">
        <is>
          <t>Cost of goods sold (food + beverage)</t>
        </is>
      </c>
      <c r="B51" s="43">
        <f>IFERROR(IF(B9="","",B13+B14),"")</f>
        <v>229003.2</v>
      </c>
      <c r="C51" s="43">
        <f>IFERROR(IF(C9="","",C13+C14),"")</f>
        <v>263353.67999999993</v>
      </c>
      <c r="D51" s="43">
        <f>IFERROR(IF(D9="","",D13+D14),"")</f>
        <v>289689.04799999995</v>
      </c>
    </row>
    <row r="52">
      <c r="A52" s="34" t="inlineStr">
        <is>
          <t>Cost of goods sold / Sales</t>
        </is>
      </c>
      <c r="B52" s="64">
        <f>IFERROR(IF(B9="","",B51/B9),"")</f>
        <v>0.24800000000000003</v>
      </c>
      <c r="C52" s="64">
        <f>IFERROR(IF(C9="","",C51/C9),"")</f>
        <v>0.248</v>
      </c>
      <c r="D52" s="64">
        <f>IFERROR(IF(D9="","",D51/D9),"")</f>
        <v>0.24799999999999997</v>
      </c>
      <c r="E52" s="69" t="n">
        <v>0.28</v>
      </c>
      <c r="F52" s="34" t="inlineStr">
        <is>
          <t>Ceiling set by this workbook: cost of goods sold at or below 28% of sales (kit benchmark, editable estimate), a blend of the food cost and pour cost ranges in the benchmarks on "Instructions"</t>
        </is>
      </c>
    </row>
    <row r="53">
      <c r="A53" s="34" t="inlineStr">
        <is>
          <t>Labor cost / Sales</t>
        </is>
      </c>
      <c r="B53" s="64">
        <f>IFERROR(IF(B9="","",B23/B9),"")</f>
        <v>0.33444574398960364</v>
      </c>
      <c r="C53" s="64">
        <f>IFERROR(IF(C9="","",C23/C9),"")</f>
        <v>0.29647258242223923</v>
      </c>
      <c r="D53" s="64">
        <f>IFERROR(IF(D9="","",D23/D9),"")</f>
        <v>0.2746570716059656</v>
      </c>
      <c r="E53" s="69" t="n">
        <v>0.35</v>
      </c>
      <c r="F53" s="34" t="inlineStr">
        <is>
          <t>Ceiling set by this workbook (see "Instructions"): labor at or below 35% of sales (kit benchmark, editable estimate). It leaves room to pay a qualified kitchen lead full time. Tips are not modeled</t>
        </is>
      </c>
    </row>
    <row r="54">
      <c r="A54" s="34" t="inlineStr">
        <is>
          <t>Rent / Sales</t>
        </is>
      </c>
      <c r="B54" s="64">
        <f>IFERROR(IF(B9="","",B22/B9),"")</f>
        <v>0.08447043534762833</v>
      </c>
      <c r="C54" s="64">
        <f>IFERROR(IF(C9="","",C22/C9),"")</f>
        <v>0.07345255247619856</v>
      </c>
      <c r="D54" s="64">
        <f>IFERROR(IF(D9="","",D22/D9),"")</f>
        <v>0.06677504770563504</v>
      </c>
      <c r="E54" s="69" t="n">
        <v>0.1</v>
      </c>
      <c r="F54" s="34" t="inlineStr">
        <is>
          <t>Ceiling set by this workbook (see "Instructions"): rent at or below 10% of sales (kit benchmark, editable estimate)</t>
        </is>
      </c>
    </row>
    <row r="55">
      <c r="A55" s="34" t="inlineStr">
        <is>
          <t>Net income / Sales</t>
        </is>
      </c>
      <c r="B55" s="64">
        <f>IFERROR(IF(B9="","",B47/B9),"")</f>
        <v>0.08160890652557325</v>
      </c>
      <c r="C55" s="64">
        <f>IFERROR(IF(C9="","",C47/C9),"")</f>
        <v>0.13654664292556584</v>
      </c>
      <c r="D55" s="64">
        <f>IFERROR(IF(D9="","",D47/D9),"")</f>
        <v>0.1694388734559757</v>
      </c>
      <c r="E55" s="69" t="n">
        <v>0.05</v>
      </c>
      <c r="F55" s="34" t="inlineStr">
        <is>
          <t>Target set by this workbook (see "Instructions"): net income at or above 5% of sales (kit benchmark, editable estimate), after depreciation, interest and income tax</t>
        </is>
      </c>
    </row>
    <row r="56">
      <c r="A56" s="34" t="inlineStr">
        <is>
          <t>Break-even reached</t>
        </is>
      </c>
      <c r="B56" t="str">
        <f>IFERROR(IF(B9="","",IF(B9&gt;='Break-Even'!$B$16,"Yes","No")),"")</f>
        <v>Yes</v>
      </c>
      <c r="C56" t="str">
        <f>IFERROR(IF(C9="","",IF(C9&gt;='Break-Even'!$C$16,"Yes","No")),"")</f>
        <v>Yes</v>
      </c>
      <c r="D56" t="str">
        <f>IFERROR(IF(D9="","",IF(D9&gt;='Break-Even'!$D$16,"Yes","No")),"")</f>
        <v>Yes</v>
      </c>
      <c r="F56" s="34" t="inlineStr">
        <is>
          <t>Compares each year's sales with that same year's threshold, which the Break-Even tab calculates with that year's fixed costs</t>
        </is>
      </c>
    </row>
    <row r="58" ht="165" customHeight="1">
      <c r="A58"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Yes">
      <formula>NOT(ISERROR(SEARCH("Yes",B56)))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nvalid amount" error="Enter a number greater than or equal to 0." type="decimal" operator="greaterThanOrEqual">
      <formula1>0</formula1>
    </dataValidation>
    <dataValidation sqref="E50 E52 E53 E54 E5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Monthly and daily break-even — neighborhood bar with small plates</t>
        </is>
      </c>
    </row>
    <row r="4">
      <c r="A4" s="26" t="inlineStr">
        <is>
          <t>Variable</t>
        </is>
      </c>
      <c r="B4" s="26" t="inlineStr">
        <is>
          <t>Year 1</t>
        </is>
      </c>
      <c r="C4" s="26" t="inlineStr">
        <is>
          <t>Year 2</t>
        </is>
      </c>
      <c r="D4" s="26" t="inlineStr">
        <is>
          <t>Year 3</t>
        </is>
      </c>
      <c r="E4" s="26" t="inlineStr">
        <is>
          <t>Notes</t>
        </is>
      </c>
      <c r="F4" s="29" t="n"/>
    </row>
    <row r="5">
      <c r="A5" s="26" t="inlineStr">
        <is>
          <t>BASE DATA BY YEAR</t>
        </is>
      </c>
      <c r="B5" s="29" t="n"/>
      <c r="C5" s="29" t="n"/>
      <c r="D5" s="29" t="n"/>
      <c r="E5" s="29" t="n"/>
      <c r="F5" s="29" t="n"/>
    </row>
    <row r="6">
      <c r="A6" s="29" t="inlineStr">
        <is>
          <t>Annual fixed costs</t>
        </is>
      </c>
      <c r="B6" s="62">
        <f>IFERROR(IF('3-Year P&amp;L'!$B$9="","",'3-Year P&amp;L'!$B$37),"")</f>
        <v>543132.9142857143</v>
      </c>
      <c r="C6" s="62">
        <f>IFERROR(IF('3-Year P&amp;L'!$C$9="","",'3-Year P&amp;L'!$C$37),"")</f>
        <v>546817.6092145497</v>
      </c>
      <c r="D6" s="62">
        <f>IFERROR(IF('3-Year P&amp;L'!$D$9="","",'3-Year P&amp;L'!$D$37),"")</f>
        <v>550270.7736362685</v>
      </c>
      <c r="E6" s="29" t="inlineStr">
        <is>
          <t>The SAME fixed costs as the P&amp;L. Each year has its own, which is why the threshold cannot be a single one for all three years</t>
        </is>
      </c>
      <c r="F6" s="29" t="n"/>
    </row>
    <row r="7">
      <c r="A7" s="29" t="inlineStr">
        <is>
          <t>Monthly fixed costs</t>
        </is>
      </c>
      <c r="B7" s="62">
        <f>IFERROR(IF('3-Year P&amp;L'!$B$9="","",B6/12),"")</f>
        <v>45261.07619047619</v>
      </c>
      <c r="C7" s="62">
        <f>IFERROR(IF('3-Year P&amp;L'!$C$9="","",C6/12),"")</f>
        <v>45568.13410121247</v>
      </c>
      <c r="D7" s="62">
        <f>IFERROR(IF('3-Year P&amp;L'!$D$9="","",D6/12),"")</f>
        <v>45855.89780302237</v>
      </c>
      <c r="E7" s="29" t="n"/>
      <c r="F7" s="29" t="n"/>
    </row>
    <row r="8">
      <c r="A8" s="29" t="inlineStr">
        <is>
          <t>Average check (excl. sales tax)</t>
        </is>
      </c>
      <c r="B8" s="62">
        <f>IFERROR(IF('3-Year P&amp;L'!$B$9="","",'3-Year P&amp;L'!$B$7),"")</f>
        <v>27.0</v>
      </c>
      <c r="C8" s="62">
        <f>IFERROR(IF('3-Year P&amp;L'!$C$9="","",'3-Year P&amp;L'!$C$7),"")</f>
        <v>27.0</v>
      </c>
      <c r="D8" s="62">
        <f>IFERROR(IF('3-Year P&amp;L'!$D$9="","",'3-Year P&amp;L'!$D$7),"")</f>
        <v>27.0</v>
      </c>
      <c r="E8" s="29" t="n"/>
      <c r="F8" s="29" t="n"/>
    </row>
    <row r="9">
      <c r="A9" s="29" t="inlineStr">
        <is>
          <t>Variable cost per cover</t>
        </is>
      </c>
      <c r="B9" s="62">
        <f>IFERROR(IF('3-Year P&amp;L'!$B$9="","",'3-Year P&amp;L'!$B$19/('3-Year P&amp;L'!$B$6*'3-Year P&amp;L'!$B$8)),"")</f>
        <v>8.181000000000001</v>
      </c>
      <c r="C9" s="62">
        <f>IFERROR(IF('3-Year P&amp;L'!$C$9="","",'3-Year P&amp;L'!$C$19/('3-Year P&amp;L'!$C$6*'3-Year P&amp;L'!$C$8)),"")</f>
        <v>8.181</v>
      </c>
      <c r="D9" s="62">
        <f>IFERROR(IF('3-Year P&amp;L'!$D$9="","",'3-Year P&amp;L'!$D$19/('3-Year P&amp;L'!$D$6*'3-Year P&amp;L'!$D$8)),"")</f>
        <v>8.181000000000001</v>
      </c>
      <c r="E9" s="29" t="inlineStr">
        <is>
          <t>Comes from the P&amp;L total variable costs, not from a separate estimate. It includes miscellaneous and contingency, which is a percentage of sales</t>
        </is>
      </c>
      <c r="F9" s="29" t="n"/>
    </row>
    <row r="10">
      <c r="A10" s="29" t="inlineStr">
        <is>
          <t>Contribution margin per cover</t>
        </is>
      </c>
      <c r="B10" s="62">
        <f>IFERROR(IF('3-Year P&amp;L'!$B$9="","",B8-B9),"")</f>
        <v>18.819</v>
      </c>
      <c r="C10" s="62">
        <f>IFERROR(IF('3-Year P&amp;L'!$C$9="","",C8-C9),"")</f>
        <v>18.819000000000003</v>
      </c>
      <c r="D10" s="62">
        <f>IFERROR(IF('3-Year P&amp;L'!$D$9="","",D8-D9),"")</f>
        <v>18.819</v>
      </c>
      <c r="E10" s="29" t="inlineStr">
        <is>
          <t>Average check minus unit variable cost</t>
        </is>
      </c>
      <c r="F10" s="29" t="n"/>
    </row>
    <row r="11">
      <c r="A11" s="29" t="inlineStr">
        <is>
          <t>Operating days per year</t>
        </is>
      </c>
      <c r="B11" s="41">
        <f>IFERROR(IF('3-Year P&amp;L'!$B$9="","",'3-Year P&amp;L'!$B$8),"")</f>
        <v>360.0</v>
      </c>
      <c r="C11" s="41">
        <f>IFERROR(IF('3-Year P&amp;L'!$C$9="","",'3-Year P&amp;L'!$C$8),"")</f>
        <v>360.0</v>
      </c>
      <c r="D11" s="41">
        <f>IFERROR(IF('3-Year P&amp;L'!$D$9="","",'3-Year P&amp;L'!$D$8),"")</f>
        <v>360.0</v>
      </c>
      <c r="E11" s="29" t="inlineStr">
        <is>
          <t>The same calendar as the P&amp;L and the scenarios</t>
        </is>
      </c>
      <c r="F11" s="29" t="n"/>
    </row>
    <row r="12">
      <c r="A12" s="29" t="inlineStr">
        <is>
          <t>Principal repaid in the year</t>
        </is>
      </c>
      <c r="B12" s="62">
        <f>IFERROR(IF('3-Year P&amp;L'!$B$9="","",Financing!$B$45),"")</f>
        <v>23153.05071164675</v>
      </c>
      <c r="C12" s="62">
        <f>IFERROR(IF('3-Year P&amp;L'!$C$9="","",Financing!$B$47),"")</f>
        <v>25468.35578281142</v>
      </c>
      <c r="D12" s="62">
        <f>IFERROR(IF('3-Year P&amp;L'!$D$9="","",Financing!$B$49),"")</f>
        <v>28015.191361092562</v>
      </c>
      <c r="E12" s="29" t="inlineStr">
        <is>
          <t>Principal is NOT a P&amp;L expense, but it leaves the cash account. Without it, the published break-even threshold would sit below the real one</t>
        </is>
      </c>
      <c r="F12" s="29" t="n"/>
    </row>
    <row r="13">
      <c r="A13" s="26" t="inlineStr">
        <is>
          <t>ACCOUNTING BREAK-EVEN (includes depreciation)</t>
        </is>
      </c>
      <c r="B13" s="29" t="n"/>
      <c r="C13" s="29" t="n"/>
      <c r="D13" s="29" t="n"/>
      <c r="E13" s="29" t="n"/>
      <c r="F13" s="29" t="n"/>
    </row>
    <row r="14">
      <c r="A14" s="29" t="inlineStr">
        <is>
          <t>Covers needed per year</t>
        </is>
      </c>
      <c r="B14" s="41">
        <f>IFERROR(IF('3-Year P&amp;L'!$B$9="","",IF(B10&lt;=0,"",B6/B10)),"")</f>
        <v>28860.880720852027</v>
      </c>
      <c r="C14" s="41">
        <f>IFERROR(IF('3-Year P&amp;L'!$C$9="","",IF(C10&lt;=0,"",C6/C10)),"")</f>
        <v>29056.677252486825</v>
      </c>
      <c r="D14" s="41">
        <f>IFERROR(IF('3-Year P&amp;L'!$D$9="","",IF(D10&lt;=0,"",D6/D10)),"")</f>
        <v>29240.170765517214</v>
      </c>
      <c r="E14" s="29" t="n"/>
      <c r="F14" s="29" t="n"/>
    </row>
    <row r="15">
      <c r="A15" s="29" t="inlineStr">
        <is>
          <t>Covers needed per day</t>
        </is>
      </c>
      <c r="B15" s="45">
        <f>IFERROR(IF('3-Year P&amp;L'!$B$9="","",B14/B11),"")</f>
        <v>80.16911311347785</v>
      </c>
      <c r="C15" s="45">
        <f>IFERROR(IF('3-Year P&amp;L'!$C$9="","",C14/C11),"")</f>
        <v>80.71299236801896</v>
      </c>
      <c r="D15" s="45">
        <f>IFERROR(IF('3-Year P&amp;L'!$D$9="","",D14/D11),"")</f>
        <v>81.22269657088115</v>
      </c>
      <c r="E15" s="29" t="n"/>
      <c r="F15" s="29" t="n"/>
    </row>
    <row r="16">
      <c r="A16" s="26" t="inlineStr">
        <is>
          <t>Revenue needed per year</t>
        </is>
      </c>
      <c r="B16" s="54">
        <f>IFERROR(IF('3-Year P&amp;L'!$B$9="","",B14*B8),"")</f>
        <v>779243.7794630047</v>
      </c>
      <c r="C16" s="54">
        <f>IFERROR(IF('3-Year P&amp;L'!$C$9="","",C14*C8),"")</f>
        <v>784530.2858171443</v>
      </c>
      <c r="D16" s="54">
        <f>IFERROR(IF('3-Year P&amp;L'!$D$9="","",D14*D8),"")</f>
        <v>789484.6106689648</v>
      </c>
      <c r="E16" s="29" t="n"/>
      <c r="F16" s="29" t="n"/>
    </row>
    <row r="17">
      <c r="A17" s="26" t="inlineStr">
        <is>
          <t>CASH BREAK-EVEN (loan payments in, depreciation out)</t>
        </is>
      </c>
      <c r="B17" s="29" t="n"/>
      <c r="C17" s="29" t="n"/>
      <c r="D17" s="29" t="n"/>
      <c r="E17" s="29" t="n"/>
      <c r="F17" s="29" t="n"/>
    </row>
    <row r="18">
      <c r="A18" s="29" t="inlineStr">
        <is>
          <t>Cash fixed costs + principal repaid for the year</t>
        </is>
      </c>
      <c r="B18" s="62">
        <f>IFERROR(IF('3-Year P&amp;L'!$B$9="","",B6-'3-Year P&amp;L'!$B$35+B12),"")</f>
        <v>532080.2507116467</v>
      </c>
      <c r="C18" s="62">
        <f>IFERROR(IF('3-Year P&amp;L'!$C$9="","",C6-'3-Year P&amp;L'!$C$35+C12),"")</f>
        <v>538080.2507116467</v>
      </c>
      <c r="D18" s="62">
        <f>IFERROR(IF('3-Year P&amp;L'!$D$9="","",D6-'3-Year P&amp;L'!$D$35+D12),"")</f>
        <v>544080.2507116467</v>
      </c>
      <c r="E18" s="29" t="inlineStr">
        <is>
          <t>The P&amp;L fixed costs without depreciation (which is not paid in cash) and WITH principal repaid (which is). This is the threshold that decides whether cash holds up</t>
        </is>
      </c>
      <c r="F18" s="29" t="n"/>
    </row>
    <row r="19">
      <c r="A19" s="29" t="inlineStr">
        <is>
          <t>Covers needed per year (cash)</t>
        </is>
      </c>
      <c r="B19" s="41">
        <f>IFERROR(IF('3-Year P&amp;L'!$B$9="","",IF(B10&lt;=0,"",B18/B10)),"")</f>
        <v>28273.566646030435</v>
      </c>
      <c r="C19" s="41">
        <f>IFERROR(IF('3-Year P&amp;L'!$C$9="","",IF(C10&lt;=0,"",C18/C10)),"")</f>
        <v>28592.393363709372</v>
      </c>
      <c r="D19" s="41">
        <f>IFERROR(IF('3-Year P&amp;L'!$D$9="","",IF(D10&lt;=0,"",D18/D10)),"")</f>
        <v>28911.220081388317</v>
      </c>
      <c r="E19" s="29" t="n"/>
      <c r="F19" s="29" t="n"/>
    </row>
    <row r="20">
      <c r="A20" s="26" t="inlineStr">
        <is>
          <t>Covers needed per day (cash)</t>
        </is>
      </c>
      <c r="B20" s="46">
        <f>IFERROR(IF('3-Year P&amp;L'!$B$9="","",B19/B11),"")</f>
        <v>78.53768512786232</v>
      </c>
      <c r="C20" s="46">
        <f>IFERROR(IF('3-Year P&amp;L'!$C$9="","",C19/C11),"")</f>
        <v>79.4233148991927</v>
      </c>
      <c r="D20" s="46">
        <f>IFERROR(IF('3-Year P&amp;L'!$D$9="","",D19/D11),"")</f>
        <v>80.3089446705231</v>
      </c>
      <c r="E20" s="29" t="n"/>
      <c r="F20" s="29" t="n"/>
    </row>
    <row r="21">
      <c r="A21" s="29" t="inlineStr">
        <is>
          <t>Revenue needed per year (cash)</t>
        </is>
      </c>
      <c r="B21" s="41">
        <f>IFERROR(IF('3-Year P&amp;L'!$B$9="","",B19*B8),"")</f>
        <v>763386.2994428218</v>
      </c>
      <c r="C21" s="41">
        <f>IFERROR(IF('3-Year P&amp;L'!$C$9="","",C19*C8),"")</f>
        <v>771994.620820153</v>
      </c>
      <c r="D21" s="41">
        <f>IFERROR(IF('3-Year P&amp;L'!$D$9="","",D19*D8),"")</f>
        <v>780602.9421974845</v>
      </c>
      <c r="E21" s="29" t="n"/>
      <c r="F21" s="29" t="n"/>
    </row>
    <row r="22">
      <c r="A22" s="26" t="inlineStr">
        <is>
          <t>COMPARISON WITH THE PLAN</t>
        </is>
      </c>
      <c r="B22" s="29" t="n"/>
      <c r="C22" s="29" t="n"/>
      <c r="D22" s="29" t="n"/>
      <c r="E22" s="29" t="n"/>
      <c r="F22" s="29" t="n"/>
    </row>
    <row r="23">
      <c r="A23" s="29" t="inlineStr">
        <is>
          <t>Covers per day forecast in the plan</t>
        </is>
      </c>
      <c r="B23" s="41">
        <f>IFERROR(IF('3-Year P&amp;L'!$B$9="","",'3-Year P&amp;L'!$B$6),"")</f>
        <v>95.0</v>
      </c>
      <c r="C23" s="41">
        <f>IFERROR(IF('3-Year P&amp;L'!$C$9="","",'3-Year P&amp;L'!$C$6),"")</f>
        <v>109.24999999999999</v>
      </c>
      <c r="D23" s="41">
        <f>IFERROR(IF('3-Year P&amp;L'!$D$9="","",'3-Year P&amp;L'!$D$6),"")</f>
        <v>120.175</v>
      </c>
      <c r="E23" s="29" t="n"/>
      <c r="F23" s="29" t="n"/>
    </row>
    <row r="24">
      <c r="A24" s="29" t="inlineStr">
        <is>
          <t>Cushion above CASH break-even (%)</t>
        </is>
      </c>
      <c r="B24" s="66">
        <f>IFERROR(IF('3-Year P&amp;L'!$B$9="","",B23/B20-1),"")</f>
        <v>0.2096103907994793</v>
      </c>
      <c r="C24" s="66">
        <f>IFERROR(IF('3-Year P&amp;L'!$C$9="","",C23/C20-1),"")</f>
        <v>0.3755406726433481</v>
      </c>
      <c r="D24" s="66">
        <f>IFERROR(IF('3-Year P&amp;L'!$D$9="","",D23/D20-1),"")</f>
        <v>0.49640865650808985</v>
      </c>
      <c r="E24" s="29" t="inlineStr">
        <is>
          <t>How far planned sales sit above cash break-even. The drop you can absorb before you cannot pay the fixed costs and the loan payment is somewhat smaller: with a 25% cushion, 20%. The required minimum is set in the "0. Assumptions" tab</t>
        </is>
      </c>
      <c r="F24" s="29" t="n"/>
    </row>
    <row r="25">
      <c r="A25" s="29" t="inlineStr">
        <is>
          <t>Maximum seat turns per day the space allows</t>
        </is>
      </c>
      <c r="B25" s="47" t="n">
        <v>3</v>
      </c>
      <c r="C25" s="29" t="n"/>
      <c r="D25" s="29" t="n"/>
      <c r="E25" s="29" t="inlineStr">
        <is>
          <t>Full table services per seat per day that your opening hours allow. It is the physical ceiling of the space, not a target</t>
        </is>
      </c>
      <c r="F25" s="29" t="n"/>
    </row>
    <row r="26">
      <c r="A26" s="29" t="inlineStr">
        <is>
          <t>Seat turns per day that the cash break-even requires</t>
        </is>
      </c>
      <c r="B26" s="45">
        <f>IFERROR(IF('3-Year P&amp;L'!$B$9="","",B20/'0. Assumptions'!$B$51),"")</f>
        <v>1.3089614187977052</v>
      </c>
      <c r="C26" s="45">
        <f>IFERROR(IF('3-Year P&amp;L'!$C$9="","",C20/'0. Assumptions'!$B$51),"")</f>
        <v>1.3237219149865451</v>
      </c>
      <c r="D26" s="45">
        <f>IFERROR(IF('3-Year P&amp;L'!$D$9="","",D20/'0. Assumptions'!$B$51),"")</f>
        <v>1.338482411175385</v>
      </c>
      <c r="E26" s="29" t="inlineStr">
        <is>
          <t>Break-even covers spread across the seats declared on the "0. Assumptions" tab. If it is above the ceiling in the row above, the break-even is out of reach for the space</t>
        </is>
      </c>
      <c r="F26" s="29" t="n"/>
    </row>
    <row r="27">
      <c r="A27" s="26" t="inlineStr">
        <is>
          <t>INTERPRETATION</t>
        </is>
      </c>
      <c r="B27" s="29" t="n"/>
      <c r="C27" s="29" t="n"/>
      <c r="D27" s="29" t="n"/>
      <c r="E27" s="29" t="n"/>
      <c r="F27" s="29" t="n"/>
    </row>
    <row r="28" ht="46" customHeight="1">
      <c r="A28" s="29" t="str">
        <f>IFERROR("With the average check excl. sales tax above, you need "&amp;TEXT(ROUNDUP(B15,0),"0")&amp;" covers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81 covers a day over your 360 opening days to avoid losing money (accounting break-even, depreciation included), and 79 for cash to hold (cash break-even: depreciation out, because it is not paid, and the year's loan payment in). The "Revenue needed per year" rows show the same figures in your currency.</v>
      </c>
      <c r="B28" s="29" t="n"/>
      <c r="C28" s="29" t="n"/>
      <c r="D28" s="29" t="n"/>
      <c r="E28" s="29" t="n"/>
      <c r="F28" s="29" t="n"/>
    </row>
    <row r="29">
      <c r="A29" s="29" t="n"/>
      <c r="B29" s="29" t="n"/>
      <c r="C29" s="29" t="n"/>
      <c r="D29" s="29" t="n"/>
      <c r="E29" s="29" t="n"/>
      <c r="F29" s="29" t="n"/>
    </row>
    <row r="30">
      <c r="A30" s="26" t="inlineStr">
        <is>
          <t>BREAK-EVEN SENSITIVITY</t>
        </is>
      </c>
      <c r="B30" s="29" t="n"/>
      <c r="C30" s="29" t="n"/>
      <c r="D30" s="29" t="n"/>
      <c r="E30" s="29" t="n"/>
      <c r="F30" s="29" t="n"/>
    </row>
    <row r="31" ht="75" customHeight="1">
      <c r="A31" s="48" t="inlineStr">
        <is>
          <t>Covers per day needed to cover costs for each average check (columns) and each variable cost per cover (rows). Green cells are below the covers per day the plan forecasts.</t>
        </is>
      </c>
      <c r="B31" s="29" t="n"/>
      <c r="C31" s="29" t="n"/>
      <c r="D31" s="29" t="n"/>
      <c r="E31" s="29" t="n"/>
      <c r="F31" s="29" t="n"/>
    </row>
    <row r="32">
      <c r="A32" s="29" t="n"/>
      <c r="B32" s="29" t="n"/>
      <c r="C32" s="29" t="n"/>
      <c r="D32" s="29" t="n"/>
      <c r="E32" s="29" t="n"/>
      <c r="F32" s="29" t="n"/>
    </row>
    <row r="33" ht="45" customHeight="1">
      <c r="A33" s="40" t="inlineStr">
        <is>
          <t>Covers per day needed: average check excl. sales tax (columns) × variable cost per cover (rows)</t>
        </is>
      </c>
      <c r="B33" s="55">
        <f>IFERROR($B$8-2,"")</f>
        <v>25.0</v>
      </c>
      <c r="C33" s="55">
        <f>IFERROR(IF($B$8="","",$B$8),"")</f>
        <v>27.0</v>
      </c>
      <c r="D33" s="55">
        <f>IFERROR($B$8+2,"")</f>
        <v>29.0</v>
      </c>
      <c r="E33" s="55">
        <f>IFERROR($B$8+4,"")</f>
        <v>31.0</v>
      </c>
      <c r="F33" s="29" t="n"/>
    </row>
    <row r="34">
      <c r="A34" s="24">
        <f>IFERROR($B$9*0.85,"")</f>
        <v>6.953850000000001</v>
      </c>
      <c r="B34" s="50">
        <f>IFERROR(IF($B$33-$A34&lt;=0,"",$B$6/($B$33-$A34)/$B$11),"")</f>
        <v>83.60246034098907</v>
      </c>
      <c r="C34" s="50">
        <f>IFERROR(IF($C$33-$A34&lt;=0,"",$B$6/($C$33-$A34)/$B$11),"")</f>
        <v>75.26146116249454</v>
      </c>
      <c r="D34" s="50">
        <f>IFERROR(IF($D$33-$A34&lt;=0,"",$B$6/($D$33-$A34)/$B$11),"")</f>
        <v>68.43383265026047</v>
      </c>
      <c r="E34" s="50">
        <f>IFERROR(IF($E$33-$A34&lt;=0,"",$B$6/($E$33-$A34)/$B$11),"")</f>
        <v>62.741958262862866</v>
      </c>
    </row>
    <row r="35">
      <c r="A35" s="24">
        <f>IFERROR($B$9*0.925,"")</f>
        <v>7.567425000000001</v>
      </c>
      <c r="B35" s="50">
        <f>IFERROR(IF($B$33-$A35&lt;=0,"",$B$6/($B$33-$A35)/$B$11),"")</f>
        <v>86.54501929190263</v>
      </c>
      <c r="C35" s="50">
        <f>IFERROR(IF($C$33-$A35&lt;=0,"",$B$6/($C$33-$A35)/$B$11),"")</f>
        <v>77.6378086631617</v>
      </c>
      <c r="D35" s="50">
        <f>IFERROR(IF($D$33-$A35&lt;=0,"",$B$6/($D$33-$A35)/$B$11),"")</f>
        <v>70.39296676589441</v>
      </c>
      <c r="E35" s="50">
        <f>IFERROR(IF($E$33-$A35&lt;=0,"",$B$6/($E$33-$A35)/$B$11),"")</f>
        <v>64.38483776036307</v>
      </c>
    </row>
    <row r="36">
      <c r="A36" s="24">
        <f>IFERROR($B$9*1.0,"")</f>
        <v>8.181000000000001</v>
      </c>
      <c r="B36" s="50">
        <f>IFERROR(IF($B$33-$A36&lt;=0,"",$B$6/($B$33-$A36)/$B$11),"")</f>
        <v>89.70227360024613</v>
      </c>
      <c r="C36" s="50">
        <f>IFERROR(IF($C$33-$A36&lt;=0,"",$B$6/($C$33-$A36)/$B$11),"")</f>
        <v>80.16911311347785</v>
      </c>
      <c r="D36" s="50">
        <f>IFERROR(IF($D$33-$A36&lt;=0,"",$B$6/($D$33-$A36)/$B$11),"")</f>
        <v>72.46757959952637</v>
      </c>
      <c r="E36" s="50">
        <f>IFERROR(IF($E$33-$A36&lt;=0,"",$B$6/($E$33-$A36)/$B$11),"")</f>
        <v>66.11606729841535</v>
      </c>
    </row>
    <row r="37">
      <c r="A37" s="24">
        <f>IFERROR($B$9*1.075,"")</f>
        <v>8.794575</v>
      </c>
      <c r="B37" s="50">
        <f>IFERROR(IF($B$33-$A37&lt;=0,"",$B$6/($B$33-$A37)/$B$11),"")</f>
        <v>93.0986098595094</v>
      </c>
      <c r="C37" s="50">
        <f>IFERROR(IF($C$33-$A37&lt;=0,"",$B$6/($C$33-$A37)/$B$11),"")</f>
        <v>82.87104199339151</v>
      </c>
      <c r="D37" s="50">
        <f>IFERROR(IF($D$33-$A37&lt;=0,"",$B$6/($D$33-$A37)/$B$11),"")</f>
        <v>74.66819132399046</v>
      </c>
      <c r="E37" s="50">
        <f>IFERROR(IF($E$33-$A37&lt;=0,"",$B$6/($E$33-$A37)/$B$11),"")</f>
        <v>67.94297067867603</v>
      </c>
    </row>
    <row r="38">
      <c r="A38" s="24">
        <f>IFERROR($B$9*1.15,"")</f>
        <v>9.408150000000001</v>
      </c>
      <c r="B38" s="50">
        <f>IFERROR(IF($B$33-$A38&lt;=0,"",$B$6/($B$33-$A38)/$B$11),"")</f>
        <v>96.76225333636097</v>
      </c>
      <c r="C38" s="50">
        <f>IFERROR(IF($C$33-$A38&lt;=0,"",$B$6/($C$33-$A38)/$B$11),"")</f>
        <v>85.76144860731188</v>
      </c>
      <c r="D38" s="50">
        <f>IFERROR(IF($D$33-$A38&lt;=0,"",$B$6/($D$33-$A38)/$B$11),"")</f>
        <v>77.00663998971713</v>
      </c>
      <c r="E38" s="50">
        <f>IFERROR(IF($E$33-$A38&lt;=0,"",$B$6/($E$33-$A38)/$B$11),"")</f>
        <v>69.87370418387214</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2">
      <c r="A2" s="3" t="inlineStr">
        <is>
          <t>Pessimistic / Base / Optimistic — Year 1</t>
        </is>
      </c>
    </row>
    <row r="4">
      <c r="A4" s="26" t="inlineStr">
        <is>
          <t>Metric</t>
        </is>
      </c>
      <c r="B4" s="26" t="inlineStr">
        <is>
          <t>Pessimistic</t>
        </is>
      </c>
      <c r="C4" s="26" t="inlineStr">
        <is>
          <t>Base</t>
        </is>
      </c>
      <c r="D4" s="26" t="inlineStr">
        <is>
          <t>Optimistic</t>
        </is>
      </c>
      <c r="E4" s="26" t="inlineStr">
        <is>
          <t>Notes</t>
        </is>
      </c>
      <c r="F4" s="29" t="n"/>
    </row>
    <row r="5">
      <c r="A5" s="29" t="inlineStr">
        <is>
          <t>Covers per day</t>
        </is>
      </c>
      <c r="B5" s="51" t="n">
        <v>71</v>
      </c>
      <c r="C5" s="41">
        <f>IFERROR(IF('3-Year P&amp;L'!$B$6="","",'3-Year P&amp;L'!$B$6),"")</f>
        <v>95.0</v>
      </c>
      <c r="D5" s="51" t="n">
        <v>119</v>
      </c>
      <c r="E5" s="29" t="n"/>
      <c r="F5" s="29" t="n"/>
    </row>
    <row r="6">
      <c r="A6" s="29" t="inlineStr">
        <is>
          <t>Average check (excl. sales tax)</t>
        </is>
      </c>
      <c r="B6" s="70" t="n">
        <v>25</v>
      </c>
      <c r="C6" s="62">
        <f>IFERROR(IF('3-Year P&amp;L'!$B$7="","",'3-Year P&amp;L'!$B$7),"")</f>
        <v>27.0</v>
      </c>
      <c r="D6" s="70" t="n">
        <v>29</v>
      </c>
      <c r="E6" s="29" t="n"/>
      <c r="F6" s="29" t="n"/>
    </row>
    <row r="7">
      <c r="A7" s="29" t="inlineStr">
        <is>
          <t>Operating days per year</t>
        </is>
      </c>
      <c r="B7" s="51" t="n">
        <v>340</v>
      </c>
      <c r="C7" s="41">
        <f>IFERROR(IF('3-Year P&amp;L'!$B$8="","",'3-Year P&amp;L'!$B$8),"")</f>
        <v>360.0</v>
      </c>
      <c r="D7" s="51" t="n">
        <v>360</v>
      </c>
      <c r="E7" s="29" t="n"/>
      <c r="F7" s="29" t="n"/>
    </row>
    <row r="8">
      <c r="A8" s="26" t="inlineStr">
        <is>
          <t>ANNUAL REVENUE (excl. sales tax)</t>
        </is>
      </c>
      <c r="B8" s="54">
        <f>IFERROR(IF(B5*B6*B7=0,"",B5*B6*B7),"")</f>
        <v>603500.0</v>
      </c>
      <c r="C8" s="54">
        <f>IFERROR(IF(C5*C6*C7=0,"",C5*C6*C7),"")</f>
        <v>923400.0</v>
      </c>
      <c r="D8" s="54">
        <f>IFERROR(IF(D5*D6*D7=0,"",D5*D6*D7),"")</f>
        <v>1242360.0</v>
      </c>
      <c r="E8" s="29" t="n"/>
      <c r="F8" s="29" t="n"/>
    </row>
    <row r="9">
      <c r="A9" s="29" t="inlineStr">
        <is>
          <t>Cost of goods sold — food</t>
        </is>
      </c>
      <c r="B9" s="41">
        <f>IFERROR(IF(B8="","",B8*'0. Assumptions'!$B$11*'0. Assumptions'!$B$13),"")</f>
        <v>63367.5</v>
      </c>
      <c r="C9" s="41">
        <f>IFERROR(IF(C8="","",C8*'0. Assumptions'!$B$11*'0. Assumptions'!$B$13),"")</f>
        <v>96957.0</v>
      </c>
      <c r="D9" s="41">
        <f>IFERROR(IF(D8="","",D8*'0. Assumptions'!$B$11*'0. Assumptions'!$B$13),"")</f>
        <v>130447.79999999999</v>
      </c>
      <c r="E9" s="29" t="n"/>
      <c r="F9" s="29" t="n"/>
    </row>
    <row r="10">
      <c r="A10" s="29" t="inlineStr">
        <is>
          <t>Cost of goods sold — beverage</t>
        </is>
      </c>
      <c r="B10" s="41">
        <f>IFERROR(IF(B8="","",B8*'0. Assumptions'!$B$12*'0. Assumptions'!$B$14),"")</f>
        <v>86300.5</v>
      </c>
      <c r="C10" s="41">
        <f>IFERROR(IF(C8="","",C8*'0. Assumptions'!$B$12*'0. Assumptions'!$B$14),"")</f>
        <v>132046.2</v>
      </c>
      <c r="D10" s="41">
        <f>IFERROR(IF(D8="","",D8*'0. Assumptions'!$B$12*'0. Assumptions'!$B$14),"")</f>
        <v>177657.48</v>
      </c>
      <c r="E10" s="29" t="n"/>
      <c r="F10" s="29" t="n"/>
    </row>
    <row r="11">
      <c r="A11" s="29" t="inlineStr">
        <is>
          <t>Disposables and packaging</t>
        </is>
      </c>
      <c r="B11" s="41">
        <f>IFERROR(IF(B8="","",B8*'0. Assumptions'!$B$15),"")</f>
        <v>6035.0</v>
      </c>
      <c r="C11" s="41">
        <f>IFERROR(IF(C8="","",C8*'0. Assumptions'!$B$15),"")</f>
        <v>9234.0</v>
      </c>
      <c r="D11" s="41">
        <f>IFERROR(IF(D8="","",D8*'0. Assumptions'!$B$15),"")</f>
        <v>12423.6</v>
      </c>
      <c r="E11" s="29" t="n"/>
      <c r="F11" s="29" t="n"/>
    </row>
    <row r="12">
      <c r="A12" s="29" t="inlineStr">
        <is>
          <t>Delivery platform fees</t>
        </is>
      </c>
      <c r="B12" s="41">
        <f>IFERROR(IF(B8="","",B8*'0. Assumptions'!$B$16*'0. Assumptions'!$B$17),"")</f>
        <v>0.0</v>
      </c>
      <c r="C12" s="41">
        <f>IFERROR(IF(C8="","",C8*'0. Assumptions'!$B$16*'0. Assumptions'!$B$17),"")</f>
        <v>0.0</v>
      </c>
      <c r="D12" s="41">
        <f>IFERROR(IF(D8="","",D8*'0. Assumptions'!$B$16*'0. Assumptions'!$B$17),"")</f>
        <v>0.0</v>
      </c>
      <c r="E12" s="29" t="n"/>
      <c r="F12" s="29" t="n"/>
    </row>
    <row r="13">
      <c r="A13" s="29" t="inlineStr">
        <is>
          <t>Card processing fees</t>
        </is>
      </c>
      <c r="B13" s="41">
        <f>IFERROR(IF(B8="","",B8*'0. Assumptions'!$B$18),"")</f>
        <v>21122.500000000004</v>
      </c>
      <c r="C13" s="41">
        <f>IFERROR(IF(C8="","",C8*'0. Assumptions'!$B$18),"")</f>
        <v>32319.000000000004</v>
      </c>
      <c r="D13" s="41">
        <f>IFERROR(IF(D8="","",D8*'0. Assumptions'!$B$18),"")</f>
        <v>43482.600000000006</v>
      </c>
      <c r="E13" s="29" t="n"/>
      <c r="F13" s="29" t="n"/>
    </row>
    <row r="14">
      <c r="A14" s="29" t="inlineStr">
        <is>
          <t>Miscellaneous and contingency</t>
        </is>
      </c>
      <c r="B14" s="41">
        <f>IFERROR(IF(B8="","",B8*'0. Assumptions'!$B$28),"")</f>
        <v>6035.0</v>
      </c>
      <c r="C14" s="41">
        <f>IFERROR(IF(C8="","",C8*'0. Assumptions'!$B$28),"")</f>
        <v>9234.0</v>
      </c>
      <c r="D14" s="41">
        <f>IFERROR(IF(D8="","",D8*'0. Assumptions'!$B$28),"")</f>
        <v>12423.6</v>
      </c>
      <c r="E14" s="29" t="n"/>
      <c r="F14" s="29" t="n"/>
    </row>
    <row r="15">
      <c r="A15" s="34" t="inlineStr">
        <is>
          <t>TOTAL VARIABLE COSTS</t>
        </is>
      </c>
      <c r="B15" s="43">
        <f>IFERROR(IF(B8="","",SUM(B9:B14)),"")</f>
        <v>182860.5</v>
      </c>
      <c r="C15" s="43">
        <f>IFERROR(IF(C8="","",SUM(C9:C14)),"")</f>
        <v>279790.2</v>
      </c>
      <c r="D15" s="43">
        <f>IFERROR(IF(D8="","",SUM(D9:D14)),"")</f>
        <v>376435.08</v>
      </c>
    </row>
    <row r="16">
      <c r="A16" s="34" t="inlineStr">
        <is>
          <t>GROSS MARGIN</t>
        </is>
      </c>
      <c r="B16" s="43">
        <f>IFERROR(IF(B8="","",B8-B15),"")</f>
        <v>420639.5</v>
      </c>
      <c r="C16" s="43">
        <f>IFERROR(IF(C8="","",C8-C15),"")</f>
        <v>643609.8</v>
      </c>
      <c r="D16" s="43">
        <f>IFERROR(IF(D8="","",D8-D15),"")</f>
        <v>865924.9199999999</v>
      </c>
    </row>
    <row r="17">
      <c r="A17" s="34" t="inlineStr">
        <is>
          <t>FIXED COSTS (the P&amp;L's)</t>
        </is>
      </c>
      <c r="B17" s="43">
        <f>IFERROR(IF(B8="","",'3-Year P&amp;L'!$B$37),"")</f>
        <v>543132.9142857143</v>
      </c>
      <c r="C17" s="43">
        <f>IFERROR(IF(C8="","",'3-Year P&amp;L'!$B$37),"")</f>
        <v>543132.9142857143</v>
      </c>
      <c r="D17" s="43">
        <f>IFERROR(IF(D8="","",'3-Year P&amp;L'!$B$37),"")</f>
        <v>543132.9142857143</v>
      </c>
      <c r="E17" s="34" t="inlineStr">
        <is>
          <t>Fixed costs do not change with the scenario: that is why they are fixed</t>
        </is>
      </c>
    </row>
    <row r="18">
      <c r="A18" s="16" t="inlineStr">
        <is>
          <t>PRE-TAX INCOME (EBT)</t>
        </is>
      </c>
      <c r="B18" s="67">
        <f>IFERROR(IF(B8="","",B16-B17),"")</f>
        <v>-122493.41428571427</v>
      </c>
      <c r="C18" s="67">
        <f>IFERROR(IF(C8="","",C16-C17),"")</f>
        <v>100476.88571428577</v>
      </c>
      <c r="D18" s="67">
        <f>IFERROR(IF(D8="","",D16-D17),"")</f>
        <v>322792.00571428565</v>
      </c>
    </row>
    <row r="19">
      <c r="A19" s="34" t="inlineStr">
        <is>
          <t>Income tax</t>
        </is>
      </c>
      <c r="B19" s="43">
        <f>IFERROR(IF(B8="","",MAX(0,B18-'0. Assumptions'!$B$42)*'0. Assumptions'!$B$37),"")</f>
        <v>0.0</v>
      </c>
      <c r="C19" s="43">
        <f>IFERROR(IF(C8="","",MAX(0,C18-'0. Assumptions'!$B$42)*'0. Assumptions'!$B$37),"")</f>
        <v>25119.221428571444</v>
      </c>
      <c r="D19" s="43">
        <f>IFERROR(IF(D8="","",MAX(0,D18-'0. Assumptions'!$B$42)*'0. Assumptions'!$B$37),"")</f>
        <v>80698.00142857141</v>
      </c>
      <c r="E19" s="34" t="inlineStr">
        <is>
          <t>At the "years 1-2" effective income tax rate, offsetting prior net operating losses</t>
        </is>
      </c>
    </row>
    <row r="20">
      <c r="A20" s="16" t="inlineStr">
        <is>
          <t>NET INCOME</t>
        </is>
      </c>
      <c r="B20" s="67">
        <f>IFERROR(IF(B8="","",B18-B19),"")</f>
        <v>-122493.41428571427</v>
      </c>
      <c r="C20" s="67">
        <f>IFERROR(IF(C8="","",C18-C19),"")</f>
        <v>75357.66428571433</v>
      </c>
      <c r="D20" s="67">
        <f>IFERROR(IF(D8="","",D18-D19),"")</f>
        <v>242094.00428571424</v>
      </c>
    </row>
    <row r="21">
      <c r="A21" s="34" t="inlineStr">
        <is>
          <t>Covers per day to break even</t>
        </is>
      </c>
      <c r="B21" s="50">
        <f>IFERROR(IF(B8="","",IF(B6-B15/(B5*B7)&lt;=0,"",B17/(B6-B15/(B5*B7))/B7)),"")</f>
        <v>91.67573876035348</v>
      </c>
      <c r="C21" s="50">
        <f>IFERROR(IF(C8="","",IF(C6-C15/(C5*C7)&lt;=0,"",C17/(C6-C15/(C5*C7))/C7)),"")</f>
        <v>80.16911311347785</v>
      </c>
      <c r="D21" s="50">
        <f>IFERROR(IF(D8="","",IF(D6-D15/(D5*D7)&lt;=0,"",D17/(D6-D15/(D5*D7))/D7)),"")</f>
        <v>74.64020876082421</v>
      </c>
    </row>
    <row r="22">
      <c r="A22" s="16" t="inlineStr">
        <is>
          <t>WHAT EACH SCENARIO DEMANDS</t>
        </is>
      </c>
    </row>
    <row r="23">
      <c r="A23" s="34" t="inlineStr">
        <is>
          <t>Labor cost / Sales</t>
        </is>
      </c>
      <c r="B23" s="64">
        <f>IFERROR(IF(B8="","",'3-Year P&amp;L'!$B$23/B8),"")</f>
        <v>0.5117269262634632</v>
      </c>
      <c r="C23" s="64">
        <f>IFERROR(IF(C8="","",'3-Year P&amp;L'!$B$23/C8),"")</f>
        <v>0.33444574398960364</v>
      </c>
      <c r="D23" s="64">
        <f>IFERROR(IF(D8="","",'3-Year P&amp;L'!$B$23/D8),"")</f>
        <v>0.24858108760745679</v>
      </c>
      <c r="E23" s="34" t="inlineStr">
        <is>
          <t>The SAME staffing in all three scenarios. If labor cost blows up in the pessimistic case, adjust it in the Staffing tab, not here</t>
        </is>
      </c>
    </row>
    <row r="24">
      <c r="A24" s="34" t="inlineStr">
        <is>
          <t>Covers per year per full-time equivalent</t>
        </is>
      </c>
      <c r="B24" s="43">
        <f>IFERROR(IF(B8="","",B5*B7/Staffing!$C$12),"")</f>
        <v>3448.571428571429</v>
      </c>
      <c r="C24" s="43">
        <f>IFERROR(IF(C8="","",C5*C7/Staffing!$C$12),"")</f>
        <v>4885.714285714286</v>
      </c>
      <c r="D24" s="43">
        <f>IFERROR(IF(D8="","",D5*D7/Staffing!$C$12),"")</f>
        <v>6120.000000000001</v>
      </c>
      <c r="E24" s="34" t="inlineStr">
        <is>
          <t>Covers each full-time employee in the "Staffing" tab would have to serve. In the optimistic scenario it tells you whether you need to hire</t>
        </is>
      </c>
    </row>
    <row r="25">
      <c r="A25" s="16" t="inlineStr">
        <is>
          <t>Year-1 closing cash balance (estimate, same method in all three scenarios)</t>
        </is>
      </c>
      <c r="B25" s="67">
        <f>IFERROR(IF(B8="","",'Startup Costs'!$B$29+B20+'3-Year P&amp;L'!$B$35-Financing!$B$45),"")</f>
        <v>15791.049288353257</v>
      </c>
      <c r="C25" s="67">
        <f>IFERROR(IF(C8="","",'Startup Costs'!$B$29+C20+'3-Year P&amp;L'!$B$35-Financing!$B$45),"")</f>
        <v>213642.12785978185</v>
      </c>
      <c r="D25" s="67">
        <f>IFERROR(IF(D8="","",'Startup Costs'!$B$29+D20+'3-Year P&amp;L'!$B$35-Financing!$B$45),"")</f>
        <v>380378.46785978175</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4" t="inlineStr">
        <is>
          <t>Actual month-12 balance from the 12-Month Cash Flow tab (Base case only)</t>
        </is>
      </c>
      <c r="C26" s="43">
        <f>IFERROR(IF(C8="","",'12-Month Cash Flow'!$M$22),"")</f>
        <v>270545.6374059379</v>
      </c>
      <c r="E26" s="34"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from the "0. Assumptions" tab, so it reproduces EXACTLY year 1 of the P&amp;L. The other two scenarios use the same cost rates: the only things that change are covers, average check and days. FIXED COSTS are the same in all three: miscellaneous and contingency, which is a percentage of sales, sits at the top with the variable costs and each scenario carries its own.</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P&amp;L'!$E$53)</formula>
    </cfRule>
    <cfRule type="expression" priority="2" dxfId="0" stopIfTrue="1">
      <formula>AND(ISNUMBER(B23),B23&lt;='3-Year P&amp;L'!$E$53)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s="3" t="str">
        <f>IFERROR("Payroll — "&amp;TEXT('0. Assumptions'!$B$21,"0")&amp;" pay periods + employer taxes "&amp;TEXT('0. Assumptions'!$B$20*100,"0")&amp;"%","")</f>
        <v>Payroll — 12 pay periods + employer taxes 10%</v>
      </c>
    </row>
    <row r="4" ht="45" customHeight="1">
      <c r="A4" s="40" t="inlineStr">
        <is>
          <t>Position</t>
        </is>
      </c>
      <c r="B4" s="40" t="inlineStr">
        <is>
          <t>People</t>
        </is>
      </c>
      <c r="C4" s="40" t="inlineStr">
        <is>
          <t>FTE</t>
        </is>
      </c>
      <c r="D4" s="40" t="inlineStr">
        <is>
          <t>Gross pay per month (total for the position)</t>
        </is>
      </c>
      <c r="E4" s="40" t="inlineStr">
        <is>
          <t>Employer payroll taxes (total for the position)</t>
        </is>
      </c>
      <c r="F4" s="40" t="inlineStr">
        <is>
          <t>Cost per month (total for the position)</t>
        </is>
      </c>
      <c r="G4" s="40" t="inlineStr">
        <is>
          <t>Cost per year</t>
        </is>
      </c>
      <c r="H4" s="40" t="inlineStr">
        <is>
          <t>Hours per week per person</t>
        </is>
      </c>
      <c r="I4" s="40" t="inlineStr">
        <is>
          <t>Hours per year for the position</t>
        </is>
      </c>
      <c r="J4" s="40" t="inlineStr">
        <is>
          <t>Notes</t>
        </is>
      </c>
    </row>
    <row r="5">
      <c r="A5" s="29" t="inlineStr">
        <is>
          <t>Owner / general manager</t>
        </is>
      </c>
      <c r="B5" s="51" t="n">
        <v>1</v>
      </c>
      <c r="C5" s="53" t="n">
        <v>1</v>
      </c>
      <c r="D5" s="70" t="n">
        <v>5000</v>
      </c>
      <c r="E5" s="62">
        <f>IFERROR(IF(D5="","",D5*'0. Assumptions'!$B$20),"")</f>
        <v>500.0</v>
      </c>
      <c r="F5" s="62">
        <f>IFERROR(IF(D5="","",D5+E5),"")</f>
        <v>5500.0</v>
      </c>
      <c r="G5" s="62">
        <f>IFERROR(IF(D5="","",F5*MAX(12,'0. Assumptions'!$B$21)),"")</f>
        <v>66000.0</v>
      </c>
      <c r="H5" s="45">
        <f>IFERROR(IF(D5="","",C5*$B$19),"")</f>
        <v>40.0</v>
      </c>
      <c r="I5" s="41">
        <f>IFERROR(IF(D5="","",H5*B5*$B$20),"")</f>
        <v>2000.0</v>
      </c>
      <c r="J5" s="29" t="inlineStr">
        <is>
          <t>Handles purchasing, cash, vendors and social media, and covers the bar or the floor during the busy evening shift</t>
        </is>
      </c>
    </row>
    <row r="6">
      <c r="A6" s="29" t="inlineStr">
        <is>
          <t>Kitchen lead</t>
        </is>
      </c>
      <c r="B6" s="51" t="n">
        <v>1</v>
      </c>
      <c r="C6" s="53" t="n">
        <v>1</v>
      </c>
      <c r="D6" s="70" t="n">
        <v>4200</v>
      </c>
      <c r="E6" s="62">
        <f>IFERROR(IF(D6="","",D6*'0. Assumptions'!$B$20),"")</f>
        <v>420.0</v>
      </c>
      <c r="F6" s="62">
        <f>IFERROR(IF(D6="","",D6+E6),"")</f>
        <v>4620.0</v>
      </c>
      <c r="G6" s="62">
        <f>IFERROR(IF(D6="","",F6*MAX(12,'0. Assumptions'!$B$21)),"")</f>
        <v>55440.0</v>
      </c>
      <c r="H6" s="45">
        <f>IFERROR(IF(D6="","",C6*$B$19),"")</f>
        <v>40.0</v>
      </c>
      <c r="I6" s="41">
        <f>IFERROR(IF(D6="","",H6*B6*$B$20),"")</f>
        <v>2000.0</v>
      </c>
      <c r="J6" s="29" t="inlineStr">
        <is>
          <t>Designs the small-plates menu, runs the line and tracks food cost every week, a WEEKLY task in the first 90 days on the checklist. The one skilled role clearly above the wage floor</t>
        </is>
      </c>
    </row>
    <row r="7">
      <c r="A7" s="29" t="inlineStr">
        <is>
          <t>Bartenders (peak shifts)</t>
        </is>
      </c>
      <c r="B7" s="51" t="n">
        <v>3</v>
      </c>
      <c r="C7" s="53" t="n">
        <v>0.7</v>
      </c>
      <c r="D7" s="70" t="n">
        <v>6188</v>
      </c>
      <c r="E7" s="62">
        <f>IFERROR(IF(D7="","",D7*'0. Assumptions'!$B$20),"")</f>
        <v>618.8000000000001</v>
      </c>
      <c r="F7" s="62">
        <f>IFERROR(IF(D7="","",D7+E7),"")</f>
        <v>6806.8</v>
      </c>
      <c r="G7" s="62">
        <f>IFERROR(IF(D7="","",F7*MAX(12,'0. Assumptions'!$B$21)),"")</f>
        <v>81681.6</v>
      </c>
      <c r="H7" s="45">
        <f>IFERROR(IF(D7="","",C7*$B$19),"")</f>
        <v>28.0</v>
      </c>
      <c r="I7" s="41">
        <f>IFERROR(IF(D7="","",H7*B7*$B$20),"")</f>
        <v>4200.0</v>
      </c>
      <c r="J7" s="29" t="inlineStr">
        <is>
          <t>Pour draft beer, wine and cocktails. The after-work and evening rush is where a neighborhood bar earns most of its sales</t>
        </is>
      </c>
    </row>
    <row r="8">
      <c r="A8" s="29" t="inlineStr">
        <is>
          <t>Servers (floor &amp; patio)</t>
        </is>
      </c>
      <c r="B8" s="51" t="n">
        <v>2</v>
      </c>
      <c r="C8" s="53" t="n">
        <v>0.5</v>
      </c>
      <c r="D8" s="70" t="n">
        <v>2600</v>
      </c>
      <c r="E8" s="62">
        <f>IFERROR(IF(D8="","",D8*'0. Assumptions'!$B$20),"")</f>
        <v>260.0</v>
      </c>
      <c r="F8" s="62">
        <f>IFERROR(IF(D8="","",D8+E8),"")</f>
        <v>2860.0</v>
      </c>
      <c r="G8" s="62">
        <f>IFERROR(IF(D8="","",F8*MAX(12,'0. Assumptions'!$B$21)),"")</f>
        <v>34320.0</v>
      </c>
      <c r="H8" s="45">
        <f>IFERROR(IF(D8="","",C8*$B$19),"")</f>
        <v>20.0</v>
      </c>
      <c r="I8" s="41">
        <f>IFERROR(IF(D8="","",H8*B8*$B$20),"")</f>
        <v>2000.0</v>
      </c>
      <c r="J8" s="29" t="inlineStr">
        <is>
          <t>Cover table and patio service in the evening shift, on part-time hours matched to the weekday traffic described in "Instructions"</t>
        </is>
      </c>
    </row>
    <row r="9">
      <c r="A9" s="29" t="inlineStr">
        <is>
          <t>Line / prep cook</t>
        </is>
      </c>
      <c r="B9" s="51" t="n">
        <v>1</v>
      </c>
      <c r="C9" s="53" t="n">
        <v>0.8</v>
      </c>
      <c r="D9" s="70" t="n">
        <v>2496</v>
      </c>
      <c r="E9" s="62">
        <f>IFERROR(IF(D9="","",D9*'0. Assumptions'!$B$20),"")</f>
        <v>249.60000000000002</v>
      </c>
      <c r="F9" s="62">
        <f>IFERROR(IF(D9="","",D9+E9),"")</f>
        <v>2745.6</v>
      </c>
      <c r="G9" s="62">
        <f>IFERROR(IF(D9="","",F9*MAX(12,'0. Assumptions'!$B$21)),"")</f>
        <v>32947.2</v>
      </c>
      <c r="H9" s="45">
        <f>IFERROR(IF(D9="","",C9*$B$19),"")</f>
        <v>32.0</v>
      </c>
      <c r="I9" s="41">
        <f>IFERROR(IF(D9="","",H9*B9*$B$20),"")</f>
        <v>1600.0</v>
      </c>
      <c r="J9" s="29" t="inlineStr">
        <is>
          <t>Prep, cleaning and support on the griddle and fryer during the busy shift, on part-time hours</t>
        </is>
      </c>
    </row>
    <row r="10">
      <c r="A10" s="29" t="inlineStr">
        <is>
          <t>Barback / weekend extra</t>
        </is>
      </c>
      <c r="B10" s="51" t="n">
        <v>2</v>
      </c>
      <c r="C10" s="53" t="n">
        <v>0.4</v>
      </c>
      <c r="D10" s="70" t="n">
        <v>2080</v>
      </c>
      <c r="E10" s="62">
        <f>IFERROR(IF(D10="","",D10*'0. Assumptions'!$B$20),"")</f>
        <v>208.0</v>
      </c>
      <c r="F10" s="62">
        <f>IFERROR(IF(D10="","",D10+E10),"")</f>
        <v>2288.0</v>
      </c>
      <c r="G10" s="62">
        <f>IFERROR(IF(D10="","",F10*MAX(12,'0. Assumptions'!$B$21)),"")</f>
        <v>27456.0</v>
      </c>
      <c r="H10" s="45">
        <f>IFERROR(IF(D10="","",C10*$B$19),"")</f>
        <v>16.0</v>
      </c>
      <c r="I10" s="41">
        <f>IFERROR(IF(D10="","",H10*B10*$B$20),"")</f>
        <v>1600.0</v>
      </c>
      <c r="J10" s="29" t="inlineStr">
        <is>
          <t>Extra hands for the Friday and Saturday peaks: restocking ice, glassware and kegs and clearing the bar, on a few hours a week, matched to the weekend peaks described in "Instructions"</t>
        </is>
      </c>
    </row>
    <row r="11">
      <c r="A11" s="29" t="inlineStr">
        <is>
          <t>Relief cover (vacations + days off)</t>
        </is>
      </c>
      <c r="B11" s="51" t="n">
        <v>1</v>
      </c>
      <c r="C11" s="53" t="n">
        <v>0.3</v>
      </c>
      <c r="D11" s="70" t="n">
        <v>832</v>
      </c>
      <c r="E11" s="62">
        <f>IFERROR(IF(D11="","",D11*'0. Assumptions'!$B$20),"")</f>
        <v>83.2</v>
      </c>
      <c r="F11" s="62">
        <f>IFERROR(IF(D11="","",D11+E11),"")</f>
        <v>915.2</v>
      </c>
      <c r="G11" s="62">
        <f>IFERROR(IF(D11="","",F11*MAX(12,'0. Assumptions'!$B$21)),"")</f>
        <v>10982.400000000001</v>
      </c>
      <c r="H11" s="45">
        <f>IFERROR(IF(D11="","",C11*$B$19),"")</f>
        <v>12.0</v>
      </c>
      <c r="I11" s="41">
        <f>IFERROR(IF(D11="","",H11*B11*$B$20),"")</f>
        <v>600.0</v>
      </c>
      <c r="J11" s="29" t="inlineStr">
        <is>
          <t>Covers vacation, paid time off and the weekly day off for the team</t>
        </is>
      </c>
    </row>
    <row r="12">
      <c r="A12" s="26" t="inlineStr">
        <is>
          <t>TOTAL STAFF</t>
        </is>
      </c>
      <c r="B12" s="54">
        <f>IFERROR(IF(COUNT(D5:D11)=0,"",SUM(B5:B11)),"")</f>
        <v>11.0</v>
      </c>
      <c r="C12" s="55">
        <f>IFERROR(IF(COUNT(D5:D11)=0,"",SUMPRODUCT(B5:B11,C5:C11)),"")</f>
        <v>6.999999999999999</v>
      </c>
      <c r="D12" s="55">
        <f>IFERROR(IF(COUNT(D5:D11)=0,"",SUM(D5:D11)),"")</f>
        <v>23396.0</v>
      </c>
      <c r="E12" s="55">
        <f>IFERROR(IF(COUNT(D5:D11)=0,"",SUM(E5:E11)),"")</f>
        <v>2339.6</v>
      </c>
      <c r="F12" s="55">
        <f>IFERROR(IF(COUNT(D5:D11)=0,"",SUM(F5:F11)),"")</f>
        <v>25735.6</v>
      </c>
      <c r="G12" s="55">
        <f>IFERROR(IF(COUNT(D5:D11)=0,"",SUM(G5:G11)),"")</f>
        <v>308827.2</v>
      </c>
      <c r="H12" s="29" t="n"/>
      <c r="I12" s="54">
        <f>IFERROR(IF(COUNT(D5:D11)=0,"",SUM(I5:I11)),"")</f>
        <v>14000.0</v>
      </c>
      <c r="J12" s="29" t="n"/>
    </row>
    <row r="13">
      <c r="A13" s="16" t="inlineStr">
        <is>
          <t>STAFF GROWTH (stepped cost)</t>
        </is>
      </c>
    </row>
    <row r="14">
      <c r="A14" s="34" t="inlineStr">
        <is>
          <t>Annual cost of year-2 hires</t>
        </is>
      </c>
      <c r="B14" s="57" t="n">
        <v>6000</v>
      </c>
      <c r="J14" s="34" t="inlineStr">
        <is>
          <t>FULL ANNUAL cost (gross pay + employer payroll taxes, over all pay periods) of whoever you hire that year. The P&amp;L adds it to the previous year's cost: staffing grows by people, not by a percentage</t>
        </is>
      </c>
    </row>
    <row r="15">
      <c r="A15" s="34" t="inlineStr">
        <is>
          <t>Annual cost of year-3 hires</t>
        </is>
      </c>
      <c r="B15" s="57" t="n">
        <v>6000</v>
      </c>
      <c r="J15" s="34" t="inlineStr">
        <is>
          <t>FULL ANNUAL cost (gross pay + employer payroll taxes, over all pay periods) of whoever you hire that year. The P&amp;L adds it to the previous year's cost: staffing grows by people, not by a percentage</t>
        </is>
      </c>
    </row>
    <row r="16">
      <c r="A16" s="34" t="inlineStr">
        <is>
          <t>Labor cost, year 2</t>
        </is>
      </c>
      <c r="B16" s="43">
        <f>IFERROR(IF(G12="","",G12*(1+'0. Assumptions'!$B$48)+B14),"")</f>
        <v>314827.2</v>
      </c>
    </row>
    <row r="17">
      <c r="A17" s="34" t="inlineStr">
        <is>
          <t>Labor cost, year 3</t>
        </is>
      </c>
      <c r="B17" s="43">
        <f>IFERROR(IF(B16="","",B16*(1+'0. Assumptions'!$B$48)+B15),"")</f>
        <v>320827.2</v>
      </c>
    </row>
    <row r="18">
      <c r="A18" s="16" t="inlineStr">
        <is>
          <t>COVERAGE OF SERVICE HOURS</t>
        </is>
      </c>
    </row>
    <row r="19">
      <c r="A19" s="34" t="inlineStr">
        <is>
          <t>Full-time week (hours per week)</t>
        </is>
      </c>
      <c r="B19" s="57" t="n">
        <v>40</v>
      </c>
      <c r="J19" s="34" t="inlineStr">
        <is>
          <t>40 hours a week is the FLSA overtime threshold for non-exempt employees; some states add daily overtime rules. Change it if your own full-time week is different</t>
        </is>
      </c>
    </row>
    <row r="20">
      <c r="A20" s="34" t="inlineStr">
        <is>
          <t>Weeks worked per year per person</t>
        </is>
      </c>
      <c r="B20" s="57" t="n">
        <v>50</v>
      </c>
      <c r="J20" s="34" t="inlineStr">
        <is>
          <t>50 weeks: 52 minus about two weeks of vacation, holidays and average absences. There is no federal vacation requirement in the US: adjust it to your own policy</t>
        </is>
      </c>
    </row>
    <row r="21">
      <c r="A21" s="34" t="inlineStr">
        <is>
          <t>Service hours per day to cover</t>
        </is>
      </c>
      <c r="B21" s="58" t="n">
        <v>9</v>
      </c>
      <c r="J21" s="34" t="inlineStr">
        <is>
          <t>Hours the bar is open to the public each day, from opening to closing. It is an estimate for a neighborhood bar open from afternoon to late night: count the hours against your real schedule</t>
        </is>
      </c>
    </row>
    <row r="22">
      <c r="A22" s="34" t="inlineStr">
        <is>
          <t>People needed at the same time in each shift</t>
        </is>
      </c>
      <c r="B22" s="58" t="n">
        <v>3.5</v>
      </c>
      <c r="J22" s="34" t="inlineStr">
        <is>
          <t>Average number of people working at the same time across the bar and the floor. Rushes need more people and the end of each shift needs fewer</t>
        </is>
      </c>
    </row>
    <row r="23">
      <c r="A23" s="34" t="inlineStr">
        <is>
          <t>Production hours per day BEFORE opening</t>
        </is>
      </c>
      <c r="B23" s="58" t="n">
        <v>3</v>
      </c>
      <c r="J23" s="34" t="inlineStr">
        <is>
          <t>Prep time ahead of opening: small-plates mise en place, batched syrups and juices, garnish and ice, with the griddle, fryer and oven running. It is work time that does not overlap with serving guests</t>
        </is>
      </c>
    </row>
    <row r="24">
      <c r="A24" s="34" t="inlineStr">
        <is>
          <t>People on the production shift</t>
        </is>
      </c>
      <c r="B24" s="58" t="n">
        <v>2</v>
      </c>
      <c r="J24" s="34" t="inlineStr">
        <is>
          <t>Kitchen lead and line / prep cook. Closing, cleaning and the management of purchasing and cash fall OUTSIDE this schedule: they are the margin between the hours hired and the hours needed</t>
        </is>
      </c>
    </row>
    <row r="25">
      <c r="A25" s="34" t="inlineStr">
        <is>
          <t>Service hours to cover per year</t>
        </is>
      </c>
      <c r="B25" s="43">
        <f>IFERROR(IF(OR(B21="",B22="",'0. Assumptions'!$B$6=""),"",B21*B22*'0. Assumptions'!$B$6+B23*B24*'0. Assumptions'!$B$6),"")</f>
        <v>13500.0</v>
      </c>
    </row>
    <row r="26">
      <c r="A26" s="34" t="inlineStr">
        <is>
          <t>Hours hired per year</t>
        </is>
      </c>
      <c r="B26" s="43">
        <f>IFERROR(IF(I12="","",I12),"")</f>
        <v>14000.0</v>
      </c>
    </row>
    <row r="27">
      <c r="A27" s="16" t="inlineStr">
        <is>
          <t>Coverage (hired / needed)</t>
        </is>
      </c>
      <c r="B27" s="68">
        <f>IFERROR(B26/B25,"")</f>
        <v>1.037037037037037</v>
      </c>
      <c r="J27" s="16" t="inlineStr">
        <is>
          <t>Below 100% the staff cannot cover the hours the plan declares: either hire more or cut the hours</t>
        </is>
      </c>
    </row>
    <row r="29" ht="194.5" customHeight="1">
      <c r="A29" s="17" t="inlineStr">
        <is>
          <t>The gross pay, employer payroll taxes, monthly cost and annual cost columns are TOTALS for the row: for a position with two people they include both. The payroll tax rate and the number of pay periods are in the "0. Assumptions" tab. Tips are not modeled: bartenders, barbacks and servers are budgeted at a base wage of at least $15/h. Federal rules allow a $2.13/h cash wage with a tip credit of up to $5.12 where the state permits it; CA, OR, WA, AK, MN, MT and NV do not (DOL)</t>
        </is>
      </c>
    </row>
    <row r="30" ht="150" customHeight="1">
      <c r="A30"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Assumptions'!$B$21&lt;MAX('0. Assumptions'!$B$22,'0. Assumptions'!$B$68)*C5)</formula>
    </cfRule>
  </conditionalFormatting>
  <dataValidations count="3">
    <dataValidation sqref="B5 B6 B7 B8 B9 B10 B11 B14 B15 B19 B20 B21 B23 D5 D6 D7 D8 D9 D10 D11" showDropDown="0" showInputMessage="0" showErrorMessage="1" allowBlank="1" errorTitle="Invalid amount" error="Enter a number greater than or equal to 0." type="decimal" operator="greaterThanOrEqual">
      <formula1>0</formula1>
    </dataValidation>
    <dataValidation sqref="B22 B24"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C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5"/>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HOW TO USE THIS WORKBOOK — Bar Financial Projections</t>
        </is>
      </c>
      <c r="B1" s="29" t="n"/>
      <c r="C1" s="29" t="n"/>
      <c r="D1" s="29" t="n"/>
      <c r="E1" s="29" t="n"/>
    </row>
    <row r="2">
      <c r="A2" s="29" t="n"/>
      <c r="B2" s="29" t="n"/>
      <c r="C2" s="29" t="n"/>
      <c r="D2" s="29" t="n"/>
      <c r="E2" s="29" t="n"/>
    </row>
    <row r="3">
      <c r="A3" s="40" t="inlineStr">
        <is>
          <t>HOW TO USE THIS WORKBOOK</t>
        </is>
      </c>
      <c r="B3" s="29" t="n"/>
      <c r="C3" s="29" t="n"/>
      <c r="D3" s="29" t="n"/>
      <c r="E3" s="29" t="n"/>
    </row>
    <row r="4" ht="30" customHeight="1">
      <c r="A4" s="48" t="inlineStr">
        <is>
          <t>This financial plan is a MODEL: you type only in the GREEN cells and everything else recalculates on its own.</t>
        </is>
      </c>
      <c r="B4" s="29" t="n"/>
      <c r="C4" s="29" t="n"/>
      <c r="D4" s="29" t="n"/>
      <c r="E4" s="29" t="n"/>
    </row>
    <row r="5" ht="45" customHeight="1">
      <c r="A5" s="48" t="inlineStr">
        <is>
          <t>1. "0. Assumptions" is the control sheet: covers per day, average check excl. sales tax, operating days, food and beverage mix, cost of goods sold, rent, financing and taxes.</t>
        </is>
      </c>
      <c r="B5" s="29" t="n"/>
      <c r="C5" s="29" t="n"/>
      <c r="D5" s="29" t="n"/>
      <c r="E5" s="29" t="n"/>
    </row>
    <row r="6" ht="45" customHeight="1">
      <c r="A6" s="48" t="inlineStr">
        <is>
          <t>2. Startup cost items, fixed costs and staffing are typed in their own tab, also in green. No number is typed twice.</t>
        </is>
      </c>
      <c r="B6" s="29" t="n"/>
      <c r="C6" s="29" t="n"/>
      <c r="D6" s="29" t="n"/>
      <c r="E6" s="29" t="n"/>
    </row>
    <row r="7" ht="105" customHeight="1">
      <c r="A7" s="48" t="inlineStr">
        <is>
          <t>3. On "Break-Even" you only type the seat-turn ceiling your space allows; everything else derives from the rest. The other three tabs also have green cells you can change: the pessimistic and optimistic scenarios on "Scenarios", the seasonality and the launch ramp-up on "12-Month Cash Flow", and the other financing sources on "Financing" (rows 8-11 count as sources but are not amortized: Your bank or SBA 7(a) loan goes in "Loan requested" on "0. Assumptions"). Everything else is calculated.</t>
        </is>
      </c>
      <c r="B7" s="29" t="n"/>
      <c r="C7" s="29" t="n"/>
      <c r="D7" s="29" t="n"/>
      <c r="E7" s="29" t="n"/>
    </row>
    <row r="8" ht="210" customHeight="1">
      <c r="A8" s="48" t="inlineStr">
        <is>
          <t>4. All figures are EXCL. SALES TAX. To turn a menu price into a price excl. sales tax, divide it by 1 + your sales tax rate (with an 8% rate, divide by 1.08); if an item is taxed at a different rate (alcohol to go, for instance), use that rate. The rate of each sales line is in the "Sales tax rate on the line (%)" column of the P&amp;L, and from it come the receipts, the sales tax collected and the equivalent menu price incl. sales tax. With the default 0% recoverable input tax, the sales tax you pay on purchases and startup costs is treated as a cost; in the UK, enter 20% if you are VAT-registered.</t>
        </is>
      </c>
      <c r="B8" s="29" t="n"/>
      <c r="C8" s="29" t="n"/>
      <c r="D8" s="29" t="n"/>
      <c r="E8" s="29" t="n"/>
    </row>
    <row r="9" ht="30" customHeight="1">
      <c r="A9" s="48" t="inlineStr">
        <is>
          <t>5. If you change the staffing, the P&amp;L reads it on its own: labor cost comes from the "Staffing" tab, not from a separate estimate.</t>
        </is>
      </c>
      <c r="B9" s="29" t="n"/>
      <c r="C9" s="29" t="n"/>
      <c r="D9" s="29" t="n"/>
      <c r="E9" s="29" t="n"/>
    </row>
    <row r="10" ht="45" customHeight="1">
      <c r="A10" s="48" t="inlineStr">
        <is>
          <t>6. The "12-Month Cash Flow" tab answers the question that decides a bank deal: in which month the cash runs out. The minimum balance of the year can never be in red.</t>
        </is>
      </c>
      <c r="B10" s="29" t="n"/>
      <c r="C10" s="29" t="n"/>
      <c r="D10" s="29" t="n"/>
      <c r="E10" s="29" t="n"/>
    </row>
    <row r="11" ht="75" customHeight="1">
      <c r="A11" s="48" t="inlineStr">
        <is>
          <t>7. The "Financing" tab matches what you need with what you put in and builds the amortization schedule of the loan. If the difference shows in red, the plan is not financed; far above zero is not free either, because you pay interest on money you do not use.</t>
        </is>
      </c>
      <c r="B11" s="29" t="n"/>
      <c r="C11" s="29" t="n"/>
      <c r="D11" s="29" t="n"/>
      <c r="E11" s="29" t="n"/>
    </row>
    <row r="12" ht="59.75" customHeight="1">
      <c r="A12" s="48" t="inlineStr">
        <is>
          <t>8. The Word document in this pack uses the same example figures as this workbook. If you change a number here, update the Word document to match: where the two differ, this spreadsheet is the one that recalculates.</t>
        </is>
      </c>
      <c r="B12" s="29" t="n"/>
      <c r="C12" s="29" t="n"/>
      <c r="D12" s="29" t="n"/>
      <c r="E12" s="29" t="n"/>
    </row>
    <row r="13">
      <c r="A13" s="29" t="n"/>
      <c r="B13" s="29" t="n"/>
      <c r="C13" s="29" t="n"/>
      <c r="D13" s="29" t="n"/>
      <c r="E13" s="29" t="n"/>
    </row>
    <row r="14">
      <c r="A14" s="26" t="inlineStr">
        <is>
          <t>RATIOS AUDITED BY THIS WORKBOOK</t>
        </is>
      </c>
      <c r="B14" s="29" t="n"/>
      <c r="C14" s="29" t="n"/>
      <c r="D14" s="29" t="n"/>
      <c r="E14" s="29" t="n"/>
    </row>
    <row r="15" ht="30" customHeight="1">
      <c r="A15" s="48" t="inlineStr">
        <is>
          <t>Thresholds live in the "Threshold" column of the KEY RATIOS block of the P&amp;L: change them there and the traffic light changes with them.</t>
        </is>
      </c>
      <c r="B15" s="29" t="n"/>
      <c r="C15" s="29" t="n"/>
      <c r="D15" s="29" t="n"/>
      <c r="E15" s="29" t="n"/>
    </row>
    <row r="16">
      <c r="A16" s="29" t="n"/>
      <c r="B16" s="29" t="n"/>
      <c r="C16" s="29" t="n"/>
      <c r="D16" s="29" t="n"/>
      <c r="E16" s="29" t="n"/>
    </row>
    <row r="17">
      <c r="A17" s="26" t="inlineStr">
        <is>
          <t>Ratio</t>
        </is>
      </c>
      <c r="B17" s="26" t="inlineStr">
        <is>
          <t>Year 1 value</t>
        </is>
      </c>
      <c r="C17" s="26" t="inlineStr">
        <is>
          <t>Threshold</t>
        </is>
      </c>
      <c r="D17" s="26" t="inlineStr">
        <is>
          <t>Status</t>
        </is>
      </c>
      <c r="E17" s="29" t="n"/>
    </row>
    <row r="18">
      <c r="A18" s="29" t="inlineStr">
        <is>
          <t>Cost of goods sold / Sales</t>
        </is>
      </c>
      <c r="B18" s="66">
        <f>IFERROR(IF('3-Year P&amp;L'!$B$52="","",'3-Year P&amp;L'!$B$52),"")</f>
        <v>0.24800000000000003</v>
      </c>
      <c r="C18" s="66">
        <f>IFERROR(IF('3-Year P&amp;L'!$E$52="","",'3-Year P&amp;L'!$E$52),"")</f>
        <v>0.28</v>
      </c>
      <c r="D18" s="29" t="str">
        <f>IFERROR(IF(OR(B18="",C18=""),"",IF(B18&lt;=C18,"OK","REVIEW")),"")</f>
        <v>OK</v>
      </c>
      <c r="E18" s="29" t="n"/>
    </row>
    <row r="19">
      <c r="A19" s="29" t="inlineStr">
        <is>
          <t>Labor cost / Sales</t>
        </is>
      </c>
      <c r="B19" s="66">
        <f>IFERROR(IF('3-Year P&amp;L'!$B$53="","",'3-Year P&amp;L'!$B$53),"")</f>
        <v>0.33444574398960364</v>
      </c>
      <c r="C19" s="66">
        <f>IFERROR(IF('3-Year P&amp;L'!$E$53="","",'3-Year P&amp;L'!$E$53),"")</f>
        <v>0.35</v>
      </c>
      <c r="D19" s="29" t="str">
        <f>IFERROR(IF(OR(B19="",C19=""),"",IF(B19&lt;=C19,"OK","REVIEW")),"")</f>
        <v>OK</v>
      </c>
      <c r="E19" s="29" t="n"/>
    </row>
    <row r="20">
      <c r="A20" s="29" t="inlineStr">
        <is>
          <t>Rent / Sales</t>
        </is>
      </c>
      <c r="B20" s="66">
        <f>IFERROR(IF('3-Year P&amp;L'!$B$54="","",'3-Year P&amp;L'!$B$54),"")</f>
        <v>0.08447043534762833</v>
      </c>
      <c r="C20" s="66">
        <f>IFERROR(IF('3-Year P&amp;L'!$E$54="","",'3-Year P&amp;L'!$E$54),"")</f>
        <v>0.1</v>
      </c>
      <c r="D20" s="29" t="str">
        <f>IFERROR(IF(OR(B20="",C20=""),"",IF(B20&lt;=C20,"OK","REVIEW")),"")</f>
        <v>OK</v>
      </c>
      <c r="E20" s="29" t="n"/>
    </row>
    <row r="21">
      <c r="A21" s="29" t="inlineStr">
        <is>
          <t>Net income / Sales</t>
        </is>
      </c>
      <c r="B21" s="66">
        <f>IFERROR(IF('3-Year P&amp;L'!$B$55="","",'3-Year P&amp;L'!$B$55),"")</f>
        <v>0.08160890652557325</v>
      </c>
      <c r="C21" s="66">
        <f>IFERROR(IF('3-Year P&amp;L'!$E$55="","",'3-Year P&amp;L'!$E$55),"")</f>
        <v>0.05</v>
      </c>
      <c r="D21" s="29" t="str">
        <f>IFERROR(IF(OR(B21="",C21=""),"",IF(B21&gt;=C21,"OK","REVIEW")),"")</f>
        <v>OK</v>
      </c>
      <c r="E21" s="29" t="n"/>
    </row>
    <row r="22">
      <c r="A22" s="29" t="inlineStr">
        <is>
          <t>Gross margin / Sales</t>
        </is>
      </c>
      <c r="B22" s="66">
        <f>IFERROR(IF('3-Year P&amp;L'!$B$50="","",'3-Year P&amp;L'!$B$50),"")</f>
        <v>0.6970000000000001</v>
      </c>
      <c r="C22" s="66">
        <f>IFERROR(IF('3-Year P&amp;L'!$E$50="","",'3-Year P&amp;L'!$E$50),"")</f>
        <v>0.68</v>
      </c>
      <c r="D22" s="29" t="str">
        <f>IFERROR(IF(OR(B22="",C22=""),"",IF(B22&gt;=C22,"OK","REVIEW")),"")</f>
        <v>OK</v>
      </c>
      <c r="E22" s="29" t="n"/>
    </row>
    <row r="24">
      <c r="A24" s="16" t="inlineStr">
        <is>
          <t>THIS PLAN'S KEY FIGURES</t>
        </is>
      </c>
    </row>
    <row r="25">
      <c r="A25" t="inlineStr">
        <is>
          <t>Total startup costs (sum of the blocks)</t>
        </is>
      </c>
      <c r="B25" s="43">
        <f>IFERROR(IF('Startup Costs'!$B$30="","",'Startup Costs'!$B$30),"")</f>
        <v>488931.8</v>
      </c>
    </row>
    <row r="26">
      <c r="A26" t="inlineStr">
        <is>
          <t>Total cash needed at launch</t>
        </is>
      </c>
      <c r="B26" s="43">
        <f>IFERROR(IF('Startup Costs'!$B$33="","",'Startup Costs'!$B$33),"")</f>
        <v>488931.8</v>
      </c>
    </row>
    <row r="27">
      <c r="A27" t="inlineStr">
        <is>
          <t>Working capital funded</t>
        </is>
      </c>
      <c r="B27" s="43">
        <f>IFERROR(IF('Startup Costs'!$B$29="","",'Startup Costs'!$B$29),"")</f>
        <v>127231.79999999999</v>
      </c>
    </row>
    <row r="28">
      <c r="A28" t="inlineStr">
        <is>
          <t>Forecast year-1 revenue</t>
        </is>
      </c>
      <c r="B28" s="43">
        <f>IFERROR(IF('3-Year P&amp;L'!$B$9="","",'3-Year P&amp;L'!$B$9),"")</f>
        <v>923400.0</v>
      </c>
    </row>
    <row r="29">
      <c r="A29" t="inlineStr">
        <is>
          <t>Year-1 net income</t>
        </is>
      </c>
      <c r="B29" s="43">
        <f>IFERROR(IF('3-Year P&amp;L'!$B$47="","",'3-Year P&amp;L'!$B$47),"")</f>
        <v>75357.66428571433</v>
      </c>
    </row>
    <row r="30">
      <c r="A30" t="inlineStr">
        <is>
          <t>Covers per day for the ACCOUNTING break-even (depreciation included)</t>
        </is>
      </c>
      <c r="B30" s="50">
        <f>IFERROR(IF('Break-Even'!$B$15="","",'Break-Even'!$B$15),"")</f>
        <v>80.16911311347785</v>
      </c>
    </row>
    <row r="31">
      <c r="A31" t="inlineStr">
        <is>
          <t>Project payback (years), before debt</t>
        </is>
      </c>
      <c r="B31">
        <f>IFERROR(IF('12-Month Cash Flow'!$B$31="","",'12-Month Cash Flow'!$B$31),"")</f>
        <v>2.5</v>
      </c>
    </row>
    <row r="33">
      <c r="A33" s="16" t="inlineStr">
        <is>
          <t>WHY THIS MODEL IS BUILT THIS WAY</t>
        </is>
      </c>
    </row>
    <row r="34">
      <c r="A34" s="16" t="inlineStr">
        <is>
          <t>Item</t>
        </is>
      </c>
      <c r="B34" s="16" t="inlineStr">
        <is>
          <t>Common shortcut</t>
        </is>
      </c>
      <c r="C34" s="16" t="inlineStr">
        <is>
          <t>This workbook</t>
        </is>
      </c>
      <c r="D34" s="16" t="inlineStr">
        <is>
          <t>Why</t>
        </is>
      </c>
    </row>
    <row r="35" ht="60" customHeight="1">
      <c r="A35" s="59" t="inlineStr">
        <is>
          <t>Labor cost in the P&amp;L</t>
        </is>
      </c>
      <c r="B35" s="59" t="inlineStr">
        <is>
          <t>A figure typed by hand into the P&amp;L</t>
        </is>
      </c>
      <c r="C35" s="59" t="inlineStr">
        <is>
          <t>The total of the "Staffing" tab</t>
        </is>
      </c>
      <c r="D35" s="17" t="inlineStr">
        <is>
          <t>A typed figure drifts away from what the payroll tab actually adds up to. Here both are the same number, and it recalculates every time you change a salary.</t>
        </is>
      </c>
    </row>
    <row r="36" ht="165" customHeight="1">
      <c r="A36" s="59" t="inlineStr">
        <is>
          <t>Staffing</t>
        </is>
      </c>
      <c r="B36" s="59" t="inlineStr">
        <is>
          <t>A headcount with a lump-sum labor cost</t>
        </is>
      </c>
      <c r="C36" s="59" t="inlineStr">
        <is>
          <t>Positions with hours, part-time shifts and a wage for each role</t>
        </is>
      </c>
      <c r="D36" s="17" t="inlineStr">
        <is>
          <t>Sized by hours, with the schedule visible on the "Staffing" tab: the hours the bar is open to guests plus the prep time ahead of opening, with the people needed at once, on every day the bar opens. Hired hours cover those needed hours and leave a small margin for closing, cleaning and administration. No wage falls below the minimum wage floor, and part-time roles respect it in proportion.</t>
        </is>
      </c>
    </row>
    <row r="37" ht="150" customHeight="1">
      <c r="A37" s="59" t="inlineStr">
        <is>
          <t>Covers per day in year 1</t>
        </is>
      </c>
      <c r="B37" s="59" t="inlineStr">
        <is>
          <t>A typed number with no link to the seats</t>
        </is>
      </c>
      <c r="C37" s="59" t="inlineStr">
        <is>
          <t>Covers per day, with the implied seat turns shown next to the seating capacity</t>
        </is>
      </c>
      <c r="D37" s="17" t="inlineStr">
        <is>
          <t>Volume is set from the seats and a realistic number of seat turns, then checked against the ceiling on "Break-Even", so the plan never assumes more covers than the space can serve.</t>
        </is>
      </c>
    </row>
    <row r="38" ht="45" customHeight="1">
      <c r="A38" s="59" t="inlineStr">
        <is>
          <t>Average check</t>
        </is>
      </c>
      <c r="B38" s="59" t="inlineStr">
        <is>
          <t>A figure that does not say whether it includes sales tax</t>
        </is>
      </c>
      <c r="C38" s="59" t="inlineStr">
        <is>
          <t>Average check EXCL. sales tax, with the menu price incl. sales tax calculated from it</t>
        </is>
      </c>
      <c r="D38" s="17" t="inlineStr">
        <is>
          <t>The workbook states what the number is: the menu price with tax comes from your local rate on "0. Assumptions", so the P&amp;L never counts sales tax as revenue.</t>
        </is>
      </c>
    </row>
    <row r="39" ht="45" customHeight="1">
      <c r="A39" s="59" t="inlineStr">
        <is>
          <t>Year-1 revenue</t>
        </is>
      </c>
      <c r="B39" s="59" t="inlineStr">
        <is>
          <t>A total typed by hand</t>
        </is>
      </c>
      <c r="C39" s="59" t="inlineStr">
        <is>
          <t>Covers × average check × days open</t>
        </is>
      </c>
      <c r="D39" s="17" t="inlineStr">
        <is>
          <t>Revenue is built from its drivers, so changing the volume, the price or the calendar moves the P&amp;L, the break-even and the scenarios together.</t>
        </is>
      </c>
    </row>
    <row r="40" ht="45" customHeight="1">
      <c r="A40" s="59" t="inlineStr">
        <is>
          <t>Rent</t>
        </is>
      </c>
      <c r="B40" s="59" t="inlineStr">
        <is>
          <t>A flat monthly amount buried in the costs</t>
        </is>
      </c>
      <c r="C40" s="59" t="inlineStr">
        <is>
          <t>One monthly rent on "0. Assumptions", checked as a share of sales</t>
        </is>
      </c>
      <c r="D40" s="17" t="inlineStr">
        <is>
          <t>The traffic light on the "3-Year P&amp;L" compares rent with its ceiling, so you see whether the lease is viable when you negotiate it.</t>
        </is>
      </c>
    </row>
    <row r="41" ht="45" customHeight="1">
      <c r="A41" s="59" t="inlineStr">
        <is>
          <t>Opening calendar</t>
        </is>
      </c>
      <c r="B41" s="59" t="inlineStr">
        <is>
          <t>Different calendars on different tabs</t>
        </is>
      </c>
      <c r="C41" s="59" t="inlineStr">
        <is>
          <t>One figure for days open, a single input on "0. Assumptions"</t>
        </is>
      </c>
      <c r="D41" s="17" t="inlineStr">
        <is>
          <t>When tabs use different calendars, their results do not agree with each other. One input feeds the P&amp;L, the break-even and the scenarios.</t>
        </is>
      </c>
    </row>
    <row r="42" ht="45" customHeight="1">
      <c r="A42" s="59" t="inlineStr">
        <is>
          <t>Working capital</t>
        </is>
      </c>
      <c r="B42" s="59" t="inlineStr">
        <is>
          <t>A typed amount with a number of months in its label</t>
        </is>
      </c>
      <c r="C42" s="59" t="inlineStr">
        <is>
          <t>A number of months of fixed cash costs, by formula</t>
        </is>
      </c>
      <c r="D42" s="17" t="inlineStr">
        <is>
          <t>A typed amount can fall short of even one month of fixed costs without anyone noticing. Here it recalculates every time you change a fixed cost.</t>
        </is>
      </c>
    </row>
    <row r="43" ht="59.75" customHeight="1">
      <c r="A43" s="59" t="inlineStr">
        <is>
          <t>Depreciation</t>
        </is>
      </c>
      <c r="B43" s="59" t="inlineStr">
        <is>
          <t>One flat rate applied to the whole investment</t>
        </is>
      </c>
      <c r="C43" s="59" t="inlineStr">
        <is>
          <t>Straight-line, only on build-out and equipment, each over its own useful life, by formula</t>
        </is>
      </c>
      <c r="D43" s="17" t="inlineStr">
        <is>
          <t>Working capital, the security deposit, opening inventory and launch marketing are not fixed assets and are not depreciated. Tax depreciation (MACRS, Section 179) can differ: ask your CPA.</t>
        </is>
      </c>
    </row>
    <row r="44" ht="30" customHeight="1">
      <c r="A44" s="59" t="inlineStr">
        <is>
          <t>Build-out contingency</t>
        </is>
      </c>
      <c r="B44" s="59" t="inlineStr">
        <is>
          <t>A typed amount</t>
        </is>
      </c>
      <c r="C44" s="59" t="inlineStr">
        <is>
          <t>A percentage of the build-out lines, editable on "0. Assumptions"</t>
        </is>
      </c>
      <c r="D44" s="17" t="inlineStr">
        <is>
          <t>A percentage buried in a row label goes stale as soon as any line changes. Here it is an input and recalculates.</t>
        </is>
      </c>
    </row>
    <row r="45" ht="89.75" customHeight="1">
      <c r="A45" s="59" t="inlineStr">
        <is>
          <t>Income tax</t>
        </is>
      </c>
      <c r="B45" s="59" t="inlineStr">
        <is>
          <t>A flat rate every year, with no offset for losses</t>
        </is>
      </c>
      <c r="C45" s="59" t="inlineStr">
        <is>
          <t>One effective rate for years 1-2 and another from year 3, offsetting net operating losses carried forward</t>
        </is>
      </c>
      <c r="D45" s="17" t="inlineStr">
        <is>
          <t>It uses an effective income tax rate (federal plus state; a pass-through business pays none at the entity level) and carries net operating losses forward, the way a lender would model it. Federal rules cap the offset at 80% of taxable income while the model offsets in full, so treat it as a simplification and ask your CPA which structure applies to you.</t>
        </is>
      </c>
    </row>
    <row r="46" ht="30" customHeight="1">
      <c r="A46" s="59" t="inlineStr">
        <is>
          <t>Financing plan</t>
        </is>
      </c>
      <c r="B46" s="59" t="inlineStr">
        <is>
          <t>Not included</t>
        </is>
      </c>
      <c r="C46" s="59" t="inlineStr">
        <is>
          <t>The "Financing" tab: where the money comes from, whether it matches what you need, and the loan amortization schedule</t>
        </is>
      </c>
      <c r="D46" s="17" t="inlineStr">
        <is>
          <t>A lender asks for sources and uses. Without them, the plan cannot be shown to a bank.</t>
        </is>
      </c>
    </row>
    <row r="47" ht="75" customHeight="1">
      <c r="A47" s="59" t="inlineStr">
        <is>
          <t>Money you need to raise</t>
        </is>
      </c>
      <c r="B47" s="59" t="inlineStr">
        <is>
          <t>Not stated</t>
        </is>
      </c>
      <c r="C47" s="59" t="inlineStr">
        <is>
          <t>Owner equity and loan as inputs on "0. Assumptions"</t>
        </is>
      </c>
      <c r="D47" s="17" t="inlineStr">
        <is>
          <t>They are sized to the cash need that "Startup Costs" calculates: not below it, because then the project is not funded, and not far above it, because you pay interest on money you do not use. Lenders usually expect an owner equity injection (often around 10% for SBA start-ups; many want 20-30%).</t>
        </is>
      </c>
    </row>
    <row r="48" ht="30" customHeight="1">
      <c r="A48" s="59" t="inlineStr">
        <is>
          <t>Month-by-month cash flow</t>
        </is>
      </c>
      <c r="B48" s="59" t="inlineStr">
        <is>
          <t>Not included</t>
        </is>
      </c>
      <c r="C48" s="59" t="inlineStr">
        <is>
          <t>The "12-Month Cash Flow" tab: receipts, payments, quarterly sales tax and running balance</t>
        </is>
      </c>
      <c r="D48" s="17" t="inlineStr">
        <is>
          <t>It is the tab that answers in which month the cash runs out, which is what a lending decision turns on.</t>
        </is>
      </c>
    </row>
    <row r="49" ht="45" customHeight="1">
      <c r="A49" s="59" t="inlineStr">
        <is>
          <t>Miscellaneous and contingency</t>
        </is>
      </c>
      <c r="B49" s="59" t="inlineStr">
        <is>
          <t>A fixed yearly amount inside the fixed costs</t>
        </is>
      </c>
      <c r="C49" s="59" t="inlineStr">
        <is>
          <t>A percentage of sales, as a variable cost</t>
        </is>
      </c>
      <c r="D49" s="17" t="inlineStr">
        <is>
          <t>An expense that rises and falls with sales cannot live in the fixed costs: it moved the break-even for no reason.</t>
        </is>
      </c>
    </row>
    <row r="50" ht="60" customHeight="1">
      <c r="A50" s="59" t="inlineStr">
        <is>
          <t>Salaries and covered hours</t>
        </is>
      </c>
      <c r="B50" s="59" t="inlineStr">
        <is>
          <t>No check</t>
        </is>
      </c>
      <c r="C50" s="59" t="inlineStr">
        <is>
          <t>A traffic light per salary and a counter of hired hours against needed hours</t>
        </is>
      </c>
      <c r="D50" s="17" t="inlineStr">
        <is>
          <t>The "Staffing" tab flags red if a salary falls below the minimum wage floor in proportion to its hours, and amber if the team does not cover the schedule the project declares.</t>
        </is>
      </c>
    </row>
    <row r="52">
      <c r="A52" s="16" t="inlineStr">
        <is>
          <t>US INDUSTRY BENCHMARKS (sourced) AND KIT ESTIMATES</t>
        </is>
      </c>
    </row>
    <row r="53">
      <c r="A53" s="16" t="inlineStr">
        <is>
          <t>Benchmark</t>
        </is>
      </c>
      <c r="B53" s="16" t="inlineStr">
        <is>
          <t>Value</t>
        </is>
      </c>
      <c r="C53" s="16" t="inlineStr">
        <is>
          <t>Source</t>
        </is>
      </c>
      <c r="D53" s="16" t="inlineStr">
        <is>
          <t>Note</t>
        </is>
      </c>
    </row>
    <row r="54" ht="30" customHeight="1">
      <c r="A54" t="inlineStr">
        <is>
          <t>Food cost (small plates)</t>
        </is>
      </c>
      <c r="B54" t="inlineStr">
        <is>
          <t>25-35% of food sales</t>
        </is>
      </c>
      <c r="C54" t="inlineStr">
        <is>
          <t>Kit estimate</t>
        </is>
      </c>
      <c r="D54" s="17" t="inlineStr">
        <is>
          <t>Short kitchen with trim put to use: ingredients stay low on a small-plates menu</t>
        </is>
      </c>
    </row>
    <row r="55" ht="45" customHeight="1">
      <c r="A55" t="inlineStr">
        <is>
          <t>Pour cost, whole bar</t>
        </is>
      </c>
      <c r="B55" t="inlineStr">
        <is>
          <t>18-24% (median just above 20%)</t>
        </is>
      </c>
      <c r="C55" t="inlineStr">
        <is>
          <t>BevSpot (bevspot.com)</t>
        </is>
      </c>
      <c r="D55" s="17" t="inlineStr">
        <is>
          <t>The beverage cost in this example (the "Cost of goods sold on BEVERAGE sales" row of "0. Assumptions") includes garnish and spillage</t>
        </is>
      </c>
    </row>
    <row r="56" ht="30" customHeight="1">
      <c r="A56" t="inlineStr">
        <is>
          <t>Beer pour cost (median)</t>
        </is>
      </c>
      <c r="B56" t="inlineStr">
        <is>
          <t>24%</t>
        </is>
      </c>
      <c r="C56" t="inlineStr">
        <is>
          <t>BevSpot (bevspot.com)</t>
        </is>
      </c>
      <c r="D56" s="17" t="inlineStr">
        <is>
          <t>Draft beer lowers the cost compared with bottles if you keep the lines clean and control waste</t>
        </is>
      </c>
    </row>
    <row r="57" ht="15" customHeight="1">
      <c r="A57" t="inlineStr">
        <is>
          <t>Labor cost / sales</t>
        </is>
      </c>
      <c r="B57" t="inlineStr">
        <is>
          <t>≤ 35%</t>
        </is>
      </c>
      <c r="C57" t="inlineStr">
        <is>
          <t>Kit estimate</t>
        </is>
      </c>
      <c r="D57" s="17" t="inlineStr">
        <is>
          <t>Includes barbacks and weekend extras; tips are not included</t>
        </is>
      </c>
    </row>
    <row r="58">
      <c r="A58" t="inlineStr">
        <is>
          <t>Rent / sales</t>
        </is>
      </c>
      <c r="B58" t="inlineStr">
        <is>
          <t>≤ 10%</t>
        </is>
      </c>
      <c r="C58" t="inlineStr">
        <is>
          <t>Kit estimate</t>
        </is>
      </c>
      <c r="D58" s="17" t="inlineStr">
        <is>
          <t>The threshold used by the traffic light of the "3-Year P&amp;L"</t>
        </is>
      </c>
    </row>
    <row r="59" ht="30" customHeight="1">
      <c r="A59" t="inlineStr">
        <is>
          <t>Average check per guest</t>
        </is>
      </c>
      <c r="B59" t="inlineStr">
        <is>
          <t>$20-$35 excl. sales tax</t>
        </is>
      </c>
      <c r="C59" t="inlineStr">
        <is>
          <t>Kit estimate</t>
        </is>
      </c>
      <c r="D59" s="17" t="inlineStr">
        <is>
          <t>Small plates + drinks; the menu price incl. sales tax for THIS plan is calculated on "0. Assumptions"</t>
        </is>
      </c>
    </row>
    <row r="60">
      <c r="A60" t="inlineStr">
        <is>
          <t>Spirits pour cost (median)</t>
        </is>
      </c>
      <c r="B60" t="inlineStr">
        <is>
          <t>15%</t>
        </is>
      </c>
      <c r="C60" t="inlineStr">
        <is>
          <t>BevSpot (bevspot.com)</t>
        </is>
      </c>
      <c r="D60" s="17" t="inlineStr">
        <is>
          <t>Cocktails with a standardized recipe and a jigger</t>
        </is>
      </c>
    </row>
    <row r="61" ht="15" customHeight="1">
      <c r="A61" t="inlineStr">
        <is>
          <t>Wine pour cost (median)</t>
        </is>
      </c>
      <c r="B61" t="inlineStr">
        <is>
          <t>28%</t>
        </is>
      </c>
      <c r="C61" t="inlineStr">
        <is>
          <t>BevSpot (bevspot.com)</t>
        </is>
      </c>
      <c r="D61" s="17" t="inlineStr">
        <is>
          <t>Wine by the glass: control the open bottle</t>
        </is>
      </c>
    </row>
    <row r="62" ht="60" customHeight="1">
      <c r="A62" t="inlineStr">
        <is>
          <t>Seat turns per day</t>
        </is>
      </c>
      <c r="B62" t="inlineStr">
        <is>
          <t>1.5-3</t>
        </is>
      </c>
      <c r="C62" t="inlineStr">
        <is>
          <t>Kit estimate</t>
        </is>
      </c>
      <c r="D62" s="17" t="inlineStr">
        <is>
          <t>It is the default ceiling on "Break-Even": adjust it to your hours and your seating capacity</t>
        </is>
      </c>
    </row>
    <row r="63" ht="15" customHeight="1">
      <c r="A63" t="inlineStr">
        <is>
          <t>Startup costs, bar in a leased space</t>
        </is>
      </c>
      <c r="B63" t="inlineStr">
        <is>
          <t>$110,000-$550,000 (survey average $425,500)</t>
        </is>
      </c>
      <c r="C63" t="inlineStr">
        <is>
          <t>RestaurantOwner.com survey, via Poster (joinposter.com)</t>
        </is>
      </c>
      <c r="D63" s="17" t="inlineStr">
        <is>
          <t>Compare it with the capex on "Startup Costs"</t>
        </is>
      </c>
    </row>
    <row r="64" ht="30" customHeight="1">
      <c r="A64" t="inlineStr">
        <is>
          <t>Liquor license</t>
        </is>
      </c>
      <c r="B64" t="inlineStr">
        <is>
          <t>Beer &amp; wine from about $3,000; full liquor $12,000-$400,000</t>
        </is>
      </c>
      <c r="C64" t="inlineStr">
        <is>
          <t>Poster (joinposter.com)</t>
        </is>
      </c>
      <c r="D64" s="17" t="inlineStr">
        <is>
          <t>In quota states you buy an existing license at market price; this workbook budgets a state without a quota</t>
        </is>
      </c>
    </row>
    <row r="65" ht="30" customHeight="1">
      <c r="A65" t="inlineStr">
        <is>
          <t>Gross margin target</t>
        </is>
      </c>
      <c r="B65" t="inlineStr">
        <is>
          <t>≥ 68%</t>
        </is>
      </c>
      <c r="C65" t="inlineStr">
        <is>
          <t>Kit benchmark (editable estimate)</t>
        </is>
      </c>
      <c r="D65" s="17" t="inlineStr">
        <is>
          <t>The threshold used by the traffic light of the "3-Year P&amp;L"</t>
        </is>
      </c>
    </row>
    <row r="66" ht="45" customHeight="1">
      <c r="A66" t="inlineStr">
        <is>
          <t>Liquor liability insurance (small bars)</t>
        </is>
      </c>
      <c r="B66" t="inlineStr">
        <is>
          <t>Median $2,039 a year</t>
        </is>
      </c>
      <c r="C66" t="inlineStr">
        <is>
          <t>Insureon (insureon.com)</t>
        </is>
      </c>
      <c r="D66" s="17" t="inlineStr">
        <is>
          <t>A sample of small bars; a venue of this size pays more: the example budgets general liability, liquor liability and property together</t>
        </is>
      </c>
    </row>
    <row r="67" ht="150" customHeight="1">
      <c r="A67" t="inlineStr">
        <is>
          <t>Operating cash reserve</t>
        </is>
      </c>
      <c r="B67" t="inlineStr">
        <is>
          <t>$75,000-$100,000 or six months of costs</t>
        </is>
      </c>
      <c r="C67" t="inlineStr">
        <is>
          <t>RestaurantOwner.com survey, via Poster (joinposter.com)</t>
        </is>
      </c>
      <c r="D67" s="17" t="inlineStr">
        <is>
          <t>Compare it with the working capital on "Startup Costs"</t>
        </is>
      </c>
    </row>
    <row r="68" ht="30" customHeight="1">
      <c r="A68" t="inlineStr">
        <is>
          <t>Prime cost (cost of goods + labor)</t>
        </is>
      </c>
      <c r="B68" t="inlineStr">
        <is>
          <t>60-65% of sales (full-service)</t>
        </is>
      </c>
      <c r="C68" t="inlineStr">
        <is>
          <t>Restaurant365 (restaurant365.com)</t>
        </is>
      </c>
      <c r="D68" s="17" t="inlineStr">
        <is>
          <t>A bar usually lands somewhat below this range because drinks cost less than food</t>
        </is>
      </c>
    </row>
    <row r="69" ht="30" customHeight="1">
      <c r="A69" t="inlineStr">
        <is>
          <t>Minimum wage floor</t>
        </is>
      </c>
      <c r="B69" t="inlineStr">
        <is>
          <t>Federal $7.25/h + your state</t>
        </is>
      </c>
      <c r="C69" t="inlineStr">
        <is>
          <t>U.S. Department of Labor (dol.gov)</t>
        </is>
      </c>
      <c r="D69" s="17" t="inlineStr">
        <is>
          <t>Enter your state's floor on "0. Assumptions"; check your state and city rates at dol.gov</t>
        </is>
      </c>
    </row>
    <row r="71">
      <c r="A71" s="60" t="inlineStr">
        <is>
          <t>To edit a cell that is not green: Review → Unprotect Sheet (there is no password).</t>
        </is>
      </c>
    </row>
    <row r="72">
      <c r="A72" s="60" t="inlineStr">
        <is>
          <t>More templates and kits in the catalog at aichef.pro/en/digital-products</t>
        </is>
      </c>
    </row>
    <row r="73">
      <c r="A73" s="60" t="inlineStr">
        <is>
          <t>Designed by John Guerrero — chef and restaurant consultant since 2010, in the kitchen since age 17 · johnguerrero.es</t>
        </is>
      </c>
    </row>
    <row r="74">
      <c r="A74" s="60" t="inlineStr">
        <is>
          <t>Version 2.2 · October 2026 · aichef.pro/en/digital-products/bar-business-plan · info@aichef.pro</t>
        </is>
      </c>
    </row>
    <row r="75" ht="45" customHeight="1">
      <c r="A75" s="71"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CASH FLOW FORECAST — YEAR 1</t>
        </is>
      </c>
      <c r="B1" s="29" t="n"/>
      <c r="C1" s="29" t="n"/>
      <c r="D1" s="29" t="n"/>
      <c r="E1" s="29" t="n"/>
      <c r="F1" s="29" t="n"/>
      <c r="G1" s="29" t="n"/>
      <c r="H1" s="29" t="n"/>
      <c r="I1" s="29" t="n"/>
      <c r="J1" s="29" t="n"/>
      <c r="K1" s="29" t="n"/>
      <c r="L1" s="29" t="n"/>
      <c r="M1" s="29" t="n"/>
      <c r="N1" s="29" t="n"/>
      <c r="O1" s="29" t="n"/>
    </row>
    <row r="2" ht="59.75" customHeight="1">
      <c r="A2" s="48" t="inlineStr">
        <is>
          <t>The P&amp;L tells you whether the business makes money; this tab tells you whether you have cash left to get to the end of the month. It is the first one a lender looks at.</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Item</t>
        </is>
      </c>
      <c r="B4" s="26" t="inlineStr">
        <is>
          <t>Month 1</t>
        </is>
      </c>
      <c r="C4" s="26" t="inlineStr">
        <is>
          <t>Month 2</t>
        </is>
      </c>
      <c r="D4" s="26" t="inlineStr">
        <is>
          <t>Month 3</t>
        </is>
      </c>
      <c r="E4" s="26" t="inlineStr">
        <is>
          <t>Month 4</t>
        </is>
      </c>
      <c r="F4" s="26" t="inlineStr">
        <is>
          <t>Month 5</t>
        </is>
      </c>
      <c r="G4" s="26" t="inlineStr">
        <is>
          <t>Month 6</t>
        </is>
      </c>
      <c r="H4" s="26" t="inlineStr">
        <is>
          <t>Month 7</t>
        </is>
      </c>
      <c r="I4" s="26" t="inlineStr">
        <is>
          <t>Month 8</t>
        </is>
      </c>
      <c r="J4" s="26" t="inlineStr">
        <is>
          <t>Month 9</t>
        </is>
      </c>
      <c r="K4" s="26" t="inlineStr">
        <is>
          <t>Month 10</t>
        </is>
      </c>
      <c r="L4" s="26" t="inlineStr">
        <is>
          <t>Month 11</t>
        </is>
      </c>
      <c r="M4" s="26" t="inlineStr">
        <is>
          <t>Month 12</t>
        </is>
      </c>
      <c r="N4" s="26" t="inlineStr">
        <is>
          <t>Year</t>
        </is>
      </c>
      <c r="O4" s="29" t="n"/>
    </row>
    <row r="5">
      <c r="A5" s="29" t="inlineStr">
        <is>
          <t>Monthly seasonality (adds up to 100%)</t>
        </is>
      </c>
      <c r="B5" s="72" t="n">
        <v>0.064</v>
      </c>
      <c r="C5" s="72" t="n">
        <v>0.068</v>
      </c>
      <c r="D5" s="72" t="n">
        <v>0.078</v>
      </c>
      <c r="E5" s="72" t="n">
        <v>0.08</v>
      </c>
      <c r="F5" s="72" t="n">
        <v>0.08599999999999999</v>
      </c>
      <c r="G5" s="72" t="n">
        <v>0.093</v>
      </c>
      <c r="H5" s="72" t="n">
        <v>0.098</v>
      </c>
      <c r="I5" s="72" t="n">
        <v>0.093</v>
      </c>
      <c r="J5" s="72" t="n">
        <v>0.083</v>
      </c>
      <c r="K5" s="72" t="n">
        <v>0.08</v>
      </c>
      <c r="L5" s="72" t="n">
        <v>0.077</v>
      </c>
      <c r="M5" s="72" t="n">
        <v>0.1</v>
      </c>
      <c r="N5" s="66">
        <f>IFERROR(IF('3-Year P&amp;L'!$B$9="","",SUM(B5:M5)),"")</f>
        <v>1.0</v>
      </c>
      <c r="O5" s="29" t="inlineStr">
        <is>
          <t>Profile for your area: adjust it to your own slow and busy months (weather, tourism, events). It must add up to 100%</t>
        </is>
      </c>
    </row>
    <row r="6">
      <c r="A6" s="29" t="inlineStr">
        <is>
          <t>Launch ramp-up (% of steady-state activity)</t>
        </is>
      </c>
      <c r="B6" s="66">
        <f>IFERROR(IF('3-Year P&amp;L'!$B$9="","",MIN(1,'0. Assumptions'!$B$52+(1-'0. Assumptions'!$B$52)*0/MAX(1,'0. Assumptions'!$B$53-1))),"")</f>
        <v>0.55</v>
      </c>
      <c r="C6" s="66">
        <f>IFERROR(IF('3-Year P&amp;L'!$B$9="","",MIN(1,'0. Assumptions'!$B$52+(1-'0. Assumptions'!$B$52)*1/MAX(1,'0. Assumptions'!$B$53-1))),"")</f>
        <v>0.64</v>
      </c>
      <c r="D6" s="66">
        <f>IFERROR(IF('3-Year P&amp;L'!$B$9="","",MIN(1,'0. Assumptions'!$B$52+(1-'0. Assumptions'!$B$52)*2/MAX(1,'0. Assumptions'!$B$53-1))),"")</f>
        <v>0.73</v>
      </c>
      <c r="E6" s="66">
        <f>IFERROR(IF('3-Year P&amp;L'!$B$9="","",MIN(1,'0. Assumptions'!$B$52+(1-'0. Assumptions'!$B$52)*3/MAX(1,'0. Assumptions'!$B$53-1))),"")</f>
        <v>0.8200000000000001</v>
      </c>
      <c r="F6" s="66">
        <f>IFERROR(IF('3-Year P&amp;L'!$B$9="","",MIN(1,'0. Assumptions'!$B$52+(1-'0. Assumptions'!$B$52)*4/MAX(1,'0. Assumptions'!$B$53-1))),"")</f>
        <v>0.91</v>
      </c>
      <c r="G6" s="66">
        <f>IFERROR(IF('3-Year P&amp;L'!$B$9="","",MIN(1,'0. Assumptions'!$B$52+(1-'0. Assumptions'!$B$52)*5/MAX(1,'0. Assumptions'!$B$53-1))),"")</f>
        <v>1.0</v>
      </c>
      <c r="H6" s="66">
        <f>IFERROR(IF('3-Year P&amp;L'!$B$9="","",MIN(1,'0. Assumptions'!$B$52+(1-'0. Assumptions'!$B$52)*6/MAX(1,'0. Assumptions'!$B$53-1))),"")</f>
        <v>1.0</v>
      </c>
      <c r="I6" s="66">
        <f>IFERROR(IF('3-Year P&amp;L'!$B$9="","",MIN(1,'0. Assumptions'!$B$52+(1-'0. Assumptions'!$B$52)*7/MAX(1,'0. Assumptions'!$B$53-1))),"")</f>
        <v>1.0</v>
      </c>
      <c r="J6" s="66">
        <f>IFERROR(IF('3-Year P&amp;L'!$B$9="","",MIN(1,'0. Assumptions'!$B$52+(1-'0. Assumptions'!$B$52)*8/MAX(1,'0. Assumptions'!$B$53-1))),"")</f>
        <v>1.0</v>
      </c>
      <c r="K6" s="66">
        <f>IFERROR(IF('3-Year P&amp;L'!$B$9="","",MIN(1,'0. Assumptions'!$B$52+(1-'0. Assumptions'!$B$52)*9/MAX(1,'0. Assumptions'!$B$53-1))),"")</f>
        <v>1.0</v>
      </c>
      <c r="L6" s="66">
        <f>IFERROR(IF('3-Year P&amp;L'!$B$9="","",MIN(1,'0. Assumptions'!$B$52+(1-'0. Assumptions'!$B$52)*10/MAX(1,'0. Assumptions'!$B$53-1))),"")</f>
        <v>1.0</v>
      </c>
      <c r="M6" s="66">
        <f>IFERROR(IF('3-Year P&amp;L'!$B$9="","",MIN(1,'0. Assumptions'!$B$52+(1-'0. Assumptions'!$B$52)*11/MAX(1,'0. Assumptions'!$B$53-1))),"")</f>
        <v>1.0</v>
      </c>
      <c r="N6" s="29" t="n"/>
      <c r="O6" s="29" t="inlineStr">
        <is>
          <t>Rises in a straight line from the month-1 percentage to 100% over the number of months you set in Assumptions. With month 1 at 100%, the ramp disappears</t>
        </is>
      </c>
    </row>
    <row r="7">
      <c r="A7" s="29" t="inlineStr">
        <is>
          <t>Split of activity by month (calculated)</t>
        </is>
      </c>
      <c r="B7" s="66">
        <f>IFERROR(IF('3-Year P&amp;L'!$B$9="","",B5*B6/SUMPRODUCT($B$5:$M$5,$B$6:$M$6)),"")</f>
        <v>0.03895873915353286</v>
      </c>
      <c r="C7" s="66">
        <f>IFERROR(IF('3-Year P&amp;L'!$B$9="","",C5*C6/SUMPRODUCT($B$5:$M$5,$B$6:$M$6)),"")</f>
        <v>0.04816716840800426</v>
      </c>
      <c r="D7" s="66">
        <f>IFERROR(IF('3-Year P&amp;L'!$B$9="","",D5*D6/SUMPRODUCT($B$5:$M$5,$B$6:$M$6)),"")</f>
        <v>0.06302018771028865</v>
      </c>
      <c r="E7" s="66">
        <f>IFERROR(IF('3-Year P&amp;L'!$B$9="","",E5*E6/SUMPRODUCT($B$5:$M$5,$B$6:$M$6)),"")</f>
        <v>0.0726049229679476</v>
      </c>
      <c r="F7" s="66">
        <f>IFERROR(IF('3-Year P&amp;L'!$B$9="","",F5*F6/SUMPRODUCT($B$5:$M$5,$B$6:$M$6)),"")</f>
        <v>0.08661678767487162</v>
      </c>
      <c r="G7" s="66">
        <f>IFERROR(IF('3-Year P&amp;L'!$B$9="","",G5*G6/SUMPRODUCT($B$5:$M$5,$B$6:$M$6)),"")</f>
        <v>0.1029307596954135</v>
      </c>
      <c r="H7" s="66">
        <f>IFERROR(IF('3-Year P&amp;L'!$B$9="","",H5*H6/SUMPRODUCT($B$5:$M$5,$B$6:$M$6)),"")</f>
        <v>0.10846467150699489</v>
      </c>
      <c r="I7" s="66">
        <f>IFERROR(IF('3-Year P&amp;L'!$B$9="","",I5*I6/SUMPRODUCT($B$5:$M$5,$B$6:$M$6)),"")</f>
        <v>0.1029307596954135</v>
      </c>
      <c r="J7" s="66">
        <f>IFERROR(IF('3-Year P&amp;L'!$B$9="","",J5*J6/SUMPRODUCT($B$5:$M$5,$B$6:$M$6)),"")</f>
        <v>0.09186293607225077</v>
      </c>
      <c r="K7" s="66">
        <f>IFERROR(IF('3-Year P&amp;L'!$B$9="","",K5*K6/SUMPRODUCT($B$5:$M$5,$B$6:$M$6)),"")</f>
        <v>0.08854258898530194</v>
      </c>
      <c r="L7" s="66">
        <f>IFERROR(IF('3-Year P&amp;L'!$B$9="","",L5*L6/SUMPRODUCT($B$5:$M$5,$B$6:$M$6)),"")</f>
        <v>0.08522224189835312</v>
      </c>
      <c r="M7" s="66">
        <f>IFERROR(IF('3-Year P&amp;L'!$B$9="","",M5*M6/SUMPRODUCT($B$5:$M$5,$B$6:$M$6)),"")</f>
        <v>0.11067823623162744</v>
      </c>
      <c r="N7" s="66">
        <f>IFERROR(IF('3-Year P&amp;L'!$B$9="","",SUM(B7:M7)),"")</f>
        <v>1.0000000000000002</v>
      </c>
      <c r="O7" s="29" t="inlineStr">
        <is>
          <t>Seasonality × ramp-up, normalized to 100%: the YEAR brings in what the P&amp;L says, but split the way a business that has just opened would split it</t>
        </is>
      </c>
    </row>
    <row r="8">
      <c r="A8" s="26" t="inlineStr">
        <is>
          <t>CASH IN</t>
        </is>
      </c>
      <c r="B8" s="29" t="n"/>
      <c r="C8" s="29" t="n"/>
      <c r="D8" s="29" t="n"/>
      <c r="E8" s="29" t="n"/>
      <c r="F8" s="29" t="n"/>
      <c r="G8" s="29" t="n"/>
      <c r="H8" s="29" t="n"/>
      <c r="I8" s="29" t="n"/>
      <c r="J8" s="29" t="n"/>
      <c r="K8" s="29" t="n"/>
      <c r="L8" s="29" t="n"/>
      <c r="M8" s="29" t="n"/>
      <c r="N8" s="29" t="n"/>
      <c r="O8" s="29" t="n"/>
    </row>
    <row r="9">
      <c r="A9" s="29" t="inlineStr">
        <is>
          <t>Sales collected (incl. sales tax collected)</t>
        </is>
      </c>
      <c r="B9" s="41">
        <f>IFERROR(IF('3-Year P&amp;L'!$B$9="","",('3-Year P&amp;L'!$B$9+'3-Year P&amp;L'!$B$9*SUMPRODUCT('3-Year P&amp;L'!$E$10:$E$11,'3-Year P&amp;L'!$G$10:$G$11))*B7*(1-MIN(30,'0. Assumptions'!$B$58)/30)),"")</f>
        <v>37557.37772268462</v>
      </c>
      <c r="C9" s="41">
        <f>IFERROR(IF('3-Year P&amp;L'!$B$9="","",('3-Year P&amp;L'!$B$9+'3-Year P&amp;L'!$B$9*SUMPRODUCT('3-Year P&amp;L'!$E$10:$E$11,'3-Year P&amp;L'!$G$10:$G$11))*(C7*(1-MIN(30,'0. Assumptions'!$B$58)/30)+B7*MIN(30,'0. Assumptions'!$B$58)/30)),"")</f>
        <v>47729.65808393838</v>
      </c>
      <c r="D9" s="41">
        <f>IFERROR(IF('3-Year P&amp;L'!$B$9="","",('3-Year P&amp;L'!$B$9+'3-Year P&amp;L'!$B$9*SUMPRODUCT('3-Year P&amp;L'!$E$10:$E$11,'3-Year P&amp;L'!$G$10:$G$11))*(D7*(1-MIN(30,'0. Assumptions'!$B$58)/30)+C7*MIN(30,'0. Assumptions'!$B$58)/30)),"")</f>
        <v>62354.51862936073</v>
      </c>
      <c r="E9" s="41">
        <f>IFERROR(IF('3-Year P&amp;L'!$B$9="","",('3-Year P&amp;L'!$B$9+'3-Year P&amp;L'!$B$9*SUMPRODUCT('3-Year P&amp;L'!$E$10:$E$11,'3-Year P&amp;L'!$G$10:$G$11))*(E7*(1-MIN(30,'0. Assumptions'!$B$58)/30)+D7*MIN(30,'0. Assumptions'!$B$58)/30)),"")</f>
        <v>72088.23713476183</v>
      </c>
      <c r="F9" s="41">
        <f>IFERROR(IF('3-Year P&amp;L'!$B$9="","",('3-Year P&amp;L'!$B$9+'3-Year P&amp;L'!$B$9*SUMPRODUCT('3-Year P&amp;L'!$E$10:$E$11,'3-Year P&amp;L'!$G$10:$G$11))*(F7*(1-MIN(30,'0. Assumptions'!$B$58)/30)+E7*MIN(30,'0. Assumptions'!$B$58)/30)),"")</f>
        <v>85914.70906676112</v>
      </c>
      <c r="G9" s="41">
        <f>IFERROR(IF('3-Year P&amp;L'!$B$9="","",('3-Year P&amp;L'!$B$9+'3-Year P&amp;L'!$B$9*SUMPRODUCT('3-Year P&amp;L'!$E$10:$E$11,'3-Year P&amp;L'!$G$10:$G$11))*(G7*(1-MIN(30,'0. Assumptions'!$B$58)/30)+F7*MIN(30,'0. Assumptions'!$B$58)/30)),"")</f>
        <v>102107.64899946876</v>
      </c>
      <c r="H9" s="41">
        <f>IFERROR(IF('3-Year P&amp;L'!$B$9="","",('3-Year P&amp;L'!$B$9+'3-Year P&amp;L'!$B$9*SUMPRODUCT('3-Year P&amp;L'!$E$10:$E$11,'3-Year P&amp;L'!$G$10:$G$11))*(H7*(1-MIN(30,'0. Assumptions'!$B$58)/30)+G7*MIN(30,'0. Assumptions'!$B$58)/30)),"")</f>
        <v>107984.81937311849</v>
      </c>
      <c r="I9" s="41">
        <f>IFERROR(IF('3-Year P&amp;L'!$B$9="","",('3-Year P&amp;L'!$B$9+'3-Year P&amp;L'!$B$9*SUMPRODUCT('3-Year P&amp;L'!$E$10:$E$11,'3-Year P&amp;L'!$G$10:$G$11))*(I7*(1-MIN(30,'0. Assumptions'!$B$58)/30)+H7*MIN(30,'0. Assumptions'!$B$58)/30)),"")</f>
        <v>102833.92509296973</v>
      </c>
      <c r="J9" s="41">
        <f>IFERROR(IF('3-Year P&amp;L'!$B$9="","",('3-Year P&amp;L'!$B$9+'3-Year P&amp;L'!$B$9*SUMPRODUCT('3-Year P&amp;L'!$E$10:$E$11,'3-Year P&amp;L'!$G$10:$G$11))*(J7*(1-MIN(30,'0. Assumptions'!$B$58)/30)+I7*MIN(30,'0. Assumptions'!$B$58)/30)),"")</f>
        <v>91980.2550026563</v>
      </c>
      <c r="K9" s="41">
        <f>IFERROR(IF('3-Year P&amp;L'!$B$9="","",('3-Year P&amp;L'!$B$9+'3-Year P&amp;L'!$B$9*SUMPRODUCT('3-Year P&amp;L'!$E$10:$E$11,'3-Year P&amp;L'!$G$10:$G$11))*(K7*(1-MIN(30,'0. Assumptions'!$B$58)/30)+J7*MIN(30,'0. Assumptions'!$B$58)/30)),"")</f>
        <v>88411.42110855322</v>
      </c>
      <c r="L9" s="41">
        <f>IFERROR(IF('3-Year P&amp;L'!$B$9="","",('3-Year P&amp;L'!$B$9+'3-Year P&amp;L'!$B$9*SUMPRODUCT('3-Year P&amp;L'!$E$10:$E$11,'3-Year P&amp;L'!$G$10:$G$11))*(L7*(1-MIN(30,'0. Assumptions'!$B$58)/30)+K7*MIN(30,'0. Assumptions'!$B$58)/30)),"")</f>
        <v>85100.1319284576</v>
      </c>
      <c r="M9" s="41">
        <f>IFERROR(IF('3-Year P&amp;L'!$B$9="","",('3-Year P&amp;L'!$B$9+'3-Year P&amp;L'!$B$9*SUMPRODUCT('3-Year P&amp;L'!$E$10:$E$11,'3-Year P&amp;L'!$G$10:$G$11))*(M7*(1-MIN(30,'0. Assumptions'!$B$58)/30)+L7*MIN(30,'0. Assumptions'!$B$58)/30)),"")</f>
        <v>109530.08765716311</v>
      </c>
      <c r="N9" s="41">
        <f>IFERROR(IF('3-Year P&amp;L'!$B$9="","",SUM(B9:M9)),"")</f>
        <v>993592.789799894</v>
      </c>
      <c r="O9" s="29" t="inlineStr">
        <is>
          <t>The month's sales plus the sales tax collected, adjusted by the average collection days from the Assumptions tab</t>
        </is>
      </c>
    </row>
    <row r="10">
      <c r="A10" s="26" t="inlineStr">
        <is>
          <t>CASH OUT</t>
        </is>
      </c>
      <c r="B10" s="29" t="n"/>
      <c r="C10" s="29" t="n"/>
      <c r="D10" s="29" t="n"/>
      <c r="E10" s="29" t="n"/>
      <c r="F10" s="29" t="n"/>
      <c r="G10" s="29" t="n"/>
      <c r="H10" s="29" t="n"/>
      <c r="I10" s="29" t="n"/>
      <c r="J10" s="29" t="n"/>
      <c r="K10" s="29" t="n"/>
      <c r="L10" s="29" t="n"/>
      <c r="M10" s="29" t="n"/>
      <c r="N10" s="29" t="n"/>
      <c r="O10" s="29" t="n"/>
    </row>
    <row r="11">
      <c r="A11" s="29" t="inlineStr">
        <is>
          <t>Purchases and variable costs (incl. sales tax)</t>
        </is>
      </c>
      <c r="B11" s="41">
        <f>IFERROR(IF('3-Year P&amp;L'!$B$9="","",-('3-Year P&amp;L'!$B$13*(1+'3-Year P&amp;L'!$G$13)+'3-Year P&amp;L'!$B$14*(1+'3-Year P&amp;L'!$G$14)+'3-Year P&amp;L'!$B$15*(1+'3-Year P&amp;L'!$G$15)+'3-Year P&amp;L'!$B$16*(1+'3-Year P&amp;L'!$G$16)+'3-Year P&amp;L'!$B$17*(1+'3-Year P&amp;L'!$G$17)+'3-Year P&amp;L'!$B$18*(1+'3-Year P&amp;L'!$G$18))*B7*(1-MIN(30,'0. Assumptions'!$B$59)/30)),"")</f>
        <v>-5813.479157074555</v>
      </c>
      <c r="C11" s="41">
        <f>IFERROR(IF('3-Year P&amp;L'!$B$9="","",-('3-Year P&amp;L'!$B$13*(1+'3-Year P&amp;L'!$G$13)+'3-Year P&amp;L'!$B$14*(1+'3-Year P&amp;L'!$G$14)+'3-Year P&amp;L'!$B$15*(1+'3-Year P&amp;L'!$G$15)+'3-Year P&amp;L'!$B$16*(1+'3-Year P&amp;L'!$G$16)+'3-Year P&amp;L'!$B$17*(1+'3-Year P&amp;L'!$G$17)+'3-Year P&amp;L'!$B$18*(1+'3-Year P&amp;L'!$G$18))*(C7*(1-MIN(30,'0. Assumptions'!$B$59)/30)+B7*MIN(30,'0. Assumptions'!$B$59)/30)),"")</f>
        <v>-12274.36849300514</v>
      </c>
      <c r="D11" s="41">
        <f>IFERROR(IF('3-Year P&amp;L'!$B$9="","",-('3-Year P&amp;L'!$B$13*(1+'3-Year P&amp;L'!$G$13)+'3-Year P&amp;L'!$B$14*(1+'3-Year P&amp;L'!$G$14)+'3-Year P&amp;L'!$B$15*(1+'3-Year P&amp;L'!$G$15)+'3-Year P&amp;L'!$B$16*(1+'3-Year P&amp;L'!$G$16)+'3-Year P&amp;L'!$B$17*(1+'3-Year P&amp;L'!$G$17)+'3-Year P&amp;L'!$B$18*(1+'3-Year P&amp;L'!$G$18))*(D7*(1-MIN(30,'0. Assumptions'!$B$59)/30)+C7*MIN(30,'0. Assumptions'!$B$59)/30)),"")</f>
        <v>-15693.090610943866</v>
      </c>
      <c r="E11" s="41">
        <f>IFERROR(IF('3-Year P&amp;L'!$B$9="","",-('3-Year P&amp;L'!$B$13*(1+'3-Year P&amp;L'!$G$13)+'3-Year P&amp;L'!$B$14*(1+'3-Year P&amp;L'!$G$14)+'3-Year P&amp;L'!$B$15*(1+'3-Year P&amp;L'!$G$15)+'3-Year P&amp;L'!$B$16*(1+'3-Year P&amp;L'!$G$16)+'3-Year P&amp;L'!$B$17*(1+'3-Year P&amp;L'!$G$17)+'3-Year P&amp;L'!$B$18*(1+'3-Year P&amp;L'!$G$18))*(E7*(1-MIN(30,'0. Assumptions'!$B$59)/30)+D7*MIN(30,'0. Assumptions'!$B$59)/30)),"")</f>
        <v>-19062.678920665843</v>
      </c>
      <c r="F11" s="41">
        <f>IFERROR(IF('3-Year P&amp;L'!$B$9="","",-('3-Year P&amp;L'!$B$13*(1+'3-Year P&amp;L'!$G$13)+'3-Year P&amp;L'!$B$14*(1+'3-Year P&amp;L'!$G$14)+'3-Year P&amp;L'!$B$15*(1+'3-Year P&amp;L'!$G$15)+'3-Year P&amp;L'!$B$16*(1+'3-Year P&amp;L'!$G$16)+'3-Year P&amp;L'!$B$17*(1+'3-Year P&amp;L'!$G$17)+'3-Year P&amp;L'!$B$18*(1+'3-Year P&amp;L'!$G$18))*(F7*(1-MIN(30,'0. Assumptions'!$B$59)/30)+E7*MIN(30,'0. Assumptions'!$B$59)/30)),"")</f>
        <v>-22405.016546839033</v>
      </c>
      <c r="G11" s="41">
        <f>IFERROR(IF('3-Year P&amp;L'!$B$9="","",-('3-Year P&amp;L'!$B$13*(1+'3-Year P&amp;L'!$G$13)+'3-Year P&amp;L'!$B$14*(1+'3-Year P&amp;L'!$G$14)+'3-Year P&amp;L'!$B$15*(1+'3-Year P&amp;L'!$G$15)+'3-Year P&amp;L'!$B$16*(1+'3-Year P&amp;L'!$G$16)+'3-Year P&amp;L'!$B$17*(1+'3-Year P&amp;L'!$G$17)+'3-Year P&amp;L'!$B$18*(1+'3-Year P&amp;L'!$G$18))*(G7*(1-MIN(30,'0. Assumptions'!$B$59)/30)+F7*MIN(30,'0. Assumptions'!$B$59)/30)),"")</f>
        <v>-26668.922743934836</v>
      </c>
      <c r="H11" s="41">
        <f>IFERROR(IF('3-Year P&amp;L'!$B$9="","",-('3-Year P&amp;L'!$B$13*(1+'3-Year P&amp;L'!$G$13)+'3-Year P&amp;L'!$B$14*(1+'3-Year P&amp;L'!$G$14)+'3-Year P&amp;L'!$B$15*(1+'3-Year P&amp;L'!$G$15)+'3-Year P&amp;L'!$B$16*(1+'3-Year P&amp;L'!$G$16)+'3-Year P&amp;L'!$B$17*(1+'3-Year P&amp;L'!$G$17)+'3-Year P&amp;L'!$B$18*(1+'3-Year P&amp;L'!$G$18))*(H7*(1-MIN(30,'0. Assumptions'!$B$59)/30)+G7*MIN(30,'0. Assumptions'!$B$59)/30)),"")</f>
        <v>-29624.79613068887</v>
      </c>
      <c r="I11" s="41">
        <f>IFERROR(IF('3-Year P&amp;L'!$B$9="","",-('3-Year P&amp;L'!$B$13*(1+'3-Year P&amp;L'!$G$13)+'3-Year P&amp;L'!$B$14*(1+'3-Year P&amp;L'!$G$14)+'3-Year P&amp;L'!$B$15*(1+'3-Year P&amp;L'!$G$15)+'3-Year P&amp;L'!$B$16*(1+'3-Year P&amp;L'!$G$16)+'3-Year P&amp;L'!$B$17*(1+'3-Year P&amp;L'!$G$17)+'3-Year P&amp;L'!$B$18*(1+'3-Year P&amp;L'!$G$18))*(I7*(1-MIN(30,'0. Assumptions'!$B$59)/30)+H7*MIN(30,'0. Assumptions'!$B$59)/30)),"")</f>
        <v>-29521.57384451922</v>
      </c>
      <c r="J11" s="41">
        <f>IFERROR(IF('3-Year P&amp;L'!$B$9="","",-('3-Year P&amp;L'!$B$13*(1+'3-Year P&amp;L'!$G$13)+'3-Year P&amp;L'!$B$14*(1+'3-Year P&amp;L'!$G$14)+'3-Year P&amp;L'!$B$15*(1+'3-Year P&amp;L'!$G$15)+'3-Year P&amp;L'!$B$16*(1+'3-Year P&amp;L'!$G$16)+'3-Year P&amp;L'!$B$17*(1+'3-Year P&amp;L'!$G$17)+'3-Year P&amp;L'!$B$18*(1+'3-Year P&amp;L'!$G$18))*(J7*(1-MIN(30,'0. Assumptions'!$B$59)/30)+I7*MIN(30,'0. Assumptions'!$B$59)/30)),"")</f>
        <v>-27147.461262617326</v>
      </c>
      <c r="K11" s="41">
        <f>IFERROR(IF('3-Year P&amp;L'!$B$9="","",-('3-Year P&amp;L'!$B$13*(1+'3-Year P&amp;L'!$G$13)+'3-Year P&amp;L'!$B$14*(1+'3-Year P&amp;L'!$G$14)+'3-Year P&amp;L'!$B$15*(1+'3-Year P&amp;L'!$G$15)+'3-Year P&amp;L'!$B$16*(1+'3-Year P&amp;L'!$G$16)+'3-Year P&amp;L'!$B$17*(1+'3-Year P&amp;L'!$G$17)+'3-Year P&amp;L'!$B$18*(1+'3-Year P&amp;L'!$G$18))*(K7*(1-MIN(30,'0. Assumptions'!$B$59)/30)+J7*MIN(30,'0. Assumptions'!$B$59)/30)),"")</f>
        <v>-25206.88228262795</v>
      </c>
      <c r="L11" s="41">
        <f>IFERROR(IF('3-Year P&amp;L'!$B$9="","",-('3-Year P&amp;L'!$B$13*(1+'3-Year P&amp;L'!$G$13)+'3-Year P&amp;L'!$B$14*(1+'3-Year P&amp;L'!$G$14)+'3-Year P&amp;L'!$B$15*(1+'3-Year P&amp;L'!$G$15)+'3-Year P&amp;L'!$B$16*(1+'3-Year P&amp;L'!$G$16)+'3-Year P&amp;L'!$B$17*(1+'3-Year P&amp;L'!$G$17)+'3-Year P&amp;L'!$B$18*(1+'3-Year P&amp;L'!$G$18))*(L7*(1-MIN(30,'0. Assumptions'!$B$59)/30)+K7*MIN(30,'0. Assumptions'!$B$59)/30)),"")</f>
        <v>-24277.881707101118</v>
      </c>
      <c r="M11" s="41">
        <f>IFERROR(IF('3-Year P&amp;L'!$B$9="","",-('3-Year P&amp;L'!$B$13*(1+'3-Year P&amp;L'!$G$13)+'3-Year P&amp;L'!$B$14*(1+'3-Year P&amp;L'!$G$14)+'3-Year P&amp;L'!$B$15*(1+'3-Year P&amp;L'!$G$15)+'3-Year P&amp;L'!$B$16*(1+'3-Year P&amp;L'!$G$16)+'3-Year P&amp;L'!$B$17*(1+'3-Year P&amp;L'!$G$17)+'3-Year P&amp;L'!$B$18*(1+'3-Year P&amp;L'!$G$18))*(M7*(1-MIN(30,'0. Assumptions'!$B$59)/30)+L7*MIN(30,'0. Assumptions'!$B$59)/30)),"")</f>
        <v>-27642.928236231633</v>
      </c>
      <c r="N11" s="41">
        <f>IFERROR(IF('3-Year P&amp;L'!$B$9="","",SUM(B11:M11)),"")</f>
        <v>-265339.07993624936</v>
      </c>
      <c r="O11" s="29"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9" t="inlineStr">
        <is>
          <t>Operating fixed costs (incl. sales tax)</t>
        </is>
      </c>
      <c r="B12" s="41">
        <f>IFERROR(IF('3-Year P&amp;L'!$B$9="","",-('3-Year P&amp;L'!$B$37-'3-Year P&amp;L'!$B$23-'3-Year P&amp;L'!$B$35-'3-Year P&amp;L'!$B$36+'3-Year P&amp;L'!$B$39)/12),"")</f>
        <v>-13599.999999999998</v>
      </c>
      <c r="C12" s="41">
        <f>IFERROR(IF('3-Year P&amp;L'!$B$9="","",-('3-Year P&amp;L'!$B$37-'3-Year P&amp;L'!$B$23-'3-Year P&amp;L'!$B$35-'3-Year P&amp;L'!$B$36+'3-Year P&amp;L'!$B$39)/12),"")</f>
        <v>-13599.999999999998</v>
      </c>
      <c r="D12" s="41">
        <f>IFERROR(IF('3-Year P&amp;L'!$B$9="","",-('3-Year P&amp;L'!$B$37-'3-Year P&amp;L'!$B$23-'3-Year P&amp;L'!$B$35-'3-Year P&amp;L'!$B$36+'3-Year P&amp;L'!$B$39)/12),"")</f>
        <v>-13599.999999999998</v>
      </c>
      <c r="E12" s="41">
        <f>IFERROR(IF('3-Year P&amp;L'!$B$9="","",-('3-Year P&amp;L'!$B$37-'3-Year P&amp;L'!$B$23-'3-Year P&amp;L'!$B$35-'3-Year P&amp;L'!$B$36+'3-Year P&amp;L'!$B$39)/12),"")</f>
        <v>-13599.999999999998</v>
      </c>
      <c r="F12" s="41">
        <f>IFERROR(IF('3-Year P&amp;L'!$B$9="","",-('3-Year P&amp;L'!$B$37-'3-Year P&amp;L'!$B$23-'3-Year P&amp;L'!$B$35-'3-Year P&amp;L'!$B$36+'3-Year P&amp;L'!$B$39)/12),"")</f>
        <v>-13599.999999999998</v>
      </c>
      <c r="G12" s="41">
        <f>IFERROR(IF('3-Year P&amp;L'!$B$9="","",-('3-Year P&amp;L'!$B$37-'3-Year P&amp;L'!$B$23-'3-Year P&amp;L'!$B$35-'3-Year P&amp;L'!$B$36+'3-Year P&amp;L'!$B$39)/12),"")</f>
        <v>-13599.999999999998</v>
      </c>
      <c r="H12" s="41">
        <f>IFERROR(IF('3-Year P&amp;L'!$B$9="","",-('3-Year P&amp;L'!$B$37-'3-Year P&amp;L'!$B$23-'3-Year P&amp;L'!$B$35-'3-Year P&amp;L'!$B$36+'3-Year P&amp;L'!$B$39)/12),"")</f>
        <v>-13599.999999999998</v>
      </c>
      <c r="I12" s="41">
        <f>IFERROR(IF('3-Year P&amp;L'!$B$9="","",-('3-Year P&amp;L'!$B$37-'3-Year P&amp;L'!$B$23-'3-Year P&amp;L'!$B$35-'3-Year P&amp;L'!$B$36+'3-Year P&amp;L'!$B$39)/12),"")</f>
        <v>-13599.999999999998</v>
      </c>
      <c r="J12" s="41">
        <f>IFERROR(IF('3-Year P&amp;L'!$B$9="","",-('3-Year P&amp;L'!$B$37-'3-Year P&amp;L'!$B$23-'3-Year P&amp;L'!$B$35-'3-Year P&amp;L'!$B$36+'3-Year P&amp;L'!$B$39)/12),"")</f>
        <v>-13599.999999999998</v>
      </c>
      <c r="K12" s="41">
        <f>IFERROR(IF('3-Year P&amp;L'!$B$9="","",-('3-Year P&amp;L'!$B$37-'3-Year P&amp;L'!$B$23-'3-Year P&amp;L'!$B$35-'3-Year P&amp;L'!$B$36+'3-Year P&amp;L'!$B$39)/12),"")</f>
        <v>-13599.999999999998</v>
      </c>
      <c r="L12" s="41">
        <f>IFERROR(IF('3-Year P&amp;L'!$B$9="","",-('3-Year P&amp;L'!$B$37-'3-Year P&amp;L'!$B$23-'3-Year P&amp;L'!$B$35-'3-Year P&amp;L'!$B$36+'3-Year P&amp;L'!$B$39)/12),"")</f>
        <v>-13599.999999999998</v>
      </c>
      <c r="M12" s="41">
        <f>IFERROR(IF('3-Year P&amp;L'!$B$9="","",-('3-Year P&amp;L'!$B$37-'3-Year P&amp;L'!$B$23-'3-Year P&amp;L'!$B$35-'3-Year P&amp;L'!$B$36+'3-Year P&amp;L'!$B$39)/12),"")</f>
        <v>-13599.999999999998</v>
      </c>
      <c r="N12" s="41">
        <f>IFERROR(IF('3-Year P&amp;L'!$B$9="","",SUM(B12:M12)),"")</f>
        <v>-163199.99999999997</v>
      </c>
      <c r="O12" s="29" t="inlineStr">
        <is>
          <t>The fixed costs that leave cash, each with its own tax rate: insurance carries none</t>
        </is>
      </c>
    </row>
    <row r="13">
      <c r="A13" s="29" t="inlineStr">
        <is>
          <t>Payroll and employer payroll taxes</t>
        </is>
      </c>
      <c r="B13" s="41">
        <f>IFERROR(IF('3-Year P&amp;L'!$B$9="","",-'3-Year P&amp;L'!$B$23/MAX(12,'0. Assumptions'!$B$21)*(1+IF(1='0. Assumptions'!$B$60,(MAX(12,'0. Assumptions'!$B$21)-12)/2,0)+IF(1='0. Assumptions'!$B$61,(MAX(12,'0. Assumptions'!$B$21)-12)/2,0))),"")</f>
        <v>-25735.600000000002</v>
      </c>
      <c r="C13" s="41">
        <f>IFERROR(IF('3-Year P&amp;L'!$B$9="","",-'3-Year P&amp;L'!$B$23/MAX(12,'0. Assumptions'!$B$21)*(1+IF(2='0. Assumptions'!$B$60,(MAX(12,'0. Assumptions'!$B$21)-12)/2,0)+IF(2='0. Assumptions'!$B$61,(MAX(12,'0. Assumptions'!$B$21)-12)/2,0))),"")</f>
        <v>-25735.600000000002</v>
      </c>
      <c r="D13" s="41">
        <f>IFERROR(IF('3-Year P&amp;L'!$B$9="","",-'3-Year P&amp;L'!$B$23/MAX(12,'0. Assumptions'!$B$21)*(1+IF(3='0. Assumptions'!$B$60,(MAX(12,'0. Assumptions'!$B$21)-12)/2,0)+IF(3='0. Assumptions'!$B$61,(MAX(12,'0. Assumptions'!$B$21)-12)/2,0))),"")</f>
        <v>-25735.600000000002</v>
      </c>
      <c r="E13" s="41">
        <f>IFERROR(IF('3-Year P&amp;L'!$B$9="","",-'3-Year P&amp;L'!$B$23/MAX(12,'0. Assumptions'!$B$21)*(1+IF(4='0. Assumptions'!$B$60,(MAX(12,'0. Assumptions'!$B$21)-12)/2,0)+IF(4='0. Assumptions'!$B$61,(MAX(12,'0. Assumptions'!$B$21)-12)/2,0))),"")</f>
        <v>-25735.600000000002</v>
      </c>
      <c r="F13" s="41">
        <f>IFERROR(IF('3-Year P&amp;L'!$B$9="","",-'3-Year P&amp;L'!$B$23/MAX(12,'0. Assumptions'!$B$21)*(1+IF(5='0. Assumptions'!$B$60,(MAX(12,'0. Assumptions'!$B$21)-12)/2,0)+IF(5='0. Assumptions'!$B$61,(MAX(12,'0. Assumptions'!$B$21)-12)/2,0))),"")</f>
        <v>-25735.600000000002</v>
      </c>
      <c r="G13" s="41">
        <f>IFERROR(IF('3-Year P&amp;L'!$B$9="","",-'3-Year P&amp;L'!$B$23/MAX(12,'0. Assumptions'!$B$21)*(1+IF(6='0. Assumptions'!$B$60,(MAX(12,'0. Assumptions'!$B$21)-12)/2,0)+IF(6='0. Assumptions'!$B$61,(MAX(12,'0. Assumptions'!$B$21)-12)/2,0))),"")</f>
        <v>-25735.600000000002</v>
      </c>
      <c r="H13" s="41">
        <f>IFERROR(IF('3-Year P&amp;L'!$B$9="","",-'3-Year P&amp;L'!$B$23/MAX(12,'0. Assumptions'!$B$21)*(1+IF(7='0. Assumptions'!$B$60,(MAX(12,'0. Assumptions'!$B$21)-12)/2,0)+IF(7='0. Assumptions'!$B$61,(MAX(12,'0. Assumptions'!$B$21)-12)/2,0))),"")</f>
        <v>-25735.600000000002</v>
      </c>
      <c r="I13" s="41">
        <f>IFERROR(IF('3-Year P&amp;L'!$B$9="","",-'3-Year P&amp;L'!$B$23/MAX(12,'0. Assumptions'!$B$21)*(1+IF(8='0. Assumptions'!$B$60,(MAX(12,'0. Assumptions'!$B$21)-12)/2,0)+IF(8='0. Assumptions'!$B$61,(MAX(12,'0. Assumptions'!$B$21)-12)/2,0))),"")</f>
        <v>-25735.600000000002</v>
      </c>
      <c r="J13" s="41">
        <f>IFERROR(IF('3-Year P&amp;L'!$B$9="","",-'3-Year P&amp;L'!$B$23/MAX(12,'0. Assumptions'!$B$21)*(1+IF(9='0. Assumptions'!$B$60,(MAX(12,'0. Assumptions'!$B$21)-12)/2,0)+IF(9='0. Assumptions'!$B$61,(MAX(12,'0. Assumptions'!$B$21)-12)/2,0))),"")</f>
        <v>-25735.600000000002</v>
      </c>
      <c r="K13" s="41">
        <f>IFERROR(IF('3-Year P&amp;L'!$B$9="","",-'3-Year P&amp;L'!$B$23/MAX(12,'0. Assumptions'!$B$21)*(1+IF(10='0. Assumptions'!$B$60,(MAX(12,'0. Assumptions'!$B$21)-12)/2,0)+IF(10='0. Assumptions'!$B$61,(MAX(12,'0. Assumptions'!$B$21)-12)/2,0))),"")</f>
        <v>-25735.600000000002</v>
      </c>
      <c r="L13" s="41">
        <f>IFERROR(IF('3-Year P&amp;L'!$B$9="","",-'3-Year P&amp;L'!$B$23/MAX(12,'0. Assumptions'!$B$21)*(1+IF(11='0. Assumptions'!$B$60,(MAX(12,'0. Assumptions'!$B$21)-12)/2,0)+IF(11='0. Assumptions'!$B$61,(MAX(12,'0. Assumptions'!$B$21)-12)/2,0))),"")</f>
        <v>-25735.600000000002</v>
      </c>
      <c r="M13" s="41">
        <f>IFERROR(IF('3-Year P&amp;L'!$B$9="","",-'3-Year P&amp;L'!$B$23/MAX(12,'0. Assumptions'!$B$21)*(1+IF(12='0. Assumptions'!$B$60,(MAX(12,'0. Assumptions'!$B$21)-12)/2,0)+IF(12='0. Assumptions'!$B$61,(MAX(12,'0. Assumptions'!$B$21)-12)/2,0))),"")</f>
        <v>-25735.600000000002</v>
      </c>
      <c r="N13" s="41">
        <f>IFERROR(IF('3-Year P&amp;L'!$B$9="","",SUM(B13:M13)),"")</f>
        <v>-308827.2</v>
      </c>
      <c r="O13" s="29" t="inlineStr">
        <is>
          <t>Twelve monthly installments plus extra pay periods in the months you set in Assumptions (only if pay periods &gt; 12). The total for the year is the same as the P&amp;L's</t>
        </is>
      </c>
    </row>
    <row r="14">
      <c r="A14" s="29" t="inlineStr">
        <is>
          <t>Loan interest</t>
        </is>
      </c>
      <c r="B14" s="41">
        <f>IFERROR(IF('3-Year P&amp;L'!$B$9="","",-Financing!$B$44/12),"")</f>
        <v>-3075.0</v>
      </c>
      <c r="C14" s="41">
        <f>IFERROR(IF('3-Year P&amp;L'!$B$9="","",-Financing!$B$44/12),"")</f>
        <v>-3075.0</v>
      </c>
      <c r="D14" s="41">
        <f>IFERROR(IF('3-Year P&amp;L'!$B$9="","",-Financing!$B$44/12),"")</f>
        <v>-3075.0</v>
      </c>
      <c r="E14" s="41">
        <f>IFERROR(IF('3-Year P&amp;L'!$B$9="","",-Financing!$B$44/12),"")</f>
        <v>-3075.0</v>
      </c>
      <c r="F14" s="41">
        <f>IFERROR(IF('3-Year P&amp;L'!$B$9="","",-Financing!$B$44/12),"")</f>
        <v>-3075.0</v>
      </c>
      <c r="G14" s="41">
        <f>IFERROR(IF('3-Year P&amp;L'!$B$9="","",-Financing!$B$44/12),"")</f>
        <v>-3075.0</v>
      </c>
      <c r="H14" s="41">
        <f>IFERROR(IF('3-Year P&amp;L'!$B$9="","",-Financing!$B$44/12),"")</f>
        <v>-3075.0</v>
      </c>
      <c r="I14" s="41">
        <f>IFERROR(IF('3-Year P&amp;L'!$B$9="","",-Financing!$B$44/12),"")</f>
        <v>-3075.0</v>
      </c>
      <c r="J14" s="41">
        <f>IFERROR(IF('3-Year P&amp;L'!$B$9="","",-Financing!$B$44/12),"")</f>
        <v>-3075.0</v>
      </c>
      <c r="K14" s="41">
        <f>IFERROR(IF('3-Year P&amp;L'!$B$9="","",-Financing!$B$44/12),"")</f>
        <v>-3075.0</v>
      </c>
      <c r="L14" s="41">
        <f>IFERROR(IF('3-Year P&amp;L'!$B$9="","",-Financing!$B$44/12),"")</f>
        <v>-3075.0</v>
      </c>
      <c r="M14" s="41">
        <f>IFERROR(IF('3-Year P&amp;L'!$B$9="","",-Financing!$B$44/12),"")</f>
        <v>-3075.0</v>
      </c>
      <c r="N14" s="41">
        <f>IFERROR(IF('3-Year P&amp;L'!$B$9="","",SUM(B14:M14)),"")</f>
        <v>-36900.0</v>
      </c>
      <c r="O14" s="29" t="n"/>
    </row>
    <row r="15">
      <c r="A15" s="29" t="inlineStr">
        <is>
          <t>Loan principal repaid</t>
        </is>
      </c>
      <c r="B15" s="41">
        <f>IFERROR(IF('3-Year P&amp;L'!$B$9="","",-Financing!$B$45/12),"")</f>
        <v>-1929.4208926372291</v>
      </c>
      <c r="C15" s="41">
        <f>IFERROR(IF('3-Year P&amp;L'!$B$9="","",-Financing!$B$45/12),"")</f>
        <v>-1929.4208926372291</v>
      </c>
      <c r="D15" s="41">
        <f>IFERROR(IF('3-Year P&amp;L'!$B$9="","",-Financing!$B$45/12),"")</f>
        <v>-1929.4208926372291</v>
      </c>
      <c r="E15" s="41">
        <f>IFERROR(IF('3-Year P&amp;L'!$B$9="","",-Financing!$B$45/12),"")</f>
        <v>-1929.4208926372291</v>
      </c>
      <c r="F15" s="41">
        <f>IFERROR(IF('3-Year P&amp;L'!$B$9="","",-Financing!$B$45/12),"")</f>
        <v>-1929.4208926372291</v>
      </c>
      <c r="G15" s="41">
        <f>IFERROR(IF('3-Year P&amp;L'!$B$9="","",-Financing!$B$45/12),"")</f>
        <v>-1929.4208926372291</v>
      </c>
      <c r="H15" s="41">
        <f>IFERROR(IF('3-Year P&amp;L'!$B$9="","",-Financing!$B$45/12),"")</f>
        <v>-1929.4208926372291</v>
      </c>
      <c r="I15" s="41">
        <f>IFERROR(IF('3-Year P&amp;L'!$B$9="","",-Financing!$B$45/12),"")</f>
        <v>-1929.4208926372291</v>
      </c>
      <c r="J15" s="41">
        <f>IFERROR(IF('3-Year P&amp;L'!$B$9="","",-Financing!$B$45/12),"")</f>
        <v>-1929.4208926372291</v>
      </c>
      <c r="K15" s="41">
        <f>IFERROR(IF('3-Year P&amp;L'!$B$9="","",-Financing!$B$45/12),"")</f>
        <v>-1929.4208926372291</v>
      </c>
      <c r="L15" s="41">
        <f>IFERROR(IF('3-Year P&amp;L'!$B$9="","",-Financing!$B$45/12),"")</f>
        <v>-1929.4208926372291</v>
      </c>
      <c r="M15" s="41">
        <f>IFERROR(IF('3-Year P&amp;L'!$B$9="","",-Financing!$B$45/12),"")</f>
        <v>-1929.4208926372291</v>
      </c>
      <c r="N15" s="41">
        <f>IFERROR(IF('3-Year P&amp;L'!$B$9="","",SUM(B15:M15)),"")</f>
        <v>-23153.05071164675</v>
      </c>
      <c r="O15" s="29" t="n"/>
    </row>
    <row r="16">
      <c r="A16" s="29" t="inlineStr">
        <is>
          <t>Sales tax collected (memo)</t>
        </is>
      </c>
      <c r="B16" s="41">
        <f>IFERROR(IF('3-Year P&amp;L'!$B$9="","",'3-Year P&amp;L'!$B$9*B7*SUMPRODUCT('3-Year P&amp;L'!$E$10:$E$11,'3-Year P&amp;L'!$G$10:$G$11)),"")</f>
        <v>2877.9599787497796</v>
      </c>
      <c r="C16" s="41">
        <f>IFERROR(IF('3-Year P&amp;L'!$B$9="","",'3-Year P&amp;L'!$B$9*C7*SUMPRODUCT('3-Year P&amp;L'!$E$10:$E$11,'3-Year P&amp;L'!$G$10:$G$11)),"")</f>
        <v>3558.205064636091</v>
      </c>
      <c r="D16" s="41">
        <f>IFERROR(IF('3-Year P&amp;L'!$B$9="","",'3-Year P&amp;L'!$B$9*D7*SUMPRODUCT('3-Year P&amp;L'!$E$10:$E$11,'3-Year P&amp;L'!$G$10:$G$11)),"")</f>
        <v>4655.427306534444</v>
      </c>
      <c r="E16" s="41">
        <f>IFERROR(IF('3-Year P&amp;L'!$B$9="","",'3-Year P&amp;L'!$B$9*E7*SUMPRODUCT('3-Year P&amp;L'!$E$10:$E$11,'3-Year P&amp;L'!$G$10:$G$11)),"")</f>
        <v>5363.470869488225</v>
      </c>
      <c r="F16" s="41">
        <f>IFERROR(IF('3-Year P&amp;L'!$B$9="","",'3-Year P&amp;L'!$B$9*F7*SUMPRODUCT('3-Year P&amp;L'!$E$10:$E$11,'3-Year P&amp;L'!$G$10:$G$11)),"")</f>
        <v>6398.5553391181165</v>
      </c>
      <c r="G16" s="41">
        <f>IFERROR(IF('3-Year P&amp;L'!$B$9="","",'3-Year P&amp;L'!$B$9*G7*SUMPRODUCT('3-Year P&amp;L'!$E$10:$E$11,'3-Year P&amp;L'!$G$10:$G$11)),"")</f>
        <v>7603.701080219586</v>
      </c>
      <c r="H16" s="41">
        <f>IFERROR(IF('3-Year P&amp;L'!$B$9="","",'3-Year P&amp;L'!$B$9*H7*SUMPRODUCT('3-Year P&amp;L'!$E$10:$E$11,'3-Year P&amp;L'!$G$10:$G$11)),"")</f>
        <v>8012.502213564727</v>
      </c>
      <c r="I16" s="41">
        <f>IFERROR(IF('3-Year P&amp;L'!$B$9="","",'3-Year P&amp;L'!$B$9*I7*SUMPRODUCT('3-Year P&amp;L'!$E$10:$E$11,'3-Year P&amp;L'!$G$10:$G$11)),"")</f>
        <v>7603.701080219586</v>
      </c>
      <c r="J16" s="41">
        <f>IFERROR(IF('3-Year P&amp;L'!$B$9="","",'3-Year P&amp;L'!$B$9*J7*SUMPRODUCT('3-Year P&amp;L'!$E$10:$E$11,'3-Year P&amp;L'!$G$10:$G$11)),"")</f>
        <v>6786.098813529309</v>
      </c>
      <c r="K16" s="41">
        <f>IFERROR(IF('3-Year P&amp;L'!$B$9="","",'3-Year P&amp;L'!$B$9*K7*SUMPRODUCT('3-Year P&amp;L'!$E$10:$E$11,'3-Year P&amp;L'!$G$10:$G$11)),"")</f>
        <v>6540.818133522225</v>
      </c>
      <c r="L16" s="41">
        <f>IFERROR(IF('3-Year P&amp;L'!$B$9="","",'3-Year P&amp;L'!$B$9*L7*SUMPRODUCT('3-Year P&amp;L'!$E$10:$E$11,'3-Year P&amp;L'!$G$10:$G$11)),"")</f>
        <v>6295.537453515142</v>
      </c>
      <c r="M16" s="41">
        <f>IFERROR(IF('3-Year P&amp;L'!$B$9="","",'3-Year P&amp;L'!$B$9*M7*SUMPRODUCT('3-Year P&amp;L'!$E$10:$E$11,'3-Year P&amp;L'!$G$10:$G$11)),"")</f>
        <v>8176.0226669027825</v>
      </c>
      <c r="N16" s="41">
        <f>IFERROR(IF('3-Year P&amp;L'!$B$9="","",SUM(B16:M16)),"")</f>
        <v>73872.0</v>
      </c>
      <c r="O16" s="29" t="inlineStr">
        <is>
          <t>Each sales line at ITS OWN rate, read from the sales tax column of the P&amp;L (alcohol to go has its own rate cell in the Assumptions tab)</t>
        </is>
      </c>
    </row>
    <row r="17">
      <c r="A17" s="29" t="inlineStr">
        <is>
          <t>Recoverable input tax (memo)</t>
        </is>
      </c>
      <c r="B17" s="41">
        <f>IFERROR(IF('3-Year P&amp;L'!$B$9="","",'3-Year P&amp;L'!$B$38*B7+'3-Year P&amp;L'!$B$39/12),"")</f>
        <v>0.0</v>
      </c>
      <c r="C17" s="41">
        <f>IFERROR(IF('3-Year P&amp;L'!$B$9="","",'3-Year P&amp;L'!$B$38*C7+'3-Year P&amp;L'!$B$39/12),"")</f>
        <v>0.0</v>
      </c>
      <c r="D17" s="41">
        <f>IFERROR(IF('3-Year P&amp;L'!$B$9="","",'3-Year P&amp;L'!$B$38*D7+'3-Year P&amp;L'!$B$39/12),"")</f>
        <v>0.0</v>
      </c>
      <c r="E17" s="41">
        <f>IFERROR(IF('3-Year P&amp;L'!$B$9="","",'3-Year P&amp;L'!$B$38*E7+'3-Year P&amp;L'!$B$39/12),"")</f>
        <v>0.0</v>
      </c>
      <c r="F17" s="41">
        <f>IFERROR(IF('3-Year P&amp;L'!$B$9="","",'3-Year P&amp;L'!$B$38*F7+'3-Year P&amp;L'!$B$39/12),"")</f>
        <v>0.0</v>
      </c>
      <c r="G17" s="41">
        <f>IFERROR(IF('3-Year P&amp;L'!$B$9="","",'3-Year P&amp;L'!$B$38*G7+'3-Year P&amp;L'!$B$39/12),"")</f>
        <v>0.0</v>
      </c>
      <c r="H17" s="41">
        <f>IFERROR(IF('3-Year P&amp;L'!$B$9="","",'3-Year P&amp;L'!$B$38*H7+'3-Year P&amp;L'!$B$39/12),"")</f>
        <v>0.0</v>
      </c>
      <c r="I17" s="41">
        <f>IFERROR(IF('3-Year P&amp;L'!$B$9="","",'3-Year P&amp;L'!$B$38*I7+'3-Year P&amp;L'!$B$39/12),"")</f>
        <v>0.0</v>
      </c>
      <c r="J17" s="41">
        <f>IFERROR(IF('3-Year P&amp;L'!$B$9="","",'3-Year P&amp;L'!$B$38*J7+'3-Year P&amp;L'!$B$39/12),"")</f>
        <v>0.0</v>
      </c>
      <c r="K17" s="41">
        <f>IFERROR(IF('3-Year P&amp;L'!$B$9="","",'3-Year P&amp;L'!$B$38*K7+'3-Year P&amp;L'!$B$39/12),"")</f>
        <v>0.0</v>
      </c>
      <c r="L17" s="41">
        <f>IFERROR(IF('3-Year P&amp;L'!$B$9="","",'3-Year P&amp;L'!$B$38*L7+'3-Year P&amp;L'!$B$39/12),"")</f>
        <v>0.0</v>
      </c>
      <c r="M17" s="41">
        <f>IFERROR(IF('3-Year P&amp;L'!$B$9="","",'3-Year P&amp;L'!$B$38*M7+'3-Year P&amp;L'!$B$39/12),"")</f>
        <v>0.0</v>
      </c>
      <c r="N17" s="41">
        <f>IFERROR(IF('3-Year P&amp;L'!$B$9="","",SUM(B17:M17)),"")</f>
        <v>0.0</v>
      </c>
      <c r="O17" s="29" t="inlineStr">
        <is>
          <t>Each item at its own rate, read from the tax column of the P&amp;L: insurance and card processing fees carry none</t>
        </is>
      </c>
    </row>
    <row r="18">
      <c r="A18" s="29" t="inlineStr">
        <is>
          <t>Carried forward (capex input tax included)</t>
        </is>
      </c>
      <c r="B18" s="29" t="n"/>
      <c r="C18" s="29" t="n"/>
      <c r="D18" s="29" t="n"/>
      <c r="E18" s="41">
        <f>IFERROR(IF('3-Year P&amp;L'!$B$9="","",'Startup Costs'!$B$32),"")</f>
        <v>0.0</v>
      </c>
      <c r="F18" s="29" t="n"/>
      <c r="G18" s="29" t="n"/>
      <c r="H18" s="41">
        <f>IFERROR(IF('3-Year P&amp;L'!$B$9="","",MAX(0,-E19)),"")</f>
        <v>0.0</v>
      </c>
      <c r="I18" s="29" t="n"/>
      <c r="J18" s="29" t="n"/>
      <c r="K18" s="41">
        <f>IFERROR(IF('3-Year P&amp;L'!$B$9="","",MAX(0,-H19)),"")</f>
        <v>0.0</v>
      </c>
      <c r="L18" s="29" t="n"/>
      <c r="M18" s="29" t="n"/>
      <c r="N18" s="29" t="n"/>
      <c r="O18" s="29" t="inlineStr">
        <is>
          <t>Sales tax paid on STARTUP COSTS enters here: it is offset against the tax collected in later quarters until used up. With 0% recoverable input tax (the US default) this line stays at zero</t>
        </is>
      </c>
    </row>
    <row r="19">
      <c r="A19" s="29" t="inlineStr">
        <is>
          <t>Quarterly sales tax return</t>
        </is>
      </c>
      <c r="B19" s="29" t="n"/>
      <c r="C19" s="29" t="n"/>
      <c r="D19" s="29" t="n"/>
      <c r="E19" s="41">
        <f>IFERROR(IF('3-Year P&amp;L'!$B$9="","",SUM(B16:D16)-SUM(B17:D17)-E18),"")</f>
        <v>11091.592349920315</v>
      </c>
      <c r="F19" s="29" t="n"/>
      <c r="G19" s="29" t="n"/>
      <c r="H19" s="41">
        <f>IFERROR(IF('3-Year P&amp;L'!$B$9="","",SUM(E16:G16)-SUM(E17:G17)-H18),"")</f>
        <v>19365.72728882593</v>
      </c>
      <c r="I19" s="29" t="n"/>
      <c r="J19" s="29" t="n"/>
      <c r="K19" s="41">
        <f>IFERROR(IF('3-Year P&amp;L'!$B$9="","",SUM(H16:J16)-SUM(H17:J17)-K18),"")</f>
        <v>22402.302107313622</v>
      </c>
      <c r="L19" s="29" t="n"/>
      <c r="M19" s="29" t="n"/>
      <c r="N19" s="29" t="n"/>
      <c r="O19" s="29"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9" t="inlineStr">
        <is>
          <t>Sales tax remitted (quarterly filer)</t>
        </is>
      </c>
      <c r="B20" s="29" t="n"/>
      <c r="C20" s="29" t="n"/>
      <c r="D20" s="29" t="n"/>
      <c r="E20" s="41">
        <f>IFERROR(IF('3-Year P&amp;L'!$B$9="","",IF(E19&lt;=0,"",-E19)),"")</f>
        <v>-11091.592349920315</v>
      </c>
      <c r="F20" s="29" t="n"/>
      <c r="G20" s="29" t="n"/>
      <c r="H20" s="41">
        <f>IFERROR(IF('3-Year P&amp;L'!$B$9="","",IF(H19&lt;=0,"",-H19)),"")</f>
        <v>-19365.72728882593</v>
      </c>
      <c r="I20" s="29" t="n"/>
      <c r="J20" s="29" t="n"/>
      <c r="K20" s="41">
        <f>IFERROR(IF('3-Year P&amp;L'!$B$9="","",IF(K19&lt;=0,"",-K19)),"")</f>
        <v>-22402.302107313622</v>
      </c>
      <c r="L20" s="29" t="n"/>
      <c r="M20" s="29" t="n"/>
      <c r="N20" s="41">
        <f>IFERROR(IF('3-Year P&amp;L'!$B$9="","",SUM(B20:M20)),"")</f>
        <v>-52859.62174605987</v>
      </c>
      <c r="O20" s="29"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26" t="inlineStr">
        <is>
          <t>MONTHLY NET CASH FLOW</t>
        </is>
      </c>
      <c r="B21" s="54">
        <f>IFERROR(IF('3-Year P&amp;L'!$B$9="","",SUM(B9:B15)+IF(B20="",0,B20)),"")</f>
        <v>-12596.12232702716</v>
      </c>
      <c r="C21" s="54">
        <f>IFERROR(IF('3-Year P&amp;L'!$B$9="","",SUM(C9:C15)+IF(C20="",0,C20)),"")</f>
        <v>-8884.731301703987</v>
      </c>
      <c r="D21" s="54">
        <f>IFERROR(IF('3-Year P&amp;L'!$B$9="","",SUM(D9:D15)+IF(D20="",0,D20)),"")</f>
        <v>2321.407125779636</v>
      </c>
      <c r="E21" s="54">
        <f>IFERROR(IF('3-Year P&amp;L'!$B$9="","",SUM(E9:E15)+IF(E20="",0,E20)),"")</f>
        <v>-2406.0550284615565</v>
      </c>
      <c r="F21" s="54">
        <f>IFERROR(IF('3-Year P&amp;L'!$B$9="","",SUM(F9:F15)+IF(F20="",0,F20)),"")</f>
        <v>19169.671627284853</v>
      </c>
      <c r="G21" s="54">
        <f>IFERROR(IF('3-Year P&amp;L'!$B$9="","",SUM(G9:G15)+IF(G20="",0,G20)),"")</f>
        <v>31098.70536289669</v>
      </c>
      <c r="H21" s="54">
        <f>IFERROR(IF('3-Year P&amp;L'!$B$9="","",SUM(H9:H15)+IF(H20="",0,H20)),"")</f>
        <v>14654.275060966462</v>
      </c>
      <c r="I21" s="54">
        <f>IFERROR(IF('3-Year P&amp;L'!$B$9="","",SUM(I9:I15)+IF(I20="",0,I20)),"")</f>
        <v>28972.330355813283</v>
      </c>
      <c r="J21" s="54">
        <f>IFERROR(IF('3-Year P&amp;L'!$B$9="","",SUM(J9:J15)+IF(J20="",0,J20)),"")</f>
        <v>20492.77284740174</v>
      </c>
      <c r="K21" s="54">
        <f>IFERROR(IF('3-Year P&amp;L'!$B$9="","",SUM(K9:K15)+IF(K20="",0,K20)),"")</f>
        <v>-3537.78417402559</v>
      </c>
      <c r="L21" s="54">
        <f>IFERROR(IF('3-Year P&amp;L'!$B$9="","",SUM(L9:L15)+IF(L20="",0,L20)),"")</f>
        <v>16482.229328719255</v>
      </c>
      <c r="M21" s="54">
        <f>IFERROR(IF('3-Year P&amp;L'!$B$9="","",SUM(M9:M15)+IF(M20="",0,M20)),"")</f>
        <v>37547.13852829424</v>
      </c>
      <c r="N21" s="54">
        <f>IFERROR(IF('3-Year P&amp;L'!$B$9="","",SUM(B21:M21)),"")</f>
        <v>143313.83740593787</v>
      </c>
      <c r="O21" s="29" t="n"/>
    </row>
    <row r="22">
      <c r="A22" s="26" t="inlineStr">
        <is>
          <t>CUMULATIVE CASH BALANCE</t>
        </is>
      </c>
      <c r="B22" s="54">
        <f>IFERROR(IF('3-Year P&amp;L'!$B$9="","",'Startup Costs'!$B$29+B21),"")</f>
        <v>114635.67767297283</v>
      </c>
      <c r="C22" s="54">
        <f>IFERROR(IF('3-Year P&amp;L'!$B$9="","",B22+C21),"")</f>
        <v>105750.94637126884</v>
      </c>
      <c r="D22" s="54">
        <f>IFERROR(IF('3-Year P&amp;L'!$B$9="","",C22+D21),"")</f>
        <v>108072.35349704848</v>
      </c>
      <c r="E22" s="54">
        <f>IFERROR(IF('3-Year P&amp;L'!$B$9="","",D22+E21),"")</f>
        <v>105666.29846858692</v>
      </c>
      <c r="F22" s="54">
        <f>IFERROR(IF('3-Year P&amp;L'!$B$9="","",E22+F21),"")</f>
        <v>124835.97009587177</v>
      </c>
      <c r="G22" s="54">
        <f>IFERROR(IF('3-Year P&amp;L'!$B$9="","",F22+G21),"")</f>
        <v>155934.67545876847</v>
      </c>
      <c r="H22" s="54">
        <f>IFERROR(IF('3-Year P&amp;L'!$B$9="","",G22+H21),"")</f>
        <v>170588.95051973494</v>
      </c>
      <c r="I22" s="54">
        <f>IFERROR(IF('3-Year P&amp;L'!$B$9="","",H22+I21),"")</f>
        <v>199561.28087554823</v>
      </c>
      <c r="J22" s="54">
        <f>IFERROR(IF('3-Year P&amp;L'!$B$9="","",I22+J21),"")</f>
        <v>220054.05372294996</v>
      </c>
      <c r="K22" s="54">
        <f>IFERROR(IF('3-Year P&amp;L'!$B$9="","",J22+K21),"")</f>
        <v>216516.26954892438</v>
      </c>
      <c r="L22" s="54">
        <f>IFERROR(IF('3-Year P&amp;L'!$B$9="","",K22+L21),"")</f>
        <v>232998.49887764364</v>
      </c>
      <c r="M22" s="54">
        <f>IFERROR(IF('3-Year P&amp;L'!$B$9="","",L22+M21),"")</f>
        <v>270545.6374059379</v>
      </c>
      <c r="N22" s="29" t="n"/>
      <c r="O22" s="29" t="n"/>
    </row>
    <row r="23">
      <c r="A23" s="29" t="inlineStr">
        <is>
          <t>Minimum balance of the year</t>
        </is>
      </c>
      <c r="B23" s="41">
        <f>IFERROR(IF('3-Year P&amp;L'!$B$9="","",IF(COUNT(B22:M22)=0,"",MIN(B22:M22))),"")</f>
        <v>105666.29846858692</v>
      </c>
      <c r="C23" s="29" t="n"/>
      <c r="D23" s="29" t="inlineStr">
        <is>
          <t>If negative, raise working capital or the loan: you run out of cash</t>
        </is>
      </c>
      <c r="E23" s="29" t="n"/>
      <c r="F23" s="29" t="n"/>
      <c r="G23" s="29" t="n"/>
      <c r="H23" s="29" t="n"/>
      <c r="I23" s="29" t="n"/>
      <c r="J23" s="29" t="n"/>
      <c r="K23" s="29" t="n"/>
      <c r="L23" s="29" t="n"/>
      <c r="M23" s="29" t="n"/>
      <c r="N23" s="29" t="n"/>
      <c r="O23" s="29" t="n"/>
    </row>
    <row r="24">
      <c r="A24" s="29" t="inlineStr">
        <is>
          <t>Month when cash bottoms out</t>
        </is>
      </c>
      <c r="B24" s="41">
        <f>IFERROR(IF('3-Year P&amp;L'!$B$9="","",IF(COUNT(B22:M22)=0,"",MATCH(MIN(B22:M22),B22:M22,0))),"")</f>
        <v>4.0</v>
      </c>
      <c r="C24" s="29" t="n"/>
      <c r="D24" s="29" t="inlineStr">
        <is>
          <t>It answers the question that decides a bank deal: in which month the cash runs out</t>
        </is>
      </c>
      <c r="E24" s="29" t="n"/>
      <c r="F24" s="29" t="n"/>
      <c r="G24" s="29" t="n"/>
      <c r="H24" s="29" t="n"/>
      <c r="I24" s="29" t="n"/>
      <c r="J24" s="29" t="n"/>
      <c r="K24" s="29" t="n"/>
      <c r="L24" s="29" t="n"/>
      <c r="M24" s="29" t="n"/>
      <c r="N24" s="29" t="n"/>
      <c r="O24" s="29" t="n"/>
    </row>
    <row r="25">
      <c r="A25" s="26" t="inlineStr">
        <is>
          <t>RETURN ON INVESTMENT</t>
        </is>
      </c>
      <c r="B25" s="29" t="n"/>
      <c r="C25" s="29" t="n"/>
      <c r="D25" s="29" t="n"/>
      <c r="E25" s="29" t="n"/>
      <c r="F25" s="29" t="n"/>
      <c r="G25" s="29" t="n"/>
      <c r="H25" s="29" t="n"/>
      <c r="I25" s="29" t="n"/>
      <c r="J25" s="29" t="n"/>
      <c r="K25" s="29" t="n"/>
      <c r="L25" s="29" t="n"/>
      <c r="M25" s="29" t="n"/>
      <c r="N25" s="29" t="n"/>
      <c r="O25" s="29" t="n"/>
    </row>
    <row r="26">
      <c r="A26" s="29" t="inlineStr">
        <is>
          <t>Free cash flow before debt, year 1</t>
        </is>
      </c>
      <c r="B26" s="41">
        <f>IFERROR(IF('3-Year P&amp;L'!$B$9="","",'3-Year P&amp;L'!$B$47+'3-Year P&amp;L'!$B$35+Financing!$B$44),"")</f>
        <v>146463.37857142862</v>
      </c>
      <c r="C26" s="29" t="n"/>
      <c r="D26" s="29" t="inlineStr">
        <is>
          <t>Net income plus depreciation (which is not paid) plus that year's interest: principal is not subtracted because this flow is BEFORE debt. The SAME basis as years 2 and 3, so the payback compares like with like</t>
        </is>
      </c>
      <c r="E26" s="29" t="n"/>
      <c r="F26" s="29" t="n"/>
      <c r="G26" s="29" t="n"/>
      <c r="H26" s="29" t="n"/>
      <c r="I26" s="29" t="n"/>
      <c r="J26" s="29" t="n"/>
      <c r="K26" s="29" t="n"/>
      <c r="L26" s="29" t="n"/>
      <c r="M26" s="29" t="n"/>
      <c r="N26" s="29" t="n"/>
      <c r="O26" s="29" t="n"/>
    </row>
    <row r="27">
      <c r="A27" s="29" t="inlineStr">
        <is>
          <t>Free cash flow before debt, year 2</t>
        </is>
      </c>
      <c r="B27" s="41">
        <f>IFERROR(IF('3-Year P&amp;L'!$B$9="","",'3-Year P&amp;L'!$C$47+'3-Year P&amp;L'!$C$35+Financing!$B$46),"")</f>
        <v>213790.6548036372</v>
      </c>
      <c r="C27" s="29" t="n"/>
      <c r="D27" s="29" t="inlineStr">
        <is>
          <t>Net income plus depreciation (which is not paid) plus that year's interest: principal is not subtracted because this flow is BEFORE debt. Without a monthly table, it is an estimate</t>
        </is>
      </c>
      <c r="E27" s="29" t="n"/>
      <c r="F27" s="29" t="n"/>
      <c r="G27" s="29" t="n"/>
      <c r="H27" s="29" t="n"/>
      <c r="I27" s="29" t="n"/>
      <c r="J27" s="29" t="n"/>
      <c r="K27" s="29" t="n"/>
      <c r="L27" s="29" t="n"/>
      <c r="M27" s="29" t="n"/>
      <c r="N27" s="29" t="n"/>
      <c r="O27" s="29" t="n"/>
    </row>
    <row r="28">
      <c r="A28" s="29" t="inlineStr">
        <is>
          <t>Free cash flow before debt, year 3</t>
        </is>
      </c>
      <c r="B28" s="41">
        <f>IFERROR(IF('3-Year P&amp;L'!$B$9="","",'3-Year P&amp;L'!$D$47+'3-Year P&amp;L'!$D$35+Financing!$B$48),"")</f>
        <v>264165.2911590671</v>
      </c>
      <c r="C28" s="29" t="n"/>
      <c r="D28" s="29" t="inlineStr">
        <is>
          <t>Net income plus depreciation (which is not paid) plus that year's interest: principal is not subtracted because this flow is BEFORE debt. Without a monthly table, it is an estimate</t>
        </is>
      </c>
      <c r="E28" s="29" t="n"/>
      <c r="F28" s="29" t="n"/>
      <c r="G28" s="29" t="n"/>
      <c r="H28" s="29" t="n"/>
      <c r="I28" s="29" t="n"/>
      <c r="J28" s="29" t="n"/>
      <c r="K28" s="29" t="n"/>
      <c r="L28" s="29" t="n"/>
      <c r="M28" s="29" t="n"/>
      <c r="N28" s="29" t="n"/>
      <c r="O28" s="29" t="n"/>
    </row>
    <row r="29">
      <c r="A29" s="29" t="inlineStr">
        <is>
          <t>For reference: ACTUAL year-1 cash flow (monthly table, before debt)</t>
        </is>
      </c>
      <c r="B29" s="41">
        <f>IFERROR(IF('3-Year P&amp;L'!$B$9="","",N21+Financing!$B$44+Financing!$B$45),"")</f>
        <v>203366.88811758463</v>
      </c>
      <c r="C29" s="29" t="n"/>
      <c r="D29" s="29"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9" t="n"/>
      <c r="F29" s="29" t="n"/>
      <c r="G29" s="29" t="n"/>
      <c r="H29" s="29" t="n"/>
      <c r="I29" s="29" t="n"/>
      <c r="J29" s="29" t="n"/>
      <c r="K29" s="29" t="n"/>
      <c r="L29" s="29" t="n"/>
      <c r="M29" s="29" t="n"/>
      <c r="N29" s="29" t="n"/>
      <c r="O29" s="29" t="n"/>
    </row>
    <row r="30">
      <c r="A30" s="29" t="inlineStr">
        <is>
          <t>Investment to recover (net of recoverable input tax)</t>
        </is>
      </c>
      <c r="B30" s="41">
        <f>IFERROR(IF('3-Year P&amp;L'!$B$9="","",'Startup Costs'!$B$33-'Startup Costs'!$B$32),"")</f>
        <v>488931.8</v>
      </c>
      <c r="C30" s="29" t="n"/>
      <c r="D30" s="29"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9" t="n"/>
      <c r="F30" s="29" t="n"/>
      <c r="G30" s="29" t="n"/>
      <c r="H30" s="29" t="n"/>
      <c r="I30" s="29" t="n"/>
      <c r="J30" s="29" t="n"/>
      <c r="K30" s="29" t="n"/>
      <c r="L30" s="29" t="n"/>
      <c r="M30" s="29" t="n"/>
      <c r="N30" s="29" t="n"/>
      <c r="O30" s="29" t="n"/>
    </row>
    <row r="31">
      <c r="A31" s="26" t="inlineStr">
        <is>
          <t>Project payback (years), before debt</t>
        </is>
      </c>
      <c r="B31" s="26">
        <f>IFERROR(IF('3-Year P&amp;L'!$B$9="","",IF(B26&gt;=B30,ROUND(B30/B26,1),IF(B26+B27&gt;=B30,ROUND(1+(B30-B26)/B27,1),IF(B26+B27+B28&gt;=B30,ROUND(2+(B30-B26-B27)/B28,1),"Over 3 years")))),"")</f>
        <v>2.5</v>
      </c>
      <c r="C31" s="29" t="n"/>
      <c r="D31" s="26" t="inlineStr">
        <is>
          <t>Measures how long the business takes to repay the investment with what it generates BEFORE paying the lender, on the SAME cash flow basis in all three years. Whether you can afford the loan payment is shown by the DSCR in the Financing tab</t>
        </is>
      </c>
      <c r="E31" s="29" t="n"/>
      <c r="F31" s="29" t="n"/>
      <c r="G31" s="29" t="n"/>
      <c r="H31" s="29" t="n"/>
      <c r="I31" s="29" t="n"/>
      <c r="J31" s="29" t="n"/>
      <c r="K31" s="29" t="n"/>
      <c r="L31" s="29" t="n"/>
      <c r="M31" s="29" t="n"/>
      <c r="N31" s="29" t="n"/>
      <c r="O31" s="29" t="n"/>
    </row>
    <row r="32">
      <c r="A32" s="29" t="inlineStr">
        <is>
          <t>Payback on CAPEX, excluding working capital (years)</t>
        </is>
      </c>
      <c r="B32" s="29">
        <f>IFERROR(IF('3-Year P&amp;L'!$B$9="","",IF(B26&gt;='Startup Costs'!$B$31,ROUND('Startup Costs'!$B$31/B26,1),IF(B26+B27&gt;='Startup Costs'!$B$31,ROUND(1+('Startup Costs'!$B$31-B26)/B27,1),IF(B26+B27+B28&gt;='Startup Costs'!$B$31,ROUND(2+('Startup Costs'!$B$31-B26-B27)/B28,1),"Over 3 years")))),"")</f>
        <v>2.0</v>
      </c>
      <c r="C32" s="29" t="n"/>
      <c r="D32" s="29" t="inlineStr">
        <is>
          <t>The same calculation on what you BUY (build-out, equipment, launch and formation costs), without working capital: that money is not spent, it is tied up and comes back when the business closes. For reference only: the payback that matters is the one above</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34.75" customHeight="1">
      <c r="A34" s="48"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FINANCING PLAN</t>
        </is>
      </c>
      <c r="B1" s="29" t="n"/>
      <c r="C1" s="29" t="n"/>
      <c r="D1" s="29" t="n"/>
      <c r="E1" s="29" t="n"/>
      <c r="F1" s="29" t="n"/>
      <c r="G1" s="29" t="n"/>
      <c r="H1" s="29" t="n"/>
    </row>
    <row r="2" ht="45" customHeight="1">
      <c r="A2" s="48" t="inlineStr">
        <is>
          <t>What you need, where it comes from and what it costs to repay. It is the sheet your lender asks for along with the P&amp;L.</t>
        </is>
      </c>
      <c r="B2" s="29" t="n"/>
      <c r="C2" s="29" t="n"/>
      <c r="D2" s="29" t="n"/>
      <c r="E2" s="29" t="n"/>
      <c r="F2" s="29" t="n"/>
      <c r="G2" s="29" t="n"/>
      <c r="H2" s="29" t="n"/>
    </row>
    <row r="3">
      <c r="A3" s="29" t="n"/>
      <c r="B3" s="29" t="n"/>
      <c r="C3" s="29" t="n"/>
      <c r="D3" s="29" t="n"/>
      <c r="E3" s="29" t="n"/>
      <c r="F3" s="29" t="n"/>
      <c r="G3" s="29" t="n"/>
      <c r="H3" s="29" t="n"/>
    </row>
    <row r="4">
      <c r="A4" s="26" t="inlineStr">
        <is>
          <t>Item</t>
        </is>
      </c>
      <c r="B4" s="26" t="inlineStr">
        <is>
          <t>Amount</t>
        </is>
      </c>
      <c r="C4" s="26" t="inlineStr">
        <is>
          <t>Notes</t>
        </is>
      </c>
      <c r="D4" s="29" t="n"/>
      <c r="E4" s="29" t="n"/>
      <c r="F4" s="29" t="n"/>
      <c r="G4" s="29" t="n"/>
      <c r="H4" s="29" t="n"/>
    </row>
    <row r="5">
      <c r="A5" s="26" t="inlineStr">
        <is>
          <t>SOURCES OF FUNDS</t>
        </is>
      </c>
      <c r="B5" s="29" t="n"/>
      <c r="C5" s="29" t="n"/>
      <c r="D5" s="29" t="n"/>
      <c r="E5" s="29" t="n"/>
      <c r="F5" s="29" t="n"/>
      <c r="G5" s="29" t="n"/>
      <c r="H5" s="29" t="n"/>
    </row>
    <row r="6">
      <c r="A6" s="29" t="inlineStr">
        <is>
          <t>Owner's equity (your own money)</t>
        </is>
      </c>
      <c r="B6" s="41">
        <f>IFERROR(IF('0. Assumptions'!$B$30="","",'0. Assumptions'!$B$30),"")</f>
        <v>120000.0</v>
      </c>
      <c r="C6" s="29" t="n"/>
      <c r="D6" s="29" t="n"/>
      <c r="E6" s="29" t="n"/>
      <c r="F6" s="29" t="n"/>
      <c r="G6" s="29" t="n"/>
      <c r="H6" s="29" t="n"/>
    </row>
    <row r="7">
      <c r="A7" s="29" t="inlineStr">
        <is>
          <t>Loan requested — bank or SBA 7(a) (amortized below)</t>
        </is>
      </c>
      <c r="B7" s="41">
        <f>IFERROR(IF('0. Assumptions'!$B$31="","",'0. Assumptions'!$B$31),"")</f>
        <v>369000.0</v>
      </c>
      <c r="C7" s="29" t="n"/>
      <c r="D7" s="29" t="n"/>
      <c r="E7" s="29" t="n"/>
      <c r="F7" s="29" t="n"/>
      <c r="G7" s="29" t="n"/>
      <c r="H7" s="29" t="n"/>
    </row>
    <row r="8">
      <c r="A8" s="29" t="inlineStr">
        <is>
          <t>Other loan (not in the schedule or the DSCR — enter your loan in row 7)</t>
        </is>
      </c>
      <c r="B8" s="51" t="n">
        <v>0</v>
      </c>
      <c r="C8" s="29" t="inlineStr">
        <is>
          <t>A source of funds only: NOT amortized, so it is not in the schedule, the P&amp;L interest or the DSCR. Enter your bank or SBA 7(a) loan in row 7 ("Loan requested" in "0. Assumptions"); use this row only for a second loan</t>
        </is>
      </c>
      <c r="D8" s="29" t="n"/>
      <c r="E8" s="29" t="n"/>
      <c r="F8" s="29" t="n"/>
      <c r="G8" s="29" t="n"/>
      <c r="H8" s="29" t="n"/>
    </row>
    <row r="9">
      <c r="A9" s="29" t="inlineStr">
        <is>
          <t>SBA Microloan (not in the schedule or the DSCR — enter your loan in row 7)</t>
        </is>
      </c>
      <c r="B9" s="51" t="n">
        <v>0</v>
      </c>
      <c r="C9" s="29" t="inlineStr">
        <is>
          <t>SBA Microloans go up to $50,000 through nonprofit intermediaries. Like row 8, a source of funds only: not in the schedule or the DSCR. If it is your only loan, enter it in row 7 instead</t>
        </is>
      </c>
      <c r="D9" s="29" t="n"/>
      <c r="E9" s="29" t="n"/>
      <c r="F9" s="29" t="n"/>
      <c r="G9" s="29" t="n"/>
      <c r="H9" s="29" t="n"/>
    </row>
    <row r="10">
      <c r="A10" s="29" t="inlineStr">
        <is>
          <t>Investors / partners (equity: dilutes, not repaid)</t>
        </is>
      </c>
      <c r="B10" s="51" t="n">
        <v>0</v>
      </c>
      <c r="C10" s="29" t="inlineStr">
        <is>
          <t>Equity: it dilutes your ownership and is not repaid</t>
        </is>
      </c>
      <c r="D10" s="29" t="n"/>
      <c r="E10" s="29" t="n"/>
      <c r="F10" s="29" t="n"/>
      <c r="G10" s="29" t="n"/>
      <c r="H10" s="29" t="n"/>
    </row>
    <row r="11">
      <c r="A11" s="29" t="inlineStr">
        <is>
          <t>Local grants (usually paid after you spend)</t>
        </is>
      </c>
      <c r="B11" s="51" t="n">
        <v>0</v>
      </c>
      <c r="C11" s="29" t="inlineStr">
        <is>
          <t>Usually paid AFTER you document the spending</t>
        </is>
      </c>
      <c r="D11" s="29" t="n"/>
      <c r="E11" s="29" t="n"/>
      <c r="F11" s="29" t="n"/>
      <c r="G11" s="29" t="n"/>
      <c r="H11" s="29" t="n"/>
    </row>
    <row r="12">
      <c r="A12" s="26" t="inlineStr">
        <is>
          <t>TOTAL SOURCES OF FUNDS</t>
        </is>
      </c>
      <c r="B12" s="54">
        <f>IFERROR(IF(COUNT(B6:B11)=0,"",SUM(B6:B11)),"")</f>
        <v>489000.0</v>
      </c>
      <c r="C12" s="29" t="n"/>
      <c r="D12" s="29" t="n"/>
      <c r="E12" s="29" t="n"/>
      <c r="F12" s="29" t="n"/>
      <c r="G12" s="29" t="n"/>
      <c r="H12" s="29" t="n"/>
    </row>
    <row r="13">
      <c r="A13" s="26" t="inlineStr">
        <is>
          <t>USES OF FUNDS</t>
        </is>
      </c>
      <c r="B13" s="29" t="n"/>
      <c r="C13" s="29" t="n"/>
      <c r="D13" s="29" t="n"/>
      <c r="E13" s="29" t="n"/>
      <c r="F13" s="29" t="n"/>
      <c r="G13" s="29" t="n"/>
      <c r="H13" s="29" t="n"/>
    </row>
    <row r="14">
      <c r="A14" s="29" t="inlineStr">
        <is>
          <t>Total cash needed at launch</t>
        </is>
      </c>
      <c r="B14" s="41">
        <f>IFERROR(IF('Startup Costs'!$B$33="","",'Startup Costs'!$B$33),"")</f>
        <v>488931.8</v>
      </c>
      <c r="C14" s="29" t="inlineStr">
        <is>
          <t>Startup costs plus any recoverable tax you have to advance (zero by default in the US)</t>
        </is>
      </c>
      <c r="D14" s="29" t="n"/>
      <c r="E14" s="29" t="n"/>
      <c r="F14" s="29" t="n"/>
      <c r="G14" s="29" t="n"/>
      <c r="H14" s="29" t="n"/>
    </row>
    <row r="15">
      <c r="A15" s="26" t="inlineStr">
        <is>
          <t>Difference (sources - uses)</t>
        </is>
      </c>
      <c r="B15" s="54">
        <f>IFERROR(B12-B14,"")</f>
        <v>68.20000000001164</v>
      </c>
      <c r="C15" s="26" t="inlineStr">
        <is>
          <t>In red (negative), the plan is NOT funded. Far above zero is not free either: you pay interest on money you do not use</t>
        </is>
      </c>
      <c r="D15" s="29" t="n"/>
      <c r="E15" s="29" t="n"/>
      <c r="F15" s="29" t="n"/>
      <c r="G15" s="29" t="n"/>
      <c r="H15" s="29" t="n"/>
    </row>
    <row r="16">
      <c r="A16" s="29" t="inlineStr">
        <is>
          <t>Difference as a % of uses</t>
        </is>
      </c>
      <c r="B16" s="66">
        <f>IFERROR(B15/B14,"")</f>
        <v>0.00013948775677919016</v>
      </c>
      <c r="C16" s="29" t="inlineStr">
        <is>
          <t>Amber above the margin you set: it is debt you pay for without needing it</t>
        </is>
      </c>
      <c r="D16" s="29" t="n"/>
      <c r="E16" s="29" t="n"/>
      <c r="F16" s="29" t="n"/>
      <c r="G16" s="29" t="n"/>
      <c r="H16" s="29" t="n"/>
    </row>
    <row r="17">
      <c r="A17" s="29" t="inlineStr">
        <is>
          <t>Acceptable over-funding (%)</t>
        </is>
      </c>
      <c r="B17" s="72" t="n">
        <v>0.05</v>
      </c>
      <c r="C17" s="29" t="inlineStr">
        <is>
          <t>A small cushion over the need is healthy; 20% extra is interest thrown away</t>
        </is>
      </c>
      <c r="D17" s="29" t="n"/>
      <c r="E17" s="29" t="n"/>
      <c r="F17" s="29" t="n"/>
      <c r="G17" s="29" t="n"/>
      <c r="H17" s="29" t="n"/>
    </row>
    <row r="18">
      <c r="A18" s="29" t="inlineStr">
        <is>
          <t>Loan that would match sources to needs</t>
        </is>
      </c>
      <c r="B18" s="41">
        <f>IFERROR(MAX(0,B14-B12+B7),"")</f>
        <v>368931.8</v>
      </c>
      <c r="C18" s="29" t="inlineStr">
        <is>
          <t>Copy it into "Loan requested" in the "0. Assumptions" tab and the difference goes to zero. Rows 8-11 lower this figure, but only the row-7 loan is amortized and counted in the DSCR</t>
        </is>
      </c>
      <c r="D18" s="29" t="n"/>
      <c r="E18" s="29" t="n"/>
      <c r="F18" s="29" t="n"/>
      <c r="G18" s="29" t="n"/>
      <c r="H18" s="29" t="n"/>
    </row>
    <row r="19">
      <c r="A19" s="26" t="inlineStr">
        <is>
          <t>LOAN TERMS</t>
        </is>
      </c>
      <c r="B19" s="29" t="n"/>
      <c r="C19" s="29" t="n"/>
      <c r="D19" s="29" t="n"/>
      <c r="E19" s="29" t="n"/>
      <c r="F19" s="29" t="n"/>
      <c r="G19" s="29" t="n"/>
      <c r="H19" s="29" t="n"/>
    </row>
    <row r="20">
      <c r="A20" s="29" t="inlineStr">
        <is>
          <t>Principal amount</t>
        </is>
      </c>
      <c r="B20" s="41">
        <f>IFERROR(IF('0. Assumptions'!$B$31=0,"",'0. Assumptions'!$B$31),"")</f>
        <v>369000.0</v>
      </c>
      <c r="C20" s="29" t="n"/>
      <c r="D20" s="29" t="n"/>
      <c r="E20" s="29" t="n"/>
      <c r="F20" s="29" t="n"/>
      <c r="G20" s="29" t="n"/>
      <c r="H20" s="29" t="n"/>
    </row>
    <row r="21">
      <c r="A21" s="29" t="inlineStr">
        <is>
          <t>Nominal annual interest rate (not APR)</t>
        </is>
      </c>
      <c r="B21" s="66">
        <f>IFERROR(IF('0. Assumptions'!$B$32="","",'0. Assumptions'!$B$32),"")</f>
        <v>0.1</v>
      </c>
      <c r="C21" s="29" t="n"/>
      <c r="D21" s="29" t="n"/>
      <c r="E21" s="29" t="n"/>
      <c r="F21" s="29" t="n"/>
      <c r="G21" s="29" t="n"/>
      <c r="H21" s="29" t="n"/>
    </row>
    <row r="22">
      <c r="A22" s="29" t="inlineStr">
        <is>
          <t>Total term (years)</t>
        </is>
      </c>
      <c r="B22" s="41">
        <f>IFERROR(IF('0. Assumptions'!$B$33="","",'0. Assumptions'!$B$33),"")</f>
        <v>10.0</v>
      </c>
      <c r="C22" s="29" t="n"/>
      <c r="D22" s="29" t="n"/>
      <c r="E22" s="29" t="n"/>
      <c r="F22" s="29" t="n"/>
      <c r="G22" s="29" t="n"/>
      <c r="H22" s="29" t="n"/>
    </row>
    <row r="23">
      <c r="A23" s="29" t="inlineStr">
        <is>
          <t>Interest-only period applied (years)</t>
        </is>
      </c>
      <c r="B23" s="41">
        <f>IFERROR(IF(OR('0. Assumptions'!$B$34="",'0. Assumptions'!$B$33=""),"",IF('0. Assumptions'!$B$34&gt;='0. Assumptions'!$B$33,0,'0. Assumptions'!$B$34)),"")</f>
        <v>0.0</v>
      </c>
      <c r="C23" s="29" t="inlineStr">
        <is>
          <t>An interest-only period equal to or longer than the term does not exist: the sheet cancels it at the source</t>
        </is>
      </c>
      <c r="D23" s="29" t="n"/>
      <c r="E23" s="29" t="n"/>
      <c r="F23" s="29" t="n"/>
      <c r="G23" s="29" t="n"/>
      <c r="H23" s="29" t="n"/>
    </row>
    <row r="24">
      <c r="A24" s="26" t="inlineStr">
        <is>
          <t>Annual payment during repayment</t>
        </is>
      </c>
      <c r="B24" s="55">
        <f>IFERROR(IF(B22-B23&lt;=0,"",IF(B21=0,B20/(B22-B23),B20*B21/(1-(1+B21)^-(B22-B23)))),"")</f>
        <v>60053.05071164675</v>
      </c>
      <c r="C24" s="26" t="inlineStr">
        <is>
          <t>Standard amortizing loan with a level annual payment. At a 0% rate it is the principal divided by the repayment years: without that branch the schedule would shut down entirely</t>
        </is>
      </c>
      <c r="D24" s="29" t="n"/>
      <c r="E24" s="29" t="n"/>
      <c r="F24" s="29" t="n"/>
      <c r="G24" s="29" t="n"/>
      <c r="H24" s="29" t="n"/>
    </row>
    <row r="25">
      <c r="A25" s="26" t="inlineStr">
        <is>
          <t>AMORTIZATION SCHEDULE</t>
        </is>
      </c>
      <c r="B25" s="29" t="n"/>
      <c r="C25" s="29" t="n"/>
      <c r="D25" s="29" t="n"/>
      <c r="E25" s="29" t="n"/>
      <c r="F25" s="29" t="n"/>
      <c r="G25" s="29" t="n"/>
      <c r="H25" s="29" t="n"/>
    </row>
    <row r="26">
      <c r="A26" s="26" t="inlineStr">
        <is>
          <t>Year</t>
        </is>
      </c>
      <c r="B26" s="26" t="inlineStr">
        <is>
          <t>Opening balance</t>
        </is>
      </c>
      <c r="C26" s="26" t="inlineStr">
        <is>
          <t>Interest</t>
        </is>
      </c>
      <c r="D26" s="26" t="inlineStr">
        <is>
          <t>Principal repaid</t>
        </is>
      </c>
      <c r="E26" s="26" t="inlineStr">
        <is>
          <t>Total payment</t>
        </is>
      </c>
      <c r="F26" s="26" t="inlineStr">
        <is>
          <t>Closing balance</t>
        </is>
      </c>
      <c r="G26" s="26" t="inlineStr">
        <is>
          <t>Cash flow available for debt service (after tax; from year 4 on, year 3 held flat)</t>
        </is>
      </c>
      <c r="H26" s="26" t="inlineStr">
        <is>
          <t>DSCR for the year</t>
        </is>
      </c>
    </row>
    <row r="27">
      <c r="A27" s="41" t="n">
        <v>1</v>
      </c>
      <c r="B27" s="62">
        <f>IFERROR(IF(B20="","",B20),"")</f>
        <v>369000.0</v>
      </c>
      <c r="C27" s="62">
        <f>IFERROR(IF(OR(1&gt;B22,B27=""),"",B27*B21),"")</f>
        <v>36900.0</v>
      </c>
      <c r="D27" s="62">
        <f>IFERROR(IF(OR(1&gt;B22,B27=""),"",IF(1&lt;=B23,0,MIN(B27,B24-C27))),"")</f>
        <v>23153.05071164675</v>
      </c>
      <c r="E27" s="62">
        <f>IFERROR(IF(C27="","",C27+D27),"")</f>
        <v>60053.05071164675</v>
      </c>
      <c r="F27" s="62">
        <f>IFERROR(IF(D27="","",B27-D27),"")</f>
        <v>345846.94928835327</v>
      </c>
      <c r="G27" s="62">
        <f>IFERROR(IF(E27="","",'3-Year P&amp;L'!$B$40-'3-Year P&amp;L'!$B$45+'3-Year P&amp;L'!$B$35+'3-Year P&amp;L'!$B$36),"")</f>
        <v>146463.37857142862</v>
      </c>
      <c r="H27" s="62">
        <f>IFERROR(IF(OR(E27="",E27=0),"",G27/E27),"")</f>
        <v>2.4388998866134766</v>
      </c>
    </row>
    <row r="28">
      <c r="A28" s="41" t="n">
        <v>2</v>
      </c>
      <c r="B28" s="62">
        <f>IFERROR(IF(OR(2&gt;B22,F27=""),"",F27),"")</f>
        <v>345846.94928835327</v>
      </c>
      <c r="C28" s="62">
        <f>IFERROR(IF(OR(2&gt;B22,B28=""),"",B28*B21),"")</f>
        <v>34584.69492883533</v>
      </c>
      <c r="D28" s="62">
        <f>IFERROR(IF(OR(2&gt;B22,B28=""),"",IF(2&lt;=B23,0,MIN(B28,B24-C28))),"")</f>
        <v>25468.35578281142</v>
      </c>
      <c r="E28" s="62">
        <f>IFERROR(IF(C28="","",C28+D28),"")</f>
        <v>60053.05071164675</v>
      </c>
      <c r="F28" s="62">
        <f>IFERROR(IF(D28="","",B28-D28),"")</f>
        <v>320378.59350554185</v>
      </c>
      <c r="G28" s="62">
        <f>IFERROR(IF(E28="","",'3-Year P&amp;L'!$C$40-'3-Year P&amp;L'!$C$45+'3-Year P&amp;L'!$C$35+'3-Year P&amp;L'!$C$36),"")</f>
        <v>213790.6548036372</v>
      </c>
      <c r="H28" s="62">
        <f>IFERROR(IF(OR(E28="",E28=0),"",G28/E28),"")</f>
        <v>3.5600298780853517</v>
      </c>
    </row>
    <row r="29">
      <c r="A29" s="41" t="n">
        <v>3</v>
      </c>
      <c r="B29" s="62">
        <f>IFERROR(IF(OR(3&gt;B22,F28=""),"",F28),"")</f>
        <v>320378.59350554185</v>
      </c>
      <c r="C29" s="62">
        <f>IFERROR(IF(OR(3&gt;B22,B29=""),"",B29*B21),"")</f>
        <v>32037.859350554187</v>
      </c>
      <c r="D29" s="62">
        <f>IFERROR(IF(OR(3&gt;B22,B29=""),"",IF(3&lt;=B23,0,MIN(B29,B24-C29))),"")</f>
        <v>28015.191361092562</v>
      </c>
      <c r="E29" s="62">
        <f>IFERROR(IF(C29="","",C29+D29),"")</f>
        <v>60053.05071164675</v>
      </c>
      <c r="F29" s="62">
        <f>IFERROR(IF(D29="","",B29-D29),"")</f>
        <v>292363.4021444493</v>
      </c>
      <c r="G29" s="62">
        <f>IFERROR(IF(E29="","",'3-Year P&amp;L'!$D$40-'3-Year P&amp;L'!$D$45+'3-Year P&amp;L'!$D$35+'3-Year P&amp;L'!$D$36),"")</f>
        <v>264165.2911590671</v>
      </c>
      <c r="H29" s="62">
        <f>IFERROR(IF(OR(E29="",E29=0),"",G29/E29),"")</f>
        <v>4.398865470257195</v>
      </c>
    </row>
    <row r="30">
      <c r="A30" s="41" t="n">
        <v>4</v>
      </c>
      <c r="B30" s="62">
        <f>IFERROR(IF(OR(4&gt;B22,F29=""),"",F29),"")</f>
        <v>292363.4021444493</v>
      </c>
      <c r="C30" s="62">
        <f>IFERROR(IF(OR(4&gt;B22,B30=""),"",B30*B21),"")</f>
        <v>29236.340214444932</v>
      </c>
      <c r="D30" s="62">
        <f>IFERROR(IF(OR(4&gt;B22,B30=""),"",IF(4&lt;=B23,0,MIN(B30,B24-C30))),"")</f>
        <v>30816.710497201817</v>
      </c>
      <c r="E30" s="62">
        <f>IFERROR(IF(C30="","",C30+D30),"")</f>
        <v>60053.05071164675</v>
      </c>
      <c r="F30" s="62">
        <f>IFERROR(IF(D30="","",B30-D30),"")</f>
        <v>261546.69164724747</v>
      </c>
      <c r="G30" s="62">
        <f>IFERROR(IF(E30="","",'3-Year P&amp;L'!$D$40-'3-Year P&amp;L'!$D$45+'3-Year P&amp;L'!$D$35+'3-Year P&amp;L'!$D$36),"")</f>
        <v>264165.2911590671</v>
      </c>
      <c r="H30" s="62">
        <f>IFERROR(IF(OR(E30="",E30=0),"",G30/E30),"")</f>
        <v>4.398865470257195</v>
      </c>
    </row>
    <row r="31">
      <c r="A31" s="41" t="n">
        <v>5</v>
      </c>
      <c r="B31" s="62">
        <f>IFERROR(IF(OR(5&gt;B22,F30=""),"",F30),"")</f>
        <v>261546.69164724747</v>
      </c>
      <c r="C31" s="62">
        <f>IFERROR(IF(OR(5&gt;B22,B31=""),"",B31*B21),"")</f>
        <v>26154.66916472475</v>
      </c>
      <c r="D31" s="62">
        <f>IFERROR(IF(OR(5&gt;B22,B31=""),"",IF(5&lt;=B23,0,MIN(B31,B24-C31))),"")</f>
        <v>33898.381546922</v>
      </c>
      <c r="E31" s="62">
        <f>IFERROR(IF(C31="","",C31+D31),"")</f>
        <v>60053.05071164675</v>
      </c>
      <c r="F31" s="62">
        <f>IFERROR(IF(D31="","",B31-D31),"")</f>
        <v>227648.31010032547</v>
      </c>
      <c r="G31" s="62">
        <f>IFERROR(IF(E31="","",'3-Year P&amp;L'!$D$40-'3-Year P&amp;L'!$D$45+'3-Year P&amp;L'!$D$35+'3-Year P&amp;L'!$D$36),"")</f>
        <v>264165.2911590671</v>
      </c>
      <c r="H31" s="62">
        <f>IFERROR(IF(OR(E31="",E31=0),"",G31/E31),"")</f>
        <v>4.398865470257195</v>
      </c>
    </row>
    <row r="32">
      <c r="A32" s="41" t="n">
        <v>6</v>
      </c>
      <c r="B32" s="62">
        <f>IFERROR(IF(OR(6&gt;B22,F31=""),"",F31),"")</f>
        <v>227648.31010032547</v>
      </c>
      <c r="C32" s="62">
        <f>IFERROR(IF(OR(6&gt;B22,B32=""),"",B32*B21),"")</f>
        <v>22764.831010032547</v>
      </c>
      <c r="D32" s="62">
        <f>IFERROR(IF(OR(6&gt;B22,B32=""),"",IF(6&lt;=B23,0,MIN(B32,B24-C32))),"")</f>
        <v>37288.2197016142</v>
      </c>
      <c r="E32" s="62">
        <f>IFERROR(IF(C32="","",C32+D32),"")</f>
        <v>60053.05071164675</v>
      </c>
      <c r="F32" s="62">
        <f>IFERROR(IF(D32="","",B32-D32),"")</f>
        <v>190360.09039871127</v>
      </c>
      <c r="G32" s="62">
        <f>IFERROR(IF(E32="","",'3-Year P&amp;L'!$D$40-'3-Year P&amp;L'!$D$45+'3-Year P&amp;L'!$D$35+'3-Year P&amp;L'!$D$36),"")</f>
        <v>264165.2911590671</v>
      </c>
      <c r="H32" s="62">
        <f>IFERROR(IF(OR(E32="",E32=0),"",G32/E32),"")</f>
        <v>4.398865470257195</v>
      </c>
    </row>
    <row r="33">
      <c r="A33" s="41" t="n">
        <v>7</v>
      </c>
      <c r="B33" s="62">
        <f>IFERROR(IF(OR(7&gt;B22,F32=""),"",F32),"")</f>
        <v>190360.09039871127</v>
      </c>
      <c r="C33" s="62">
        <f>IFERROR(IF(OR(7&gt;B22,B33=""),"",B33*B21),"")</f>
        <v>19036.00903987113</v>
      </c>
      <c r="D33" s="62">
        <f>IFERROR(IF(OR(7&gt;B22,B33=""),"",IF(7&lt;=B23,0,MIN(B33,B24-C33))),"")</f>
        <v>41017.041671775616</v>
      </c>
      <c r="E33" s="62">
        <f>IFERROR(IF(C33="","",C33+D33),"")</f>
        <v>60053.05071164675</v>
      </c>
      <c r="F33" s="62">
        <f>IFERROR(IF(D33="","",B33-D33),"")</f>
        <v>149343.04872693564</v>
      </c>
      <c r="G33" s="62">
        <f>IFERROR(IF(E33="","",'3-Year P&amp;L'!$D$40-'3-Year P&amp;L'!$D$45+'3-Year P&amp;L'!$D$35+'3-Year P&amp;L'!$D$36),"")</f>
        <v>264165.2911590671</v>
      </c>
      <c r="H33" s="62">
        <f>IFERROR(IF(OR(E33="",E33=0),"",G33/E33),"")</f>
        <v>4.398865470257195</v>
      </c>
    </row>
    <row r="34">
      <c r="A34" s="41" t="n">
        <v>8</v>
      </c>
      <c r="B34" s="62">
        <f>IFERROR(IF(OR(8&gt;B22,F33=""),"",F33),"")</f>
        <v>149343.04872693564</v>
      </c>
      <c r="C34" s="62">
        <f>IFERROR(IF(OR(8&gt;B22,B34=""),"",B34*B21),"")</f>
        <v>14934.304872693565</v>
      </c>
      <c r="D34" s="62">
        <f>IFERROR(IF(OR(8&gt;B22,B34=""),"",IF(8&lt;=B23,0,MIN(B34,B24-C34))),"")</f>
        <v>45118.74583895318</v>
      </c>
      <c r="E34" s="62">
        <f>IFERROR(IF(C34="","",C34+D34),"")</f>
        <v>60053.05071164675</v>
      </c>
      <c r="F34" s="62">
        <f>IFERROR(IF(D34="","",B34-D34),"")</f>
        <v>104224.30288798246</v>
      </c>
      <c r="G34" s="62">
        <f>IFERROR(IF(E34="","",'3-Year P&amp;L'!$D$40-'3-Year P&amp;L'!$D$45+'3-Year P&amp;L'!$D$35+'3-Year P&amp;L'!$D$36),"")</f>
        <v>264165.2911590671</v>
      </c>
      <c r="H34" s="62">
        <f>IFERROR(IF(OR(E34="",E34=0),"",G34/E34),"")</f>
        <v>4.398865470257195</v>
      </c>
    </row>
    <row r="35">
      <c r="A35" s="41" t="n">
        <v>9</v>
      </c>
      <c r="B35" s="62">
        <f>IFERROR(IF(OR(9&gt;B22,F34=""),"",F34),"")</f>
        <v>104224.30288798246</v>
      </c>
      <c r="C35" s="62">
        <f>IFERROR(IF(OR(9&gt;B22,B35=""),"",B35*B21),"")</f>
        <v>10422.430288798247</v>
      </c>
      <c r="D35" s="62">
        <f>IFERROR(IF(OR(9&gt;B22,B35=""),"",IF(9&lt;=B23,0,MIN(B35,B24-C35))),"")</f>
        <v>49630.6204228485</v>
      </c>
      <c r="E35" s="62">
        <f>IFERROR(IF(C35="","",C35+D35),"")</f>
        <v>60053.05071164675</v>
      </c>
      <c r="F35" s="62">
        <f>IFERROR(IF(D35="","",B35-D35),"")</f>
        <v>54593.682465133956</v>
      </c>
      <c r="G35" s="62">
        <f>IFERROR(IF(E35="","",'3-Year P&amp;L'!$D$40-'3-Year P&amp;L'!$D$45+'3-Year P&amp;L'!$D$35+'3-Year P&amp;L'!$D$36),"")</f>
        <v>264165.2911590671</v>
      </c>
      <c r="H35" s="62">
        <f>IFERROR(IF(OR(E35="",E35=0),"",G35/E35),"")</f>
        <v>4.398865470257195</v>
      </c>
    </row>
    <row r="36">
      <c r="A36" s="41" t="n">
        <v>10</v>
      </c>
      <c r="B36" s="62">
        <f>IFERROR(IF(OR(10&gt;B22,F35=""),"",F35),"")</f>
        <v>54593.682465133956</v>
      </c>
      <c r="C36" s="62">
        <f>IFERROR(IF(OR(10&gt;B22,B36=""),"",B36*B21),"")</f>
        <v>5459.368246513396</v>
      </c>
      <c r="D36" s="62">
        <f>IFERROR(IF(OR(10&gt;B22,B36=""),"",IF(10&lt;=B23,0,MIN(B36,B24-C36))),"")</f>
        <v>54593.68246513335</v>
      </c>
      <c r="E36" s="62">
        <f>IFERROR(IF(C36="","",C36+D36),"")</f>
        <v>60053.05071164675</v>
      </c>
      <c r="F36" s="62">
        <f>IFERROR(IF(D36="","",B36-D36),"")</f>
        <v>6.039044819772243e-10</v>
      </c>
      <c r="G36" s="62">
        <f>IFERROR(IF(E36="","",'3-Year P&amp;L'!$D$40-'3-Year P&amp;L'!$D$45+'3-Year P&amp;L'!$D$35+'3-Year P&amp;L'!$D$36),"")</f>
        <v>264165.2911590671</v>
      </c>
      <c r="H36" s="62">
        <f>IFERROR(IF(OR(E36="",E36=0),"",G36/E36),"")</f>
        <v>4.398865470257195</v>
      </c>
    </row>
    <row r="37">
      <c r="A37" s="41" t="n">
        <v>11</v>
      </c>
      <c r="B37" s="62">
        <f>IFERROR(IF(OR(11&gt;B22,F36=""),"",F36),"")</f>
        <v/>
      </c>
      <c r="C37" s="62">
        <f>IFERROR(IF(OR(11&gt;B22,B37=""),"",B37*B21),"")</f>
        <v/>
      </c>
      <c r="D37" s="62">
        <f>IFERROR(IF(OR(11&gt;B22,B37=""),"",IF(11&lt;=B23,0,MIN(B37,B24-C37))),"")</f>
        <v/>
      </c>
      <c r="E37" s="62">
        <f>IFERROR(IF(C37="","",C37+D37),"")</f>
        <v/>
      </c>
      <c r="F37" s="62">
        <f>IFERROR(IF(D37="","",B37-D37),"")</f>
        <v/>
      </c>
      <c r="G37" s="62">
        <f>IFERROR(IF(E37="","",'3-Year P&amp;L'!$D$40-'3-Year P&amp;L'!$D$45+'3-Year P&amp;L'!$D$35+'3-Year P&amp;L'!$D$36),"")</f>
        <v/>
      </c>
      <c r="H37" s="62">
        <f>IFERROR(IF(OR(E37="",E37=0),"",G37/E37),"")</f>
        <v/>
      </c>
    </row>
    <row r="38">
      <c r="A38" s="41" t="n">
        <v>12</v>
      </c>
      <c r="B38" s="62">
        <f>IFERROR(IF(OR(12&gt;B22,F37=""),"",F37),"")</f>
        <v/>
      </c>
      <c r="C38" s="62">
        <f>IFERROR(IF(OR(12&gt;B22,B38=""),"",B38*B21),"")</f>
        <v/>
      </c>
      <c r="D38" s="62">
        <f>IFERROR(IF(OR(12&gt;B22,B38=""),"",IF(12&lt;=B23,0,MIN(B38,B24-C38))),"")</f>
        <v/>
      </c>
      <c r="E38" s="62">
        <f>IFERROR(IF(C38="","",C38+D38),"")</f>
        <v/>
      </c>
      <c r="F38" s="62">
        <f>IFERROR(IF(D38="","",B38-D38),"")</f>
        <v/>
      </c>
      <c r="G38" s="62">
        <f>IFERROR(IF(E38="","",'3-Year P&amp;L'!$D$40-'3-Year P&amp;L'!$D$45+'3-Year P&amp;L'!$D$35+'3-Year P&amp;L'!$D$36),"")</f>
        <v/>
      </c>
      <c r="H38" s="62">
        <f>IFERROR(IF(OR(E38="",E38=0),"",G38/E38),"")</f>
        <v/>
      </c>
    </row>
    <row r="39">
      <c r="A39" s="41" t="n">
        <v>13</v>
      </c>
      <c r="B39" s="62">
        <f>IFERROR(IF(OR(13&gt;B22,F38=""),"",F38),"")</f>
        <v/>
      </c>
      <c r="C39" s="62">
        <f>IFERROR(IF(OR(13&gt;B22,B39=""),"",B39*B21),"")</f>
        <v/>
      </c>
      <c r="D39" s="62">
        <f>IFERROR(IF(OR(13&gt;B22,B39=""),"",IF(13&lt;=B23,0,MIN(B39,B24-C39))),"")</f>
        <v/>
      </c>
      <c r="E39" s="62">
        <f>IFERROR(IF(C39="","",C39+D39),"")</f>
        <v/>
      </c>
      <c r="F39" s="62">
        <f>IFERROR(IF(D39="","",B39-D39),"")</f>
        <v/>
      </c>
      <c r="G39" s="62">
        <f>IFERROR(IF(E39="","",'3-Year P&amp;L'!$D$40-'3-Year P&amp;L'!$D$45+'3-Year P&amp;L'!$D$35+'3-Year P&amp;L'!$D$36),"")</f>
        <v/>
      </c>
      <c r="H39" s="62">
        <f>IFERROR(IF(OR(E39="",E39=0),"",G39/E39),"")</f>
        <v/>
      </c>
    </row>
    <row r="40">
      <c r="A40" s="41" t="n">
        <v>14</v>
      </c>
      <c r="B40" s="62">
        <f>IFERROR(IF(OR(14&gt;B22,F39=""),"",F39),"")</f>
        <v/>
      </c>
      <c r="C40" s="62">
        <f>IFERROR(IF(OR(14&gt;B22,B40=""),"",B40*B21),"")</f>
        <v/>
      </c>
      <c r="D40" s="62">
        <f>IFERROR(IF(OR(14&gt;B22,B40=""),"",IF(14&lt;=B23,0,MIN(B40,B24-C40))),"")</f>
        <v/>
      </c>
      <c r="E40" s="62">
        <f>IFERROR(IF(C40="","",C40+D40),"")</f>
        <v/>
      </c>
      <c r="F40" s="62">
        <f>IFERROR(IF(D40="","",B40-D40),"")</f>
        <v/>
      </c>
      <c r="G40" s="62">
        <f>IFERROR(IF(E40="","",'3-Year P&amp;L'!$D$40-'3-Year P&amp;L'!$D$45+'3-Year P&amp;L'!$D$35+'3-Year P&amp;L'!$D$36),"")</f>
        <v/>
      </c>
      <c r="H40" s="62">
        <f>IFERROR(IF(OR(E40="",E40=0),"",G40/E40),"")</f>
        <v/>
      </c>
    </row>
    <row r="41">
      <c r="A41" s="41" t="n">
        <v>15</v>
      </c>
      <c r="B41" s="62">
        <f>IFERROR(IF(OR(15&gt;B22,F40=""),"",F40),"")</f>
        <v/>
      </c>
      <c r="C41" s="62">
        <f>IFERROR(IF(OR(15&gt;B22,B41=""),"",B41*B21),"")</f>
        <v/>
      </c>
      <c r="D41" s="62">
        <f>IFERROR(IF(OR(15&gt;B22,B41=""),"",IF(15&lt;=B23,0,MIN(B41,B24-C41))),"")</f>
        <v/>
      </c>
      <c r="E41" s="62">
        <f>IFERROR(IF(C41="","",C41+D41),"")</f>
        <v/>
      </c>
      <c r="F41" s="62">
        <f>IFERROR(IF(D41="","",B41-D41),"")</f>
        <v/>
      </c>
      <c r="G41" s="62">
        <f>IFERROR(IF(E41="","",'3-Year P&amp;L'!$D$40-'3-Year P&amp;L'!$D$45+'3-Year P&amp;L'!$D$35+'3-Year P&amp;L'!$D$36),"")</f>
        <v/>
      </c>
      <c r="H41" s="62">
        <f>IFERROR(IF(OR(E41="",E41=0),"",G41/E41),"")</f>
        <v/>
      </c>
    </row>
    <row r="42">
      <c r="A42" s="29" t="inlineStr">
        <is>
          <t>Schedule closing tolerance</t>
        </is>
      </c>
      <c r="B42" s="70" t="n">
        <v>0.01</v>
      </c>
      <c r="C42" s="29" t="inlineStr">
        <is>
          <t>Rounding margin. Above it, the schedule does not close and there is principal left unpaid</t>
        </is>
      </c>
      <c r="D42" s="29" t="n"/>
      <c r="E42" s="29" t="n"/>
      <c r="F42" s="29" t="n"/>
      <c r="G42" s="29" t="n"/>
      <c r="H42" s="29" t="n"/>
    </row>
    <row r="43">
      <c r="A43" s="29" t="inlineStr">
        <is>
          <t>Balance outstanding at maturity</t>
        </is>
      </c>
      <c r="B43" s="62">
        <f>IFERROR(IF(B20="","",ROUND(B20-SUM(D27:D41),2)),"")</f>
        <v>0.0</v>
      </c>
      <c r="C43" s="29" t="inlineStr">
        <is>
          <t>Must be zero: the principal repaid in the schedule has to equal the amount borrowed. If it is positive, the term falls short</t>
        </is>
      </c>
      <c r="D43" s="29" t="n"/>
      <c r="E43" s="29" t="n"/>
      <c r="F43" s="29" t="n"/>
      <c r="G43" s="29" t="n"/>
      <c r="H43" s="29" t="n"/>
    </row>
    <row r="44">
      <c r="A44" s="29" t="inlineStr">
        <is>
          <t>Year-1 interest</t>
        </is>
      </c>
      <c r="B44" s="41">
        <f>IFERROR(IF(B20="","",IF(C27="",0,C27)),"")</f>
        <v>36900.0</v>
      </c>
      <c r="C44" s="29" t="n"/>
      <c r="D44" s="29" t="n"/>
      <c r="E44" s="29" t="n"/>
      <c r="F44" s="29" t="n"/>
      <c r="G44" s="29" t="n"/>
      <c r="H44" s="29" t="n"/>
    </row>
    <row r="45">
      <c r="A45" s="29" t="inlineStr">
        <is>
          <t>Year-1 principal repaid</t>
        </is>
      </c>
      <c r="B45" s="41">
        <f>IFERROR(IF(B20="","",IF(D27="",0,D27)),"")</f>
        <v>23153.05071164675</v>
      </c>
      <c r="C45" s="29" t="n"/>
      <c r="D45" s="29" t="n"/>
      <c r="E45" s="29" t="n"/>
      <c r="F45" s="29" t="n"/>
      <c r="G45" s="29" t="n"/>
      <c r="H45" s="29" t="n"/>
    </row>
    <row r="46">
      <c r="A46" s="29" t="inlineStr">
        <is>
          <t>Year-2 interest</t>
        </is>
      </c>
      <c r="B46" s="41">
        <f>IFERROR(IF(B20="","",IF(C28="",0,C28)),"")</f>
        <v>34584.69492883533</v>
      </c>
      <c r="C46" s="29" t="n"/>
      <c r="D46" s="29" t="n"/>
      <c r="E46" s="29" t="n"/>
      <c r="F46" s="29" t="n"/>
      <c r="G46" s="29" t="n"/>
      <c r="H46" s="29" t="n"/>
    </row>
    <row r="47">
      <c r="A47" s="29" t="inlineStr">
        <is>
          <t>Year-2 principal repaid</t>
        </is>
      </c>
      <c r="B47" s="41">
        <f>IFERROR(IF(B20="","",IF(D28="",0,D28)),"")</f>
        <v>25468.35578281142</v>
      </c>
      <c r="C47" s="29" t="n"/>
      <c r="D47" s="29" t="n"/>
      <c r="E47" s="29" t="n"/>
      <c r="F47" s="29" t="n"/>
      <c r="G47" s="29" t="n"/>
      <c r="H47" s="29" t="n"/>
    </row>
    <row r="48">
      <c r="A48" s="29" t="inlineStr">
        <is>
          <t>Year-3 interest</t>
        </is>
      </c>
      <c r="B48" s="41">
        <f>IFERROR(IF(B20="","",IF(C29="",0,C29)),"")</f>
        <v>32037.859350554187</v>
      </c>
      <c r="C48" s="29" t="n"/>
      <c r="D48" s="29" t="n"/>
      <c r="E48" s="29" t="n"/>
      <c r="F48" s="29" t="n"/>
      <c r="G48" s="29" t="n"/>
      <c r="H48" s="29" t="n"/>
    </row>
    <row r="49">
      <c r="A49" s="29" t="inlineStr">
        <is>
          <t>Year-3 principal repaid</t>
        </is>
      </c>
      <c r="B49" s="41">
        <f>IFERROR(IF(B20="","",IF(D29="",0,D29)),"")</f>
        <v>28015.191361092562</v>
      </c>
      <c r="C49" s="29" t="n"/>
      <c r="D49" s="29" t="n"/>
      <c r="E49" s="29" t="n"/>
      <c r="F49" s="29" t="n"/>
      <c r="G49" s="29" t="n"/>
      <c r="H49" s="29" t="n"/>
    </row>
    <row r="50">
      <c r="A50" s="26" t="inlineStr">
        <is>
          <t>DEBT SERVICE COVERAGE RATIO (DSCR)</t>
        </is>
      </c>
      <c r="B50" s="29" t="n"/>
      <c r="C50" s="29" t="n"/>
      <c r="D50" s="29" t="n"/>
      <c r="E50" s="29" t="n"/>
      <c r="F50" s="29" t="n"/>
      <c r="G50" s="29" t="n"/>
      <c r="H50" s="29" t="n"/>
    </row>
    <row r="51">
      <c r="A51" s="29" t="inlineStr">
        <is>
          <t>Year-1 DSCR</t>
        </is>
      </c>
      <c r="B51" s="62">
        <f>IFERROR(('3-Year P&amp;L'!$B$40-'3-Year P&amp;L'!$B$45+'3-Year P&amp;L'!$B$35+B44)/(B44+B45),"")</f>
        <v>2.4388998866134766</v>
      </c>
      <c r="C51" s="29" t="inlineStr">
        <is>
          <t>An INTEREST-ONLY year, if there is one: with only interest in the denominator the ratio shoots up and does not measure the business</t>
        </is>
      </c>
      <c r="D51" s="29" t="n"/>
      <c r="E51" s="29" t="n"/>
      <c r="F51" s="29" t="n"/>
      <c r="G51" s="29" t="n"/>
      <c r="H51" s="29" t="n"/>
    </row>
    <row r="52">
      <c r="A52" s="29" t="inlineStr">
        <is>
          <t>Year-2 DSCR</t>
        </is>
      </c>
      <c r="B52" s="62">
        <f>IFERROR(('3-Year P&amp;L'!$C$40-'3-Year P&amp;L'!$C$45+'3-Year P&amp;L'!$C$35+B46)/(B46+B47),"")</f>
        <v>3.5600298780853517</v>
      </c>
      <c r="C52" s="29" t="n"/>
      <c r="D52" s="29" t="n"/>
      <c r="E52" s="29" t="n"/>
      <c r="F52" s="29" t="n"/>
      <c r="G52" s="29" t="n"/>
      <c r="H52" s="29" t="n"/>
    </row>
    <row r="53">
      <c r="A53" s="29" t="inlineStr">
        <is>
          <t>Year-3 DSCR</t>
        </is>
      </c>
      <c r="B53" s="62">
        <f>IFERROR(('3-Year P&amp;L'!$D$40-'3-Year P&amp;L'!$D$45+'3-Year P&amp;L'!$D$35+B48)/(B48+B49),"")</f>
        <v>4.398865470257195</v>
      </c>
      <c r="C53" s="29" t="n"/>
      <c r="D53" s="29" t="n"/>
      <c r="E53" s="29" t="n"/>
      <c r="F53" s="29" t="n"/>
      <c r="G53" s="29" t="n"/>
      <c r="H53" s="29" t="n"/>
    </row>
    <row r="54">
      <c r="A54" s="26" t="inlineStr">
        <is>
          <t>Minimum DSCR across the whole schedule</t>
        </is>
      </c>
      <c r="B54" s="55">
        <f>IFERROR(IF(COUNT(H27:H41)=0,"",MIN(H27:H41)),"")</f>
        <v>2.4388998866134766</v>
      </c>
      <c r="C54" s="26"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9" t="n"/>
      <c r="E54" s="29" t="n"/>
      <c r="F54" s="29" t="n"/>
      <c r="G54" s="29" t="n"/>
      <c r="H54" s="29" t="n"/>
    </row>
    <row r="55">
      <c r="A55" s="29" t="n"/>
      <c r="B55" s="29" t="n"/>
      <c r="C55" s="29" t="n"/>
      <c r="D55" s="29" t="n"/>
      <c r="E55" s="29" t="n"/>
      <c r="F55" s="29" t="n"/>
      <c r="G55" s="29" t="n"/>
      <c r="H55" s="29" t="n"/>
    </row>
    <row r="56" ht="165" customHeight="1">
      <c r="A56" s="48"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Bar Financial Projections: 3-Year P&amp;L, Cash Flow &amp; Financing · Bar Business Plan Kit</dc:title>
  <dc:description xmlns:dc="http://purl.org/dc/elements/1.1/">aichef.pro/en/digital-products/bar-business-plan</dc:description>
  <dc:subject xmlns:dc="http://purl.org/dc/elements/1.1/">Bar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2026-10-11T11:29:25Z</dcterms:modified>
  <cp:lastModifiedBy>AI Chef Pro</cp:lastModifiedBy>
  <cp:category>AI Chef Pro · Digital products</cp:category>
  <cp:keywords>bar business plan, bar business plan template, how to open a bar, bar startup costs, liquor license, AI Chef Pro</cp:keywords>
</cp:coreProperties>
</file>