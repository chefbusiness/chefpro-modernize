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Invitados por evento (media del año 1)</t>
        </is>
      </c>
      <c r="B4" s="18" t="n">
        <v>80</v>
      </c>
      <c r="C4" t="inlineStr">
        <is>
          <t>Invitados de media por evento en el año 1. Sale de la mezcla de cuatro tipos de evento de la tabla de referencias de la hoja de Instrucciones: bodas de 110, eventos de empresa de 70, celebraciones privadas de 40 y fiestas o ferias de 300</t>
        </is>
      </c>
    </row>
    <row r="5">
      <c r="A5" t="inlineStr">
        <is>
          <t>Precio medio por invitado SIN IVA (€)</t>
        </is>
      </c>
      <c r="B5" s="63" t="n">
        <v>25</v>
      </c>
      <c r="C5" t="inlineStr">
        <is>
          <t>SIN IVA, por invitado. Media ponderada de la misma mezcla: 42 € la boda (entrantes, tres o cuatro cortes con vacuno madurado, guarniciones y postre a la brasa), 31 € el evento de empresa, 25 € la celebración privada y 10 € la chuletada o costillada de una fiesta. Por eso la media baja: no es el precio de una boda. El precio con IVA (10 % en un servicio de comidas) está en la fila «PVP equivalente con IVA» de abajo</t>
        </is>
      </c>
    </row>
    <row r="6">
      <c r="A6" t="inlineStr">
        <is>
          <t>Eventos al año</t>
        </is>
      </c>
      <c r="B6" s="18" t="n">
        <v>95</v>
      </c>
      <c r="C6" t="inlineStr">
        <is>
          <t>Eventos servidos en el año: 12 bodas, 30 de empresa (comidas, team building, show cooking y Navidad), 45 celebraciones privadas (cumpleaños, comuniones, peñas, urbanizaciones) y 8 fiestas o ferias por encargo. Es el MISMO dato para la cuenta de resultados, el punto de equilibrio, los escenarios y las horas de personal</t>
        </is>
      </c>
    </row>
    <row r="7">
      <c r="A7" t="inlineStr">
        <is>
          <t>Crecimiento de volumen del año 2</t>
        </is>
      </c>
      <c r="B7" s="64" t="n">
        <v>0.08</v>
      </c>
      <c r="C7" t="inlineStr">
        <is>
          <t>Más volumen el segundo año: empresas que repiten, bodas que llegan por recomendación y planners que ya te conocen. El libro lo aplica a los invitados por evento con los mismos eventos; en euros da lo mismo que hacer más eventos del mismo tamaño</t>
        </is>
      </c>
    </row>
    <row r="8">
      <c r="A8" t="inlineStr">
        <is>
          <t>Crecimiento de volumen del año 3</t>
        </is>
      </c>
      <c r="B8" s="64" t="n">
        <v>0.05</v>
      </c>
      <c r="C8" t="inlineStr">
        <is>
          <t>Sobre el año 2. Conservador: el techo lo ponen los fines de semana de temporada y un solo parrillero titular</t>
        </is>
      </c>
    </row>
    <row r="9">
      <c r="A9" t="inlineStr">
        <is>
          <t>PVP equivalente con IVA (calculado)</t>
        </is>
      </c>
      <c r="B9" s="65">
        <f>IFERROR(IF($B$5="","",$B$5*(1+SUMPRODUCT('PyG 3 Años'!$E$10:$E$11,'PyG 3 Años'!$G$10:$G$11))),"")</f>
        <v>27.5099</v>
      </c>
      <c r="C9" t="str">
        <f>IFERROR("Precio por invitado sin IVA más el IVA medio ponderado de tus líneas de venta: "&amp;TEXT(SUMPRODUCT('PyG 3 Años'!$E$10:$E$11,'PyG 3 Años'!$G$10:$G$11)*100,"0")&amp;" %. En el servicio de parrilla todo va al 10 % (art. 91.Uno.2.2.º de la Ley 37/1992, alcohol incluido); el alcohol que sale en el asado para llevar mueve la media. Aquí va redondeado. Compáralo con el rango del sector, que va con IVA.","")</f>
        <v>Precio por invitado sin IVA más el IVA medio ponderado de tus líneas de venta: 10 %. En el servicio de parrilla todo va al 10 % (art. 91.Uno.2.2.º de la Ley 37/1992, alcohol incluido); el alcohol que sale en el asado para llevar mueve la media. Aquí va redondeado. Compáralo con el rango del sector, que va con IVA.</v>
      </c>
    </row>
    <row r="10">
      <c r="A10" s="16" t="inlineStr">
        <is>
          <t>MIX Y COSTE DE MERCANCÍA</t>
        </is>
      </c>
    </row>
    <row r="11">
      <c r="A11" t="inlineStr">
        <is>
          <t>Ventas de COMIDA sobre el total</t>
        </is>
      </c>
      <c r="B11" s="64" t="n">
        <v>0.88</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0.12</v>
      </c>
      <c r="C12" t="inlineStr">
        <is>
          <t>Se calcula como el resto: comida + bebida = 100 %</t>
        </is>
      </c>
    </row>
    <row r="13">
      <c r="A13" t="inlineStr">
        <is>
          <t>Coste de mercancía sobre las ventas de COMIDA</t>
        </is>
      </c>
      <c r="B13" s="64" t="n">
        <v>0.32</v>
      </c>
      <c r="C13" t="inlineStr">
        <is>
          <t>Materia prima de la comida sobre las ventas de comida: carne (350-450 g crudos por invitado con entrantes), achuras y embutido, verdura, pan, salsas y postre. El escandallo de la mezcla sale al 29,8 %; el plan suma dos puntos por la volatilidad del vacuno y las compras de seguridad. Escandalla cada evento con la calculadora de este kit</t>
        </is>
      </c>
    </row>
    <row r="14">
      <c r="A14" t="inlineStr">
        <is>
          <t>Coste de mercancía sobre las ventas de BEBIDA</t>
        </is>
      </c>
      <c r="B14" s="64" t="n">
        <v>0.3</v>
      </c>
      <c r="C14" t="inlineStr">
        <is>
          <t>Bebida sobre las ventas de bebida: cerveza, refrescos, agua y vino del pack. Si el cliente pone la bebida, esta línea baja</t>
        </is>
      </c>
    </row>
    <row r="15">
      <c r="A15" t="inlineStr">
        <is>
          <t>Consumibles sobre ventas</t>
        </is>
      </c>
      <c r="B15" s="64" t="n">
        <v>0.045</v>
      </c>
      <c r="C15" t="inlineStr">
        <is>
          <t>Carbón, leña, pastillas de encendido, gas del plan B, papel de aluminio, desechables compostables y hielo: algo más de 1 € por invitado. Se gastan 0,7-1 kg de carbón por kg de carne cruda, y el carbón cuesta de 1,3 a 2 € el kilo</t>
        </is>
      </c>
    </row>
    <row r="16">
      <c r="A16" t="inlineStr">
        <is>
          <t>Ventas de asado para llevar (sin servicio) sobre el total</t>
        </is>
      </c>
      <c r="B16" s="64" t="n">
        <v>0.05</v>
      </c>
      <c r="C16" t="inlineStr">
        <is>
          <t>Parte de las ventas que se entrega SIN servicio: asado para llevar en bandejas (cordero, cochinillo, costillar), sin parrillero en el evento. Es entrega de bienes: la comida va al 10 % y el alcohol y los refrescos, zumos y gaseosas con azúcares o edulcorantes añadidos, al 21 % (art. 91.Uno.1.1.º de la Ley 37/1992); el libro lo aplica al alcohol de esta parte</t>
        </is>
      </c>
    </row>
    <row r="17">
      <c r="A17" t="inlineStr">
        <is>
          <t>Comisión de la plataforma de pedidos</t>
        </is>
      </c>
      <c r="B17" s="64" t="n">
        <v>0.1</v>
      </c>
      <c r="C17" t="inlineStr">
        <is>
          <t>Comisión media de la parte del asado para llevar que entra por plataformas de pedidos o intermediarios. Si todos los pedidos los vendes tú, pon 0</t>
        </is>
      </c>
    </row>
    <row r="18">
      <c r="A18" t="inlineStr">
        <is>
          <t>Comisión de los medios de pago</t>
        </is>
      </c>
      <c r="B18" s="64" t="n">
        <v>0.005</v>
      </c>
      <c r="C18" t="inlineStr">
        <is>
          <t>Casi todo se cobra por transferencia (señales y facturas de empresas y ayuntamientos); el datáfono queda para los cobros del día del evento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COCINA DE APOYO Y FIJOS</t>
        </is>
      </c>
    </row>
    <row r="24">
      <c r="A24" t="inlineStr">
        <is>
          <t>Cuota mensual de la cocina de apoyo (€)</t>
        </is>
      </c>
      <c r="B24" s="23" t="n">
        <v>1000</v>
      </c>
      <c r="C24" t="inlineStr">
        <is>
          <t>Cuota de una cocina de apoyo compartida y autorizada: unas 30 horas al mes de marinados, salmueras y porcionado, cámara para la carne y almacén de parrillas, carbón y remolque. La carne se asa en el evento, pero lo que se prepara antes no se puede hacer en casa (art. 13.5.b del RD 1021/2022). No hay tarifa pública: pide dos presupuestos en tu zona</t>
        </is>
      </c>
    </row>
    <row r="25">
      <c r="A25" t="inlineStr">
        <is>
          <t>Fianza de la cocina de apoyo (meses)</t>
        </is>
      </c>
      <c r="B25" s="18" t="n">
        <v>2</v>
      </c>
      <c r="C25" t="inlineStr">
        <is>
          <t>Dos cuotas de fianza, lo habitual en un contrato de uso de cocina compartida</t>
        </is>
      </c>
    </row>
    <row r="26">
      <c r="A26" t="inlineStr">
        <is>
          <t>Suministros mensuales (consumos propios fuera de la cuota) (€)</t>
        </is>
      </c>
      <c r="B26" s="23" t="n">
        <v>50</v>
      </c>
      <c r="C26" t="inlineStr">
        <is>
          <t>Consumos propios fuera de la cuota de la cocina (datos móviles, luz del almacén). El carbón y el gas van en los consumibles, porque suben y bajan con los eventos</t>
        </is>
      </c>
    </row>
    <row r="27">
      <c r="A27" t="inlineStr">
        <is>
          <t>Seguros (€/año)</t>
        </is>
      </c>
      <c r="B27" s="23" t="n">
        <v>1950</v>
      </c>
      <c r="C27" t="inlineStr">
        <is>
          <t>Responsabilidad civil de explotación con incendio (brasas y chispas sobre carpas, césped y pavimento) y de producto con intoxicación alimentaria de al menos 600.000 € (unos 750 €); seguro de la furgoneta de uso comercial (900 €), del remolque (150 €) y de los equipos que salen a cada evento (150 €). La cancelación por una prohibición de fuego no se asegura: va en la cláusula de fuerza mayor del contrato, con el plan B de gas</t>
        </is>
      </c>
    </row>
    <row r="28">
      <c r="A28" t="inlineStr">
        <is>
          <t>Varios e imprevistos sobre ventas</t>
        </is>
      </c>
      <c r="B28" s="64" t="n">
        <v>0.05</v>
      </c>
      <c r="C28" t="inlineStr">
        <is>
          <t>Combustible de la furgoneta y del remolque (2 puntos), imprevistos (1,5 puntos) y el canon que algunas fincas y wedding planners cobran al proveedor externo (1,5 puntos). Es variable: sube y baja con los eventos</t>
        </is>
      </c>
    </row>
    <row r="29">
      <c r="A29" s="16" t="inlineStr">
        <is>
          <t>FINANCIACIÓN</t>
        </is>
      </c>
    </row>
    <row r="30">
      <c r="A30" t="inlineStr">
        <is>
          <t>Recursos propios aportados (€)</t>
        </is>
      </c>
      <c r="B30" s="23" t="n">
        <v>22000</v>
      </c>
      <c r="C30" t="inlineStr">
        <is>
          <t>Aportación del socio. Un banco pide entre el 25 y el 30 % de la necesidad de caja con dinero propio</t>
        </is>
      </c>
    </row>
    <row r="31">
      <c r="A31" t="inlineStr">
        <is>
          <t>Préstamo bancario solicitado (€)</t>
        </is>
      </c>
      <c r="B31" s="23" t="n">
        <v>65400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0.065</v>
      </c>
      <c r="C32" t="inlineStr">
        <is>
          <t>Tipo nominal anual de un préstamo de empresa sin garantía inmobiliaria. Pide oferta a dos entidades y a una línea ICO o ENISA antes de fijarlo</t>
        </is>
      </c>
    </row>
    <row r="33">
      <c r="A33" t="inlineStr">
        <is>
          <t>Plazo del préstamo (años)</t>
        </is>
      </c>
      <c r="B33" s="18" t="n">
        <v>6</v>
      </c>
      <c r="C33" t="inlineStr">
        <is>
          <t>Años totales, carencia incluida: el plazo de vida de la furgoneta y del equipo</t>
        </is>
      </c>
    </row>
    <row r="34">
      <c r="A34" t="inlineStr">
        <is>
          <t>Carencia de principal (años)</t>
        </is>
      </c>
      <c r="B34" s="18" t="n">
        <v>1</v>
      </c>
      <c r="C34" t="inlineStr">
        <is>
          <t>El primer año sólo intereses: es cuando la caja está más tensa, con la agenda de bodas y empresas aún por llenar. Desde el segundo año se devuelve el principal: mira la holgura de caja de ese año en el Punto de Equilibrio</t>
        </is>
      </c>
    </row>
    <row r="35">
      <c r="A35" t="inlineStr">
        <is>
          <t>Fondo de maniobra (meses de costes fijos)</t>
        </is>
      </c>
      <c r="B35" s="18" t="n">
        <v>3</v>
      </c>
      <c r="C35" t="inlineStr">
        <is>
          <t>Tres meses de costes fijos: cubren el invierno (enero, febrero y noviembre son los meses más bajos del año) y los 30 días que tardan en pagar empresas y ayuntamientos</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el alcohol que sale por asado para llevar (es una entrega de bienes). El alcohol servido en el servicio de parrilla va al reducido: su tipo está en el bloque de desglose del IVA. Suministros, equipamiento y servicios tienen su tipo en la celda de abajo. El libro manda al general sólo el alcohol: si compras refrescos, zumos y gaseosas con azúcares o edulcorantes añadidos, su factura también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la furgoneta y su rotulación (años)</t>
        </is>
      </c>
      <c r="B44" s="18" t="n">
        <v>8</v>
      </c>
      <c r="C44" t="inlineStr">
        <is>
          <t>La furgoneta frigorífica y su rotulación se amortizan en ocho años, el 12,5 % anual, por debajo del 16 % máximo para elementos de transporte de la tabla del art. 12.1 de la Ley del Impuesto sobre Sociedades. Confírmalo con tu asesor</t>
        </is>
      </c>
    </row>
    <row r="45">
      <c r="A45" t="inlineStr">
        <is>
          <t>Vida útil de maquinaria y mobiliario (años)</t>
        </is>
      </c>
      <c r="B45" s="18" t="n">
        <v>10</v>
      </c>
      <c r="C45" t="inlineStr">
        <is>
          <t>Remolque-parrilla, parrillas, cruces, ahumador, plan B de gas, equipos de frío, carpa, utensilios y equipos informáticos: el coeficiente máximo de la tabla del art. 12.1 de la Ley del Impuesto sobre Sociedades es del 12 % para maquinaria y del 10 % para mobiliario</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CAPACIDAD</t>
        </is>
      </c>
    </row>
    <row r="50"/>
    <row r="51">
      <c r="A51" t="inlineStr">
        <is>
          <t>Capacidad máxima por evento (invitados)</t>
        </is>
      </c>
      <c r="B51" s="18" t="n">
        <v>350</v>
      </c>
      <c r="C51" t="inlineStr">
        <is>
          <t>DATO INFORMATIVO: no entra en ningún cálculo. Es el evento más grande que puedes servir con dos parrilleros, el remolque-parrilla, las dos parrillas móviles, los dos auxiliares y un tercero de tu bolsa de fijos discontinuos o de una ETT</t>
        </is>
      </c>
    </row>
    <row r="52">
      <c r="A52" t="inlineStr">
        <is>
          <t>Actividad del mes 1 sobre la de crucero</t>
        </is>
      </c>
      <c r="B52" s="64" t="n">
        <v>0.55</v>
      </c>
      <c r="C52" t="inlineStr">
        <is>
          <t>Un negocio de parrilla para eventos que arranca factura poco el primer mes: las bodas se reservan con meses de antelación y las empresas tardan en repetir. Con 100 % se elimina la rampa</t>
        </is>
      </c>
    </row>
    <row r="53">
      <c r="A53" t="inlineStr">
        <is>
          <t>Meses hasta alcanzar el régimen de crucero</t>
        </is>
      </c>
      <c r="B53" s="18" t="n">
        <v>6</v>
      </c>
      <c r="C53" t="inlineStr">
        <is>
          <t>Seis meses hasta el ritmo de crucero: una temporada de bodas y eventos de empresa</t>
        </is>
      </c>
    </row>
    <row r="54">
      <c r="A54" t="inlineStr">
        <is>
          <t>Meses de cuota de la cocina de apoyo ANTES del primer evento</t>
        </is>
      </c>
      <c r="B54" s="18" t="n">
        <v>1</v>
      </c>
      <c r="C54" t="inlineStr">
        <is>
          <t>Un mes de cuota para montar el almacén, probar los marinados y hacer las primeras degustaciones antes de facturar</t>
        </is>
      </c>
    </row>
    <row r="55">
      <c r="A55" t="inlineStr">
        <is>
          <t>Imprevistos sobre la compra y la preparación de la furgoneta (%)</t>
        </is>
      </c>
      <c r="B55" s="64" t="n">
        <v>0.08</v>
      </c>
      <c r="C55" t="inlineStr">
        <is>
          <t>Se calcula sobre la furgoneta y su rotulación: es donde aparecen las sorpresas (revisión del equipo de frío o del certificado ATP, anclajes de las botellas de gas y del carbón)</t>
        </is>
      </c>
    </row>
    <row r="56"/>
    <row r="57">
      <c r="A57" s="16" t="inlineStr">
        <is>
          <t>COBROS, PAGOS Y DESGLOSE DEL IVA</t>
        </is>
      </c>
    </row>
    <row r="58">
      <c r="A58" t="inlineStr">
        <is>
          <t>Días medios de cobro</t>
        </is>
      </c>
      <c r="B58" s="18" t="n">
        <v>15</v>
      </c>
      <c r="C58" t="inlineStr">
        <is>
          <t>Media ponderada: los particulares pagan el 30 % de señal al firmar, el 40 % siete días antes y el 30 % en las 48 horas siguientes al evento (contratos del kit); las empresas, a 30 días de la factura, y los ayuntamientos, a 30 días desde la conformidad (art. 198.4 de la Ley 9/2017). Empresas y fiestas son el 47 % de las ventas. El libro no admite días negativos, así que las señales no se modelan: tu caja real será algo MEJOR que la de la hoja de Tesorería</t>
        </is>
      </c>
    </row>
    <row r="59">
      <c r="A59" t="inlineStr">
        <is>
          <t>Días medios de pago a proveedor</t>
        </is>
      </c>
      <c r="B59" s="18" t="n">
        <v>15</v>
      </c>
      <c r="C59" t="inlineStr">
        <is>
          <t>Plazo de pago a proveedores: la carne fresca se paga a plazo corto (el carnicero, a 7-15 días); el carbón y los desechables, a 30 días</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64" t="n">
        <v>0.6</v>
      </c>
      <c r="C62" t="inlineStr">
        <is>
          <t>Parte ALCOHÓLICA de la bebida (cerveza y vino del pack). Reparte el IVA que soportas al comprarla (21 % el alcohol) y el que repercutes en el asado para llevar</t>
        </is>
      </c>
    </row>
    <row r="63">
      <c r="A63" t="inlineStr">
        <is>
          <t>IVA de la bebida ALCOHÓLICA servida en el evento</t>
        </is>
      </c>
      <c r="B63" s="64" t="n">
        <v>0.1</v>
      </c>
      <c r="C63" t="inlineStr">
        <is>
          <t>10 %: el art. 91.Uno.2.2.º de la Ley 37/1992 grava al tipo reducido el «suministro de comidas y bebidas para consumir en el acto», sin excluir el alcohol, y un servicio de parrilla en directo lo es. El libro aplica el 21 % sólo al alcohol del asado para llevar, que no se sirve</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3" t="n">
        <v>0</v>
      </c>
      <c r="C68" t="inlineStr">
        <is>
          <t>El servicio de comidas para eventos está dentro del convenio de hostelería (art. 4 del V Acuerdo Laboral de ámbito Estatal para el sector de Hostelería):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51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6 B25 B35 B54"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30" customHeight="1">
      <c r="A1" s="38" t="inlineStr">
        <is>
          <t>PLAN DE NEGOCIO: PARRILLERO / ASADOR PARA EVENTOS</t>
        </is>
      </c>
    </row>
    <row r="2">
      <c r="A2" s="2" t="inlineStr">
        <is>
          <t>Inversión inicial estimada — parrilla y asado en directo para eventos</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IFERROR(IF(COUNT(B7:B23)=0,"",SUM(B7:B23)),"")</f>
        <v>54596.0</v>
      </c>
      <c r="C6" s="67">
        <f>IFERROR(B6/$B$26,"")</f>
        <v>0.7134687681647298</v>
      </c>
      <c r="D6" s="28" t="n"/>
      <c r="E6" s="28" t="n"/>
    </row>
    <row r="7">
      <c r="A7" s="28" t="inlineStr">
        <is>
          <t>Furgoneta frigorífica usada con certificado ATP</t>
        </is>
      </c>
      <c r="B7" s="29" t="n">
        <v>20000</v>
      </c>
      <c r="C7" s="68">
        <f>IFERROR(B7/$B$26,"")</f>
        <v>0.2613630185965015</v>
      </c>
      <c r="D7" s="28" t="inlineStr">
        <is>
          <t>Furgoneta usada con caja frigorífica y certificado ATP vigente (RD 237/2000) para llevar la carne a 7 °C o menos. Estimación del kit (18.000-21.950 € en el mercado de ocasión)</t>
        </is>
      </c>
      <c r="E7" s="31" t="inlineStr">
        <is>
          <t>Sí</t>
        </is>
      </c>
    </row>
    <row r="8">
      <c r="A8" s="28" t="inlineStr">
        <is>
          <t>Rotulación, estanterías y anclajes</t>
        </is>
      </c>
      <c r="B8" s="29" t="n">
        <v>1200</v>
      </c>
      <c r="C8" s="68">
        <f>IFERROR(B8/$B$26,"")</f>
        <v>0.01568178111579009</v>
      </c>
      <c r="D8" s="28" t="inlineStr">
        <is>
          <t>Rotulación con la marca, estanterías con amarres y anclajes para llevar en pie y sujetas las botellas de gas y los sacos de carbón</t>
        </is>
      </c>
      <c r="E8" s="31" t="inlineStr">
        <is>
          <t>Sí</t>
        </is>
      </c>
    </row>
    <row r="9">
      <c r="A9" s="28" t="inlineStr">
        <is>
          <t>Remolque-parrilla homologado con cruz</t>
        </is>
      </c>
      <c r="B9" s="29" t="n">
        <v>7000</v>
      </c>
      <c r="C9" s="68">
        <f>IFERROR(B9/$B$26,"")</f>
        <v>0.09147705650877552</v>
      </c>
      <c r="D9" s="28" t="inlineStr">
        <is>
          <t>Remolque de hasta 750 kg con parrilla y soporte de cruz: la pieza de las bodas y las fiestas. Estimación del kit (6.000-9.000 €); no hay precio público de referencia</t>
        </is>
      </c>
      <c r="E9" s="31" t="inlineStr">
        <is>
          <t>Sí</t>
        </is>
      </c>
    </row>
    <row r="10">
      <c r="A10" s="28" t="inlineStr">
        <is>
          <t>Parrillas móviles inox de 120 cm y brasero</t>
        </is>
      </c>
      <c r="B10" s="29" t="n">
        <v>3200</v>
      </c>
      <c r="C10" s="68">
        <f>IFERROR(B10/$B$26,"")</f>
        <v>0.04181808297544024</v>
      </c>
      <c r="D10" s="28" t="inlineStr">
        <is>
          <t>Dos parrillas móviles de carbón y leña de 120 cm (cada una sirve 60-80 invitados en dos o tres tandas) y un brasero para tener brasa de reserva</t>
        </is>
      </c>
      <c r="E10" s="31" t="inlineStr">
        <is>
          <t>Sí</t>
        </is>
      </c>
    </row>
    <row r="11">
      <c r="A11" s="28" t="inlineStr">
        <is>
          <t>Cruces, kit de costillar y ahumador pequeño</t>
        </is>
      </c>
      <c r="B11" s="29" t="n">
        <v>1800</v>
      </c>
      <c r="C11" s="68">
        <f>IFERROR(B11/$B$26,"")</f>
        <v>0.023522671673685134</v>
      </c>
      <c r="D11" s="28" t="inlineStr">
        <is>
          <t>Cuatro cruces para cordero o cochinillo, el kit de costillar y un ahumador offset pequeño para el BBQ texano</t>
        </is>
      </c>
      <c r="E11" s="31" t="inlineStr">
        <is>
          <t>Sí</t>
        </is>
      </c>
    </row>
    <row r="12">
      <c r="A12" s="28" t="inlineStr">
        <is>
          <t>Plan B de gas y seguridad contra incendios</t>
        </is>
      </c>
      <c r="B12" s="29" t="n">
        <v>2200</v>
      </c>
      <c r="C12" s="68">
        <f>IFERROR(B12/$B$26,"")</f>
        <v>0.028749932045615167</v>
      </c>
      <c r="D12" s="28" t="inlineStr">
        <is>
          <t>Plancha o parrilla de piedra volcánica de gas con sus botellas y reguladores (una botella de menos de 15 kg por aparato), tres extintores ABC y uno de CO2, mantas ignífugas, contenedor metálico de cenizas y EPI térmicos</t>
        </is>
      </c>
      <c r="E12" s="31" t="inlineStr">
        <is>
          <t>Sí</t>
        </is>
      </c>
    </row>
    <row r="13">
      <c r="A13" s="28" t="inlineStr">
        <is>
          <t>Frío: armario refrigerado portátil, isotermos, acumuladores y sondas</t>
        </is>
      </c>
      <c r="B13" s="29" t="n">
        <v>1800</v>
      </c>
      <c r="C13" s="68">
        <f>IFERROR(B13/$B$26,"")</f>
        <v>0.023522671673685134</v>
      </c>
      <c r="D13" s="28" t="inlineStr">
        <is>
          <t>Cadena de frío de la carne desde la cocina de apoyo hasta el evento, y sondas para las temperaturas del APPCC</t>
        </is>
      </c>
      <c r="E13" s="31" t="inlineStr">
        <is>
          <t>Sí</t>
        </is>
      </c>
    </row>
    <row r="14">
      <c r="A14" s="28" t="inlineStr">
        <is>
          <t>Carpa, mesas, lavamanos portátil y protector de césped</t>
        </is>
      </c>
      <c r="B14" s="29" t="n">
        <v>1800</v>
      </c>
      <c r="C14" s="68">
        <f>IFERROR(B14/$B$26,"")</f>
        <v>0.023522671673685134</v>
      </c>
      <c r="D14" s="28" t="inlineStr">
        <is>
          <t>Zona de parrilla bajo carpa (a 3 m o más de la parrilla), mesa de corte y de servicio, lavamanos para el personal y protector del césped o del pavimento</t>
        </is>
      </c>
      <c r="E14" s="31" t="inlineStr">
        <is>
          <t>Sí</t>
        </is>
      </c>
    </row>
    <row r="15">
      <c r="A15" s="28" t="inlineStr">
        <is>
          <t>Cuchillería, tablas de colores, básculas, GN y uniformes</t>
        </is>
      </c>
      <c r="B15" s="29" t="n">
        <v>1900</v>
      </c>
      <c r="C15" s="68">
        <f>IFERROR(B15/$B$26,"")</f>
        <v>0.024829486766667644</v>
      </c>
      <c r="D15" s="28" t="inlineStr">
        <is>
          <t>Cuchillos de deshuese y de trinchar, tablas por colores, básculas, cubetas GN y uniformes de la plantilla</t>
        </is>
      </c>
      <c r="E15" s="31" t="inlineStr">
        <is>
          <t>Sí</t>
        </is>
      </c>
    </row>
    <row r="16">
      <c r="A16" s="28" t="inlineStr">
        <is>
          <t>Marca, web, fotos, dossier y lanzamiento</t>
        </is>
      </c>
      <c r="B16" s="29" t="n">
        <v>4500</v>
      </c>
      <c r="C16" s="68">
        <f>IFERROR(B16/$B$26,"")</f>
        <v>0.05880667918421284</v>
      </c>
      <c r="D16" s="28" t="inlineStr">
        <is>
          <t>Identidad, web con formulario de presupuesto, sesión de fotos y vídeo de la brasa, dossier para bodas y empresas, y degustaciones de lanzamiento</t>
        </is>
      </c>
      <c r="E16" s="31" t="inlineStr">
        <is>
          <t>Sí</t>
        </is>
      </c>
    </row>
    <row r="17">
      <c r="A17" s="28" t="inlineStr">
        <is>
          <t>Software, tablet y datáfono</t>
        </is>
      </c>
      <c r="B17" s="29" t="n">
        <v>800</v>
      </c>
      <c r="C17" s="68">
        <f>IFERROR(B17/$B$26,"")</f>
        <v>0.01045452074386006</v>
      </c>
      <c r="D17" s="28" t="inlineStr">
        <is>
          <t>Presupuestos, agenda y facturación conforme a Veri*factu</t>
        </is>
      </c>
      <c r="E17" s="31" t="inlineStr">
        <is>
          <t>Sí</t>
        </is>
      </c>
    </row>
    <row r="18">
      <c r="A18" s="28" t="inlineStr">
        <is>
          <t>Constitución SL + notaría + registro</t>
        </is>
      </c>
      <c r="B18" s="29" t="n">
        <v>1000</v>
      </c>
      <c r="C18" s="68">
        <f>IFERROR(B18/$B$26,"")</f>
        <v>0.013068150929825075</v>
      </c>
      <c r="D18" s="28" t="inlineStr">
        <is>
          <t>SL unipersonal. Las tasas y el arancel del Registro no llevan IVA; los honorarios del notario y de la gestoría sí: cambia la columna de al lado a «Sí» si tu presupuesto es sobre todo de honorarios</t>
        </is>
      </c>
      <c r="E18" s="31" t="inlineStr">
        <is>
          <t>No</t>
        </is>
      </c>
    </row>
    <row r="19">
      <c r="A19" s="28" t="inlineStr">
        <is>
          <t>Declaración responsable, plan APPCC, alérgenos y formación</t>
        </is>
      </c>
      <c r="B19" s="29" t="n">
        <v>1200</v>
      </c>
      <c r="C19" s="68">
        <f>IFERROR(B19/$B$26,"")</f>
        <v>0.01568178111579009</v>
      </c>
      <c r="D19" s="28" t="inlineStr">
        <is>
          <t>Redacción del plan APPCC, fichas de alérgenos de cada menú, formación en higiene alimentaria del equipo y trámites sanitarios</t>
        </is>
      </c>
      <c r="E19" s="31" t="inlineStr">
        <is>
          <t>Sí</t>
        </is>
      </c>
    </row>
    <row r="20">
      <c r="A20" s="28" t="inlineStr">
        <is>
          <t>Stock inicial de producto</t>
        </is>
      </c>
      <c r="B20" s="29" t="n">
        <v>1500</v>
      </c>
      <c r="C20" s="68">
        <f>IFERROR(B20/$B$26,"")</f>
        <v>0.019602226394737614</v>
      </c>
      <c r="D20" s="28" t="inlineStr">
        <is>
          <t>Primer pedido de carbón y leña, especias, salsas, desechables compostables y la primera carga de gas</t>
        </is>
      </c>
      <c r="E20" s="31" t="inlineStr">
        <is>
          <t>Sí</t>
        </is>
      </c>
    </row>
    <row r="21">
      <c r="A21" s="28" t="inlineStr">
        <is>
          <t>Fianza de la cocina de apoyo</t>
        </is>
      </c>
      <c r="B21" s="32">
        <f>IFERROR(IF('0. Supuestos'!$B$24="","",'0. Supuestos'!$B$24*'0. Supuestos'!$B$25),"")</f>
        <v>2000.0</v>
      </c>
      <c r="C21" s="68">
        <f>IFERROR(B21/$B$26,"")</f>
        <v>0.02613630185965015</v>
      </c>
      <c r="D21" s="28" t="str">
        <f>IFERROR(""&amp;TEXT('0. Supuestos'!$B$25,"0")&amp;" meses de renta, al tipo de la hoja de Supuestos. Es un activo recuperable al cerrar: ni se amortiza ni lleva IVA","")</f>
        <v>2 meses de renta, al tipo de la hoja de Supuestos. Es un activo recuperable al cerrar: ni se amortiza ni lleva IVA</v>
      </c>
      <c r="E21" s="28" t="inlineStr">
        <is>
          <t>No</t>
        </is>
      </c>
    </row>
    <row r="22">
      <c r="A22" s="28" t="inlineStr">
        <is>
          <t>Cuota de la cocina de apoyo de los meses previos al arranque</t>
        </is>
      </c>
      <c r="B22" s="32">
        <f>IFERROR(IF('0. Supuestos'!$B$24="","",'0. Supuestos'!$B$24*'0. Supuestos'!$B$54),"")</f>
        <v>1000.0</v>
      </c>
      <c r="C22" s="68">
        <f>IFERROR(B22/$B$26,"")</f>
        <v>0.013068150929825075</v>
      </c>
      <c r="D22" s="28" t="str">
        <f>IFERROR("Renta "&amp;IF('0. Supuestos'!$B$54=1,"del mes","de los "&amp;TEXT('0. Supuestos'!$B$54,"0")&amp;" meses")&amp;" de puesta en marcha (pruebas de menú y degustaciones). NO se solapa con el P&amp;L, que arranca el día de la apertura: los doce meses del P&amp;L son los doce de explotación","")</f>
        <v>Renta del mes de puesta en marcha (pruebas de menú y degustaciones). NO se solapa con el P&amp;L, que arranca el día de la apertura: los doce meses del P&amp;L son los doce de explotación</v>
      </c>
      <c r="E22" s="28" t="inlineStr">
        <is>
          <t>Sí</t>
        </is>
      </c>
    </row>
    <row r="23">
      <c r="A23" s="28" t="inlineStr">
        <is>
          <t>Imprevistos de la compra y preparación de la furgoneta</t>
        </is>
      </c>
      <c r="B23" s="32">
        <f>IFERROR(IF(COUNT(B7,B8)=0,"",ROUND((B7+B8)*'0. Supuestos'!$B$55,0)),"")</f>
        <v>1696.0</v>
      </c>
      <c r="C23" s="68">
        <f>IFERROR(B23/$B$26,"")</f>
        <v>0.022163583976983328</v>
      </c>
      <c r="D23" s="28" t="str">
        <f>IFERROR("Al "&amp;TEXT('0. Supuestos'!$B$55,"0%")&amp;" de las partidas de la furgoneta de este bloque (Furgoneta frigorífica usada con certificado ATP y Rotulación, estanterías y anclajes), no del bloque entero: el resto de partidas del bloque quedan fuera. Un banco no financia una compra así "&amp;"sin colchón: el porcentaje está en la hoja de Supuestos","")</f>
        <v>Al 8% de las partidas de la furgoneta de este bloque (Furgoneta frigorífica usada con certificado ATP y Rotulación, estanterías y anclajes), no del bloque entero: el resto de partidas del bloque quedan fuera. Un banco no financia una compra así sin colchón: el porcentaje está en la hoja de Supuestos</v>
      </c>
      <c r="E23" s="28" t="inlineStr">
        <is>
          <t>Sí</t>
        </is>
      </c>
    </row>
    <row r="24">
      <c r="A24" s="25" t="inlineStr">
        <is>
          <t>FONDO DE MANIOBRA</t>
        </is>
      </c>
      <c r="B24" s="26">
        <f>IFERROR(IF(B25="","",B25),"")</f>
        <v>21925.92</v>
      </c>
      <c r="C24" s="67">
        <f>IFERROR(B24/$B$26,"")</f>
        <v>0.2865312318352702</v>
      </c>
      <c r="D24" s="28" t="n"/>
      <c r="E24" s="28" t="n"/>
    </row>
    <row r="25">
      <c r="A25" s="28" t="inlineStr">
        <is>
          <t>Colchón operativo hasta alcanzar el equilibrio</t>
        </is>
      </c>
      <c r="B25" s="32">
        <f>IFERROR(IF('0. Supuestos'!$B$35*('PyG 3 Años'!$B$38-'PyG 3 Años'!$B$36)=0,"",'0. Supuestos'!$B$35*('PyG 3 Años'!$B$38-'PyG 3 Años'!$B$36)/12),"")</f>
        <v>21925.92</v>
      </c>
      <c r="C25" s="68">
        <f>IFERROR(B25/$B$26,"")</f>
        <v>0.2865312318352702</v>
      </c>
      <c r="D25"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5" s="28" t="inlineStr">
        <is>
          <t>No</t>
        </is>
      </c>
    </row>
    <row r="26">
      <c r="A26" s="25" t="inlineStr">
        <is>
          <t>INVERSIÓN TOTAL (suma de los bloques)</t>
        </is>
      </c>
      <c r="B26" s="26">
        <f>IFERROR(B6+B24,"")</f>
        <v>76521.92</v>
      </c>
      <c r="C26" s="28" t="n"/>
      <c r="D26" s="25" t="str">
        <f>IFERROR("Los porcentajes de la columna C se leen sobre esta cifra, que incluye el fondo de maniobra ("&amp;TEXT(C24,"0%")&amp;" del total). Para comparar el desglose con otro plan, usa la fila de CAPEX de abajo.","")</f>
        <v>Los porcentajes de la columna C se leen sobre esta cifra, que incluye el fondo de maniobra (29% del total). Para comparar el desglose con otro plan, usa la fila de CAPEX de abajo.</v>
      </c>
      <c r="E26" s="28" t="n"/>
    </row>
    <row r="27">
      <c r="A27" s="25" t="inlineStr">
        <is>
          <t>CAPEX (inversión sin el fondo de maniobra)</t>
        </is>
      </c>
      <c r="B27" s="26">
        <f>IFERROR(B26-B24,"")</f>
        <v>54596.0</v>
      </c>
      <c r="C27" s="28" t="n"/>
      <c r="D27" s="25" t="inlineStr">
        <is>
          <t>Es lo que se compra: furgoneta, equipamiento, lanzamiento y gastos de constitución. El colchón de caja no es inversión, es circulante</t>
        </is>
      </c>
      <c r="E27" s="28" t="n"/>
    </row>
    <row r="28">
      <c r="A28" s="28" t="inlineStr">
        <is>
          <t>IVA soportado sobre la inversión (recuperable)</t>
        </is>
      </c>
      <c r="B28" s="32">
        <f>IFERROR(IF(B26="","",SUMIF($E$7:$E$23,"Sí",$B$7:$B$23)*'0. Supuestos'!$B$41),"")</f>
        <v>10835.16</v>
      </c>
      <c r="C28" s="28" t="n"/>
      <c r="D28"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28" s="28" t="n"/>
    </row>
    <row r="29">
      <c r="A29" s="25" t="inlineStr">
        <is>
          <t>NECESIDAD TOTAL DE CAJA AL ARRANQUE</t>
        </is>
      </c>
      <c r="B29" s="26">
        <f>IFERROR(B26+B28,"")</f>
        <v>87357.08</v>
      </c>
      <c r="C29" s="28" t="n"/>
      <c r="D29" s="25" t="inlineStr">
        <is>
          <t>Es la cifra que tiene que cubrir la hoja de Financiación</t>
        </is>
      </c>
      <c r="E29" s="28" t="n"/>
    </row>
    <row r="30">
      <c r="A30" s="25" t="inlineStr">
        <is>
          <t>BASES DE AMORTIZACIÓN (no suman a la inversión)</t>
        </is>
      </c>
      <c r="B30" s="28" t="n"/>
      <c r="C30" s="28" t="n"/>
      <c r="D30" s="28" t="n"/>
      <c r="E30" s="28" t="n"/>
    </row>
    <row r="31">
      <c r="A31" s="28" t="inlineStr">
        <is>
          <t>Furgoneta, rotulación e imprevistos</t>
        </is>
      </c>
      <c r="B31" s="32">
        <f>IFERROR(IF(B7="","",B7+B8+B23),"")</f>
        <v>22896.0</v>
      </c>
      <c r="C31" s="28" t="n"/>
      <c r="D31" s="28" t="str">
        <f>IFERROR("Se amortiza en "&amp;TEXT('0. Supuestos'!$B$44,"0")&amp;" años","")</f>
        <v>Se amortiza en 8 años</v>
      </c>
      <c r="E31" s="28" t="n"/>
    </row>
    <row r="32">
      <c r="A32" s="28" t="inlineStr">
        <is>
          <t>Maquinaria, mobiliario y equipos</t>
        </is>
      </c>
      <c r="B32" s="32">
        <f>IFERROR(IF(B9="","",B9+B10+B11+B12+B13+B14+B15+B17),"")</f>
        <v>20500.0</v>
      </c>
      <c r="C32" s="28" t="n"/>
      <c r="D32" s="28" t="str">
        <f>IFERROR("Se amortiza en "&amp;TEXT('0. Supuestos'!$B$45,"0")&amp;" años","")</f>
        <v>Se amortiza en 10 años</v>
      </c>
      <c r="E32" s="28" t="n"/>
    </row>
    <row r="33">
      <c r="A33" s="25" t="inlineStr">
        <is>
          <t>Amortización anual del inmovilizado</t>
        </is>
      </c>
      <c r="B33" s="26">
        <f>IFERROR(B31/MAX(1,'0. Supuestos'!$B$44)+B32/MAX(1,'0. Supuestos'!$B$45),"")</f>
        <v>4912.0</v>
      </c>
      <c r="C33" s="28" t="n"/>
      <c r="D33" s="25" t="str">
        <f>IFERROR("No se amortizan, por no ser inmovilizado, Marca, web, fotos, dossier y lanzamiento, Constitución SL + notaría + registro, Declaración responsable, plan APPCC, alérgenos y formación, Stock inicial de producto, Fianza de la cocina de apoyo, "&amp;"Cuota de la cocina de apoyo de los meses previos al arranque ni Colchón operativo hasta alcanzar el equilibrio. Suman "&amp;TEXT(B26-B31-B32,"0")&amp;" € de los "&amp;TEXT(B26,"0")&amp;" € de inversión.","")</f>
        <v>No se amortizan, por no ser inmovilizado, Marca, web, fotos, dossier y lanzamiento, Constitución SL + notaría + registro, Declaración responsable, plan APPCC, alérgenos y formación, Stock inicial de producto, Fianza de la cocina de apoyo, Cuota de la cocina de apoyo de los meses previos al arranque ni Colchón operativo hasta alcanzar el equilibrio. Suman 33126 € de los 76522 € de inversión.</v>
      </c>
      <c r="E33"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CUENTA DE RESULTADOS PREVISIONAL — 3 AÑOS</t>
        </is>
      </c>
    </row>
    <row r="2">
      <c r="A2" s="3" t="inlineStr">
        <is>
          <t>Escenario realista — parrillero / asador para eventos</t>
        </is>
      </c>
    </row>
    <row r="3"/>
    <row r="4">
      <c r="A4" s="39" t="inlineStr">
        <is>
          <t>Concepto</t>
        </is>
      </c>
      <c r="B4" s="39" t="inlineStr">
        <is>
          <t>Año 1</t>
        </is>
      </c>
      <c r="C4" s="39" t="inlineStr">
        <is>
          <t>Año 2</t>
        </is>
      </c>
      <c r="D4" s="39" t="inlineStr">
        <is>
          <t>Año 3</t>
        </is>
      </c>
      <c r="E4" s="39" t="inlineStr">
        <is>
          <t>% s/ventas (año 1)</t>
        </is>
      </c>
      <c r="F4" s="39" t="inlineStr">
        <is>
          <t>Notas</t>
        </is>
      </c>
      <c r="G4" s="39" t="inlineStr">
        <is>
          <t>Tipo de IVA de la línea (%)</t>
        </is>
      </c>
      <c r="H4" s="28" t="n"/>
    </row>
    <row r="5">
      <c r="A5" s="25" t="inlineStr">
        <is>
          <t>INGRESOS</t>
        </is>
      </c>
      <c r="B5" s="28" t="n"/>
      <c r="C5" s="28" t="n"/>
      <c r="D5" s="28" t="n"/>
      <c r="E5" s="28" t="n"/>
      <c r="F5" s="28" t="n"/>
      <c r="G5" s="28" t="n"/>
      <c r="H5" s="28" t="n"/>
    </row>
    <row r="6">
      <c r="A6" s="28" t="inlineStr">
        <is>
          <t>Invitados por evento (media)</t>
        </is>
      </c>
      <c r="B6" s="40">
        <f>IFERROR(IF('0. Supuestos'!$B$4="","",'0. Supuestos'!$B$4),"")</f>
        <v>80.0</v>
      </c>
      <c r="C6" s="40">
        <f>IFERROR(B6*(1+'0. Supuestos'!$B$7),"")</f>
        <v>86.4</v>
      </c>
      <c r="D6" s="40">
        <f>IFERROR(C6*(1+'0. Supuestos'!$B$8),"")</f>
        <v>90.72000000000001</v>
      </c>
      <c r="E6" s="28" t="n"/>
      <c r="F6" s="28" t="inlineStr">
        <is>
          <t>El crecimiento de los años 2 y 3 está en la hoja de Supuestos</t>
        </is>
      </c>
      <c r="G6" s="28" t="n"/>
      <c r="H6" s="28" t="n"/>
    </row>
    <row r="7">
      <c r="A7" s="28" t="inlineStr">
        <is>
          <t>Precio medio por invitado sin IVA</t>
        </is>
      </c>
      <c r="B7" s="70">
        <f>IFERROR(IF('0. Supuestos'!$B$5="","",'0. Supuestos'!$B$5),"")</f>
        <v>25.0</v>
      </c>
      <c r="C7" s="70">
        <f>IFERROR(IF(B7="","",B7),"")</f>
        <v>25.0</v>
      </c>
      <c r="D7" s="70">
        <f>IFERROR(IF(C7="","",C7),"")</f>
        <v>25.0</v>
      </c>
      <c r="E7" s="28" t="n"/>
      <c r="F7" s="28" t="inlineStr">
        <is>
          <t>Constante en euros del año 1: una subida de precios es una decisión aparte</t>
        </is>
      </c>
      <c r="G7" s="28" t="n"/>
      <c r="H7" s="28" t="n"/>
    </row>
    <row r="8">
      <c r="A8" s="28" t="inlineStr">
        <is>
          <t>Eventos al año</t>
        </is>
      </c>
      <c r="B8" s="40">
        <f>IFERROR(IF('0. Supuestos'!$B$6="","",'0. Supuestos'!$B$6),"")</f>
        <v>95.0</v>
      </c>
      <c r="C8" s="40">
        <f>IFERROR(IF(B8="","",B8),"")</f>
        <v>95.0</v>
      </c>
      <c r="D8" s="40">
        <f>IFERROR(IF(C8="","",C8),"")</f>
        <v>95.0</v>
      </c>
      <c r="E8" s="28" t="n"/>
      <c r="F8" s="28" t="n"/>
      <c r="G8" s="28" t="n"/>
      <c r="H8" s="28" t="n"/>
    </row>
    <row r="9">
      <c r="A9" s="25" t="inlineStr">
        <is>
          <t>INGRESOS TOTALES (sin IVA)</t>
        </is>
      </c>
      <c r="B9" s="26">
        <f>IFERROR(IF(B6*B7*B8=0,"",B6*B7*B8),"")</f>
        <v>190000.0</v>
      </c>
      <c r="C9" s="26">
        <f>IFERROR(IF(C6*C7*C8=0,"",C6*C7*C8),"")</f>
        <v>205200.0</v>
      </c>
      <c r="D9" s="26">
        <f>IFERROR(IF(D6*D7*D8=0,"",D6*D7*D8),"")</f>
        <v>215460.00000000003</v>
      </c>
      <c r="E9" s="67">
        <f>IFERROR(IF(B9="","",1),"")</f>
        <v>1.0</v>
      </c>
      <c r="F9" s="28" t="n"/>
      <c r="G9" s="28" t="n"/>
      <c r="H9" s="28" t="n"/>
    </row>
    <row r="10">
      <c r="A10" s="28" t="inlineStr">
        <is>
          <t>Ventas de comida (parrilla y asado en directo, entrantes y postre)</t>
        </is>
      </c>
      <c r="B10" s="32">
        <f>IFERROR(IF(B9="","",B9*$E$10),"")</f>
        <v>167200.0</v>
      </c>
      <c r="C10" s="32">
        <f>IFERROR(IF(C9="","",C9*$E$10),"")</f>
        <v>180576.0</v>
      </c>
      <c r="D10" s="32">
        <f>IFERROR(IF(D9="","",D9*$E$10),"")</f>
        <v>189604.80000000002</v>
      </c>
      <c r="E10" s="68">
        <f>IFERROR(IF('0. Supuestos'!$B$11="","",'0. Supuestos'!$B$11),"")</f>
        <v>0.88</v>
      </c>
      <c r="F10" s="28" t="inlineStr">
        <is>
          <t>Carne a la brasa cocinada en el evento, con show de fuego cuando se contrata, entrantes, guarniciones, pan, salsas y postre. Las fiestas son chuletada o costillada por invitado</t>
        </is>
      </c>
      <c r="G10" s="68">
        <f>IFERROR(IF(B9="","",'0. Supuestos'!$B$39),"")</f>
        <v>0.1</v>
      </c>
      <c r="H10" s="28" t="n"/>
    </row>
    <row r="11">
      <c r="A11" s="28" t="inlineStr">
        <is>
          <t>Ventas de bebida (pack de cerveza, refrescos y vino)</t>
        </is>
      </c>
      <c r="B11" s="32">
        <f>IFERROR(IF(B9="","",B9*$E$11),"")</f>
        <v>22800.0</v>
      </c>
      <c r="C11" s="32">
        <f>IFERROR(IF(C9="","",C9*$E$11),"")</f>
        <v>24624.0</v>
      </c>
      <c r="D11" s="32">
        <f>IFERROR(IF(D9="","",D9*$E$11),"")</f>
        <v>25855.2</v>
      </c>
      <c r="E11" s="68">
        <f>IFERROR(IF('0. Supuestos'!$B$12="","",'0. Supuestos'!$B$12),"")</f>
        <v>0.12</v>
      </c>
      <c r="F11" s="28" t="inlineStr">
        <is>
          <t>Pack de bebida que contratan sobre todo las celebraciones privadas y las empresas; en las bodas y en las fiestas la bebida suele ponerla el cliente o el recinto</t>
        </is>
      </c>
      <c r="G11" s="68">
        <f>IFERROR(IF(B9="","",('0. Supuestos'!$B$62*((1-'0. Supuestos'!$B$16)*'0. Supuestos'!$B$63+'0. Supuestos'!$B$16*'0. Supuestos'!$B$40)+(1-'0. Supuestos'!$B$62)*'0. Supuestos'!$B$39)),"")</f>
        <v>0.1033</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53504.0</v>
      </c>
      <c r="C13" s="32">
        <f>IFERROR(IF(C9="","",C9*'0. Supuestos'!$B$11*'0. Supuestos'!$B$13),"")</f>
        <v>57784.32</v>
      </c>
      <c r="D13" s="32">
        <f>IFERROR(IF(D9="","",D9*'0. Supuestos'!$B$11*'0. Supuestos'!$B$13),"")</f>
        <v>60673.53600000001</v>
      </c>
      <c r="E13" s="68">
        <f>IFERROR(B13/$B$9,"")</f>
        <v>0.2816</v>
      </c>
      <c r="F13" s="28" t="str">
        <f>IFERROR("Al "&amp;TEXT('0. Supuestos'!$B$13,"0%")&amp;" de las ventas de COMIDA, no del total: la bebida tiene su propia línea","")</f>
        <v>Al 32% de las ventas de COMIDA, no del total: la bebida tiene su propia línea</v>
      </c>
      <c r="G13" s="68">
        <f>IFERROR(IF(B9="","",'0. Supuestos'!$B$39),"")</f>
        <v>0.1</v>
      </c>
      <c r="H13" s="28" t="n"/>
    </row>
    <row r="14">
      <c r="A14" s="28" t="inlineStr">
        <is>
          <t>Coste de mercancía — bebida</t>
        </is>
      </c>
      <c r="B14" s="32">
        <f>IFERROR(IF(B9="","",B9*'0. Supuestos'!$B$12*'0. Supuestos'!$B$14),"")</f>
        <v>6840.0</v>
      </c>
      <c r="C14" s="32">
        <f>IFERROR(IF(C9="","",C9*'0. Supuestos'!$B$12*'0. Supuestos'!$B$14),"")</f>
        <v>7387.2</v>
      </c>
      <c r="D14" s="32">
        <f>IFERROR(IF(D9="","",D9*'0. Supuestos'!$B$12*'0. Supuestos'!$B$14),"")</f>
        <v>7756.5599999999995</v>
      </c>
      <c r="E14" s="68">
        <f>IFERROR(B14/$B$9,"")</f>
        <v>0.036</v>
      </c>
      <c r="F14" s="28" t="str">
        <f>IFERROR("Al "&amp;TEXT('0. Supuestos'!$B$14,"0%")&amp;" de las ventas de BEBIDA","")</f>
        <v>Al 30% de las ventas de BEBIDA</v>
      </c>
      <c r="G14" s="68">
        <f>IFERROR(IF(B9="","",('0. Supuestos'!$B$62*'0. Supuestos'!$B$40+(1-'0. Supuestos'!$B$62)*'0. Supuestos'!$B$39)),"")</f>
        <v>0.166</v>
      </c>
      <c r="H14" s="28" t="n"/>
    </row>
    <row r="15">
      <c r="A15" s="28" t="inlineStr">
        <is>
          <t>Consumibles y envases</t>
        </is>
      </c>
      <c r="B15" s="32">
        <f>IFERROR(IF(B9="","",B9*'0. Supuestos'!$B$15),"")</f>
        <v>8550.0</v>
      </c>
      <c r="C15" s="32">
        <f>IFERROR(IF(C9="","",C9*'0. Supuestos'!$B$15),"")</f>
        <v>9234.0</v>
      </c>
      <c r="D15" s="32">
        <f>IFERROR(IF(D9="","",D9*'0. Supuestos'!$B$15),"")</f>
        <v>9695.7</v>
      </c>
      <c r="E15" s="68">
        <f>IFERROR(B15/$B$9,"")</f>
        <v>0.045</v>
      </c>
      <c r="F15" s="28" t="n"/>
      <c r="G15" s="68">
        <f>IFERROR(IF(B9="","",'0. Supuestos'!$B$41),"")</f>
        <v>0.21</v>
      </c>
      <c r="H15" s="28" t="n"/>
    </row>
    <row r="16">
      <c r="A16" s="28" t="inlineStr">
        <is>
          <t>Comisiones del asado para llevar</t>
        </is>
      </c>
      <c r="B16" s="32">
        <f>IFERROR(IF(B9="","",B9*'0. Supuestos'!$B$16*'0. Supuestos'!$B$17),"")</f>
        <v>950.0</v>
      </c>
      <c r="C16" s="32">
        <f>IFERROR(IF(C9="","",C9*'0. Supuestos'!$B$16*'0. Supuestos'!$B$17),"")</f>
        <v>1026.0</v>
      </c>
      <c r="D16" s="32">
        <f>IFERROR(IF(D9="","",D9*'0. Supuestos'!$B$16*'0. Supuestos'!$B$17),"")</f>
        <v>1077.3000000000002</v>
      </c>
      <c r="E16" s="68">
        <f>IFERROR(B16/$B$9,"")</f>
        <v>0.005</v>
      </c>
      <c r="F16" s="28" t="inlineStr">
        <is>
          <t>Sobre las ventas DEL CANAL. Con 0 % de asado para llevar en Supuestos, esta línea vale cero</t>
        </is>
      </c>
      <c r="G16" s="68">
        <f>IFERROR(IF(B9="","",'0. Supuestos'!$B$41),"")</f>
        <v>0.21</v>
      </c>
      <c r="H16" s="28" t="n"/>
    </row>
    <row r="17">
      <c r="A17" s="28" t="inlineStr">
        <is>
          <t>Comisiones de los medios de pago</t>
        </is>
      </c>
      <c r="B17" s="32">
        <f>IFERROR(IF(B9="","",B9*'0. Supuestos'!$B$18),"")</f>
        <v>950.0</v>
      </c>
      <c r="C17" s="32">
        <f>IFERROR(IF(C9="","",C9*'0. Supuestos'!$B$18),"")</f>
        <v>1026.0</v>
      </c>
      <c r="D17" s="32">
        <f>IFERROR(IF(D9="","",D9*'0. Supuestos'!$B$18),"")</f>
        <v>1077.3000000000002</v>
      </c>
      <c r="E17" s="68">
        <f>IFERROR(B17/$B$9,"")</f>
        <v>0.005</v>
      </c>
      <c r="F17" s="28" t="inlineStr">
        <is>
          <t>Las comisiones de los medios de pago están EXENTAS de IVA (art. 20.Uno.18 LIVA): no se deduce nada por ellas</t>
        </is>
      </c>
      <c r="G17" s="68" t="n">
        <v>0</v>
      </c>
      <c r="H17" s="28" t="n"/>
    </row>
    <row r="18">
      <c r="A18" s="28" t="inlineStr">
        <is>
          <t>Varios e imprevistos</t>
        </is>
      </c>
      <c r="B18" s="32">
        <f>IFERROR(IF(B9="","",B9*'0. Supuestos'!$B$28),"")</f>
        <v>9500.0</v>
      </c>
      <c r="C18" s="32">
        <f>IFERROR(IF(C9="","",C9*'0. Supuestos'!$B$28),"")</f>
        <v>10260.0</v>
      </c>
      <c r="D18" s="32">
        <f>IFERROR(IF(D9="","",D9*'0. Supuestos'!$B$28),"")</f>
        <v>10773.000000000002</v>
      </c>
      <c r="E18" s="68">
        <f>IFERROR(B18/$B$9,"")</f>
        <v>0.05</v>
      </c>
      <c r="F18" s="28" t="str">
        <f>IFERROR("Al "&amp;TEXT('0. Supuestos'!$B$28,"0%")&amp;" de las ventas. Es un coste VARIABLE: sube y baja con la facturación, así que no puede vivir en los costes fijos","")</f>
        <v>Al 5% de las ventas. Es un coste VARIABLE: sube y baja con la facturación, así que no puede vivir en los costes fijos</v>
      </c>
      <c r="G18" s="68">
        <f>IFERROR(IF(B9="","",'0. Supuestos'!$B$41),"")</f>
        <v>0.21</v>
      </c>
      <c r="H18" s="28" t="n"/>
    </row>
    <row r="19">
      <c r="A19" s="25" t="inlineStr">
        <is>
          <t>TOTAL COSTES VARIABLES</t>
        </is>
      </c>
      <c r="B19" s="26">
        <f>IFERROR(IF(B9="","",SUM(B13:B18)),"")</f>
        <v>80294.0</v>
      </c>
      <c r="C19" s="26">
        <f>IFERROR(IF(C9="","",SUM(C13:C18)),"")</f>
        <v>86717.52</v>
      </c>
      <c r="D19" s="26">
        <f>IFERROR(IF(D9="","",SUM(D13:D18)),"")</f>
        <v>91053.39600000001</v>
      </c>
      <c r="E19" s="67">
        <f>IFERROR(B19/$B$9,"")</f>
        <v>0.4226</v>
      </c>
      <c r="F19" s="28" t="n"/>
      <c r="G19" s="28" t="n"/>
      <c r="H19" s="28" t="n"/>
    </row>
    <row r="20">
      <c r="A20" s="25" t="inlineStr">
        <is>
          <t>MARGEN BRUTO</t>
        </is>
      </c>
      <c r="B20" s="26">
        <f>IFERROR(IF(B9="","",B9-B19),"")</f>
        <v>109706.0</v>
      </c>
      <c r="C20" s="26">
        <f>IFERROR(IF(C9="","",C9-C19),"")</f>
        <v>118482.48</v>
      </c>
      <c r="D20" s="26">
        <f>IFERROR(IF(D9="","",D9-D19),"")</f>
        <v>124406.60400000002</v>
      </c>
      <c r="E20" s="67">
        <f>IFERROR(B20/$B$9,"")</f>
        <v>0.5774</v>
      </c>
      <c r="F20" s="28" t="n"/>
      <c r="G20" s="28" t="n"/>
      <c r="H20" s="28" t="n"/>
    </row>
    <row r="21">
      <c r="A21" s="25" t="inlineStr">
        <is>
          <t>COSTES FIJOS</t>
        </is>
      </c>
      <c r="B21" s="28" t="n"/>
      <c r="C21" s="28" t="n"/>
      <c r="D21" s="28" t="n"/>
      <c r="E21" s="28" t="n"/>
      <c r="F21" s="28" t="n"/>
      <c r="G21" s="28" t="n"/>
      <c r="H21" s="28" t="n"/>
    </row>
    <row r="22">
      <c r="A22" s="28" t="inlineStr">
        <is>
          <t>Cuota de la cocina de apoyo compartida</t>
        </is>
      </c>
      <c r="B22" s="32">
        <f>IFERROR(IF(B9="","",'0. Supuestos'!$B$24*12),"")</f>
        <v>12000.0</v>
      </c>
      <c r="C22" s="32">
        <f>IFERROR(IF(C9="","",B22*(1+'0. Supuestos'!$B$48)),"")</f>
        <v>12000.0</v>
      </c>
      <c r="D22" s="32">
        <f>IFERROR(IF(D9="","",C22*(1+'0. Supuestos'!$B$48)),"")</f>
        <v>12000.0</v>
      </c>
      <c r="E22" s="68">
        <f>IFERROR(B22/$B$9,"")</f>
        <v>0.06315789473684211</v>
      </c>
      <c r="F22" s="28" t="inlineStr">
        <is>
          <t>El importe mensual está en la hoja de Supuestos; aquí se multiplica por doce. Es el contrato de uso de una cocina de apoyo compartida y autorizada (horas de cocina, cámara para la carne y almacén de parrillas, carbón y remolque). El mes previo al primer evento está en la hoja de Inversión y NO se cuenta dos veces</t>
        </is>
      </c>
      <c r="G22" s="68">
        <f>IFERROR(IF(B9="","",'0. Supuestos'!$B$41),"")</f>
        <v>0.21</v>
      </c>
      <c r="H22" s="28" t="n"/>
    </row>
    <row r="23">
      <c r="A23" s="28" t="inlineStr">
        <is>
          <t>Personal (nóminas + Seguridad Social)</t>
        </is>
      </c>
      <c r="B23" s="32">
        <f>IFERROR(IF(B9="","",'Personal'!$G$9),"")</f>
        <v>57982.68</v>
      </c>
      <c r="C23" s="32">
        <f>IFERROR(IF(C9="","",'Personal'!$B$13),"")</f>
        <v>63982.68</v>
      </c>
      <c r="D23" s="32">
        <f>IFERROR(IF(D9="","",'Personal'!$B$14),"")</f>
        <v>69982.68</v>
      </c>
      <c r="E23" s="68">
        <f>IFERROR(B23/$B$9,"")</f>
        <v>0.305172</v>
      </c>
      <c r="F23" s="28" t="inlineStr">
        <is>
          <t>Sale de la hoja de Personal: es el MISMO número, no una estimación aparte. Los años 2 y 3 suman las INCORPORACIONES declaradas en esa hoja, no un porcentaje de volumen</t>
        </is>
      </c>
      <c r="G23" s="68" t="n">
        <v>0</v>
      </c>
      <c r="H23" s="28" t="n"/>
    </row>
    <row r="24">
      <c r="A24" s="28" t="inlineStr">
        <is>
          <t>Suministros (consumos propios fuera de la cuota)</t>
        </is>
      </c>
      <c r="B24" s="32">
        <f>IFERROR(IF(B9="","",'0. Supuestos'!$B$26*12),"")</f>
        <v>600.0</v>
      </c>
      <c r="C24" s="32">
        <f>IFERROR(IF(C9="","",B24*(1+'0. Supuestos'!$B$48)),"")</f>
        <v>600.0</v>
      </c>
      <c r="D24" s="32">
        <f>IFERROR(IF(D9="","",C24*(1+'0. Supuestos'!$B$48)),"")</f>
        <v>600.0</v>
      </c>
      <c r="E24" s="68">
        <f>IFERROR(B24/$B$9,"")</f>
        <v>0.003157894736842105</v>
      </c>
      <c r="F24" s="28" t="inlineStr">
        <is>
          <t>Consumos propios fuera de la cuota de la cocina. El carbón y el gas del plan B van en los consumibles. Va al 21 % de IVA</t>
        </is>
      </c>
      <c r="G24" s="68">
        <f>IFERROR(IF(B9="","",'0. Supuestos'!$B$41),"")</f>
        <v>0.21</v>
      </c>
      <c r="H24" s="28" t="n"/>
    </row>
    <row r="25">
      <c r="A25" s="28" t="inlineStr">
        <is>
          <t>Seguros (RC + multirriesgo)</t>
        </is>
      </c>
      <c r="B25" s="32">
        <f>IFERROR(IF(B9="","",'0. Supuestos'!$B$27),"")</f>
        <v>1950.0</v>
      </c>
      <c r="C25" s="32">
        <f>IFERROR(IF(C9="","",B25*(1+'0. Supuestos'!$B$48)),"")</f>
        <v>1950.0</v>
      </c>
      <c r="D25" s="32">
        <f>IFERROR(IF(D9="","",C25*(1+'0. Supuestos'!$B$48)),"")</f>
        <v>1950.0</v>
      </c>
      <c r="E25" s="68">
        <f>IFERROR(B25/$B$9,"")</f>
        <v>0.010263157894736842</v>
      </c>
      <c r="F25" s="28" t="inlineStr">
        <is>
          <t>Las operaciones de seguro están EXENTAS de IVA (art. 20.Uno.16 LIVA): la prima no lleva IVA deducible</t>
        </is>
      </c>
      <c r="G25" s="68" t="n">
        <v>0</v>
      </c>
      <c r="H25" s="28" t="n"/>
    </row>
    <row r="26">
      <c r="A26" s="28" t="inlineStr">
        <is>
          <t>Asesoría fiscal y laboral (nóminas de fijos discontinuos)</t>
        </is>
      </c>
      <c r="B26" s="29" t="n">
        <v>1800</v>
      </c>
      <c r="C26" s="32">
        <f>IFERROR(IF(C9="","",B26*(1+'0. Supuestos'!$B$48)),"")</f>
        <v>1800.0</v>
      </c>
      <c r="D26" s="32">
        <f>IFERROR(IF(D9="","",C26*(1+'0. Supuestos'!$B$48)),"")</f>
        <v>1800.0</v>
      </c>
      <c r="E26" s="68">
        <f>IFERROR(B26/$B$9,"")</f>
        <v>0.009473684210526316</v>
      </c>
      <c r="F26" s="28" t="inlineStr">
        <is>
          <t>Contabilidad, impuestos de la SL y nóminas de los fijos discontinuos de cada mes con llamamientos</t>
        </is>
      </c>
      <c r="G26" s="68">
        <f>IFERROR(IF(B9="","",'0. Supuestos'!$B$41),"")</f>
        <v>0.21</v>
      </c>
      <c r="H26" s="28" t="n"/>
    </row>
    <row r="27">
      <c r="A27" s="28" t="inlineStr">
        <is>
          <t>Furgoneta y remolque: mantenimiento, ITV e inspección ATP</t>
        </is>
      </c>
      <c r="B27" s="29" t="n">
        <v>1400</v>
      </c>
      <c r="C27" s="32">
        <f>IFERROR(IF(C9="","",B27*(1+'0. Supuestos'!$B$48)),"")</f>
        <v>1400.0</v>
      </c>
      <c r="D27" s="32">
        <f>IFERROR(IF(D9="","",C27*(1+'0. Supuestos'!$B$48)),"")</f>
        <v>1400.0</v>
      </c>
      <c r="E27" s="68">
        <f>IFERROR(B27/$B$9,"")</f>
        <v>0.007368421052631579</v>
      </c>
      <c r="F27" s="28" t="inlineStr">
        <is>
          <t>Taller, neumáticos, ITV de la furgoneta y del remolque y la inspección periódica del certificado ATP del equipo de frío (RD 237/2000)</t>
        </is>
      </c>
      <c r="G27" s="68">
        <f>IFERROR(IF(B9="","",'0. Supuestos'!$B$41),"")</f>
        <v>0.21</v>
      </c>
      <c r="H27" s="28" t="n"/>
    </row>
    <row r="28">
      <c r="A28" s="28" t="inlineStr">
        <is>
          <t>Marketing y publicidad</t>
        </is>
      </c>
      <c r="B28" s="29" t="n">
        <v>4500</v>
      </c>
      <c r="C28" s="32">
        <f>IFERROR(IF(C9="","",B28*(1+'0. Supuestos'!$B$48)),"")</f>
        <v>4500.0</v>
      </c>
      <c r="D28" s="32">
        <f>IFERROR(IF(D9="","",C28*(1+'0. Supuestos'!$B$48)),"")</f>
        <v>4500.0</v>
      </c>
      <c r="E28" s="68">
        <f>IFERROR(B28/$B$9,"")</f>
        <v>0.02368421052631579</v>
      </c>
      <c r="F28" s="28" t="inlineStr">
        <is>
          <t>Directorios de bodas, Google Ads local, redes sociales y una feria al año</t>
        </is>
      </c>
      <c r="G28" s="68">
        <f>IFERROR(IF(B9="","",'0. Supuestos'!$B$41),"")</f>
        <v>0.21</v>
      </c>
      <c r="H28" s="28" t="n"/>
    </row>
    <row r="29">
      <c r="A29" s="28" t="inlineStr">
        <is>
          <t>Software de gestión comercial, CRM y teléfono</t>
        </is>
      </c>
      <c r="B29" s="29" t="n">
        <v>900</v>
      </c>
      <c r="C29" s="32">
        <f>IFERROR(IF(C9="","",B29*(1+'0. Supuestos'!$B$48)),"")</f>
        <v>900.0</v>
      </c>
      <c r="D29" s="32">
        <f>IFERROR(IF(D9="","",C29*(1+'0. Supuestos'!$B$48)),"")</f>
        <v>900.0</v>
      </c>
      <c r="E29" s="68">
        <f>IFERROR(B29/$B$9,"")</f>
        <v>0.004736842105263158</v>
      </c>
      <c r="F29" s="28" t="inlineStr">
        <is>
          <t>Presupuestos, agenda de eventos, CRM de clientes y línea de teléfono</t>
        </is>
      </c>
      <c r="G29" s="68">
        <f>IFERROR(IF(B9="","",'0. Supuestos'!$B$41),"")</f>
        <v>0.21</v>
      </c>
      <c r="H29" s="28" t="n"/>
    </row>
    <row r="30">
      <c r="A30" s="28" t="inlineStr">
        <is>
          <t>Mantenimiento de extintores y revisión del gas</t>
        </is>
      </c>
      <c r="B30" s="29" t="n">
        <v>170</v>
      </c>
      <c r="C30" s="32">
        <f>IFERROR(IF(C9="","",B30*(1+'0. Supuestos'!$B$48)),"")</f>
        <v>170.0</v>
      </c>
      <c r="D30" s="32">
        <f>IFERROR(IF(D9="","",C30*(1+'0. Supuestos'!$B$48)),"")</f>
        <v>170.0</v>
      </c>
      <c r="E30" s="68">
        <f>IFERROR(B30/$B$9,"")</f>
        <v>0.0008947368421052632</v>
      </c>
      <c r="F30" s="28" t="inlineStr">
        <is>
          <t>Mantenimiento anual de los extintores por una empresa mantenedora y revisión de reguladores y tubos flexibles del plan B de gas. Estimación del kit</t>
        </is>
      </c>
      <c r="G30" s="68">
        <f>IFERROR(IF(B9="","",'0. Supuestos'!$B$41),"")</f>
        <v>0.21</v>
      </c>
      <c r="H30" s="28" t="n"/>
    </row>
    <row r="31">
      <c r="A31" s="28" t="inlineStr">
        <is>
          <t>Uniformes, EPI y lavandería</t>
        </is>
      </c>
      <c r="B31" s="29" t="n">
        <v>500</v>
      </c>
      <c r="C31" s="32">
        <f>IFERROR(IF(C9="","",B31*(1+'0. Supuestos'!$B$48)),"")</f>
        <v>500.0</v>
      </c>
      <c r="D31" s="32">
        <f>IFERROR(IF(D9="","",C31*(1+'0. Supuestos'!$B$48)),"")</f>
        <v>500.0</v>
      </c>
      <c r="E31" s="68">
        <f>IFERROR(B31/$B$9,"")</f>
        <v>0.002631578947368421</v>
      </c>
      <c r="F31" s="28" t="inlineStr">
        <is>
          <t>Chaquetas, delantales de cuero, guantes térmicos y paños: lavado y reposición</t>
        </is>
      </c>
      <c r="G31" s="68">
        <f>IFERROR(IF(B9="","",'0. Supuestos'!$B$41),"")</f>
        <v>0.21</v>
      </c>
      <c r="H31" s="28" t="n"/>
    </row>
    <row r="32">
      <c r="A32" s="28" t="inlineStr">
        <is>
          <t>Gestión de residuos (cenizas, grasa y aceite)</t>
        </is>
      </c>
      <c r="B32" s="29" t="n">
        <v>250</v>
      </c>
      <c r="C32" s="32">
        <f>IFERROR(IF(C9="","",B32*(1+'0. Supuestos'!$B$48)),"")</f>
        <v>250.0</v>
      </c>
      <c r="D32" s="32">
        <f>IFERROR(IF(D9="","",C32*(1+'0. Supuestos'!$B$48)),"")</f>
        <v>250.0</v>
      </c>
      <c r="E32" s="68">
        <f>IFERROR(B32/$B$9,"")</f>
        <v>0.0013157894736842105</v>
      </c>
      <c r="F32" s="28" t="inlineStr">
        <is>
          <t>Retirada de cenizas frías y grasa, y gestor autorizado del aceite usado, salvo que la cocina de apoyo lo incluya en la cuota</t>
        </is>
      </c>
      <c r="G32" s="68">
        <f>IFERROR(IF(B9="","",'0. Supuestos'!$B$41),"")</f>
        <v>0.21</v>
      </c>
      <c r="H32" s="28" t="n"/>
    </row>
    <row r="33">
      <c r="A33" s="28" t="inlineStr">
        <is>
          <t>Prevención de riesgos laborales y vigilancia de la salud</t>
        </is>
      </c>
      <c r="B33" s="29" t="n">
        <v>400</v>
      </c>
      <c r="C33" s="32">
        <f>IFERROR(IF(C9="","",B33*(1+'0. Supuestos'!$B$48)),"")</f>
        <v>400.0</v>
      </c>
      <c r="D33" s="32">
        <f>IFERROR(IF(D9="","",C33*(1+'0. Supuestos'!$B$48)),"")</f>
        <v>400.0</v>
      </c>
      <c r="E33" s="68">
        <f>IFERROR(B33/$B$9,"")</f>
        <v>0.002105263157894737</v>
      </c>
      <c r="F33" s="28" t="inlineStr">
        <is>
          <t>Plan de prevención obligatorio (Ley 31/1995): quemaduras, humo, calor y cargas, y reconocimientos médicos de la plantilla</t>
        </is>
      </c>
      <c r="G33" s="68">
        <f>IFERROR(IF(B9="","",'0. Supuestos'!$B$41),"")</f>
        <v>0.21</v>
      </c>
      <c r="H33" s="28" t="n"/>
    </row>
    <row r="34">
      <c r="A34" s="28" t="inlineStr">
        <is>
          <t>Degustaciones comerciales y pruebas de menú</t>
        </is>
      </c>
      <c r="B34" s="29" t="n">
        <v>800</v>
      </c>
      <c r="C34" s="32">
        <f>IFERROR(IF(C9="","",B34*(1+'0. Supuestos'!$B$48)),"")</f>
        <v>800.0</v>
      </c>
      <c r="D34" s="32">
        <f>IFERROR(IF(D9="","",C34*(1+'0. Supuestos'!$B$48)),"")</f>
        <v>800.0</v>
      </c>
      <c r="E34" s="68">
        <f>IFERROR(B34/$B$9,"")</f>
        <v>0.004210526315789474</v>
      </c>
      <c r="F34" s="28" t="inlineStr">
        <is>
          <t>Carne y horas de las pruebas de menú para novios y de las degustaciones a planners y empresas que no se cobran</t>
        </is>
      </c>
      <c r="G34" s="68">
        <f>IFERROR(IF(B9="","",'0. Supuestos'!$B$41),"")</f>
        <v>0.21</v>
      </c>
      <c r="H34" s="28" t="n"/>
    </row>
    <row r="35">
      <c r="A35" s="28" t="inlineStr">
        <is>
          <t>Afilado y reposición de cuchillería</t>
        </is>
      </c>
      <c r="B35" s="29" t="n">
        <v>200</v>
      </c>
      <c r="C35" s="32">
        <f>IFERROR(IF(C9="","",B35*(1+'0. Supuestos'!$B$48)),"")</f>
        <v>200.0</v>
      </c>
      <c r="D35" s="32">
        <f>IFERROR(IF(D9="","",C35*(1+'0. Supuestos'!$B$48)),"")</f>
        <v>200.0</v>
      </c>
      <c r="E35" s="68">
        <f>IFERROR(B35/$B$9,"")</f>
        <v>0.0010526315789473684</v>
      </c>
      <c r="F35" s="28" t="inlineStr">
        <is>
          <t>Afilado profesional periódico y reposición de cuchillos y tablas de corte</t>
        </is>
      </c>
      <c r="G35" s="68">
        <f>IFERROR(IF(B9="","",'0. Supuestos'!$B$41),"")</f>
        <v>0.21</v>
      </c>
      <c r="H35" s="28" t="n"/>
    </row>
    <row r="36">
      <c r="A36" s="28" t="inlineStr">
        <is>
          <t>Amortización del inmovilizado</t>
        </is>
      </c>
      <c r="B36" s="32">
        <f>IFERROR(IF(B9="","",'Inversión Inicial'!$B$33),"")</f>
        <v>4912.0</v>
      </c>
      <c r="C36" s="32">
        <f>IFERROR(IF(C9="","",B36),"")</f>
        <v>4912.0</v>
      </c>
      <c r="D36" s="32">
        <f>IFERROR(IF(D9="","",B36),"")</f>
        <v>4912.0</v>
      </c>
      <c r="E36" s="68">
        <f>IFERROR(B36/$B$9,"")</f>
        <v>0.02585263157894737</v>
      </c>
      <c r="F36" s="28" t="inlineStr">
        <is>
          <t>Sale de las bases de amortización de la hoja de Inversión: sólo inmovilizado real. NO sube con el IPC: es una cuota sobre el coste HISTÓRICO del inmovilizado</t>
        </is>
      </c>
      <c r="G36" s="68" t="n">
        <v>0</v>
      </c>
      <c r="H36" s="28" t="n"/>
    </row>
    <row r="37">
      <c r="A37" s="28" t="inlineStr">
        <is>
          <t>Gastos financieros (intereses del préstamo)</t>
        </is>
      </c>
      <c r="B37" s="32">
        <f>IFERROR(IF(B9="","",'Financiación'!$B$44),"")</f>
        <v>4251.0</v>
      </c>
      <c r="C37" s="32">
        <f>IFERROR(IF(C9="","",'Financiación'!$B$46),"")</f>
        <v>4251.0</v>
      </c>
      <c r="D37" s="32">
        <f>IFERROR(IF(D9="","",'Financiación'!$B$48),"")</f>
        <v>3504.3775806730832</v>
      </c>
      <c r="E37" s="68">
        <f>IFERROR(B37/$B$9,"")</f>
        <v>0.022373684210526316</v>
      </c>
      <c r="F37" s="28" t="inlineStr">
        <is>
          <t>Sólo los INTERESES son gasto. La devolución del principal va en la hoja de Tesorería</t>
        </is>
      </c>
      <c r="G37" s="68" t="n">
        <v>0</v>
      </c>
      <c r="H37" s="28" t="n"/>
    </row>
    <row r="38">
      <c r="A38" s="25" t="inlineStr">
        <is>
          <t>TOTAL COSTES FIJOS</t>
        </is>
      </c>
      <c r="B38" s="26">
        <f>IFERROR(IF(B9="","",SUM(B22:B37)),"")</f>
        <v>92615.68</v>
      </c>
      <c r="C38" s="26">
        <f>IFERROR(IF(C9="","",SUM(C22:C37)),"")</f>
        <v>98615.68</v>
      </c>
      <c r="D38" s="26">
        <f>IFERROR(IF(D9="","",SUM(D22:D37)),"")</f>
        <v>103869.05758067308</v>
      </c>
      <c r="E38" s="67">
        <f>IFERROR(B38/$B$9,"")</f>
        <v>0.48745094736842104</v>
      </c>
      <c r="F38" s="28" t="n"/>
      <c r="G38" s="28" t="n"/>
      <c r="H38" s="28" t="n"/>
    </row>
    <row r="39">
      <c r="A39" s="28" t="inlineStr">
        <is>
          <t>IVA soportado de los costes variables</t>
        </is>
      </c>
      <c r="B39" s="32">
        <f>IFERROR(IF(B9="","",SUMPRODUCT(B13:B18,G13:G18)),"")</f>
        <v>10475.84</v>
      </c>
      <c r="C39" s="32">
        <f>IFERROR(IF(C9="","",SUMPRODUCT(C13:C18,G13:G18)),"")</f>
        <v>11313.9072</v>
      </c>
      <c r="D39" s="32">
        <f>IFERROR(IF(D9="","",SUMPRODUCT(D13:D18,G13:G18)),"")</f>
        <v>11879.602560000001</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4939.2</v>
      </c>
      <c r="C40" s="32">
        <f>IFERROR(IF(C9="","",SUMPRODUCT(C22:C37,G22:G37)),"")</f>
        <v>4939.2</v>
      </c>
      <c r="D40" s="32">
        <f>IFERROR(IF(D9="","",SUMPRODUCT(D22:D37,G22:G37)),"")</f>
        <v>4939.2</v>
      </c>
      <c r="E40" s="28" t="n"/>
      <c r="F40" s="28" t="n"/>
      <c r="G40" s="28" t="n"/>
      <c r="H40" s="28" t="n"/>
    </row>
    <row r="41">
      <c r="A41" s="25" t="inlineStr">
        <is>
          <t>RESULTADO ANTES DE IMPUESTOS</t>
        </is>
      </c>
      <c r="B41" s="26">
        <f>IFERROR(IF(B9="","",B20-B38),"")</f>
        <v>17090.320000000007</v>
      </c>
      <c r="C41" s="26">
        <f>IFERROR(IF(C9="","",C20-C38),"")</f>
        <v>19866.800000000003</v>
      </c>
      <c r="D41" s="26">
        <f>IFERROR(IF(D9="","",D20-D38),"")</f>
        <v>20537.546419326944</v>
      </c>
      <c r="E41" s="67">
        <f>IFERROR(B41/$B$9,"")</f>
        <v>0.08994905263157899</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17090.320000000007</v>
      </c>
      <c r="C43" s="32">
        <f>IFERROR(IF(C9="","",MAX(0,C41-C42)),"")</f>
        <v>19866.800000000003</v>
      </c>
      <c r="D43" s="32">
        <f>IFERROR(IF(D9="","",MAX(0,D41-D42)),"")</f>
        <v>20537.546419326944</v>
      </c>
      <c r="E43" s="28" t="n"/>
      <c r="F43" s="28" t="n"/>
      <c r="G43" s="28" t="n"/>
      <c r="H43" s="28" t="n"/>
    </row>
    <row r="44">
      <c r="A44" s="28" t="inlineStr">
        <is>
          <t>Ejercicios con base positiva (acumulado)</t>
        </is>
      </c>
      <c r="B44" s="40">
        <f>IFERROR(IF(B9="","",IF(B43&gt;0,1,0)),"")</f>
        <v>1.0</v>
      </c>
      <c r="C44" s="40">
        <f>IFERROR(IF(C9="","",B44+IF(C43&gt;0,1,0)),"")</f>
        <v>2.0</v>
      </c>
      <c r="D44" s="40">
        <f>IFERROR(IF(D9="","",C44+IF(D43&gt;0,1,0)),"")</f>
        <v>3.0</v>
      </c>
      <c r="E44" s="28" t="n"/>
      <c r="F44" s="28" t="n"/>
      <c r="G44" s="28" t="n"/>
      <c r="H44" s="28" t="n"/>
    </row>
    <row r="45">
      <c r="A45" s="28" t="inlineStr">
        <is>
          <t>Tipo de Impuesto de Sociedades aplicado</t>
        </is>
      </c>
      <c r="B45" s="68">
        <f>IFERROR(IF(B9="","",IF(B43&lt;=0,"",IF(B44&lt;=2,'0. Supuestos'!$B$37,'0. Supuestos'!$B$38))),"")</f>
        <v>0.15</v>
      </c>
      <c r="C45" s="68">
        <f>IFERROR(IF(C9="","",IF(C43&lt;=0,"",IF(C44&lt;=2,'0. Supuestos'!$B$37,'0. Supuestos'!$B$38))),"")</f>
        <v>0.15</v>
      </c>
      <c r="D45" s="68">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2563.548000000001</v>
      </c>
      <c r="C46" s="32">
        <f>IFERROR(IF(C9="","",IF(C45="",0,C43*C45)),"")</f>
        <v>2980.0200000000004</v>
      </c>
      <c r="D46" s="32">
        <f>IFERROR(IF(D9="","",IF(D45="",0,D43*D45)),"")</f>
        <v>5134.386604831736</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14526.772000000006</v>
      </c>
      <c r="C48" s="26">
        <f>IFERROR(IF(C9="","",C41-C46),"")</f>
        <v>16886.780000000002</v>
      </c>
      <c r="D48" s="26">
        <f>IFERROR(IF(D9="","",D41-D46),"")</f>
        <v>15403.159814495208</v>
      </c>
      <c r="E48" s="67">
        <f>IFERROR(B48/$B$9,"")</f>
        <v>0.07645669473684213</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8">
        <f>IFERROR(IF(B9="","",B20/B9),"")</f>
        <v>0.5774</v>
      </c>
      <c r="C51" s="68">
        <f>IFERROR(IF(C9="","",C20/C9),"")</f>
        <v>0.5774</v>
      </c>
      <c r="D51" s="68">
        <f>IFERROR(IF(D9="","",D20/D9),"")</f>
        <v>0.5774</v>
      </c>
      <c r="E51" s="75" t="n">
        <v>0.55</v>
      </c>
      <c r="F51" s="28" t="inlineStr">
        <is>
          <t>Los costes variables de la parrilla incluyen carbón, leña, desechables, combustible y cánones de fincas además de la mercancía: un margen bruto por debajo del 55 % no paga la plantilla. Estimación del kit</t>
        </is>
      </c>
      <c r="G51" s="28" t="n"/>
      <c r="H51" s="28" t="n"/>
    </row>
    <row r="52">
      <c r="A52" s="28" t="inlineStr">
        <is>
          <t>Coste de mercancía (comida + bebida)</t>
        </is>
      </c>
      <c r="B52" s="32">
        <f>IFERROR(IF(B9="","",B13+B14),"")</f>
        <v>60344.0</v>
      </c>
      <c r="C52" s="32">
        <f>IFERROR(IF(C9="","",C13+C14),"")</f>
        <v>65171.52</v>
      </c>
      <c r="D52" s="32">
        <f>IFERROR(IF(D9="","",D13+D14),"")</f>
        <v>68430.096</v>
      </c>
      <c r="E52" s="28" t="n"/>
      <c r="F52" s="28" t="n"/>
      <c r="G52" s="28" t="n"/>
      <c r="H52" s="28" t="n"/>
    </row>
    <row r="53">
      <c r="A53" s="28" t="inlineStr">
        <is>
          <t>Coste de mercancía / Ventas</t>
        </is>
      </c>
      <c r="B53" s="68">
        <f>IFERROR(IF(B9="","",B52/B9),"")</f>
        <v>0.3176</v>
      </c>
      <c r="C53" s="68">
        <f>IFERROR(IF(C9="","",C52/C9),"")</f>
        <v>0.3176</v>
      </c>
      <c r="D53" s="68">
        <f>IFERROR(IF(D9="","",D52/D9),"")</f>
        <v>0.3176</v>
      </c>
      <c r="E53" s="75" t="n">
        <v>0.34</v>
      </c>
      <c r="F53" s="28" t="inlineStr">
        <is>
          <t>Techo de la mercancía (comida y bebida) sobre ventas: el vacuno es caro y su precio se mueve. Estimación del kit</t>
        </is>
      </c>
      <c r="G53" s="28" t="n"/>
      <c r="H53" s="28" t="n"/>
    </row>
    <row r="54">
      <c r="A54" s="28" t="inlineStr">
        <is>
          <t>Coste de personal / Ventas</t>
        </is>
      </c>
      <c r="B54" s="68">
        <f>IFERROR(IF(B9="","",B23/B9),"")</f>
        <v>0.305172</v>
      </c>
      <c r="C54" s="68">
        <f>IFERROR(IF(C9="","",C23/C9),"")</f>
        <v>0.31180643274853803</v>
      </c>
      <c r="D54" s="68">
        <f>IFERROR(IF(D9="","",D23/D9),"")</f>
        <v>0.3248059036480088</v>
      </c>
      <c r="E54" s="75" t="n">
        <v>0.36</v>
      </c>
      <c r="F54" s="28" t="inlineStr">
        <is>
          <t>Techo del personal sobre ventas: montaje, brasa, servicio y recogida en cada evento. Estimación del kit</t>
        </is>
      </c>
      <c r="G54" s="28" t="n"/>
      <c r="H54" s="28" t="n"/>
    </row>
    <row r="55">
      <c r="A55" s="28" t="inlineStr">
        <is>
          <t>Cocina de apoyo / Ventas</t>
        </is>
      </c>
      <c r="B55" s="68">
        <f>IFERROR(IF(B9="","",B22/B9),"")</f>
        <v>0.06315789473684211</v>
      </c>
      <c r="C55" s="68">
        <f>IFERROR(IF(C9="","",C22/C9),"")</f>
        <v>0.05847953216374269</v>
      </c>
      <c r="D55" s="68">
        <f>IFERROR(IF(D9="","",D22/D9),"")</f>
        <v>0.05569479253689779</v>
      </c>
      <c r="E55" s="75" t="n">
        <v>0.08</v>
      </c>
      <c r="F55" s="28" t="inlineStr">
        <is>
          <t>Techo de la cuota de la cocina de apoyo sobre las ventas: estimación del kit</t>
        </is>
      </c>
      <c r="G55" s="28" t="n"/>
      <c r="H55" s="28" t="n"/>
    </row>
    <row r="56">
      <c r="A56" s="28" t="inlineStr">
        <is>
          <t>Resultado neto / Ventas</t>
        </is>
      </c>
      <c r="B56" s="68">
        <f>IFERROR(IF(B9="","",B48/B9),"")</f>
        <v>0.07645669473684213</v>
      </c>
      <c r="C56" s="68">
        <f>IFERROR(IF(C9="","",C48/C9),"")</f>
        <v>0.08229424951267057</v>
      </c>
      <c r="D56" s="68">
        <f>IFERROR(IF(D9="","",D48/D9),"")</f>
        <v>0.07148964919008265</v>
      </c>
      <c r="E56" s="75" t="n">
        <v>0.04</v>
      </c>
      <c r="F56" s="28" t="inlineStr">
        <is>
          <t>Suelo de resultado neto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 parrillero / asador para eventos</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70">
        <f>IFERROR(IF('PyG 3 Años'!$B$9="","",'PyG 3 Años'!$B$38),"")</f>
        <v>92615.68</v>
      </c>
      <c r="C6" s="70">
        <f>IFERROR(IF('PyG 3 Años'!$C$9="","",'PyG 3 Años'!$C$38),"")</f>
        <v>98615.68</v>
      </c>
      <c r="D6" s="70">
        <f>IFERROR(IF('PyG 3 Años'!$D$9="","",'PyG 3 Años'!$D$38),"")</f>
        <v>103869.05758067308</v>
      </c>
      <c r="E6" s="28" t="inlineStr">
        <is>
          <t>Los MISMOS costes fijos del P&amp;L. Cada año tiene los suyos: por eso el umbral no puede ser uno solo para los tres</t>
        </is>
      </c>
      <c r="F6" s="28" t="n"/>
    </row>
    <row r="7">
      <c r="A7" s="28" t="inlineStr">
        <is>
          <t>Costes fijos mensuales</t>
        </is>
      </c>
      <c r="B7" s="70">
        <f>IFERROR(IF('PyG 3 Años'!$B$9="","",B6/12),"")</f>
        <v>7717.973333333332</v>
      </c>
      <c r="C7" s="70">
        <f>IFERROR(IF('PyG 3 Años'!$C$9="","",C6/12),"")</f>
        <v>8217.973333333333</v>
      </c>
      <c r="D7" s="70">
        <f>IFERROR(IF('PyG 3 Años'!$D$9="","",D6/12),"")</f>
        <v>8655.754798389424</v>
      </c>
      <c r="E7" s="28" t="n"/>
      <c r="F7" s="28" t="n"/>
    </row>
    <row r="8">
      <c r="A8" s="28" t="inlineStr">
        <is>
          <t>Precio medio por invitado sin IVA</t>
        </is>
      </c>
      <c r="B8" s="70">
        <f>IFERROR(IF('PyG 3 Años'!$B$9="","",'PyG 3 Años'!$B$7),"")</f>
        <v>25.0</v>
      </c>
      <c r="C8" s="70">
        <f>IFERROR(IF('PyG 3 Años'!$C$9="","",'PyG 3 Años'!$C$7),"")</f>
        <v>25.0</v>
      </c>
      <c r="D8" s="70">
        <f>IFERROR(IF('PyG 3 Años'!$D$9="","",'PyG 3 Años'!$D$7),"")</f>
        <v>25.0</v>
      </c>
      <c r="E8" s="28" t="n"/>
      <c r="F8" s="28" t="n"/>
    </row>
    <row r="9">
      <c r="A9" s="28" t="inlineStr">
        <is>
          <t>Coste variable por invitado</t>
        </is>
      </c>
      <c r="B9" s="70">
        <f>IFERROR(IF('PyG 3 Años'!$B$9="","",'PyG 3 Años'!$B$19/('PyG 3 Años'!$B$6*'PyG 3 Años'!$B$8)),"")</f>
        <v>10.565</v>
      </c>
      <c r="C9" s="70">
        <f>IFERROR(IF('PyG 3 Años'!$C$9="","",'PyG 3 Años'!$C$19/('PyG 3 Años'!$C$6*'PyG 3 Años'!$C$8)),"")</f>
        <v>10.565000000000001</v>
      </c>
      <c r="D9" s="70">
        <f>IFERROR(IF('PyG 3 Años'!$D$9="","",'PyG 3 Años'!$D$19/('PyG 3 Años'!$D$6*'PyG 3 Años'!$D$8)),"")</f>
        <v>10.565</v>
      </c>
      <c r="E9" s="28" t="inlineStr">
        <is>
          <t>Sale del total de costes variables del P&amp;L, no de una estimación aparte. Incluye los varios e imprevistos, que son un porcentaje de las ventas</t>
        </is>
      </c>
      <c r="F9" s="28" t="n"/>
    </row>
    <row r="10">
      <c r="A10" s="28" t="inlineStr">
        <is>
          <t>Margen de contribución por invitado</t>
        </is>
      </c>
      <c r="B10" s="70">
        <f>IFERROR(IF('PyG 3 Años'!$B$9="","",B8-B9),"")</f>
        <v>14.435</v>
      </c>
      <c r="C10" s="70">
        <f>IFERROR(IF('PyG 3 Años'!$C$9="","",C8-C9),"")</f>
        <v>14.434999999999999</v>
      </c>
      <c r="D10" s="70">
        <f>IFERROR(IF('PyG 3 Años'!$D$9="","",D8-D9),"")</f>
        <v>14.435</v>
      </c>
      <c r="E10" s="28" t="inlineStr">
        <is>
          <t>Precio por invitado menos coste variable unitario</t>
        </is>
      </c>
      <c r="F10" s="28" t="n"/>
    </row>
    <row r="11">
      <c r="A11" s="28" t="inlineStr">
        <is>
          <t>Eventos al año</t>
        </is>
      </c>
      <c r="B11" s="40">
        <f>IFERROR(IF('PyG 3 Años'!$B$9="","",'PyG 3 Años'!$B$8),"")</f>
        <v>95.0</v>
      </c>
      <c r="C11" s="40">
        <f>IFERROR(IF('PyG 3 Años'!$C$9="","",'PyG 3 Años'!$C$8),"")</f>
        <v>95.0</v>
      </c>
      <c r="D11" s="40">
        <f>IFERROR(IF('PyG 3 Años'!$D$9="","",'PyG 3 Años'!$D$8),"")</f>
        <v>95.0</v>
      </c>
      <c r="E11" s="28" t="inlineStr">
        <is>
          <t>El mismo calendario que el P&amp;L y que los escenarios</t>
        </is>
      </c>
      <c r="F11" s="28" t="n"/>
    </row>
    <row r="12">
      <c r="A12" s="28" t="inlineStr">
        <is>
          <t>Devolución de principal del año (cuota)</t>
        </is>
      </c>
      <c r="B12" s="70">
        <f>IFERROR(IF('PyG 3 Años'!$B$9="","",'Financiación'!$B$45),"")</f>
        <v>0.0</v>
      </c>
      <c r="C12" s="70">
        <f>IFERROR(IF('PyG 3 Años'!$C$9="","",'Financiación'!$B$47),"")</f>
        <v>11486.498758875641</v>
      </c>
      <c r="D12" s="70">
        <f>IFERROR(IF('PyG 3 Años'!$D$9="","",'Financiación'!$B$49),"")</f>
        <v>12233.121178202558</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Invitados necesarios al año</t>
        </is>
      </c>
      <c r="B14" s="40">
        <f>IFERROR(IF('PyG 3 Años'!$B$9="","",IF(B10&lt;=0,"",B6/B10)),"")</f>
        <v>6416.049878766886</v>
      </c>
      <c r="C14" s="40">
        <f>IFERROR(IF('PyG 3 Años'!$C$9="","",IF(C10&lt;=0,"",C6/C10)),"")</f>
        <v>6831.706269483893</v>
      </c>
      <c r="D14" s="40">
        <f>IFERROR(IF('PyG 3 Años'!$D$9="","",IF(D10&lt;=0,"",D6/D10)),"")</f>
        <v>7195.639596859929</v>
      </c>
      <c r="E14" s="28" t="n"/>
      <c r="F14" s="28" t="n"/>
    </row>
    <row r="15">
      <c r="A15" s="28" t="inlineStr">
        <is>
          <t>Invitados necesarios por evento</t>
        </is>
      </c>
      <c r="B15" s="44">
        <f>IFERROR(IF('PyG 3 Años'!$B$9="","",B14/B11),"")</f>
        <v>67.53736714491458</v>
      </c>
      <c r="C15" s="44">
        <f>IFERROR(IF('PyG 3 Años'!$C$9="","",C14/C11),"")</f>
        <v>71.91269757351466</v>
      </c>
      <c r="D15" s="44">
        <f>IFERROR(IF('PyG 3 Años'!$D$9="","",D14/D11),"")</f>
        <v>75.74357470378872</v>
      </c>
      <c r="E15" s="28" t="n"/>
      <c r="F15" s="28" t="n"/>
    </row>
    <row r="16">
      <c r="A16" s="25" t="inlineStr">
        <is>
          <t>Ingresos necesarios al año</t>
        </is>
      </c>
      <c r="B16" s="26">
        <f>IFERROR(IF('PyG 3 Años'!$B$9="","",B14*B8),"")</f>
        <v>160401.24696917215</v>
      </c>
      <c r="C16" s="26">
        <f>IFERROR(IF('PyG 3 Años'!$C$9="","",C14*C8),"")</f>
        <v>170792.65673709734</v>
      </c>
      <c r="D16" s="26">
        <f>IFERROR(IF('PyG 3 Años'!$D$9="","",D14*D8),"")</f>
        <v>179890.98992149823</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70">
        <f>IFERROR(IF('PyG 3 Años'!$B$9="","",B6-'PyG 3 Años'!$B$36+B12),"")</f>
        <v>87703.68</v>
      </c>
      <c r="C18" s="70">
        <f>IFERROR(IF('PyG 3 Años'!$C$9="","",C6-'PyG 3 Años'!$C$36+C12),"")</f>
        <v>105190.17875887564</v>
      </c>
      <c r="D18" s="70">
        <f>IFERROR(IF('PyG 3 Años'!$D$9="","",D6-'PyG 3 Años'!$D$36+D12),"")</f>
        <v>111190.17875887564</v>
      </c>
      <c r="E18" s="28" t="inlineStr">
        <is>
          <t>Los fijos del P&amp;L sin la amortización (que no se paga) y CON la devolución de principal (que sí). Es el umbral que decide si la caja aguanta</t>
        </is>
      </c>
      <c r="F18" s="28" t="n"/>
    </row>
    <row r="19">
      <c r="A19" s="28" t="inlineStr">
        <is>
          <t>Invitados necesarios al año (caja)</t>
        </is>
      </c>
      <c r="B19" s="40">
        <f>IFERROR(IF('PyG 3 Años'!$B$9="","",IF(B10&lt;=0,"",B18/B10)),"")</f>
        <v>6075.765846899895</v>
      </c>
      <c r="C19" s="40">
        <f>IFERROR(IF('PyG 3 Años'!$C$9="","",IF(C10&lt;=0,"",C18/C10)),"")</f>
        <v>7287.161673631843</v>
      </c>
      <c r="D19" s="40">
        <f>IFERROR(IF('PyG 3 Años'!$D$9="","",IF(D10&lt;=0,"",D18/D10)),"")</f>
        <v>7702.8180643488495</v>
      </c>
      <c r="E19" s="28" t="n"/>
      <c r="F19" s="28" t="n"/>
    </row>
    <row r="20">
      <c r="A20" s="25" t="inlineStr">
        <is>
          <t>Invitados necesarios por evento (caja)</t>
        </is>
      </c>
      <c r="B20" s="45">
        <f>IFERROR(IF('PyG 3 Años'!$B$9="","",B19/B11),"")</f>
        <v>63.955429967367316</v>
      </c>
      <c r="C20" s="45">
        <f>IFERROR(IF('PyG 3 Años'!$C$9="","",C19/C11),"")</f>
        <v>76.70696498559835</v>
      </c>
      <c r="D20" s="45">
        <f>IFERROR(IF('PyG 3 Años'!$D$9="","",D19/D11),"")</f>
        <v>81.08229541419841</v>
      </c>
      <c r="E20" s="28" t="n"/>
      <c r="F20" s="28" t="n"/>
    </row>
    <row r="21">
      <c r="A21" s="28" t="inlineStr">
        <is>
          <t>Ingresos necesarios al año (caja)</t>
        </is>
      </c>
      <c r="B21" s="32">
        <f>IFERROR(IF('PyG 3 Años'!$B$9="","",B19*B8),"")</f>
        <v>151894.1461724974</v>
      </c>
      <c r="C21" s="32">
        <f>IFERROR(IF('PyG 3 Años'!$C$9="","",C19*C8),"")</f>
        <v>182179.04184079607</v>
      </c>
      <c r="D21" s="32">
        <f>IFERROR(IF('PyG 3 Años'!$D$9="","",D19*D8),"")</f>
        <v>192570.45160872123</v>
      </c>
      <c r="E21" s="28" t="n"/>
      <c r="F21" s="28" t="n"/>
    </row>
    <row r="22">
      <c r="A22" s="25" t="inlineStr">
        <is>
          <t>CONTRASTE CON EL PLAN</t>
        </is>
      </c>
      <c r="B22" s="28" t="n"/>
      <c r="C22" s="28" t="n"/>
      <c r="D22" s="28" t="n"/>
      <c r="E22" s="28" t="n"/>
      <c r="F22" s="28" t="n"/>
    </row>
    <row r="23">
      <c r="A23" s="28" t="inlineStr">
        <is>
          <t>Invitados por evento previstos en el plan</t>
        </is>
      </c>
      <c r="B23" s="40">
        <f>IFERROR(IF('PyG 3 Años'!$B$9="","",'PyG 3 Años'!$B$6),"")</f>
        <v>80.0</v>
      </c>
      <c r="C23" s="40">
        <f>IFERROR(IF('PyG 3 Años'!$C$9="","",'PyG 3 Años'!$C$6),"")</f>
        <v>86.4</v>
      </c>
      <c r="D23" s="40">
        <f>IFERROR(IF('PyG 3 Años'!$D$9="","",'PyG 3 Años'!$D$6),"")</f>
        <v>90.72000000000001</v>
      </c>
      <c r="E23" s="28" t="n"/>
      <c r="F23" s="28" t="n"/>
    </row>
    <row r="24">
      <c r="A24" s="28" t="inlineStr">
        <is>
          <t>Holgura sobre el equilibrio de CAJA (%)</t>
        </is>
      </c>
      <c r="B24" s="68">
        <f>IFERROR(IF('PyG 3 Años'!$B$9="","",B23/B20-1),"")</f>
        <v>0.2508711151003016</v>
      </c>
      <c r="C24" s="68">
        <f>IFERROR(IF('PyG 3 Años'!$C$9="","",C23/C20-1),"")</f>
        <v>0.1263644705043605</v>
      </c>
      <c r="D24" s="68">
        <f>IFERROR(IF('PyG 3 Años'!$D$9="","",D23/D20-1),"")</f>
        <v>0.11886324303682616</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precio medio por invitado sin IVA de la fila de arriba necesitas "&amp;TEXT(ROUNDUP(B15,0),"0")&amp;" invitados por evento durante los "&amp;TEXT(B11,"0")&amp;" eventos del año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precio medio por invitado sin IVA de la fila de arriba necesitas 68 invitados por evento durante los 95 eventos del año para no perder dinero (equilibrio contable, con la amortización dentro), y 64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Invitados por evento necesarios para cubrir costes según el precio medio por invitado (columnas) y el coste variable por invitado (filas). En verde, los que están por debajo de los invitados que prevé el plan.</t>
        </is>
      </c>
      <c r="B29" s="28" t="n"/>
      <c r="C29" s="28" t="n"/>
      <c r="D29" s="28" t="n"/>
      <c r="E29" s="28" t="n"/>
      <c r="F29" s="28" t="n"/>
    </row>
    <row r="30">
      <c r="A30" s="28" t="n"/>
      <c r="B30" s="28" t="n"/>
      <c r="C30" s="28" t="n"/>
      <c r="D30" s="28" t="n"/>
      <c r="E30" s="28" t="n"/>
      <c r="F30" s="28" t="n"/>
    </row>
    <row r="31" ht="45" customHeight="1">
      <c r="A31" s="39" t="inlineStr">
        <is>
          <t>Invitados por evento necesarios: precio medio por invitado sin IVA (columnas) × coste variable por invitado (filas)</t>
        </is>
      </c>
      <c r="B31" s="72">
        <f>IFERROR($B$8-2,"")</f>
        <v>23.0</v>
      </c>
      <c r="C31" s="72">
        <f>IFERROR(IF($B$8="","",$B$8),"")</f>
        <v>25.0</v>
      </c>
      <c r="D31" s="72">
        <f>IFERROR($B$8+2,"")</f>
        <v>27.0</v>
      </c>
      <c r="E31" s="72">
        <f>IFERROR($B$8+4,"")</f>
        <v>29.0</v>
      </c>
      <c r="F31" s="28" t="n"/>
    </row>
    <row r="32">
      <c r="A32" s="70">
        <f>IFERROR($B$9*0.85,"")</f>
        <v>8.98025</v>
      </c>
      <c r="B32" s="44">
        <f>IFERROR(IF($B$31-$A32&lt;=0,"",$B$6/($B$31-$A32)/$B$11),"")</f>
        <v>69.53775172430622</v>
      </c>
      <c r="C32" s="44">
        <f>IFERROR(IF($C$31-$A32&lt;=0,"",$B$6/($C$31-$A32)/$B$11),"")</f>
        <v>60.856248988707186</v>
      </c>
      <c r="D32" s="44">
        <f>IFERROR(IF($D$31-$A32&lt;=0,"",$B$6/($D$31-$A32)/$B$11),"")</f>
        <v>54.101854617119656</v>
      </c>
      <c r="E32" s="44">
        <f>IFERROR(IF($E$31-$A32&lt;=0,"",$B$6/($E$31-$A32)/$B$11),"")</f>
        <v>48.69700644297965</v>
      </c>
      <c r="F32" s="28" t="n"/>
    </row>
    <row r="33">
      <c r="A33" s="70">
        <f>IFERROR($B$9*0.925,"")</f>
        <v>9.772625</v>
      </c>
      <c r="B33" s="44">
        <f>IFERROR(IF($B$31-$A33&lt;=0,"",$B$6/($B$31-$A33)/$B$11),"")</f>
        <v>73.70335344214872</v>
      </c>
      <c r="C33" s="44">
        <f>IFERROR(IF($C$31-$A33&lt;=0,"",$B$6/($C$31-$A33)/$B$11),"")</f>
        <v>64.02297800749255</v>
      </c>
      <c r="D33" s="44">
        <f>IFERROR(IF($D$31-$A33&lt;=0,"",$B$6/($D$31-$A33)/$B$11),"")</f>
        <v>56.590275345886525</v>
      </c>
      <c r="E33" s="44">
        <f>IFERROR(IF($E$31-$A33&lt;=0,"",$B$6/($E$31-$A33)/$B$11),"")</f>
        <v>50.70384775544461</v>
      </c>
      <c r="F33" s="28" t="n"/>
    </row>
    <row r="34">
      <c r="A34" s="70">
        <f>IFERROR($B$9*1.0,"")</f>
        <v>10.565</v>
      </c>
      <c r="B34" s="44">
        <f>IFERROR(IF($B$31-$A34&lt;=0,"",$B$6/($B$31-$A34)/$B$11),"")</f>
        <v>78.39983069857998</v>
      </c>
      <c r="C34" s="44">
        <f>IFERROR(IF($C$31-$A34&lt;=0,"",$B$6/($C$31-$A34)/$B$11),"")</f>
        <v>67.53736714491458</v>
      </c>
      <c r="D34" s="44">
        <f>IFERROR(IF($D$31-$A34&lt;=0,"",$B$6/($D$31-$A34)/$B$11),"")</f>
        <v>59.318642819400175</v>
      </c>
      <c r="E34" s="44">
        <f>IFERROR(IF($E$31-$A34&lt;=0,"",$B$6/($E$31-$A34)/$B$11),"")</f>
        <v>52.88320557292335</v>
      </c>
      <c r="F34" s="28" t="n"/>
    </row>
    <row r="35">
      <c r="A35" s="70">
        <f>IFERROR($B$9*1.075,"")</f>
        <v>11.357375</v>
      </c>
      <c r="B35" s="44">
        <f>IFERROR(IF($B$31-$A35&lt;=0,"",$B$6/($B$31-$A35)/$B$11),"")</f>
        <v>83.73557464376307</v>
      </c>
      <c r="C35" s="44">
        <f>IFERROR(IF($C$31-$A35&lt;=0,"",$B$6/($C$31-$A35)/$B$11),"")</f>
        <v>71.4599935669889</v>
      </c>
      <c r="D35" s="44">
        <f>IFERROR(IF($D$31-$A35&lt;=0,"",$B$6/($D$31-$A35)/$B$11),"")</f>
        <v>62.323420444896044</v>
      </c>
      <c r="E35" s="44">
        <f>IFERROR(IF($E$31-$A35&lt;=0,"",$B$6/($E$31-$A35)/$B$11),"")</f>
        <v>55.25832435574876</v>
      </c>
      <c r="F35" s="28" t="n"/>
    </row>
    <row r="36">
      <c r="A36" s="70">
        <f>IFERROR($B$9*1.15,"")</f>
        <v>12.14975</v>
      </c>
      <c r="B36" s="44">
        <f>IFERROR(IF($B$31-$A36&lt;=0,"",$B$6/($B$31-$A36)/$B$11),"")</f>
        <v>89.85063890111675</v>
      </c>
      <c r="C36" s="44">
        <f>IFERROR(IF($C$31-$A36&lt;=0,"",$B$6/($C$31-$A36)/$B$11),"")</f>
        <v>75.8663757309657</v>
      </c>
      <c r="D36" s="44">
        <f>IFERROR(IF($D$31-$A36&lt;=0,"",$B$6/($D$31-$A36)/$B$11),"")</f>
        <v>65.64885404197518</v>
      </c>
      <c r="E36" s="44">
        <f>IFERROR(IF($E$31-$A36&lt;=0,"",$B$6/($E$31-$A36)/$B$11),"")</f>
        <v>57.85682080306475</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Invitados por evento</t>
        </is>
      </c>
      <c r="B5" s="49" t="n">
        <v>75</v>
      </c>
      <c r="C5" s="40">
        <f>IFERROR(IF('PyG 3 Años'!$B$6="","",'PyG 3 Años'!$B$6),"")</f>
        <v>80.0</v>
      </c>
      <c r="D5" s="49" t="n">
        <v>85</v>
      </c>
      <c r="E5" s="28" t="n"/>
      <c r="F5" s="28" t="n"/>
    </row>
    <row r="6">
      <c r="A6" s="28" t="inlineStr">
        <is>
          <t>Precio medio por invitado sin IVA</t>
        </is>
      </c>
      <c r="B6" s="73" t="n">
        <v>23</v>
      </c>
      <c r="C6" s="70">
        <f>IFERROR(IF('PyG 3 Años'!$B$7="","",'PyG 3 Años'!$B$7),"")</f>
        <v>25.0</v>
      </c>
      <c r="D6" s="73" t="n">
        <v>26</v>
      </c>
      <c r="E6" s="28" t="n"/>
      <c r="F6" s="28" t="n"/>
    </row>
    <row r="7">
      <c r="A7" s="28" t="inlineStr">
        <is>
          <t>Eventos al año</t>
        </is>
      </c>
      <c r="B7" s="49" t="n">
        <v>80</v>
      </c>
      <c r="C7" s="40">
        <f>IFERROR(IF('PyG 3 Años'!$B$8="","",'PyG 3 Años'!$B$8),"")</f>
        <v>95.0</v>
      </c>
      <c r="D7" s="49" t="n">
        <v>110</v>
      </c>
      <c r="E7" s="28" t="n"/>
      <c r="F7" s="28" t="n"/>
    </row>
    <row r="8">
      <c r="A8" s="25" t="inlineStr">
        <is>
          <t>INGRESOS ANUALES (sin IVA)</t>
        </is>
      </c>
      <c r="B8" s="26">
        <f>IFERROR(IF(B5*B6*B7=0,"",B5*B6*B7),"")</f>
        <v>138000.0</v>
      </c>
      <c r="C8" s="26">
        <f>IFERROR(IF(C5*C6*C7=0,"",C5*C6*C7),"")</f>
        <v>190000.0</v>
      </c>
      <c r="D8" s="26">
        <f>IFERROR(IF(D5*D6*D7=0,"",D5*D6*D7),"")</f>
        <v>243100.0</v>
      </c>
      <c r="E8" s="28" t="n"/>
      <c r="F8" s="28" t="n"/>
    </row>
    <row r="9">
      <c r="A9" s="28" t="inlineStr">
        <is>
          <t>Coste de mercancía — comida</t>
        </is>
      </c>
      <c r="B9" s="32">
        <f>IFERROR(IF(B8="","",B8*'0. Supuestos'!$B$11*'0. Supuestos'!$B$13),"")</f>
        <v>38860.8</v>
      </c>
      <c r="C9" s="32">
        <f>IFERROR(IF(C8="","",C8*'0. Supuestos'!$B$11*'0. Supuestos'!$B$13),"")</f>
        <v>53504.0</v>
      </c>
      <c r="D9" s="32">
        <f>IFERROR(IF(D8="","",D8*'0. Supuestos'!$B$11*'0. Supuestos'!$B$13),"")</f>
        <v>68456.96</v>
      </c>
      <c r="E9" s="28" t="n"/>
      <c r="F9" s="28" t="n"/>
    </row>
    <row r="10">
      <c r="A10" s="28" t="inlineStr">
        <is>
          <t>Coste de mercancía — bebida</t>
        </is>
      </c>
      <c r="B10" s="32">
        <f>IFERROR(IF(B8="","",B8*'0. Supuestos'!$B$12*'0. Supuestos'!$B$14),"")</f>
        <v>4968.0</v>
      </c>
      <c r="C10" s="32">
        <f>IFERROR(IF(C8="","",C8*'0. Supuestos'!$B$12*'0. Supuestos'!$B$14),"")</f>
        <v>6840.0</v>
      </c>
      <c r="D10" s="32">
        <f>IFERROR(IF(D8="","",D8*'0. Supuestos'!$B$12*'0. Supuestos'!$B$14),"")</f>
        <v>8751.6</v>
      </c>
      <c r="E10" s="28" t="n"/>
      <c r="F10" s="28" t="n"/>
    </row>
    <row r="11">
      <c r="A11" s="28" t="inlineStr">
        <is>
          <t>Consumibles y envases</t>
        </is>
      </c>
      <c r="B11" s="32">
        <f>IFERROR(IF(B8="","",B8*'0. Supuestos'!$B$15),"")</f>
        <v>6210.0</v>
      </c>
      <c r="C11" s="32">
        <f>IFERROR(IF(C8="","",C8*'0. Supuestos'!$B$15),"")</f>
        <v>8550.0</v>
      </c>
      <c r="D11" s="32">
        <f>IFERROR(IF(D8="","",D8*'0. Supuestos'!$B$15),"")</f>
        <v>10939.5</v>
      </c>
      <c r="E11" s="28" t="n"/>
      <c r="F11" s="28" t="n"/>
    </row>
    <row r="12">
      <c r="A12" s="28" t="inlineStr">
        <is>
          <t>Comisiones del asado para llevar</t>
        </is>
      </c>
      <c r="B12" s="32">
        <f>IFERROR(IF(B8="","",B8*'0. Supuestos'!$B$16*'0. Supuestos'!$B$17),"")</f>
        <v>690.0</v>
      </c>
      <c r="C12" s="32">
        <f>IFERROR(IF(C8="","",C8*'0. Supuestos'!$B$16*'0. Supuestos'!$B$17),"")</f>
        <v>950.0</v>
      </c>
      <c r="D12" s="32">
        <f>IFERROR(IF(D8="","",D8*'0. Supuestos'!$B$16*'0. Supuestos'!$B$17),"")</f>
        <v>1215.5</v>
      </c>
      <c r="E12" s="28" t="n"/>
      <c r="F12" s="28" t="n"/>
    </row>
    <row r="13">
      <c r="A13" s="28" t="inlineStr">
        <is>
          <t>Comisiones de los medios de pago</t>
        </is>
      </c>
      <c r="B13" s="32">
        <f>IFERROR(IF(B8="","",B8*'0. Supuestos'!$B$18),"")</f>
        <v>690.0</v>
      </c>
      <c r="C13" s="32">
        <f>IFERROR(IF(C8="","",C8*'0. Supuestos'!$B$18),"")</f>
        <v>950.0</v>
      </c>
      <c r="D13" s="32">
        <f>IFERROR(IF(D8="","",D8*'0. Supuestos'!$B$18),"")</f>
        <v>1215.5</v>
      </c>
      <c r="E13" s="28" t="n"/>
      <c r="F13" s="28" t="n"/>
    </row>
    <row r="14">
      <c r="A14" s="28" t="inlineStr">
        <is>
          <t>Varios e imprevistos</t>
        </is>
      </c>
      <c r="B14" s="32">
        <f>IFERROR(IF(B8="","",B8*'0. Supuestos'!$B$28),"")</f>
        <v>6900.0</v>
      </c>
      <c r="C14" s="32">
        <f>IFERROR(IF(C8="","",C8*'0. Supuestos'!$B$28),"")</f>
        <v>9500.0</v>
      </c>
      <c r="D14" s="32">
        <f>IFERROR(IF(D8="","",D8*'0. Supuestos'!$B$28),"")</f>
        <v>12155.0</v>
      </c>
      <c r="E14" s="28" t="n"/>
      <c r="F14" s="28" t="n"/>
    </row>
    <row r="15">
      <c r="A15" s="28" t="inlineStr">
        <is>
          <t>TOTAL COSTES VARIABLES</t>
        </is>
      </c>
      <c r="B15" s="32">
        <f>IFERROR(IF(B8="","",SUM(B9:B14)),"")</f>
        <v>58318.8</v>
      </c>
      <c r="C15" s="32">
        <f>IFERROR(IF(C8="","",SUM(C9:C14)),"")</f>
        <v>80294.0</v>
      </c>
      <c r="D15" s="32">
        <f>IFERROR(IF(D8="","",SUM(D9:D14)),"")</f>
        <v>102734.06000000001</v>
      </c>
      <c r="E15" s="28" t="n"/>
      <c r="F15" s="28" t="n"/>
    </row>
    <row r="16">
      <c r="A16" s="28" t="inlineStr">
        <is>
          <t>MARGEN BRUTO</t>
        </is>
      </c>
      <c r="B16" s="32">
        <f>IFERROR(IF(B8="","",B8-B15),"")</f>
        <v>79681.2</v>
      </c>
      <c r="C16" s="32">
        <f>IFERROR(IF(C8="","",C8-C15),"")</f>
        <v>109706.0</v>
      </c>
      <c r="D16" s="32">
        <f>IFERROR(IF(D8="","",D8-D15),"")</f>
        <v>140365.94</v>
      </c>
      <c r="E16" s="28" t="n"/>
      <c r="F16" s="28" t="n"/>
    </row>
    <row r="17">
      <c r="A17" s="28" t="inlineStr">
        <is>
          <t>COSTES FIJOS (los del P&amp;L)</t>
        </is>
      </c>
      <c r="B17" s="32">
        <f>IFERROR(IF(B8="","",'PyG 3 Años'!$B$38),"")</f>
        <v>92615.68</v>
      </c>
      <c r="C17" s="32">
        <f>IFERROR(IF(C8="","",'PyG 3 Años'!$B$38),"")</f>
        <v>92615.68</v>
      </c>
      <c r="D17" s="32">
        <f>IFERROR(IF(D8="","",'PyG 3 Años'!$B$38),"")</f>
        <v>92615.68</v>
      </c>
      <c r="E17" s="28" t="inlineStr">
        <is>
          <t>Los costes fijos no cambian con el escenario: por eso son fijos</t>
        </is>
      </c>
      <c r="F17" s="28" t="n"/>
    </row>
    <row r="18">
      <c r="A18" s="25" t="inlineStr">
        <is>
          <t>RESULTADO ANTES DE IMPUESTOS</t>
        </is>
      </c>
      <c r="B18" s="26">
        <f>IFERROR(IF(B8="","",B16-B17),"")</f>
        <v>-12934.479999999996</v>
      </c>
      <c r="C18" s="26">
        <f>IFERROR(IF(C8="","",C16-C17),"")</f>
        <v>17090.320000000007</v>
      </c>
      <c r="D18" s="26">
        <f>IFERROR(IF(D8="","",D16-D17),"")</f>
        <v>47750.26000000001</v>
      </c>
      <c r="E18" s="28" t="n"/>
      <c r="F18" s="28" t="n"/>
    </row>
    <row r="19">
      <c r="A19" s="28" t="inlineStr">
        <is>
          <t>Impuesto de Sociedades</t>
        </is>
      </c>
      <c r="B19" s="32">
        <f>IFERROR(IF(B8="","",MAX(0,B18-'0. Supuestos'!$B$42)*'0. Supuestos'!$B$37),"")</f>
        <v>0.0</v>
      </c>
      <c r="C19" s="32">
        <f>IFERROR(IF(C8="","",MAX(0,C18-'0. Supuestos'!$B$42)*'0. Supuestos'!$B$37),"")</f>
        <v>2563.548000000001</v>
      </c>
      <c r="D19" s="32">
        <f>IFERROR(IF(D8="","",MAX(0,D18-'0. Supuestos'!$B$42)*'0. Supuestos'!$B$37),"")</f>
        <v>7162.539000000002</v>
      </c>
      <c r="E19" s="28" t="inlineStr">
        <is>
          <t>Al tipo de entidad de nueva creación, compensando las bases negativas anteriores</t>
        </is>
      </c>
      <c r="F19" s="28" t="n"/>
    </row>
    <row r="20">
      <c r="A20" s="25" t="inlineStr">
        <is>
          <t>RESULTADO NETO</t>
        </is>
      </c>
      <c r="B20" s="26">
        <f>IFERROR(IF(B8="","",B18-B19),"")</f>
        <v>-12934.479999999996</v>
      </c>
      <c r="C20" s="26">
        <f>IFERROR(IF(C8="","",C18-C19),"")</f>
        <v>14526.772000000006</v>
      </c>
      <c r="D20" s="26">
        <f>IFERROR(IF(D8="","",D18-D19),"")</f>
        <v>40587.721000000005</v>
      </c>
      <c r="E20" s="28" t="n"/>
      <c r="F20" s="28" t="n"/>
    </row>
    <row r="21">
      <c r="A21" s="28" t="inlineStr">
        <is>
          <t>Invitados por evento para el equilibrio</t>
        </is>
      </c>
      <c r="B21" s="44">
        <f>IFERROR(IF(B8="","",IF(B6-B15/(B5*B7)&lt;=0,"",B17/(B6-B15/(B5*B7))/B7)),"")</f>
        <v>87.1745907441153</v>
      </c>
      <c r="C21" s="44">
        <f>IFERROR(IF(C8="","",IF(C6-C15/(C5*C7)&lt;=0,"",C17/(C6-C15/(C5*C7))/C7)),"")</f>
        <v>67.53736714491458</v>
      </c>
      <c r="D21" s="44">
        <f>IFERROR(IF(D8="","",IF(D6-D15/(D5*D7)&lt;=0,"",D17/(D6-D15/(D5*D7))/D7)),"")</f>
        <v>56.08435208712313</v>
      </c>
      <c r="E21" s="28" t="n"/>
      <c r="F21" s="28" t="n"/>
    </row>
    <row r="22">
      <c r="A22" s="25" t="inlineStr">
        <is>
          <t>LO QUE CADA ESCENARIO EXIGE</t>
        </is>
      </c>
      <c r="B22" s="28" t="n"/>
      <c r="C22" s="28" t="n"/>
      <c r="D22" s="28" t="n"/>
      <c r="E22" s="28" t="n"/>
      <c r="F22" s="28" t="n"/>
    </row>
    <row r="23">
      <c r="A23" s="28" t="inlineStr">
        <is>
          <t>Coste de personal / Ventas</t>
        </is>
      </c>
      <c r="B23" s="68">
        <f>IFERROR(IF(B8="","",'PyG 3 Años'!$B$23/B8),"")</f>
        <v>0.42016434782608697</v>
      </c>
      <c r="C23" s="68">
        <f>IFERROR(IF(C8="","",'PyG 3 Años'!$B$23/C8),"")</f>
        <v>0.305172</v>
      </c>
      <c r="D23" s="68">
        <f>IFERROR(IF(D8="","",'PyG 3 Años'!$B$23/D8),"")</f>
        <v>0.23851369806663925</v>
      </c>
      <c r="E23" s="28" t="inlineStr">
        <is>
          <t>La MISMA plantilla en los tres escenarios. Si en el pesimista se dispara, el ajuste hay que hacerlo en la hoja de Personal, no aquí</t>
        </is>
      </c>
      <c r="F23" s="28" t="n"/>
    </row>
    <row r="24">
      <c r="A24" s="28" t="inlineStr">
        <is>
          <t>Invitados al año por jornada equivalente</t>
        </is>
      </c>
      <c r="B24" s="40">
        <f>IFERROR(IF(B8="","",B5*B7/'Personal'!$C$9),"")</f>
        <v>3092.7835051546394</v>
      </c>
      <c r="C24" s="40">
        <f>IFERROR(IF(C8="","",C5*C7/'Personal'!$C$9),"")</f>
        <v>3917.5257731958764</v>
      </c>
      <c r="D24" s="40">
        <f>IFERROR(IF(D8="","",D5*D7/'Personal'!$C$9),"")</f>
        <v>4819.587628865979</v>
      </c>
      <c r="E24" s="28" t="inlineStr">
        <is>
          <t>Invitados que tendría que servir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Inicial'!$B$25+B20+'PyG 3 Años'!$B$36-'Financiación'!$B$45),"")</f>
        <v>13903.440000000002</v>
      </c>
      <c r="C25" s="26">
        <f>IFERROR(IF(C8="","",'Inversión Inicial'!$B$25+C20+'PyG 3 Años'!$B$36-'Financiación'!$B$45),"")</f>
        <v>41364.692</v>
      </c>
      <c r="D25" s="26">
        <f>IFERROR(IF(D8="","",'Inversión Inicial'!$B$25+D20+'PyG 3 Años'!$B$36-'Financiación'!$B$45),"")</f>
        <v>67425.641</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42559.78477445407</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65" customHeight="1">
      <c r="A28" s="46" t="inlineStr">
        <is>
          <t>La columna «Realista» lee sus tres datos de la hoja de Supuestos, así que reproduce EXACTAMENTE el año 1 del P&amp;L. Los otros dos escenarios usan las mismas tasas de coste: lo único que cambia son los invitados, el precio por invitado y los eventos.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t="str">
        <f>IFERROR("Convenio Hostelería — "&amp;TEXT('0. Supuestos'!$B$21,"0")&amp;" pagas + SS "&amp;TEXT('0. Supuestos'!$B$20*100,"0")&amp;" %","")</f>
        <v>Convenio Hostelería — 14 pagas + SS 33 %</v>
      </c>
    </row>
    <row r="3"/>
    <row r="4">
      <c r="A4" s="39" t="inlineStr">
        <is>
          <t>Puesto</t>
        </is>
      </c>
      <c r="B4" s="39" t="inlineStr">
        <is>
          <t>Personas</t>
        </is>
      </c>
      <c r="C4" s="39" t="inlineStr">
        <is>
          <t>Jornada</t>
        </is>
      </c>
      <c r="D4" s="39" t="inlineStr">
        <is>
          <t>Bruto mes (€, total del puesto)</t>
        </is>
      </c>
      <c r="E4" s="39" t="inlineStr">
        <is>
          <t>Seg. Social a cargo de la empresa (€)</t>
        </is>
      </c>
      <c r="F4" s="39" t="inlineStr">
        <is>
          <t>Coste mes (€, total del puesto)</t>
        </is>
      </c>
      <c r="G4" s="39" t="inlineStr">
        <is>
          <t>Coste año (€)</t>
        </is>
      </c>
      <c r="H4" s="39" t="inlineStr">
        <is>
          <t>Horas/semana por persona</t>
        </is>
      </c>
      <c r="I4" s="39" t="inlineStr">
        <is>
          <t>Horas/año del puesto</t>
        </is>
      </c>
      <c r="J4" s="39" t="inlineStr">
        <is>
          <t>Notas</t>
        </is>
      </c>
    </row>
    <row r="5">
      <c r="A5" s="28" t="inlineStr">
        <is>
          <t>Propietario/a — parrillero titular, ventas y compras</t>
        </is>
      </c>
      <c r="B5" s="49" t="n">
        <v>1</v>
      </c>
      <c r="C5" s="51" t="n">
        <v>1</v>
      </c>
      <c r="D5" s="73" t="n">
        <v>1800</v>
      </c>
      <c r="E5" s="70">
        <f>IFERROR(IF(D5="","",D5*'0. Supuestos'!$B$20),"")</f>
        <v>594.0</v>
      </c>
      <c r="F5" s="70">
        <f>IFERROR(IF(D5="","",D5+E5),"")</f>
        <v>2394.0</v>
      </c>
      <c r="G5" s="70">
        <f>IFERROR(IF(D5="","",F5*MAX(12,'0. Supuestos'!$B$21)),"")</f>
        <v>33516.0</v>
      </c>
      <c r="H5" s="44">
        <f>IFERROR(IF(D5="","",C5*$B$16),"")</f>
        <v>40.0</v>
      </c>
      <c r="I5" s="40">
        <f>IFERROR(IF(D5="","",H5*B5*$B$17),"")</f>
        <v>1840.0</v>
      </c>
      <c r="J5" s="28" t="inlineStr">
        <is>
          <t>Asa en cada evento, vende, compra la carne y lleva la agenda. Como administrador de la SL cotiza en el régimen de autónomos: confirma con tu gestoría la cuota y si te aplica la reducida de inicio</t>
        </is>
      </c>
    </row>
    <row r="6">
      <c r="A6" s="28" t="inlineStr">
        <is>
          <t>Segundo parrillero y ayudante (fijo discontinuo)</t>
        </is>
      </c>
      <c r="B6" s="49" t="n">
        <v>1</v>
      </c>
      <c r="C6" s="51" t="n">
        <v>0.3</v>
      </c>
      <c r="D6" s="73" t="n">
        <v>450</v>
      </c>
      <c r="E6" s="70">
        <f>IFERROR(IF(D6="","",D6*'0. Supuestos'!$B$20),"")</f>
        <v>148.5</v>
      </c>
      <c r="F6" s="70">
        <f>IFERROR(IF(D6="","",D6+E6),"")</f>
        <v>598.5</v>
      </c>
      <c r="G6" s="70">
        <f>IFERROR(IF(D6="","",F6*MAX(12,'0. Supuestos'!$B$21)),"")</f>
        <v>8379.0</v>
      </c>
      <c r="H6" s="44">
        <f>IFERROR(IF(D6="","",C6*$B$16),"")</f>
        <v>12.0</v>
      </c>
      <c r="I6" s="40">
        <f>IFERROR(IF(D6="","",H6*B6*$B$17),"")</f>
        <v>552.0</v>
      </c>
      <c r="J6" s="28" t="inlineStr">
        <is>
          <t>Contrato fijo discontinuo (art. 16 del Estatuto de los Trabajadores) al 30 % de jornada en cómputo anual: segunda parrilla en bodas, empresas y fiestas, y preparación en la cocina de apoyo. Bruto a jornada completa: 1.500 € en 14 pagas</t>
        </is>
      </c>
    </row>
    <row r="7">
      <c r="A7" s="28" t="inlineStr">
        <is>
          <t>Auxiliar de parrilla y montaje (fijo discontinuo)</t>
        </is>
      </c>
      <c r="B7" s="49" t="n">
        <v>1</v>
      </c>
      <c r="C7" s="51" t="n">
        <v>0.32</v>
      </c>
      <c r="D7" s="73" t="n">
        <v>432</v>
      </c>
      <c r="E7" s="70">
        <f>IFERROR(IF(D7="","",D7*'0. Supuestos'!$B$20),"")</f>
        <v>142.56</v>
      </c>
      <c r="F7" s="70">
        <f>IFERROR(IF(D7="","",D7+E7),"")</f>
        <v>574.56</v>
      </c>
      <c r="G7" s="70">
        <f>IFERROR(IF(D7="","",F7*MAX(12,'0. Supuestos'!$B$21)),"")</f>
        <v>8043.839999999999</v>
      </c>
      <c r="H7" s="44">
        <f>IFERROR(IF(D7="","",C7*$B$16),"")</f>
        <v>12.8</v>
      </c>
      <c r="I7" s="40">
        <f>IFERROR(IF(D7="","",H7*B7*$B$17),"")</f>
        <v>588.8000000000001</v>
      </c>
      <c r="J7" s="28" t="inlineStr">
        <is>
          <t>Llamado para los eventos medianos y grandes: carga, montaje, brasa, emplatado de la carne y recogida. Bruto a jornada completa: 1.350 €. Nunca como autónomo que te factura: con tu horario y tu dirección es falso autónomo (art. 1.1 ET)</t>
        </is>
      </c>
    </row>
    <row r="8">
      <c r="A8" s="28" t="inlineStr">
        <is>
          <t>Auxiliar de servicio y emplatado (fijo discontinuo)</t>
        </is>
      </c>
      <c r="B8" s="49" t="n">
        <v>1</v>
      </c>
      <c r="C8" s="51" t="n">
        <v>0.32</v>
      </c>
      <c r="D8" s="73" t="n">
        <v>432</v>
      </c>
      <c r="E8" s="70">
        <f>IFERROR(IF(D8="","",D8*'0. Supuestos'!$B$20),"")</f>
        <v>142.56</v>
      </c>
      <c r="F8" s="70">
        <f>IFERROR(IF(D8="","",D8+E8),"")</f>
        <v>574.56</v>
      </c>
      <c r="G8" s="70">
        <f>IFERROR(IF(D8="","",F8*MAX(12,'0. Supuestos'!$B$21)),"")</f>
        <v>8043.839999999999</v>
      </c>
      <c r="H8" s="44">
        <f>IFERROR(IF(D8="","",C8*$B$16),"")</f>
        <v>12.8</v>
      </c>
      <c r="I8" s="40">
        <f>IFERROR(IF(D8="","",H8*B8*$B$17),"")</f>
        <v>588.8000000000001</v>
      </c>
      <c r="J8" s="28" t="inlineStr">
        <is>
          <t>Mismo contrato y mismas horas que el anterior: sirve, repone guarniciones y salsas y recoge. Por encima del SMI en proporción a su jornada</t>
        </is>
      </c>
    </row>
    <row r="9">
      <c r="A9" s="25" t="inlineStr">
        <is>
          <t>TOTAL PLANTILLA</t>
        </is>
      </c>
      <c r="B9" s="76">
        <f>IFERROR(IF(COUNT(D5:D8)=0,"",SUM(B5:B8)),"")</f>
        <v>4.0</v>
      </c>
      <c r="C9" s="62">
        <f>IFERROR(IF(COUNT(D5:D8)=0,"",SUM(C5:C8)),"")</f>
        <v>1.94</v>
      </c>
      <c r="D9" s="72">
        <f>IFERROR(IF(COUNT(D5:D8)=0,"",SUM(D5:D8)),"")</f>
        <v>3114.0</v>
      </c>
      <c r="E9" s="72">
        <f>IFERROR(IF(COUNT(D5:D8)=0,"",SUM(E5:E8)),"")</f>
        <v>1027.62</v>
      </c>
      <c r="F9" s="72">
        <f>IFERROR(IF(COUNT(D5:D8)=0,"",SUM(F5:F8)),"")</f>
        <v>4141.62</v>
      </c>
      <c r="G9" s="72">
        <f>IFERROR(IF(COUNT(D5:D8)=0,"",SUM(G5:G8)),"")</f>
        <v>57982.68</v>
      </c>
      <c r="H9" s="28" t="n"/>
      <c r="I9" s="76">
        <f>IFERROR(IF(COUNT(D5:D8)=0,"",SUM(I5:I8)),"")</f>
        <v>3569.6000000000004</v>
      </c>
      <c r="J9" s="28" t="n"/>
    </row>
    <row r="10">
      <c r="A10" s="25" t="inlineStr">
        <is>
          <t>CRECIMIENTO DE LA PLANTILLA (coste escalonado)</t>
        </is>
      </c>
      <c r="B10" s="28" t="n"/>
      <c r="C10" s="28" t="n"/>
      <c r="D10" s="28" t="n"/>
      <c r="E10" s="28" t="n"/>
      <c r="F10" s="28" t="n"/>
      <c r="G10" s="28" t="n"/>
      <c r="H10" s="28" t="n"/>
      <c r="I10" s="28" t="n"/>
      <c r="J10" s="28" t="n"/>
    </row>
    <row r="11">
      <c r="A11" s="28" t="inlineStr">
        <is>
          <t>Coste anual de las incorporaciones del año 2 (€)</t>
        </is>
      </c>
      <c r="B11" s="29" t="n">
        <v>6000</v>
      </c>
      <c r="C11" s="28" t="n"/>
      <c r="D11" s="28" t="n"/>
      <c r="E11" s="28" t="n"/>
      <c r="F11" s="28" t="n"/>
      <c r="G11" s="28" t="n"/>
      <c r="H11" s="28" t="n"/>
      <c r="I11" s="28" t="n"/>
      <c r="J11" s="28" t="inlineStr">
        <is>
          <t>Coste ANUAL completo (bruto + Seguridad Social × pagas) de lo que se contrate ese año. El P&amp;L lo suma al coste del año anterior: la plantilla no crece con un porcentaje, crece con personas</t>
        </is>
      </c>
    </row>
    <row r="12">
      <c r="A12" s="28" t="inlineStr">
        <is>
          <t>Coste anual de las incorporaciones del año 3 (€)</t>
        </is>
      </c>
      <c r="B12" s="29" t="n">
        <v>6000</v>
      </c>
      <c r="C12" s="28" t="n"/>
      <c r="D12" s="28" t="n"/>
      <c r="E12" s="28" t="n"/>
      <c r="F12" s="28" t="n"/>
      <c r="G12" s="28" t="n"/>
      <c r="H12" s="28" t="n"/>
      <c r="I12" s="28" t="n"/>
      <c r="J12" s="28" t="inlineStr">
        <is>
          <t>Coste ANUAL completo (bruto + Seguridad Social × pagas) de lo que se contrate ese año. El P&amp;L lo suma al coste del año anterior: la plantilla no crece con un porcentaje, crece con personas</t>
        </is>
      </c>
    </row>
    <row r="13">
      <c r="A13" s="28" t="inlineStr">
        <is>
          <t>Coste de personal del año 2</t>
        </is>
      </c>
      <c r="B13" s="32">
        <f>IFERROR(IF(G9="","",G9*(1+'0. Supuestos'!$B$48)+B11),"")</f>
        <v>63982.68</v>
      </c>
      <c r="C13" s="28" t="n"/>
      <c r="D13" s="28" t="n"/>
      <c r="E13" s="28" t="n"/>
      <c r="F13" s="28" t="n"/>
      <c r="G13" s="28" t="n"/>
      <c r="H13" s="28" t="n"/>
      <c r="I13" s="28" t="n"/>
      <c r="J13" s="28" t="n"/>
    </row>
    <row r="14">
      <c r="A14" s="28" t="inlineStr">
        <is>
          <t>Coste de personal del año 3</t>
        </is>
      </c>
      <c r="B14" s="32">
        <f>IFERROR(IF(B13="","",B13*(1+'0. Supuestos'!$B$48)+B12),"")</f>
        <v>69982.68</v>
      </c>
      <c r="C14" s="28" t="n"/>
      <c r="D14" s="28" t="n"/>
      <c r="E14" s="28" t="n"/>
      <c r="F14" s="28" t="n"/>
      <c r="G14" s="28" t="n"/>
      <c r="H14" s="28" t="n"/>
      <c r="I14" s="28" t="n"/>
      <c r="J14" s="28" t="n"/>
    </row>
    <row r="15">
      <c r="A15" s="25" t="inlineStr">
        <is>
          <t>COBERTURA POR HORAS DE SERVICIO</t>
        </is>
      </c>
      <c r="B15" s="28" t="n"/>
      <c r="C15" s="28" t="n"/>
      <c r="D15" s="28" t="n"/>
      <c r="E15" s="28" t="n"/>
      <c r="F15" s="28" t="n"/>
      <c r="G15" s="28" t="n"/>
      <c r="H15" s="28" t="n"/>
      <c r="I15" s="28" t="n"/>
      <c r="J15" s="28" t="n"/>
    </row>
    <row r="16">
      <c r="A16" s="28" t="inlineStr">
        <is>
          <t>Jornada completa del convenio (horas/semana)</t>
        </is>
      </c>
      <c r="B16" s="49" t="n">
        <v>40</v>
      </c>
      <c r="C16" s="28" t="n"/>
      <c r="D16" s="28" t="n"/>
      <c r="E16" s="28" t="n"/>
      <c r="F16" s="28" t="n"/>
      <c r="G16" s="28" t="n"/>
      <c r="H16" s="28" t="n"/>
      <c r="I16" s="28" t="n"/>
      <c r="J16" s="28" t="inlineStr">
        <is>
          <t>Art. 34.1 del Estatuto de los Trabajadores; tu convenio provincial puede fijar menos</t>
        </is>
      </c>
    </row>
    <row r="17">
      <c r="A17" s="28" t="inlineStr">
        <is>
          <t>Semanas trabajadas al año por persona</t>
        </is>
      </c>
      <c r="B17" s="49" t="n">
        <v>46</v>
      </c>
      <c r="C17" s="28" t="n"/>
      <c r="D17" s="28" t="n"/>
      <c r="E17" s="28" t="n"/>
      <c r="F17" s="28" t="n"/>
      <c r="G17" s="28" t="n"/>
      <c r="H17" s="28" t="n"/>
      <c r="I17" s="28" t="n"/>
      <c r="J17" s="28" t="inlineStr">
        <is>
          <t>46 semanas: 52 menos las vacaciones (30 días naturales, art. 38 ET), los festivos y las ausencias medias</t>
        </is>
      </c>
    </row>
    <row r="18">
      <c r="A18" s="28" t="inlineStr">
        <is>
          <t>Horas de trabajo por evento que hay que cubrir</t>
        </is>
      </c>
      <c r="B18" s="77" t="n">
        <v>8</v>
      </c>
      <c r="C18" s="28" t="n"/>
      <c r="D18" s="28" t="n"/>
      <c r="E18" s="28" t="n"/>
      <c r="F18" s="28" t="n"/>
      <c r="G18" s="28" t="n"/>
      <c r="H18" s="28" t="n"/>
      <c r="I18" s="28" t="n"/>
      <c r="J18" s="28" t="inlineStr">
        <is>
          <t>Horas por evento y persona: carga, viaje, montaje, encendido de la brasa, cocción, servicio, recogida de las cenizas y descarga. Los marinados y el porcionado en la cocina de apoyo van aparte</t>
        </is>
      </c>
    </row>
    <row r="19">
      <c r="A19" s="28" t="inlineStr">
        <is>
          <t>Personas necesarias a la vez en cada evento</t>
        </is>
      </c>
      <c r="B19" s="77" t="n">
        <v>3</v>
      </c>
      <c r="C19" s="28" t="n"/>
      <c r="D19" s="28" t="n"/>
      <c r="E19" s="28" t="n"/>
      <c r="F19" s="28" t="n"/>
      <c r="G19" s="28" t="n"/>
      <c r="H19" s="28" t="n"/>
      <c r="I19" s="28" t="n"/>
      <c r="J19" s="28" t="inlineStr">
        <is>
          <t>Personas trabajando a la vez en un evento medio de 80 invitados: el parrillero titular, el segundo parrillero y un auxiliar. En bodas y fiestas entran los dos auxiliares (y un tercero de la bolsa o de una ETT si hace falta); en una celebración privada pequeña bastan dos personas: ajústalo y la hoja te dice si llega la plantilla</t>
        </is>
      </c>
    </row>
    <row r="20">
      <c r="A20" s="28" t="inlineStr">
        <is>
          <t>Horas de servicio a cubrir al año</t>
        </is>
      </c>
      <c r="B20" s="40">
        <f>IFERROR(IF(OR(B18="",B19="",'0. Supuestos'!$B$6=""),"",B18*B19*'0. Supuestos'!$B$6),"")</f>
        <v>2280.0</v>
      </c>
      <c r="C20" s="28" t="n"/>
      <c r="D20" s="28" t="n"/>
      <c r="E20" s="28" t="n"/>
      <c r="F20" s="28" t="n"/>
      <c r="G20" s="28" t="n"/>
      <c r="H20" s="28" t="n"/>
      <c r="I20" s="28" t="n"/>
      <c r="J20" s="28" t="n"/>
    </row>
    <row r="21">
      <c r="A21" s="28" t="inlineStr">
        <is>
          <t>Horas contratadas al año</t>
        </is>
      </c>
      <c r="B21" s="40">
        <f>IFERROR(IF(I9="","",I9),"")</f>
        <v>3569.6000000000004</v>
      </c>
      <c r="C21" s="28" t="n"/>
      <c r="D21" s="28" t="n"/>
      <c r="E21" s="28" t="n"/>
      <c r="F21" s="28" t="n"/>
      <c r="G21" s="28" t="n"/>
      <c r="H21" s="28" t="n"/>
      <c r="I21" s="28" t="n"/>
      <c r="J21" s="28" t="n"/>
    </row>
    <row r="22">
      <c r="A22" s="25" t="inlineStr">
        <is>
          <t>Cobertura (contratadas / necesarias)</t>
        </is>
      </c>
      <c r="B22" s="67">
        <f>IFERROR(B21/B20,"")</f>
        <v>1.5656140350877195</v>
      </c>
      <c r="C22" s="28" t="n"/>
      <c r="D22" s="28" t="n"/>
      <c r="E22" s="28" t="n"/>
      <c r="F22" s="28" t="n"/>
      <c r="G22" s="28" t="n"/>
      <c r="H22" s="28" t="n"/>
      <c r="I22" s="28" t="n"/>
      <c r="J22" s="25" t="inlineStr">
        <is>
          <t>Por debajo del 100 % la plantilla no llega a cubrir el horario que declara el plan: o se contrata más o se recorta el horario</t>
        </is>
      </c>
    </row>
    <row r="23">
      <c r="A23" s="28" t="n"/>
      <c r="B23" s="28" t="n"/>
      <c r="C23" s="28" t="n"/>
      <c r="D23" s="28" t="n"/>
      <c r="E23" s="28" t="n"/>
      <c r="F23" s="28" t="n"/>
      <c r="G23" s="28" t="n"/>
      <c r="H23" s="28" t="n"/>
      <c r="I23" s="28" t="n"/>
      <c r="J23" s="28" t="n"/>
    </row>
    <row r="24" ht="150" customHeight="1">
      <c r="A24"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4" s="28" t="n"/>
      <c r="C24" s="28" t="n"/>
      <c r="D24" s="28" t="n"/>
      <c r="E24" s="28" t="n"/>
      <c r="F24" s="28" t="n"/>
      <c r="G24" s="28" t="n"/>
      <c r="H24" s="28" t="n"/>
      <c r="I24" s="28" t="n"/>
      <c r="J24" s="28" t="n"/>
    </row>
    <row r="25" ht="150" customHeight="1">
      <c r="A25"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5" s="28" t="n"/>
      <c r="C25" s="28" t="n"/>
      <c r="D25" s="28" t="n"/>
      <c r="E25" s="28" t="n"/>
      <c r="F25" s="28" t="n"/>
      <c r="G25" s="28" t="n"/>
      <c r="H25" s="28" t="n"/>
      <c r="I25" s="28" t="n"/>
      <c r="J25"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Supuestos'!$B$21&lt;MAX('0. Supuestos'!$B$22,'0. Supuestos'!$B$68)*C5)</formula>
    </cfRule>
  </conditionalFormatting>
  <dataValidations count="3">
    <dataValidation sqref="B5 B6 B7 B8 B11 B12 B16 B17 B18 D5 D6 D7 D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Parrillero / Asador para Eventos</t>
        </is>
      </c>
      <c r="B1" s="28" t="n"/>
      <c r="C1" s="28" t="n"/>
      <c r="D1" s="28" t="n"/>
      <c r="E1" s="28" t="n"/>
    </row>
    <row r="2">
      <c r="A2" s="28" t="n"/>
      <c r="B2" s="28" t="n"/>
      <c r="C2" s="28" t="n"/>
      <c r="D2" s="28" t="n"/>
      <c r="E2" s="28" t="n"/>
    </row>
    <row r="3">
      <c r="A3" s="39"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invitados, precio por invitado sin IVA, eventos,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25" customHeight="1">
      <c r="A8" s="46" t="inlineStr">
        <is>
          <t>4. Todas las cifras van SIN IVA. Para pasar un PVP a precio sin IVA, divide por el tipo que le corresponda: entre 1,10 en el servicio de parrilla (comida y bebida, alcohol incluido: art. 91.Uno.2.2.º de la Ley 37/1992 del IVA) y, cuando se venden para llevar, los alimentos, que son productos alimenticios al tipo reducido por el art. 91.Uno.1.1.º; y entre 1,21 el tipo general, que en hostelería sólo alcanza a lo que sale de la cocina de apoyo como entrega de bienes excluida del reducido: el alcohol y los refrescos, zumos y gaseosas con azúcares o edulcorantes añadidos para llevar o a domicilio (la comida para llevar sigue al 10 %); el libro lo aplica al alcohol del canal de asado para llevar.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75" customHeight="1">
      <c r="A10" s="46" t="inlineStr">
        <is>
          <t>6. La hoja «Tesorería 12 meses» responde la pregunta que decide una operación bancaria: en qué mes se agota la caja. El saldo mínimo del año nunca puede salir en rojo. Las señales de los particulares (30 % al firmar y 40 % siete días antes) no se modelan: tu caja real será algo mejor.</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45" customHeight="1">
      <c r="A12" s="46" t="inlineStr">
        <is>
          <t>8. El documento Word de este pack y la calculadora de presupuestos usan las cifras de este Excel: si cambias una celda verde, el Excel manda.</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68">
        <f>IFERROR(IF('PyG 3 Años'!$B$53="","",'PyG 3 Años'!$B$53),"")</f>
        <v>0.3176</v>
      </c>
      <c r="C18" s="68">
        <f>IFERROR(IF('PyG 3 Años'!$E$53="","",'PyG 3 Años'!$E$53),"")</f>
        <v>0.34</v>
      </c>
      <c r="D18" s="28" t="str">
        <f>IFERROR(IF(OR(B18="",C18=""),"",IF(B18&lt;=C18,"CUMPLE","REVISAR")),"")</f>
        <v>CUMPLE</v>
      </c>
      <c r="E18" s="28" t="n"/>
    </row>
    <row r="19">
      <c r="A19" s="28" t="inlineStr">
        <is>
          <t>Coste de personal / Ventas</t>
        </is>
      </c>
      <c r="B19" s="68">
        <f>IFERROR(IF('PyG 3 Años'!$B$54="","",'PyG 3 Años'!$B$54),"")</f>
        <v>0.305172</v>
      </c>
      <c r="C19" s="68">
        <f>IFERROR(IF('PyG 3 Años'!$E$54="","",'PyG 3 Años'!$E$54),"")</f>
        <v>0.36</v>
      </c>
      <c r="D19" s="28" t="str">
        <f>IFERROR(IF(OR(B19="",C19=""),"",IF(B19&lt;=C19,"CUMPLE","REVISAR")),"")</f>
        <v>CUMPLE</v>
      </c>
      <c r="E19" s="28" t="n"/>
    </row>
    <row r="20">
      <c r="A20" s="28" t="inlineStr">
        <is>
          <t>Cocina de apoyo / Ventas</t>
        </is>
      </c>
      <c r="B20" s="68">
        <f>IFERROR(IF('PyG 3 Años'!$B$55="","",'PyG 3 Años'!$B$55),"")</f>
        <v>0.06315789473684211</v>
      </c>
      <c r="C20" s="68">
        <f>IFERROR(IF('PyG 3 Años'!$E$55="","",'PyG 3 Años'!$E$55),"")</f>
        <v>0.08</v>
      </c>
      <c r="D20" s="28" t="str">
        <f>IFERROR(IF(OR(B20="",C20=""),"",IF(B20&lt;=C20,"CUMPLE","REVISAR")),"")</f>
        <v>CUMPLE</v>
      </c>
      <c r="E20" s="28" t="n"/>
    </row>
    <row r="21">
      <c r="A21" s="28" t="inlineStr">
        <is>
          <t>Resultado neto / Ventas</t>
        </is>
      </c>
      <c r="B21" s="68">
        <f>IFERROR(IF('PyG 3 Años'!$B$56="","",'PyG 3 Años'!$B$56),"")</f>
        <v>0.07645669473684213</v>
      </c>
      <c r="C21" s="68">
        <f>IFERROR(IF('PyG 3 Años'!$E$56="","",'PyG 3 Años'!$E$56),"")</f>
        <v>0.04</v>
      </c>
      <c r="D21" s="28" t="str">
        <f>IFERROR(IF(OR(B21="",C21=""),"",IF(B21&gt;=C21,"CUMPLE","REVISAR")),"")</f>
        <v>CUMPLE</v>
      </c>
      <c r="E21" s="28" t="n"/>
    </row>
    <row r="22">
      <c r="A22" s="28" t="inlineStr">
        <is>
          <t>Margen bruto / Ventas</t>
        </is>
      </c>
      <c r="B22" s="68">
        <f>IFERROR(IF('PyG 3 Años'!$B$51="","",'PyG 3 Años'!$B$51),"")</f>
        <v>0.5774</v>
      </c>
      <c r="C22" s="68">
        <f>IFERROR(IF('PyG 3 Años'!$E$51="","",'PyG 3 Años'!$E$51),"")</f>
        <v>0.55</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Inicial'!$B$26="","",'Inversión Inicial'!$B$26),"")</f>
        <v>76521.92</v>
      </c>
      <c r="C25" s="28" t="n"/>
      <c r="D25" s="28" t="n"/>
      <c r="E25" s="28" t="n"/>
    </row>
    <row r="26">
      <c r="A26" s="28" t="inlineStr">
        <is>
          <t>Necesidad total de caja al arranque</t>
        </is>
      </c>
      <c r="B26" s="32">
        <f>IFERROR(IF('Inversión Inicial'!$B$29="","",'Inversión Inicial'!$B$29),"")</f>
        <v>87357.08</v>
      </c>
      <c r="C26" s="28" t="n"/>
      <c r="D26" s="28" t="n"/>
      <c r="E26" s="28" t="n"/>
    </row>
    <row r="27">
      <c r="A27" s="28" t="inlineStr">
        <is>
          <t>Fondo de maniobra dotado</t>
        </is>
      </c>
      <c r="B27" s="32">
        <f>IFERROR(IF('Inversión Inicial'!$B$25="","",'Inversión Inicial'!$B$25),"")</f>
        <v>21925.92</v>
      </c>
      <c r="C27" s="28" t="n"/>
      <c r="D27" s="28" t="n"/>
      <c r="E27" s="28" t="n"/>
    </row>
    <row r="28">
      <c r="A28" s="28" t="inlineStr">
        <is>
          <t>Facturación prevista del año 1</t>
        </is>
      </c>
      <c r="B28" s="32">
        <f>IFERROR(IF('PyG 3 Años'!$B$9="","",'PyG 3 Años'!$B$9),"")</f>
        <v>190000.0</v>
      </c>
      <c r="C28" s="28" t="n"/>
      <c r="D28" s="28" t="n"/>
      <c r="E28" s="28" t="n"/>
    </row>
    <row r="29">
      <c r="A29" s="28" t="inlineStr">
        <is>
          <t>Resultado neto del año 1</t>
        </is>
      </c>
      <c r="B29" s="32">
        <f>IFERROR(IF('PyG 3 Años'!$B$48="","",'PyG 3 Años'!$B$48),"")</f>
        <v>14526.772000000006</v>
      </c>
      <c r="C29" s="28" t="n"/>
      <c r="D29" s="28" t="n"/>
      <c r="E29" s="28" t="n"/>
    </row>
    <row r="30">
      <c r="A30" s="28" t="inlineStr">
        <is>
          <t>Invitados por evento para el punto de equilibrio CONTABLE (con la amortización dentro)</t>
        </is>
      </c>
      <c r="B30" s="44">
        <f>IFERROR(IF('Punto Equilibrio'!$B$15="","",'Punto Equilibrio'!$B$15),"")</f>
        <v>67.53736714491458</v>
      </c>
      <c r="C30" s="28" t="n"/>
      <c r="D30" s="28" t="n"/>
      <c r="E30" s="28" t="n"/>
    </row>
    <row r="31">
      <c r="A31" s="28" t="inlineStr">
        <is>
          <t>Payback del proyecto (años), antes de la deuda</t>
        </is>
      </c>
      <c r="B31" s="28" t="str">
        <f>IFERROR(IF('Tesorería 12 meses'!$B$31="","",'Tesorería 12 meses'!$B$31),"")</f>
        <v>Más de 3 años</v>
      </c>
      <c r="C31" s="28" t="n"/>
      <c r="D31" s="28" t="n"/>
      <c r="E31" s="28" t="n"/>
    </row>
    <row r="32">
      <c r="A32" s="28" t="n"/>
      <c r="B32" s="28" t="n"/>
      <c r="C32" s="28" t="n"/>
      <c r="D32" s="28" t="n"/>
      <c r="E32" s="28" t="n"/>
    </row>
    <row r="33">
      <c r="A33" s="25" t="inlineStr">
        <is>
          <t>QUÉ HA CAMBIADO RESPECTO DE LA VERSIÓN 1.1</t>
        </is>
      </c>
      <c r="B33" s="28" t="n"/>
      <c r="C33" s="28" t="n"/>
      <c r="D33" s="28" t="n"/>
      <c r="E33" s="28" t="n"/>
    </row>
    <row r="34">
      <c r="A34" s="25" t="inlineStr">
        <is>
          <t>Concepto</t>
        </is>
      </c>
      <c r="B34" s="25" t="inlineStr">
        <is>
          <t>v1.1</t>
        </is>
      </c>
      <c r="C34" s="25" t="inlineStr">
        <is>
          <t>v2.2</t>
        </is>
      </c>
      <c r="D34" s="25" t="inlineStr">
        <is>
          <t>Por qué</t>
        </is>
      </c>
      <c r="E34" s="28" t="n"/>
    </row>
    <row r="35" ht="30" customHeight="1">
      <c r="A35" s="78" t="inlineStr">
        <is>
          <t>Modelo de ingresos</t>
        </is>
      </c>
      <c r="B35" s="78" t="inlineStr">
        <is>
          <t>eventos y facturación tecleados, con una cuenta de resultados cuyas fórmulas no sumaban las filas correctas</t>
        </is>
      </c>
      <c r="C35" s="78" t="inlineStr">
        <is>
          <t>invitados por evento × precio por invitado × eventos al año, en la hoja de Supuestos</t>
        </is>
      </c>
      <c r="D35" s="46" t="inlineStr">
        <is>
          <t>Ahora cualquier cambio de precio o de volumen recalcula todo el libro</t>
        </is>
      </c>
      <c r="E35" s="28" t="n"/>
    </row>
    <row r="36" ht="30" customHeight="1">
      <c r="A36" s="78" t="inlineStr">
        <is>
          <t>Cocina</t>
        </is>
      </c>
      <c r="B36" s="78" t="inlineStr">
        <is>
          <t>no había ninguna: la mise en place del día anterior no tenía sitio</t>
        </is>
      </c>
      <c r="C36" s="78" t="inlineStr">
        <is>
          <t>cuota de una cocina de apoyo compartida y autorizada</t>
        </is>
      </c>
      <c r="D36" s="46" t="inlineStr">
        <is>
          <t>Lo que se prepara para un evento no se puede hacer en casa (art. 13.5.b del RD 1021/2022)</t>
        </is>
      </c>
      <c r="E36" s="28" t="n"/>
    </row>
    <row r="37" ht="30" customHeight="1">
      <c r="A37" s="78" t="inlineStr">
        <is>
          <t>Personal</t>
        </is>
      </c>
      <c r="B37" s="78" t="inlineStr">
        <is>
          <t>ayudantes subcontratados por jornada y ningún sueldo para el parrillero</t>
        </is>
      </c>
      <c r="C37" s="78" t="inlineStr">
        <is>
          <t>plantilla con el sueldo del titular, fijos discontinuos y Seguridad Social</t>
        </is>
      </c>
      <c r="D37" s="46" t="inlineStr">
        <is>
          <t>Las facturas de autónomo con horario y dirección del empresario son falso autónomo (art. 1.1 ET)</t>
        </is>
      </c>
      <c r="E37" s="28" t="n"/>
    </row>
    <row r="38" ht="30" customHeight="1">
      <c r="A38" s="78" t="inlineStr">
        <is>
          <t>Punto de equilibrio</t>
        </is>
      </c>
      <c r="B38" s="78" t="inlineStr">
        <is>
          <t>5,4 eventos al año, sin amortización, sueldos ni cocina</t>
        </is>
      </c>
      <c r="C38" s="78" t="inlineStr">
        <is>
          <t>con todos los costes fijos, en invitados por evento, en ingresos y en caja</t>
        </is>
      </c>
      <c r="D38" s="46" t="inlineStr">
        <is>
          <t>El anterior salía irrealmente bajo; éste es el que mira un banco</t>
        </is>
      </c>
      <c r="E38" s="28" t="n"/>
    </row>
    <row r="39" ht="30" customHeight="1">
      <c r="A39" s="78" t="inlineStr">
        <is>
          <t>Impuestos, caja y financiación</t>
        </is>
      </c>
      <c r="B39" s="78" t="inlineStr">
        <is>
          <t>no había IVA, Impuesto de Sociedades, tesorería ni préstamo</t>
        </is>
      </c>
      <c r="C39" s="78" t="inlineStr">
        <is>
          <t>IVA al 10 %, Impuesto de Sociedades, tesorería de 12 meses y préstamo con su cuadro y su DSCR</t>
        </is>
      </c>
      <c r="D39" s="46" t="inlineStr">
        <is>
          <t>Es lo que pide cualquier entidad para estudiar la operación</t>
        </is>
      </c>
      <c r="E39" s="28" t="n"/>
    </row>
    <row r="40">
      <c r="A40" s="28" t="n"/>
      <c r="B40" s="28" t="n"/>
      <c r="C40" s="28" t="n"/>
      <c r="D40" s="28" t="n"/>
      <c r="E40" s="28" t="n"/>
    </row>
    <row r="41">
      <c r="A41" s="25" t="inlineStr">
        <is>
          <t>DATOS DE REFERENCIA DEL SECTOR</t>
        </is>
      </c>
      <c r="B41" s="28" t="n"/>
      <c r="C41" s="28" t="n"/>
      <c r="D41" s="28" t="n"/>
      <c r="E41" s="28" t="n"/>
    </row>
    <row r="42">
      <c r="A42" s="25" t="inlineStr">
        <is>
          <t>Referencia</t>
        </is>
      </c>
      <c r="B42" s="25" t="inlineStr">
        <is>
          <t>Valor</t>
        </is>
      </c>
      <c r="C42" s="25" t="inlineStr">
        <is>
          <t>Fuente</t>
        </is>
      </c>
      <c r="D42" s="25" t="inlineStr">
        <is>
          <t>Nota</t>
        </is>
      </c>
      <c r="E42" s="28" t="n"/>
    </row>
    <row r="43" ht="60" customHeight="1">
      <c r="A43" s="28" t="inlineStr">
        <is>
          <t>Mezcla de eventos del plan</t>
        </is>
      </c>
      <c r="B43" s="28" t="inlineStr">
        <is>
          <t>95 eventos: 12 bodas, 30 de empresa, 45 celebraciones privadas y 8 fiestas</t>
        </is>
      </c>
      <c r="C43" s="28" t="inlineStr">
        <is>
          <t>Estimación del kit</t>
        </is>
      </c>
      <c r="D43" s="46" t="inlineStr">
        <is>
          <t>Bodas (12 eventos × 110 invitados × 42 €), empresa (30 × 70 × 31 €), celebraciones privadas (45 × 40 × 25 €) y fiestas o ferias por encargo (8 × 300 × 10 €), precios sin IVA. Media: 80 invitados a 25 €</t>
        </is>
      </c>
      <c r="E43" s="28" t="n"/>
    </row>
    <row r="44" ht="15" customHeight="1">
      <c r="A44" s="28" t="inlineStr">
        <is>
          <t>Barbacoa para eventos (directorio)</t>
        </is>
      </c>
      <c r="B44" s="28" t="inlineStr">
        <is>
          <t>18-30 € básica · 30-55 € completa · 55-90 € premium</t>
        </is>
      </c>
      <c r="C44" s="28" t="inlineStr">
        <is>
          <t>artistealo.com (estimación del directorio)</t>
        </is>
      </c>
      <c r="D44" s="46" t="inlineStr">
        <is>
          <t>Por persona; el directorio no indica si lleva IVA</t>
        </is>
      </c>
      <c r="E44" s="28" t="n"/>
    </row>
    <row r="45" ht="30" customHeight="1">
      <c r="A45" s="28" t="inlineStr">
        <is>
          <t>Buffet de barbacoa en Madrid</t>
        </is>
      </c>
      <c r="B45" s="28" t="inlineStr">
        <is>
          <t>15,95-19,95 € + IVA por persona</t>
        </is>
      </c>
      <c r="C45" s="28" t="inlineStr">
        <is>
          <t>Tarifa publicada de un proveedor (2026)</t>
        </is>
      </c>
      <c r="D45" s="46" t="inlineStr">
        <is>
          <t>Desde 50 personas, con 500 g de carne cruda por invitado, parrilleros y desechables; desplazamiento aparte</t>
        </is>
      </c>
      <c r="E45" s="28" t="n"/>
    </row>
    <row r="46" ht="15" customHeight="1">
      <c r="A46" s="28" t="inlineStr">
        <is>
          <t>Asado argentino para bodas</t>
        </is>
      </c>
      <c r="B46" s="28" t="inlineStr">
        <is>
          <t>40-100 € por invitado</t>
        </is>
      </c>
      <c r="C46" s="28" t="inlineStr">
        <is>
          <t>Ficha de un proveedor en Bodas.net</t>
        </is>
      </c>
      <c r="D46" s="46" t="inlineStr">
        <is>
          <t>Entre 50 y 200 invitados, con el 50 % por adelantado</t>
        </is>
      </c>
      <c r="E46" s="28" t="n"/>
    </row>
    <row r="47" ht="15" customHeight="1">
      <c r="A47" s="28" t="inlineStr">
        <is>
          <t>Carne cruda por invitado</t>
        </is>
      </c>
      <c r="B47" s="28" t="inlineStr">
        <is>
          <t>350-450 g con entrantes · 500-600 g sin entrantes</t>
        </is>
      </c>
      <c r="C47" s="28" t="inlineStr">
        <is>
          <t>Calculadoras de asado y tarifas publicadas</t>
        </is>
      </c>
      <c r="D47" s="46" t="inlineStr">
        <is>
          <t>Sin hueso, un 20 % menos; los niños, la mitad</t>
        </is>
      </c>
      <c r="E47" s="28" t="n"/>
    </row>
    <row r="48" ht="30" customHeight="1">
      <c r="A48" s="28" t="inlineStr">
        <is>
          <t>Escalado por evento</t>
        </is>
      </c>
      <c r="B48" s="28" t="inlineStr">
        <is>
          <t>1 parrilla de 120 cm y 1 parrillero por cada 60-80 invitados</t>
        </is>
      </c>
      <c r="C48" s="28" t="inlineStr">
        <is>
          <t>Estimación del kit (manual técnico y calculadora)</t>
        </is>
      </c>
      <c r="D48" s="46" t="inlineStr">
        <is>
          <t>Ayudante desde 40 invitados; con cortes servidos en mesa, 1 parrillero por cada 40-50</t>
        </is>
      </c>
      <c r="E48" s="28" t="n"/>
    </row>
    <row r="49" ht="30" customHeight="1">
      <c r="A49" s="28" t="inlineStr">
        <is>
          <t>Carbón por evento</t>
        </is>
      </c>
      <c r="B49" s="28" t="inlineStr">
        <is>
          <t>0,7-1 kg por kg de carne cruda</t>
        </is>
      </c>
      <c r="C49" s="28" t="inlineStr">
        <is>
          <t>Estimación del kit</t>
        </is>
      </c>
      <c r="D49" s="46" t="inlineStr">
        <is>
          <t>Unos 0,3-0,45 kg por invitado; de 1,3 a 2 € el kilo de carbón o encina</t>
        </is>
      </c>
      <c r="E49" s="28" t="n"/>
    </row>
    <row r="50" ht="45" customHeight="1">
      <c r="A50" s="28" t="inlineStr">
        <is>
          <t>Plan B de gas si hay alerta de incendios</t>
        </is>
      </c>
      <c r="B50" s="28" t="inlineStr">
        <is>
          <t>Una botella de menos de 15 kg por aparato</t>
        </is>
      </c>
      <c r="C50" s="28" t="inlineStr">
        <is>
          <t>RD 919/2006, art. 2.1.h</t>
        </is>
      </c>
      <c r="D50" s="46" t="inlineStr">
        <is>
          <t>Plancha o parrilla de piedra volcánica: así no es una instalación y la conectas tú, con regulador y tubo flexible en fecha</t>
        </is>
      </c>
      <c r="E50" s="28" t="n"/>
    </row>
    <row r="51" ht="30" customHeight="1">
      <c r="A51" s="28" t="inlineStr">
        <is>
          <t>IVA de un servicio de parrilla en el evento</t>
        </is>
      </c>
      <c r="B51" s="28" t="inlineStr">
        <is>
          <t>10 %</t>
        </is>
      </c>
      <c r="C51" s="28" t="inlineStr">
        <is>
          <t>Ley 37/1992, art. 91.Uno.2.2.º</t>
        </is>
      </c>
      <c r="D51" s="46" t="inlineStr">
        <is>
          <t>Alcohol incluido. Asado para llevar: comida al 10 % y alcohol al 21 %</t>
        </is>
      </c>
      <c r="E51" s="28" t="n"/>
    </row>
    <row r="52" ht="30" customHeight="1">
      <c r="A52" s="28" t="inlineStr">
        <is>
          <t>Retención de IRPF en tus facturas</t>
        </is>
      </c>
      <c r="B52" s="28" t="inlineStr">
        <is>
          <t>Ninguna</t>
        </is>
      </c>
      <c r="C52" s="28" t="inlineStr">
        <is>
          <t>Reglamento del IRPF, art. 95.6</t>
        </is>
      </c>
      <c r="D52" s="46" t="inlineStr">
        <is>
          <t>El epígrafe 677.9 es una actividad empresarial: tus facturas a empresas no llevan retención</t>
        </is>
      </c>
      <c r="E52" s="28" t="n"/>
    </row>
    <row r="53" ht="60" customHeight="1">
      <c r="A53" s="28" t="inlineStr">
        <is>
          <t>Pago de los ayuntamientos</t>
        </is>
      </c>
      <c r="B53" s="28" t="inlineStr">
        <is>
          <t>30 días desde la conformidad</t>
        </is>
      </c>
      <c r="C53" s="28" t="inlineStr">
        <is>
          <t>Ley 9/2017, art. 198.4</t>
        </is>
      </c>
      <c r="D53" s="46" t="inlineStr">
        <is>
          <t>Contrato menor de servicios por debajo de 15.000 € (art. 118), sin anticipo, y factura electrónica por FACe si eres SL, salvo que exima las de hasta 5.000 € (Ley 25/2013, art. 4)</t>
        </is>
      </c>
      <c r="E53" s="28" t="n"/>
    </row>
    <row r="54" ht="30" customHeight="1">
      <c r="A54" s="28" t="inlineStr">
        <is>
          <t>Temperaturas de la carne</t>
        </is>
      </c>
      <c r="B54" s="28" t="inlineStr">
        <is>
          <t>≤ 7 °C al recibirla · 70 °C en el centro al cocinarla · ≥ 63 °C en caliente</t>
        </is>
      </c>
      <c r="C54" s="28" t="inlineStr">
        <is>
          <t>Reglamento (CE) 853/2004 (recepción), AESAN (cocción, recomendación) y RD 1086/2020, art. 30 (mantenimiento)</t>
        </is>
      </c>
      <c r="D54" s="46" t="inlineStr">
        <is>
          <t>Despojos ≤ 3 °C, aves y preparados ≤ 4 °C y picada ≤ 2 °C; aves a 74 °C en el centro (recomendación de AESAN)</t>
        </is>
      </c>
      <c r="E54" s="28" t="n"/>
    </row>
    <row r="55" ht="15" customHeight="1">
      <c r="A55" s="28" t="inlineStr">
        <is>
          <t>Convenio colectivo aplicable</t>
        </is>
      </c>
      <c r="B55" s="28" t="inlineStr">
        <is>
          <t>Provincial de hostelería</t>
        </is>
      </c>
      <c r="C55" s="28" t="inlineStr">
        <is>
          <t>V Acuerdo Laboral de ámbito Estatal para el sector de Hostelería, art. 4</t>
        </is>
      </c>
      <c r="D55" s="46" t="inlineStr">
        <is>
          <t>Copia tu tabla salarial en la celda de Supuestos</t>
        </is>
      </c>
      <c r="E55" s="28" t="n"/>
    </row>
    <row r="56">
      <c r="A56" s="28" t="n"/>
      <c r="B56" s="28" t="n"/>
      <c r="C56" s="28" t="n"/>
      <c r="D56" s="28" t="n"/>
      <c r="E56" s="28" t="n"/>
    </row>
    <row r="57">
      <c r="A57" s="79" t="inlineStr">
        <is>
          <t>Para editar una celda que no esté en verde: Revisar → Desproteger hoja (no tiene contraseña).</t>
        </is>
      </c>
      <c r="B57" s="28" t="n"/>
      <c r="C57" s="28" t="n"/>
      <c r="D57" s="28" t="n"/>
      <c r="E57" s="28" t="n"/>
    </row>
    <row r="58">
      <c r="A58" s="79" t="inlineStr">
        <is>
          <t>Más plantillas y kits del catálogo en aichef.pro/productos-digitales</t>
        </is>
      </c>
      <c r="B58" s="28" t="n"/>
      <c r="C58" s="28" t="n"/>
      <c r="D58" s="28" t="n"/>
      <c r="E58" s="28" t="n"/>
    </row>
    <row r="59">
      <c r="A59" s="79" t="inlineStr">
        <is>
          <t>Diseñado por John Guerrero — chef y consultor gastronómico desde 2010, en cocina desde los 17 años · johnguerrero.es</t>
        </is>
      </c>
      <c r="B59" s="28" t="n"/>
      <c r="C59" s="28" t="n"/>
      <c r="D59" s="28" t="n"/>
      <c r="E59" s="28" t="n"/>
    </row>
    <row r="60">
      <c r="A60" s="79" t="inlineStr">
        <is>
          <t>Versión 2.2 · octubre 2026 · aichef.pro/plan-negocio-parrillero-asador-eventos · info@aichef.pro</t>
        </is>
      </c>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row r="73">
      <c r="A73" s="28" t="n"/>
      <c r="B73" s="28" t="n"/>
      <c r="C73" s="28" t="n"/>
      <c r="D73" s="28" t="n"/>
      <c r="E73"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0.025</v>
      </c>
      <c r="C5" s="75" t="n">
        <v>0.03</v>
      </c>
      <c r="D5" s="75" t="n">
        <v>0.05</v>
      </c>
      <c r="E5" s="75" t="n">
        <v>0.07000000000000001</v>
      </c>
      <c r="F5" s="75" t="n">
        <v>0.12</v>
      </c>
      <c r="G5" s="75" t="n">
        <v>0.14</v>
      </c>
      <c r="H5" s="75" t="n">
        <v>0.11</v>
      </c>
      <c r="I5" s="75" t="n">
        <v>0.08</v>
      </c>
      <c r="J5" s="75" t="n">
        <v>0.15</v>
      </c>
      <c r="K5" s="75" t="n">
        <v>0.1</v>
      </c>
      <c r="L5" s="75" t="n">
        <v>0.045</v>
      </c>
      <c r="M5" s="75" t="n">
        <v>0.08</v>
      </c>
      <c r="N5" s="68">
        <f>IFERROR(IF('PyG 3 Años'!$B$9="","",SUM(B5:M5)),"")</f>
        <v>1.0</v>
      </c>
      <c r="O5" s="28" t="inlineStr">
        <is>
          <t>Perfil de tu zona: agosto flojo en ciudad y fuerte en costa. Tiene que sumar 100 %</t>
        </is>
      </c>
    </row>
    <row r="6">
      <c r="A6" s="28" t="inlineStr">
        <is>
          <t>Rampa de arranque (% de la actividad de crucero)</t>
        </is>
      </c>
      <c r="B6" s="68">
        <f>IFERROR(IF('PyG 3 Años'!$B$9="","",MIN(1,'0. Supuestos'!$B$52+(1-'0. Supuestos'!$B$52)*0/MAX(1,'0. Supuestos'!$B$53-1))),"")</f>
        <v>0.55</v>
      </c>
      <c r="C6" s="68">
        <f>IFERROR(IF('PyG 3 Años'!$B$9="","",MIN(1,'0. Supuestos'!$B$52+(1-'0. Supuestos'!$B$52)*1/MAX(1,'0. Supuestos'!$B$53-1))),"")</f>
        <v>0.64</v>
      </c>
      <c r="D6" s="68">
        <f>IFERROR(IF('PyG 3 Años'!$B$9="","",MIN(1,'0. Supuestos'!$B$52+(1-'0. Supuestos'!$B$52)*2/MAX(1,'0. Supuestos'!$B$53-1))),"")</f>
        <v>0.73</v>
      </c>
      <c r="E6" s="68">
        <f>IFERROR(IF('PyG 3 Años'!$B$9="","",MIN(1,'0. Supuestos'!$B$52+(1-'0. Supuestos'!$B$52)*3/MAX(1,'0. Supuestos'!$B$53-1))),"")</f>
        <v>0.8200000000000001</v>
      </c>
      <c r="F6" s="68">
        <f>IFERROR(IF('PyG 3 Años'!$B$9="","",MIN(1,'0. Supuestos'!$B$52+(1-'0. Supuestos'!$B$52)*4/MAX(1,'0. Supuestos'!$B$53-1))),"")</f>
        <v>0.91</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8">
        <f>IFERROR(IF('PyG 3 Años'!$B$9="","",B5*B6/SUMPRODUCT($B$5:$M$5,$B$6:$M$6)),"")</f>
        <v>0.014611338398597313</v>
      </c>
      <c r="C7" s="68">
        <f>IFERROR(IF('PyG 3 Años'!$B$9="","",C5*C6/SUMPRODUCT($B$5:$M$5,$B$6:$M$6)),"")</f>
        <v>0.02040274161840497</v>
      </c>
      <c r="D7" s="68">
        <f>IFERROR(IF('PyG 3 Años'!$B$9="","",D5*D6/SUMPRODUCT($B$5:$M$5,$B$6:$M$6)),"")</f>
        <v>0.03878646193082195</v>
      </c>
      <c r="E7" s="68">
        <f>IFERROR(IF('PyG 3 Años'!$B$9="","",E5*E6/SUMPRODUCT($B$5:$M$5,$B$6:$M$6)),"")</f>
        <v>0.06099569629668987</v>
      </c>
      <c r="F7" s="68">
        <f>IFERROR(IF('PyG 3 Años'!$B$9="","",F5*F6/SUMPRODUCT($B$5:$M$5,$B$6:$M$6)),"")</f>
        <v>0.11604059295467828</v>
      </c>
      <c r="G7" s="68">
        <f>IFERROR(IF('PyG 3 Años'!$B$9="","",G5*G6/SUMPRODUCT($B$5:$M$5,$B$6:$M$6)),"")</f>
        <v>0.14876999096753626</v>
      </c>
      <c r="H7" s="68">
        <f>IFERROR(IF('PyG 3 Años'!$B$9="","",H5*H6/SUMPRODUCT($B$5:$M$5,$B$6:$M$6)),"")</f>
        <v>0.11689070718877849</v>
      </c>
      <c r="I7" s="68">
        <f>IFERROR(IF('PyG 3 Años'!$B$9="","",I5*I6/SUMPRODUCT($B$5:$M$5,$B$6:$M$6)),"")</f>
        <v>0.08501142341002071</v>
      </c>
      <c r="J7" s="68">
        <f>IFERROR(IF('PyG 3 Años'!$B$9="","",J5*J6/SUMPRODUCT($B$5:$M$5,$B$6:$M$6)),"")</f>
        <v>0.15939641889378883</v>
      </c>
      <c r="K7" s="68">
        <f>IFERROR(IF('PyG 3 Años'!$B$9="","",K5*K6/SUMPRODUCT($B$5:$M$5,$B$6:$M$6)),"")</f>
        <v>0.10626427926252591</v>
      </c>
      <c r="L7" s="68">
        <f>IFERROR(IF('PyG 3 Años'!$B$9="","",L5*L6/SUMPRODUCT($B$5:$M$5,$B$6:$M$6)),"")</f>
        <v>0.04781892566813665</v>
      </c>
      <c r="M7" s="68">
        <f>IFERROR(IF('PyG 3 Años'!$B$9="","",M5*M6/SUMPRODUCT($B$5:$M$5,$B$6:$M$6)),"")</f>
        <v>0.08501142341002071</v>
      </c>
      <c r="N7" s="68">
        <f>IFERROR(IF('PyG 3 Años'!$B$9="","",SUM(B7:M7)),"")</f>
        <v>0.9999999999999998</v>
      </c>
      <c r="O7" s="28" t="inlineStr">
        <is>
          <t>Estacionalidad × rampa, normalizado a 100 %: el AÑO factura lo que dice el P&amp;L, pero repartido como lo reparte un negocio de parrilla para eventos que acaba de arrancar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1527.4345412039743</v>
      </c>
      <c r="C9" s="32">
        <f>IFERROR(IF('PyG 3 Años'!$B$9="","",('PyG 3 Años'!$B$9+'PyG 3 Años'!$B$9*SUMPRODUCT('PyG 3 Años'!$E$10:$E$11,'PyG 3 Años'!$G$10:$G$11))*(C7*(1-MIN(30,'0. Supuestos'!$B$58)/30)+B7*MIN(30,'0. Supuestos'!$B$58)/30)),"")</f>
        <v>3660.2885914669782</v>
      </c>
      <c r="D9" s="32">
        <f>IFERROR(IF('PyG 3 Años'!$B$9="","",('PyG 3 Años'!$B$9+'PyG 3 Años'!$B$9*SUMPRODUCT('PyG 3 Años'!$E$10:$E$11,'PyG 3 Años'!$G$10:$G$11))*(D7*(1-MIN(30,'0. Supuestos'!$B$58)/30)+C7*MIN(30,'0. Supuestos'!$B$58)/30)),"")</f>
        <v>6187.498468731736</v>
      </c>
      <c r="E9" s="32">
        <f>IFERROR(IF('PyG 3 Años'!$B$9="","",('PyG 3 Años'!$B$9+'PyG 3 Años'!$B$9*SUMPRODUCT('PyG 3 Años'!$E$10:$E$11,'PyG 3 Años'!$G$10:$G$11))*(E7*(1-MIN(30,'0. Supuestos'!$B$58)/30)+D7*MIN(30,'0. Supuestos'!$B$58)/30)),"")</f>
        <v>10430.989339567504</v>
      </c>
      <c r="F9" s="32">
        <f>IFERROR(IF('PyG 3 Años'!$B$9="","",('PyG 3 Años'!$B$9+'PyG 3 Años'!$B$9*SUMPRODUCT('PyG 3 Años'!$E$10:$E$11,'PyG 3 Años'!$G$10:$G$11))*(F7*(1-MIN(30,'0. Supuestos'!$B$58)/30)+E7*MIN(30,'0. Supuestos'!$B$58)/30)),"")</f>
        <v>18506.95233196961</v>
      </c>
      <c r="G9" s="32">
        <f>IFERROR(IF('PyG 3 Años'!$B$9="","",('PyG 3 Años'!$B$9+'PyG 3 Años'!$B$9*SUMPRODUCT('PyG 3 Años'!$E$10:$E$11,'PyG 3 Años'!$G$10:$G$11))*(G7*(1-MIN(30,'0. Supuestos'!$B$58)/30)+F7*MIN(30,'0. Supuestos'!$B$58)/30)),"")</f>
        <v>27682.668194038575</v>
      </c>
      <c r="H9" s="32">
        <f>IFERROR(IF('PyG 3 Años'!$B$9="","",('PyG 3 Años'!$B$9+'PyG 3 Años'!$B$9*SUMPRODUCT('PyG 3 Años'!$E$10:$E$11,'PyG 3 Años'!$G$10:$G$11))*(H7*(1-MIN(30,'0. Supuestos'!$B$58)/30)+G7*MIN(30,'0. Supuestos'!$B$58)/30)),"")</f>
        <v>27771.53711279953</v>
      </c>
      <c r="I9" s="32">
        <f>IFERROR(IF('PyG 3 Años'!$B$9="","",('PyG 3 Años'!$B$9+'PyG 3 Años'!$B$9*SUMPRODUCT('PyG 3 Años'!$E$10:$E$11,'PyG 3 Años'!$G$10:$G$11))*(I7*(1-MIN(30,'0. Supuestos'!$B$58)/30)+H7*MIN(30,'0. Supuestos'!$B$58)/30)),"")</f>
        <v>21106.368205727642</v>
      </c>
      <c r="J9" s="32">
        <f>IFERROR(IF('PyG 3 Años'!$B$9="","",('PyG 3 Años'!$B$9+'PyG 3 Años'!$B$9*SUMPRODUCT('PyG 3 Años'!$E$10:$E$11,'PyG 3 Años'!$G$10:$G$11))*(J7*(1-MIN(30,'0. Supuestos'!$B$58)/30)+I7*MIN(30,'0. Supuestos'!$B$58)/30)),"")</f>
        <v>25549.814143775566</v>
      </c>
      <c r="K9" s="32">
        <f>IFERROR(IF('PyG 3 Años'!$B$9="","",('PyG 3 Años'!$B$9+'PyG 3 Años'!$B$9*SUMPRODUCT('PyG 3 Años'!$E$10:$E$11,'PyG 3 Años'!$G$10:$G$11))*(K7*(1-MIN(30,'0. Supuestos'!$B$58)/30)+J7*MIN(30,'0. Supuestos'!$B$58)/30)),"")</f>
        <v>27771.53711279953</v>
      </c>
      <c r="L9" s="32">
        <f>IFERROR(IF('PyG 3 Años'!$B$9="","",('PyG 3 Años'!$B$9+'PyG 3 Años'!$B$9*SUMPRODUCT('PyG 3 Años'!$E$10:$E$11,'PyG 3 Años'!$G$10:$G$11))*(L7*(1-MIN(30,'0. Supuestos'!$B$58)/30)+K7*MIN(30,'0. Supuestos'!$B$58)/30)),"")</f>
        <v>16107.491525423728</v>
      </c>
      <c r="M9" s="32">
        <f>IFERROR(IF('PyG 3 Años'!$B$9="","",('PyG 3 Años'!$B$9+'PyG 3 Años'!$B$9*SUMPRODUCT('PyG 3 Años'!$E$10:$E$11,'PyG 3 Años'!$G$10:$G$11))*(M7*(1-MIN(30,'0. Supuestos'!$B$58)/30)+L7*MIN(30,'0. Supuestos'!$B$58)/30)),"")</f>
        <v>13885.768556399764</v>
      </c>
      <c r="N9" s="32">
        <f>IFERROR(IF('PyG 3 Años'!$B$9="","",SUM(B9:M9)),"")</f>
        <v>200188.34812390417</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-663.1344243132671</v>
      </c>
      <c r="C11" s="32">
        <f>IFERROR(IF('PyG 3 Años'!$B$9="","",-('PyG 3 Años'!$B$13*(1+'PyG 3 Años'!$G$13)+'PyG 3 Años'!$B$14*(1+'PyG 3 Años'!$G$14)+'PyG 3 Años'!$B$15*(1+'PyG 3 Años'!$G$15)+'PyG 3 Años'!$B$16*(1+'PyG 3 Años'!$G$16)+'PyG 3 Años'!$B$17*(1+'PyG 3 Años'!$G$17)+'PyG 3 Años'!$B$18*(1+'PyG 3 Años'!$G$18))*(C7*(1-MIN(30,'0. Supuestos'!$B$59)/30)+B7*MIN(30,'0. Supuestos'!$B$59)/30)),"")</f>
        <v>-1589.1112204452472</v>
      </c>
      <c r="D11" s="32">
        <f>IFERROR(IF('PyG 3 Años'!$B$9="","",-('PyG 3 Años'!$B$13*(1+'PyG 3 Años'!$G$13)+'PyG 3 Años'!$B$14*(1+'PyG 3 Años'!$G$14)+'PyG 3 Años'!$B$15*(1+'PyG 3 Años'!$G$15)+'PyG 3 Años'!$B$16*(1+'PyG 3 Años'!$G$16)+'PyG 3 Años'!$B$17*(1+'PyG 3 Años'!$G$17)+'PyG 3 Años'!$B$18*(1+'PyG 3 Años'!$G$18))*(D7*(1-MIN(30,'0. Supuestos'!$B$59)/30)+C7*MIN(30,'0. Supuestos'!$B$59)/30)),"")</f>
        <v>-2686.29726794538</v>
      </c>
      <c r="E11" s="32">
        <f>IFERROR(IF('PyG 3 Años'!$B$9="","",-('PyG 3 Años'!$B$13*(1+'PyG 3 Años'!$G$13)+'PyG 3 Años'!$B$14*(1+'PyG 3 Años'!$G$14)+'PyG 3 Años'!$B$15*(1+'PyG 3 Años'!$G$15)+'PyG 3 Años'!$B$16*(1+'PyG 3 Años'!$G$16)+'PyG 3 Años'!$B$17*(1+'PyG 3 Años'!$G$17)+'PyG 3 Años'!$B$18*(1+'PyG 3 Años'!$G$18))*(E7*(1-MIN(30,'0. Supuestos'!$B$59)/30)+D7*MIN(30,'0. Supuestos'!$B$59)/30)),"")</f>
        <v>-4528.605268582965</v>
      </c>
      <c r="F11" s="32">
        <f>IFERROR(IF('PyG 3 Años'!$B$9="","",-('PyG 3 Años'!$B$13*(1+'PyG 3 Años'!$G$13)+'PyG 3 Años'!$B$14*(1+'PyG 3 Años'!$G$14)+'PyG 3 Años'!$B$15*(1+'PyG 3 Años'!$G$15)+'PyG 3 Años'!$B$16*(1+'PyG 3 Años'!$G$16)+'PyG 3 Años'!$B$17*(1+'PyG 3 Años'!$G$17)+'PyG 3 Años'!$B$18*(1+'PyG 3 Años'!$G$18))*(F7*(1-MIN(30,'0. Supuestos'!$B$59)/30)+E7*MIN(30,'0. Supuestos'!$B$59)/30)),"")</f>
        <v>-8034.777824770204</v>
      </c>
      <c r="G11" s="32">
        <f>IFERROR(IF('PyG 3 Años'!$B$9="","",-('PyG 3 Años'!$B$13*(1+'PyG 3 Años'!$G$13)+'PyG 3 Años'!$B$14*(1+'PyG 3 Años'!$G$14)+'PyG 3 Años'!$B$15*(1+'PyG 3 Años'!$G$15)+'PyG 3 Años'!$B$16*(1+'PyG 3 Años'!$G$16)+'PyG 3 Años'!$B$17*(1+'PyG 3 Años'!$G$17)+'PyG 3 Años'!$B$18*(1+'PyG 3 Años'!$G$18))*(G7*(1-MIN(30,'0. Supuestos'!$B$59)/30)+F7*MIN(30,'0. Supuestos'!$B$59)/30)),"")</f>
        <v>-12018.407166462994</v>
      </c>
      <c r="H11" s="32">
        <f>IFERROR(IF('PyG 3 Años'!$B$9="","",-('PyG 3 Años'!$B$13*(1+'PyG 3 Años'!$G$13)+'PyG 3 Años'!$B$14*(1+'PyG 3 Años'!$G$14)+'PyG 3 Años'!$B$15*(1+'PyG 3 Años'!$G$15)+'PyG 3 Años'!$B$16*(1+'PyG 3 Años'!$G$16)+'PyG 3 Años'!$B$17*(1+'PyG 3 Años'!$G$17)+'PyG 3 Años'!$B$18*(1+'PyG 3 Años'!$G$18))*(H7*(1-MIN(30,'0. Supuestos'!$B$59)/30)+G7*MIN(30,'0. Supuestos'!$B$59)/30)),"")</f>
        <v>-12056.989532968493</v>
      </c>
      <c r="I11" s="32">
        <f>IFERROR(IF('PyG 3 Años'!$B$9="","",-('PyG 3 Años'!$B$13*(1+'PyG 3 Años'!$G$13)+'PyG 3 Años'!$B$14*(1+'PyG 3 Años'!$G$14)+'PyG 3 Años'!$B$15*(1+'PyG 3 Años'!$G$15)+'PyG 3 Años'!$B$16*(1+'PyG 3 Años'!$G$16)+'PyG 3 Años'!$B$17*(1+'PyG 3 Años'!$G$17)+'PyG 3 Años'!$B$18*(1+'PyG 3 Años'!$G$18))*(I7*(1-MIN(30,'0. Supuestos'!$B$59)/30)+H7*MIN(30,'0. Supuestos'!$B$59)/30)),"")</f>
        <v>-9163.312045056053</v>
      </c>
      <c r="J11" s="32">
        <f>IFERROR(IF('PyG 3 Años'!$B$9="","",-('PyG 3 Años'!$B$13*(1+'PyG 3 Años'!$G$13)+'PyG 3 Años'!$B$14*(1+'PyG 3 Años'!$G$14)+'PyG 3 Años'!$B$15*(1+'PyG 3 Años'!$G$15)+'PyG 3 Años'!$B$16*(1+'PyG 3 Años'!$G$16)+'PyG 3 Años'!$B$17*(1+'PyG 3 Años'!$G$17)+'PyG 3 Años'!$B$18*(1+'PyG 3 Años'!$G$18))*(J7*(1-MIN(30,'0. Supuestos'!$B$59)/30)+I7*MIN(30,'0. Supuestos'!$B$59)/30)),"")</f>
        <v>-11092.430370331012</v>
      </c>
      <c r="K11" s="32">
        <f>IFERROR(IF('PyG 3 Años'!$B$9="","",-('PyG 3 Años'!$B$13*(1+'PyG 3 Años'!$G$13)+'PyG 3 Años'!$B$14*(1+'PyG 3 Años'!$G$14)+'PyG 3 Años'!$B$15*(1+'PyG 3 Años'!$G$15)+'PyG 3 Años'!$B$16*(1+'PyG 3 Años'!$G$16)+'PyG 3 Años'!$B$17*(1+'PyG 3 Años'!$G$17)+'PyG 3 Años'!$B$18*(1+'PyG 3 Años'!$G$18))*(K7*(1-MIN(30,'0. Supuestos'!$B$59)/30)+J7*MIN(30,'0. Supuestos'!$B$59)/30)),"")</f>
        <v>-12056.989532968493</v>
      </c>
      <c r="L11" s="32">
        <f>IFERROR(IF('PyG 3 Años'!$B$9="","",-('PyG 3 Años'!$B$13*(1+'PyG 3 Años'!$G$13)+'PyG 3 Años'!$B$14*(1+'PyG 3 Años'!$G$14)+'PyG 3 Años'!$B$15*(1+'PyG 3 Años'!$G$15)+'PyG 3 Años'!$B$16*(1+'PyG 3 Años'!$G$16)+'PyG 3 Años'!$B$17*(1+'PyG 3 Años'!$G$17)+'PyG 3 Años'!$B$18*(1+'PyG 3 Años'!$G$18))*(L7*(1-MIN(30,'0. Supuestos'!$B$59)/30)+K7*MIN(30,'0. Supuestos'!$B$59)/30)),"")</f>
        <v>-6993.053929121725</v>
      </c>
      <c r="M11" s="32">
        <f>IFERROR(IF('PyG 3 Años'!$B$9="","",-('PyG 3 Años'!$B$13*(1+'PyG 3 Años'!$G$13)+'PyG 3 Años'!$B$14*(1+'PyG 3 Años'!$G$14)+'PyG 3 Años'!$B$15*(1+'PyG 3 Años'!$G$15)+'PyG 3 Años'!$B$16*(1+'PyG 3 Años'!$G$16)+'PyG 3 Años'!$B$17*(1+'PyG 3 Años'!$G$17)+'PyG 3 Años'!$B$18*(1+'PyG 3 Años'!$G$18))*(M7*(1-MIN(30,'0. Supuestos'!$B$59)/30)+L7*MIN(30,'0. Supuestos'!$B$59)/30)),"")</f>
        <v>-6028.494766484245</v>
      </c>
      <c r="N11" s="32">
        <f>IFERROR(IF('PyG 3 Años'!$B$9="","",SUM(B11:M11)),"")</f>
        <v>-86911.60334945009</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15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-2534.0999999999995</v>
      </c>
      <c r="C12" s="32">
        <f>IFERROR(IF('PyG 3 Años'!$B$9="","",-('PyG 3 Años'!$B$38-'PyG 3 Años'!$B$23-'PyG 3 Años'!$B$36-'PyG 3 Años'!$B$37+'PyG 3 Años'!$B$40)/12),"")</f>
        <v>-2534.0999999999995</v>
      </c>
      <c r="D12" s="32">
        <f>IFERROR(IF('PyG 3 Años'!$B$9="","",-('PyG 3 Años'!$B$38-'PyG 3 Años'!$B$23-'PyG 3 Años'!$B$36-'PyG 3 Años'!$B$37+'PyG 3 Años'!$B$40)/12),"")</f>
        <v>-2534.0999999999995</v>
      </c>
      <c r="E12" s="32">
        <f>IFERROR(IF('PyG 3 Años'!$B$9="","",-('PyG 3 Años'!$B$38-'PyG 3 Años'!$B$23-'PyG 3 Años'!$B$36-'PyG 3 Años'!$B$37+'PyG 3 Años'!$B$40)/12),"")</f>
        <v>-2534.0999999999995</v>
      </c>
      <c r="F12" s="32">
        <f>IFERROR(IF('PyG 3 Años'!$B$9="","",-('PyG 3 Años'!$B$38-'PyG 3 Años'!$B$23-'PyG 3 Años'!$B$36-'PyG 3 Años'!$B$37+'PyG 3 Años'!$B$40)/12),"")</f>
        <v>-2534.0999999999995</v>
      </c>
      <c r="G12" s="32">
        <f>IFERROR(IF('PyG 3 Años'!$B$9="","",-('PyG 3 Años'!$B$38-'PyG 3 Años'!$B$23-'PyG 3 Años'!$B$36-'PyG 3 Años'!$B$37+'PyG 3 Años'!$B$40)/12),"")</f>
        <v>-2534.0999999999995</v>
      </c>
      <c r="H12" s="32">
        <f>IFERROR(IF('PyG 3 Años'!$B$9="","",-('PyG 3 Años'!$B$38-'PyG 3 Años'!$B$23-'PyG 3 Años'!$B$36-'PyG 3 Años'!$B$37+'PyG 3 Años'!$B$40)/12),"")</f>
        <v>-2534.0999999999995</v>
      </c>
      <c r="I12" s="32">
        <f>IFERROR(IF('PyG 3 Años'!$B$9="","",-('PyG 3 Años'!$B$38-'PyG 3 Años'!$B$23-'PyG 3 Años'!$B$36-'PyG 3 Años'!$B$37+'PyG 3 Años'!$B$40)/12),"")</f>
        <v>-2534.0999999999995</v>
      </c>
      <c r="J12" s="32">
        <f>IFERROR(IF('PyG 3 Años'!$B$9="","",-('PyG 3 Años'!$B$38-'PyG 3 Años'!$B$23-'PyG 3 Años'!$B$36-'PyG 3 Años'!$B$37+'PyG 3 Años'!$B$40)/12),"")</f>
        <v>-2534.0999999999995</v>
      </c>
      <c r="K12" s="32">
        <f>IFERROR(IF('PyG 3 Años'!$B$9="","",-('PyG 3 Años'!$B$38-'PyG 3 Años'!$B$23-'PyG 3 Años'!$B$36-'PyG 3 Años'!$B$37+'PyG 3 Años'!$B$40)/12),"")</f>
        <v>-2534.0999999999995</v>
      </c>
      <c r="L12" s="32">
        <f>IFERROR(IF('PyG 3 Años'!$B$9="","",-('PyG 3 Años'!$B$38-'PyG 3 Años'!$B$23-'PyG 3 Años'!$B$36-'PyG 3 Años'!$B$37+'PyG 3 Años'!$B$40)/12),"")</f>
        <v>-2534.0999999999995</v>
      </c>
      <c r="M12" s="32">
        <f>IFERROR(IF('PyG 3 Años'!$B$9="","",-('PyG 3 Años'!$B$38-'PyG 3 Años'!$B$23-'PyG 3 Años'!$B$36-'PyG 3 Años'!$B$37+'PyG 3 Años'!$B$40)/12),"")</f>
        <v>-2534.0999999999995</v>
      </c>
      <c r="N12" s="32">
        <f>IFERROR(IF('PyG 3 Años'!$B$9="","",SUM(B12:M12)),"")</f>
        <v>-30409.199999999986</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-4141.62</v>
      </c>
      <c r="C13" s="32">
        <f>IFERROR(IF('PyG 3 Años'!$B$9="","",-'PyG 3 Años'!$B$23/MAX(12,'0. Supuestos'!$B$21)*(1+IF(2='0. Supuestos'!$B$60,(MAX(12,'0. Supuestos'!$B$21)-12)/2,0)+IF(2='0. Supuestos'!$B$61,(MAX(12,'0. Supuestos'!$B$21)-12)/2,0))),"")</f>
        <v>-4141.62</v>
      </c>
      <c r="D13" s="32">
        <f>IFERROR(IF('PyG 3 Años'!$B$9="","",-'PyG 3 Años'!$B$23/MAX(12,'0. Supuestos'!$B$21)*(1+IF(3='0. Supuestos'!$B$60,(MAX(12,'0. Supuestos'!$B$21)-12)/2,0)+IF(3='0. Supuestos'!$B$61,(MAX(12,'0. Supuestos'!$B$21)-12)/2,0))),"")</f>
        <v>-4141.62</v>
      </c>
      <c r="E13" s="32">
        <f>IFERROR(IF('PyG 3 Años'!$B$9="","",-'PyG 3 Años'!$B$23/MAX(12,'0. Supuestos'!$B$21)*(1+IF(4='0. Supuestos'!$B$60,(MAX(12,'0. Supuestos'!$B$21)-12)/2,0)+IF(4='0. Supuestos'!$B$61,(MAX(12,'0. Supuestos'!$B$21)-12)/2,0))),"")</f>
        <v>-4141.62</v>
      </c>
      <c r="F13" s="32">
        <f>IFERROR(IF('PyG 3 Años'!$B$9="","",-'PyG 3 Años'!$B$23/MAX(12,'0. Supuestos'!$B$21)*(1+IF(5='0. Supuestos'!$B$60,(MAX(12,'0. Supuestos'!$B$21)-12)/2,0)+IF(5='0. Supuestos'!$B$61,(MAX(12,'0. Supuestos'!$B$21)-12)/2,0))),"")</f>
        <v>-4141.62</v>
      </c>
      <c r="G13" s="32">
        <f>IFERROR(IF('PyG 3 Años'!$B$9="","",-'PyG 3 Años'!$B$23/MAX(12,'0. Supuestos'!$B$21)*(1+IF(6='0. Supuestos'!$B$60,(MAX(12,'0. Supuestos'!$B$21)-12)/2,0)+IF(6='0. Supuestos'!$B$61,(MAX(12,'0. Supuestos'!$B$21)-12)/2,0))),"")</f>
        <v>-4141.62</v>
      </c>
      <c r="H13" s="32">
        <f>IFERROR(IF('PyG 3 Años'!$B$9="","",-'PyG 3 Años'!$B$23/MAX(12,'0. Supuestos'!$B$21)*(1+IF(7='0. Supuestos'!$B$60,(MAX(12,'0. Supuestos'!$B$21)-12)/2,0)+IF(7='0. Supuestos'!$B$61,(MAX(12,'0. Supuestos'!$B$21)-12)/2,0))),"")</f>
        <v>-8283.24</v>
      </c>
      <c r="I13" s="32">
        <f>IFERROR(IF('PyG 3 Años'!$B$9="","",-'PyG 3 Años'!$B$23/MAX(12,'0. Supuestos'!$B$21)*(1+IF(8='0. Supuestos'!$B$60,(MAX(12,'0. Supuestos'!$B$21)-12)/2,0)+IF(8='0. Supuestos'!$B$61,(MAX(12,'0. Supuestos'!$B$21)-12)/2,0))),"")</f>
        <v>-4141.62</v>
      </c>
      <c r="J13" s="32">
        <f>IFERROR(IF('PyG 3 Años'!$B$9="","",-'PyG 3 Años'!$B$23/MAX(12,'0. Supuestos'!$B$21)*(1+IF(9='0. Supuestos'!$B$60,(MAX(12,'0. Supuestos'!$B$21)-12)/2,0)+IF(9='0. Supuestos'!$B$61,(MAX(12,'0. Supuestos'!$B$21)-12)/2,0))),"")</f>
        <v>-4141.62</v>
      </c>
      <c r="K13" s="32">
        <f>IFERROR(IF('PyG 3 Años'!$B$9="","",-'PyG 3 Años'!$B$23/MAX(12,'0. Supuestos'!$B$21)*(1+IF(10='0. Supuestos'!$B$60,(MAX(12,'0. Supuestos'!$B$21)-12)/2,0)+IF(10='0. Supuestos'!$B$61,(MAX(12,'0. Supuestos'!$B$21)-12)/2,0))),"")</f>
        <v>-4141.62</v>
      </c>
      <c r="L13" s="32">
        <f>IFERROR(IF('PyG 3 Años'!$B$9="","",-'PyG 3 Años'!$B$23/MAX(12,'0. Supuestos'!$B$21)*(1+IF(11='0. Supuestos'!$B$60,(MAX(12,'0. Supuestos'!$B$21)-12)/2,0)+IF(11='0. Supuestos'!$B$61,(MAX(12,'0. Supuestos'!$B$21)-12)/2,0))),"")</f>
        <v>-4141.62</v>
      </c>
      <c r="M13" s="32">
        <f>IFERROR(IF('PyG 3 Años'!$B$9="","",-'PyG 3 Años'!$B$23/MAX(12,'0. Supuestos'!$B$21)*(1+IF(12='0. Supuestos'!$B$60,(MAX(12,'0. Supuestos'!$B$21)-12)/2,0)+IF(12='0. Supuestos'!$B$61,(MAX(12,'0. Supuestos'!$B$21)-12)/2,0))),"")</f>
        <v>-8283.24</v>
      </c>
      <c r="N13" s="32">
        <f>IFERROR(IF('PyG 3 Años'!$B$9="","",SUM(B13:M13)),"")</f>
        <v>-57982.68</v>
      </c>
      <c r="O13" s="28" t="inlineStr">
        <is>
          <t>Doce mensualidades más las pagas extra en los meses que digas en Supuestos. La suma del año es la misma que la del P&amp;L</t>
        </is>
      </c>
    </row>
    <row r="14">
      <c r="A14" s="28" t="inlineStr">
        <is>
          <t>Intereses del préstamo</t>
        </is>
      </c>
      <c r="B14" s="32">
        <f>IFERROR(IF('PyG 3 Años'!$B$9="","",-'Financiación'!$B$44/12),"")</f>
        <v>-354.25</v>
      </c>
      <c r="C14" s="32">
        <f>IFERROR(IF('PyG 3 Años'!$B$9="","",-'Financiación'!$B$44/12),"")</f>
        <v>-354.25</v>
      </c>
      <c r="D14" s="32">
        <f>IFERROR(IF('PyG 3 Años'!$B$9="","",-'Financiación'!$B$44/12),"")</f>
        <v>-354.25</v>
      </c>
      <c r="E14" s="32">
        <f>IFERROR(IF('PyG 3 Años'!$B$9="","",-'Financiación'!$B$44/12),"")</f>
        <v>-354.25</v>
      </c>
      <c r="F14" s="32">
        <f>IFERROR(IF('PyG 3 Años'!$B$9="","",-'Financiación'!$B$44/12),"")</f>
        <v>-354.25</v>
      </c>
      <c r="G14" s="32">
        <f>IFERROR(IF('PyG 3 Años'!$B$9="","",-'Financiación'!$B$44/12),"")</f>
        <v>-354.25</v>
      </c>
      <c r="H14" s="32">
        <f>IFERROR(IF('PyG 3 Años'!$B$9="","",-'Financiación'!$B$44/12),"")</f>
        <v>-354.25</v>
      </c>
      <c r="I14" s="32">
        <f>IFERROR(IF('PyG 3 Años'!$B$9="","",-'Financiación'!$B$44/12),"")</f>
        <v>-354.25</v>
      </c>
      <c r="J14" s="32">
        <f>IFERROR(IF('PyG 3 Años'!$B$9="","",-'Financiación'!$B$44/12),"")</f>
        <v>-354.25</v>
      </c>
      <c r="K14" s="32">
        <f>IFERROR(IF('PyG 3 Años'!$B$9="","",-'Financiación'!$B$44/12),"")</f>
        <v>-354.25</v>
      </c>
      <c r="L14" s="32">
        <f>IFERROR(IF('PyG 3 Años'!$B$9="","",-'Financiación'!$B$44/12),"")</f>
        <v>-354.25</v>
      </c>
      <c r="M14" s="32">
        <f>IFERROR(IF('PyG 3 Años'!$B$9="","",-'Financiación'!$B$44/12),"")</f>
        <v>-354.25</v>
      </c>
      <c r="N14" s="32">
        <f>IFERROR(IF('PyG 3 Años'!$B$9="","",SUM(B14:M14)),"")</f>
        <v>-4251.0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278.71478667445945</v>
      </c>
      <c r="C16" s="32">
        <f>IFERROR(IF('PyG 3 Años'!$B$9="","",'PyG 3 Años'!$B$9*C7*SUMPRODUCT('PyG 3 Años'!$E$10:$E$11,'PyG 3 Años'!$G$10:$G$11)),"")</f>
        <v>389.18719302906334</v>
      </c>
      <c r="D16" s="32">
        <f>IFERROR(IF('PyG 3 Años'!$B$9="","",'PyG 3 Años'!$B$9*D7*SUMPRODUCT('PyG 3 Años'!$E$10:$E$11,'PyG 3 Años'!$G$10:$G$11)),"")</f>
        <v>739.8610700812922</v>
      </c>
      <c r="E16" s="32">
        <f>IFERROR(IF('PyG 3 Años'!$B$9="","",'PyG 3 Años'!$B$9*E7*SUMPRODUCT('PyG 3 Años'!$E$10:$E$11,'PyG 3 Años'!$G$10:$G$11)),"")</f>
        <v>1163.5075458264705</v>
      </c>
      <c r="F16" s="32">
        <f>IFERROR(IF('PyG 3 Años'!$B$9="","",'PyG 3 Años'!$B$9*F7*SUMPRODUCT('PyG 3 Años'!$E$10:$E$11,'PyG 3 Años'!$G$10:$G$11)),"")</f>
        <v>2213.5021603527975</v>
      </c>
      <c r="G16" s="32">
        <f>IFERROR(IF('PyG 3 Años'!$B$9="","",'PyG 3 Años'!$B$9*G7*SUMPRODUCT('PyG 3 Años'!$E$10:$E$11,'PyG 3 Años'!$G$10:$G$11)),"")</f>
        <v>2837.8232825035866</v>
      </c>
      <c r="H16" s="32">
        <f>IFERROR(IF('PyG 3 Años'!$B$9="","",'PyG 3 Años'!$B$9*H7*SUMPRODUCT('PyG 3 Años'!$E$10:$E$11,'PyG 3 Años'!$G$10:$G$11)),"")</f>
        <v>2229.718293395675</v>
      </c>
      <c r="I16" s="32">
        <f>IFERROR(IF('PyG 3 Años'!$B$9="","",'PyG 3 Años'!$B$9*I7*SUMPRODUCT('PyG 3 Años'!$E$10:$E$11,'PyG 3 Años'!$G$10:$G$11)),"")</f>
        <v>1621.6133042877639</v>
      </c>
      <c r="J16" s="32">
        <f>IFERROR(IF('PyG 3 Años'!$B$9="","",'PyG 3 Años'!$B$9*J7*SUMPRODUCT('PyG 3 Años'!$E$10:$E$11,'PyG 3 Años'!$G$10:$G$11)),"")</f>
        <v>3040.524945539557</v>
      </c>
      <c r="K16" s="32">
        <f>IFERROR(IF('PyG 3 Años'!$B$9="","",'PyG 3 Años'!$B$9*K7*SUMPRODUCT('PyG 3 Años'!$E$10:$E$11,'PyG 3 Años'!$G$10:$G$11)),"")</f>
        <v>2027.016630359705</v>
      </c>
      <c r="L16" s="32">
        <f>IFERROR(IF('PyG 3 Años'!$B$9="","",'PyG 3 Años'!$B$9*L7*SUMPRODUCT('PyG 3 Años'!$E$10:$E$11,'PyG 3 Años'!$G$10:$G$11)),"")</f>
        <v>912.157483661867</v>
      </c>
      <c r="M16" s="32">
        <f>IFERROR(IF('PyG 3 Años'!$B$9="","",'PyG 3 Años'!$B$9*M7*SUMPRODUCT('PyG 3 Años'!$E$10:$E$11,'PyG 3 Años'!$G$10:$G$11)),"")</f>
        <v>1621.6133042877639</v>
      </c>
      <c r="N16" s="32">
        <f>IFERROR(IF('PyG 3 Años'!$B$9="","",SUM(B16:M16)),"")</f>
        <v>19075.24</v>
      </c>
      <c r="O16" s="28" t="inlineStr">
        <is>
          <t>Cada línea de venta a SU tipo, leído de la columna de IVA del P&amp;L: en el servicio de parrilla, alcohol incluido, el reducido (art. 91.Uno.2.2.º de la Ley 37/1992 del IVA); el alcohol que sale por asado para llevar, al general; la carpa o el mobiliario facturados aparte, al general (art. 90)</t>
        </is>
      </c>
    </row>
    <row r="17">
      <c r="A17" s="28" t="inlineStr">
        <is>
          <t>IVA soportado del mes (memoria)</t>
        </is>
      </c>
      <c r="B17" s="32">
        <f>IFERROR(IF('PyG 3 Años'!$B$9="","",'PyG 3 Años'!$B$39*B7+'PyG 3 Años'!$B$40/12),"")</f>
        <v>564.6660432495617</v>
      </c>
      <c r="C17" s="32">
        <f>IFERROR(IF('PyG 3 Años'!$B$9="","",'PyG 3 Años'!$B$39*C7+'PyG 3 Años'!$B$40/12),"")</f>
        <v>625.3358567557515</v>
      </c>
      <c r="D17" s="32">
        <f>IFERROR(IF('PyG 3 Años'!$B$9="","",'PyG 3 Años'!$B$39*D7+'PyG 3 Años'!$B$40/12),"")</f>
        <v>817.9207693533817</v>
      </c>
      <c r="E17" s="32">
        <f>IFERROR(IF('PyG 3 Años'!$B$9="","",'PyG 3 Años'!$B$39*E7+'PyG 3 Años'!$B$40/12),"")</f>
        <v>1050.5811550927156</v>
      </c>
      <c r="F17" s="32">
        <f>IFERROR(IF('PyG 3 Años'!$B$9="","",'PyG 3 Años'!$B$39*F7+'PyG 3 Años'!$B$40/12),"")</f>
        <v>1627.2226852983367</v>
      </c>
      <c r="G17" s="32">
        <f>IFERROR(IF('PyG 3 Años'!$B$9="","",'PyG 3 Años'!$B$39*G7+'PyG 3 Años'!$B$40/12),"")</f>
        <v>1970.090622177355</v>
      </c>
      <c r="H17" s="32">
        <f>IFERROR(IF('PyG 3 Años'!$B$9="","",'PyG 3 Años'!$B$39*H7+'PyG 3 Años'!$B$40/12),"")</f>
        <v>1636.1283459964932</v>
      </c>
      <c r="I17" s="32">
        <f>IFERROR(IF('PyG 3 Años'!$B$9="","",'PyG 3 Años'!$B$39*I7+'PyG 3 Años'!$B$40/12),"")</f>
        <v>1302.1660698156313</v>
      </c>
      <c r="J17" s="32">
        <f>IFERROR(IF('PyG 3 Años'!$B$9="","",'PyG 3 Años'!$B$39*J7+'PyG 3 Años'!$B$40/12),"")</f>
        <v>2081.4113809043088</v>
      </c>
      <c r="K17" s="32">
        <f>IFERROR(IF('PyG 3 Años'!$B$9="","",'PyG 3 Años'!$B$39*K7+'PyG 3 Años'!$B$40/12),"")</f>
        <v>1524.8075872695392</v>
      </c>
      <c r="L17" s="32">
        <f>IFERROR(IF('PyG 3 Años'!$B$9="","",'PyG 3 Años'!$B$39*L7+'PyG 3 Años'!$B$40/12),"")</f>
        <v>912.5434142712926</v>
      </c>
      <c r="M17" s="32">
        <f>IFERROR(IF('PyG 3 Años'!$B$9="","",'PyG 3 Años'!$B$39*M7+'PyG 3 Años'!$B$40/12),"")</f>
        <v>1302.1660698156313</v>
      </c>
      <c r="N17" s="32">
        <f>IFERROR(IF('PyG 3 Años'!$B$9="","",SUM(B17:M17)),"")</f>
        <v>15415.039999999999</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Inicial'!$B$28),"")</f>
        <v>10835.16</v>
      </c>
      <c r="F18" s="28" t="n"/>
      <c r="G18" s="28" t="n"/>
      <c r="H18" s="32">
        <f>IFERROR(IF('PyG 3 Años'!$B$9="","",MAX(0,-E19)),"")</f>
        <v>11435.31961957388</v>
      </c>
      <c r="I18" s="28" t="n"/>
      <c r="J18" s="28" t="n"/>
      <c r="K18" s="32">
        <f>IFERROR(IF('PyG 3 Años'!$B$9="","",MAX(0,-H19)),"")</f>
        <v>9868.381093459433</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-11435.31961957388</v>
      </c>
      <c r="F19" s="28" t="n"/>
      <c r="G19" s="28" t="n"/>
      <c r="H19" s="32">
        <f>IFERROR(IF('PyG 3 Años'!$B$9="","",SUM(E16:G16)-SUM(E17:G17)-H18),"")</f>
        <v>-9868.381093459433</v>
      </c>
      <c r="I19" s="28" t="n"/>
      <c r="J19" s="28" t="n"/>
      <c r="K19" s="32">
        <f>IFERROR(IF('PyG 3 Años'!$B$9="","",SUM(H16:J16)-SUM(H17:J17)-K18),"")</f>
        <v>-7996.23034695287</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-6165.669883109293</v>
      </c>
      <c r="C21" s="26">
        <f>IFERROR(IF('PyG 3 Años'!$B$9="","",SUM(C9:C15)+IF(C20="",0,C20)),"")</f>
        <v>-4958.792628978268</v>
      </c>
      <c r="D21" s="26">
        <f>IFERROR(IF('PyG 3 Años'!$B$9="","",SUM(D9:D15)+IF(D20="",0,D20)),"")</f>
        <v>-3528.768799213644</v>
      </c>
      <c r="E21" s="26">
        <f>IFERROR(IF('PyG 3 Años'!$B$9="","",SUM(E9:E15)+IF(E20="",0,E20)),"")</f>
        <v>-1127.5859290154604</v>
      </c>
      <c r="F21" s="26">
        <f>IFERROR(IF('PyG 3 Años'!$B$9="","",SUM(F9:F15)+IF(F20="",0,F20)),"")</f>
        <v>3442.2045071994053</v>
      </c>
      <c r="G21" s="26">
        <f>IFERROR(IF('PyG 3 Años'!$B$9="","",SUM(G9:G15)+IF(G20="",0,G20)),"")</f>
        <v>8634.291027575582</v>
      </c>
      <c r="H21" s="26">
        <f>IFERROR(IF('PyG 3 Años'!$B$9="","",SUM(H9:H15)+IF(H20="",0,H20)),"")</f>
        <v>4542.957579831038</v>
      </c>
      <c r="I21" s="26">
        <f>IFERROR(IF('PyG 3 Años'!$B$9="","",SUM(I9:I15)+IF(I20="",0,I20)),"")</f>
        <v>4913.086160671591</v>
      </c>
      <c r="J21" s="26">
        <f>IFERROR(IF('PyG 3 Años'!$B$9="","",SUM(J9:J15)+IF(J20="",0,J20)),"")</f>
        <v>7427.413773444553</v>
      </c>
      <c r="K21" s="26">
        <f>IFERROR(IF('PyG 3 Años'!$B$9="","",SUM(K9:K15)+IF(K20="",0,K20)),"")</f>
        <v>8684.577579831039</v>
      </c>
      <c r="L21" s="26">
        <f>IFERROR(IF('PyG 3 Años'!$B$9="","",SUM(L9:L15)+IF(L20="",0,L20)),"")</f>
        <v>2084.4675963020036</v>
      </c>
      <c r="M21" s="26">
        <f>IFERROR(IF('PyG 3 Años'!$B$9="","",SUM(M9:M15)+IF(M20="",0,M20)),"")</f>
        <v>-3314.31621008448</v>
      </c>
      <c r="N21" s="26">
        <f>IFERROR(IF('PyG 3 Años'!$B$9="","",SUM(B21:M21)),"")</f>
        <v>20633.864774454072</v>
      </c>
      <c r="O21" s="28" t="n"/>
    </row>
    <row r="22">
      <c r="A22" s="25" t="inlineStr">
        <is>
          <t>SALDO ACUMULADO DE CAJA</t>
        </is>
      </c>
      <c r="B22" s="26">
        <f>IFERROR(IF('PyG 3 Años'!$B$9="","",'Inversión Inicial'!$B$25+B21),"")</f>
        <v>15760.250116890706</v>
      </c>
      <c r="C22" s="26">
        <f>IFERROR(IF('PyG 3 Años'!$B$9="","",B22+C21),"")</f>
        <v>10801.457487912438</v>
      </c>
      <c r="D22" s="26">
        <f>IFERROR(IF('PyG 3 Años'!$B$9="","",C22+D21),"")</f>
        <v>7272.688688698794</v>
      </c>
      <c r="E22" s="26">
        <f>IFERROR(IF('PyG 3 Años'!$B$9="","",D22+E21),"")</f>
        <v>6145.102759683334</v>
      </c>
      <c r="F22" s="26">
        <f>IFERROR(IF('PyG 3 Años'!$B$9="","",E22+F21),"")</f>
        <v>9587.307266882739</v>
      </c>
      <c r="G22" s="26">
        <f>IFERROR(IF('PyG 3 Años'!$B$9="","",F22+G21),"")</f>
        <v>18221.598294458323</v>
      </c>
      <c r="H22" s="26">
        <f>IFERROR(IF('PyG 3 Años'!$B$9="","",G22+H21),"")</f>
        <v>22764.555874289363</v>
      </c>
      <c r="I22" s="26">
        <f>IFERROR(IF('PyG 3 Años'!$B$9="","",H22+I21),"")</f>
        <v>27677.642034960954</v>
      </c>
      <c r="J22" s="26">
        <f>IFERROR(IF('PyG 3 Años'!$B$9="","",I22+J21),"")</f>
        <v>35105.05580840551</v>
      </c>
      <c r="K22" s="26">
        <f>IFERROR(IF('PyG 3 Años'!$B$9="","",J22+K21),"")</f>
        <v>43789.63338823654</v>
      </c>
      <c r="L22" s="26">
        <f>IFERROR(IF('PyG 3 Años'!$B$9="","",K22+L21),"")</f>
        <v>45874.10098453855</v>
      </c>
      <c r="M22" s="26">
        <f>IFERROR(IF('PyG 3 Años'!$B$9="","",L22+M21),"")</f>
        <v>42559.78477445407</v>
      </c>
      <c r="N22" s="28" t="n"/>
      <c r="O22" s="28" t="n"/>
    </row>
    <row r="23">
      <c r="A23" s="28" t="inlineStr">
        <is>
          <t>Saldo mínimo del año</t>
        </is>
      </c>
      <c r="B23" s="32">
        <f>IFERROR(IF('PyG 3 Años'!$B$9="","",IF(COUNT(B22:M22)=0,"",MIN(B22:M22))),"")</f>
        <v>6145.102759683334</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40">
        <f>IFERROR(IF('PyG 3 Años'!$B$9="","",IF(COUNT(B22:M22)=0,"",MATCH(MIN(B22:M22),B22:M22,0))),"")</f>
        <v>4.0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23689.772000000004</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26049.780000000002</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23819.537395168292</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24884.864774454072</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Inicial'!$B$29-'Inversión Inicial'!$B$28),"")</f>
        <v>76521.92</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Inicial'!$B$27,ROUND('Inversión Inicial'!$B$27/B26,1),IF(B26+B27&gt;='Inversión Inicial'!$B$27,ROUND(1+('Inversión Inicial'!$B$27-B26)/B27,1),IF(B26+B27+B28&gt;='Inversión Inicial'!$B$27,ROUND(2+('Inversión Inicial'!$B$27-B26-B27)/B28,1),"Más de 3 años")))),"")</f>
        <v>2.2</v>
      </c>
      <c r="C32" s="28" t="n"/>
      <c r="D32" s="28" t="inlineStr">
        <is>
          <t>El mismo cálculo sobre lo que se COMPRA (furgoneta,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22000.0</v>
      </c>
      <c r="C6" s="28" t="n"/>
      <c r="D6" s="28" t="n"/>
      <c r="E6" s="28" t="n"/>
      <c r="F6" s="28" t="n"/>
      <c r="G6" s="28" t="n"/>
      <c r="H6" s="28" t="n"/>
    </row>
    <row r="7">
      <c r="A7" s="28" t="inlineStr">
        <is>
          <t>Préstamo bancario</t>
        </is>
      </c>
      <c r="B7" s="32">
        <f>IFERROR(IF('0. Supuestos'!$B$31="","",'0. Supuestos'!$B$31),"")</f>
        <v>65400.0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87400.0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Inicial'!$B$29="","",'Inversión Inicial'!$B$29),"")</f>
        <v>87357.08</v>
      </c>
      <c r="C14" s="28" t="inlineStr">
        <is>
          <t>Inversión más el IVA que hay que adelantar</t>
        </is>
      </c>
      <c r="D14" s="28" t="n"/>
      <c r="E14" s="28" t="n"/>
      <c r="F14" s="28" t="n"/>
      <c r="G14" s="28" t="n"/>
      <c r="H14" s="28" t="n"/>
    </row>
    <row r="15">
      <c r="A15" s="25" t="inlineStr">
        <is>
          <t>Diferencia (origen - usos)</t>
        </is>
      </c>
      <c r="B15" s="26">
        <f>IFERROR(B12-B14,"")</f>
        <v>42.919999999998254</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8">
        <f>IFERROR(B15/B14,"")</f>
        <v>0.0004913167885190102</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65357.08</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65400.0</v>
      </c>
      <c r="C20" s="28" t="n"/>
      <c r="D20" s="28" t="n"/>
      <c r="E20" s="28" t="n"/>
      <c r="F20" s="28" t="n"/>
      <c r="G20" s="28" t="n"/>
      <c r="H20" s="28" t="n"/>
    </row>
    <row r="21">
      <c r="A21" s="28" t="inlineStr">
        <is>
          <t>Tipo de interés nominal anual</t>
        </is>
      </c>
      <c r="B21" s="68">
        <f>IFERROR(IF('0. Supuestos'!$B$32="","",'0. Supuestos'!$B$32),"")</f>
        <v>0.065</v>
      </c>
      <c r="C21" s="28" t="n"/>
      <c r="D21" s="28" t="n"/>
      <c r="E21" s="28" t="n"/>
      <c r="F21" s="28" t="n"/>
      <c r="G21" s="28" t="n"/>
      <c r="H21" s="28" t="n"/>
    </row>
    <row r="22">
      <c r="A22" s="28" t="inlineStr">
        <is>
          <t>Plazo total (años)</t>
        </is>
      </c>
      <c r="B22" s="40">
        <f>IFERROR(IF('0. Supuestos'!$B$33="","",'0. Supuestos'!$B$33),"")</f>
        <v>6.0</v>
      </c>
      <c r="C22" s="28" t="n"/>
      <c r="D22" s="28" t="n"/>
      <c r="E22" s="28" t="n"/>
      <c r="F22" s="28" t="n"/>
      <c r="G22" s="28" t="n"/>
      <c r="H22" s="28" t="n"/>
    </row>
    <row r="23">
      <c r="A23" s="28" t="inlineStr">
        <is>
          <t>Carencia de principal aplicada (años)</t>
        </is>
      </c>
      <c r="B23" s="40">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15737.498758875641</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40" t="n">
        <v>1</v>
      </c>
      <c r="B27" s="70">
        <f>IFERROR(IF(B20="","",B20),"")</f>
        <v>65400.0</v>
      </c>
      <c r="C27" s="70">
        <f>IFERROR(IF(OR(1&gt;B22,B27=""),"",B27*B21),"")</f>
        <v>4251.0</v>
      </c>
      <c r="D27" s="70">
        <f>IFERROR(IF(OR(1&gt;B22,B27=""),"",IF(1&lt;=B23,0,MIN(B27,B24-C27))),"")</f>
        <v>0.0</v>
      </c>
      <c r="E27" s="70">
        <f>IFERROR(IF(C27="","",C27+D27),"")</f>
        <v>4251.0</v>
      </c>
      <c r="F27" s="70">
        <f>IFERROR(IF(D27="","",B27-D27),"")</f>
        <v>65400.0</v>
      </c>
      <c r="G27" s="70">
        <f>IFERROR(IF(E27="","",'PyG 3 Años'!$B$41-'PyG 3 Años'!$B$46+'PyG 3 Años'!$B$36+'PyG 3 Años'!$B$37),"")</f>
        <v>23689.772000000004</v>
      </c>
      <c r="H27" s="61">
        <f>IFERROR(IF(OR(E27="",E27=0),"",G27/E27),"")</f>
        <v>5.572752764055517</v>
      </c>
    </row>
    <row r="28">
      <c r="A28" s="40" t="n">
        <v>2</v>
      </c>
      <c r="B28" s="70">
        <f>IFERROR(IF(OR(2&gt;B22,F27=""),"",F27),"")</f>
        <v>65400.0</v>
      </c>
      <c r="C28" s="70">
        <f>IFERROR(IF(OR(2&gt;B22,B28=""),"",B28*B21),"")</f>
        <v>4251.0</v>
      </c>
      <c r="D28" s="70">
        <f>IFERROR(IF(OR(2&gt;B22,B28=""),"",IF(2&lt;=B23,0,MIN(B28,B24-C28))),"")</f>
        <v>11486.498758875641</v>
      </c>
      <c r="E28" s="70">
        <f>IFERROR(IF(C28="","",C28+D28),"")</f>
        <v>15737.498758875641</v>
      </c>
      <c r="F28" s="70">
        <f>IFERROR(IF(D28="","",B28-D28),"")</f>
        <v>53913.50124112436</v>
      </c>
      <c r="G28" s="70">
        <f>IFERROR(IF(E28="","",'PyG 3 Años'!$C$41-'PyG 3 Años'!$C$46+'PyG 3 Años'!$C$36+'PyG 3 Años'!$C$37),"")</f>
        <v>26049.780000000002</v>
      </c>
      <c r="H28" s="61">
        <f>IFERROR(IF(OR(E28="",E28=0),"",G28/E28),"")</f>
        <v>1.6552681210099183</v>
      </c>
    </row>
    <row r="29">
      <c r="A29" s="40" t="n">
        <v>3</v>
      </c>
      <c r="B29" s="70">
        <f>IFERROR(IF(OR(3&gt;B22,F28=""),"",F28),"")</f>
        <v>53913.50124112436</v>
      </c>
      <c r="C29" s="70">
        <f>IFERROR(IF(OR(3&gt;B22,B29=""),"",B29*B21),"")</f>
        <v>3504.3775806730832</v>
      </c>
      <c r="D29" s="70">
        <f>IFERROR(IF(OR(3&gt;B22,B29=""),"",IF(3&lt;=B23,0,MIN(B29,B24-C29))),"")</f>
        <v>12233.121178202558</v>
      </c>
      <c r="E29" s="70">
        <f>IFERROR(IF(C29="","",C29+D29),"")</f>
        <v>15737.498758875641</v>
      </c>
      <c r="F29" s="70">
        <f>IFERROR(IF(D29="","",B29-D29),"")</f>
        <v>41680.3800629218</v>
      </c>
      <c r="G29" s="70">
        <f>IFERROR(IF(E29="","",'PyG 3 Años'!$D$41-'PyG 3 Años'!$D$46+'PyG 3 Años'!$D$36+'PyG 3 Años'!$D$37),"")</f>
        <v>23819.537395168292</v>
      </c>
      <c r="H29" s="61">
        <f>IFERROR(IF(OR(E29="",E29=0),"",G29/E29),"")</f>
        <v>1.513552932401951</v>
      </c>
    </row>
    <row r="30">
      <c r="A30" s="40" t="n">
        <v>4</v>
      </c>
      <c r="B30" s="70">
        <f>IFERROR(IF(OR(4&gt;B22,F29=""),"",F29),"")</f>
        <v>41680.3800629218</v>
      </c>
      <c r="C30" s="70">
        <f>IFERROR(IF(OR(4&gt;B22,B30=""),"",B30*B21),"")</f>
        <v>2709.2247040899174</v>
      </c>
      <c r="D30" s="70">
        <f>IFERROR(IF(OR(4&gt;B22,B30=""),"",IF(4&lt;=B23,0,MIN(B30,B24-C30))),"")</f>
        <v>13028.274054785725</v>
      </c>
      <c r="E30" s="70">
        <f>IFERROR(IF(C30="","",C30+D30),"")</f>
        <v>15737.498758875641</v>
      </c>
      <c r="F30" s="70">
        <f>IFERROR(IF(D30="","",B30-D30),"")</f>
        <v>28652.106008136077</v>
      </c>
      <c r="G30" s="70">
        <f>IFERROR(IF(E30="","",'PyG 3 Años'!$D$41-'PyG 3 Años'!$D$46+'PyG 3 Años'!$D$36+'PyG 3 Años'!$D$37),"")</f>
        <v>23819.537395168292</v>
      </c>
      <c r="H30" s="61">
        <f>IFERROR(IF(OR(E30="",E30=0),"",G30/E30),"")</f>
        <v>1.513552932401951</v>
      </c>
    </row>
    <row r="31">
      <c r="A31" s="40" t="n">
        <v>5</v>
      </c>
      <c r="B31" s="70">
        <f>IFERROR(IF(OR(5&gt;B22,F30=""),"",F30),"")</f>
        <v>28652.106008136077</v>
      </c>
      <c r="C31" s="70">
        <f>IFERROR(IF(OR(5&gt;B22,B31=""),"",B31*B21),"")</f>
        <v>1862.386890528845</v>
      </c>
      <c r="D31" s="70">
        <f>IFERROR(IF(OR(5&gt;B22,B31=""),"",IF(5&lt;=B23,0,MIN(B31,B24-C31))),"")</f>
        <v>13875.111868346796</v>
      </c>
      <c r="E31" s="70">
        <f>IFERROR(IF(C31="","",C31+D31),"")</f>
        <v>15737.498758875641</v>
      </c>
      <c r="F31" s="70">
        <f>IFERROR(IF(D31="","",B31-D31),"")</f>
        <v>14776.994139789282</v>
      </c>
      <c r="G31" s="70">
        <f>IFERROR(IF(E31="","",'PyG 3 Años'!$D$41-'PyG 3 Años'!$D$46+'PyG 3 Años'!$D$36+'PyG 3 Años'!$D$37),"")</f>
        <v>23819.537395168292</v>
      </c>
      <c r="H31" s="61">
        <f>IFERROR(IF(OR(E31="",E31=0),"",G31/E31),"")</f>
        <v>1.513552932401951</v>
      </c>
    </row>
    <row r="32">
      <c r="A32" s="40" t="n">
        <v>6</v>
      </c>
      <c r="B32" s="70">
        <f>IFERROR(IF(OR(6&gt;B22,F31=""),"",F31),"")</f>
        <v>14776.994139789282</v>
      </c>
      <c r="C32" s="70">
        <f>IFERROR(IF(OR(6&gt;B22,B32=""),"",B32*B21),"")</f>
        <v>960.5046190863034</v>
      </c>
      <c r="D32" s="70">
        <f>IFERROR(IF(OR(6&gt;B22,B32=""),"",IF(6&lt;=B23,0,MIN(B32,B24-C32))),"")</f>
        <v>14776.994139789282</v>
      </c>
      <c r="E32" s="70">
        <f>IFERROR(IF(C32="","",C32+D32),"")</f>
        <v>15737.498758875585</v>
      </c>
      <c r="F32" s="70">
        <f>IFERROR(IF(D32="","",B32-D32),"")</f>
        <v>0.0</v>
      </c>
      <c r="G32" s="70">
        <f>IFERROR(IF(E32="","",'PyG 3 Años'!$D$41-'PyG 3 Años'!$D$46+'PyG 3 Años'!$D$36+'PyG 3 Años'!$D$37),"")</f>
        <v>23819.537395168292</v>
      </c>
      <c r="H32" s="61">
        <f>IFERROR(IF(OR(E32="",E32=0),"",G32/E32),"")</f>
        <v>1.5135529324019565</v>
      </c>
    </row>
    <row r="33">
      <c r="A33" s="40" t="n">
        <v>7</v>
      </c>
      <c r="B33" s="70">
        <f>IFERROR(IF(OR(7&gt;B22,F32=""),"",F32),"")</f>
        <v/>
      </c>
      <c r="C33" s="70">
        <f>IFERROR(IF(OR(7&gt;B22,B33=""),"",B33*B21),"")</f>
        <v/>
      </c>
      <c r="D33" s="70">
        <f>IFERROR(IF(OR(7&gt;B22,B33=""),"",IF(7&lt;=B23,0,MIN(B33,B24-C33))),"")</f>
        <v/>
      </c>
      <c r="E33" s="70">
        <f>IFERROR(IF(C33="","",C33+D33),"")</f>
        <v/>
      </c>
      <c r="F33" s="70">
        <f>IFERROR(IF(D33="","",B33-D33),"")</f>
        <v/>
      </c>
      <c r="G33" s="70">
        <f>IFERROR(IF(E33="","",'PyG 3 Años'!$D$41-'PyG 3 Años'!$D$46+'PyG 3 Años'!$D$36+'PyG 3 Años'!$D$37),"")</f>
        <v/>
      </c>
      <c r="H33" s="61">
        <f>IFERROR(IF(OR(E33="",E33=0),"",G33/E33),"")</f>
        <v/>
      </c>
    </row>
    <row r="34">
      <c r="A34" s="40" t="n">
        <v>8</v>
      </c>
      <c r="B34" s="70">
        <f>IFERROR(IF(OR(8&gt;B22,F33=""),"",F33),"")</f>
        <v/>
      </c>
      <c r="C34" s="70">
        <f>IFERROR(IF(OR(8&gt;B22,B34=""),"",B34*B21),"")</f>
        <v/>
      </c>
      <c r="D34" s="70">
        <f>IFERROR(IF(OR(8&gt;B22,B34=""),"",IF(8&lt;=B23,0,MIN(B34,B24-C34))),"")</f>
        <v/>
      </c>
      <c r="E34" s="70">
        <f>IFERROR(IF(C34="","",C34+D34),"")</f>
        <v/>
      </c>
      <c r="F34" s="70">
        <f>IFERROR(IF(D34="","",B34-D34),"")</f>
        <v/>
      </c>
      <c r="G34" s="70">
        <f>IFERROR(IF(E34="","",'PyG 3 Años'!$D$41-'PyG 3 Años'!$D$46+'PyG 3 Años'!$D$36+'PyG 3 Años'!$D$37),"")</f>
        <v/>
      </c>
      <c r="H34" s="61">
        <f>IFERROR(IF(OR(E34="",E34=0),"",G34/E34),"")</f>
        <v/>
      </c>
    </row>
    <row r="35">
      <c r="A35" s="40" t="n">
        <v>9</v>
      </c>
      <c r="B35" s="70">
        <f>IFERROR(IF(OR(9&gt;B22,F34=""),"",F34),"")</f>
        <v/>
      </c>
      <c r="C35" s="70">
        <f>IFERROR(IF(OR(9&gt;B22,B35=""),"",B35*B21),"")</f>
        <v/>
      </c>
      <c r="D35" s="70">
        <f>IFERROR(IF(OR(9&gt;B22,B35=""),"",IF(9&lt;=B23,0,MIN(B35,B24-C35))),"")</f>
        <v/>
      </c>
      <c r="E35" s="70">
        <f>IFERROR(IF(C35="","",C35+D35),"")</f>
        <v/>
      </c>
      <c r="F35" s="70">
        <f>IFERROR(IF(D35="","",B35-D35),"")</f>
        <v/>
      </c>
      <c r="G35" s="70">
        <f>IFERROR(IF(E35="","",'PyG 3 Años'!$D$41-'PyG 3 Años'!$D$46+'PyG 3 Años'!$D$36+'PyG 3 Años'!$D$37),"")</f>
        <v/>
      </c>
      <c r="H35" s="61">
        <f>IFERROR(IF(OR(E35="",E35=0),"",G35/E35),"")</f>
        <v/>
      </c>
    </row>
    <row r="36">
      <c r="A36" s="40" t="n">
        <v>10</v>
      </c>
      <c r="B36" s="70">
        <f>IFERROR(IF(OR(10&gt;B22,F35=""),"",F35),"")</f>
        <v/>
      </c>
      <c r="C36" s="70">
        <f>IFERROR(IF(OR(10&gt;B22,B36=""),"",B36*B21),"")</f>
        <v/>
      </c>
      <c r="D36" s="70">
        <f>IFERROR(IF(OR(10&gt;B22,B36=""),"",IF(10&lt;=B23,0,MIN(B36,B24-C36))),"")</f>
        <v/>
      </c>
      <c r="E36" s="70">
        <f>IFERROR(IF(C36="","",C36+D36),"")</f>
        <v/>
      </c>
      <c r="F36" s="70">
        <f>IFERROR(IF(D36="","",B36-D36),"")</f>
        <v/>
      </c>
      <c r="G36" s="70">
        <f>IFERROR(IF(E36="","",'PyG 3 Años'!$D$41-'PyG 3 Años'!$D$46+'PyG 3 Años'!$D$36+'PyG 3 Años'!$D$37),"")</f>
        <v/>
      </c>
      <c r="H36" s="61">
        <f>IFERROR(IF(OR(E36="",E36=0),"",G36/E36),"")</f>
        <v/>
      </c>
    </row>
    <row r="37">
      <c r="A37" s="40" t="n">
        <v>11</v>
      </c>
      <c r="B37" s="70">
        <f>IFERROR(IF(OR(11&gt;B22,F36=""),"",F36),"")</f>
        <v/>
      </c>
      <c r="C37" s="70">
        <f>IFERROR(IF(OR(11&gt;B22,B37=""),"",B37*B21),"")</f>
        <v/>
      </c>
      <c r="D37" s="70">
        <f>IFERROR(IF(OR(11&gt;B22,B37=""),"",IF(11&lt;=B23,0,MIN(B37,B24-C37))),"")</f>
        <v/>
      </c>
      <c r="E37" s="70">
        <f>IFERROR(IF(C37="","",C37+D37),"")</f>
        <v/>
      </c>
      <c r="F37" s="70">
        <f>IFERROR(IF(D37="","",B37-D37),"")</f>
        <v/>
      </c>
      <c r="G37" s="70">
        <f>IFERROR(IF(E37="","",'PyG 3 Años'!$D$41-'PyG 3 Años'!$D$46+'PyG 3 Años'!$D$36+'PyG 3 Años'!$D$37),"")</f>
        <v/>
      </c>
      <c r="H37" s="61">
        <f>IFERROR(IF(OR(E37="",E37=0),"",G37/E37),"")</f>
        <v/>
      </c>
    </row>
    <row r="38">
      <c r="A38" s="40" t="n">
        <v>12</v>
      </c>
      <c r="B38" s="70">
        <f>IFERROR(IF(OR(12&gt;B22,F37=""),"",F37),"")</f>
        <v/>
      </c>
      <c r="C38" s="70">
        <f>IFERROR(IF(OR(12&gt;B22,B38=""),"",B38*B21),"")</f>
        <v/>
      </c>
      <c r="D38" s="70">
        <f>IFERROR(IF(OR(12&gt;B22,B38=""),"",IF(12&lt;=B23,0,MIN(B38,B24-C38))),"")</f>
        <v/>
      </c>
      <c r="E38" s="70">
        <f>IFERROR(IF(C38="","",C38+D38),"")</f>
        <v/>
      </c>
      <c r="F38" s="70">
        <f>IFERROR(IF(D38="","",B38-D38),"")</f>
        <v/>
      </c>
      <c r="G38" s="70">
        <f>IFERROR(IF(E38="","",'PyG 3 Años'!$D$41-'PyG 3 Años'!$D$46+'PyG 3 Años'!$D$36+'PyG 3 Años'!$D$37),"")</f>
        <v/>
      </c>
      <c r="H38" s="61">
        <f>IFERROR(IF(OR(E38="",E38=0),"",G38/E38),"")</f>
        <v/>
      </c>
    </row>
    <row r="39">
      <c r="A39" s="40" t="n">
        <v>13</v>
      </c>
      <c r="B39" s="70">
        <f>IFERROR(IF(OR(13&gt;B22,F38=""),"",F38),"")</f>
        <v/>
      </c>
      <c r="C39" s="70">
        <f>IFERROR(IF(OR(13&gt;B22,B39=""),"",B39*B21),"")</f>
        <v/>
      </c>
      <c r="D39" s="70">
        <f>IFERROR(IF(OR(13&gt;B22,B39=""),"",IF(13&lt;=B23,0,MIN(B39,B24-C39))),"")</f>
        <v/>
      </c>
      <c r="E39" s="70">
        <f>IFERROR(IF(C39="","",C39+D39),"")</f>
        <v/>
      </c>
      <c r="F39" s="70">
        <f>IFERROR(IF(D39="","",B39-D39),"")</f>
        <v/>
      </c>
      <c r="G39" s="70">
        <f>IFERROR(IF(E39="","",'PyG 3 Años'!$D$41-'PyG 3 Años'!$D$46+'PyG 3 Años'!$D$36+'PyG 3 Años'!$D$37),"")</f>
        <v/>
      </c>
      <c r="H39" s="61">
        <f>IFERROR(IF(OR(E39="",E39=0),"",G39/E39),"")</f>
        <v/>
      </c>
    </row>
    <row r="40">
      <c r="A40" s="40" t="n">
        <v>14</v>
      </c>
      <c r="B40" s="70">
        <f>IFERROR(IF(OR(14&gt;B22,F39=""),"",F39),"")</f>
        <v/>
      </c>
      <c r="C40" s="70">
        <f>IFERROR(IF(OR(14&gt;B22,B40=""),"",B40*B21),"")</f>
        <v/>
      </c>
      <c r="D40" s="70">
        <f>IFERROR(IF(OR(14&gt;B22,B40=""),"",IF(14&lt;=B23,0,MIN(B40,B24-C40))),"")</f>
        <v/>
      </c>
      <c r="E40" s="70">
        <f>IFERROR(IF(C40="","",C40+D40),"")</f>
        <v/>
      </c>
      <c r="F40" s="70">
        <f>IFERROR(IF(D40="","",B40-D40),"")</f>
        <v/>
      </c>
      <c r="G40" s="70">
        <f>IFERROR(IF(E40="","",'PyG 3 Años'!$D$41-'PyG 3 Años'!$D$46+'PyG 3 Años'!$D$36+'PyG 3 Años'!$D$37),"")</f>
        <v/>
      </c>
      <c r="H40" s="61">
        <f>IFERROR(IF(OR(E40="",E40=0),"",G40/E40),"")</f>
        <v/>
      </c>
    </row>
    <row r="41">
      <c r="A41" s="40" t="n">
        <v>15</v>
      </c>
      <c r="B41" s="70">
        <f>IFERROR(IF(OR(15&gt;B22,F40=""),"",F40),"")</f>
        <v/>
      </c>
      <c r="C41" s="70">
        <f>IFERROR(IF(OR(15&gt;B22,B41=""),"",B41*B21),"")</f>
        <v/>
      </c>
      <c r="D41" s="70">
        <f>IFERROR(IF(OR(15&gt;B22,B41=""),"",IF(15&lt;=B23,0,MIN(B41,B24-C41))),"")</f>
        <v/>
      </c>
      <c r="E41" s="70">
        <f>IFERROR(IF(C41="","",C41+D41),"")</f>
        <v/>
      </c>
      <c r="F41" s="70">
        <f>IFERROR(IF(D41="","",B41-D41),"")</f>
        <v/>
      </c>
      <c r="G41" s="70">
        <f>IFERROR(IF(E41="","",'PyG 3 Años'!$D$41-'PyG 3 Años'!$D$46+'PyG 3 Años'!$D$36+'PyG 3 Años'!$D$37),"")</f>
        <v/>
      </c>
      <c r="H41" s="61">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70">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4251.0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4251.0</v>
      </c>
      <c r="C46" s="28" t="n"/>
      <c r="D46" s="28" t="n"/>
      <c r="E46" s="28" t="n"/>
      <c r="F46" s="28" t="n"/>
      <c r="G46" s="28" t="n"/>
      <c r="H46" s="28" t="n"/>
    </row>
    <row r="47">
      <c r="A47" s="28" t="inlineStr">
        <is>
          <t>Devolución de principal del año 2</t>
        </is>
      </c>
      <c r="B47" s="32">
        <f>IFERROR(IF(B20="","",IF(D28="",0,D28)),"")</f>
        <v>11486.498758875641</v>
      </c>
      <c r="C47" s="28" t="n"/>
      <c r="D47" s="28" t="n"/>
      <c r="E47" s="28" t="n"/>
      <c r="F47" s="28" t="n"/>
      <c r="G47" s="28" t="n"/>
      <c r="H47" s="28" t="n"/>
    </row>
    <row r="48">
      <c r="A48" s="28" t="inlineStr">
        <is>
          <t>Intereses del año 3</t>
        </is>
      </c>
      <c r="B48" s="32">
        <f>IFERROR(IF(B20="","",IF(C29="",0,C29)),"")</f>
        <v>3504.3775806730832</v>
      </c>
      <c r="C48" s="28" t="n"/>
      <c r="D48" s="28" t="n"/>
      <c r="E48" s="28" t="n"/>
      <c r="F48" s="28" t="n"/>
      <c r="G48" s="28" t="n"/>
      <c r="H48" s="28" t="n"/>
    </row>
    <row r="49">
      <c r="A49" s="28" t="inlineStr">
        <is>
          <t>Devolución de principal del año 3</t>
        </is>
      </c>
      <c r="B49" s="32">
        <f>IFERROR(IF(B20="","",IF(D29="",0,D29)),"")</f>
        <v>12233.121178202558</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1">
        <f>IFERROR(('PyG 3 Años'!$B$41-'PyG 3 Años'!$B$46+'PyG 3 Años'!$B$36+B44)/(B44+B45),"")</f>
        <v>5.572752764055517</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1">
        <f>IFERROR(('PyG 3 Años'!$C$41-'PyG 3 Años'!$C$46+'PyG 3 Años'!$C$36+B46)/(B46+B47),"")</f>
        <v>1.6552681210099183</v>
      </c>
      <c r="C52" s="28" t="n"/>
      <c r="D52" s="28" t="n"/>
      <c r="E52" s="28" t="n"/>
      <c r="F52" s="28" t="n"/>
      <c r="G52" s="28" t="n"/>
      <c r="H52" s="28" t="n"/>
    </row>
    <row r="53">
      <c r="A53" s="28" t="inlineStr">
        <is>
          <t>DSCR del año 3</t>
        </is>
      </c>
      <c r="B53" s="61">
        <f>IFERROR(('PyG 3 Años'!$D$41-'PyG 3 Años'!$D$46+'PyG 3 Años'!$D$36+B48)/(B48+B49),"")</f>
        <v>1.513552932401951</v>
      </c>
      <c r="C53" s="28" t="n"/>
      <c r="D53" s="28" t="n"/>
      <c r="E53" s="28" t="n"/>
      <c r="F53" s="28" t="n"/>
      <c r="G53" s="28" t="n"/>
      <c r="H53" s="28" t="n"/>
    </row>
    <row r="54">
      <c r="A54" s="25" t="inlineStr">
        <is>
          <t>DSCR mínimo de todo el cuadro</t>
        </is>
      </c>
      <c r="B54" s="62">
        <f>IFERROR(IF(COUNT(H27:H41)=0,"",MIN(H27:H41)),"")</f>
        <v>1.513552932401951</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Parrillero / Asador para Eventos · v2.2</dc:title>
  <dc:description xmlns:dc="http://purl.org/dc/elements/1.1/">aichef.pro/plan-negocio-parrillero-asador-eventos</dc:description>
  <dc:subject xmlns:dc="http://purl.org/dc/elements/1.1/">Plan financiero — Parrillero / Asador para Eventos · v2.2</dc:subject>
  <dcterms:created xmlns:dcterms="http://purl.org/dc/terms/" xmlns:xsi="http://www.w3.org/2001/XMLSchema-instance" xsi:type="dcterms:W3CDTF">2026-03-26T14:46:57Z</dcterms:created>
  <dcterms:modified xmlns:dcterms="http://purl.org/dc/terms/" xmlns:xsi="http://www.w3.org/2001/XMLSchema-instance" xsi:type="dcterms:W3CDTF">2026-10-11T23:07:07Z</dcterms:modified>
  <cp:lastModifiedBy>AI Chef Pro</cp:lastModifiedBy>
  <cp:category>AI Chef Pro · Productos digitales</cp:category>
  <cp:keywords>plan negocio parrillero asador eventos, AI Chef Pro</cp:keywords>
</cp:coreProperties>
</file>