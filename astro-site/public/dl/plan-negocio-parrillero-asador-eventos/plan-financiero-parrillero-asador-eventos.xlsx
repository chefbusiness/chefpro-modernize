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80</v>
      </c>
      <c r="C4" t="inlineStr">
        <is>
          <t>Invitados de media por evento en el año 1. Sale de la mezcla de cuatro tipos de evento de la tabla de referencias de la hoja de Instrucciones: bodas de 110, eventos de empresa de 70, celebraciones privadas de 40 y fiestas o ferias de 300</t>
        </is>
      </c>
    </row>
    <row r="5">
      <c r="A5" t="inlineStr">
        <is>
          <t>Precio medio por invitado SIN IVA (€)</t>
        </is>
      </c>
      <c r="B5" s="63" t="n">
        <v>25</v>
      </c>
      <c r="C5" t="inlineStr">
        <is>
          <t>SIN IVA, por invitado. Media ponderada de la misma mezcla: 42 € la boda (entrantes, tres o cuatro cortes con vacuno madurado, guarniciones y postre a la brasa), 31 € el evento de empresa, 25 € la celebración privada y 10 € la chuletada o costillada de una fiesta. Por eso la media baja: no es el precio de una boda. El precio con IVA (10 % en un servicio de comidas) está en la fila «PVP equivalente con IVA» de abajo</t>
        </is>
      </c>
    </row>
    <row r="6">
      <c r="A6" t="inlineStr">
        <is>
          <t>Eventos al año</t>
        </is>
      </c>
      <c r="B6" s="18" t="n">
        <v>95</v>
      </c>
      <c r="C6" t="inlineStr">
        <is>
          <t>Eventos servidos en el año: 12 bodas, 30 de empresa (comidas, team building, show cooking y Navidad), 45 celebraciones privadas (cumpleaños, comuniones, peñas, urbanizaciones) y 8 fiestas o ferias por encargo. Es el MISMO dato para la cuenta de resultados, el punto de equilibrio, los escenarios y las horas de personal</t>
        </is>
      </c>
    </row>
    <row r="7">
      <c r="A7" t="inlineStr">
        <is>
          <t>Crecimiento de volumen del año 2</t>
        </is>
      </c>
      <c r="B7" s="64" t="n">
        <v>0.08</v>
      </c>
      <c r="C7" t="inlineStr">
        <is>
          <t>Más volumen el segundo año: empresas que repiten, bodas que llegan por recomendación y planners que ya te conocen. El libro lo aplica a los invitados por evento con los mismos eventos; en euros da lo mismo que hacer más eventos del mismo tamaño</t>
        </is>
      </c>
    </row>
    <row r="8">
      <c r="A8" t="inlineStr">
        <is>
          <t>Crecimiento de volumen del año 3</t>
        </is>
      </c>
      <c r="B8" s="64" t="n">
        <v>0.05</v>
      </c>
      <c r="C8" t="inlineStr">
        <is>
          <t>Sobre el año 2. Conservador: el techo lo ponen los fines de semana de temporada y un solo parrillero titular</t>
        </is>
      </c>
    </row>
    <row r="9">
      <c r="A9" t="inlineStr">
        <is>
          <t>PVP equivalente con IVA (calculado)</t>
        </is>
      </c>
      <c r="B9" s="65">
        <f>IFERROR(IF($B$5="","",$B$5*(1+SUMPRODUCT('PyG 3 Años'!$E$10:$E$11,'PyG 3 Años'!$G$10:$G$11))),"")</f>
        <v>27.5099</v>
      </c>
      <c r="C9" t="str">
        <f>IFERROR("Precio por invitado sin IVA más el IVA medio ponderado de tus líneas de venta: "&amp;TEXT(SUMPRODUCT('PyG 3 Años'!$E$10:$E$11,'PyG 3 Años'!$G$10:$G$11)*100,"0")&amp;" %. En el servicio de parrilla todo va al 10 % (art. 91.Uno.2.2.º de la Ley 37/1992, alcohol incluido); el alcohol que sale en el asado para llevar mueve la media. Aquí va redondeado. Compáralo con el rango del sector, que va con IVA.","")</f>
        <v>Precio por invitado sin IVA más el IVA medio ponderado de tus líneas de venta: 10 %. En el servicio de parrilla todo va al 10 % (art. 91.Uno.2.2.º de la Ley 37/1992, alcohol incluido); el alcohol que sale en el asado para llevar mueve la media. Aquí va redondeado. Compáralo con el rango del sector, que va con IVA.</v>
      </c>
    </row>
    <row r="10">
      <c r="A10" s="16" t="inlineStr">
        <is>
          <t>MIX Y COSTE DE MERCANCÍA</t>
        </is>
      </c>
    </row>
    <row r="11">
      <c r="A11" t="inlineStr">
        <is>
          <t>Ventas de COMIDA sobre el total</t>
        </is>
      </c>
      <c r="B11" s="64" t="n">
        <v>0.88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0.12</v>
      </c>
      <c r="C12" t="inlineStr">
        <is>
          <t>Se calcula como el resto: comida + bebida = 100 %</t>
        </is>
      </c>
    </row>
    <row r="13">
      <c r="A13" t="inlineStr">
        <is>
          <t>Coste de mercancía sobre las ventas de COMIDA</t>
        </is>
      </c>
      <c r="B13" s="64" t="n">
        <v>0.32</v>
      </c>
      <c r="C13" t="inlineStr">
        <is>
          <t>Materia prima de la comida sobre las ventas de comida: carne (350-450 g crudos por invitado con entrantes), achuras y embutido, verdura, pan, salsas y postre. El escandallo de la mezcla sale al 29,8 %; el plan suma dos puntos por la volatilidad del vacuno y las compras de seguridad. Escandalla cada evento con la calculadora de este kit</t>
        </is>
      </c>
    </row>
    <row r="14">
      <c r="A14" t="inlineStr">
        <is>
          <t>Coste de mercancía sobre las ventas de BEBIDA</t>
        </is>
      </c>
      <c r="B14" s="64" t="n">
        <v>0.3</v>
      </c>
      <c r="C14" t="inlineStr">
        <is>
          <t>Bebida sobre las ventas de bebida: cerveza, refrescos, agua y vino del pack. Si el cliente pone la bebida, esta línea baja</t>
        </is>
      </c>
    </row>
    <row r="15">
      <c r="A15" t="inlineStr">
        <is>
          <t>Consumibles sobre ventas</t>
        </is>
      </c>
      <c r="B15" s="64" t="n">
        <v>0.045</v>
      </c>
      <c r="C15" t="inlineStr">
        <is>
          <t>Carbón, leña, pastillas de encendido, gas del plan B, papel de aluminio, desechables compostables y hielo: algo más de 1 € por invitado. Se gastan 0,7-1 kg de carbón por kg de carne cruda, y el carbón cuesta de 1,3 a 2 € el kilo</t>
        </is>
      </c>
    </row>
    <row r="16">
      <c r="A16" t="inlineStr">
        <is>
          <t>Ventas de asado para llevar (sin servicio) sobre el total</t>
        </is>
      </c>
      <c r="B16" s="64" t="n">
        <v>0.05</v>
      </c>
      <c r="C16" t="inlineStr">
        <is>
          <t>Parte de las ventas que se entrega SIN servicio: asado para llevar en bandejas (cordero, cochinillo, costillar), sin parrillero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del asado para llevar que entra por plataformas de pedidos o intermediarios. Si todos los pedidos los vendes tú, pon 0</t>
        </is>
      </c>
    </row>
    <row r="18">
      <c r="A18" t="inlineStr">
        <is>
          <t>Comisión de los medios de pago</t>
        </is>
      </c>
      <c r="B18" s="64" t="n">
        <v>0.005</v>
      </c>
      <c r="C18" t="inlineStr">
        <is>
          <t>Casi todo se cobra por transferencia (señales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1000</v>
      </c>
      <c r="C24" t="inlineStr">
        <is>
          <t>Cuota de una cocina de apoyo compartida y autorizada: unas 30 horas al mes de marinados, salmueras y porcionado, cámara para la carne y almacén de parrillas, carbón y remolque. La carne se asa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carbón y el gas van en los consumibles, porque suben y bajan con los eventos</t>
        </is>
      </c>
    </row>
    <row r="27">
      <c r="A27" t="inlineStr">
        <is>
          <t>Seguros (€/año)</t>
        </is>
      </c>
      <c r="B27" s="23" t="n">
        <v>1950</v>
      </c>
      <c r="C27" t="inlineStr">
        <is>
          <t>Responsabilidad civil de explotación con incendio (brasas y chispas sobre carpas, césped y pavimento) y de producto con intoxicación alimentaria de al menos 600.000 € (unos 750 €); seguro de la furgoneta de uso comercial (900 €), del remolque (150 €) y de los equipos que salen a cada evento (150 €). La cancelación por una prohibición de fuego no se asegura: va en la cláusula de fuerza mayor del contrato, con el plan B de gas</t>
        </is>
      </c>
    </row>
    <row r="28">
      <c r="A28" t="inlineStr">
        <is>
          <t>Varios e imprevistos sobre ventas</t>
        </is>
      </c>
      <c r="B28" s="64" t="n">
        <v>0.05</v>
      </c>
      <c r="C28" t="inlineStr">
        <is>
          <t>Combustible de la furgoneta y del remolque (2 puntos), imprevistos (1,5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22000</v>
      </c>
      <c r="C30" t="inlineStr">
        <is>
          <t>Aportación del socio. Un banco pide entre el 25 y el 30 % de la necesidad de caja con dinero propio</t>
        </is>
      </c>
    </row>
    <row r="31">
      <c r="A31" t="inlineStr">
        <is>
          <t>Préstamo bancario solicitado (€)</t>
        </is>
      </c>
      <c r="B31" s="23" t="n">
        <v>65400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asado para llevar (es una entrega de bienes). El alcohol servido en el servicio de parrilla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frigorífica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Remolque-parrilla, parrillas, cruces, ahumador, plan B de gas,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que puedes servir con dos parrilleros, el remolque-parrilla, las dos parrillas móviles, los dos auxiliares y un tercero de tu bolsa de fijos discontinuos o de una ETT</t>
        </is>
      </c>
    </row>
    <row r="52">
      <c r="A52" t="inlineStr">
        <is>
          <t>Actividad del mes 1 sobre la de crucero</t>
        </is>
      </c>
      <c r="B52" s="64" t="n">
        <v>0.55</v>
      </c>
      <c r="C52" t="inlineStr">
        <is>
          <t>Un negocio de parrilla para eventos que arranca factura poco el primer mes: las bodas se reservan con meses de antelación y las empresas tardan en repetir. Con 100 % se elimina la rampa</t>
        </is>
      </c>
    </row>
    <row r="53">
      <c r="A53" t="inlineStr">
        <is>
          <t>Meses hasta alcanzar el régimen de crucero</t>
        </is>
      </c>
      <c r="B53" s="18" t="n">
        <v>6</v>
      </c>
      <c r="C53" t="inlineStr">
        <is>
          <t>Seis meses hasta el ritmo de crucero: una temporada de bodas y eventos de empresa</t>
        </is>
      </c>
    </row>
    <row r="54">
      <c r="A54" t="inlineStr">
        <is>
          <t>Meses de cuota de la cocina de apoyo ANTES del primer evento</t>
        </is>
      </c>
      <c r="B54" s="18" t="n">
        <v>1</v>
      </c>
      <c r="C54" t="inlineStr">
        <is>
          <t>Un mes de cuota para montar el almacén, probar los marinados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 y del carbón)</t>
        </is>
      </c>
    </row>
    <row r="56"/>
    <row r="57">
      <c r="A57" s="16" t="inlineStr">
        <is>
          <t>COBROS, PAGOS Y DESGLOSE DEL IVA</t>
        </is>
      </c>
    </row>
    <row r="58">
      <c r="A58" t="inlineStr">
        <is>
          <t>Días medios de cobro</t>
        </is>
      </c>
      <c r="B58" s="18" t="n">
        <v>15</v>
      </c>
      <c r="C58" t="inlineStr">
        <is>
          <t>Media ponderada: los particulares pagan el 30 % de señal al firmar, el 40 % siete días antes y el 30 % en las 48 horas siguientes al evento (contratos del kit); las empresas, a 30 días de la factura, y los ayuntamientos, a 30 días desde la conformidad (art. 198.4 de la Ley 9/2017). Empresas y fiestas son el 47 % de las ventas. El libro no admite días negativos, así que las señales no se modelan: tu caja real será algo MEJOR que la de la hoja de Tesorería</t>
        </is>
      </c>
    </row>
    <row r="59">
      <c r="A59" t="inlineStr">
        <is>
          <t>Días medios de pago a proveedor</t>
        </is>
      </c>
      <c r="B59" s="18" t="n">
        <v>15</v>
      </c>
      <c r="C59" t="inlineStr">
        <is>
          <t>Plazo de pago a proveedores: la carne fresca se paga a plazo corto (el carnicero, a 7-15 días); el carbón y los desechables,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0.6</v>
      </c>
      <c r="C62" t="inlineStr">
        <is>
          <t>Parte ALCOHÓLICA de la bebida (cerveza y vino del pack). Reparte el IVA que soportas al comprarla (21 % el alcohol) y el que repercutes en el asado para llevar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parrilla en directo lo es. El libro aplica el 21 % sólo al alcohol del asado para llevar,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30" customHeight="1">
      <c r="A1" s="38" t="inlineStr">
        <is>
          <t>PLAN DE NEGOCIO: PARRILLERO / ASADOR PARA EVENTOS</t>
        </is>
      </c>
    </row>
    <row r="2">
      <c r="A2" s="2" t="inlineStr">
        <is>
          <t>Inversión inicial estimada — parrilla y asado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54596.0</v>
      </c>
      <c r="C6" s="67">
        <f>IFERROR(B6/$B$26,"")</f>
        <v>0.7134687681647298</v>
      </c>
      <c r="D6" s="28" t="n"/>
      <c r="E6" s="28" t="n"/>
    </row>
    <row r="7">
      <c r="A7" s="28" t="inlineStr">
        <is>
          <t>Furgoneta frigorífica usada con certificado ATP</t>
        </is>
      </c>
      <c r="B7" s="29" t="n">
        <v>20000</v>
      </c>
      <c r="C7" s="68">
        <f>IFERROR(B7/$B$26,"")</f>
        <v>0.2613630185965015</v>
      </c>
      <c r="D7" s="28" t="inlineStr">
        <is>
          <t>Furgoneta usada con caja frigorífica y certificado ATP vigente (RD 237/2000) para llevar la carne a 7 °C o menos. Estimación del kit (18.000-21.950 € en el mercado de ocasión)</t>
        </is>
      </c>
      <c r="E7" s="31" t="inlineStr">
        <is>
          <t>Sí</t>
        </is>
      </c>
    </row>
    <row r="8">
      <c r="A8" s="28" t="inlineStr">
        <is>
          <t>Rotulación, estanterías y anclajes</t>
        </is>
      </c>
      <c r="B8" s="29" t="n">
        <v>1200</v>
      </c>
      <c r="C8" s="68">
        <f>IFERROR(B8/$B$26,"")</f>
        <v>0.01568178111579009</v>
      </c>
      <c r="D8" s="28" t="inlineStr">
        <is>
          <t>Rotulación con la marca, estanterías con amarres y anclajes para llevar en pie y sujetas las botellas de gas y los sacos de carbón</t>
        </is>
      </c>
      <c r="E8" s="31" t="inlineStr">
        <is>
          <t>Sí</t>
        </is>
      </c>
    </row>
    <row r="9">
      <c r="A9" s="28" t="inlineStr">
        <is>
          <t>Remolque-parrilla homologado con cruz</t>
        </is>
      </c>
      <c r="B9" s="29" t="n">
        <v>7000</v>
      </c>
      <c r="C9" s="68">
        <f>IFERROR(B9/$B$26,"")</f>
        <v>0.09147705650877552</v>
      </c>
      <c r="D9" s="28" t="inlineStr">
        <is>
          <t>Remolque de hasta 750 kg con parrilla y soporte de cruz: la pieza de las bodas y las fiestas. Estimación del kit (6.000-9.000 €); no hay precio público de referencia</t>
        </is>
      </c>
      <c r="E9" s="31" t="inlineStr">
        <is>
          <t>Sí</t>
        </is>
      </c>
    </row>
    <row r="10">
      <c r="A10" s="28" t="inlineStr">
        <is>
          <t>Parrillas móviles inox de 120 cm y brasero</t>
        </is>
      </c>
      <c r="B10" s="29" t="n">
        <v>3200</v>
      </c>
      <c r="C10" s="68">
        <f>IFERROR(B10/$B$26,"")</f>
        <v>0.04181808297544024</v>
      </c>
      <c r="D10" s="28" t="inlineStr">
        <is>
          <t>Dos parrillas móviles de carbón y leña de 120 cm (cada una sirve 60-80 invitados en dos o tres tandas) y un brasero para tener brasa de reserva</t>
        </is>
      </c>
      <c r="E10" s="31" t="inlineStr">
        <is>
          <t>Sí</t>
        </is>
      </c>
    </row>
    <row r="11">
      <c r="A11" s="28" t="inlineStr">
        <is>
          <t>Cruces, kit de costillar y ahumador pequeño</t>
        </is>
      </c>
      <c r="B11" s="29" t="n">
        <v>1800</v>
      </c>
      <c r="C11" s="68">
        <f>IFERROR(B11/$B$26,"")</f>
        <v>0.023522671673685134</v>
      </c>
      <c r="D11" s="28" t="inlineStr">
        <is>
          <t>Cuatro cruces para cordero o cochinillo, el kit de costillar y un ahumador offset pequeño para el BBQ texano</t>
        </is>
      </c>
      <c r="E11" s="31" t="inlineStr">
        <is>
          <t>Sí</t>
        </is>
      </c>
    </row>
    <row r="12">
      <c r="A12" s="28" t="inlineStr">
        <is>
          <t>Plan B de gas y seguridad contra incendios</t>
        </is>
      </c>
      <c r="B12" s="29" t="n">
        <v>2200</v>
      </c>
      <c r="C12" s="68">
        <f>IFERROR(B12/$B$26,"")</f>
        <v>0.028749932045615167</v>
      </c>
      <c r="D12" s="28" t="inlineStr">
        <is>
          <t>Plancha o parrilla de piedra volcánica de gas con sus botellas y reguladores (una botella de menos de 15 kg por aparato), tres extintores ABC y uno de CO2, mantas ignífugas, contenedor metálico de cenizas y EPI térmicos</t>
        </is>
      </c>
      <c r="E12" s="31" t="inlineStr">
        <is>
          <t>Sí</t>
        </is>
      </c>
    </row>
    <row r="13">
      <c r="A13" s="28" t="inlineStr">
        <is>
          <t>Frío: armario refrigerado portátil, isotermos, acumuladores y sondas</t>
        </is>
      </c>
      <c r="B13" s="29" t="n">
        <v>1800</v>
      </c>
      <c r="C13" s="68">
        <f>IFERROR(B13/$B$26,"")</f>
        <v>0.023522671673685134</v>
      </c>
      <c r="D13" s="28" t="inlineStr">
        <is>
          <t>Cadena de frío de la carne desde la cocina de apoyo hasta el evento, y sondas para las temperaturas del APPCC</t>
        </is>
      </c>
      <c r="E13" s="31" t="inlineStr">
        <is>
          <t>Sí</t>
        </is>
      </c>
    </row>
    <row r="14">
      <c r="A14" s="28" t="inlineStr">
        <is>
          <t>Carpa, mesas, lavamanos portátil y protector de césped</t>
        </is>
      </c>
      <c r="B14" s="29" t="n">
        <v>1800</v>
      </c>
      <c r="C14" s="68">
        <f>IFERROR(B14/$B$26,"")</f>
        <v>0.023522671673685134</v>
      </c>
      <c r="D14" s="28" t="inlineStr">
        <is>
          <t>Zona de parrilla bajo carpa (a 3 m o más de la parrilla), mesa de corte y de servicio, lavamanos para el personal y protector del césped o del pavimento</t>
        </is>
      </c>
      <c r="E14" s="31" t="inlineStr">
        <is>
          <t>Sí</t>
        </is>
      </c>
    </row>
    <row r="15">
      <c r="A15" s="28" t="inlineStr">
        <is>
          <t>Cuchillería, tablas de colores, básculas, GN y uniformes</t>
        </is>
      </c>
      <c r="B15" s="29" t="n">
        <v>1900</v>
      </c>
      <c r="C15" s="68">
        <f>IFERROR(B15/$B$26,"")</f>
        <v>0.024829486766667644</v>
      </c>
      <c r="D15" s="28" t="inlineStr">
        <is>
          <t>Cuchillos de deshuese y de trinchar, tablas por colores, básculas, cubetas GN y uniformes de la plantilla</t>
        </is>
      </c>
      <c r="E15" s="31" t="inlineStr">
        <is>
          <t>Sí</t>
        </is>
      </c>
    </row>
    <row r="16">
      <c r="A16" s="28" t="inlineStr">
        <is>
          <t>Marca, web, fotos, dossier y lanzamiento</t>
        </is>
      </c>
      <c r="B16" s="29" t="n">
        <v>4500</v>
      </c>
      <c r="C16" s="68">
        <f>IFERROR(B16/$B$26,"")</f>
        <v>0.05880667918421284</v>
      </c>
      <c r="D16" s="28" t="inlineStr">
        <is>
          <t>Identidad, web con formulario de presupuesto, sesión de fotos y vídeo de la brasa, dossier para bodas y empresas, y degustaciones de lanzamiento</t>
        </is>
      </c>
      <c r="E16" s="31" t="inlineStr">
        <is>
          <t>Sí</t>
        </is>
      </c>
    </row>
    <row r="17">
      <c r="A17" s="28" t="inlineStr">
        <is>
          <t>Software, tablet y datáfono</t>
        </is>
      </c>
      <c r="B17" s="29" t="n">
        <v>800</v>
      </c>
      <c r="C17" s="68">
        <f>IFERROR(B17/$B$26,"")</f>
        <v>0.01045452074386006</v>
      </c>
      <c r="D17" s="28" t="inlineStr">
        <is>
          <t>Presupuestos, agenda y facturación conforme a Veri*factu</t>
        </is>
      </c>
      <c r="E17" s="31" t="inlineStr">
        <is>
          <t>Sí</t>
        </is>
      </c>
    </row>
    <row r="18">
      <c r="A18" s="28" t="inlineStr">
        <is>
          <t>Constitución SL + notaría + registro</t>
        </is>
      </c>
      <c r="B18" s="29" t="n">
        <v>1000</v>
      </c>
      <c r="C18" s="68">
        <f>IFERROR(B18/$B$26,"")</f>
        <v>0.013068150929825075</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0.01568178111579009</v>
      </c>
      <c r="D19" s="28" t="inlineStr">
        <is>
          <t>Redacción del plan APPCC, fichas de alérgenos de cada menú, formación en higiene alimentaria del equipo y trámites sanitarios</t>
        </is>
      </c>
      <c r="E19" s="31" t="inlineStr">
        <is>
          <t>Sí</t>
        </is>
      </c>
    </row>
    <row r="20">
      <c r="A20" s="28" t="inlineStr">
        <is>
          <t>Stock inicial de producto</t>
        </is>
      </c>
      <c r="B20" s="29" t="n">
        <v>1500</v>
      </c>
      <c r="C20" s="68">
        <f>IFERROR(B20/$B$26,"")</f>
        <v>0.019602226394737614</v>
      </c>
      <c r="D20" s="28" t="inlineStr">
        <is>
          <t>Primer pedido de carbón y leña, especias, salsas, desechables compostables y la primera carga de gas</t>
        </is>
      </c>
      <c r="E20" s="31" t="inlineStr">
        <is>
          <t>Sí</t>
        </is>
      </c>
    </row>
    <row r="21">
      <c r="A21" s="28" t="inlineStr">
        <is>
          <t>Fianza de la cocina de apoyo</t>
        </is>
      </c>
      <c r="B21" s="32">
        <f>IFERROR(IF('0. Supuestos'!$B$24="","",'0. Supuestos'!$B$24*'0. Supuestos'!$B$25),"")</f>
        <v>2000.0</v>
      </c>
      <c r="C21" s="68">
        <f>IFERROR(B21/$B$26,"")</f>
        <v>0.02613630185965015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1000.0</v>
      </c>
      <c r="C22" s="68">
        <f>IFERROR(B22/$B$26,"")</f>
        <v>0.013068150929825075</v>
      </c>
      <c r="D22" s="28" t="str">
        <f>IFERROR("Renta "&amp;IF('0. Supuestos'!$B$54=1,"del mes","de los "&amp;TEXT('0. Supuestos'!$B$54,"0")&amp;" meses")&amp;" de puesta en marcha (pruebas de menú y degustaciones). NO se solapa con el P&amp;L, que arranca el día de la apertura: los doce meses del P&amp;L son los doce de explotación","")</f>
        <v>Renta del mes de puesta en marcha (pruebas de menú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1696.0</v>
      </c>
      <c r="C23" s="68">
        <f>IFERROR(B23/$B$26,"")</f>
        <v>0.022163583976983328</v>
      </c>
      <c r="D23" s="28" t="str">
        <f>IFERROR("Al "&amp;TEXT('0. Supuestos'!$B$55,"0%")&amp;" de las partidas de la furgoneta de este bloque (Furgoneta frigorífica usada con certificado ATP y Rotulación, estanterías y anclajes), no del bloque entero: el resto de partidas del bloque quedan fuera. Un banco no financia una compra así "&amp;"sin colchón: el porcentaje está en la hoja de Supuestos","")</f>
        <v>Al 8% de las partidas de la furgoneta de este bloque (Furgoneta frigorífica usada con certificado ATP y Rotulación, estanterías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21925.92</v>
      </c>
      <c r="C24" s="67">
        <f>IFERROR(B24/$B$26,"")</f>
        <v>0.2865312318352702</v>
      </c>
      <c r="D24" s="28" t="n"/>
      <c r="E24" s="28" t="n"/>
    </row>
    <row r="25">
      <c r="A25" s="28" t="inlineStr">
        <is>
          <t>Colchón operativo hasta alcanzar el equilibrio</t>
        </is>
      </c>
      <c r="B25" s="32">
        <f>IFERROR(IF('0. Supuestos'!$B$35*('PyG 3 Años'!$B$38-'PyG 3 Años'!$B$36)=0,"",'0. Supuestos'!$B$35*('PyG 3 Años'!$B$38-'PyG 3 Años'!$B$36)/12),"")</f>
        <v>21925.92</v>
      </c>
      <c r="C25" s="68">
        <f>IFERROR(B25/$B$26,"")</f>
        <v>0.2865312318352702</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76521.92</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(29% del total). Para comparar el desglose con otro plan, usa la fila de CAPEX de abajo.</v>
      </c>
      <c r="E26" s="28" t="n"/>
    </row>
    <row r="27">
      <c r="A27" s="25" t="inlineStr">
        <is>
          <t>CAPEX (inversión sin el fondo de maniobra)</t>
        </is>
      </c>
      <c r="B27" s="26">
        <f>IFERROR(B26-B24,"")</f>
        <v>54596.0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10835.16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87357.08</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22896.0</v>
      </c>
      <c r="C31" s="28" t="n"/>
      <c r="D31" s="28" t="str">
        <f>IFERROR("Se amortiza en "&amp;TEXT('0. Supuestos'!$B$44,"0")&amp;" años","")</f>
        <v>Se amortiza en 8 años</v>
      </c>
      <c r="E31" s="28" t="n"/>
    </row>
    <row r="32">
      <c r="A32" s="28" t="inlineStr">
        <is>
          <t>Maquinaria, mobiliario y equipos</t>
        </is>
      </c>
      <c r="B32" s="32">
        <f>IFERROR(IF(B9="","",B9+B10+B11+B12+B13+B14+B15+B17),"")</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4912.0</v>
      </c>
      <c r="C33" s="28" t="n"/>
      <c r="D33" s="25" t="str">
        <f>IFERROR("No se amortizan, por no ser inmovilizado, Marca, web, fotos, dossier y lanzamiento, Constitución SL + notaría + registro, Declaración responsable, plan APPCC, alérgenos y formación, Stock inicial de producto, Fianza de la cocina de apoyo, "&amp;"Cuota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33126 € de los 76522 €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parrillero / asador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80.0</v>
      </c>
      <c r="C6" s="40">
        <f>IFERROR(B6*(1+'0. Supuestos'!$B$7),"")</f>
        <v>86.4</v>
      </c>
      <c r="D6" s="40">
        <f>IFERROR(C6*(1+'0. Supuestos'!$B$8),"")</f>
        <v>90.72000000000001</v>
      </c>
      <c r="E6" s="28" t="n"/>
      <c r="F6" s="28" t="inlineStr">
        <is>
          <t>El crecimiento de los años 2 y 3 está en la hoja de Supuestos</t>
        </is>
      </c>
      <c r="G6" s="28" t="n"/>
      <c r="H6" s="28" t="n"/>
    </row>
    <row r="7">
      <c r="A7" s="28" t="inlineStr">
        <is>
          <t>Precio medio por invitado sin IVA</t>
        </is>
      </c>
      <c r="B7" s="70">
        <f>IFERROR(IF('0. Supuestos'!$B$5="","",'0. Supuestos'!$B$5),"")</f>
        <v>25.0</v>
      </c>
      <c r="C7" s="70">
        <f>IFERROR(IF(B7="","",B7),"")</f>
        <v>25.0</v>
      </c>
      <c r="D7" s="70">
        <f>IFERROR(IF(C7="","",C7),"")</f>
        <v>25.0</v>
      </c>
      <c r="E7" s="28" t="n"/>
      <c r="F7" s="28" t="inlineStr">
        <is>
          <t>Constante en euros del año 1: una subida de precios es una decisión aparte</t>
        </is>
      </c>
      <c r="G7" s="28" t="n"/>
      <c r="H7" s="28" t="n"/>
    </row>
    <row r="8">
      <c r="A8" s="28" t="inlineStr">
        <is>
          <t>Eventos al año</t>
        </is>
      </c>
      <c r="B8" s="40">
        <f>IFERROR(IF('0. Supuestos'!$B$6="","",'0. Supuestos'!$B$6),"")</f>
        <v>95.0</v>
      </c>
      <c r="C8" s="40">
        <f>IFERROR(IF(B8="","",B8),"")</f>
        <v>95.0</v>
      </c>
      <c r="D8" s="40">
        <f>IFERROR(IF(C8="","",C8),"")</f>
        <v>95.0</v>
      </c>
      <c r="E8" s="28" t="n"/>
      <c r="F8" s="28" t="n"/>
      <c r="G8" s="28" t="n"/>
      <c r="H8" s="28" t="n"/>
    </row>
    <row r="9">
      <c r="A9" s="25" t="inlineStr">
        <is>
          <t>INGRESOS TOTALES (sin IVA)</t>
        </is>
      </c>
      <c r="B9" s="26">
        <f>IFERROR(IF(B6*B7*B8=0,"",B6*B7*B8),"")</f>
        <v>190000.0</v>
      </c>
      <c r="C9" s="26">
        <f>IFERROR(IF(C6*C7*C8=0,"",C6*C7*C8),"")</f>
        <v>205200.0</v>
      </c>
      <c r="D9" s="26">
        <f>IFERROR(IF(D6*D7*D8=0,"",D6*D7*D8),"")</f>
        <v>215460.00000000003</v>
      </c>
      <c r="E9" s="67">
        <f>IFERROR(IF(B9="","",1),"")</f>
        <v>1.0</v>
      </c>
      <c r="F9" s="28" t="n"/>
      <c r="G9" s="28" t="n"/>
      <c r="H9" s="28" t="n"/>
    </row>
    <row r="10">
      <c r="A10" s="28" t="inlineStr">
        <is>
          <t>Ventas de comida (parrilla y asado en directo, entrantes y postre)</t>
        </is>
      </c>
      <c r="B10" s="32">
        <f>IFERROR(IF(B9="","",B9*$E$10),"")</f>
        <v>167200.0</v>
      </c>
      <c r="C10" s="32">
        <f>IFERROR(IF(C9="","",C9*$E$10),"")</f>
        <v>180576.0</v>
      </c>
      <c r="D10" s="32">
        <f>IFERROR(IF(D9="","",D9*$E$10),"")</f>
        <v>189604.80000000002</v>
      </c>
      <c r="E10" s="68">
        <f>IFERROR(IF('0. Supuestos'!$B$11="","",'0. Supuestos'!$B$11),"")</f>
        <v>0.88</v>
      </c>
      <c r="F10" s="28" t="inlineStr">
        <is>
          <t>Carne a la brasa cocinada en el evento, con show de fuego cuando se contrata, entrantes, guarniciones, pan, salsas y postre. Las fiestas son chuletada o costillada por invitado</t>
        </is>
      </c>
      <c r="G10" s="68">
        <f>IFERROR(IF(B9="","",'0. Supuestos'!$B$39),"")</f>
        <v>0.1</v>
      </c>
      <c r="H10" s="28" t="n"/>
    </row>
    <row r="11">
      <c r="A11" s="28" t="inlineStr">
        <is>
          <t>Ventas de bebida (pack de cerveza, refrescos y vino)</t>
        </is>
      </c>
      <c r="B11" s="32">
        <f>IFERROR(IF(B9="","",B9*$E$11),"")</f>
        <v>22800.0</v>
      </c>
      <c r="C11" s="32">
        <f>IFERROR(IF(C9="","",C9*$E$11),"")</f>
        <v>24624.0</v>
      </c>
      <c r="D11" s="32">
        <f>IFERROR(IF(D9="","",D9*$E$11),"")</f>
        <v>25855.2</v>
      </c>
      <c r="E11" s="68">
        <f>IFERROR(IF('0. Supuestos'!$B$12="","",'0. Supuestos'!$B$12),"")</f>
        <v>0.12</v>
      </c>
      <c r="F11" s="28" t="inlineStr">
        <is>
          <t>Pack de bebida que contratan sobre todo las celebraciones privadas y las empresas; en las bodas y en las fiestas la bebida suele ponerla el cliente o el recinto</t>
        </is>
      </c>
      <c r="G11" s="68">
        <f>IFERROR(IF(B9="","",('0. Supuestos'!$B$62*((1-'0. Supuestos'!$B$16)*'0. Supuestos'!$B$63+'0. Supuestos'!$B$16*'0. Supuestos'!$B$40)+(1-'0. Supuestos'!$B$62)*'0. Supuestos'!$B$39)),"")</f>
        <v>0.1033</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53504.0</v>
      </c>
      <c r="C13" s="32">
        <f>IFERROR(IF(C9="","",C9*'0. Supuestos'!$B$11*'0. Supuestos'!$B$13),"")</f>
        <v>57784.32</v>
      </c>
      <c r="D13" s="32">
        <f>IFERROR(IF(D9="","",D9*'0. Supuestos'!$B$11*'0. Supuestos'!$B$13),"")</f>
        <v>60673.53600000001</v>
      </c>
      <c r="E13" s="68">
        <f>IFERROR(B13/$B$9,"")</f>
        <v>0.2816</v>
      </c>
      <c r="F13" s="28" t="str">
        <f>IFERROR("Al "&amp;TEXT('0. Supuestos'!$B$13,"0%")&amp;" de las ventas de COMIDA, no del total: la bebida tiene su propia línea","")</f>
        <v>Al 32% de las ventas de COMIDA, no del total: la bebida tiene su propia línea</v>
      </c>
      <c r="G13" s="68">
        <f>IFERROR(IF(B9="","",'0. Supuestos'!$B$39),"")</f>
        <v>0.1</v>
      </c>
      <c r="H13" s="28" t="n"/>
    </row>
    <row r="14">
      <c r="A14" s="28" t="inlineStr">
        <is>
          <t>Coste de mercancía — bebida</t>
        </is>
      </c>
      <c r="B14" s="32">
        <f>IFERROR(IF(B9="","",B9*'0. Supuestos'!$B$12*'0. Supuestos'!$B$14),"")</f>
        <v>6840.0</v>
      </c>
      <c r="C14" s="32">
        <f>IFERROR(IF(C9="","",C9*'0. Supuestos'!$B$12*'0. Supuestos'!$B$14),"")</f>
        <v>7387.2</v>
      </c>
      <c r="D14" s="32">
        <f>IFERROR(IF(D9="","",D9*'0. Supuestos'!$B$12*'0. Supuestos'!$B$14),"")</f>
        <v>7756.5599999999995</v>
      </c>
      <c r="E14" s="68">
        <f>IFERROR(B14/$B$9,"")</f>
        <v>0.036</v>
      </c>
      <c r="F14" s="28" t="str">
        <f>IFERROR("Al "&amp;TEXT('0. Supuestos'!$B$14,"0%")&amp;" de las ventas de BEBIDA","")</f>
        <v>Al 30% de las ventas de BEBIDA</v>
      </c>
      <c r="G14" s="68">
        <f>IFERROR(IF(B9="","",('0. Supuestos'!$B$62*'0. Supuestos'!$B$40+(1-'0. Supuestos'!$B$62)*'0. Supuestos'!$B$39)),"")</f>
        <v>0.166</v>
      </c>
      <c r="H14" s="28" t="n"/>
    </row>
    <row r="15">
      <c r="A15" s="28" t="inlineStr">
        <is>
          <t>Consumibles y envases</t>
        </is>
      </c>
      <c r="B15" s="32">
        <f>IFERROR(IF(B9="","",B9*'0. Supuestos'!$B$15),"")</f>
        <v>8550.0</v>
      </c>
      <c r="C15" s="32">
        <f>IFERROR(IF(C9="","",C9*'0. Supuestos'!$B$15),"")</f>
        <v>9234.0</v>
      </c>
      <c r="D15" s="32">
        <f>IFERROR(IF(D9="","",D9*'0. Supuestos'!$B$15),"")</f>
        <v>9695.7</v>
      </c>
      <c r="E15" s="68">
        <f>IFERROR(B15/$B$9,"")</f>
        <v>0.045</v>
      </c>
      <c r="F15" s="28" t="n"/>
      <c r="G15" s="68">
        <f>IFERROR(IF(B9="","",'0. Supuestos'!$B$41),"")</f>
        <v>0.21</v>
      </c>
      <c r="H15" s="28" t="n"/>
    </row>
    <row r="16">
      <c r="A16" s="28" t="inlineStr">
        <is>
          <t>Comisiones del asado para llevar</t>
        </is>
      </c>
      <c r="B16" s="32">
        <f>IFERROR(IF(B9="","",B9*'0. Supuestos'!$B$16*'0. Supuestos'!$B$17),"")</f>
        <v>950.0</v>
      </c>
      <c r="C16" s="32">
        <f>IFERROR(IF(C9="","",C9*'0. Supuestos'!$B$16*'0. Supuestos'!$B$17),"")</f>
        <v>1026.0</v>
      </c>
      <c r="D16" s="32">
        <f>IFERROR(IF(D9="","",D9*'0. Supuestos'!$B$16*'0. Supuestos'!$B$17),"")</f>
        <v>1077.3000000000002</v>
      </c>
      <c r="E16" s="68">
        <f>IFERROR(B16/$B$9,"")</f>
        <v>0.005</v>
      </c>
      <c r="F16" s="28" t="inlineStr">
        <is>
          <t>Sobre las ventas DEL CANAL. Con 0 % de asado para llevar en Supuestos, esta línea vale cero</t>
        </is>
      </c>
      <c r="G16" s="68">
        <f>IFERROR(IF(B9="","",'0. Supuestos'!$B$41),"")</f>
        <v>0.21</v>
      </c>
      <c r="H16" s="28" t="n"/>
    </row>
    <row r="17">
      <c r="A17" s="28" t="inlineStr">
        <is>
          <t>Comisiones de los medios de pago</t>
        </is>
      </c>
      <c r="B17" s="32">
        <f>IFERROR(IF(B9="","",B9*'0. Supuestos'!$B$18),"")</f>
        <v>950.0</v>
      </c>
      <c r="C17" s="32">
        <f>IFERROR(IF(C9="","",C9*'0. Supuestos'!$B$18),"")</f>
        <v>1026.0</v>
      </c>
      <c r="D17" s="32">
        <f>IFERROR(IF(D9="","",D9*'0. Supuestos'!$B$18),"")</f>
        <v>1077.3000000000002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9500.0</v>
      </c>
      <c r="C18" s="32">
        <f>IFERROR(IF(C9="","",C9*'0. Supuestos'!$B$28),"")</f>
        <v>10260.0</v>
      </c>
      <c r="D18" s="32">
        <f>IFERROR(IF(D9="","",D9*'0. Supuestos'!$B$28),"")</f>
        <v>10773.000000000002</v>
      </c>
      <c r="E18" s="68">
        <f>IFERROR(B18/$B$9,"")</f>
        <v>0.05</v>
      </c>
      <c r="F18" s="28" t="str">
        <f>IFERROR("Al "&amp;TEXT('0. Supuestos'!$B$28,"0%")&amp;" de las ventas. Es un coste VARIABLE: sube y baja con la facturación, así que no puede vivir en los costes fijos","")</f>
        <v>Al 5% de las ventas. Es un coste VARIABLE: sube y baja con la facturación, así que no puede vivir en los costes fijos</v>
      </c>
      <c r="G18" s="68">
        <f>IFERROR(IF(B9="","",'0. Supuestos'!$B$41),"")</f>
        <v>0.21</v>
      </c>
      <c r="H18" s="28" t="n"/>
    </row>
    <row r="19">
      <c r="A19" s="25" t="inlineStr">
        <is>
          <t>TOTAL COSTES VARIABLES</t>
        </is>
      </c>
      <c r="B19" s="26">
        <f>IFERROR(IF(B9="","",SUM(B13:B18)),"")</f>
        <v>80294.0</v>
      </c>
      <c r="C19" s="26">
        <f>IFERROR(IF(C9="","",SUM(C13:C18)),"")</f>
        <v>86717.52</v>
      </c>
      <c r="D19" s="26">
        <f>IFERROR(IF(D9="","",SUM(D13:D18)),"")</f>
        <v>91053.39600000001</v>
      </c>
      <c r="E19" s="67">
        <f>IFERROR(B19/$B$9,"")</f>
        <v>0.4226</v>
      </c>
      <c r="F19" s="28" t="n"/>
      <c r="G19" s="28" t="n"/>
      <c r="H19" s="28" t="n"/>
    </row>
    <row r="20">
      <c r="A20" s="25" t="inlineStr">
        <is>
          <t>MARGEN BRUTO</t>
        </is>
      </c>
      <c r="B20" s="26">
        <f>IFERROR(IF(B9="","",B9-B19),"")</f>
        <v>109706.0</v>
      </c>
      <c r="C20" s="26">
        <f>IFERROR(IF(C9="","",C9-C19),"")</f>
        <v>118482.48</v>
      </c>
      <c r="D20" s="26">
        <f>IFERROR(IF(D9="","",D9-D19),"")</f>
        <v>124406.60400000002</v>
      </c>
      <c r="E20" s="67">
        <f>IFERROR(B20/$B$9,"")</f>
        <v>0.5774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12000.0</v>
      </c>
      <c r="C22" s="32">
        <f>IFERROR(IF(C9="","",B22*(1+'0. Supuestos'!$B$48)),"")</f>
        <v>12000.0</v>
      </c>
      <c r="D22" s="32">
        <f>IFERROR(IF(D9="","",C22*(1+'0. Supuestos'!$B$48)),"")</f>
        <v>12000.0</v>
      </c>
      <c r="E22" s="68">
        <f>IFERROR(B22/$B$9,"")</f>
        <v>0.06315789473684211</v>
      </c>
      <c r="F22" s="28" t="inlineStr">
        <is>
          <t>El importe mensual está en la hoja de Supuestos; aquí se multiplica por doce. Es el contrato de uso de una cocina de apoyo compartida y autorizada (horas de cocina, cámara para la carne y almacén de parrillas, carbón y remolque). El mes previo al primer evento está en la hoja de Inversión y NO se cuenta dos veces</t>
        </is>
      </c>
      <c r="G22" s="68">
        <f>IFERROR(IF(B9="","",'0. Supuestos'!$B$41),"")</f>
        <v>0.21</v>
      </c>
      <c r="H22" s="28" t="n"/>
    </row>
    <row r="23">
      <c r="A23" s="28" t="inlineStr">
        <is>
          <t>Personal (nóminas + Seguridad Social)</t>
        </is>
      </c>
      <c r="B23" s="32">
        <f>IFERROR(IF(B9="","",'Personal'!$G$9),"")</f>
        <v>57982.68</v>
      </c>
      <c r="C23" s="32">
        <f>IFERROR(IF(C9="","",'Personal'!$B$13),"")</f>
        <v>63982.68</v>
      </c>
      <c r="D23" s="32">
        <f>IFERROR(IF(D9="","",'Personal'!$B$14),"")</f>
        <v>69982.68</v>
      </c>
      <c r="E23" s="68">
        <f>IFERROR(B23/$B$9,"")</f>
        <v>0.305172</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0.003157894736842105</v>
      </c>
      <c r="F24" s="28" t="inlineStr">
        <is>
          <t>Consumos propios fuera de la cuota de la cocina. El carbón y el gas del plan B van en los consumibles. Va al 21 % de IVA</t>
        </is>
      </c>
      <c r="G24" s="68">
        <f>IFERROR(IF(B9="","",'0. Supuestos'!$B$41),"")</f>
        <v>0.21</v>
      </c>
      <c r="H24" s="28" t="n"/>
    </row>
    <row r="25">
      <c r="A25" s="28" t="inlineStr">
        <is>
          <t>Seguros (RC + multirriesgo)</t>
        </is>
      </c>
      <c r="B25" s="32">
        <f>IFERROR(IF(B9="","",'0. Supuestos'!$B$27),"")</f>
        <v>1950.0</v>
      </c>
      <c r="C25" s="32">
        <f>IFERROR(IF(C9="","",B25*(1+'0. Supuestos'!$B$48)),"")</f>
        <v>1950.0</v>
      </c>
      <c r="D25" s="32">
        <f>IFERROR(IF(D9="","",C25*(1+'0. Supuestos'!$B$48)),"")</f>
        <v>1950.0</v>
      </c>
      <c r="E25" s="68">
        <f>IFERROR(B25/$B$9,"")</f>
        <v>0.010263157894736842</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0.009473684210526316</v>
      </c>
      <c r="F26" s="28" t="inlineStr">
        <is>
          <t>Contabilidad, impuestos de la SL y nóminas de los fijos discontinuos de cada mes con llamamientos</t>
        </is>
      </c>
      <c r="G26" s="68">
        <f>IFERROR(IF(B9="","",'0. Supuestos'!$B$41),"")</f>
        <v>0.21</v>
      </c>
      <c r="H26" s="28" t="n"/>
    </row>
    <row r="27">
      <c r="A27" s="28" t="inlineStr">
        <is>
          <t>Furgoneta y remolque: mantenimiento, ITV e inspección ATP</t>
        </is>
      </c>
      <c r="B27" s="29" t="n">
        <v>1400</v>
      </c>
      <c r="C27" s="32">
        <f>IFERROR(IF(C9="","",B27*(1+'0. Supuestos'!$B$48)),"")</f>
        <v>1400.0</v>
      </c>
      <c r="D27" s="32">
        <f>IFERROR(IF(D9="","",C27*(1+'0. Supuestos'!$B$48)),"")</f>
        <v>1400.0</v>
      </c>
      <c r="E27" s="68">
        <f>IFERROR(B27/$B$9,"")</f>
        <v>0.007368421052631579</v>
      </c>
      <c r="F27" s="28" t="inlineStr">
        <is>
          <t>Taller, neumáticos, ITV de la furgoneta y del remolque y la inspección periódica del certificado ATP del equipo de frío (RD 237/2000)</t>
        </is>
      </c>
      <c r="G27" s="68">
        <f>IFERROR(IF(B9="","",'0. Supuestos'!$B$41),"")</f>
        <v>0.21</v>
      </c>
      <c r="H27" s="28" t="n"/>
    </row>
    <row r="28">
      <c r="A28" s="28" t="inlineStr">
        <is>
          <t>Marketing y publicidad</t>
        </is>
      </c>
      <c r="B28" s="29" t="n">
        <v>4500</v>
      </c>
      <c r="C28" s="32">
        <f>IFERROR(IF(C9="","",B28*(1+'0. Supuestos'!$B$48)),"")</f>
        <v>4500.0</v>
      </c>
      <c r="D28" s="32">
        <f>IFERROR(IF(D9="","",C28*(1+'0. Supuestos'!$B$48)),"")</f>
        <v>4500.0</v>
      </c>
      <c r="E28" s="68">
        <f>IFERROR(B28/$B$9,"")</f>
        <v>0.02368421052631579</v>
      </c>
      <c r="F28" s="28" t="inlineStr">
        <is>
          <t>Directorios de bodas, Google Ads local,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0.004736842105263158</v>
      </c>
      <c r="F29" s="28" t="inlineStr">
        <is>
          <t>Presupuestos, agenda de eventos, CRM de clientes y línea de teléfono</t>
        </is>
      </c>
      <c r="G29" s="68">
        <f>IFERROR(IF(B9="","",'0. Supuestos'!$B$41),"")</f>
        <v>0.21</v>
      </c>
      <c r="H29" s="28" t="n"/>
    </row>
    <row r="30">
      <c r="A30" s="28" t="inlineStr">
        <is>
          <t>Mantenimiento de extintores y revisión del gas</t>
        </is>
      </c>
      <c r="B30" s="29" t="n">
        <v>170</v>
      </c>
      <c r="C30" s="32">
        <f>IFERROR(IF(C9="","",B30*(1+'0. Supuestos'!$B$48)),"")</f>
        <v>170.0</v>
      </c>
      <c r="D30" s="32">
        <f>IFERROR(IF(D9="","",C30*(1+'0. Supuestos'!$B$48)),"")</f>
        <v>170.0</v>
      </c>
      <c r="E30" s="68">
        <f>IFERROR(B30/$B$9,"")</f>
        <v>0.0008947368421052632</v>
      </c>
      <c r="F30" s="28" t="inlineStr">
        <is>
          <t>Mantenimiento anual de los extintores por una empresa mantenedora y revisión de reguladores y tubos flexibles del plan B de gas. Estimación del kit</t>
        </is>
      </c>
      <c r="G30" s="68">
        <f>IFERROR(IF(B9="","",'0. Supuestos'!$B$41),"")</f>
        <v>0.21</v>
      </c>
      <c r="H30" s="28" t="n"/>
    </row>
    <row r="31">
      <c r="A31" s="28" t="inlineStr">
        <is>
          <t>Uniformes, EPI y lavandería</t>
        </is>
      </c>
      <c r="B31" s="29" t="n">
        <v>500</v>
      </c>
      <c r="C31" s="32">
        <f>IFERROR(IF(C9="","",B31*(1+'0. Supuestos'!$B$48)),"")</f>
        <v>500.0</v>
      </c>
      <c r="D31" s="32">
        <f>IFERROR(IF(D9="","",C31*(1+'0. Supuestos'!$B$48)),"")</f>
        <v>500.0</v>
      </c>
      <c r="E31" s="68">
        <f>IFERROR(B31/$B$9,"")</f>
        <v>0.002631578947368421</v>
      </c>
      <c r="F31" s="28" t="inlineStr">
        <is>
          <t>Chaquetas, delantales de cuero, guantes térmicos y paños: lavado y reposición</t>
        </is>
      </c>
      <c r="G31" s="68">
        <f>IFERROR(IF(B9="","",'0. Supuestos'!$B$41),"")</f>
        <v>0.21</v>
      </c>
      <c r="H31" s="28" t="n"/>
    </row>
    <row r="32">
      <c r="A32" s="28" t="inlineStr">
        <is>
          <t>Gestión de residuos (cenizas, grasa y aceite)</t>
        </is>
      </c>
      <c r="B32" s="29" t="n">
        <v>250</v>
      </c>
      <c r="C32" s="32">
        <f>IFERROR(IF(C9="","",B32*(1+'0. Supuestos'!$B$48)),"")</f>
        <v>250.0</v>
      </c>
      <c r="D32" s="32">
        <f>IFERROR(IF(D9="","",C32*(1+'0. Supuestos'!$B$48)),"")</f>
        <v>250.0</v>
      </c>
      <c r="E32" s="68">
        <f>IFERROR(B32/$B$9,"")</f>
        <v>0.0013157894736842105</v>
      </c>
      <c r="F32" s="28" t="inlineStr">
        <is>
          <t>Retirada de cenizas frías y grasa, y 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0.002105263157894737</v>
      </c>
      <c r="F33" s="28" t="inlineStr">
        <is>
          <t>Plan de prevención obligatorio (Ley 31/1995): quemaduras, humo, calor y cargas, y reconocimientos médicos de la plantilla</t>
        </is>
      </c>
      <c r="G33" s="68">
        <f>IFERROR(IF(B9="","",'0. Supuestos'!$B$41),"")</f>
        <v>0.21</v>
      </c>
      <c r="H33" s="28" t="n"/>
    </row>
    <row r="34">
      <c r="A34" s="28" t="inlineStr">
        <is>
          <t>Degustaciones comerciales y pruebas de menú</t>
        </is>
      </c>
      <c r="B34" s="29" t="n">
        <v>800</v>
      </c>
      <c r="C34" s="32">
        <f>IFERROR(IF(C9="","",B34*(1+'0. Supuestos'!$B$48)),"")</f>
        <v>800.0</v>
      </c>
      <c r="D34" s="32">
        <f>IFERROR(IF(D9="","",C34*(1+'0. Supuestos'!$B$48)),"")</f>
        <v>800.0</v>
      </c>
      <c r="E34" s="68">
        <f>IFERROR(B34/$B$9,"")</f>
        <v>0.004210526315789474</v>
      </c>
      <c r="F34" s="28" t="inlineStr">
        <is>
          <t>Carne y horas de las pruebas de menú para novios y de las degustaciones a planners y empresas que no se cobran</t>
        </is>
      </c>
      <c r="G34" s="68">
        <f>IFERROR(IF(B9="","",'0. Supuestos'!$B$41),"")</f>
        <v>0.21</v>
      </c>
      <c r="H34" s="28" t="n"/>
    </row>
    <row r="35">
      <c r="A35" s="28" t="inlineStr">
        <is>
          <t>Afilado y reposición de cuchillería</t>
        </is>
      </c>
      <c r="B35" s="29" t="n">
        <v>200</v>
      </c>
      <c r="C35" s="32">
        <f>IFERROR(IF(C9="","",B35*(1+'0. Supuestos'!$B$48)),"")</f>
        <v>200.0</v>
      </c>
      <c r="D35" s="32">
        <f>IFERROR(IF(D9="","",C35*(1+'0. Supuestos'!$B$48)),"")</f>
        <v>200.0</v>
      </c>
      <c r="E35" s="68">
        <f>IFERROR(B35/$B$9,"")</f>
        <v>0.0010526315789473684</v>
      </c>
      <c r="F35" s="28" t="inlineStr">
        <is>
          <t>Afilado profesional periódico y reposición de cuchillos y tablas de corte</t>
        </is>
      </c>
      <c r="G35" s="68">
        <f>IFERROR(IF(B9="","",'0. Supuestos'!$B$41),"")</f>
        <v>0.21</v>
      </c>
      <c r="H35" s="28" t="n"/>
    </row>
    <row r="36">
      <c r="A36" s="28" t="inlineStr">
        <is>
          <t>Amortización del inmovilizado</t>
        </is>
      </c>
      <c r="B36" s="32">
        <f>IFERROR(IF(B9="","",'Inversión Inicial'!$B$33),"")</f>
        <v>4912.0</v>
      </c>
      <c r="C36" s="32">
        <f>IFERROR(IF(C9="","",B36),"")</f>
        <v>4912.0</v>
      </c>
      <c r="D36" s="32">
        <f>IFERROR(IF(D9="","",B36),"")</f>
        <v>4912.0</v>
      </c>
      <c r="E36" s="68">
        <f>IFERROR(B36/$B$9,"")</f>
        <v>0.02585263157894737</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4251.0</v>
      </c>
      <c r="C37" s="32">
        <f>IFERROR(IF(C9="","",'Financiación'!$B$46),"")</f>
        <v>4251.0</v>
      </c>
      <c r="D37" s="32">
        <f>IFERROR(IF(D9="","",'Financiación'!$B$48),"")</f>
        <v>3504.3775806730832</v>
      </c>
      <c r="E37" s="68">
        <f>IFERROR(B37/$B$9,"")</f>
        <v>0.022373684210526316</v>
      </c>
      <c r="F37" s="28" t="inlineStr">
        <is>
          <t>Sólo los INTERESES son gasto. La devolución del principal va en la hoja de Tesorería</t>
        </is>
      </c>
      <c r="G37" s="68" t="n">
        <v>0</v>
      </c>
      <c r="H37" s="28" t="n"/>
    </row>
    <row r="38">
      <c r="A38" s="25" t="inlineStr">
        <is>
          <t>TOTAL COSTES FIJOS</t>
        </is>
      </c>
      <c r="B38" s="26">
        <f>IFERROR(IF(B9="","",SUM(B22:B37)),"")</f>
        <v>92615.68</v>
      </c>
      <c r="C38" s="26">
        <f>IFERROR(IF(C9="","",SUM(C22:C37)),"")</f>
        <v>98615.68</v>
      </c>
      <c r="D38" s="26">
        <f>IFERROR(IF(D9="","",SUM(D22:D37)),"")</f>
        <v>103869.05758067308</v>
      </c>
      <c r="E38" s="67">
        <f>IFERROR(B38/$B$9,"")</f>
        <v>0.48745094736842104</v>
      </c>
      <c r="F38" s="28" t="n"/>
      <c r="G38" s="28" t="n"/>
      <c r="H38" s="28" t="n"/>
    </row>
    <row r="39">
      <c r="A39" s="28" t="inlineStr">
        <is>
          <t>IVA soportado de los costes variables</t>
        </is>
      </c>
      <c r="B39" s="32">
        <f>IFERROR(IF(B9="","",SUMPRODUCT(B13:B18,G13:G18)),"")</f>
        <v>10475.84</v>
      </c>
      <c r="C39" s="32">
        <f>IFERROR(IF(C9="","",SUMPRODUCT(C13:C18,G13:G18)),"")</f>
        <v>11313.9072</v>
      </c>
      <c r="D39" s="32">
        <f>IFERROR(IF(D9="","",SUMPRODUCT(D13:D18,G13:G18)),"")</f>
        <v>11879.602560000001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4939.2</v>
      </c>
      <c r="C40" s="32">
        <f>IFERROR(IF(C9="","",SUMPRODUCT(C22:C37,G22:G37)),"")</f>
        <v>4939.2</v>
      </c>
      <c r="D40" s="32">
        <f>IFERROR(IF(D9="","",SUMPRODUCT(D22:D37,G22:G37)),"")</f>
        <v>4939.2</v>
      </c>
      <c r="E40" s="28" t="n"/>
      <c r="F40" s="28" t="n"/>
      <c r="G40" s="28" t="n"/>
      <c r="H40" s="28" t="n"/>
    </row>
    <row r="41">
      <c r="A41" s="25" t="inlineStr">
        <is>
          <t>RESULTADO ANTES DE IMPUESTOS</t>
        </is>
      </c>
      <c r="B41" s="26">
        <f>IFERROR(IF(B9="","",B20-B38),"")</f>
        <v>17090.320000000007</v>
      </c>
      <c r="C41" s="26">
        <f>IFERROR(IF(C9="","",C20-C38),"")</f>
        <v>19866.800000000003</v>
      </c>
      <c r="D41" s="26">
        <f>IFERROR(IF(D9="","",D20-D38),"")</f>
        <v>20537.546419326944</v>
      </c>
      <c r="E41" s="67">
        <f>IFERROR(B41/$B$9,"")</f>
        <v>0.08994905263157899</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17090.320000000007</v>
      </c>
      <c r="C43" s="32">
        <f>IFERROR(IF(C9="","",MAX(0,C41-C42)),"")</f>
        <v>19866.800000000003</v>
      </c>
      <c r="D43" s="32">
        <f>IFERROR(IF(D9="","",MAX(0,D41-D42)),"")</f>
        <v>20537.546419326944</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2563.548000000001</v>
      </c>
      <c r="C46" s="32">
        <f>IFERROR(IF(C9="","",IF(C45="",0,C43*C45)),"")</f>
        <v>2980.0200000000004</v>
      </c>
      <c r="D46" s="32">
        <f>IFERROR(IF(D9="","",IF(D45="",0,D43*D45)),"")</f>
        <v>5134.386604831736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14526.772000000006</v>
      </c>
      <c r="C48" s="26">
        <f>IFERROR(IF(C9="","",C41-C46),"")</f>
        <v>16886.780000000002</v>
      </c>
      <c r="D48" s="26">
        <f>IFERROR(IF(D9="","",D41-D46),"")</f>
        <v>15403.159814495208</v>
      </c>
      <c r="E48" s="67">
        <f>IFERROR(B48/$B$9,"")</f>
        <v>0.07645669473684213</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0.5774</v>
      </c>
      <c r="C51" s="68">
        <f>IFERROR(IF(C9="","",C20/C9),"")</f>
        <v>0.5774</v>
      </c>
      <c r="D51" s="68">
        <f>IFERROR(IF(D9="","",D20/D9),"")</f>
        <v>0.5774</v>
      </c>
      <c r="E51" s="75" t="n">
        <v>0.55</v>
      </c>
      <c r="F51" s="28" t="inlineStr">
        <is>
          <t>Los costes variables de la parrilla incluyen carbón, leña, desechables, combustible y cánones de fincas además de la mercancía: un margen bruto por debajo del 55 % no paga la plantilla. Estimación del kit</t>
        </is>
      </c>
      <c r="G51" s="28" t="n"/>
      <c r="H51" s="28" t="n"/>
    </row>
    <row r="52">
      <c r="A52" s="28" t="inlineStr">
        <is>
          <t>Coste de mercancía (comida + bebida)</t>
        </is>
      </c>
      <c r="B52" s="32">
        <f>IFERROR(IF(B9="","",B13+B14),"")</f>
        <v>60344.0</v>
      </c>
      <c r="C52" s="32">
        <f>IFERROR(IF(C9="","",C13+C14),"")</f>
        <v>65171.52</v>
      </c>
      <c r="D52" s="32">
        <f>IFERROR(IF(D9="","",D13+D14),"")</f>
        <v>68430.096</v>
      </c>
      <c r="E52" s="28" t="n"/>
      <c r="F52" s="28" t="n"/>
      <c r="G52" s="28" t="n"/>
      <c r="H52" s="28" t="n"/>
    </row>
    <row r="53">
      <c r="A53" s="28" t="inlineStr">
        <is>
          <t>Coste de mercancía / Ventas</t>
        </is>
      </c>
      <c r="B53" s="68">
        <f>IFERROR(IF(B9="","",B52/B9),"")</f>
        <v>0.3176</v>
      </c>
      <c r="C53" s="68">
        <f>IFERROR(IF(C9="","",C52/C9),"")</f>
        <v>0.3176</v>
      </c>
      <c r="D53" s="68">
        <f>IFERROR(IF(D9="","",D52/D9),"")</f>
        <v>0.3176</v>
      </c>
      <c r="E53" s="75" t="n">
        <v>0.34</v>
      </c>
      <c r="F53" s="28" t="inlineStr">
        <is>
          <t>Techo de la mercancía (comida y bebida) sobre ventas: el vacuno es caro y su precio se mueve. Estimación del kit</t>
        </is>
      </c>
      <c r="G53" s="28" t="n"/>
      <c r="H53" s="28" t="n"/>
    </row>
    <row r="54">
      <c r="A54" s="28" t="inlineStr">
        <is>
          <t>Coste de personal / Ventas</t>
        </is>
      </c>
      <c r="B54" s="68">
        <f>IFERROR(IF(B9="","",B23/B9),"")</f>
        <v>0.305172</v>
      </c>
      <c r="C54" s="68">
        <f>IFERROR(IF(C9="","",C23/C9),"")</f>
        <v>0.31180643274853803</v>
      </c>
      <c r="D54" s="68">
        <f>IFERROR(IF(D9="","",D23/D9),"")</f>
        <v>0.3248059036480088</v>
      </c>
      <c r="E54" s="75" t="n">
        <v>0.36</v>
      </c>
      <c r="F54" s="28" t="inlineStr">
        <is>
          <t>Techo del personal sobre ventas: montaje, brasa, servicio y recogida en cada evento. Estimación del kit</t>
        </is>
      </c>
      <c r="G54" s="28" t="n"/>
      <c r="H54" s="28" t="n"/>
    </row>
    <row r="55">
      <c r="A55" s="28" t="inlineStr">
        <is>
          <t>Cocina de apoyo / Ventas</t>
        </is>
      </c>
      <c r="B55" s="68">
        <f>IFERROR(IF(B9="","",B22/B9),"")</f>
        <v>0.06315789473684211</v>
      </c>
      <c r="C55" s="68">
        <f>IFERROR(IF(C9="","",C22/C9),"")</f>
        <v>0.05847953216374269</v>
      </c>
      <c r="D55" s="68">
        <f>IFERROR(IF(D9="","",D22/D9),"")</f>
        <v>0.05569479253689779</v>
      </c>
      <c r="E55" s="75" t="n">
        <v>0.08</v>
      </c>
      <c r="F55" s="28" t="inlineStr">
        <is>
          <t>Techo de la cuota de la cocina de apoyo sobre las ventas: estimación del kit</t>
        </is>
      </c>
      <c r="G55" s="28" t="n"/>
      <c r="H55" s="28" t="n"/>
    </row>
    <row r="56">
      <c r="A56" s="28" t="inlineStr">
        <is>
          <t>Resultado neto / Ventas</t>
        </is>
      </c>
      <c r="B56" s="68">
        <f>IFERROR(IF(B9="","",B48/B9),"")</f>
        <v>0.07645669473684213</v>
      </c>
      <c r="C56" s="68">
        <f>IFERROR(IF(C9="","",C48/C9),"")</f>
        <v>0.08229424951267057</v>
      </c>
      <c r="D56" s="68">
        <f>IFERROR(IF(D9="","",D48/D9),"")</f>
        <v>0.07148964919008265</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parrillero / asador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92615.68</v>
      </c>
      <c r="C6" s="70">
        <f>IFERROR(IF('PyG 3 Años'!$C$9="","",'PyG 3 Años'!$C$38),"")</f>
        <v>98615.68</v>
      </c>
      <c r="D6" s="70">
        <f>IFERROR(IF('PyG 3 Años'!$D$9="","",'PyG 3 Años'!$D$38),"")</f>
        <v>103869.05758067308</v>
      </c>
      <c r="E6" s="28" t="inlineStr">
        <is>
          <t>Los MISMOS costes fijos del P&amp;L. Cada año tiene los suyos: por eso el umbral no puede ser uno solo para los tres</t>
        </is>
      </c>
      <c r="F6" s="28" t="n"/>
    </row>
    <row r="7">
      <c r="A7" s="28" t="inlineStr">
        <is>
          <t>Costes fijos mensuales</t>
        </is>
      </c>
      <c r="B7" s="70">
        <f>IFERROR(IF('PyG 3 Años'!$B$9="","",B6/12),"")</f>
        <v>7717.973333333332</v>
      </c>
      <c r="C7" s="70">
        <f>IFERROR(IF('PyG 3 Años'!$C$9="","",C6/12),"")</f>
        <v>8217.973333333333</v>
      </c>
      <c r="D7" s="70">
        <f>IFERROR(IF('PyG 3 Años'!$D$9="","",D6/12),"")</f>
        <v>8655.754798389424</v>
      </c>
      <c r="E7" s="28" t="n"/>
      <c r="F7" s="28" t="n"/>
    </row>
    <row r="8">
      <c r="A8" s="28" t="inlineStr">
        <is>
          <t>Precio medio por invitado sin IVA</t>
        </is>
      </c>
      <c r="B8" s="70">
        <f>IFERROR(IF('PyG 3 Años'!$B$9="","",'PyG 3 Años'!$B$7),"")</f>
        <v>25.0</v>
      </c>
      <c r="C8" s="70">
        <f>IFERROR(IF('PyG 3 Años'!$C$9="","",'PyG 3 Años'!$C$7),"")</f>
        <v>25.0</v>
      </c>
      <c r="D8" s="70">
        <f>IFERROR(IF('PyG 3 Años'!$D$9="","",'PyG 3 Años'!$D$7),"")</f>
        <v>25.0</v>
      </c>
      <c r="E8" s="28" t="n"/>
      <c r="F8" s="28" t="n"/>
    </row>
    <row r="9">
      <c r="A9" s="28" t="inlineStr">
        <is>
          <t>Coste variable por invitado</t>
        </is>
      </c>
      <c r="B9" s="70">
        <f>IFERROR(IF('PyG 3 Años'!$B$9="","",'PyG 3 Años'!$B$19/('PyG 3 Años'!$B$6*'PyG 3 Años'!$B$8)),"")</f>
        <v>10.565</v>
      </c>
      <c r="C9" s="70">
        <f>IFERROR(IF('PyG 3 Años'!$C$9="","",'PyG 3 Años'!$C$19/('PyG 3 Años'!$C$6*'PyG 3 Años'!$C$8)),"")</f>
        <v>10.565000000000001</v>
      </c>
      <c r="D9" s="70">
        <f>IFERROR(IF('PyG 3 Años'!$D$9="","",'PyG 3 Años'!$D$19/('PyG 3 Años'!$D$6*'PyG 3 Años'!$D$8)),"")</f>
        <v>10.565</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14.435</v>
      </c>
      <c r="C10" s="70">
        <f>IFERROR(IF('PyG 3 Años'!$C$9="","",C8-C9),"")</f>
        <v>14.434999999999999</v>
      </c>
      <c r="D10" s="70">
        <f>IFERROR(IF('PyG 3 Años'!$D$9="","",D8-D9),"")</f>
        <v>14.435</v>
      </c>
      <c r="E10" s="28" t="inlineStr">
        <is>
          <t>Precio por invitado menos coste variable unitario</t>
        </is>
      </c>
      <c r="F10" s="28" t="n"/>
    </row>
    <row r="11">
      <c r="A11" s="28" t="inlineStr">
        <is>
          <t>Eventos al año</t>
        </is>
      </c>
      <c r="B11" s="40">
        <f>IFERROR(IF('PyG 3 Años'!$B$9="","",'PyG 3 Años'!$B$8),"")</f>
        <v>95.0</v>
      </c>
      <c r="C11" s="40">
        <f>IFERROR(IF('PyG 3 Años'!$C$9="","",'PyG 3 Años'!$C$8),"")</f>
        <v>95.0</v>
      </c>
      <c r="D11" s="40">
        <f>IFERROR(IF('PyG 3 Años'!$D$9="","",'PyG 3 Años'!$D$8),"")</f>
        <v>95.0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11486.498758875641</v>
      </c>
      <c r="D12" s="70">
        <f>IFERROR(IF('PyG 3 Años'!$D$9="","",'Financiación'!$B$49),"")</f>
        <v>12233.121178202558</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6416.049878766886</v>
      </c>
      <c r="C14" s="40">
        <f>IFERROR(IF('PyG 3 Años'!$C$9="","",IF(C10&lt;=0,"",C6/C10)),"")</f>
        <v>6831.706269483893</v>
      </c>
      <c r="D14" s="40">
        <f>IFERROR(IF('PyG 3 Años'!$D$9="","",IF(D10&lt;=0,"",D6/D10)),"")</f>
        <v>7195.639596859929</v>
      </c>
      <c r="E14" s="28" t="n"/>
      <c r="F14" s="28" t="n"/>
    </row>
    <row r="15">
      <c r="A15" s="28" t="inlineStr">
        <is>
          <t>Invitados necesarios por evento</t>
        </is>
      </c>
      <c r="B15" s="44">
        <f>IFERROR(IF('PyG 3 Años'!$B$9="","",B14/B11),"")</f>
        <v>67.53736714491458</v>
      </c>
      <c r="C15" s="44">
        <f>IFERROR(IF('PyG 3 Años'!$C$9="","",C14/C11),"")</f>
        <v>71.91269757351466</v>
      </c>
      <c r="D15" s="44">
        <f>IFERROR(IF('PyG 3 Años'!$D$9="","",D14/D11),"")</f>
        <v>75.74357470378872</v>
      </c>
      <c r="E15" s="28" t="n"/>
      <c r="F15" s="28" t="n"/>
    </row>
    <row r="16">
      <c r="A16" s="25" t="inlineStr">
        <is>
          <t>Ingresos necesarios al año</t>
        </is>
      </c>
      <c r="B16" s="26">
        <f>IFERROR(IF('PyG 3 Años'!$B$9="","",B14*B8),"")</f>
        <v>160401.24696917215</v>
      </c>
      <c r="C16" s="26">
        <f>IFERROR(IF('PyG 3 Años'!$C$9="","",C14*C8),"")</f>
        <v>170792.65673709734</v>
      </c>
      <c r="D16" s="26">
        <f>IFERROR(IF('PyG 3 Años'!$D$9="","",D14*D8),"")</f>
        <v>179890.98992149823</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87703.68</v>
      </c>
      <c r="C18" s="70">
        <f>IFERROR(IF('PyG 3 Años'!$C$9="","",C6-'PyG 3 Años'!$C$36+C12),"")</f>
        <v>105190.17875887564</v>
      </c>
      <c r="D18" s="70">
        <f>IFERROR(IF('PyG 3 Años'!$D$9="","",D6-'PyG 3 Años'!$D$36+D12),"")</f>
        <v>111190.17875887564</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6075.765846899895</v>
      </c>
      <c r="C19" s="40">
        <f>IFERROR(IF('PyG 3 Años'!$C$9="","",IF(C10&lt;=0,"",C18/C10)),"")</f>
        <v>7287.161673631843</v>
      </c>
      <c r="D19" s="40">
        <f>IFERROR(IF('PyG 3 Años'!$D$9="","",IF(D10&lt;=0,"",D18/D10)),"")</f>
        <v>7702.8180643488495</v>
      </c>
      <c r="E19" s="28" t="n"/>
      <c r="F19" s="28" t="n"/>
    </row>
    <row r="20">
      <c r="A20" s="25" t="inlineStr">
        <is>
          <t>Invitados necesarios por evento (caja)</t>
        </is>
      </c>
      <c r="B20" s="45">
        <f>IFERROR(IF('PyG 3 Años'!$B$9="","",B19/B11),"")</f>
        <v>63.955429967367316</v>
      </c>
      <c r="C20" s="45">
        <f>IFERROR(IF('PyG 3 Años'!$C$9="","",C19/C11),"")</f>
        <v>76.70696498559835</v>
      </c>
      <c r="D20" s="45">
        <f>IFERROR(IF('PyG 3 Años'!$D$9="","",D19/D11),"")</f>
        <v>81.08229541419841</v>
      </c>
      <c r="E20" s="28" t="n"/>
      <c r="F20" s="28" t="n"/>
    </row>
    <row r="21">
      <c r="A21" s="28" t="inlineStr">
        <is>
          <t>Ingresos necesarios al año (caja)</t>
        </is>
      </c>
      <c r="B21" s="32">
        <f>IFERROR(IF('PyG 3 Años'!$B$9="","",B19*B8),"")</f>
        <v>151894.1461724974</v>
      </c>
      <c r="C21" s="32">
        <f>IFERROR(IF('PyG 3 Años'!$C$9="","",C19*C8),"")</f>
        <v>182179.04184079607</v>
      </c>
      <c r="D21" s="32">
        <f>IFERROR(IF('PyG 3 Años'!$D$9="","",D19*D8),"")</f>
        <v>192570.45160872123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80.0</v>
      </c>
      <c r="C23" s="40">
        <f>IFERROR(IF('PyG 3 Años'!$C$9="","",'PyG 3 Años'!$C$6),"")</f>
        <v>86.4</v>
      </c>
      <c r="D23" s="40">
        <f>IFERROR(IF('PyG 3 Años'!$D$9="","",'PyG 3 Años'!$D$6),"")</f>
        <v>90.72000000000001</v>
      </c>
      <c r="E23" s="28" t="n"/>
      <c r="F23" s="28" t="n"/>
    </row>
    <row r="24">
      <c r="A24" s="28" t="inlineStr">
        <is>
          <t>Holgura sobre el equilibrio de CAJA (%)</t>
        </is>
      </c>
      <c r="B24" s="68">
        <f>IFERROR(IF('PyG 3 Años'!$B$9="","",B23/B20-1),"")</f>
        <v>0.2508711151003016</v>
      </c>
      <c r="C24" s="68">
        <f>IFERROR(IF('PyG 3 Años'!$C$9="","",C23/C20-1),"")</f>
        <v>0.1263644705043605</v>
      </c>
      <c r="D24" s="68">
        <f>IFERROR(IF('PyG 3 Años'!$D$9="","",D23/D20-1),"")</f>
        <v>0.11886324303682616</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68 invitados por evento durante los 95 eventos del año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23.0</v>
      </c>
      <c r="C31" s="72">
        <f>IFERROR(IF($B$8="","",$B$8),"")</f>
        <v>25.0</v>
      </c>
      <c r="D31" s="72">
        <f>IFERROR($B$8+2,"")</f>
        <v>27.0</v>
      </c>
      <c r="E31" s="72">
        <f>IFERROR($B$8+4,"")</f>
        <v>29.0</v>
      </c>
      <c r="F31" s="28" t="n"/>
    </row>
    <row r="32">
      <c r="A32" s="70">
        <f>IFERROR($B$9*0.85,"")</f>
        <v>8.98025</v>
      </c>
      <c r="B32" s="44">
        <f>IFERROR(IF($B$31-$A32&lt;=0,"",$B$6/($B$31-$A32)/$B$11),"")</f>
        <v>69.53775172430622</v>
      </c>
      <c r="C32" s="44">
        <f>IFERROR(IF($C$31-$A32&lt;=0,"",$B$6/($C$31-$A32)/$B$11),"")</f>
        <v>60.856248988707186</v>
      </c>
      <c r="D32" s="44">
        <f>IFERROR(IF($D$31-$A32&lt;=0,"",$B$6/($D$31-$A32)/$B$11),"")</f>
        <v>54.101854617119656</v>
      </c>
      <c r="E32" s="44">
        <f>IFERROR(IF($E$31-$A32&lt;=0,"",$B$6/($E$31-$A32)/$B$11),"")</f>
        <v>48.69700644297965</v>
      </c>
      <c r="F32" s="28" t="n"/>
    </row>
    <row r="33">
      <c r="A33" s="70">
        <f>IFERROR($B$9*0.925,"")</f>
        <v>9.772625</v>
      </c>
      <c r="B33" s="44">
        <f>IFERROR(IF($B$31-$A33&lt;=0,"",$B$6/($B$31-$A33)/$B$11),"")</f>
        <v>73.70335344214872</v>
      </c>
      <c r="C33" s="44">
        <f>IFERROR(IF($C$31-$A33&lt;=0,"",$B$6/($C$31-$A33)/$B$11),"")</f>
        <v>64.02297800749255</v>
      </c>
      <c r="D33" s="44">
        <f>IFERROR(IF($D$31-$A33&lt;=0,"",$B$6/($D$31-$A33)/$B$11),"")</f>
        <v>56.590275345886525</v>
      </c>
      <c r="E33" s="44">
        <f>IFERROR(IF($E$31-$A33&lt;=0,"",$B$6/($E$31-$A33)/$B$11),"")</f>
        <v>50.70384775544461</v>
      </c>
      <c r="F33" s="28" t="n"/>
    </row>
    <row r="34">
      <c r="A34" s="70">
        <f>IFERROR($B$9*1.0,"")</f>
        <v>10.565</v>
      </c>
      <c r="B34" s="44">
        <f>IFERROR(IF($B$31-$A34&lt;=0,"",$B$6/($B$31-$A34)/$B$11),"")</f>
        <v>78.39983069857998</v>
      </c>
      <c r="C34" s="44">
        <f>IFERROR(IF($C$31-$A34&lt;=0,"",$B$6/($C$31-$A34)/$B$11),"")</f>
        <v>67.53736714491458</v>
      </c>
      <c r="D34" s="44">
        <f>IFERROR(IF($D$31-$A34&lt;=0,"",$B$6/($D$31-$A34)/$B$11),"")</f>
        <v>59.318642819400175</v>
      </c>
      <c r="E34" s="44">
        <f>IFERROR(IF($E$31-$A34&lt;=0,"",$B$6/($E$31-$A34)/$B$11),"")</f>
        <v>52.88320557292335</v>
      </c>
      <c r="F34" s="28" t="n"/>
    </row>
    <row r="35">
      <c r="A35" s="70">
        <f>IFERROR($B$9*1.075,"")</f>
        <v>11.357375</v>
      </c>
      <c r="B35" s="44">
        <f>IFERROR(IF($B$31-$A35&lt;=0,"",$B$6/($B$31-$A35)/$B$11),"")</f>
        <v>83.73557464376307</v>
      </c>
      <c r="C35" s="44">
        <f>IFERROR(IF($C$31-$A35&lt;=0,"",$B$6/($C$31-$A35)/$B$11),"")</f>
        <v>71.4599935669889</v>
      </c>
      <c r="D35" s="44">
        <f>IFERROR(IF($D$31-$A35&lt;=0,"",$B$6/($D$31-$A35)/$B$11),"")</f>
        <v>62.323420444896044</v>
      </c>
      <c r="E35" s="44">
        <f>IFERROR(IF($E$31-$A35&lt;=0,"",$B$6/($E$31-$A35)/$B$11),"")</f>
        <v>55.25832435574876</v>
      </c>
      <c r="F35" s="28" t="n"/>
    </row>
    <row r="36">
      <c r="A36" s="70">
        <f>IFERROR($B$9*1.15,"")</f>
        <v>12.14975</v>
      </c>
      <c r="B36" s="44">
        <f>IFERROR(IF($B$31-$A36&lt;=0,"",$B$6/($B$31-$A36)/$B$11),"")</f>
        <v>89.85063890111675</v>
      </c>
      <c r="C36" s="44">
        <f>IFERROR(IF($C$31-$A36&lt;=0,"",$B$6/($C$31-$A36)/$B$11),"")</f>
        <v>75.8663757309657</v>
      </c>
      <c r="D36" s="44">
        <f>IFERROR(IF($D$31-$A36&lt;=0,"",$B$6/($D$31-$A36)/$B$11),"")</f>
        <v>65.64885404197518</v>
      </c>
      <c r="E36" s="44">
        <f>IFERROR(IF($E$31-$A36&lt;=0,"",$B$6/($E$31-$A36)/$B$11),"")</f>
        <v>57.85682080306475</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75</v>
      </c>
      <c r="C5" s="40">
        <f>IFERROR(IF('PyG 3 Años'!$B$6="","",'PyG 3 Años'!$B$6),"")</f>
        <v>80.0</v>
      </c>
      <c r="D5" s="49" t="n">
        <v>85</v>
      </c>
      <c r="E5" s="28" t="n"/>
      <c r="F5" s="28" t="n"/>
    </row>
    <row r="6">
      <c r="A6" s="28" t="inlineStr">
        <is>
          <t>Precio medio por invitado sin IVA</t>
        </is>
      </c>
      <c r="B6" s="73" t="n">
        <v>23</v>
      </c>
      <c r="C6" s="70">
        <f>IFERROR(IF('PyG 3 Años'!$B$7="","",'PyG 3 Años'!$B$7),"")</f>
        <v>25.0</v>
      </c>
      <c r="D6" s="73" t="n">
        <v>26</v>
      </c>
      <c r="E6" s="28" t="n"/>
      <c r="F6" s="28" t="n"/>
    </row>
    <row r="7">
      <c r="A7" s="28" t="inlineStr">
        <is>
          <t>Eventos al año</t>
        </is>
      </c>
      <c r="B7" s="49" t="n">
        <v>80</v>
      </c>
      <c r="C7" s="40">
        <f>IFERROR(IF('PyG 3 Años'!$B$8="","",'PyG 3 Años'!$B$8),"")</f>
        <v>95.0</v>
      </c>
      <c r="D7" s="49" t="n">
        <v>110</v>
      </c>
      <c r="E7" s="28" t="n"/>
      <c r="F7" s="28" t="n"/>
    </row>
    <row r="8">
      <c r="A8" s="25" t="inlineStr">
        <is>
          <t>INGRESOS ANUALES (sin IVA)</t>
        </is>
      </c>
      <c r="B8" s="26">
        <f>IFERROR(IF(B5*B6*B7=0,"",B5*B6*B7),"")</f>
        <v>138000.0</v>
      </c>
      <c r="C8" s="26">
        <f>IFERROR(IF(C5*C6*C7=0,"",C5*C6*C7),"")</f>
        <v>190000.0</v>
      </c>
      <c r="D8" s="26">
        <f>IFERROR(IF(D5*D6*D7=0,"",D5*D6*D7),"")</f>
        <v>243100.0</v>
      </c>
      <c r="E8" s="28" t="n"/>
      <c r="F8" s="28" t="n"/>
    </row>
    <row r="9">
      <c r="A9" s="28" t="inlineStr">
        <is>
          <t>Coste de mercancía — comida</t>
        </is>
      </c>
      <c r="B9" s="32">
        <f>IFERROR(IF(B8="","",B8*'0. Supuestos'!$B$11*'0. Supuestos'!$B$13),"")</f>
        <v>38860.8</v>
      </c>
      <c r="C9" s="32">
        <f>IFERROR(IF(C8="","",C8*'0. Supuestos'!$B$11*'0. Supuestos'!$B$13),"")</f>
        <v>53504.0</v>
      </c>
      <c r="D9" s="32">
        <f>IFERROR(IF(D8="","",D8*'0. Supuestos'!$B$11*'0. Supuestos'!$B$13),"")</f>
        <v>68456.96</v>
      </c>
      <c r="E9" s="28" t="n"/>
      <c r="F9" s="28" t="n"/>
    </row>
    <row r="10">
      <c r="A10" s="28" t="inlineStr">
        <is>
          <t>Coste de mercancía — bebida</t>
        </is>
      </c>
      <c r="B10" s="32">
        <f>IFERROR(IF(B8="","",B8*'0. Supuestos'!$B$12*'0. Supuestos'!$B$14),"")</f>
        <v>4968.0</v>
      </c>
      <c r="C10" s="32">
        <f>IFERROR(IF(C8="","",C8*'0. Supuestos'!$B$12*'0. Supuestos'!$B$14),"")</f>
        <v>6840.0</v>
      </c>
      <c r="D10" s="32">
        <f>IFERROR(IF(D8="","",D8*'0. Supuestos'!$B$12*'0. Supuestos'!$B$14),"")</f>
        <v>8751.6</v>
      </c>
      <c r="E10" s="28" t="n"/>
      <c r="F10" s="28" t="n"/>
    </row>
    <row r="11">
      <c r="A11" s="28" t="inlineStr">
        <is>
          <t>Consumibles y envases</t>
        </is>
      </c>
      <c r="B11" s="32">
        <f>IFERROR(IF(B8="","",B8*'0. Supuestos'!$B$15),"")</f>
        <v>6210.0</v>
      </c>
      <c r="C11" s="32">
        <f>IFERROR(IF(C8="","",C8*'0. Supuestos'!$B$15),"")</f>
        <v>8550.0</v>
      </c>
      <c r="D11" s="32">
        <f>IFERROR(IF(D8="","",D8*'0. Supuestos'!$B$15),"")</f>
        <v>10939.5</v>
      </c>
      <c r="E11" s="28" t="n"/>
      <c r="F11" s="28" t="n"/>
    </row>
    <row r="12">
      <c r="A12" s="28" t="inlineStr">
        <is>
          <t>Comisiones del asado para llevar</t>
        </is>
      </c>
      <c r="B12" s="32">
        <f>IFERROR(IF(B8="","",B8*'0. Supuestos'!$B$16*'0. Supuestos'!$B$17),"")</f>
        <v>690.0</v>
      </c>
      <c r="C12" s="32">
        <f>IFERROR(IF(C8="","",C8*'0. Supuestos'!$B$16*'0. Supuestos'!$B$17),"")</f>
        <v>950.0</v>
      </c>
      <c r="D12" s="32">
        <f>IFERROR(IF(D8="","",D8*'0. Supuestos'!$B$16*'0. Supuestos'!$B$17),"")</f>
        <v>1215.5</v>
      </c>
      <c r="E12" s="28" t="n"/>
      <c r="F12" s="28" t="n"/>
    </row>
    <row r="13">
      <c r="A13" s="28" t="inlineStr">
        <is>
          <t>Comisiones de los medios de pago</t>
        </is>
      </c>
      <c r="B13" s="32">
        <f>IFERROR(IF(B8="","",B8*'0. Supuestos'!$B$18),"")</f>
        <v>690.0</v>
      </c>
      <c r="C13" s="32">
        <f>IFERROR(IF(C8="","",C8*'0. Supuestos'!$B$18),"")</f>
        <v>950.0</v>
      </c>
      <c r="D13" s="32">
        <f>IFERROR(IF(D8="","",D8*'0. Supuestos'!$B$18),"")</f>
        <v>1215.5</v>
      </c>
      <c r="E13" s="28" t="n"/>
      <c r="F13" s="28" t="n"/>
    </row>
    <row r="14">
      <c r="A14" s="28" t="inlineStr">
        <is>
          <t>Varios e imprevistos</t>
        </is>
      </c>
      <c r="B14" s="32">
        <f>IFERROR(IF(B8="","",B8*'0. Supuestos'!$B$28),"")</f>
        <v>6900.0</v>
      </c>
      <c r="C14" s="32">
        <f>IFERROR(IF(C8="","",C8*'0. Supuestos'!$B$28),"")</f>
        <v>9500.0</v>
      </c>
      <c r="D14" s="32">
        <f>IFERROR(IF(D8="","",D8*'0. Supuestos'!$B$28),"")</f>
        <v>12155.0</v>
      </c>
      <c r="E14" s="28" t="n"/>
      <c r="F14" s="28" t="n"/>
    </row>
    <row r="15">
      <c r="A15" s="28" t="inlineStr">
        <is>
          <t>TOTAL COSTES VARIABLES</t>
        </is>
      </c>
      <c r="B15" s="32">
        <f>IFERROR(IF(B8="","",SUM(B9:B14)),"")</f>
        <v>58318.8</v>
      </c>
      <c r="C15" s="32">
        <f>IFERROR(IF(C8="","",SUM(C9:C14)),"")</f>
        <v>80294.0</v>
      </c>
      <c r="D15" s="32">
        <f>IFERROR(IF(D8="","",SUM(D9:D14)),"")</f>
        <v>102734.06000000001</v>
      </c>
      <c r="E15" s="28" t="n"/>
      <c r="F15" s="28" t="n"/>
    </row>
    <row r="16">
      <c r="A16" s="28" t="inlineStr">
        <is>
          <t>MARGEN BRUTO</t>
        </is>
      </c>
      <c r="B16" s="32">
        <f>IFERROR(IF(B8="","",B8-B15),"")</f>
        <v>79681.2</v>
      </c>
      <c r="C16" s="32">
        <f>IFERROR(IF(C8="","",C8-C15),"")</f>
        <v>109706.0</v>
      </c>
      <c r="D16" s="32">
        <f>IFERROR(IF(D8="","",D8-D15),"")</f>
        <v>140365.94</v>
      </c>
      <c r="E16" s="28" t="n"/>
      <c r="F16" s="28" t="n"/>
    </row>
    <row r="17">
      <c r="A17" s="28" t="inlineStr">
        <is>
          <t>COSTES FIJOS (los del P&amp;L)</t>
        </is>
      </c>
      <c r="B17" s="32">
        <f>IFERROR(IF(B8="","",'PyG 3 Años'!$B$38),"")</f>
        <v>92615.68</v>
      </c>
      <c r="C17" s="32">
        <f>IFERROR(IF(C8="","",'PyG 3 Años'!$B$38),"")</f>
        <v>92615.68</v>
      </c>
      <c r="D17" s="32">
        <f>IFERROR(IF(D8="","",'PyG 3 Años'!$B$38),"")</f>
        <v>92615.68</v>
      </c>
      <c r="E17" s="28" t="inlineStr">
        <is>
          <t>Los costes fijos no cambian con el escenario: por eso son fijos</t>
        </is>
      </c>
      <c r="F17" s="28" t="n"/>
    </row>
    <row r="18">
      <c r="A18" s="25" t="inlineStr">
        <is>
          <t>RESULTADO ANTES DE IMPUESTOS</t>
        </is>
      </c>
      <c r="B18" s="26">
        <f>IFERROR(IF(B8="","",B16-B17),"")</f>
        <v>-12934.479999999996</v>
      </c>
      <c r="C18" s="26">
        <f>IFERROR(IF(C8="","",C16-C17),"")</f>
        <v>17090.320000000007</v>
      </c>
      <c r="D18" s="26">
        <f>IFERROR(IF(D8="","",D16-D17),"")</f>
        <v>47750.26000000001</v>
      </c>
      <c r="E18" s="28" t="n"/>
      <c r="F18" s="28" t="n"/>
    </row>
    <row r="19">
      <c r="A19" s="28" t="inlineStr">
        <is>
          <t>Impuesto de Sociedades</t>
        </is>
      </c>
      <c r="B19" s="32">
        <f>IFERROR(IF(B8="","",MAX(0,B18-'0. Supuestos'!$B$42)*'0. Supuestos'!$B$37),"")</f>
        <v>0.0</v>
      </c>
      <c r="C19" s="32">
        <f>IFERROR(IF(C8="","",MAX(0,C18-'0. Supuestos'!$B$42)*'0. Supuestos'!$B$37),"")</f>
        <v>2563.548000000001</v>
      </c>
      <c r="D19" s="32">
        <f>IFERROR(IF(D8="","",MAX(0,D18-'0. Supuestos'!$B$42)*'0. Supuestos'!$B$37),"")</f>
        <v>7162.539000000002</v>
      </c>
      <c r="E19" s="28" t="inlineStr">
        <is>
          <t>Al tipo de entidad de nueva creación, compensando las bases negativas anteriores</t>
        </is>
      </c>
      <c r="F19" s="28" t="n"/>
    </row>
    <row r="20">
      <c r="A20" s="25" t="inlineStr">
        <is>
          <t>RESULTADO NETO</t>
        </is>
      </c>
      <c r="B20" s="26">
        <f>IFERROR(IF(B8="","",B18-B19),"")</f>
        <v>-12934.479999999996</v>
      </c>
      <c r="C20" s="26">
        <f>IFERROR(IF(C8="","",C18-C19),"")</f>
        <v>14526.772000000006</v>
      </c>
      <c r="D20" s="26">
        <f>IFERROR(IF(D8="","",D18-D19),"")</f>
        <v>40587.721000000005</v>
      </c>
      <c r="E20" s="28" t="n"/>
      <c r="F20" s="28" t="n"/>
    </row>
    <row r="21">
      <c r="A21" s="28" t="inlineStr">
        <is>
          <t>Invitados por evento para el equilibrio</t>
        </is>
      </c>
      <c r="B21" s="44">
        <f>IFERROR(IF(B8="","",IF(B6-B15/(B5*B7)&lt;=0,"",B17/(B6-B15/(B5*B7))/B7)),"")</f>
        <v>87.1745907441153</v>
      </c>
      <c r="C21" s="44">
        <f>IFERROR(IF(C8="","",IF(C6-C15/(C5*C7)&lt;=0,"",C17/(C6-C15/(C5*C7))/C7)),"")</f>
        <v>67.53736714491458</v>
      </c>
      <c r="D21" s="44">
        <f>IFERROR(IF(D8="","",IF(D6-D15/(D5*D7)&lt;=0,"",D17/(D6-D15/(D5*D7))/D7)),"")</f>
        <v>56.08435208712313</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0.42016434782608697</v>
      </c>
      <c r="C23" s="68">
        <f>IFERROR(IF(C8="","",'PyG 3 Años'!$B$23/C8),"")</f>
        <v>0.305172</v>
      </c>
      <c r="D23" s="68">
        <f>IFERROR(IF(D8="","",'PyG 3 Años'!$B$23/D8),"")</f>
        <v>0.23851369806663925</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3092.7835051546394</v>
      </c>
      <c r="C24" s="40">
        <f>IFERROR(IF(C8="","",C5*C7/'Personal'!$C$9),"")</f>
        <v>3917.5257731958764</v>
      </c>
      <c r="D24" s="40">
        <f>IFERROR(IF(D8="","",D5*D7/'Personal'!$C$9),"")</f>
        <v>4819.587628865979</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13903.440000000002</v>
      </c>
      <c r="C25" s="26">
        <f>IFERROR(IF(C8="","",'Inversión Inicial'!$B$25+C20+'PyG 3 Años'!$B$36-'Financiación'!$B$45),"")</f>
        <v>41364.692</v>
      </c>
      <c r="D25" s="26">
        <f>IFERROR(IF(D8="","",'Inversión Inicial'!$B$25+D20+'PyG 3 Años'!$B$36-'Financiación'!$B$45),"")</f>
        <v>67425.641</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42559.78477445407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parrillero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Asa en cada evento, vende, compra la carne y lleva la agenda. Como administrador de la SL cotiza en el régimen de autónomos: confirma con tu gestoría la cuota y si te aplica la reducida de inicio</t>
        </is>
      </c>
    </row>
    <row r="6">
      <c r="A6" s="28" t="inlineStr">
        <is>
          <t>Segundo parrillero y ayudante (fijo discontinuo)</t>
        </is>
      </c>
      <c r="B6" s="49" t="n">
        <v>1</v>
      </c>
      <c r="C6" s="51" t="n">
        <v>0.3</v>
      </c>
      <c r="D6" s="73" t="n">
        <v>450</v>
      </c>
      <c r="E6" s="70">
        <f>IFERROR(IF(D6="","",D6*'0. Supuestos'!$B$20),"")</f>
        <v>148.5</v>
      </c>
      <c r="F6" s="70">
        <f>IFERROR(IF(D6="","",D6+E6),"")</f>
        <v>598.5</v>
      </c>
      <c r="G6" s="70">
        <f>IFERROR(IF(D6="","",F6*MAX(12,'0. Supuestos'!$B$21)),"")</f>
        <v>8379.0</v>
      </c>
      <c r="H6" s="44">
        <f>IFERROR(IF(D6="","",C6*$B$16),"")</f>
        <v>12.0</v>
      </c>
      <c r="I6" s="40">
        <f>IFERROR(IF(D6="","",H6*B6*$B$17),"")</f>
        <v>552.0</v>
      </c>
      <c r="J6" s="28" t="inlineStr">
        <is>
          <t>Contrato fijo discontinuo (art. 16 del Estatuto de los Trabajadores) al 30 % de jornada en cómputo anual: segunda parrilla en bodas, empresas y fiestas, y preparación en la cocina de apoyo. Bruto a jornada completa: 1.500 € en 14 pagas</t>
        </is>
      </c>
    </row>
    <row r="7">
      <c r="A7" s="28" t="inlineStr">
        <is>
          <t>Auxiliar de parrilla y montaje (fijo discontinuo)</t>
        </is>
      </c>
      <c r="B7" s="49" t="n">
        <v>1</v>
      </c>
      <c r="C7" s="51" t="n">
        <v>0.32</v>
      </c>
      <c r="D7" s="73" t="n">
        <v>432</v>
      </c>
      <c r="E7" s="70">
        <f>IFERROR(IF(D7="","",D7*'0. Supuestos'!$B$20),"")</f>
        <v>142.56</v>
      </c>
      <c r="F7" s="70">
        <f>IFERROR(IF(D7="","",D7+E7),"")</f>
        <v>574.56</v>
      </c>
      <c r="G7" s="70">
        <f>IFERROR(IF(D7="","",F7*MAX(12,'0. Supuestos'!$B$21)),"")</f>
        <v>8043.839999999999</v>
      </c>
      <c r="H7" s="44">
        <f>IFERROR(IF(D7="","",C7*$B$16),"")</f>
        <v>12.8</v>
      </c>
      <c r="I7" s="40">
        <f>IFERROR(IF(D7="","",H7*B7*$B$17),"")</f>
        <v>588.8000000000001</v>
      </c>
      <c r="J7" s="28" t="inlineStr">
        <is>
          <t>Llamado para los eventos medianos y grandes: carga, montaje, brasa, emplatado de la carne y recogida. Bruto a jornada completa: 1.350 €. Nunca como autónomo que te factura: con tu horario y tu dirección es falso autónomo (art. 1.1 ET)</t>
        </is>
      </c>
    </row>
    <row r="8">
      <c r="A8" s="28" t="inlineStr">
        <is>
          <t>Auxiliar de servicio y emplatado (fijo discontinuo)</t>
        </is>
      </c>
      <c r="B8" s="49" t="n">
        <v>1</v>
      </c>
      <c r="C8" s="51" t="n">
        <v>0.32</v>
      </c>
      <c r="D8" s="73" t="n">
        <v>432</v>
      </c>
      <c r="E8" s="70">
        <f>IFERROR(IF(D8="","",D8*'0. Supuestos'!$B$20),"")</f>
        <v>142.56</v>
      </c>
      <c r="F8" s="70">
        <f>IFERROR(IF(D8="","",D8+E8),"")</f>
        <v>574.56</v>
      </c>
      <c r="G8" s="70">
        <f>IFERROR(IF(D8="","",F8*MAX(12,'0. Supuestos'!$B$21)),"")</f>
        <v>8043.839999999999</v>
      </c>
      <c r="H8" s="44">
        <f>IFERROR(IF(D8="","",C8*$B$16),"")</f>
        <v>12.8</v>
      </c>
      <c r="I8" s="40">
        <f>IFERROR(IF(D8="","",H8*B8*$B$17),"")</f>
        <v>588.8000000000001</v>
      </c>
      <c r="J8" s="28" t="inlineStr">
        <is>
          <t>Mismo contrato y mismas horas que el anterior: sirve, repone guarniciones y salsas y recoge. Por encima del SMI en proporción a su jornada</t>
        </is>
      </c>
    </row>
    <row r="9">
      <c r="A9" s="25" t="inlineStr">
        <is>
          <t>TOTAL PLANTILLA</t>
        </is>
      </c>
      <c r="B9" s="76">
        <f>IFERROR(IF(COUNT(D5:D8)=0,"",SUM(B5:B8)),"")</f>
        <v>4.0</v>
      </c>
      <c r="C9" s="62">
        <f>IFERROR(IF(COUNT(D5:D8)=0,"",SUM(C5:C8)),"")</f>
        <v>1.94</v>
      </c>
      <c r="D9" s="72">
        <f>IFERROR(IF(COUNT(D5:D8)=0,"",SUM(D5:D8)),"")</f>
        <v>3114.0</v>
      </c>
      <c r="E9" s="72">
        <f>IFERROR(IF(COUNT(D5:D8)=0,"",SUM(E5:E8)),"")</f>
        <v>1027.62</v>
      </c>
      <c r="F9" s="72">
        <f>IFERROR(IF(COUNT(D5:D8)=0,"",SUM(F5:F8)),"")</f>
        <v>4141.62</v>
      </c>
      <c r="G9" s="72">
        <f>IFERROR(IF(COUNT(D5:D8)=0,"",SUM(G5:G8)),"")</f>
        <v>57982.68</v>
      </c>
      <c r="H9" s="28" t="n"/>
      <c r="I9" s="76">
        <f>IFERROR(IF(COUNT(D5:D8)=0,"",SUM(I5:I8)),"")</f>
        <v>3569.6000000000004</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63982.68</v>
      </c>
      <c r="C13" s="28" t="n"/>
      <c r="D13" s="28" t="n"/>
      <c r="E13" s="28" t="n"/>
      <c r="F13" s="28" t="n"/>
      <c r="G13" s="28" t="n"/>
      <c r="H13" s="28" t="n"/>
      <c r="I13" s="28" t="n"/>
      <c r="J13" s="28" t="n"/>
    </row>
    <row r="14">
      <c r="A14" s="28" t="inlineStr">
        <is>
          <t>Coste de personal del año 3</t>
        </is>
      </c>
      <c r="B14" s="32">
        <f>IFERROR(IF(B13="","",B13*(1+'0. Supuestos'!$B$48)+B12),"")</f>
        <v>69982.68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de la brasa, cocción, servicio, recogida de las cenizas y descarga. Los marinados y el porcionado en la cocina de apoyo van aparte</t>
        </is>
      </c>
    </row>
    <row r="19">
      <c r="A19" s="28" t="inlineStr">
        <is>
          <t>Personas necesarias a la vez en cada evento</t>
        </is>
      </c>
      <c r="B19" s="77" t="n">
        <v>3</v>
      </c>
      <c r="C19" s="28" t="n"/>
      <c r="D19" s="28" t="n"/>
      <c r="E19" s="28" t="n"/>
      <c r="F19" s="28" t="n"/>
      <c r="G19" s="28" t="n"/>
      <c r="H19" s="28" t="n"/>
      <c r="I19" s="28" t="n"/>
      <c r="J19" s="28" t="inlineStr">
        <is>
          <t>Personas trabajando a la vez en un evento medio de 80 invitados: el parrillero titular, el segundo parrillero y un auxiliar. En bodas y fiestas entran los dos auxiliares (y un tercero de la bolsa o de una ETT si hace falta); en una celebración privada pequeña bastan dos personas: ajústalo y la hoja te dice si llega la plantilla</t>
        </is>
      </c>
    </row>
    <row r="20">
      <c r="A20" s="28" t="inlineStr">
        <is>
          <t>Horas de servicio a cubrir al año</t>
        </is>
      </c>
      <c r="B20" s="40">
        <f>IFERROR(IF(OR(B18="",B19="",'0. Supuestos'!$B$6=""),"",B18*B19*'0. Supuestos'!$B$6),"")</f>
        <v>2280.0</v>
      </c>
      <c r="C20" s="28" t="n"/>
      <c r="D20" s="28" t="n"/>
      <c r="E20" s="28" t="n"/>
      <c r="F20" s="28" t="n"/>
      <c r="G20" s="28" t="n"/>
      <c r="H20" s="28" t="n"/>
      <c r="I20" s="28" t="n"/>
      <c r="J20" s="28" t="n"/>
    </row>
    <row r="21">
      <c r="A21" s="28" t="inlineStr">
        <is>
          <t>Horas contratadas al año</t>
        </is>
      </c>
      <c r="B21" s="40">
        <f>IFERROR(IF(I9="","",I9),"")</f>
        <v>3569.6000000000004</v>
      </c>
      <c r="C21" s="28" t="n"/>
      <c r="D21" s="28" t="n"/>
      <c r="E21" s="28" t="n"/>
      <c r="F21" s="28" t="n"/>
      <c r="G21" s="28" t="n"/>
      <c r="H21" s="28" t="n"/>
      <c r="I21" s="28" t="n"/>
      <c r="J21" s="28" t="n"/>
    </row>
    <row r="22">
      <c r="A22" s="25" t="inlineStr">
        <is>
          <t>Cobertura (contratadas / necesarias)</t>
        </is>
      </c>
      <c r="B22" s="67">
        <f>IFERROR(B21/B20,"")</f>
        <v>1.5656140350877195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Parrillero / Asador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parrilla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asado para llevar.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Las señales de los particulares (30 % al firmar y 40 % siete días antes)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presupuestos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0.3176</v>
      </c>
      <c r="C18" s="68">
        <f>IFERROR(IF('PyG 3 Años'!$E$53="","",'PyG 3 Años'!$E$53),"")</f>
        <v>0.34</v>
      </c>
      <c r="D18" s="28" t="str">
        <f>IFERROR(IF(OR(B18="",C18=""),"",IF(B18&lt;=C18,"CUMPLE","REVISAR")),"")</f>
        <v>CUMPLE</v>
      </c>
      <c r="E18" s="28" t="n"/>
    </row>
    <row r="19">
      <c r="A19" s="28" t="inlineStr">
        <is>
          <t>Coste de personal / Ventas</t>
        </is>
      </c>
      <c r="B19" s="68">
        <f>IFERROR(IF('PyG 3 Años'!$B$54="","",'PyG 3 Años'!$B$54),"")</f>
        <v>0.305172</v>
      </c>
      <c r="C19" s="68">
        <f>IFERROR(IF('PyG 3 Años'!$E$54="","",'PyG 3 Años'!$E$54),"")</f>
        <v>0.36</v>
      </c>
      <c r="D19" s="28" t="str">
        <f>IFERROR(IF(OR(B19="",C19=""),"",IF(B19&lt;=C19,"CUMPLE","REVISAR")),"")</f>
        <v>CUMPLE</v>
      </c>
      <c r="E19" s="28" t="n"/>
    </row>
    <row r="20">
      <c r="A20" s="28" t="inlineStr">
        <is>
          <t>Cocina de apoyo / Ventas</t>
        </is>
      </c>
      <c r="B20" s="68">
        <f>IFERROR(IF('PyG 3 Años'!$B$55="","",'PyG 3 Años'!$B$55),"")</f>
        <v>0.06315789473684211</v>
      </c>
      <c r="C20" s="68">
        <f>IFERROR(IF('PyG 3 Años'!$E$55="","",'PyG 3 Años'!$E$55),"")</f>
        <v>0.08</v>
      </c>
      <c r="D20" s="28" t="str">
        <f>IFERROR(IF(OR(B20="",C20=""),"",IF(B20&lt;=C20,"CUMPLE","REVISAR")),"")</f>
        <v>CUMPLE</v>
      </c>
      <c r="E20" s="28" t="n"/>
    </row>
    <row r="21">
      <c r="A21" s="28" t="inlineStr">
        <is>
          <t>Resultado neto / Ventas</t>
        </is>
      </c>
      <c r="B21" s="68">
        <f>IFERROR(IF('PyG 3 Años'!$B$56="","",'PyG 3 Años'!$B$56),"")</f>
        <v>0.07645669473684213</v>
      </c>
      <c r="C21" s="68">
        <f>IFERROR(IF('PyG 3 Años'!$E$56="","",'PyG 3 Años'!$E$56),"")</f>
        <v>0.04</v>
      </c>
      <c r="D21" s="28" t="str">
        <f>IFERROR(IF(OR(B21="",C21=""),"",IF(B21&gt;=C21,"CUMPLE","REVISAR")),"")</f>
        <v>CUMPLE</v>
      </c>
      <c r="E21" s="28" t="n"/>
    </row>
    <row r="22">
      <c r="A22" s="28" t="inlineStr">
        <is>
          <t>Margen bruto / Ventas</t>
        </is>
      </c>
      <c r="B22" s="68">
        <f>IFERROR(IF('PyG 3 Años'!$B$51="","",'PyG 3 Años'!$B$51),"")</f>
        <v>0.5774</v>
      </c>
      <c r="C22" s="68">
        <f>IFERROR(IF('PyG 3 Años'!$E$51="","",'PyG 3 Años'!$E$51),"")</f>
        <v>0.55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76521.92</v>
      </c>
      <c r="C25" s="28" t="n"/>
      <c r="D25" s="28" t="n"/>
      <c r="E25" s="28" t="n"/>
    </row>
    <row r="26">
      <c r="A26" s="28" t="inlineStr">
        <is>
          <t>Necesidad total de caja al arranque</t>
        </is>
      </c>
      <c r="B26" s="32">
        <f>IFERROR(IF('Inversión Inicial'!$B$29="","",'Inversión Inicial'!$B$29),"")</f>
        <v>87357.08</v>
      </c>
      <c r="C26" s="28" t="n"/>
      <c r="D26" s="28" t="n"/>
      <c r="E26" s="28" t="n"/>
    </row>
    <row r="27">
      <c r="A27" s="28" t="inlineStr">
        <is>
          <t>Fondo de maniobra dotado</t>
        </is>
      </c>
      <c r="B27" s="32">
        <f>IFERROR(IF('Inversión Inicial'!$B$25="","",'Inversión Inicial'!$B$25),"")</f>
        <v>21925.92</v>
      </c>
      <c r="C27" s="28" t="n"/>
      <c r="D27" s="28" t="n"/>
      <c r="E27" s="28" t="n"/>
    </row>
    <row r="28">
      <c r="A28" s="28" t="inlineStr">
        <is>
          <t>Facturación prevista del año 1</t>
        </is>
      </c>
      <c r="B28" s="32">
        <f>IFERROR(IF('PyG 3 Años'!$B$9="","",'PyG 3 Años'!$B$9),"")</f>
        <v>190000.0</v>
      </c>
      <c r="C28" s="28" t="n"/>
      <c r="D28" s="28" t="n"/>
      <c r="E28" s="28" t="n"/>
    </row>
    <row r="29">
      <c r="A29" s="28" t="inlineStr">
        <is>
          <t>Resultado neto del año 1</t>
        </is>
      </c>
      <c r="B29" s="32">
        <f>IFERROR(IF('PyG 3 Años'!$B$48="","",'PyG 3 Años'!$B$48),"")</f>
        <v>14526.772000000006</v>
      </c>
      <c r="C29" s="28" t="n"/>
      <c r="D29" s="28" t="n"/>
      <c r="E29" s="28" t="n"/>
    </row>
    <row r="30">
      <c r="A30" s="28" t="inlineStr">
        <is>
          <t>Invitados por evento para el punto de equilibrio CONTABLE (con la amortización dentro)</t>
        </is>
      </c>
      <c r="B30" s="44">
        <f>IFERROR(IF('Punto Equilibrio'!$B$15="","",'Punto Equilibrio'!$B$15),"")</f>
        <v>67.53736714491458</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QUÉ HA CAMBIADO RESPECTO DE LA VERSIÓN 1.1</t>
        </is>
      </c>
      <c r="B33" s="28" t="n"/>
      <c r="C33" s="28" t="n"/>
      <c r="D33" s="28" t="n"/>
      <c r="E33" s="28" t="n"/>
    </row>
    <row r="34">
      <c r="A34" s="25" t="inlineStr">
        <is>
          <t>Concepto</t>
        </is>
      </c>
      <c r="B34" s="25" t="inlineStr">
        <is>
          <t>v1.1</t>
        </is>
      </c>
      <c r="C34" s="25" t="inlineStr">
        <is>
          <t>v2.2</t>
        </is>
      </c>
      <c r="D34" s="25" t="inlineStr">
        <is>
          <t>Por qué</t>
        </is>
      </c>
      <c r="E34" s="28" t="n"/>
    </row>
    <row r="35" ht="30" customHeight="1">
      <c r="A35" s="78" t="inlineStr">
        <is>
          <t>Modelo de ingresos</t>
        </is>
      </c>
      <c r="B35" s="78" t="inlineStr">
        <is>
          <t>eventos y facturación tecleados, con una cuenta de resultados cuyas fórmulas no sumaban las filas correctas</t>
        </is>
      </c>
      <c r="C35" s="78" t="inlineStr">
        <is>
          <t>invitados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del día anterior no tenía sitio</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ayudantes subcontratados por jornada y ningún sueldo para el parrillero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5,4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95 eventos: 12 bodas, 30 de empresa, 45 celebraciones privadas y 8 fiestas</t>
        </is>
      </c>
      <c r="C43" s="28" t="inlineStr">
        <is>
          <t>Estimación del kit</t>
        </is>
      </c>
      <c r="D43" s="46" t="inlineStr">
        <is>
          <t>Bodas (12 eventos × 110 invitados × 42 €), empresa (30 × 70 × 31 €), celebraciones privadas (45 × 40 × 25 €) y fiestas o ferias por encargo (8 × 300 × 10 €), precios sin IVA. Media: 80 invitados a 25 €</t>
        </is>
      </c>
      <c r="E43" s="28" t="n"/>
    </row>
    <row r="44" ht="15" customHeight="1">
      <c r="A44" s="28" t="inlineStr">
        <is>
          <t>Barbacoa para eventos (directorio)</t>
        </is>
      </c>
      <c r="B44" s="28" t="inlineStr">
        <is>
          <t>18-30 € básica · 30-55 € completa · 55-90 € premium</t>
        </is>
      </c>
      <c r="C44" s="28" t="inlineStr">
        <is>
          <t>artistealo.com (estimación del directorio)</t>
        </is>
      </c>
      <c r="D44" s="46" t="inlineStr">
        <is>
          <t>Por persona; el directorio no indica si lleva IVA</t>
        </is>
      </c>
      <c r="E44" s="28" t="n"/>
    </row>
    <row r="45" ht="30" customHeight="1">
      <c r="A45" s="28" t="inlineStr">
        <is>
          <t>Buffet de barbacoa en Madrid</t>
        </is>
      </c>
      <c r="B45" s="28" t="inlineStr">
        <is>
          <t>15,95-19,95 € + IVA por persona</t>
        </is>
      </c>
      <c r="C45" s="28" t="inlineStr">
        <is>
          <t>Tarifa publicada de un proveedor (2026)</t>
        </is>
      </c>
      <c r="D45" s="46" t="inlineStr">
        <is>
          <t>Desde 50 personas, con 500 g de carne cruda por invitado, parrilleros y desechables; desplazamiento aparte</t>
        </is>
      </c>
      <c r="E45" s="28" t="n"/>
    </row>
    <row r="46" ht="15" customHeight="1">
      <c r="A46" s="28" t="inlineStr">
        <is>
          <t>Asado argentino para bodas</t>
        </is>
      </c>
      <c r="B46" s="28" t="inlineStr">
        <is>
          <t>40-100 € por invitado</t>
        </is>
      </c>
      <c r="C46" s="28" t="inlineStr">
        <is>
          <t>Ficha de un proveedor en Bodas.net</t>
        </is>
      </c>
      <c r="D46" s="46" t="inlineStr">
        <is>
          <t>Entre 50 y 200 invitados, con el 50 % por adelantado</t>
        </is>
      </c>
      <c r="E46" s="28" t="n"/>
    </row>
    <row r="47" ht="15" customHeight="1">
      <c r="A47" s="28" t="inlineStr">
        <is>
          <t>Carne cruda por invitado</t>
        </is>
      </c>
      <c r="B47" s="28" t="inlineStr">
        <is>
          <t>350-450 g con entrantes · 500-600 g sin entrantes</t>
        </is>
      </c>
      <c r="C47" s="28" t="inlineStr">
        <is>
          <t>Calculadoras de asado y tarifas publicadas</t>
        </is>
      </c>
      <c r="D47" s="46" t="inlineStr">
        <is>
          <t>Sin hueso, un 20 % menos; los niños, la mitad</t>
        </is>
      </c>
      <c r="E47" s="28" t="n"/>
    </row>
    <row r="48" ht="30" customHeight="1">
      <c r="A48" s="28" t="inlineStr">
        <is>
          <t>Escalado por evento</t>
        </is>
      </c>
      <c r="B48" s="28" t="inlineStr">
        <is>
          <t>1 parrilla de 120 cm y 1 parrillero por cada 60-80 invitados</t>
        </is>
      </c>
      <c r="C48" s="28" t="inlineStr">
        <is>
          <t>Estimación del kit (manual técnico y calculadora)</t>
        </is>
      </c>
      <c r="D48" s="46" t="inlineStr">
        <is>
          <t>Ayudante desde 40 invitados; con cortes servidos en mesa, 1 parrillero por cada 40-50</t>
        </is>
      </c>
      <c r="E48" s="28" t="n"/>
    </row>
    <row r="49" ht="30" customHeight="1">
      <c r="A49" s="28" t="inlineStr">
        <is>
          <t>Carbón por evento</t>
        </is>
      </c>
      <c r="B49" s="28" t="inlineStr">
        <is>
          <t>0,7-1 kg por kg de carne cruda</t>
        </is>
      </c>
      <c r="C49" s="28" t="inlineStr">
        <is>
          <t>Estimación del kit</t>
        </is>
      </c>
      <c r="D49" s="46" t="inlineStr">
        <is>
          <t>Unos 0,3-0,45 kg por invitado; de 1,3 a 2 € el kilo de carbón o encina</t>
        </is>
      </c>
      <c r="E49" s="28" t="n"/>
    </row>
    <row r="50" ht="45" customHeight="1">
      <c r="A50" s="28" t="inlineStr">
        <is>
          <t>Plan B de gas si hay alerta de incendios</t>
        </is>
      </c>
      <c r="B50" s="28" t="inlineStr">
        <is>
          <t>Una botella de menos de 15 kg por aparato</t>
        </is>
      </c>
      <c r="C50" s="28" t="inlineStr">
        <is>
          <t>RD 919/2006, art. 2.1.h</t>
        </is>
      </c>
      <c r="D50" s="46" t="inlineStr">
        <is>
          <t>Plancha o parrilla de piedra volcánica: así no es una instalación y la conectas tú, con regulador y tubo flexible en fecha</t>
        </is>
      </c>
      <c r="E50" s="28" t="n"/>
    </row>
    <row r="51" ht="30" customHeight="1">
      <c r="A51" s="28" t="inlineStr">
        <is>
          <t>IVA de un servicio de parrilla en el evento</t>
        </is>
      </c>
      <c r="B51" s="28" t="inlineStr">
        <is>
          <t>10 %</t>
        </is>
      </c>
      <c r="C51" s="28" t="inlineStr">
        <is>
          <t>Ley 37/1992, art. 91.Uno.2.2.º</t>
        </is>
      </c>
      <c r="D51" s="46" t="inlineStr">
        <is>
          <t>Alcohol incluido. Asado para llevar: comida al 10 % y alcohol al 21 %</t>
        </is>
      </c>
      <c r="E51" s="28" t="n"/>
    </row>
    <row r="52" ht="30" customHeight="1">
      <c r="A52" s="28" t="inlineStr">
        <is>
          <t>Retención de IRPF en tus facturas</t>
        </is>
      </c>
      <c r="B52" s="28" t="inlineStr">
        <is>
          <t>Ninguna</t>
        </is>
      </c>
      <c r="C52" s="28" t="inlineStr">
        <is>
          <t>Reglamento del IRPF, art. 95.6</t>
        </is>
      </c>
      <c r="D52" s="46" t="inlineStr">
        <is>
          <t>El epígrafe 677.9 es una actividad empresarial: tus facturas a empresas no llevan retención</t>
        </is>
      </c>
      <c r="E52" s="28" t="n"/>
    </row>
    <row r="53" ht="60" customHeight="1">
      <c r="A53" s="28" t="inlineStr">
        <is>
          <t>Pago de los ayuntamientos</t>
        </is>
      </c>
      <c r="B53" s="28" t="inlineStr">
        <is>
          <t>30 días desde la conformidad</t>
        </is>
      </c>
      <c r="C53" s="28" t="inlineStr">
        <is>
          <t>Ley 9/2017, art. 198.4</t>
        </is>
      </c>
      <c r="D53" s="46" t="inlineStr">
        <is>
          <t>Contrato menor de servicios por debajo de 15.000 € (art. 118), sin anticipo, y factura electrónica por FACe si eres SL, salvo que exima las de hasta 5.000 € (Ley 25/2013, art. 4)</t>
        </is>
      </c>
      <c r="E53" s="28" t="n"/>
    </row>
    <row r="54" ht="30" customHeight="1">
      <c r="A54" s="28" t="inlineStr">
        <is>
          <t>Temperaturas de la carne</t>
        </is>
      </c>
      <c r="B54" s="28" t="inlineStr">
        <is>
          <t>≤ 7 °C al recibirla · 70 °C en el centro al cocinarla · ≥ 63 °C en caliente</t>
        </is>
      </c>
      <c r="C54" s="28" t="inlineStr">
        <is>
          <t>Reglamento (CE) 853/2004 (recepción), AESAN (cocción, recomendación) y RD 1086/2020, art. 30 (mantenimiento)</t>
        </is>
      </c>
      <c r="D54" s="46" t="inlineStr">
        <is>
          <t>Despojos ≤ 3 °C, aves y preparados ≤ 4 °C y picada ≤ 2 °C; aves a 74 °C en el centro (recomendación de AESAN)</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octubre 2026 · aichef.pro/plan-negocio-parrillero-asador-eventos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0.025</v>
      </c>
      <c r="C5" s="75" t="n">
        <v>0.03</v>
      </c>
      <c r="D5" s="75" t="n">
        <v>0.05</v>
      </c>
      <c r="E5" s="75" t="n">
        <v>0.07000000000000001</v>
      </c>
      <c r="F5" s="75" t="n">
        <v>0.12</v>
      </c>
      <c r="G5" s="75" t="n">
        <v>0.14</v>
      </c>
      <c r="H5" s="75" t="n">
        <v>0.11</v>
      </c>
      <c r="I5" s="75" t="n">
        <v>0.08</v>
      </c>
      <c r="J5" s="75" t="n">
        <v>0.15</v>
      </c>
      <c r="K5" s="75" t="n">
        <v>0.1</v>
      </c>
      <c r="L5" s="75" t="n">
        <v>0.045</v>
      </c>
      <c r="M5" s="75" t="n">
        <v>0.08</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0.014611338398597313</v>
      </c>
      <c r="C7" s="68">
        <f>IFERROR(IF('PyG 3 Años'!$B$9="","",C5*C6/SUMPRODUCT($B$5:$M$5,$B$6:$M$6)),"")</f>
        <v>0.02040274161840497</v>
      </c>
      <c r="D7" s="68">
        <f>IFERROR(IF('PyG 3 Años'!$B$9="","",D5*D6/SUMPRODUCT($B$5:$M$5,$B$6:$M$6)),"")</f>
        <v>0.03878646193082195</v>
      </c>
      <c r="E7" s="68">
        <f>IFERROR(IF('PyG 3 Años'!$B$9="","",E5*E6/SUMPRODUCT($B$5:$M$5,$B$6:$M$6)),"")</f>
        <v>0.06099569629668987</v>
      </c>
      <c r="F7" s="68">
        <f>IFERROR(IF('PyG 3 Años'!$B$9="","",F5*F6/SUMPRODUCT($B$5:$M$5,$B$6:$M$6)),"")</f>
        <v>0.11604059295467828</v>
      </c>
      <c r="G7" s="68">
        <f>IFERROR(IF('PyG 3 Años'!$B$9="","",G5*G6/SUMPRODUCT($B$5:$M$5,$B$6:$M$6)),"")</f>
        <v>0.14876999096753626</v>
      </c>
      <c r="H7" s="68">
        <f>IFERROR(IF('PyG 3 Años'!$B$9="","",H5*H6/SUMPRODUCT($B$5:$M$5,$B$6:$M$6)),"")</f>
        <v>0.11689070718877849</v>
      </c>
      <c r="I7" s="68">
        <f>IFERROR(IF('PyG 3 Años'!$B$9="","",I5*I6/SUMPRODUCT($B$5:$M$5,$B$6:$M$6)),"")</f>
        <v>0.08501142341002071</v>
      </c>
      <c r="J7" s="68">
        <f>IFERROR(IF('PyG 3 Años'!$B$9="","",J5*J6/SUMPRODUCT($B$5:$M$5,$B$6:$M$6)),"")</f>
        <v>0.15939641889378883</v>
      </c>
      <c r="K7" s="68">
        <f>IFERROR(IF('PyG 3 Años'!$B$9="","",K5*K6/SUMPRODUCT($B$5:$M$5,$B$6:$M$6)),"")</f>
        <v>0.10626427926252591</v>
      </c>
      <c r="L7" s="68">
        <f>IFERROR(IF('PyG 3 Años'!$B$9="","",L5*L6/SUMPRODUCT($B$5:$M$5,$B$6:$M$6)),"")</f>
        <v>0.04781892566813665</v>
      </c>
      <c r="M7" s="68">
        <f>IFERROR(IF('PyG 3 Años'!$B$9="","",M5*M6/SUMPRODUCT($B$5:$M$5,$B$6:$M$6)),"")</f>
        <v>0.08501142341002071</v>
      </c>
      <c r="N7" s="68">
        <f>IFERROR(IF('PyG 3 Años'!$B$9="","",SUM(B7:M7)),"")</f>
        <v>0.9999999999999998</v>
      </c>
      <c r="O7" s="28" t="inlineStr">
        <is>
          <t>Estacionalidad × rampa, normalizado a 100 %: el AÑO factura lo que dice el P&amp;L, pero repartido como lo reparte un negocio de parrilla para eventos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1527.4345412039743</v>
      </c>
      <c r="C9" s="32">
        <f>IFERROR(IF('PyG 3 Años'!$B$9="","",('PyG 3 Años'!$B$9+'PyG 3 Años'!$B$9*SUMPRODUCT('PyG 3 Años'!$E$10:$E$11,'PyG 3 Años'!$G$10:$G$11))*(C7*(1-MIN(30,'0. Supuestos'!$B$58)/30)+B7*MIN(30,'0. Supuestos'!$B$58)/30)),"")</f>
        <v>3660.2885914669782</v>
      </c>
      <c r="D9" s="32">
        <f>IFERROR(IF('PyG 3 Años'!$B$9="","",('PyG 3 Años'!$B$9+'PyG 3 Años'!$B$9*SUMPRODUCT('PyG 3 Años'!$E$10:$E$11,'PyG 3 Años'!$G$10:$G$11))*(D7*(1-MIN(30,'0. Supuestos'!$B$58)/30)+C7*MIN(30,'0. Supuestos'!$B$58)/30)),"")</f>
        <v>6187.498468731736</v>
      </c>
      <c r="E9" s="32">
        <f>IFERROR(IF('PyG 3 Años'!$B$9="","",('PyG 3 Años'!$B$9+'PyG 3 Años'!$B$9*SUMPRODUCT('PyG 3 Años'!$E$10:$E$11,'PyG 3 Años'!$G$10:$G$11))*(E7*(1-MIN(30,'0. Supuestos'!$B$58)/30)+D7*MIN(30,'0. Supuestos'!$B$58)/30)),"")</f>
        <v>10430.989339567504</v>
      </c>
      <c r="F9" s="32">
        <f>IFERROR(IF('PyG 3 Años'!$B$9="","",('PyG 3 Años'!$B$9+'PyG 3 Años'!$B$9*SUMPRODUCT('PyG 3 Años'!$E$10:$E$11,'PyG 3 Años'!$G$10:$G$11))*(F7*(1-MIN(30,'0. Supuestos'!$B$58)/30)+E7*MIN(30,'0. Supuestos'!$B$58)/30)),"")</f>
        <v>18506.95233196961</v>
      </c>
      <c r="G9" s="32">
        <f>IFERROR(IF('PyG 3 Años'!$B$9="","",('PyG 3 Años'!$B$9+'PyG 3 Años'!$B$9*SUMPRODUCT('PyG 3 Años'!$E$10:$E$11,'PyG 3 Años'!$G$10:$G$11))*(G7*(1-MIN(30,'0. Supuestos'!$B$58)/30)+F7*MIN(30,'0. Supuestos'!$B$58)/30)),"")</f>
        <v>27682.668194038575</v>
      </c>
      <c r="H9" s="32">
        <f>IFERROR(IF('PyG 3 Años'!$B$9="","",('PyG 3 Años'!$B$9+'PyG 3 Años'!$B$9*SUMPRODUCT('PyG 3 Años'!$E$10:$E$11,'PyG 3 Años'!$G$10:$G$11))*(H7*(1-MIN(30,'0. Supuestos'!$B$58)/30)+G7*MIN(30,'0. Supuestos'!$B$58)/30)),"")</f>
        <v>27771.53711279953</v>
      </c>
      <c r="I9" s="32">
        <f>IFERROR(IF('PyG 3 Años'!$B$9="","",('PyG 3 Años'!$B$9+'PyG 3 Años'!$B$9*SUMPRODUCT('PyG 3 Años'!$E$10:$E$11,'PyG 3 Años'!$G$10:$G$11))*(I7*(1-MIN(30,'0. Supuestos'!$B$58)/30)+H7*MIN(30,'0. Supuestos'!$B$58)/30)),"")</f>
        <v>21106.368205727642</v>
      </c>
      <c r="J9" s="32">
        <f>IFERROR(IF('PyG 3 Años'!$B$9="","",('PyG 3 Años'!$B$9+'PyG 3 Años'!$B$9*SUMPRODUCT('PyG 3 Años'!$E$10:$E$11,'PyG 3 Años'!$G$10:$G$11))*(J7*(1-MIN(30,'0. Supuestos'!$B$58)/30)+I7*MIN(30,'0. Supuestos'!$B$58)/30)),"")</f>
        <v>25549.814143775566</v>
      </c>
      <c r="K9" s="32">
        <f>IFERROR(IF('PyG 3 Años'!$B$9="","",('PyG 3 Años'!$B$9+'PyG 3 Años'!$B$9*SUMPRODUCT('PyG 3 Años'!$E$10:$E$11,'PyG 3 Años'!$G$10:$G$11))*(K7*(1-MIN(30,'0. Supuestos'!$B$58)/30)+J7*MIN(30,'0. Supuestos'!$B$58)/30)),"")</f>
        <v>27771.53711279953</v>
      </c>
      <c r="L9" s="32">
        <f>IFERROR(IF('PyG 3 Años'!$B$9="","",('PyG 3 Años'!$B$9+'PyG 3 Años'!$B$9*SUMPRODUCT('PyG 3 Años'!$E$10:$E$11,'PyG 3 Años'!$G$10:$G$11))*(L7*(1-MIN(30,'0. Supuestos'!$B$58)/30)+K7*MIN(30,'0. Supuestos'!$B$58)/30)),"")</f>
        <v>16107.491525423728</v>
      </c>
      <c r="M9" s="32">
        <f>IFERROR(IF('PyG 3 Años'!$B$9="","",('PyG 3 Años'!$B$9+'PyG 3 Años'!$B$9*SUMPRODUCT('PyG 3 Años'!$E$10:$E$11,'PyG 3 Años'!$G$10:$G$11))*(M7*(1-MIN(30,'0. Supuestos'!$B$58)/30)+L7*MIN(30,'0. Supuestos'!$B$58)/30)),"")</f>
        <v>13885.768556399764</v>
      </c>
      <c r="N9" s="32">
        <f>IFERROR(IF('PyG 3 Años'!$B$9="","",SUM(B9:M9)),"")</f>
        <v>200188.34812390417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-663.1344243132671</v>
      </c>
      <c r="C11" s="32">
        <f>IFERROR(IF('PyG 3 Años'!$B$9="","",-('PyG 3 Años'!$B$13*(1+'PyG 3 Años'!$G$13)+'PyG 3 Años'!$B$14*(1+'PyG 3 Años'!$G$14)+'PyG 3 Años'!$B$15*(1+'PyG 3 Años'!$G$15)+'PyG 3 Años'!$B$16*(1+'PyG 3 Años'!$G$16)+'PyG 3 Años'!$B$17*(1+'PyG 3 Años'!$G$17)+'PyG 3 Años'!$B$18*(1+'PyG 3 Años'!$G$18))*(C7*(1-MIN(30,'0. Supuestos'!$B$59)/30)+B7*MIN(30,'0. Supuestos'!$B$59)/30)),"")</f>
        <v>-1589.1112204452472</v>
      </c>
      <c r="D11" s="32">
        <f>IFERROR(IF('PyG 3 Años'!$B$9="","",-('PyG 3 Años'!$B$13*(1+'PyG 3 Años'!$G$13)+'PyG 3 Años'!$B$14*(1+'PyG 3 Años'!$G$14)+'PyG 3 Años'!$B$15*(1+'PyG 3 Años'!$G$15)+'PyG 3 Años'!$B$16*(1+'PyG 3 Años'!$G$16)+'PyG 3 Años'!$B$17*(1+'PyG 3 Años'!$G$17)+'PyG 3 Años'!$B$18*(1+'PyG 3 Años'!$G$18))*(D7*(1-MIN(30,'0. Supuestos'!$B$59)/30)+C7*MIN(30,'0. Supuestos'!$B$59)/30)),"")</f>
        <v>-2686.29726794538</v>
      </c>
      <c r="E11" s="32">
        <f>IFERROR(IF('PyG 3 Años'!$B$9="","",-('PyG 3 Años'!$B$13*(1+'PyG 3 Años'!$G$13)+'PyG 3 Años'!$B$14*(1+'PyG 3 Años'!$G$14)+'PyG 3 Años'!$B$15*(1+'PyG 3 Años'!$G$15)+'PyG 3 Años'!$B$16*(1+'PyG 3 Años'!$G$16)+'PyG 3 Años'!$B$17*(1+'PyG 3 Años'!$G$17)+'PyG 3 Años'!$B$18*(1+'PyG 3 Años'!$G$18))*(E7*(1-MIN(30,'0. Supuestos'!$B$59)/30)+D7*MIN(30,'0. Supuestos'!$B$59)/30)),"")</f>
        <v>-4528.605268582965</v>
      </c>
      <c r="F11" s="32">
        <f>IFERROR(IF('PyG 3 Años'!$B$9="","",-('PyG 3 Años'!$B$13*(1+'PyG 3 Años'!$G$13)+'PyG 3 Años'!$B$14*(1+'PyG 3 Años'!$G$14)+'PyG 3 Años'!$B$15*(1+'PyG 3 Años'!$G$15)+'PyG 3 Años'!$B$16*(1+'PyG 3 Años'!$G$16)+'PyG 3 Años'!$B$17*(1+'PyG 3 Años'!$G$17)+'PyG 3 Años'!$B$18*(1+'PyG 3 Años'!$G$18))*(F7*(1-MIN(30,'0. Supuestos'!$B$59)/30)+E7*MIN(30,'0. Supuestos'!$B$59)/30)),"")</f>
        <v>-8034.777824770204</v>
      </c>
      <c r="G11" s="32">
        <f>IFERROR(IF('PyG 3 Años'!$B$9="","",-('PyG 3 Años'!$B$13*(1+'PyG 3 Años'!$G$13)+'PyG 3 Años'!$B$14*(1+'PyG 3 Años'!$G$14)+'PyG 3 Años'!$B$15*(1+'PyG 3 Años'!$G$15)+'PyG 3 Años'!$B$16*(1+'PyG 3 Años'!$G$16)+'PyG 3 Años'!$B$17*(1+'PyG 3 Años'!$G$17)+'PyG 3 Años'!$B$18*(1+'PyG 3 Años'!$G$18))*(G7*(1-MIN(30,'0. Supuestos'!$B$59)/30)+F7*MIN(30,'0. Supuestos'!$B$59)/30)),"")</f>
        <v>-12018.407166462994</v>
      </c>
      <c r="H11" s="32">
        <f>IFERROR(IF('PyG 3 Años'!$B$9="","",-('PyG 3 Años'!$B$13*(1+'PyG 3 Años'!$G$13)+'PyG 3 Años'!$B$14*(1+'PyG 3 Años'!$G$14)+'PyG 3 Años'!$B$15*(1+'PyG 3 Años'!$G$15)+'PyG 3 Años'!$B$16*(1+'PyG 3 Años'!$G$16)+'PyG 3 Años'!$B$17*(1+'PyG 3 Años'!$G$17)+'PyG 3 Años'!$B$18*(1+'PyG 3 Años'!$G$18))*(H7*(1-MIN(30,'0. Supuestos'!$B$59)/30)+G7*MIN(30,'0. Supuestos'!$B$59)/30)),"")</f>
        <v>-12056.989532968493</v>
      </c>
      <c r="I11" s="32">
        <f>IFERROR(IF('PyG 3 Años'!$B$9="","",-('PyG 3 Años'!$B$13*(1+'PyG 3 Años'!$G$13)+'PyG 3 Años'!$B$14*(1+'PyG 3 Años'!$G$14)+'PyG 3 Años'!$B$15*(1+'PyG 3 Años'!$G$15)+'PyG 3 Años'!$B$16*(1+'PyG 3 Años'!$G$16)+'PyG 3 Años'!$B$17*(1+'PyG 3 Años'!$G$17)+'PyG 3 Años'!$B$18*(1+'PyG 3 Años'!$G$18))*(I7*(1-MIN(30,'0. Supuestos'!$B$59)/30)+H7*MIN(30,'0. Supuestos'!$B$59)/30)),"")</f>
        <v>-9163.312045056053</v>
      </c>
      <c r="J11" s="32">
        <f>IFERROR(IF('PyG 3 Años'!$B$9="","",-('PyG 3 Años'!$B$13*(1+'PyG 3 Años'!$G$13)+'PyG 3 Años'!$B$14*(1+'PyG 3 Años'!$G$14)+'PyG 3 Años'!$B$15*(1+'PyG 3 Años'!$G$15)+'PyG 3 Años'!$B$16*(1+'PyG 3 Años'!$G$16)+'PyG 3 Años'!$B$17*(1+'PyG 3 Años'!$G$17)+'PyG 3 Años'!$B$18*(1+'PyG 3 Años'!$G$18))*(J7*(1-MIN(30,'0. Supuestos'!$B$59)/30)+I7*MIN(30,'0. Supuestos'!$B$59)/30)),"")</f>
        <v>-11092.430370331012</v>
      </c>
      <c r="K11" s="32">
        <f>IFERROR(IF('PyG 3 Años'!$B$9="","",-('PyG 3 Años'!$B$13*(1+'PyG 3 Años'!$G$13)+'PyG 3 Años'!$B$14*(1+'PyG 3 Años'!$G$14)+'PyG 3 Años'!$B$15*(1+'PyG 3 Años'!$G$15)+'PyG 3 Años'!$B$16*(1+'PyG 3 Años'!$G$16)+'PyG 3 Años'!$B$17*(1+'PyG 3 Años'!$G$17)+'PyG 3 Años'!$B$18*(1+'PyG 3 Años'!$G$18))*(K7*(1-MIN(30,'0. Supuestos'!$B$59)/30)+J7*MIN(30,'0. Supuestos'!$B$59)/30)),"")</f>
        <v>-12056.989532968493</v>
      </c>
      <c r="L11" s="32">
        <f>IFERROR(IF('PyG 3 Años'!$B$9="","",-('PyG 3 Años'!$B$13*(1+'PyG 3 Años'!$G$13)+'PyG 3 Años'!$B$14*(1+'PyG 3 Años'!$G$14)+'PyG 3 Años'!$B$15*(1+'PyG 3 Años'!$G$15)+'PyG 3 Años'!$B$16*(1+'PyG 3 Años'!$G$16)+'PyG 3 Años'!$B$17*(1+'PyG 3 Años'!$G$17)+'PyG 3 Años'!$B$18*(1+'PyG 3 Años'!$G$18))*(L7*(1-MIN(30,'0. Supuestos'!$B$59)/30)+K7*MIN(30,'0. Supuestos'!$B$59)/30)),"")</f>
        <v>-6993.053929121725</v>
      </c>
      <c r="M11" s="32">
        <f>IFERROR(IF('PyG 3 Años'!$B$9="","",-('PyG 3 Años'!$B$13*(1+'PyG 3 Años'!$G$13)+'PyG 3 Años'!$B$14*(1+'PyG 3 Años'!$G$14)+'PyG 3 Años'!$B$15*(1+'PyG 3 Años'!$G$15)+'PyG 3 Años'!$B$16*(1+'PyG 3 Años'!$G$16)+'PyG 3 Años'!$B$17*(1+'PyG 3 Años'!$G$17)+'PyG 3 Años'!$B$18*(1+'PyG 3 Años'!$G$18))*(M7*(1-MIN(30,'0. Supuestos'!$B$59)/30)+L7*MIN(30,'0. Supuestos'!$B$59)/30)),"")</f>
        <v>-6028.494766484245</v>
      </c>
      <c r="N11" s="32">
        <f>IFERROR(IF('PyG 3 Años'!$B$9="","",SUM(B11:M11)),"")</f>
        <v>-86911.60334945009</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15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-2534.0999999999995</v>
      </c>
      <c r="C12" s="32">
        <f>IFERROR(IF('PyG 3 Años'!$B$9="","",-('PyG 3 Años'!$B$38-'PyG 3 Años'!$B$23-'PyG 3 Años'!$B$36-'PyG 3 Años'!$B$37+'PyG 3 Años'!$B$40)/12),"")</f>
        <v>-2534.0999999999995</v>
      </c>
      <c r="D12" s="32">
        <f>IFERROR(IF('PyG 3 Años'!$B$9="","",-('PyG 3 Años'!$B$38-'PyG 3 Años'!$B$23-'PyG 3 Años'!$B$36-'PyG 3 Años'!$B$37+'PyG 3 Años'!$B$40)/12),"")</f>
        <v>-2534.0999999999995</v>
      </c>
      <c r="E12" s="32">
        <f>IFERROR(IF('PyG 3 Años'!$B$9="","",-('PyG 3 Años'!$B$38-'PyG 3 Años'!$B$23-'PyG 3 Años'!$B$36-'PyG 3 Años'!$B$37+'PyG 3 Años'!$B$40)/12),"")</f>
        <v>-2534.0999999999995</v>
      </c>
      <c r="F12" s="32">
        <f>IFERROR(IF('PyG 3 Años'!$B$9="","",-('PyG 3 Años'!$B$38-'PyG 3 Años'!$B$23-'PyG 3 Años'!$B$36-'PyG 3 Años'!$B$37+'PyG 3 Años'!$B$40)/12),"")</f>
        <v>-2534.0999999999995</v>
      </c>
      <c r="G12" s="32">
        <f>IFERROR(IF('PyG 3 Años'!$B$9="","",-('PyG 3 Años'!$B$38-'PyG 3 Años'!$B$23-'PyG 3 Años'!$B$36-'PyG 3 Años'!$B$37+'PyG 3 Años'!$B$40)/12),"")</f>
        <v>-2534.0999999999995</v>
      </c>
      <c r="H12" s="32">
        <f>IFERROR(IF('PyG 3 Años'!$B$9="","",-('PyG 3 Años'!$B$38-'PyG 3 Años'!$B$23-'PyG 3 Años'!$B$36-'PyG 3 Años'!$B$37+'PyG 3 Años'!$B$40)/12),"")</f>
        <v>-2534.0999999999995</v>
      </c>
      <c r="I12" s="32">
        <f>IFERROR(IF('PyG 3 Años'!$B$9="","",-('PyG 3 Años'!$B$38-'PyG 3 Años'!$B$23-'PyG 3 Años'!$B$36-'PyG 3 Años'!$B$37+'PyG 3 Años'!$B$40)/12),"")</f>
        <v>-2534.0999999999995</v>
      </c>
      <c r="J12" s="32">
        <f>IFERROR(IF('PyG 3 Años'!$B$9="","",-('PyG 3 Años'!$B$38-'PyG 3 Años'!$B$23-'PyG 3 Años'!$B$36-'PyG 3 Años'!$B$37+'PyG 3 Años'!$B$40)/12),"")</f>
        <v>-2534.0999999999995</v>
      </c>
      <c r="K12" s="32">
        <f>IFERROR(IF('PyG 3 Años'!$B$9="","",-('PyG 3 Años'!$B$38-'PyG 3 Años'!$B$23-'PyG 3 Años'!$B$36-'PyG 3 Años'!$B$37+'PyG 3 Años'!$B$40)/12),"")</f>
        <v>-2534.0999999999995</v>
      </c>
      <c r="L12" s="32">
        <f>IFERROR(IF('PyG 3 Años'!$B$9="","",-('PyG 3 Años'!$B$38-'PyG 3 Años'!$B$23-'PyG 3 Años'!$B$36-'PyG 3 Años'!$B$37+'PyG 3 Años'!$B$40)/12),"")</f>
        <v>-2534.0999999999995</v>
      </c>
      <c r="M12" s="32">
        <f>IFERROR(IF('PyG 3 Años'!$B$9="","",-('PyG 3 Años'!$B$38-'PyG 3 Años'!$B$23-'PyG 3 Años'!$B$36-'PyG 3 Años'!$B$37+'PyG 3 Años'!$B$40)/12),"")</f>
        <v>-2534.0999999999995</v>
      </c>
      <c r="N12" s="32">
        <f>IFERROR(IF('PyG 3 Años'!$B$9="","",SUM(B12:M12)),"")</f>
        <v>-30409.199999999986</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-4141.62</v>
      </c>
      <c r="C13" s="32">
        <f>IFERROR(IF('PyG 3 Años'!$B$9="","",-'PyG 3 Años'!$B$23/MAX(12,'0. Supuestos'!$B$21)*(1+IF(2='0. Supuestos'!$B$60,(MAX(12,'0. Supuestos'!$B$21)-12)/2,0)+IF(2='0. Supuestos'!$B$61,(MAX(12,'0. Supuestos'!$B$21)-12)/2,0))),"")</f>
        <v>-4141.62</v>
      </c>
      <c r="D13" s="32">
        <f>IFERROR(IF('PyG 3 Años'!$B$9="","",-'PyG 3 Años'!$B$23/MAX(12,'0. Supuestos'!$B$21)*(1+IF(3='0. Supuestos'!$B$60,(MAX(12,'0. Supuestos'!$B$21)-12)/2,0)+IF(3='0. Supuestos'!$B$61,(MAX(12,'0. Supuestos'!$B$21)-12)/2,0))),"")</f>
        <v>-4141.62</v>
      </c>
      <c r="E13" s="32">
        <f>IFERROR(IF('PyG 3 Años'!$B$9="","",-'PyG 3 Años'!$B$23/MAX(12,'0. Supuestos'!$B$21)*(1+IF(4='0. Supuestos'!$B$60,(MAX(12,'0. Supuestos'!$B$21)-12)/2,0)+IF(4='0. Supuestos'!$B$61,(MAX(12,'0. Supuestos'!$B$21)-12)/2,0))),"")</f>
        <v>-4141.62</v>
      </c>
      <c r="F13" s="32">
        <f>IFERROR(IF('PyG 3 Años'!$B$9="","",-'PyG 3 Años'!$B$23/MAX(12,'0. Supuestos'!$B$21)*(1+IF(5='0. Supuestos'!$B$60,(MAX(12,'0. Supuestos'!$B$21)-12)/2,0)+IF(5='0. Supuestos'!$B$61,(MAX(12,'0. Supuestos'!$B$21)-12)/2,0))),"")</f>
        <v>-4141.62</v>
      </c>
      <c r="G13" s="32">
        <f>IFERROR(IF('PyG 3 Años'!$B$9="","",-'PyG 3 Años'!$B$23/MAX(12,'0. Supuestos'!$B$21)*(1+IF(6='0. Supuestos'!$B$60,(MAX(12,'0. Supuestos'!$B$21)-12)/2,0)+IF(6='0. Supuestos'!$B$61,(MAX(12,'0. Supuestos'!$B$21)-12)/2,0))),"")</f>
        <v>-4141.62</v>
      </c>
      <c r="H13" s="32">
        <f>IFERROR(IF('PyG 3 Años'!$B$9="","",-'PyG 3 Años'!$B$23/MAX(12,'0. Supuestos'!$B$21)*(1+IF(7='0. Supuestos'!$B$60,(MAX(12,'0. Supuestos'!$B$21)-12)/2,0)+IF(7='0. Supuestos'!$B$61,(MAX(12,'0. Supuestos'!$B$21)-12)/2,0))),"")</f>
        <v>-8283.24</v>
      </c>
      <c r="I13" s="32">
        <f>IFERROR(IF('PyG 3 Años'!$B$9="","",-'PyG 3 Años'!$B$23/MAX(12,'0. Supuestos'!$B$21)*(1+IF(8='0. Supuestos'!$B$60,(MAX(12,'0. Supuestos'!$B$21)-12)/2,0)+IF(8='0. Supuestos'!$B$61,(MAX(12,'0. Supuestos'!$B$21)-12)/2,0))),"")</f>
        <v>-4141.62</v>
      </c>
      <c r="J13" s="32">
        <f>IFERROR(IF('PyG 3 Años'!$B$9="","",-'PyG 3 Años'!$B$23/MAX(12,'0. Supuestos'!$B$21)*(1+IF(9='0. Supuestos'!$B$60,(MAX(12,'0. Supuestos'!$B$21)-12)/2,0)+IF(9='0. Supuestos'!$B$61,(MAX(12,'0. Supuestos'!$B$21)-12)/2,0))),"")</f>
        <v>-4141.62</v>
      </c>
      <c r="K13" s="32">
        <f>IFERROR(IF('PyG 3 Años'!$B$9="","",-'PyG 3 Años'!$B$23/MAX(12,'0. Supuestos'!$B$21)*(1+IF(10='0. Supuestos'!$B$60,(MAX(12,'0. Supuestos'!$B$21)-12)/2,0)+IF(10='0. Supuestos'!$B$61,(MAX(12,'0. Supuestos'!$B$21)-12)/2,0))),"")</f>
        <v>-4141.62</v>
      </c>
      <c r="L13" s="32">
        <f>IFERROR(IF('PyG 3 Años'!$B$9="","",-'PyG 3 Años'!$B$23/MAX(12,'0. Supuestos'!$B$21)*(1+IF(11='0. Supuestos'!$B$60,(MAX(12,'0. Supuestos'!$B$21)-12)/2,0)+IF(11='0. Supuestos'!$B$61,(MAX(12,'0. Supuestos'!$B$21)-12)/2,0))),"")</f>
        <v>-4141.62</v>
      </c>
      <c r="M13" s="32">
        <f>IFERROR(IF('PyG 3 Años'!$B$9="","",-'PyG 3 Años'!$B$23/MAX(12,'0. Supuestos'!$B$21)*(1+IF(12='0. Supuestos'!$B$60,(MAX(12,'0. Supuestos'!$B$21)-12)/2,0)+IF(12='0. Supuestos'!$B$61,(MAX(12,'0. Supuestos'!$B$21)-12)/2,0))),"")</f>
        <v>-8283.24</v>
      </c>
      <c r="N13" s="32">
        <f>IFERROR(IF('PyG 3 Años'!$B$9="","",SUM(B13:M13)),"")</f>
        <v>-57982.68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-354.25</v>
      </c>
      <c r="C14" s="32">
        <f>IFERROR(IF('PyG 3 Años'!$B$9="","",-'Financiación'!$B$44/12),"")</f>
        <v>-354.25</v>
      </c>
      <c r="D14" s="32">
        <f>IFERROR(IF('PyG 3 Años'!$B$9="","",-'Financiación'!$B$44/12),"")</f>
        <v>-354.25</v>
      </c>
      <c r="E14" s="32">
        <f>IFERROR(IF('PyG 3 Años'!$B$9="","",-'Financiación'!$B$44/12),"")</f>
        <v>-354.25</v>
      </c>
      <c r="F14" s="32">
        <f>IFERROR(IF('PyG 3 Años'!$B$9="","",-'Financiación'!$B$44/12),"")</f>
        <v>-354.25</v>
      </c>
      <c r="G14" s="32">
        <f>IFERROR(IF('PyG 3 Años'!$B$9="","",-'Financiación'!$B$44/12),"")</f>
        <v>-354.25</v>
      </c>
      <c r="H14" s="32">
        <f>IFERROR(IF('PyG 3 Años'!$B$9="","",-'Financiación'!$B$44/12),"")</f>
        <v>-354.25</v>
      </c>
      <c r="I14" s="32">
        <f>IFERROR(IF('PyG 3 Años'!$B$9="","",-'Financiación'!$B$44/12),"")</f>
        <v>-354.25</v>
      </c>
      <c r="J14" s="32">
        <f>IFERROR(IF('PyG 3 Años'!$B$9="","",-'Financiación'!$B$44/12),"")</f>
        <v>-354.25</v>
      </c>
      <c r="K14" s="32">
        <f>IFERROR(IF('PyG 3 Años'!$B$9="","",-'Financiación'!$B$44/12),"")</f>
        <v>-354.25</v>
      </c>
      <c r="L14" s="32">
        <f>IFERROR(IF('PyG 3 Años'!$B$9="","",-'Financiación'!$B$44/12),"")</f>
        <v>-354.25</v>
      </c>
      <c r="M14" s="32">
        <f>IFERROR(IF('PyG 3 Años'!$B$9="","",-'Financiación'!$B$44/12),"")</f>
        <v>-354.25</v>
      </c>
      <c r="N14" s="32">
        <f>IFERROR(IF('PyG 3 Años'!$B$9="","",SUM(B14:M14)),"")</f>
        <v>-4251.0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278.71478667445945</v>
      </c>
      <c r="C16" s="32">
        <f>IFERROR(IF('PyG 3 Años'!$B$9="","",'PyG 3 Años'!$B$9*C7*SUMPRODUCT('PyG 3 Años'!$E$10:$E$11,'PyG 3 Años'!$G$10:$G$11)),"")</f>
        <v>389.18719302906334</v>
      </c>
      <c r="D16" s="32">
        <f>IFERROR(IF('PyG 3 Años'!$B$9="","",'PyG 3 Años'!$B$9*D7*SUMPRODUCT('PyG 3 Años'!$E$10:$E$11,'PyG 3 Años'!$G$10:$G$11)),"")</f>
        <v>739.8610700812922</v>
      </c>
      <c r="E16" s="32">
        <f>IFERROR(IF('PyG 3 Años'!$B$9="","",'PyG 3 Años'!$B$9*E7*SUMPRODUCT('PyG 3 Años'!$E$10:$E$11,'PyG 3 Años'!$G$10:$G$11)),"")</f>
        <v>1163.5075458264705</v>
      </c>
      <c r="F16" s="32">
        <f>IFERROR(IF('PyG 3 Años'!$B$9="","",'PyG 3 Años'!$B$9*F7*SUMPRODUCT('PyG 3 Años'!$E$10:$E$11,'PyG 3 Años'!$G$10:$G$11)),"")</f>
        <v>2213.5021603527975</v>
      </c>
      <c r="G16" s="32">
        <f>IFERROR(IF('PyG 3 Años'!$B$9="","",'PyG 3 Años'!$B$9*G7*SUMPRODUCT('PyG 3 Años'!$E$10:$E$11,'PyG 3 Años'!$G$10:$G$11)),"")</f>
        <v>2837.8232825035866</v>
      </c>
      <c r="H16" s="32">
        <f>IFERROR(IF('PyG 3 Años'!$B$9="","",'PyG 3 Años'!$B$9*H7*SUMPRODUCT('PyG 3 Años'!$E$10:$E$11,'PyG 3 Años'!$G$10:$G$11)),"")</f>
        <v>2229.718293395675</v>
      </c>
      <c r="I16" s="32">
        <f>IFERROR(IF('PyG 3 Años'!$B$9="","",'PyG 3 Años'!$B$9*I7*SUMPRODUCT('PyG 3 Años'!$E$10:$E$11,'PyG 3 Años'!$G$10:$G$11)),"")</f>
        <v>1621.6133042877639</v>
      </c>
      <c r="J16" s="32">
        <f>IFERROR(IF('PyG 3 Años'!$B$9="","",'PyG 3 Años'!$B$9*J7*SUMPRODUCT('PyG 3 Años'!$E$10:$E$11,'PyG 3 Años'!$G$10:$G$11)),"")</f>
        <v>3040.524945539557</v>
      </c>
      <c r="K16" s="32">
        <f>IFERROR(IF('PyG 3 Años'!$B$9="","",'PyG 3 Años'!$B$9*K7*SUMPRODUCT('PyG 3 Años'!$E$10:$E$11,'PyG 3 Años'!$G$10:$G$11)),"")</f>
        <v>2027.016630359705</v>
      </c>
      <c r="L16" s="32">
        <f>IFERROR(IF('PyG 3 Años'!$B$9="","",'PyG 3 Años'!$B$9*L7*SUMPRODUCT('PyG 3 Años'!$E$10:$E$11,'PyG 3 Años'!$G$10:$G$11)),"")</f>
        <v>912.157483661867</v>
      </c>
      <c r="M16" s="32">
        <f>IFERROR(IF('PyG 3 Años'!$B$9="","",'PyG 3 Años'!$B$9*M7*SUMPRODUCT('PyG 3 Años'!$E$10:$E$11,'PyG 3 Años'!$G$10:$G$11)),"")</f>
        <v>1621.6133042877639</v>
      </c>
      <c r="N16" s="32">
        <f>IFERROR(IF('PyG 3 Años'!$B$9="","",SUM(B16:M16)),"")</f>
        <v>19075.24</v>
      </c>
      <c r="O16" s="28" t="inlineStr">
        <is>
          <t>Cada línea de venta a SU tipo, leído de la columna de IVA del P&amp;L: en el servicio de parrilla, alcohol incluido, el reducido (art. 91.Uno.2.2.º de la Ley 37/1992 del IVA); el alcohol que sale por asado para llevar, al general; la carpa o el mobiliario facturados aparte, al general (art. 90)</t>
        </is>
      </c>
    </row>
    <row r="17">
      <c r="A17" s="28" t="inlineStr">
        <is>
          <t>IVA soportado del mes (memoria)</t>
        </is>
      </c>
      <c r="B17" s="32">
        <f>IFERROR(IF('PyG 3 Años'!$B$9="","",'PyG 3 Años'!$B$39*B7+'PyG 3 Años'!$B$40/12),"")</f>
        <v>564.6660432495617</v>
      </c>
      <c r="C17" s="32">
        <f>IFERROR(IF('PyG 3 Años'!$B$9="","",'PyG 3 Años'!$B$39*C7+'PyG 3 Años'!$B$40/12),"")</f>
        <v>625.3358567557515</v>
      </c>
      <c r="D17" s="32">
        <f>IFERROR(IF('PyG 3 Años'!$B$9="","",'PyG 3 Años'!$B$39*D7+'PyG 3 Años'!$B$40/12),"")</f>
        <v>817.9207693533817</v>
      </c>
      <c r="E17" s="32">
        <f>IFERROR(IF('PyG 3 Años'!$B$9="","",'PyG 3 Años'!$B$39*E7+'PyG 3 Años'!$B$40/12),"")</f>
        <v>1050.5811550927156</v>
      </c>
      <c r="F17" s="32">
        <f>IFERROR(IF('PyG 3 Años'!$B$9="","",'PyG 3 Años'!$B$39*F7+'PyG 3 Años'!$B$40/12),"")</f>
        <v>1627.2226852983367</v>
      </c>
      <c r="G17" s="32">
        <f>IFERROR(IF('PyG 3 Años'!$B$9="","",'PyG 3 Años'!$B$39*G7+'PyG 3 Años'!$B$40/12),"")</f>
        <v>1970.090622177355</v>
      </c>
      <c r="H17" s="32">
        <f>IFERROR(IF('PyG 3 Años'!$B$9="","",'PyG 3 Años'!$B$39*H7+'PyG 3 Años'!$B$40/12),"")</f>
        <v>1636.1283459964932</v>
      </c>
      <c r="I17" s="32">
        <f>IFERROR(IF('PyG 3 Años'!$B$9="","",'PyG 3 Años'!$B$39*I7+'PyG 3 Años'!$B$40/12),"")</f>
        <v>1302.1660698156313</v>
      </c>
      <c r="J17" s="32">
        <f>IFERROR(IF('PyG 3 Años'!$B$9="","",'PyG 3 Años'!$B$39*J7+'PyG 3 Años'!$B$40/12),"")</f>
        <v>2081.4113809043088</v>
      </c>
      <c r="K17" s="32">
        <f>IFERROR(IF('PyG 3 Años'!$B$9="","",'PyG 3 Años'!$B$39*K7+'PyG 3 Años'!$B$40/12),"")</f>
        <v>1524.8075872695392</v>
      </c>
      <c r="L17" s="32">
        <f>IFERROR(IF('PyG 3 Años'!$B$9="","",'PyG 3 Años'!$B$39*L7+'PyG 3 Años'!$B$40/12),"")</f>
        <v>912.5434142712926</v>
      </c>
      <c r="M17" s="32">
        <f>IFERROR(IF('PyG 3 Años'!$B$9="","",'PyG 3 Años'!$B$39*M7+'PyG 3 Años'!$B$40/12),"")</f>
        <v>1302.1660698156313</v>
      </c>
      <c r="N17" s="32">
        <f>IFERROR(IF('PyG 3 Años'!$B$9="","",SUM(B17:M17)),"")</f>
        <v>15415.039999999999</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10835.16</v>
      </c>
      <c r="F18" s="28" t="n"/>
      <c r="G18" s="28" t="n"/>
      <c r="H18" s="32">
        <f>IFERROR(IF('PyG 3 Años'!$B$9="","",MAX(0,-E19)),"")</f>
        <v>11435.31961957388</v>
      </c>
      <c r="I18" s="28" t="n"/>
      <c r="J18" s="28" t="n"/>
      <c r="K18" s="32">
        <f>IFERROR(IF('PyG 3 Años'!$B$9="","",MAX(0,-H19)),"")</f>
        <v>9868.381093459433</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-11435.31961957388</v>
      </c>
      <c r="F19" s="28" t="n"/>
      <c r="G19" s="28" t="n"/>
      <c r="H19" s="32">
        <f>IFERROR(IF('PyG 3 Años'!$B$9="","",SUM(E16:G16)-SUM(E17:G17)-H18),"")</f>
        <v>-9868.381093459433</v>
      </c>
      <c r="I19" s="28" t="n"/>
      <c r="J19" s="28" t="n"/>
      <c r="K19" s="32">
        <f>IFERROR(IF('PyG 3 Años'!$B$9="","",SUM(H16:J16)-SUM(H17:J17)-K18),"")</f>
        <v>-7996.23034695287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-6165.669883109293</v>
      </c>
      <c r="C21" s="26">
        <f>IFERROR(IF('PyG 3 Años'!$B$9="","",SUM(C9:C15)+IF(C20="",0,C20)),"")</f>
        <v>-4958.792628978268</v>
      </c>
      <c r="D21" s="26">
        <f>IFERROR(IF('PyG 3 Años'!$B$9="","",SUM(D9:D15)+IF(D20="",0,D20)),"")</f>
        <v>-3528.768799213644</v>
      </c>
      <c r="E21" s="26">
        <f>IFERROR(IF('PyG 3 Años'!$B$9="","",SUM(E9:E15)+IF(E20="",0,E20)),"")</f>
        <v>-1127.5859290154604</v>
      </c>
      <c r="F21" s="26">
        <f>IFERROR(IF('PyG 3 Años'!$B$9="","",SUM(F9:F15)+IF(F20="",0,F20)),"")</f>
        <v>3442.2045071994053</v>
      </c>
      <c r="G21" s="26">
        <f>IFERROR(IF('PyG 3 Años'!$B$9="","",SUM(G9:G15)+IF(G20="",0,G20)),"")</f>
        <v>8634.291027575582</v>
      </c>
      <c r="H21" s="26">
        <f>IFERROR(IF('PyG 3 Años'!$B$9="","",SUM(H9:H15)+IF(H20="",0,H20)),"")</f>
        <v>4542.957579831038</v>
      </c>
      <c r="I21" s="26">
        <f>IFERROR(IF('PyG 3 Años'!$B$9="","",SUM(I9:I15)+IF(I20="",0,I20)),"")</f>
        <v>4913.086160671591</v>
      </c>
      <c r="J21" s="26">
        <f>IFERROR(IF('PyG 3 Años'!$B$9="","",SUM(J9:J15)+IF(J20="",0,J20)),"")</f>
        <v>7427.413773444553</v>
      </c>
      <c r="K21" s="26">
        <f>IFERROR(IF('PyG 3 Años'!$B$9="","",SUM(K9:K15)+IF(K20="",0,K20)),"")</f>
        <v>8684.577579831039</v>
      </c>
      <c r="L21" s="26">
        <f>IFERROR(IF('PyG 3 Años'!$B$9="","",SUM(L9:L15)+IF(L20="",0,L20)),"")</f>
        <v>2084.4675963020036</v>
      </c>
      <c r="M21" s="26">
        <f>IFERROR(IF('PyG 3 Años'!$B$9="","",SUM(M9:M15)+IF(M20="",0,M20)),"")</f>
        <v>-3314.31621008448</v>
      </c>
      <c r="N21" s="26">
        <f>IFERROR(IF('PyG 3 Años'!$B$9="","",SUM(B21:M21)),"")</f>
        <v>20633.864774454072</v>
      </c>
      <c r="O21" s="28" t="n"/>
    </row>
    <row r="22">
      <c r="A22" s="25" t="inlineStr">
        <is>
          <t>SALDO ACUMULADO DE CAJA</t>
        </is>
      </c>
      <c r="B22" s="26">
        <f>IFERROR(IF('PyG 3 Años'!$B$9="","",'Inversión Inicial'!$B$25+B21),"")</f>
        <v>15760.250116890706</v>
      </c>
      <c r="C22" s="26">
        <f>IFERROR(IF('PyG 3 Años'!$B$9="","",B22+C21),"")</f>
        <v>10801.457487912438</v>
      </c>
      <c r="D22" s="26">
        <f>IFERROR(IF('PyG 3 Años'!$B$9="","",C22+D21),"")</f>
        <v>7272.688688698794</v>
      </c>
      <c r="E22" s="26">
        <f>IFERROR(IF('PyG 3 Años'!$B$9="","",D22+E21),"")</f>
        <v>6145.102759683334</v>
      </c>
      <c r="F22" s="26">
        <f>IFERROR(IF('PyG 3 Años'!$B$9="","",E22+F21),"")</f>
        <v>9587.307266882739</v>
      </c>
      <c r="G22" s="26">
        <f>IFERROR(IF('PyG 3 Años'!$B$9="","",F22+G21),"")</f>
        <v>18221.598294458323</v>
      </c>
      <c r="H22" s="26">
        <f>IFERROR(IF('PyG 3 Años'!$B$9="","",G22+H21),"")</f>
        <v>22764.555874289363</v>
      </c>
      <c r="I22" s="26">
        <f>IFERROR(IF('PyG 3 Años'!$B$9="","",H22+I21),"")</f>
        <v>27677.642034960954</v>
      </c>
      <c r="J22" s="26">
        <f>IFERROR(IF('PyG 3 Años'!$B$9="","",I22+J21),"")</f>
        <v>35105.05580840551</v>
      </c>
      <c r="K22" s="26">
        <f>IFERROR(IF('PyG 3 Años'!$B$9="","",J22+K21),"")</f>
        <v>43789.63338823654</v>
      </c>
      <c r="L22" s="26">
        <f>IFERROR(IF('PyG 3 Años'!$B$9="","",K22+L21),"")</f>
        <v>45874.10098453855</v>
      </c>
      <c r="M22" s="26">
        <f>IFERROR(IF('PyG 3 Años'!$B$9="","",L22+M21),"")</f>
        <v>42559.78477445407</v>
      </c>
      <c r="N22" s="28" t="n"/>
      <c r="O22" s="28" t="n"/>
    </row>
    <row r="23">
      <c r="A23" s="28" t="inlineStr">
        <is>
          <t>Saldo mínimo del año</t>
        </is>
      </c>
      <c r="B23" s="32">
        <f>IFERROR(IF('PyG 3 Años'!$B$9="","",IF(COUNT(B22:M22)=0,"",MIN(B22:M22))),"")</f>
        <v>6145.102759683334</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23689.772000000004</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26049.780000000002</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23819.537395168292</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24884.864774454072</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76521.92</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2.2</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22000.0</v>
      </c>
      <c r="C6" s="28" t="n"/>
      <c r="D6" s="28" t="n"/>
      <c r="E6" s="28" t="n"/>
      <c r="F6" s="28" t="n"/>
      <c r="G6" s="28" t="n"/>
      <c r="H6" s="28" t="n"/>
    </row>
    <row r="7">
      <c r="A7" s="28" t="inlineStr">
        <is>
          <t>Préstamo bancario</t>
        </is>
      </c>
      <c r="B7" s="32">
        <f>IFERROR(IF('0. Supuestos'!$B$31="","",'0. Supuestos'!$B$31),"")</f>
        <v>65400.0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87400.0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87357.08</v>
      </c>
      <c r="C14" s="28" t="inlineStr">
        <is>
          <t>Inversión más el IVA que hay que adelantar</t>
        </is>
      </c>
      <c r="D14" s="28" t="n"/>
      <c r="E14" s="28" t="n"/>
      <c r="F14" s="28" t="n"/>
      <c r="G14" s="28" t="n"/>
      <c r="H14" s="28" t="n"/>
    </row>
    <row r="15">
      <c r="A15" s="25" t="inlineStr">
        <is>
          <t>Diferencia (origen - usos)</t>
        </is>
      </c>
      <c r="B15" s="26">
        <f>IFERROR(B12-B14,"")</f>
        <v>42.919999999998254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0.0004913167885190102</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65357.08</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65400.0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15737.498758875641</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65400.0</v>
      </c>
      <c r="C27" s="70">
        <f>IFERROR(IF(OR(1&gt;B22,B27=""),"",B27*B21),"")</f>
        <v>4251.0</v>
      </c>
      <c r="D27" s="70">
        <f>IFERROR(IF(OR(1&gt;B22,B27=""),"",IF(1&lt;=B23,0,MIN(B27,B24-C27))),"")</f>
        <v>0.0</v>
      </c>
      <c r="E27" s="70">
        <f>IFERROR(IF(C27="","",C27+D27),"")</f>
        <v>4251.0</v>
      </c>
      <c r="F27" s="70">
        <f>IFERROR(IF(D27="","",B27-D27),"")</f>
        <v>65400.0</v>
      </c>
      <c r="G27" s="70">
        <f>IFERROR(IF(E27="","",'PyG 3 Años'!$B$41-'PyG 3 Años'!$B$46+'PyG 3 Años'!$B$36+'PyG 3 Años'!$B$37),"")</f>
        <v>23689.772000000004</v>
      </c>
      <c r="H27" s="61">
        <f>IFERROR(IF(OR(E27="",E27=0),"",G27/E27),"")</f>
        <v>5.572752764055517</v>
      </c>
    </row>
    <row r="28">
      <c r="A28" s="40" t="n">
        <v>2</v>
      </c>
      <c r="B28" s="70">
        <f>IFERROR(IF(OR(2&gt;B22,F27=""),"",F27),"")</f>
        <v>65400.0</v>
      </c>
      <c r="C28" s="70">
        <f>IFERROR(IF(OR(2&gt;B22,B28=""),"",B28*B21),"")</f>
        <v>4251.0</v>
      </c>
      <c r="D28" s="70">
        <f>IFERROR(IF(OR(2&gt;B22,B28=""),"",IF(2&lt;=B23,0,MIN(B28,B24-C28))),"")</f>
        <v>11486.498758875641</v>
      </c>
      <c r="E28" s="70">
        <f>IFERROR(IF(C28="","",C28+D28),"")</f>
        <v>15737.498758875641</v>
      </c>
      <c r="F28" s="70">
        <f>IFERROR(IF(D28="","",B28-D28),"")</f>
        <v>53913.50124112436</v>
      </c>
      <c r="G28" s="70">
        <f>IFERROR(IF(E28="","",'PyG 3 Años'!$C$41-'PyG 3 Años'!$C$46+'PyG 3 Años'!$C$36+'PyG 3 Años'!$C$37),"")</f>
        <v>26049.780000000002</v>
      </c>
      <c r="H28" s="61">
        <f>IFERROR(IF(OR(E28="",E28=0),"",G28/E28),"")</f>
        <v>1.6552681210099183</v>
      </c>
    </row>
    <row r="29">
      <c r="A29" s="40" t="n">
        <v>3</v>
      </c>
      <c r="B29" s="70">
        <f>IFERROR(IF(OR(3&gt;B22,F28=""),"",F28),"")</f>
        <v>53913.50124112436</v>
      </c>
      <c r="C29" s="70">
        <f>IFERROR(IF(OR(3&gt;B22,B29=""),"",B29*B21),"")</f>
        <v>3504.3775806730832</v>
      </c>
      <c r="D29" s="70">
        <f>IFERROR(IF(OR(3&gt;B22,B29=""),"",IF(3&lt;=B23,0,MIN(B29,B24-C29))),"")</f>
        <v>12233.121178202558</v>
      </c>
      <c r="E29" s="70">
        <f>IFERROR(IF(C29="","",C29+D29),"")</f>
        <v>15737.498758875641</v>
      </c>
      <c r="F29" s="70">
        <f>IFERROR(IF(D29="","",B29-D29),"")</f>
        <v>41680.3800629218</v>
      </c>
      <c r="G29" s="70">
        <f>IFERROR(IF(E29="","",'PyG 3 Años'!$D$41-'PyG 3 Años'!$D$46+'PyG 3 Años'!$D$36+'PyG 3 Años'!$D$37),"")</f>
        <v>23819.537395168292</v>
      </c>
      <c r="H29" s="61">
        <f>IFERROR(IF(OR(E29="",E29=0),"",G29/E29),"")</f>
        <v>1.513552932401951</v>
      </c>
    </row>
    <row r="30">
      <c r="A30" s="40" t="n">
        <v>4</v>
      </c>
      <c r="B30" s="70">
        <f>IFERROR(IF(OR(4&gt;B22,F29=""),"",F29),"")</f>
        <v>41680.3800629218</v>
      </c>
      <c r="C30" s="70">
        <f>IFERROR(IF(OR(4&gt;B22,B30=""),"",B30*B21),"")</f>
        <v>2709.2247040899174</v>
      </c>
      <c r="D30" s="70">
        <f>IFERROR(IF(OR(4&gt;B22,B30=""),"",IF(4&lt;=B23,0,MIN(B30,B24-C30))),"")</f>
        <v>13028.274054785725</v>
      </c>
      <c r="E30" s="70">
        <f>IFERROR(IF(C30="","",C30+D30),"")</f>
        <v>15737.498758875641</v>
      </c>
      <c r="F30" s="70">
        <f>IFERROR(IF(D30="","",B30-D30),"")</f>
        <v>28652.106008136077</v>
      </c>
      <c r="G30" s="70">
        <f>IFERROR(IF(E30="","",'PyG 3 Años'!$D$41-'PyG 3 Años'!$D$46+'PyG 3 Años'!$D$36+'PyG 3 Años'!$D$37),"")</f>
        <v>23819.537395168292</v>
      </c>
      <c r="H30" s="61">
        <f>IFERROR(IF(OR(E30="",E30=0),"",G30/E30),"")</f>
        <v>1.513552932401951</v>
      </c>
    </row>
    <row r="31">
      <c r="A31" s="40" t="n">
        <v>5</v>
      </c>
      <c r="B31" s="70">
        <f>IFERROR(IF(OR(5&gt;B22,F30=""),"",F30),"")</f>
        <v>28652.106008136077</v>
      </c>
      <c r="C31" s="70">
        <f>IFERROR(IF(OR(5&gt;B22,B31=""),"",B31*B21),"")</f>
        <v>1862.386890528845</v>
      </c>
      <c r="D31" s="70">
        <f>IFERROR(IF(OR(5&gt;B22,B31=""),"",IF(5&lt;=B23,0,MIN(B31,B24-C31))),"")</f>
        <v>13875.111868346796</v>
      </c>
      <c r="E31" s="70">
        <f>IFERROR(IF(C31="","",C31+D31),"")</f>
        <v>15737.498758875641</v>
      </c>
      <c r="F31" s="70">
        <f>IFERROR(IF(D31="","",B31-D31),"")</f>
        <v>14776.994139789282</v>
      </c>
      <c r="G31" s="70">
        <f>IFERROR(IF(E31="","",'PyG 3 Años'!$D$41-'PyG 3 Años'!$D$46+'PyG 3 Años'!$D$36+'PyG 3 Años'!$D$37),"")</f>
        <v>23819.537395168292</v>
      </c>
      <c r="H31" s="61">
        <f>IFERROR(IF(OR(E31="",E31=0),"",G31/E31),"")</f>
        <v>1.513552932401951</v>
      </c>
    </row>
    <row r="32">
      <c r="A32" s="40" t="n">
        <v>6</v>
      </c>
      <c r="B32" s="70">
        <f>IFERROR(IF(OR(6&gt;B22,F31=""),"",F31),"")</f>
        <v>14776.994139789282</v>
      </c>
      <c r="C32" s="70">
        <f>IFERROR(IF(OR(6&gt;B22,B32=""),"",B32*B21),"")</f>
        <v>960.5046190863034</v>
      </c>
      <c r="D32" s="70">
        <f>IFERROR(IF(OR(6&gt;B22,B32=""),"",IF(6&lt;=B23,0,MIN(B32,B24-C32))),"")</f>
        <v>14776.994139789282</v>
      </c>
      <c r="E32" s="70">
        <f>IFERROR(IF(C32="","",C32+D32),"")</f>
        <v>15737.498758875585</v>
      </c>
      <c r="F32" s="70">
        <f>IFERROR(IF(D32="","",B32-D32),"")</f>
        <v>0.0</v>
      </c>
      <c r="G32" s="70">
        <f>IFERROR(IF(E32="","",'PyG 3 Años'!$D$41-'PyG 3 Años'!$D$46+'PyG 3 Años'!$D$36+'PyG 3 Años'!$D$37),"")</f>
        <v>23819.537395168292</v>
      </c>
      <c r="H32" s="61">
        <f>IFERROR(IF(OR(E32="",E32=0),"",G32/E32),"")</f>
        <v>1.5135529324019565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4251.0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4251.0</v>
      </c>
      <c r="C46" s="28" t="n"/>
      <c r="D46" s="28" t="n"/>
      <c r="E46" s="28" t="n"/>
      <c r="F46" s="28" t="n"/>
      <c r="G46" s="28" t="n"/>
      <c r="H46" s="28" t="n"/>
    </row>
    <row r="47">
      <c r="A47" s="28" t="inlineStr">
        <is>
          <t>Devolución de principal del año 2</t>
        </is>
      </c>
      <c r="B47" s="32">
        <f>IFERROR(IF(B20="","",IF(D28="",0,D28)),"")</f>
        <v>11486.498758875641</v>
      </c>
      <c r="C47" s="28" t="n"/>
      <c r="D47" s="28" t="n"/>
      <c r="E47" s="28" t="n"/>
      <c r="F47" s="28" t="n"/>
      <c r="G47" s="28" t="n"/>
      <c r="H47" s="28" t="n"/>
    </row>
    <row r="48">
      <c r="A48" s="28" t="inlineStr">
        <is>
          <t>Intereses del año 3</t>
        </is>
      </c>
      <c r="B48" s="32">
        <f>IFERROR(IF(B20="","",IF(C29="",0,C29)),"")</f>
        <v>3504.3775806730832</v>
      </c>
      <c r="C48" s="28" t="n"/>
      <c r="D48" s="28" t="n"/>
      <c r="E48" s="28" t="n"/>
      <c r="F48" s="28" t="n"/>
      <c r="G48" s="28" t="n"/>
      <c r="H48" s="28" t="n"/>
    </row>
    <row r="49">
      <c r="A49" s="28" t="inlineStr">
        <is>
          <t>Devolución de principal del año 3</t>
        </is>
      </c>
      <c r="B49" s="32">
        <f>IFERROR(IF(B20="","",IF(D29="",0,D29)),"")</f>
        <v>12233.121178202558</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5.572752764055517</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1.6552681210099183</v>
      </c>
      <c r="C52" s="28" t="n"/>
      <c r="D52" s="28" t="n"/>
      <c r="E52" s="28" t="n"/>
      <c r="F52" s="28" t="n"/>
      <c r="G52" s="28" t="n"/>
      <c r="H52" s="28" t="n"/>
    </row>
    <row r="53">
      <c r="A53" s="28" t="inlineStr">
        <is>
          <t>DSCR del año 3</t>
        </is>
      </c>
      <c r="B53" s="61">
        <f>IFERROR(('PyG 3 Años'!$D$41-'PyG 3 Años'!$D$46+'PyG 3 Años'!$D$36+B48)/(B48+B49),"")</f>
        <v>1.513552932401951</v>
      </c>
      <c r="C53" s="28" t="n"/>
      <c r="D53" s="28" t="n"/>
      <c r="E53" s="28" t="n"/>
      <c r="F53" s="28" t="n"/>
      <c r="G53" s="28" t="n"/>
      <c r="H53" s="28" t="n"/>
    </row>
    <row r="54">
      <c r="A54" s="25" t="inlineStr">
        <is>
          <t>DSCR mínimo de todo el cuadro</t>
        </is>
      </c>
      <c r="B54" s="62">
        <f>IFERROR(IF(COUNT(H27:H41)=0,"",MIN(H27:H41)),"")</f>
        <v>1.513552932401951</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Parrillero / Asador para Eventos · v2.2</dc:title>
  <dc:description xmlns:dc="http://purl.org/dc/elements/1.1/">aichef.pro/plan-negocio-parrillero-asador-eventos</dc:description>
  <dc:subject xmlns:dc="http://purl.org/dc/elements/1.1/">Plan financiero — Parrillero / Asador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2026-10-11T23:07:07Z</dcterms:modified>
  <cp:lastModifiedBy>AI Chef Pro</cp:lastModifiedBy>
  <cp:category>AI Chef Pro · Productos digitales</cp:category>
  <cp:keywords>plan negocio parrillero asador eventos, AI Chef Pro</cp:keywords>
</cp:coreProperties>
</file>