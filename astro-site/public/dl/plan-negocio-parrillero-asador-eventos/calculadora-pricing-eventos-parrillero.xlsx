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Ejemplo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€"/>
    <numFmt numFmtId="165" formatCode="#,##0.0"/>
    <numFmt numFmtId="166" formatCode="0.0%"/>
    <numFmt numFmtId="167" formatCode="0&quot; inv.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b val="1"/>
      <sz val="13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3" borderId="0" applyAlignment="1" applyProtection="1" pivotButton="0" quotePrefix="0" xfId="0">
      <alignment vertical="top"/>
      <protection locked="0" hidden="0"/>
    </xf>
    <xf numFmtId="3" fontId="2" fillId="3" borderId="0" applyAlignment="1" applyProtection="1" pivotButton="0" quotePrefix="0" xfId="0">
      <alignment vertical="top"/>
      <protection locked="0" hidden="0"/>
    </xf>
    <xf numFmtId="164" fontId="2" fillId="3" borderId="0" applyAlignment="1" applyProtection="1" pivotButton="0" quotePrefix="0" xfId="0">
      <alignment vertical="top"/>
      <protection locked="0" hidden="0"/>
    </xf>
    <xf numFmtId="165" fontId="2" fillId="3" borderId="0" applyAlignment="1" applyProtection="1" pivotButton="0" quotePrefix="0" xfId="0">
      <alignment vertical="top"/>
      <protection locked="0" hidden="0"/>
    </xf>
    <xf numFmtId="9" fontId="2" fillId="3" borderId="0" applyAlignment="1" applyProtection="1" pivotButton="0" quotePrefix="0" xfId="0">
      <alignment vertical="top"/>
      <protection locked="0" hidden="0"/>
    </xf>
    <xf numFmtId="3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166" fontId="3" fillId="0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7" fontId="3" fillId="2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6" customWidth="1" min="1" max="1"/>
    <col width="20" customWidth="1" min="2" max="2"/>
    <col width="17" customWidth="1" min="3" max="3"/>
    <col width="17" customWidth="1" min="4" max="4"/>
    <col width="17" customWidth="1" min="5" max="5"/>
    <col width="56" customWidth="1" min="6" max="6"/>
  </cols>
  <sheetData>
    <row r="1">
      <c r="A1" s="1" t="inlineStr">
        <is>
          <t>CALCULADORA DE PRECIOS DE PARRILLADA Y ASADO PARA EVENTOS — DE LA CARNE AL PRESUPUESTO</t>
        </is>
      </c>
    </row>
    <row r="2" ht="32" customHeight="1">
      <c r="A2" s="2" t="inlineStr">
        <is>
          <t>Escribe sólo en las celdas VERDES: todo lo demás se calcula. Importes sin IVA salvo donde la fila diga lo contrario. Los valores por defecto son estimaciones del kit: cámbialos por los tuyos.</t>
        </is>
      </c>
    </row>
    <row r="4">
      <c r="A4" s="3" t="inlineStr">
        <is>
          <t>DATOS DEL EVENTO</t>
        </is>
      </c>
      <c r="B4" s="3" t="inlineStr">
        <is>
          <t>Valor</t>
        </is>
      </c>
      <c r="C4" s="3" t="inlineStr">
        <is>
          <t>Notas</t>
        </is>
      </c>
    </row>
    <row r="5" ht="30" customHeight="1">
      <c r="A5" s="4" t="inlineStr">
        <is>
          <t>Cliente</t>
        </is>
      </c>
      <c r="B5" s="5" t="inlineStr">
        <is>
          <t>Particular</t>
        </is>
      </c>
      <c r="C5" s="2" t="inlineStr">
        <is>
          <t>Particular, Empresa o Ayuntamiento: cambian el margen objetivo, el cobro y los tramos de cancelación (tabla del final). Las comisiones de fiestas y las peñas cuentan como Empresa.</t>
        </is>
      </c>
    </row>
    <row r="6" ht="16" customHeight="1">
      <c r="A6" s="4" t="inlineStr">
        <is>
          <t>Invitados previstos</t>
        </is>
      </c>
      <c r="B6" s="6" t="n">
        <v>100</v>
      </c>
      <c r="C6" s="2" t="inlineStr">
        <is>
          <t>Número entero de invitados a los que sirves.</t>
        </is>
      </c>
    </row>
    <row r="7" ht="30" customHeight="1">
      <c r="A7" s="4" t="inlineStr">
        <is>
          <t>Formato del servicio</t>
        </is>
      </c>
      <c r="B7" s="5" t="inlineStr">
        <is>
          <t>Asado completo</t>
        </is>
      </c>
      <c r="C7" s="2" t="inlineStr">
        <is>
          <t>Fija los gramos de carne cruda por invitado con la tabla del final. No cambia el precio: la materia prima de la experiencia ya trae su carta habitual.</t>
        </is>
      </c>
    </row>
    <row r="8" ht="30" customHeight="1">
      <c r="A8" s="4" t="inlineStr">
        <is>
          <t>Experiencia</t>
        </is>
      </c>
      <c r="B8" s="5" t="inlineStr">
        <is>
          <t>01 Asado argentino</t>
        </is>
      </c>
      <c r="C8" s="2" t="inlineStr">
        <is>
          <t>Las 10 experiencias del kit y la chuletada de fiesta: fijan la materia prima por invitado con la tabla del final.</t>
        </is>
      </c>
    </row>
    <row r="9" ht="16" customHeight="1">
      <c r="A9" s="4" t="inlineStr">
        <is>
          <t>Estilo de servicio</t>
        </is>
      </c>
      <c r="B9" s="5" t="inlineStr">
        <is>
          <t>Cortes en mesa</t>
        </is>
      </c>
      <c r="C9" s="2" t="inlineStr">
        <is>
          <t>Buffet: un parrillero por cada 60-80 invitados. Cortes en mesa: uno por cada 40-50.</t>
        </is>
      </c>
    </row>
    <row r="10" ht="16" customHeight="1">
      <c r="A10" s="4" t="inlineStr">
        <is>
          <t>Bebida por invitado (coste)</t>
        </is>
      </c>
      <c r="B10" s="7" t="n">
        <v>4</v>
      </c>
      <c r="C10" s="2" t="inlineStr">
        <is>
          <t>Cerveza, refrescos y vino que pones tú. 0 si la bebida la pone el cliente.</t>
        </is>
      </c>
    </row>
    <row r="11" ht="30" customHeight="1">
      <c r="A11" s="4" t="inlineStr">
        <is>
          <t>Coste de menaje, desechables y consumibles por invitado</t>
        </is>
      </c>
      <c r="B11" s="7" t="n">
        <v>0.6</v>
      </c>
      <c r="C11" s="2" t="inlineStr">
        <is>
          <t>Estimación del kit: platos y cubiertos compostables, aluminio, pan y hielo. Pon 0 si el cliente pone el menaje.</t>
        </is>
      </c>
    </row>
    <row r="12" ht="16" customHeight="1">
      <c r="A12" s="4" t="inlineStr">
        <is>
          <t>Horas por persona (carga, viaje, montaje, brasa, servicio y recogida)</t>
        </is>
      </c>
      <c r="B12" s="8" t="n">
        <v>9</v>
      </c>
      <c r="C12" s="2" t="inlineStr">
        <is>
          <t>Estimación del kit: pon las horas reales de tu equipo.</t>
        </is>
      </c>
    </row>
    <row r="13" ht="16" customHeight="1">
      <c r="A13" s="4" t="inlineStr">
        <is>
          <t>Coste bruto por hora del personal</t>
        </is>
      </c>
      <c r="B13" s="7" t="n">
        <v>13</v>
      </c>
      <c r="C13" s="2" t="inlineStr">
        <is>
          <t>Estimación del kit. Copia tu convenio provincial de hostelería.</t>
        </is>
      </c>
    </row>
    <row r="14" ht="16" customHeight="1">
      <c r="A14" s="4" t="inlineStr">
        <is>
          <t>Seguridad Social a cargo de la empresa</t>
        </is>
      </c>
      <c r="B14" s="9" t="n">
        <v>0.33</v>
      </c>
      <c r="C14" s="2" t="inlineStr">
        <is>
          <t>30,65 % de contingencias, desempleo, FOGASA, formación y MEI, más AT/EP (fijos discontinuos, art. 16 ET).</t>
        </is>
      </c>
    </row>
    <row r="15" ht="30" customHeight="1">
      <c r="A15" s="4" t="inlineStr">
        <is>
          <t>Importe de alquileres repercutidos (carpa, mesas, sillas, parrilla extra)</t>
        </is>
      </c>
      <c r="B15" s="7" t="n">
        <v>400</v>
      </c>
      <c r="C15" s="2" t="inlineStr">
        <is>
          <t>Lo que te cobra el alquilador para este evento. Si lo facturas aparte sin ser accesorio, ese importe va al 21 % de IVA.</t>
        </is>
      </c>
    </row>
    <row r="16" ht="16" customHeight="1">
      <c r="A16" s="4" t="inlineStr">
        <is>
          <t>Kilómetros de ida (cocina de apoyo → espacio)</t>
        </is>
      </c>
      <c r="B16" s="6" t="n">
        <v>35</v>
      </c>
      <c r="C16" s="2" t="inlineStr">
        <is>
          <t>Se cobran ida y vuelta, en una línea aparte.</t>
        </is>
      </c>
    </row>
    <row r="17" ht="16" customHeight="1">
      <c r="A17" s="4" t="inlineStr">
        <is>
          <t>Tarifa por kilómetro de desplazamiento</t>
        </is>
      </c>
      <c r="B17" s="7" t="n">
        <v>0.95</v>
      </c>
      <c r="C17" s="2" t="inlineStr">
        <is>
          <t>La del contrato del kit: se cobra ida y vuelta y va sin margen.</t>
        </is>
      </c>
    </row>
    <row r="18" ht="45" customHeight="1">
      <c r="A18" s="4" t="inlineStr">
        <is>
          <t>Importe del suplemento de show de fuego por invitado</t>
        </is>
      </c>
      <c r="B18" s="7" t="n">
        <v>0</v>
      </c>
      <c r="C18" s="2" t="inlineStr">
        <is>
          <t>De 8 a 15 € por invitado si abres con provoletas y chorizos flambeados a la vista (experiencia 09). 0 si no hay show. Se suma al precio sin margen objetivo: cubre su materia prima extra y el tiempo del parrillero.</t>
        </is>
      </c>
    </row>
    <row r="19" ht="30" customHeight="1">
      <c r="A19" s="4" t="inlineStr">
        <is>
          <t>IVA del servicio de comidas</t>
        </is>
      </c>
      <c r="B19" s="9" t="n">
        <v>0.1</v>
      </c>
      <c r="C19" s="2" t="inlineStr">
        <is>
          <t>Ley 37/1992, art. 91.Uno.2.2.º: comida y bebida para consumir en el acto, alcohol incluido. Lo que facturas aparte sin ser accesorio (carpa, mobiliario) va al 21 %.</t>
        </is>
      </c>
    </row>
    <row r="21">
      <c r="A21" s="3" t="inlineStr">
        <is>
          <t>CÁLCULO</t>
        </is>
      </c>
      <c r="B21" s="3" t="inlineStr">
        <is>
          <t>Valor</t>
        </is>
      </c>
      <c r="C21" s="3" t="inlineStr">
        <is>
          <t>Notas</t>
        </is>
      </c>
    </row>
    <row r="22" ht="16" customHeight="1">
      <c r="A22" s="4" t="inlineStr">
        <is>
          <t>Carne cruda por invitado (g, de la tabla)</t>
        </is>
      </c>
      <c r="B22" s="10">
        <f>INDEX('Calculadora'!$B$72:$B$75,MATCH($B$7,'Calculadora'!$A$72:$A$75,0))</f>
        <v>500.0</v>
      </c>
      <c r="C22" s="2" t="inlineStr">
        <is>
          <t>Busca el formato en la tabla del final.</t>
        </is>
      </c>
    </row>
    <row r="23" ht="16" customHeight="1">
      <c r="A23" s="4" t="inlineStr">
        <is>
          <t>Coste de materia prima por invitado de la experiencia (tabla)</t>
        </is>
      </c>
      <c r="B23" s="11">
        <f>INDEX('Calculadora'!$B$78:$B$88,MATCH($B$8,'Calculadora'!$A$78:$A$88,0))</f>
        <v>9.5</v>
      </c>
      <c r="C23" s="2" t="inlineStr">
        <is>
          <t>Busca la experiencia en la tabla del final. Cámbiala si tu escandallo es otro.</t>
        </is>
      </c>
    </row>
    <row r="24">
      <c r="A24" s="4" t="inlineStr">
        <is>
          <t>Invitados por parrillero (del estilo de servicio)</t>
        </is>
      </c>
      <c r="B24" s="10">
        <f>INDEX('Calculadora'!$B$67:$B$69,MATCH($B$9,'Calculadora'!$A$67:$A$69,0))</f>
        <v>45.0</v>
      </c>
    </row>
    <row r="25">
      <c r="A25" s="4" t="inlineStr">
        <is>
          <t>Invitados por ayudante (del estilo de servicio)</t>
        </is>
      </c>
      <c r="B25" s="10">
        <f>INDEX('Calculadora'!$C$67:$C$69,MATCH($B$9,'Calculadora'!$A$67:$A$69,0))</f>
        <v>50.0</v>
      </c>
    </row>
    <row r="26" ht="16" customHeight="1">
      <c r="A26" s="4" t="inlineStr">
        <is>
          <t>Margen objetivo del cliente elegido</t>
        </is>
      </c>
      <c r="B26" s="12">
        <f>INDEX('Calculadora'!$B$91:$D$91,MATCH($B$5,'Calculadora'!$B$90:$D$90,0))</f>
        <v>0.42</v>
      </c>
      <c r="C26" s="2" t="inlineStr">
        <is>
          <t>De la tabla por cliente del final.</t>
        </is>
      </c>
    </row>
    <row r="27" ht="16" customHeight="1">
      <c r="A27" s="4" t="inlineStr">
        <is>
          <t>Carne cruda total (kg)</t>
        </is>
      </c>
      <c r="B27" s="13">
        <f>$B$6*$B$22/1000</f>
        <v>50.0</v>
      </c>
      <c r="C27" s="2" t="inlineStr">
        <is>
          <t>Invitados × gramos por invitado.</t>
        </is>
      </c>
    </row>
    <row r="28" ht="16" customHeight="1">
      <c r="A28" s="4" t="inlineStr">
        <is>
          <t>Carne servida total (kg)</t>
        </is>
      </c>
      <c r="B28" s="13">
        <f>$B$27*(1-'Calculadora'!$B$63)</f>
        <v>35.0</v>
      </c>
      <c r="C28" s="2" t="inlineStr">
        <is>
          <t>Carne cruda menos la merma de cocción.</t>
        </is>
      </c>
    </row>
    <row r="29" ht="16" customHeight="1">
      <c r="A29" s="4" t="inlineStr">
        <is>
          <t>Parrillas necesarias</t>
        </is>
      </c>
      <c r="B29" s="10">
        <f>MAX(1,ROUNDUP($B$27/'Calculadora'!$B$60,0))</f>
        <v>2.0</v>
      </c>
      <c r="C29" s="2" t="inlineStr">
        <is>
          <t>Carne cruda entre lo que asa una parrilla de 120 × 60 cm, hacia arriba. Si no las tienes, alquílalas.</t>
        </is>
      </c>
    </row>
    <row r="30" ht="16" customHeight="1">
      <c r="A30" s="4" t="inlineStr">
        <is>
          <t>Parrilleros necesarios</t>
        </is>
      </c>
      <c r="B30" s="10">
        <f>MAX(1,ROUNDUP($B$6/$B$24,0))</f>
        <v>3.0</v>
      </c>
      <c r="C30" s="2" t="inlineStr">
        <is>
          <t>Invitados entre invitados por parrillero, hacia arriba.</t>
        </is>
      </c>
    </row>
    <row r="31" ht="16" customHeight="1">
      <c r="A31" s="4" t="inlineStr">
        <is>
          <t>Ayudantes necesarios</t>
        </is>
      </c>
      <c r="B31" s="10">
        <f>IF($B$6&lt;'Calculadora'!$B$64,0,ROUNDUP($B$6/$B$25,0))</f>
        <v>2.0</v>
      </c>
      <c r="C31" s="2" t="inlineStr">
        <is>
          <t>Desde el mínimo de invitados de la tabla; el resto, invitados entre invitados por ayudante, hacia arriba.</t>
        </is>
      </c>
    </row>
    <row r="32" ht="16" customHeight="1">
      <c r="A32" s="4" t="inlineStr">
        <is>
          <t>Carbón total (kg)</t>
        </is>
      </c>
      <c r="B32" s="13">
        <f>$B$27*'Calculadora'!$B$61</f>
        <v>40.0</v>
      </c>
      <c r="C32" s="2" t="inlineStr">
        <is>
          <t>Kg de carne cruda × kg de carbón por kg de carne.</t>
        </is>
      </c>
    </row>
    <row r="33">
      <c r="A33" s="4" t="inlineStr">
        <is>
          <t>Coste de materia prima</t>
        </is>
      </c>
      <c r="B33" s="11">
        <f>$B$23*$B$6</f>
        <v>950.0</v>
      </c>
    </row>
    <row r="34">
      <c r="A34" s="4" t="inlineStr">
        <is>
          <t>Coste de bebida</t>
        </is>
      </c>
      <c r="B34" s="11">
        <f>$B$10*$B$6</f>
        <v>400.0</v>
      </c>
    </row>
    <row r="35">
      <c r="A35" s="4" t="inlineStr">
        <is>
          <t>Coste de menaje, desechables y consumibles</t>
        </is>
      </c>
      <c r="B35" s="11">
        <f>$B$11*$B$6</f>
        <v>60.0</v>
      </c>
    </row>
    <row r="36">
      <c r="A36" s="4" t="inlineStr">
        <is>
          <t>Coste del carbón</t>
        </is>
      </c>
      <c r="B36" s="11">
        <f>$B$32*'Calculadora'!$B$62</f>
        <v>60.0</v>
      </c>
    </row>
    <row r="37" ht="16" customHeight="1">
      <c r="A37" s="4" t="inlineStr">
        <is>
          <t>Coste de personal (salario + Seguridad Social)</t>
        </is>
      </c>
      <c r="B37" s="11">
        <f>($B$30+$B$31)*$B$12*$B$13*(1+$B$14)</f>
        <v>778.0500000000001</v>
      </c>
      <c r="C37" s="2" t="inlineStr">
        <is>
          <t>Parrilleros y ayudantes. Si el dueño cocina, se cuenta a precio de hora: es su coste de oportunidad.</t>
        </is>
      </c>
    </row>
    <row r="38">
      <c r="A38" s="4" t="inlineStr">
        <is>
          <t>Importe de alquileres</t>
        </is>
      </c>
      <c r="B38" s="11">
        <f>$B$15</f>
        <v>400.0</v>
      </c>
    </row>
    <row r="39">
      <c r="A39" s="4" t="inlineStr">
        <is>
          <t>Coste directo total</t>
        </is>
      </c>
      <c r="B39" s="11">
        <f>$B$33+$B$34+$B$35+$B$36+$B$37+$B$38</f>
        <v>2648.05</v>
      </c>
    </row>
    <row r="40">
      <c r="A40" s="4" t="inlineStr">
        <is>
          <t>Coste directo por invitado</t>
        </is>
      </c>
      <c r="B40" s="11">
        <f>$B$39/$B$6</f>
        <v>26.480500000000003</v>
      </c>
    </row>
    <row r="41" ht="30" customHeight="1">
      <c r="A41" s="14" t="inlineStr">
        <is>
          <t>PRECIO POR INVITADO SIN IVA</t>
        </is>
      </c>
      <c r="B41" s="15">
        <f>ROUNDUP($B$39/(1-$B$26)/$B$6*2,0)/2+$B$18</f>
        <v>46.0</v>
      </c>
      <c r="C41" s="2" t="inlineStr">
        <is>
          <t>Coste ÷ (1 − margen) ÷ invitados, redondeado a los 0,50 € de arriba, más el suplemento de show. Es el precio de las empresas («+ IVA»).</t>
        </is>
      </c>
    </row>
    <row r="42" ht="16" customHeight="1">
      <c r="A42" s="14" t="inlineStr">
        <is>
          <t>PRECIO POR INVITADO CON IVA</t>
        </is>
      </c>
      <c r="B42" s="15">
        <f>$B$41*(1+$B$19)</f>
        <v>50.6</v>
      </c>
      <c r="C42" s="2" t="inlineStr">
        <is>
          <t>Es el que ve un particular: en una oferta a consumidores el precio va con impuestos incluidos.</t>
        </is>
      </c>
    </row>
    <row r="43" ht="16" customHeight="1">
      <c r="A43" s="4" t="inlineStr">
        <is>
          <t>Subtotal de comida sin IVA</t>
        </is>
      </c>
      <c r="B43" s="11">
        <f>$B$41*$B$6</f>
        <v>4600.0</v>
      </c>
      <c r="C43" s="2" t="inlineStr">
        <is>
          <t>Precio por invitado × invitados.</t>
        </is>
      </c>
    </row>
    <row r="44" ht="16" customHeight="1">
      <c r="A44" s="4" t="inlineStr">
        <is>
          <t>Desplazamiento (ida y vuelta, sin margen)</t>
        </is>
      </c>
      <c r="B44" s="11">
        <f>$B$16*2*$B$17</f>
        <v>66.5</v>
      </c>
      <c r="C44" s="2" t="inlineStr">
        <is>
          <t>Línea aparte del presupuesto.</t>
        </is>
      </c>
    </row>
    <row r="45">
      <c r="A45" s="4" t="inlineStr">
        <is>
          <t>Base imponible</t>
        </is>
      </c>
      <c r="B45" s="11">
        <f>$B$43+$B$44</f>
        <v>4666.5</v>
      </c>
    </row>
    <row r="46">
      <c r="A46" s="4" t="inlineStr">
        <is>
          <t>IVA</t>
        </is>
      </c>
      <c r="B46" s="11">
        <f>$B$45*$B$19</f>
        <v>466.65000000000003</v>
      </c>
    </row>
    <row r="47">
      <c r="A47" s="14" t="inlineStr">
        <is>
          <t>TOTAL DEL PRESUPUESTO (con IVA)</t>
        </is>
      </c>
      <c r="B47" s="15">
        <f>$B$45+$B$46</f>
        <v>5133.15</v>
      </c>
    </row>
    <row r="48" ht="16" customHeight="1">
      <c r="A48" s="4" t="inlineStr">
        <is>
          <t>Importe del cobro 1: señal al firmar</t>
        </is>
      </c>
      <c r="B48" s="11">
        <f>$B$47*INDEX('Calculadora'!$B$92:$D$92,MATCH($B$5,'Calculadora'!$B$90:$D$90,0))</f>
        <v>1539.945</v>
      </c>
      <c r="C48" s="2" t="inlineStr">
        <is>
          <t>Con la firma del contrato; en un ayuntamiento, nada.</t>
        </is>
      </c>
    </row>
    <row r="49" ht="16" customHeight="1">
      <c r="A49" s="4" t="inlineStr">
        <is>
          <t>Importe del cobro 2: a siete días del evento</t>
        </is>
      </c>
      <c r="B49" s="11">
        <f>$B$47*INDEX('Calculadora'!$B$93:$D$93,MATCH($B$5,'Calculadora'!$B$90:$D$90,0))</f>
        <v>2053.2599999999998</v>
      </c>
      <c r="C49" s="2" t="inlineStr">
        <is>
          <t>Sólo el contrato Particular.</t>
        </is>
      </c>
    </row>
    <row r="50" ht="16" customHeight="1">
      <c r="A50" s="4" t="inlineStr">
        <is>
          <t>Importe del cobro 3: a las 48 horas del evento</t>
        </is>
      </c>
      <c r="B50" s="11">
        <f>$B$47*INDEX('Calculadora'!$B$94:$D$94,MATCH($B$5,'Calculadora'!$B$90:$D$90,0))</f>
        <v>1539.945</v>
      </c>
      <c r="C50" s="2" t="inlineStr">
        <is>
          <t>Sólo el contrato Particular.</t>
        </is>
      </c>
    </row>
    <row r="51" ht="16" customHeight="1">
      <c r="A51" s="4" t="inlineStr">
        <is>
          <t>Importe del cobro 4: a 30 días de la factura</t>
        </is>
      </c>
      <c r="B51" s="11">
        <f>$B$47*INDEX('Calculadora'!$B$95:$D$95,MATCH($B$5,'Calculadora'!$B$90:$D$90,0))</f>
        <v>0.0</v>
      </c>
      <c r="C51" s="2" t="inlineStr">
        <is>
          <t>Empresa: el resto. Ayuntamiento: todo, desde la conformidad. Factura de cada pago, también de la señal.</t>
        </is>
      </c>
    </row>
    <row r="52" ht="16" customHeight="1">
      <c r="A52" s="4" t="inlineStr">
        <is>
          <t>Margen bruto en euros</t>
        </is>
      </c>
      <c r="B52" s="11">
        <f>$B$43-$B$39</f>
        <v>1951.9499999999998</v>
      </c>
      <c r="C52" s="2" t="inlineStr">
        <is>
          <t>Sobre el subtotal de comida, sin el desplazamiento.</t>
        </is>
      </c>
    </row>
    <row r="53" ht="30" customHeight="1">
      <c r="A53" s="14" t="inlineStr">
        <is>
          <t>Margen bruto (calculado)</t>
        </is>
      </c>
      <c r="B53" s="16">
        <f>IF($B$43=0,0,$B$52/$B$43)</f>
        <v>0.4243369565217391</v>
      </c>
      <c r="C53" s="2" t="inlineStr">
        <is>
          <t>Sale de los costes, nunca se teclea. Queda igual o por encima del objetivo por el redondeo del precio y el show.</t>
        </is>
      </c>
    </row>
    <row r="54" ht="16" customHeight="1">
      <c r="A54" s="4" t="inlineStr">
        <is>
          <t>Importe retenido si cancela: tramo 1</t>
        </is>
      </c>
      <c r="B54" s="11">
        <f>$B$47*INDEX('Calculadora'!$B$96:$D$96,MATCH($B$5,'Calculadora'!$B$90:$D$90,0))</f>
        <v>1539.945</v>
      </c>
      <c r="C54" s="2" t="inlineStr">
        <is>
          <t>Particular: 60 días o más. Empresa: 30 días o más.</t>
        </is>
      </c>
    </row>
    <row r="55" ht="16" customHeight="1">
      <c r="A55" s="4" t="inlineStr">
        <is>
          <t>Importe retenido si cancela: tramo 2</t>
        </is>
      </c>
      <c r="B55" s="11">
        <f>$B$47*INDEX('Calculadora'!$B$97:$D$97,MATCH($B$5,'Calculadora'!$B$90:$D$90,0))</f>
        <v>2566.575</v>
      </c>
      <c r="C55" s="2" t="inlineStr">
        <is>
          <t>Particular: de 30 a 59 días. Empresa: de 15 a 29 días.</t>
        </is>
      </c>
    </row>
    <row r="56" ht="16" customHeight="1">
      <c r="A56" s="4" t="inlineStr">
        <is>
          <t>Importe retenido si cancela: tramo 3</t>
        </is>
      </c>
      <c r="B56" s="11">
        <f>$B$47*INDEX('Calculadora'!$B$98:$D$98,MATCH($B$5,'Calculadora'!$B$90:$D$90,0))</f>
        <v>3849.8624999999997</v>
      </c>
      <c r="C56" s="2" t="inlineStr">
        <is>
          <t>Particular: de 7 a 29 días. Empresa: de 7 a 14 días.</t>
        </is>
      </c>
    </row>
    <row r="57" ht="16" customHeight="1">
      <c r="A57" s="4" t="inlineStr">
        <is>
          <t>Importe retenido si cancela: tramo 4</t>
        </is>
      </c>
      <c r="B57" s="11">
        <f>$B$47*INDEX('Calculadora'!$B$99:$D$99,MATCH($B$5,'Calculadora'!$B$90:$D$90,0))</f>
        <v>5133.15</v>
      </c>
      <c r="C57" s="2" t="inlineStr">
        <is>
          <t>Particular y Empresa: menos de 7 días o no presentación.</t>
        </is>
      </c>
    </row>
    <row r="59">
      <c r="A59" s="3" t="inlineStr">
        <is>
          <t>REGLAS DE ESCALADO (tabla de la sección 8 del manual técnico del kit)</t>
        </is>
      </c>
      <c r="B59" s="3" t="inlineStr">
        <is>
          <t>Valor</t>
        </is>
      </c>
    </row>
    <row r="60" ht="16" customHeight="1">
      <c r="A60" s="4" t="inlineStr">
        <is>
          <t>Carne cruda que asa una parrilla de 120 × 60 cm en un servicio (kg)</t>
        </is>
      </c>
      <c r="B60" s="8" t="n">
        <v>32</v>
      </c>
      <c r="C60" s="2" t="inlineStr">
        <is>
          <t>12-15 kg por tanda y 2-3 tandas: se toma 13 kg × 2,5 tandas, que son 60-80 invitados con 400 g.</t>
        </is>
      </c>
    </row>
    <row r="61" ht="30" customHeight="1">
      <c r="A61" s="4" t="inlineStr">
        <is>
          <t>Carbón por kg de carne cruda (kg)</t>
        </is>
      </c>
      <c r="B61" s="8" t="n">
        <v>0.8</v>
      </c>
      <c r="C61" s="2" t="inlineStr">
        <is>
          <t>Entre 0,7 y 1 kg de carbón por kg de carne cruda: unos 0,3-0,45 kg por invitado. Para el asado a la cruz suma 2-3 kg de leña por kg de carne.</t>
        </is>
      </c>
    </row>
    <row r="62" ht="16" customHeight="1">
      <c r="A62" s="4" t="inlineStr">
        <is>
          <t>Precio del carbón (€ por kg)</t>
        </is>
      </c>
      <c r="B62" s="7" t="n">
        <v>1.5</v>
      </c>
      <c r="C62" s="2" t="inlineStr">
        <is>
          <t>Tarifa profesional de 1,3 a 2,0 € por kg (encina, marabú o quebracho; saco de 15 kg).</t>
        </is>
      </c>
    </row>
    <row r="63" ht="16" customHeight="1">
      <c r="A63" s="4" t="inlineStr">
        <is>
          <t>Merma de cocción (de crudo a servido)</t>
        </is>
      </c>
      <c r="B63" s="9" t="n">
        <v>0.3</v>
      </c>
      <c r="C63" s="2" t="inlineStr">
        <is>
          <t>Vacuno y cerdo a la brasa pierden el 25-35 %; el brisket ahumado, el 40-50 %.</t>
        </is>
      </c>
    </row>
    <row r="64" ht="16" customHeight="1">
      <c r="A64" s="4" t="inlineStr">
        <is>
          <t>Ayudante desde (invitados)</t>
        </is>
      </c>
      <c r="B64" s="6" t="n">
        <v>40</v>
      </c>
      <c r="C64" s="2" t="inlineStr">
        <is>
          <t>Por debajo de este número de invitados el parrillero trabaja sin ayudante.</t>
        </is>
      </c>
    </row>
    <row r="66" ht="32" customHeight="1">
      <c r="A66" s="3" t="inlineStr">
        <is>
          <t>ESTILO DE SERVICIO → PERSONAL</t>
        </is>
      </c>
      <c r="B66" s="17" t="inlineStr">
        <is>
          <t>Invitados por parrillero</t>
        </is>
      </c>
      <c r="C66" s="17" t="inlineStr">
        <is>
          <t>Invitados por ayudante</t>
        </is>
      </c>
    </row>
    <row r="67">
      <c r="A67" s="4" t="inlineStr">
        <is>
          <t>Buffet</t>
        </is>
      </c>
      <c r="B67" s="6" t="n">
        <v>70</v>
      </c>
      <c r="C67" s="6" t="n">
        <v>60</v>
      </c>
      <c r="D67" s="18" t="inlineStr">
        <is>
          <t>Buffet: 60-80 invitados por parrillero. Cortes en mesa: 40-50. Fiesta de volumen: estimación del kit.</t>
        </is>
      </c>
    </row>
    <row r="68">
      <c r="A68" s="4" t="inlineStr">
        <is>
          <t>Cortes en mesa</t>
        </is>
      </c>
      <c r="B68" s="6" t="n">
        <v>45</v>
      </c>
      <c r="C68" s="6" t="n">
        <v>50</v>
      </c>
    </row>
    <row r="69">
      <c r="A69" s="4" t="inlineStr">
        <is>
          <t>Fiesta de volumen</t>
        </is>
      </c>
      <c r="B69" s="6" t="n">
        <v>150</v>
      </c>
      <c r="C69" s="6" t="n">
        <v>100</v>
      </c>
    </row>
    <row r="71">
      <c r="A71" s="3" t="inlineStr">
        <is>
          <t>FORMATO → CARNE CRUDA POR INVITADO</t>
        </is>
      </c>
      <c r="B71" s="3" t="inlineStr">
        <is>
          <t>Gramos</t>
        </is>
      </c>
    </row>
    <row r="72">
      <c r="A72" s="4" t="inlineStr">
        <is>
          <t>Asado completo</t>
        </is>
      </c>
      <c r="B72" s="6" t="n">
        <v>500</v>
      </c>
      <c r="C72" s="18" t="inlineStr">
        <is>
          <t>Asado sin entrantes: 500-600 g. Con entrantes: 350-450 g. Chuletada de fiesta: 300 g. Brunch: estimación del kit. Sin hueso, un 20 % menos; los niños, la mitad.</t>
        </is>
      </c>
    </row>
    <row r="73">
      <c r="A73" s="4" t="inlineStr">
        <is>
          <t>Plato principal</t>
        </is>
      </c>
      <c r="B73" s="6" t="n">
        <v>400</v>
      </c>
    </row>
    <row r="74">
      <c r="A74" s="4" t="inlineStr">
        <is>
          <t>Brunch</t>
        </is>
      </c>
      <c r="B74" s="6" t="n">
        <v>200</v>
      </c>
    </row>
    <row r="75">
      <c r="A75" s="4" t="inlineStr">
        <is>
          <t>Chuletada de fiesta</t>
        </is>
      </c>
      <c r="B75" s="6" t="n">
        <v>300</v>
      </c>
    </row>
    <row r="77">
      <c r="A77" s="3" t="inlineStr">
        <is>
          <t>EXPERIENCIA → MATERIA PRIMA POR INVITADO (sin IVA, sin bebida)</t>
        </is>
      </c>
      <c r="B77" s="3" t="inlineStr">
        <is>
          <t>Euros</t>
        </is>
      </c>
    </row>
    <row r="78">
      <c r="A78" s="4" t="inlineStr">
        <is>
          <t>01 Asado argentino</t>
        </is>
      </c>
      <c r="B78" s="7" t="n">
        <v>9.5</v>
      </c>
      <c r="C78" s="18" t="inlineStr">
        <is>
          <t>Estimación del kit con precios de mayorista de 2025-2026 (lomo bajo de vaca, entraña, picanha, costilla, ibérico). La 11 no es de las 10 experiencias: sale del escandallo del caso de fiestas. Cambia la cifra por tu escandallo.</t>
        </is>
      </c>
    </row>
    <row r="79">
      <c r="A79" s="4" t="inlineStr">
        <is>
          <t>02 Asador a la cruz</t>
        </is>
      </c>
      <c r="B79" s="7" t="n">
        <v>11</v>
      </c>
    </row>
    <row r="80">
      <c r="A80" s="4" t="inlineStr">
        <is>
          <t>03 Parrilla uruguaya</t>
        </is>
      </c>
      <c r="B80" s="7" t="n">
        <v>8.5</v>
      </c>
    </row>
    <row r="81">
      <c r="A81" s="4" t="inlineStr">
        <is>
          <t>04 BBQ texano</t>
        </is>
      </c>
      <c r="B81" s="7" t="n">
        <v>8</v>
      </c>
    </row>
    <row r="82">
      <c r="A82" s="4" t="inlineStr">
        <is>
          <t>05 Rodizio brasileño</t>
        </is>
      </c>
      <c r="B82" s="7" t="n">
        <v>8.5</v>
      </c>
    </row>
    <row r="83">
      <c r="A83" s="4" t="inlineStr">
        <is>
          <t>06 Asador criollo-castellano</t>
        </is>
      </c>
      <c r="B83" s="7" t="n">
        <v>11</v>
      </c>
    </row>
    <row r="84">
      <c r="A84" s="4" t="inlineStr">
        <is>
          <t>07 Parrilla mediterránea</t>
        </is>
      </c>
      <c r="B84" s="7" t="n">
        <v>9</v>
      </c>
    </row>
    <row r="85">
      <c r="A85" s="4" t="inlineStr">
        <is>
          <t>08 Asador llanero</t>
        </is>
      </c>
      <c r="B85" s="7" t="n">
        <v>6.5</v>
      </c>
    </row>
    <row r="86">
      <c r="A86" s="4" t="inlineStr">
        <is>
          <t>09 Show de fuego (corte premium)</t>
        </is>
      </c>
      <c r="B86" s="7" t="n">
        <v>14</v>
      </c>
    </row>
    <row r="87">
      <c r="A87" s="4" t="inlineStr">
        <is>
          <t>10 Brunch parrillero corporativo</t>
        </is>
      </c>
      <c r="B87" s="7" t="n">
        <v>5.5</v>
      </c>
    </row>
    <row r="88">
      <c r="A88" s="4" t="inlineStr">
        <is>
          <t>11 Chuletada o costillada de fiesta</t>
        </is>
      </c>
      <c r="B88" s="7" t="n">
        <v>2.5</v>
      </c>
    </row>
    <row r="90">
      <c r="A90" s="3" t="inlineStr">
        <is>
          <t>POLÍTICA POR CLIENTE</t>
        </is>
      </c>
      <c r="B90" s="17" t="inlineStr">
        <is>
          <t>Particular</t>
        </is>
      </c>
      <c r="C90" s="17" t="inlineStr">
        <is>
          <t>Empresa</t>
        </is>
      </c>
      <c r="D90" s="17" t="inlineStr">
        <is>
          <t>Ayuntamiento</t>
        </is>
      </c>
    </row>
    <row r="91" ht="45" customHeight="1">
      <c r="A91" s="4" t="inlineStr">
        <is>
          <t>Margen bruto objetivo sobre el subtotal</t>
        </is>
      </c>
      <c r="B91" s="9" t="n">
        <v>0.42</v>
      </c>
      <c r="C91" s="9" t="n">
        <v>0.4</v>
      </c>
      <c r="D91" s="9" t="n">
        <v>0.4</v>
      </c>
      <c r="E91" s="2" t="inlineStr">
        <is>
          <t>Parte del subtotal que queda tras los costes directos. Estimación del kit: la boda particular lleva más margen que la empresa; el ayuntamiento paga por volumen.</t>
        </is>
      </c>
    </row>
    <row r="92" ht="30" customHeight="1">
      <c r="A92" s="4" t="inlineStr">
        <is>
          <t>Cobro: señal al firmar (% del total)</t>
        </is>
      </c>
      <c r="B92" s="9" t="n">
        <v>0.3</v>
      </c>
      <c r="C92" s="9" t="n">
        <v>0.3</v>
      </c>
      <c r="D92" s="9" t="n">
        <v>0</v>
      </c>
      <c r="E92" s="2" t="inlineStr">
        <is>
          <t>Particular y Empresa, el 30 % al firmar. Un ayuntamiento no anticipa: compra por contrato menor.</t>
        </is>
      </c>
    </row>
    <row r="93" ht="16" customHeight="1">
      <c r="A93" s="4" t="inlineStr">
        <is>
          <t>Cobro: pago a siete días del evento (% del total)</t>
        </is>
      </c>
      <c r="B93" s="9" t="n">
        <v>0.4</v>
      </c>
      <c r="C93" s="9" t="n">
        <v>0</v>
      </c>
      <c r="D93" s="9" t="n">
        <v>0</v>
      </c>
      <c r="E93" s="2" t="inlineStr">
        <is>
          <t>Sólo el contrato Particular.</t>
        </is>
      </c>
    </row>
    <row r="94" ht="16" customHeight="1">
      <c r="A94" s="4" t="inlineStr">
        <is>
          <t>Cobro: pago a las 48 horas del evento (% del total)</t>
        </is>
      </c>
      <c r="B94" s="9" t="n">
        <v>0.3</v>
      </c>
      <c r="C94" s="9" t="n">
        <v>0</v>
      </c>
      <c r="D94" s="9" t="n">
        <v>0</v>
      </c>
      <c r="E94" s="2" t="inlineStr">
        <is>
          <t>Sólo el contrato Particular.</t>
        </is>
      </c>
    </row>
    <row r="95" ht="30" customHeight="1">
      <c r="A95" s="4" t="inlineStr">
        <is>
          <t>Cobro: pago a 30 días de la factura (% del total)</t>
        </is>
      </c>
      <c r="B95" s="9" t="n">
        <v>0</v>
      </c>
      <c r="C95" s="9" t="n">
        <v>0.7</v>
      </c>
      <c r="D95" s="9" t="n">
        <v>1</v>
      </c>
      <c r="E95" s="2" t="inlineStr">
        <is>
          <t>Empresa, el 70 % restante; Ayuntamiento, el 100 % desde la conformidad (art. 198.4 de la Ley 9/2017).</t>
        </is>
      </c>
    </row>
    <row r="96" ht="30" customHeight="1">
      <c r="A96" s="4" t="inlineStr">
        <is>
          <t>Cancelación tramo 1 (% del total que retienes)</t>
        </is>
      </c>
      <c r="B96" s="9" t="n">
        <v>0.3</v>
      </c>
      <c r="C96" s="9" t="n">
        <v>0.2</v>
      </c>
      <c r="D96" s="9" t="n">
        <v>0</v>
      </c>
      <c r="E96" s="2" t="inlineStr">
        <is>
          <t>Particular: 60 días o más, retienes la señal (el 30 %). Empresa: 30 días o más, el 20 % del pedido.</t>
        </is>
      </c>
    </row>
    <row r="97" ht="16" customHeight="1">
      <c r="A97" s="4" t="inlineStr">
        <is>
          <t>Cancelación tramo 2 (% del total que retienes)</t>
        </is>
      </c>
      <c r="B97" s="9" t="n">
        <v>0.5</v>
      </c>
      <c r="C97" s="9" t="n">
        <v>0.5</v>
      </c>
      <c r="D97" s="9" t="n">
        <v>0</v>
      </c>
      <c r="E97" s="2" t="inlineStr">
        <is>
          <t>Particular: de 30 a 59 días. Empresa: de 15 a 29 días.</t>
        </is>
      </c>
    </row>
    <row r="98" ht="16" customHeight="1">
      <c r="A98" s="4" t="inlineStr">
        <is>
          <t>Cancelación tramo 3 (% del total que retienes)</t>
        </is>
      </c>
      <c r="B98" s="9" t="n">
        <v>0.75</v>
      </c>
      <c r="C98" s="9" t="n">
        <v>0.75</v>
      </c>
      <c r="D98" s="9" t="n">
        <v>0</v>
      </c>
      <c r="E98" s="2" t="inlineStr">
        <is>
          <t>Particular: de 7 a 29 días. Empresa: de 7 a 14 días.</t>
        </is>
      </c>
    </row>
    <row r="99" ht="45" customHeight="1">
      <c r="A99" s="4" t="inlineStr">
        <is>
          <t>Cancelación tramo 4 (% del total que retienes)</t>
        </is>
      </c>
      <c r="B99" s="9" t="n">
        <v>1</v>
      </c>
      <c r="C99" s="9" t="n">
        <v>1</v>
      </c>
      <c r="D99" s="9" t="n">
        <v>0</v>
      </c>
      <c r="E99" s="2" t="inlineStr">
        <is>
          <t>Particular y Empresa: con menos de 7 días o no presentación, el 100 %. A un ayuntamiento no se le aplican estos tramos: se rige por su pliego o su contrato menor.</t>
        </is>
      </c>
    </row>
    <row r="101">
      <c r="A101" s="3" t="inlineStr">
        <is>
          <t>TABLA DE ESCALADO (plato principal de 400 g, estilo Buffet)</t>
        </is>
      </c>
      <c r="B101" s="19" t="n">
        <v>40</v>
      </c>
      <c r="C101" s="19" t="n">
        <v>80</v>
      </c>
      <c r="D101" s="19" t="n">
        <v>150</v>
      </c>
      <c r="E101" s="19" t="n">
        <v>300</v>
      </c>
    </row>
    <row r="102">
      <c r="A102" s="4" t="inlineStr">
        <is>
          <t>Carne cruda (kg)</t>
        </is>
      </c>
      <c r="B102" s="13">
        <f>B$101*$B$73/1000</f>
        <v>16.0</v>
      </c>
      <c r="C102" s="13">
        <f>C$101*$B$73/1000</f>
        <v>32.0</v>
      </c>
      <c r="D102" s="13">
        <f>D$101*$B$73/1000</f>
        <v>60.0</v>
      </c>
      <c r="E102" s="13">
        <f>E$101*$B$73/1000</f>
        <v>120.0</v>
      </c>
    </row>
    <row r="103">
      <c r="A103" s="4" t="inlineStr">
        <is>
          <t>Carne servida (kg)</t>
        </is>
      </c>
      <c r="B103" s="13">
        <f>B$101*$B$73/1000*(1-$B$63)</f>
        <v>11.2</v>
      </c>
      <c r="C103" s="13">
        <f>C$101*$B$73/1000*(1-$B$63)</f>
        <v>22.4</v>
      </c>
      <c r="D103" s="13">
        <f>D$101*$B$73/1000*(1-$B$63)</f>
        <v>42.0</v>
      </c>
      <c r="E103" s="13">
        <f>E$101*$B$73/1000*(1-$B$63)</f>
        <v>84.0</v>
      </c>
    </row>
    <row r="104">
      <c r="A104" s="4" t="inlineStr">
        <is>
          <t>Parrillas</t>
        </is>
      </c>
      <c r="B104" s="10">
        <f>MAX(1,ROUNDUP(B$101*$B$73/1000/$B$60,0))</f>
        <v>1.0</v>
      </c>
      <c r="C104" s="10">
        <f>MAX(1,ROUNDUP(C$101*$B$73/1000/$B$60,0))</f>
        <v>1.0</v>
      </c>
      <c r="D104" s="10">
        <f>MAX(1,ROUNDUP(D$101*$B$73/1000/$B$60,0))</f>
        <v>2.0</v>
      </c>
      <c r="E104" s="10">
        <f>MAX(1,ROUNDUP(E$101*$B$73/1000/$B$60,0))</f>
        <v>4.0</v>
      </c>
    </row>
    <row r="105">
      <c r="A105" s="4" t="inlineStr">
        <is>
          <t>Parrilleros</t>
        </is>
      </c>
      <c r="B105" s="10">
        <f>MAX(1,ROUNDUP(B$101/$B$67,0))</f>
        <v>1.0</v>
      </c>
      <c r="C105" s="10">
        <f>MAX(1,ROUNDUP(C$101/$B$67,0))</f>
        <v>2.0</v>
      </c>
      <c r="D105" s="10">
        <f>MAX(1,ROUNDUP(D$101/$B$67,0))</f>
        <v>3.0</v>
      </c>
      <c r="E105" s="10">
        <f>MAX(1,ROUNDUP(E$101/$B$67,0))</f>
        <v>5.0</v>
      </c>
    </row>
    <row r="106">
      <c r="A106" s="4" t="inlineStr">
        <is>
          <t>Ayudantes</t>
        </is>
      </c>
      <c r="B106" s="10">
        <f>IF(B$101&lt;$B$64,0,ROUNDUP(B$101/$C$67,0))</f>
        <v>1.0</v>
      </c>
      <c r="C106" s="10">
        <f>IF(C$101&lt;$B$64,0,ROUNDUP(C$101/$C$67,0))</f>
        <v>2.0</v>
      </c>
      <c r="D106" s="10">
        <f>IF(D$101&lt;$B$64,0,ROUNDUP(D$101/$C$67,0))</f>
        <v>3.0</v>
      </c>
      <c r="E106" s="10">
        <f>IF(E$101&lt;$B$64,0,ROUNDUP(E$101/$C$67,0))</f>
        <v>5.0</v>
      </c>
    </row>
    <row r="107">
      <c r="A107" s="4" t="inlineStr">
        <is>
          <t>Carbón (kg)</t>
        </is>
      </c>
      <c r="B107" s="13">
        <f>B$101*$B$73/1000*$B$61</f>
        <v>12.8</v>
      </c>
      <c r="C107" s="13">
        <f>C$101*$B$73/1000*$B$61</f>
        <v>25.6</v>
      </c>
      <c r="D107" s="13">
        <f>D$101*$B$73/1000*$B$61</f>
        <v>48.0</v>
      </c>
      <c r="E107" s="13">
        <f>E$101*$B$73/1000*$B$61</f>
        <v>96.0</v>
      </c>
    </row>
    <row r="108" ht="32" customHeight="1">
      <c r="A108" s="18" t="inlineStr">
        <is>
          <t>Es la misma tabla que la sección 8 del manual técnico. Una parrilla de 120 × 60 cm asa 12-15 kg por tanda; un parrillero atiende 60-80 invitados en buffet y 40-50 con cortes en mesa; el ayudante entra desde 40 invitados.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8">
    <mergeCell ref="C52:F52"/>
    <mergeCell ref="C48:F48"/>
    <mergeCell ref="C17:F17"/>
    <mergeCell ref="C23:F23"/>
    <mergeCell ref="C61:F61"/>
    <mergeCell ref="C8:F8"/>
    <mergeCell ref="D67:F68"/>
    <mergeCell ref="A108:F108"/>
    <mergeCell ref="E98:F98"/>
    <mergeCell ref="C7:F7"/>
    <mergeCell ref="C32:F32"/>
    <mergeCell ref="C19:F19"/>
    <mergeCell ref="C37:F37"/>
    <mergeCell ref="C57:F57"/>
    <mergeCell ref="C72:F74"/>
    <mergeCell ref="C28:F28"/>
    <mergeCell ref="E92:F92"/>
    <mergeCell ref="E96:F96"/>
    <mergeCell ref="C13:F13"/>
    <mergeCell ref="A2:F2"/>
    <mergeCell ref="C18:F18"/>
    <mergeCell ref="C53:F53"/>
    <mergeCell ref="C49:F49"/>
    <mergeCell ref="E94:F94"/>
    <mergeCell ref="C6:F6"/>
    <mergeCell ref="C30:F30"/>
    <mergeCell ref="C62:F62"/>
    <mergeCell ref="C15:F15"/>
    <mergeCell ref="C5:F5"/>
    <mergeCell ref="C42:F42"/>
    <mergeCell ref="C14:F14"/>
    <mergeCell ref="C64:F64"/>
    <mergeCell ref="E99:F99"/>
    <mergeCell ref="C26:F26"/>
    <mergeCell ref="E95:F95"/>
    <mergeCell ref="C29:F29"/>
    <mergeCell ref="C16:F16"/>
    <mergeCell ref="C54:F54"/>
    <mergeCell ref="C63:F63"/>
    <mergeCell ref="C10:F10"/>
    <mergeCell ref="C41:F41"/>
    <mergeCell ref="C55:F55"/>
    <mergeCell ref="C50:F50"/>
    <mergeCell ref="C44:F44"/>
    <mergeCell ref="C22:F22"/>
    <mergeCell ref="C9:F9"/>
    <mergeCell ref="E91:F91"/>
    <mergeCell ref="C31:F31"/>
    <mergeCell ref="C56:F56"/>
    <mergeCell ref="C43:F43"/>
    <mergeCell ref="C12:F12"/>
    <mergeCell ref="C78:F81"/>
    <mergeCell ref="E97:F97"/>
    <mergeCell ref="C11:F11"/>
    <mergeCell ref="C51:F51"/>
    <mergeCell ref="C27:F27"/>
    <mergeCell ref="E93:F93"/>
    <mergeCell ref="C60:F60"/>
  </mergeCells>
  <dataValidations count="9">
    <dataValidation sqref="B5" showDropDown="0" showInputMessage="0" showErrorMessage="1" allowBlank="0" errorTitle="Cliente no válido" error="Elige Particular, Empresa o Ayuntamiento." type="list">
      <formula1>"Particular,Empresa,Ayuntamiento"</formula1>
    </dataValidation>
    <dataValidation sqref="B7" showDropDown="0" showInputMessage="0" showErrorMessage="1" allowBlank="0" errorTitle="Formato no válido" error="Elige un formato de la lista." type="list">
      <formula1>=$A$72:$A$75</formula1>
    </dataValidation>
    <dataValidation sqref="B8" showDropDown="0" showInputMessage="0" showErrorMessage="1" allowBlank="0" errorTitle="Experiencia no válida" error="Elige una experiencia de la lista." type="list">
      <formula1>=$A$78:$A$88</formula1>
    </dataValidation>
    <dataValidation sqref="B9" showDropDown="0" showInputMessage="0" showErrorMessage="1" allowBlank="0" errorTitle="Estilo no válido" error="Elige un estilo de servicio de la lista." type="list">
      <formula1>=$A$67:$A$69</formula1>
    </dataValidation>
    <dataValidation sqref="B6" showDropDown="0" showInputMessage="0" showErrorMessage="1" allowBlank="0" errorTitle="Número no válido" error="Escribe un número entero de 1 o más." type="whole" operator="between">
      <formula1>1</formula1>
      <formula2>100000</formula2>
    </dataValidation>
    <dataValidation sqref="B16 B64 B67 B68 B69 B72 B73 B74 B75 C67 C68 C69" showDropDown="0" showInputMessage="0" showErrorMessage="1" allowBlank="0" errorTitle="Número no válido" error="Escribe un número entero de 0 o más." type="whole" operator="between">
      <formula1>0</formula1>
      <formula2>100000</formula2>
    </dataValidation>
    <dataValidation sqref="B10 B11 B12 B13 B15 B17 B18 B60 B61 B62 B78 B79 B80 B81 B82 B83 B84 B85 B86 B87 B88" showDropDown="0" showInputMessage="0" showErrorMessage="1" allowBlank="0" errorTitle="Importe no válido" error="Escribe un número mayor o igual que 0." type="decimal" operator="greaterThanOrEqual">
      <formula1>0</formula1>
    </dataValidation>
    <dataValidation sqref="B14 B19 B63 B92 B93 B94 B95 B96 B97 B98 B99 C92 C93 C94 C95 C96 C97 C98 C99 D92 D93 D94 D95 D96 D97 D98 D99" showDropDown="0" showInputMessage="0" showErrorMessage="1" allowBlank="0" errorTitle="Porcentaje no válido" error="Escribe un porcentaje entre 0 y 1 (0,10 = 10 %)." type="decimal" operator="between">
      <formula1>0</formula1>
      <formula2>1</formula2>
    </dataValidation>
    <dataValidation sqref="B91 C91 D91" showDropDown="0" showInputMessage="0" showErrorMessage="1" allowBlank="0" errorTitle="Porcentaje no válido" error="Escribe un margen objetivo entre 0 y 95 % (0,40 = 40 %)." type="decimal" operator="between">
      <formula1>0</formula1>
      <formula2>0.95</formula2>
    </dataValidation>
  </dataValidations>
  <printOptions horizontalCentered="1"/>
  <pageMargins left="0.75" right="0.75" top="1" bottom="1" header="0.5" footer="0.5"/>
  <pageSetup orientation="portrait" paperSize="9" fitToHeight="0" fitToWidth="1"/>
  <headerFooter>
    <oddHeader/>
    <oddFooter>&amp;Caichef.pro/plan-negocio-parrillero-asador-eventos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3 PRESUPUESTOS DE EJEMPLO — con las mismas fórmulas de la hoja «Calculadora»</t>
        </is>
      </c>
    </row>
    <row r="2" ht="32" customHeight="1">
      <c r="A2" s="2" t="inlineStr">
        <is>
          <t>Estimaciones del kit para ilustrar el cálculo, no precios de mercado: cambia los datos en «Calculadora» para presupuestar tus eventos. Las tablas (margen y cobro por cliente, materia prima, escalado) están al final de esa hoja y también mueven estos ejemplos.</t>
        </is>
      </c>
    </row>
    <row r="4" ht="48" customHeight="1">
      <c r="A4" s="3" t="inlineStr">
        <is>
          <t>DATOS DEL EVENTO</t>
        </is>
      </c>
      <c r="B4" s="17" t="inlineStr">
        <is>
          <t>Boda particular con show de fuego</t>
        </is>
      </c>
      <c r="C4" s="17" t="inlineStr">
        <is>
          <t>Team building de empresa con BBQ texano</t>
        </is>
      </c>
      <c r="D4" s="17" t="inlineStr">
        <is>
          <t>Fiesta o feria municipal de volumen</t>
        </is>
      </c>
    </row>
    <row r="5">
      <c r="A5" s="4" t="inlineStr">
        <is>
          <t>Cliente</t>
        </is>
      </c>
      <c r="B5" s="2" t="inlineStr">
        <is>
          <t>Particular</t>
        </is>
      </c>
      <c r="C5" s="2" t="inlineStr">
        <is>
          <t>Empresa</t>
        </is>
      </c>
      <c r="D5" s="2" t="inlineStr">
        <is>
          <t>Ayuntamiento</t>
        </is>
      </c>
    </row>
    <row r="6">
      <c r="A6" s="4" t="inlineStr">
        <is>
          <t>Invitados previstos</t>
        </is>
      </c>
      <c r="B6" s="10" t="n">
        <v>110</v>
      </c>
      <c r="C6" s="10" t="n">
        <v>70</v>
      </c>
      <c r="D6" s="10" t="n">
        <v>300</v>
      </c>
    </row>
    <row r="7">
      <c r="A7" s="4" t="inlineStr">
        <is>
          <t>Formato del servicio</t>
        </is>
      </c>
      <c r="B7" s="2" t="inlineStr">
        <is>
          <t>Asado completo</t>
        </is>
      </c>
      <c r="C7" s="2" t="inlineStr">
        <is>
          <t>Plato principal</t>
        </is>
      </c>
      <c r="D7" s="2" t="inlineStr">
        <is>
          <t>Chuletada de fiesta</t>
        </is>
      </c>
    </row>
    <row r="8">
      <c r="A8" s="4" t="inlineStr">
        <is>
          <t>Experiencia</t>
        </is>
      </c>
      <c r="B8" s="2" t="inlineStr">
        <is>
          <t>01 Asado argentino</t>
        </is>
      </c>
      <c r="C8" s="2" t="inlineStr">
        <is>
          <t>04 BBQ texano</t>
        </is>
      </c>
      <c r="D8" s="2" t="inlineStr">
        <is>
          <t>11 Chuletada o costillada de fiesta</t>
        </is>
      </c>
    </row>
    <row r="9">
      <c r="A9" s="4" t="inlineStr">
        <is>
          <t>Estilo de servicio</t>
        </is>
      </c>
      <c r="B9" s="2" t="inlineStr">
        <is>
          <t>Cortes en mesa</t>
        </is>
      </c>
      <c r="C9" s="2" t="inlineStr">
        <is>
          <t>Buffet</t>
        </is>
      </c>
      <c r="D9" s="2" t="inlineStr">
        <is>
          <t>Fiesta de volumen</t>
        </is>
      </c>
    </row>
    <row r="10">
      <c r="A10" s="4" t="inlineStr">
        <is>
          <t>Bebida por invitado (coste)</t>
        </is>
      </c>
      <c r="B10" s="11" t="n">
        <v>4</v>
      </c>
      <c r="C10" s="11" t="n">
        <v>3</v>
      </c>
      <c r="D10" s="11" t="n">
        <v>0</v>
      </c>
    </row>
    <row r="11">
      <c r="A11" s="4" t="inlineStr">
        <is>
          <t>Coste de menaje, desechables y consumibles por invitado</t>
        </is>
      </c>
      <c r="B11" s="11" t="n">
        <v>0.6</v>
      </c>
      <c r="C11" s="11" t="n">
        <v>0.6</v>
      </c>
      <c r="D11" s="11" t="n">
        <v>0.4</v>
      </c>
    </row>
    <row r="12">
      <c r="A12" s="4" t="inlineStr">
        <is>
          <t>Horas por persona (carga, viaje, montaje, brasa, servicio y recogida)</t>
        </is>
      </c>
      <c r="B12" s="13" t="n">
        <v>9</v>
      </c>
      <c r="C12" s="13" t="n">
        <v>8</v>
      </c>
      <c r="D12" s="13" t="n">
        <v>9</v>
      </c>
    </row>
    <row r="13">
      <c r="A13" s="4" t="inlineStr">
        <is>
          <t>Coste bruto por hora del personal</t>
        </is>
      </c>
      <c r="B13" s="11" t="n">
        <v>13</v>
      </c>
      <c r="C13" s="11" t="n">
        <v>13</v>
      </c>
      <c r="D13" s="11" t="n">
        <v>13</v>
      </c>
    </row>
    <row r="14">
      <c r="A14" s="4" t="inlineStr">
        <is>
          <t>Seguridad Social a cargo de la empresa</t>
        </is>
      </c>
      <c r="B14" s="12" t="n">
        <v>0.33</v>
      </c>
      <c r="C14" s="12" t="n">
        <v>0.33</v>
      </c>
      <c r="D14" s="12" t="n">
        <v>0.33</v>
      </c>
    </row>
    <row r="15">
      <c r="A15" s="4" t="inlineStr">
        <is>
          <t>Importe de alquileres repercutidos (carpa, mesas, sillas, parrilla extra)</t>
        </is>
      </c>
      <c r="B15" s="11" t="n">
        <v>0</v>
      </c>
      <c r="C15" s="11" t="n">
        <v>0</v>
      </c>
      <c r="D15" s="11" t="n">
        <v>0</v>
      </c>
    </row>
    <row r="16">
      <c r="A16" s="4" t="inlineStr">
        <is>
          <t>Kilómetros de ida (cocina de apoyo → espacio)</t>
        </is>
      </c>
      <c r="B16" s="10" t="n">
        <v>35</v>
      </c>
      <c r="C16" s="10" t="n">
        <v>25</v>
      </c>
      <c r="D16" s="10" t="n">
        <v>30</v>
      </c>
    </row>
    <row r="17">
      <c r="A17" s="4" t="inlineStr">
        <is>
          <t>Tarifa por kilómetro de desplazamiento</t>
        </is>
      </c>
      <c r="B17" s="11" t="n">
        <v>0.95</v>
      </c>
      <c r="C17" s="11" t="n">
        <v>0.95</v>
      </c>
      <c r="D17" s="11" t="n">
        <v>0.95</v>
      </c>
    </row>
    <row r="18">
      <c r="A18" s="4" t="inlineStr">
        <is>
          <t>Importe del suplemento de show de fuego por invitado</t>
        </is>
      </c>
      <c r="B18" s="11" t="n">
        <v>2</v>
      </c>
      <c r="C18" s="11" t="n">
        <v>0</v>
      </c>
      <c r="D18" s="11" t="n">
        <v>0</v>
      </c>
    </row>
    <row r="19">
      <c r="A19" s="4" t="inlineStr">
        <is>
          <t>IVA del servicio de comidas</t>
        </is>
      </c>
      <c r="B19" s="12" t="n">
        <v>0.1</v>
      </c>
      <c r="C19" s="12" t="n">
        <v>0.1</v>
      </c>
      <c r="D19" s="12" t="n">
        <v>0.1</v>
      </c>
    </row>
    <row r="21" ht="48" customHeight="1">
      <c r="A21" s="3" t="inlineStr">
        <is>
          <t>RESULTADO</t>
        </is>
      </c>
      <c r="B21" s="17" t="inlineStr">
        <is>
          <t>Boda particular con show de fuego</t>
        </is>
      </c>
      <c r="C21" s="17" t="inlineStr">
        <is>
          <t>Team building de empresa con BBQ texano</t>
        </is>
      </c>
      <c r="D21" s="17" t="inlineStr">
        <is>
          <t>Fiesta o feria municipal de volumen</t>
        </is>
      </c>
    </row>
    <row r="22">
      <c r="A22" s="4" t="inlineStr">
        <is>
          <t>Carne cruda por invitado (g, de la tabla)</t>
        </is>
      </c>
      <c r="B22" s="10">
        <f>INDEX('Calculadora'!$B$72:$B$75,MATCH($B$7,'Calculadora'!$A$72:$A$75,0))</f>
        <v>500.0</v>
      </c>
      <c r="C22" s="10">
        <f>INDEX('Calculadora'!$B$72:$B$75,MATCH($C$7,'Calculadora'!$A$72:$A$75,0))</f>
        <v>400.0</v>
      </c>
      <c r="D22" s="10">
        <f>INDEX('Calculadora'!$B$72:$B$75,MATCH($D$7,'Calculadora'!$A$72:$A$75,0))</f>
        <v>300.0</v>
      </c>
    </row>
    <row r="23">
      <c r="A23" s="4" t="inlineStr">
        <is>
          <t>Coste de materia prima por invitado de la experiencia (tabla)</t>
        </is>
      </c>
      <c r="B23" s="11">
        <f>INDEX('Calculadora'!$B$78:$B$88,MATCH($B$8,'Calculadora'!$A$78:$A$88,0))</f>
        <v>9.5</v>
      </c>
      <c r="C23" s="11">
        <f>INDEX('Calculadora'!$B$78:$B$88,MATCH($C$8,'Calculadora'!$A$78:$A$88,0))</f>
        <v>8.0</v>
      </c>
      <c r="D23" s="11">
        <f>INDEX('Calculadora'!$B$78:$B$88,MATCH($D$8,'Calculadora'!$A$78:$A$88,0))</f>
        <v>2.5</v>
      </c>
    </row>
    <row r="24">
      <c r="A24" s="4" t="inlineStr">
        <is>
          <t>Invitados por parrillero (del estilo de servicio)</t>
        </is>
      </c>
      <c r="B24" s="10">
        <f>INDEX('Calculadora'!$B$67:$B$69,MATCH($B$9,'Calculadora'!$A$67:$A$69,0))</f>
        <v>45.0</v>
      </c>
      <c r="C24" s="10">
        <f>INDEX('Calculadora'!$B$67:$B$69,MATCH($C$9,'Calculadora'!$A$67:$A$69,0))</f>
        <v>70.0</v>
      </c>
      <c r="D24" s="10">
        <f>INDEX('Calculadora'!$B$67:$B$69,MATCH($D$9,'Calculadora'!$A$67:$A$69,0))</f>
        <v>150.0</v>
      </c>
    </row>
    <row r="25">
      <c r="A25" s="4" t="inlineStr">
        <is>
          <t>Invitados por ayudante (del estilo de servicio)</t>
        </is>
      </c>
      <c r="B25" s="10">
        <f>INDEX('Calculadora'!$C$67:$C$69,MATCH($B$9,'Calculadora'!$A$67:$A$69,0))</f>
        <v>50.0</v>
      </c>
      <c r="C25" s="10">
        <f>INDEX('Calculadora'!$C$67:$C$69,MATCH($C$9,'Calculadora'!$A$67:$A$69,0))</f>
        <v>60.0</v>
      </c>
      <c r="D25" s="10">
        <f>INDEX('Calculadora'!$C$67:$C$69,MATCH($D$9,'Calculadora'!$A$67:$A$69,0))</f>
        <v>100.0</v>
      </c>
    </row>
    <row r="26">
      <c r="A26" s="4" t="inlineStr">
        <is>
          <t>Margen objetivo del cliente elegido</t>
        </is>
      </c>
      <c r="B26" s="12">
        <f>INDEX('Calculadora'!$B$91:$D$91,MATCH($B$5,'Calculadora'!$B$90:$D$90,0))</f>
        <v>0.42</v>
      </c>
      <c r="C26" s="12">
        <f>INDEX('Calculadora'!$B$91:$D$91,MATCH($C$5,'Calculadora'!$B$90:$D$90,0))</f>
        <v>0.4</v>
      </c>
      <c r="D26" s="12">
        <f>INDEX('Calculadora'!$B$91:$D$91,MATCH($D$5,'Calculadora'!$B$90:$D$90,0))</f>
        <v>0.4</v>
      </c>
    </row>
    <row r="27">
      <c r="A27" s="4" t="inlineStr">
        <is>
          <t>Carne cruda total (kg)</t>
        </is>
      </c>
      <c r="B27" s="13">
        <f>$B$6*$B$22/1000</f>
        <v>55.0</v>
      </c>
      <c r="C27" s="13">
        <f>$C$6*$C$22/1000</f>
        <v>28.0</v>
      </c>
      <c r="D27" s="13">
        <f>$D$6*$D$22/1000</f>
        <v>90.0</v>
      </c>
    </row>
    <row r="28">
      <c r="A28" s="4" t="inlineStr">
        <is>
          <t>Carne servida total (kg)</t>
        </is>
      </c>
      <c r="B28" s="13">
        <f>$B$27*(1-'Calculadora'!$B$63)</f>
        <v>38.5</v>
      </c>
      <c r="C28" s="13">
        <f>$C$27*(1-'Calculadora'!$B$63)</f>
        <v>19.599999999999998</v>
      </c>
      <c r="D28" s="13">
        <f>$D$27*(1-'Calculadora'!$B$63)</f>
        <v>62.99999999999999</v>
      </c>
    </row>
    <row r="29">
      <c r="A29" s="4" t="inlineStr">
        <is>
          <t>Parrillas necesarias</t>
        </is>
      </c>
      <c r="B29" s="10">
        <f>MAX(1,ROUNDUP($B$27/'Calculadora'!$B$60,0))</f>
        <v>2.0</v>
      </c>
      <c r="C29" s="10">
        <f>MAX(1,ROUNDUP($C$27/'Calculadora'!$B$60,0))</f>
        <v>1.0</v>
      </c>
      <c r="D29" s="10">
        <f>MAX(1,ROUNDUP($D$27/'Calculadora'!$B$60,0))</f>
        <v>3.0</v>
      </c>
    </row>
    <row r="30">
      <c r="A30" s="4" t="inlineStr">
        <is>
          <t>Parrilleros necesarios</t>
        </is>
      </c>
      <c r="B30" s="10">
        <f>MAX(1,ROUNDUP($B$6/$B$24,0))</f>
        <v>3.0</v>
      </c>
      <c r="C30" s="10">
        <f>MAX(1,ROUNDUP($C$6/$C$24,0))</f>
        <v>1.0</v>
      </c>
      <c r="D30" s="10">
        <f>MAX(1,ROUNDUP($D$6/$D$24,0))</f>
        <v>2.0</v>
      </c>
    </row>
    <row r="31">
      <c r="A31" s="4" t="inlineStr">
        <is>
          <t>Ayudantes necesarios</t>
        </is>
      </c>
      <c r="B31" s="10">
        <f>IF($B$6&lt;'Calculadora'!$B$64,0,ROUNDUP($B$6/$B$25,0))</f>
        <v>3.0</v>
      </c>
      <c r="C31" s="10">
        <f>IF($C$6&lt;'Calculadora'!$B$64,0,ROUNDUP($C$6/$C$25,0))</f>
        <v>2.0</v>
      </c>
      <c r="D31" s="10">
        <f>IF($D$6&lt;'Calculadora'!$B$64,0,ROUNDUP($D$6/$D$25,0))</f>
        <v>3.0</v>
      </c>
    </row>
    <row r="32">
      <c r="A32" s="4" t="inlineStr">
        <is>
          <t>Carbón total (kg)</t>
        </is>
      </c>
      <c r="B32" s="13">
        <f>$B$27*'Calculadora'!$B$61</f>
        <v>44.0</v>
      </c>
      <c r="C32" s="13">
        <f>$C$27*'Calculadora'!$B$61</f>
        <v>22.400000000000002</v>
      </c>
      <c r="D32" s="13">
        <f>$D$27*'Calculadora'!$B$61</f>
        <v>72.0</v>
      </c>
    </row>
    <row r="33">
      <c r="A33" s="4" t="inlineStr">
        <is>
          <t>Coste de materia prima</t>
        </is>
      </c>
      <c r="B33" s="11">
        <f>$B$23*$B$6</f>
        <v>1045.0</v>
      </c>
      <c r="C33" s="11">
        <f>$C$23*$C$6</f>
        <v>560.0</v>
      </c>
      <c r="D33" s="11">
        <f>$D$23*$D$6</f>
        <v>750.0</v>
      </c>
    </row>
    <row r="34">
      <c r="A34" s="4" t="inlineStr">
        <is>
          <t>Coste de bebida</t>
        </is>
      </c>
      <c r="B34" s="11">
        <f>$B$10*$B$6</f>
        <v>440.0</v>
      </c>
      <c r="C34" s="11">
        <f>$C$10*$C$6</f>
        <v>210.0</v>
      </c>
      <c r="D34" s="11">
        <f>$D$10*$D$6</f>
        <v>0.0</v>
      </c>
    </row>
    <row r="35">
      <c r="A35" s="4" t="inlineStr">
        <is>
          <t>Coste de menaje, desechables y consumibles</t>
        </is>
      </c>
      <c r="B35" s="11">
        <f>$B$11*$B$6</f>
        <v>66.0</v>
      </c>
      <c r="C35" s="11">
        <f>$C$11*$C$6</f>
        <v>42.0</v>
      </c>
      <c r="D35" s="11">
        <f>$D$11*$D$6</f>
        <v>120.0</v>
      </c>
    </row>
    <row r="36">
      <c r="A36" s="4" t="inlineStr">
        <is>
          <t>Coste del carbón</t>
        </is>
      </c>
      <c r="B36" s="11">
        <f>$B$32*'Calculadora'!$B$62</f>
        <v>66.0</v>
      </c>
      <c r="C36" s="11">
        <f>$C$32*'Calculadora'!$B$62</f>
        <v>33.6</v>
      </c>
      <c r="D36" s="11">
        <f>$D$32*'Calculadora'!$B$62</f>
        <v>108.0</v>
      </c>
    </row>
    <row r="37">
      <c r="A37" s="4" t="inlineStr">
        <is>
          <t>Coste de personal (salario + Seguridad Social)</t>
        </is>
      </c>
      <c r="B37" s="11">
        <f>($B$30+$B$31)*$B$12*$B$13*(1+$B$14)</f>
        <v>933.6600000000001</v>
      </c>
      <c r="C37" s="11">
        <f>($C$30+$C$31)*$C$12*$C$13*(1+$C$14)</f>
        <v>414.96000000000004</v>
      </c>
      <c r="D37" s="11">
        <f>($D$30+$D$31)*$D$12*$D$13*(1+$D$14)</f>
        <v>778.0500000000001</v>
      </c>
    </row>
    <row r="38">
      <c r="A38" s="4" t="inlineStr">
        <is>
          <t>Importe de alquileres</t>
        </is>
      </c>
      <c r="B38" s="11">
        <f>$B$15</f>
        <v>0.0</v>
      </c>
      <c r="C38" s="11">
        <f>$C$15</f>
        <v>0.0</v>
      </c>
      <c r="D38" s="11">
        <f>$D$15</f>
        <v>0.0</v>
      </c>
    </row>
    <row r="39">
      <c r="A39" s="4" t="inlineStr">
        <is>
          <t>Coste directo total</t>
        </is>
      </c>
      <c r="B39" s="11">
        <f>$B$33+$B$34+$B$35+$B$36+$B$37+$B$38</f>
        <v>2550.66</v>
      </c>
      <c r="C39" s="11">
        <f>$C$33+$C$34+$C$35+$C$36+$C$37+$C$38</f>
        <v>1260.56</v>
      </c>
      <c r="D39" s="11">
        <f>$D$33+$D$34+$D$35+$D$36+$D$37+$D$38</f>
        <v>1756.0500000000002</v>
      </c>
    </row>
    <row r="40">
      <c r="A40" s="4" t="inlineStr">
        <is>
          <t>Coste directo por invitado</t>
        </is>
      </c>
      <c r="B40" s="11">
        <f>$B$39/$B$6</f>
        <v>23.18781818181818</v>
      </c>
      <c r="C40" s="11">
        <f>$C$39/$C$6</f>
        <v>18.008</v>
      </c>
      <c r="D40" s="11">
        <f>$D$39/$D$6</f>
        <v>5.8535</v>
      </c>
    </row>
    <row r="41">
      <c r="A41" s="14" t="inlineStr">
        <is>
          <t>PRECIO POR INVITADO SIN IVA</t>
        </is>
      </c>
      <c r="B41" s="15">
        <f>ROUNDUP($B$39/(1-$B$26)/$B$6*2,0)/2+$B$18</f>
        <v>42.0</v>
      </c>
      <c r="C41" s="15">
        <f>ROUNDUP($C$39/(1-$C$26)/$C$6*2,0)/2+$C$18</f>
        <v>30.5</v>
      </c>
      <c r="D41" s="15">
        <f>ROUNDUP($D$39/(1-$D$26)/$D$6*2,0)/2+$D$18</f>
        <v>10.0</v>
      </c>
    </row>
    <row r="42">
      <c r="A42" s="14" t="inlineStr">
        <is>
          <t>PRECIO POR INVITADO CON IVA</t>
        </is>
      </c>
      <c r="B42" s="15">
        <f>$B$41*(1+$B$19)</f>
        <v>46.2</v>
      </c>
      <c r="C42" s="15">
        <f>$C$41*(1+$C$19)</f>
        <v>33.550000000000004</v>
      </c>
      <c r="D42" s="15">
        <f>$D$41*(1+$D$19)</f>
        <v>11.0</v>
      </c>
    </row>
    <row r="43">
      <c r="A43" s="4" t="inlineStr">
        <is>
          <t>Subtotal de comida sin IVA</t>
        </is>
      </c>
      <c r="B43" s="11">
        <f>$B$41*$B$6</f>
        <v>4620.0</v>
      </c>
      <c r="C43" s="11">
        <f>$C$41*$C$6</f>
        <v>2135.0</v>
      </c>
      <c r="D43" s="11">
        <f>$D$41*$D$6</f>
        <v>3000.0</v>
      </c>
    </row>
    <row r="44">
      <c r="A44" s="4" t="inlineStr">
        <is>
          <t>Desplazamiento (ida y vuelta, sin margen)</t>
        </is>
      </c>
      <c r="B44" s="11">
        <f>$B$16*2*$B$17</f>
        <v>66.5</v>
      </c>
      <c r="C44" s="11">
        <f>$C$16*2*$C$17</f>
        <v>47.5</v>
      </c>
      <c r="D44" s="11">
        <f>$D$16*2*$D$17</f>
        <v>57.0</v>
      </c>
    </row>
    <row r="45">
      <c r="A45" s="4" t="inlineStr">
        <is>
          <t>Base imponible</t>
        </is>
      </c>
      <c r="B45" s="11">
        <f>$B$43+$B$44</f>
        <v>4686.5</v>
      </c>
      <c r="C45" s="11">
        <f>$C$43+$C$44</f>
        <v>2182.5</v>
      </c>
      <c r="D45" s="11">
        <f>$D$43+$D$44</f>
        <v>3057.0</v>
      </c>
    </row>
    <row r="46">
      <c r="A46" s="4" t="inlineStr">
        <is>
          <t>IVA</t>
        </is>
      </c>
      <c r="B46" s="11">
        <f>$B$45*$B$19</f>
        <v>468.65000000000003</v>
      </c>
      <c r="C46" s="11">
        <f>$C$45*$C$19</f>
        <v>218.25</v>
      </c>
      <c r="D46" s="11">
        <f>$D$45*$D$19</f>
        <v>305.7</v>
      </c>
    </row>
    <row r="47">
      <c r="A47" s="14" t="inlineStr">
        <is>
          <t>TOTAL DEL PRESUPUESTO (con IVA)</t>
        </is>
      </c>
      <c r="B47" s="15">
        <f>$B$45+$B$46</f>
        <v>5155.15</v>
      </c>
      <c r="C47" s="15">
        <f>$C$45+$C$46</f>
        <v>2400.75</v>
      </c>
      <c r="D47" s="15">
        <f>$D$45+$D$46</f>
        <v>3362.7</v>
      </c>
    </row>
    <row r="48">
      <c r="A48" s="4" t="inlineStr">
        <is>
          <t>Importe del cobro 1: señal al firmar</t>
        </is>
      </c>
      <c r="B48" s="11">
        <f>$B$47*INDEX('Calculadora'!$B$92:$D$92,MATCH($B$5,'Calculadora'!$B$90:$D$90,0))</f>
        <v>1546.5449999999998</v>
      </c>
      <c r="C48" s="11">
        <f>$C$47*INDEX('Calculadora'!$B$92:$D$92,MATCH($C$5,'Calculadora'!$B$90:$D$90,0))</f>
        <v>720.225</v>
      </c>
      <c r="D48" s="11">
        <f>$D$47*INDEX('Calculadora'!$B$92:$D$92,MATCH($D$5,'Calculadora'!$B$90:$D$90,0))</f>
        <v>0.0</v>
      </c>
    </row>
    <row r="49">
      <c r="A49" s="4" t="inlineStr">
        <is>
          <t>Importe del cobro 2: a siete días del evento</t>
        </is>
      </c>
      <c r="B49" s="11">
        <f>$B$47*INDEX('Calculadora'!$B$93:$D$93,MATCH($B$5,'Calculadora'!$B$90:$D$90,0))</f>
        <v>2062.06</v>
      </c>
      <c r="C49" s="11">
        <f>$C$47*INDEX('Calculadora'!$B$93:$D$93,MATCH($C$5,'Calculadora'!$B$90:$D$90,0))</f>
        <v>0.0</v>
      </c>
      <c r="D49" s="11">
        <f>$D$47*INDEX('Calculadora'!$B$93:$D$93,MATCH($D$5,'Calculadora'!$B$90:$D$90,0))</f>
        <v>0.0</v>
      </c>
    </row>
    <row r="50">
      <c r="A50" s="4" t="inlineStr">
        <is>
          <t>Importe del cobro 3: a las 48 horas del evento</t>
        </is>
      </c>
      <c r="B50" s="11">
        <f>$B$47*INDEX('Calculadora'!$B$94:$D$94,MATCH($B$5,'Calculadora'!$B$90:$D$90,0))</f>
        <v>1546.5449999999998</v>
      </c>
      <c r="C50" s="11">
        <f>$C$47*INDEX('Calculadora'!$B$94:$D$94,MATCH($C$5,'Calculadora'!$B$90:$D$90,0))</f>
        <v>0.0</v>
      </c>
      <c r="D50" s="11">
        <f>$D$47*INDEX('Calculadora'!$B$94:$D$94,MATCH($D$5,'Calculadora'!$B$90:$D$90,0))</f>
        <v>0.0</v>
      </c>
    </row>
    <row r="51">
      <c r="A51" s="4" t="inlineStr">
        <is>
          <t>Importe del cobro 4: a 30 días de la factura</t>
        </is>
      </c>
      <c r="B51" s="11">
        <f>$B$47*INDEX('Calculadora'!$B$95:$D$95,MATCH($B$5,'Calculadora'!$B$90:$D$90,0))</f>
        <v>0.0</v>
      </c>
      <c r="C51" s="11">
        <f>$C$47*INDEX('Calculadora'!$B$95:$D$95,MATCH($C$5,'Calculadora'!$B$90:$D$90,0))</f>
        <v>1680.5249999999999</v>
      </c>
      <c r="D51" s="11">
        <f>$D$47*INDEX('Calculadora'!$B$95:$D$95,MATCH($D$5,'Calculadora'!$B$90:$D$90,0))</f>
        <v>3362.7</v>
      </c>
    </row>
    <row r="52">
      <c r="A52" s="4" t="inlineStr">
        <is>
          <t>Margen bruto en euros</t>
        </is>
      </c>
      <c r="B52" s="11">
        <f>$B$43-$B$39</f>
        <v>2069.34</v>
      </c>
      <c r="C52" s="11">
        <f>$C$43-$C$39</f>
        <v>874.44</v>
      </c>
      <c r="D52" s="11">
        <f>$D$43-$D$39</f>
        <v>1243.9499999999998</v>
      </c>
    </row>
    <row r="53">
      <c r="A53" s="14" t="inlineStr">
        <is>
          <t>Margen bruto (calculado)</t>
        </is>
      </c>
      <c r="B53" s="16">
        <f>IF($B$43=0,0,$B$52/$B$43)</f>
        <v>0.4479090909090909</v>
      </c>
      <c r="C53" s="16">
        <f>IF($C$43=0,0,$C$52/$C$43)</f>
        <v>0.4095737704918033</v>
      </c>
      <c r="D53" s="16">
        <f>IF($D$43=0,0,$D$52/$D$43)</f>
        <v>0.41464999999999996</v>
      </c>
    </row>
    <row r="54">
      <c r="A54" s="4" t="inlineStr">
        <is>
          <t>Importe retenido si cancela: tramo 1</t>
        </is>
      </c>
      <c r="B54" s="11">
        <f>$B$47*INDEX('Calculadora'!$B$96:$D$96,MATCH($B$5,'Calculadora'!$B$90:$D$90,0))</f>
        <v>1546.5449999999998</v>
      </c>
      <c r="C54" s="11">
        <f>$C$47*INDEX('Calculadora'!$B$96:$D$96,MATCH($C$5,'Calculadora'!$B$90:$D$90,0))</f>
        <v>480.15000000000003</v>
      </c>
      <c r="D54" s="11">
        <f>$D$47*INDEX('Calculadora'!$B$96:$D$96,MATCH($D$5,'Calculadora'!$B$90:$D$90,0))</f>
        <v>0.0</v>
      </c>
    </row>
    <row r="55">
      <c r="A55" s="4" t="inlineStr">
        <is>
          <t>Importe retenido si cancela: tramo 2</t>
        </is>
      </c>
      <c r="B55" s="11">
        <f>$B$47*INDEX('Calculadora'!$B$97:$D$97,MATCH($B$5,'Calculadora'!$B$90:$D$90,0))</f>
        <v>2577.575</v>
      </c>
      <c r="C55" s="11">
        <f>$C$47*INDEX('Calculadora'!$B$97:$D$97,MATCH($C$5,'Calculadora'!$B$90:$D$90,0))</f>
        <v>1200.375</v>
      </c>
      <c r="D55" s="11">
        <f>$D$47*INDEX('Calculadora'!$B$97:$D$97,MATCH($D$5,'Calculadora'!$B$90:$D$90,0))</f>
        <v>0.0</v>
      </c>
    </row>
    <row r="56">
      <c r="A56" s="4" t="inlineStr">
        <is>
          <t>Importe retenido si cancela: tramo 3</t>
        </is>
      </c>
      <c r="B56" s="11">
        <f>$B$47*INDEX('Calculadora'!$B$98:$D$98,MATCH($B$5,'Calculadora'!$B$90:$D$90,0))</f>
        <v>3866.3624999999997</v>
      </c>
      <c r="C56" s="11">
        <f>$C$47*INDEX('Calculadora'!$B$98:$D$98,MATCH($C$5,'Calculadora'!$B$90:$D$90,0))</f>
        <v>1800.5625</v>
      </c>
      <c r="D56" s="11">
        <f>$D$47*INDEX('Calculadora'!$B$98:$D$98,MATCH($D$5,'Calculadora'!$B$90:$D$90,0))</f>
        <v>0.0</v>
      </c>
    </row>
    <row r="57">
      <c r="A57" s="4" t="inlineStr">
        <is>
          <t>Importe retenido si cancela: tramo 4</t>
        </is>
      </c>
      <c r="B57" s="11">
        <f>$B$47*INDEX('Calculadora'!$B$99:$D$99,MATCH($B$5,'Calculadora'!$B$90:$D$90,0))</f>
        <v>5155.15</v>
      </c>
      <c r="C57" s="11">
        <f>$C$47*INDEX('Calculadora'!$B$99:$D$99,MATCH($C$5,'Calculadora'!$B$90:$D$90,0))</f>
        <v>2400.75</v>
      </c>
      <c r="D57" s="11">
        <f>$D$47*INDEX('Calculadora'!$B$99:$D$99,MATCH($D$5,'Calculadora'!$B$90:$D$90,0))</f>
        <v>0.0</v>
      </c>
    </row>
    <row r="59">
      <c r="A59" s="3" t="inlineStr">
        <is>
          <t>QUÉ ENSEÑA CADA EJEMPLO</t>
        </is>
      </c>
    </row>
    <row r="60" ht="75" customHeight="1">
      <c r="A60" s="20" t="inlineStr">
        <is>
          <t>Boda particular con show de fuego</t>
        </is>
      </c>
      <c r="B60" s="2" t="inlineStr">
        <is>
          <t>Particular, 110 invitados (la boda del caso del plan financiero), asado argentino de 500 g de carne cruda por invitado con cortes en mesa, bebida incluida y un suplemento de 2 € por invitado por el show de fuego. El precio con IVA es el que ve el particular; cobro en tres pagos (30 % al firmar, 40 % a siete días, 30 % a las 48 horas).</t>
        </is>
      </c>
    </row>
    <row r="61" ht="45" customHeight="1">
      <c r="A61" s="20" t="inlineStr">
        <is>
          <t>Team building de empresa con BBQ texano</t>
        </is>
      </c>
      <c r="B61" s="2" t="inlineStr">
        <is>
          <t>Empresa, 70 invitados, BBQ texano en buffet con 400 g de carne cruda, refrescos y cerveza incluidos y presupuesto «+ IVA». Cobro del 30 % al firmar y el 70 % a 30 días de la factura; los tramos de cancelación son los del contrato B2B.</t>
        </is>
      </c>
    </row>
    <row r="62" ht="75" customHeight="1">
      <c r="A62" s="20" t="inlineStr">
        <is>
          <t>Fiesta o feria municipal de volumen</t>
        </is>
      </c>
      <c r="B62" s="2" t="inlineStr">
        <is>
          <t>300 invitados en una chuletada de 300 g por persona con servicio de volumen: el precio queda cerca de los 10 € por invitado. Sin anticipo: el ayuntamiento paga a 30 días desde la conformidad (art. 198.4 de la Ley 9/2017) y los tramos de cancelación de los contratos del kit no se le aplican (contrata con su pliego o su contrato menor). Tres parrillas: las dos del kit y el remolque.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">
    <mergeCell ref="B61:D61"/>
    <mergeCell ref="B60:D60"/>
    <mergeCell ref="A2:D2"/>
    <mergeCell ref="B62:D62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&amp;Caichef.pro/plan-negocio-parrillero-asador-eventos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2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1" t="inlineStr">
        <is>
          <t>INSTRUCCIONES DE USO — Calculadora de precios de parrillada y asado para eventos</t>
        </is>
      </c>
    </row>
    <row r="2" ht="45" customHeight="1">
      <c r="A2" s="2" t="inlineStr">
        <is>
          <t>Convierte tu escandallo en un precio por invitado y en un presupuesto completo: kilos de carne, parrillas, parrilleros, ayudantes y carbón, subtotal, IVA, total, cobro por pagos y lo que retienes si el cliente cancela. Sólo se escribe en las celdas VERDES; el margen se calcula.</t>
        </is>
      </c>
    </row>
    <row r="3" ht="30" customHeight="1">
      <c r="A3" s="2" t="inlineStr">
        <is>
          <t>1. Elige el cliente (Particular, Empresa o Ayuntamiento; las comisiones de fiestas y las peñas cuentan como Empresa), los invitados, el formato del servicio, la experiencia y el estilo de servicio.</t>
        </is>
      </c>
    </row>
    <row r="4" ht="45" customHeight="1">
      <c r="A4" s="2" t="inlineStr">
        <is>
          <t>2. La tabla de escalado y las demás tablas del final de la primera hoja dan los gramos de carne cruda por invitado, la materia prima de la experiencia y los invitados por parrillero y por ayudante. Las parrillas salen de dividir los kilos de carne cruda entre lo que asa una parrilla; los parrilleros, de dividir los invitados entre los que atiende cada uno.</t>
        </is>
      </c>
    </row>
    <row r="5" ht="30" customHeight="1">
      <c r="A5" s="2" t="inlineStr">
        <is>
          <t>3. Escribe la bebida que pones tú (0 si la pone el cliente) y el menaje y los consumibles por invitado. El carbón se calcula con los kilos de carne.</t>
        </is>
      </c>
    </row>
    <row r="6" ht="30" customHeight="1">
      <c r="A6" s="2" t="inlineStr">
        <is>
          <t>4. Escribe las horas por persona, el coste bruto por hora y la Seguridad Social. Si cocinas tú, cuéntate a precio de hora: es tu coste de oportunidad.</t>
        </is>
      </c>
    </row>
    <row r="7" ht="30" customHeight="1">
      <c r="A7" s="2" t="inlineStr">
        <is>
          <t>5. Escribe los alquileres que repercutes y los kilómetros de ida: el desplazamiento se cobra ida y vuelta, en una línea aparte y sin margen.</t>
        </is>
      </c>
    </row>
    <row r="8" ht="45" customHeight="1">
      <c r="A8" s="2" t="inlineStr">
        <is>
          <t>6. El margen objetivo de cada cliente está en la tabla «Política por cliente» del final: cámbialo ahí. El precio por invitado es el coste directo dividido entre (1 − margen), redondeado a los 0,50 € de arriba, más el suplemento de show de fuego si lo hay: el margen calculado queda igual o por encima del objetivo.</t>
        </is>
      </c>
    </row>
    <row r="9" ht="30" customHeight="1">
      <c r="A9" s="2" t="inlineStr">
        <is>
          <t>7. A una empresa se le presupuesta el precio SIN IVA («+ IVA»); a un particular, el precio CON IVA, porque en una oferta a consumidores el precio va con los impuestos incluidos.</t>
        </is>
      </c>
    </row>
    <row r="10">
      <c r="A10" s="20" t="inlineStr">
        <is>
          <t>IVA, PROPINAS Y COBROS</t>
        </is>
      </c>
    </row>
    <row r="12" ht="45" customHeight="1">
      <c r="A12" s="2" t="inlineStr">
        <is>
          <t>El servicio de comidas para consumir en el acto va al 10 % de IVA, bebida y alcohol incluidos (Ley 37/1992, art. 91.Uno.2.2.º). Lo que facturas aparte sin ser accesorio, como la carpa o el mobiliario, va al 21 %. En las facturas a empresas no se practica retención de IRPF por esta actividad.</t>
        </is>
      </c>
    </row>
    <row r="13" ht="30" customHeight="1">
      <c r="A13" s="2" t="inlineStr">
        <is>
          <t>La propina voluntaria es decisión del cliente y es del equipo: no entra en el precio, en la base imponible ni en el total.</t>
        </is>
      </c>
    </row>
    <row r="14" ht="30" customHeight="1">
      <c r="A14" s="2" t="inlineStr">
        <is>
          <t>Los pagos en efectivo con particulares solo valen por debajo de 1.000 €: la ley prohíbe pagar en efectivo 1.000 € o más (art. 7 de la Ley 7/2012).</t>
        </is>
      </c>
    </row>
    <row r="15">
      <c r="A15" s="20" t="inlineStr">
        <is>
          <t>COBRO Y CANCELACIÓN</t>
        </is>
      </c>
    </row>
    <row r="17" ht="45" customHeight="1">
      <c r="A17" s="2" t="inlineStr">
        <is>
          <t>Particular: 30 % al firmar, 40 % a siete días del evento y 30 % a las 48 horas; Empresa: 30 % al firmar y 70 % a 30 días de la factura; Ayuntamiento: sin anticipo y pago a 30 días desde la conformidad (art. 198.4 de la Ley 9/2017). Emite factura de cada pago, también de la señal.</t>
        </is>
      </c>
    </row>
    <row r="18" ht="60" customHeight="1">
      <c r="A18" s="2" t="inlineStr">
        <is>
          <t>Cancelación, sobre el total. Particular: con 60 días o más retienes la señal (el 30 %); de 30 a 59 días, el 50 %; de 7 a 29 días, el 75 %; con menos de 7 días, el 100 %. Empresa: con 30 días o más, el 20 %; de 15 a 29 días, el 50 %; de 7 a 14 días, el 75 %; con menos de 7 días, el 100 %. En un servicio de comida con fecha no hay derecho de desistimiento (art. 103.l del TRLGDCU): por eso la política tiene que estar firmada.</t>
        </is>
      </c>
    </row>
    <row r="19">
      <c r="A19" s="20" t="inlineStr">
        <is>
          <t>FUEGO Y SEGURIDAD</t>
        </is>
      </c>
    </row>
    <row r="21" ht="45" customHeight="1">
      <c r="A21" s="2" t="inlineStr">
        <is>
          <t>Si hay alerta de incendios o prohibición del fuego en el espacio, el servicio pasa al plan B de gas (plancha o piedra volcánica, una botella de menos de 15 kg por aparato) o se cambia la fecha, como recoge el contrato del kit. La licencia de la finca no levanta la restricción en terreno forestal.</t>
        </is>
      </c>
    </row>
    <row r="22">
      <c r="A22" s="20" t="inlineStr">
        <is>
          <t>ESTIMACIONES DEL KIT</t>
        </is>
      </c>
    </row>
    <row r="24" ht="30" customHeight="1">
      <c r="A24" s="2" t="inlineStr">
        <is>
          <t>Los valores por defecto y los tres ejemplos son estimaciones para ilustrar el cálculo, no precios de mercado. Cámbialos por tu escandallo, tus salarios, tus alquileres y tus kilómetros antes de presupuestar.</t>
        </is>
      </c>
    </row>
    <row r="26">
      <c r="A26" s="2" t="inlineStr">
        <is>
          <t>Para editar una celda que no esté en verde: Revisar → Desproteger hoja (no tiene contraseña).</t>
        </is>
      </c>
    </row>
    <row r="27">
      <c r="A27" s="2" t="inlineStr">
        <is>
          <t>Más plantillas y kits del catálogo en aichef.pro/productos-digitales</t>
        </is>
      </c>
    </row>
    <row r="28">
      <c r="A28" s="2" t="inlineStr">
        <is>
          <t>Diseñado por John Guerrero — chef y consultor gastronómico desde 2010, en cocina desde los 17 años · johnguerrero.es</t>
        </is>
      </c>
    </row>
    <row r="29">
      <c r="A29" s="2" t="inlineStr">
        <is>
          <t>Versión 2.2 · septiembre 2026 · aichef.pro/plan-negocio-parrillero-asador-eventos · info@aichef.pro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rintOptions horizontalCentered="1"/>
  <pageMargins left="0.75" right="0.75" top="1" bottom="1" header="0.5" footer="0.5"/>
  <pageSetup orientation="portrait" paperSize="9" fitToHeight="0" fitToWidth="1"/>
  <headerFooter>
    <oddHeader/>
    <oddFooter>&amp;Caichef.pro/plan-negocio-parrillero-asador-eventos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de precios de parrillada y asado para eventos (de la carne al presupuesto) · v2.2</dc:title>
  <dc:description xmlns:dc="http://purl.org/dc/elements/1.1/">aichef.pro/plan-negocio-parrillero-asador-eventos</dc:description>
  <dc:subject xmlns:dc="http://purl.org/dc/elements/1.1/">Plan de Negocio Parrillero-Asador para Eventos</dc:subject>
  <dcterms:created xmlns:dcterms="http://purl.org/dc/terms/" xmlns:xsi="http://www.w3.org/2001/XMLSchema-instance" xsi:type="dcterms:W3CDTF">2026-10-11T22:46:39Z</dcterms:created>
  <dcterms:modified xmlns:dcterms="http://purl.org/dc/terms/" xmlns:xsi="http://www.w3.org/2001/XMLSchema-instance" xsi:type="dcterms:W3CDTF">2026-10-11T22:46:39Z</dcterms:modified>
  <cp:lastModifiedBy>AI Chef Pro</cp:lastModifiedBy>
  <cp:keywords>plan negocio parrillero asador eventos, AI Chef Pro</cp:keywords>
</cp:coreProperties>
</file>