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Inventory" sheetId="2" state="visible" r:id="rId2"/>
    <sheet xmlns:r="http://schemas.openxmlformats.org/officeDocument/2006/relationships" name="Weekly Deep Clean" sheetId="3" state="visible" r:id="rId3"/>
    <sheet xmlns:r="http://schemas.openxmlformats.org/officeDocument/2006/relationships" name="Weekly FIFO Check" sheetId="4" state="visible" r:id="rId4"/>
    <sheet xmlns:r="http://schemas.openxmlformats.org/officeDocument/2006/relationships" name="Monthly Maintenance" sheetId="5" state="visible" r:id="rId5"/>
    <sheet xmlns:r="http://schemas.openxmlformats.org/officeDocument/2006/relationships" name="Quarterly &amp; Annual" sheetId="6" state="visible" r:id="rId6"/>
  </sheets>
  <definedNames>
    <definedName name="_xlnm.Print_Area" localSheetId="0">'Instructions'!$A$1:$B$40</definedName>
    <definedName name="_xlnm.Print_Titles" localSheetId="1">'Daily Inventory'!$4:$4</definedName>
    <definedName name="_xlnm.Print_Area" localSheetId="1">'Daily Inventory'!$A$1:$F$46</definedName>
    <definedName name="_xlnm.Print_Titles" localSheetId="2">'Weekly Deep Clean'!$4:$4</definedName>
    <definedName name="_xlnm.Print_Area" localSheetId="2">'Weekly Deep Clean'!$A$1:$G$31</definedName>
    <definedName name="_xlnm.Print_Titles" localSheetId="3">'Weekly FIFO Check'!$4:$4</definedName>
    <definedName name="_xlnm.Print_Area" localSheetId="3">'Weekly FIFO Check'!$A$1:$G$39</definedName>
    <definedName name="_xlnm.Print_Titles" localSheetId="4">'Monthly Maintenance'!$4:$4</definedName>
    <definedName name="_xlnm.Print_Area" localSheetId="4">'Monthly Maintenance'!$A$1:$G$26</definedName>
    <definedName name="_xlnm.Print_Titles" localSheetId="5">'Quarterly &amp; Annual'!$4:$4</definedName>
    <definedName name="_xlnm.Print_Area" localSheetId="5">'Quarterly &amp; Annual'!$A$1:$G$33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b val="1"/>
      <sz val="10"/>
    </font>
    <font>
      <b val="1"/>
      <color rgb="00228B22"/>
      <sz val="10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6" borderId="0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  <xf numFmtId="0" fontId="0" fillId="6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05 · Pizzeria Cleaning Checklist, Inventory &amp; Maintenance Schedule</t>
        </is>
      </c>
    </row>
    <row r="4" ht="18" customHeight="1">
      <c r="B4" s="23" t="inlineStr">
        <is>
          <t>Quarterly, annual and freezer shelf life</t>
        </is>
      </c>
    </row>
    <row r="6" ht="63" customHeight="1">
      <c r="B6" s="24" t="inlineStr">
        <is>
          <t>▸ The "Quarterly &amp; Annual" tab covers the maintenance you CONTRACT and that an inspector asks for: pest control, hood, duct and wood-fired oven chimney (NFPA 96), oven check, extinguishers and their hydrostatic test, hood fire suppression, gas, refrigeration, Legionella, water, used oil, waste, insurance and POS / sales tax.</t>
        </is>
      </c>
    </row>
    <row r="7" ht="32" customHeight="1">
      <c r="B7" s="24" t="inlineStr">
        <is>
          <t>▸ Write the service report number in the green column and initial it once the company has been; the last task on the sheet is to log the date of the next visit.</t>
        </is>
      </c>
    </row>
    <row r="8" ht="47" customHeight="1">
      <c r="B8" s="24" t="inlineStr">
        <is>
          <t>▸ The monthly tab mixes your team's own checks (hood filters, a look at the extinguisher, first-aid kit) with the monthly ones for a technician or qualified person (oven, wood-fired exhaust, gas valves): they don't replace the contracted services in "Quarterly &amp; Annual", they prepare for them.</t>
        </is>
      </c>
    </row>
    <row r="9" ht="47" customHeight="1">
      <c r="B9" s="24" t="inlineStr">
        <is>
          <t>▸ At the bottom of "Weekly FIFO Check" there is an editable freezer shelf-life table by food group: one blanket rule for the whole freezer either throws out good dough or approves cured meat that has gone off.</t>
        </is>
      </c>
    </row>
    <row r="11" ht="18" customHeight="1">
      <c r="B11" s="23" t="inlineStr">
        <is>
          <t>How the counter works</t>
        </is>
      </c>
    </row>
    <row r="13" ht="32" customHeight="1">
      <c r="B13" s="24" t="inlineStr">
        <is>
          <t>▸ Mark ✓ in the "✓ Done" column (dropdown): that is the column that counts completed tasks.</t>
        </is>
      </c>
    </row>
    <row r="14" ht="32" customHeight="1">
      <c r="B14" s="24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15" ht="32" customHeight="1">
      <c r="B15" s="24" t="inlineStr">
        <is>
          <t>▸ The denominator counts the tasks written in the "Task" column, not a fixed number: if you add or delete tasks, the total adjusts by itself.</t>
        </is>
      </c>
    </row>
    <row r="17" ht="18" customHeight="1">
      <c r="B17" s="23" t="inlineStr">
        <is>
          <t>Free rows</t>
        </is>
      </c>
    </row>
    <row r="19" ht="32" customHeight="1">
      <c r="B19" s="24" t="inlineStr">
        <is>
          <t>▸ At the end of each table there are 5 free green rows INSIDE the range the counter covers: write your own tasks there.</t>
        </is>
      </c>
    </row>
    <row r="20" ht="32" customHeight="1">
      <c r="B20" s="24" t="inlineStr">
        <is>
          <t>▸ If you need more, insert rows INSIDE the table (right-click → Insert), never below the last one: anything typed outside the range is not counted.</t>
        </is>
      </c>
    </row>
    <row r="22" ht="18" customHeight="1">
      <c r="B22" s="23" t="inlineStr">
        <is>
          <t>Sheet protection</t>
        </is>
      </c>
    </row>
    <row r="24" ht="47" customHeight="1">
      <c r="B24" s="24" t="inlineStr">
        <is>
          <t>▸ Checklist sheets with formulas are protected WITHOUT a password: the input cells (the green ones) are unlocked. The Daily Inventory sheet is left unprotected so you can add products: don't type over the Status column.</t>
        </is>
      </c>
    </row>
    <row r="25" ht="32" customHeight="1">
      <c r="B25" s="24" t="inlineStr">
        <is>
          <t>▸ You can insert and delete rows with protection on. To change the structure: Review → Unprotect Sheet.</t>
        </is>
      </c>
    </row>
    <row r="27" ht="18" customHeight="1">
      <c r="B27" s="23" t="inlineStr">
        <is>
          <t>Works with</t>
        </is>
      </c>
    </row>
    <row r="29" ht="31" customHeight="1">
      <c r="B29" s="24" t="inlineStr">
        <is>
          <t>▸ 08-pizzeria-opening-closing-checklist.xlsx — checklist for the WHOLE SHOP: it is the BACKBONE of the day.</t>
        </is>
      </c>
    </row>
    <row r="30" ht="16" customHeight="1">
      <c r="B30" s="24" t="inlineStr">
        <is>
          <t>▸ 01-pizza-shop-opening-closing-checklists.xlsx — the same day with DETAIL by area (kitchen, FOH).</t>
        </is>
      </c>
    </row>
    <row r="31" ht="31" customHeight="1">
      <c r="B31" s="24" t="inlineStr">
        <is>
          <t>▸ 09-cash-drawer-opening-closing.xlsx — the CASH: starting bank, count by denomination, POS Z report and over/short.</t>
        </is>
      </c>
    </row>
    <row r="32" ht="63" customHeight="1">
      <c r="B32" s="24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3" ht="47" customHeight="1">
      <c r="B33" s="24" t="inlineStr">
        <is>
          <t>▸ You are in 05-pizzeria-cleaning-checklist-inventory-maintenance.xlsx: what is NOT daily (weekly, monthly, quarterly and annual). The day-to-day is in 08-pizzeria-opening-closing-checklist.xlsx and 01-pizza-shop-opening-closing-checklists.xlsx.</t>
        </is>
      </c>
    </row>
    <row r="35" ht="18" customHeight="1">
      <c r="B35" s="23" t="inlineStr">
        <is>
          <t>— Pizza Shop Checklists Kit Pro · AI Chef Pro · aichef.pro</t>
        </is>
      </c>
    </row>
    <row r="37" ht="35" customHeight="1">
      <c r="B37" s="23" t="inlineStr">
        <is>
          <t>Designed by John Guerrero — chef and restaurant consultant since 2010, in professional kitchens since age 17 · johnguerrero.es</t>
        </is>
      </c>
    </row>
    <row r="38" ht="18" customHeight="1">
      <c r="B38" s="23" t="inlineStr">
        <is>
          <t>Contact: info@aichef.pro</t>
        </is>
      </c>
    </row>
    <row r="40" ht="34.5" customHeight="1">
      <c r="B40" s="23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Daily Inventory — Pizza Shop Production Stock</t>
        </is>
      </c>
    </row>
    <row r="2">
      <c r="A2" s="4" t="inlineStr">
        <is>
          <t>Date: ___/___/______    Shift: ☐ AM  ☐ Mid  ☐ PM    Manager: ________________</t>
        </is>
      </c>
    </row>
    <row r="4">
      <c r="A4" s="5" t="inlineStr">
        <is>
          <t>Product</t>
        </is>
      </c>
      <c r="B4" s="5" t="inlineStr">
        <is>
          <t>On hand</t>
        </is>
      </c>
      <c r="C4" s="5" t="inlineStr">
        <is>
          <t>Unit</t>
        </is>
      </c>
      <c r="D4" s="5" t="inlineStr">
        <is>
          <t>Par</t>
        </is>
      </c>
      <c r="E4" s="5" t="inlineStr">
        <is>
          <t>Status</t>
        </is>
      </c>
      <c r="F4" s="5" t="inlineStr">
        <is>
          <t>Order</t>
        </is>
      </c>
    </row>
    <row r="5">
      <c r="A5" s="6" t="inlineStr">
        <is>
          <t xml:space="preserve">  DOUGH &amp; FLOUR</t>
        </is>
      </c>
    </row>
    <row r="6">
      <c r="A6" s="7" t="inlineStr">
        <is>
          <t>Dough balls ready</t>
        </is>
      </c>
      <c r="B6" s="8" t="n"/>
      <c r="C6" s="9" t="inlineStr">
        <is>
          <t>ea</t>
        </is>
      </c>
      <c r="D6" s="9" t="n">
        <v>30</v>
      </c>
      <c r="E6" s="10">
        <f>IF(B6="","",IF(B6&lt;D6,"⚠️ REORDER","OK"))</f>
        <v/>
      </c>
      <c r="F6" s="8" t="n"/>
    </row>
    <row r="7">
      <c r="A7" s="11" t="inlineStr">
        <is>
          <t>00 or high-gluten flour</t>
        </is>
      </c>
      <c r="B7" s="12" t="n"/>
      <c r="C7" s="13" t="inlineStr">
        <is>
          <t>lb</t>
        </is>
      </c>
      <c r="D7" s="13" t="n">
        <v>25</v>
      </c>
      <c r="E7" s="14">
        <f>IF(B7="","",IF(B7&lt;D7,"⚠️ REORDER","OK"))</f>
        <v/>
      </c>
      <c r="F7" s="12" t="n"/>
    </row>
    <row r="8">
      <c r="A8" s="7" t="inlineStr">
        <is>
          <t>Semolina flour</t>
        </is>
      </c>
      <c r="B8" s="8" t="n"/>
      <c r="C8" s="9" t="inlineStr">
        <is>
          <t>lb</t>
        </is>
      </c>
      <c r="D8" s="9" t="n">
        <v>10</v>
      </c>
      <c r="E8" s="10">
        <f>IF(B8="","",IF(B8&lt;D8,"⚠️ REORDER","OK"))</f>
        <v/>
      </c>
      <c r="F8" s="8" t="n"/>
    </row>
    <row r="9">
      <c r="A9" s="11" t="inlineStr">
        <is>
          <t>Fresh yeast</t>
        </is>
      </c>
      <c r="B9" s="12" t="n"/>
      <c r="C9" s="13" t="inlineStr">
        <is>
          <t>oz</t>
        </is>
      </c>
      <c r="D9" s="13" t="n">
        <v>4</v>
      </c>
      <c r="E9" s="14">
        <f>IF(B9="","",IF(B9&lt;D9,"⚠️ REORDER","OK"))</f>
        <v/>
      </c>
      <c r="F9" s="12" t="n"/>
    </row>
    <row r="10">
      <c r="A10" s="7" t="inlineStr">
        <is>
          <t>Salt</t>
        </is>
      </c>
      <c r="B10" s="8" t="n"/>
      <c r="C10" s="9" t="inlineStr">
        <is>
          <t>lb</t>
        </is>
      </c>
      <c r="D10" s="9" t="n">
        <v>5</v>
      </c>
      <c r="E10" s="10">
        <f>IF(B10="","",IF(B10&lt;D10,"⚠️ REORDER","OK"))</f>
        <v/>
      </c>
      <c r="F10" s="8" t="n"/>
    </row>
    <row r="11">
      <c r="A11" s="6" t="inlineStr">
        <is>
          <t xml:space="preserve">  CHEESES</t>
        </is>
      </c>
    </row>
    <row r="12">
      <c r="A12" s="7" t="inlineStr">
        <is>
          <t>Fior di latte mozzarella</t>
        </is>
      </c>
      <c r="B12" s="8" t="n"/>
      <c r="C12" s="9" t="inlineStr">
        <is>
          <t>lb</t>
        </is>
      </c>
      <c r="D12" s="9" t="n">
        <v>10</v>
      </c>
      <c r="E12" s="10">
        <f>IF(B12="","",IF(B12&lt;D12,"⚠️ REORDER","OK"))</f>
        <v/>
      </c>
      <c r="F12" s="8" t="n"/>
    </row>
    <row r="13">
      <c r="A13" s="11" t="inlineStr">
        <is>
          <t>Buffalo mozzarella</t>
        </is>
      </c>
      <c r="B13" s="12" t="n"/>
      <c r="C13" s="13" t="inlineStr">
        <is>
          <t>ea</t>
        </is>
      </c>
      <c r="D13" s="13" t="n">
        <v>6</v>
      </c>
      <c r="E13" s="14">
        <f>IF(B13="","",IF(B13&lt;D13,"⚠️ REORDER","OK"))</f>
        <v/>
      </c>
      <c r="F13" s="12" t="n"/>
    </row>
    <row r="14">
      <c r="A14" s="7" t="inlineStr">
        <is>
          <t>Grated Parmesan</t>
        </is>
      </c>
      <c r="B14" s="8" t="n"/>
      <c r="C14" s="9" t="inlineStr">
        <is>
          <t>lb</t>
        </is>
      </c>
      <c r="D14" s="9" t="n">
        <v>2</v>
      </c>
      <c r="E14" s="10">
        <f>IF(B14="","",IF(B14&lt;D14,"⚠️ REORDER","OK"))</f>
        <v/>
      </c>
      <c r="F14" s="8" t="n"/>
    </row>
    <row r="15">
      <c r="A15" s="11" t="inlineStr">
        <is>
          <t>Gorgonzola</t>
        </is>
      </c>
      <c r="B15" s="12" t="n"/>
      <c r="C15" s="13" t="inlineStr">
        <is>
          <t>lb</t>
        </is>
      </c>
      <c r="D15" s="13" t="n">
        <v>1</v>
      </c>
      <c r="E15" s="14">
        <f>IF(B15="","",IF(B15&lt;D15,"⚠️ REORDER","OK"))</f>
        <v/>
      </c>
      <c r="F15" s="12" t="n"/>
    </row>
    <row r="16">
      <c r="A16" s="7" t="inlineStr">
        <is>
          <t>Burrata</t>
        </is>
      </c>
      <c r="B16" s="8" t="n"/>
      <c r="C16" s="9" t="inlineStr">
        <is>
          <t>ea</t>
        </is>
      </c>
      <c r="D16" s="9" t="n">
        <v>4</v>
      </c>
      <c r="E16" s="10">
        <f>IF(B16="","",IF(B16&lt;D16,"⚠️ REORDER","OK"))</f>
        <v/>
      </c>
      <c r="F16" s="8" t="n"/>
    </row>
    <row r="17">
      <c r="A17" s="6" t="inlineStr">
        <is>
          <t xml:space="preserve">  SAUCES &amp; BASES</t>
        </is>
      </c>
    </row>
    <row r="18">
      <c r="A18" s="7" t="inlineStr">
        <is>
          <t>Tomato sauce (prepared)</t>
        </is>
      </c>
      <c r="B18" s="8" t="n"/>
      <c r="C18" s="9" t="inlineStr">
        <is>
          <t>qt</t>
        </is>
      </c>
      <c r="D18" s="9" t="n">
        <v>5</v>
      </c>
      <c r="E18" s="10">
        <f>IF(B18="","",IF(B18&lt;D18,"⚠️ REORDER","OK"))</f>
        <v/>
      </c>
      <c r="F18" s="8" t="n"/>
    </row>
    <row r="19">
      <c r="A19" s="11" t="inlineStr">
        <is>
          <t>San Marzano tomatoes (cans)</t>
        </is>
      </c>
      <c r="B19" s="12" t="n"/>
      <c r="C19" s="13" t="inlineStr">
        <is>
          <t>ea</t>
        </is>
      </c>
      <c r="D19" s="13" t="n">
        <v>10</v>
      </c>
      <c r="E19" s="14">
        <f>IF(B19="","",IF(B19&lt;D19,"⚠️ REORDER","OK"))</f>
        <v/>
      </c>
      <c r="F19" s="12" t="n"/>
    </row>
    <row r="20">
      <c r="A20" s="7" t="inlineStr">
        <is>
          <t>Pesto</t>
        </is>
      </c>
      <c r="B20" s="8" t="n"/>
      <c r="C20" s="9" t="inlineStr">
        <is>
          <t>oz</t>
        </is>
      </c>
      <c r="D20" s="9" t="n">
        <v>12</v>
      </c>
      <c r="E20" s="10">
        <f>IF(B20="","",IF(B20&lt;D20,"⚠️ REORDER","OK"))</f>
        <v/>
      </c>
      <c r="F20" s="8" t="n"/>
    </row>
    <row r="21">
      <c r="A21" s="11" t="inlineStr">
        <is>
          <t>Extra virgin olive oil</t>
        </is>
      </c>
      <c r="B21" s="12" t="n"/>
      <c r="C21" s="13" t="inlineStr">
        <is>
          <t>qt</t>
        </is>
      </c>
      <c r="D21" s="13" t="n">
        <v>2</v>
      </c>
      <c r="E21" s="14">
        <f>IF(B21="","",IF(B21&lt;D21,"⚠️ REORDER","OK"))</f>
        <v/>
      </c>
      <c r="F21" s="12" t="n"/>
    </row>
    <row r="22">
      <c r="A22" s="7" t="inlineStr">
        <is>
          <t>Truffle oil</t>
        </is>
      </c>
      <c r="B22" s="8" t="n"/>
      <c r="C22" s="9" t="inlineStr">
        <is>
          <t>fl oz</t>
        </is>
      </c>
      <c r="D22" s="9" t="n">
        <v>4</v>
      </c>
      <c r="E22" s="10">
        <f>IF(B22="","",IF(B22&lt;D22,"⚠️ REORDER","OK"))</f>
        <v/>
      </c>
      <c r="F22" s="8" t="n"/>
    </row>
    <row r="23">
      <c r="A23" s="6" t="inlineStr">
        <is>
          <t xml:space="preserve">  MEATS &amp; CHARCUTERIE</t>
        </is>
      </c>
    </row>
    <row r="24">
      <c r="A24" s="7" t="inlineStr">
        <is>
          <t>Pepperoni</t>
        </is>
      </c>
      <c r="B24" s="8" t="n"/>
      <c r="C24" s="9" t="inlineStr">
        <is>
          <t>lb</t>
        </is>
      </c>
      <c r="D24" s="9" t="n">
        <v>5</v>
      </c>
      <c r="E24" s="10">
        <f>IF(B24="","",IF(B24&lt;D24,"⚠️ REORDER","OK"))</f>
        <v/>
      </c>
      <c r="F24" s="8" t="n"/>
    </row>
    <row r="25">
      <c r="A25" s="11" t="inlineStr">
        <is>
          <t>Cooked ham</t>
        </is>
      </c>
      <c r="B25" s="12" t="n"/>
      <c r="C25" s="13" t="inlineStr">
        <is>
          <t>lb</t>
        </is>
      </c>
      <c r="D25" s="13" t="n">
        <v>2</v>
      </c>
      <c r="E25" s="14">
        <f>IF(B25="","",IF(B25&lt;D25,"⚠️ REORDER","OK"))</f>
        <v/>
      </c>
      <c r="F25" s="12" t="n"/>
    </row>
    <row r="26">
      <c r="A26" s="7" t="inlineStr">
        <is>
          <t>Italian sausage</t>
        </is>
      </c>
      <c r="B26" s="8" t="n"/>
      <c r="C26" s="9" t="inlineStr">
        <is>
          <t>lb</t>
        </is>
      </c>
      <c r="D26" s="9" t="n">
        <v>2</v>
      </c>
      <c r="E26" s="10">
        <f>IF(B26="","",IF(B26&lt;D26,"⚠️ REORDER","OK"))</f>
        <v/>
      </c>
      <c r="F26" s="8" t="n"/>
    </row>
    <row r="27">
      <c r="A27" s="11" t="inlineStr">
        <is>
          <t>Anchovies</t>
        </is>
      </c>
      <c r="B27" s="12" t="n"/>
      <c r="C27" s="13" t="inlineStr">
        <is>
          <t>oz</t>
        </is>
      </c>
      <c r="D27" s="13" t="n">
        <v>8</v>
      </c>
      <c r="E27" s="14">
        <f>IF(B27="","",IF(B27&lt;D27,"⚠️ REORDER","OK"))</f>
        <v/>
      </c>
      <c r="F27" s="12" t="n"/>
    </row>
    <row r="28">
      <c r="A28" s="7" t="inlineStr">
        <is>
          <t>Prosciutto</t>
        </is>
      </c>
      <c r="B28" s="8" t="n"/>
      <c r="C28" s="9" t="inlineStr">
        <is>
          <t>lb</t>
        </is>
      </c>
      <c r="D28" s="9" t="n">
        <v>1</v>
      </c>
      <c r="E28" s="10">
        <f>IF(B28="","",IF(B28&lt;D28,"⚠️ REORDER","OK"))</f>
        <v/>
      </c>
      <c r="F28" s="8" t="n"/>
    </row>
    <row r="29">
      <c r="A29" s="6" t="inlineStr">
        <is>
          <t xml:space="preserve">  PRODUCE &amp; FRESH</t>
        </is>
      </c>
    </row>
    <row r="30">
      <c r="A30" s="7" t="inlineStr">
        <is>
          <t>Fresh mushrooms</t>
        </is>
      </c>
      <c r="B30" s="8" t="n"/>
      <c r="C30" s="9" t="inlineStr">
        <is>
          <t>lb</t>
        </is>
      </c>
      <c r="D30" s="9" t="n">
        <v>2</v>
      </c>
      <c r="E30" s="10">
        <f>IF(B30="","",IF(B30&lt;D30,"⚠️ REORDER","OK"))</f>
        <v/>
      </c>
      <c r="F30" s="8" t="n"/>
    </row>
    <row r="31">
      <c r="A31" s="11" t="inlineStr">
        <is>
          <t>Black olives</t>
        </is>
      </c>
      <c r="B31" s="12" t="n"/>
      <c r="C31" s="13" t="inlineStr">
        <is>
          <t>lb</t>
        </is>
      </c>
      <c r="D31" s="13" t="n">
        <v>1</v>
      </c>
      <c r="E31" s="14">
        <f>IF(B31="","",IF(B31&lt;D31,"⚠️ REORDER","OK"))</f>
        <v/>
      </c>
      <c r="F31" s="12" t="n"/>
    </row>
    <row r="32">
      <c r="A32" s="7" t="inlineStr">
        <is>
          <t>Bell peppers</t>
        </is>
      </c>
      <c r="B32" s="8" t="n"/>
      <c r="C32" s="9" t="inlineStr">
        <is>
          <t>lb</t>
        </is>
      </c>
      <c r="D32" s="9" t="n">
        <v>1</v>
      </c>
      <c r="E32" s="10">
        <f>IF(B32="","",IF(B32&lt;D32,"⚠️ REORDER","OK"))</f>
        <v/>
      </c>
      <c r="F32" s="8" t="n"/>
    </row>
    <row r="33">
      <c r="A33" s="11" t="inlineStr">
        <is>
          <t>Onion</t>
        </is>
      </c>
      <c r="B33" s="12" t="n"/>
      <c r="C33" s="13" t="inlineStr">
        <is>
          <t>lb</t>
        </is>
      </c>
      <c r="D33" s="13" t="n">
        <v>1</v>
      </c>
      <c r="E33" s="14">
        <f>IF(B33="","",IF(B33&lt;D33,"⚠️ REORDER","OK"))</f>
        <v/>
      </c>
      <c r="F33" s="12" t="n"/>
    </row>
    <row r="34">
      <c r="A34" s="7" t="inlineStr">
        <is>
          <t>Arugula</t>
        </is>
      </c>
      <c r="B34" s="8" t="n"/>
      <c r="C34" s="9" t="inlineStr">
        <is>
          <t>oz</t>
        </is>
      </c>
      <c r="D34" s="9" t="n">
        <v>8</v>
      </c>
      <c r="E34" s="10">
        <f>IF(B34="","",IF(B34&lt;D34,"⚠️ REORDER","OK"))</f>
        <v/>
      </c>
      <c r="F34" s="8" t="n"/>
    </row>
    <row r="35">
      <c r="A35" s="11" t="inlineStr">
        <is>
          <t>Cherry tomatoes</t>
        </is>
      </c>
      <c r="B35" s="12" t="n"/>
      <c r="C35" s="13" t="inlineStr">
        <is>
          <t>lb</t>
        </is>
      </c>
      <c r="D35" s="13" t="n">
        <v>1</v>
      </c>
      <c r="E35" s="14">
        <f>IF(B35="","",IF(B35&lt;D35,"⚠️ REORDER","OK"))</f>
        <v/>
      </c>
      <c r="F35" s="12" t="n"/>
    </row>
    <row r="36">
      <c r="A36" s="7" t="inlineStr">
        <is>
          <t>Fresh basil</t>
        </is>
      </c>
      <c r="B36" s="8" t="n"/>
      <c r="C36" s="9" t="inlineStr">
        <is>
          <t>bunches</t>
        </is>
      </c>
      <c r="D36" s="9" t="n">
        <v>3</v>
      </c>
      <c r="E36" s="10">
        <f>IF(B36="","",IF(B36&lt;D36,"⚠️ REORDER","OK"))</f>
        <v/>
      </c>
      <c r="F36" s="8" t="n"/>
    </row>
    <row r="37">
      <c r="A37" s="6" t="inlineStr">
        <is>
          <t xml:space="preserve">  PACKAGING</t>
        </is>
      </c>
    </row>
    <row r="38">
      <c r="A38" s="7" t="inlineStr">
        <is>
          <t>Medium pizza boxes</t>
        </is>
      </c>
      <c r="B38" s="8" t="n"/>
      <c r="C38" s="9" t="inlineStr">
        <is>
          <t>ea</t>
        </is>
      </c>
      <c r="D38" s="9" t="n">
        <v>40</v>
      </c>
      <c r="E38" s="10">
        <f>IF(B38="","",IF(B38&lt;D38,"⚠️ REORDER","OK"))</f>
        <v/>
      </c>
      <c r="F38" s="8" t="n"/>
    </row>
    <row r="39">
      <c r="A39" s="11" t="inlineStr">
        <is>
          <t>Large pizza boxes</t>
        </is>
      </c>
      <c r="B39" s="12" t="n"/>
      <c r="C39" s="13" t="inlineStr">
        <is>
          <t>ea</t>
        </is>
      </c>
      <c r="D39" s="13" t="n">
        <v>30</v>
      </c>
      <c r="E39" s="14">
        <f>IF(B39="","",IF(B39&lt;D39,"⚠️ REORDER","OK"))</f>
        <v/>
      </c>
      <c r="F39" s="12" t="n"/>
    </row>
    <row r="40">
      <c r="A40" s="7" t="inlineStr">
        <is>
          <t>X-large pizza boxes</t>
        </is>
      </c>
      <c r="B40" s="8" t="n"/>
      <c r="C40" s="9" t="inlineStr">
        <is>
          <t>ea</t>
        </is>
      </c>
      <c r="D40" s="9" t="n">
        <v>15</v>
      </c>
      <c r="E40" s="10">
        <f>IF(B40="","",IF(B40&lt;D40,"⚠️ REORDER","OK"))</f>
        <v/>
      </c>
      <c r="F40" s="8" t="n"/>
    </row>
    <row r="41">
      <c r="A41" s="11" t="inlineStr">
        <is>
          <t>Napkins</t>
        </is>
      </c>
      <c r="B41" s="12" t="n"/>
      <c r="C41" s="13" t="inlineStr">
        <is>
          <t>ea</t>
        </is>
      </c>
      <c r="D41" s="13" t="n">
        <v>100</v>
      </c>
      <c r="E41" s="14">
        <f>IF(B41="","",IF(B41&lt;D41,"⚠️ REORDER","OK"))</f>
        <v/>
      </c>
      <c r="F41" s="12" t="n"/>
    </row>
    <row r="42">
      <c r="A42" s="7" t="inlineStr">
        <is>
          <t>To-go bags (paper / plastic)</t>
        </is>
      </c>
      <c r="B42" s="8" t="n"/>
      <c r="C42" s="9" t="inlineStr">
        <is>
          <t>ea</t>
        </is>
      </c>
      <c r="D42" s="9" t="n">
        <v>30</v>
      </c>
      <c r="E42" s="10">
        <f>IF(B42="","",IF(B42&lt;D42,"⚠️ REORDER","OK"))</f>
        <v/>
      </c>
      <c r="F42" s="8" t="n"/>
    </row>
    <row r="44">
      <c r="A44" s="4" t="inlineStr">
        <is>
          <t>Signature: _________________________</t>
        </is>
      </c>
    </row>
    <row r="46">
      <c r="A46" s="15" t="inlineStr">
        <is>
          <t>— Pizza Shop Checklists Kit Pro · AI Chef Pro · aichef.pro —</t>
        </is>
      </c>
    </row>
  </sheetData>
  <mergeCells count="10">
    <mergeCell ref="A2:F2"/>
    <mergeCell ref="A11:F11"/>
    <mergeCell ref="A46:F46"/>
    <mergeCell ref="A44:F44"/>
    <mergeCell ref="A5:F5"/>
    <mergeCell ref="A23:F23"/>
    <mergeCell ref="A37:F37"/>
    <mergeCell ref="A1:F1"/>
    <mergeCell ref="A17:F17"/>
    <mergeCell ref="A29:F29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Weekly Deep Cleaning Checklist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OVEN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Deep-clean the oven deck</t>
        </is>
      </c>
      <c r="C6" s="29" t="inlineStr">
        <is>
          <t>Kitchen</t>
        </is>
      </c>
      <c r="D6" s="29" t="inlineStr">
        <is>
          <t>Pizza maker</t>
        </is>
      </c>
      <c r="E6" s="29" t="inlineStr">
        <is>
          <t>Monday</t>
        </is>
      </c>
      <c r="F6" s="30" t="n"/>
      <c r="G6" s="30" t="n"/>
    </row>
    <row r="7">
      <c r="A7" s="31" t="n">
        <v>2</v>
      </c>
      <c r="B7" s="32" t="inlineStr">
        <is>
          <t>Clean the oven exterior</t>
        </is>
      </c>
      <c r="C7" s="29" t="inlineStr">
        <is>
          <t>Kitchen</t>
        </is>
      </c>
      <c r="D7" s="29" t="inlineStr">
        <is>
          <t>Dishwasher / prep</t>
        </is>
      </c>
      <c r="E7" s="29" t="inlineStr">
        <is>
          <t>Monday</t>
        </is>
      </c>
      <c r="F7" s="30" t="n"/>
      <c r="G7" s="30" t="n"/>
    </row>
    <row r="8">
      <c r="A8" s="27" t="n">
        <v>3</v>
      </c>
      <c r="B8" s="38" t="inlineStr">
        <is>
          <t>Team cleans the oven mouth and the reachable flue; the contractor inspects and cleans the duct and chimney (see "Monthly Maintenance" and "Quarterly &amp; Annual", NFPA 96)</t>
        </is>
      </c>
      <c r="C8" s="29" t="inlineStr">
        <is>
          <t>Kitchen</t>
        </is>
      </c>
      <c r="D8" s="29" t="inlineStr">
        <is>
          <t>Pizza maker</t>
        </is>
      </c>
      <c r="E8" s="29" t="inlineStr">
        <is>
          <t>Monday</t>
        </is>
      </c>
      <c r="F8" s="30" t="n"/>
      <c r="G8" s="30" t="n"/>
    </row>
    <row r="9">
      <c r="A9" s="31" t="n">
        <v>4</v>
      </c>
      <c r="B9" s="32" t="inlineStr">
        <is>
          <t>Check oven gaskets and insulation</t>
        </is>
      </c>
      <c r="C9" s="29" t="inlineStr">
        <is>
          <t>Kitchen</t>
        </is>
      </c>
      <c r="D9" s="29" t="inlineStr">
        <is>
          <t>Manager</t>
        </is>
      </c>
      <c r="E9" s="29" t="inlineStr">
        <is>
          <t>Monday</t>
        </is>
      </c>
      <c r="F9" s="30" t="n"/>
      <c r="G9" s="30" t="n"/>
    </row>
    <row r="10">
      <c r="A10" s="25" t="inlineStr">
        <is>
          <t xml:space="preserve">  KITCHEN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Clean inside the walk-ins</t>
        </is>
      </c>
      <c r="C11" s="29" t="inlineStr">
        <is>
          <t>Walk-in</t>
        </is>
      </c>
      <c r="D11" s="29" t="inlineStr">
        <is>
          <t>Dishwasher / prep</t>
        </is>
      </c>
      <c r="E11" s="29" t="inlineStr">
        <is>
          <t>Monday</t>
        </is>
      </c>
      <c r="F11" s="30" t="n"/>
      <c r="G11" s="30" t="n"/>
    </row>
    <row r="12">
      <c r="A12" s="27" t="n">
        <v>6</v>
      </c>
      <c r="B12" s="38" t="inlineStr">
        <is>
          <t>Remove and degrease the hood filters (hood and duct cleaning is the contractor's job: see Quarterly &amp; Annual)</t>
        </is>
      </c>
      <c r="C12" s="29" t="inlineStr">
        <is>
          <t>Kitchen</t>
        </is>
      </c>
      <c r="D12" s="29" t="inlineStr">
        <is>
          <t>Dishwasher / prep</t>
        </is>
      </c>
      <c r="E12" s="29" t="inlineStr">
        <is>
          <t>Monday</t>
        </is>
      </c>
      <c r="F12" s="30" t="n"/>
      <c r="G12" s="30" t="n"/>
    </row>
    <row r="13">
      <c r="A13" s="31" t="n">
        <v>7</v>
      </c>
      <c r="B13" s="32" t="inlineStr">
        <is>
          <t>Clean behind and under equipment</t>
        </is>
      </c>
      <c r="C13" s="29" t="inlineStr">
        <is>
          <t>Kitchen</t>
        </is>
      </c>
      <c r="D13" s="29" t="inlineStr">
        <is>
          <t>Dishwasher / prep</t>
        </is>
      </c>
      <c r="E13" s="29" t="inlineStr">
        <is>
          <t>Monday</t>
        </is>
      </c>
      <c r="F13" s="30" t="n"/>
      <c r="G13" s="30" t="n"/>
    </row>
    <row r="14">
      <c r="A14" s="27" t="n">
        <v>8</v>
      </c>
      <c r="B14" s="38" t="inlineStr">
        <is>
          <t>Cutting boards: wash, rinse and sanitize (approved sanitizer, test strip; FDA 4-501.114)</t>
        </is>
      </c>
      <c r="C14" s="29" t="inlineStr">
        <is>
          <t>Kitchen</t>
        </is>
      </c>
      <c r="D14" s="29" t="inlineStr">
        <is>
          <t>Dishwasher / prep</t>
        </is>
      </c>
      <c r="E14" s="29" t="inlineStr">
        <is>
          <t>Monday</t>
        </is>
      </c>
      <c r="F14" s="30" t="n"/>
      <c r="G14" s="30" t="n"/>
    </row>
    <row r="15">
      <c r="A15" s="31" t="n">
        <v>9</v>
      </c>
      <c r="B15" s="32" t="inlineStr">
        <is>
          <t>Clean storage shelves</t>
        </is>
      </c>
      <c r="C15" s="29" t="inlineStr">
        <is>
          <t>Storage</t>
        </is>
      </c>
      <c r="D15" s="29" t="inlineStr">
        <is>
          <t>Dishwasher / prep</t>
        </is>
      </c>
      <c r="E15" s="29" t="inlineStr">
        <is>
          <t>Monday</t>
        </is>
      </c>
      <c r="F15" s="30" t="n"/>
      <c r="G15" s="30" t="n"/>
    </row>
    <row r="16">
      <c r="A16" s="25" t="inlineStr">
        <is>
          <t xml:space="preserve">  FOH &amp; RESTROOMS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2" t="inlineStr">
        <is>
          <t>Clean windows</t>
        </is>
      </c>
      <c r="C17" s="29" t="inlineStr">
        <is>
          <t>FOH</t>
        </is>
      </c>
      <c r="D17" s="29" t="inlineStr">
        <is>
          <t>Dishwasher / prep</t>
        </is>
      </c>
      <c r="E17" s="29" t="inlineStr">
        <is>
          <t>Monday</t>
        </is>
      </c>
      <c r="F17" s="30" t="n"/>
      <c r="G17" s="30" t="n"/>
    </row>
    <row r="18">
      <c r="A18" s="27" t="n">
        <v>11</v>
      </c>
      <c r="B18" s="28" t="inlineStr">
        <is>
          <t>Mop floors with degreaser</t>
        </is>
      </c>
      <c r="C18" s="29" t="inlineStr">
        <is>
          <t>General</t>
        </is>
      </c>
      <c r="D18" s="29" t="inlineStr">
        <is>
          <t>Dishwasher / prep</t>
        </is>
      </c>
      <c r="E18" s="29" t="inlineStr">
        <is>
          <t>Monday</t>
        </is>
      </c>
      <c r="F18" s="30" t="n"/>
      <c r="G18" s="30" t="n"/>
    </row>
    <row r="19">
      <c r="A19" s="31" t="n">
        <v>12</v>
      </c>
      <c r="B19" s="32" t="inlineStr">
        <is>
          <t>Deep-clean the restrooms</t>
        </is>
      </c>
      <c r="C19" s="29" t="inlineStr">
        <is>
          <t>Restrooms</t>
        </is>
      </c>
      <c r="D19" s="29" t="inlineStr">
        <is>
          <t>Dishwasher / prep</t>
        </is>
      </c>
      <c r="E19" s="29" t="inlineStr">
        <is>
          <t>Monday</t>
        </is>
      </c>
      <c r="F19" s="30" t="n"/>
      <c r="G19" s="30" t="n"/>
    </row>
    <row r="20">
      <c r="A20" s="27" t="n">
        <v>13</v>
      </c>
      <c r="B20" s="28" t="inlineStr">
        <is>
          <t>Deep-clean the patio</t>
        </is>
      </c>
      <c r="C20" s="29" t="inlineStr">
        <is>
          <t>Patio</t>
        </is>
      </c>
      <c r="D20" s="29" t="inlineStr">
        <is>
          <t>Dishwasher / prep</t>
        </is>
      </c>
      <c r="E20" s="29" t="inlineStr">
        <is>
          <t>Monday</t>
        </is>
      </c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7">
      <c r="A27" s="18" t="inlineStr">
        <is>
          <t>Tasks done:</t>
        </is>
      </c>
      <c r="D27" s="19">
        <f>COUNTIFS(B5:B25,"?*",F5:F25,"✓")</f>
        <v>0.0</v>
      </c>
      <c r="E27" s="18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5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27:C27"/>
    <mergeCell ref="A2:G2"/>
    <mergeCell ref="A16:G16"/>
    <mergeCell ref="A29:G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FIFO Check — Expiration Control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WALK-INS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8" t="inlineStr">
        <is>
          <t>Check dates on prepared dough: date (and time) on every dough box; use within your recipe's window, oldest first</t>
        </is>
      </c>
      <c r="C6" s="29" t="inlineStr">
        <is>
          <t>Walk-in</t>
        </is>
      </c>
      <c r="D6" s="29" t="inlineStr">
        <is>
          <t>Line cook</t>
        </is>
      </c>
      <c r="E6" s="29" t="inlineStr">
        <is>
          <t>Monday</t>
        </is>
      </c>
      <c r="F6" s="30" t="n"/>
      <c r="G6" s="30" t="n"/>
    </row>
    <row r="7">
      <c r="A7" s="31" t="n">
        <v>2</v>
      </c>
      <c r="B7" s="39" t="inlineStr">
        <is>
          <t>Check opened mozzarella: covered, 41 °F or below, date-marked (7 days max, day opened = day 1, never past use-by; FDA 3-501.17(B))</t>
        </is>
      </c>
      <c r="C7" s="29" t="inlineStr">
        <is>
          <t>Walk-in</t>
        </is>
      </c>
      <c r="D7" s="29" t="inlineStr">
        <is>
          <t>Line cook</t>
        </is>
      </c>
      <c r="E7" s="29" t="inlineStr">
        <is>
          <t>Monday</t>
        </is>
      </c>
      <c r="F7" s="30" t="n"/>
      <c r="G7" s="30" t="n"/>
    </row>
    <row r="8">
      <c r="A8" s="27" t="n">
        <v>3</v>
      </c>
      <c r="B8" s="38" t="inlineStr">
        <is>
          <t>Check opened deli meats (cooked ham): date-marked, 7 days max from the day opened (FDA 3-501.17); cured pepperoni and prosciutto per the maker's label</t>
        </is>
      </c>
      <c r="C8" s="29" t="inlineStr">
        <is>
          <t>Walk-in</t>
        </is>
      </c>
      <c r="D8" s="29" t="inlineStr">
        <is>
          <t>Line cook</t>
        </is>
      </c>
      <c r="E8" s="29" t="inlineStr">
        <is>
          <t>Monday</t>
        </is>
      </c>
      <c r="F8" s="30" t="n"/>
      <c r="G8" s="30" t="n"/>
    </row>
    <row r="9">
      <c r="A9" s="31" t="n">
        <v>4</v>
      </c>
      <c r="B9" s="32" t="inlineStr">
        <is>
          <t>Rotate: oldest product in front</t>
        </is>
      </c>
      <c r="C9" s="29" t="inlineStr">
        <is>
          <t>Walk-in</t>
        </is>
      </c>
      <c r="D9" s="29" t="inlineStr">
        <is>
          <t>Line cook</t>
        </is>
      </c>
      <c r="E9" s="29" t="inlineStr">
        <is>
          <t>Monday</t>
        </is>
      </c>
      <c r="F9" s="30" t="n"/>
      <c r="G9" s="30" t="n"/>
    </row>
    <row r="10">
      <c r="A10" s="27" t="n">
        <v>5</v>
      </c>
      <c r="B10" s="28" t="inlineStr">
        <is>
          <t>Discard expired product</t>
        </is>
      </c>
      <c r="C10" s="29" t="inlineStr">
        <is>
          <t>Walk-in</t>
        </is>
      </c>
      <c r="D10" s="29" t="inlineStr">
        <is>
          <t>Line cook</t>
        </is>
      </c>
      <c r="E10" s="29" t="inlineStr">
        <is>
          <t>Monday</t>
        </is>
      </c>
      <c r="F10" s="30" t="n"/>
      <c r="G10" s="30" t="n"/>
    </row>
    <row r="11">
      <c r="A11" s="27" t="n">
        <v>6</v>
      </c>
      <c r="B11" s="38" t="inlineStr">
        <is>
          <t>Check no frozen product is past its shelf life (see the table at the bottom of this sheet)</t>
        </is>
      </c>
      <c r="C11" s="29" t="inlineStr">
        <is>
          <t>Walk-in</t>
        </is>
      </c>
      <c r="D11" s="29" t="inlineStr">
        <is>
          <t>Line cook</t>
        </is>
      </c>
      <c r="E11" s="29" t="inlineStr">
        <is>
          <t>Monday</t>
        </is>
      </c>
      <c r="F11" s="30" t="n"/>
      <c r="G11" s="30" t="n"/>
    </row>
    <row r="12">
      <c r="A12" s="25" t="inlineStr">
        <is>
          <t xml:space="preserve">  STORAGE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28" t="inlineStr">
        <is>
          <t>Check flour: date, moisture, insects</t>
        </is>
      </c>
      <c r="C13" s="29" t="inlineStr">
        <is>
          <t>Storage</t>
        </is>
      </c>
      <c r="D13" s="29" t="inlineStr">
        <is>
          <t>Line cook</t>
        </is>
      </c>
      <c r="E13" s="29" t="inlineStr">
        <is>
          <t>Monday</t>
        </is>
      </c>
      <c r="F13" s="30" t="n"/>
      <c r="G13" s="30" t="n"/>
    </row>
    <row r="14">
      <c r="A14" s="31" t="n">
        <v>8</v>
      </c>
      <c r="B14" s="32" t="inlineStr">
        <is>
          <t>Check canned tomatoes: date, dents</t>
        </is>
      </c>
      <c r="C14" s="29" t="inlineStr">
        <is>
          <t>Storage</t>
        </is>
      </c>
      <c r="D14" s="29" t="inlineStr">
        <is>
          <t>Line cook</t>
        </is>
      </c>
      <c r="E14" s="29" t="inlineStr">
        <is>
          <t>Monday</t>
        </is>
      </c>
      <c r="F14" s="30" t="n"/>
      <c r="G14" s="30" t="n"/>
    </row>
    <row r="15">
      <c r="A15" s="27" t="n">
        <v>9</v>
      </c>
      <c r="B15" s="28" t="inlineStr">
        <is>
          <t>Check olive oil: date, taste</t>
        </is>
      </c>
      <c r="C15" s="29" t="inlineStr">
        <is>
          <t>Storage</t>
        </is>
      </c>
      <c r="D15" s="29" t="inlineStr">
        <is>
          <t>Line cook</t>
        </is>
      </c>
      <c r="E15" s="29" t="inlineStr">
        <is>
          <t>Monday</t>
        </is>
      </c>
      <c r="F15" s="30" t="n"/>
      <c r="G15" s="30" t="n"/>
    </row>
    <row r="16">
      <c r="A16" s="31" t="n">
        <v>10</v>
      </c>
      <c r="B16" s="32" t="inlineStr">
        <is>
          <t>Check packaging stock</t>
        </is>
      </c>
      <c r="C16" s="29" t="inlineStr">
        <is>
          <t>Storage</t>
        </is>
      </c>
      <c r="D16" s="29" t="inlineStr">
        <is>
          <t>Manager</t>
        </is>
      </c>
      <c r="E16" s="29" t="inlineStr">
        <is>
          <t>Monday</t>
        </is>
      </c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3">
      <c r="A23" s="18" t="inlineStr">
        <is>
          <t>Tasks done:</t>
        </is>
      </c>
      <c r="D23" s="19">
        <f>COUNTIFS(B5:B21,"?*",F5:F21,"✓")</f>
        <v>0.0</v>
      </c>
      <c r="E23" s="18" t="inlineStr">
        <is>
          <t>of</t>
        </is>
      </c>
      <c r="F23">
        <f>COUNTIF(B5:B21,"?*")-COUNTIF(F5:F21,"N/A")</f>
        <v>10.0</v>
      </c>
    </row>
    <row r="25">
      <c r="A25" s="4" t="inlineStr">
        <is>
          <t>Shift manager signature: _________________________    Time: _________</t>
        </is>
      </c>
    </row>
    <row r="27">
      <c r="A27" s="6" t="inlineStr">
        <is>
          <t>APPROXIMATE FREEZER SHELF LIFE AT 0 °F — adjust it to your product and your supplier</t>
        </is>
      </c>
    </row>
    <row r="28">
      <c r="A28" s="5" t="n"/>
      <c r="B28" s="5" t="inlineStr">
        <is>
          <t>Food group</t>
        </is>
      </c>
      <c r="C28" s="5" t="inlineStr">
        <is>
          <t>Freezer time</t>
        </is>
      </c>
      <c r="D28" s="5" t="inlineStr">
        <is>
          <t>Notes</t>
        </is>
      </c>
      <c r="E28" s="35" t="n"/>
      <c r="F28" s="35" t="n"/>
      <c r="G28" s="36" t="n"/>
    </row>
    <row r="29" ht="45" customHeight="1">
      <c r="A29" s="6" t="n"/>
      <c r="B29" s="37" t="inlineStr">
        <is>
          <t>Frozen dough balls</t>
        </is>
      </c>
      <c r="C29" s="37" t="inlineStr">
        <is>
          <t>1–2 months</t>
        </is>
      </c>
      <c r="D29" s="40" t="inlineStr">
        <is>
          <t>Gluten loses strength and yeast loses activity: thaw 24 h in the walk-in at 41 °F or below (FDA 3-501.13), never at room temperature</t>
        </is>
      </c>
      <c r="E29" s="26" t="n"/>
      <c r="F29" s="26" t="n"/>
      <c r="G29" s="26" t="n"/>
    </row>
    <row r="30" ht="30" customHeight="1">
      <c r="A30" s="6" t="n"/>
      <c r="B30" s="37" t="inlineStr">
        <is>
          <t>Shredded or block mozzarella</t>
        </is>
      </c>
      <c r="C30" s="37" t="inlineStr">
        <is>
          <t>2–3 months</t>
        </is>
      </c>
      <c r="D30" s="40" t="inlineStr">
        <is>
          <t>Fresh fior di latte in its liquid can't be frozen: it breaks down and weeps water onto the pizza</t>
        </is>
      </c>
      <c r="E30" s="26" t="n"/>
      <c r="F30" s="26" t="n"/>
      <c r="G30" s="26" t="n"/>
    </row>
    <row r="31">
      <c r="A31" s="6" t="n"/>
      <c r="B31" s="37" t="inlineStr">
        <is>
          <t>Cured meats (pepperoni, salami)</t>
        </is>
      </c>
      <c r="C31" s="37" t="inlineStr">
        <is>
          <t>2–3 months</t>
        </is>
      </c>
      <c r="D31" s="37" t="inlineStr">
        <is>
          <t>Fat goes rancid even frozen: it spoils first</t>
        </is>
      </c>
      <c r="E31" s="26" t="n"/>
      <c r="F31" s="26" t="n"/>
      <c r="G31" s="26" t="n"/>
    </row>
    <row r="32" ht="30" customHeight="1">
      <c r="A32" s="6" t="n"/>
      <c r="B32" s="37" t="inlineStr">
        <is>
          <t>Italian sausage and ground meat</t>
        </is>
      </c>
      <c r="C32" s="37" t="inlineStr">
        <is>
          <t>2–3 months</t>
        </is>
      </c>
      <c r="D32" s="40" t="inlineStr">
        <is>
          <t>Lots of exposed surface: the most delicate group of all</t>
        </is>
      </c>
      <c r="E32" s="26" t="n"/>
      <c r="F32" s="26" t="n"/>
      <c r="G32" s="26" t="n"/>
    </row>
    <row r="33" ht="30" customHeight="1">
      <c r="A33" s="6" t="n"/>
      <c r="B33" s="37" t="inlineStr">
        <is>
          <t>Cooked ham and deli meats</t>
        </is>
      </c>
      <c r="C33" s="37" t="inlineStr">
        <is>
          <t>1–2 months</t>
        </is>
      </c>
      <c r="D33" s="40" t="inlineStr">
        <is>
          <t>They release water when thawed: freeze them already portioned per service</t>
        </is>
      </c>
      <c r="E33" s="26" t="n"/>
      <c r="F33" s="26" t="n"/>
      <c r="G33" s="26" t="n"/>
    </row>
    <row r="34" ht="45" customHeight="1">
      <c r="A34" s="6" t="n"/>
      <c r="B34" s="37" t="inlineStr">
        <is>
          <t>House-made tomato sauce and stocks</t>
        </is>
      </c>
      <c r="C34" s="37" t="inlineStr">
        <is>
          <t>3 months</t>
        </is>
      </c>
      <c r="D34" s="40" t="inlineStr">
        <is>
          <t>Label with BOTH the production date AND the freeze date: the shelf life in this table counts from the freeze date</t>
        </is>
      </c>
      <c r="E34" s="26" t="n"/>
      <c r="F34" s="26" t="n"/>
      <c r="G34" s="26" t="n"/>
    </row>
    <row r="35">
      <c r="A35" s="6" t="n"/>
      <c r="B35" s="37" t="inlineStr">
        <is>
          <t>Bread, focaccia and baked doughs</t>
        </is>
      </c>
      <c r="C35" s="37" t="inlineStr">
        <is>
          <t>1–3 months</t>
        </is>
      </c>
      <c r="D35" s="37" t="inlineStr">
        <is>
          <t>Loses texture before it loses safety</t>
        </is>
      </c>
      <c r="E35" s="26" t="n"/>
      <c r="F35" s="26" t="n"/>
      <c r="G35" s="26" t="n"/>
    </row>
    <row r="36">
      <c r="A36" s="6" t="n"/>
      <c r="B36" s="37" t="inlineStr">
        <is>
          <t>Blanched vegetables (mushroom, bell pepper)</t>
        </is>
      </c>
      <c r="C36" s="37" t="inlineStr">
        <is>
          <t>8–12 months</t>
        </is>
      </c>
      <c r="D36" s="37" t="inlineStr">
        <is>
          <t>Unblanched, half that</t>
        </is>
      </c>
      <c r="E36" s="26" t="n"/>
      <c r="F36" s="26" t="n"/>
      <c r="G36" s="26" t="n"/>
    </row>
    <row r="37">
      <c r="A37" s="6" t="n"/>
      <c r="B37" s="37" t="inlineStr">
        <is>
          <t>Seafood and fish toppings</t>
        </is>
      </c>
      <c r="C37" s="37" t="inlineStr">
        <is>
          <t>2–3 months</t>
        </is>
      </c>
      <c r="D37" s="37" t="inlineStr">
        <is>
          <t>Oily fish and shellfish are the first to go rancid</t>
        </is>
      </c>
      <c r="E37" s="26" t="n"/>
      <c r="F37" s="26" t="n"/>
      <c r="G37" s="26" t="n"/>
    </row>
    <row r="39">
      <c r="A39" s="15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8">
    <mergeCell ref="D31:G31"/>
    <mergeCell ref="A1:G1"/>
    <mergeCell ref="A27:G27"/>
    <mergeCell ref="D35:G35"/>
    <mergeCell ref="D36:G36"/>
    <mergeCell ref="A23:C23"/>
    <mergeCell ref="A39:G39"/>
    <mergeCell ref="D29:G29"/>
    <mergeCell ref="A12:G12"/>
    <mergeCell ref="D30:G30"/>
    <mergeCell ref="A2:G2"/>
    <mergeCell ref="D33:G33"/>
    <mergeCell ref="D34:G34"/>
    <mergeCell ref="A25:G25"/>
    <mergeCell ref="D32:G32"/>
    <mergeCell ref="D37:G37"/>
    <mergeCell ref="D28:G28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0 F11 F13 F14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Monthly Equipment Maintenance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OVEN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Full oven inspection: deck, burners, insulation</t>
        </is>
      </c>
      <c r="C6" s="29" t="inlineStr">
        <is>
          <t>Kitchen</t>
        </is>
      </c>
      <c r="D6" s="29" t="inlineStr">
        <is>
          <t>Technician</t>
        </is>
      </c>
      <c r="E6" s="29" t="inlineStr">
        <is>
          <t>Monthly</t>
        </is>
      </c>
      <c r="F6" s="30" t="n"/>
      <c r="G6" s="30" t="n"/>
    </row>
    <row r="7">
      <c r="A7" s="31" t="n">
        <v>2</v>
      </c>
      <c r="B7" s="39" t="inlineStr">
        <is>
          <t>Wood-fired exhaust (hood, duct, chimney): MONTHLY grease and creosote inspection by a qualified person; clean when deposits are found (NFPA 96)</t>
        </is>
      </c>
      <c r="C7" s="29" t="inlineStr">
        <is>
          <t>Kitchen</t>
        </is>
      </c>
      <c r="D7" s="29" t="inlineStr">
        <is>
          <t>Technician</t>
        </is>
      </c>
      <c r="E7" s="29" t="inlineStr">
        <is>
          <t>Monthly</t>
        </is>
      </c>
      <c r="F7" s="30" t="n"/>
      <c r="G7" s="30" t="n"/>
    </row>
    <row r="8">
      <c r="A8" s="27" t="n">
        <v>3</v>
      </c>
      <c r="B8" s="28" t="inlineStr">
        <is>
          <t>Calibrate the oven thermometer</t>
        </is>
      </c>
      <c r="C8" s="29" t="inlineStr">
        <is>
          <t>Kitchen</t>
        </is>
      </c>
      <c r="D8" s="29" t="inlineStr">
        <is>
          <t>Technician</t>
        </is>
      </c>
      <c r="E8" s="29" t="inlineStr">
        <is>
          <t>Monthly</t>
        </is>
      </c>
      <c r="F8" s="30" t="n"/>
      <c r="G8" s="30" t="n"/>
    </row>
    <row r="9">
      <c r="A9" s="31" t="n">
        <v>4</v>
      </c>
      <c r="B9" s="32" t="inlineStr">
        <is>
          <t>Check gas valves (gas ovens)</t>
        </is>
      </c>
      <c r="C9" s="29" t="inlineStr">
        <is>
          <t>Kitchen</t>
        </is>
      </c>
      <c r="D9" s="29" t="inlineStr">
        <is>
          <t>Technician</t>
        </is>
      </c>
      <c r="E9" s="29" t="inlineStr">
        <is>
          <t>Monthly</t>
        </is>
      </c>
      <c r="F9" s="30" t="n"/>
      <c r="G9" s="30" t="n"/>
    </row>
    <row r="10">
      <c r="A10" s="25" t="inlineStr">
        <is>
          <t xml:space="preserve">  GENERAL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9" t="inlineStr">
        <is>
          <t>Dish machine: filters, rinse aid and chemical levels (water softener salt only if you have a softener)</t>
        </is>
      </c>
      <c r="C11" s="29" t="inlineStr">
        <is>
          <t>Kitchen</t>
        </is>
      </c>
      <c r="D11" s="29" t="inlineStr">
        <is>
          <t>Manager</t>
        </is>
      </c>
      <c r="E11" s="29" t="inlineStr">
        <is>
          <t>Monthly</t>
        </is>
      </c>
      <c r="F11" s="30" t="n"/>
      <c r="G11" s="30" t="n"/>
    </row>
    <row r="12">
      <c r="A12" s="27" t="n">
        <v>6</v>
      </c>
      <c r="B12" s="38" t="inlineStr">
        <is>
          <t>Exhaust hood: degrease the hood and check the filters (replace only bent or damaged ones); the contractor cleans the DUCTS (see "Quarterly &amp; Annual")</t>
        </is>
      </c>
      <c r="C12" s="29" t="inlineStr">
        <is>
          <t>Kitchen</t>
        </is>
      </c>
      <c r="D12" s="29" t="inlineStr">
        <is>
          <t>Technician</t>
        </is>
      </c>
      <c r="E12" s="29" t="inlineStr">
        <is>
          <t>Monthly</t>
        </is>
      </c>
      <c r="F12" s="30" t="n"/>
      <c r="G12" s="30" t="n"/>
    </row>
    <row r="13">
      <c r="A13" s="31" t="n">
        <v>7</v>
      </c>
      <c r="B13" s="32" t="inlineStr">
        <is>
          <t>HVAC: filters</t>
        </is>
      </c>
      <c r="C13" s="29" t="inlineStr">
        <is>
          <t>General</t>
        </is>
      </c>
      <c r="D13" s="29" t="inlineStr">
        <is>
          <t>Technician</t>
        </is>
      </c>
      <c r="E13" s="29" t="inlineStr">
        <is>
          <t>Monthly</t>
        </is>
      </c>
      <c r="F13" s="30" t="n"/>
      <c r="G13" s="30" t="n"/>
    </row>
    <row r="14">
      <c r="A14" s="27" t="n">
        <v>8</v>
      </c>
      <c r="B14" s="38" t="inlineStr">
        <is>
          <t>Extinguisher: monthly visual check (gauge in the green, pin and seal intact, access clear, tag signed); the official service is by the maintainer, see "Quarterly &amp; Annual"</t>
        </is>
      </c>
      <c r="C14" s="29" t="inlineStr">
        <is>
          <t>General</t>
        </is>
      </c>
      <c r="D14" s="29" t="inlineStr">
        <is>
          <t>Manager</t>
        </is>
      </c>
      <c r="E14" s="29" t="inlineStr">
        <is>
          <t>Monthly</t>
        </is>
      </c>
      <c r="F14" s="30" t="n"/>
      <c r="G14" s="30" t="n"/>
    </row>
    <row r="15">
      <c r="A15" s="31" t="n">
        <v>9</v>
      </c>
      <c r="B15" s="32" t="inlineStr">
        <is>
          <t>First-aid kit: stock, expiration dates</t>
        </is>
      </c>
      <c r="C15" s="29" t="inlineStr">
        <is>
          <t>General</t>
        </is>
      </c>
      <c r="D15" s="29" t="inlineStr">
        <is>
          <t>Manager</t>
        </is>
      </c>
      <c r="E15" s="29" t="inlineStr">
        <is>
          <t>Monthly</t>
        </is>
      </c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2">
      <c r="A22" s="18" t="inlineStr">
        <is>
          <t>Tasks done:</t>
        </is>
      </c>
      <c r="D22" s="19">
        <f>COUNTIFS(B5:B20,"?*",F5:F20,"✓")</f>
        <v>0.0</v>
      </c>
      <c r="E22" s="18" t="inlineStr">
        <is>
          <t>of</t>
        </is>
      </c>
      <c r="F22">
        <f>COUNTIF(B5:B20,"?*")-COUNTIF(F5:F20,"N/A")</f>
        <v>9.0</v>
      </c>
    </row>
    <row r="24">
      <c r="A24" s="4" t="inlineStr">
        <is>
          <t>Shift manager signature: _________________________    Time: _________</t>
        </is>
      </c>
    </row>
    <row r="26">
      <c r="A26" s="15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2:C22"/>
    <mergeCell ref="A26:G26"/>
    <mergeCell ref="A24:G24"/>
    <mergeCell ref="A2:G2"/>
    <mergeCell ref="A10:G10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8 F9 F11 F12 F13 F14 F15 F16 F17 F18 F19 F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Quarterly &amp; Annual Maintenance — Contracted Services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Report #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CONTRACTED — LICENSED COMPANY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8" t="inlineStr">
        <is>
          <t>Pest control by a licensed operator: service visit and signed service report on file</t>
        </is>
      </c>
      <c r="C6" s="29" t="n"/>
      <c r="D6" s="29" t="inlineStr">
        <is>
          <t>Pest control co.</t>
        </is>
      </c>
      <c r="E6" s="29" t="inlineStr">
        <is>
          <t>Monthly</t>
        </is>
      </c>
      <c r="F6" s="30" t="n"/>
      <c r="G6" s="30" t="n"/>
    </row>
    <row r="7">
      <c r="A7" s="31" t="n">
        <v>2</v>
      </c>
      <c r="B7" s="39" t="inlineStr">
        <is>
          <t>Hood, duct and chimney cleaning by a certified contractor (NFPA 96): a system serving a wood-fired or other solid-fuel oven is inspected monthly (Monthly Maintenance sheet) and cleaned whenever buildup is found; gas or electric ovens only: quarterly if high volume, semiannual if moderate</t>
        </is>
      </c>
      <c r="C7" s="29" t="n"/>
      <c r="D7" s="29" t="inlineStr">
        <is>
          <t>Hood cleaning co.</t>
        </is>
      </c>
      <c r="E7" s="29" t="inlineStr">
        <is>
          <t>Quarterly</t>
        </is>
      </c>
      <c r="F7" s="30" t="n"/>
      <c r="G7" s="30" t="n"/>
    </row>
    <row r="8">
      <c r="A8" s="27" t="n">
        <v>3</v>
      </c>
      <c r="B8" s="38" t="inlineStr">
        <is>
          <t>Wood-fired oven checked by the oven manufacturer's tech or a qualified contractor: dome, floor, door, flue and chimney cap</t>
        </is>
      </c>
      <c r="C8" s="29" t="n"/>
      <c r="D8" s="29" t="inlineStr">
        <is>
          <t>Oven tech</t>
        </is>
      </c>
      <c r="E8" s="29" t="inlineStr">
        <is>
          <t>Annual</t>
        </is>
      </c>
      <c r="F8" s="30" t="n"/>
      <c r="G8" s="30" t="n"/>
    </row>
    <row r="9">
      <c r="A9" s="31" t="n">
        <v>4</v>
      </c>
      <c r="B9" s="39" t="inlineStr">
        <is>
          <t>Annual extinguisher maintenance by a licensed fire protection company: new tag and record (OSHA 1910.157); hood fire suppression inspected every 6 months (NFPA 96)</t>
        </is>
      </c>
      <c r="C9" s="29" t="n"/>
      <c r="D9" s="29" t="inlineStr">
        <is>
          <t>Fire safety co.</t>
        </is>
      </c>
      <c r="E9" s="29" t="inlineStr">
        <is>
          <t>Annual</t>
        </is>
      </c>
      <c r="F9" s="30" t="n"/>
      <c r="G9" s="30" t="n"/>
    </row>
    <row r="10">
      <c r="A10" s="31" t="n">
        <v>5</v>
      </c>
      <c r="B10" s="39" t="inlineStr">
        <is>
          <t>Extinguisher hydrostatic test by the fire protection company: Class K (wet chemical) and CO2 units every 5 years, dry chemical as its label says (OSHA 1910.157(f); NFPA 10)</t>
        </is>
      </c>
      <c r="C10" s="29" t="n"/>
      <c r="D10" s="29" t="inlineStr">
        <is>
          <t>Fire safety co.</t>
        </is>
      </c>
      <c r="E10" s="29" t="inlineStr">
        <is>
          <t>Every 5 years</t>
        </is>
      </c>
      <c r="F10" s="30" t="n"/>
      <c r="G10" s="30" t="n"/>
    </row>
    <row r="11">
      <c r="A11" s="31" t="n">
        <v>6</v>
      </c>
      <c r="B11" s="39" t="inlineStr">
        <is>
          <t>Gas lines and appliance connections (gas oven, burners, range) checked by a licensed pro, as often as your local code requires</t>
        </is>
      </c>
      <c r="C11" s="29" t="n"/>
      <c r="D11" s="29" t="inlineStr">
        <is>
          <t>Licensed plumber</t>
        </is>
      </c>
      <c r="E11" s="29" t="inlineStr">
        <is>
          <t>Annual</t>
        </is>
      </c>
      <c r="F11" s="30" t="n"/>
      <c r="G11" s="30" t="n"/>
    </row>
    <row r="12">
      <c r="A12" s="25" t="inlineStr">
        <is>
          <t xml:space="preserve">  WATER, WASTE &amp; TESTING</t>
        </is>
      </c>
      <c r="B12" s="26" t="n"/>
      <c r="C12" s="26" t="n"/>
      <c r="D12" s="26" t="n"/>
      <c r="E12" s="26" t="n"/>
      <c r="F12" s="26" t="n"/>
      <c r="G12" s="26" t="n"/>
    </row>
    <row r="13">
      <c r="A13" s="31" t="n">
        <v>7</v>
      </c>
      <c r="B13" s="39" t="inlineStr">
        <is>
          <t>Refrigeration service by an EPA 608-certified tech: walk-in, reach-ins and the make line (pizza prep table) — coils, gaskets and refrigerant leak check</t>
        </is>
      </c>
      <c r="C13" s="29" t="n"/>
      <c r="D13" s="29" t="inlineStr">
        <is>
          <t>Refrigeration tech</t>
        </is>
      </c>
      <c r="E13" s="29" t="inlineStr">
        <is>
          <t>Annual</t>
        </is>
      </c>
      <c r="F13" s="30" t="n"/>
      <c r="G13" s="30" t="n"/>
    </row>
    <row r="14">
      <c r="A14" s="27" t="n">
        <v>8</v>
      </c>
      <c r="B14" s="38" t="inlineStr">
        <is>
          <t>Legionella: if you have a cooling tower or at-risk hot water, keep a water management program as your local health code requires</t>
        </is>
      </c>
      <c r="C14" s="29" t="n"/>
      <c r="D14" s="29" t="inlineStr">
        <is>
          <t>Water treatment co.</t>
        </is>
      </c>
      <c r="E14" s="29" t="inlineStr">
        <is>
          <t>Annual</t>
        </is>
      </c>
      <c r="F14" s="30" t="n"/>
      <c r="G14" s="30" t="n"/>
    </row>
    <row r="15">
      <c r="A15" s="31" t="n">
        <v>9</v>
      </c>
      <c r="B15" s="39" t="inlineStr">
        <is>
          <t>Water quality: on city water, read your utility's annual Consumer Confidence Report; on a private well or tank, test it as your health department requires; service any filter or softener per its maker (the water goes into every batch of dough)</t>
        </is>
      </c>
      <c r="C15" s="29" t="n"/>
      <c r="D15" s="29" t="inlineStr">
        <is>
          <t>Water lab</t>
        </is>
      </c>
      <c r="E15" s="29" t="inlineStr">
        <is>
          <t>Annual</t>
        </is>
      </c>
      <c r="F15" s="30" t="n"/>
      <c r="G15" s="30" t="n"/>
    </row>
    <row r="16">
      <c r="A16" s="27" t="n">
        <v>10</v>
      </c>
      <c r="B16" s="38" t="inlineStr">
        <is>
          <t>Used cooking oil pickup by a licensed recycler: file the pickup receipts</t>
        </is>
      </c>
      <c r="C16" s="29" t="n"/>
      <c r="D16" s="29" t="inlineStr">
        <is>
          <t>Oil recycler</t>
        </is>
      </c>
      <c r="E16" s="29" t="inlineStr">
        <is>
          <t>Quarterly</t>
        </is>
      </c>
      <c r="F16" s="30" t="n"/>
      <c r="G16" s="30" t="n"/>
    </row>
    <row r="17">
      <c r="A17" s="31" t="n">
        <v>11</v>
      </c>
      <c r="B17" s="39" t="inlineStr">
        <is>
          <t>Review the waste contract and cardboard pickup: pizza boxes are most of the volume</t>
        </is>
      </c>
      <c r="C17" s="29" t="n"/>
      <c r="D17" s="29" t="inlineStr">
        <is>
          <t>Manager</t>
        </is>
      </c>
      <c r="E17" s="29" t="inlineStr">
        <is>
          <t>Quarterly</t>
        </is>
      </c>
      <c r="F17" s="30" t="n"/>
      <c r="G17" s="30" t="n"/>
    </row>
    <row r="18">
      <c r="A18" s="25" t="inlineStr">
        <is>
          <t xml:space="preserve">  ADMIN &amp; EQUIPMENT</t>
        </is>
      </c>
      <c r="B18" s="26" t="n"/>
      <c r="C18" s="26" t="n"/>
      <c r="D18" s="26" t="n"/>
      <c r="E18" s="26" t="n"/>
      <c r="F18" s="26" t="n"/>
      <c r="G18" s="26" t="n"/>
    </row>
    <row r="19">
      <c r="A19" s="31" t="n">
        <v>12</v>
      </c>
      <c r="B19" s="39" t="inlineStr">
        <is>
          <t>Review insurance (general liability, property, workers' comp; liquor liability if you serve alcohol; hired and non-owned auto if drivers deliver in their own cars) and renewal dates</t>
        </is>
      </c>
      <c r="C19" s="29" t="n"/>
      <c r="D19" s="29" t="inlineStr">
        <is>
          <t>Manager</t>
        </is>
      </c>
      <c r="E19" s="29" t="inlineStr">
        <is>
          <t>Annual</t>
        </is>
      </c>
      <c r="F19" s="30" t="n"/>
      <c r="G19" s="30" t="n"/>
    </row>
    <row r="20">
      <c r="A20" s="31" t="n">
        <v>13</v>
      </c>
      <c r="B20" s="39" t="inlineStr">
        <is>
          <t>POS check: software updates, sales tax rates and settings, user permissions — plus the online ordering and delivery app integrations</t>
        </is>
      </c>
      <c r="C20" s="29" t="n"/>
      <c r="D20" s="29" t="inlineStr">
        <is>
          <t>Manager</t>
        </is>
      </c>
      <c r="E20" s="29" t="inlineStr">
        <is>
          <t>Annual</t>
        </is>
      </c>
      <c r="F20" s="30" t="n"/>
      <c r="G20" s="30" t="n"/>
    </row>
    <row r="21">
      <c r="A21" s="31" t="n">
        <v>14</v>
      </c>
      <c r="B21" s="39" t="inlineStr">
        <is>
          <t>Calibrate thermometers by the ice-point method (32 °F); the oven probe per its manufacturer</t>
        </is>
      </c>
      <c r="C21" s="29" t="n"/>
      <c r="D21" s="29" t="inlineStr">
        <is>
          <t>Technician</t>
        </is>
      </c>
      <c r="E21" s="29" t="inlineStr">
        <is>
          <t>Annual</t>
        </is>
      </c>
      <c r="F21" s="30" t="n"/>
      <c r="G21" s="30" t="n"/>
    </row>
    <row r="22">
      <c r="A22" s="31" t="n">
        <v>15</v>
      </c>
      <c r="B22" s="39" t="inlineStr">
        <is>
          <t>Log the next service date for each contract and file the signed report</t>
        </is>
      </c>
      <c r="C22" s="29" t="n"/>
      <c r="D22" s="29" t="inlineStr">
        <is>
          <t>Manager</t>
        </is>
      </c>
      <c r="E22" s="29" t="inlineStr">
        <is>
          <t>Quarterly</t>
        </is>
      </c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9">
      <c r="A29" s="18" t="inlineStr">
        <is>
          <t>Tasks done:</t>
        </is>
      </c>
      <c r="D29" s="19">
        <f>COUNTIFS(B5:B27,"?*",F5:F27,"✓")</f>
        <v>0.0</v>
      </c>
      <c r="E29" s="18" t="inlineStr">
        <is>
          <t>of</t>
        </is>
      </c>
      <c r="F29">
        <f>COUNTIF(B5:B27,"?*")-COUNTIF(F5:F27,"N/A")</f>
        <v>15.0</v>
      </c>
    </row>
    <row r="31">
      <c r="A31" s="4" t="inlineStr">
        <is>
          <t>Shift manager signature: _________________________    Time: _________</t>
        </is>
      </c>
    </row>
    <row r="33">
      <c r="A33" s="15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8:G18"/>
    <mergeCell ref="A31:G31"/>
    <mergeCell ref="A12:G12"/>
    <mergeCell ref="A2:G2"/>
    <mergeCell ref="A29:C29"/>
    <mergeCell ref="A33:G33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1 F13 F14 F15 F16 F17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Pizzeria Cleaning Checklist, Inventory &amp; Maintenance Schedule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2026-03-19T17:12:14Z</dcterms:created>
  <dcterms:modified xmlns:dcterms="http://purl.org/dc/terms/" xmlns:xsi="http://www.w3.org/2001/XMLSchema-instance" xsi:type="dcterms:W3CDTF">2026-10-18T01:54:04Z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