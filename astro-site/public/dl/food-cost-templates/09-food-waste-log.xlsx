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Weekly Waste Log" sheetId="2" state="visible" r:id="rId2"/>
    <sheet xmlns:r="http://schemas.openxmlformats.org/officeDocument/2006/relationships" name="Trend" sheetId="3" state="visible" r:id="rId3"/>
  </sheets>
  <definedNames>
    <definedName name="_xlnm.Print_Titles" localSheetId="1">'Weekly Waste Log'!$4:$4</definedName>
    <definedName name="_xlnm.Print_Area" localSheetId="1">'Weekly Waste Log'!$A$1:$J$24</definedName>
    <definedName name="_xlnm.Print_Area" localSheetId="2">'Trend'!$A$1:$E$36</definedName>
  </definedNames>
  <calcPr calcId="124519" fullCalcOnLoad="1"/>
</workbook>
</file>

<file path=xl/styles.xml><?xml version="1.0" encoding="utf-8"?>
<styleSheet xmlns="http://schemas.openxmlformats.org/spreadsheetml/2006/main">
  <numFmts count="4">
    <numFmt numFmtId="164" formatCode="#,##0.00"/>
    <numFmt numFmtId="165" formatCode="0.0%"/>
    <numFmt numFmtId="166" formatCode="+0.0%;-0.0%"/>
    <numFmt numFmtId="167" formatCode="m/d/yyyy"/>
  </numFmts>
  <fonts count="16">
    <font>
      <name val="Calibri"/>
      <family val="2"/>
      <color theme="1"/>
      <sz val="11"/>
      <scheme val="minor"/>
    </font>
    <font>
      <name val="Calibri"/>
      <b val="1"/>
      <color rgb="00FFD700"/>
      <sz val="18"/>
    </font>
    <font>
      <name val="Calibri"/>
      <color rgb="00888888"/>
      <sz val="11"/>
    </font>
    <font>
      <name val="Calibri"/>
      <i val="1"/>
      <color rgb="00888888"/>
      <sz val="10"/>
    </font>
    <font>
      <name val="Calibri"/>
      <b val="1"/>
      <color rgb="001A1A1A"/>
      <sz val="12"/>
    </font>
    <font>
      <name val="Calibri"/>
      <color rgb="00333333"/>
      <sz val="11"/>
    </font>
    <font>
      <name val="Calibri"/>
      <i val="1"/>
      <color rgb="00888888"/>
      <sz val="11"/>
    </font>
    <font>
      <name val="Calibri"/>
      <color rgb="00AAAAAA"/>
      <sz val="9"/>
    </font>
    <font>
      <name val="Calibri"/>
      <b val="1"/>
      <color rgb="00FFFFFF"/>
      <sz val="11"/>
    </font>
    <font>
      <name val="Calibri"/>
      <b val="1"/>
      <color rgb="00333333"/>
      <sz val="11"/>
    </font>
    <font/>
    <font>
      <b val="1"/>
      <sz val="13"/>
    </font>
    <font>
      <b val="1"/>
      <sz val="11"/>
    </font>
    <font>
      <sz val="11"/>
    </font>
    <font>
      <b val="1"/>
      <color rgb="00FFFFFF"/>
      <sz val="10"/>
    </font>
    <font>
      <i val="1"/>
      <color rgb="00606060"/>
      <sz val="9"/>
    </font>
  </fonts>
  <fills count="12">
    <fill>
      <patternFill/>
    </fill>
    <fill>
      <patternFill patternType="gray125"/>
    </fill>
    <fill>
      <patternFill patternType="solid">
        <fgColor rgb="00E8F5E9"/>
        <bgColor rgb="00E8F5E9"/>
      </patternFill>
    </fill>
    <fill>
      <patternFill patternType="solid">
        <fgColor rgb="002D2D2D"/>
        <bgColor rgb="002D2D2D"/>
      </patternFill>
    </fill>
    <fill>
      <patternFill patternType="solid">
        <fgColor rgb="00FFFFFF"/>
        <bgColor rgb="00FFFFFF"/>
      </patternFill>
    </fill>
    <fill>
      <patternFill patternType="solid">
        <fgColor rgb="00F5F5F5"/>
        <bgColor rgb="00F5F5F5"/>
      </patternFill>
    </fill>
    <fill>
      <patternFill patternType="solid">
        <fgColor rgb="00FFD700"/>
        <bgColor rgb="00FFD700"/>
      </patternFill>
    </fill>
    <fill>
      <patternFill patternType="solid">
        <fgColor rgb="00E8F5E9"/>
      </patternFill>
    </fill>
    <fill>
      <patternFill patternType="solid">
        <fgColor rgb="002D2D2D"/>
      </patternFill>
    </fill>
    <fill>
      <patternFill patternType="solid">
        <fgColor rgb="00FFFFFF"/>
      </patternFill>
    </fill>
    <fill>
      <patternFill patternType="solid">
        <fgColor rgb="00F5F5F5"/>
      </patternFill>
    </fill>
    <fill>
      <patternFill patternType="solid">
        <fgColor rgb="00FFD700"/>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55">
    <xf numFmtId="0" fontId="0" fillId="0" borderId="0" pivotButton="0" quotePrefix="0" xfId="0"/>
    <xf numFmtId="0" fontId="1" fillId="0" borderId="0" applyAlignment="1" pivotButton="0" quotePrefix="0" xfId="0">
      <alignment horizontal="left" vertical="center" wrapText="1"/>
    </xf>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1" fillId="0" borderId="0" pivotButton="0" quotePrefix="0" xfId="0"/>
    <xf numFmtId="0" fontId="0" fillId="2" borderId="1" pivotButton="0" quotePrefix="0" xfId="0"/>
    <xf numFmtId="0" fontId="8" fillId="3" borderId="1" applyAlignment="1" pivotButton="0" quotePrefix="0" xfId="0">
      <alignment horizontal="center" vertical="center" wrapText="1"/>
    </xf>
    <xf numFmtId="0" fontId="5" fillId="4" borderId="1" pivotButton="0" quotePrefix="0" xfId="0"/>
    <xf numFmtId="9" fontId="5" fillId="4" borderId="1" applyAlignment="1" pivotButton="0" quotePrefix="0" xfId="0">
      <alignment horizontal="center" vertical="center" wrapText="1"/>
    </xf>
    <xf numFmtId="164" fontId="0" fillId="2" borderId="1" pivotButton="0" quotePrefix="0" xfId="0"/>
    <xf numFmtId="165" fontId="9" fillId="0" borderId="1" applyAlignment="1" pivotButton="0" quotePrefix="0" xfId="0">
      <alignment horizontal="center" vertical="center" wrapText="1"/>
    </xf>
    <xf numFmtId="166" fontId="9"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5" fillId="5" borderId="1" pivotButton="0" quotePrefix="0" xfId="0"/>
    <xf numFmtId="9" fontId="5" fillId="5" borderId="1" applyAlignment="1" pivotButton="0" quotePrefix="0" xfId="0">
      <alignment horizontal="center" vertical="center" wrapText="1"/>
    </xf>
    <xf numFmtId="0" fontId="4" fillId="6" borderId="1" pivotButton="0" quotePrefix="0" xfId="0"/>
    <xf numFmtId="164" fontId="4" fillId="6" borderId="1" pivotButton="0" quotePrefix="0" xfId="0"/>
    <xf numFmtId="165" fontId="4" fillId="6" borderId="1" pivotButton="0" quotePrefix="0" xfId="0"/>
    <xf numFmtId="0" fontId="11" fillId="0" borderId="0" pivotButton="0" quotePrefix="0" xfId="0"/>
    <xf numFmtId="0" fontId="12" fillId="0" borderId="0" pivotButton="0" quotePrefix="0" xfId="0"/>
    <xf numFmtId="167" fontId="13" fillId="7" borderId="1" applyAlignment="1" applyProtection="1" pivotButton="0" quotePrefix="0" xfId="0">
      <alignment horizontal="center" vertical="center"/>
      <protection locked="0" hidden="0"/>
    </xf>
    <xf numFmtId="0" fontId="10" fillId="0" borderId="0" pivotButton="0" quotePrefix="0" xfId="0"/>
    <xf numFmtId="0" fontId="14" fillId="8" borderId="1" applyAlignment="1" pivotButton="0" quotePrefix="0" xfId="0">
      <alignment horizontal="center" vertical="center" wrapText="1"/>
    </xf>
    <xf numFmtId="0" fontId="14" fillId="8" borderId="0" applyAlignment="1" pivotButton="0" quotePrefix="0" xfId="0">
      <alignment horizontal="center" vertical="center" wrapText="1"/>
    </xf>
    <xf numFmtId="0" fontId="13" fillId="9" borderId="1" pivotButton="0" quotePrefix="0" xfId="0"/>
    <xf numFmtId="165" fontId="13" fillId="9" borderId="1" applyAlignment="1" pivotButton="0" quotePrefix="0" xfId="0">
      <alignment horizontal="center" vertical="center"/>
    </xf>
    <xf numFmtId="165" fontId="13" fillId="7" borderId="1" applyAlignment="1" applyProtection="1" pivotButton="0" quotePrefix="0" xfId="0">
      <alignment horizontal="center" vertical="center"/>
      <protection locked="0" hidden="0"/>
    </xf>
    <xf numFmtId="164" fontId="13" fillId="7" borderId="1" applyProtection="1" pivotButton="0" quotePrefix="0" xfId="0">
      <protection locked="0" hidden="0"/>
    </xf>
    <xf numFmtId="166" fontId="13" fillId="9" borderId="1" applyAlignment="1" pivotButton="0" quotePrefix="0" xfId="0">
      <alignment horizontal="center" vertical="center"/>
    </xf>
    <xf numFmtId="0" fontId="13" fillId="9" borderId="0" applyAlignment="1" pivotButton="0" quotePrefix="0" xfId="0">
      <alignment horizontal="center" vertical="center"/>
    </xf>
    <xf numFmtId="0" fontId="13" fillId="7" borderId="0" applyProtection="1" pivotButton="0" quotePrefix="0" xfId="0">
      <protection locked="0" hidden="0"/>
    </xf>
    <xf numFmtId="0" fontId="13" fillId="10" borderId="1" pivotButton="0" quotePrefix="0" xfId="0"/>
    <xf numFmtId="165" fontId="13" fillId="10" borderId="1" applyAlignment="1" pivotButton="0" quotePrefix="0" xfId="0">
      <alignment horizontal="center" vertical="center"/>
    </xf>
    <xf numFmtId="166" fontId="13" fillId="10" borderId="1" applyAlignment="1" pivotButton="0" quotePrefix="0" xfId="0">
      <alignment horizontal="center" vertical="center"/>
    </xf>
    <xf numFmtId="0" fontId="13" fillId="10" borderId="0" applyAlignment="1" pivotButton="0" quotePrefix="0" xfId="0">
      <alignment horizontal="center" vertical="center"/>
    </xf>
    <xf numFmtId="0" fontId="12" fillId="11" borderId="1" pivotButton="0" quotePrefix="0" xfId="0"/>
    <xf numFmtId="0" fontId="12" fillId="11" borderId="0" pivotButton="0" quotePrefix="0" xfId="0"/>
    <xf numFmtId="164" fontId="12" fillId="11" borderId="1" pivotButton="0" quotePrefix="0" xfId="0"/>
    <xf numFmtId="164" fontId="12" fillId="11" borderId="0" pivotButton="0" quotePrefix="0" xfId="0"/>
    <xf numFmtId="165" fontId="12" fillId="11" borderId="0" applyAlignment="1" pivotButton="0" quotePrefix="0" xfId="0">
      <alignment horizontal="center" vertical="center"/>
    </xf>
    <xf numFmtId="0" fontId="15" fillId="0" borderId="0" applyAlignment="1" pivotButton="0" quotePrefix="0" xfId="0">
      <alignment vertical="center" wrapText="1"/>
    </xf>
    <xf numFmtId="0" fontId="15" fillId="0" borderId="0" applyAlignment="1" pivotButton="0" quotePrefix="0" xfId="0">
      <alignment vertical="top" wrapText="1"/>
    </xf>
    <xf numFmtId="165" fontId="13" fillId="7" borderId="0" applyAlignment="1" applyProtection="1" pivotButton="0" quotePrefix="0" xfId="0">
      <alignment horizontal="center" vertical="center"/>
      <protection locked="0" hidden="0"/>
    </xf>
    <xf numFmtId="0" fontId="13" fillId="9" borderId="0" pivotButton="0" quotePrefix="0" xfId="0"/>
    <xf numFmtId="164" fontId="13" fillId="9" borderId="0" pivotButton="0" quotePrefix="0" xfId="0"/>
    <xf numFmtId="165" fontId="13" fillId="9" borderId="0" applyAlignment="1" pivotButton="0" quotePrefix="0" xfId="0">
      <alignment horizontal="center" vertical="center"/>
    </xf>
    <xf numFmtId="0" fontId="13" fillId="10" borderId="0" pivotButton="0" quotePrefix="0" xfId="0"/>
    <xf numFmtId="164" fontId="13" fillId="7" borderId="0" applyProtection="1" pivotButton="0" quotePrefix="0" xfId="0">
      <protection locked="0" hidden="0"/>
    </xf>
    <xf numFmtId="165" fontId="13" fillId="10" borderId="0" applyAlignment="1" pivotButton="0" quotePrefix="0" xfId="0">
      <alignment horizontal="center" vertical="center"/>
    </xf>
    <xf numFmtId="14" fontId="13" fillId="7" borderId="1" applyAlignment="1" applyProtection="1" pivotButton="0" quotePrefix="0" xfId="0">
      <alignment horizontal="center" vertical="center"/>
      <protection locked="0" hidden="0"/>
    </xf>
  </cellXfs>
  <cellStyles count="1">
    <cellStyle name="Normal" xfId="0" builtinId="0" hidden="0"/>
  </cellStyles>
  <dxfs count="3">
    <dxf>
      <font>
        <b val="1"/>
        <color rgb="009C0006"/>
      </font>
      <fill>
        <patternFill patternType="solid">
          <fgColor rgb="00FFC7CE"/>
          <bgColor rgb="00FFC7CE"/>
        </patternFill>
      </fill>
    </dxf>
    <dxf>
      <font>
        <b val="1"/>
        <color rgb="00006100"/>
      </font>
      <fill>
        <patternFill patternType="solid">
          <fgColor rgb="00C6EFCE"/>
          <bgColor rgb="00C6EFCE"/>
        </patternFill>
      </fill>
    </dxf>
    <dxf>
      <font>
        <color rgb="00FFFFF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Weekly Waste vs. Target</a:t>
            </a:r>
          </a:p>
        </rich>
      </tx>
    </title>
    <plotArea>
      <lineChart>
        <grouping val="standard"/>
        <ser>
          <idx val="0"/>
          <order val="0"/>
          <tx>
            <strRef>
              <f>Trend!D5</f>
            </strRef>
          </tx>
          <spPr>
            <a:ln xmlns:a="http://schemas.openxmlformats.org/drawingml/2006/main">
              <a:prstDash val="solid"/>
            </a:ln>
          </spPr>
          <marker>
            <symbol val="none"/>
            <spPr>
              <a:ln xmlns:a="http://schemas.openxmlformats.org/drawingml/2006/main">
                <a:prstDash val="solid"/>
              </a:ln>
            </spPr>
          </marker>
          <cat>
            <strRef>
              <f>Trend!$A$6:$A$17</f>
            </strRef>
          </cat>
          <val>
            <numRef>
              <f>Trend!$D$6:$D$17</f>
            </numRef>
          </val>
        </ser>
        <ser>
          <idx val="1"/>
          <order val="1"/>
          <tx>
            <strRef>
              <f>Trend!E5</f>
            </strRef>
          </tx>
          <spPr>
            <a:ln xmlns:a="http://schemas.openxmlformats.org/drawingml/2006/main">
              <a:prstDash val="solid"/>
            </a:ln>
          </spPr>
          <marker>
            <symbol val="none"/>
            <spPr>
              <a:ln xmlns:a="http://schemas.openxmlformats.org/drawingml/2006/main">
                <a:prstDash val="solid"/>
              </a:ln>
            </spPr>
          </marker>
          <cat>
            <strRef>
              <f>Trend!$A$6:$A$17</f>
            </strRef>
          </cat>
          <val>
            <numRef>
              <f>Trend!$E$6:$E$17</f>
            </numRef>
          </val>
        </ser>
        <axId val="10"/>
        <axId val="100"/>
      </lineChart>
      <catAx>
        <axId val="10"/>
        <scaling>
          <orientation val="minMax"/>
        </scaling>
        <delete val="0"/>
        <axPos val="b"/>
        <majorTickMark val="none"/>
        <minorTickMark val="none"/>
        <crossAx val="100"/>
        <lblOffset val="100"/>
      </catAx>
      <valAx>
        <axId val="100"/>
        <scaling>
          <orientation val="minMax"/>
        </scaling>
        <delete val="0"/>
        <axPos val="l"/>
        <majorGridlines/>
        <numFmt formatCode="0.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18</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FFD700"/>
    <outlinePr summaryBelow="1" summaryRight="1"/>
    <pageSetUpPr fitToPage="1"/>
  </sheetPr>
  <dimension ref="A1:B60"/>
  <sheetViews>
    <sheetView workbookViewId="0">
      <selection activeCell="A1" sqref="A1"/>
    </sheetView>
  </sheetViews>
  <sheetFormatPr baseColWidth="8" defaultRowHeight="15"/>
  <cols>
    <col width="3" customWidth="1" min="1" max="1"/>
    <col width="80" customWidth="1" min="2" max="2"/>
  </cols>
  <sheetData>
    <row r="1"/>
    <row r="2">
      <c r="B2" s="1" t="inlineStr">
        <is>
          <t>📋 Food Waste Log</t>
        </is>
      </c>
    </row>
    <row r="3">
      <c r="B3" s="2" t="inlineStr">
        <is>
          <t>Food Cost Kit Pro — AI Chef Pro</t>
        </is>
      </c>
    </row>
    <row r="4">
      <c r="B4" s="3" t="inlineStr">
        <is>
          <t>www.aichef.pro</t>
        </is>
      </c>
    </row>
    <row r="5"/>
    <row r="6">
      <c r="B6" s="6" t="inlineStr">
        <is>
          <t>▸ This template measures WASTE: the money thrown away (expired, spoiled, overproduction, over-portioning) over the money spent on purchases.</t>
        </is>
      </c>
    </row>
    <row r="7">
      <c r="B7" s="6" t="inlineStr">
        <is>
          <t>▸ It does NOT measure trim loss from butchering and prep. That belongs in the recipe cost card templates (the "Trim Loss Factors" tab) and is already priced into the dish cost — logging it again here would double-count it.</t>
        </is>
      </c>
    </row>
    <row r="8">
      <c r="B8" s="6" t="n"/>
    </row>
    <row r="9">
      <c r="B9" s="4" t="inlineStr">
        <is>
          <t>How to fill it in</t>
        </is>
      </c>
    </row>
    <row r="10">
      <c r="B10" s="6" t="n"/>
    </row>
    <row r="11">
      <c r="B11" s="6" t="inlineStr">
        <is>
          <t>▸ The "Weekly Waste Log" tab: enter the Monday date and, by category, the week's PURCHASES and the AMOUNT wasted.</t>
        </is>
      </c>
    </row>
    <row r="12">
      <c r="B12" s="6" t="inlineStr">
        <is>
          <t>▸ The percentage, the point difference, and the status calculate themselves.</t>
        </is>
      </c>
    </row>
    <row r="13">
      <c r="B13" s="6" t="inlineStr">
        <is>
          <t>▸ Only fill in the GREEN cells. Everything else is a formula.</t>
        </is>
      </c>
    </row>
    <row r="14">
      <c r="B14" s="5" t="n"/>
    </row>
    <row r="15">
      <c r="B15" s="4" t="inlineStr">
        <is>
          <t>The traffic-light system</t>
        </is>
      </c>
    </row>
    <row r="16"/>
    <row r="17">
      <c r="B17" s="6" t="inlineStr">
        <is>
          <t>▸ Status in GREEN ("OK"): waste is at or below target.</t>
        </is>
      </c>
    </row>
    <row r="18">
      <c r="B18" s="6" t="inlineStr">
        <is>
          <t>▸ Status in RED ("ALERT"): you're over target. Start there.</t>
        </is>
      </c>
    </row>
    <row r="19">
      <c r="B19" s="6" t="inlineStr">
        <is>
          <t>▸ The "Actual waste (%)" column also has a color scale, so you can see at a glance which category is out of line.</t>
        </is>
      </c>
    </row>
    <row r="20"/>
    <row r="21">
      <c r="B21" s="4" t="inlineStr">
        <is>
          <t>The targets (min / typical / max)</t>
        </is>
      </c>
    </row>
    <row r="22"/>
    <row r="23">
      <c r="B23" s="6" t="inlineStr">
        <is>
          <t>▸ Dry goods and frozen 2-3% · meat and fish 3-5% · produce 5-8% · beverages 1-2% · bread and pastry 5-10%.</t>
        </is>
      </c>
    </row>
    <row r="24">
      <c r="B24" s="6" t="inlineStr">
        <is>
          <t>▸ The "Typical target" is the green cell, and it's what triggers the alert — lower it as your operation improves.</t>
        </is>
      </c>
    </row>
    <row r="25">
      <c r="B25" s="6" t="inlineStr">
        <is>
          <t>▸ Min and max are the industry range — they tell you whether your number is normal, good, or bad.</t>
        </is>
      </c>
    </row>
    <row r="26"/>
    <row r="27">
      <c r="B27" s="4" t="inlineStr">
        <is>
          <t>The "Trend" tab</t>
        </is>
      </c>
    </row>
    <row r="28"/>
    <row r="29">
      <c r="B29" s="6" t="inlineStr">
        <is>
          <t>▸ Twelve weeks. The first row ("Current week") is LINKED to the TOTAL of "Weekly Waste Log": it updates itself as you fill in the week.</t>
        </is>
      </c>
    </row>
    <row r="30">
      <c r="B30" s="6" t="inlineStr">
        <is>
          <t>▸ Every Monday, BEFORE clearing the weekly log, copy its total into the row for the week you're closing and paste VALUES, not formulas. The first time, you'll paste over the link — and that's correct: if you leave it live, week 1 will end up showing week 2's data and you'll lose the history.</t>
        </is>
      </c>
    </row>
    <row r="31">
      <c r="B31" s="6" t="inlineStr">
        <is>
          <t>▸ The chart compares your waste against the overall target week by week: the trend is what matters, not any single Monday's snapshot.</t>
        </is>
      </c>
    </row>
    <row r="32">
      <c r="B32" s="6" t="inlineStr">
        <is>
          <t>▸ Weeks you haven't filled in yet return #N/A on purpose: it's the only value the chart SKIPS. With a blank cell or text, Excel would plot a zero and it would look like your waste had collapsed.</t>
        </is>
      </c>
    </row>
    <row r="33"/>
    <row r="34">
      <c r="B34" s="4" t="inlineStr">
        <is>
          <t>Sheet protection</t>
        </is>
      </c>
    </row>
    <row r="35"/>
    <row r="36">
      <c r="B36" s="6" t="inlineStr">
        <is>
          <t>▸ Sheets are protected WITHOUT a password so you don't delete a formula by accident: only the green cells are meant to be edited.</t>
        </is>
      </c>
    </row>
    <row r="37">
      <c r="B37" s="6" t="inlineStr">
        <is>
          <t>▸ To edit anything else: Review → Unprotect Sheet (Excel) or Data → Protect sheets and ranges (Google Sheets). No password is required.</t>
        </is>
      </c>
    </row>
    <row r="38"/>
    <row r="39">
      <c r="B39" s="4" t="inlineStr">
        <is>
          <t>Related templates</t>
        </is>
      </c>
    </row>
    <row r="40"/>
    <row r="41">
      <c r="B41" s="6" t="inlineStr">
        <is>
          <t>▸ Trim loss (what you trim off before cooking) goes in the recipe cost card, not in this log: measure it with template 12 (Yield Test) and type it in Trim loss % on the card. Log here only food that gets thrown away.</t>
        </is>
      </c>
    </row>
    <row r="42"/>
    <row r="43">
      <c r="B43" s="4" t="inlineStr">
        <is>
          <t>Using Google Sheets</t>
        </is>
      </c>
    </row>
    <row r="44"/>
    <row r="45">
      <c r="B45" s="6" t="inlineStr">
        <is>
          <t>▸ This file is built for Microsoft Excel. In Google Sheets: upload it to Google Drive, open it and choose File → Save as Google Sheets (Protect sheets and ranges isn't available while it's still an .xlsx). To go back: File → Download → Microsoft Excel (.xlsx).</t>
        </is>
      </c>
    </row>
    <row r="46">
      <c r="B46" s="6" t="inlineStr">
        <is>
          <t>▸ Paste values only: Ctrl+Shift+V (Mac: Cmd+Shift+V) or Edit → Paste special → Values only. In Excel for Mac, Paste Special is Ctrl+Cmd+V.</t>
        </is>
      </c>
    </row>
    <row r="47">
      <c r="B47" s="6" t="inlineStr">
        <is>
          <t>▸ Protection: Data → Protect sheets and ranges.</t>
        </is>
      </c>
    </row>
    <row r="48">
      <c r="B48" s="6" t="inlineStr">
        <is>
          <t>▸ If the chart looks different after converting, the numbers in the table don't change: the chart only draws them.</t>
        </is>
      </c>
    </row>
    <row r="49"/>
    <row r="50">
      <c r="B50" s="4" t="inlineStr">
        <is>
          <t>Good to know</t>
        </is>
      </c>
    </row>
    <row r="51"/>
    <row r="52">
      <c r="B52" s="6" t="inlineStr">
        <is>
          <t>▸ Amounts have no currency symbol: they're in your currency. The examples use U.S. dollars.</t>
        </is>
      </c>
    </row>
    <row r="53">
      <c r="B53" s="6" t="inlineStr">
        <is>
          <t>▸ Sample amounts are illustrative U.S. figures — replace them with your own.</t>
        </is>
      </c>
    </row>
    <row r="54">
      <c r="B54" s="6" t="inlineStr">
        <is>
          <t>License: one business (all its locations) per purchase — use it with your clients, but don't hand out copies; schools: info@aichef.pro</t>
        </is>
      </c>
    </row>
    <row r="55"/>
    <row r="56">
      <c r="B56" s="6" t="inlineStr">
        <is>
          <t>— Food Cost Kit Pro · AI Chef Pro · aichef.pro</t>
        </is>
      </c>
    </row>
    <row r="57"/>
    <row r="58">
      <c r="B58" s="6" t="inlineStr">
        <is>
          <t>© 2026 AI Chef Pro · All rights reserved</t>
        </is>
      </c>
    </row>
    <row r="59"/>
    <row r="60">
      <c r="B60" s="6" t="inlineStr">
        <is>
          <t>Version 2.1 · September 2026 · aichef.pro/en/digital-products/food-cost-templates · info@aichef.pro</t>
        </is>
      </c>
    </row>
  </sheetData>
  <mergeCells count="1">
    <mergeCell ref="B2"/>
  </mergeCell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FFD700"/>
    <outlinePr summaryBelow="1" summaryRight="1"/>
    <pageSetUpPr fitToPage="1"/>
  </sheetPr>
  <dimension ref="A1:J24"/>
  <sheetViews>
    <sheetView workbookViewId="0">
      <pane ySplit="4" topLeftCell="A5" activePane="bottomLeft" state="frozen"/>
      <selection pane="bottomLeft" activeCell="A1" sqref="A1"/>
    </sheetView>
  </sheetViews>
  <sheetFormatPr baseColWidth="8" defaultRowHeight="15"/>
  <cols>
    <col width="20" customWidth="1" min="1" max="1"/>
    <col width="13" customWidth="1" min="2" max="2"/>
    <col width="14" customWidth="1" min="3" max="3"/>
    <col width="13" customWidth="1" min="4" max="4"/>
    <col width="16" customWidth="1" min="5" max="5"/>
    <col width="18" customWidth="1" min="6" max="6"/>
    <col width="18" customWidth="1" min="7" max="7"/>
    <col width="15" customWidth="1" min="8" max="8"/>
    <col width="11" customWidth="1" min="9" max="9"/>
    <col width="30" customWidth="1" min="10" max="10"/>
  </cols>
  <sheetData>
    <row r="1">
      <c r="A1" s="23" t="inlineStr">
        <is>
          <t>Food Waste Log — Weekly Waste vs. Purchases</t>
        </is>
      </c>
    </row>
    <row r="2">
      <c r="A2" s="24" t="inlineStr">
        <is>
          <t>Week of:</t>
        </is>
      </c>
      <c r="B2" s="54" t="n"/>
      <c r="C2" s="26" t="n"/>
      <c r="D2" s="26" t="n"/>
      <c r="E2" s="26" t="n"/>
      <c r="F2" s="26" t="n"/>
      <c r="G2" s="26" t="n"/>
      <c r="H2" s="26" t="n"/>
      <c r="I2" s="26" t="n"/>
      <c r="J2" s="26" t="n"/>
    </row>
    <row r="3">
      <c r="A3" s="26" t="n"/>
      <c r="B3" s="26" t="n"/>
      <c r="C3" s="26" t="n"/>
      <c r="D3" s="26" t="n"/>
      <c r="E3" s="26" t="n"/>
      <c r="F3" s="26" t="n"/>
      <c r="G3" s="26" t="n"/>
      <c r="H3" s="26" t="n"/>
      <c r="I3" s="26" t="n"/>
      <c r="J3" s="26" t="n"/>
    </row>
    <row r="4" ht="30" customHeight="1">
      <c r="A4" s="27" t="inlineStr">
        <is>
          <t>Category</t>
        </is>
      </c>
      <c r="B4" s="27" t="inlineStr">
        <is>
          <t>Min target</t>
        </is>
      </c>
      <c r="C4" s="27" t="inlineStr">
        <is>
          <t>Typical target</t>
        </is>
      </c>
      <c r="D4" s="27" t="inlineStr">
        <is>
          <t>Max target</t>
        </is>
      </c>
      <c r="E4" s="27" t="inlineStr">
        <is>
          <t>Total purchases</t>
        </is>
      </c>
      <c r="F4" s="27" t="inlineStr">
        <is>
          <t>Actual waste</t>
        </is>
      </c>
      <c r="G4" s="27" t="inlineStr">
        <is>
          <t>Actual waste (%)</t>
        </is>
      </c>
      <c r="H4" s="27" t="inlineStr">
        <is>
          <t>Difference (pp)</t>
        </is>
      </c>
      <c r="I4" s="28" t="inlineStr">
        <is>
          <t>Status</t>
        </is>
      </c>
      <c r="J4" s="28" t="inlineStr">
        <is>
          <t>Notes</t>
        </is>
      </c>
    </row>
    <row r="5">
      <c r="A5" s="29" t="inlineStr">
        <is>
          <t>Beef &amp; red meat</t>
        </is>
      </c>
      <c r="B5" s="30" t="n">
        <v>0.03</v>
      </c>
      <c r="C5" s="31" t="n">
        <v>0.04</v>
      </c>
      <c r="D5" s="30" t="n">
        <v>0.05</v>
      </c>
      <c r="E5" s="32" t="n">
        <v>2200</v>
      </c>
      <c r="F5" s="32" t="n">
        <v>88</v>
      </c>
      <c r="G5" s="30">
        <f>IFERROR(IF(E5=0,"",F5/E5),"")</f>
        <v>0.04</v>
      </c>
      <c r="H5" s="33">
        <f>IFERROR(IF(G5="","",G5-C5),"")</f>
        <v>0.0</v>
      </c>
      <c r="I5" s="34" t="str">
        <f>IFERROR(IF(G5="","",IF(G5&lt;=C5,"OK","ALERT")),"")</f>
        <v>OK</v>
      </c>
      <c r="J5" s="35" t="n"/>
    </row>
    <row r="6">
      <c r="A6" s="36" t="inlineStr">
        <is>
          <t>Poultry</t>
        </is>
      </c>
      <c r="B6" s="37" t="n">
        <v>0.03</v>
      </c>
      <c r="C6" s="31" t="n">
        <v>0.04</v>
      </c>
      <c r="D6" s="37" t="n">
        <v>0.05</v>
      </c>
      <c r="E6" s="32" t="n"/>
      <c r="F6" s="32" t="n"/>
      <c r="G6" s="37">
        <f>IFERROR(IF(E6=0,"",F6/E6),"")</f>
        <v/>
      </c>
      <c r="H6" s="38">
        <f>IFERROR(IF(G6="","",G6-C6),"")</f>
        <v/>
      </c>
      <c r="I6" s="39">
        <f>IFERROR(IF(G6="","",IF(G6&lt;=C6,"OK","ALERT")),"")</f>
        <v/>
      </c>
      <c r="J6" s="35" t="n"/>
    </row>
    <row r="7">
      <c r="A7" s="29" t="inlineStr">
        <is>
          <t>Fish</t>
        </is>
      </c>
      <c r="B7" s="30" t="n">
        <v>0.03</v>
      </c>
      <c r="C7" s="31" t="n">
        <v>0.04</v>
      </c>
      <c r="D7" s="30" t="n">
        <v>0.05</v>
      </c>
      <c r="E7" s="32" t="n">
        <v>1400</v>
      </c>
      <c r="F7" s="32" t="n">
        <v>98</v>
      </c>
      <c r="G7" s="30">
        <f>IFERROR(IF(E7=0,"",F7/E7),"")</f>
        <v>0.07</v>
      </c>
      <c r="H7" s="33">
        <f>IFERROR(IF(G7="","",G7-C7),"")</f>
        <v>0.030000000000000006</v>
      </c>
      <c r="I7" s="34" t="str">
        <f>IFERROR(IF(G7="","",IF(G7&lt;=C7,"OK","ALERT")),"")</f>
        <v>ALERT</v>
      </c>
      <c r="J7" s="35" t="n"/>
    </row>
    <row r="8">
      <c r="A8" s="36" t="inlineStr">
        <is>
          <t>Shellfish</t>
        </is>
      </c>
      <c r="B8" s="37" t="n">
        <v>0.03</v>
      </c>
      <c r="C8" s="31" t="n">
        <v>0.05</v>
      </c>
      <c r="D8" s="37" t="n">
        <v>0.06</v>
      </c>
      <c r="E8" s="32" t="n"/>
      <c r="F8" s="32" t="n"/>
      <c r="G8" s="37">
        <f>IFERROR(IF(E8=0,"",F8/E8),"")</f>
        <v/>
      </c>
      <c r="H8" s="38">
        <f>IFERROR(IF(G8="","",G8-C8),"")</f>
        <v/>
      </c>
      <c r="I8" s="39">
        <f>IFERROR(IF(G8="","",IF(G8&lt;=C8,"OK","ALERT")),"")</f>
        <v/>
      </c>
      <c r="J8" s="35" t="n"/>
    </row>
    <row r="9">
      <c r="A9" s="29" t="inlineStr">
        <is>
          <t>Leafy greens</t>
        </is>
      </c>
      <c r="B9" s="30" t="n">
        <v>0.05</v>
      </c>
      <c r="C9" s="31" t="n">
        <v>0.07000000000000001</v>
      </c>
      <c r="D9" s="30" t="n">
        <v>0.08</v>
      </c>
      <c r="E9" s="32" t="n">
        <v>700</v>
      </c>
      <c r="F9" s="32" t="n">
        <v>43</v>
      </c>
      <c r="G9" s="30">
        <f>IFERROR(IF(E9=0,"",F9/E9),"")</f>
        <v>0.06142857142857143</v>
      </c>
      <c r="H9" s="33">
        <f>IFERROR(IF(G9="","",G9-C9),"")</f>
        <v>-0.008571428571428577</v>
      </c>
      <c r="I9" s="34" t="str">
        <f>IFERROR(IF(G9="","",IF(G9&lt;=C9,"OK","ALERT")),"")</f>
        <v>OK</v>
      </c>
      <c r="J9" s="35" t="n"/>
    </row>
    <row r="10">
      <c r="A10" s="36" t="inlineStr">
        <is>
          <t>Root vegetables</t>
        </is>
      </c>
      <c r="B10" s="37" t="n">
        <v>0.05</v>
      </c>
      <c r="C10" s="31" t="n">
        <v>0.06</v>
      </c>
      <c r="D10" s="37" t="n">
        <v>0.08</v>
      </c>
      <c r="E10" s="32" t="n"/>
      <c r="F10" s="32" t="n"/>
      <c r="G10" s="37">
        <f>IFERROR(IF(E10=0,"",F10/E10),"")</f>
        <v/>
      </c>
      <c r="H10" s="38">
        <f>IFERROR(IF(G10="","",G10-C10),"")</f>
        <v/>
      </c>
      <c r="I10" s="39">
        <f>IFERROR(IF(G10="","",IF(G10&lt;=C10,"OK","ALERT")),"")</f>
        <v/>
      </c>
      <c r="J10" s="35" t="n"/>
    </row>
    <row r="11">
      <c r="A11" s="29" t="inlineStr">
        <is>
          <t>Fruit</t>
        </is>
      </c>
      <c r="B11" s="30" t="n">
        <v>0.05</v>
      </c>
      <c r="C11" s="31" t="n">
        <v>0.06</v>
      </c>
      <c r="D11" s="30" t="n">
        <v>0.08</v>
      </c>
      <c r="E11" s="32" t="n"/>
      <c r="F11" s="32" t="n"/>
      <c r="G11" s="30">
        <f>IFERROR(IF(E11=0,"",F11/E11),"")</f>
        <v/>
      </c>
      <c r="H11" s="33">
        <f>IFERROR(IF(G11="","",G11-C11),"")</f>
        <v/>
      </c>
      <c r="I11" s="34">
        <f>IFERROR(IF(G11="","",IF(G11&lt;=C11,"OK","ALERT")),"")</f>
        <v/>
      </c>
      <c r="J11" s="35" t="n"/>
    </row>
    <row r="12">
      <c r="A12" s="36" t="inlineStr">
        <is>
          <t>Dairy</t>
        </is>
      </c>
      <c r="B12" s="37" t="n">
        <v>0.02</v>
      </c>
      <c r="C12" s="31" t="n">
        <v>0.03</v>
      </c>
      <c r="D12" s="37" t="n">
        <v>0.04</v>
      </c>
      <c r="E12" s="32" t="n">
        <v>550</v>
      </c>
      <c r="F12" s="32" t="n">
        <v>14</v>
      </c>
      <c r="G12" s="37">
        <f>IFERROR(IF(E12=0,"",F12/E12),"")</f>
        <v>0.025454545454545455</v>
      </c>
      <c r="H12" s="38">
        <f>IFERROR(IF(G12="","",G12-C12),"")</f>
        <v>-0.0045454545454545435</v>
      </c>
      <c r="I12" s="39" t="str">
        <f>IFERROR(IF(G12="","",IF(G12&lt;=C12,"OK","ALERT")),"")</f>
        <v>OK</v>
      </c>
      <c r="J12" s="35" t="n"/>
    </row>
    <row r="13">
      <c r="A13" s="29" t="inlineStr">
        <is>
          <t>Dry goods &amp; grains</t>
        </is>
      </c>
      <c r="B13" s="30" t="n">
        <v>0.02</v>
      </c>
      <c r="C13" s="31" t="n">
        <v>0.025</v>
      </c>
      <c r="D13" s="30" t="n">
        <v>0.03</v>
      </c>
      <c r="E13" s="32" t="n"/>
      <c r="F13" s="32" t="n"/>
      <c r="G13" s="30">
        <f>IFERROR(IF(E13=0,"",F13/E13),"")</f>
        <v/>
      </c>
      <c r="H13" s="33">
        <f>IFERROR(IF(G13="","",G13-C13),"")</f>
        <v/>
      </c>
      <c r="I13" s="34">
        <f>IFERROR(IF(G13="","",IF(G13&lt;=C13,"OK","ALERT")),"")</f>
        <v/>
      </c>
      <c r="J13" s="35" t="n"/>
    </row>
    <row r="14">
      <c r="A14" s="36" t="inlineStr">
        <is>
          <t>Frozen</t>
        </is>
      </c>
      <c r="B14" s="37" t="n">
        <v>0.02</v>
      </c>
      <c r="C14" s="31" t="n">
        <v>0.025</v>
      </c>
      <c r="D14" s="37" t="n">
        <v>0.03</v>
      </c>
      <c r="E14" s="32" t="n"/>
      <c r="F14" s="32" t="n"/>
      <c r="G14" s="37">
        <f>IFERROR(IF(E14=0,"",F14/E14),"")</f>
        <v/>
      </c>
      <c r="H14" s="38">
        <f>IFERROR(IF(G14="","",G14-C14),"")</f>
        <v/>
      </c>
      <c r="I14" s="39">
        <f>IFERROR(IF(G14="","",IF(G14&lt;=C14,"OK","ALERT")),"")</f>
        <v/>
      </c>
      <c r="J14" s="35" t="n"/>
    </row>
    <row r="15">
      <c r="A15" s="29" t="inlineStr">
        <is>
          <t>Bread &amp; pastry</t>
        </is>
      </c>
      <c r="B15" s="30" t="n">
        <v>0.05</v>
      </c>
      <c r="C15" s="31" t="n">
        <v>0.08</v>
      </c>
      <c r="D15" s="30" t="n">
        <v>0.1</v>
      </c>
      <c r="E15" s="32" t="n">
        <v>350</v>
      </c>
      <c r="F15" s="32" t="n">
        <v>38</v>
      </c>
      <c r="G15" s="30">
        <f>IFERROR(IF(E15=0,"",F15/E15),"")</f>
        <v>0.10857142857142857</v>
      </c>
      <c r="H15" s="33">
        <f>IFERROR(IF(G15="","",G15-C15),"")</f>
        <v>0.028571428571428567</v>
      </c>
      <c r="I15" s="34" t="str">
        <f>IFERROR(IF(G15="","",IF(G15&lt;=C15,"OK","ALERT")),"")</f>
        <v>ALERT</v>
      </c>
      <c r="J15" s="35" t="n"/>
    </row>
    <row r="16">
      <c r="A16" s="36" t="inlineStr">
        <is>
          <t>Eggs</t>
        </is>
      </c>
      <c r="B16" s="37" t="n">
        <v>0.01</v>
      </c>
      <c r="C16" s="31" t="n">
        <v>0.02</v>
      </c>
      <c r="D16" s="37" t="n">
        <v>0.03</v>
      </c>
      <c r="E16" s="32" t="n"/>
      <c r="F16" s="32" t="n"/>
      <c r="G16" s="37">
        <f>IFERROR(IF(E16=0,"",F16/E16),"")</f>
        <v/>
      </c>
      <c r="H16" s="38">
        <f>IFERROR(IF(G16="","",G16-C16),"")</f>
        <v/>
      </c>
      <c r="I16" s="39">
        <f>IFERROR(IF(G16="","",IF(G16&lt;=C16,"OK","ALERT")),"")</f>
        <v/>
      </c>
      <c r="J16" s="35" t="n"/>
    </row>
    <row r="17">
      <c r="A17" s="29" t="inlineStr">
        <is>
          <t>Oils &amp; fats</t>
        </is>
      </c>
      <c r="B17" s="30" t="n">
        <v>0.005</v>
      </c>
      <c r="C17" s="31" t="n">
        <v>0.01</v>
      </c>
      <c r="D17" s="30" t="n">
        <v>0.015</v>
      </c>
      <c r="E17" s="32" t="n"/>
      <c r="F17" s="32" t="n"/>
      <c r="G17" s="30">
        <f>IFERROR(IF(E17=0,"",F17/E17),"")</f>
        <v/>
      </c>
      <c r="H17" s="33">
        <f>IFERROR(IF(G17="","",G17-C17),"")</f>
        <v/>
      </c>
      <c r="I17" s="34">
        <f>IFERROR(IF(G17="","",IF(G17&lt;=C17,"OK","ALERT")),"")</f>
        <v/>
      </c>
      <c r="J17" s="35" t="n"/>
    </row>
    <row r="18">
      <c r="A18" s="36" t="inlineStr">
        <is>
          <t>Herbs &amp; spices</t>
        </is>
      </c>
      <c r="B18" s="37" t="n">
        <v>0.03</v>
      </c>
      <c r="C18" s="31" t="n">
        <v>0.05</v>
      </c>
      <c r="D18" s="37" t="n">
        <v>0.08</v>
      </c>
      <c r="E18" s="32" t="n"/>
      <c r="F18" s="32" t="n"/>
      <c r="G18" s="37">
        <f>IFERROR(IF(E18=0,"",F18/E18),"")</f>
        <v/>
      </c>
      <c r="H18" s="38">
        <f>IFERROR(IF(G18="","",G18-C18),"")</f>
        <v/>
      </c>
      <c r="I18" s="39">
        <f>IFERROR(IF(G18="","",IF(G18&lt;=C18,"OK","ALERT")),"")</f>
        <v/>
      </c>
      <c r="J18" s="35" t="n"/>
    </row>
    <row r="19">
      <c r="A19" s="29" t="inlineStr">
        <is>
          <t>Chocolate &amp; cocoa</t>
        </is>
      </c>
      <c r="B19" s="30" t="n">
        <v>0.01</v>
      </c>
      <c r="C19" s="31" t="n">
        <v>0.02</v>
      </c>
      <c r="D19" s="30" t="n">
        <v>0.03</v>
      </c>
      <c r="E19" s="32" t="n"/>
      <c r="F19" s="32" t="n"/>
      <c r="G19" s="30">
        <f>IFERROR(IF(E19=0,"",F19/E19),"")</f>
        <v/>
      </c>
      <c r="H19" s="33">
        <f>IFERROR(IF(G19="","",G19-C19),"")</f>
        <v/>
      </c>
      <c r="I19" s="34">
        <f>IFERROR(IF(G19="","",IF(G19&lt;=C19,"OK","ALERT")),"")</f>
        <v/>
      </c>
      <c r="J19" s="35" t="n"/>
    </row>
    <row r="20">
      <c r="A20" s="36" t="inlineStr">
        <is>
          <t>Beverages &amp; spirits</t>
        </is>
      </c>
      <c r="B20" s="37" t="n">
        <v>0.01</v>
      </c>
      <c r="C20" s="31" t="n">
        <v>0.015</v>
      </c>
      <c r="D20" s="37" t="n">
        <v>0.02</v>
      </c>
      <c r="E20" s="32" t="n"/>
      <c r="F20" s="32" t="n"/>
      <c r="G20" s="37">
        <f>IFERROR(IF(E20=0,"",F20/E20),"")</f>
        <v/>
      </c>
      <c r="H20" s="38">
        <f>IFERROR(IF(G20="","",G20-C20),"")</f>
        <v/>
      </c>
      <c r="I20" s="39">
        <f>IFERROR(IF(G20="","",IF(G20&lt;=C20,"OK","ALERT")),"")</f>
        <v/>
      </c>
      <c r="J20" s="35" t="n"/>
    </row>
    <row r="21">
      <c r="A21" s="40" t="inlineStr">
        <is>
          <t>TOTAL</t>
        </is>
      </c>
      <c r="B21" s="41" t="n"/>
      <c r="C21" s="40" t="n"/>
      <c r="D21" s="40" t="n"/>
      <c r="E21" s="42">
        <f>SUM(E5:E20)</f>
        <v>5200.0</v>
      </c>
      <c r="F21" s="43">
        <f>SUM(F5:F20)</f>
        <v>281.0</v>
      </c>
      <c r="G21" s="44">
        <f>IFERROR(IF(E21=0,"",F21/E21),"")</f>
        <v>0.054038461538461535</v>
      </c>
      <c r="H21" s="41" t="n"/>
      <c r="I21" s="41" t="n"/>
      <c r="J21" s="41" t="n"/>
    </row>
    <row r="22">
      <c r="A22" s="26" t="n"/>
      <c r="B22" s="26" t="n"/>
      <c r="C22" s="26" t="n"/>
      <c r="D22" s="26" t="n"/>
      <c r="E22" s="26" t="n"/>
      <c r="F22" s="26" t="n"/>
      <c r="G22" s="26" t="n"/>
      <c r="H22" s="26" t="n"/>
      <c r="I22" s="26" t="n"/>
      <c r="J22" s="26" t="n"/>
    </row>
    <row r="23" ht="26" customHeight="1">
      <c r="A23" s="45" t="inlineStr">
        <is>
          <t>This is where you log WASTE (expired, spoiled, overproduction, over-portioning): money thrown away over money spent on purchases. Trim loss from butchering and prep does NOT go here — it's already priced into the dish cost, in the recipe cost card templates (the "Trim Loss Factors" tab). Mixing the two is a classic mistake: with a 45% target, spoiled shellfish would come back "OK".</t>
        </is>
      </c>
    </row>
    <row r="24" ht="26" customHeight="1">
      <c r="A24" s="45" t="inlineStr">
        <is>
          <t>Reference targets on purchases: dry goods and frozen 2-3% · meat and fish 3-5% · produce 5-8% · beverages 1-2% · bread and pastry 5-10% (overproduction). The "Typical target" is the green cell — adjust it to your operation; min and max are the industry range.</t>
        </is>
      </c>
    </row>
  </sheetData>
  <sheetProtection selectLockedCells="0" selectUnlockedCells="0" sheet="1" objects="0" insertRows="1" insertHyperlinks="1" autoFilter="1" scenarios="0" formatColumns="0" deleteColumns="1" insertColumns="1" pivotTables="1" deleteRows="1" formatCells="1" formatRows="0" sort="1"/>
  <mergeCells count="3">
    <mergeCell ref="A23:J23"/>
    <mergeCell ref="A24:J24"/>
    <mergeCell ref="A1:J1"/>
  </mergeCells>
  <conditionalFormatting sqref="I5:I20">
    <cfRule type="cellIs" priority="1" operator="equal" dxfId="0" stopIfTrue="0">
      <formula>"ALERT"</formula>
    </cfRule>
    <cfRule type="cellIs" priority="2" operator="equal" dxfId="1" stopIfTrue="0">
      <formula>"OK"</formula>
    </cfRule>
  </conditionalFormatting>
  <conditionalFormatting sqref="G5:G20">
    <cfRule type="colorScale" priority="3">
      <colorScale>
        <cfvo type="min"/>
        <cfvo type="percentile" val="50"/>
        <cfvo type="max"/>
        <color rgb="00C6EFCE"/>
        <color rgb="00FFEB9C"/>
        <color rgb="00FFC7CE"/>
      </colorScale>
    </cfRule>
  </conditionalFormatting>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18"/>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6" customWidth="1" min="4" max="4"/>
    <col width="14" customWidth="1" min="5" max="5"/>
  </cols>
  <sheetData>
    <row r="1">
      <c r="A1" s="23" t="inlineStr">
        <is>
          <t>Waste Trend — 12 Weeks</t>
        </is>
      </c>
    </row>
    <row r="2" ht="69" customHeight="1">
      <c r="A2" s="46" t="inlineStr">
        <is>
          <t>The "Current week" row is LINKED to "Weekly Waste Log": it changes automatically as you fill in the week. Every Monday, BEFORE clearing the weekly log, copy its total (purchases and waste) into the row for the week you're closing and paste VALUES, not formulas — starting with Week 1, whose link gets replaced the first time you paste over it. If you don't, week 1 will keep showing whatever is in the weekly sheet and you'll lose the history, which is exactly what this tab exists to keep.</t>
        </is>
      </c>
    </row>
    <row r="3">
      <c r="A3" s="24" t="inlineStr">
        <is>
          <t>Overall waste target (%)</t>
        </is>
      </c>
      <c r="B3" s="47" t="n">
        <v>0.04</v>
      </c>
      <c r="C3" s="26" t="n"/>
      <c r="D3" s="26" t="n"/>
      <c r="E3" s="26" t="n"/>
    </row>
    <row r="4">
      <c r="A4" s="26" t="n"/>
      <c r="B4" s="26" t="n"/>
      <c r="C4" s="26" t="n"/>
      <c r="D4" s="26" t="n"/>
      <c r="E4" s="26" t="n"/>
    </row>
    <row r="5" ht="30" customHeight="1">
      <c r="A5" s="28" t="inlineStr">
        <is>
          <t>Week</t>
        </is>
      </c>
      <c r="B5" s="28" t="inlineStr">
        <is>
          <t>Total purchases</t>
        </is>
      </c>
      <c r="C5" s="28" t="inlineStr">
        <is>
          <t>Waste</t>
        </is>
      </c>
      <c r="D5" s="28" t="inlineStr">
        <is>
          <t>Waste (%)</t>
        </is>
      </c>
      <c r="E5" s="28" t="inlineStr">
        <is>
          <t>Target (%)</t>
        </is>
      </c>
    </row>
    <row r="6">
      <c r="A6" s="48" t="inlineStr">
        <is>
          <t>Current week (linked to "Weekly Waste Log" — paste the value over it when you close it out)</t>
        </is>
      </c>
      <c r="B6" s="49">
        <f>'Weekly Waste Log'!E21</f>
        <v>5200.0</v>
      </c>
      <c r="C6" s="49">
        <f>'Weekly Waste Log'!F21</f>
        <v>281.0</v>
      </c>
      <c r="D6" s="50">
        <f>IF(B6=0,NA(),C6/B6)</f>
        <v>0.054038461538461535</v>
      </c>
      <c r="E6" s="50">
        <f>IF(B6=0,NA(),$B$3)</f>
        <v>0.04</v>
      </c>
    </row>
    <row r="7">
      <c r="A7" s="51" t="inlineStr">
        <is>
          <t>Week 2</t>
        </is>
      </c>
      <c r="B7" s="52" t="n">
        <v>5000</v>
      </c>
      <c r="C7" s="52" t="n">
        <v>238</v>
      </c>
      <c r="D7" s="53">
        <f>IF(B7=0,NA(),C7/B7)</f>
        <v>0.0476</v>
      </c>
      <c r="E7" s="53">
        <f>IF(B7=0,NA(),$B$3)</f>
        <v>0.04</v>
      </c>
    </row>
    <row r="8">
      <c r="A8" s="48" t="inlineStr">
        <is>
          <t>Week 3</t>
        </is>
      </c>
      <c r="B8" s="52" t="n">
        <v>4800</v>
      </c>
      <c r="C8" s="52" t="n">
        <v>194</v>
      </c>
      <c r="D8" s="50">
        <f>IF(B8=0,NA(),C8/B8)</f>
        <v>0.04041666666666666</v>
      </c>
      <c r="E8" s="50">
        <f>IF(B8=0,NA(),$B$3)</f>
        <v>0.04</v>
      </c>
    </row>
    <row r="9">
      <c r="A9" s="51" t="inlineStr">
        <is>
          <t>Week 4</t>
        </is>
      </c>
      <c r="B9" s="52" t="n">
        <v>5100</v>
      </c>
      <c r="C9" s="52" t="n">
        <v>179</v>
      </c>
      <c r="D9" s="53">
        <f>IF(B9=0,NA(),C9/B9)</f>
        <v>0.03509803921568627</v>
      </c>
      <c r="E9" s="53">
        <f>IF(B9=0,NA(),$B$3)</f>
        <v>0.04</v>
      </c>
    </row>
    <row r="10">
      <c r="A10" s="48" t="inlineStr">
        <is>
          <t>Week 5</t>
        </is>
      </c>
      <c r="B10" s="52" t="n"/>
      <c r="C10" s="52" t="n"/>
      <c r="D10" s="50" t="str">
        <f>IF(B10=0,NA(),C10/B10)</f>
        <v>#N/A</v>
      </c>
      <c r="E10" s="50" t="str">
        <f>IF(B10=0,NA(),$B$3)</f>
        <v>#N/A</v>
      </c>
    </row>
    <row r="11">
      <c r="A11" s="51" t="inlineStr">
        <is>
          <t>Week 6</t>
        </is>
      </c>
      <c r="B11" s="52" t="n"/>
      <c r="C11" s="52" t="n"/>
      <c r="D11" s="53" t="str">
        <f>IF(B11=0,NA(),C11/B11)</f>
        <v>#N/A</v>
      </c>
      <c r="E11" s="53" t="str">
        <f>IF(B11=0,NA(),$B$3)</f>
        <v>#N/A</v>
      </c>
    </row>
    <row r="12">
      <c r="A12" s="48" t="inlineStr">
        <is>
          <t>Week 7</t>
        </is>
      </c>
      <c r="B12" s="52" t="n"/>
      <c r="C12" s="52" t="n"/>
      <c r="D12" s="50" t="str">
        <f>IF(B12=0,NA(),C12/B12)</f>
        <v>#N/A</v>
      </c>
      <c r="E12" s="50" t="str">
        <f>IF(B12=0,NA(),$B$3)</f>
        <v>#N/A</v>
      </c>
    </row>
    <row r="13">
      <c r="A13" s="51" t="inlineStr">
        <is>
          <t>Week 8</t>
        </is>
      </c>
      <c r="B13" s="52" t="n"/>
      <c r="C13" s="52" t="n"/>
      <c r="D13" s="53" t="str">
        <f>IF(B13=0,NA(),C13/B13)</f>
        <v>#N/A</v>
      </c>
      <c r="E13" s="53" t="str">
        <f>IF(B13=0,NA(),$B$3)</f>
        <v>#N/A</v>
      </c>
    </row>
    <row r="14">
      <c r="A14" s="48" t="inlineStr">
        <is>
          <t>Week 9</t>
        </is>
      </c>
      <c r="B14" s="52" t="n"/>
      <c r="C14" s="52" t="n"/>
      <c r="D14" s="50" t="str">
        <f>IF(B14=0,NA(),C14/B14)</f>
        <v>#N/A</v>
      </c>
      <c r="E14" s="50" t="str">
        <f>IF(B14=0,NA(),$B$3)</f>
        <v>#N/A</v>
      </c>
    </row>
    <row r="15">
      <c r="A15" s="51" t="inlineStr">
        <is>
          <t>Week 10</t>
        </is>
      </c>
      <c r="B15" s="52" t="n"/>
      <c r="C15" s="52" t="n"/>
      <c r="D15" s="53" t="str">
        <f>IF(B15=0,NA(),C15/B15)</f>
        <v>#N/A</v>
      </c>
      <c r="E15" s="53" t="str">
        <f>IF(B15=0,NA(),$B$3)</f>
        <v>#N/A</v>
      </c>
    </row>
    <row r="16">
      <c r="A16" s="48" t="inlineStr">
        <is>
          <t>Week 11</t>
        </is>
      </c>
      <c r="B16" s="52" t="n"/>
      <c r="C16" s="52" t="n"/>
      <c r="D16" s="50" t="str">
        <f>IF(B16=0,NA(),C16/B16)</f>
        <v>#N/A</v>
      </c>
      <c r="E16" s="50" t="str">
        <f>IF(B16=0,NA(),$B$3)</f>
        <v>#N/A</v>
      </c>
    </row>
    <row r="17">
      <c r="A17" s="51" t="inlineStr">
        <is>
          <t>Week 12</t>
        </is>
      </c>
      <c r="B17" s="52" t="n"/>
      <c r="C17" s="52" t="n"/>
      <c r="D17" s="53" t="str">
        <f>IF(B17=0,NA(),C17/B17)</f>
        <v>#N/A</v>
      </c>
      <c r="E17" s="53" t="str">
        <f>IF(B17=0,NA(),$B$3)</f>
        <v>#N/A</v>
      </c>
    </row>
    <row r="18">
      <c r="A18" s="26" t="n"/>
      <c r="B18" s="26" t="n"/>
      <c r="C18" s="26" t="n"/>
      <c r="D18" s="26" t="n"/>
      <c r="E18" s="26" t="n"/>
    </row>
  </sheetData>
  <sheetProtection selectLockedCells="0" selectUnlockedCells="0" sheet="1" objects="0" insertRows="1" insertHyperlinks="1" autoFilter="1" scenarios="0" formatColumns="0" deleteColumns="1" insertColumns="1" pivotTables="1" deleteRows="1" formatCells="1" formatRows="0" sort="1"/>
  <mergeCells count="2">
    <mergeCell ref="A1:E1"/>
    <mergeCell ref="A2:E2"/>
  </mergeCells>
  <conditionalFormatting sqref="D6:E17">
    <cfRule type="expression" priority="1" dxfId="2" stopIfTrue="1">
      <formula>ISNA(D6)</formula>
    </cfRule>
  </conditionalFormatting>
  <pageMargins left="0.59" right="0.59" top="0.59" bottom="0.59" header="0.3" footer="0.3"/>
  <pageSetup orientation="landscape" paperSize="1" fitToHeight="1" fitToWidth="1"/>
  <headerFooter>
    <oddHeader/>
    <oddFooter>&amp;C&amp;8 AI Chef Pro · aichef.pro · 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Food Waste Log</dc:title>
  <dc:description xmlns:dc="http://purl.org/dc/elements/1.1/">aichef.pro/en/digital-products/food-cost-templates</dc:description>
  <dc:subject xmlns:dc="http://purl.org/dc/elements/1.1/">Food Cost Kit Pro · v2.1</dc:subject>
  <dcterms:created xmlns:dcterms="http://purl.org/dc/terms/" xmlns:xsi="http://www.w3.org/2001/XMLSchema-instance" xsi:type="dcterms:W3CDTF">2026-03-18T21:50:24Z</dcterms:created>
  <dcterms:modified xmlns:dcterms="http://purl.org/dc/terms/" xmlns:xsi="http://www.w3.org/2001/XMLSchema-instance" xsi:type="dcterms:W3CDTF">2026-09-24T20:23:23Z</dcterms:modified>
  <cp:lastModifiedBy>AI Chef Pro</cp:lastModifiedBy>
  <cp:category>AI Chef Pro · Digital products</cp:category>
  <cp:keywords>food cost kit, food cost templates, AI Chef Pro</cp:keywords>
</cp:coreProperties>
</file>