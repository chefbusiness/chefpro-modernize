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tarter" sheetId="2" state="visible" r:id="rId2"/>
    <sheet xmlns:r="http://schemas.openxmlformats.org/officeDocument/2006/relationships" name="Main" sheetId="3" state="visible" r:id="rId3"/>
    <sheet xmlns:r="http://schemas.openxmlformats.org/officeDocument/2006/relationships" name="Dessert" sheetId="4" state="visible" r:id="rId4"/>
    <sheet xmlns:r="http://schemas.openxmlformats.org/officeDocument/2006/relationships" name="Menu Summary" sheetId="5" state="visible" r:id="rId5"/>
    <sheet xmlns:r="http://schemas.openxmlformats.org/officeDocument/2006/relationships" name="Weekly Rotation" sheetId="6" state="visible" r:id="rId6"/>
    <sheet xmlns:r="http://schemas.openxmlformats.org/officeDocument/2006/relationships" name="Conversions" sheetId="7" state="visible" r:id="rId7"/>
    <sheet xmlns:r="http://schemas.openxmlformats.org/officeDocument/2006/relationships" name="Trim Loss Factors" sheetId="8" state="visible" r:id="rId8"/>
  </sheets>
  <definedNames>
    <definedName name="_xlnm.Print_Titles" localSheetId="1">'Starter'!$4:$4</definedName>
    <definedName name="_xlnm.Print_Area" localSheetId="1">'Starter'!$A$1:$J$37</definedName>
    <definedName name="_xlnm.Print_Titles" localSheetId="2">'Main'!$4:$4</definedName>
    <definedName name="_xlnm.Print_Area" localSheetId="2">'Main'!$A$1:$J$36</definedName>
    <definedName name="_xlnm.Print_Titles" localSheetId="3">'Dessert'!$4:$4</definedName>
    <definedName name="_xlnm.Print_Area" localSheetId="3">'Dessert'!$A$1:$J$35</definedName>
    <definedName name="_xlnm.Print_Area" localSheetId="4">'Menu Summary'!$A$1:$J$16</definedName>
    <definedName name="_xlnm.Print_Area" localSheetId="5">'Weekly Rotation'!$A$1:$K$11</definedName>
    <definedName name="_xlnm.Print_Area" localSheetId="6">'Conversions'!$A$1:$J$286</definedName>
    <definedName name="_xlnm.Print_Area" localSheetId="7">'Trim Loss Factors'!$A$1:$J$25</definedName>
  </definedNames>
  <calcPr calcId="124519" fullCalcOnLoad="1"/>
</workbook>
</file>

<file path=xl/styles.xml><?xml version="1.0" encoding="utf-8"?>
<styleSheet xmlns="http://schemas.openxmlformats.org/spreadsheetml/2006/main">
  <numFmts count="4">
    <numFmt numFmtId="164" formatCode="#,##0.00"/>
    <numFmt numFmtId="165" formatCode="0.000"/>
    <numFmt numFmtId="166" formatCode="0.0%"/>
    <numFmt numFmtId="167" formatCode="0.###"/>
  </numFmts>
  <fonts count="26">
    <font>
      <name val="Calibri"/>
      <family val="2"/>
      <color theme="1"/>
      <sz val="11"/>
      <scheme val="minor"/>
    </font>
    <font>
      <name val="Calibri"/>
      <b val="1"/>
      <color rgb="00FFD700"/>
      <sz val="18"/>
    </font>
    <font>
      <name val="Calibri"/>
      <color rgb="00888888"/>
      <sz val="11"/>
    </font>
    <font>
      <name val="Calibri"/>
      <i val="1"/>
      <color rgb="00888888"/>
      <sz val="10"/>
    </font>
    <font>
      <name val="Calibri"/>
      <b val="1"/>
      <color rgb="001A1A1A"/>
      <sz val="12"/>
    </font>
    <font>
      <name val="Calibri"/>
      <color rgb="00333333"/>
      <sz val="11"/>
    </font>
    <font>
      <name val="Calibri"/>
      <i val="1"/>
      <color rgb="00888888"/>
      <sz val="11"/>
    </font>
    <font>
      <name val="Calibri"/>
      <color rgb="00AAAAAA"/>
      <sz val="9"/>
    </font>
    <font>
      <name val="Calibri"/>
      <b val="1"/>
      <color rgb="00FFD700"/>
      <sz val="12"/>
    </font>
    <font>
      <name val="Calibri"/>
      <i val="1"/>
      <color rgb="00AAAAAA"/>
      <sz val="11"/>
    </font>
    <font>
      <name val="Calibri"/>
      <i val="1"/>
      <color rgb="00BBBBBB"/>
      <sz val="9"/>
    </font>
    <font>
      <name val="Calibri"/>
      <b val="1"/>
      <color rgb="00FFD700"/>
      <sz val="16"/>
    </font>
    <font>
      <name val="Calibri"/>
      <b val="1"/>
      <color rgb="00FFFFFF"/>
      <sz val="11"/>
    </font>
    <font>
      <name val="Calibri"/>
      <b val="1"/>
      <color rgb="00333333"/>
      <sz val="11"/>
    </font>
    <font>
      <name val="Calibri"/>
      <b val="1"/>
      <color rgb="001A1A1A"/>
      <sz val="13"/>
    </font>
    <font>
      <name val="Calibri"/>
      <b val="1"/>
      <sz val="13"/>
    </font>
    <font>
      <name val="Calibri"/>
      <b val="1"/>
      <sz val="11"/>
    </font>
    <font>
      <name val="Calibri"/>
      <b val="1"/>
      <sz val="14"/>
    </font>
    <font>
      <b val="1"/>
      <sz val="12"/>
    </font>
    <font>
      <b val="1"/>
      <color rgb="00FFFFFF"/>
    </font>
    <font>
      <color rgb="00595959"/>
      <sz val="9"/>
    </font>
    <font>
      <b val="1"/>
      <sz val="13"/>
    </font>
    <font>
      <i val="1"/>
      <sz val="9"/>
    </font>
    <font>
      <b val="1"/>
    </font>
    <font>
      <b val="1"/>
      <sz val="10"/>
    </font>
    <font>
      <i val="1"/>
      <color rgb="FF555555"/>
      <sz val="10"/>
    </font>
  </fonts>
  <fills count="11">
    <fill>
      <patternFill/>
    </fill>
    <fill>
      <patternFill patternType="gray125"/>
    </fill>
    <fill>
      <patternFill patternType="solid">
        <fgColor rgb="00FAFAFA"/>
        <bgColor rgb="00FAFAFA"/>
      </patternFill>
    </fill>
    <fill>
      <patternFill patternType="solid">
        <fgColor rgb="002D2D2D"/>
        <bgColor rgb="002D2D2D"/>
      </patternFill>
    </fill>
    <fill>
      <patternFill patternType="solid">
        <fgColor rgb="00E8F5E9"/>
        <bgColor rgb="00E8F5E9"/>
      </patternFill>
    </fill>
    <fill>
      <patternFill patternType="solid">
        <fgColor rgb="00FFF8DC"/>
        <bgColor rgb="00FFF8DC"/>
      </patternFill>
    </fill>
    <fill>
      <patternFill patternType="solid">
        <fgColor rgb="00FFD700"/>
        <bgColor rgb="00FFD700"/>
      </patternFill>
    </fill>
    <fill>
      <patternFill patternType="solid">
        <fgColor rgb="002D2D2D"/>
      </patternFill>
    </fill>
    <fill>
      <patternFill patternType="solid">
        <fgColor rgb="00F2F2F2"/>
      </patternFill>
    </fill>
    <fill>
      <patternFill patternType="solid">
        <fgColor rgb="00E8F5E9"/>
      </patternFill>
    </fill>
    <fill>
      <patternFill patternType="solid">
        <fgColor rgb="00FFD700"/>
      </patternFill>
    </fill>
  </fills>
  <borders count="20">
    <border>
      <left/>
      <right/>
      <top/>
      <bottom/>
      <diagonal/>
    </border>
    <border>
      <left style="medium">
        <color rgb="00FFD700"/>
      </left>
      <right style="medium">
        <color rgb="00FFD700"/>
      </right>
      <top style="medium">
        <color rgb="00FFD700"/>
      </top>
      <bottom style="medium">
        <color rgb="00FFD700"/>
      </bottom>
    </border>
    <border>
      <left style="medium">
        <color rgb="00FFD700"/>
      </left>
      <right style="thin">
        <color rgb="00E0E0E0"/>
      </right>
      <top style="medium">
        <color rgb="00FFD700"/>
      </top>
      <bottom style="thin">
        <color rgb="00E0E0E0"/>
      </bottom>
    </border>
    <border>
      <left style="thin">
        <color rgb="00E0E0E0"/>
      </left>
      <right style="medium">
        <color rgb="00FFD700"/>
      </right>
      <top style="medium">
        <color rgb="00FFD700"/>
      </top>
      <bottom style="thin">
        <color rgb="00E0E0E0"/>
      </bottom>
    </border>
    <border>
      <left style="medium">
        <color rgb="00FFD700"/>
      </left>
      <right style="thin">
        <color rgb="00E0E0E0"/>
      </right>
      <top style="thin">
        <color rgb="00E0E0E0"/>
      </top>
      <bottom style="thin">
        <color rgb="00E0E0E0"/>
      </bottom>
    </border>
    <border>
      <left style="thin">
        <color rgb="00E0E0E0"/>
      </left>
      <right style="medium">
        <color rgb="00FFD700"/>
      </right>
      <top style="thin">
        <color rgb="00E0E0E0"/>
      </top>
      <bottom style="thin">
        <color rgb="00E0E0E0"/>
      </bottom>
    </border>
    <border>
      <left style="medium">
        <color rgb="00FFD700"/>
      </left>
      <right style="thin">
        <color rgb="00E0E0E0"/>
      </right>
      <top style="thin">
        <color rgb="00E0E0E0"/>
      </top>
      <bottom style="medium">
        <color rgb="00FFD700"/>
      </bottom>
    </border>
    <border>
      <left style="thin">
        <color rgb="00E0E0E0"/>
      </left>
      <right style="medium">
        <color rgb="00FFD700"/>
      </right>
      <top style="thin">
        <color rgb="00E0E0E0"/>
      </top>
      <bottom style="medium">
        <color rgb="00FFD700"/>
      </bottom>
    </border>
    <border>
      <left/>
      <right/>
      <top style="thin">
        <color rgb="00E0E0E0"/>
      </top>
      <bottom/>
      <diagonal/>
    </border>
    <border>
      <left style="medium">
        <color rgb="00FFD700"/>
      </left>
      <right/>
      <top/>
      <bottom/>
      <diagonal/>
    </border>
    <border>
      <left/>
      <right style="thin">
        <color rgb="00E0E0E0"/>
      </right>
      <top style="thin">
        <color rgb="00E0E0E0"/>
      </top>
      <bottom/>
      <diagonal/>
    </border>
    <border>
      <left/>
      <right style="thin">
        <color rgb="00E0E0E0"/>
      </right>
      <top/>
      <bottom/>
      <diagonal/>
    </border>
    <border>
      <left style="medium">
        <color rgb="00FFD700"/>
      </left>
      <right/>
      <top/>
      <bottom style="thin">
        <color rgb="00E0E0E0"/>
      </bottom>
      <diagonal/>
    </border>
    <border>
      <left/>
      <right style="thin">
        <color rgb="00E0E0E0"/>
      </right>
      <top/>
      <bottom style="thin">
        <color rgb="00E0E0E0"/>
      </bottom>
      <diagonal/>
    </border>
    <border>
      <left style="thin">
        <color rgb="00E0E0E0"/>
      </left>
      <right style="thin">
        <color rgb="00E0E0E0"/>
      </right>
      <top style="thin">
        <color rgb="00E0E0E0"/>
      </top>
      <bottom style="thin">
        <color rgb="00E0E0E0"/>
      </bottom>
    </border>
    <border>
      <left/>
      <right/>
      <top style="thin">
        <color rgb="00E0E0E0"/>
      </top>
      <bottom style="thin">
        <color rgb="00E0E0E0"/>
      </bottom>
      <diagonal/>
    </border>
    <border>
      <left/>
      <right style="thin">
        <color rgb="00E0E0E0"/>
      </right>
      <top style="thin">
        <color rgb="00E0E0E0"/>
      </top>
      <bottom style="thin">
        <color rgb="00E0E0E0"/>
      </bottom>
      <diagonal/>
    </border>
    <border>
      <left/>
      <right/>
      <top style="medium">
        <color rgb="00FFD700"/>
      </top>
      <bottom/>
      <diagonal/>
    </border>
    <border>
      <left/>
      <right style="medium">
        <color rgb="00FFD700"/>
      </right>
      <top style="medium">
        <color rgb="00FFD700"/>
      </top>
      <bottom/>
      <diagonal/>
    </border>
    <border>
      <left/>
      <right style="medium">
        <color rgb="00FFD700"/>
      </right>
      <top style="medium">
        <color rgb="00FFD700"/>
      </top>
      <bottom style="medium">
        <color rgb="00FFD700"/>
      </bottom>
      <diagonal/>
    </border>
  </borders>
  <cellStyleXfs count="1">
    <xf numFmtId="0" fontId="0" fillId="0" borderId="0"/>
  </cellStyleXfs>
  <cellXfs count="94">
    <xf numFmtId="0" fontId="0" fillId="0" borderId="0" pivotButton="0" quotePrefix="0" xfId="0"/>
    <xf numFmtId="0" fontId="1" fillId="0" borderId="0" applyAlignment="1" pivotButton="0" quotePrefix="0" xfId="0">
      <alignment horizontal="left" vertical="center" wrapText="1"/>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11" fillId="0" borderId="0" applyAlignment="1" pivotButton="0" quotePrefix="0" xfId="0">
      <alignment horizontal="left" vertical="center" wrapText="1"/>
    </xf>
    <xf numFmtId="0" fontId="8" fillId="0" borderId="1" applyAlignment="1" pivotButton="0" quotePrefix="0" xfId="0">
      <alignment horizontal="center" vertical="center" wrapText="1"/>
    </xf>
    <xf numFmtId="0" fontId="0" fillId="0" borderId="1" pivotButton="0" quotePrefix="0" xfId="0"/>
    <xf numFmtId="0" fontId="12" fillId="3" borderId="14" applyAlignment="1" pivotButton="0" quotePrefix="0" xfId="0">
      <alignment horizontal="center" vertical="center" wrapText="1"/>
    </xf>
    <xf numFmtId="0" fontId="0" fillId="2" borderId="2" pivotButton="0" quotePrefix="0" xfId="0"/>
    <xf numFmtId="0" fontId="0" fillId="2" borderId="3" pivotButton="0" quotePrefix="0" xfId="0"/>
    <xf numFmtId="0" fontId="5" fillId="4" borderId="14" applyAlignment="1" pivotButton="0" quotePrefix="0" xfId="0">
      <alignment horizontal="left" vertical="center" wrapText="1"/>
    </xf>
    <xf numFmtId="0" fontId="5" fillId="4" borderId="14" applyAlignment="1" pivotButton="0" quotePrefix="0" xfId="0">
      <alignment horizontal="center" vertical="center" wrapText="1"/>
    </xf>
    <xf numFmtId="164" fontId="5" fillId="4" borderId="14" applyAlignment="1" pivotButton="0" quotePrefix="0" xfId="0">
      <alignment horizontal="right" vertical="center"/>
    </xf>
    <xf numFmtId="165" fontId="5" fillId="4" borderId="14" applyAlignment="1" pivotButton="0" quotePrefix="0" xfId="0">
      <alignment horizontal="right" vertical="center"/>
    </xf>
    <xf numFmtId="9" fontId="5" fillId="4" borderId="14" applyAlignment="1" pivotButton="0" quotePrefix="0" xfId="0">
      <alignment horizontal="center" vertical="center" wrapText="1"/>
    </xf>
    <xf numFmtId="165" fontId="13" fillId="0" borderId="14" applyAlignment="1" pivotButton="0" quotePrefix="0" xfId="0">
      <alignment horizontal="right" vertical="center"/>
    </xf>
    <xf numFmtId="164" fontId="13" fillId="0" borderId="14" applyAlignment="1" pivotButton="0" quotePrefix="0" xfId="0">
      <alignment horizontal="right" vertical="center"/>
    </xf>
    <xf numFmtId="0" fontId="0" fillId="2" borderId="4" pivotButton="0" quotePrefix="0" xfId="0"/>
    <xf numFmtId="0" fontId="0" fillId="2" borderId="5" pivotButton="0" quotePrefix="0" xfId="0"/>
    <xf numFmtId="0" fontId="9" fillId="2" borderId="4" applyAlignment="1" pivotButton="0" quotePrefix="0" xfId="0">
      <alignment horizontal="center" vertical="center" wrapText="1"/>
    </xf>
    <xf numFmtId="0" fontId="0" fillId="0" borderId="10" pivotButton="0" quotePrefix="0" xfId="0"/>
    <xf numFmtId="0" fontId="0" fillId="0" borderId="12" pivotButton="0" quotePrefix="0" xfId="0"/>
    <xf numFmtId="0" fontId="0" fillId="0" borderId="13" pivotButton="0" quotePrefix="0" xfId="0"/>
    <xf numFmtId="0" fontId="0" fillId="4" borderId="14" pivotButton="0" quotePrefix="0" xfId="0"/>
    <xf numFmtId="9" fontId="0" fillId="4" borderId="14" pivotButton="0" quotePrefix="0" xfId="0"/>
    <xf numFmtId="165" fontId="0" fillId="0" borderId="14" pivotButton="0" quotePrefix="0" xfId="0"/>
    <xf numFmtId="164" fontId="0" fillId="0" borderId="14" pivotButton="0" quotePrefix="0" xfId="0"/>
    <xf numFmtId="0" fontId="0" fillId="2" borderId="6" pivotButton="0" quotePrefix="0" xfId="0"/>
    <xf numFmtId="0" fontId="0" fillId="2" borderId="7" pivotButton="0" quotePrefix="0" xfId="0"/>
    <xf numFmtId="0" fontId="10" fillId="0" borderId="0" applyAlignment="1" pivotButton="0" quotePrefix="0" xfId="0">
      <alignment horizontal="center" vertical="center" wrapText="1"/>
    </xf>
    <xf numFmtId="0" fontId="4" fillId="5" borderId="14" applyAlignment="1" pivotButton="0" quotePrefix="0" xfId="0">
      <alignment horizontal="right" vertical="center"/>
    </xf>
    <xf numFmtId="164" fontId="4" fillId="5" borderId="14" pivotButton="0" quotePrefix="0" xfId="0"/>
    <xf numFmtId="0" fontId="5" fillId="0" borderId="14" applyAlignment="1" pivotButton="0" quotePrefix="0" xfId="0">
      <alignment horizontal="right" vertical="center"/>
    </xf>
    <xf numFmtId="164" fontId="13" fillId="0" borderId="14" pivotButton="0" quotePrefix="0" xfId="0"/>
    <xf numFmtId="0" fontId="14" fillId="6" borderId="14" applyAlignment="1" pivotButton="0" quotePrefix="0" xfId="0">
      <alignment horizontal="right" vertical="center"/>
    </xf>
    <xf numFmtId="164" fontId="15" fillId="6" borderId="14" pivotButton="0" quotePrefix="0" xfId="0"/>
    <xf numFmtId="0" fontId="13" fillId="0" borderId="14" applyAlignment="1" pivotButton="0" quotePrefix="0" xfId="0">
      <alignment horizontal="right" vertical="center"/>
    </xf>
    <xf numFmtId="9" fontId="16" fillId="4" borderId="14" applyAlignment="1" pivotButton="0" quotePrefix="0" xfId="0">
      <alignment horizontal="center" vertical="center" wrapText="1"/>
    </xf>
    <xf numFmtId="0" fontId="4" fillId="0" borderId="14" applyAlignment="1" pivotButton="0" quotePrefix="0" xfId="0">
      <alignment horizontal="right" vertical="center"/>
    </xf>
    <xf numFmtId="164" fontId="4" fillId="0" borderId="14" pivotButton="0" quotePrefix="0" xfId="0"/>
    <xf numFmtId="0" fontId="4" fillId="6" borderId="14" applyAlignment="1" pivotButton="0" quotePrefix="0" xfId="0">
      <alignment horizontal="right" vertical="center"/>
    </xf>
    <xf numFmtId="164" fontId="17" fillId="6" borderId="14" pivotButton="0" quotePrefix="0" xfId="0"/>
    <xf numFmtId="166" fontId="13" fillId="0" borderId="14" pivotButton="0" quotePrefix="0" xfId="0"/>
    <xf numFmtId="0" fontId="1" fillId="0" borderId="0" pivotButton="0" quotePrefix="0" xfId="0"/>
    <xf numFmtId="0" fontId="12" fillId="3" borderId="14" pivotButton="0" quotePrefix="0" xfId="0"/>
    <xf numFmtId="0" fontId="5" fillId="0" borderId="14" pivotButton="0" quotePrefix="0" xfId="0"/>
    <xf numFmtId="164" fontId="5" fillId="4" borderId="14" pivotButton="0" quotePrefix="0" xfId="0"/>
    <xf numFmtId="0" fontId="4" fillId="6" borderId="14" pivotButton="0" quotePrefix="0" xfId="0"/>
    <xf numFmtId="0" fontId="16" fillId="0" borderId="14" pivotButton="0" quotePrefix="0" xfId="0"/>
    <xf numFmtId="0" fontId="4" fillId="0" borderId="14" pivotButton="0" quotePrefix="0" xfId="0"/>
    <xf numFmtId="0" fontId="17" fillId="6" borderId="14" pivotButton="0" quotePrefix="0" xfId="0"/>
    <xf numFmtId="0" fontId="0" fillId="0" borderId="19" pivotButton="0" quotePrefix="0" xfId="0"/>
    <xf numFmtId="0" fontId="0" fillId="0" borderId="15" pivotButton="0" quotePrefix="0" xfId="0"/>
    <xf numFmtId="0" fontId="0" fillId="0" borderId="16" pivotButton="0" quotePrefix="0" xfId="0"/>
    <xf numFmtId="0" fontId="2" fillId="0" borderId="0" applyAlignment="1" pivotButton="0" quotePrefix="0" xfId="0">
      <alignment vertical="top" wrapText="1"/>
    </xf>
    <xf numFmtId="0" fontId="5" fillId="4" borderId="14" applyAlignment="1" applyProtection="1" pivotButton="0" quotePrefix="0" xfId="0">
      <alignment horizontal="left" vertical="center" wrapText="1"/>
      <protection locked="0" hidden="0"/>
    </xf>
    <xf numFmtId="0" fontId="5" fillId="4" borderId="14" applyAlignment="1" applyProtection="1" pivotButton="0" quotePrefix="0" xfId="0">
      <alignment horizontal="center" vertical="center" wrapText="1"/>
      <protection locked="0" hidden="0"/>
    </xf>
    <xf numFmtId="164" fontId="5" fillId="4" borderId="14" applyAlignment="1" applyProtection="1" pivotButton="0" quotePrefix="0" xfId="0">
      <alignment horizontal="right" vertical="center"/>
      <protection locked="0" hidden="0"/>
    </xf>
    <xf numFmtId="165" fontId="5" fillId="4" borderId="14" applyAlignment="1" applyProtection="1" pivotButton="0" quotePrefix="0" xfId="0">
      <alignment horizontal="right" vertical="center"/>
      <protection locked="0" hidden="0"/>
    </xf>
    <xf numFmtId="167" fontId="20" fillId="8" borderId="14" applyAlignment="1" pivotButton="0" quotePrefix="0" xfId="0">
      <alignment horizontal="center" vertical="center"/>
    </xf>
    <xf numFmtId="9" fontId="5" fillId="4" borderId="14" applyAlignment="1" applyProtection="1" pivotButton="0" quotePrefix="0" xfId="0">
      <alignment horizontal="center" vertical="center" wrapText="1"/>
      <protection locked="0" hidden="0"/>
    </xf>
    <xf numFmtId="0" fontId="0" fillId="4" borderId="14" applyProtection="1" pivotButton="0" quotePrefix="0" xfId="0">
      <protection locked="0" hidden="0"/>
    </xf>
    <xf numFmtId="9" fontId="0" fillId="4" borderId="14" applyProtection="1" pivotButton="0" quotePrefix="0" xfId="0">
      <protection locked="0" hidden="0"/>
    </xf>
    <xf numFmtId="9" fontId="5" fillId="9" borderId="14" applyAlignment="1" applyProtection="1" pivotButton="0" quotePrefix="0" xfId="0">
      <alignment horizontal="center" vertical="center"/>
      <protection locked="0" hidden="0"/>
    </xf>
    <xf numFmtId="1" fontId="5" fillId="9" borderId="14" applyAlignment="1" applyProtection="1" pivotButton="0" quotePrefix="0" xfId="0">
      <alignment horizontal="center" vertical="center"/>
      <protection locked="0" hidden="0"/>
    </xf>
    <xf numFmtId="9" fontId="16" fillId="0" borderId="14" applyAlignment="1" pivotButton="0" quotePrefix="0" xfId="0">
      <alignment horizontal="center" vertical="center"/>
    </xf>
    <xf numFmtId="164" fontId="5" fillId="9" borderId="14" applyAlignment="1" applyProtection="1" pivotButton="0" quotePrefix="0" xfId="0">
      <alignment horizontal="center" vertical="center"/>
      <protection locked="0" hidden="0"/>
    </xf>
    <xf numFmtId="166" fontId="15" fillId="6" borderId="14" pivotButton="0" quotePrefix="0" xfId="0"/>
    <xf numFmtId="164" fontId="13" fillId="9" borderId="14" applyProtection="1" pivotButton="0" quotePrefix="0" xfId="0">
      <protection locked="0" hidden="0"/>
    </xf>
    <xf numFmtId="9" fontId="0" fillId="9" borderId="14" applyProtection="1" pivotButton="0" quotePrefix="0" xfId="0">
      <protection locked="0" hidden="0"/>
    </xf>
    <xf numFmtId="0" fontId="21" fillId="0" borderId="0" pivotButton="0" quotePrefix="0" xfId="0"/>
    <xf numFmtId="0" fontId="22" fillId="0" borderId="0" pivotButton="0" quotePrefix="0" xfId="0"/>
    <xf numFmtId="0" fontId="19" fillId="7" borderId="0" applyAlignment="1" pivotButton="0" quotePrefix="0" xfId="0">
      <alignment horizontal="center" vertical="center" wrapText="1"/>
    </xf>
    <xf numFmtId="0" fontId="23" fillId="0" borderId="0" pivotButton="0" quotePrefix="0" xfId="0"/>
    <xf numFmtId="0" fontId="0" fillId="9" borderId="0" applyProtection="1" pivotButton="0" quotePrefix="0" xfId="0">
      <protection locked="0" hidden="0"/>
    </xf>
    <xf numFmtId="164" fontId="0" fillId="0" borderId="0" pivotButton="0" quotePrefix="0" xfId="0"/>
    <xf numFmtId="164" fontId="23" fillId="0" borderId="0" pivotButton="0" quotePrefix="0" xfId="0"/>
    <xf numFmtId="166" fontId="0" fillId="0" borderId="0" pivotButton="0" quotePrefix="0" xfId="0"/>
    <xf numFmtId="164" fontId="0" fillId="9" borderId="0" applyProtection="1" pivotButton="0" quotePrefix="0" xfId="0">
      <protection locked="0" hidden="0"/>
    </xf>
    <xf numFmtId="164" fontId="23" fillId="10" borderId="0" pivotButton="0" quotePrefix="0" xfId="0"/>
    <xf numFmtId="166" fontId="23" fillId="10" borderId="0" pivotButton="0" quotePrefix="0" xfId="0"/>
    <xf numFmtId="0" fontId="18" fillId="0" borderId="0" pivotButton="0" quotePrefix="0" xfId="0"/>
    <xf numFmtId="0" fontId="19" fillId="7" borderId="0" applyAlignment="1" pivotButton="0" quotePrefix="0" xfId="0">
      <alignment horizontal="center" vertical="center"/>
    </xf>
    <xf numFmtId="167" fontId="0" fillId="0" borderId="0" applyAlignment="1" pivotButton="0" quotePrefix="0" xfId="0">
      <alignment horizontal="center"/>
    </xf>
    <xf numFmtId="9" fontId="0" fillId="0" borderId="0" applyAlignment="1" pivotButton="0" quotePrefix="0" xfId="0">
      <alignment horizontal="center"/>
    </xf>
    <xf numFmtId="0" fontId="24" fillId="0" borderId="0" applyAlignment="1" pivotButton="0" quotePrefix="0" xfId="0">
      <alignment horizontal="right" vertical="center"/>
    </xf>
    <xf numFmtId="0" fontId="25" fillId="0" borderId="0" pivotButton="0" quotePrefix="0" xfId="0"/>
    <xf numFmtId="0" fontId="0" fillId="0" borderId="0" applyAlignment="1" pivotButton="0" quotePrefix="0" xfId="0">
      <alignment horizontal="center"/>
    </xf>
    <xf numFmtId="0" fontId="0" fillId="9" borderId="0" applyAlignment="1" applyProtection="1" pivotButton="0" quotePrefix="0" xfId="0">
      <alignment horizontal="center"/>
      <protection locked="0" hidden="0"/>
    </xf>
  </cellXfs>
  <cellStyles count="1">
    <cellStyle name="Normal" xfId="0" builtinId="0" hidden="0"/>
  </cellStyles>
  <dxfs count="1">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112"/>
  <sheetViews>
    <sheetView workbookViewId="0">
      <selection activeCell="A1" sqref="A1"/>
    </sheetView>
  </sheetViews>
  <sheetFormatPr baseColWidth="8" defaultRowHeight="15"/>
  <cols>
    <col width="3" customWidth="1" min="1" max="1"/>
    <col width="80" customWidth="1" min="2" max="2"/>
  </cols>
  <sheetData>
    <row r="1"/>
    <row r="2">
      <c r="B2" s="1" t="inlineStr">
        <is>
          <t>📋 Prix Fixe &amp; Set Menu Costing</t>
        </is>
      </c>
    </row>
    <row r="3">
      <c r="B3" s="2" t="inlineStr">
        <is>
          <t>Food Cost Kit Pro — AI Chef Pro</t>
        </is>
      </c>
    </row>
    <row r="4">
      <c r="B4" s="3" t="inlineStr">
        <is>
          <t>www.aichef.pro</t>
        </is>
      </c>
    </row>
    <row r="5"/>
    <row r="6">
      <c r="B6" s="4" t="inlineStr">
        <is>
          <t>How to use this template</t>
        </is>
      </c>
    </row>
    <row r="7">
      <c r="B7" s="5" t="n"/>
    </row>
    <row r="8">
      <c r="B8" s="6" t="inlineStr">
        <is>
          <t>▸ The "Starter", "Main", and "Dessert" tabs: one recipe cost card each.</t>
        </is>
      </c>
    </row>
    <row r="9">
      <c r="B9" s="6" t="inlineStr">
        <is>
          <t>▸ The "Menu Summary" tab: the full menu's cost (bread, drink, and coffee included) and the suggested menu price.</t>
        </is>
      </c>
    </row>
    <row r="10">
      <c r="B10" s="6" t="inlineStr">
        <is>
          <t>▸ The "Weekly Rotation" tab: the five Monday-through-Friday menus with their cost, menu price, and daily food cost, plus the week's average.</t>
        </is>
      </c>
    </row>
    <row r="11">
      <c r="B11" s="6" t="inlineStr">
        <is>
          <t>▸ The target food cost is edited ONCE, in the Menu Summary.</t>
        </is>
      </c>
    </row>
    <row r="12">
      <c r="B12" s="6" t="inlineStr">
        <is>
          <t>▸ GREEN cells are editable; everything else is a formula.</t>
        </is>
      </c>
    </row>
    <row r="13">
      <c r="B13" s="5" t="n"/>
    </row>
    <row r="14">
      <c r="B14" s="4" t="inlineStr">
        <is>
          <t>Recipe cost card columns</t>
        </is>
      </c>
    </row>
    <row r="15"/>
    <row r="16">
      <c r="B16" s="6" t="inlineStr">
        <is>
          <t>▸ Ingredient: the product exactly as you buy it.</t>
        </is>
      </c>
    </row>
    <row r="17">
      <c r="B17" s="6" t="inlineStr">
        <is>
          <t>▸ Category: the ingredient's family (dropdown). It's what preloads the trim loss % in the empty rows.</t>
        </is>
      </c>
    </row>
    <row r="18">
      <c r="B18" s="6" t="inlineStr">
        <is>
          <t>▸ Purchase unit: the unit you BUY in (lb, gal, dozen, bunch…).</t>
        </is>
      </c>
    </row>
    <row r="19">
      <c r="B19" s="6" t="inlineStr">
        <is>
          <t>▸ Price/Unit: what you pay for that purchase unit.</t>
        </is>
      </c>
    </row>
    <row r="20">
      <c r="B20" s="6" t="inlineStr">
        <is>
          <t>▸ Do you keep your prices in template 13 (Ingredient Price Tracker)? Copy its "Price per base unit" into "Price/Unit" with Paste Special → Values (in Excel, Ctrl+Alt+V then V) and put that same unit in "Purchase unit." A normal paste would drag the formula along: the price and cost on that line would go blank with no warning, and the dish cost would come out lower than it really is.</t>
        </is>
      </c>
    </row>
    <row r="21">
      <c r="B21" s="6" t="inlineStr">
        <is>
          <t>▸ Quantity: the amount you use in the dish, IN THE RECIPE UNIT.</t>
        </is>
      </c>
    </row>
    <row r="22">
      <c r="B22" s="6" t="inlineStr">
        <is>
          <t>▸ Recipe unit: the unit you measure in while cooking (oz, fl oz, tbsp, each…).</t>
        </is>
      </c>
    </row>
    <row r="23">
      <c r="B23" s="6" t="inlineStr">
        <is>
          <t>▸ Factor: automatic Purchase unit → Recipe unit conversion, from the "Conversions" tab. If the pair is NOT in the table, Factor turns red with a "?" and Cost shows "check units": add the equivalence in "Conversions" before trusting the number. It never shows a plausible but wrong cost.</t>
        </is>
      </c>
    </row>
    <row r="24">
      <c r="B24" s="6" t="inlineStr">
        <is>
          <t>▸ Trim loss %: the amount lost in cleaning and prep. In the example rows it's entered by hand; in the empty ones it's preloaded from the "Trim Loss Factors" tab as soon as you pick a category, and you can type over it.</t>
        </is>
      </c>
    </row>
    <row r="25">
      <c r="B25" s="6" t="inlineStr">
        <is>
          <t>▸ Watch the trim loss % when you measure by the PIECE: the 11% for eggs is the SHELL, and it only makes sense as a percentage of weight. If you buy and measure by the each, leave it at 0%: six eggs are six eggs, not 6.74. The same rule applies to any ingredient you count by the unit.</t>
        </is>
      </c>
    </row>
    <row r="26">
      <c r="B26" s="6" t="inlineStr">
        <is>
          <t>▸ AP qty: what you need to buy once trim loss is factored in (automatic).</t>
        </is>
      </c>
    </row>
    <row r="27">
      <c r="B27" s="6" t="inlineStr">
        <is>
          <t>▸ Cost: AP qty × Price/Unit ÷ Factor (automatic).</t>
        </is>
      </c>
    </row>
    <row r="28"/>
    <row r="29">
      <c r="B29" s="4" t="inlineStr">
        <is>
          <t>Results block</t>
        </is>
      </c>
    </row>
    <row r="30"/>
    <row r="31">
      <c r="B31" s="6" t="inlineStr">
        <is>
          <t>▸ Q-factor (%): a markup on the raw ingredient cost that covers seasonings, oil, garnish, packaging and small prep losses you don't cost line by line. It defaults to 10%; set it to 0% if you'd rather account for those costs separately.</t>
        </is>
      </c>
    </row>
    <row r="32">
      <c r="B32" s="6" t="inlineStr">
        <is>
          <t>▸ TOTAL DISH COST: raw ingredients + Q-factor.</t>
        </is>
      </c>
    </row>
    <row r="33">
      <c r="B33" s="6" t="inlineStr">
        <is>
          <t>▸ Number of portions: how many portions the recipe cost card yields. Leave it at 1 for a single-serving dish.</t>
        </is>
      </c>
    </row>
    <row r="34">
      <c r="B34" s="6" t="inlineStr">
        <is>
          <t>▸ COST PER PORTION: total cost ÷ portions. It's the basis for the menu price.</t>
        </is>
      </c>
    </row>
    <row r="35">
      <c r="B35" s="6" t="inlineStr">
        <is>
          <t>▸ Target food cost %: the one you want to hit. Suggested menu price (pre-tax) = cost per portion ÷ target food cost %.</t>
        </is>
      </c>
    </row>
    <row r="36">
      <c r="B36" s="6" t="inlineStr">
        <is>
          <t>▸ Tax rate (%): editable, 0% by default. US: leave 0% — menu prices are pre-tax and sales tax is added to the check (or type your local rate to see the price incl. tax). UK: 20% VAT, and menu prices include it. Canada: prices are shown before GST/HST (5-15%). Australia: 10% GST, included in menu prices.</t>
        </is>
      </c>
    </row>
    <row r="37">
      <c r="B37" s="6" t="inlineStr">
        <is>
          <t>▸ Current menu price (pre-tax / ex VAT): what you charge TODAY. Leave it blank if you don't have it yet.</t>
        </is>
      </c>
    </row>
    <row r="38">
      <c r="B38" s="6" t="inlineStr">
        <is>
          <t>▸ ACTUAL FOOD COST %: cost per portion ÷ current menu price. It turns red as soon as it goes over your target.</t>
        </is>
      </c>
    </row>
    <row r="39"/>
    <row r="40">
      <c r="B40" s="4" t="inlineStr">
        <is>
          <t>Helper tabs</t>
        </is>
      </c>
    </row>
    <row r="41"/>
    <row r="42">
      <c r="B42" s="6" t="inlineStr">
        <is>
          <t>▸ "Conversions": Purchase unit → Recipe unit equivalents. It is NOT protected: add any pairs you're missing and fix the container sizes. The bottle is set to 750 ml and the can to 355 ml (U.S. sizes); in the UK spirits come in 700 ml bottles and cans in 330 ml — change the number in "bottle→ml" or "can→ml" and every related row follows.</t>
        </is>
      </c>
    </row>
    <row r="43">
      <c r="B43" s="6" t="inlineStr">
        <is>
          <t>▸ "Trim Loss Factors": minimum, typical and maximum trim loss % by category. The typical value is what preloads in the empty rows.</t>
        </is>
      </c>
    </row>
    <row r="44"/>
    <row r="45">
      <c r="B45" s="4" t="inlineStr">
        <is>
          <t>Sheet protection</t>
        </is>
      </c>
    </row>
    <row r="46"/>
    <row r="47">
      <c r="B47" s="6" t="inlineStr">
        <is>
          <t>▸ Sheets are protected WITHOUT a password so you don't delete a formula by accident: only the green cells are meant to be edited.</t>
        </is>
      </c>
    </row>
    <row r="48">
      <c r="B48" s="6" t="inlineStr">
        <is>
          <t>▸ To do anything else — insert rows, paste in the dish photo, change a formula: Excel: Review → Unprotect Sheet. Google Sheets: Data → Protect sheets and ranges. No password needed.</t>
        </is>
      </c>
    </row>
    <row r="49">
      <c r="B49" s="6" t="inlineStr">
        <is>
          <t>▸ If you run out of rows: unprotect the sheet and insert rows INSIDE the ingredient block (right-click a row in the block → Insert), never below the last one. That way "TOTAL INGREDIENT COST" picks them up automatically; anything you type below the block does NOT get added.</t>
        </is>
      </c>
    </row>
    <row r="50">
      <c r="B50" s="6" t="inlineStr">
        <is>
          <t>▸ You can't drag in the dish photo while the sheet is protected: first Excel: Review → Unprotect Sheet, then Insert → Pictures. Google Sheets: Data → Protect sheets and ranges, then Insert → Image → Image over cells.</t>
        </is>
      </c>
    </row>
    <row r="51"/>
    <row r="52">
      <c r="B52" s="4" t="inlineStr">
        <is>
          <t>Standard trim loss reference</t>
        </is>
      </c>
    </row>
    <row r="53"/>
    <row r="54">
      <c r="B54" s="6" t="inlineStr">
        <is>
          <t>▸ Beef &amp; red meat 20% | Poultry 25% | Fish 35% | Shellfish 45%</t>
        </is>
      </c>
    </row>
    <row r="55">
      <c r="B55" s="6" t="inlineStr">
        <is>
          <t>▸ Leafy greens 25% | Root vegetables 12% | Fruiting vegetables 10% | Fruit 15%</t>
        </is>
      </c>
    </row>
    <row r="56">
      <c r="B56" s="6" t="inlineStr">
        <is>
          <t>▸ Dairy 3% | Dry goods &amp; grains 2% | Frozen 7% | Bread &amp; pastry 5%</t>
        </is>
      </c>
    </row>
    <row r="57">
      <c r="B57" s="6" t="inlineStr">
        <is>
          <t>▸ Eggs 11% | Oils &amp; fats 3% | Herbs &amp; spices 20% | Chocolate &amp; cocoa 5%</t>
        </is>
      </c>
    </row>
    <row r="58">
      <c r="B58" s="6" t="inlineStr">
        <is>
          <t>▸ Beverages &amp; spirits 2% | Mushrooms 20% | Canned &amp; pickled 8% | Sauces &amp; condiments 5%</t>
        </is>
      </c>
    </row>
    <row r="59">
      <c r="B59" s="6" t="inlineStr">
        <is>
          <t>▸ Pasta &amp; rice 2%</t>
        </is>
      </c>
    </row>
    <row r="60">
      <c r="B60" s="6" t="inlineStr">
        <is>
          <t>▸ These are the 21 categories in the dropdown. The full table, with minimum and maximum, is on the "Trim Loss Factors" tab.</t>
        </is>
      </c>
    </row>
    <row r="61"/>
    <row r="62">
      <c r="B62" s="4" t="inlineStr">
        <is>
          <t>From invoice to price per unit</t>
        </is>
      </c>
    </row>
    <row r="63"/>
    <row r="64">
      <c r="B64" s="6" t="inlineStr">
        <is>
          <t>▸ Price/Unit is what you pay for ONE purchase unit: fees included (a split-case fee, for instance), recoverable tax left out (UK VAT if you're VAT-registered; in the U.S., food bought for resale is usually exempt from sales tax).</t>
        </is>
      </c>
    </row>
    <row r="65">
      <c r="B65" s="6" t="inlineStr">
        <is>
          <t>▸ Catch weight (meat, fish or cheese billed by actual weight; the invoice line reads 1 case, 50.2 lb × price per lb): buy in lb or kg at the invoice price per lb or kg. The case doesn't matter. The tenderloin in template 01 is bought this way, at $17.21/lb.</t>
        </is>
      </c>
    </row>
    <row r="66">
      <c r="B66" s="6" t="inlineStr">
        <is>
          <t>▸ Fixed-weight case that's on the dropdown (50 lb bag, 36x1 lb case, 4x1 gal case, 15 dz case…): pick it as Purchase unit and type the case price exactly as invoiced; the Factor divides it for you. A $29.99 50 lb bag of flour used at 10 oz costs $0.37.</t>
        </is>
      </c>
    </row>
    <row r="67">
      <c r="B67" s="6" t="inlineStr">
        <is>
          <t>▸ Any other case: read the pack/size on the invoice (4/10 lb = 4 bags of 10 lb = 40 lb; 6/105 oz = six 105 oz cans) and buy in lb, oz, gal or each, with Price/Unit = case price ÷ contents. Say a 6/5 lb case costs $75.00: that's 30 lb, so $2.50/lb. The dropdown won't take a unit that isn't on its list.</t>
        </is>
      </c>
    </row>
    <row r="68">
      <c r="B68" s="6" t="inlineStr">
        <is>
          <t>▸ #10 cans: the net weight depends on the product (96 to 117 oz, per the USDA Food Buying Guide), so there's no #10 unit. Buy in oz, with Price/Unit = can price ÷ the net weight on the label: a 105 oz can at $5.25 is $0.05 per oz.</t>
        </is>
      </c>
    </row>
    <row r="69">
      <c r="B69" s="6" t="inlineStr">
        <is>
          <t>▸ Fryer oil is sold by weight (a 35 lb jug-in-box) and shared by everything you fry. Leave it to the Q-factor, or cost it by weight: buy in lb and use in oz, as the Loaded Fries in template 08 does.</t>
        </is>
      </c>
    </row>
    <row r="70"/>
    <row r="71">
      <c r="B71" s="4" t="inlineStr">
        <is>
          <t>Units: what to watch</t>
        </is>
      </c>
    </row>
    <row r="72"/>
    <row r="73">
      <c r="B73" s="6" t="inlineStr">
        <is>
          <t>▸ oz is weight, fl oz is volume. What you buy by weight (lb, oz, kg, g) you use by weight; what you buy by volume (gal, qt, pt, cup, fl oz, L, ml) you use by volume. Crossing over shows '?' and 'check units', on purpose.</t>
        </is>
      </c>
    </row>
    <row r="74">
      <c r="B74" s="6" t="inlineStr">
        <is>
          <t>▸ U.S. and imperial measures differ. In this kit pt, qt, gal, cup and fl oz are U.S. (1 pt = 473 ml, 1 gal = 3.785 L, 1 fl oz = 29.6 ml). An imperial pint is 568 ml (use imp pt) and a UK fl oz is 28.4 ml; in the UK, work in ml and L.</t>
        </is>
      </c>
    </row>
    <row r="75">
      <c r="B75" s="6" t="inlineStr">
        <is>
          <t>▸ 'can' on the list is a 12 fl oz (355 ml) beverage can, not a #10 food can (see above).</t>
        </is>
      </c>
    </row>
    <row r="76">
      <c r="B76" s="6" t="inlineStr">
        <is>
          <t>▸ UK sizes, exactly where: on "Conversions", cell B147 (row bottle→ml, 750: type 700 for a 70 cl bottle) and cell B153 (row can→ml, 355: type 330). Every bottle and can row reads those two cells. It's one size per workbook: if you buy 70 cl spirits and 75 cl wine, keep 'bottle' for the one you use most and cost the other in L.</t>
        </is>
      </c>
    </row>
    <row r="77"/>
    <row r="78">
      <c r="B78" s="4" t="inlineStr">
        <is>
          <t>Yield, cooking loss, scaling and sub-recipes</t>
        </is>
      </c>
    </row>
    <row r="79"/>
    <row r="80">
      <c r="B80" s="6" t="inlineStr">
        <is>
          <t>▸ Your own trim loss: weigh the product as it arrives and again once trimmed; trim loss % = 1 − trimmed weight ÷ AP weight. For whole cuts with trim you reuse (tips, chain, bones for stock), use template 12 (Yield Test): it credits those by-products, so the tenderloin's 39.3% raw loss becomes 37.4% for the card.</t>
        </is>
      </c>
    </row>
    <row r="81">
      <c r="B81" s="6" t="inlineStr">
        <is>
          <t>▸ Cooking loss: if the quantity on the card is the COOKED portion (a 4 oz cooked patty), trim loss must include what's lost on the heat: 1 − (1 − trim loss) × (1 − cooking loss). The Cooking Loss Test tab of template 12 does the math. Or simply enter the raw weight.</t>
        </is>
      </c>
    </row>
    <row r="82">
      <c r="B82" s="6" t="inlineStr">
        <is>
          <t>▸ Scaling: conversion factor = new yield ÷ old yield. Multiply every Quantity by it and set Number of portions to the new yield (from 10 to 25: factor 2.5, so 3 lb becomes 7.5 lb). Cost per portion doesn't change; the total does. Duplicate the tab first (right-click the tab → Move or Copy → Create a copy).</t>
        </is>
      </c>
    </row>
    <row r="83">
      <c r="B83" s="6" t="inlineStr">
        <is>
          <t>▸ Sub-recipes (stocks, sauces, doughs): cost the batch on its own card (a copy of the tab) with Number of portions = the batch yield in the unit you'll use (e.g., 6 qt) and Q-factor at 0%, so it isn't counted twice. On the main card, buy it in that unit: in Price/Unit type = and click the sub-recipe's COST PER PORTION. The dark veal stock in template 01 ($10.00 a quart) is a placeholder for exactly that.</t>
        </is>
      </c>
    </row>
    <row r="84">
      <c r="B84" s="6" t="inlineStr">
        <is>
          <t>▸ Weigh dry goods. The kit never converts volume to weight: a cup of flour weighs more or less depending on how it's filled. Enter flour, sugar and the like in oz or g; if a recipe says cups, weigh one cup of YOUR product once and use that weight. Pinches of salt and spices: weigh them or leave them to the Q-factor.</t>
        </is>
      </c>
    </row>
    <row r="85">
      <c r="B85" s="6" t="inlineStr">
        <is>
          <t>▸ Keep your prices in template 13 (Ingredient Price Tracker): it flags any ingredient that has gone up more than 5% since your cards were costed, so you know which cards to update.</t>
        </is>
      </c>
    </row>
    <row r="86"/>
    <row r="87">
      <c r="B87" s="4" t="inlineStr">
        <is>
          <t>Tax by market: what to type and what to print</t>
        </is>
      </c>
    </row>
    <row r="88"/>
    <row r="89">
      <c r="B89" s="6" t="inlineStr">
        <is>
          <t>▸ U.S.: leave Tax rate (%) at 0%. Print the pre-tax suggested price; sales tax is added to the check (about 7.5% on average, state plus local). In Current menu price, type the price as printed.</t>
        </is>
      </c>
    </row>
    <row r="90">
      <c r="B90" s="6" t="inlineStr">
        <is>
          <t>▸ UK: set 20% (VAT) and print the price incl. tax, since UK menus show VAT-inclusive prices. In Current menu price, type your menu price WITHOUT VAT, dividing by 1.20 rather than subtracting 20%: £18.00 on the menu is 15.00, not 14.40. Your GP % is 100% minus the actual food cost %.</t>
        </is>
      </c>
    </row>
    <row r="91">
      <c r="B91" s="6" t="inlineStr">
        <is>
          <t>▸ Canada: as in the U.S., menus show prices before GST/HST (5-15%): leave 0%, or type your rate to see what the guest pays.</t>
        </is>
      </c>
    </row>
    <row r="92">
      <c r="B92" s="6" t="inlineStr">
        <is>
          <t>▸ Australia: set 10% (GST) and print the price incl. tax; in Current menu price, type the menu price ÷ 1.10.</t>
        </is>
      </c>
    </row>
    <row r="93">
      <c r="B93" s="6" t="inlineStr">
        <is>
          <t>▸ Tips and service charges are never part of the price you cost against.</t>
        </is>
      </c>
    </row>
    <row r="94"/>
    <row r="95">
      <c r="B95" s="4" t="inlineStr">
        <is>
          <t>Using Google Sheets</t>
        </is>
      </c>
    </row>
    <row r="96"/>
    <row r="97">
      <c r="B97" s="6" t="inlineStr">
        <is>
          <t>▸ This file is built for Microsoft Excel. In Google Sheets: upload it to Google Drive, open it and choose File → Save as Google Sheets (Protect sheets and ranges isn't available while it's still an .xlsx). To go back: File → Download → Microsoft Excel (.xlsx).</t>
        </is>
      </c>
    </row>
    <row r="98">
      <c r="B98" s="6" t="inlineStr">
        <is>
          <t>▸ Paste values only: Ctrl+Shift+V (Mac: Cmd+Shift+V) or Edit → Paste special → Values only. In Excel for Mac, Paste Special is Ctrl+Cmd+V.</t>
        </is>
      </c>
    </row>
    <row r="99">
      <c r="B99" s="6" t="inlineStr">
        <is>
          <t>▸ Protection: Data → Protect sheets and ranges. Dropdowns: Data → Data validation; if one doesn't come across, type the value exactly as it appears on its list (fl oz, 50 lb bag, Beef &amp; red meat): the formulas read the text.</t>
        </is>
      </c>
    </row>
    <row r="100">
      <c r="B100" s="6" t="inlineStr">
        <is>
          <t>▸ Duplicate a tab: right-click the tab → Duplicate.</t>
        </is>
      </c>
    </row>
    <row r="101"/>
    <row r="102">
      <c r="B102" s="4" t="inlineStr">
        <is>
          <t>Good to know</t>
        </is>
      </c>
    </row>
    <row r="103"/>
    <row r="104">
      <c r="B104" s="6" t="inlineStr">
        <is>
          <t>▸ Amounts have no currency symbol: they're in your currency. The examples use U.S. dollars.</t>
        </is>
      </c>
    </row>
    <row r="105">
      <c r="B105" s="6" t="inlineStr">
        <is>
          <t>▸ Sample prices are illustrative U.S. references — replace them with your own supplier invoices.</t>
        </is>
      </c>
    </row>
    <row r="106">
      <c r="B106" s="6" t="inlineStr">
        <is>
          <t>License: one business (all its locations) per purchase — use it with your clients, but don't hand out copies; schools: info@aichef.pro</t>
        </is>
      </c>
    </row>
    <row r="107"/>
    <row r="108">
      <c r="B108" s="6" t="inlineStr">
        <is>
          <t>— Food Cost Kit Pro · AI Chef Pro · aichef.pro</t>
        </is>
      </c>
    </row>
    <row r="109"/>
    <row r="110">
      <c r="B110" s="6" t="inlineStr">
        <is>
          <t>© 2026 AI Chef Pro · All rights reserved</t>
        </is>
      </c>
    </row>
    <row r="111"/>
    <row r="112">
      <c r="B112" s="6" t="inlineStr">
        <is>
          <t>Version 2.1 · September 2026 · aichef.pro/en/digital-products/food-cost-templates · info@aichef.pro</t>
        </is>
      </c>
    </row>
  </sheetData>
  <mergeCells count="1">
    <mergeCell ref="B2"/>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M37"/>
  <sheetViews>
    <sheetView workbookViewId="0">
      <pane ySplit="4" topLeftCell="A5" activePane="bottomLeft" state="frozen"/>
      <selection pane="bottomLeft" activeCell="A1" sqref="A1"/>
    </sheetView>
  </sheetViews>
  <sheetFormatPr baseColWidth="8" defaultRowHeight="15"/>
  <cols>
    <col width="25" customWidth="1" min="1" max="1"/>
    <col width="16" customWidth="1" min="2" max="2"/>
    <col width="12" customWidth="1" min="3" max="3"/>
    <col width="14" customWidth="1" min="4" max="4"/>
    <col width="12" customWidth="1" min="5" max="5"/>
    <col width="12" customWidth="1" min="6" max="6"/>
    <col width="8" customWidth="1" min="7" max="7"/>
    <col width="10" customWidth="1" min="8" max="8"/>
    <col width="14" customWidth="1" min="9" max="9"/>
    <col width="14" customWidth="1" min="10" max="10"/>
    <col width="3" customWidth="1" min="11" max="11"/>
    <col width="20" customWidth="1" min="12" max="12"/>
    <col width="20" customWidth="1" min="13" max="13"/>
  </cols>
  <sheetData>
    <row r="1">
      <c r="A1" s="9" t="inlineStr">
        <is>
          <t>Starter — Mediterranean Salad</t>
        </is>
      </c>
    </row>
    <row r="2" ht="17" customHeight="1">
      <c r="A2" s="59" t="inlineStr">
        <is>
          <t>Enter your ingredients and quantities. Green cells are editable.</t>
        </is>
      </c>
    </row>
    <row r="3">
      <c r="L3" s="10" t="inlineStr">
        <is>
          <t>📷 Dish Photo</t>
        </is>
      </c>
      <c r="M3" s="56" t="n"/>
    </row>
    <row r="4" ht="28" customHeight="1">
      <c r="A4" s="12" t="inlineStr">
        <is>
          <t>Ingredient</t>
        </is>
      </c>
      <c r="B4" s="12" t="inlineStr">
        <is>
          <t>Category</t>
        </is>
      </c>
      <c r="C4" s="12" t="inlineStr">
        <is>
          <t>Purchase unit</t>
        </is>
      </c>
      <c r="D4" s="12" t="inlineStr">
        <is>
          <t>Price/Unit</t>
        </is>
      </c>
      <c r="E4" s="12" t="inlineStr">
        <is>
          <t>Quantity</t>
        </is>
      </c>
      <c r="F4" s="12" t="inlineStr">
        <is>
          <t>Recipe unit</t>
        </is>
      </c>
      <c r="G4" s="12" t="inlineStr">
        <is>
          <t>Factor</t>
        </is>
      </c>
      <c r="H4" s="12" t="inlineStr">
        <is>
          <t>Trim loss %</t>
        </is>
      </c>
      <c r="I4" s="12" t="inlineStr">
        <is>
          <t>AP qty</t>
        </is>
      </c>
      <c r="J4" s="12" t="inlineStr">
        <is>
          <t>Cost</t>
        </is>
      </c>
      <c r="L4" s="13" t="n"/>
      <c r="M4" s="14" t="n"/>
    </row>
    <row r="5" ht="28" customHeight="1">
      <c r="A5" s="60" t="inlineStr">
        <is>
          <t>Spring mix</t>
        </is>
      </c>
      <c r="B5" s="61" t="inlineStr">
        <is>
          <t>Leafy greens</t>
        </is>
      </c>
      <c r="C5" s="61" t="inlineStr">
        <is>
          <t>lb</t>
        </is>
      </c>
      <c r="D5" s="62" t="n">
        <v>3.66</v>
      </c>
      <c r="E5" s="63" t="n">
        <v>3</v>
      </c>
      <c r="F5" s="61" t="inlineStr">
        <is>
          <t>oz</t>
        </is>
      </c>
      <c r="G5" s="64">
        <f>IF(C5&amp;F5="","",IFERROR(VLOOKUP(C5&amp;"→"&amp;F5,Conversions!$A$5:$B$286,2,FALSE),"?"))</f>
        <v>16.0</v>
      </c>
      <c r="H5" s="65" t="n">
        <v>0.05</v>
      </c>
      <c r="I5" s="20">
        <f>IFERROR(IF(E5="","",E5/(1-H5)),"check trim loss")</f>
        <v>3.1578947368421053</v>
      </c>
      <c r="J5" s="21">
        <f>IF(G5="?","check units",IFERROR(I5*D5/G5,""))</f>
        <v>0.7223684210526317</v>
      </c>
      <c r="L5" s="22" t="n"/>
      <c r="M5" s="23" t="n"/>
    </row>
    <row r="6" ht="28" customHeight="1">
      <c r="A6" s="60" t="inlineStr">
        <is>
          <t>Roma tomato</t>
        </is>
      </c>
      <c r="B6" s="61" t="inlineStr">
        <is>
          <t>Fruiting vegetables</t>
        </is>
      </c>
      <c r="C6" s="61" t="inlineStr">
        <is>
          <t>lb</t>
        </is>
      </c>
      <c r="D6" s="62" t="n">
        <v>1.83</v>
      </c>
      <c r="E6" s="63" t="n">
        <v>3.5</v>
      </c>
      <c r="F6" s="61" t="inlineStr">
        <is>
          <t>oz</t>
        </is>
      </c>
      <c r="G6" s="64">
        <f>IF(C6&amp;F6="","",IFERROR(VLOOKUP(C6&amp;"→"&amp;F6,Conversions!$A$5:$B$286,2,FALSE),"?"))</f>
        <v>16.0</v>
      </c>
      <c r="H6" s="65" t="n">
        <v>0.1</v>
      </c>
      <c r="I6" s="20">
        <f>IFERROR(IF(E6="","",E6/(1-H6)),"check trim loss")</f>
        <v>3.888888888888889</v>
      </c>
      <c r="J6" s="21">
        <f>IF(G6="?","check units",IFERROR(I6*D6/G6,""))</f>
        <v>0.4447916666666667</v>
      </c>
      <c r="L6" s="22" t="n"/>
      <c r="M6" s="23" t="n"/>
    </row>
    <row r="7" ht="28" customHeight="1">
      <c r="A7" s="60" t="inlineStr">
        <is>
          <t>Persian cucumber</t>
        </is>
      </c>
      <c r="B7" s="61" t="inlineStr">
        <is>
          <t>Fruiting vegetables</t>
        </is>
      </c>
      <c r="C7" s="61" t="inlineStr">
        <is>
          <t>lb</t>
        </is>
      </c>
      <c r="D7" s="62" t="n">
        <v>2.21</v>
      </c>
      <c r="E7" s="63" t="n">
        <v>2</v>
      </c>
      <c r="F7" s="61" t="inlineStr">
        <is>
          <t>oz</t>
        </is>
      </c>
      <c r="G7" s="64">
        <f>IF(C7&amp;F7="","",IFERROR(VLOOKUP(C7&amp;"→"&amp;F7,Conversions!$A$5:$B$286,2,FALSE),"?"))</f>
        <v>16.0</v>
      </c>
      <c r="H7" s="65" t="n">
        <v>0.12</v>
      </c>
      <c r="I7" s="20">
        <f>IFERROR(IF(E7="","",E7/(1-H7)),"check trim loss")</f>
        <v>2.272727272727273</v>
      </c>
      <c r="J7" s="21">
        <f>IF(G7="?","check units",IFERROR(I7*D7/G7,""))</f>
        <v>0.3139204545454546</v>
      </c>
      <c r="L7" s="22" t="n"/>
      <c r="M7" s="23" t="n"/>
    </row>
    <row r="8" ht="28" customHeight="1">
      <c r="A8" s="60" t="inlineStr">
        <is>
          <t>Red onion</t>
        </is>
      </c>
      <c r="B8" s="61" t="inlineStr">
        <is>
          <t>Root vegetables</t>
        </is>
      </c>
      <c r="C8" s="61" t="inlineStr">
        <is>
          <t>lb</t>
        </is>
      </c>
      <c r="D8" s="62" t="n">
        <v>1.34</v>
      </c>
      <c r="E8" s="63" t="n">
        <v>1</v>
      </c>
      <c r="F8" s="61" t="inlineStr">
        <is>
          <t>oz</t>
        </is>
      </c>
      <c r="G8" s="64">
        <f>IF(C8&amp;F8="","",IFERROR(VLOOKUP(C8&amp;"→"&amp;F8,Conversions!$A$5:$B$286,2,FALSE),"?"))</f>
        <v>16.0</v>
      </c>
      <c r="H8" s="65" t="n">
        <v>0.12</v>
      </c>
      <c r="I8" s="20">
        <f>IFERROR(IF(E8="","",E8/(1-H8)),"check trim loss")</f>
        <v>1.1363636363636365</v>
      </c>
      <c r="J8" s="21">
        <f>IF(G8="?","check units",IFERROR(I8*D8/G8,""))</f>
        <v>0.09517045454545456</v>
      </c>
      <c r="L8" s="24" t="inlineStr">
        <is>
          <t>Photo of the finished dish:
Review → Unprotect Sheet,
then Insert → Picture</t>
        </is>
      </c>
      <c r="M8" s="25" t="n"/>
    </row>
    <row r="9" ht="28" customHeight="1">
      <c r="A9" s="60" t="inlineStr">
        <is>
          <t>Kalamata olives (pitted)</t>
        </is>
      </c>
      <c r="B9" s="61" t="inlineStr">
        <is>
          <t>Canned &amp; pickled</t>
        </is>
      </c>
      <c r="C9" s="61" t="inlineStr">
        <is>
          <t>lb</t>
        </is>
      </c>
      <c r="D9" s="62" t="n">
        <v>5.45</v>
      </c>
      <c r="E9" s="63" t="n">
        <v>0.75</v>
      </c>
      <c r="F9" s="61" t="inlineStr">
        <is>
          <t>oz</t>
        </is>
      </c>
      <c r="G9" s="64">
        <f>IF(C9&amp;F9="","",IFERROR(VLOOKUP(C9&amp;"→"&amp;F9,Conversions!$A$5:$B$286,2,FALSE),"?"))</f>
        <v>16.0</v>
      </c>
      <c r="H9" s="65" t="n">
        <v>0.02</v>
      </c>
      <c r="I9" s="20">
        <f>IFERROR(IF(E9="","",E9/(1-H9)),"check trim loss")</f>
        <v>0.7653061224489796</v>
      </c>
      <c r="J9" s="21">
        <f>IF(G9="?","check units",IFERROR(I9*D9/G9,""))</f>
        <v>0.2606823979591837</v>
      </c>
      <c r="L9" s="26" t="n"/>
      <c r="M9" s="27" t="n"/>
    </row>
    <row r="10" ht="28" customHeight="1">
      <c r="A10" s="60" t="inlineStr">
        <is>
          <t>Feta cheese</t>
        </is>
      </c>
      <c r="B10" s="61" t="inlineStr">
        <is>
          <t>Dairy</t>
        </is>
      </c>
      <c r="C10" s="61" t="inlineStr">
        <is>
          <t>lb</t>
        </is>
      </c>
      <c r="D10" s="62" t="n">
        <v>7.28</v>
      </c>
      <c r="E10" s="63" t="n">
        <v>1.5</v>
      </c>
      <c r="F10" s="61" t="inlineStr">
        <is>
          <t>oz</t>
        </is>
      </c>
      <c r="G10" s="64">
        <f>IF(C10&amp;F10="","",IFERROR(VLOOKUP(C10&amp;"→"&amp;F10,Conversions!$A$5:$B$286,2,FALSE),"?"))</f>
        <v>16.0</v>
      </c>
      <c r="H10" s="65" t="n">
        <v>0.03</v>
      </c>
      <c r="I10" s="20">
        <f>IFERROR(IF(E10="","",E10/(1-H10)),"check trim loss")</f>
        <v>1.5463917525773196</v>
      </c>
      <c r="J10" s="21">
        <f>IF(G10="?","check units",IFERROR(I10*D10/G10,""))</f>
        <v>0.7036082474226805</v>
      </c>
      <c r="L10" s="22" t="n"/>
      <c r="M10" s="23" t="n"/>
    </row>
    <row r="11" ht="28" customHeight="1">
      <c r="A11" s="60" t="inlineStr">
        <is>
          <t>EVOO</t>
        </is>
      </c>
      <c r="B11" s="61" t="inlineStr">
        <is>
          <t>Oils &amp; fats</t>
        </is>
      </c>
      <c r="C11" s="61" t="inlineStr">
        <is>
          <t>L</t>
        </is>
      </c>
      <c r="D11" s="62" t="n">
        <v>8.58</v>
      </c>
      <c r="E11" s="63" t="n">
        <v>4</v>
      </c>
      <c r="F11" s="61" t="inlineStr">
        <is>
          <t>tsp</t>
        </is>
      </c>
      <c r="G11" s="64">
        <f>IF(C11&amp;F11="","",IFERROR(VLOOKUP(C11&amp;"→"&amp;F11,Conversions!$A$5:$B$286,2,FALSE),"?"))</f>
        <v>202.884136211058</v>
      </c>
      <c r="H11" s="65" t="n">
        <v>0.03</v>
      </c>
      <c r="I11" s="20">
        <f>IFERROR(IF(E11="","",E11/(1-H11)),"check trim loss")</f>
        <v>4.123711340206186</v>
      </c>
      <c r="J11" s="21">
        <f>IF(G11="?","check units",IFERROR(I11*D11/G11,""))</f>
        <v>0.17439235989432988</v>
      </c>
      <c r="L11" s="22" t="n"/>
      <c r="M11" s="23" t="n"/>
    </row>
    <row r="12" ht="28" customHeight="1">
      <c r="A12" s="66" t="n"/>
      <c r="B12" s="66" t="n"/>
      <c r="C12" s="66" t="n"/>
      <c r="D12" s="66" t="n"/>
      <c r="E12" s="66" t="n"/>
      <c r="F12" s="66" t="n"/>
      <c r="G12" s="64">
        <f>IF(C12&amp;F12="","",IFERROR(VLOOKUP(C12&amp;"→"&amp;F12,Conversions!$A$5:$B$286,2,FALSE),"?"))</f>
        <v/>
      </c>
      <c r="H12" s="67">
        <f>IFERROR(VLOOKUP(B12,'Trim Loss Factors'!$A$5:$C$25,2,FALSE),"")</f>
        <v/>
      </c>
      <c r="I12" s="30">
        <f>IFERROR(IF(E12="","",E12/(1-H12)),"check trim loss")</f>
        <v/>
      </c>
      <c r="J12" s="31">
        <f>IF(G12="?","check units",IFERROR(I12*D12/G12,""))</f>
        <v/>
      </c>
      <c r="L12" s="22" t="n"/>
      <c r="M12" s="23" t="n"/>
    </row>
    <row r="13" ht="28" customHeight="1">
      <c r="A13" s="66" t="n"/>
      <c r="B13" s="66" t="n"/>
      <c r="C13" s="66" t="n"/>
      <c r="D13" s="66" t="n"/>
      <c r="E13" s="66" t="n"/>
      <c r="F13" s="66" t="n"/>
      <c r="G13" s="64">
        <f>IF(C13&amp;F13="","",IFERROR(VLOOKUP(C13&amp;"→"&amp;F13,Conversions!$A$5:$B$286,2,FALSE),"?"))</f>
        <v/>
      </c>
      <c r="H13" s="67">
        <f>IFERROR(VLOOKUP(B13,'Trim Loss Factors'!$A$5:$C$25,2,FALSE),"")</f>
        <v/>
      </c>
      <c r="I13" s="30">
        <f>IFERROR(IF(E13="","",E13/(1-H13)),"check trim loss")</f>
        <v/>
      </c>
      <c r="J13" s="31">
        <f>IF(G13="?","check units",IFERROR(I13*D13/G13,""))</f>
        <v/>
      </c>
      <c r="L13" s="22" t="n"/>
      <c r="M13" s="23" t="n"/>
    </row>
    <row r="14" ht="28" customHeight="1">
      <c r="A14" s="66" t="n"/>
      <c r="B14" s="66" t="n"/>
      <c r="C14" s="66" t="n"/>
      <c r="D14" s="66" t="n"/>
      <c r="E14" s="66" t="n"/>
      <c r="F14" s="66" t="n"/>
      <c r="G14" s="64">
        <f>IF(C14&amp;F14="","",IFERROR(VLOOKUP(C14&amp;"→"&amp;F14,Conversions!$A$5:$B$286,2,FALSE),"?"))</f>
        <v/>
      </c>
      <c r="H14" s="67">
        <f>IFERROR(VLOOKUP(B14,'Trim Loss Factors'!$A$5:$C$25,2,FALSE),"")</f>
        <v/>
      </c>
      <c r="I14" s="30">
        <f>IFERROR(IF(E14="","",E14/(1-H14)),"check trim loss")</f>
        <v/>
      </c>
      <c r="J14" s="31">
        <f>IF(G14="?","check units",IFERROR(I14*D14/G14,""))</f>
        <v/>
      </c>
      <c r="L14" s="32" t="n"/>
      <c r="M14" s="33" t="n"/>
    </row>
    <row r="15">
      <c r="A15" s="66" t="n"/>
      <c r="B15" s="66" t="n"/>
      <c r="C15" s="66" t="n"/>
      <c r="D15" s="66" t="n"/>
      <c r="E15" s="66" t="n"/>
      <c r="F15" s="66" t="n"/>
      <c r="G15" s="64">
        <f>IF(C15&amp;F15="","",IFERROR(VLOOKUP(C15&amp;"→"&amp;F15,Conversions!$A$5:$B$286,2,FALSE),"?"))</f>
        <v/>
      </c>
      <c r="H15" s="67">
        <f>IFERROR(VLOOKUP(B15,'Trim Loss Factors'!$A$5:$C$25,2,FALSE),"")</f>
        <v/>
      </c>
      <c r="I15" s="30">
        <f>IFERROR(IF(E15="","",E15/(1-H15)),"check trim loss")</f>
        <v/>
      </c>
      <c r="J15" s="31">
        <f>IF(G15="?","check units",IFERROR(I15*D15/G15,""))</f>
        <v/>
      </c>
      <c r="L15" s="34" t="n"/>
    </row>
    <row r="16">
      <c r="A16" s="66" t="n"/>
      <c r="B16" s="66" t="n"/>
      <c r="C16" s="66" t="n"/>
      <c r="D16" s="66" t="n"/>
      <c r="E16" s="66" t="n"/>
      <c r="F16" s="66" t="n"/>
      <c r="G16" s="64">
        <f>IF(C16&amp;F16="","",IFERROR(VLOOKUP(C16&amp;"→"&amp;F16,Conversions!$A$5:$B$286,2,FALSE),"?"))</f>
        <v/>
      </c>
      <c r="H16" s="67">
        <f>IFERROR(VLOOKUP(B16,'Trim Loss Factors'!$A$5:$C$25,2,FALSE),"")</f>
        <v/>
      </c>
      <c r="I16" s="30">
        <f>IFERROR(IF(E16="","",E16/(1-H16)),"check trim loss")</f>
        <v/>
      </c>
      <c r="J16" s="31">
        <f>IF(G16="?","check units",IFERROR(I16*D16/G16,""))</f>
        <v/>
      </c>
    </row>
    <row r="17">
      <c r="A17" s="66" t="n"/>
      <c r="B17" s="66" t="n"/>
      <c r="C17" s="66" t="n"/>
      <c r="D17" s="66" t="n"/>
      <c r="E17" s="66" t="n"/>
      <c r="F17" s="66" t="n"/>
      <c r="G17" s="64">
        <f>IF(C17&amp;F17="","",IFERROR(VLOOKUP(C17&amp;"→"&amp;F17,Conversions!$A$5:$B$286,2,FALSE),"?"))</f>
        <v/>
      </c>
      <c r="H17" s="67">
        <f>IFERROR(VLOOKUP(B17,'Trim Loss Factors'!$A$5:$C$25,2,FALSE),"")</f>
        <v/>
      </c>
      <c r="I17" s="30">
        <f>IFERROR(IF(E17="","",E17/(1-H17)),"check trim loss")</f>
        <v/>
      </c>
      <c r="J17" s="31">
        <f>IF(G17="?","check units",IFERROR(I17*D17/G17,""))</f>
        <v/>
      </c>
    </row>
    <row r="18">
      <c r="A18" s="66" t="n"/>
      <c r="B18" s="66" t="n"/>
      <c r="C18" s="66" t="n"/>
      <c r="D18" s="66" t="n"/>
      <c r="E18" s="66" t="n"/>
      <c r="F18" s="66" t="n"/>
      <c r="G18" s="64">
        <f>IF(C18&amp;F18="","",IFERROR(VLOOKUP(C18&amp;"→"&amp;F18,Conversions!$A$5:$B$286,2,FALSE),"?"))</f>
        <v/>
      </c>
      <c r="H18" s="67">
        <f>IFERROR(VLOOKUP(B18,'Trim Loss Factors'!$A$5:$C$25,2,FALSE),"")</f>
        <v/>
      </c>
      <c r="I18" s="30">
        <f>IFERROR(IF(E18="","",E18/(1-H18)),"check trim loss")</f>
        <v/>
      </c>
      <c r="J18" s="31">
        <f>IF(G18="?","check units",IFERROR(I18*D18/G18,""))</f>
        <v/>
      </c>
    </row>
    <row r="19">
      <c r="A19" s="66" t="n"/>
      <c r="B19" s="66" t="n"/>
      <c r="C19" s="66" t="n"/>
      <c r="D19" s="66" t="n"/>
      <c r="E19" s="66" t="n"/>
      <c r="F19" s="66" t="n"/>
      <c r="G19" s="64">
        <f>IF(C19&amp;F19="","",IFERROR(VLOOKUP(C19&amp;"→"&amp;F19,Conversions!$A$5:$B$286,2,FALSE),"?"))</f>
        <v/>
      </c>
      <c r="H19" s="67">
        <f>IFERROR(VLOOKUP(B19,'Trim Loss Factors'!$A$5:$C$25,2,FALSE),"")</f>
        <v/>
      </c>
      <c r="I19" s="30">
        <f>IFERROR(IF(E19="","",E19/(1-H19)),"check trim loss")</f>
        <v/>
      </c>
      <c r="J19" s="31">
        <f>IF(G19="?","check units",IFERROR(I19*D19/G19,""))</f>
        <v/>
      </c>
    </row>
    <row r="20">
      <c r="A20" s="66" t="n"/>
      <c r="B20" s="66" t="n"/>
      <c r="C20" s="66" t="n"/>
      <c r="D20" s="66" t="n"/>
      <c r="E20" s="66" t="n"/>
      <c r="F20" s="66" t="n"/>
      <c r="G20" s="64">
        <f>IF(C20&amp;F20="","",IFERROR(VLOOKUP(C20&amp;"→"&amp;F20,Conversions!$A$5:$B$286,2,FALSE),"?"))</f>
        <v/>
      </c>
      <c r="H20" s="67">
        <f>IFERROR(VLOOKUP(B20,'Trim Loss Factors'!$A$5:$C$25,2,FALSE),"")</f>
        <v/>
      </c>
      <c r="I20" s="30">
        <f>IFERROR(IF(E20="","",E20/(1-H20)),"check trim loss")</f>
        <v/>
      </c>
      <c r="J20" s="31">
        <f>IF(G20="?","check units",IFERROR(I20*D20/G20,""))</f>
        <v/>
      </c>
    </row>
    <row r="21">
      <c r="A21" s="66" t="n"/>
      <c r="B21" s="66" t="n"/>
      <c r="C21" s="66" t="n"/>
      <c r="D21" s="66" t="n"/>
      <c r="E21" s="66" t="n"/>
      <c r="F21" s="66" t="n"/>
      <c r="G21" s="64">
        <f>IF(C21&amp;F21="","",IFERROR(VLOOKUP(C21&amp;"→"&amp;F21,Conversions!$A$5:$B$286,2,FALSE),"?"))</f>
        <v/>
      </c>
      <c r="H21" s="67">
        <f>IFERROR(VLOOKUP(B21,'Trim Loss Factors'!$A$5:$C$25,2,FALSE),"")</f>
        <v/>
      </c>
      <c r="I21" s="30">
        <f>IFERROR(IF(E21="","",E21/(1-H21)),"check trim loss")</f>
        <v/>
      </c>
      <c r="J21" s="31">
        <f>IF(G21="?","check units",IFERROR(I21*D21/G21,""))</f>
        <v/>
      </c>
    </row>
    <row r="22"/>
    <row r="23">
      <c r="A23" s="35" t="inlineStr">
        <is>
          <t>TOTAL INGREDIENT COST</t>
        </is>
      </c>
      <c r="B23" s="57" t="n"/>
      <c r="C23" s="57" t="n"/>
      <c r="D23" s="57" t="n"/>
      <c r="E23" s="57" t="n"/>
      <c r="F23" s="57" t="n"/>
      <c r="G23" s="57" t="n"/>
      <c r="H23" s="57" t="n"/>
      <c r="I23" s="58" t="n"/>
      <c r="J23" s="36">
        <f>SUM(J5:J21)</f>
        <v>2.7149340020864017</v>
      </c>
    </row>
    <row r="24">
      <c r="A24" s="37" t="inlineStr">
        <is>
          <t>Q-factor (%)</t>
        </is>
      </c>
      <c r="B24" s="57" t="n"/>
      <c r="C24" s="57" t="n"/>
      <c r="D24" s="57" t="n"/>
      <c r="E24" s="57" t="n"/>
      <c r="F24" s="57" t="n"/>
      <c r="G24" s="57" t="n"/>
      <c r="H24" s="58" t="n"/>
      <c r="I24" s="68" t="n">
        <v>0.1</v>
      </c>
      <c r="J24" s="38">
        <f>J23*I24</f>
        <v>0.27149340020864016</v>
      </c>
    </row>
    <row r="25">
      <c r="A25" s="39" t="inlineStr">
        <is>
          <t>TOTAL DISH COST</t>
        </is>
      </c>
      <c r="B25" s="57" t="n"/>
      <c r="C25" s="57" t="n"/>
      <c r="D25" s="57" t="n"/>
      <c r="E25" s="57" t="n"/>
      <c r="F25" s="57" t="n"/>
      <c r="G25" s="57" t="n"/>
      <c r="H25" s="57" t="n"/>
      <c r="I25" s="58" t="n"/>
      <c r="J25" s="40">
        <f>J23+J24</f>
        <v>2.9864274022950417</v>
      </c>
    </row>
    <row r="26">
      <c r="A26" s="37" t="inlineStr">
        <is>
          <t>Number of portions</t>
        </is>
      </c>
      <c r="B26" s="57" t="n"/>
      <c r="C26" s="57" t="n"/>
      <c r="D26" s="57" t="n"/>
      <c r="E26" s="57" t="n"/>
      <c r="F26" s="57" t="n"/>
      <c r="G26" s="57" t="n"/>
      <c r="H26" s="58" t="n"/>
      <c r="I26" s="69" t="n">
        <v>1</v>
      </c>
      <c r="J26" s="38" t="n"/>
    </row>
    <row r="27">
      <c r="A27" s="39" t="inlineStr">
        <is>
          <t>COST PER PORTION</t>
        </is>
      </c>
      <c r="B27" s="57" t="n"/>
      <c r="C27" s="57" t="n"/>
      <c r="D27" s="57" t="n"/>
      <c r="E27" s="57" t="n"/>
      <c r="F27" s="57" t="n"/>
      <c r="G27" s="57" t="n"/>
      <c r="H27" s="57" t="n"/>
      <c r="I27" s="58" t="n"/>
      <c r="J27" s="40">
        <f>IFERROR(J25/I26,"")</f>
        <v>2.9864274022950417</v>
      </c>
    </row>
    <row r="28"/>
    <row r="29">
      <c r="A29" s="41" t="inlineStr">
        <is>
          <t>Target food cost % — edited on the Summary tab</t>
        </is>
      </c>
      <c r="B29" s="57" t="n"/>
      <c r="C29" s="57" t="n"/>
      <c r="D29" s="57" t="n"/>
      <c r="E29" s="57" t="n"/>
      <c r="F29" s="57" t="n"/>
      <c r="G29" s="57" t="n"/>
      <c r="H29" s="58" t="n"/>
      <c r="I29" s="70">
        <f>'Menu Summary'!$C$13</f>
        <v>0.32</v>
      </c>
    </row>
    <row r="30">
      <c r="A30" s="43" t="inlineStr">
        <is>
          <t>Suggested menu price (pre-tax)</t>
        </is>
      </c>
      <c r="B30" s="57" t="n"/>
      <c r="C30" s="57" t="n"/>
      <c r="D30" s="57" t="n"/>
      <c r="E30" s="57" t="n"/>
      <c r="F30" s="57" t="n"/>
      <c r="G30" s="57" t="n"/>
      <c r="H30" s="57" t="n"/>
      <c r="I30" s="58" t="n"/>
      <c r="J30" s="44">
        <f>IFERROR(J27/I29,"")</f>
        <v>9.332585632172005</v>
      </c>
    </row>
    <row r="31">
      <c r="A31" s="37" t="inlineStr">
        <is>
          <t>Tax rate (%)</t>
        </is>
      </c>
      <c r="B31" s="57" t="n"/>
      <c r="C31" s="57" t="n"/>
      <c r="D31" s="57" t="n"/>
      <c r="E31" s="57" t="n"/>
      <c r="F31" s="57" t="n"/>
      <c r="G31" s="57" t="n"/>
      <c r="H31" s="58" t="n"/>
      <c r="I31" s="68" t="n">
        <v>0</v>
      </c>
      <c r="J31" s="38" t="n"/>
    </row>
    <row r="32">
      <c r="A32" s="39" t="inlineStr">
        <is>
          <t>Menu price incl. tax</t>
        </is>
      </c>
      <c r="B32" s="57" t="n"/>
      <c r="C32" s="57" t="n"/>
      <c r="D32" s="57" t="n"/>
      <c r="E32" s="57" t="n"/>
      <c r="F32" s="57" t="n"/>
      <c r="G32" s="57" t="n"/>
      <c r="H32" s="57" t="n"/>
      <c r="I32" s="58" t="n"/>
      <c r="J32" s="40">
        <f>IFERROR(J30*(1+I31),"")</f>
        <v>9.332585632172005</v>
      </c>
    </row>
    <row r="33">
      <c r="A33" s="43" t="inlineStr">
        <is>
          <t>Gross profit per portion (at suggested price)</t>
        </is>
      </c>
      <c r="B33" s="57" t="n"/>
      <c r="C33" s="57" t="n"/>
      <c r="D33" s="57" t="n"/>
      <c r="E33" s="57" t="n"/>
      <c r="F33" s="57" t="n"/>
      <c r="G33" s="57" t="n"/>
      <c r="H33" s="57" t="n"/>
      <c r="I33" s="58" t="n"/>
      <c r="J33" s="44">
        <f>IFERROR(J30-J27,"")</f>
        <v>6.346158229876964</v>
      </c>
    </row>
    <row r="34">
      <c r="A34" s="37" t="inlineStr">
        <is>
          <t>Target GP % (at suggested price)</t>
        </is>
      </c>
      <c r="B34" s="57" t="n"/>
      <c r="C34" s="57" t="n"/>
      <c r="D34" s="57" t="n"/>
      <c r="E34" s="57" t="n"/>
      <c r="F34" s="57" t="n"/>
      <c r="G34" s="57" t="n"/>
      <c r="H34" s="57" t="n"/>
      <c r="I34" s="58" t="n"/>
      <c r="J34" s="47">
        <f>IFERROR((J30-J27)/J30,"")</f>
        <v>0.68</v>
      </c>
    </row>
    <row r="35"/>
    <row r="36">
      <c r="A36" s="37" t="inlineStr">
        <is>
          <t>Current menu price (pre-tax / ex VAT)</t>
        </is>
      </c>
      <c r="B36" s="57" t="n"/>
      <c r="C36" s="57" t="n"/>
      <c r="D36" s="57" t="n"/>
      <c r="E36" s="57" t="n"/>
      <c r="F36" s="57" t="n"/>
      <c r="G36" s="57" t="n"/>
      <c r="H36" s="58" t="n"/>
      <c r="I36" s="71" t="n"/>
      <c r="J36" s="38" t="n"/>
    </row>
    <row r="37">
      <c r="A37" s="39" t="inlineStr">
        <is>
          <t>Actual food cost % (actual GP % = 100% − this)</t>
        </is>
      </c>
      <c r="B37" s="57" t="n"/>
      <c r="C37" s="57" t="n"/>
      <c r="D37" s="57" t="n"/>
      <c r="E37" s="57" t="n"/>
      <c r="F37" s="57" t="n"/>
      <c r="G37" s="57" t="n"/>
      <c r="H37" s="57" t="n"/>
      <c r="I37" s="58" t="n"/>
      <c r="J37" s="72">
        <f>IFERROR(J27/I36,"")</f>
        <v/>
      </c>
    </row>
  </sheetData>
  <sheetProtection selectLockedCells="0" selectUnlockedCells="0" sheet="1" objects="0" insertRows="1" insertHyperlinks="1" autoFilter="1" scenarios="0" formatColumns="0" deleteColumns="1" insertColumns="1" pivotTables="1" deleteRows="1" formatCells="1" formatRows="0" sort="1"/>
  <mergeCells count="18">
    <mergeCell ref="L15:M15"/>
    <mergeCell ref="A37:I37"/>
    <mergeCell ref="A25:I25"/>
    <mergeCell ref="A23:I23"/>
    <mergeCell ref="A34:I34"/>
    <mergeCell ref="A30:I30"/>
    <mergeCell ref="A31:H31"/>
    <mergeCell ref="A36:H36"/>
    <mergeCell ref="L8:M9"/>
    <mergeCell ref="A32:I32"/>
    <mergeCell ref="A2:J2"/>
    <mergeCell ref="A26:H26"/>
    <mergeCell ref="A29:H29"/>
    <mergeCell ref="A33:I33"/>
    <mergeCell ref="A24:H24"/>
    <mergeCell ref="L3:M3"/>
    <mergeCell ref="A27:I27"/>
    <mergeCell ref="A1:J1"/>
  </mergeCells>
  <conditionalFormatting sqref="G5:G21">
    <cfRule type="cellIs" priority="1" operator="equal" dxfId="0">
      <formula>"?"</formula>
    </cfRule>
  </conditionalFormatting>
  <conditionalFormatting sqref="J37">
    <cfRule type="expression" priority="2" dxfId="0" stopIfTrue="0">
      <formula>AND(ISNUMBER($J$37),$J$37&gt;$I$29)</formula>
    </cfRule>
  </conditionalFormatting>
  <dataValidations count="2">
    <dataValidation sqref="B5:B21" showDropDown="0" showInputMessage="0" showErrorMessage="1" allowBlank="1" errorTitle="Invalid value" error="Choose a category from the list (&quot;Trim Loss Factors&quot; tab)." type="list">
      <formula1>'Trim Loss Factors'!$A$5:$A$25</formula1>
    </dataValidation>
    <dataValidation sqref="C5:C21 F5:F21" showDropDown="0" showInputMessage="0" showErrorMessage="1" allowBlank="1" errorTitle="Invalid value" error="Choose a unit from the list." type="list">
      <formula1>"lb,oz,kg,g,gal,qt,pt,imp pt,cup,fl oz,tbsp,tsp,L,ml,cl,each,dozen,bunch,packet,can,bottle,15 dz case,30 dz case,50 lb bag,40 lb case,36x1 lb case,16 kg sack,40x250 g case,4x1 gal case,12x750 ml case,24x12 fl oz case,1/2 bbl keg,1/6 bbl keg,50 L keg"</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D700"/>
    <outlinePr summaryBelow="1" summaryRight="1"/>
    <pageSetUpPr fitToPage="1"/>
  </sheetPr>
  <dimension ref="A1:M36"/>
  <sheetViews>
    <sheetView workbookViewId="0">
      <pane ySplit="4" topLeftCell="A5" activePane="bottomLeft" state="frozen"/>
      <selection pane="bottomLeft" activeCell="A1" sqref="A1"/>
    </sheetView>
  </sheetViews>
  <sheetFormatPr baseColWidth="8" defaultRowHeight="15"/>
  <cols>
    <col width="25" customWidth="1" min="1" max="1"/>
    <col width="16" customWidth="1" min="2" max="2"/>
    <col width="12" customWidth="1" min="3" max="3"/>
    <col width="14" customWidth="1" min="4" max="4"/>
    <col width="12" customWidth="1" min="5" max="5"/>
    <col width="12" customWidth="1" min="6" max="6"/>
    <col width="8" customWidth="1" min="7" max="7"/>
    <col width="10" customWidth="1" min="8" max="8"/>
    <col width="14" customWidth="1" min="9" max="9"/>
    <col width="14" customWidth="1" min="10" max="10"/>
    <col width="3" customWidth="1" min="11" max="11"/>
    <col width="20" customWidth="1" min="12" max="12"/>
    <col width="20" customWidth="1" min="13" max="13"/>
  </cols>
  <sheetData>
    <row r="1">
      <c r="A1" s="9" t="inlineStr">
        <is>
          <t>Main — Roast Chicken with Potatoes</t>
        </is>
      </c>
    </row>
    <row r="2" ht="17" customHeight="1">
      <c r="A2" s="59" t="inlineStr">
        <is>
          <t>Enter your ingredients and quantities. Green cells are editable.</t>
        </is>
      </c>
    </row>
    <row r="3">
      <c r="L3" s="10" t="inlineStr">
        <is>
          <t>📷 Dish Photo</t>
        </is>
      </c>
      <c r="M3" s="56" t="n"/>
    </row>
    <row r="4" ht="28" customHeight="1">
      <c r="A4" s="12" t="inlineStr">
        <is>
          <t>Ingredient</t>
        </is>
      </c>
      <c r="B4" s="12" t="inlineStr">
        <is>
          <t>Category</t>
        </is>
      </c>
      <c r="C4" s="12" t="inlineStr">
        <is>
          <t>Purchase unit</t>
        </is>
      </c>
      <c r="D4" s="12" t="inlineStr">
        <is>
          <t>Price/Unit</t>
        </is>
      </c>
      <c r="E4" s="12" t="inlineStr">
        <is>
          <t>Quantity</t>
        </is>
      </c>
      <c r="F4" s="12" t="inlineStr">
        <is>
          <t>Recipe unit</t>
        </is>
      </c>
      <c r="G4" s="12" t="inlineStr">
        <is>
          <t>Factor</t>
        </is>
      </c>
      <c r="H4" s="12" t="inlineStr">
        <is>
          <t>Trim loss %</t>
        </is>
      </c>
      <c r="I4" s="12" t="inlineStr">
        <is>
          <t>AP qty</t>
        </is>
      </c>
      <c r="J4" s="12" t="inlineStr">
        <is>
          <t>Cost</t>
        </is>
      </c>
      <c r="L4" s="13" t="n"/>
      <c r="M4" s="14" t="n"/>
    </row>
    <row r="5" ht="28" customHeight="1">
      <c r="A5" s="60" t="inlineStr">
        <is>
          <t>Chicken thigh (bone-in)</t>
        </is>
      </c>
      <c r="B5" s="61" t="inlineStr">
        <is>
          <t>Poultry</t>
        </is>
      </c>
      <c r="C5" s="61" t="inlineStr">
        <is>
          <t>lb</t>
        </is>
      </c>
      <c r="D5" s="62" t="n">
        <v>1.67</v>
      </c>
      <c r="E5" s="63" t="n">
        <v>9</v>
      </c>
      <c r="F5" s="61" t="inlineStr">
        <is>
          <t>oz</t>
        </is>
      </c>
      <c r="G5" s="64">
        <f>IF(C5&amp;F5="","",IFERROR(VLOOKUP(C5&amp;"→"&amp;F5,Conversions!$A$5:$B$286,2,FALSE),"?"))</f>
        <v>16.0</v>
      </c>
      <c r="H5" s="65" t="n">
        <v>0.25</v>
      </c>
      <c r="I5" s="20">
        <f>IFERROR(IF(E5="","",E5/(1-H5)),"check trim loss")</f>
        <v>12.0</v>
      </c>
      <c r="J5" s="21">
        <f>IF(G5="?","check units",IFERROR(I5*D5/G5,""))</f>
        <v>1.2525</v>
      </c>
      <c r="L5" s="22" t="n"/>
      <c r="M5" s="23" t="n"/>
    </row>
    <row r="6" ht="28" customHeight="1">
      <c r="A6" s="60" t="inlineStr">
        <is>
          <t>Potato</t>
        </is>
      </c>
      <c r="B6" s="61" t="inlineStr">
        <is>
          <t>Root vegetables</t>
        </is>
      </c>
      <c r="C6" s="61" t="inlineStr">
        <is>
          <t>50 lb bag</t>
        </is>
      </c>
      <c r="D6" s="62" t="n">
        <v>36.48</v>
      </c>
      <c r="E6" s="63" t="n">
        <v>7</v>
      </c>
      <c r="F6" s="61" t="inlineStr">
        <is>
          <t>oz</t>
        </is>
      </c>
      <c r="G6" s="64">
        <f>IF(C6&amp;F6="","",IFERROR(VLOOKUP(C6&amp;"→"&amp;F6,Conversions!$A$5:$B$286,2,FALSE),"?"))</f>
        <v>800.0</v>
      </c>
      <c r="H6" s="65" t="n">
        <v>0.12</v>
      </c>
      <c r="I6" s="20">
        <f>IFERROR(IF(E6="","",E6/(1-H6)),"check trim loss")</f>
        <v>7.954545454545454</v>
      </c>
      <c r="J6" s="21">
        <f>IF(G6="?","check units",IFERROR(I6*D6/G6,""))</f>
        <v>0.3627272727272727</v>
      </c>
      <c r="L6" s="22" t="n"/>
      <c r="M6" s="23" t="n"/>
    </row>
    <row r="7" ht="28" customHeight="1">
      <c r="A7" s="60" t="inlineStr">
        <is>
          <t>Red bell pepper</t>
        </is>
      </c>
      <c r="B7" s="61" t="inlineStr">
        <is>
          <t>Fruiting vegetables</t>
        </is>
      </c>
      <c r="C7" s="61" t="inlineStr">
        <is>
          <t>lb</t>
        </is>
      </c>
      <c r="D7" s="62" t="n">
        <v>2.75</v>
      </c>
      <c r="E7" s="63" t="n">
        <v>2</v>
      </c>
      <c r="F7" s="61" t="inlineStr">
        <is>
          <t>oz</t>
        </is>
      </c>
      <c r="G7" s="64">
        <f>IF(C7&amp;F7="","",IFERROR(VLOOKUP(C7&amp;"→"&amp;F7,Conversions!$A$5:$B$286,2,FALSE),"?"))</f>
        <v>16.0</v>
      </c>
      <c r="H7" s="65" t="n">
        <v>0.15</v>
      </c>
      <c r="I7" s="20">
        <f>IFERROR(IF(E7="","",E7/(1-H7)),"check trim loss")</f>
        <v>2.3529411764705883</v>
      </c>
      <c r="J7" s="21">
        <f>IF(G7="?","check units",IFERROR(I7*D7/G7,""))</f>
        <v>0.40441176470588236</v>
      </c>
      <c r="L7" s="22" t="n"/>
      <c r="M7" s="23" t="n"/>
    </row>
    <row r="8" ht="28" customHeight="1">
      <c r="A8" s="60" t="inlineStr">
        <is>
          <t>Peeled garlic</t>
        </is>
      </c>
      <c r="B8" s="61" t="inlineStr">
        <is>
          <t>Herbs &amp; spices</t>
        </is>
      </c>
      <c r="C8" s="61" t="inlineStr">
        <is>
          <t>lb</t>
        </is>
      </c>
      <c r="D8" s="62" t="n">
        <v>4.1</v>
      </c>
      <c r="E8" s="63" t="n">
        <v>0.35</v>
      </c>
      <c r="F8" s="61" t="inlineStr">
        <is>
          <t>oz</t>
        </is>
      </c>
      <c r="G8" s="64">
        <f>IF(C8&amp;F8="","",IFERROR(VLOOKUP(C8&amp;"→"&amp;F8,Conversions!$A$5:$B$286,2,FALSE),"?"))</f>
        <v>16.0</v>
      </c>
      <c r="H8" s="65" t="n">
        <v>0.03</v>
      </c>
      <c r="I8" s="20">
        <f>IFERROR(IF(E8="","",E8/(1-H8)),"check trim loss")</f>
        <v>0.36082474226804123</v>
      </c>
      <c r="J8" s="21">
        <f>IF(G8="?","check units",IFERROR(I8*D8/G8,""))</f>
        <v>0.09246134020618556</v>
      </c>
      <c r="L8" s="24" t="inlineStr">
        <is>
          <t>Photo of the finished dish:
Review → Unprotect Sheet,
then Insert → Picture</t>
        </is>
      </c>
      <c r="M8" s="25" t="n"/>
    </row>
    <row r="9" ht="28" customHeight="1">
      <c r="A9" s="60" t="inlineStr">
        <is>
          <t>Fresh rosemary (1 sprig ≈ 1/12 bunch)</t>
        </is>
      </c>
      <c r="B9" s="61" t="inlineStr">
        <is>
          <t>Herbs &amp; spices</t>
        </is>
      </c>
      <c r="C9" s="61" t="inlineStr">
        <is>
          <t>bunch</t>
        </is>
      </c>
      <c r="D9" s="62" t="n">
        <v>0.6899999999999999</v>
      </c>
      <c r="E9" s="63" t="n">
        <v>0.083</v>
      </c>
      <c r="F9" s="61" t="inlineStr">
        <is>
          <t>bunch</t>
        </is>
      </c>
      <c r="G9" s="64">
        <f>IF(C9&amp;F9="","",IFERROR(VLOOKUP(C9&amp;"→"&amp;F9,Conversions!$A$5:$B$286,2,FALSE),"?"))</f>
        <v>1.0</v>
      </c>
      <c r="H9" s="65" t="n">
        <v>0.2</v>
      </c>
      <c r="I9" s="20">
        <f>IFERROR(IF(E9="","",E9/(1-H9)),"check trim loss")</f>
        <v>0.10375</v>
      </c>
      <c r="J9" s="21">
        <f>IF(G9="?","check units",IFERROR(I9*D9/G9,""))</f>
        <v>0.07158749999999998</v>
      </c>
      <c r="L9" s="26" t="n"/>
      <c r="M9" s="27" t="n"/>
    </row>
    <row r="10" ht="28" customHeight="1">
      <c r="A10" s="60" t="inlineStr">
        <is>
          <t>EVOO</t>
        </is>
      </c>
      <c r="B10" s="61" t="inlineStr">
        <is>
          <t>Oils &amp; fats</t>
        </is>
      </c>
      <c r="C10" s="61" t="inlineStr">
        <is>
          <t>L</t>
        </is>
      </c>
      <c r="D10" s="62" t="n">
        <v>8.58</v>
      </c>
      <c r="E10" s="63" t="n">
        <v>0.75</v>
      </c>
      <c r="F10" s="61" t="inlineStr">
        <is>
          <t>fl oz</t>
        </is>
      </c>
      <c r="G10" s="64">
        <f>IF(C10&amp;F10="","",IFERROR(VLOOKUP(C10&amp;"→"&amp;F10,Conversions!$A$5:$B$286,2,FALSE),"?"))</f>
        <v>33.81402270184299</v>
      </c>
      <c r="H10" s="65" t="n">
        <v>0.03</v>
      </c>
      <c r="I10" s="20">
        <f>IFERROR(IF(E10="","",E10/(1-H10)),"check trim loss")</f>
        <v>0.7731958762886598</v>
      </c>
      <c r="J10" s="21">
        <f>IF(G10="?","check units",IFERROR(I10*D10/G10,""))</f>
        <v>0.19619140488112122</v>
      </c>
      <c r="L10" s="22" t="n"/>
      <c r="M10" s="23" t="n"/>
    </row>
    <row r="11" ht="28" customHeight="1">
      <c r="A11" s="66" t="n"/>
      <c r="B11" s="66" t="n"/>
      <c r="C11" s="66" t="n"/>
      <c r="D11" s="66" t="n"/>
      <c r="E11" s="66" t="n"/>
      <c r="F11" s="66" t="n"/>
      <c r="G11" s="64">
        <f>IF(C11&amp;F11="","",IFERROR(VLOOKUP(C11&amp;"→"&amp;F11,Conversions!$A$5:$B$286,2,FALSE),"?"))</f>
        <v/>
      </c>
      <c r="H11" s="67">
        <f>IFERROR(VLOOKUP(B11,'Trim Loss Factors'!$A$5:$C$25,2,FALSE),"")</f>
        <v/>
      </c>
      <c r="I11" s="30">
        <f>IFERROR(IF(E11="","",E11/(1-H11)),"check trim loss")</f>
        <v/>
      </c>
      <c r="J11" s="31">
        <f>IF(G11="?","check units",IFERROR(I11*D11/G11,""))</f>
        <v/>
      </c>
      <c r="L11" s="22" t="n"/>
      <c r="M11" s="23" t="n"/>
    </row>
    <row r="12" ht="28" customHeight="1">
      <c r="A12" s="66" t="n"/>
      <c r="B12" s="66" t="n"/>
      <c r="C12" s="66" t="n"/>
      <c r="D12" s="66" t="n"/>
      <c r="E12" s="66" t="n"/>
      <c r="F12" s="66" t="n"/>
      <c r="G12" s="64">
        <f>IF(C12&amp;F12="","",IFERROR(VLOOKUP(C12&amp;"→"&amp;F12,Conversions!$A$5:$B$286,2,FALSE),"?"))</f>
        <v/>
      </c>
      <c r="H12" s="67">
        <f>IFERROR(VLOOKUP(B12,'Trim Loss Factors'!$A$5:$C$25,2,FALSE),"")</f>
        <v/>
      </c>
      <c r="I12" s="30">
        <f>IFERROR(IF(E12="","",E12/(1-H12)),"check trim loss")</f>
        <v/>
      </c>
      <c r="J12" s="31">
        <f>IF(G12="?","check units",IFERROR(I12*D12/G12,""))</f>
        <v/>
      </c>
      <c r="L12" s="22" t="n"/>
      <c r="M12" s="23" t="n"/>
    </row>
    <row r="13" ht="28" customHeight="1">
      <c r="A13" s="66" t="n"/>
      <c r="B13" s="66" t="n"/>
      <c r="C13" s="66" t="n"/>
      <c r="D13" s="66" t="n"/>
      <c r="E13" s="66" t="n"/>
      <c r="F13" s="66" t="n"/>
      <c r="G13" s="64">
        <f>IF(C13&amp;F13="","",IFERROR(VLOOKUP(C13&amp;"→"&amp;F13,Conversions!$A$5:$B$286,2,FALSE),"?"))</f>
        <v/>
      </c>
      <c r="H13" s="67">
        <f>IFERROR(VLOOKUP(B13,'Trim Loss Factors'!$A$5:$C$25,2,FALSE),"")</f>
        <v/>
      </c>
      <c r="I13" s="30">
        <f>IFERROR(IF(E13="","",E13/(1-H13)),"check trim loss")</f>
        <v/>
      </c>
      <c r="J13" s="31">
        <f>IF(G13="?","check units",IFERROR(I13*D13/G13,""))</f>
        <v/>
      </c>
      <c r="L13" s="22" t="n"/>
      <c r="M13" s="23" t="n"/>
    </row>
    <row r="14" ht="28" customHeight="1">
      <c r="A14" s="66" t="n"/>
      <c r="B14" s="66" t="n"/>
      <c r="C14" s="66" t="n"/>
      <c r="D14" s="66" t="n"/>
      <c r="E14" s="66" t="n"/>
      <c r="F14" s="66" t="n"/>
      <c r="G14" s="64">
        <f>IF(C14&amp;F14="","",IFERROR(VLOOKUP(C14&amp;"→"&amp;F14,Conversions!$A$5:$B$286,2,FALSE),"?"))</f>
        <v/>
      </c>
      <c r="H14" s="67">
        <f>IFERROR(VLOOKUP(B14,'Trim Loss Factors'!$A$5:$C$25,2,FALSE),"")</f>
        <v/>
      </c>
      <c r="I14" s="30">
        <f>IFERROR(IF(E14="","",E14/(1-H14)),"check trim loss")</f>
        <v/>
      </c>
      <c r="J14" s="31">
        <f>IF(G14="?","check units",IFERROR(I14*D14/G14,""))</f>
        <v/>
      </c>
      <c r="L14" s="32" t="n"/>
      <c r="M14" s="33" t="n"/>
    </row>
    <row r="15">
      <c r="A15" s="66" t="n"/>
      <c r="B15" s="66" t="n"/>
      <c r="C15" s="66" t="n"/>
      <c r="D15" s="66" t="n"/>
      <c r="E15" s="66" t="n"/>
      <c r="F15" s="66" t="n"/>
      <c r="G15" s="64">
        <f>IF(C15&amp;F15="","",IFERROR(VLOOKUP(C15&amp;"→"&amp;F15,Conversions!$A$5:$B$286,2,FALSE),"?"))</f>
        <v/>
      </c>
      <c r="H15" s="67">
        <f>IFERROR(VLOOKUP(B15,'Trim Loss Factors'!$A$5:$C$25,2,FALSE),"")</f>
        <v/>
      </c>
      <c r="I15" s="30">
        <f>IFERROR(IF(E15="","",E15/(1-H15)),"check trim loss")</f>
        <v/>
      </c>
      <c r="J15" s="31">
        <f>IF(G15="?","check units",IFERROR(I15*D15/G15,""))</f>
        <v/>
      </c>
      <c r="L15" s="34" t="n"/>
    </row>
    <row r="16">
      <c r="A16" s="66" t="n"/>
      <c r="B16" s="66" t="n"/>
      <c r="C16" s="66" t="n"/>
      <c r="D16" s="66" t="n"/>
      <c r="E16" s="66" t="n"/>
      <c r="F16" s="66" t="n"/>
      <c r="G16" s="64">
        <f>IF(C16&amp;F16="","",IFERROR(VLOOKUP(C16&amp;"→"&amp;F16,Conversions!$A$5:$B$286,2,FALSE),"?"))</f>
        <v/>
      </c>
      <c r="H16" s="67">
        <f>IFERROR(VLOOKUP(B16,'Trim Loss Factors'!$A$5:$C$25,2,FALSE),"")</f>
        <v/>
      </c>
      <c r="I16" s="30">
        <f>IFERROR(IF(E16="","",E16/(1-H16)),"check trim loss")</f>
        <v/>
      </c>
      <c r="J16" s="31">
        <f>IF(G16="?","check units",IFERROR(I16*D16/G16,""))</f>
        <v/>
      </c>
      <c r="L16" s="34" t="n"/>
    </row>
    <row r="17">
      <c r="A17" s="66" t="n"/>
      <c r="B17" s="66" t="n"/>
      <c r="C17" s="66" t="n"/>
      <c r="D17" s="66" t="n"/>
      <c r="E17" s="66" t="n"/>
      <c r="F17" s="66" t="n"/>
      <c r="G17" s="64">
        <f>IF(C17&amp;F17="","",IFERROR(VLOOKUP(C17&amp;"→"&amp;F17,Conversions!$A$5:$B$286,2,FALSE),"?"))</f>
        <v/>
      </c>
      <c r="H17" s="67">
        <f>IFERROR(VLOOKUP(B17,'Trim Loss Factors'!$A$5:$C$25,2,FALSE),"")</f>
        <v/>
      </c>
      <c r="I17" s="30">
        <f>IFERROR(IF(E17="","",E17/(1-H17)),"check trim loss")</f>
        <v/>
      </c>
      <c r="J17" s="31">
        <f>IF(G17="?","check units",IFERROR(I17*D17/G17,""))</f>
        <v/>
      </c>
      <c r="L17" s="34" t="n"/>
    </row>
    <row r="18">
      <c r="A18" s="66" t="n"/>
      <c r="B18" s="66" t="n"/>
      <c r="C18" s="66" t="n"/>
      <c r="D18" s="66" t="n"/>
      <c r="E18" s="66" t="n"/>
      <c r="F18" s="66" t="n"/>
      <c r="G18" s="64">
        <f>IF(C18&amp;F18="","",IFERROR(VLOOKUP(C18&amp;"→"&amp;F18,Conversions!$A$5:$B$286,2,FALSE),"?"))</f>
        <v/>
      </c>
      <c r="H18" s="67">
        <f>IFERROR(VLOOKUP(B18,'Trim Loss Factors'!$A$5:$C$25,2,FALSE),"")</f>
        <v/>
      </c>
      <c r="I18" s="30">
        <f>IFERROR(IF(E18="","",E18/(1-H18)),"check trim loss")</f>
        <v/>
      </c>
      <c r="J18" s="31">
        <f>IF(G18="?","check units",IFERROR(I18*D18/G18,""))</f>
        <v/>
      </c>
      <c r="L18" s="34" t="n"/>
    </row>
    <row r="19">
      <c r="A19" s="66" t="n"/>
      <c r="B19" s="66" t="n"/>
      <c r="C19" s="66" t="n"/>
      <c r="D19" s="66" t="n"/>
      <c r="E19" s="66" t="n"/>
      <c r="F19" s="66" t="n"/>
      <c r="G19" s="64">
        <f>IF(C19&amp;F19="","",IFERROR(VLOOKUP(C19&amp;"→"&amp;F19,Conversions!$A$5:$B$286,2,FALSE),"?"))</f>
        <v/>
      </c>
      <c r="H19" s="67">
        <f>IFERROR(VLOOKUP(B19,'Trim Loss Factors'!$A$5:$C$25,2,FALSE),"")</f>
        <v/>
      </c>
      <c r="I19" s="30">
        <f>IFERROR(IF(E19="","",E19/(1-H19)),"check trim loss")</f>
        <v/>
      </c>
      <c r="J19" s="31">
        <f>IF(G19="?","check units",IFERROR(I19*D19/G19,""))</f>
        <v/>
      </c>
      <c r="L19" s="34" t="n"/>
    </row>
    <row r="20">
      <c r="A20" s="66" t="n"/>
      <c r="B20" s="66" t="n"/>
      <c r="C20" s="66" t="n"/>
      <c r="D20" s="66" t="n"/>
      <c r="E20" s="66" t="n"/>
      <c r="F20" s="66" t="n"/>
      <c r="G20" s="64">
        <f>IF(C20&amp;F20="","",IFERROR(VLOOKUP(C20&amp;"→"&amp;F20,Conversions!$A$5:$B$286,2,FALSE),"?"))</f>
        <v/>
      </c>
      <c r="H20" s="67">
        <f>IFERROR(VLOOKUP(B20,'Trim Loss Factors'!$A$5:$C$25,2,FALSE),"")</f>
        <v/>
      </c>
      <c r="I20" s="30">
        <f>IFERROR(IF(E20="","",E20/(1-H20)),"check trim loss")</f>
        <v/>
      </c>
      <c r="J20" s="31">
        <f>IF(G20="?","check units",IFERROR(I20*D20/G20,""))</f>
        <v/>
      </c>
      <c r="L20" s="34" t="n"/>
    </row>
    <row r="21"/>
    <row r="22">
      <c r="A22" s="35" t="inlineStr">
        <is>
          <t>TOTAL INGREDIENT COST</t>
        </is>
      </c>
      <c r="B22" s="57" t="n"/>
      <c r="C22" s="57" t="n"/>
      <c r="D22" s="57" t="n"/>
      <c r="E22" s="57" t="n"/>
      <c r="F22" s="57" t="n"/>
      <c r="G22" s="57" t="n"/>
      <c r="H22" s="57" t="n"/>
      <c r="I22" s="58" t="n"/>
      <c r="J22" s="36">
        <f>SUM(J5:J20)</f>
        <v>2.379879282520462</v>
      </c>
    </row>
    <row r="23">
      <c r="A23" s="37" t="inlineStr">
        <is>
          <t>Q-factor (%)</t>
        </is>
      </c>
      <c r="B23" s="57" t="n"/>
      <c r="C23" s="57" t="n"/>
      <c r="D23" s="57" t="n"/>
      <c r="E23" s="57" t="n"/>
      <c r="F23" s="57" t="n"/>
      <c r="G23" s="57" t="n"/>
      <c r="H23" s="58" t="n"/>
      <c r="I23" s="68" t="n">
        <v>0.1</v>
      </c>
      <c r="J23" s="38">
        <f>J22*I23</f>
        <v>0.2379879282520462</v>
      </c>
    </row>
    <row r="24">
      <c r="A24" s="39" t="inlineStr">
        <is>
          <t>TOTAL DISH COST</t>
        </is>
      </c>
      <c r="B24" s="57" t="n"/>
      <c r="C24" s="57" t="n"/>
      <c r="D24" s="57" t="n"/>
      <c r="E24" s="57" t="n"/>
      <c r="F24" s="57" t="n"/>
      <c r="G24" s="57" t="n"/>
      <c r="H24" s="57" t="n"/>
      <c r="I24" s="58" t="n"/>
      <c r="J24" s="40">
        <f>J22+J23</f>
        <v>2.6178672107725083</v>
      </c>
    </row>
    <row r="25">
      <c r="A25" s="37" t="inlineStr">
        <is>
          <t>Number of portions</t>
        </is>
      </c>
      <c r="B25" s="57" t="n"/>
      <c r="C25" s="57" t="n"/>
      <c r="D25" s="57" t="n"/>
      <c r="E25" s="57" t="n"/>
      <c r="F25" s="57" t="n"/>
      <c r="G25" s="57" t="n"/>
      <c r="H25" s="58" t="n"/>
      <c r="I25" s="69" t="n">
        <v>1</v>
      </c>
      <c r="J25" s="38" t="n"/>
    </row>
    <row r="26">
      <c r="A26" s="39" t="inlineStr">
        <is>
          <t>COST PER PORTION</t>
        </is>
      </c>
      <c r="B26" s="57" t="n"/>
      <c r="C26" s="57" t="n"/>
      <c r="D26" s="57" t="n"/>
      <c r="E26" s="57" t="n"/>
      <c r="F26" s="57" t="n"/>
      <c r="G26" s="57" t="n"/>
      <c r="H26" s="57" t="n"/>
      <c r="I26" s="58" t="n"/>
      <c r="J26" s="40">
        <f>IFERROR(J24/I25,"")</f>
        <v>2.6178672107725083</v>
      </c>
    </row>
    <row r="27"/>
    <row r="28">
      <c r="A28" s="41" t="inlineStr">
        <is>
          <t>Target food cost % — edited on the Summary tab</t>
        </is>
      </c>
      <c r="B28" s="57" t="n"/>
      <c r="C28" s="57" t="n"/>
      <c r="D28" s="57" t="n"/>
      <c r="E28" s="57" t="n"/>
      <c r="F28" s="57" t="n"/>
      <c r="G28" s="57" t="n"/>
      <c r="H28" s="58" t="n"/>
      <c r="I28" s="70">
        <f>'Menu Summary'!$C$13</f>
        <v>0.32</v>
      </c>
    </row>
    <row r="29">
      <c r="A29" s="43" t="inlineStr">
        <is>
          <t>Suggested menu price (pre-tax)</t>
        </is>
      </c>
      <c r="B29" s="57" t="n"/>
      <c r="C29" s="57" t="n"/>
      <c r="D29" s="57" t="n"/>
      <c r="E29" s="57" t="n"/>
      <c r="F29" s="57" t="n"/>
      <c r="G29" s="57" t="n"/>
      <c r="H29" s="57" t="n"/>
      <c r="I29" s="58" t="n"/>
      <c r="J29" s="44">
        <f>IFERROR(J26/I28,"")</f>
        <v>8.180835033664088</v>
      </c>
    </row>
    <row r="30">
      <c r="A30" s="37" t="inlineStr">
        <is>
          <t>Tax rate (%)</t>
        </is>
      </c>
      <c r="B30" s="57" t="n"/>
      <c r="C30" s="57" t="n"/>
      <c r="D30" s="57" t="n"/>
      <c r="E30" s="57" t="n"/>
      <c r="F30" s="57" t="n"/>
      <c r="G30" s="57" t="n"/>
      <c r="H30" s="58" t="n"/>
      <c r="I30" s="68" t="n">
        <v>0</v>
      </c>
      <c r="J30" s="38" t="n"/>
    </row>
    <row r="31">
      <c r="A31" s="39" t="inlineStr">
        <is>
          <t>Menu price incl. tax</t>
        </is>
      </c>
      <c r="B31" s="57" t="n"/>
      <c r="C31" s="57" t="n"/>
      <c r="D31" s="57" t="n"/>
      <c r="E31" s="57" t="n"/>
      <c r="F31" s="57" t="n"/>
      <c r="G31" s="57" t="n"/>
      <c r="H31" s="57" t="n"/>
      <c r="I31" s="58" t="n"/>
      <c r="J31" s="40">
        <f>IFERROR(J29*(1+I30),"")</f>
        <v>8.180835033664088</v>
      </c>
    </row>
    <row r="32">
      <c r="A32" s="43" t="inlineStr">
        <is>
          <t>Gross profit per portion (at suggested price)</t>
        </is>
      </c>
      <c r="B32" s="57" t="n"/>
      <c r="C32" s="57" t="n"/>
      <c r="D32" s="57" t="n"/>
      <c r="E32" s="57" t="n"/>
      <c r="F32" s="57" t="n"/>
      <c r="G32" s="57" t="n"/>
      <c r="H32" s="57" t="n"/>
      <c r="I32" s="58" t="n"/>
      <c r="J32" s="44">
        <f>IFERROR(J29-J26,"")</f>
        <v>5.56296782289158</v>
      </c>
    </row>
    <row r="33">
      <c r="A33" s="37" t="inlineStr">
        <is>
          <t>Target GP % (at suggested price)</t>
        </is>
      </c>
      <c r="B33" s="57" t="n"/>
      <c r="C33" s="57" t="n"/>
      <c r="D33" s="57" t="n"/>
      <c r="E33" s="57" t="n"/>
      <c r="F33" s="57" t="n"/>
      <c r="G33" s="57" t="n"/>
      <c r="H33" s="57" t="n"/>
      <c r="I33" s="58" t="n"/>
      <c r="J33" s="47">
        <f>IFERROR((J29-J26)/J29,"")</f>
        <v>0.68</v>
      </c>
    </row>
    <row r="34"/>
    <row r="35">
      <c r="A35" s="37" t="inlineStr">
        <is>
          <t>Current menu price (pre-tax / ex VAT)</t>
        </is>
      </c>
      <c r="B35" s="57" t="n"/>
      <c r="C35" s="57" t="n"/>
      <c r="D35" s="57" t="n"/>
      <c r="E35" s="57" t="n"/>
      <c r="F35" s="57" t="n"/>
      <c r="G35" s="57" t="n"/>
      <c r="H35" s="58" t="n"/>
      <c r="I35" s="71" t="n"/>
      <c r="J35" s="38" t="n"/>
    </row>
    <row r="36">
      <c r="A36" s="39" t="inlineStr">
        <is>
          <t>Actual food cost % (actual GP % = 100% − this)</t>
        </is>
      </c>
      <c r="B36" s="57" t="n"/>
      <c r="C36" s="57" t="n"/>
      <c r="D36" s="57" t="n"/>
      <c r="E36" s="57" t="n"/>
      <c r="F36" s="57" t="n"/>
      <c r="G36" s="57" t="n"/>
      <c r="H36" s="57" t="n"/>
      <c r="I36" s="58" t="n"/>
      <c r="J36" s="72">
        <f>IFERROR(J26/I35,"")</f>
        <v/>
      </c>
    </row>
  </sheetData>
  <sheetProtection selectLockedCells="0" selectUnlockedCells="0" sheet="1" objects="0" insertRows="1" insertHyperlinks="1" autoFilter="1" scenarios="0" formatColumns="0" deleteColumns="1" insertColumns="1" pivotTables="1" deleteRows="1" formatCells="1" formatRows="0" sort="1"/>
  <mergeCells count="18">
    <mergeCell ref="A30:H30"/>
    <mergeCell ref="A1:J1"/>
    <mergeCell ref="A28:H28"/>
    <mergeCell ref="A32:I32"/>
    <mergeCell ref="L8:M9"/>
    <mergeCell ref="A2:J2"/>
    <mergeCell ref="L20:M20"/>
    <mergeCell ref="A26:I26"/>
    <mergeCell ref="A35:H35"/>
    <mergeCell ref="A31:I31"/>
    <mergeCell ref="A33:I33"/>
    <mergeCell ref="A36:I36"/>
    <mergeCell ref="L3:M3"/>
    <mergeCell ref="A22:I22"/>
    <mergeCell ref="A25:H25"/>
    <mergeCell ref="A29:I29"/>
    <mergeCell ref="A23:H23"/>
    <mergeCell ref="A24:I24"/>
  </mergeCells>
  <conditionalFormatting sqref="G5:G20">
    <cfRule type="cellIs" priority="1" operator="equal" dxfId="0">
      <formula>"?"</formula>
    </cfRule>
  </conditionalFormatting>
  <conditionalFormatting sqref="J36">
    <cfRule type="expression" priority="2" dxfId="0" stopIfTrue="0">
      <formula>AND(ISNUMBER($J$36),$J$36&gt;$I$28)</formula>
    </cfRule>
  </conditionalFormatting>
  <dataValidations count="2">
    <dataValidation sqref="B5:B20" showDropDown="0" showInputMessage="0" showErrorMessage="1" allowBlank="1" errorTitle="Invalid value" error="Choose a category from the list (&quot;Trim Loss Factors&quot; tab)." type="list">
      <formula1>'Trim Loss Factors'!$A$5:$A$25</formula1>
    </dataValidation>
    <dataValidation sqref="C5:C20 F5:F20" showDropDown="0" showInputMessage="0" showErrorMessage="1" allowBlank="1" errorTitle="Invalid value" error="Choose a unit from the list." type="list">
      <formula1>"lb,oz,kg,g,gal,qt,pt,imp pt,cup,fl oz,tbsp,tsp,L,ml,cl,each,dozen,bunch,packet,can,bottle,15 dz case,30 dz case,50 lb bag,40 lb case,36x1 lb case,16 kg sack,40x250 g case,4x1 gal case,12x750 ml case,24x12 fl oz case,1/2 bbl keg,1/6 bbl keg,50 L keg"</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FFD700"/>
    <outlinePr summaryBelow="1" summaryRight="1"/>
    <pageSetUpPr fitToPage="1"/>
  </sheetPr>
  <dimension ref="A1:M35"/>
  <sheetViews>
    <sheetView workbookViewId="0">
      <pane ySplit="4" topLeftCell="A5" activePane="bottomLeft" state="frozen"/>
      <selection pane="bottomLeft" activeCell="A1" sqref="A1"/>
    </sheetView>
  </sheetViews>
  <sheetFormatPr baseColWidth="8" defaultRowHeight="15"/>
  <cols>
    <col width="25" customWidth="1" min="1" max="1"/>
    <col width="16" customWidth="1" min="2" max="2"/>
    <col width="12" customWidth="1" min="3" max="3"/>
    <col width="14" customWidth="1" min="4" max="4"/>
    <col width="12" customWidth="1" min="5" max="5"/>
    <col width="12" customWidth="1" min="6" max="6"/>
    <col width="8" customWidth="1" min="7" max="7"/>
    <col width="10" customWidth="1" min="8" max="8"/>
    <col width="14" customWidth="1" min="9" max="9"/>
    <col width="14" customWidth="1" min="10" max="10"/>
    <col width="3" customWidth="1" min="11" max="11"/>
    <col width="20" customWidth="1" min="12" max="12"/>
    <col width="20" customWidth="1" min="13" max="13"/>
  </cols>
  <sheetData>
    <row r="1">
      <c r="A1" s="9" t="inlineStr">
        <is>
          <t>Dessert — Homemade Flan</t>
        </is>
      </c>
    </row>
    <row r="2" ht="17" customHeight="1">
      <c r="A2" s="59" t="inlineStr">
        <is>
          <t>Enter your ingredients and quantities. Green cells are editable.</t>
        </is>
      </c>
    </row>
    <row r="3">
      <c r="L3" s="10" t="inlineStr">
        <is>
          <t>📷 Dish Photo</t>
        </is>
      </c>
      <c r="M3" s="56" t="n"/>
    </row>
    <row r="4" ht="28" customHeight="1">
      <c r="A4" s="12" t="inlineStr">
        <is>
          <t>Ingredient</t>
        </is>
      </c>
      <c r="B4" s="12" t="inlineStr">
        <is>
          <t>Category</t>
        </is>
      </c>
      <c r="C4" s="12" t="inlineStr">
        <is>
          <t>Purchase unit</t>
        </is>
      </c>
      <c r="D4" s="12" t="inlineStr">
        <is>
          <t>Price/Unit</t>
        </is>
      </c>
      <c r="E4" s="12" t="inlineStr">
        <is>
          <t>Quantity</t>
        </is>
      </c>
      <c r="F4" s="12" t="inlineStr">
        <is>
          <t>Recipe unit</t>
        </is>
      </c>
      <c r="G4" s="12" t="inlineStr">
        <is>
          <t>Factor</t>
        </is>
      </c>
      <c r="H4" s="12" t="inlineStr">
        <is>
          <t>Trim loss %</t>
        </is>
      </c>
      <c r="I4" s="12" t="inlineStr">
        <is>
          <t>AP qty</t>
        </is>
      </c>
      <c r="J4" s="12" t="inlineStr">
        <is>
          <t>Cost</t>
        </is>
      </c>
      <c r="L4" s="13" t="n"/>
      <c r="M4" s="14" t="n"/>
    </row>
    <row r="5" ht="28" customHeight="1">
      <c r="A5" s="60" t="inlineStr">
        <is>
          <t>Large egg</t>
        </is>
      </c>
      <c r="B5" s="61" t="inlineStr">
        <is>
          <t>Eggs</t>
        </is>
      </c>
      <c r="C5" s="61" t="inlineStr">
        <is>
          <t>dozen</t>
        </is>
      </c>
      <c r="D5" s="62" t="n">
        <v>2.27</v>
      </c>
      <c r="E5" s="63" t="n">
        <v>0.5</v>
      </c>
      <c r="F5" s="61" t="inlineStr">
        <is>
          <t>each</t>
        </is>
      </c>
      <c r="G5" s="64">
        <f>IF(C5&amp;F5="","",IFERROR(VLOOKUP(C5&amp;"→"&amp;F5,Conversions!$A$5:$B$286,2,FALSE),"?"))</f>
        <v>12.0</v>
      </c>
      <c r="H5" s="65" t="n">
        <v>0</v>
      </c>
      <c r="I5" s="20">
        <f>IFERROR(IF(E5="","",E5/(1-H5)),"check trim loss")</f>
        <v>0.5</v>
      </c>
      <c r="J5" s="21">
        <f>IF(G5="?","check units",IFERROR(I5*D5/G5,""))</f>
        <v>0.09458333333333334</v>
      </c>
      <c r="L5" s="22" t="n"/>
      <c r="M5" s="23" t="n"/>
    </row>
    <row r="6" ht="28" customHeight="1">
      <c r="A6" s="60" t="inlineStr">
        <is>
          <t>Whole milk</t>
        </is>
      </c>
      <c r="B6" s="61" t="inlineStr">
        <is>
          <t>Dairy</t>
        </is>
      </c>
      <c r="C6" s="61" t="inlineStr">
        <is>
          <t>gal</t>
        </is>
      </c>
      <c r="D6" s="62" t="n">
        <v>4.23</v>
      </c>
      <c r="E6" s="63" t="n">
        <v>5</v>
      </c>
      <c r="F6" s="61" t="inlineStr">
        <is>
          <t>fl oz</t>
        </is>
      </c>
      <c r="G6" s="64">
        <f>IF(C6&amp;F6="","",IFERROR(VLOOKUP(C6&amp;"→"&amp;F6,Conversions!$A$5:$B$286,2,FALSE),"?"))</f>
        <v>128.0</v>
      </c>
      <c r="H6" s="65" t="n">
        <v>0.03</v>
      </c>
      <c r="I6" s="20">
        <f>IFERROR(IF(E6="","",E6/(1-H6)),"check trim loss")</f>
        <v>5.154639175257732</v>
      </c>
      <c r="J6" s="21">
        <f>IF(G6="?","check units",IFERROR(I6*D6/G6,""))</f>
        <v>0.1703447164948454</v>
      </c>
      <c r="L6" s="22" t="n"/>
      <c r="M6" s="23" t="n"/>
    </row>
    <row r="7" ht="28" customHeight="1">
      <c r="A7" s="60" t="inlineStr">
        <is>
          <t>Sugar</t>
        </is>
      </c>
      <c r="B7" s="61" t="inlineStr">
        <is>
          <t>Dry goods &amp; grains</t>
        </is>
      </c>
      <c r="C7" s="61" t="inlineStr">
        <is>
          <t>50 lb bag</t>
        </is>
      </c>
      <c r="D7" s="62" t="n">
        <v>50.49</v>
      </c>
      <c r="E7" s="63" t="n">
        <v>1.5</v>
      </c>
      <c r="F7" s="61" t="inlineStr">
        <is>
          <t>oz</t>
        </is>
      </c>
      <c r="G7" s="64">
        <f>IF(C7&amp;F7="","",IFERROR(VLOOKUP(C7&amp;"→"&amp;F7,Conversions!$A$5:$B$286,2,FALSE),"?"))</f>
        <v>800.0</v>
      </c>
      <c r="H7" s="65" t="n">
        <v>0.02</v>
      </c>
      <c r="I7" s="20">
        <f>IFERROR(IF(E7="","",E7/(1-H7)),"check trim loss")</f>
        <v>1.530612244897959</v>
      </c>
      <c r="J7" s="21">
        <f>IF(G7="?","check units",IFERROR(I7*D7/G7,""))</f>
        <v>0.09660076530612244</v>
      </c>
      <c r="L7" s="22" t="n"/>
      <c r="M7" s="23" t="n"/>
    </row>
    <row r="8" ht="28" customHeight="1">
      <c r="A8" s="60" t="inlineStr">
        <is>
          <t>Vanilla extract</t>
        </is>
      </c>
      <c r="B8" s="61" t="inlineStr">
        <is>
          <t>Herbs &amp; spices</t>
        </is>
      </c>
      <c r="C8" s="61" t="inlineStr">
        <is>
          <t>pt</t>
        </is>
      </c>
      <c r="D8" s="62" t="n">
        <v>28.99</v>
      </c>
      <c r="E8" s="63" t="n">
        <v>0.5</v>
      </c>
      <c r="F8" s="61" t="inlineStr">
        <is>
          <t>tsp</t>
        </is>
      </c>
      <c r="G8" s="64">
        <f>IF(C8&amp;F8="","",IFERROR(VLOOKUP(C8&amp;"→"&amp;F8,Conversions!$A$5:$B$286,2,FALSE),"?"))</f>
        <v>96.0</v>
      </c>
      <c r="H8" s="65" t="n">
        <v>0.05</v>
      </c>
      <c r="I8" s="20">
        <f>IFERROR(IF(E8="","",E8/(1-H8)),"check trim loss")</f>
        <v>0.5263157894736842</v>
      </c>
      <c r="J8" s="21">
        <f>IF(G8="?","check units",IFERROR(I8*D8/G8,""))</f>
        <v>0.15893640350877192</v>
      </c>
      <c r="L8" s="24" t="inlineStr">
        <is>
          <t>Photo of the finished dish:
Review → Unprotect Sheet,
then Insert → Picture</t>
        </is>
      </c>
      <c r="M8" s="25" t="n"/>
    </row>
    <row r="9" ht="28" customHeight="1">
      <c r="A9" s="60" t="inlineStr">
        <is>
          <t>Caramel sauce</t>
        </is>
      </c>
      <c r="B9" s="61" t="inlineStr">
        <is>
          <t>Sauces &amp; condiments</t>
        </is>
      </c>
      <c r="C9" s="61" t="inlineStr">
        <is>
          <t>gal</t>
        </is>
      </c>
      <c r="D9" s="62" t="n">
        <v>34.99</v>
      </c>
      <c r="E9" s="63" t="n">
        <v>0.75</v>
      </c>
      <c r="F9" s="61" t="inlineStr">
        <is>
          <t>tbsp</t>
        </is>
      </c>
      <c r="G9" s="64">
        <f>IF(C9&amp;F9="","",IFERROR(VLOOKUP(C9&amp;"→"&amp;F9,Conversions!$A$5:$B$286,2,FALSE),"?"))</f>
        <v>256.0</v>
      </c>
      <c r="H9" s="65" t="n">
        <v>0.05</v>
      </c>
      <c r="I9" s="20">
        <f>IFERROR(IF(E9="","",E9/(1-H9)),"check trim loss")</f>
        <v>0.7894736842105263</v>
      </c>
      <c r="J9" s="21">
        <f>IF(G9="?","check units",IFERROR(I9*D9/G9,""))</f>
        <v>0.10790501644736843</v>
      </c>
      <c r="L9" s="26" t="n"/>
      <c r="M9" s="27" t="n"/>
    </row>
    <row r="10" ht="28" customHeight="1">
      <c r="A10" s="66" t="n"/>
      <c r="B10" s="66" t="n"/>
      <c r="C10" s="66" t="n"/>
      <c r="D10" s="66" t="n"/>
      <c r="E10" s="66" t="n"/>
      <c r="F10" s="66" t="n"/>
      <c r="G10" s="64">
        <f>IF(C10&amp;F10="","",IFERROR(VLOOKUP(C10&amp;"→"&amp;F10,Conversions!$A$5:$B$286,2,FALSE),"?"))</f>
        <v/>
      </c>
      <c r="H10" s="67">
        <f>IFERROR(VLOOKUP(B10,'Trim Loss Factors'!$A$5:$C$25,2,FALSE),"")</f>
        <v/>
      </c>
      <c r="I10" s="30">
        <f>IFERROR(IF(E10="","",E10/(1-H10)),"check trim loss")</f>
        <v/>
      </c>
      <c r="J10" s="31">
        <f>IF(G10="?","check units",IFERROR(I10*D10/G10,""))</f>
        <v/>
      </c>
      <c r="L10" s="22" t="n"/>
      <c r="M10" s="23" t="n"/>
    </row>
    <row r="11" ht="28" customHeight="1">
      <c r="A11" s="66" t="n"/>
      <c r="B11" s="66" t="n"/>
      <c r="C11" s="66" t="n"/>
      <c r="D11" s="66" t="n"/>
      <c r="E11" s="66" t="n"/>
      <c r="F11" s="66" t="n"/>
      <c r="G11" s="64">
        <f>IF(C11&amp;F11="","",IFERROR(VLOOKUP(C11&amp;"→"&amp;F11,Conversions!$A$5:$B$286,2,FALSE),"?"))</f>
        <v/>
      </c>
      <c r="H11" s="67">
        <f>IFERROR(VLOOKUP(B11,'Trim Loss Factors'!$A$5:$C$25,2,FALSE),"")</f>
        <v/>
      </c>
      <c r="I11" s="30">
        <f>IFERROR(IF(E11="","",E11/(1-H11)),"check trim loss")</f>
        <v/>
      </c>
      <c r="J11" s="31">
        <f>IF(G11="?","check units",IFERROR(I11*D11/G11,""))</f>
        <v/>
      </c>
      <c r="L11" s="22" t="n"/>
      <c r="M11" s="23" t="n"/>
    </row>
    <row r="12" ht="28" customHeight="1">
      <c r="A12" s="66" t="n"/>
      <c r="B12" s="66" t="n"/>
      <c r="C12" s="66" t="n"/>
      <c r="D12" s="66" t="n"/>
      <c r="E12" s="66" t="n"/>
      <c r="F12" s="66" t="n"/>
      <c r="G12" s="64">
        <f>IF(C12&amp;F12="","",IFERROR(VLOOKUP(C12&amp;"→"&amp;F12,Conversions!$A$5:$B$286,2,FALSE),"?"))</f>
        <v/>
      </c>
      <c r="H12" s="67">
        <f>IFERROR(VLOOKUP(B12,'Trim Loss Factors'!$A$5:$C$25,2,FALSE),"")</f>
        <v/>
      </c>
      <c r="I12" s="30">
        <f>IFERROR(IF(E12="","",E12/(1-H12)),"check trim loss")</f>
        <v/>
      </c>
      <c r="J12" s="31">
        <f>IF(G12="?","check units",IFERROR(I12*D12/G12,""))</f>
        <v/>
      </c>
      <c r="L12" s="22" t="n"/>
      <c r="M12" s="23" t="n"/>
    </row>
    <row r="13" ht="28" customHeight="1">
      <c r="A13" s="66" t="n"/>
      <c r="B13" s="66" t="n"/>
      <c r="C13" s="66" t="n"/>
      <c r="D13" s="66" t="n"/>
      <c r="E13" s="66" t="n"/>
      <c r="F13" s="66" t="n"/>
      <c r="G13" s="64">
        <f>IF(C13&amp;F13="","",IFERROR(VLOOKUP(C13&amp;"→"&amp;F13,Conversions!$A$5:$B$286,2,FALSE),"?"))</f>
        <v/>
      </c>
      <c r="H13" s="67">
        <f>IFERROR(VLOOKUP(B13,'Trim Loss Factors'!$A$5:$C$25,2,FALSE),"")</f>
        <v/>
      </c>
      <c r="I13" s="30">
        <f>IFERROR(IF(E13="","",E13/(1-H13)),"check trim loss")</f>
        <v/>
      </c>
      <c r="J13" s="31">
        <f>IF(G13="?","check units",IFERROR(I13*D13/G13,""))</f>
        <v/>
      </c>
      <c r="L13" s="22" t="n"/>
      <c r="M13" s="23" t="n"/>
    </row>
    <row r="14" ht="28" customHeight="1">
      <c r="A14" s="66" t="n"/>
      <c r="B14" s="66" t="n"/>
      <c r="C14" s="66" t="n"/>
      <c r="D14" s="66" t="n"/>
      <c r="E14" s="66" t="n"/>
      <c r="F14" s="66" t="n"/>
      <c r="G14" s="64">
        <f>IF(C14&amp;F14="","",IFERROR(VLOOKUP(C14&amp;"→"&amp;F14,Conversions!$A$5:$B$286,2,FALSE),"?"))</f>
        <v/>
      </c>
      <c r="H14" s="67">
        <f>IFERROR(VLOOKUP(B14,'Trim Loss Factors'!$A$5:$C$25,2,FALSE),"")</f>
        <v/>
      </c>
      <c r="I14" s="30">
        <f>IFERROR(IF(E14="","",E14/(1-H14)),"check trim loss")</f>
        <v/>
      </c>
      <c r="J14" s="31">
        <f>IF(G14="?","check units",IFERROR(I14*D14/G14,""))</f>
        <v/>
      </c>
      <c r="L14" s="32" t="n"/>
      <c r="M14" s="33" t="n"/>
    </row>
    <row r="15">
      <c r="A15" s="66" t="n"/>
      <c r="B15" s="66" t="n"/>
      <c r="C15" s="66" t="n"/>
      <c r="D15" s="66" t="n"/>
      <c r="E15" s="66" t="n"/>
      <c r="F15" s="66" t="n"/>
      <c r="G15" s="64">
        <f>IF(C15&amp;F15="","",IFERROR(VLOOKUP(C15&amp;"→"&amp;F15,Conversions!$A$5:$B$286,2,FALSE),"?"))</f>
        <v/>
      </c>
      <c r="H15" s="67">
        <f>IFERROR(VLOOKUP(B15,'Trim Loss Factors'!$A$5:$C$25,2,FALSE),"")</f>
        <v/>
      </c>
      <c r="I15" s="30">
        <f>IFERROR(IF(E15="","",E15/(1-H15)),"check trim loss")</f>
        <v/>
      </c>
      <c r="J15" s="31">
        <f>IF(G15="?","check units",IFERROR(I15*D15/G15,""))</f>
        <v/>
      </c>
      <c r="L15" s="32" t="n"/>
      <c r="M15" s="33" t="n"/>
    </row>
    <row r="16">
      <c r="A16" s="66" t="n"/>
      <c r="B16" s="66" t="n"/>
      <c r="C16" s="66" t="n"/>
      <c r="D16" s="66" t="n"/>
      <c r="E16" s="66" t="n"/>
      <c r="F16" s="66" t="n"/>
      <c r="G16" s="64">
        <f>IF(C16&amp;F16="","",IFERROR(VLOOKUP(C16&amp;"→"&amp;F16,Conversions!$A$5:$B$286,2,FALSE),"?"))</f>
        <v/>
      </c>
      <c r="H16" s="67">
        <f>IFERROR(VLOOKUP(B16,'Trim Loss Factors'!$A$5:$C$25,2,FALSE),"")</f>
        <v/>
      </c>
      <c r="I16" s="30">
        <f>IFERROR(IF(E16="","",E16/(1-H16)),"check trim loss")</f>
        <v/>
      </c>
      <c r="J16" s="31">
        <f>IF(G16="?","check units",IFERROR(I16*D16/G16,""))</f>
        <v/>
      </c>
      <c r="L16" s="32" t="n"/>
      <c r="M16" s="33" t="n"/>
    </row>
    <row r="17">
      <c r="A17" s="66" t="n"/>
      <c r="B17" s="66" t="n"/>
      <c r="C17" s="66" t="n"/>
      <c r="D17" s="66" t="n"/>
      <c r="E17" s="66" t="n"/>
      <c r="F17" s="66" t="n"/>
      <c r="G17" s="64">
        <f>IF(C17&amp;F17="","",IFERROR(VLOOKUP(C17&amp;"→"&amp;F17,Conversions!$A$5:$B$286,2,FALSE),"?"))</f>
        <v/>
      </c>
      <c r="H17" s="67">
        <f>IFERROR(VLOOKUP(B17,'Trim Loss Factors'!$A$5:$C$25,2,FALSE),"")</f>
        <v/>
      </c>
      <c r="I17" s="30">
        <f>IFERROR(IF(E17="","",E17/(1-H17)),"check trim loss")</f>
        <v/>
      </c>
      <c r="J17" s="31">
        <f>IF(G17="?","check units",IFERROR(I17*D17/G17,""))</f>
        <v/>
      </c>
      <c r="L17" s="32" t="n"/>
      <c r="M17" s="33" t="n"/>
    </row>
    <row r="18">
      <c r="A18" s="66" t="n"/>
      <c r="B18" s="66" t="n"/>
      <c r="C18" s="66" t="n"/>
      <c r="D18" s="66" t="n"/>
      <c r="E18" s="66" t="n"/>
      <c r="F18" s="66" t="n"/>
      <c r="G18" s="64">
        <f>IF(C18&amp;F18="","",IFERROR(VLOOKUP(C18&amp;"→"&amp;F18,Conversions!$A$5:$B$286,2,FALSE),"?"))</f>
        <v/>
      </c>
      <c r="H18" s="67">
        <f>IFERROR(VLOOKUP(B18,'Trim Loss Factors'!$A$5:$C$25,2,FALSE),"")</f>
        <v/>
      </c>
      <c r="I18" s="30">
        <f>IFERROR(IF(E18="","",E18/(1-H18)),"check trim loss")</f>
        <v/>
      </c>
      <c r="J18" s="31">
        <f>IF(G18="?","check units",IFERROR(I18*D18/G18,""))</f>
        <v/>
      </c>
      <c r="L18" s="32" t="n"/>
      <c r="M18" s="33" t="n"/>
    </row>
    <row r="19">
      <c r="A19" s="66" t="n"/>
      <c r="B19" s="66" t="n"/>
      <c r="C19" s="66" t="n"/>
      <c r="D19" s="66" t="n"/>
      <c r="E19" s="66" t="n"/>
      <c r="F19" s="66" t="n"/>
      <c r="G19" s="64">
        <f>IF(C19&amp;F19="","",IFERROR(VLOOKUP(C19&amp;"→"&amp;F19,Conversions!$A$5:$B$286,2,FALSE),"?"))</f>
        <v/>
      </c>
      <c r="H19" s="67">
        <f>IFERROR(VLOOKUP(B19,'Trim Loss Factors'!$A$5:$C$25,2,FALSE),"")</f>
        <v/>
      </c>
      <c r="I19" s="30">
        <f>IFERROR(IF(E19="","",E19/(1-H19)),"check trim loss")</f>
        <v/>
      </c>
      <c r="J19" s="31">
        <f>IF(G19="?","check units",IFERROR(I19*D19/G19,""))</f>
        <v/>
      </c>
      <c r="L19" s="32" t="n"/>
      <c r="M19" s="33" t="n"/>
    </row>
    <row r="20">
      <c r="L20" s="34" t="n"/>
    </row>
    <row r="21">
      <c r="A21" s="35" t="inlineStr">
        <is>
          <t>TOTAL INGREDIENT COST</t>
        </is>
      </c>
      <c r="B21" s="57" t="n"/>
      <c r="C21" s="57" t="n"/>
      <c r="D21" s="57" t="n"/>
      <c r="E21" s="57" t="n"/>
      <c r="F21" s="57" t="n"/>
      <c r="G21" s="57" t="n"/>
      <c r="H21" s="57" t="n"/>
      <c r="I21" s="58" t="n"/>
      <c r="J21" s="36">
        <f>SUM(J5:J19)</f>
        <v>0.6283702350904415</v>
      </c>
    </row>
    <row r="22">
      <c r="A22" s="37" t="inlineStr">
        <is>
          <t>Q-factor (%)</t>
        </is>
      </c>
      <c r="B22" s="57" t="n"/>
      <c r="C22" s="57" t="n"/>
      <c r="D22" s="57" t="n"/>
      <c r="E22" s="57" t="n"/>
      <c r="F22" s="57" t="n"/>
      <c r="G22" s="57" t="n"/>
      <c r="H22" s="58" t="n"/>
      <c r="I22" s="68" t="n">
        <v>0.1</v>
      </c>
      <c r="J22" s="38">
        <f>J21*I22</f>
        <v>0.06283702350904416</v>
      </c>
    </row>
    <row r="23">
      <c r="A23" s="39" t="inlineStr">
        <is>
          <t>TOTAL DISH COST</t>
        </is>
      </c>
      <c r="B23" s="57" t="n"/>
      <c r="C23" s="57" t="n"/>
      <c r="D23" s="57" t="n"/>
      <c r="E23" s="57" t="n"/>
      <c r="F23" s="57" t="n"/>
      <c r="G23" s="57" t="n"/>
      <c r="H23" s="57" t="n"/>
      <c r="I23" s="58" t="n"/>
      <c r="J23" s="40">
        <f>J21+J22</f>
        <v>0.6912072585994857</v>
      </c>
    </row>
    <row r="24">
      <c r="A24" s="37" t="inlineStr">
        <is>
          <t>Number of portions</t>
        </is>
      </c>
      <c r="B24" s="57" t="n"/>
      <c r="C24" s="57" t="n"/>
      <c r="D24" s="57" t="n"/>
      <c r="E24" s="57" t="n"/>
      <c r="F24" s="57" t="n"/>
      <c r="G24" s="57" t="n"/>
      <c r="H24" s="58" t="n"/>
      <c r="I24" s="69" t="n">
        <v>1</v>
      </c>
      <c r="J24" s="38" t="n"/>
    </row>
    <row r="25">
      <c r="A25" s="39" t="inlineStr">
        <is>
          <t>COST PER PORTION</t>
        </is>
      </c>
      <c r="B25" s="57" t="n"/>
      <c r="C25" s="57" t="n"/>
      <c r="D25" s="57" t="n"/>
      <c r="E25" s="57" t="n"/>
      <c r="F25" s="57" t="n"/>
      <c r="G25" s="57" t="n"/>
      <c r="H25" s="57" t="n"/>
      <c r="I25" s="58" t="n"/>
      <c r="J25" s="40">
        <f>IFERROR(J23/I24,"")</f>
        <v>0.6912072585994857</v>
      </c>
    </row>
    <row r="26"/>
    <row r="27">
      <c r="A27" s="41" t="inlineStr">
        <is>
          <t>Target food cost % — edited on the Summary tab</t>
        </is>
      </c>
      <c r="B27" s="57" t="n"/>
      <c r="C27" s="57" t="n"/>
      <c r="D27" s="57" t="n"/>
      <c r="E27" s="57" t="n"/>
      <c r="F27" s="57" t="n"/>
      <c r="G27" s="57" t="n"/>
      <c r="H27" s="58" t="n"/>
      <c r="I27" s="70">
        <f>'Menu Summary'!$C$13</f>
        <v>0.32</v>
      </c>
    </row>
    <row r="28">
      <c r="A28" s="43" t="inlineStr">
        <is>
          <t>Suggested menu price (pre-tax)</t>
        </is>
      </c>
      <c r="B28" s="57" t="n"/>
      <c r="C28" s="57" t="n"/>
      <c r="D28" s="57" t="n"/>
      <c r="E28" s="57" t="n"/>
      <c r="F28" s="57" t="n"/>
      <c r="G28" s="57" t="n"/>
      <c r="H28" s="57" t="n"/>
      <c r="I28" s="58" t="n"/>
      <c r="J28" s="44">
        <f>IFERROR(J25/I27,"")</f>
        <v>2.160022683123393</v>
      </c>
    </row>
    <row r="29">
      <c r="A29" s="37" t="inlineStr">
        <is>
          <t>Tax rate (%)</t>
        </is>
      </c>
      <c r="B29" s="57" t="n"/>
      <c r="C29" s="57" t="n"/>
      <c r="D29" s="57" t="n"/>
      <c r="E29" s="57" t="n"/>
      <c r="F29" s="57" t="n"/>
      <c r="G29" s="57" t="n"/>
      <c r="H29" s="58" t="n"/>
      <c r="I29" s="68" t="n">
        <v>0</v>
      </c>
      <c r="J29" s="38" t="n"/>
    </row>
    <row r="30">
      <c r="A30" s="39" t="inlineStr">
        <is>
          <t>Menu price incl. tax</t>
        </is>
      </c>
      <c r="B30" s="57" t="n"/>
      <c r="C30" s="57" t="n"/>
      <c r="D30" s="57" t="n"/>
      <c r="E30" s="57" t="n"/>
      <c r="F30" s="57" t="n"/>
      <c r="G30" s="57" t="n"/>
      <c r="H30" s="57" t="n"/>
      <c r="I30" s="58" t="n"/>
      <c r="J30" s="40">
        <f>IFERROR(J28*(1+I29),"")</f>
        <v>2.160022683123393</v>
      </c>
    </row>
    <row r="31">
      <c r="A31" s="43" t="inlineStr">
        <is>
          <t>Gross profit per portion (at suggested price)</t>
        </is>
      </c>
      <c r="B31" s="57" t="n"/>
      <c r="C31" s="57" t="n"/>
      <c r="D31" s="57" t="n"/>
      <c r="E31" s="57" t="n"/>
      <c r="F31" s="57" t="n"/>
      <c r="G31" s="57" t="n"/>
      <c r="H31" s="57" t="n"/>
      <c r="I31" s="58" t="n"/>
      <c r="J31" s="44">
        <f>IFERROR(J28-J25,"")</f>
        <v>1.4688154245239073</v>
      </c>
    </row>
    <row r="32">
      <c r="A32" s="37" t="inlineStr">
        <is>
          <t>Target GP % (at suggested price)</t>
        </is>
      </c>
      <c r="B32" s="57" t="n"/>
      <c r="C32" s="57" t="n"/>
      <c r="D32" s="57" t="n"/>
      <c r="E32" s="57" t="n"/>
      <c r="F32" s="57" t="n"/>
      <c r="G32" s="57" t="n"/>
      <c r="H32" s="57" t="n"/>
      <c r="I32" s="58" t="n"/>
      <c r="J32" s="47">
        <f>IFERROR((J28-J25)/J28,"")</f>
        <v>0.68</v>
      </c>
    </row>
    <row r="33"/>
    <row r="34">
      <c r="A34" s="37" t="inlineStr">
        <is>
          <t>Current menu price (pre-tax / ex VAT)</t>
        </is>
      </c>
      <c r="B34" s="57" t="n"/>
      <c r="C34" s="57" t="n"/>
      <c r="D34" s="57" t="n"/>
      <c r="E34" s="57" t="n"/>
      <c r="F34" s="57" t="n"/>
      <c r="G34" s="57" t="n"/>
      <c r="H34" s="58" t="n"/>
      <c r="I34" s="71" t="n"/>
      <c r="J34" s="38" t="n"/>
    </row>
    <row r="35">
      <c r="A35" s="39" t="inlineStr">
        <is>
          <t>Actual food cost % (actual GP % = 100% − this)</t>
        </is>
      </c>
      <c r="B35" s="57" t="n"/>
      <c r="C35" s="57" t="n"/>
      <c r="D35" s="57" t="n"/>
      <c r="E35" s="57" t="n"/>
      <c r="F35" s="57" t="n"/>
      <c r="G35" s="57" t="n"/>
      <c r="H35" s="57" t="n"/>
      <c r="I35" s="58" t="n"/>
      <c r="J35" s="72">
        <f>IFERROR(J25/I34,"")</f>
        <v/>
      </c>
    </row>
  </sheetData>
  <sheetProtection selectLockedCells="0" selectUnlockedCells="0" sheet="1" objects="0" insertRows="1" insertHyperlinks="1" autoFilter="1" scenarios="0" formatColumns="0" deleteColumns="1" insertColumns="1" pivotTables="1" deleteRows="1" formatCells="1" formatRows="0" sort="1"/>
  <mergeCells count="18">
    <mergeCell ref="A34:H34"/>
    <mergeCell ref="A23:I23"/>
    <mergeCell ref="A25:I25"/>
    <mergeCell ref="A30:I30"/>
    <mergeCell ref="A35:I35"/>
    <mergeCell ref="L8:M9"/>
    <mergeCell ref="A32:I32"/>
    <mergeCell ref="A2:J2"/>
    <mergeCell ref="A22:H22"/>
    <mergeCell ref="L20:M20"/>
    <mergeCell ref="A27:H27"/>
    <mergeCell ref="A31:I31"/>
    <mergeCell ref="A29:H29"/>
    <mergeCell ref="A28:I28"/>
    <mergeCell ref="L3:M3"/>
    <mergeCell ref="A24:H24"/>
    <mergeCell ref="A21:I21"/>
    <mergeCell ref="A1:J1"/>
  </mergeCells>
  <conditionalFormatting sqref="G5:G19">
    <cfRule type="cellIs" priority="1" operator="equal" dxfId="0">
      <formula>"?"</formula>
    </cfRule>
  </conditionalFormatting>
  <conditionalFormatting sqref="J35">
    <cfRule type="expression" priority="2" dxfId="0" stopIfTrue="0">
      <formula>AND(ISNUMBER($J$35),$J$35&gt;$I$27)</formula>
    </cfRule>
  </conditionalFormatting>
  <dataValidations count="2">
    <dataValidation sqref="B5:B19" showDropDown="0" showInputMessage="0" showErrorMessage="1" allowBlank="1" errorTitle="Invalid value" error="Choose a category from the list (&quot;Trim Loss Factors&quot; tab)." type="list">
      <formula1>'Trim Loss Factors'!$A$5:$A$25</formula1>
    </dataValidation>
    <dataValidation sqref="C5:C19 F5:F19" showDropDown="0" showInputMessage="0" showErrorMessage="1" allowBlank="1" errorTitle="Invalid value" error="Choose a unit from the list." type="list">
      <formula1>"lb,oz,kg,g,gal,qt,pt,imp pt,cup,fl oz,tbsp,tsp,L,ml,cl,each,dozen,bunch,packet,can,bottle,15 dz case,30 dz case,50 lb bag,40 lb case,36x1 lb case,16 kg sack,40x250 g case,4x1 gal case,12x750 ml case,24x12 fl oz case,1/2 bbl keg,1/6 bbl keg,50 L keg"</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FF4444"/>
    <outlinePr summaryBelow="1" summaryRight="1"/>
    <pageSetUpPr fitToPage="1"/>
  </sheetPr>
  <dimension ref="B1:C18"/>
  <sheetViews>
    <sheetView workbookViewId="0">
      <selection activeCell="A1" sqref="A1"/>
    </sheetView>
  </sheetViews>
  <sheetFormatPr baseColWidth="8" defaultRowHeight="15"/>
  <cols>
    <col width="40" customWidth="1" min="2" max="2"/>
    <col width="18" customWidth="1" min="3" max="3"/>
  </cols>
  <sheetData>
    <row r="1"/>
    <row r="2">
      <c r="B2" s="48" t="inlineStr">
        <is>
          <t>Summary — Prix Fixe &amp; Set Menu</t>
        </is>
      </c>
    </row>
    <row r="3"/>
    <row r="4">
      <c r="B4" s="49" t="inlineStr">
        <is>
          <t>Item</t>
        </is>
      </c>
      <c r="C4" s="49" t="inlineStr">
        <is>
          <t>Cost</t>
        </is>
      </c>
    </row>
    <row r="5">
      <c r="B5" s="50" t="inlineStr">
        <is>
          <t>Starter</t>
        </is>
      </c>
      <c r="C5" s="38">
        <f>Starter!$J$27</f>
        <v>2.9864274022950417</v>
      </c>
    </row>
    <row r="6">
      <c r="B6" s="50" t="inlineStr">
        <is>
          <t>Main</t>
        </is>
      </c>
      <c r="C6" s="38">
        <f>Main!$J$26</f>
        <v>2.6178672107725083</v>
      </c>
    </row>
    <row r="7">
      <c r="B7" s="50" t="inlineStr">
        <is>
          <t>Dessert</t>
        </is>
      </c>
      <c r="C7" s="38">
        <f>Dessert!$J$25</f>
        <v>0.6912072585994857</v>
      </c>
    </row>
    <row r="8">
      <c r="B8" s="50" t="inlineStr">
        <is>
          <t>Bread &amp; butter (per guest)</t>
        </is>
      </c>
      <c r="C8" s="73" t="n">
        <v>0.33</v>
      </c>
    </row>
    <row r="9">
      <c r="B9" s="50" t="inlineStr">
        <is>
          <t>Drink (if included)</t>
        </is>
      </c>
      <c r="C9" s="73" t="n">
        <v>0</v>
      </c>
    </row>
    <row r="10">
      <c r="B10" s="50" t="inlineStr">
        <is>
          <t>Coffee (if included)</t>
        </is>
      </c>
      <c r="C10" s="73" t="n">
        <v>0</v>
      </c>
    </row>
    <row r="11">
      <c r="B11" s="52" t="inlineStr">
        <is>
          <t>TOTAL PRIX FIXE MENU COST</t>
        </is>
      </c>
      <c r="C11" s="46">
        <f>SUM(C5:C10)</f>
        <v>6.625501871667035</v>
      </c>
    </row>
    <row r="12"/>
    <row r="13">
      <c r="B13" s="53" t="inlineStr">
        <is>
          <t>Target food cost (%) — the only food cost figure in this workbook: every dish reads it from here</t>
        </is>
      </c>
      <c r="C13" s="74" t="n">
        <v>0.32</v>
      </c>
    </row>
    <row r="14">
      <c r="B14" s="54" t="inlineStr">
        <is>
          <t>SUGGESTED MENU PRICE (PRE-TAX)</t>
        </is>
      </c>
      <c r="C14" s="44">
        <f>IFERROR(C11/C13,"")</f>
        <v>20.704693348959484</v>
      </c>
    </row>
    <row r="15">
      <c r="B15" s="53" t="inlineStr">
        <is>
          <t>Tax rate (%)</t>
        </is>
      </c>
      <c r="C15" s="74" t="n">
        <v>0</v>
      </c>
    </row>
    <row r="16">
      <c r="B16" s="54" t="inlineStr">
        <is>
          <t>Menu price incl. tax</t>
        </is>
      </c>
      <c r="C16" s="44">
        <f>IFERROR(C14*(1+C15),"")</f>
        <v>20.704693348959484</v>
      </c>
    </row>
    <row r="18">
      <c r="B18" s="91" t="inlineStr">
        <is>
          <t>Example: this prix fixe sells at $22 (pre-tax), so its actual food cost is TOTAL PRIX FIXE MENU COST ÷ 22 = 30.1%. Dishes aren't sold separately, which is why each one leaves "Current menu price" blank.</t>
        </is>
      </c>
    </row>
  </sheetData>
  <sheetProtection selectLockedCells="0" selectUnlockedCells="0" sheet="1" objects="0" insertRows="1" insertHyperlinks="1" autoFilter="1" scenarios="0" formatColumns="0" deleteColumns="1" insertColumns="1" pivotTables="1" deleteRows="1" formatCells="1" formatRows="0" sort="1"/>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K11"/>
  <sheetViews>
    <sheetView workbookViewId="0">
      <selection activeCell="A1" sqref="A1"/>
    </sheetView>
  </sheetViews>
  <sheetFormatPr baseColWidth="8" defaultRowHeight="15"/>
  <cols>
    <col width="12" customWidth="1" min="1" max="1"/>
    <col width="26" customWidth="1" min="2" max="2"/>
    <col width="12" customWidth="1" min="3" max="3"/>
    <col width="26" customWidth="1" min="4" max="4"/>
    <col width="12" customWidth="1" min="5" max="5"/>
    <col width="24" customWidth="1" min="6" max="6"/>
    <col width="12" customWidth="1" min="7" max="7"/>
    <col width="22" customWidth="1" min="8" max="8"/>
    <col width="16" customWidth="1" min="9" max="9"/>
    <col width="18" customWidth="1" min="10" max="10"/>
    <col width="14" customWidth="1" min="11" max="11"/>
  </cols>
  <sheetData>
    <row r="1">
      <c r="A1" s="75" t="inlineStr">
        <is>
          <t>Weekly Rotation — the 5 daily menus</t>
        </is>
      </c>
    </row>
    <row r="2">
      <c r="A2" s="76" t="inlineStr">
        <is>
          <t>Color code: GREEN = you type it in. GRAY = pulled from another tab, don't touch it. MONDAY has its name and cost linked to the "Starter", "Main", and "Dessert" tabs: change the recipe there and it updates here automatically (that's why its three cost cells are gray). From TUESDAY through FRIDAY, you type in the name and cost of each dish yourself, in the green cells. The Menu price column is also gray: it's the menu's single price and comes from the "Menu Summary" tab, so the food cost is what changes each day. Charging a different price on a specific day (a holiday)? Go to Review → Unprotect Sheet (Google Sheets: Data → Protect sheets and ranges) and type over that cell.</t>
        </is>
      </c>
    </row>
    <row r="3">
      <c r="J3" s="90" t="inlineStr">
        <is>
          <t>Target food cost (from Summary)</t>
        </is>
      </c>
      <c r="K3" s="82">
        <f>'Menu Summary'!$C$13</f>
        <v>0.32</v>
      </c>
    </row>
    <row r="4">
      <c r="A4" s="77" t="inlineStr">
        <is>
          <t>Day</t>
        </is>
      </c>
      <c r="B4" s="77" t="inlineStr">
        <is>
          <t>Starter</t>
        </is>
      </c>
      <c r="C4" s="77" t="inlineStr">
        <is>
          <t>Cost</t>
        </is>
      </c>
      <c r="D4" s="77" t="inlineStr">
        <is>
          <t>Main</t>
        </is>
      </c>
      <c r="E4" s="77" t="inlineStr">
        <is>
          <t>Cost</t>
        </is>
      </c>
      <c r="F4" s="77" t="inlineStr">
        <is>
          <t>Dessert</t>
        </is>
      </c>
      <c r="G4" s="77" t="inlineStr">
        <is>
          <t>Cost</t>
        </is>
      </c>
      <c r="H4" s="77" t="inlineStr">
        <is>
          <t>Extras (bread/drink/coffee)</t>
        </is>
      </c>
      <c r="I4" s="77" t="inlineStr">
        <is>
          <t>MENU COST</t>
        </is>
      </c>
      <c r="J4" s="77" t="inlineStr">
        <is>
          <t>Menu price (from Summary)</t>
        </is>
      </c>
      <c r="K4" s="77" t="inlineStr">
        <is>
          <t>FOOD COST (%)</t>
        </is>
      </c>
    </row>
    <row r="5">
      <c r="A5" s="78" t="inlineStr">
        <is>
          <t>Monday</t>
        </is>
      </c>
      <c r="B5" s="79" t="inlineStr">
        <is>
          <t>Mediterranean Salad</t>
        </is>
      </c>
      <c r="C5" s="80">
        <f>Starter!$J$27</f>
        <v>2.9864274022950417</v>
      </c>
      <c r="D5" s="79" t="inlineStr">
        <is>
          <t>Roast Chicken with Potatoes</t>
        </is>
      </c>
      <c r="E5" s="80">
        <f>Main!$J$26</f>
        <v>2.6178672107725083</v>
      </c>
      <c r="F5" s="79" t="inlineStr">
        <is>
          <t>Homemade Flan</t>
        </is>
      </c>
      <c r="G5" s="80">
        <f>Dessert!$J$25</f>
        <v>0.6912072585994857</v>
      </c>
      <c r="H5" s="80">
        <f>'Menu Summary'!$C$8+'Menu Summary'!$C$9+'Menu Summary'!$C$10</f>
        <v>0.33</v>
      </c>
      <c r="I5" s="81">
        <f>IF(SUM(C5,E5,G5)=0,"",SUM(C5,E5,G5,H5))</f>
        <v>6.625501871667035</v>
      </c>
      <c r="J5" s="80">
        <f>'Menu Summary'!$C$14</f>
        <v>20.704693348959484</v>
      </c>
      <c r="K5" s="82">
        <f>IFERROR(I5/J5,"")</f>
        <v>0.32</v>
      </c>
    </row>
    <row r="6">
      <c r="A6" s="78" t="inlineStr">
        <is>
          <t>Tuesday</t>
        </is>
      </c>
      <c r="B6" s="79" t="n"/>
      <c r="C6" s="83" t="n"/>
      <c r="D6" s="79" t="n"/>
      <c r="E6" s="83" t="n"/>
      <c r="F6" s="79" t="n"/>
      <c r="G6" s="83" t="n"/>
      <c r="H6" s="80">
        <f>'Menu Summary'!$C$8+'Menu Summary'!$C$9+'Menu Summary'!$C$10</f>
        <v>0.33</v>
      </c>
      <c r="I6" s="81">
        <f>IF(SUM(C6,E6,G6)=0,"",SUM(C6,E6,G6,H6))</f>
        <v/>
      </c>
      <c r="J6" s="80">
        <f>'Menu Summary'!$C$14</f>
        <v>20.704693348959484</v>
      </c>
      <c r="K6" s="82">
        <f>IFERROR(I6/J6,"")</f>
        <v/>
      </c>
    </row>
    <row r="7">
      <c r="A7" s="78" t="inlineStr">
        <is>
          <t>Wednesday</t>
        </is>
      </c>
      <c r="B7" s="79" t="n"/>
      <c r="C7" s="83" t="n"/>
      <c r="D7" s="79" t="n"/>
      <c r="E7" s="83" t="n"/>
      <c r="F7" s="79" t="n"/>
      <c r="G7" s="83" t="n"/>
      <c r="H7" s="80">
        <f>'Menu Summary'!$C$8+'Menu Summary'!$C$9+'Menu Summary'!$C$10</f>
        <v>0.33</v>
      </c>
      <c r="I7" s="81">
        <f>IF(SUM(C7,E7,G7)=0,"",SUM(C7,E7,G7,H7))</f>
        <v/>
      </c>
      <c r="J7" s="80">
        <f>'Menu Summary'!$C$14</f>
        <v>20.704693348959484</v>
      </c>
      <c r="K7" s="82">
        <f>IFERROR(I7/J7,"")</f>
        <v/>
      </c>
    </row>
    <row r="8">
      <c r="A8" s="78" t="inlineStr">
        <is>
          <t>Thursday</t>
        </is>
      </c>
      <c r="B8" s="79" t="n"/>
      <c r="C8" s="83" t="n"/>
      <c r="D8" s="79" t="n"/>
      <c r="E8" s="83" t="n"/>
      <c r="F8" s="79" t="n"/>
      <c r="G8" s="83" t="n"/>
      <c r="H8" s="80">
        <f>'Menu Summary'!$C$8+'Menu Summary'!$C$9+'Menu Summary'!$C$10</f>
        <v>0.33</v>
      </c>
      <c r="I8" s="81">
        <f>IF(SUM(C8,E8,G8)=0,"",SUM(C8,E8,G8,H8))</f>
        <v/>
      </c>
      <c r="J8" s="80">
        <f>'Menu Summary'!$C$14</f>
        <v>20.704693348959484</v>
      </c>
      <c r="K8" s="82">
        <f>IFERROR(I8/J8,"")</f>
        <v/>
      </c>
    </row>
    <row r="9">
      <c r="A9" s="78" t="inlineStr">
        <is>
          <t>Friday</t>
        </is>
      </c>
      <c r="B9" s="79" t="n"/>
      <c r="C9" s="83" t="n"/>
      <c r="D9" s="79" t="n"/>
      <c r="E9" s="83" t="n"/>
      <c r="F9" s="79" t="n"/>
      <c r="G9" s="83" t="n"/>
      <c r="H9" s="80">
        <f>'Menu Summary'!$C$8+'Menu Summary'!$C$9+'Menu Summary'!$C$10</f>
        <v>0.33</v>
      </c>
      <c r="I9" s="81">
        <f>IF(SUM(C9,E9,G9)=0,"",SUM(C9,E9,G9,H9))</f>
        <v/>
      </c>
      <c r="J9" s="80">
        <f>'Menu Summary'!$C$14</f>
        <v>20.704693348959484</v>
      </c>
      <c r="K9" s="82">
        <f>IFERROR(I9/J9,"")</f>
        <v/>
      </c>
    </row>
    <row r="11">
      <c r="A11" s="78" t="inlineStr">
        <is>
          <t>WEEKLY AVERAGE</t>
        </is>
      </c>
      <c r="I11" s="84">
        <f>IFERROR(SUM(I5:I9)/COUNTIF(I5:I9,"&gt;0"),"")</f>
        <v>6.625501871667035</v>
      </c>
      <c r="J11" s="84">
        <f>IFERROR(SUM(J5:J9)/COUNTIF(J5:J9,"&gt;0"),"")</f>
        <v>20.704693348959484</v>
      </c>
      <c r="K11" s="85">
        <f>IFERROR(I11/J11,"")</f>
        <v>0.32</v>
      </c>
    </row>
  </sheetData>
  <sheetProtection selectLockedCells="0" selectUnlockedCells="0" sheet="1" objects="0" insertRows="1" insertHyperlinks="1" autoFilter="1" scenarios="0" formatColumns="0" deleteColumns="1" insertColumns="1" pivotTables="1" deleteRows="1" formatCells="1" formatRows="0" sort="1"/>
  <conditionalFormatting sqref="K5:K11">
    <cfRule type="expression" priority="1" dxfId="0">
      <formula>AND(ISNUMBER(K5),K5&gt;$K$3)</formula>
    </cfRule>
  </conditionalFormatting>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286"/>
  <sheetViews>
    <sheetView workbookViewId="0">
      <selection activeCell="A1" sqref="A1"/>
    </sheetView>
  </sheetViews>
  <sheetFormatPr baseColWidth="8" defaultRowHeight="15"/>
  <cols>
    <col width="26" customWidth="1" min="1" max="1"/>
    <col width="12" customWidth="1" min="2" max="2"/>
    <col width="90" customWidth="1" min="3" max="3"/>
  </cols>
  <sheetData>
    <row r="1">
      <c r="A1" s="86" t="inlineStr">
        <is>
          <t>Purchase unit → Recipe unit conversion table</t>
        </is>
      </c>
    </row>
    <row r="2">
      <c r="A2" t="inlineStr">
        <is>
          <t>The "Factor" column of every recipe cost card uses it. You can add pairs at the end, up to row 286: the key is written "purchase→recipe".</t>
        </is>
      </c>
    </row>
    <row r="4">
      <c r="A4" s="87" t="inlineStr">
        <is>
          <t>Conversion (purchase→recipe)</t>
        </is>
      </c>
      <c r="B4" s="87" t="inlineStr">
        <is>
          <t>Factor</t>
        </is>
      </c>
      <c r="C4" s="87" t="inlineStr">
        <is>
          <t>What it means</t>
        </is>
      </c>
    </row>
    <row r="5">
      <c r="A5" t="inlineStr">
        <is>
          <t>lb→lb</t>
        </is>
      </c>
      <c r="B5" s="92" t="n">
        <v>1</v>
      </c>
      <c r="C5" t="inlineStr">
        <is>
          <t>same unit</t>
        </is>
      </c>
    </row>
    <row r="6">
      <c r="A6" t="inlineStr">
        <is>
          <t>lb→oz</t>
        </is>
      </c>
      <c r="B6" s="92" t="n">
        <v>16</v>
      </c>
      <c r="C6" t="inlineStr">
        <is>
          <t>1 lb = 16 oz</t>
        </is>
      </c>
    </row>
    <row r="7">
      <c r="A7" t="inlineStr">
        <is>
          <t>lb→kg</t>
        </is>
      </c>
      <c r="B7" s="92" t="n">
        <v>0.45359237</v>
      </c>
      <c r="C7" t="inlineStr">
        <is>
          <t>1 lb = 0.4536 kg</t>
        </is>
      </c>
    </row>
    <row r="8">
      <c r="A8" t="inlineStr">
        <is>
          <t>lb→g</t>
        </is>
      </c>
      <c r="B8" s="92" t="n">
        <v>453.59237</v>
      </c>
      <c r="C8" t="inlineStr">
        <is>
          <t>1 lb = 453.59 g</t>
        </is>
      </c>
    </row>
    <row r="9">
      <c r="A9" t="inlineStr">
        <is>
          <t>oz→oz</t>
        </is>
      </c>
      <c r="B9" s="92" t="n">
        <v>1</v>
      </c>
      <c r="C9" t="inlineStr">
        <is>
          <t>same unit (oz = weight; fl oz = volume)</t>
        </is>
      </c>
    </row>
    <row r="10">
      <c r="A10" t="inlineStr">
        <is>
          <t>oz→lb</t>
        </is>
      </c>
      <c r="B10" s="92" t="n">
        <v>0.0625</v>
      </c>
      <c r="C10" t="inlineStr">
        <is>
          <t>1 oz = 0.0625 lb</t>
        </is>
      </c>
    </row>
    <row r="11">
      <c r="A11" t="inlineStr">
        <is>
          <t>oz→kg</t>
        </is>
      </c>
      <c r="B11" s="92" t="n">
        <v>0.028349523125</v>
      </c>
      <c r="C11" t="inlineStr">
        <is>
          <t>1 oz = 0.0283 kg</t>
        </is>
      </c>
    </row>
    <row r="12">
      <c r="A12" t="inlineStr">
        <is>
          <t>oz→g</t>
        </is>
      </c>
      <c r="B12" s="92" t="n">
        <v>28.349523125</v>
      </c>
      <c r="C12" t="inlineStr">
        <is>
          <t>1 oz = 28.3495 g</t>
        </is>
      </c>
    </row>
    <row r="13">
      <c r="A13" t="inlineStr">
        <is>
          <t>kg→kg</t>
        </is>
      </c>
      <c r="B13" s="92" t="n">
        <v>1</v>
      </c>
      <c r="C13" t="inlineStr">
        <is>
          <t>same unit</t>
        </is>
      </c>
    </row>
    <row r="14">
      <c r="A14" t="inlineStr">
        <is>
          <t>kg→lb</t>
        </is>
      </c>
      <c r="B14" s="92" t="n">
        <v>2.204622621848776</v>
      </c>
      <c r="C14" t="inlineStr">
        <is>
          <t>1 kg = 2.2046 lb</t>
        </is>
      </c>
    </row>
    <row r="15">
      <c r="A15" t="inlineStr">
        <is>
          <t>kg→oz</t>
        </is>
      </c>
      <c r="B15" s="92" t="n">
        <v>35.27396194958041</v>
      </c>
      <c r="C15" t="inlineStr">
        <is>
          <t>1 kg = 35.274 oz</t>
        </is>
      </c>
    </row>
    <row r="16">
      <c r="A16" t="inlineStr">
        <is>
          <t>kg→g</t>
        </is>
      </c>
      <c r="B16" s="92" t="n">
        <v>1000</v>
      </c>
      <c r="C16" t="inlineStr">
        <is>
          <t>1 kg = 1,000 g</t>
        </is>
      </c>
    </row>
    <row r="17">
      <c r="A17" t="inlineStr">
        <is>
          <t>g→g</t>
        </is>
      </c>
      <c r="B17" s="92" t="n">
        <v>1</v>
      </c>
      <c r="C17" t="inlineStr">
        <is>
          <t>same unit</t>
        </is>
      </c>
    </row>
    <row r="18">
      <c r="A18" t="inlineStr">
        <is>
          <t>g→lb</t>
        </is>
      </c>
      <c r="B18" s="92" t="n">
        <v>0.002204622621848776</v>
      </c>
      <c r="C18" t="inlineStr">
        <is>
          <t>1 g = 0.002205 lb</t>
        </is>
      </c>
    </row>
    <row r="19">
      <c r="A19" t="inlineStr">
        <is>
          <t>g→oz</t>
        </is>
      </c>
      <c r="B19" s="92" t="n">
        <v>0.03527396194958041</v>
      </c>
      <c r="C19" t="inlineStr">
        <is>
          <t>1 g = 0.0353 oz</t>
        </is>
      </c>
    </row>
    <row r="20">
      <c r="A20" t="inlineStr">
        <is>
          <t>g→kg</t>
        </is>
      </c>
      <c r="B20" s="92" t="n">
        <v>0.001</v>
      </c>
      <c r="C20" t="inlineStr">
        <is>
          <t>1 g = 0.001 kg</t>
        </is>
      </c>
    </row>
    <row r="21">
      <c r="A21" t="inlineStr">
        <is>
          <t>gal→gal</t>
        </is>
      </c>
      <c r="B21" s="92" t="n">
        <v>1</v>
      </c>
      <c r="C21" t="inlineStr">
        <is>
          <t>same unit (US gallon = 128 fl oz; the UK gallon is 20% larger)</t>
        </is>
      </c>
    </row>
    <row r="22">
      <c r="A22" t="inlineStr">
        <is>
          <t>gal→qt</t>
        </is>
      </c>
      <c r="B22" s="92" t="n">
        <v>4</v>
      </c>
      <c r="C22" t="inlineStr">
        <is>
          <t>1 gal = 4 qt</t>
        </is>
      </c>
    </row>
    <row r="23">
      <c r="A23" t="inlineStr">
        <is>
          <t>gal→pt</t>
        </is>
      </c>
      <c r="B23" s="92" t="n">
        <v>8</v>
      </c>
      <c r="C23" t="inlineStr">
        <is>
          <t>1 gal = 8 pt</t>
        </is>
      </c>
    </row>
    <row r="24">
      <c r="A24" t="inlineStr">
        <is>
          <t>gal→imp pt</t>
        </is>
      </c>
      <c r="B24" s="92" t="n">
        <v>6.661393477031911</v>
      </c>
      <c r="C24" t="inlineStr">
        <is>
          <t>1 gal = 6.6614 imp pt</t>
        </is>
      </c>
    </row>
    <row r="25">
      <c r="A25" t="inlineStr">
        <is>
          <t>gal→cup</t>
        </is>
      </c>
      <c r="B25" s="92" t="n">
        <v>16</v>
      </c>
      <c r="C25" t="inlineStr">
        <is>
          <t>1 gal = 16 cup</t>
        </is>
      </c>
    </row>
    <row r="26">
      <c r="A26" t="inlineStr">
        <is>
          <t>gal→fl oz</t>
        </is>
      </c>
      <c r="B26" s="92" t="n">
        <v>128</v>
      </c>
      <c r="C26" t="inlineStr">
        <is>
          <t>1 gal = 128 fl oz</t>
        </is>
      </c>
    </row>
    <row r="27">
      <c r="A27" t="inlineStr">
        <is>
          <t>gal→tbsp</t>
        </is>
      </c>
      <c r="B27" s="92" t="n">
        <v>256</v>
      </c>
      <c r="C27" t="inlineStr">
        <is>
          <t>1 gal = 256 tbsp</t>
        </is>
      </c>
    </row>
    <row r="28">
      <c r="A28" t="inlineStr">
        <is>
          <t>gal→tsp</t>
        </is>
      </c>
      <c r="B28" s="92" t="n">
        <v>768</v>
      </c>
      <c r="C28" t="inlineStr">
        <is>
          <t>1 gal = 768 tsp</t>
        </is>
      </c>
    </row>
    <row r="29">
      <c r="A29" t="inlineStr">
        <is>
          <t>gal→L</t>
        </is>
      </c>
      <c r="B29" s="92" t="n">
        <v>3.785411784</v>
      </c>
      <c r="C29" t="inlineStr">
        <is>
          <t>1 gal = 3.7854 L</t>
        </is>
      </c>
    </row>
    <row r="30">
      <c r="A30" t="inlineStr">
        <is>
          <t>gal→ml</t>
        </is>
      </c>
      <c r="B30" s="92" t="n">
        <v>3785.411784</v>
      </c>
      <c r="C30" t="inlineStr">
        <is>
          <t>1 gal = 3,785.41 ml</t>
        </is>
      </c>
    </row>
    <row r="31">
      <c r="A31" t="inlineStr">
        <is>
          <t>gal→cl</t>
        </is>
      </c>
      <c r="B31" s="92" t="n">
        <v>378.5411784</v>
      </c>
      <c r="C31" t="inlineStr">
        <is>
          <t>1 gal = 378.54 cl</t>
        </is>
      </c>
    </row>
    <row r="32">
      <c r="A32" t="inlineStr">
        <is>
          <t>qt→qt</t>
        </is>
      </c>
      <c r="B32" s="92" t="n">
        <v>1</v>
      </c>
      <c r="C32" t="inlineStr">
        <is>
          <t>same unit</t>
        </is>
      </c>
    </row>
    <row r="33">
      <c r="A33" t="inlineStr">
        <is>
          <t>qt→gal</t>
        </is>
      </c>
      <c r="B33" s="92" t="n">
        <v>0.25</v>
      </c>
      <c r="C33" t="inlineStr">
        <is>
          <t>1 qt = 0.25 gal</t>
        </is>
      </c>
    </row>
    <row r="34">
      <c r="A34" t="inlineStr">
        <is>
          <t>qt→pt</t>
        </is>
      </c>
      <c r="B34" s="92" t="n">
        <v>2</v>
      </c>
      <c r="C34" t="inlineStr">
        <is>
          <t>1 qt = 2 pt</t>
        </is>
      </c>
    </row>
    <row r="35">
      <c r="A35" t="inlineStr">
        <is>
          <t>qt→imp pt</t>
        </is>
      </c>
      <c r="B35" s="92" t="n">
        <v>1.665348369257978</v>
      </c>
      <c r="C35" t="inlineStr">
        <is>
          <t>1 qt = 1.6653 imp pt</t>
        </is>
      </c>
    </row>
    <row r="36">
      <c r="A36" t="inlineStr">
        <is>
          <t>qt→cup</t>
        </is>
      </c>
      <c r="B36" s="92" t="n">
        <v>4</v>
      </c>
      <c r="C36" t="inlineStr">
        <is>
          <t>1 qt = 4 cup</t>
        </is>
      </c>
    </row>
    <row r="37">
      <c r="A37" t="inlineStr">
        <is>
          <t>qt→fl oz</t>
        </is>
      </c>
      <c r="B37" s="92" t="n">
        <v>32</v>
      </c>
      <c r="C37" t="inlineStr">
        <is>
          <t>1 qt = 32 fl oz</t>
        </is>
      </c>
    </row>
    <row r="38">
      <c r="A38" t="inlineStr">
        <is>
          <t>qt→tbsp</t>
        </is>
      </c>
      <c r="B38" s="92" t="n">
        <v>64</v>
      </c>
      <c r="C38" t="inlineStr">
        <is>
          <t>1 qt = 64 tbsp</t>
        </is>
      </c>
    </row>
    <row r="39">
      <c r="A39" t="inlineStr">
        <is>
          <t>qt→tsp</t>
        </is>
      </c>
      <c r="B39" s="92" t="n">
        <v>192</v>
      </c>
      <c r="C39" t="inlineStr">
        <is>
          <t>1 qt = 192 tsp</t>
        </is>
      </c>
    </row>
    <row r="40">
      <c r="A40" t="inlineStr">
        <is>
          <t>qt→L</t>
        </is>
      </c>
      <c r="B40" s="92" t="n">
        <v>0.946352946</v>
      </c>
      <c r="C40" t="inlineStr">
        <is>
          <t>1 qt = 0.9464 L</t>
        </is>
      </c>
    </row>
    <row r="41">
      <c r="A41" t="inlineStr">
        <is>
          <t>qt→ml</t>
        </is>
      </c>
      <c r="B41" s="92" t="n">
        <v>946.352946</v>
      </c>
      <c r="C41" t="inlineStr">
        <is>
          <t>1 qt = 946.35 ml</t>
        </is>
      </c>
    </row>
    <row r="42">
      <c r="A42" t="inlineStr">
        <is>
          <t>qt→cl</t>
        </is>
      </c>
      <c r="B42" s="92" t="n">
        <v>94.63529459999999</v>
      </c>
      <c r="C42" t="inlineStr">
        <is>
          <t>1 qt = 94.6353 cl</t>
        </is>
      </c>
    </row>
    <row r="43">
      <c r="A43" t="inlineStr">
        <is>
          <t>pt→pt</t>
        </is>
      </c>
      <c r="B43" s="92" t="n">
        <v>1</v>
      </c>
      <c r="C43" t="inlineStr">
        <is>
          <t>same unit (US pint = 16 fl oz; UK pint: use imp pt)</t>
        </is>
      </c>
    </row>
    <row r="44">
      <c r="A44" t="inlineStr">
        <is>
          <t>pt→gal</t>
        </is>
      </c>
      <c r="B44" s="92" t="n">
        <v>0.125</v>
      </c>
      <c r="C44" t="inlineStr">
        <is>
          <t>1 pt = 0.125 gal</t>
        </is>
      </c>
    </row>
    <row r="45">
      <c r="A45" t="inlineStr">
        <is>
          <t>pt→qt</t>
        </is>
      </c>
      <c r="B45" s="92" t="n">
        <v>0.5</v>
      </c>
      <c r="C45" t="inlineStr">
        <is>
          <t>1 pt = 0.5 qt</t>
        </is>
      </c>
    </row>
    <row r="46">
      <c r="A46" t="inlineStr">
        <is>
          <t>pt→imp pt</t>
        </is>
      </c>
      <c r="B46" s="92" t="n">
        <v>0.8326741846289889</v>
      </c>
      <c r="C46" t="inlineStr">
        <is>
          <t>1 pt = 0.8327 imp pt</t>
        </is>
      </c>
    </row>
    <row r="47">
      <c r="A47" t="inlineStr">
        <is>
          <t>pt→cup</t>
        </is>
      </c>
      <c r="B47" s="92" t="n">
        <v>2</v>
      </c>
      <c r="C47" t="inlineStr">
        <is>
          <t>1 pt = 2 cup</t>
        </is>
      </c>
    </row>
    <row r="48">
      <c r="A48" t="inlineStr">
        <is>
          <t>pt→fl oz</t>
        </is>
      </c>
      <c r="B48" s="92" t="n">
        <v>16</v>
      </c>
      <c r="C48" t="inlineStr">
        <is>
          <t>1 pt = 16 fl oz</t>
        </is>
      </c>
    </row>
    <row r="49">
      <c r="A49" t="inlineStr">
        <is>
          <t>pt→tbsp</t>
        </is>
      </c>
      <c r="B49" s="92" t="n">
        <v>32</v>
      </c>
      <c r="C49" t="inlineStr">
        <is>
          <t>1 pt = 32 tbsp</t>
        </is>
      </c>
    </row>
    <row r="50">
      <c r="A50" t="inlineStr">
        <is>
          <t>pt→tsp</t>
        </is>
      </c>
      <c r="B50" s="92" t="n">
        <v>96</v>
      </c>
      <c r="C50" t="inlineStr">
        <is>
          <t>1 pt = 96 tsp</t>
        </is>
      </c>
    </row>
    <row r="51">
      <c r="A51" t="inlineStr">
        <is>
          <t>pt→L</t>
        </is>
      </c>
      <c r="B51" s="92" t="n">
        <v>0.473176473</v>
      </c>
      <c r="C51" t="inlineStr">
        <is>
          <t>1 pt = 0.4732 L</t>
        </is>
      </c>
    </row>
    <row r="52">
      <c r="A52" t="inlineStr">
        <is>
          <t>pt→ml</t>
        </is>
      </c>
      <c r="B52" s="92" t="n">
        <v>473.176473</v>
      </c>
      <c r="C52" t="inlineStr">
        <is>
          <t>1 pt = 473.18 ml</t>
        </is>
      </c>
    </row>
    <row r="53">
      <c r="A53" t="inlineStr">
        <is>
          <t>pt→cl</t>
        </is>
      </c>
      <c r="B53" s="92" t="n">
        <v>47.3176473</v>
      </c>
      <c r="C53" t="inlineStr">
        <is>
          <t>1 pt = 47.3176 cl</t>
        </is>
      </c>
    </row>
    <row r="54">
      <c r="A54" t="inlineStr">
        <is>
          <t>imp pt→imp pt</t>
        </is>
      </c>
      <c r="B54" s="92" t="n">
        <v>1</v>
      </c>
      <c r="C54" t="inlineStr">
        <is>
          <t>same unit (imperial pint = 568 ml; US pint = 473 ml)</t>
        </is>
      </c>
    </row>
    <row r="55">
      <c r="A55" t="inlineStr">
        <is>
          <t>imp pt→gal</t>
        </is>
      </c>
      <c r="B55" s="92" t="n">
        <v>0.1501187406881069</v>
      </c>
      <c r="C55" t="inlineStr">
        <is>
          <t>1 imp pt = 0.1501 gal</t>
        </is>
      </c>
    </row>
    <row r="56">
      <c r="A56" t="inlineStr">
        <is>
          <t>imp pt→qt</t>
        </is>
      </c>
      <c r="B56" s="92" t="n">
        <v>0.6004749627524275</v>
      </c>
      <c r="C56" t="inlineStr">
        <is>
          <t>1 imp pt = 0.6005 qt</t>
        </is>
      </c>
    </row>
    <row r="57">
      <c r="A57" t="inlineStr">
        <is>
          <t>imp pt→pt</t>
        </is>
      </c>
      <c r="B57" s="92" t="n">
        <v>1.200949925504855</v>
      </c>
      <c r="C57" t="inlineStr">
        <is>
          <t>1 imp pt = 1.2009 pt</t>
        </is>
      </c>
    </row>
    <row r="58">
      <c r="A58" t="inlineStr">
        <is>
          <t>imp pt→cup</t>
        </is>
      </c>
      <c r="B58" s="92" t="n">
        <v>2.40189985100971</v>
      </c>
      <c r="C58" t="inlineStr">
        <is>
          <t>1 imp pt = 2.4019 cup</t>
        </is>
      </c>
    </row>
    <row r="59">
      <c r="A59" t="inlineStr">
        <is>
          <t>imp pt→fl oz</t>
        </is>
      </c>
      <c r="B59" s="92" t="n">
        <v>19.21519880807768</v>
      </c>
      <c r="C59" t="inlineStr">
        <is>
          <t>1 imp pt = 19.2152 fl oz</t>
        </is>
      </c>
    </row>
    <row r="60">
      <c r="A60" t="inlineStr">
        <is>
          <t>imp pt→tbsp</t>
        </is>
      </c>
      <c r="B60" s="92" t="n">
        <v>38.43039761615536</v>
      </c>
      <c r="C60" t="inlineStr">
        <is>
          <t>1 imp pt = 38.4304 tbsp</t>
        </is>
      </c>
    </row>
    <row r="61">
      <c r="A61" t="inlineStr">
        <is>
          <t>imp pt→tsp</t>
        </is>
      </c>
      <c r="B61" s="92" t="n">
        <v>115.2911928484661</v>
      </c>
      <c r="C61" t="inlineStr">
        <is>
          <t>1 imp pt = 115.29 tsp</t>
        </is>
      </c>
    </row>
    <row r="62">
      <c r="A62" t="inlineStr">
        <is>
          <t>imp pt→L</t>
        </is>
      </c>
      <c r="B62" s="92" t="n">
        <v>0.5682612500000001</v>
      </c>
      <c r="C62" t="inlineStr">
        <is>
          <t>1 imp pt = 0.5683 L</t>
        </is>
      </c>
    </row>
    <row r="63">
      <c r="A63" t="inlineStr">
        <is>
          <t>imp pt→ml</t>
        </is>
      </c>
      <c r="B63" s="92" t="n">
        <v>568.26125</v>
      </c>
      <c r="C63" t="inlineStr">
        <is>
          <t>1 imp pt = 568.26 ml</t>
        </is>
      </c>
    </row>
    <row r="64">
      <c r="A64" t="inlineStr">
        <is>
          <t>imp pt→cl</t>
        </is>
      </c>
      <c r="B64" s="92" t="n">
        <v>56.826125</v>
      </c>
      <c r="C64" t="inlineStr">
        <is>
          <t>1 imp pt = 56.8261 cl</t>
        </is>
      </c>
    </row>
    <row r="65">
      <c r="A65" t="inlineStr">
        <is>
          <t>cup→cup</t>
        </is>
      </c>
      <c r="B65" s="92" t="n">
        <v>1</v>
      </c>
      <c r="C65" t="inlineStr">
        <is>
          <t>same unit (volume: pro kitchens weigh dry goods; weigh one cup once)</t>
        </is>
      </c>
    </row>
    <row r="66">
      <c r="A66" t="inlineStr">
        <is>
          <t>cup→gal</t>
        </is>
      </c>
      <c r="B66" s="92" t="n">
        <v>0.0625</v>
      </c>
      <c r="C66" t="inlineStr">
        <is>
          <t>1 cup = 0.0625 gal</t>
        </is>
      </c>
    </row>
    <row r="67">
      <c r="A67" t="inlineStr">
        <is>
          <t>cup→qt</t>
        </is>
      </c>
      <c r="B67" s="92" t="n">
        <v>0.25</v>
      </c>
      <c r="C67" t="inlineStr">
        <is>
          <t>1 cup = 0.25 qt</t>
        </is>
      </c>
    </row>
    <row r="68">
      <c r="A68" t="inlineStr">
        <is>
          <t>cup→pt</t>
        </is>
      </c>
      <c r="B68" s="92" t="n">
        <v>0.5</v>
      </c>
      <c r="C68" t="inlineStr">
        <is>
          <t>1 cup = 0.5 pt</t>
        </is>
      </c>
    </row>
    <row r="69">
      <c r="A69" t="inlineStr">
        <is>
          <t>cup→imp pt</t>
        </is>
      </c>
      <c r="B69" s="92" t="n">
        <v>0.4163370923144945</v>
      </c>
      <c r="C69" t="inlineStr">
        <is>
          <t>1 cup = 0.4163 imp pt</t>
        </is>
      </c>
    </row>
    <row r="70">
      <c r="A70" t="inlineStr">
        <is>
          <t>cup→fl oz</t>
        </is>
      </c>
      <c r="B70" s="92" t="n">
        <v>8</v>
      </c>
      <c r="C70" t="inlineStr">
        <is>
          <t>1 cup = 8 fl oz</t>
        </is>
      </c>
    </row>
    <row r="71">
      <c r="A71" t="inlineStr">
        <is>
          <t>cup→tbsp</t>
        </is>
      </c>
      <c r="B71" s="92" t="n">
        <v>16</v>
      </c>
      <c r="C71" t="inlineStr">
        <is>
          <t>1 cup = 16 tbsp</t>
        </is>
      </c>
    </row>
    <row r="72">
      <c r="A72" t="inlineStr">
        <is>
          <t>cup→tsp</t>
        </is>
      </c>
      <c r="B72" s="92" t="n">
        <v>48</v>
      </c>
      <c r="C72" t="inlineStr">
        <is>
          <t>1 cup = 48 tsp</t>
        </is>
      </c>
    </row>
    <row r="73">
      <c r="A73" t="inlineStr">
        <is>
          <t>cup→L</t>
        </is>
      </c>
      <c r="B73" s="92" t="n">
        <v>0.2365882365</v>
      </c>
      <c r="C73" t="inlineStr">
        <is>
          <t>1 cup = 0.2366 L</t>
        </is>
      </c>
    </row>
    <row r="74">
      <c r="A74" t="inlineStr">
        <is>
          <t>cup→ml</t>
        </is>
      </c>
      <c r="B74" s="92" t="n">
        <v>236.5882365</v>
      </c>
      <c r="C74" t="inlineStr">
        <is>
          <t>1 cup = 236.59 ml</t>
        </is>
      </c>
    </row>
    <row r="75">
      <c r="A75" t="inlineStr">
        <is>
          <t>cup→cl</t>
        </is>
      </c>
      <c r="B75" s="92" t="n">
        <v>23.65882365</v>
      </c>
      <c r="C75" t="inlineStr">
        <is>
          <t>1 cup = 23.6588 cl</t>
        </is>
      </c>
    </row>
    <row r="76">
      <c r="A76" t="inlineStr">
        <is>
          <t>fl oz→fl oz</t>
        </is>
      </c>
      <c r="B76" s="92" t="n">
        <v>1</v>
      </c>
      <c r="C76" t="inlineStr">
        <is>
          <t>same unit (fl oz = volume; oz = weight)</t>
        </is>
      </c>
    </row>
    <row r="77">
      <c r="A77" t="inlineStr">
        <is>
          <t>fl oz→gal</t>
        </is>
      </c>
      <c r="B77" s="92" t="n">
        <v>0.0078125</v>
      </c>
      <c r="C77" t="inlineStr">
        <is>
          <t>1 fl oz = 0.007812 gal</t>
        </is>
      </c>
    </row>
    <row r="78">
      <c r="A78" t="inlineStr">
        <is>
          <t>fl oz→qt</t>
        </is>
      </c>
      <c r="B78" s="92" t="n">
        <v>0.03125</v>
      </c>
      <c r="C78" t="inlineStr">
        <is>
          <t>1 fl oz = 0.0312 qt</t>
        </is>
      </c>
    </row>
    <row r="79">
      <c r="A79" t="inlineStr">
        <is>
          <t>fl oz→pt</t>
        </is>
      </c>
      <c r="B79" s="92" t="n">
        <v>0.0625</v>
      </c>
      <c r="C79" t="inlineStr">
        <is>
          <t>1 fl oz = 0.0625 pt</t>
        </is>
      </c>
    </row>
    <row r="80">
      <c r="A80" t="inlineStr">
        <is>
          <t>fl oz→imp pt</t>
        </is>
      </c>
      <c r="B80" s="92" t="n">
        <v>0.05204213653931181</v>
      </c>
      <c r="C80" t="inlineStr">
        <is>
          <t>1 fl oz = 0.052 imp pt</t>
        </is>
      </c>
    </row>
    <row r="81">
      <c r="A81" t="inlineStr">
        <is>
          <t>fl oz→cup</t>
        </is>
      </c>
      <c r="B81" s="92" t="n">
        <v>0.125</v>
      </c>
      <c r="C81" t="inlineStr">
        <is>
          <t>1 fl oz = 0.125 cup</t>
        </is>
      </c>
    </row>
    <row r="82">
      <c r="A82" t="inlineStr">
        <is>
          <t>fl oz→tbsp</t>
        </is>
      </c>
      <c r="B82" s="92" t="n">
        <v>2</v>
      </c>
      <c r="C82" t="inlineStr">
        <is>
          <t>1 fl oz = 2 tbsp</t>
        </is>
      </c>
    </row>
    <row r="83">
      <c r="A83" t="inlineStr">
        <is>
          <t>fl oz→tsp</t>
        </is>
      </c>
      <c r="B83" s="92" t="n">
        <v>6</v>
      </c>
      <c r="C83" t="inlineStr">
        <is>
          <t>1 fl oz = 6 tsp</t>
        </is>
      </c>
    </row>
    <row r="84">
      <c r="A84" t="inlineStr">
        <is>
          <t>fl oz→L</t>
        </is>
      </c>
      <c r="B84" s="92" t="n">
        <v>0.0295735295625</v>
      </c>
      <c r="C84" t="inlineStr">
        <is>
          <t>1 fl oz = 0.0296 L</t>
        </is>
      </c>
    </row>
    <row r="85">
      <c r="A85" t="inlineStr">
        <is>
          <t>fl oz→ml</t>
        </is>
      </c>
      <c r="B85" s="92" t="n">
        <v>29.5735295625</v>
      </c>
      <c r="C85" t="inlineStr">
        <is>
          <t>1 fl oz = 29.5735 ml</t>
        </is>
      </c>
    </row>
    <row r="86">
      <c r="A86" t="inlineStr">
        <is>
          <t>fl oz→cl</t>
        </is>
      </c>
      <c r="B86" s="92" t="n">
        <v>2.95735295625</v>
      </c>
      <c r="C86" t="inlineStr">
        <is>
          <t>1 fl oz = 2.9574 cl</t>
        </is>
      </c>
    </row>
    <row r="87">
      <c r="A87" t="inlineStr">
        <is>
          <t>tbsp→tbsp</t>
        </is>
      </c>
      <c r="B87" s="92" t="n">
        <v>1</v>
      </c>
      <c r="C87" t="inlineStr">
        <is>
          <t>same unit</t>
        </is>
      </c>
    </row>
    <row r="88">
      <c r="A88" t="inlineStr">
        <is>
          <t>tbsp→gal</t>
        </is>
      </c>
      <c r="B88" s="92" t="n">
        <v>0.00390625</v>
      </c>
      <c r="C88" t="inlineStr">
        <is>
          <t>1 tbsp = 0.003906 gal</t>
        </is>
      </c>
    </row>
    <row r="89">
      <c r="A89" t="inlineStr">
        <is>
          <t>tbsp→qt</t>
        </is>
      </c>
      <c r="B89" s="92" t="n">
        <v>0.015625</v>
      </c>
      <c r="C89" t="inlineStr">
        <is>
          <t>1 tbsp = 0.0156 qt</t>
        </is>
      </c>
    </row>
    <row r="90">
      <c r="A90" t="inlineStr">
        <is>
          <t>tbsp→pt</t>
        </is>
      </c>
      <c r="B90" s="92" t="n">
        <v>0.03125</v>
      </c>
      <c r="C90" t="inlineStr">
        <is>
          <t>1 tbsp = 0.0312 pt</t>
        </is>
      </c>
    </row>
    <row r="91">
      <c r="A91" t="inlineStr">
        <is>
          <t>tbsp→imp pt</t>
        </is>
      </c>
      <c r="B91" s="92" t="n">
        <v>0.0260210682696559</v>
      </c>
      <c r="C91" t="inlineStr">
        <is>
          <t>1 tbsp = 0.026 imp pt</t>
        </is>
      </c>
    </row>
    <row r="92">
      <c r="A92" t="inlineStr">
        <is>
          <t>tbsp→cup</t>
        </is>
      </c>
      <c r="B92" s="92" t="n">
        <v>0.0625</v>
      </c>
      <c r="C92" t="inlineStr">
        <is>
          <t>1 tbsp = 0.0625 cup</t>
        </is>
      </c>
    </row>
    <row r="93">
      <c r="A93" t="inlineStr">
        <is>
          <t>tbsp→fl oz</t>
        </is>
      </c>
      <c r="B93" s="92" t="n">
        <v>0.5</v>
      </c>
      <c r="C93" t="inlineStr">
        <is>
          <t>1 tbsp = 0.5 fl oz</t>
        </is>
      </c>
    </row>
    <row r="94">
      <c r="A94" t="inlineStr">
        <is>
          <t>tbsp→tsp</t>
        </is>
      </c>
      <c r="B94" s="92" t="n">
        <v>3</v>
      </c>
      <c r="C94" t="inlineStr">
        <is>
          <t>1 tbsp = 3 tsp</t>
        </is>
      </c>
    </row>
    <row r="95">
      <c r="A95" t="inlineStr">
        <is>
          <t>tbsp→L</t>
        </is>
      </c>
      <c r="B95" s="92" t="n">
        <v>0.01478676478125</v>
      </c>
      <c r="C95" t="inlineStr">
        <is>
          <t>1 tbsp = 0.0148 L</t>
        </is>
      </c>
    </row>
    <row r="96">
      <c r="A96" t="inlineStr">
        <is>
          <t>tbsp→ml</t>
        </is>
      </c>
      <c r="B96" s="92" t="n">
        <v>14.78676478125</v>
      </c>
      <c r="C96" t="inlineStr">
        <is>
          <t>1 tbsp = 14.7868 ml</t>
        </is>
      </c>
    </row>
    <row r="97">
      <c r="A97" t="inlineStr">
        <is>
          <t>tbsp→cl</t>
        </is>
      </c>
      <c r="B97" s="92" t="n">
        <v>1.478676478125</v>
      </c>
      <c r="C97" t="inlineStr">
        <is>
          <t>1 tbsp = 1.4787 cl</t>
        </is>
      </c>
    </row>
    <row r="98">
      <c r="A98" t="inlineStr">
        <is>
          <t>tsp→tsp</t>
        </is>
      </c>
      <c r="B98" s="92" t="n">
        <v>1</v>
      </c>
      <c r="C98" t="inlineStr">
        <is>
          <t>same unit</t>
        </is>
      </c>
    </row>
    <row r="99">
      <c r="A99" t="inlineStr">
        <is>
          <t>tsp→gal</t>
        </is>
      </c>
      <c r="B99" s="92" t="n">
        <v>0.001302083333333333</v>
      </c>
      <c r="C99" t="inlineStr">
        <is>
          <t>1 tsp = 0.001302 gal</t>
        </is>
      </c>
    </row>
    <row r="100">
      <c r="A100" t="inlineStr">
        <is>
          <t>tsp→qt</t>
        </is>
      </c>
      <c r="B100" s="92" t="n">
        <v>0.005208333333333333</v>
      </c>
      <c r="C100" t="inlineStr">
        <is>
          <t>1 tsp = 0.005208 qt</t>
        </is>
      </c>
    </row>
    <row r="101">
      <c r="A101" t="inlineStr">
        <is>
          <t>tsp→pt</t>
        </is>
      </c>
      <c r="B101" s="92" t="n">
        <v>0.01041666666666667</v>
      </c>
      <c r="C101" t="inlineStr">
        <is>
          <t>1 tsp = 0.0104 pt</t>
        </is>
      </c>
    </row>
    <row r="102">
      <c r="A102" t="inlineStr">
        <is>
          <t>tsp→imp pt</t>
        </is>
      </c>
      <c r="B102" s="92" t="n">
        <v>0.008673689423218634</v>
      </c>
      <c r="C102" t="inlineStr">
        <is>
          <t>1 tsp = 0.008674 imp pt</t>
        </is>
      </c>
    </row>
    <row r="103">
      <c r="A103" t="inlineStr">
        <is>
          <t>tsp→cup</t>
        </is>
      </c>
      <c r="B103" s="92" t="n">
        <v>0.02083333333333333</v>
      </c>
      <c r="C103" t="inlineStr">
        <is>
          <t>1 tsp = 0.0208 cup</t>
        </is>
      </c>
    </row>
    <row r="104">
      <c r="A104" t="inlineStr">
        <is>
          <t>tsp→fl oz</t>
        </is>
      </c>
      <c r="B104" s="92" t="n">
        <v>0.1666666666666667</v>
      </c>
      <c r="C104" t="inlineStr">
        <is>
          <t>1 tsp = 0.1667 fl oz</t>
        </is>
      </c>
    </row>
    <row r="105">
      <c r="A105" t="inlineStr">
        <is>
          <t>tsp→tbsp</t>
        </is>
      </c>
      <c r="B105" s="92" t="n">
        <v>0.3333333333333333</v>
      </c>
      <c r="C105" t="inlineStr">
        <is>
          <t>1 tsp = 0.3333 tbsp</t>
        </is>
      </c>
    </row>
    <row r="106">
      <c r="A106" t="inlineStr">
        <is>
          <t>tsp→L</t>
        </is>
      </c>
      <c r="B106" s="92" t="n">
        <v>0.00492892159375</v>
      </c>
      <c r="C106" t="inlineStr">
        <is>
          <t>1 tsp = 0.004929 L</t>
        </is>
      </c>
    </row>
    <row r="107">
      <c r="A107" t="inlineStr">
        <is>
          <t>tsp→ml</t>
        </is>
      </c>
      <c r="B107" s="92" t="n">
        <v>4.92892159375</v>
      </c>
      <c r="C107" t="inlineStr">
        <is>
          <t>1 tsp = 4.9289 ml</t>
        </is>
      </c>
    </row>
    <row r="108">
      <c r="A108" t="inlineStr">
        <is>
          <t>tsp→cl</t>
        </is>
      </c>
      <c r="B108" s="92" t="n">
        <v>0.492892159375</v>
      </c>
      <c r="C108" t="inlineStr">
        <is>
          <t>1 tsp = 0.4929 cl</t>
        </is>
      </c>
    </row>
    <row r="109">
      <c r="A109" t="inlineStr">
        <is>
          <t>L→L</t>
        </is>
      </c>
      <c r="B109" s="92" t="n">
        <v>1</v>
      </c>
      <c r="C109" t="inlineStr">
        <is>
          <t>same unit</t>
        </is>
      </c>
    </row>
    <row r="110">
      <c r="A110" t="inlineStr">
        <is>
          <t>L→gal</t>
        </is>
      </c>
      <c r="B110" s="92" t="n">
        <v>0.2641720523581484</v>
      </c>
      <c r="C110" t="inlineStr">
        <is>
          <t>1 L = 0.2642 gal</t>
        </is>
      </c>
    </row>
    <row r="111">
      <c r="A111" t="inlineStr">
        <is>
          <t>L→qt</t>
        </is>
      </c>
      <c r="B111" s="92" t="n">
        <v>1.056688209432594</v>
      </c>
      <c r="C111" t="inlineStr">
        <is>
          <t>1 L = 1.0567 qt</t>
        </is>
      </c>
    </row>
    <row r="112">
      <c r="A112" t="inlineStr">
        <is>
          <t>L→pt</t>
        </is>
      </c>
      <c r="B112" s="92" t="n">
        <v>2.113376418865187</v>
      </c>
      <c r="C112" t="inlineStr">
        <is>
          <t>1 L = 2.1134 pt</t>
        </is>
      </c>
    </row>
    <row r="113">
      <c r="A113" t="inlineStr">
        <is>
          <t>L→imp pt</t>
        </is>
      </c>
      <c r="B113" s="92" t="n">
        <v>1.759753986392702</v>
      </c>
      <c r="C113" t="inlineStr">
        <is>
          <t>1 L = 1.7598 imp pt</t>
        </is>
      </c>
    </row>
    <row r="114">
      <c r="A114" t="inlineStr">
        <is>
          <t>L→cup</t>
        </is>
      </c>
      <c r="B114" s="92" t="n">
        <v>4.226752837730374</v>
      </c>
      <c r="C114" t="inlineStr">
        <is>
          <t>1 L = 4.2268 cup</t>
        </is>
      </c>
    </row>
    <row r="115">
      <c r="A115" t="inlineStr">
        <is>
          <t>L→fl oz</t>
        </is>
      </c>
      <c r="B115" s="92" t="n">
        <v>33.81402270184299</v>
      </c>
      <c r="C115" t="inlineStr">
        <is>
          <t>1 L = 33.814 fl oz</t>
        </is>
      </c>
    </row>
    <row r="116">
      <c r="A116" t="inlineStr">
        <is>
          <t>L→tbsp</t>
        </is>
      </c>
      <c r="B116" s="92" t="n">
        <v>67.62804540368599</v>
      </c>
      <c r="C116" t="inlineStr">
        <is>
          <t>1 L = 67.628 tbsp</t>
        </is>
      </c>
    </row>
    <row r="117">
      <c r="A117" t="inlineStr">
        <is>
          <t>L→tsp</t>
        </is>
      </c>
      <c r="B117" s="92" t="n">
        <v>202.884136211058</v>
      </c>
      <c r="C117" t="inlineStr">
        <is>
          <t>1 L = 202.88 tsp</t>
        </is>
      </c>
    </row>
    <row r="118">
      <c r="A118" t="inlineStr">
        <is>
          <t>L→ml</t>
        </is>
      </c>
      <c r="B118" s="92" t="n">
        <v>1000</v>
      </c>
      <c r="C118" t="inlineStr">
        <is>
          <t>1 L = 1,000 ml</t>
        </is>
      </c>
    </row>
    <row r="119">
      <c r="A119" t="inlineStr">
        <is>
          <t>L→cl</t>
        </is>
      </c>
      <c r="B119" s="92" t="n">
        <v>100</v>
      </c>
      <c r="C119" t="inlineStr">
        <is>
          <t>1 L = 100 cl</t>
        </is>
      </c>
    </row>
    <row r="120">
      <c r="A120" t="inlineStr">
        <is>
          <t>ml→ml</t>
        </is>
      </c>
      <c r="B120" s="92" t="n">
        <v>1</v>
      </c>
      <c r="C120" t="inlineStr">
        <is>
          <t>same unit</t>
        </is>
      </c>
    </row>
    <row r="121">
      <c r="A121" t="inlineStr">
        <is>
          <t>ml→gal</t>
        </is>
      </c>
      <c r="B121" s="92" t="n">
        <v>0.0002641720523581484</v>
      </c>
      <c r="C121" t="inlineStr">
        <is>
          <t>1 ml = 0.000264 gal</t>
        </is>
      </c>
    </row>
    <row r="122">
      <c r="A122" t="inlineStr">
        <is>
          <t>ml→qt</t>
        </is>
      </c>
      <c r="B122" s="92" t="n">
        <v>0.001056688209432594</v>
      </c>
      <c r="C122" t="inlineStr">
        <is>
          <t>1 ml = 0.001057 qt</t>
        </is>
      </c>
    </row>
    <row r="123">
      <c r="A123" t="inlineStr">
        <is>
          <t>ml→pt</t>
        </is>
      </c>
      <c r="B123" s="92" t="n">
        <v>0.002113376418865187</v>
      </c>
      <c r="C123" t="inlineStr">
        <is>
          <t>1 ml = 0.002113 pt</t>
        </is>
      </c>
    </row>
    <row r="124">
      <c r="A124" t="inlineStr">
        <is>
          <t>ml→imp pt</t>
        </is>
      </c>
      <c r="B124" s="92" t="n">
        <v>0.001759753986392702</v>
      </c>
      <c r="C124" t="inlineStr">
        <is>
          <t>1 ml = 0.00176 imp pt</t>
        </is>
      </c>
    </row>
    <row r="125">
      <c r="A125" t="inlineStr">
        <is>
          <t>ml→cup</t>
        </is>
      </c>
      <c r="B125" s="92" t="n">
        <v>0.004226752837730375</v>
      </c>
      <c r="C125" t="inlineStr">
        <is>
          <t>1 ml = 0.004227 cup</t>
        </is>
      </c>
    </row>
    <row r="126">
      <c r="A126" t="inlineStr">
        <is>
          <t>ml→fl oz</t>
        </is>
      </c>
      <c r="B126" s="92" t="n">
        <v>0.033814022701843</v>
      </c>
      <c r="C126" t="inlineStr">
        <is>
          <t>1 ml = 0.0338 fl oz</t>
        </is>
      </c>
    </row>
    <row r="127">
      <c r="A127" t="inlineStr">
        <is>
          <t>ml→tbsp</t>
        </is>
      </c>
      <c r="B127" s="92" t="n">
        <v>0.067628045403686</v>
      </c>
      <c r="C127" t="inlineStr">
        <is>
          <t>1 ml = 0.0676 tbsp</t>
        </is>
      </c>
    </row>
    <row r="128">
      <c r="A128" t="inlineStr">
        <is>
          <t>ml→tsp</t>
        </is>
      </c>
      <c r="B128" s="92" t="n">
        <v>0.202884136211058</v>
      </c>
      <c r="C128" t="inlineStr">
        <is>
          <t>1 ml = 0.2029 tsp</t>
        </is>
      </c>
    </row>
    <row r="129">
      <c r="A129" t="inlineStr">
        <is>
          <t>ml→L</t>
        </is>
      </c>
      <c r="B129" s="92" t="n">
        <v>0.001</v>
      </c>
      <c r="C129" t="inlineStr">
        <is>
          <t>1 ml = 0.001 L</t>
        </is>
      </c>
    </row>
    <row r="130">
      <c r="A130" t="inlineStr">
        <is>
          <t>ml→cl</t>
        </is>
      </c>
      <c r="B130" s="92" t="n">
        <v>0.1</v>
      </c>
      <c r="C130" t="inlineStr">
        <is>
          <t>1 ml = 0.1 cl</t>
        </is>
      </c>
    </row>
    <row r="131">
      <c r="A131" t="inlineStr">
        <is>
          <t>cl→cl</t>
        </is>
      </c>
      <c r="B131" s="92" t="n">
        <v>1</v>
      </c>
      <c r="C131" t="inlineStr">
        <is>
          <t>same unit</t>
        </is>
      </c>
    </row>
    <row r="132">
      <c r="A132" t="inlineStr">
        <is>
          <t>cl→gal</t>
        </is>
      </c>
      <c r="B132" s="92" t="n">
        <v>0.002641720523581484</v>
      </c>
      <c r="C132" t="inlineStr">
        <is>
          <t>1 cl = 0.002642 gal</t>
        </is>
      </c>
    </row>
    <row r="133">
      <c r="A133" t="inlineStr">
        <is>
          <t>cl→qt</t>
        </is>
      </c>
      <c r="B133" s="92" t="n">
        <v>0.01056688209432594</v>
      </c>
      <c r="C133" t="inlineStr">
        <is>
          <t>1 cl = 0.0106 qt</t>
        </is>
      </c>
    </row>
    <row r="134">
      <c r="A134" t="inlineStr">
        <is>
          <t>cl→pt</t>
        </is>
      </c>
      <c r="B134" s="92" t="n">
        <v>0.02113376418865187</v>
      </c>
      <c r="C134" t="inlineStr">
        <is>
          <t>1 cl = 0.0211 pt</t>
        </is>
      </c>
    </row>
    <row r="135">
      <c r="A135" t="inlineStr">
        <is>
          <t>cl→imp pt</t>
        </is>
      </c>
      <c r="B135" s="92" t="n">
        <v>0.01759753986392702</v>
      </c>
      <c r="C135" t="inlineStr">
        <is>
          <t>1 cl = 0.0176 imp pt</t>
        </is>
      </c>
    </row>
    <row r="136">
      <c r="A136" t="inlineStr">
        <is>
          <t>cl→cup</t>
        </is>
      </c>
      <c r="B136" s="92" t="n">
        <v>0.04226752837730375</v>
      </c>
      <c r="C136" t="inlineStr">
        <is>
          <t>1 cl = 0.0423 cup</t>
        </is>
      </c>
    </row>
    <row r="137">
      <c r="A137" t="inlineStr">
        <is>
          <t>cl→fl oz</t>
        </is>
      </c>
      <c r="B137" s="92" t="n">
        <v>0.33814022701843</v>
      </c>
      <c r="C137" t="inlineStr">
        <is>
          <t>1 cl = 0.3381 fl oz</t>
        </is>
      </c>
    </row>
    <row r="138">
      <c r="A138" t="inlineStr">
        <is>
          <t>cl→tbsp</t>
        </is>
      </c>
      <c r="B138" s="92" t="n">
        <v>0.67628045403686</v>
      </c>
      <c r="C138" t="inlineStr">
        <is>
          <t>1 cl = 0.6763 tbsp</t>
        </is>
      </c>
    </row>
    <row r="139">
      <c r="A139" t="inlineStr">
        <is>
          <t>cl→tsp</t>
        </is>
      </c>
      <c r="B139" s="92" t="n">
        <v>2.02884136211058</v>
      </c>
      <c r="C139" t="inlineStr">
        <is>
          <t>1 cl = 2.0288 tsp</t>
        </is>
      </c>
    </row>
    <row r="140">
      <c r="A140" t="inlineStr">
        <is>
          <t>cl→L</t>
        </is>
      </c>
      <c r="B140" s="92" t="n">
        <v>0.01</v>
      </c>
      <c r="C140" t="inlineStr">
        <is>
          <t>1 cl = 0.01 L</t>
        </is>
      </c>
    </row>
    <row r="141">
      <c r="A141" t="inlineStr">
        <is>
          <t>cl→ml</t>
        </is>
      </c>
      <c r="B141" s="92" t="n">
        <v>10</v>
      </c>
      <c r="C141" t="inlineStr">
        <is>
          <t>1 cl = 10 ml</t>
        </is>
      </c>
    </row>
    <row r="142">
      <c r="A142" t="inlineStr">
        <is>
          <t>each→each</t>
        </is>
      </c>
      <c r="B142" s="92" t="n">
        <v>1</v>
      </c>
      <c r="C142" t="inlineStr">
        <is>
          <t>same unit</t>
        </is>
      </c>
    </row>
    <row r="143">
      <c r="A143" t="inlineStr">
        <is>
          <t>each→dozen</t>
        </is>
      </c>
      <c r="B143" s="92" t="n">
        <v>0.08333333333333333</v>
      </c>
      <c r="C143" t="inlineStr">
        <is>
          <t>1 each = 0.0833 dozen</t>
        </is>
      </c>
    </row>
    <row r="144">
      <c r="A144" t="inlineStr">
        <is>
          <t>dozen→dozen</t>
        </is>
      </c>
      <c r="B144" s="92" t="n">
        <v>1</v>
      </c>
      <c r="C144" t="inlineStr">
        <is>
          <t>same unit</t>
        </is>
      </c>
    </row>
    <row r="145">
      <c r="A145" t="inlineStr">
        <is>
          <t>dozen→each</t>
        </is>
      </c>
      <c r="B145" s="92" t="n">
        <v>12</v>
      </c>
      <c r="C145" t="inlineStr">
        <is>
          <t>1 dozen = 12 each</t>
        </is>
      </c>
    </row>
    <row r="146">
      <c r="A146" t="inlineStr">
        <is>
          <t>bottle→bottle</t>
        </is>
      </c>
      <c r="B146" s="92" t="n">
        <v>1</v>
      </c>
      <c r="C146" t="inlineStr">
        <is>
          <t>same unit (bought and used as one bottle)</t>
        </is>
      </c>
    </row>
    <row r="147">
      <c r="A147" t="inlineStr">
        <is>
          <t>bottle→ml</t>
        </is>
      </c>
      <c r="B147" s="93" t="n">
        <v>750</v>
      </c>
      <c r="C147" t="inlineStr">
        <is>
          <t>bottle size in ml: 750 (US wine &amp; spirits). UK spirits: type 700 here — edit only this cell</t>
        </is>
      </c>
    </row>
    <row r="148">
      <c r="A148" t="inlineStr">
        <is>
          <t>bottle→fl oz</t>
        </is>
      </c>
      <c r="B148" s="92">
        <f>IF(AND(ISNUMBER(B147),B147&gt;0),B147/29.5735295625,"?")</f>
        <v>25.360517026382247</v>
      </c>
      <c r="C148" t="inlineStr">
        <is>
          <t>from the bottle size in ml (row 147)</t>
        </is>
      </c>
    </row>
    <row r="149">
      <c r="A149" t="inlineStr">
        <is>
          <t>bottle→cl</t>
        </is>
      </c>
      <c r="B149" s="92">
        <f>IF(AND(ISNUMBER(B147),B147&gt;0),B147/10,"?")</f>
        <v>75.0</v>
      </c>
      <c r="C149" t="inlineStr">
        <is>
          <t>from the bottle size in ml (row 147)</t>
        </is>
      </c>
    </row>
    <row r="150">
      <c r="A150" t="inlineStr">
        <is>
          <t>bottle→L</t>
        </is>
      </c>
      <c r="B150" s="92">
        <f>IF(AND(ISNUMBER(B147),B147&gt;0),B147/1000,"?")</f>
        <v>0.75</v>
      </c>
      <c r="C150" t="inlineStr">
        <is>
          <t>from the bottle size in ml (row 147)</t>
        </is>
      </c>
    </row>
    <row r="151">
      <c r="A151" t="inlineStr">
        <is>
          <t>bottle→each</t>
        </is>
      </c>
      <c r="B151" s="92" t="n">
        <v>1</v>
      </c>
      <c r="C151" t="inlineStr">
        <is>
          <t>one bottle counted as one unit</t>
        </is>
      </c>
    </row>
    <row r="152">
      <c r="A152" t="inlineStr">
        <is>
          <t>can→can</t>
        </is>
      </c>
      <c r="B152" s="92" t="n">
        <v>1</v>
      </c>
      <c r="C152" t="inlineStr">
        <is>
          <t>same unit (bought and used as one can)</t>
        </is>
      </c>
    </row>
    <row r="153">
      <c r="A153" t="inlineStr">
        <is>
          <t>can→ml</t>
        </is>
      </c>
      <c r="B153" s="93" t="n">
        <v>355</v>
      </c>
      <c r="C153" t="inlineStr">
        <is>
          <t>beverage can 12 fl oz = 355 ml (UK: 330). Edit only this cell. For #10 food cans buy in oz</t>
        </is>
      </c>
    </row>
    <row r="154">
      <c r="A154" t="inlineStr">
        <is>
          <t>can→fl oz</t>
        </is>
      </c>
      <c r="B154" s="92">
        <f>IF(AND(ISNUMBER(B153),B153&gt;0),B153/29.5735295625,"?")</f>
        <v>12.003978059154264</v>
      </c>
      <c r="C154" t="inlineStr">
        <is>
          <t>from the can size in ml (row 153)</t>
        </is>
      </c>
    </row>
    <row r="155">
      <c r="A155" t="inlineStr">
        <is>
          <t>can→cl</t>
        </is>
      </c>
      <c r="B155" s="92">
        <f>IF(AND(ISNUMBER(B153),B153&gt;0),B153/10,"?")</f>
        <v>35.5</v>
      </c>
      <c r="C155" t="inlineStr">
        <is>
          <t>from the can size in ml (row 153)</t>
        </is>
      </c>
    </row>
    <row r="156">
      <c r="A156" t="inlineStr">
        <is>
          <t>can→L</t>
        </is>
      </c>
      <c r="B156" s="92">
        <f>IF(AND(ISNUMBER(B153),B153&gt;0),B153/1000,"?")</f>
        <v>0.355</v>
      </c>
      <c r="C156" t="inlineStr">
        <is>
          <t>from the can size in ml (row 153)</t>
        </is>
      </c>
    </row>
    <row r="157">
      <c r="A157" t="inlineStr">
        <is>
          <t>can→each</t>
        </is>
      </c>
      <c r="B157" s="92" t="n">
        <v>1</v>
      </c>
      <c r="C157" t="inlineStr">
        <is>
          <t>one can counted as one unit</t>
        </is>
      </c>
    </row>
    <row r="158">
      <c r="A158" t="inlineStr">
        <is>
          <t>bunch→bunch</t>
        </is>
      </c>
      <c r="B158" s="92" t="n">
        <v>1</v>
      </c>
      <c r="C158" t="inlineStr">
        <is>
          <t>same unit (bought and used as one bunch)</t>
        </is>
      </c>
    </row>
    <row r="159">
      <c r="A159" t="inlineStr">
        <is>
          <t>bunch→each</t>
        </is>
      </c>
      <c r="B159" s="92" t="n">
        <v>1</v>
      </c>
      <c r="C159" t="inlineStr">
        <is>
          <t>one bunch counted as one unit (no default weight)</t>
        </is>
      </c>
    </row>
    <row r="160">
      <c r="A160" t="inlineStr">
        <is>
          <t>packet→packet</t>
        </is>
      </c>
      <c r="B160" s="92" t="n">
        <v>1</v>
      </c>
      <c r="C160" t="inlineStr">
        <is>
          <t>same unit (bought and used as one packet)</t>
        </is>
      </c>
    </row>
    <row r="161">
      <c r="A161" t="inlineStr">
        <is>
          <t>packet→each</t>
        </is>
      </c>
      <c r="B161" s="92" t="n">
        <v>1</v>
      </c>
      <c r="C161" t="inlineStr">
        <is>
          <t>one packet counted as one unit (no default weight)</t>
        </is>
      </c>
    </row>
    <row r="162">
      <c r="A162" t="inlineStr">
        <is>
          <t>15 dz case→15 dz case</t>
        </is>
      </c>
      <c r="B162" s="92" t="n">
        <v>1</v>
      </c>
      <c r="C162" t="inlineStr">
        <is>
          <t>same unit: type the 15 dz case price as invoiced (half case of eggs)</t>
        </is>
      </c>
    </row>
    <row r="163">
      <c r="A163" t="inlineStr">
        <is>
          <t>15 dz case→each</t>
        </is>
      </c>
      <c r="B163" s="92" t="n">
        <v>180</v>
      </c>
      <c r="C163" t="inlineStr">
        <is>
          <t>1 × 15 dz case = 180 each</t>
        </is>
      </c>
    </row>
    <row r="164">
      <c r="A164" t="inlineStr">
        <is>
          <t>15 dz case→dozen</t>
        </is>
      </c>
      <c r="B164" s="92" t="n">
        <v>15</v>
      </c>
      <c r="C164" t="inlineStr">
        <is>
          <t>1 × 15 dz case = 15 dozen</t>
        </is>
      </c>
    </row>
    <row r="165">
      <c r="A165" t="inlineStr">
        <is>
          <t>30 dz case→30 dz case</t>
        </is>
      </c>
      <c r="B165" s="92" t="n">
        <v>1</v>
      </c>
      <c r="C165" t="inlineStr">
        <is>
          <t>same unit: type the 30 dz case price as invoiced (full case of eggs)</t>
        </is>
      </c>
    </row>
    <row r="166">
      <c r="A166" t="inlineStr">
        <is>
          <t>30 dz case→each</t>
        </is>
      </c>
      <c r="B166" s="92" t="n">
        <v>360</v>
      </c>
      <c r="C166" t="inlineStr">
        <is>
          <t>1 × 30 dz case = 360 each</t>
        </is>
      </c>
    </row>
    <row r="167">
      <c r="A167" t="inlineStr">
        <is>
          <t>30 dz case→dozen</t>
        </is>
      </c>
      <c r="B167" s="92" t="n">
        <v>30</v>
      </c>
      <c r="C167" t="inlineStr">
        <is>
          <t>1 × 30 dz case = 30 dozen</t>
        </is>
      </c>
    </row>
    <row r="168">
      <c r="A168" t="inlineStr">
        <is>
          <t>50 lb bag→50 lb bag</t>
        </is>
      </c>
      <c r="B168" s="92" t="n">
        <v>1</v>
      </c>
      <c r="C168" t="inlineStr">
        <is>
          <t>same unit: type the 50 lb bag price as invoiced (e.g. flour, sugar)</t>
        </is>
      </c>
    </row>
    <row r="169">
      <c r="A169" t="inlineStr">
        <is>
          <t>50 lb bag→lb</t>
        </is>
      </c>
      <c r="B169" s="92" t="n">
        <v>50</v>
      </c>
      <c r="C169" t="inlineStr">
        <is>
          <t>1 × 50 lb bag = 50 lb</t>
        </is>
      </c>
    </row>
    <row r="170">
      <c r="A170" t="inlineStr">
        <is>
          <t>50 lb bag→oz</t>
        </is>
      </c>
      <c r="B170" s="92" t="n">
        <v>800</v>
      </c>
      <c r="C170" t="inlineStr">
        <is>
          <t>1 × 50 lb bag = 800 oz</t>
        </is>
      </c>
    </row>
    <row r="171">
      <c r="A171" t="inlineStr">
        <is>
          <t>50 lb bag→kg</t>
        </is>
      </c>
      <c r="B171" s="92" t="n">
        <v>22.6796185</v>
      </c>
      <c r="C171" t="inlineStr">
        <is>
          <t>1 × 50 lb bag = 22.6796 kg</t>
        </is>
      </c>
    </row>
    <row r="172">
      <c r="A172" t="inlineStr">
        <is>
          <t>50 lb bag→g</t>
        </is>
      </c>
      <c r="B172" s="92" t="n">
        <v>22679.6185</v>
      </c>
      <c r="C172" t="inlineStr">
        <is>
          <t>1 × 50 lb bag = 22,679.62 g</t>
        </is>
      </c>
    </row>
    <row r="173">
      <c r="A173" t="inlineStr">
        <is>
          <t>40 lb case→40 lb case</t>
        </is>
      </c>
      <c r="B173" s="92" t="n">
        <v>1</v>
      </c>
      <c r="C173" t="inlineStr">
        <is>
          <t>same unit: type the 40 lb case price as invoiced (e.g. chicken, 4 x 10 lb)</t>
        </is>
      </c>
    </row>
    <row r="174">
      <c r="A174" t="inlineStr">
        <is>
          <t>40 lb case→lb</t>
        </is>
      </c>
      <c r="B174" s="92" t="n">
        <v>40</v>
      </c>
      <c r="C174" t="inlineStr">
        <is>
          <t>1 × 40 lb case = 40 lb</t>
        </is>
      </c>
    </row>
    <row r="175">
      <c r="A175" t="inlineStr">
        <is>
          <t>40 lb case→oz</t>
        </is>
      </c>
      <c r="B175" s="92" t="n">
        <v>640</v>
      </c>
      <c r="C175" t="inlineStr">
        <is>
          <t>1 × 40 lb case = 640 oz</t>
        </is>
      </c>
    </row>
    <row r="176">
      <c r="A176" t="inlineStr">
        <is>
          <t>40 lb case→kg</t>
        </is>
      </c>
      <c r="B176" s="92" t="n">
        <v>18.1436948</v>
      </c>
      <c r="C176" t="inlineStr">
        <is>
          <t>1 × 40 lb case = 18.1437 kg</t>
        </is>
      </c>
    </row>
    <row r="177">
      <c r="A177" t="inlineStr">
        <is>
          <t>40 lb case→g</t>
        </is>
      </c>
      <c r="B177" s="92" t="n">
        <v>18143.6948</v>
      </c>
      <c r="C177" t="inlineStr">
        <is>
          <t>1 × 40 lb case = 18,143.69 g</t>
        </is>
      </c>
    </row>
    <row r="178">
      <c r="A178" t="inlineStr">
        <is>
          <t>36x1 lb case→36x1 lb case</t>
        </is>
      </c>
      <c r="B178" s="92" t="n">
        <v>1</v>
      </c>
      <c r="C178" t="inlineStr">
        <is>
          <t>same unit: type the 36x1 lb case price as invoiced (1 lb blocks, e.g. butter)</t>
        </is>
      </c>
    </row>
    <row r="179">
      <c r="A179" t="inlineStr">
        <is>
          <t>36x1 lb case→each</t>
        </is>
      </c>
      <c r="B179" s="92" t="n">
        <v>36</v>
      </c>
      <c r="C179" t="inlineStr">
        <is>
          <t>1 × 36x1 lb case = 36 each (1 lb blocks, e.g. butter)</t>
        </is>
      </c>
    </row>
    <row r="180">
      <c r="A180" t="inlineStr">
        <is>
          <t>36x1 lb case→lb</t>
        </is>
      </c>
      <c r="B180" s="92" t="n">
        <v>36</v>
      </c>
      <c r="C180" t="inlineStr">
        <is>
          <t>1 × 36x1 lb case = 36 lb</t>
        </is>
      </c>
    </row>
    <row r="181">
      <c r="A181" t="inlineStr">
        <is>
          <t>36x1 lb case→oz</t>
        </is>
      </c>
      <c r="B181" s="92" t="n">
        <v>576</v>
      </c>
      <c r="C181" t="inlineStr">
        <is>
          <t>1 × 36x1 lb case = 576 oz</t>
        </is>
      </c>
    </row>
    <row r="182">
      <c r="A182" t="inlineStr">
        <is>
          <t>36x1 lb case→kg</t>
        </is>
      </c>
      <c r="B182" s="92" t="n">
        <v>16.32932532</v>
      </c>
      <c r="C182" t="inlineStr">
        <is>
          <t>1 × 36x1 lb case = 16.3293 kg</t>
        </is>
      </c>
    </row>
    <row r="183">
      <c r="A183" t="inlineStr">
        <is>
          <t>36x1 lb case→g</t>
        </is>
      </c>
      <c r="B183" s="92" t="n">
        <v>16329.32532</v>
      </c>
      <c r="C183" t="inlineStr">
        <is>
          <t>1 × 36x1 lb case = 16,329.33 g</t>
        </is>
      </c>
    </row>
    <row r="184">
      <c r="A184" t="inlineStr">
        <is>
          <t>16 kg sack→16 kg sack</t>
        </is>
      </c>
      <c r="B184" s="92" t="n">
        <v>1</v>
      </c>
      <c r="C184" t="inlineStr">
        <is>
          <t>same unit: type the 16 kg sack price as invoiced (UK flour sack)</t>
        </is>
      </c>
    </row>
    <row r="185">
      <c r="A185" t="inlineStr">
        <is>
          <t>16 kg sack→lb</t>
        </is>
      </c>
      <c r="B185" s="92" t="n">
        <v>35.27396194958041</v>
      </c>
      <c r="C185" t="inlineStr">
        <is>
          <t>1 × 16 kg sack = 35.274 lb</t>
        </is>
      </c>
    </row>
    <row r="186">
      <c r="A186" t="inlineStr">
        <is>
          <t>16 kg sack→oz</t>
        </is>
      </c>
      <c r="B186" s="92" t="n">
        <v>564.3833911932866</v>
      </c>
      <c r="C186" t="inlineStr">
        <is>
          <t>1 × 16 kg sack = 564.38 oz</t>
        </is>
      </c>
    </row>
    <row r="187">
      <c r="A187" t="inlineStr">
        <is>
          <t>16 kg sack→kg</t>
        </is>
      </c>
      <c r="B187" s="92" t="n">
        <v>16</v>
      </c>
      <c r="C187" t="inlineStr">
        <is>
          <t>1 × 16 kg sack = 16 kg</t>
        </is>
      </c>
    </row>
    <row r="188">
      <c r="A188" t="inlineStr">
        <is>
          <t>16 kg sack→g</t>
        </is>
      </c>
      <c r="B188" s="92" t="n">
        <v>16000</v>
      </c>
      <c r="C188" t="inlineStr">
        <is>
          <t>1 × 16 kg sack = 16,000 g</t>
        </is>
      </c>
    </row>
    <row r="189">
      <c r="A189" t="inlineStr">
        <is>
          <t>40x250 g case→40x250 g case</t>
        </is>
      </c>
      <c r="B189" s="92" t="n">
        <v>1</v>
      </c>
      <c r="C189" t="inlineStr">
        <is>
          <t>same unit: type the 40x250 g case price as invoiced (250 g blocks, UK butter)</t>
        </is>
      </c>
    </row>
    <row r="190">
      <c r="A190" t="inlineStr">
        <is>
          <t>40x250 g case→each</t>
        </is>
      </c>
      <c r="B190" s="92" t="n">
        <v>40</v>
      </c>
      <c r="C190" t="inlineStr">
        <is>
          <t>1 × 40x250 g case = 40 each (250 g blocks, UK butter)</t>
        </is>
      </c>
    </row>
    <row r="191">
      <c r="A191" t="inlineStr">
        <is>
          <t>40x250 g case→lb</t>
        </is>
      </c>
      <c r="B191" s="92" t="n">
        <v>22.04622621848776</v>
      </c>
      <c r="C191" t="inlineStr">
        <is>
          <t>1 × 40x250 g case = 22.0462 lb</t>
        </is>
      </c>
    </row>
    <row r="192">
      <c r="A192" t="inlineStr">
        <is>
          <t>40x250 g case→oz</t>
        </is>
      </c>
      <c r="B192" s="92" t="n">
        <v>352.7396194958041</v>
      </c>
      <c r="C192" t="inlineStr">
        <is>
          <t>1 × 40x250 g case = 352.74 oz</t>
        </is>
      </c>
    </row>
    <row r="193">
      <c r="A193" t="inlineStr">
        <is>
          <t>40x250 g case→kg</t>
        </is>
      </c>
      <c r="B193" s="92" t="n">
        <v>10</v>
      </c>
      <c r="C193" t="inlineStr">
        <is>
          <t>1 × 40x250 g case = 10 kg</t>
        </is>
      </c>
    </row>
    <row r="194">
      <c r="A194" t="inlineStr">
        <is>
          <t>40x250 g case→g</t>
        </is>
      </c>
      <c r="B194" s="92" t="n">
        <v>10000</v>
      </c>
      <c r="C194" t="inlineStr">
        <is>
          <t>1 × 40x250 g case = 10,000 g</t>
        </is>
      </c>
    </row>
    <row r="195">
      <c r="A195" t="inlineStr">
        <is>
          <t>4x1 gal case→4x1 gal case</t>
        </is>
      </c>
      <c r="B195" s="92" t="n">
        <v>1</v>
      </c>
      <c r="C195" t="inlineStr">
        <is>
          <t>same unit: type the 4x1 gal case price as invoiced (1 gal jugs, e.g. milk)</t>
        </is>
      </c>
    </row>
    <row r="196">
      <c r="A196" t="inlineStr">
        <is>
          <t>4x1 gal case→each</t>
        </is>
      </c>
      <c r="B196" s="92" t="n">
        <v>4</v>
      </c>
      <c r="C196" t="inlineStr">
        <is>
          <t>1 × 4x1 gal case = 4 each (1 gal jugs, e.g. milk)</t>
        </is>
      </c>
    </row>
    <row r="197">
      <c r="A197" t="inlineStr">
        <is>
          <t>4x1 gal case→gal</t>
        </is>
      </c>
      <c r="B197" s="92" t="n">
        <v>4</v>
      </c>
      <c r="C197" t="inlineStr">
        <is>
          <t>1 × 4x1 gal case = 4 gal</t>
        </is>
      </c>
    </row>
    <row r="198">
      <c r="A198" t="inlineStr">
        <is>
          <t>4x1 gal case→qt</t>
        </is>
      </c>
      <c r="B198" s="92" t="n">
        <v>16</v>
      </c>
      <c r="C198" t="inlineStr">
        <is>
          <t>1 × 4x1 gal case = 16 qt</t>
        </is>
      </c>
    </row>
    <row r="199">
      <c r="A199" t="inlineStr">
        <is>
          <t>4x1 gal case→pt</t>
        </is>
      </c>
      <c r="B199" s="92" t="n">
        <v>32</v>
      </c>
      <c r="C199" t="inlineStr">
        <is>
          <t>1 × 4x1 gal case = 32 pt</t>
        </is>
      </c>
    </row>
    <row r="200">
      <c r="A200" t="inlineStr">
        <is>
          <t>4x1 gal case→imp pt</t>
        </is>
      </c>
      <c r="B200" s="92" t="n">
        <v>26.64557390812764</v>
      </c>
      <c r="C200" t="inlineStr">
        <is>
          <t>1 × 4x1 gal case = 26.6456 imp pt</t>
        </is>
      </c>
    </row>
    <row r="201">
      <c r="A201" t="inlineStr">
        <is>
          <t>4x1 gal case→cup</t>
        </is>
      </c>
      <c r="B201" s="92" t="n">
        <v>64</v>
      </c>
      <c r="C201" t="inlineStr">
        <is>
          <t>1 × 4x1 gal case = 64 cup</t>
        </is>
      </c>
    </row>
    <row r="202">
      <c r="A202" t="inlineStr">
        <is>
          <t>4x1 gal case→fl oz</t>
        </is>
      </c>
      <c r="B202" s="92" t="n">
        <v>512</v>
      </c>
      <c r="C202" t="inlineStr">
        <is>
          <t>1 × 4x1 gal case = 512 fl oz</t>
        </is>
      </c>
    </row>
    <row r="203">
      <c r="A203" t="inlineStr">
        <is>
          <t>4x1 gal case→tbsp</t>
        </is>
      </c>
      <c r="B203" s="92" t="n">
        <v>1024</v>
      </c>
      <c r="C203" t="inlineStr">
        <is>
          <t>1 × 4x1 gal case = 1,024 tbsp</t>
        </is>
      </c>
    </row>
    <row r="204">
      <c r="A204" t="inlineStr">
        <is>
          <t>4x1 gal case→tsp</t>
        </is>
      </c>
      <c r="B204" s="92" t="n">
        <v>3072</v>
      </c>
      <c r="C204" t="inlineStr">
        <is>
          <t>1 × 4x1 gal case = 3,072 tsp</t>
        </is>
      </c>
    </row>
    <row r="205">
      <c r="A205" t="inlineStr">
        <is>
          <t>4x1 gal case→L</t>
        </is>
      </c>
      <c r="B205" s="92" t="n">
        <v>15.141647136</v>
      </c>
      <c r="C205" t="inlineStr">
        <is>
          <t>1 × 4x1 gal case = 15.1416 L</t>
        </is>
      </c>
    </row>
    <row r="206">
      <c r="A206" t="inlineStr">
        <is>
          <t>4x1 gal case→ml</t>
        </is>
      </c>
      <c r="B206" s="92" t="n">
        <v>15141.647136</v>
      </c>
      <c r="C206" t="inlineStr">
        <is>
          <t>1 × 4x1 gal case = 15,141.65 ml</t>
        </is>
      </c>
    </row>
    <row r="207">
      <c r="A207" t="inlineStr">
        <is>
          <t>4x1 gal case→cl</t>
        </is>
      </c>
      <c r="B207" s="92" t="n">
        <v>1514.1647136</v>
      </c>
      <c r="C207" t="inlineStr">
        <is>
          <t>1 × 4x1 gal case = 1,514.16 cl</t>
        </is>
      </c>
    </row>
    <row r="208">
      <c r="A208" t="inlineStr">
        <is>
          <t>12x750 ml case→12x750 ml case</t>
        </is>
      </c>
      <c r="B208" s="92" t="n">
        <v>1</v>
      </c>
      <c r="C208" t="inlineStr">
        <is>
          <t>same unit: type the 12x750 ml case price as invoiced (wine or spirits)</t>
        </is>
      </c>
    </row>
    <row r="209">
      <c r="A209" t="inlineStr">
        <is>
          <t>12x750 ml case→bottle</t>
        </is>
      </c>
      <c r="B209" s="92" t="n">
        <v>12</v>
      </c>
      <c r="C209" t="inlineStr">
        <is>
          <t>1 × 12x750 ml case = 12 bottles (wine or spirits)</t>
        </is>
      </c>
    </row>
    <row r="210">
      <c r="A210" t="inlineStr">
        <is>
          <t>12x750 ml case→each</t>
        </is>
      </c>
      <c r="B210" s="92" t="n">
        <v>12</v>
      </c>
      <c r="C210" t="inlineStr">
        <is>
          <t>1 × 12x750 ml case = 12 each (wine or spirits)</t>
        </is>
      </c>
    </row>
    <row r="211">
      <c r="A211" t="inlineStr">
        <is>
          <t>12x750 ml case→gal</t>
        </is>
      </c>
      <c r="B211" s="92" t="n">
        <v>2.377548471223336</v>
      </c>
      <c r="C211" t="inlineStr">
        <is>
          <t>1 × 12x750 ml case = 2.3775 gal</t>
        </is>
      </c>
    </row>
    <row r="212">
      <c r="A212" t="inlineStr">
        <is>
          <t>12x750 ml case→qt</t>
        </is>
      </c>
      <c r="B212" s="92" t="n">
        <v>9.510193884893344</v>
      </c>
      <c r="C212" t="inlineStr">
        <is>
          <t>1 × 12x750 ml case = 9.5102 qt</t>
        </is>
      </c>
    </row>
    <row r="213">
      <c r="A213" t="inlineStr">
        <is>
          <t>12x750 ml case→pt</t>
        </is>
      </c>
      <c r="B213" s="92" t="n">
        <v>19.02038776978669</v>
      </c>
      <c r="C213" t="inlineStr">
        <is>
          <t>1 × 12x750 ml case = 19.0204 pt</t>
        </is>
      </c>
    </row>
    <row r="214">
      <c r="A214" t="inlineStr">
        <is>
          <t>12x750 ml case→imp pt</t>
        </is>
      </c>
      <c r="B214" s="92" t="n">
        <v>15.83778587753432</v>
      </c>
      <c r="C214" t="inlineStr">
        <is>
          <t>1 × 12x750 ml case = 15.8378 imp pt</t>
        </is>
      </c>
    </row>
    <row r="215">
      <c r="A215" t="inlineStr">
        <is>
          <t>12x750 ml case→fl oz</t>
        </is>
      </c>
      <c r="B215" s="92" t="n">
        <v>304.326204316587</v>
      </c>
      <c r="C215" t="inlineStr">
        <is>
          <t>1 × 12x750 ml case = 304.33 fl oz</t>
        </is>
      </c>
    </row>
    <row r="216">
      <c r="A216" t="inlineStr">
        <is>
          <t>12x750 ml case→L</t>
        </is>
      </c>
      <c r="B216" s="92" t="n">
        <v>9</v>
      </c>
      <c r="C216" t="inlineStr">
        <is>
          <t>1 × 12x750 ml case = 9 L</t>
        </is>
      </c>
    </row>
    <row r="217">
      <c r="A217" t="inlineStr">
        <is>
          <t>12x750 ml case→ml</t>
        </is>
      </c>
      <c r="B217" s="92" t="n">
        <v>9000</v>
      </c>
      <c r="C217" t="inlineStr">
        <is>
          <t>1 × 12x750 ml case = 9,000 ml</t>
        </is>
      </c>
    </row>
    <row r="218">
      <c r="A218" t="inlineStr">
        <is>
          <t>12x750 ml case→cl</t>
        </is>
      </c>
      <c r="B218" s="92" t="n">
        <v>900</v>
      </c>
      <c r="C218" t="inlineStr">
        <is>
          <t>1 × 12x750 ml case = 900 cl</t>
        </is>
      </c>
    </row>
    <row r="219">
      <c r="A219" t="inlineStr">
        <is>
          <t>24x12 fl oz case→24x12 fl oz case</t>
        </is>
      </c>
      <c r="B219" s="92" t="n">
        <v>1</v>
      </c>
      <c r="C219" t="inlineStr">
        <is>
          <t>same unit: type the 24x12 fl oz case price as invoiced (beer or soda)</t>
        </is>
      </c>
    </row>
    <row r="220">
      <c r="A220" t="inlineStr">
        <is>
          <t>24x12 fl oz case→can</t>
        </is>
      </c>
      <c r="B220" s="92" t="n">
        <v>24</v>
      </c>
      <c r="C220" t="inlineStr">
        <is>
          <t>1 × 24x12 fl oz case = 24 cans (beer or soda)</t>
        </is>
      </c>
    </row>
    <row r="221">
      <c r="A221" t="inlineStr">
        <is>
          <t>24x12 fl oz case→each</t>
        </is>
      </c>
      <c r="B221" s="92" t="n">
        <v>24</v>
      </c>
      <c r="C221" t="inlineStr">
        <is>
          <t>1 × 24x12 fl oz case = 24 each (beer or soda)</t>
        </is>
      </c>
    </row>
    <row r="222">
      <c r="A222" t="inlineStr">
        <is>
          <t>24x12 fl oz case→gal</t>
        </is>
      </c>
      <c r="B222" s="92" t="n">
        <v>2.25</v>
      </c>
      <c r="C222" t="inlineStr">
        <is>
          <t>1 × 24x12 fl oz case = 2.25 gal</t>
        </is>
      </c>
    </row>
    <row r="223">
      <c r="A223" t="inlineStr">
        <is>
          <t>24x12 fl oz case→qt</t>
        </is>
      </c>
      <c r="B223" s="92" t="n">
        <v>9</v>
      </c>
      <c r="C223" t="inlineStr">
        <is>
          <t>1 × 24x12 fl oz case = 9 qt</t>
        </is>
      </c>
    </row>
    <row r="224">
      <c r="A224" t="inlineStr">
        <is>
          <t>24x12 fl oz case→pt</t>
        </is>
      </c>
      <c r="B224" s="92" t="n">
        <v>18</v>
      </c>
      <c r="C224" t="inlineStr">
        <is>
          <t>1 × 24x12 fl oz case = 18 pt</t>
        </is>
      </c>
    </row>
    <row r="225">
      <c r="A225" t="inlineStr">
        <is>
          <t>24x12 fl oz case→imp pt</t>
        </is>
      </c>
      <c r="B225" s="92" t="n">
        <v>14.9881353233218</v>
      </c>
      <c r="C225" t="inlineStr">
        <is>
          <t>1 × 24x12 fl oz case = 14.9881 imp pt</t>
        </is>
      </c>
    </row>
    <row r="226">
      <c r="A226" t="inlineStr">
        <is>
          <t>24x12 fl oz case→fl oz</t>
        </is>
      </c>
      <c r="B226" s="92" t="n">
        <v>288</v>
      </c>
      <c r="C226" t="inlineStr">
        <is>
          <t>1 × 24x12 fl oz case = 288 fl oz</t>
        </is>
      </c>
    </row>
    <row r="227">
      <c r="A227" t="inlineStr">
        <is>
          <t>24x12 fl oz case→L</t>
        </is>
      </c>
      <c r="B227" s="92" t="n">
        <v>8.517176514000001</v>
      </c>
      <c r="C227" t="inlineStr">
        <is>
          <t>1 × 24x12 fl oz case = 8.5172 L</t>
        </is>
      </c>
    </row>
    <row r="228">
      <c r="A228" t="inlineStr">
        <is>
          <t>24x12 fl oz case→ml</t>
        </is>
      </c>
      <c r="B228" s="92" t="n">
        <v>8517.176514000001</v>
      </c>
      <c r="C228" t="inlineStr">
        <is>
          <t>1 × 24x12 fl oz case = 8,517.18 ml</t>
        </is>
      </c>
    </row>
    <row r="229">
      <c r="A229" t="inlineStr">
        <is>
          <t>24x12 fl oz case→cl</t>
        </is>
      </c>
      <c r="B229" s="92" t="n">
        <v>851.7176514</v>
      </c>
      <c r="C229" t="inlineStr">
        <is>
          <t>1 × 24x12 fl oz case = 851.72 cl</t>
        </is>
      </c>
    </row>
    <row r="230">
      <c r="A230" t="inlineStr">
        <is>
          <t>1/2 bbl keg→1/2 bbl keg</t>
        </is>
      </c>
      <c r="B230" s="92" t="n">
        <v>1</v>
      </c>
      <c r="C230" t="inlineStr">
        <is>
          <t>same unit: type the 1/2 bbl keg price as invoiced (US half barrel, 15.5 gal)</t>
        </is>
      </c>
    </row>
    <row r="231">
      <c r="A231" t="inlineStr">
        <is>
          <t>1/2 bbl keg→gal</t>
        </is>
      </c>
      <c r="B231" s="92" t="n">
        <v>15.5</v>
      </c>
      <c r="C231" t="inlineStr">
        <is>
          <t>1 × 1/2 bbl keg = 15.5 gal</t>
        </is>
      </c>
    </row>
    <row r="232">
      <c r="A232" t="inlineStr">
        <is>
          <t>1/2 bbl keg→qt</t>
        </is>
      </c>
      <c r="B232" s="92" t="n">
        <v>62</v>
      </c>
      <c r="C232" t="inlineStr">
        <is>
          <t>1 × 1/2 bbl keg = 62 qt</t>
        </is>
      </c>
    </row>
    <row r="233">
      <c r="A233" t="inlineStr">
        <is>
          <t>1/2 bbl keg→pt</t>
        </is>
      </c>
      <c r="B233" s="92" t="n">
        <v>124</v>
      </c>
      <c r="C233" t="inlineStr">
        <is>
          <t>1 × 1/2 bbl keg = 124 pt</t>
        </is>
      </c>
    </row>
    <row r="234">
      <c r="A234" t="inlineStr">
        <is>
          <t>1/2 bbl keg→imp pt</t>
        </is>
      </c>
      <c r="B234" s="92" t="n">
        <v>103.2515988939946</v>
      </c>
      <c r="C234" t="inlineStr">
        <is>
          <t>1 × 1/2 bbl keg = 103.25 imp pt</t>
        </is>
      </c>
    </row>
    <row r="235">
      <c r="A235" t="inlineStr">
        <is>
          <t>1/2 bbl keg→fl oz</t>
        </is>
      </c>
      <c r="B235" s="92" t="n">
        <v>1984</v>
      </c>
      <c r="C235" t="inlineStr">
        <is>
          <t>1 × 1/2 bbl keg = 1,984 fl oz</t>
        </is>
      </c>
    </row>
    <row r="236">
      <c r="A236" t="inlineStr">
        <is>
          <t>1/2 bbl keg→L</t>
        </is>
      </c>
      <c r="B236" s="92" t="n">
        <v>58.673882652</v>
      </c>
      <c r="C236" t="inlineStr">
        <is>
          <t>1 × 1/2 bbl keg = 58.6739 L</t>
        </is>
      </c>
    </row>
    <row r="237">
      <c r="A237" t="inlineStr">
        <is>
          <t>1/2 bbl keg→ml</t>
        </is>
      </c>
      <c r="B237" s="92" t="n">
        <v>58673.882652</v>
      </c>
      <c r="C237" t="inlineStr">
        <is>
          <t>1 × 1/2 bbl keg = 58,673.88 ml</t>
        </is>
      </c>
    </row>
    <row r="238">
      <c r="A238" t="inlineStr">
        <is>
          <t>1/2 bbl keg→cl</t>
        </is>
      </c>
      <c r="B238" s="92" t="n">
        <v>5867.3882652</v>
      </c>
      <c r="C238" t="inlineStr">
        <is>
          <t>1 × 1/2 bbl keg = 5,867.39 cl</t>
        </is>
      </c>
    </row>
    <row r="239">
      <c r="A239" t="inlineStr">
        <is>
          <t>1/6 bbl keg→1/6 bbl keg</t>
        </is>
      </c>
      <c r="B239" s="92" t="n">
        <v>1</v>
      </c>
      <c r="C239" t="inlineStr">
        <is>
          <t>same unit: type the 1/6 bbl keg price as invoiced (US sixth barrel, 5.17 gal)</t>
        </is>
      </c>
    </row>
    <row r="240">
      <c r="A240" t="inlineStr">
        <is>
          <t>1/6 bbl keg→gal</t>
        </is>
      </c>
      <c r="B240" s="92" t="n">
        <v>5.166666666666667</v>
      </c>
      <c r="C240" t="inlineStr">
        <is>
          <t>1 × 1/6 bbl keg = 5.1667 gal</t>
        </is>
      </c>
    </row>
    <row r="241">
      <c r="A241" t="inlineStr">
        <is>
          <t>1/6 bbl keg→qt</t>
        </is>
      </c>
      <c r="B241" s="92" t="n">
        <v>20.66666666666667</v>
      </c>
      <c r="C241" t="inlineStr">
        <is>
          <t>1 × 1/6 bbl keg = 20.6667 qt</t>
        </is>
      </c>
    </row>
    <row r="242">
      <c r="A242" t="inlineStr">
        <is>
          <t>1/6 bbl keg→pt</t>
        </is>
      </c>
      <c r="B242" s="92" t="n">
        <v>41.33333333333334</v>
      </c>
      <c r="C242" t="inlineStr">
        <is>
          <t>1 × 1/6 bbl keg = 41.3333 pt</t>
        </is>
      </c>
    </row>
    <row r="243">
      <c r="A243" t="inlineStr">
        <is>
          <t>1/6 bbl keg→imp pt</t>
        </is>
      </c>
      <c r="B243" s="92" t="n">
        <v>34.41719963133154</v>
      </c>
      <c r="C243" t="inlineStr">
        <is>
          <t>1 × 1/6 bbl keg = 34.4172 imp pt</t>
        </is>
      </c>
    </row>
    <row r="244">
      <c r="A244" t="inlineStr">
        <is>
          <t>1/6 bbl keg→fl oz</t>
        </is>
      </c>
      <c r="B244" s="92" t="n">
        <v>661.3333333333334</v>
      </c>
      <c r="C244" t="inlineStr">
        <is>
          <t>1 × 1/6 bbl keg = 661.33 fl oz</t>
        </is>
      </c>
    </row>
    <row r="245">
      <c r="A245" t="inlineStr">
        <is>
          <t>1/6 bbl keg→L</t>
        </is>
      </c>
      <c r="B245" s="92" t="n">
        <v>19.557960884</v>
      </c>
      <c r="C245" t="inlineStr">
        <is>
          <t>1 × 1/6 bbl keg = 19.558 L</t>
        </is>
      </c>
    </row>
    <row r="246">
      <c r="A246" t="inlineStr">
        <is>
          <t>1/6 bbl keg→ml</t>
        </is>
      </c>
      <c r="B246" s="92" t="n">
        <v>19557.960884</v>
      </c>
      <c r="C246" t="inlineStr">
        <is>
          <t>1 × 1/6 bbl keg = 19,557.96 ml</t>
        </is>
      </c>
    </row>
    <row r="247">
      <c r="A247" t="inlineStr">
        <is>
          <t>1/6 bbl keg→cl</t>
        </is>
      </c>
      <c r="B247" s="92" t="n">
        <v>1955.7960884</v>
      </c>
      <c r="C247" t="inlineStr">
        <is>
          <t>1 × 1/6 bbl keg = 1,955.8 cl</t>
        </is>
      </c>
    </row>
    <row r="248">
      <c r="A248" t="inlineStr">
        <is>
          <t>50 L keg→50 L keg</t>
        </is>
      </c>
      <c r="B248" s="92" t="n">
        <v>1</v>
      </c>
      <c r="C248" t="inlineStr">
        <is>
          <t>same unit: type the 50 L keg price as invoiced (UK keg, 50 L ≈ 88 imp pt)</t>
        </is>
      </c>
    </row>
    <row r="249">
      <c r="A249" t="inlineStr">
        <is>
          <t>50 L keg→gal</t>
        </is>
      </c>
      <c r="B249" s="92" t="n">
        <v>13.20860261790742</v>
      </c>
      <c r="C249" t="inlineStr">
        <is>
          <t>1 × 50 L keg = 13.2086 gal</t>
        </is>
      </c>
    </row>
    <row r="250">
      <c r="A250" t="inlineStr">
        <is>
          <t>50 L keg→qt</t>
        </is>
      </c>
      <c r="B250" s="92" t="n">
        <v>52.83441047162968</v>
      </c>
      <c r="C250" t="inlineStr">
        <is>
          <t>1 × 50 L keg = 52.8344 qt</t>
        </is>
      </c>
    </row>
    <row r="251">
      <c r="A251" t="inlineStr">
        <is>
          <t>50 L keg→pt</t>
        </is>
      </c>
      <c r="B251" s="92" t="n">
        <v>105.6688209432594</v>
      </c>
      <c r="C251" t="inlineStr">
        <is>
          <t>1 × 50 L keg = 105.67 pt</t>
        </is>
      </c>
    </row>
    <row r="252">
      <c r="A252" t="inlineStr">
        <is>
          <t>50 L keg→imp pt</t>
        </is>
      </c>
      <c r="B252" s="92" t="n">
        <v>87.98769931963511</v>
      </c>
      <c r="C252" t="inlineStr">
        <is>
          <t>1 × 50 L keg = 87.9877 imp pt</t>
        </is>
      </c>
    </row>
    <row r="253">
      <c r="A253" t="inlineStr">
        <is>
          <t>50 L keg→fl oz</t>
        </is>
      </c>
      <c r="B253" s="92" t="n">
        <v>1690.70113509215</v>
      </c>
      <c r="C253" t="inlineStr">
        <is>
          <t>1 × 50 L keg = 1,690.7 fl oz</t>
        </is>
      </c>
    </row>
    <row r="254">
      <c r="A254" t="inlineStr">
        <is>
          <t>50 L keg→L</t>
        </is>
      </c>
      <c r="B254" s="92" t="n">
        <v>50</v>
      </c>
      <c r="C254" t="inlineStr">
        <is>
          <t>1 × 50 L keg = 50 L</t>
        </is>
      </c>
    </row>
    <row r="255">
      <c r="A255" t="inlineStr">
        <is>
          <t>50 L keg→ml</t>
        </is>
      </c>
      <c r="B255" s="92" t="n">
        <v>50000</v>
      </c>
      <c r="C255" t="inlineStr">
        <is>
          <t>1 × 50 L keg = 50,000 ml</t>
        </is>
      </c>
    </row>
    <row r="256">
      <c r="A256" t="inlineStr">
        <is>
          <t>50 L keg→cl</t>
        </is>
      </c>
      <c r="B256" s="92" t="n">
        <v>5000</v>
      </c>
      <c r="C256" t="inlineStr">
        <is>
          <t>1 × 50 L keg = 5,000 cl</t>
        </is>
      </c>
    </row>
    <row r="257"/>
    <row r="258"/>
    <row r="259"/>
    <row r="260"/>
    <row r="261"/>
    <row r="262"/>
    <row r="263"/>
    <row r="264"/>
    <row r="265"/>
    <row r="266"/>
    <row r="267"/>
    <row r="268"/>
    <row r="269"/>
    <row r="270"/>
    <row r="271"/>
    <row r="272"/>
    <row r="273"/>
    <row r="274"/>
    <row r="275"/>
    <row r="276"/>
    <row r="277"/>
    <row r="278"/>
    <row r="279"/>
    <row r="280"/>
    <row r="281"/>
    <row r="282"/>
    <row r="283"/>
    <row r="284"/>
    <row r="285"/>
    <row r="286"/>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5"/>
  <sheetViews>
    <sheetView workbookViewId="0">
      <selection activeCell="A1" sqref="A1"/>
    </sheetView>
  </sheetViews>
  <sheetFormatPr baseColWidth="8" defaultRowHeight="15"/>
  <cols>
    <col width="24" customWidth="1" min="1" max="1"/>
    <col width="20" customWidth="1" min="2" max="2"/>
    <col width="17" customWidth="1" min="3" max="3"/>
    <col width="17" customWidth="1" min="4" max="4"/>
    <col width="62" customWidth="1" min="5" max="5"/>
  </cols>
  <sheetData>
    <row r="1">
      <c r="A1" s="86" t="inlineStr">
        <is>
          <t>Reference trim loss % by category</t>
        </is>
      </c>
    </row>
    <row r="2">
      <c r="A2" t="inlineStr">
        <is>
          <t>Typical is the trim loss % that preloads in the empty rows of the recipe cost card when you pick a category. Adjust it to your supplier. Yield % = 100% − trim loss %.</t>
        </is>
      </c>
    </row>
    <row r="3">
      <c r="A3" t="inlineStr">
        <is>
          <t>Measure your real trim loss with template 12 (Yield Test) and type it in Trim loss % on the cost card. Reference yields for many foods: USDA Food Buying Guide (foodbuyingguide.fns.usda.gov).</t>
        </is>
      </c>
    </row>
    <row r="4">
      <c r="A4" s="87" t="inlineStr">
        <is>
          <t>Category</t>
        </is>
      </c>
      <c r="B4" s="87" t="inlineStr">
        <is>
          <t>Typical trim loss %</t>
        </is>
      </c>
      <c r="C4" s="87" t="inlineStr">
        <is>
          <t>Min trim loss %</t>
        </is>
      </c>
      <c r="D4" s="87" t="inlineStr">
        <is>
          <t>Max trim loss %</t>
        </is>
      </c>
      <c r="E4" s="87" t="inlineStr">
        <is>
          <t>Notes</t>
        </is>
      </c>
    </row>
    <row r="5">
      <c r="A5" t="inlineStr">
        <is>
          <t>Beef &amp; red meat</t>
        </is>
      </c>
      <c r="B5" s="89" t="n">
        <v>0.2</v>
      </c>
      <c r="C5" s="89" t="n">
        <v>0.15</v>
      </c>
      <c r="D5" s="89" t="n">
        <v>0.25</v>
      </c>
    </row>
    <row r="6">
      <c r="A6" t="inlineStr">
        <is>
          <t>Poultry</t>
        </is>
      </c>
      <c r="B6" s="89" t="n">
        <v>0.25</v>
      </c>
      <c r="C6" s="89" t="n">
        <v>0.2</v>
      </c>
      <c r="D6" s="89" t="n">
        <v>0.3</v>
      </c>
    </row>
    <row r="7">
      <c r="A7" t="inlineStr">
        <is>
          <t>Fish</t>
        </is>
      </c>
      <c r="B7" s="89" t="n">
        <v>0.35</v>
      </c>
      <c r="C7" s="89" t="n">
        <v>0.3</v>
      </c>
      <c r="D7" s="89" t="n">
        <v>0.45</v>
      </c>
      <c r="E7" t="inlineStr">
        <is>
          <t>Gutted, head-on fish cut on the bone. Whole round fish to skin-on fillet loses 50-60%: measure it with template 12.</t>
        </is>
      </c>
    </row>
    <row r="8">
      <c r="A8" t="inlineStr">
        <is>
          <t>Shellfish</t>
        </is>
      </c>
      <c r="B8" s="89" t="n">
        <v>0.45</v>
      </c>
      <c r="C8" s="89" t="n">
        <v>0.35</v>
      </c>
      <c r="D8" s="89" t="n">
        <v>0.55</v>
      </c>
    </row>
    <row r="9">
      <c r="A9" t="inlineStr">
        <is>
          <t>Leafy greens</t>
        </is>
      </c>
      <c r="B9" s="89" t="n">
        <v>0.25</v>
      </c>
      <c r="C9" s="89" t="n">
        <v>0.2</v>
      </c>
      <c r="D9" s="89" t="n">
        <v>0.35</v>
      </c>
      <c r="E9" t="inlineStr">
        <is>
          <t>Also stems and flowers, such as asparagus and cauliflower.</t>
        </is>
      </c>
    </row>
    <row r="10">
      <c r="A10" t="inlineStr">
        <is>
          <t>Root vegetables</t>
        </is>
      </c>
      <c r="B10" s="89" t="n">
        <v>0.12</v>
      </c>
      <c r="C10" s="89" t="n">
        <v>0.08</v>
      </c>
      <c r="D10" s="89" t="n">
        <v>0.18</v>
      </c>
    </row>
    <row r="11">
      <c r="A11" t="inlineStr">
        <is>
          <t>Fruiting vegetables</t>
        </is>
      </c>
      <c r="B11" s="89" t="n">
        <v>0.1</v>
      </c>
      <c r="C11" s="89" t="n">
        <v>0.06</v>
      </c>
      <c r="D11" s="89" t="n">
        <v>0.15</v>
      </c>
    </row>
    <row r="12">
      <c r="A12" t="inlineStr">
        <is>
          <t>Fruit</t>
        </is>
      </c>
      <c r="B12" s="89" t="n">
        <v>0.15</v>
      </c>
      <c r="C12" s="89" t="n">
        <v>0.1</v>
      </c>
      <c r="D12" s="89" t="n">
        <v>0.25</v>
      </c>
    </row>
    <row r="13">
      <c r="A13" t="inlineStr">
        <is>
          <t>Dairy</t>
        </is>
      </c>
      <c r="B13" s="89" t="n">
        <v>0.03</v>
      </c>
      <c r="C13" s="89" t="n">
        <v>0.01</v>
      </c>
      <c r="D13" s="89" t="n">
        <v>0.05</v>
      </c>
    </row>
    <row r="14">
      <c r="A14" t="inlineStr">
        <is>
          <t>Dry goods &amp; grains</t>
        </is>
      </c>
      <c r="B14" s="89" t="n">
        <v>0.02</v>
      </c>
      <c r="C14" s="89" t="n">
        <v>0.01</v>
      </c>
      <c r="D14" s="89" t="n">
        <v>0.04</v>
      </c>
    </row>
    <row r="15">
      <c r="A15" t="inlineStr">
        <is>
          <t>Frozen</t>
        </is>
      </c>
      <c r="B15" s="89" t="n">
        <v>0.07000000000000001</v>
      </c>
      <c r="C15" s="89" t="n">
        <v>0.03</v>
      </c>
      <c r="D15" s="89" t="n">
        <v>0.1</v>
      </c>
    </row>
    <row r="16">
      <c r="A16" t="inlineStr">
        <is>
          <t>Bread &amp; pastry</t>
        </is>
      </c>
      <c r="B16" s="89" t="n">
        <v>0.05</v>
      </c>
      <c r="C16" s="89" t="n">
        <v>0.02</v>
      </c>
      <c r="D16" s="89" t="n">
        <v>0.1</v>
      </c>
    </row>
    <row r="17">
      <c r="A17" t="inlineStr">
        <is>
          <t>Eggs</t>
        </is>
      </c>
      <c r="B17" s="89" t="n">
        <v>0.11</v>
      </c>
      <c r="C17" s="89" t="n">
        <v>0.1</v>
      </c>
      <c r="D17" s="89" t="n">
        <v>0.13</v>
      </c>
    </row>
    <row r="18">
      <c r="A18" t="inlineStr">
        <is>
          <t>Oils &amp; fats</t>
        </is>
      </c>
      <c r="B18" s="89" t="n">
        <v>0.03</v>
      </c>
      <c r="C18" s="89" t="n">
        <v>0.01</v>
      </c>
      <c r="D18" s="89" t="n">
        <v>0.05</v>
      </c>
    </row>
    <row r="19">
      <c r="A19" t="inlineStr">
        <is>
          <t>Herbs &amp; spices</t>
        </is>
      </c>
      <c r="B19" s="89" t="n">
        <v>0.2</v>
      </c>
      <c r="C19" s="89" t="n">
        <v>0.1</v>
      </c>
      <c r="D19" s="89" t="n">
        <v>0.3</v>
      </c>
    </row>
    <row r="20">
      <c r="A20" t="inlineStr">
        <is>
          <t>Chocolate &amp; cocoa</t>
        </is>
      </c>
      <c r="B20" s="89" t="n">
        <v>0.05</v>
      </c>
      <c r="C20" s="89" t="n">
        <v>0.02</v>
      </c>
      <c r="D20" s="89" t="n">
        <v>0.08</v>
      </c>
    </row>
    <row r="21">
      <c r="A21" t="inlineStr">
        <is>
          <t>Beverages &amp; spirits</t>
        </is>
      </c>
      <c r="B21" s="89" t="n">
        <v>0.02</v>
      </c>
      <c r="C21" s="89" t="n">
        <v>0.01</v>
      </c>
      <c r="D21" s="89" t="n">
        <v>0.04</v>
      </c>
    </row>
    <row r="22">
      <c r="A22" t="inlineStr">
        <is>
          <t>Mushrooms</t>
        </is>
      </c>
      <c r="B22" s="89" t="n">
        <v>0.2</v>
      </c>
      <c r="C22" s="89" t="n">
        <v>0.12</v>
      </c>
      <c r="D22" s="89" t="n">
        <v>0.3</v>
      </c>
    </row>
    <row r="23">
      <c r="A23" t="inlineStr">
        <is>
          <t>Canned &amp; pickled</t>
        </is>
      </c>
      <c r="B23" s="89" t="n">
        <v>0.08</v>
      </c>
      <c r="C23" s="89" t="n">
        <v>0.04</v>
      </c>
      <c r="D23" s="89" t="n">
        <v>0.15</v>
      </c>
    </row>
    <row r="24">
      <c r="A24" t="inlineStr">
        <is>
          <t>Sauces &amp; condiments</t>
        </is>
      </c>
      <c r="B24" s="89" t="n">
        <v>0.05</v>
      </c>
      <c r="C24" s="89" t="n">
        <v>0.02</v>
      </c>
      <c r="D24" s="89" t="n">
        <v>0.08</v>
      </c>
    </row>
    <row r="25">
      <c r="A25" t="inlineStr">
        <is>
          <t>Pasta &amp; rice</t>
        </is>
      </c>
      <c r="B25" s="89" t="n">
        <v>0.02</v>
      </c>
      <c r="C25" s="89" t="n">
        <v>0.01</v>
      </c>
      <c r="D25" s="89" t="n">
        <v>0.04</v>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Prix Fixe &amp; Set Menu Costing</dc:title>
  <dc:description xmlns:dc="http://purl.org/dc/elements/1.1/">aichef.pro/en/digital-products/food-cost-templates</dc:description>
  <dc:subject xmlns:dc="http://purl.org/dc/elements/1.1/">Food Cost Kit Pro · v2.1</dc:subject>
  <dcterms:created xmlns:dcterms="http://purl.org/dc/terms/" xmlns:xsi="http://www.w3.org/2001/XMLSchema-instance" xsi:type="dcterms:W3CDTF">2026-03-18T21:50:23Z</dcterms:created>
  <dcterms:modified xmlns:dcterms="http://purl.org/dc/terms/" xmlns:xsi="http://www.w3.org/2001/XMLSchema-instance" xsi:type="dcterms:W3CDTF">2026-09-24T20:23:20Z</dcterms:modified>
  <cp:lastModifiedBy>AI Chef Pro</cp:lastModifiedBy>
  <cp:category>AI Chef Pro · Digital products</cp:category>
  <cp:keywords>food cost kit, food cost templates, AI Chef Pro</cp:keywords>
</cp:coreProperties>
</file>