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mash Burger" sheetId="2" state="visible" r:id="rId2"/>
    <sheet xmlns:r="http://schemas.openxmlformats.org/officeDocument/2006/relationships" name="Loaded Fries" sheetId="3" state="visible" r:id="rId3"/>
    <sheet xmlns:r="http://schemas.openxmlformats.org/officeDocument/2006/relationships" name="Pulled Pork Sandwich" sheetId="4" state="visible" r:id="rId4"/>
    <sheet xmlns:r="http://schemas.openxmlformats.org/officeDocument/2006/relationships" name="Break-Even" sheetId="5" state="visible" r:id="rId5"/>
    <sheet xmlns:r="http://schemas.openxmlformats.org/officeDocument/2006/relationships" name="Conversions" sheetId="6" state="visible" r:id="rId6"/>
    <sheet xmlns:r="http://schemas.openxmlformats.org/officeDocument/2006/relationships" name="Trim Loss Factors" sheetId="7" state="visible" r:id="rId7"/>
  </sheets>
  <definedNames>
    <definedName name="_xlnm.Print_Titles" localSheetId="1">'Smash Burger'!$4:$4</definedName>
    <definedName name="_xlnm.Print_Area" localSheetId="1">'Smash Burger'!$A$1:$J$38</definedName>
    <definedName name="_xlnm.Print_Titles" localSheetId="2">'Loaded Fries'!$4:$4</definedName>
    <definedName name="_xlnm.Print_Area" localSheetId="2">'Loaded Fries'!$A$1:$J$36</definedName>
    <definedName name="_xlnm.Print_Titles" localSheetId="3">'Pulled Pork Sandwich'!$4:$4</definedName>
    <definedName name="_xlnm.Print_Area" localSheetId="3">'Pulled Pork Sandwich'!$A$1:$J$35</definedName>
    <definedName name="_xlnm.Print_Area" localSheetId="4">'Break-Even'!$A$1:$J$28</definedName>
    <definedName name="_xlnm.Print_Area" localSheetId="5">'Conversions'!$A$1:$J$286</definedName>
    <definedName name="_xlnm.Print_Area" localSheetId="6">'Trim Loss Factors'!$A$1:$J$25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0"/>
    <numFmt numFmtId="166" formatCode="0.0%"/>
    <numFmt numFmtId="167" formatCode="0.###"/>
  </numFmts>
  <fonts count="25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  <font>
      <b val="1"/>
      <sz val="12"/>
    </font>
    <font>
      <b val="1"/>
      <color rgb="00FFFFFF"/>
    </font>
    <font>
      <color rgb="00595959"/>
      <sz val="9"/>
    </font>
    <font>
      <b val="1"/>
      <sz val="13"/>
    </font>
    <font>
      <i val="1"/>
      <sz val="9"/>
    </font>
    <font>
      <b val="1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  <fill>
      <patternFill patternType="solid">
        <fgColor rgb="002D2D2D"/>
      </patternFill>
    </fill>
    <fill>
      <patternFill patternType="solid">
        <fgColor rgb="00F2F2F2"/>
      </patternFill>
    </fill>
    <fill>
      <patternFill patternType="solid">
        <fgColor rgb="00E8F5E9"/>
      </patternFill>
    </fill>
    <fill>
      <patternFill patternType="solid">
        <fgColor rgb="00FFF8DC"/>
      </patternFill>
    </fill>
    <fill>
      <patternFill patternType="solid">
        <fgColor rgb="00FFD700"/>
      </patternFill>
    </fill>
  </fills>
  <borders count="20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 style="medium">
        <color rgb="00FFD700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14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5" fillId="4" borderId="14" applyAlignment="1" pivotButton="0" quotePrefix="0" xfId="0">
      <alignment horizontal="left" vertical="center" wrapText="1"/>
    </xf>
    <xf numFmtId="0" fontId="5" fillId="4" borderId="14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right" vertical="center"/>
    </xf>
    <xf numFmtId="165" fontId="5" fillId="4" borderId="14" applyAlignment="1" pivotButton="0" quotePrefix="0" xfId="0">
      <alignment horizontal="right" vertical="center"/>
    </xf>
    <xf numFmtId="9" fontId="5" fillId="4" borderId="14" applyAlignment="1" pivotButton="0" quotePrefix="0" xfId="0">
      <alignment horizontal="center" vertical="center" wrapText="1"/>
    </xf>
    <xf numFmtId="165" fontId="13" fillId="0" borderId="14" applyAlignment="1" pivotButton="0" quotePrefix="0" xfId="0">
      <alignment horizontal="right" vertical="center"/>
    </xf>
    <xf numFmtId="164" fontId="13" fillId="0" borderId="1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9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4" borderId="14" pivotButton="0" quotePrefix="0" xfId="0"/>
    <xf numFmtId="9" fontId="0" fillId="4" borderId="14" pivotButton="0" quotePrefix="0" xfId="0"/>
    <xf numFmtId="165" fontId="0" fillId="0" borderId="14" pivotButton="0" quotePrefix="0" xfId="0"/>
    <xf numFmtId="164" fontId="0" fillId="0" borderId="14" pivotButton="0" quotePrefix="0" xfId="0"/>
    <xf numFmtId="0" fontId="0" fillId="2" borderId="6" pivotButton="0" quotePrefix="0" xfId="0"/>
    <xf numFmtId="0" fontId="0" fillId="2" borderId="7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right" vertical="center"/>
    </xf>
    <xf numFmtId="164" fontId="4" fillId="5" borderId="14" pivotButton="0" quotePrefix="0" xfId="0"/>
    <xf numFmtId="0" fontId="5" fillId="0" borderId="14" applyAlignment="1" pivotButton="0" quotePrefix="0" xfId="0">
      <alignment horizontal="right" vertical="center"/>
    </xf>
    <xf numFmtId="164" fontId="13" fillId="0" borderId="14" pivotButton="0" quotePrefix="0" xfId="0"/>
    <xf numFmtId="0" fontId="14" fillId="6" borderId="14" applyAlignment="1" pivotButton="0" quotePrefix="0" xfId="0">
      <alignment horizontal="right" vertical="center"/>
    </xf>
    <xf numFmtId="164" fontId="15" fillId="6" borderId="14" pivotButton="0" quotePrefix="0" xfId="0"/>
    <xf numFmtId="0" fontId="13" fillId="0" borderId="14" applyAlignment="1" pivotButton="0" quotePrefix="0" xfId="0">
      <alignment horizontal="right" vertical="center"/>
    </xf>
    <xf numFmtId="9" fontId="16" fillId="4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right" vertical="center"/>
    </xf>
    <xf numFmtId="164" fontId="4" fillId="0" borderId="14" pivotButton="0" quotePrefix="0" xfId="0"/>
    <xf numFmtId="0" fontId="4" fillId="6" borderId="14" applyAlignment="1" pivotButton="0" quotePrefix="0" xfId="0">
      <alignment horizontal="right" vertical="center"/>
    </xf>
    <xf numFmtId="164" fontId="17" fillId="6" borderId="14" pivotButton="0" quotePrefix="0" xfId="0"/>
    <xf numFmtId="166" fontId="13" fillId="0" borderId="14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2" fillId="0" borderId="0" applyAlignment="1" pivotButton="0" quotePrefix="0" xfId="0">
      <alignment vertical="top" wrapText="1"/>
    </xf>
    <xf numFmtId="0" fontId="5" fillId="4" borderId="14" applyAlignment="1" applyProtection="1" pivotButton="0" quotePrefix="0" xfId="0">
      <alignment horizontal="left" vertical="center" wrapText="1"/>
      <protection locked="0" hidden="0"/>
    </xf>
    <xf numFmtId="0" fontId="5" fillId="4" borderId="14" applyAlignment="1" applyProtection="1" pivotButton="0" quotePrefix="0" xfId="0">
      <alignment horizontal="center" vertical="center" wrapText="1"/>
      <protection locked="0" hidden="0"/>
    </xf>
    <xf numFmtId="164" fontId="5" fillId="4" borderId="14" applyAlignment="1" applyProtection="1" pivotButton="0" quotePrefix="0" xfId="0">
      <alignment horizontal="right" vertical="center"/>
      <protection locked="0" hidden="0"/>
    </xf>
    <xf numFmtId="165" fontId="5" fillId="4" borderId="14" applyAlignment="1" applyProtection="1" pivotButton="0" quotePrefix="0" xfId="0">
      <alignment horizontal="right" vertical="center"/>
      <protection locked="0" hidden="0"/>
    </xf>
    <xf numFmtId="167" fontId="20" fillId="8" borderId="14" applyAlignment="1" pivotButton="0" quotePrefix="0" xfId="0">
      <alignment horizontal="center" vertical="center"/>
    </xf>
    <xf numFmtId="9" fontId="5" fillId="4" borderId="14" applyAlignment="1" applyProtection="1" pivotButton="0" quotePrefix="0" xfId="0">
      <alignment horizontal="center" vertical="center" wrapText="1"/>
      <protection locked="0" hidden="0"/>
    </xf>
    <xf numFmtId="0" fontId="0" fillId="4" borderId="14" applyProtection="1" pivotButton="0" quotePrefix="0" xfId="0">
      <protection locked="0" hidden="0"/>
    </xf>
    <xf numFmtId="9" fontId="0" fillId="4" borderId="14" applyProtection="1" pivotButton="0" quotePrefix="0" xfId="0">
      <protection locked="0" hidden="0"/>
    </xf>
    <xf numFmtId="9" fontId="5" fillId="9" borderId="14" applyAlignment="1" applyProtection="1" pivotButton="0" quotePrefix="0" xfId="0">
      <alignment horizontal="center" vertical="center"/>
      <protection locked="0" hidden="0"/>
    </xf>
    <xf numFmtId="1" fontId="5" fillId="9" borderId="14" applyAlignment="1" applyProtection="1" pivotButton="0" quotePrefix="0" xfId="0">
      <alignment horizontal="center" vertical="center"/>
      <protection locked="0" hidden="0"/>
    </xf>
    <xf numFmtId="9" fontId="16" fillId="9" borderId="14" applyAlignment="1" applyProtection="1" pivotButton="0" quotePrefix="0" xfId="0">
      <alignment horizontal="center" vertical="center"/>
      <protection locked="0" hidden="0"/>
    </xf>
    <xf numFmtId="164" fontId="5" fillId="9" borderId="14" applyAlignment="1" applyProtection="1" pivotButton="0" quotePrefix="0" xfId="0">
      <alignment horizontal="center" vertical="center"/>
      <protection locked="0" hidden="0"/>
    </xf>
    <xf numFmtId="166" fontId="15" fillId="6" borderId="14" pivotButton="0" quotePrefix="0" xfId="0"/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top" wrapText="1"/>
    </xf>
    <xf numFmtId="0" fontId="23" fillId="10" borderId="0" pivotButton="0" quotePrefix="0" xfId="0"/>
    <xf numFmtId="0" fontId="19" fillId="7" borderId="0" applyAlignment="1" pivotButton="0" quotePrefix="0" xfId="0">
      <alignment horizontal="center" vertical="center" wrapText="1"/>
    </xf>
    <xf numFmtId="164" fontId="0" fillId="9" borderId="0" applyProtection="1" pivotButton="0" quotePrefix="0" xfId="0">
      <protection locked="0" hidden="0"/>
    </xf>
    <xf numFmtId="0" fontId="24" fillId="0" borderId="0" pivotButton="0" quotePrefix="0" xfId="0"/>
    <xf numFmtId="164" fontId="24" fillId="11" borderId="0" pivotButton="0" quotePrefix="0" xfId="0"/>
    <xf numFmtId="164" fontId="0" fillId="0" borderId="0" pivotButton="0" quotePrefix="0" xfId="0"/>
    <xf numFmtId="164" fontId="24" fillId="0" borderId="0" pivotButton="0" quotePrefix="0" xfId="0"/>
    <xf numFmtId="9" fontId="0" fillId="9" borderId="0" applyAlignment="1" applyProtection="1" pivotButton="0" quotePrefix="0" xfId="0">
      <alignment horizontal="center"/>
      <protection locked="0" hidden="0"/>
    </xf>
    <xf numFmtId="1" fontId="24" fillId="11" borderId="0" applyAlignment="1" pivotButton="0" quotePrefix="0" xfId="0">
      <alignment horizontal="center"/>
    </xf>
    <xf numFmtId="0" fontId="18" fillId="0" borderId="0" pivotButton="0" quotePrefix="0" xfId="0"/>
    <xf numFmtId="0" fontId="19" fillId="7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9" borderId="0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13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📋 Food Truck Menu Pricing &amp; Break-Even</t>
        </is>
      </c>
    </row>
    <row r="3">
      <c r="B3" s="2" t="inlineStr">
        <is>
          <t>Food Cost Kit Pro — AI Chef Pro</t>
        </is>
      </c>
    </row>
    <row r="4">
      <c r="B4" s="3" t="inlineStr">
        <is>
          <t>www.aichef.pro</t>
        </is>
      </c>
    </row>
    <row r="5"/>
    <row r="6">
      <c r="B6" s="4" t="inlineStr">
        <is>
          <t>How to use this template</t>
        </is>
      </c>
    </row>
    <row r="7">
      <c r="B7" s="5" t="n"/>
    </row>
    <row r="8">
      <c r="B8" s="6" t="inlineStr">
        <is>
          <t>▸ One tab per menu item: smash burger, loaded fries, and pulled pork.</t>
        </is>
      </c>
    </row>
    <row r="9">
      <c r="B9" s="6" t="inlineStr">
        <is>
          <t>▸ The "Break-Even" tab: enter your daily fixed costs and sales mix, and the sheet tells you how many units you need to sell to cover them and at what revenue.</t>
        </is>
      </c>
    </row>
    <row r="10">
      <c r="B10" s="6" t="inlineStr">
        <is>
          <t>▸ The contribution margin comes from the three recipe cost card tabs: change a recipe or a price and the break-even point moves on its own.</t>
        </is>
      </c>
    </row>
    <row r="11">
      <c r="B11" s="6" t="inlineStr">
        <is>
          <t>▸ Reference target food cost for a food truck: 28-35%.</t>
        </is>
      </c>
    </row>
    <row r="12">
      <c r="B12" s="6" t="inlineStr">
        <is>
          <t>▸ GREEN cells are editable; everything else is a formula.</t>
        </is>
      </c>
    </row>
    <row r="13"/>
    <row r="14">
      <c r="B14" s="4" t="inlineStr">
        <is>
          <t>Recipe cost card columns</t>
        </is>
      </c>
    </row>
    <row r="15"/>
    <row r="16">
      <c r="B16" s="6" t="inlineStr">
        <is>
          <t>▸ Ingredient: the product exactly as you buy it.</t>
        </is>
      </c>
    </row>
    <row r="17">
      <c r="B17" s="6" t="inlineStr">
        <is>
          <t>▸ Category: the ingredient's family (dropdown). It's what preloads the trim loss % in the empty rows.</t>
        </is>
      </c>
    </row>
    <row r="18">
      <c r="B18" s="6" t="inlineStr">
        <is>
          <t>▸ Purchase unit: the unit you BUY in (lb, gal, dozen, bunch…).</t>
        </is>
      </c>
    </row>
    <row r="19">
      <c r="B19" s="6" t="inlineStr">
        <is>
          <t>▸ Price/Unit: what you pay for that purchase unit.</t>
        </is>
      </c>
    </row>
    <row r="20">
      <c r="B20" s="6" t="inlineStr">
        <is>
          <t>▸ Do you keep your prices in template 13 (Ingredient Price Tracker)? Copy its "Price per base unit" into "Price/Unit" with Paste Special → Values (in Excel, Ctrl+Alt+V then V) and put that same unit in "Purchase unit." A normal paste would drag the formula along: the price and cost on that line would go blank with no warning, and the dish cost would come out lower than it really is.</t>
        </is>
      </c>
    </row>
    <row r="21">
      <c r="B21" s="6" t="inlineStr">
        <is>
          <t>▸ Quantity: the amount you use in the dish, IN THE RECIPE UNIT.</t>
        </is>
      </c>
    </row>
    <row r="22">
      <c r="B22" s="6" t="inlineStr">
        <is>
          <t>▸ Recipe unit: the unit you measure in while cooking (oz, fl oz, tbsp, each…).</t>
        </is>
      </c>
    </row>
    <row r="23">
      <c r="B23" s="6" t="inlineStr">
        <is>
          <t>▸ Factor: automatic Purchase unit → Recipe unit conversion, from the "Conversions" tab. If the pair is NOT in the table, Factor turns red with a "?" and Cost shows "check units": add the equivalence in "Conversions" before trusting the number. It never shows a plausible but wrong cost.</t>
        </is>
      </c>
    </row>
    <row r="24">
      <c r="B24" s="6" t="inlineStr">
        <is>
          <t>▸ Trim loss %: the amount lost in cleaning and prep. In the example rows it's entered by hand; in the empty ones it's preloaded from the "Trim Loss Factors" tab as soon as you pick a category, and you can type over it.</t>
        </is>
      </c>
    </row>
    <row r="25">
      <c r="B25" s="6" t="inlineStr">
        <is>
          <t>▸ Watch the trim loss % when you measure by the PIECE: the 11% for eggs is the SHELL, and it only makes sense as a percentage of weight. If you buy and measure by the each, leave it at 0%: six eggs are six eggs, not 6.74. The same rule applies to any ingredient you count by the unit.</t>
        </is>
      </c>
    </row>
    <row r="26">
      <c r="B26" s="6" t="inlineStr">
        <is>
          <t>▸ AP qty: what you need to buy once trim loss is factored in (automatic).</t>
        </is>
      </c>
    </row>
    <row r="27">
      <c r="B27" s="6" t="inlineStr">
        <is>
          <t>▸ Cost: AP qty × Price/Unit ÷ Factor (automatic).</t>
        </is>
      </c>
    </row>
    <row r="28"/>
    <row r="29">
      <c r="B29" s="4" t="inlineStr">
        <is>
          <t>Results block</t>
        </is>
      </c>
    </row>
    <row r="30"/>
    <row r="31">
      <c r="B31" s="6" t="inlineStr">
        <is>
          <t>▸ Q-factor (%): a markup on the raw ingredient cost that covers seasonings, oil, garnish, packaging and small prep losses you don't cost line by line. It defaults to 10%; set it to 0% if you'd rather account for those costs separately.</t>
        </is>
      </c>
    </row>
    <row r="32">
      <c r="B32" s="6" t="inlineStr">
        <is>
          <t>▸ TOTAL DISH COST: raw ingredients + Q-factor.</t>
        </is>
      </c>
    </row>
    <row r="33">
      <c r="B33" s="6" t="inlineStr">
        <is>
          <t>▸ Number of portions: how many portions the recipe cost card yields. Leave it at 1 for a single-serving dish.</t>
        </is>
      </c>
    </row>
    <row r="34">
      <c r="B34" s="6" t="inlineStr">
        <is>
          <t>▸ COST PER PORTION: total cost ÷ portions. It's the basis for the menu price.</t>
        </is>
      </c>
    </row>
    <row r="35">
      <c r="B35" s="6" t="inlineStr">
        <is>
          <t>▸ Target food cost %: the one you want to hit. Suggested menu price (pre-tax) = cost per portion ÷ target food cost %.</t>
        </is>
      </c>
    </row>
    <row r="36">
      <c r="B36" s="6" t="inlineStr">
        <is>
          <t>▸ Tax rate (%): editable, 0% by default. US: leave 0% — menu prices are pre-tax and sales tax is added to the check (or type your local rate to see the price incl. tax). UK: 20% VAT, and menu prices include it. Canada: prices are shown before GST/HST (5-15%). Australia: 10% GST, included in menu prices.</t>
        </is>
      </c>
    </row>
    <row r="37">
      <c r="B37" s="6" t="inlineStr">
        <is>
          <t>▸ Current menu price (pre-tax / ex VAT): what you charge TODAY. Leave it blank if you don't have it yet.</t>
        </is>
      </c>
    </row>
    <row r="38">
      <c r="B38" s="6" t="inlineStr">
        <is>
          <t>▸ ACTUAL FOOD COST %: cost per portion ÷ current menu price. It turns red as soon as it goes over your target.</t>
        </is>
      </c>
    </row>
    <row r="39"/>
    <row r="40">
      <c r="B40" s="4" t="inlineStr">
        <is>
          <t>Helper tabs</t>
        </is>
      </c>
    </row>
    <row r="41"/>
    <row r="42">
      <c r="B42" s="6" t="inlineStr">
        <is>
          <t>▸ "Conversions": Purchase unit → Recipe unit equivalents. It is NOT protected: add any pairs you're missing and fix the container sizes. The bottle is set to 750 ml and the can to 355 ml (U.S. sizes); in the UK spirits come in 700 ml bottles and cans in 330 ml — change the number in "bottle→ml" or "can→ml" and every related row follows.</t>
        </is>
      </c>
    </row>
    <row r="43">
      <c r="B43" s="6" t="inlineStr">
        <is>
          <t>▸ "Trim Loss Factors": minimum, typical and maximum trim loss % by category. The typical value is what preloads in the empty rows.</t>
        </is>
      </c>
    </row>
    <row r="44"/>
    <row r="45">
      <c r="B45" s="4" t="inlineStr">
        <is>
          <t>Sheet protection</t>
        </is>
      </c>
    </row>
    <row r="46"/>
    <row r="47">
      <c r="B47" s="6" t="inlineStr">
        <is>
          <t>▸ Sheets are protected WITHOUT a password so you don't delete a formula by accident: only the green cells are meant to be edited.</t>
        </is>
      </c>
    </row>
    <row r="48">
      <c r="B48" s="6" t="inlineStr">
        <is>
          <t>▸ To do anything else — insert rows, paste in the dish photo, change a formula: Excel: Review → Unprotect Sheet. Google Sheets: Data → Protect sheets and ranges. No password needed.</t>
        </is>
      </c>
    </row>
    <row r="49">
      <c r="B49" s="6" t="inlineStr">
        <is>
          <t>▸ If you run out of rows: unprotect the sheet and insert rows INSIDE the ingredient block (right-click a row in the block → Insert), never below the last one. That way "TOTAL INGREDIENT COST" picks them up automatically; anything you type below the block does NOT get added.</t>
        </is>
      </c>
    </row>
    <row r="50">
      <c r="B50" s="6" t="inlineStr">
        <is>
          <t>▸ You can't drag in the dish photo while the sheet is protected: first Excel: Review → Unprotect Sheet, then Insert → Pictures. Google Sheets: Data → Protect sheets and ranges, then Insert → Image → Image over cells.</t>
        </is>
      </c>
    </row>
    <row r="51"/>
    <row r="52">
      <c r="B52" s="4" t="inlineStr">
        <is>
          <t>Standard trim loss reference</t>
        </is>
      </c>
    </row>
    <row r="53"/>
    <row r="54">
      <c r="B54" s="6" t="inlineStr">
        <is>
          <t>▸ Beef &amp; red meat 20% | Poultry 25% | Fish 35% | Shellfish 45%</t>
        </is>
      </c>
    </row>
    <row r="55">
      <c r="B55" s="6" t="inlineStr">
        <is>
          <t>▸ Leafy greens 25% | Root vegetables 12% | Fruiting vegetables 10% | Fruit 15%</t>
        </is>
      </c>
    </row>
    <row r="56">
      <c r="B56" s="6" t="inlineStr">
        <is>
          <t>▸ Dairy 3% | Dry goods &amp; grains 2% | Frozen 7% | Bread &amp; pastry 5%</t>
        </is>
      </c>
    </row>
    <row r="57">
      <c r="B57" s="6" t="inlineStr">
        <is>
          <t>▸ Eggs 11% | Oils &amp; fats 3% | Herbs &amp; spices 20% | Chocolate &amp; cocoa 5%</t>
        </is>
      </c>
    </row>
    <row r="58">
      <c r="B58" s="6" t="inlineStr">
        <is>
          <t>▸ Beverages &amp; spirits 2% | Mushrooms 20% | Canned &amp; pickled 8% | Sauces &amp; condiments 5%</t>
        </is>
      </c>
    </row>
    <row r="59">
      <c r="B59" s="6" t="inlineStr">
        <is>
          <t>▸ Pasta &amp; rice 2%</t>
        </is>
      </c>
    </row>
    <row r="60">
      <c r="B60" s="6" t="inlineStr">
        <is>
          <t>▸ These are the 21 categories in the dropdown. The full table, with minimum and maximum, is on the "Trim Loss Factors" tab.</t>
        </is>
      </c>
    </row>
    <row r="61"/>
    <row r="62">
      <c r="B62" s="4" t="inlineStr">
        <is>
          <t>From invoice to price per unit</t>
        </is>
      </c>
    </row>
    <row r="63"/>
    <row r="64">
      <c r="B64" s="6" t="inlineStr">
        <is>
          <t>▸ Price/Unit is what you pay for ONE purchase unit: fees included (a split-case fee, for instance), recoverable tax left out (UK VAT if you're VAT-registered; in the U.S., food bought for resale is usually exempt from sales tax).</t>
        </is>
      </c>
    </row>
    <row r="65">
      <c r="B65" s="6" t="inlineStr">
        <is>
          <t>▸ Catch weight (meat, fish or cheese billed by actual weight; the invoice line reads 1 case, 50.2 lb × price per lb): buy in lb or kg at the invoice price per lb or kg. The case doesn't matter. The tenderloin in template 01 is bought this way, at $17.21/lb.</t>
        </is>
      </c>
    </row>
    <row r="66">
      <c r="B66" s="6" t="inlineStr">
        <is>
          <t>▸ Fixed-weight case that's on the dropdown (50 lb bag, 36x1 lb case, 4x1 gal case, 15 dz case…): pick it as Purchase unit and type the case price exactly as invoiced; the Factor divides it for you. A $29.99 50 lb bag of flour used at 10 oz costs $0.37.</t>
        </is>
      </c>
    </row>
    <row r="67">
      <c r="B67" s="6" t="inlineStr">
        <is>
          <t>▸ Any other case: read the pack/size on the invoice (4/10 lb = 4 bags of 10 lb = 40 lb; 6/105 oz = six 105 oz cans) and buy in lb, oz, gal or each, with Price/Unit = case price ÷ contents. Say a 6/5 lb case costs $75.00: that's 30 lb, so $2.50/lb. The dropdown won't take a unit that isn't on its list.</t>
        </is>
      </c>
    </row>
    <row r="68">
      <c r="B68" s="6" t="inlineStr">
        <is>
          <t>▸ #10 cans: the net weight depends on the product (96 to 117 oz, per the USDA Food Buying Guide), so there's no #10 unit. Buy in oz, with Price/Unit = can price ÷ the net weight on the label: a 105 oz can at $5.25 is $0.05 per oz.</t>
        </is>
      </c>
    </row>
    <row r="69">
      <c r="B69" s="6" t="inlineStr">
        <is>
          <t>▸ Fryer oil is sold by weight (a 35 lb jug-in-box) and shared by everything you fry. Leave it to the Q-factor, or cost it by weight: buy in lb and use in oz, as "Loaded Fries" does.</t>
        </is>
      </c>
    </row>
    <row r="70"/>
    <row r="71">
      <c r="B71" s="4" t="inlineStr">
        <is>
          <t>Units: what to watch</t>
        </is>
      </c>
    </row>
    <row r="72"/>
    <row r="73">
      <c r="B73" s="6" t="inlineStr">
        <is>
          <t>▸ oz is weight, fl oz is volume. What you buy by weight (lb, oz, kg, g) you use by weight; what you buy by volume (gal, qt, pt, cup, fl oz, L, ml) you use by volume. Crossing over shows '?' and 'check units', on purpose.</t>
        </is>
      </c>
    </row>
    <row r="74">
      <c r="B74" s="6" t="inlineStr">
        <is>
          <t>▸ U.S. and imperial measures differ. In this kit pt, qt, gal, cup and fl oz are U.S. (1 pt = 473 ml, 1 gal = 3.785 L, 1 fl oz = 29.6 ml). An imperial pint is 568 ml (use imp pt) and a UK fl oz is 28.4 ml; in the UK, work in ml and L.</t>
        </is>
      </c>
    </row>
    <row r="75">
      <c r="B75" s="6" t="inlineStr">
        <is>
          <t>▸ 'can' on the list is a 12 fl oz (355 ml) beverage can, not a #10 food can (see above).</t>
        </is>
      </c>
    </row>
    <row r="76">
      <c r="B76" s="6" t="inlineStr">
        <is>
          <t>▸ UK sizes, exactly where: on "Conversions", cell B147 (row bottle→ml, 750: type 700 for a 70 cl bottle) and cell B153 (row can→ml, 355: type 330). Every bottle and can row reads those two cells. It's one size per workbook: if you buy 70 cl spirits and 75 cl wine, keep 'bottle' for the one you use most and cost the other in L.</t>
        </is>
      </c>
    </row>
    <row r="77"/>
    <row r="78">
      <c r="B78" s="4" t="inlineStr">
        <is>
          <t>Yield, cooking loss, scaling and sub-recipes</t>
        </is>
      </c>
    </row>
    <row r="79"/>
    <row r="80">
      <c r="B80" s="6" t="inlineStr">
        <is>
          <t>▸ Your own trim loss: weigh the product as it arrives and again once trimmed; trim loss % = 1 − trimmed weight ÷ AP weight. For whole cuts with trim you reuse (tips, chain, bones for stock), use template 12 (Yield Test): it credits those by-products, so the tenderloin's 39.3% raw loss becomes 37.4% for the card.</t>
        </is>
      </c>
    </row>
    <row r="81">
      <c r="B81" s="6" t="inlineStr">
        <is>
          <t>▸ Cooking loss: if the quantity on the card is the COOKED portion (a 4 oz cooked patty), trim loss must include what's lost on the heat: 1 − (1 − trim loss) × (1 − cooking loss). The Cooking Loss Test tab of template 12 does the math. Or simply enter the raw weight.</t>
        </is>
      </c>
    </row>
    <row r="82">
      <c r="B82" s="6" t="inlineStr">
        <is>
          <t>▸ Scaling: conversion factor = new yield ÷ old yield. Multiply every Quantity by it and set Number of portions to the new yield (from 10 to 25: factor 2.5, so 3 lb becomes 7.5 lb). Cost per portion doesn't change; the total does. Duplicate the tab first (right-click the tab → Move or Copy → Create a copy).</t>
        </is>
      </c>
    </row>
    <row r="83">
      <c r="B83" s="6" t="inlineStr">
        <is>
          <t>▸ Sub-recipes (stocks, sauces, doughs): cost the batch on its own card (a copy of the tab) with Number of portions = the batch yield in the unit you'll use (e.g., 6 qt) and Q-factor at 0%, so it isn't counted twice. On the main card, buy it in that unit: in Price/Unit type = and click the sub-recipe's COST PER PORTION. The dark veal stock in template 01 ($10.00 a quart) is a placeholder for exactly that.</t>
        </is>
      </c>
    </row>
    <row r="84">
      <c r="B84" s="6" t="inlineStr">
        <is>
          <t>▸ Weigh dry goods. The kit never converts volume to weight: a cup of flour weighs more or less depending on how it's filled. Enter flour, sugar and the like in oz or g; if a recipe says cups, weigh one cup of YOUR product once and use that weight. Pinches of salt and spices: weigh them or leave them to the Q-factor.</t>
        </is>
      </c>
    </row>
    <row r="85">
      <c r="B85" s="6" t="inlineStr">
        <is>
          <t>▸ Keep your prices in template 13 (Ingredient Price Tracker): it flags any ingredient that has gone up more than 5% since your cards were costed, so you know which cards to update.</t>
        </is>
      </c>
    </row>
    <row r="86"/>
    <row r="87">
      <c r="B87" s="4" t="inlineStr">
        <is>
          <t>Tax by market: what to type and what to print</t>
        </is>
      </c>
    </row>
    <row r="88"/>
    <row r="89">
      <c r="B89" s="6" t="inlineStr">
        <is>
          <t>▸ U.S.: leave Tax rate (%) at 0%. Print the pre-tax suggested price; sales tax is added to the check (about 7.5% on average, state plus local). In Current menu price, type the price as printed.</t>
        </is>
      </c>
    </row>
    <row r="90">
      <c r="B90" s="6" t="inlineStr">
        <is>
          <t>▸ UK: set 20% (VAT) and print the price incl. tax, since UK menus show VAT-inclusive prices. In Current menu price, type your menu price WITHOUT VAT, dividing by 1.20 rather than subtracting 20%: £18.00 on the menu is 15.00, not 14.40. Your GP % is 100% minus the actual food cost %.</t>
        </is>
      </c>
    </row>
    <row r="91">
      <c r="B91" s="6" t="inlineStr">
        <is>
          <t>▸ Canada: as in the U.S., menus show prices before GST/HST (5-15%): leave 0%, or type your rate to see what the guest pays.</t>
        </is>
      </c>
    </row>
    <row r="92">
      <c r="B92" s="6" t="inlineStr">
        <is>
          <t>▸ Australia: set 10% (GST) and print the price incl. tax; in Current menu price, type the menu price ÷ 1.10.</t>
        </is>
      </c>
    </row>
    <row r="93">
      <c r="B93" s="6" t="inlineStr">
        <is>
          <t>▸ Tips and service charges are never part of the price you cost against.</t>
        </is>
      </c>
    </row>
    <row r="94"/>
    <row r="95">
      <c r="B95" s="4" t="inlineStr">
        <is>
          <t>Using Google Sheets</t>
        </is>
      </c>
    </row>
    <row r="96"/>
    <row r="97">
      <c r="B97" s="6" t="inlineStr">
        <is>
          <t>▸ This file is built for Microsoft Excel. In Google Sheets: upload it to Google Drive, open it and choose File → Save as Google Sheets (Protect sheets and ranges isn't available while it's still an .xlsx). To go back: File → Download → Microsoft Excel (.xlsx).</t>
        </is>
      </c>
    </row>
    <row r="98">
      <c r="B98" s="6" t="inlineStr">
        <is>
          <t>▸ Paste values only: Ctrl+Shift+V (Mac: Cmd+Shift+V) or Edit → Paste special → Values only. In Excel for Mac, Paste Special is Ctrl+Cmd+V.</t>
        </is>
      </c>
    </row>
    <row r="99">
      <c r="B99" s="6" t="inlineStr">
        <is>
          <t>▸ Protection: Data → Protect sheets and ranges. Dropdowns: Data → Data validation; if one doesn't come across, type the value exactly as it appears on its list (fl oz, 50 lb bag, Beef &amp; red meat): the formulas read the text.</t>
        </is>
      </c>
    </row>
    <row r="100">
      <c r="B100" s="6" t="inlineStr">
        <is>
          <t>▸ Duplicate a tab: right-click the tab → Duplicate.</t>
        </is>
      </c>
    </row>
    <row r="101"/>
    <row r="102">
      <c r="B102" s="4" t="inlineStr">
        <is>
          <t>Good to know</t>
        </is>
      </c>
    </row>
    <row r="103"/>
    <row r="104">
      <c r="B104" s="6" t="inlineStr">
        <is>
          <t>▸ Amounts have no currency symbol: they're in your currency. The examples use U.S. dollars.</t>
        </is>
      </c>
    </row>
    <row r="105">
      <c r="B105" s="6" t="inlineStr">
        <is>
          <t>▸ Sample prices are illustrative U.S. references — replace them with your own supplier invoices.</t>
        </is>
      </c>
    </row>
    <row r="106">
      <c r="B106" s="6" t="inlineStr">
        <is>
          <t>▸ The daily costs on "Break-Even" ($465 a day: commissary, insurance and permits, fuel, 2 staff, truck depreciation, cleaning) are U.S. placeholders. Replace them with yours.</t>
        </is>
      </c>
    </row>
    <row r="107">
      <c r="B107" s="6" t="inlineStr">
        <is>
          <t>License: one business (all its locations) per purchase — use it with your clients, but don't hand out copies; schools: info@aichef.pro</t>
        </is>
      </c>
    </row>
    <row r="108"/>
    <row r="109">
      <c r="B109" s="6" t="inlineStr">
        <is>
          <t>— Food Cost Kit Pro · AI Chef Pro · aichef.pro</t>
        </is>
      </c>
    </row>
    <row r="110"/>
    <row r="111">
      <c r="B111" s="6" t="inlineStr">
        <is>
          <t>© 2026 AI Chef Pro · All rights reserved</t>
        </is>
      </c>
    </row>
    <row r="112"/>
    <row r="113">
      <c r="B113" s="6" t="inlineStr">
        <is>
          <t>Version 2.1 · September 2026 · aichef.pro/en/digital-products/food-cost-templates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Double Smash Burger with Cheese</t>
        </is>
      </c>
    </row>
    <row r="2" ht="17" customHeight="1">
      <c r="A2" s="51" t="inlineStr">
        <is>
          <t>Enter your ingredients and quantities. Green cells are editable.</t>
        </is>
      </c>
    </row>
    <row r="3">
      <c r="L3" s="10" t="inlineStr">
        <is>
          <t>📷 Dish Photo</t>
        </is>
      </c>
      <c r="M3" s="48" t="n"/>
    </row>
    <row r="4" ht="28" customHeight="1">
      <c r="A4" s="12" t="inlineStr">
        <is>
          <t>Ingredient</t>
        </is>
      </c>
      <c r="B4" s="12" t="inlineStr">
        <is>
          <t>Category</t>
        </is>
      </c>
      <c r="C4" s="12" t="inlineStr">
        <is>
          <t>Purchase unit</t>
        </is>
      </c>
      <c r="D4" s="12" t="inlineStr">
        <is>
          <t>Price/Unit</t>
        </is>
      </c>
      <c r="E4" s="12" t="inlineStr">
        <is>
          <t>Quantity</t>
        </is>
      </c>
      <c r="F4" s="12" t="inlineStr">
        <is>
          <t>Recipe unit</t>
        </is>
      </c>
      <c r="G4" s="12" t="inlineStr">
        <is>
          <t>Factor</t>
        </is>
      </c>
      <c r="H4" s="12" t="inlineStr">
        <is>
          <t>Trim loss %</t>
        </is>
      </c>
      <c r="I4" s="12" t="inlineStr">
        <is>
          <t>AP qty</t>
        </is>
      </c>
      <c r="J4" s="12" t="inlineStr">
        <is>
          <t>Cost</t>
        </is>
      </c>
      <c r="L4" s="13" t="n"/>
      <c r="M4" s="14" t="n"/>
    </row>
    <row r="5" ht="28" customHeight="1">
      <c r="A5" s="52" t="inlineStr">
        <is>
          <t>Ground beef (80/20), 2 x 3 oz balls</t>
        </is>
      </c>
      <c r="B5" s="53" t="inlineStr">
        <is>
          <t>Beef &amp; red meat</t>
        </is>
      </c>
      <c r="C5" s="53" t="inlineStr">
        <is>
          <t>lb</t>
        </is>
      </c>
      <c r="D5" s="54" t="n">
        <v>3.33</v>
      </c>
      <c r="E5" s="55" t="n">
        <v>6</v>
      </c>
      <c r="F5" s="53" t="inlineStr">
        <is>
          <t>oz</t>
        </is>
      </c>
      <c r="G5" s="56">
        <f>IF(C5&amp;F5="","",IFERROR(VLOOKUP(C5&amp;"→"&amp;F5,Conversions!$A$5:$B$286,2,FALSE),"?"))</f>
        <v>16.0</v>
      </c>
      <c r="H5" s="57" t="n">
        <v>0</v>
      </c>
      <c r="I5" s="20">
        <f>IFERROR(IF(E5="","",E5/(1-H5)),"check trim loss")</f>
        <v>6.0</v>
      </c>
      <c r="J5" s="21">
        <f>IF(G5="?","check units",IFERROR(I5*D5/G5,""))</f>
        <v>1.24875</v>
      </c>
      <c r="L5" s="22" t="n"/>
      <c r="M5" s="23" t="n"/>
    </row>
    <row r="6" ht="28" customHeight="1">
      <c r="A6" s="52" t="inlineStr">
        <is>
          <t>Brioche bun</t>
        </is>
      </c>
      <c r="B6" s="53" t="inlineStr">
        <is>
          <t>Bread &amp; pastry</t>
        </is>
      </c>
      <c r="C6" s="53" t="inlineStr">
        <is>
          <t>each</t>
        </is>
      </c>
      <c r="D6" s="54" t="n">
        <v>0.9374</v>
      </c>
      <c r="E6" s="55" t="n">
        <v>1</v>
      </c>
      <c r="F6" s="53" t="inlineStr">
        <is>
          <t>each</t>
        </is>
      </c>
      <c r="G6" s="56">
        <f>IF(C6&amp;F6="","",IFERROR(VLOOKUP(C6&amp;"→"&amp;F6,Conversions!$A$5:$B$286,2,FALSE),"?"))</f>
        <v>1.0</v>
      </c>
      <c r="H6" s="57" t="n">
        <v>0</v>
      </c>
      <c r="I6" s="20">
        <f>IFERROR(IF(E6="","",E6/(1-H6)),"check trim loss")</f>
        <v>1.0</v>
      </c>
      <c r="J6" s="21">
        <f>IF(G6="?","check units",IFERROR(I6*D6/G6,""))</f>
        <v>0.9374</v>
      </c>
      <c r="L6" s="22" t="n"/>
      <c r="M6" s="23" t="n"/>
    </row>
    <row r="7" ht="28" customHeight="1">
      <c r="A7" s="52" t="inlineStr">
        <is>
          <t>American cheese (slices)</t>
        </is>
      </c>
      <c r="B7" s="53" t="inlineStr">
        <is>
          <t>Dairy</t>
        </is>
      </c>
      <c r="C7" s="53" t="inlineStr">
        <is>
          <t>each</t>
        </is>
      </c>
      <c r="D7" s="54" t="n">
        <v>0.1377</v>
      </c>
      <c r="E7" s="55" t="n">
        <v>2</v>
      </c>
      <c r="F7" s="53" t="inlineStr">
        <is>
          <t>each</t>
        </is>
      </c>
      <c r="G7" s="56">
        <f>IF(C7&amp;F7="","",IFERROR(VLOOKUP(C7&amp;"→"&amp;F7,Conversions!$A$5:$B$286,2,FALSE),"?"))</f>
        <v>1.0</v>
      </c>
      <c r="H7" s="57" t="n">
        <v>0</v>
      </c>
      <c r="I7" s="20">
        <f>IFERROR(IF(E7="","",E7/(1-H7)),"check trim loss")</f>
        <v>2.0</v>
      </c>
      <c r="J7" s="21">
        <f>IF(G7="?","check units",IFERROR(I7*D7/G7,""))</f>
        <v>0.2754</v>
      </c>
      <c r="L7" s="22" t="n"/>
      <c r="M7" s="23" t="n"/>
    </row>
    <row r="8" ht="28" customHeight="1">
      <c r="A8" s="52" t="inlineStr">
        <is>
          <t>Onion</t>
        </is>
      </c>
      <c r="B8" s="53" t="inlineStr">
        <is>
          <t>Root vegetables</t>
        </is>
      </c>
      <c r="C8" s="53" t="inlineStr">
        <is>
          <t>lb</t>
        </is>
      </c>
      <c r="D8" s="54" t="n">
        <v>1.22</v>
      </c>
      <c r="E8" s="55" t="n">
        <v>1.5</v>
      </c>
      <c r="F8" s="53" t="inlineStr">
        <is>
          <t>oz</t>
        </is>
      </c>
      <c r="G8" s="56">
        <f>IF(C8&amp;F8="","",IFERROR(VLOOKUP(C8&amp;"→"&amp;F8,Conversions!$A$5:$B$286,2,FALSE),"?"))</f>
        <v>16.0</v>
      </c>
      <c r="H8" s="57" t="n">
        <v>0.12</v>
      </c>
      <c r="I8" s="20">
        <f>IFERROR(IF(E8="","",E8/(1-H8)),"check trim loss")</f>
        <v>1.7045454545454546</v>
      </c>
      <c r="J8" s="21">
        <f>IF(G8="?","check units",IFERROR(I8*D8/G8,""))</f>
        <v>0.1299715909090909</v>
      </c>
      <c r="L8" s="24" t="inlineStr">
        <is>
          <t>Photo of the finished dish:
Review → Unprotect Sheet,
then Insert → Picture</t>
        </is>
      </c>
      <c r="M8" s="25" t="n"/>
    </row>
    <row r="9" ht="28" customHeight="1">
      <c r="A9" s="52" t="inlineStr">
        <is>
          <t>Iceberg lettuce</t>
        </is>
      </c>
      <c r="B9" s="53" t="inlineStr">
        <is>
          <t>Leafy greens</t>
        </is>
      </c>
      <c r="C9" s="53" t="inlineStr">
        <is>
          <t>lb</t>
        </is>
      </c>
      <c r="D9" s="54" t="n">
        <v>1.47</v>
      </c>
      <c r="E9" s="55" t="n">
        <v>0.75</v>
      </c>
      <c r="F9" s="53" t="inlineStr">
        <is>
          <t>oz</t>
        </is>
      </c>
      <c r="G9" s="56">
        <f>IF(C9&amp;F9="","",IFERROR(VLOOKUP(C9&amp;"→"&amp;F9,Conversions!$A$5:$B$286,2,FALSE),"?"))</f>
        <v>16.0</v>
      </c>
      <c r="H9" s="57" t="n">
        <v>0.25</v>
      </c>
      <c r="I9" s="20">
        <f>IFERROR(IF(E9="","",E9/(1-H9)),"check trim loss")</f>
        <v>1.0</v>
      </c>
      <c r="J9" s="21">
        <f>IF(G9="?","check units",IFERROR(I9*D9/G9,""))</f>
        <v>0.091875</v>
      </c>
      <c r="L9" s="26" t="n"/>
      <c r="M9" s="27" t="n"/>
    </row>
    <row r="10" ht="28" customHeight="1">
      <c r="A10" s="52" t="inlineStr">
        <is>
          <t>Tomato</t>
        </is>
      </c>
      <c r="B10" s="53" t="inlineStr">
        <is>
          <t>Fruiting vegetables</t>
        </is>
      </c>
      <c r="C10" s="53" t="inlineStr">
        <is>
          <t>lb</t>
        </is>
      </c>
      <c r="D10" s="54" t="n">
        <v>1.98</v>
      </c>
      <c r="E10" s="55" t="n">
        <v>1</v>
      </c>
      <c r="F10" s="53" t="inlineStr">
        <is>
          <t>oz</t>
        </is>
      </c>
      <c r="G10" s="56">
        <f>IF(C10&amp;F10="","",IFERROR(VLOOKUP(C10&amp;"→"&amp;F10,Conversions!$A$5:$B$286,2,FALSE),"?"))</f>
        <v>16.0</v>
      </c>
      <c r="H10" s="57" t="n">
        <v>0.1</v>
      </c>
      <c r="I10" s="20">
        <f>IFERROR(IF(E10="","",E10/(1-H10)),"check trim loss")</f>
        <v>1.1111111111111112</v>
      </c>
      <c r="J10" s="21">
        <f>IF(G10="?","check units",IFERROR(I10*D10/G10,""))</f>
        <v>0.1375</v>
      </c>
      <c r="L10" s="22" t="n"/>
      <c r="M10" s="23" t="n"/>
    </row>
    <row r="11" ht="28" customHeight="1">
      <c r="A11" s="52" t="inlineStr">
        <is>
          <t>Special sauce</t>
        </is>
      </c>
      <c r="B11" s="53" t="inlineStr">
        <is>
          <t>Sauces &amp; condiments</t>
        </is>
      </c>
      <c r="C11" s="53" t="inlineStr">
        <is>
          <t>qt</t>
        </is>
      </c>
      <c r="D11" s="54" t="n">
        <v>3.44</v>
      </c>
      <c r="E11" s="55" t="n">
        <v>0.75</v>
      </c>
      <c r="F11" s="53" t="inlineStr">
        <is>
          <t>fl oz</t>
        </is>
      </c>
      <c r="G11" s="56">
        <f>IF(C11&amp;F11="","",IFERROR(VLOOKUP(C11&amp;"→"&amp;F11,Conversions!$A$5:$B$286,2,FALSE),"?"))</f>
        <v>32.0</v>
      </c>
      <c r="H11" s="57" t="n">
        <v>0.05</v>
      </c>
      <c r="I11" s="20">
        <f>IFERROR(IF(E11="","",E11/(1-H11)),"check trim loss")</f>
        <v>0.7894736842105263</v>
      </c>
      <c r="J11" s="21">
        <f>IF(G11="?","check units",IFERROR(I11*D11/G11,""))</f>
        <v>0.08486842105263158</v>
      </c>
      <c r="L11" s="22" t="n"/>
      <c r="M11" s="23" t="n"/>
    </row>
    <row r="12" ht="28" customHeight="1">
      <c r="A12" s="52" t="inlineStr">
        <is>
          <t>Pickle chips</t>
        </is>
      </c>
      <c r="B12" s="53" t="inlineStr">
        <is>
          <t>Canned &amp; pickled</t>
        </is>
      </c>
      <c r="C12" s="53" t="inlineStr">
        <is>
          <t>lb</t>
        </is>
      </c>
      <c r="D12" s="54" t="n">
        <v>1.39</v>
      </c>
      <c r="E12" s="55" t="n">
        <v>0.75</v>
      </c>
      <c r="F12" s="53" t="inlineStr">
        <is>
          <t>oz</t>
        </is>
      </c>
      <c r="G12" s="56">
        <f>IF(C12&amp;F12="","",IFERROR(VLOOKUP(C12&amp;"→"&amp;F12,Conversions!$A$5:$B$286,2,FALSE),"?"))</f>
        <v>16.0</v>
      </c>
      <c r="H12" s="57" t="n">
        <v>0.02</v>
      </c>
      <c r="I12" s="20">
        <f>IFERROR(IF(E12="","",E12/(1-H12)),"check trim loss")</f>
        <v>0.7653061224489796</v>
      </c>
      <c r="J12" s="21">
        <f>IF(G12="?","check units",IFERROR(I12*D12/G12,""))</f>
        <v>0.0664859693877551</v>
      </c>
      <c r="L12" s="22" t="n"/>
      <c r="M12" s="23" t="n"/>
    </row>
    <row r="13" ht="28" customHeight="1">
      <c r="A13" s="58" t="n"/>
      <c r="B13" s="58" t="n"/>
      <c r="C13" s="58" t="n"/>
      <c r="D13" s="58" t="n"/>
      <c r="E13" s="58" t="n"/>
      <c r="F13" s="58" t="n"/>
      <c r="G13" s="56">
        <f>IF(C13&amp;F13="","",IFERROR(VLOOKUP(C13&amp;"→"&amp;F13,Conversions!$A$5:$B$286,2,FALSE),"?"))</f>
        <v/>
      </c>
      <c r="H13" s="59">
        <f>IFERROR(VLOOKUP(B13,'Trim Loss Factors'!$A$5:$C$25,2,FALSE),"")</f>
        <v/>
      </c>
      <c r="I13" s="30">
        <f>IFERROR(IF(E13="","",E13/(1-H13)),"check trim loss")</f>
        <v/>
      </c>
      <c r="J13" s="31">
        <f>IF(G13="?","check units",IFERROR(I13*D13/G13,""))</f>
        <v/>
      </c>
      <c r="L13" s="22" t="n"/>
      <c r="M13" s="23" t="n"/>
    </row>
    <row r="14" ht="28" customHeight="1">
      <c r="A14" s="58" t="n"/>
      <c r="B14" s="58" t="n"/>
      <c r="C14" s="58" t="n"/>
      <c r="D14" s="58" t="n"/>
      <c r="E14" s="58" t="n"/>
      <c r="F14" s="58" t="n"/>
      <c r="G14" s="56">
        <f>IF(C14&amp;F14="","",IFERROR(VLOOKUP(C14&amp;"→"&amp;F14,Conversions!$A$5:$B$286,2,FALSE),"?"))</f>
        <v/>
      </c>
      <c r="H14" s="59">
        <f>IFERROR(VLOOKUP(B14,'Trim Loss Factors'!$A$5:$C$25,2,FALSE),"")</f>
        <v/>
      </c>
      <c r="I14" s="30">
        <f>IFERROR(IF(E14="","",E14/(1-H14)),"check trim loss")</f>
        <v/>
      </c>
      <c r="J14" s="31">
        <f>IF(G14="?","check units",IFERROR(I14*D14/G14,""))</f>
        <v/>
      </c>
      <c r="L14" s="32" t="n"/>
      <c r="M14" s="33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IF(C15&amp;F15="","",IFERROR(VLOOKUP(C15&amp;"→"&amp;F15,Conversions!$A$5:$B$286,2,FALSE),"?"))</f>
        <v/>
      </c>
      <c r="H15" s="59">
        <f>IFERROR(VLOOKUP(B15,'Trim Loss Factors'!$A$5:$C$25,2,FALSE),"")</f>
        <v/>
      </c>
      <c r="I15" s="30">
        <f>IFERROR(IF(E15="","",E15/(1-H15)),"check trim loss")</f>
        <v/>
      </c>
      <c r="J15" s="31">
        <f>IF(G15="?","check units",IFERROR(I15*D15/G15,""))</f>
        <v/>
      </c>
      <c r="L15" s="34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IF(C16&amp;F16="","",IFERROR(VLOOKUP(C16&amp;"→"&amp;F16,Conversions!$A$5:$B$286,2,FALSE),"?"))</f>
        <v/>
      </c>
      <c r="H16" s="59">
        <f>IFERROR(VLOOKUP(B16,'Trim Loss Factors'!$A$5:$C$25,2,FALSE),"")</f>
        <v/>
      </c>
      <c r="I16" s="30">
        <f>IFERROR(IF(E16="","",E16/(1-H16)),"check trim loss")</f>
        <v/>
      </c>
      <c r="J16" s="31">
        <f>IF(G16="?","check units",IFERROR(I16*D16/G16,""))</f>
        <v/>
      </c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IF(C17&amp;F17="","",IFERROR(VLOOKUP(C17&amp;"→"&amp;F17,Conversions!$A$5:$B$286,2,FALSE),"?"))</f>
        <v/>
      </c>
      <c r="H17" s="59">
        <f>IFERROR(VLOOKUP(B17,'Trim Loss Factors'!$A$5:$C$25,2,FALSE),"")</f>
        <v/>
      </c>
      <c r="I17" s="30">
        <f>IFERROR(IF(E17="","",E17/(1-H17)),"check trim loss")</f>
        <v/>
      </c>
      <c r="J17" s="31">
        <f>IF(G17="?","check units",IFERROR(I17*D17/G17,""))</f>
        <v/>
      </c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IF(C18&amp;F18="","",IFERROR(VLOOKUP(C18&amp;"→"&amp;F18,Conversions!$A$5:$B$286,2,FALSE),"?"))</f>
        <v/>
      </c>
      <c r="H18" s="59">
        <f>IFERROR(VLOOKUP(B18,'Trim Loss Factors'!$A$5:$C$25,2,FALSE),"")</f>
        <v/>
      </c>
      <c r="I18" s="30">
        <f>IFERROR(IF(E18="","",E18/(1-H18)),"check trim loss")</f>
        <v/>
      </c>
      <c r="J18" s="31">
        <f>IF(G18="?","check units",IFERROR(I18*D18/G18,""))</f>
        <v/>
      </c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IF(C19&amp;F19="","",IFERROR(VLOOKUP(C19&amp;"→"&amp;F19,Conversions!$A$5:$B$286,2,FALSE),"?"))</f>
        <v/>
      </c>
      <c r="H19" s="59">
        <f>IFERROR(VLOOKUP(B19,'Trim Loss Factors'!$A$5:$C$25,2,FALSE),"")</f>
        <v/>
      </c>
      <c r="I19" s="30">
        <f>IFERROR(IF(E19="","",E19/(1-H19)),"check trim loss")</f>
        <v/>
      </c>
      <c r="J19" s="31">
        <f>IF(G19="?","check units",IFERROR(I19*D19/G19,""))</f>
        <v/>
      </c>
    </row>
    <row r="20">
      <c r="A20" s="58" t="n"/>
      <c r="B20" s="58" t="n"/>
      <c r="C20" s="58" t="n"/>
      <c r="D20" s="58" t="n"/>
      <c r="E20" s="58" t="n"/>
      <c r="F20" s="58" t="n"/>
      <c r="G20" s="56">
        <f>IF(C20&amp;F20="","",IFERROR(VLOOKUP(C20&amp;"→"&amp;F20,Conversions!$A$5:$B$286,2,FALSE),"?"))</f>
        <v/>
      </c>
      <c r="H20" s="59">
        <f>IFERROR(VLOOKUP(B20,'Trim Loss Factors'!$A$5:$C$25,2,FALSE),"")</f>
        <v/>
      </c>
      <c r="I20" s="30">
        <f>IFERROR(IF(E20="","",E20/(1-H20)),"check trim loss")</f>
        <v/>
      </c>
      <c r="J20" s="31">
        <f>IF(G20="?","check units",IFERROR(I20*D20/G20,""))</f>
        <v/>
      </c>
    </row>
    <row r="21">
      <c r="A21" s="58" t="n"/>
      <c r="B21" s="58" t="n"/>
      <c r="C21" s="58" t="n"/>
      <c r="D21" s="58" t="n"/>
      <c r="E21" s="58" t="n"/>
      <c r="F21" s="58" t="n"/>
      <c r="G21" s="56">
        <f>IF(C21&amp;F21="","",IFERROR(VLOOKUP(C21&amp;"→"&amp;F21,Conversions!$A$5:$B$286,2,FALSE),"?"))</f>
        <v/>
      </c>
      <c r="H21" s="59">
        <f>IFERROR(VLOOKUP(B21,'Trim Loss Factors'!$A$5:$C$25,2,FALSE),"")</f>
        <v/>
      </c>
      <c r="I21" s="30">
        <f>IFERROR(IF(E21="","",E21/(1-H21)),"check trim loss")</f>
        <v/>
      </c>
      <c r="J21" s="31">
        <f>IF(G21="?","check units",IFERROR(I21*D21/G21,""))</f>
        <v/>
      </c>
    </row>
    <row r="22">
      <c r="A22" s="58" t="n"/>
      <c r="B22" s="58" t="n"/>
      <c r="C22" s="58" t="n"/>
      <c r="D22" s="58" t="n"/>
      <c r="E22" s="58" t="n"/>
      <c r="F22" s="58" t="n"/>
      <c r="G22" s="56">
        <f>IF(C22&amp;F22="","",IFERROR(VLOOKUP(C22&amp;"→"&amp;F22,Conversions!$A$5:$B$286,2,FALSE),"?"))</f>
        <v/>
      </c>
      <c r="H22" s="59">
        <f>IFERROR(VLOOKUP(B22,'Trim Loss Factors'!$A$5:$C$25,2,FALSE),"")</f>
        <v/>
      </c>
      <c r="I22" s="30">
        <f>IFERROR(IF(E22="","",E22/(1-H22)),"check trim loss")</f>
        <v/>
      </c>
      <c r="J22" s="31">
        <f>IF(G22="?","check units",IFERROR(I22*D22/G22,""))</f>
        <v/>
      </c>
    </row>
    <row r="23"/>
    <row r="24">
      <c r="A24" s="35" t="inlineStr">
        <is>
          <t>TOTAL INGREDIENT COST</t>
        </is>
      </c>
      <c r="B24" s="49" t="n"/>
      <c r="C24" s="49" t="n"/>
      <c r="D24" s="49" t="n"/>
      <c r="E24" s="49" t="n"/>
      <c r="F24" s="49" t="n"/>
      <c r="G24" s="49" t="n"/>
      <c r="H24" s="49" t="n"/>
      <c r="I24" s="50" t="n"/>
      <c r="J24" s="36">
        <f>SUM(J5:J22)</f>
        <v>2.9722509813494775</v>
      </c>
    </row>
    <row r="25">
      <c r="A25" s="37" t="inlineStr">
        <is>
          <t>Q-factor (%)</t>
        </is>
      </c>
      <c r="B25" s="49" t="n"/>
      <c r="C25" s="49" t="n"/>
      <c r="D25" s="49" t="n"/>
      <c r="E25" s="49" t="n"/>
      <c r="F25" s="49" t="n"/>
      <c r="G25" s="49" t="n"/>
      <c r="H25" s="50" t="n"/>
      <c r="I25" s="60" t="n">
        <v>0.1</v>
      </c>
      <c r="J25" s="38">
        <f>J24*I25</f>
        <v>0.29722509813494774</v>
      </c>
    </row>
    <row r="26">
      <c r="A26" s="39" t="inlineStr">
        <is>
          <t>TOTAL DISH COST</t>
        </is>
      </c>
      <c r="B26" s="49" t="n"/>
      <c r="C26" s="49" t="n"/>
      <c r="D26" s="49" t="n"/>
      <c r="E26" s="49" t="n"/>
      <c r="F26" s="49" t="n"/>
      <c r="G26" s="49" t="n"/>
      <c r="H26" s="49" t="n"/>
      <c r="I26" s="50" t="n"/>
      <c r="J26" s="40">
        <f>J24+J25</f>
        <v>3.2694760794844253</v>
      </c>
    </row>
    <row r="27">
      <c r="A27" s="37" t="inlineStr">
        <is>
          <t>Number of portions</t>
        </is>
      </c>
      <c r="B27" s="49" t="n"/>
      <c r="C27" s="49" t="n"/>
      <c r="D27" s="49" t="n"/>
      <c r="E27" s="49" t="n"/>
      <c r="F27" s="49" t="n"/>
      <c r="G27" s="49" t="n"/>
      <c r="H27" s="50" t="n"/>
      <c r="I27" s="61" t="n">
        <v>1</v>
      </c>
      <c r="J27" s="38" t="n"/>
    </row>
    <row r="28">
      <c r="A28" s="39" t="inlineStr">
        <is>
          <t>COST PER PORTION</t>
        </is>
      </c>
      <c r="B28" s="49" t="n"/>
      <c r="C28" s="49" t="n"/>
      <c r="D28" s="49" t="n"/>
      <c r="E28" s="49" t="n"/>
      <c r="F28" s="49" t="n"/>
      <c r="G28" s="49" t="n"/>
      <c r="H28" s="49" t="n"/>
      <c r="I28" s="50" t="n"/>
      <c r="J28" s="40">
        <f>IFERROR(J26/I27,"")</f>
        <v>3.2694760794844253</v>
      </c>
    </row>
    <row r="29"/>
    <row r="30">
      <c r="A30" s="41" t="inlineStr">
        <is>
          <t>Target food cost %</t>
        </is>
      </c>
      <c r="B30" s="49" t="n"/>
      <c r="C30" s="49" t="n"/>
      <c r="D30" s="49" t="n"/>
      <c r="E30" s="49" t="n"/>
      <c r="F30" s="49" t="n"/>
      <c r="G30" s="49" t="n"/>
      <c r="H30" s="50" t="n"/>
      <c r="I30" s="62" t="n">
        <v>0.3</v>
      </c>
    </row>
    <row r="31">
      <c r="A31" s="43" t="inlineStr">
        <is>
          <t>Suggested menu price (pre-tax)</t>
        </is>
      </c>
      <c r="B31" s="49" t="n"/>
      <c r="C31" s="49" t="n"/>
      <c r="D31" s="49" t="n"/>
      <c r="E31" s="49" t="n"/>
      <c r="F31" s="49" t="n"/>
      <c r="G31" s="49" t="n"/>
      <c r="H31" s="49" t="n"/>
      <c r="I31" s="50" t="n"/>
      <c r="J31" s="44">
        <f>IFERROR(J28/I30,"")</f>
        <v>10.898253598281418</v>
      </c>
    </row>
    <row r="32">
      <c r="A32" s="37" t="inlineStr">
        <is>
          <t>Tax rate (%)</t>
        </is>
      </c>
      <c r="B32" s="49" t="n"/>
      <c r="C32" s="49" t="n"/>
      <c r="D32" s="49" t="n"/>
      <c r="E32" s="49" t="n"/>
      <c r="F32" s="49" t="n"/>
      <c r="G32" s="49" t="n"/>
      <c r="H32" s="50" t="n"/>
      <c r="I32" s="60" t="n">
        <v>0</v>
      </c>
      <c r="J32" s="38" t="n"/>
    </row>
    <row r="33">
      <c r="A33" s="39" t="inlineStr">
        <is>
          <t>Menu price incl. tax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0">
        <f>IFERROR(J31*(1+I32),"")</f>
        <v>10.898253598281418</v>
      </c>
    </row>
    <row r="34">
      <c r="A34" s="43" t="inlineStr">
        <is>
          <t>Gross profit per portion (at suggested price)</t>
        </is>
      </c>
      <c r="B34" s="49" t="n"/>
      <c r="C34" s="49" t="n"/>
      <c r="D34" s="49" t="n"/>
      <c r="E34" s="49" t="n"/>
      <c r="F34" s="49" t="n"/>
      <c r="G34" s="49" t="n"/>
      <c r="H34" s="49" t="n"/>
      <c r="I34" s="50" t="n"/>
      <c r="J34" s="44">
        <f>IFERROR(J31-J28,"")</f>
        <v>7.628777518796992</v>
      </c>
    </row>
    <row r="35">
      <c r="A35" s="37" t="inlineStr">
        <is>
          <t>Target GP % (at suggested price)</t>
        </is>
      </c>
      <c r="B35" s="49" t="n"/>
      <c r="C35" s="49" t="n"/>
      <c r="D35" s="49" t="n"/>
      <c r="E35" s="49" t="n"/>
      <c r="F35" s="49" t="n"/>
      <c r="G35" s="49" t="n"/>
      <c r="H35" s="49" t="n"/>
      <c r="I35" s="50" t="n"/>
      <c r="J35" s="47">
        <f>IFERROR((J31-J28)/J31,"")</f>
        <v>0.7</v>
      </c>
    </row>
    <row r="36"/>
    <row r="37">
      <c r="A37" s="37" t="inlineStr">
        <is>
          <t>Current menu price (pre-tax / ex VAT)</t>
        </is>
      </c>
      <c r="B37" s="49" t="n"/>
      <c r="C37" s="49" t="n"/>
      <c r="D37" s="49" t="n"/>
      <c r="E37" s="49" t="n"/>
      <c r="F37" s="49" t="n"/>
      <c r="G37" s="49" t="n"/>
      <c r="H37" s="50" t="n"/>
      <c r="I37" s="63" t="n">
        <v>11</v>
      </c>
      <c r="J37" s="38" t="n"/>
    </row>
    <row r="38">
      <c r="A38" s="39" t="inlineStr">
        <is>
          <t>Actual food cost % (actual GP % = 100% − this)</t>
        </is>
      </c>
      <c r="B38" s="49" t="n"/>
      <c r="C38" s="49" t="n"/>
      <c r="D38" s="49" t="n"/>
      <c r="E38" s="49" t="n"/>
      <c r="F38" s="49" t="n"/>
      <c r="G38" s="49" t="n"/>
      <c r="H38" s="49" t="n"/>
      <c r="I38" s="50" t="n"/>
      <c r="J38" s="64">
        <f>IFERROR(J28/I37,"")</f>
        <v>0.29722509813494774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L15:M15"/>
    <mergeCell ref="A30:H30"/>
    <mergeCell ref="A32:H32"/>
    <mergeCell ref="A34:I34"/>
    <mergeCell ref="L8:M9"/>
    <mergeCell ref="A2:J2"/>
    <mergeCell ref="A38:I38"/>
    <mergeCell ref="A27:H27"/>
    <mergeCell ref="A33:I33"/>
    <mergeCell ref="A31:I31"/>
    <mergeCell ref="A28:I28"/>
    <mergeCell ref="L3:M3"/>
    <mergeCell ref="A37:H37"/>
    <mergeCell ref="A26:I26"/>
    <mergeCell ref="A25:H25"/>
    <mergeCell ref="A35:I35"/>
    <mergeCell ref="A1:J1"/>
    <mergeCell ref="A24:I24"/>
  </mergeCells>
  <conditionalFormatting sqref="G5:G22">
    <cfRule type="cellIs" priority="1" operator="equal" dxfId="0">
      <formula>"?"</formula>
    </cfRule>
  </conditionalFormatting>
  <conditionalFormatting sqref="J38">
    <cfRule type="expression" priority="2" dxfId="0" stopIfTrue="0">
      <formula>AND(ISNUMBER($J$38),$J$38&gt;$I$30)</formula>
    </cfRule>
  </conditionalFormatting>
  <dataValidations count="2">
    <dataValidation sqref="B5:B22" showDropDown="0" showInputMessage="0" showErrorMessage="1" allowBlank="1" errorTitle="Invalid value" error="Choose a category from the list (&quot;Trim Loss Factors&quot; tab)." type="list">
      <formula1>'Trim Loss Factors'!$A$5:$A$25</formula1>
    </dataValidation>
    <dataValidation sqref="C5:C22 F5:F22" showDropDown="0" showInputMessage="0" showErrorMessage="1" allowBlank="1" errorTitle="Invalid value" error="Choose a unit from the list." type="list">
      <formula1>"lb,oz,kg,g,gal,qt,pt,imp pt,cup,fl oz,tbsp,tsp,L,ml,cl,each,dozen,bunch,packet,can,bottle,15 dz case,30 dz case,50 lb bag,40 lb case,36x1 lb case,16 kg sack,40x250 g case,4x1 gal case,12x750 ml case,24x12 fl oz case,1/2 bbl keg,1/6 bbl keg,50 L keg"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Loaded Fries with Pulled Pork</t>
        </is>
      </c>
    </row>
    <row r="2" ht="17" customHeight="1">
      <c r="A2" s="51" t="inlineStr">
        <is>
          <t>Enter your ingredients and quantities. Green cells are editable.</t>
        </is>
      </c>
    </row>
    <row r="3">
      <c r="L3" s="10" t="inlineStr">
        <is>
          <t>📷 Dish Photo</t>
        </is>
      </c>
      <c r="M3" s="48" t="n"/>
    </row>
    <row r="4" ht="28" customHeight="1">
      <c r="A4" s="12" t="inlineStr">
        <is>
          <t>Ingredient</t>
        </is>
      </c>
      <c r="B4" s="12" t="inlineStr">
        <is>
          <t>Category</t>
        </is>
      </c>
      <c r="C4" s="12" t="inlineStr">
        <is>
          <t>Purchase unit</t>
        </is>
      </c>
      <c r="D4" s="12" t="inlineStr">
        <is>
          <t>Price/Unit</t>
        </is>
      </c>
      <c r="E4" s="12" t="inlineStr">
        <is>
          <t>Quantity</t>
        </is>
      </c>
      <c r="F4" s="12" t="inlineStr">
        <is>
          <t>Recipe unit</t>
        </is>
      </c>
      <c r="G4" s="12" t="inlineStr">
        <is>
          <t>Factor</t>
        </is>
      </c>
      <c r="H4" s="12" t="inlineStr">
        <is>
          <t>Trim loss %</t>
        </is>
      </c>
      <c r="I4" s="12" t="inlineStr">
        <is>
          <t>AP qty</t>
        </is>
      </c>
      <c r="J4" s="12" t="inlineStr">
        <is>
          <t>Cost</t>
        </is>
      </c>
      <c r="L4" s="13" t="n"/>
      <c r="M4" s="14" t="n"/>
    </row>
    <row r="5" ht="28" customHeight="1">
      <c r="A5" s="52" t="inlineStr">
        <is>
          <t>Potatoes (for fries)</t>
        </is>
      </c>
      <c r="B5" s="53" t="inlineStr">
        <is>
          <t>Root vegetables</t>
        </is>
      </c>
      <c r="C5" s="53" t="inlineStr">
        <is>
          <t>50 lb bag</t>
        </is>
      </c>
      <c r="D5" s="54" t="n">
        <v>36.48</v>
      </c>
      <c r="E5" s="55" t="n">
        <v>9</v>
      </c>
      <c r="F5" s="53" t="inlineStr">
        <is>
          <t>oz</t>
        </is>
      </c>
      <c r="G5" s="56">
        <f>IF(C5&amp;F5="","",IFERROR(VLOOKUP(C5&amp;"→"&amp;F5,Conversions!$A$5:$B$286,2,FALSE),"?"))</f>
        <v>800.0</v>
      </c>
      <c r="H5" s="57" t="n">
        <v>0.12</v>
      </c>
      <c r="I5" s="20">
        <f>IFERROR(IF(E5="","",E5/(1-H5)),"check trim loss")</f>
        <v>10.227272727272727</v>
      </c>
      <c r="J5" s="21">
        <f>IF(G5="?","check units",IFERROR(I5*D5/G5,""))</f>
        <v>0.46636363636363626</v>
      </c>
      <c r="L5" s="22" t="n"/>
      <c r="M5" s="23" t="n"/>
    </row>
    <row r="6" ht="28" customHeight="1">
      <c r="A6" s="52" t="inlineStr">
        <is>
          <t>Pulled pork</t>
        </is>
      </c>
      <c r="B6" s="53" t="inlineStr">
        <is>
          <t>Beef &amp; red meat</t>
        </is>
      </c>
      <c r="C6" s="53" t="inlineStr">
        <is>
          <t>lb</t>
        </is>
      </c>
      <c r="D6" s="54" t="n">
        <v>8.279999999999999</v>
      </c>
      <c r="E6" s="55" t="n">
        <v>3.5</v>
      </c>
      <c r="F6" s="53" t="inlineStr">
        <is>
          <t>oz</t>
        </is>
      </c>
      <c r="G6" s="56">
        <f>IF(C6&amp;F6="","",IFERROR(VLOOKUP(C6&amp;"→"&amp;F6,Conversions!$A$5:$B$286,2,FALSE),"?"))</f>
        <v>16.0</v>
      </c>
      <c r="H6" s="57" t="n">
        <v>0.1</v>
      </c>
      <c r="I6" s="20">
        <f>IFERROR(IF(E6="","",E6/(1-H6)),"check trim loss")</f>
        <v>3.888888888888889</v>
      </c>
      <c r="J6" s="21">
        <f>IF(G6="?","check units",IFERROR(I6*D6/G6,""))</f>
        <v>2.0124999999999997</v>
      </c>
      <c r="L6" s="22" t="n"/>
      <c r="M6" s="23" t="n"/>
    </row>
    <row r="7" ht="28" customHeight="1">
      <c r="A7" s="52" t="inlineStr">
        <is>
          <t>Shredded cheddar cheese</t>
        </is>
      </c>
      <c r="B7" s="53" t="inlineStr">
        <is>
          <t>Dairy</t>
        </is>
      </c>
      <c r="C7" s="53" t="inlineStr">
        <is>
          <t>lb</t>
        </is>
      </c>
      <c r="D7" s="54" t="n">
        <v>3.05</v>
      </c>
      <c r="E7" s="55" t="n">
        <v>1.5</v>
      </c>
      <c r="F7" s="53" t="inlineStr">
        <is>
          <t>oz</t>
        </is>
      </c>
      <c r="G7" s="56">
        <f>IF(C7&amp;F7="","",IFERROR(VLOOKUP(C7&amp;"→"&amp;F7,Conversions!$A$5:$B$286,2,FALSE),"?"))</f>
        <v>16.0</v>
      </c>
      <c r="H7" s="57" t="n">
        <v>0.03</v>
      </c>
      <c r="I7" s="20">
        <f>IFERROR(IF(E7="","",E7/(1-H7)),"check trim loss")</f>
        <v>1.5463917525773196</v>
      </c>
      <c r="J7" s="21">
        <f>IF(G7="?","check units",IFERROR(I7*D7/G7,""))</f>
        <v>0.29478092783505155</v>
      </c>
      <c r="L7" s="22" t="n"/>
      <c r="M7" s="23" t="n"/>
    </row>
    <row r="8" ht="28" customHeight="1">
      <c r="A8" s="52" t="inlineStr">
        <is>
          <t>BBQ sauce</t>
        </is>
      </c>
      <c r="B8" s="53" t="inlineStr">
        <is>
          <t>Sauces &amp; condiments</t>
        </is>
      </c>
      <c r="C8" s="53" t="inlineStr">
        <is>
          <t>4x1 gal case</t>
        </is>
      </c>
      <c r="D8" s="54" t="n">
        <v>58.99</v>
      </c>
      <c r="E8" s="55" t="n">
        <v>1</v>
      </c>
      <c r="F8" s="53" t="inlineStr">
        <is>
          <t>fl oz</t>
        </is>
      </c>
      <c r="G8" s="56">
        <f>IF(C8&amp;F8="","",IFERROR(VLOOKUP(C8&amp;"→"&amp;F8,Conversions!$A$5:$B$286,2,FALSE),"?"))</f>
        <v>512.0</v>
      </c>
      <c r="H8" s="57" t="n">
        <v>0.05</v>
      </c>
      <c r="I8" s="20">
        <f>IFERROR(IF(E8="","",E8/(1-H8)),"check trim loss")</f>
        <v>1.0526315789473684</v>
      </c>
      <c r="J8" s="21">
        <f>IF(G8="?","check units",IFERROR(I8*D8/G8,""))</f>
        <v>0.12127878289473684</v>
      </c>
      <c r="L8" s="24" t="inlineStr">
        <is>
          <t>Photo of the finished dish:
Review → Unprotect Sheet,
then Insert → Picture</t>
        </is>
      </c>
      <c r="M8" s="25" t="n"/>
    </row>
    <row r="9" ht="28" customHeight="1">
      <c r="A9" s="52" t="inlineStr">
        <is>
          <t>Chives (1 sprig ≈ 1/12 bunch)</t>
        </is>
      </c>
      <c r="B9" s="53" t="inlineStr">
        <is>
          <t>Herbs &amp; spices</t>
        </is>
      </c>
      <c r="C9" s="53" t="inlineStr">
        <is>
          <t>bunch</t>
        </is>
      </c>
      <c r="D9" s="54" t="n">
        <v>0.72</v>
      </c>
      <c r="E9" s="55" t="n">
        <v>0.083</v>
      </c>
      <c r="F9" s="53" t="inlineStr">
        <is>
          <t>bunch</t>
        </is>
      </c>
      <c r="G9" s="56">
        <f>IF(C9&amp;F9="","",IFERROR(VLOOKUP(C9&amp;"→"&amp;F9,Conversions!$A$5:$B$286,2,FALSE),"?"))</f>
        <v>1.0</v>
      </c>
      <c r="H9" s="57" t="n">
        <v>0.2</v>
      </c>
      <c r="I9" s="20">
        <f>IFERROR(IF(E9="","",E9/(1-H9)),"check trim loss")</f>
        <v>0.10375</v>
      </c>
      <c r="J9" s="21">
        <f>IF(G9="?","check units",IFERROR(I9*D9/G9,""))</f>
        <v>0.07469999999999999</v>
      </c>
      <c r="L9" s="26" t="n"/>
      <c r="M9" s="27" t="n"/>
    </row>
    <row r="10" ht="28" customHeight="1">
      <c r="A10" s="52" t="inlineStr">
        <is>
          <t>Fryer oil (canola)</t>
        </is>
      </c>
      <c r="B10" s="53" t="inlineStr">
        <is>
          <t>Oils &amp; fats</t>
        </is>
      </c>
      <c r="C10" s="53" t="inlineStr">
        <is>
          <t>lb</t>
        </is>
      </c>
      <c r="D10" s="54" t="n">
        <v>1.26</v>
      </c>
      <c r="E10" s="55" t="n">
        <v>3.25</v>
      </c>
      <c r="F10" s="53" t="inlineStr">
        <is>
          <t>oz</t>
        </is>
      </c>
      <c r="G10" s="56">
        <f>IF(C10&amp;F10="","",IFERROR(VLOOKUP(C10&amp;"→"&amp;F10,Conversions!$A$5:$B$286,2,FALSE),"?"))</f>
        <v>16.0</v>
      </c>
      <c r="H10" s="57" t="n">
        <v>0</v>
      </c>
      <c r="I10" s="20">
        <f>IFERROR(IF(E10="","",E10/(1-H10)),"check trim loss")</f>
        <v>3.25</v>
      </c>
      <c r="J10" s="21">
        <f>IF(G10="?","check units",IFERROR(I10*D10/G10,""))</f>
        <v>0.2559375</v>
      </c>
      <c r="L10" s="22" t="n"/>
      <c r="M10" s="23" t="n"/>
    </row>
    <row r="11" ht="28" customHeight="1">
      <c r="A11" s="58" t="n"/>
      <c r="B11" s="58" t="n"/>
      <c r="C11" s="58" t="n"/>
      <c r="D11" s="58" t="n"/>
      <c r="E11" s="58" t="n"/>
      <c r="F11" s="58" t="n"/>
      <c r="G11" s="56">
        <f>IF(C11&amp;F11="","",IFERROR(VLOOKUP(C11&amp;"→"&amp;F11,Conversions!$A$5:$B$286,2,FALSE),"?"))</f>
        <v/>
      </c>
      <c r="H11" s="59">
        <f>IFERROR(VLOOKUP(B11,'Trim Loss Factors'!$A$5:$C$25,2,FALSE),"")</f>
        <v/>
      </c>
      <c r="I11" s="30">
        <f>IFERROR(IF(E11="","",E11/(1-H11)),"check trim loss")</f>
        <v/>
      </c>
      <c r="J11" s="31">
        <f>IF(G11="?","check units",IFERROR(I11*D11/G11,""))</f>
        <v/>
      </c>
      <c r="L11" s="22" t="n"/>
      <c r="M11" s="23" t="n"/>
    </row>
    <row r="12" ht="28" customHeight="1">
      <c r="A12" s="58" t="n"/>
      <c r="B12" s="58" t="n"/>
      <c r="C12" s="58" t="n"/>
      <c r="D12" s="58" t="n"/>
      <c r="E12" s="58" t="n"/>
      <c r="F12" s="58" t="n"/>
      <c r="G12" s="56">
        <f>IF(C12&amp;F12="","",IFERROR(VLOOKUP(C12&amp;"→"&amp;F12,Conversions!$A$5:$B$286,2,FALSE),"?"))</f>
        <v/>
      </c>
      <c r="H12" s="59">
        <f>IFERROR(VLOOKUP(B12,'Trim Loss Factors'!$A$5:$C$25,2,FALSE),"")</f>
        <v/>
      </c>
      <c r="I12" s="30">
        <f>IFERROR(IF(E12="","",E12/(1-H12)),"check trim loss")</f>
        <v/>
      </c>
      <c r="J12" s="31">
        <f>IF(G12="?","check units",IFERROR(I12*D12/G12,""))</f>
        <v/>
      </c>
      <c r="L12" s="22" t="n"/>
      <c r="M12" s="23" t="n"/>
    </row>
    <row r="13" ht="28" customHeight="1">
      <c r="A13" s="58" t="n"/>
      <c r="B13" s="58" t="n"/>
      <c r="C13" s="58" t="n"/>
      <c r="D13" s="58" t="n"/>
      <c r="E13" s="58" t="n"/>
      <c r="F13" s="58" t="n"/>
      <c r="G13" s="56">
        <f>IF(C13&amp;F13="","",IFERROR(VLOOKUP(C13&amp;"→"&amp;F13,Conversions!$A$5:$B$286,2,FALSE),"?"))</f>
        <v/>
      </c>
      <c r="H13" s="59">
        <f>IFERROR(VLOOKUP(B13,'Trim Loss Factors'!$A$5:$C$25,2,FALSE),"")</f>
        <v/>
      </c>
      <c r="I13" s="30">
        <f>IFERROR(IF(E13="","",E13/(1-H13)),"check trim loss")</f>
        <v/>
      </c>
      <c r="J13" s="31">
        <f>IF(G13="?","check units",IFERROR(I13*D13/G13,""))</f>
        <v/>
      </c>
      <c r="L13" s="22" t="n"/>
      <c r="M13" s="23" t="n"/>
    </row>
    <row r="14" ht="28" customHeight="1">
      <c r="A14" s="58" t="n"/>
      <c r="B14" s="58" t="n"/>
      <c r="C14" s="58" t="n"/>
      <c r="D14" s="58" t="n"/>
      <c r="E14" s="58" t="n"/>
      <c r="F14" s="58" t="n"/>
      <c r="G14" s="56">
        <f>IF(C14&amp;F14="","",IFERROR(VLOOKUP(C14&amp;"→"&amp;F14,Conversions!$A$5:$B$286,2,FALSE),"?"))</f>
        <v/>
      </c>
      <c r="H14" s="59">
        <f>IFERROR(VLOOKUP(B14,'Trim Loss Factors'!$A$5:$C$25,2,FALSE),"")</f>
        <v/>
      </c>
      <c r="I14" s="30">
        <f>IFERROR(IF(E14="","",E14/(1-H14)),"check trim loss")</f>
        <v/>
      </c>
      <c r="J14" s="31">
        <f>IF(G14="?","check units",IFERROR(I14*D14/G14,""))</f>
        <v/>
      </c>
      <c r="L14" s="32" t="n"/>
      <c r="M14" s="33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IF(C15&amp;F15="","",IFERROR(VLOOKUP(C15&amp;"→"&amp;F15,Conversions!$A$5:$B$286,2,FALSE),"?"))</f>
        <v/>
      </c>
      <c r="H15" s="59">
        <f>IFERROR(VLOOKUP(B15,'Trim Loss Factors'!$A$5:$C$25,2,FALSE),"")</f>
        <v/>
      </c>
      <c r="I15" s="30">
        <f>IFERROR(IF(E15="","",E15/(1-H15)),"check trim loss")</f>
        <v/>
      </c>
      <c r="J15" s="31">
        <f>IF(G15="?","check units",IFERROR(I15*D15/G15,""))</f>
        <v/>
      </c>
      <c r="L15" s="34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IF(C16&amp;F16="","",IFERROR(VLOOKUP(C16&amp;"→"&amp;F16,Conversions!$A$5:$B$286,2,FALSE),"?"))</f>
        <v/>
      </c>
      <c r="H16" s="59">
        <f>IFERROR(VLOOKUP(B16,'Trim Loss Factors'!$A$5:$C$25,2,FALSE),"")</f>
        <v/>
      </c>
      <c r="I16" s="30">
        <f>IFERROR(IF(E16="","",E16/(1-H16)),"check trim loss")</f>
        <v/>
      </c>
      <c r="J16" s="31">
        <f>IF(G16="?","check units",IFERROR(I16*D16/G16,""))</f>
        <v/>
      </c>
      <c r="L16" s="34" t="n"/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IF(C17&amp;F17="","",IFERROR(VLOOKUP(C17&amp;"→"&amp;F17,Conversions!$A$5:$B$286,2,FALSE),"?"))</f>
        <v/>
      </c>
      <c r="H17" s="59">
        <f>IFERROR(VLOOKUP(B17,'Trim Loss Factors'!$A$5:$C$25,2,FALSE),"")</f>
        <v/>
      </c>
      <c r="I17" s="30">
        <f>IFERROR(IF(E17="","",E17/(1-H17)),"check trim loss")</f>
        <v/>
      </c>
      <c r="J17" s="31">
        <f>IF(G17="?","check units",IFERROR(I17*D17/G17,""))</f>
        <v/>
      </c>
      <c r="L17" s="34" t="n"/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IF(C18&amp;F18="","",IFERROR(VLOOKUP(C18&amp;"→"&amp;F18,Conversions!$A$5:$B$286,2,FALSE),"?"))</f>
        <v/>
      </c>
      <c r="H18" s="59">
        <f>IFERROR(VLOOKUP(B18,'Trim Loss Factors'!$A$5:$C$25,2,FALSE),"")</f>
        <v/>
      </c>
      <c r="I18" s="30">
        <f>IFERROR(IF(E18="","",E18/(1-H18)),"check trim loss")</f>
        <v/>
      </c>
      <c r="J18" s="31">
        <f>IF(G18="?","check units",IFERROR(I18*D18/G18,""))</f>
        <v/>
      </c>
      <c r="L18" s="34" t="n"/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IF(C19&amp;F19="","",IFERROR(VLOOKUP(C19&amp;"→"&amp;F19,Conversions!$A$5:$B$286,2,FALSE),"?"))</f>
        <v/>
      </c>
      <c r="H19" s="59">
        <f>IFERROR(VLOOKUP(B19,'Trim Loss Factors'!$A$5:$C$25,2,FALSE),"")</f>
        <v/>
      </c>
      <c r="I19" s="30">
        <f>IFERROR(IF(E19="","",E19/(1-H19)),"check trim loss")</f>
        <v/>
      </c>
      <c r="J19" s="31">
        <f>IF(G19="?","check units",IFERROR(I19*D19/G19,""))</f>
        <v/>
      </c>
      <c r="L19" s="34" t="n"/>
    </row>
    <row r="20">
      <c r="A20" s="58" t="n"/>
      <c r="B20" s="58" t="n"/>
      <c r="C20" s="58" t="n"/>
      <c r="D20" s="58" t="n"/>
      <c r="E20" s="58" t="n"/>
      <c r="F20" s="58" t="n"/>
      <c r="G20" s="56">
        <f>IF(C20&amp;F20="","",IFERROR(VLOOKUP(C20&amp;"→"&amp;F20,Conversions!$A$5:$B$286,2,FALSE),"?"))</f>
        <v/>
      </c>
      <c r="H20" s="59">
        <f>IFERROR(VLOOKUP(B20,'Trim Loss Factors'!$A$5:$C$25,2,FALSE),"")</f>
        <v/>
      </c>
      <c r="I20" s="30">
        <f>IFERROR(IF(E20="","",E20/(1-H20)),"check trim loss")</f>
        <v/>
      </c>
      <c r="J20" s="31">
        <f>IF(G20="?","check units",IFERROR(I20*D20/G20,""))</f>
        <v/>
      </c>
      <c r="L20" s="34" t="n"/>
    </row>
    <row r="21"/>
    <row r="22">
      <c r="A22" s="35" t="inlineStr">
        <is>
          <t>TOTAL INGREDIENT COST</t>
        </is>
      </c>
      <c r="B22" s="49" t="n"/>
      <c r="C22" s="49" t="n"/>
      <c r="D22" s="49" t="n"/>
      <c r="E22" s="49" t="n"/>
      <c r="F22" s="49" t="n"/>
      <c r="G22" s="49" t="n"/>
      <c r="H22" s="49" t="n"/>
      <c r="I22" s="50" t="n"/>
      <c r="J22" s="36">
        <f>SUM(J5:J20)</f>
        <v>3.2255608470934245</v>
      </c>
    </row>
    <row r="23">
      <c r="A23" s="37" t="inlineStr">
        <is>
          <t>Q-factor (%)</t>
        </is>
      </c>
      <c r="B23" s="49" t="n"/>
      <c r="C23" s="49" t="n"/>
      <c r="D23" s="49" t="n"/>
      <c r="E23" s="49" t="n"/>
      <c r="F23" s="49" t="n"/>
      <c r="G23" s="49" t="n"/>
      <c r="H23" s="50" t="n"/>
      <c r="I23" s="60" t="n">
        <v>0.1</v>
      </c>
      <c r="J23" s="38">
        <f>J22*I23</f>
        <v>0.3225560847093425</v>
      </c>
    </row>
    <row r="24">
      <c r="A24" s="39" t="inlineStr">
        <is>
          <t>TOTAL DISH COST</t>
        </is>
      </c>
      <c r="B24" s="49" t="n"/>
      <c r="C24" s="49" t="n"/>
      <c r="D24" s="49" t="n"/>
      <c r="E24" s="49" t="n"/>
      <c r="F24" s="49" t="n"/>
      <c r="G24" s="49" t="n"/>
      <c r="H24" s="49" t="n"/>
      <c r="I24" s="50" t="n"/>
      <c r="J24" s="40">
        <f>J22+J23</f>
        <v>3.5481169318027668</v>
      </c>
    </row>
    <row r="25">
      <c r="A25" s="37" t="inlineStr">
        <is>
          <t>Number of portions</t>
        </is>
      </c>
      <c r="B25" s="49" t="n"/>
      <c r="C25" s="49" t="n"/>
      <c r="D25" s="49" t="n"/>
      <c r="E25" s="49" t="n"/>
      <c r="F25" s="49" t="n"/>
      <c r="G25" s="49" t="n"/>
      <c r="H25" s="50" t="n"/>
      <c r="I25" s="61" t="n">
        <v>1</v>
      </c>
      <c r="J25" s="38" t="n"/>
    </row>
    <row r="26">
      <c r="A26" s="39" t="inlineStr">
        <is>
          <t>COST PER PORTION</t>
        </is>
      </c>
      <c r="B26" s="49" t="n"/>
      <c r="C26" s="49" t="n"/>
      <c r="D26" s="49" t="n"/>
      <c r="E26" s="49" t="n"/>
      <c r="F26" s="49" t="n"/>
      <c r="G26" s="49" t="n"/>
      <c r="H26" s="49" t="n"/>
      <c r="I26" s="50" t="n"/>
      <c r="J26" s="40">
        <f>IFERROR(J24/I25,"")</f>
        <v>3.5481169318027668</v>
      </c>
    </row>
    <row r="27"/>
    <row r="28">
      <c r="A28" s="41" t="inlineStr">
        <is>
          <t>Target food cost %</t>
        </is>
      </c>
      <c r="B28" s="49" t="n"/>
      <c r="C28" s="49" t="n"/>
      <c r="D28" s="49" t="n"/>
      <c r="E28" s="49" t="n"/>
      <c r="F28" s="49" t="n"/>
      <c r="G28" s="49" t="n"/>
      <c r="H28" s="50" t="n"/>
      <c r="I28" s="62" t="n">
        <v>0.3</v>
      </c>
    </row>
    <row r="29">
      <c r="A29" s="43" t="inlineStr">
        <is>
          <t>Suggested menu price (pre-tax)</t>
        </is>
      </c>
      <c r="B29" s="49" t="n"/>
      <c r="C29" s="49" t="n"/>
      <c r="D29" s="49" t="n"/>
      <c r="E29" s="49" t="n"/>
      <c r="F29" s="49" t="n"/>
      <c r="G29" s="49" t="n"/>
      <c r="H29" s="49" t="n"/>
      <c r="I29" s="50" t="n"/>
      <c r="J29" s="44">
        <f>IFERROR(J26/I28,"")</f>
        <v>11.827056439342556</v>
      </c>
    </row>
    <row r="30">
      <c r="A30" s="37" t="inlineStr">
        <is>
          <t>Tax rate (%)</t>
        </is>
      </c>
      <c r="B30" s="49" t="n"/>
      <c r="C30" s="49" t="n"/>
      <c r="D30" s="49" t="n"/>
      <c r="E30" s="49" t="n"/>
      <c r="F30" s="49" t="n"/>
      <c r="G30" s="49" t="n"/>
      <c r="H30" s="50" t="n"/>
      <c r="I30" s="60" t="n">
        <v>0</v>
      </c>
      <c r="J30" s="38" t="n"/>
    </row>
    <row r="31">
      <c r="A31" s="39" t="inlineStr">
        <is>
          <t>Menu price incl. tax</t>
        </is>
      </c>
      <c r="B31" s="49" t="n"/>
      <c r="C31" s="49" t="n"/>
      <c r="D31" s="49" t="n"/>
      <c r="E31" s="49" t="n"/>
      <c r="F31" s="49" t="n"/>
      <c r="G31" s="49" t="n"/>
      <c r="H31" s="49" t="n"/>
      <c r="I31" s="50" t="n"/>
      <c r="J31" s="40">
        <f>IFERROR(J29*(1+I30),"")</f>
        <v>11.827056439342556</v>
      </c>
    </row>
    <row r="32">
      <c r="A32" s="43" t="inlineStr">
        <is>
          <t>Gross profit per portion (at suggested price)</t>
        </is>
      </c>
      <c r="B32" s="49" t="n"/>
      <c r="C32" s="49" t="n"/>
      <c r="D32" s="49" t="n"/>
      <c r="E32" s="49" t="n"/>
      <c r="F32" s="49" t="n"/>
      <c r="G32" s="49" t="n"/>
      <c r="H32" s="49" t="n"/>
      <c r="I32" s="50" t="n"/>
      <c r="J32" s="44">
        <f>IFERROR(J29-J26,"")</f>
        <v>8.27893950753979</v>
      </c>
    </row>
    <row r="33">
      <c r="A33" s="37" t="inlineStr">
        <is>
          <t>Target GP % (at suggested price)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7">
        <f>IFERROR((J29-J26)/J29,"")</f>
        <v>0.7</v>
      </c>
    </row>
    <row r="34"/>
    <row r="35">
      <c r="A35" s="37" t="inlineStr">
        <is>
          <t>Current menu price (pre-tax / ex VAT)</t>
        </is>
      </c>
      <c r="B35" s="49" t="n"/>
      <c r="C35" s="49" t="n"/>
      <c r="D35" s="49" t="n"/>
      <c r="E35" s="49" t="n"/>
      <c r="F35" s="49" t="n"/>
      <c r="G35" s="49" t="n"/>
      <c r="H35" s="50" t="n"/>
      <c r="I35" s="63" t="n">
        <v>11</v>
      </c>
      <c r="J35" s="38" t="n"/>
    </row>
    <row r="36">
      <c r="A36" s="39" t="inlineStr">
        <is>
          <t>Actual food cost % (actual GP % = 100% − this)</t>
        </is>
      </c>
      <c r="B36" s="49" t="n"/>
      <c r="C36" s="49" t="n"/>
      <c r="D36" s="49" t="n"/>
      <c r="E36" s="49" t="n"/>
      <c r="F36" s="49" t="n"/>
      <c r="G36" s="49" t="n"/>
      <c r="H36" s="49" t="n"/>
      <c r="I36" s="50" t="n"/>
      <c r="J36" s="64">
        <f>IFERROR(J26/I35,"")</f>
        <v>0.32255608470934244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0:H30"/>
    <mergeCell ref="A1:J1"/>
    <mergeCell ref="A28:H28"/>
    <mergeCell ref="A32:I32"/>
    <mergeCell ref="L8:M9"/>
    <mergeCell ref="A2:J2"/>
    <mergeCell ref="L20:M20"/>
    <mergeCell ref="A26:I26"/>
    <mergeCell ref="A35:H35"/>
    <mergeCell ref="A31:I31"/>
    <mergeCell ref="A33:I33"/>
    <mergeCell ref="A36:I36"/>
    <mergeCell ref="L3:M3"/>
    <mergeCell ref="A22:I22"/>
    <mergeCell ref="A25:H25"/>
    <mergeCell ref="A29:I29"/>
    <mergeCell ref="A23:H23"/>
    <mergeCell ref="A24:I24"/>
  </mergeCells>
  <conditionalFormatting sqref="G5:G20">
    <cfRule type="cellIs" priority="1" operator="equal" dxfId="0">
      <formula>"?"</formula>
    </cfRule>
  </conditionalFormatting>
  <conditionalFormatting sqref="J36">
    <cfRule type="expression" priority="2" dxfId="0" stopIfTrue="0">
      <formula>AND(ISNUMBER($J$36),$J$36&gt;$I$28)</formula>
    </cfRule>
  </conditionalFormatting>
  <dataValidations count="2">
    <dataValidation sqref="B5:B20" showDropDown="0" showInputMessage="0" showErrorMessage="1" allowBlank="1" errorTitle="Invalid value" error="Choose a category from the list (&quot;Trim Loss Factors&quot; tab)." type="list">
      <formula1>'Trim Loss Factors'!$A$5:$A$25</formula1>
    </dataValidation>
    <dataValidation sqref="C5:C20 F5:F20" showDropDown="0" showInputMessage="0" showErrorMessage="1" allowBlank="1" errorTitle="Invalid value" error="Choose a unit from the list." type="list">
      <formula1>"lb,oz,kg,g,gal,qt,pt,imp pt,cup,fl oz,tbsp,tsp,L,ml,cl,each,dozen,bunch,packet,can,bottle,15 dz case,30 dz case,50 lb bag,40 lb case,36x1 lb case,16 kg sack,40x250 g case,4x1 gal case,12x750 ml case,24x12 fl oz case,1/2 bbl keg,1/6 bbl keg,50 L keg"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Pulled Pork Sandwich</t>
        </is>
      </c>
    </row>
    <row r="2" ht="17" customHeight="1">
      <c r="A2" s="51" t="inlineStr">
        <is>
          <t>Enter your ingredients and quantities. Green cells are editable.</t>
        </is>
      </c>
    </row>
    <row r="3">
      <c r="L3" s="10" t="inlineStr">
        <is>
          <t>📷 Dish Photo</t>
        </is>
      </c>
      <c r="M3" s="48" t="n"/>
    </row>
    <row r="4" ht="28" customHeight="1">
      <c r="A4" s="12" t="inlineStr">
        <is>
          <t>Ingredient</t>
        </is>
      </c>
      <c r="B4" s="12" t="inlineStr">
        <is>
          <t>Category</t>
        </is>
      </c>
      <c r="C4" s="12" t="inlineStr">
        <is>
          <t>Purchase unit</t>
        </is>
      </c>
      <c r="D4" s="12" t="inlineStr">
        <is>
          <t>Price/Unit</t>
        </is>
      </c>
      <c r="E4" s="12" t="inlineStr">
        <is>
          <t>Quantity</t>
        </is>
      </c>
      <c r="F4" s="12" t="inlineStr">
        <is>
          <t>Recipe unit</t>
        </is>
      </c>
      <c r="G4" s="12" t="inlineStr">
        <is>
          <t>Factor</t>
        </is>
      </c>
      <c r="H4" s="12" t="inlineStr">
        <is>
          <t>Trim loss %</t>
        </is>
      </c>
      <c r="I4" s="12" t="inlineStr">
        <is>
          <t>AP qty</t>
        </is>
      </c>
      <c r="J4" s="12" t="inlineStr">
        <is>
          <t>Cost</t>
        </is>
      </c>
      <c r="L4" s="13" t="n"/>
      <c r="M4" s="14" t="n"/>
    </row>
    <row r="5" ht="28" customHeight="1">
      <c r="A5" s="52" t="inlineStr">
        <is>
          <t>Pulled pork</t>
        </is>
      </c>
      <c r="B5" s="53" t="inlineStr">
        <is>
          <t>Beef &amp; red meat</t>
        </is>
      </c>
      <c r="C5" s="53" t="inlineStr">
        <is>
          <t>lb</t>
        </is>
      </c>
      <c r="D5" s="54" t="n">
        <v>8.279999999999999</v>
      </c>
      <c r="E5" s="55" t="n">
        <v>5.5</v>
      </c>
      <c r="F5" s="53" t="inlineStr">
        <is>
          <t>oz</t>
        </is>
      </c>
      <c r="G5" s="56">
        <f>IF(C5&amp;F5="","",IFERROR(VLOOKUP(C5&amp;"→"&amp;F5,Conversions!$A$5:$B$286,2,FALSE),"?"))</f>
        <v>16.0</v>
      </c>
      <c r="H5" s="57" t="n">
        <v>0.1</v>
      </c>
      <c r="I5" s="20">
        <f>IFERROR(IF(E5="","",E5/(1-H5)),"check trim loss")</f>
        <v>6.111111111111111</v>
      </c>
      <c r="J5" s="21">
        <f>IF(G5="?","check units",IFERROR(I5*D5/G5,""))</f>
        <v>3.1624999999999996</v>
      </c>
      <c r="L5" s="22" t="n"/>
      <c r="M5" s="23" t="n"/>
    </row>
    <row r="6" ht="28" customHeight="1">
      <c r="A6" s="52" t="inlineStr">
        <is>
          <t>Brioche bun, large</t>
        </is>
      </c>
      <c r="B6" s="53" t="inlineStr">
        <is>
          <t>Bread &amp; pastry</t>
        </is>
      </c>
      <c r="C6" s="53" t="inlineStr">
        <is>
          <t>each</t>
        </is>
      </c>
      <c r="D6" s="54" t="n">
        <v>0.9999</v>
      </c>
      <c r="E6" s="55" t="n">
        <v>1</v>
      </c>
      <c r="F6" s="53" t="inlineStr">
        <is>
          <t>each</t>
        </is>
      </c>
      <c r="G6" s="56">
        <f>IF(C6&amp;F6="","",IFERROR(VLOOKUP(C6&amp;"→"&amp;F6,Conversions!$A$5:$B$286,2,FALSE),"?"))</f>
        <v>1.0</v>
      </c>
      <c r="H6" s="57" t="n">
        <v>0</v>
      </c>
      <c r="I6" s="20">
        <f>IFERROR(IF(E6="","",E6/(1-H6)),"check trim loss")</f>
        <v>1.0</v>
      </c>
      <c r="J6" s="21">
        <f>IF(G6="?","check units",IFERROR(I6*D6/G6,""))</f>
        <v>0.9999</v>
      </c>
      <c r="L6" s="22" t="n"/>
      <c r="M6" s="23" t="n"/>
    </row>
    <row r="7" ht="28" customHeight="1">
      <c r="A7" s="52" t="inlineStr">
        <is>
          <t>Coleslaw mix</t>
        </is>
      </c>
      <c r="B7" s="53" t="inlineStr">
        <is>
          <t>Leafy greens</t>
        </is>
      </c>
      <c r="C7" s="53" t="inlineStr">
        <is>
          <t>lb</t>
        </is>
      </c>
      <c r="D7" s="54" t="n">
        <v>2</v>
      </c>
      <c r="E7" s="55" t="n">
        <v>2</v>
      </c>
      <c r="F7" s="53" t="inlineStr">
        <is>
          <t>oz</t>
        </is>
      </c>
      <c r="G7" s="56">
        <f>IF(C7&amp;F7="","",IFERROR(VLOOKUP(C7&amp;"→"&amp;F7,Conversions!$A$5:$B$286,2,FALSE),"?"))</f>
        <v>16.0</v>
      </c>
      <c r="H7" s="57" t="n">
        <v>0.1</v>
      </c>
      <c r="I7" s="20">
        <f>IFERROR(IF(E7="","",E7/(1-H7)),"check trim loss")</f>
        <v>2.2222222222222223</v>
      </c>
      <c r="J7" s="21">
        <f>IF(G7="?","check units",IFERROR(I7*D7/G7,""))</f>
        <v>0.2777777777777778</v>
      </c>
      <c r="L7" s="22" t="n"/>
      <c r="M7" s="23" t="n"/>
    </row>
    <row r="8" ht="28" customHeight="1">
      <c r="A8" s="52" t="inlineStr">
        <is>
          <t>BBQ sauce</t>
        </is>
      </c>
      <c r="B8" s="53" t="inlineStr">
        <is>
          <t>Sauces &amp; condiments</t>
        </is>
      </c>
      <c r="C8" s="53" t="inlineStr">
        <is>
          <t>4x1 gal case</t>
        </is>
      </c>
      <c r="D8" s="54" t="n">
        <v>58.99</v>
      </c>
      <c r="E8" s="55" t="n">
        <v>1</v>
      </c>
      <c r="F8" s="53" t="inlineStr">
        <is>
          <t>fl oz</t>
        </is>
      </c>
      <c r="G8" s="56">
        <f>IF(C8&amp;F8="","",IFERROR(VLOOKUP(C8&amp;"→"&amp;F8,Conversions!$A$5:$B$286,2,FALSE),"?"))</f>
        <v>512.0</v>
      </c>
      <c r="H8" s="57" t="n">
        <v>0.05</v>
      </c>
      <c r="I8" s="20">
        <f>IFERROR(IF(E8="","",E8/(1-H8)),"check trim loss")</f>
        <v>1.0526315789473684</v>
      </c>
      <c r="J8" s="21">
        <f>IF(G8="?","check units",IFERROR(I8*D8/G8,""))</f>
        <v>0.12127878289473684</v>
      </c>
      <c r="L8" s="24" t="inlineStr">
        <is>
          <t>Photo of the finished dish:
Review → Unprotect Sheet,
then Insert → Picture</t>
        </is>
      </c>
      <c r="M8" s="25" t="n"/>
    </row>
    <row r="9" ht="28" customHeight="1">
      <c r="A9" s="52" t="inlineStr">
        <is>
          <t>Pickle chips</t>
        </is>
      </c>
      <c r="B9" s="53" t="inlineStr">
        <is>
          <t>Canned &amp; pickled</t>
        </is>
      </c>
      <c r="C9" s="53" t="inlineStr">
        <is>
          <t>lb</t>
        </is>
      </c>
      <c r="D9" s="54" t="n">
        <v>1.39</v>
      </c>
      <c r="E9" s="55" t="n">
        <v>0.75</v>
      </c>
      <c r="F9" s="53" t="inlineStr">
        <is>
          <t>oz</t>
        </is>
      </c>
      <c r="G9" s="56">
        <f>IF(C9&amp;F9="","",IFERROR(VLOOKUP(C9&amp;"→"&amp;F9,Conversions!$A$5:$B$286,2,FALSE),"?"))</f>
        <v>16.0</v>
      </c>
      <c r="H9" s="57" t="n">
        <v>0.02</v>
      </c>
      <c r="I9" s="20">
        <f>IFERROR(IF(E9="","",E9/(1-H9)),"check trim loss")</f>
        <v>0.7653061224489796</v>
      </c>
      <c r="J9" s="21">
        <f>IF(G9="?","check units",IFERROR(I9*D9/G9,""))</f>
        <v>0.0664859693877551</v>
      </c>
      <c r="L9" s="26" t="n"/>
      <c r="M9" s="27" t="n"/>
    </row>
    <row r="10" ht="28" customHeight="1">
      <c r="A10" s="58" t="n"/>
      <c r="B10" s="58" t="n"/>
      <c r="C10" s="58" t="n"/>
      <c r="D10" s="58" t="n"/>
      <c r="E10" s="58" t="n"/>
      <c r="F10" s="58" t="n"/>
      <c r="G10" s="56">
        <f>IF(C10&amp;F10="","",IFERROR(VLOOKUP(C10&amp;"→"&amp;F10,Conversions!$A$5:$B$286,2,FALSE),"?"))</f>
        <v/>
      </c>
      <c r="H10" s="59">
        <f>IFERROR(VLOOKUP(B10,'Trim Loss Factors'!$A$5:$C$25,2,FALSE),"")</f>
        <v/>
      </c>
      <c r="I10" s="30">
        <f>IFERROR(IF(E10="","",E10/(1-H10)),"check trim loss")</f>
        <v/>
      </c>
      <c r="J10" s="31">
        <f>IF(G10="?","check units",IFERROR(I10*D10/G10,""))</f>
        <v/>
      </c>
      <c r="L10" s="22" t="n"/>
      <c r="M10" s="23" t="n"/>
    </row>
    <row r="11" ht="28" customHeight="1">
      <c r="A11" s="58" t="n"/>
      <c r="B11" s="58" t="n"/>
      <c r="C11" s="58" t="n"/>
      <c r="D11" s="58" t="n"/>
      <c r="E11" s="58" t="n"/>
      <c r="F11" s="58" t="n"/>
      <c r="G11" s="56">
        <f>IF(C11&amp;F11="","",IFERROR(VLOOKUP(C11&amp;"→"&amp;F11,Conversions!$A$5:$B$286,2,FALSE),"?"))</f>
        <v/>
      </c>
      <c r="H11" s="59">
        <f>IFERROR(VLOOKUP(B11,'Trim Loss Factors'!$A$5:$C$25,2,FALSE),"")</f>
        <v/>
      </c>
      <c r="I11" s="30">
        <f>IFERROR(IF(E11="","",E11/(1-H11)),"check trim loss")</f>
        <v/>
      </c>
      <c r="J11" s="31">
        <f>IF(G11="?","check units",IFERROR(I11*D11/G11,""))</f>
        <v/>
      </c>
      <c r="L11" s="22" t="n"/>
      <c r="M11" s="23" t="n"/>
    </row>
    <row r="12" ht="28" customHeight="1">
      <c r="A12" s="58" t="n"/>
      <c r="B12" s="58" t="n"/>
      <c r="C12" s="58" t="n"/>
      <c r="D12" s="58" t="n"/>
      <c r="E12" s="58" t="n"/>
      <c r="F12" s="58" t="n"/>
      <c r="G12" s="56">
        <f>IF(C12&amp;F12="","",IFERROR(VLOOKUP(C12&amp;"→"&amp;F12,Conversions!$A$5:$B$286,2,FALSE),"?"))</f>
        <v/>
      </c>
      <c r="H12" s="59">
        <f>IFERROR(VLOOKUP(B12,'Trim Loss Factors'!$A$5:$C$25,2,FALSE),"")</f>
        <v/>
      </c>
      <c r="I12" s="30">
        <f>IFERROR(IF(E12="","",E12/(1-H12)),"check trim loss")</f>
        <v/>
      </c>
      <c r="J12" s="31">
        <f>IF(G12="?","check units",IFERROR(I12*D12/G12,""))</f>
        <v/>
      </c>
      <c r="L12" s="22" t="n"/>
      <c r="M12" s="23" t="n"/>
    </row>
    <row r="13" ht="28" customHeight="1">
      <c r="A13" s="58" t="n"/>
      <c r="B13" s="58" t="n"/>
      <c r="C13" s="58" t="n"/>
      <c r="D13" s="58" t="n"/>
      <c r="E13" s="58" t="n"/>
      <c r="F13" s="58" t="n"/>
      <c r="G13" s="56">
        <f>IF(C13&amp;F13="","",IFERROR(VLOOKUP(C13&amp;"→"&amp;F13,Conversions!$A$5:$B$286,2,FALSE),"?"))</f>
        <v/>
      </c>
      <c r="H13" s="59">
        <f>IFERROR(VLOOKUP(B13,'Trim Loss Factors'!$A$5:$C$25,2,FALSE),"")</f>
        <v/>
      </c>
      <c r="I13" s="30">
        <f>IFERROR(IF(E13="","",E13/(1-H13)),"check trim loss")</f>
        <v/>
      </c>
      <c r="J13" s="31">
        <f>IF(G13="?","check units",IFERROR(I13*D13/G13,""))</f>
        <v/>
      </c>
      <c r="L13" s="22" t="n"/>
      <c r="M13" s="23" t="n"/>
    </row>
    <row r="14" ht="28" customHeight="1">
      <c r="A14" s="58" t="n"/>
      <c r="B14" s="58" t="n"/>
      <c r="C14" s="58" t="n"/>
      <c r="D14" s="58" t="n"/>
      <c r="E14" s="58" t="n"/>
      <c r="F14" s="58" t="n"/>
      <c r="G14" s="56">
        <f>IF(C14&amp;F14="","",IFERROR(VLOOKUP(C14&amp;"→"&amp;F14,Conversions!$A$5:$B$286,2,FALSE),"?"))</f>
        <v/>
      </c>
      <c r="H14" s="59">
        <f>IFERROR(VLOOKUP(B14,'Trim Loss Factors'!$A$5:$C$25,2,FALSE),"")</f>
        <v/>
      </c>
      <c r="I14" s="30">
        <f>IFERROR(IF(E14="","",E14/(1-H14)),"check trim loss")</f>
        <v/>
      </c>
      <c r="J14" s="31">
        <f>IF(G14="?","check units",IFERROR(I14*D14/G14,""))</f>
        <v/>
      </c>
      <c r="L14" s="32" t="n"/>
      <c r="M14" s="33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IF(C15&amp;F15="","",IFERROR(VLOOKUP(C15&amp;"→"&amp;F15,Conversions!$A$5:$B$286,2,FALSE),"?"))</f>
        <v/>
      </c>
      <c r="H15" s="59">
        <f>IFERROR(VLOOKUP(B15,'Trim Loss Factors'!$A$5:$C$25,2,FALSE),"")</f>
        <v/>
      </c>
      <c r="I15" s="30">
        <f>IFERROR(IF(E15="","",E15/(1-H15)),"check trim loss")</f>
        <v/>
      </c>
      <c r="J15" s="31">
        <f>IF(G15="?","check units",IFERROR(I15*D15/G15,""))</f>
        <v/>
      </c>
      <c r="L15" s="32" t="n"/>
      <c r="M15" s="33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IF(C16&amp;F16="","",IFERROR(VLOOKUP(C16&amp;"→"&amp;F16,Conversions!$A$5:$B$286,2,FALSE),"?"))</f>
        <v/>
      </c>
      <c r="H16" s="59">
        <f>IFERROR(VLOOKUP(B16,'Trim Loss Factors'!$A$5:$C$25,2,FALSE),"")</f>
        <v/>
      </c>
      <c r="I16" s="30">
        <f>IFERROR(IF(E16="","",E16/(1-H16)),"check trim loss")</f>
        <v/>
      </c>
      <c r="J16" s="31">
        <f>IF(G16="?","check units",IFERROR(I16*D16/G16,""))</f>
        <v/>
      </c>
      <c r="L16" s="32" t="n"/>
      <c r="M16" s="33" t="n"/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IF(C17&amp;F17="","",IFERROR(VLOOKUP(C17&amp;"→"&amp;F17,Conversions!$A$5:$B$286,2,FALSE),"?"))</f>
        <v/>
      </c>
      <c r="H17" s="59">
        <f>IFERROR(VLOOKUP(B17,'Trim Loss Factors'!$A$5:$C$25,2,FALSE),"")</f>
        <v/>
      </c>
      <c r="I17" s="30">
        <f>IFERROR(IF(E17="","",E17/(1-H17)),"check trim loss")</f>
        <v/>
      </c>
      <c r="J17" s="31">
        <f>IF(G17="?","check units",IFERROR(I17*D17/G17,""))</f>
        <v/>
      </c>
      <c r="L17" s="32" t="n"/>
      <c r="M17" s="33" t="n"/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IF(C18&amp;F18="","",IFERROR(VLOOKUP(C18&amp;"→"&amp;F18,Conversions!$A$5:$B$286,2,FALSE),"?"))</f>
        <v/>
      </c>
      <c r="H18" s="59">
        <f>IFERROR(VLOOKUP(B18,'Trim Loss Factors'!$A$5:$C$25,2,FALSE),"")</f>
        <v/>
      </c>
      <c r="I18" s="30">
        <f>IFERROR(IF(E18="","",E18/(1-H18)),"check trim loss")</f>
        <v/>
      </c>
      <c r="J18" s="31">
        <f>IF(G18="?","check units",IFERROR(I18*D18/G18,""))</f>
        <v/>
      </c>
      <c r="L18" s="32" t="n"/>
      <c r="M18" s="33" t="n"/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IF(C19&amp;F19="","",IFERROR(VLOOKUP(C19&amp;"→"&amp;F19,Conversions!$A$5:$B$286,2,FALSE),"?"))</f>
        <v/>
      </c>
      <c r="H19" s="59">
        <f>IFERROR(VLOOKUP(B19,'Trim Loss Factors'!$A$5:$C$25,2,FALSE),"")</f>
        <v/>
      </c>
      <c r="I19" s="30">
        <f>IFERROR(IF(E19="","",E19/(1-H19)),"check trim loss")</f>
        <v/>
      </c>
      <c r="J19" s="31">
        <f>IF(G19="?","check units",IFERROR(I19*D19/G19,""))</f>
        <v/>
      </c>
      <c r="L19" s="32" t="n"/>
      <c r="M19" s="33" t="n"/>
    </row>
    <row r="20">
      <c r="L20" s="34" t="n"/>
    </row>
    <row r="21">
      <c r="A21" s="35" t="inlineStr">
        <is>
          <t>TOTAL INGREDIENT COST</t>
        </is>
      </c>
      <c r="B21" s="49" t="n"/>
      <c r="C21" s="49" t="n"/>
      <c r="D21" s="49" t="n"/>
      <c r="E21" s="49" t="n"/>
      <c r="F21" s="49" t="n"/>
      <c r="G21" s="49" t="n"/>
      <c r="H21" s="49" t="n"/>
      <c r="I21" s="50" t="n"/>
      <c r="J21" s="36">
        <f>SUM(J5:J19)</f>
        <v>4.6279425300602695</v>
      </c>
    </row>
    <row r="22">
      <c r="A22" s="37" t="inlineStr">
        <is>
          <t>Q-factor (%)</t>
        </is>
      </c>
      <c r="B22" s="49" t="n"/>
      <c r="C22" s="49" t="n"/>
      <c r="D22" s="49" t="n"/>
      <c r="E22" s="49" t="n"/>
      <c r="F22" s="49" t="n"/>
      <c r="G22" s="49" t="n"/>
      <c r="H22" s="50" t="n"/>
      <c r="I22" s="60" t="n">
        <v>0.1</v>
      </c>
      <c r="J22" s="38">
        <f>J21*I22</f>
        <v>0.46279425300602695</v>
      </c>
    </row>
    <row r="23">
      <c r="A23" s="39" t="inlineStr">
        <is>
          <t>TOTAL DISH COST</t>
        </is>
      </c>
      <c r="B23" s="49" t="n"/>
      <c r="C23" s="49" t="n"/>
      <c r="D23" s="49" t="n"/>
      <c r="E23" s="49" t="n"/>
      <c r="F23" s="49" t="n"/>
      <c r="G23" s="49" t="n"/>
      <c r="H23" s="49" t="n"/>
      <c r="I23" s="50" t="n"/>
      <c r="J23" s="40">
        <f>J21+J22</f>
        <v>5.090736783066296</v>
      </c>
    </row>
    <row r="24">
      <c r="A24" s="37" t="inlineStr">
        <is>
          <t>Number of portions</t>
        </is>
      </c>
      <c r="B24" s="49" t="n"/>
      <c r="C24" s="49" t="n"/>
      <c r="D24" s="49" t="n"/>
      <c r="E24" s="49" t="n"/>
      <c r="F24" s="49" t="n"/>
      <c r="G24" s="49" t="n"/>
      <c r="H24" s="50" t="n"/>
      <c r="I24" s="61" t="n">
        <v>1</v>
      </c>
      <c r="J24" s="38" t="n"/>
    </row>
    <row r="25">
      <c r="A25" s="39" t="inlineStr">
        <is>
          <t>COST PER PORTION</t>
        </is>
      </c>
      <c r="B25" s="49" t="n"/>
      <c r="C25" s="49" t="n"/>
      <c r="D25" s="49" t="n"/>
      <c r="E25" s="49" t="n"/>
      <c r="F25" s="49" t="n"/>
      <c r="G25" s="49" t="n"/>
      <c r="H25" s="49" t="n"/>
      <c r="I25" s="50" t="n"/>
      <c r="J25" s="40">
        <f>IFERROR(J23/I24,"")</f>
        <v>5.090736783066296</v>
      </c>
    </row>
    <row r="26"/>
    <row r="27">
      <c r="A27" s="41" t="inlineStr">
        <is>
          <t>Target food cost %</t>
        </is>
      </c>
      <c r="B27" s="49" t="n"/>
      <c r="C27" s="49" t="n"/>
      <c r="D27" s="49" t="n"/>
      <c r="E27" s="49" t="n"/>
      <c r="F27" s="49" t="n"/>
      <c r="G27" s="49" t="n"/>
      <c r="H27" s="50" t="n"/>
      <c r="I27" s="62" t="n">
        <v>0.3</v>
      </c>
    </row>
    <row r="28">
      <c r="A28" s="43" t="inlineStr">
        <is>
          <t>Suggested menu price (pre-tax)</t>
        </is>
      </c>
      <c r="B28" s="49" t="n"/>
      <c r="C28" s="49" t="n"/>
      <c r="D28" s="49" t="n"/>
      <c r="E28" s="49" t="n"/>
      <c r="F28" s="49" t="n"/>
      <c r="G28" s="49" t="n"/>
      <c r="H28" s="49" t="n"/>
      <c r="I28" s="50" t="n"/>
      <c r="J28" s="44">
        <f>IFERROR(J25/I27,"")</f>
        <v>16.96912261022099</v>
      </c>
    </row>
    <row r="29">
      <c r="A29" s="37" t="inlineStr">
        <is>
          <t>Tax rate (%)</t>
        </is>
      </c>
      <c r="B29" s="49" t="n"/>
      <c r="C29" s="49" t="n"/>
      <c r="D29" s="49" t="n"/>
      <c r="E29" s="49" t="n"/>
      <c r="F29" s="49" t="n"/>
      <c r="G29" s="49" t="n"/>
      <c r="H29" s="50" t="n"/>
      <c r="I29" s="60" t="n">
        <v>0</v>
      </c>
      <c r="J29" s="38" t="n"/>
    </row>
    <row r="30">
      <c r="A30" s="39" t="inlineStr">
        <is>
          <t>Menu price incl. tax</t>
        </is>
      </c>
      <c r="B30" s="49" t="n"/>
      <c r="C30" s="49" t="n"/>
      <c r="D30" s="49" t="n"/>
      <c r="E30" s="49" t="n"/>
      <c r="F30" s="49" t="n"/>
      <c r="G30" s="49" t="n"/>
      <c r="H30" s="49" t="n"/>
      <c r="I30" s="50" t="n"/>
      <c r="J30" s="40">
        <f>IFERROR(J28*(1+I29),"")</f>
        <v>16.96912261022099</v>
      </c>
    </row>
    <row r="31">
      <c r="A31" s="43" t="inlineStr">
        <is>
          <t>Gross profit per portion (at suggested price)</t>
        </is>
      </c>
      <c r="B31" s="49" t="n"/>
      <c r="C31" s="49" t="n"/>
      <c r="D31" s="49" t="n"/>
      <c r="E31" s="49" t="n"/>
      <c r="F31" s="49" t="n"/>
      <c r="G31" s="49" t="n"/>
      <c r="H31" s="49" t="n"/>
      <c r="I31" s="50" t="n"/>
      <c r="J31" s="44">
        <f>IFERROR(J28-J25,"")</f>
        <v>11.878385827154693</v>
      </c>
    </row>
    <row r="32">
      <c r="A32" s="37" t="inlineStr">
        <is>
          <t>Target GP % (at suggested price)</t>
        </is>
      </c>
      <c r="B32" s="49" t="n"/>
      <c r="C32" s="49" t="n"/>
      <c r="D32" s="49" t="n"/>
      <c r="E32" s="49" t="n"/>
      <c r="F32" s="49" t="n"/>
      <c r="G32" s="49" t="n"/>
      <c r="H32" s="49" t="n"/>
      <c r="I32" s="50" t="n"/>
      <c r="J32" s="47">
        <f>IFERROR((J28-J25)/J28,"")</f>
        <v>0.7000000000000001</v>
      </c>
    </row>
    <row r="33"/>
    <row r="34">
      <c r="A34" s="37" t="inlineStr">
        <is>
          <t>Current menu price (pre-tax / ex VAT)</t>
        </is>
      </c>
      <c r="B34" s="49" t="n"/>
      <c r="C34" s="49" t="n"/>
      <c r="D34" s="49" t="n"/>
      <c r="E34" s="49" t="n"/>
      <c r="F34" s="49" t="n"/>
      <c r="G34" s="49" t="n"/>
      <c r="H34" s="50" t="n"/>
      <c r="I34" s="63" t="n">
        <v>15</v>
      </c>
      <c r="J34" s="38" t="n"/>
    </row>
    <row r="35">
      <c r="A35" s="39" t="inlineStr">
        <is>
          <t>Actual food cost % (actual GP % = 100% − this)</t>
        </is>
      </c>
      <c r="B35" s="49" t="n"/>
      <c r="C35" s="49" t="n"/>
      <c r="D35" s="49" t="n"/>
      <c r="E35" s="49" t="n"/>
      <c r="F35" s="49" t="n"/>
      <c r="G35" s="49" t="n"/>
      <c r="H35" s="49" t="n"/>
      <c r="I35" s="50" t="n"/>
      <c r="J35" s="64">
        <f>IFERROR(J25/I34,"")</f>
        <v>0.3393824522044197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Invalid value" error="Choose a category from the list (&quot;Trim Loss Factors&quot; tab)." type="list">
      <formula1>'Trim Loss Factors'!$A$5:$A$25</formula1>
    </dataValidation>
    <dataValidation sqref="C5:C19 F5:F19" showDropDown="0" showInputMessage="0" showErrorMessage="1" allowBlank="1" errorTitle="Invalid value" error="Choose a unit from the list." type="list">
      <formula1>"lb,oz,kg,g,gal,qt,pt,imp pt,cup,fl oz,tbsp,tsp,L,ml,cl,each,dozen,bunch,packet,can,bottle,15 dz case,30 dz case,50 lb bag,40 lb case,36x1 lb case,16 kg sack,40x250 g case,4x1 gal case,12x750 ml case,24x12 fl oz case,1/2 bbl keg,1/6 bbl keg,50 L keg"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6" customWidth="1" min="5" max="5"/>
  </cols>
  <sheetData>
    <row r="1">
      <c r="A1" s="65" t="inlineStr">
        <is>
          <t>Daily Break-Even — Food Truck</t>
        </is>
      </c>
    </row>
    <row r="2" ht="56" customHeight="1">
      <c r="A2" s="66" t="inlineStr">
        <is>
          <t>How many units you need to sell each day just to cover your fixed costs. The margin comes from the recipe cost card tabs: change a recipe or a price and this sheet updates itself. The menu price used is whatever you entered in "Current menu price (pre-tax / ex VAT)" on each tab; while that cell is empty, the sheet uses the suggested menu price instead, which is almost never what you actually charge.</t>
        </is>
      </c>
    </row>
    <row r="4">
      <c r="A4" s="67" t="inlineStr">
        <is>
          <t>Daily fixed costs</t>
        </is>
      </c>
    </row>
    <row r="5">
      <c r="A5" s="68" t="inlineStr">
        <is>
          <t>Item</t>
        </is>
      </c>
      <c r="B5" s="68" t="inlineStr">
        <is>
          <t>Amount (per day)</t>
        </is>
      </c>
    </row>
    <row r="6">
      <c r="A6" t="inlineStr">
        <is>
          <t>Commissary &amp; parking</t>
        </is>
      </c>
      <c r="B6" s="69" t="n">
        <v>45</v>
      </c>
    </row>
    <row r="7">
      <c r="A7" t="inlineStr">
        <is>
          <t>Insurance, permits &amp; licenses (daily share)</t>
        </is>
      </c>
      <c r="B7" s="69" t="n">
        <v>25</v>
      </c>
    </row>
    <row r="8">
      <c r="A8" t="inlineStr">
        <is>
          <t>Fuel, propane &amp; generator</t>
        </is>
      </c>
      <c r="B8" s="69" t="n">
        <v>30</v>
      </c>
    </row>
    <row r="9">
      <c r="A9" t="inlineStr">
        <is>
          <t>Staff (2 people per shift)</t>
        </is>
      </c>
      <c r="B9" s="69" t="n">
        <v>300</v>
      </c>
    </row>
    <row r="10">
      <c r="A10" t="inlineStr">
        <is>
          <t>Truck &amp; equipment depreciation</t>
        </is>
      </c>
      <c r="B10" s="69" t="n">
        <v>50</v>
      </c>
    </row>
    <row r="11">
      <c r="A11" t="inlineStr">
        <is>
          <t>Cleaning, water &amp; waste</t>
        </is>
      </c>
      <c r="B11" s="69" t="n">
        <v>15</v>
      </c>
    </row>
    <row r="12">
      <c r="A12" s="70" t="inlineStr">
        <is>
          <t>TOTAL FIXED COSTS (per day)</t>
        </is>
      </c>
      <c r="B12" s="71">
        <f>SUM(B6:B11)</f>
        <v>465.0</v>
      </c>
    </row>
    <row r="14">
      <c r="A14" s="67" t="inlineStr">
        <is>
          <t>Contribution margin per unit</t>
        </is>
      </c>
    </row>
    <row r="15">
      <c r="A15" s="68" t="inlineStr">
        <is>
          <t>Product</t>
        </is>
      </c>
      <c r="B15" s="68" t="inlineStr">
        <is>
          <t>Menu price (pre-tax)</t>
        </is>
      </c>
      <c r="C15" s="68" t="inlineStr">
        <is>
          <t>Unit cost</t>
        </is>
      </c>
      <c r="D15" s="68" t="inlineStr">
        <is>
          <t>Margin</t>
        </is>
      </c>
      <c r="E15" s="68" t="inlineStr">
        <is>
          <t>Sales mix</t>
        </is>
      </c>
    </row>
    <row r="16">
      <c r="A16" t="inlineStr">
        <is>
          <t>Smash Burger</t>
        </is>
      </c>
      <c r="B16" s="72">
        <f>IF('Smash Burger'!$I$37="",'Smash Burger'!$J$31,'Smash Burger'!$I$37)</f>
        <v>11.0</v>
      </c>
      <c r="C16" s="72">
        <f>'Smash Burger'!$J$28</f>
        <v>3.2694760794844253</v>
      </c>
      <c r="D16" s="73">
        <f>IFERROR(B16-C16,"")</f>
        <v>7.730523920515575</v>
      </c>
      <c r="E16" s="74" t="n">
        <v>0.5</v>
      </c>
    </row>
    <row r="17">
      <c r="A17" t="inlineStr">
        <is>
          <t>Loaded Fries</t>
        </is>
      </c>
      <c r="B17" s="72">
        <f>IF('Loaded Fries'!$I$35="",'Loaded Fries'!$J$29,'Loaded Fries'!$I$35)</f>
        <v>11.0</v>
      </c>
      <c r="C17" s="72">
        <f>'Loaded Fries'!$J$26</f>
        <v>3.5481169318027668</v>
      </c>
      <c r="D17" s="73">
        <f>IFERROR(B17-C17,"")</f>
        <v>7.451883068197233</v>
      </c>
      <c r="E17" s="74" t="n">
        <v>0.25</v>
      </c>
    </row>
    <row r="18">
      <c r="A18" t="inlineStr">
        <is>
          <t>Pulled Pork Sandwich</t>
        </is>
      </c>
      <c r="B18" s="72">
        <f>IF('Pulled Pork Sandwich'!$I$34="",'Pulled Pork Sandwich'!$J$28,'Pulled Pork Sandwich'!$I$34)</f>
        <v>15.0</v>
      </c>
      <c r="C18" s="72">
        <f>'Pulled Pork Sandwich'!$J$25</f>
        <v>5.090736783066296</v>
      </c>
      <c r="D18" s="73">
        <f>IFERROR(B18-C18,"")</f>
        <v>9.909263216933704</v>
      </c>
      <c r="E18" s="74" t="n">
        <v>0.25</v>
      </c>
    </row>
    <row r="19">
      <c r="A19" s="70" t="inlineStr">
        <is>
          <t>WEIGHTED AVERAGE MENU PRICE (per unit)</t>
        </is>
      </c>
      <c r="B19" s="73">
        <f>IFERROR(SUMPRODUCT(B16:B18,E16:E18)/SUM(E16:E18),"")</f>
        <v>12.0</v>
      </c>
    </row>
    <row r="20">
      <c r="A20" s="70" t="inlineStr">
        <is>
          <t>WEIGHTED AVERAGE MARGIN (per unit)</t>
        </is>
      </c>
      <c r="B20" s="71">
        <f>IFERROR(SUMPRODUCT(D16:D18,E16:E18)/SUM(E16:E18),"")</f>
        <v>8.205548531540522</v>
      </c>
    </row>
    <row r="22">
      <c r="A22" s="67" t="inlineStr">
        <is>
          <t>Result</t>
        </is>
      </c>
    </row>
    <row r="23">
      <c r="A23" s="70" t="inlineStr">
        <is>
          <t>UNITS/DAY TO COVER COSTS</t>
        </is>
      </c>
      <c r="B23" s="75">
        <f>IFERROR(ROUNDUP(B12/B20,0),"")</f>
        <v>57.0</v>
      </c>
    </row>
    <row r="24">
      <c r="A24" s="70" t="inlineStr">
        <is>
          <t>MINIMUM REVENUE (pre-tax, per day)</t>
        </is>
      </c>
      <c r="B24" s="72">
        <f>IFERROR(B23*B19,"")</f>
        <v>684.0</v>
      </c>
    </row>
    <row r="25">
      <c r="A25" t="inlineStr">
        <is>
          <t>Tax rate (%)</t>
        </is>
      </c>
      <c r="B25" s="74" t="n">
        <v>0</v>
      </c>
    </row>
    <row r="26">
      <c r="A26" s="70" t="inlineStr">
        <is>
          <t>MINIMUM REVENUE (incl. tax, per day)</t>
        </is>
      </c>
      <c r="B26" s="72">
        <f>IFERROR(B24*(1+B25),"")</f>
        <v>684.0</v>
      </c>
    </row>
    <row r="28">
      <c r="A28" s="66" t="inlineStr">
        <is>
          <t>The "Sales mix" is what share of what you sell is each product: if on a given day half your sales are burgers and the rest is split evenly, enter 50% / 25% / 25%. It doesn't have to add up to 100% — the sheet weights whatever numbers you enter.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A2:E2"/>
    <mergeCell ref="A22:E22"/>
    <mergeCell ref="A1:E1"/>
    <mergeCell ref="A4:E4"/>
    <mergeCell ref="A28:E28"/>
    <mergeCell ref="A14:E14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8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90" customWidth="1" min="3" max="3"/>
  </cols>
  <sheetData>
    <row r="1">
      <c r="A1" s="76" t="inlineStr">
        <is>
          <t>Purchase unit → Recipe unit conversion table</t>
        </is>
      </c>
    </row>
    <row r="2">
      <c r="A2" t="inlineStr">
        <is>
          <t>The "Factor" column of every recipe cost card uses it. You can add pairs at the end, up to row 286: the key is written "purchase→recipe".</t>
        </is>
      </c>
    </row>
    <row r="4">
      <c r="A4" s="77" t="inlineStr">
        <is>
          <t>Conversion (purchase→recipe)</t>
        </is>
      </c>
      <c r="B4" s="77" t="inlineStr">
        <is>
          <t>Factor</t>
        </is>
      </c>
      <c r="C4" s="77" t="inlineStr">
        <is>
          <t>What it means</t>
        </is>
      </c>
    </row>
    <row r="5">
      <c r="A5" t="inlineStr">
        <is>
          <t>lb→lb</t>
        </is>
      </c>
      <c r="B5" s="80" t="n">
        <v>1</v>
      </c>
      <c r="C5" t="inlineStr">
        <is>
          <t>same unit</t>
        </is>
      </c>
    </row>
    <row r="6">
      <c r="A6" t="inlineStr">
        <is>
          <t>lb→oz</t>
        </is>
      </c>
      <c r="B6" s="80" t="n">
        <v>16</v>
      </c>
      <c r="C6" t="inlineStr">
        <is>
          <t>1 lb = 16 oz</t>
        </is>
      </c>
    </row>
    <row r="7">
      <c r="A7" t="inlineStr">
        <is>
          <t>lb→kg</t>
        </is>
      </c>
      <c r="B7" s="80" t="n">
        <v>0.45359237</v>
      </c>
      <c r="C7" t="inlineStr">
        <is>
          <t>1 lb = 0.4536 kg</t>
        </is>
      </c>
    </row>
    <row r="8">
      <c r="A8" t="inlineStr">
        <is>
          <t>lb→g</t>
        </is>
      </c>
      <c r="B8" s="80" t="n">
        <v>453.59237</v>
      </c>
      <c r="C8" t="inlineStr">
        <is>
          <t>1 lb = 453.59 g</t>
        </is>
      </c>
    </row>
    <row r="9">
      <c r="A9" t="inlineStr">
        <is>
          <t>oz→oz</t>
        </is>
      </c>
      <c r="B9" s="80" t="n">
        <v>1</v>
      </c>
      <c r="C9" t="inlineStr">
        <is>
          <t>same unit (oz = weight; fl oz = volume)</t>
        </is>
      </c>
    </row>
    <row r="10">
      <c r="A10" t="inlineStr">
        <is>
          <t>oz→lb</t>
        </is>
      </c>
      <c r="B10" s="80" t="n">
        <v>0.0625</v>
      </c>
      <c r="C10" t="inlineStr">
        <is>
          <t>1 oz = 0.0625 lb</t>
        </is>
      </c>
    </row>
    <row r="11">
      <c r="A11" t="inlineStr">
        <is>
          <t>oz→kg</t>
        </is>
      </c>
      <c r="B11" s="80" t="n">
        <v>0.028349523125</v>
      </c>
      <c r="C11" t="inlineStr">
        <is>
          <t>1 oz = 0.0283 kg</t>
        </is>
      </c>
    </row>
    <row r="12">
      <c r="A12" t="inlineStr">
        <is>
          <t>oz→g</t>
        </is>
      </c>
      <c r="B12" s="80" t="n">
        <v>28.349523125</v>
      </c>
      <c r="C12" t="inlineStr">
        <is>
          <t>1 oz = 28.3495 g</t>
        </is>
      </c>
    </row>
    <row r="13">
      <c r="A13" t="inlineStr">
        <is>
          <t>kg→kg</t>
        </is>
      </c>
      <c r="B13" s="80" t="n">
        <v>1</v>
      </c>
      <c r="C13" t="inlineStr">
        <is>
          <t>same unit</t>
        </is>
      </c>
    </row>
    <row r="14">
      <c r="A14" t="inlineStr">
        <is>
          <t>kg→lb</t>
        </is>
      </c>
      <c r="B14" s="80" t="n">
        <v>2.204622621848776</v>
      </c>
      <c r="C14" t="inlineStr">
        <is>
          <t>1 kg = 2.2046 lb</t>
        </is>
      </c>
    </row>
    <row r="15">
      <c r="A15" t="inlineStr">
        <is>
          <t>kg→oz</t>
        </is>
      </c>
      <c r="B15" s="80" t="n">
        <v>35.27396194958041</v>
      </c>
      <c r="C15" t="inlineStr">
        <is>
          <t>1 kg = 35.274 oz</t>
        </is>
      </c>
    </row>
    <row r="16">
      <c r="A16" t="inlineStr">
        <is>
          <t>kg→g</t>
        </is>
      </c>
      <c r="B16" s="80" t="n">
        <v>1000</v>
      </c>
      <c r="C16" t="inlineStr">
        <is>
          <t>1 kg = 1,000 g</t>
        </is>
      </c>
    </row>
    <row r="17">
      <c r="A17" t="inlineStr">
        <is>
          <t>g→g</t>
        </is>
      </c>
      <c r="B17" s="80" t="n">
        <v>1</v>
      </c>
      <c r="C17" t="inlineStr">
        <is>
          <t>same unit</t>
        </is>
      </c>
    </row>
    <row r="18">
      <c r="A18" t="inlineStr">
        <is>
          <t>g→lb</t>
        </is>
      </c>
      <c r="B18" s="80" t="n">
        <v>0.002204622621848776</v>
      </c>
      <c r="C18" t="inlineStr">
        <is>
          <t>1 g = 0.002205 lb</t>
        </is>
      </c>
    </row>
    <row r="19">
      <c r="A19" t="inlineStr">
        <is>
          <t>g→oz</t>
        </is>
      </c>
      <c r="B19" s="80" t="n">
        <v>0.03527396194958041</v>
      </c>
      <c r="C19" t="inlineStr">
        <is>
          <t>1 g = 0.0353 oz</t>
        </is>
      </c>
    </row>
    <row r="20">
      <c r="A20" t="inlineStr">
        <is>
          <t>g→kg</t>
        </is>
      </c>
      <c r="B20" s="80" t="n">
        <v>0.001</v>
      </c>
      <c r="C20" t="inlineStr">
        <is>
          <t>1 g = 0.001 kg</t>
        </is>
      </c>
    </row>
    <row r="21">
      <c r="A21" t="inlineStr">
        <is>
          <t>gal→gal</t>
        </is>
      </c>
      <c r="B21" s="80" t="n">
        <v>1</v>
      </c>
      <c r="C21" t="inlineStr">
        <is>
          <t>same unit (US gallon = 128 fl oz; the UK gallon is 20% larger)</t>
        </is>
      </c>
    </row>
    <row r="22">
      <c r="A22" t="inlineStr">
        <is>
          <t>gal→qt</t>
        </is>
      </c>
      <c r="B22" s="80" t="n">
        <v>4</v>
      </c>
      <c r="C22" t="inlineStr">
        <is>
          <t>1 gal = 4 qt</t>
        </is>
      </c>
    </row>
    <row r="23">
      <c r="A23" t="inlineStr">
        <is>
          <t>gal→pt</t>
        </is>
      </c>
      <c r="B23" s="80" t="n">
        <v>8</v>
      </c>
      <c r="C23" t="inlineStr">
        <is>
          <t>1 gal = 8 pt</t>
        </is>
      </c>
    </row>
    <row r="24">
      <c r="A24" t="inlineStr">
        <is>
          <t>gal→imp pt</t>
        </is>
      </c>
      <c r="B24" s="80" t="n">
        <v>6.661393477031911</v>
      </c>
      <c r="C24" t="inlineStr">
        <is>
          <t>1 gal = 6.6614 imp pt</t>
        </is>
      </c>
    </row>
    <row r="25">
      <c r="A25" t="inlineStr">
        <is>
          <t>gal→cup</t>
        </is>
      </c>
      <c r="B25" s="80" t="n">
        <v>16</v>
      </c>
      <c r="C25" t="inlineStr">
        <is>
          <t>1 gal = 16 cup</t>
        </is>
      </c>
    </row>
    <row r="26">
      <c r="A26" t="inlineStr">
        <is>
          <t>gal→fl oz</t>
        </is>
      </c>
      <c r="B26" s="80" t="n">
        <v>128</v>
      </c>
      <c r="C26" t="inlineStr">
        <is>
          <t>1 gal = 128 fl oz</t>
        </is>
      </c>
    </row>
    <row r="27">
      <c r="A27" t="inlineStr">
        <is>
          <t>gal→tbsp</t>
        </is>
      </c>
      <c r="B27" s="80" t="n">
        <v>256</v>
      </c>
      <c r="C27" t="inlineStr">
        <is>
          <t>1 gal = 256 tbsp</t>
        </is>
      </c>
    </row>
    <row r="28">
      <c r="A28" t="inlineStr">
        <is>
          <t>gal→tsp</t>
        </is>
      </c>
      <c r="B28" s="80" t="n">
        <v>768</v>
      </c>
      <c r="C28" t="inlineStr">
        <is>
          <t>1 gal = 768 tsp</t>
        </is>
      </c>
    </row>
    <row r="29">
      <c r="A29" t="inlineStr">
        <is>
          <t>gal→L</t>
        </is>
      </c>
      <c r="B29" s="80" t="n">
        <v>3.785411784</v>
      </c>
      <c r="C29" t="inlineStr">
        <is>
          <t>1 gal = 3.7854 L</t>
        </is>
      </c>
    </row>
    <row r="30">
      <c r="A30" t="inlineStr">
        <is>
          <t>gal→ml</t>
        </is>
      </c>
      <c r="B30" s="80" t="n">
        <v>3785.411784</v>
      </c>
      <c r="C30" t="inlineStr">
        <is>
          <t>1 gal = 3,785.41 ml</t>
        </is>
      </c>
    </row>
    <row r="31">
      <c r="A31" t="inlineStr">
        <is>
          <t>gal→cl</t>
        </is>
      </c>
      <c r="B31" s="80" t="n">
        <v>378.5411784</v>
      </c>
      <c r="C31" t="inlineStr">
        <is>
          <t>1 gal = 378.54 cl</t>
        </is>
      </c>
    </row>
    <row r="32">
      <c r="A32" t="inlineStr">
        <is>
          <t>qt→qt</t>
        </is>
      </c>
      <c r="B32" s="80" t="n">
        <v>1</v>
      </c>
      <c r="C32" t="inlineStr">
        <is>
          <t>same unit</t>
        </is>
      </c>
    </row>
    <row r="33">
      <c r="A33" t="inlineStr">
        <is>
          <t>qt→gal</t>
        </is>
      </c>
      <c r="B33" s="80" t="n">
        <v>0.25</v>
      </c>
      <c r="C33" t="inlineStr">
        <is>
          <t>1 qt = 0.25 gal</t>
        </is>
      </c>
    </row>
    <row r="34">
      <c r="A34" t="inlineStr">
        <is>
          <t>qt→pt</t>
        </is>
      </c>
      <c r="B34" s="80" t="n">
        <v>2</v>
      </c>
      <c r="C34" t="inlineStr">
        <is>
          <t>1 qt = 2 pt</t>
        </is>
      </c>
    </row>
    <row r="35">
      <c r="A35" t="inlineStr">
        <is>
          <t>qt→imp pt</t>
        </is>
      </c>
      <c r="B35" s="80" t="n">
        <v>1.665348369257978</v>
      </c>
      <c r="C35" t="inlineStr">
        <is>
          <t>1 qt = 1.6653 imp pt</t>
        </is>
      </c>
    </row>
    <row r="36">
      <c r="A36" t="inlineStr">
        <is>
          <t>qt→cup</t>
        </is>
      </c>
      <c r="B36" s="80" t="n">
        <v>4</v>
      </c>
      <c r="C36" t="inlineStr">
        <is>
          <t>1 qt = 4 cup</t>
        </is>
      </c>
    </row>
    <row r="37">
      <c r="A37" t="inlineStr">
        <is>
          <t>qt→fl oz</t>
        </is>
      </c>
      <c r="B37" s="80" t="n">
        <v>32</v>
      </c>
      <c r="C37" t="inlineStr">
        <is>
          <t>1 qt = 32 fl oz</t>
        </is>
      </c>
    </row>
    <row r="38">
      <c r="A38" t="inlineStr">
        <is>
          <t>qt→tbsp</t>
        </is>
      </c>
      <c r="B38" s="80" t="n">
        <v>64</v>
      </c>
      <c r="C38" t="inlineStr">
        <is>
          <t>1 qt = 64 tbsp</t>
        </is>
      </c>
    </row>
    <row r="39">
      <c r="A39" t="inlineStr">
        <is>
          <t>qt→tsp</t>
        </is>
      </c>
      <c r="B39" s="80" t="n">
        <v>192</v>
      </c>
      <c r="C39" t="inlineStr">
        <is>
          <t>1 qt = 192 tsp</t>
        </is>
      </c>
    </row>
    <row r="40">
      <c r="A40" t="inlineStr">
        <is>
          <t>qt→L</t>
        </is>
      </c>
      <c r="B40" s="80" t="n">
        <v>0.946352946</v>
      </c>
      <c r="C40" t="inlineStr">
        <is>
          <t>1 qt = 0.9464 L</t>
        </is>
      </c>
    </row>
    <row r="41">
      <c r="A41" t="inlineStr">
        <is>
          <t>qt→ml</t>
        </is>
      </c>
      <c r="B41" s="80" t="n">
        <v>946.352946</v>
      </c>
      <c r="C41" t="inlineStr">
        <is>
          <t>1 qt = 946.35 ml</t>
        </is>
      </c>
    </row>
    <row r="42">
      <c r="A42" t="inlineStr">
        <is>
          <t>qt→cl</t>
        </is>
      </c>
      <c r="B42" s="80" t="n">
        <v>94.63529459999999</v>
      </c>
      <c r="C42" t="inlineStr">
        <is>
          <t>1 qt = 94.6353 cl</t>
        </is>
      </c>
    </row>
    <row r="43">
      <c r="A43" t="inlineStr">
        <is>
          <t>pt→pt</t>
        </is>
      </c>
      <c r="B43" s="80" t="n">
        <v>1</v>
      </c>
      <c r="C43" t="inlineStr">
        <is>
          <t>same unit (US pint = 16 fl oz; UK pint: use imp pt)</t>
        </is>
      </c>
    </row>
    <row r="44">
      <c r="A44" t="inlineStr">
        <is>
          <t>pt→gal</t>
        </is>
      </c>
      <c r="B44" s="80" t="n">
        <v>0.125</v>
      </c>
      <c r="C44" t="inlineStr">
        <is>
          <t>1 pt = 0.125 gal</t>
        </is>
      </c>
    </row>
    <row r="45">
      <c r="A45" t="inlineStr">
        <is>
          <t>pt→qt</t>
        </is>
      </c>
      <c r="B45" s="80" t="n">
        <v>0.5</v>
      </c>
      <c r="C45" t="inlineStr">
        <is>
          <t>1 pt = 0.5 qt</t>
        </is>
      </c>
    </row>
    <row r="46">
      <c r="A46" t="inlineStr">
        <is>
          <t>pt→imp pt</t>
        </is>
      </c>
      <c r="B46" s="80" t="n">
        <v>0.8326741846289889</v>
      </c>
      <c r="C46" t="inlineStr">
        <is>
          <t>1 pt = 0.8327 imp pt</t>
        </is>
      </c>
    </row>
    <row r="47">
      <c r="A47" t="inlineStr">
        <is>
          <t>pt→cup</t>
        </is>
      </c>
      <c r="B47" s="80" t="n">
        <v>2</v>
      </c>
      <c r="C47" t="inlineStr">
        <is>
          <t>1 pt = 2 cup</t>
        </is>
      </c>
    </row>
    <row r="48">
      <c r="A48" t="inlineStr">
        <is>
          <t>pt→fl oz</t>
        </is>
      </c>
      <c r="B48" s="80" t="n">
        <v>16</v>
      </c>
      <c r="C48" t="inlineStr">
        <is>
          <t>1 pt = 16 fl oz</t>
        </is>
      </c>
    </row>
    <row r="49">
      <c r="A49" t="inlineStr">
        <is>
          <t>pt→tbsp</t>
        </is>
      </c>
      <c r="B49" s="80" t="n">
        <v>32</v>
      </c>
      <c r="C49" t="inlineStr">
        <is>
          <t>1 pt = 32 tbsp</t>
        </is>
      </c>
    </row>
    <row r="50">
      <c r="A50" t="inlineStr">
        <is>
          <t>pt→tsp</t>
        </is>
      </c>
      <c r="B50" s="80" t="n">
        <v>96</v>
      </c>
      <c r="C50" t="inlineStr">
        <is>
          <t>1 pt = 96 tsp</t>
        </is>
      </c>
    </row>
    <row r="51">
      <c r="A51" t="inlineStr">
        <is>
          <t>pt→L</t>
        </is>
      </c>
      <c r="B51" s="80" t="n">
        <v>0.473176473</v>
      </c>
      <c r="C51" t="inlineStr">
        <is>
          <t>1 pt = 0.4732 L</t>
        </is>
      </c>
    </row>
    <row r="52">
      <c r="A52" t="inlineStr">
        <is>
          <t>pt→ml</t>
        </is>
      </c>
      <c r="B52" s="80" t="n">
        <v>473.176473</v>
      </c>
      <c r="C52" t="inlineStr">
        <is>
          <t>1 pt = 473.18 ml</t>
        </is>
      </c>
    </row>
    <row r="53">
      <c r="A53" t="inlineStr">
        <is>
          <t>pt→cl</t>
        </is>
      </c>
      <c r="B53" s="80" t="n">
        <v>47.3176473</v>
      </c>
      <c r="C53" t="inlineStr">
        <is>
          <t>1 pt = 47.3176 cl</t>
        </is>
      </c>
    </row>
    <row r="54">
      <c r="A54" t="inlineStr">
        <is>
          <t>imp pt→imp pt</t>
        </is>
      </c>
      <c r="B54" s="80" t="n">
        <v>1</v>
      </c>
      <c r="C54" t="inlineStr">
        <is>
          <t>same unit (imperial pint = 568 ml; US pint = 473 ml)</t>
        </is>
      </c>
    </row>
    <row r="55">
      <c r="A55" t="inlineStr">
        <is>
          <t>imp pt→gal</t>
        </is>
      </c>
      <c r="B55" s="80" t="n">
        <v>0.1501187406881069</v>
      </c>
      <c r="C55" t="inlineStr">
        <is>
          <t>1 imp pt = 0.1501 gal</t>
        </is>
      </c>
    </row>
    <row r="56">
      <c r="A56" t="inlineStr">
        <is>
          <t>imp pt→qt</t>
        </is>
      </c>
      <c r="B56" s="80" t="n">
        <v>0.6004749627524275</v>
      </c>
      <c r="C56" t="inlineStr">
        <is>
          <t>1 imp pt = 0.6005 qt</t>
        </is>
      </c>
    </row>
    <row r="57">
      <c r="A57" t="inlineStr">
        <is>
          <t>imp pt→pt</t>
        </is>
      </c>
      <c r="B57" s="80" t="n">
        <v>1.200949925504855</v>
      </c>
      <c r="C57" t="inlineStr">
        <is>
          <t>1 imp pt = 1.2009 pt</t>
        </is>
      </c>
    </row>
    <row r="58">
      <c r="A58" t="inlineStr">
        <is>
          <t>imp pt→cup</t>
        </is>
      </c>
      <c r="B58" s="80" t="n">
        <v>2.40189985100971</v>
      </c>
      <c r="C58" t="inlineStr">
        <is>
          <t>1 imp pt = 2.4019 cup</t>
        </is>
      </c>
    </row>
    <row r="59">
      <c r="A59" t="inlineStr">
        <is>
          <t>imp pt→fl oz</t>
        </is>
      </c>
      <c r="B59" s="80" t="n">
        <v>19.21519880807768</v>
      </c>
      <c r="C59" t="inlineStr">
        <is>
          <t>1 imp pt = 19.2152 fl oz</t>
        </is>
      </c>
    </row>
    <row r="60">
      <c r="A60" t="inlineStr">
        <is>
          <t>imp pt→tbsp</t>
        </is>
      </c>
      <c r="B60" s="80" t="n">
        <v>38.43039761615536</v>
      </c>
      <c r="C60" t="inlineStr">
        <is>
          <t>1 imp pt = 38.4304 tbsp</t>
        </is>
      </c>
    </row>
    <row r="61">
      <c r="A61" t="inlineStr">
        <is>
          <t>imp pt→tsp</t>
        </is>
      </c>
      <c r="B61" s="80" t="n">
        <v>115.2911928484661</v>
      </c>
      <c r="C61" t="inlineStr">
        <is>
          <t>1 imp pt = 115.29 tsp</t>
        </is>
      </c>
    </row>
    <row r="62">
      <c r="A62" t="inlineStr">
        <is>
          <t>imp pt→L</t>
        </is>
      </c>
      <c r="B62" s="80" t="n">
        <v>0.5682612500000001</v>
      </c>
      <c r="C62" t="inlineStr">
        <is>
          <t>1 imp pt = 0.5683 L</t>
        </is>
      </c>
    </row>
    <row r="63">
      <c r="A63" t="inlineStr">
        <is>
          <t>imp pt→ml</t>
        </is>
      </c>
      <c r="B63" s="80" t="n">
        <v>568.26125</v>
      </c>
      <c r="C63" t="inlineStr">
        <is>
          <t>1 imp pt = 568.26 ml</t>
        </is>
      </c>
    </row>
    <row r="64">
      <c r="A64" t="inlineStr">
        <is>
          <t>imp pt→cl</t>
        </is>
      </c>
      <c r="B64" s="80" t="n">
        <v>56.826125</v>
      </c>
      <c r="C64" t="inlineStr">
        <is>
          <t>1 imp pt = 56.8261 cl</t>
        </is>
      </c>
    </row>
    <row r="65">
      <c r="A65" t="inlineStr">
        <is>
          <t>cup→cup</t>
        </is>
      </c>
      <c r="B65" s="80" t="n">
        <v>1</v>
      </c>
      <c r="C65" t="inlineStr">
        <is>
          <t>same unit (volume: pro kitchens weigh dry goods; weigh one cup once)</t>
        </is>
      </c>
    </row>
    <row r="66">
      <c r="A66" t="inlineStr">
        <is>
          <t>cup→gal</t>
        </is>
      </c>
      <c r="B66" s="80" t="n">
        <v>0.0625</v>
      </c>
      <c r="C66" t="inlineStr">
        <is>
          <t>1 cup = 0.0625 gal</t>
        </is>
      </c>
    </row>
    <row r="67">
      <c r="A67" t="inlineStr">
        <is>
          <t>cup→qt</t>
        </is>
      </c>
      <c r="B67" s="80" t="n">
        <v>0.25</v>
      </c>
      <c r="C67" t="inlineStr">
        <is>
          <t>1 cup = 0.25 qt</t>
        </is>
      </c>
    </row>
    <row r="68">
      <c r="A68" t="inlineStr">
        <is>
          <t>cup→pt</t>
        </is>
      </c>
      <c r="B68" s="80" t="n">
        <v>0.5</v>
      </c>
      <c r="C68" t="inlineStr">
        <is>
          <t>1 cup = 0.5 pt</t>
        </is>
      </c>
    </row>
    <row r="69">
      <c r="A69" t="inlineStr">
        <is>
          <t>cup→imp pt</t>
        </is>
      </c>
      <c r="B69" s="80" t="n">
        <v>0.4163370923144945</v>
      </c>
      <c r="C69" t="inlineStr">
        <is>
          <t>1 cup = 0.4163 imp pt</t>
        </is>
      </c>
    </row>
    <row r="70">
      <c r="A70" t="inlineStr">
        <is>
          <t>cup→fl oz</t>
        </is>
      </c>
      <c r="B70" s="80" t="n">
        <v>8</v>
      </c>
      <c r="C70" t="inlineStr">
        <is>
          <t>1 cup = 8 fl oz</t>
        </is>
      </c>
    </row>
    <row r="71">
      <c r="A71" t="inlineStr">
        <is>
          <t>cup→tbsp</t>
        </is>
      </c>
      <c r="B71" s="80" t="n">
        <v>16</v>
      </c>
      <c r="C71" t="inlineStr">
        <is>
          <t>1 cup = 16 tbsp</t>
        </is>
      </c>
    </row>
    <row r="72">
      <c r="A72" t="inlineStr">
        <is>
          <t>cup→tsp</t>
        </is>
      </c>
      <c r="B72" s="80" t="n">
        <v>48</v>
      </c>
      <c r="C72" t="inlineStr">
        <is>
          <t>1 cup = 48 tsp</t>
        </is>
      </c>
    </row>
    <row r="73">
      <c r="A73" t="inlineStr">
        <is>
          <t>cup→L</t>
        </is>
      </c>
      <c r="B73" s="80" t="n">
        <v>0.2365882365</v>
      </c>
      <c r="C73" t="inlineStr">
        <is>
          <t>1 cup = 0.2366 L</t>
        </is>
      </c>
    </row>
    <row r="74">
      <c r="A74" t="inlineStr">
        <is>
          <t>cup→ml</t>
        </is>
      </c>
      <c r="B74" s="80" t="n">
        <v>236.5882365</v>
      </c>
      <c r="C74" t="inlineStr">
        <is>
          <t>1 cup = 236.59 ml</t>
        </is>
      </c>
    </row>
    <row r="75">
      <c r="A75" t="inlineStr">
        <is>
          <t>cup→cl</t>
        </is>
      </c>
      <c r="B75" s="80" t="n">
        <v>23.65882365</v>
      </c>
      <c r="C75" t="inlineStr">
        <is>
          <t>1 cup = 23.6588 cl</t>
        </is>
      </c>
    </row>
    <row r="76">
      <c r="A76" t="inlineStr">
        <is>
          <t>fl oz→fl oz</t>
        </is>
      </c>
      <c r="B76" s="80" t="n">
        <v>1</v>
      </c>
      <c r="C76" t="inlineStr">
        <is>
          <t>same unit (fl oz = volume; oz = weight)</t>
        </is>
      </c>
    </row>
    <row r="77">
      <c r="A77" t="inlineStr">
        <is>
          <t>fl oz→gal</t>
        </is>
      </c>
      <c r="B77" s="80" t="n">
        <v>0.0078125</v>
      </c>
      <c r="C77" t="inlineStr">
        <is>
          <t>1 fl oz = 0.007812 gal</t>
        </is>
      </c>
    </row>
    <row r="78">
      <c r="A78" t="inlineStr">
        <is>
          <t>fl oz→qt</t>
        </is>
      </c>
      <c r="B78" s="80" t="n">
        <v>0.03125</v>
      </c>
      <c r="C78" t="inlineStr">
        <is>
          <t>1 fl oz = 0.0312 qt</t>
        </is>
      </c>
    </row>
    <row r="79">
      <c r="A79" t="inlineStr">
        <is>
          <t>fl oz→pt</t>
        </is>
      </c>
      <c r="B79" s="80" t="n">
        <v>0.0625</v>
      </c>
      <c r="C79" t="inlineStr">
        <is>
          <t>1 fl oz = 0.0625 pt</t>
        </is>
      </c>
    </row>
    <row r="80">
      <c r="A80" t="inlineStr">
        <is>
          <t>fl oz→imp pt</t>
        </is>
      </c>
      <c r="B80" s="80" t="n">
        <v>0.05204213653931181</v>
      </c>
      <c r="C80" t="inlineStr">
        <is>
          <t>1 fl oz = 0.052 imp pt</t>
        </is>
      </c>
    </row>
    <row r="81">
      <c r="A81" t="inlineStr">
        <is>
          <t>fl oz→cup</t>
        </is>
      </c>
      <c r="B81" s="80" t="n">
        <v>0.125</v>
      </c>
      <c r="C81" t="inlineStr">
        <is>
          <t>1 fl oz = 0.125 cup</t>
        </is>
      </c>
    </row>
    <row r="82">
      <c r="A82" t="inlineStr">
        <is>
          <t>fl oz→tbsp</t>
        </is>
      </c>
      <c r="B82" s="80" t="n">
        <v>2</v>
      </c>
      <c r="C82" t="inlineStr">
        <is>
          <t>1 fl oz = 2 tbsp</t>
        </is>
      </c>
    </row>
    <row r="83">
      <c r="A83" t="inlineStr">
        <is>
          <t>fl oz→tsp</t>
        </is>
      </c>
      <c r="B83" s="80" t="n">
        <v>6</v>
      </c>
      <c r="C83" t="inlineStr">
        <is>
          <t>1 fl oz = 6 tsp</t>
        </is>
      </c>
    </row>
    <row r="84">
      <c r="A84" t="inlineStr">
        <is>
          <t>fl oz→L</t>
        </is>
      </c>
      <c r="B84" s="80" t="n">
        <v>0.0295735295625</v>
      </c>
      <c r="C84" t="inlineStr">
        <is>
          <t>1 fl oz = 0.0296 L</t>
        </is>
      </c>
    </row>
    <row r="85">
      <c r="A85" t="inlineStr">
        <is>
          <t>fl oz→ml</t>
        </is>
      </c>
      <c r="B85" s="80" t="n">
        <v>29.5735295625</v>
      </c>
      <c r="C85" t="inlineStr">
        <is>
          <t>1 fl oz = 29.5735 ml</t>
        </is>
      </c>
    </row>
    <row r="86">
      <c r="A86" t="inlineStr">
        <is>
          <t>fl oz→cl</t>
        </is>
      </c>
      <c r="B86" s="80" t="n">
        <v>2.95735295625</v>
      </c>
      <c r="C86" t="inlineStr">
        <is>
          <t>1 fl oz = 2.9574 cl</t>
        </is>
      </c>
    </row>
    <row r="87">
      <c r="A87" t="inlineStr">
        <is>
          <t>tbsp→tbsp</t>
        </is>
      </c>
      <c r="B87" s="80" t="n">
        <v>1</v>
      </c>
      <c r="C87" t="inlineStr">
        <is>
          <t>same unit</t>
        </is>
      </c>
    </row>
    <row r="88">
      <c r="A88" t="inlineStr">
        <is>
          <t>tbsp→gal</t>
        </is>
      </c>
      <c r="B88" s="80" t="n">
        <v>0.00390625</v>
      </c>
      <c r="C88" t="inlineStr">
        <is>
          <t>1 tbsp = 0.003906 gal</t>
        </is>
      </c>
    </row>
    <row r="89">
      <c r="A89" t="inlineStr">
        <is>
          <t>tbsp→qt</t>
        </is>
      </c>
      <c r="B89" s="80" t="n">
        <v>0.015625</v>
      </c>
      <c r="C89" t="inlineStr">
        <is>
          <t>1 tbsp = 0.0156 qt</t>
        </is>
      </c>
    </row>
    <row r="90">
      <c r="A90" t="inlineStr">
        <is>
          <t>tbsp→pt</t>
        </is>
      </c>
      <c r="B90" s="80" t="n">
        <v>0.03125</v>
      </c>
      <c r="C90" t="inlineStr">
        <is>
          <t>1 tbsp = 0.0312 pt</t>
        </is>
      </c>
    </row>
    <row r="91">
      <c r="A91" t="inlineStr">
        <is>
          <t>tbsp→imp pt</t>
        </is>
      </c>
      <c r="B91" s="80" t="n">
        <v>0.0260210682696559</v>
      </c>
      <c r="C91" t="inlineStr">
        <is>
          <t>1 tbsp = 0.026 imp pt</t>
        </is>
      </c>
    </row>
    <row r="92">
      <c r="A92" t="inlineStr">
        <is>
          <t>tbsp→cup</t>
        </is>
      </c>
      <c r="B92" s="80" t="n">
        <v>0.0625</v>
      </c>
      <c r="C92" t="inlineStr">
        <is>
          <t>1 tbsp = 0.0625 cup</t>
        </is>
      </c>
    </row>
    <row r="93">
      <c r="A93" t="inlineStr">
        <is>
          <t>tbsp→fl oz</t>
        </is>
      </c>
      <c r="B93" s="80" t="n">
        <v>0.5</v>
      </c>
      <c r="C93" t="inlineStr">
        <is>
          <t>1 tbsp = 0.5 fl oz</t>
        </is>
      </c>
    </row>
    <row r="94">
      <c r="A94" t="inlineStr">
        <is>
          <t>tbsp→tsp</t>
        </is>
      </c>
      <c r="B94" s="80" t="n">
        <v>3</v>
      </c>
      <c r="C94" t="inlineStr">
        <is>
          <t>1 tbsp = 3 tsp</t>
        </is>
      </c>
    </row>
    <row r="95">
      <c r="A95" t="inlineStr">
        <is>
          <t>tbsp→L</t>
        </is>
      </c>
      <c r="B95" s="80" t="n">
        <v>0.01478676478125</v>
      </c>
      <c r="C95" t="inlineStr">
        <is>
          <t>1 tbsp = 0.0148 L</t>
        </is>
      </c>
    </row>
    <row r="96">
      <c r="A96" t="inlineStr">
        <is>
          <t>tbsp→ml</t>
        </is>
      </c>
      <c r="B96" s="80" t="n">
        <v>14.78676478125</v>
      </c>
      <c r="C96" t="inlineStr">
        <is>
          <t>1 tbsp = 14.7868 ml</t>
        </is>
      </c>
    </row>
    <row r="97">
      <c r="A97" t="inlineStr">
        <is>
          <t>tbsp→cl</t>
        </is>
      </c>
      <c r="B97" s="80" t="n">
        <v>1.478676478125</v>
      </c>
      <c r="C97" t="inlineStr">
        <is>
          <t>1 tbsp = 1.4787 cl</t>
        </is>
      </c>
    </row>
    <row r="98">
      <c r="A98" t="inlineStr">
        <is>
          <t>tsp→tsp</t>
        </is>
      </c>
      <c r="B98" s="80" t="n">
        <v>1</v>
      </c>
      <c r="C98" t="inlineStr">
        <is>
          <t>same unit</t>
        </is>
      </c>
    </row>
    <row r="99">
      <c r="A99" t="inlineStr">
        <is>
          <t>tsp→gal</t>
        </is>
      </c>
      <c r="B99" s="80" t="n">
        <v>0.001302083333333333</v>
      </c>
      <c r="C99" t="inlineStr">
        <is>
          <t>1 tsp = 0.001302 gal</t>
        </is>
      </c>
    </row>
    <row r="100">
      <c r="A100" t="inlineStr">
        <is>
          <t>tsp→qt</t>
        </is>
      </c>
      <c r="B100" s="80" t="n">
        <v>0.005208333333333333</v>
      </c>
      <c r="C100" t="inlineStr">
        <is>
          <t>1 tsp = 0.005208 qt</t>
        </is>
      </c>
    </row>
    <row r="101">
      <c r="A101" t="inlineStr">
        <is>
          <t>tsp→pt</t>
        </is>
      </c>
      <c r="B101" s="80" t="n">
        <v>0.01041666666666667</v>
      </c>
      <c r="C101" t="inlineStr">
        <is>
          <t>1 tsp = 0.0104 pt</t>
        </is>
      </c>
    </row>
    <row r="102">
      <c r="A102" t="inlineStr">
        <is>
          <t>tsp→imp pt</t>
        </is>
      </c>
      <c r="B102" s="80" t="n">
        <v>0.008673689423218634</v>
      </c>
      <c r="C102" t="inlineStr">
        <is>
          <t>1 tsp = 0.008674 imp pt</t>
        </is>
      </c>
    </row>
    <row r="103">
      <c r="A103" t="inlineStr">
        <is>
          <t>tsp→cup</t>
        </is>
      </c>
      <c r="B103" s="80" t="n">
        <v>0.02083333333333333</v>
      </c>
      <c r="C103" t="inlineStr">
        <is>
          <t>1 tsp = 0.0208 cup</t>
        </is>
      </c>
    </row>
    <row r="104">
      <c r="A104" t="inlineStr">
        <is>
          <t>tsp→fl oz</t>
        </is>
      </c>
      <c r="B104" s="80" t="n">
        <v>0.1666666666666667</v>
      </c>
      <c r="C104" t="inlineStr">
        <is>
          <t>1 tsp = 0.1667 fl oz</t>
        </is>
      </c>
    </row>
    <row r="105">
      <c r="A105" t="inlineStr">
        <is>
          <t>tsp→tbsp</t>
        </is>
      </c>
      <c r="B105" s="80" t="n">
        <v>0.3333333333333333</v>
      </c>
      <c r="C105" t="inlineStr">
        <is>
          <t>1 tsp = 0.3333 tbsp</t>
        </is>
      </c>
    </row>
    <row r="106">
      <c r="A106" t="inlineStr">
        <is>
          <t>tsp→L</t>
        </is>
      </c>
      <c r="B106" s="80" t="n">
        <v>0.00492892159375</v>
      </c>
      <c r="C106" t="inlineStr">
        <is>
          <t>1 tsp = 0.004929 L</t>
        </is>
      </c>
    </row>
    <row r="107">
      <c r="A107" t="inlineStr">
        <is>
          <t>tsp→ml</t>
        </is>
      </c>
      <c r="B107" s="80" t="n">
        <v>4.92892159375</v>
      </c>
      <c r="C107" t="inlineStr">
        <is>
          <t>1 tsp = 4.9289 ml</t>
        </is>
      </c>
    </row>
    <row r="108">
      <c r="A108" t="inlineStr">
        <is>
          <t>tsp→cl</t>
        </is>
      </c>
      <c r="B108" s="80" t="n">
        <v>0.492892159375</v>
      </c>
      <c r="C108" t="inlineStr">
        <is>
          <t>1 tsp = 0.4929 cl</t>
        </is>
      </c>
    </row>
    <row r="109">
      <c r="A109" t="inlineStr">
        <is>
          <t>L→L</t>
        </is>
      </c>
      <c r="B109" s="80" t="n">
        <v>1</v>
      </c>
      <c r="C109" t="inlineStr">
        <is>
          <t>same unit</t>
        </is>
      </c>
    </row>
    <row r="110">
      <c r="A110" t="inlineStr">
        <is>
          <t>L→gal</t>
        </is>
      </c>
      <c r="B110" s="80" t="n">
        <v>0.2641720523581484</v>
      </c>
      <c r="C110" t="inlineStr">
        <is>
          <t>1 L = 0.2642 gal</t>
        </is>
      </c>
    </row>
    <row r="111">
      <c r="A111" t="inlineStr">
        <is>
          <t>L→qt</t>
        </is>
      </c>
      <c r="B111" s="80" t="n">
        <v>1.056688209432594</v>
      </c>
      <c r="C111" t="inlineStr">
        <is>
          <t>1 L = 1.0567 qt</t>
        </is>
      </c>
    </row>
    <row r="112">
      <c r="A112" t="inlineStr">
        <is>
          <t>L→pt</t>
        </is>
      </c>
      <c r="B112" s="80" t="n">
        <v>2.113376418865187</v>
      </c>
      <c r="C112" t="inlineStr">
        <is>
          <t>1 L = 2.1134 pt</t>
        </is>
      </c>
    </row>
    <row r="113">
      <c r="A113" t="inlineStr">
        <is>
          <t>L→imp pt</t>
        </is>
      </c>
      <c r="B113" s="80" t="n">
        <v>1.759753986392702</v>
      </c>
      <c r="C113" t="inlineStr">
        <is>
          <t>1 L = 1.7598 imp pt</t>
        </is>
      </c>
    </row>
    <row r="114">
      <c r="A114" t="inlineStr">
        <is>
          <t>L→cup</t>
        </is>
      </c>
      <c r="B114" s="80" t="n">
        <v>4.226752837730374</v>
      </c>
      <c r="C114" t="inlineStr">
        <is>
          <t>1 L = 4.2268 cup</t>
        </is>
      </c>
    </row>
    <row r="115">
      <c r="A115" t="inlineStr">
        <is>
          <t>L→fl oz</t>
        </is>
      </c>
      <c r="B115" s="80" t="n">
        <v>33.81402270184299</v>
      </c>
      <c r="C115" t="inlineStr">
        <is>
          <t>1 L = 33.814 fl oz</t>
        </is>
      </c>
    </row>
    <row r="116">
      <c r="A116" t="inlineStr">
        <is>
          <t>L→tbsp</t>
        </is>
      </c>
      <c r="B116" s="80" t="n">
        <v>67.62804540368599</v>
      </c>
      <c r="C116" t="inlineStr">
        <is>
          <t>1 L = 67.628 tbsp</t>
        </is>
      </c>
    </row>
    <row r="117">
      <c r="A117" t="inlineStr">
        <is>
          <t>L→tsp</t>
        </is>
      </c>
      <c r="B117" s="80" t="n">
        <v>202.884136211058</v>
      </c>
      <c r="C117" t="inlineStr">
        <is>
          <t>1 L = 202.88 tsp</t>
        </is>
      </c>
    </row>
    <row r="118">
      <c r="A118" t="inlineStr">
        <is>
          <t>L→ml</t>
        </is>
      </c>
      <c r="B118" s="80" t="n">
        <v>1000</v>
      </c>
      <c r="C118" t="inlineStr">
        <is>
          <t>1 L = 1,000 ml</t>
        </is>
      </c>
    </row>
    <row r="119">
      <c r="A119" t="inlineStr">
        <is>
          <t>L→cl</t>
        </is>
      </c>
      <c r="B119" s="80" t="n">
        <v>100</v>
      </c>
      <c r="C119" t="inlineStr">
        <is>
          <t>1 L = 100 cl</t>
        </is>
      </c>
    </row>
    <row r="120">
      <c r="A120" t="inlineStr">
        <is>
          <t>ml→ml</t>
        </is>
      </c>
      <c r="B120" s="80" t="n">
        <v>1</v>
      </c>
      <c r="C120" t="inlineStr">
        <is>
          <t>same unit</t>
        </is>
      </c>
    </row>
    <row r="121">
      <c r="A121" t="inlineStr">
        <is>
          <t>ml→gal</t>
        </is>
      </c>
      <c r="B121" s="80" t="n">
        <v>0.0002641720523581484</v>
      </c>
      <c r="C121" t="inlineStr">
        <is>
          <t>1 ml = 0.000264 gal</t>
        </is>
      </c>
    </row>
    <row r="122">
      <c r="A122" t="inlineStr">
        <is>
          <t>ml→qt</t>
        </is>
      </c>
      <c r="B122" s="80" t="n">
        <v>0.001056688209432594</v>
      </c>
      <c r="C122" t="inlineStr">
        <is>
          <t>1 ml = 0.001057 qt</t>
        </is>
      </c>
    </row>
    <row r="123">
      <c r="A123" t="inlineStr">
        <is>
          <t>ml→pt</t>
        </is>
      </c>
      <c r="B123" s="80" t="n">
        <v>0.002113376418865187</v>
      </c>
      <c r="C123" t="inlineStr">
        <is>
          <t>1 ml = 0.002113 pt</t>
        </is>
      </c>
    </row>
    <row r="124">
      <c r="A124" t="inlineStr">
        <is>
          <t>ml→imp pt</t>
        </is>
      </c>
      <c r="B124" s="80" t="n">
        <v>0.001759753986392702</v>
      </c>
      <c r="C124" t="inlineStr">
        <is>
          <t>1 ml = 0.00176 imp pt</t>
        </is>
      </c>
    </row>
    <row r="125">
      <c r="A125" t="inlineStr">
        <is>
          <t>ml→cup</t>
        </is>
      </c>
      <c r="B125" s="80" t="n">
        <v>0.004226752837730375</v>
      </c>
      <c r="C125" t="inlineStr">
        <is>
          <t>1 ml = 0.004227 cup</t>
        </is>
      </c>
    </row>
    <row r="126">
      <c r="A126" t="inlineStr">
        <is>
          <t>ml→fl oz</t>
        </is>
      </c>
      <c r="B126" s="80" t="n">
        <v>0.033814022701843</v>
      </c>
      <c r="C126" t="inlineStr">
        <is>
          <t>1 ml = 0.0338 fl oz</t>
        </is>
      </c>
    </row>
    <row r="127">
      <c r="A127" t="inlineStr">
        <is>
          <t>ml→tbsp</t>
        </is>
      </c>
      <c r="B127" s="80" t="n">
        <v>0.067628045403686</v>
      </c>
      <c r="C127" t="inlineStr">
        <is>
          <t>1 ml = 0.0676 tbsp</t>
        </is>
      </c>
    </row>
    <row r="128">
      <c r="A128" t="inlineStr">
        <is>
          <t>ml→tsp</t>
        </is>
      </c>
      <c r="B128" s="80" t="n">
        <v>0.202884136211058</v>
      </c>
      <c r="C128" t="inlineStr">
        <is>
          <t>1 ml = 0.2029 tsp</t>
        </is>
      </c>
    </row>
    <row r="129">
      <c r="A129" t="inlineStr">
        <is>
          <t>ml→L</t>
        </is>
      </c>
      <c r="B129" s="80" t="n">
        <v>0.001</v>
      </c>
      <c r="C129" t="inlineStr">
        <is>
          <t>1 ml = 0.001 L</t>
        </is>
      </c>
    </row>
    <row r="130">
      <c r="A130" t="inlineStr">
        <is>
          <t>ml→cl</t>
        </is>
      </c>
      <c r="B130" s="80" t="n">
        <v>0.1</v>
      </c>
      <c r="C130" t="inlineStr">
        <is>
          <t>1 ml = 0.1 cl</t>
        </is>
      </c>
    </row>
    <row r="131">
      <c r="A131" t="inlineStr">
        <is>
          <t>cl→cl</t>
        </is>
      </c>
      <c r="B131" s="80" t="n">
        <v>1</v>
      </c>
      <c r="C131" t="inlineStr">
        <is>
          <t>same unit</t>
        </is>
      </c>
    </row>
    <row r="132">
      <c r="A132" t="inlineStr">
        <is>
          <t>cl→gal</t>
        </is>
      </c>
      <c r="B132" s="80" t="n">
        <v>0.002641720523581484</v>
      </c>
      <c r="C132" t="inlineStr">
        <is>
          <t>1 cl = 0.002642 gal</t>
        </is>
      </c>
    </row>
    <row r="133">
      <c r="A133" t="inlineStr">
        <is>
          <t>cl→qt</t>
        </is>
      </c>
      <c r="B133" s="80" t="n">
        <v>0.01056688209432594</v>
      </c>
      <c r="C133" t="inlineStr">
        <is>
          <t>1 cl = 0.0106 qt</t>
        </is>
      </c>
    </row>
    <row r="134">
      <c r="A134" t="inlineStr">
        <is>
          <t>cl→pt</t>
        </is>
      </c>
      <c r="B134" s="80" t="n">
        <v>0.02113376418865187</v>
      </c>
      <c r="C134" t="inlineStr">
        <is>
          <t>1 cl = 0.0211 pt</t>
        </is>
      </c>
    </row>
    <row r="135">
      <c r="A135" t="inlineStr">
        <is>
          <t>cl→imp pt</t>
        </is>
      </c>
      <c r="B135" s="80" t="n">
        <v>0.01759753986392702</v>
      </c>
      <c r="C135" t="inlineStr">
        <is>
          <t>1 cl = 0.0176 imp pt</t>
        </is>
      </c>
    </row>
    <row r="136">
      <c r="A136" t="inlineStr">
        <is>
          <t>cl→cup</t>
        </is>
      </c>
      <c r="B136" s="80" t="n">
        <v>0.04226752837730375</v>
      </c>
      <c r="C136" t="inlineStr">
        <is>
          <t>1 cl = 0.0423 cup</t>
        </is>
      </c>
    </row>
    <row r="137">
      <c r="A137" t="inlineStr">
        <is>
          <t>cl→fl oz</t>
        </is>
      </c>
      <c r="B137" s="80" t="n">
        <v>0.33814022701843</v>
      </c>
      <c r="C137" t="inlineStr">
        <is>
          <t>1 cl = 0.3381 fl oz</t>
        </is>
      </c>
    </row>
    <row r="138">
      <c r="A138" t="inlineStr">
        <is>
          <t>cl→tbsp</t>
        </is>
      </c>
      <c r="B138" s="80" t="n">
        <v>0.67628045403686</v>
      </c>
      <c r="C138" t="inlineStr">
        <is>
          <t>1 cl = 0.6763 tbsp</t>
        </is>
      </c>
    </row>
    <row r="139">
      <c r="A139" t="inlineStr">
        <is>
          <t>cl→tsp</t>
        </is>
      </c>
      <c r="B139" s="80" t="n">
        <v>2.02884136211058</v>
      </c>
      <c r="C139" t="inlineStr">
        <is>
          <t>1 cl = 2.0288 tsp</t>
        </is>
      </c>
    </row>
    <row r="140">
      <c r="A140" t="inlineStr">
        <is>
          <t>cl→L</t>
        </is>
      </c>
      <c r="B140" s="80" t="n">
        <v>0.01</v>
      </c>
      <c r="C140" t="inlineStr">
        <is>
          <t>1 cl = 0.01 L</t>
        </is>
      </c>
    </row>
    <row r="141">
      <c r="A141" t="inlineStr">
        <is>
          <t>cl→ml</t>
        </is>
      </c>
      <c r="B141" s="80" t="n">
        <v>10</v>
      </c>
      <c r="C141" t="inlineStr">
        <is>
          <t>1 cl = 10 ml</t>
        </is>
      </c>
    </row>
    <row r="142">
      <c r="A142" t="inlineStr">
        <is>
          <t>each→each</t>
        </is>
      </c>
      <c r="B142" s="80" t="n">
        <v>1</v>
      </c>
      <c r="C142" t="inlineStr">
        <is>
          <t>same unit</t>
        </is>
      </c>
    </row>
    <row r="143">
      <c r="A143" t="inlineStr">
        <is>
          <t>each→dozen</t>
        </is>
      </c>
      <c r="B143" s="80" t="n">
        <v>0.08333333333333333</v>
      </c>
      <c r="C143" t="inlineStr">
        <is>
          <t>1 each = 0.0833 dozen</t>
        </is>
      </c>
    </row>
    <row r="144">
      <c r="A144" t="inlineStr">
        <is>
          <t>dozen→dozen</t>
        </is>
      </c>
      <c r="B144" s="80" t="n">
        <v>1</v>
      </c>
      <c r="C144" t="inlineStr">
        <is>
          <t>same unit</t>
        </is>
      </c>
    </row>
    <row r="145">
      <c r="A145" t="inlineStr">
        <is>
          <t>dozen→each</t>
        </is>
      </c>
      <c r="B145" s="80" t="n">
        <v>12</v>
      </c>
      <c r="C145" t="inlineStr">
        <is>
          <t>1 dozen = 12 each</t>
        </is>
      </c>
    </row>
    <row r="146">
      <c r="A146" t="inlineStr">
        <is>
          <t>bottle→bottle</t>
        </is>
      </c>
      <c r="B146" s="80" t="n">
        <v>1</v>
      </c>
      <c r="C146" t="inlineStr">
        <is>
          <t>same unit (bought and used as one bottle)</t>
        </is>
      </c>
    </row>
    <row r="147">
      <c r="A147" t="inlineStr">
        <is>
          <t>bottle→ml</t>
        </is>
      </c>
      <c r="B147" s="81" t="n">
        <v>750</v>
      </c>
      <c r="C147" t="inlineStr">
        <is>
          <t>bottle size in ml: 750 (US wine &amp; spirits). UK spirits: type 700 here — edit only this cell</t>
        </is>
      </c>
    </row>
    <row r="148">
      <c r="A148" t="inlineStr">
        <is>
          <t>bottle→fl oz</t>
        </is>
      </c>
      <c r="B148" s="80">
        <f>IF(AND(ISNUMBER(B147),B147&gt;0),B147/29.5735295625,"?")</f>
        <v>25.360517026382247</v>
      </c>
      <c r="C148" t="inlineStr">
        <is>
          <t>from the bottle size in ml (row 147)</t>
        </is>
      </c>
    </row>
    <row r="149">
      <c r="A149" t="inlineStr">
        <is>
          <t>bottle→cl</t>
        </is>
      </c>
      <c r="B149" s="80">
        <f>IF(AND(ISNUMBER(B147),B147&gt;0),B147/10,"?")</f>
        <v>75.0</v>
      </c>
      <c r="C149" t="inlineStr">
        <is>
          <t>from the bottle size in ml (row 147)</t>
        </is>
      </c>
    </row>
    <row r="150">
      <c r="A150" t="inlineStr">
        <is>
          <t>bottle→L</t>
        </is>
      </c>
      <c r="B150" s="80">
        <f>IF(AND(ISNUMBER(B147),B147&gt;0),B147/1000,"?")</f>
        <v>0.75</v>
      </c>
      <c r="C150" t="inlineStr">
        <is>
          <t>from the bottle size in ml (row 147)</t>
        </is>
      </c>
    </row>
    <row r="151">
      <c r="A151" t="inlineStr">
        <is>
          <t>bottle→each</t>
        </is>
      </c>
      <c r="B151" s="80" t="n">
        <v>1</v>
      </c>
      <c r="C151" t="inlineStr">
        <is>
          <t>one bottle counted as one unit</t>
        </is>
      </c>
    </row>
    <row r="152">
      <c r="A152" t="inlineStr">
        <is>
          <t>can→can</t>
        </is>
      </c>
      <c r="B152" s="80" t="n">
        <v>1</v>
      </c>
      <c r="C152" t="inlineStr">
        <is>
          <t>same unit (bought and used as one can)</t>
        </is>
      </c>
    </row>
    <row r="153">
      <c r="A153" t="inlineStr">
        <is>
          <t>can→ml</t>
        </is>
      </c>
      <c r="B153" s="81" t="n">
        <v>355</v>
      </c>
      <c r="C153" t="inlineStr">
        <is>
          <t>beverage can 12 fl oz = 355 ml (UK: 330). Edit only this cell. For #10 food cans buy in oz</t>
        </is>
      </c>
    </row>
    <row r="154">
      <c r="A154" t="inlineStr">
        <is>
          <t>can→fl oz</t>
        </is>
      </c>
      <c r="B154" s="80">
        <f>IF(AND(ISNUMBER(B153),B153&gt;0),B153/29.5735295625,"?")</f>
        <v>12.003978059154264</v>
      </c>
      <c r="C154" t="inlineStr">
        <is>
          <t>from the can size in ml (row 153)</t>
        </is>
      </c>
    </row>
    <row r="155">
      <c r="A155" t="inlineStr">
        <is>
          <t>can→cl</t>
        </is>
      </c>
      <c r="B155" s="80">
        <f>IF(AND(ISNUMBER(B153),B153&gt;0),B153/10,"?")</f>
        <v>35.5</v>
      </c>
      <c r="C155" t="inlineStr">
        <is>
          <t>from the can size in ml (row 153)</t>
        </is>
      </c>
    </row>
    <row r="156">
      <c r="A156" t="inlineStr">
        <is>
          <t>can→L</t>
        </is>
      </c>
      <c r="B156" s="80">
        <f>IF(AND(ISNUMBER(B153),B153&gt;0),B153/1000,"?")</f>
        <v>0.355</v>
      </c>
      <c r="C156" t="inlineStr">
        <is>
          <t>from the can size in ml (row 153)</t>
        </is>
      </c>
    </row>
    <row r="157">
      <c r="A157" t="inlineStr">
        <is>
          <t>can→each</t>
        </is>
      </c>
      <c r="B157" s="80" t="n">
        <v>1</v>
      </c>
      <c r="C157" t="inlineStr">
        <is>
          <t>one can counted as one unit</t>
        </is>
      </c>
    </row>
    <row r="158">
      <c r="A158" t="inlineStr">
        <is>
          <t>bunch→bunch</t>
        </is>
      </c>
      <c r="B158" s="80" t="n">
        <v>1</v>
      </c>
      <c r="C158" t="inlineStr">
        <is>
          <t>same unit (bought and used as one bunch)</t>
        </is>
      </c>
    </row>
    <row r="159">
      <c r="A159" t="inlineStr">
        <is>
          <t>bunch→each</t>
        </is>
      </c>
      <c r="B159" s="80" t="n">
        <v>1</v>
      </c>
      <c r="C159" t="inlineStr">
        <is>
          <t>one bunch counted as one unit (no default weight)</t>
        </is>
      </c>
    </row>
    <row r="160">
      <c r="A160" t="inlineStr">
        <is>
          <t>packet→packet</t>
        </is>
      </c>
      <c r="B160" s="80" t="n">
        <v>1</v>
      </c>
      <c r="C160" t="inlineStr">
        <is>
          <t>same unit (bought and used as one packet)</t>
        </is>
      </c>
    </row>
    <row r="161">
      <c r="A161" t="inlineStr">
        <is>
          <t>packet→each</t>
        </is>
      </c>
      <c r="B161" s="80" t="n">
        <v>1</v>
      </c>
      <c r="C161" t="inlineStr">
        <is>
          <t>one packet counted as one unit (no default weight)</t>
        </is>
      </c>
    </row>
    <row r="162">
      <c r="A162" t="inlineStr">
        <is>
          <t>15 dz case→15 dz case</t>
        </is>
      </c>
      <c r="B162" s="80" t="n">
        <v>1</v>
      </c>
      <c r="C162" t="inlineStr">
        <is>
          <t>same unit: type the 15 dz case price as invoiced (half case of eggs)</t>
        </is>
      </c>
    </row>
    <row r="163">
      <c r="A163" t="inlineStr">
        <is>
          <t>15 dz case→each</t>
        </is>
      </c>
      <c r="B163" s="80" t="n">
        <v>180</v>
      </c>
      <c r="C163" t="inlineStr">
        <is>
          <t>1 × 15 dz case = 180 each</t>
        </is>
      </c>
    </row>
    <row r="164">
      <c r="A164" t="inlineStr">
        <is>
          <t>15 dz case→dozen</t>
        </is>
      </c>
      <c r="B164" s="80" t="n">
        <v>15</v>
      </c>
      <c r="C164" t="inlineStr">
        <is>
          <t>1 × 15 dz case = 15 dozen</t>
        </is>
      </c>
    </row>
    <row r="165">
      <c r="A165" t="inlineStr">
        <is>
          <t>30 dz case→30 dz case</t>
        </is>
      </c>
      <c r="B165" s="80" t="n">
        <v>1</v>
      </c>
      <c r="C165" t="inlineStr">
        <is>
          <t>same unit: type the 30 dz case price as invoiced (full case of eggs)</t>
        </is>
      </c>
    </row>
    <row r="166">
      <c r="A166" t="inlineStr">
        <is>
          <t>30 dz case→each</t>
        </is>
      </c>
      <c r="B166" s="80" t="n">
        <v>360</v>
      </c>
      <c r="C166" t="inlineStr">
        <is>
          <t>1 × 30 dz case = 360 each</t>
        </is>
      </c>
    </row>
    <row r="167">
      <c r="A167" t="inlineStr">
        <is>
          <t>30 dz case→dozen</t>
        </is>
      </c>
      <c r="B167" s="80" t="n">
        <v>30</v>
      </c>
      <c r="C167" t="inlineStr">
        <is>
          <t>1 × 30 dz case = 30 dozen</t>
        </is>
      </c>
    </row>
    <row r="168">
      <c r="A168" t="inlineStr">
        <is>
          <t>50 lb bag→50 lb bag</t>
        </is>
      </c>
      <c r="B168" s="80" t="n">
        <v>1</v>
      </c>
      <c r="C168" t="inlineStr">
        <is>
          <t>same unit: type the 50 lb bag price as invoiced (e.g. flour, sugar)</t>
        </is>
      </c>
    </row>
    <row r="169">
      <c r="A169" t="inlineStr">
        <is>
          <t>50 lb bag→lb</t>
        </is>
      </c>
      <c r="B169" s="80" t="n">
        <v>50</v>
      </c>
      <c r="C169" t="inlineStr">
        <is>
          <t>1 × 50 lb bag = 50 lb</t>
        </is>
      </c>
    </row>
    <row r="170">
      <c r="A170" t="inlineStr">
        <is>
          <t>50 lb bag→oz</t>
        </is>
      </c>
      <c r="B170" s="80" t="n">
        <v>800</v>
      </c>
      <c r="C170" t="inlineStr">
        <is>
          <t>1 × 50 lb bag = 800 oz</t>
        </is>
      </c>
    </row>
    <row r="171">
      <c r="A171" t="inlineStr">
        <is>
          <t>50 lb bag→kg</t>
        </is>
      </c>
      <c r="B171" s="80" t="n">
        <v>22.6796185</v>
      </c>
      <c r="C171" t="inlineStr">
        <is>
          <t>1 × 50 lb bag = 22.6796 kg</t>
        </is>
      </c>
    </row>
    <row r="172">
      <c r="A172" t="inlineStr">
        <is>
          <t>50 lb bag→g</t>
        </is>
      </c>
      <c r="B172" s="80" t="n">
        <v>22679.6185</v>
      </c>
      <c r="C172" t="inlineStr">
        <is>
          <t>1 × 50 lb bag = 22,679.62 g</t>
        </is>
      </c>
    </row>
    <row r="173">
      <c r="A173" t="inlineStr">
        <is>
          <t>40 lb case→40 lb case</t>
        </is>
      </c>
      <c r="B173" s="80" t="n">
        <v>1</v>
      </c>
      <c r="C173" t="inlineStr">
        <is>
          <t>same unit: type the 40 lb case price as invoiced (e.g. chicken, 4 x 10 lb)</t>
        </is>
      </c>
    </row>
    <row r="174">
      <c r="A174" t="inlineStr">
        <is>
          <t>40 lb case→lb</t>
        </is>
      </c>
      <c r="B174" s="80" t="n">
        <v>40</v>
      </c>
      <c r="C174" t="inlineStr">
        <is>
          <t>1 × 40 lb case = 40 lb</t>
        </is>
      </c>
    </row>
    <row r="175">
      <c r="A175" t="inlineStr">
        <is>
          <t>40 lb case→oz</t>
        </is>
      </c>
      <c r="B175" s="80" t="n">
        <v>640</v>
      </c>
      <c r="C175" t="inlineStr">
        <is>
          <t>1 × 40 lb case = 640 oz</t>
        </is>
      </c>
    </row>
    <row r="176">
      <c r="A176" t="inlineStr">
        <is>
          <t>40 lb case→kg</t>
        </is>
      </c>
      <c r="B176" s="80" t="n">
        <v>18.1436948</v>
      </c>
      <c r="C176" t="inlineStr">
        <is>
          <t>1 × 40 lb case = 18.1437 kg</t>
        </is>
      </c>
    </row>
    <row r="177">
      <c r="A177" t="inlineStr">
        <is>
          <t>40 lb case→g</t>
        </is>
      </c>
      <c r="B177" s="80" t="n">
        <v>18143.6948</v>
      </c>
      <c r="C177" t="inlineStr">
        <is>
          <t>1 × 40 lb case = 18,143.69 g</t>
        </is>
      </c>
    </row>
    <row r="178">
      <c r="A178" t="inlineStr">
        <is>
          <t>36x1 lb case→36x1 lb case</t>
        </is>
      </c>
      <c r="B178" s="80" t="n">
        <v>1</v>
      </c>
      <c r="C178" t="inlineStr">
        <is>
          <t>same unit: type the 36x1 lb case price as invoiced (1 lb blocks, e.g. butter)</t>
        </is>
      </c>
    </row>
    <row r="179">
      <c r="A179" t="inlineStr">
        <is>
          <t>36x1 lb case→each</t>
        </is>
      </c>
      <c r="B179" s="80" t="n">
        <v>36</v>
      </c>
      <c r="C179" t="inlineStr">
        <is>
          <t>1 × 36x1 lb case = 36 each (1 lb blocks, e.g. butter)</t>
        </is>
      </c>
    </row>
    <row r="180">
      <c r="A180" t="inlineStr">
        <is>
          <t>36x1 lb case→lb</t>
        </is>
      </c>
      <c r="B180" s="80" t="n">
        <v>36</v>
      </c>
      <c r="C180" t="inlineStr">
        <is>
          <t>1 × 36x1 lb case = 36 lb</t>
        </is>
      </c>
    </row>
    <row r="181">
      <c r="A181" t="inlineStr">
        <is>
          <t>36x1 lb case→oz</t>
        </is>
      </c>
      <c r="B181" s="80" t="n">
        <v>576</v>
      </c>
      <c r="C181" t="inlineStr">
        <is>
          <t>1 × 36x1 lb case = 576 oz</t>
        </is>
      </c>
    </row>
    <row r="182">
      <c r="A182" t="inlineStr">
        <is>
          <t>36x1 lb case→kg</t>
        </is>
      </c>
      <c r="B182" s="80" t="n">
        <v>16.32932532</v>
      </c>
      <c r="C182" t="inlineStr">
        <is>
          <t>1 × 36x1 lb case = 16.3293 kg</t>
        </is>
      </c>
    </row>
    <row r="183">
      <c r="A183" t="inlineStr">
        <is>
          <t>36x1 lb case→g</t>
        </is>
      </c>
      <c r="B183" s="80" t="n">
        <v>16329.32532</v>
      </c>
      <c r="C183" t="inlineStr">
        <is>
          <t>1 × 36x1 lb case = 16,329.33 g</t>
        </is>
      </c>
    </row>
    <row r="184">
      <c r="A184" t="inlineStr">
        <is>
          <t>16 kg sack→16 kg sack</t>
        </is>
      </c>
      <c r="B184" s="80" t="n">
        <v>1</v>
      </c>
      <c r="C184" t="inlineStr">
        <is>
          <t>same unit: type the 16 kg sack price as invoiced (UK flour sack)</t>
        </is>
      </c>
    </row>
    <row r="185">
      <c r="A185" t="inlineStr">
        <is>
          <t>16 kg sack→lb</t>
        </is>
      </c>
      <c r="B185" s="80" t="n">
        <v>35.27396194958041</v>
      </c>
      <c r="C185" t="inlineStr">
        <is>
          <t>1 × 16 kg sack = 35.274 lb</t>
        </is>
      </c>
    </row>
    <row r="186">
      <c r="A186" t="inlineStr">
        <is>
          <t>16 kg sack→oz</t>
        </is>
      </c>
      <c r="B186" s="80" t="n">
        <v>564.3833911932866</v>
      </c>
      <c r="C186" t="inlineStr">
        <is>
          <t>1 × 16 kg sack = 564.38 oz</t>
        </is>
      </c>
    </row>
    <row r="187">
      <c r="A187" t="inlineStr">
        <is>
          <t>16 kg sack→kg</t>
        </is>
      </c>
      <c r="B187" s="80" t="n">
        <v>16</v>
      </c>
      <c r="C187" t="inlineStr">
        <is>
          <t>1 × 16 kg sack = 16 kg</t>
        </is>
      </c>
    </row>
    <row r="188">
      <c r="A188" t="inlineStr">
        <is>
          <t>16 kg sack→g</t>
        </is>
      </c>
      <c r="B188" s="80" t="n">
        <v>16000</v>
      </c>
      <c r="C188" t="inlineStr">
        <is>
          <t>1 × 16 kg sack = 16,000 g</t>
        </is>
      </c>
    </row>
    <row r="189">
      <c r="A189" t="inlineStr">
        <is>
          <t>40x250 g case→40x250 g case</t>
        </is>
      </c>
      <c r="B189" s="80" t="n">
        <v>1</v>
      </c>
      <c r="C189" t="inlineStr">
        <is>
          <t>same unit: type the 40x250 g case price as invoiced (250 g blocks, UK butter)</t>
        </is>
      </c>
    </row>
    <row r="190">
      <c r="A190" t="inlineStr">
        <is>
          <t>40x250 g case→each</t>
        </is>
      </c>
      <c r="B190" s="80" t="n">
        <v>40</v>
      </c>
      <c r="C190" t="inlineStr">
        <is>
          <t>1 × 40x250 g case = 40 each (250 g blocks, UK butter)</t>
        </is>
      </c>
    </row>
    <row r="191">
      <c r="A191" t="inlineStr">
        <is>
          <t>40x250 g case→lb</t>
        </is>
      </c>
      <c r="B191" s="80" t="n">
        <v>22.04622621848776</v>
      </c>
      <c r="C191" t="inlineStr">
        <is>
          <t>1 × 40x250 g case = 22.0462 lb</t>
        </is>
      </c>
    </row>
    <row r="192">
      <c r="A192" t="inlineStr">
        <is>
          <t>40x250 g case→oz</t>
        </is>
      </c>
      <c r="B192" s="80" t="n">
        <v>352.7396194958041</v>
      </c>
      <c r="C192" t="inlineStr">
        <is>
          <t>1 × 40x250 g case = 352.74 oz</t>
        </is>
      </c>
    </row>
    <row r="193">
      <c r="A193" t="inlineStr">
        <is>
          <t>40x250 g case→kg</t>
        </is>
      </c>
      <c r="B193" s="80" t="n">
        <v>10</v>
      </c>
      <c r="C193" t="inlineStr">
        <is>
          <t>1 × 40x250 g case = 10 kg</t>
        </is>
      </c>
    </row>
    <row r="194">
      <c r="A194" t="inlineStr">
        <is>
          <t>40x250 g case→g</t>
        </is>
      </c>
      <c r="B194" s="80" t="n">
        <v>10000</v>
      </c>
      <c r="C194" t="inlineStr">
        <is>
          <t>1 × 40x250 g case = 10,000 g</t>
        </is>
      </c>
    </row>
    <row r="195">
      <c r="A195" t="inlineStr">
        <is>
          <t>4x1 gal case→4x1 gal case</t>
        </is>
      </c>
      <c r="B195" s="80" t="n">
        <v>1</v>
      </c>
      <c r="C195" t="inlineStr">
        <is>
          <t>same unit: type the 4x1 gal case price as invoiced (1 gal jugs, e.g. milk)</t>
        </is>
      </c>
    </row>
    <row r="196">
      <c r="A196" t="inlineStr">
        <is>
          <t>4x1 gal case→each</t>
        </is>
      </c>
      <c r="B196" s="80" t="n">
        <v>4</v>
      </c>
      <c r="C196" t="inlineStr">
        <is>
          <t>1 × 4x1 gal case = 4 each (1 gal jugs, e.g. milk)</t>
        </is>
      </c>
    </row>
    <row r="197">
      <c r="A197" t="inlineStr">
        <is>
          <t>4x1 gal case→gal</t>
        </is>
      </c>
      <c r="B197" s="80" t="n">
        <v>4</v>
      </c>
      <c r="C197" t="inlineStr">
        <is>
          <t>1 × 4x1 gal case = 4 gal</t>
        </is>
      </c>
    </row>
    <row r="198">
      <c r="A198" t="inlineStr">
        <is>
          <t>4x1 gal case→qt</t>
        </is>
      </c>
      <c r="B198" s="80" t="n">
        <v>16</v>
      </c>
      <c r="C198" t="inlineStr">
        <is>
          <t>1 × 4x1 gal case = 16 qt</t>
        </is>
      </c>
    </row>
    <row r="199">
      <c r="A199" t="inlineStr">
        <is>
          <t>4x1 gal case→pt</t>
        </is>
      </c>
      <c r="B199" s="80" t="n">
        <v>32</v>
      </c>
      <c r="C199" t="inlineStr">
        <is>
          <t>1 × 4x1 gal case = 32 pt</t>
        </is>
      </c>
    </row>
    <row r="200">
      <c r="A200" t="inlineStr">
        <is>
          <t>4x1 gal case→imp pt</t>
        </is>
      </c>
      <c r="B200" s="80" t="n">
        <v>26.64557390812764</v>
      </c>
      <c r="C200" t="inlineStr">
        <is>
          <t>1 × 4x1 gal case = 26.6456 imp pt</t>
        </is>
      </c>
    </row>
    <row r="201">
      <c r="A201" t="inlineStr">
        <is>
          <t>4x1 gal case→cup</t>
        </is>
      </c>
      <c r="B201" s="80" t="n">
        <v>64</v>
      </c>
      <c r="C201" t="inlineStr">
        <is>
          <t>1 × 4x1 gal case = 64 cup</t>
        </is>
      </c>
    </row>
    <row r="202">
      <c r="A202" t="inlineStr">
        <is>
          <t>4x1 gal case→fl oz</t>
        </is>
      </c>
      <c r="B202" s="80" t="n">
        <v>512</v>
      </c>
      <c r="C202" t="inlineStr">
        <is>
          <t>1 × 4x1 gal case = 512 fl oz</t>
        </is>
      </c>
    </row>
    <row r="203">
      <c r="A203" t="inlineStr">
        <is>
          <t>4x1 gal case→tbsp</t>
        </is>
      </c>
      <c r="B203" s="80" t="n">
        <v>1024</v>
      </c>
      <c r="C203" t="inlineStr">
        <is>
          <t>1 × 4x1 gal case = 1,024 tbsp</t>
        </is>
      </c>
    </row>
    <row r="204">
      <c r="A204" t="inlineStr">
        <is>
          <t>4x1 gal case→tsp</t>
        </is>
      </c>
      <c r="B204" s="80" t="n">
        <v>3072</v>
      </c>
      <c r="C204" t="inlineStr">
        <is>
          <t>1 × 4x1 gal case = 3,072 tsp</t>
        </is>
      </c>
    </row>
    <row r="205">
      <c r="A205" t="inlineStr">
        <is>
          <t>4x1 gal case→L</t>
        </is>
      </c>
      <c r="B205" s="80" t="n">
        <v>15.141647136</v>
      </c>
      <c r="C205" t="inlineStr">
        <is>
          <t>1 × 4x1 gal case = 15.1416 L</t>
        </is>
      </c>
    </row>
    <row r="206">
      <c r="A206" t="inlineStr">
        <is>
          <t>4x1 gal case→ml</t>
        </is>
      </c>
      <c r="B206" s="80" t="n">
        <v>15141.647136</v>
      </c>
      <c r="C206" t="inlineStr">
        <is>
          <t>1 × 4x1 gal case = 15,141.65 ml</t>
        </is>
      </c>
    </row>
    <row r="207">
      <c r="A207" t="inlineStr">
        <is>
          <t>4x1 gal case→cl</t>
        </is>
      </c>
      <c r="B207" s="80" t="n">
        <v>1514.1647136</v>
      </c>
      <c r="C207" t="inlineStr">
        <is>
          <t>1 × 4x1 gal case = 1,514.16 cl</t>
        </is>
      </c>
    </row>
    <row r="208">
      <c r="A208" t="inlineStr">
        <is>
          <t>12x750 ml case→12x750 ml case</t>
        </is>
      </c>
      <c r="B208" s="80" t="n">
        <v>1</v>
      </c>
      <c r="C208" t="inlineStr">
        <is>
          <t>same unit: type the 12x750 ml case price as invoiced (wine or spirits)</t>
        </is>
      </c>
    </row>
    <row r="209">
      <c r="A209" t="inlineStr">
        <is>
          <t>12x750 ml case→bottle</t>
        </is>
      </c>
      <c r="B209" s="80" t="n">
        <v>12</v>
      </c>
      <c r="C209" t="inlineStr">
        <is>
          <t>1 × 12x750 ml case = 12 bottles (wine or spirits)</t>
        </is>
      </c>
    </row>
    <row r="210">
      <c r="A210" t="inlineStr">
        <is>
          <t>12x750 ml case→each</t>
        </is>
      </c>
      <c r="B210" s="80" t="n">
        <v>12</v>
      </c>
      <c r="C210" t="inlineStr">
        <is>
          <t>1 × 12x750 ml case = 12 each (wine or spirits)</t>
        </is>
      </c>
    </row>
    <row r="211">
      <c r="A211" t="inlineStr">
        <is>
          <t>12x750 ml case→gal</t>
        </is>
      </c>
      <c r="B211" s="80" t="n">
        <v>2.377548471223336</v>
      </c>
      <c r="C211" t="inlineStr">
        <is>
          <t>1 × 12x750 ml case = 2.3775 gal</t>
        </is>
      </c>
    </row>
    <row r="212">
      <c r="A212" t="inlineStr">
        <is>
          <t>12x750 ml case→qt</t>
        </is>
      </c>
      <c r="B212" s="80" t="n">
        <v>9.510193884893344</v>
      </c>
      <c r="C212" t="inlineStr">
        <is>
          <t>1 × 12x750 ml case = 9.5102 qt</t>
        </is>
      </c>
    </row>
    <row r="213">
      <c r="A213" t="inlineStr">
        <is>
          <t>12x750 ml case→pt</t>
        </is>
      </c>
      <c r="B213" s="80" t="n">
        <v>19.02038776978669</v>
      </c>
      <c r="C213" t="inlineStr">
        <is>
          <t>1 × 12x750 ml case = 19.0204 pt</t>
        </is>
      </c>
    </row>
    <row r="214">
      <c r="A214" t="inlineStr">
        <is>
          <t>12x750 ml case→imp pt</t>
        </is>
      </c>
      <c r="B214" s="80" t="n">
        <v>15.83778587753432</v>
      </c>
      <c r="C214" t="inlineStr">
        <is>
          <t>1 × 12x750 ml case = 15.8378 imp pt</t>
        </is>
      </c>
    </row>
    <row r="215">
      <c r="A215" t="inlineStr">
        <is>
          <t>12x750 ml case→fl oz</t>
        </is>
      </c>
      <c r="B215" s="80" t="n">
        <v>304.326204316587</v>
      </c>
      <c r="C215" t="inlineStr">
        <is>
          <t>1 × 12x750 ml case = 304.33 fl oz</t>
        </is>
      </c>
    </row>
    <row r="216">
      <c r="A216" t="inlineStr">
        <is>
          <t>12x750 ml case→L</t>
        </is>
      </c>
      <c r="B216" s="80" t="n">
        <v>9</v>
      </c>
      <c r="C216" t="inlineStr">
        <is>
          <t>1 × 12x750 ml case = 9 L</t>
        </is>
      </c>
    </row>
    <row r="217">
      <c r="A217" t="inlineStr">
        <is>
          <t>12x750 ml case→ml</t>
        </is>
      </c>
      <c r="B217" s="80" t="n">
        <v>9000</v>
      </c>
      <c r="C217" t="inlineStr">
        <is>
          <t>1 × 12x750 ml case = 9,000 ml</t>
        </is>
      </c>
    </row>
    <row r="218">
      <c r="A218" t="inlineStr">
        <is>
          <t>12x750 ml case→cl</t>
        </is>
      </c>
      <c r="B218" s="80" t="n">
        <v>900</v>
      </c>
      <c r="C218" t="inlineStr">
        <is>
          <t>1 × 12x750 ml case = 900 cl</t>
        </is>
      </c>
    </row>
    <row r="219">
      <c r="A219" t="inlineStr">
        <is>
          <t>24x12 fl oz case→24x12 fl oz case</t>
        </is>
      </c>
      <c r="B219" s="80" t="n">
        <v>1</v>
      </c>
      <c r="C219" t="inlineStr">
        <is>
          <t>same unit: type the 24x12 fl oz case price as invoiced (beer or soda)</t>
        </is>
      </c>
    </row>
    <row r="220">
      <c r="A220" t="inlineStr">
        <is>
          <t>24x12 fl oz case→can</t>
        </is>
      </c>
      <c r="B220" s="80" t="n">
        <v>24</v>
      </c>
      <c r="C220" t="inlineStr">
        <is>
          <t>1 × 24x12 fl oz case = 24 cans (beer or soda)</t>
        </is>
      </c>
    </row>
    <row r="221">
      <c r="A221" t="inlineStr">
        <is>
          <t>24x12 fl oz case→each</t>
        </is>
      </c>
      <c r="B221" s="80" t="n">
        <v>24</v>
      </c>
      <c r="C221" t="inlineStr">
        <is>
          <t>1 × 24x12 fl oz case = 24 each (beer or soda)</t>
        </is>
      </c>
    </row>
    <row r="222">
      <c r="A222" t="inlineStr">
        <is>
          <t>24x12 fl oz case→gal</t>
        </is>
      </c>
      <c r="B222" s="80" t="n">
        <v>2.25</v>
      </c>
      <c r="C222" t="inlineStr">
        <is>
          <t>1 × 24x12 fl oz case = 2.25 gal</t>
        </is>
      </c>
    </row>
    <row r="223">
      <c r="A223" t="inlineStr">
        <is>
          <t>24x12 fl oz case→qt</t>
        </is>
      </c>
      <c r="B223" s="80" t="n">
        <v>9</v>
      </c>
      <c r="C223" t="inlineStr">
        <is>
          <t>1 × 24x12 fl oz case = 9 qt</t>
        </is>
      </c>
    </row>
    <row r="224">
      <c r="A224" t="inlineStr">
        <is>
          <t>24x12 fl oz case→pt</t>
        </is>
      </c>
      <c r="B224" s="80" t="n">
        <v>18</v>
      </c>
      <c r="C224" t="inlineStr">
        <is>
          <t>1 × 24x12 fl oz case = 18 pt</t>
        </is>
      </c>
    </row>
    <row r="225">
      <c r="A225" t="inlineStr">
        <is>
          <t>24x12 fl oz case→imp pt</t>
        </is>
      </c>
      <c r="B225" s="80" t="n">
        <v>14.9881353233218</v>
      </c>
      <c r="C225" t="inlineStr">
        <is>
          <t>1 × 24x12 fl oz case = 14.9881 imp pt</t>
        </is>
      </c>
    </row>
    <row r="226">
      <c r="A226" t="inlineStr">
        <is>
          <t>24x12 fl oz case→fl oz</t>
        </is>
      </c>
      <c r="B226" s="80" t="n">
        <v>288</v>
      </c>
      <c r="C226" t="inlineStr">
        <is>
          <t>1 × 24x12 fl oz case = 288 fl oz</t>
        </is>
      </c>
    </row>
    <row r="227">
      <c r="A227" t="inlineStr">
        <is>
          <t>24x12 fl oz case→L</t>
        </is>
      </c>
      <c r="B227" s="80" t="n">
        <v>8.517176514000001</v>
      </c>
      <c r="C227" t="inlineStr">
        <is>
          <t>1 × 24x12 fl oz case = 8.5172 L</t>
        </is>
      </c>
    </row>
    <row r="228">
      <c r="A228" t="inlineStr">
        <is>
          <t>24x12 fl oz case→ml</t>
        </is>
      </c>
      <c r="B228" s="80" t="n">
        <v>8517.176514000001</v>
      </c>
      <c r="C228" t="inlineStr">
        <is>
          <t>1 × 24x12 fl oz case = 8,517.18 ml</t>
        </is>
      </c>
    </row>
    <row r="229">
      <c r="A229" t="inlineStr">
        <is>
          <t>24x12 fl oz case→cl</t>
        </is>
      </c>
      <c r="B229" s="80" t="n">
        <v>851.7176514</v>
      </c>
      <c r="C229" t="inlineStr">
        <is>
          <t>1 × 24x12 fl oz case = 851.72 cl</t>
        </is>
      </c>
    </row>
    <row r="230">
      <c r="A230" t="inlineStr">
        <is>
          <t>1/2 bbl keg→1/2 bbl keg</t>
        </is>
      </c>
      <c r="B230" s="80" t="n">
        <v>1</v>
      </c>
      <c r="C230" t="inlineStr">
        <is>
          <t>same unit: type the 1/2 bbl keg price as invoiced (US half barrel, 15.5 gal)</t>
        </is>
      </c>
    </row>
    <row r="231">
      <c r="A231" t="inlineStr">
        <is>
          <t>1/2 bbl keg→gal</t>
        </is>
      </c>
      <c r="B231" s="80" t="n">
        <v>15.5</v>
      </c>
      <c r="C231" t="inlineStr">
        <is>
          <t>1 × 1/2 bbl keg = 15.5 gal</t>
        </is>
      </c>
    </row>
    <row r="232">
      <c r="A232" t="inlineStr">
        <is>
          <t>1/2 bbl keg→qt</t>
        </is>
      </c>
      <c r="B232" s="80" t="n">
        <v>62</v>
      </c>
      <c r="C232" t="inlineStr">
        <is>
          <t>1 × 1/2 bbl keg = 62 qt</t>
        </is>
      </c>
    </row>
    <row r="233">
      <c r="A233" t="inlineStr">
        <is>
          <t>1/2 bbl keg→pt</t>
        </is>
      </c>
      <c r="B233" s="80" t="n">
        <v>124</v>
      </c>
      <c r="C233" t="inlineStr">
        <is>
          <t>1 × 1/2 bbl keg = 124 pt</t>
        </is>
      </c>
    </row>
    <row r="234">
      <c r="A234" t="inlineStr">
        <is>
          <t>1/2 bbl keg→imp pt</t>
        </is>
      </c>
      <c r="B234" s="80" t="n">
        <v>103.2515988939946</v>
      </c>
      <c r="C234" t="inlineStr">
        <is>
          <t>1 × 1/2 bbl keg = 103.25 imp pt</t>
        </is>
      </c>
    </row>
    <row r="235">
      <c r="A235" t="inlineStr">
        <is>
          <t>1/2 bbl keg→fl oz</t>
        </is>
      </c>
      <c r="B235" s="80" t="n">
        <v>1984</v>
      </c>
      <c r="C235" t="inlineStr">
        <is>
          <t>1 × 1/2 bbl keg = 1,984 fl oz</t>
        </is>
      </c>
    </row>
    <row r="236">
      <c r="A236" t="inlineStr">
        <is>
          <t>1/2 bbl keg→L</t>
        </is>
      </c>
      <c r="B236" s="80" t="n">
        <v>58.673882652</v>
      </c>
      <c r="C236" t="inlineStr">
        <is>
          <t>1 × 1/2 bbl keg = 58.6739 L</t>
        </is>
      </c>
    </row>
    <row r="237">
      <c r="A237" t="inlineStr">
        <is>
          <t>1/2 bbl keg→ml</t>
        </is>
      </c>
      <c r="B237" s="80" t="n">
        <v>58673.882652</v>
      </c>
      <c r="C237" t="inlineStr">
        <is>
          <t>1 × 1/2 bbl keg = 58,673.88 ml</t>
        </is>
      </c>
    </row>
    <row r="238">
      <c r="A238" t="inlineStr">
        <is>
          <t>1/2 bbl keg→cl</t>
        </is>
      </c>
      <c r="B238" s="80" t="n">
        <v>5867.3882652</v>
      </c>
      <c r="C238" t="inlineStr">
        <is>
          <t>1 × 1/2 bbl keg = 5,867.39 cl</t>
        </is>
      </c>
    </row>
    <row r="239">
      <c r="A239" t="inlineStr">
        <is>
          <t>1/6 bbl keg→1/6 bbl keg</t>
        </is>
      </c>
      <c r="B239" s="80" t="n">
        <v>1</v>
      </c>
      <c r="C239" t="inlineStr">
        <is>
          <t>same unit: type the 1/6 bbl keg price as invoiced (US sixth barrel, 5.17 gal)</t>
        </is>
      </c>
    </row>
    <row r="240">
      <c r="A240" t="inlineStr">
        <is>
          <t>1/6 bbl keg→gal</t>
        </is>
      </c>
      <c r="B240" s="80" t="n">
        <v>5.166666666666667</v>
      </c>
      <c r="C240" t="inlineStr">
        <is>
          <t>1 × 1/6 bbl keg = 5.1667 gal</t>
        </is>
      </c>
    </row>
    <row r="241">
      <c r="A241" t="inlineStr">
        <is>
          <t>1/6 bbl keg→qt</t>
        </is>
      </c>
      <c r="B241" s="80" t="n">
        <v>20.66666666666667</v>
      </c>
      <c r="C241" t="inlineStr">
        <is>
          <t>1 × 1/6 bbl keg = 20.6667 qt</t>
        </is>
      </c>
    </row>
    <row r="242">
      <c r="A242" t="inlineStr">
        <is>
          <t>1/6 bbl keg→pt</t>
        </is>
      </c>
      <c r="B242" s="80" t="n">
        <v>41.33333333333334</v>
      </c>
      <c r="C242" t="inlineStr">
        <is>
          <t>1 × 1/6 bbl keg = 41.3333 pt</t>
        </is>
      </c>
    </row>
    <row r="243">
      <c r="A243" t="inlineStr">
        <is>
          <t>1/6 bbl keg→imp pt</t>
        </is>
      </c>
      <c r="B243" s="80" t="n">
        <v>34.41719963133154</v>
      </c>
      <c r="C243" t="inlineStr">
        <is>
          <t>1 × 1/6 bbl keg = 34.4172 imp pt</t>
        </is>
      </c>
    </row>
    <row r="244">
      <c r="A244" t="inlineStr">
        <is>
          <t>1/6 bbl keg→fl oz</t>
        </is>
      </c>
      <c r="B244" s="80" t="n">
        <v>661.3333333333334</v>
      </c>
      <c r="C244" t="inlineStr">
        <is>
          <t>1 × 1/6 bbl keg = 661.33 fl oz</t>
        </is>
      </c>
    </row>
    <row r="245">
      <c r="A245" t="inlineStr">
        <is>
          <t>1/6 bbl keg→L</t>
        </is>
      </c>
      <c r="B245" s="80" t="n">
        <v>19.557960884</v>
      </c>
      <c r="C245" t="inlineStr">
        <is>
          <t>1 × 1/6 bbl keg = 19.558 L</t>
        </is>
      </c>
    </row>
    <row r="246">
      <c r="A246" t="inlineStr">
        <is>
          <t>1/6 bbl keg→ml</t>
        </is>
      </c>
      <c r="B246" s="80" t="n">
        <v>19557.960884</v>
      </c>
      <c r="C246" t="inlineStr">
        <is>
          <t>1 × 1/6 bbl keg = 19,557.96 ml</t>
        </is>
      </c>
    </row>
    <row r="247">
      <c r="A247" t="inlineStr">
        <is>
          <t>1/6 bbl keg→cl</t>
        </is>
      </c>
      <c r="B247" s="80" t="n">
        <v>1955.7960884</v>
      </c>
      <c r="C247" t="inlineStr">
        <is>
          <t>1 × 1/6 bbl keg = 1,955.8 cl</t>
        </is>
      </c>
    </row>
    <row r="248">
      <c r="A248" t="inlineStr">
        <is>
          <t>50 L keg→50 L keg</t>
        </is>
      </c>
      <c r="B248" s="80" t="n">
        <v>1</v>
      </c>
      <c r="C248" t="inlineStr">
        <is>
          <t>same unit: type the 50 L keg price as invoiced (UK keg, 50 L ≈ 88 imp pt)</t>
        </is>
      </c>
    </row>
    <row r="249">
      <c r="A249" t="inlineStr">
        <is>
          <t>50 L keg→gal</t>
        </is>
      </c>
      <c r="B249" s="80" t="n">
        <v>13.20860261790742</v>
      </c>
      <c r="C249" t="inlineStr">
        <is>
          <t>1 × 50 L keg = 13.2086 gal</t>
        </is>
      </c>
    </row>
    <row r="250">
      <c r="A250" t="inlineStr">
        <is>
          <t>50 L keg→qt</t>
        </is>
      </c>
      <c r="B250" s="80" t="n">
        <v>52.83441047162968</v>
      </c>
      <c r="C250" t="inlineStr">
        <is>
          <t>1 × 50 L keg = 52.8344 qt</t>
        </is>
      </c>
    </row>
    <row r="251">
      <c r="A251" t="inlineStr">
        <is>
          <t>50 L keg→pt</t>
        </is>
      </c>
      <c r="B251" s="80" t="n">
        <v>105.6688209432594</v>
      </c>
      <c r="C251" t="inlineStr">
        <is>
          <t>1 × 50 L keg = 105.67 pt</t>
        </is>
      </c>
    </row>
    <row r="252">
      <c r="A252" t="inlineStr">
        <is>
          <t>50 L keg→imp pt</t>
        </is>
      </c>
      <c r="B252" s="80" t="n">
        <v>87.98769931963511</v>
      </c>
      <c r="C252" t="inlineStr">
        <is>
          <t>1 × 50 L keg = 87.9877 imp pt</t>
        </is>
      </c>
    </row>
    <row r="253">
      <c r="A253" t="inlineStr">
        <is>
          <t>50 L keg→fl oz</t>
        </is>
      </c>
      <c r="B253" s="80" t="n">
        <v>1690.70113509215</v>
      </c>
      <c r="C253" t="inlineStr">
        <is>
          <t>1 × 50 L keg = 1,690.7 fl oz</t>
        </is>
      </c>
    </row>
    <row r="254">
      <c r="A254" t="inlineStr">
        <is>
          <t>50 L keg→L</t>
        </is>
      </c>
      <c r="B254" s="80" t="n">
        <v>50</v>
      </c>
      <c r="C254" t="inlineStr">
        <is>
          <t>1 × 50 L keg = 50 L</t>
        </is>
      </c>
    </row>
    <row r="255">
      <c r="A255" t="inlineStr">
        <is>
          <t>50 L keg→ml</t>
        </is>
      </c>
      <c r="B255" s="80" t="n">
        <v>50000</v>
      </c>
      <c r="C255" t="inlineStr">
        <is>
          <t>1 × 50 L keg = 50,000 ml</t>
        </is>
      </c>
    </row>
    <row r="256">
      <c r="A256" t="inlineStr">
        <is>
          <t>50 L keg→cl</t>
        </is>
      </c>
      <c r="B256" s="80" t="n">
        <v>5000</v>
      </c>
      <c r="C256" t="inlineStr">
        <is>
          <t>1 × 50 L keg = 5,000 cl</t>
        </is>
      </c>
    </row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7" customWidth="1" min="3" max="3"/>
    <col width="17" customWidth="1" min="4" max="4"/>
    <col width="62" customWidth="1" min="5" max="5"/>
  </cols>
  <sheetData>
    <row r="1">
      <c r="A1" s="76" t="inlineStr">
        <is>
          <t>Reference trim loss % by category</t>
        </is>
      </c>
    </row>
    <row r="2">
      <c r="A2" t="inlineStr">
        <is>
          <t>Typical is the trim loss % that preloads in the empty rows of the recipe cost card when you pick a category. Adjust it to your supplier. Yield % = 100% − trim loss %.</t>
        </is>
      </c>
    </row>
    <row r="3">
      <c r="A3" t="inlineStr">
        <is>
          <t>Measure your real trim loss with template 12 (Yield Test) and type it in Trim loss % on the cost card. Reference yields for many foods: USDA Food Buying Guide (foodbuyingguide.fns.usda.gov).</t>
        </is>
      </c>
    </row>
    <row r="4">
      <c r="A4" s="77" t="inlineStr">
        <is>
          <t>Category</t>
        </is>
      </c>
      <c r="B4" s="77" t="inlineStr">
        <is>
          <t>Typical trim loss %</t>
        </is>
      </c>
      <c r="C4" s="77" t="inlineStr">
        <is>
          <t>Min trim loss %</t>
        </is>
      </c>
      <c r="D4" s="77" t="inlineStr">
        <is>
          <t>Max trim loss %</t>
        </is>
      </c>
      <c r="E4" s="77" t="inlineStr">
        <is>
          <t>Notes</t>
        </is>
      </c>
    </row>
    <row r="5">
      <c r="A5" t="inlineStr">
        <is>
          <t>Beef &amp; red meat</t>
        </is>
      </c>
      <c r="B5" s="79" t="n">
        <v>0.2</v>
      </c>
      <c r="C5" s="79" t="n">
        <v>0.15</v>
      </c>
      <c r="D5" s="79" t="n">
        <v>0.25</v>
      </c>
    </row>
    <row r="6">
      <c r="A6" t="inlineStr">
        <is>
          <t>Poultry</t>
        </is>
      </c>
      <c r="B6" s="79" t="n">
        <v>0.25</v>
      </c>
      <c r="C6" s="79" t="n">
        <v>0.2</v>
      </c>
      <c r="D6" s="79" t="n">
        <v>0.3</v>
      </c>
    </row>
    <row r="7">
      <c r="A7" t="inlineStr">
        <is>
          <t>Fish</t>
        </is>
      </c>
      <c r="B7" s="79" t="n">
        <v>0.35</v>
      </c>
      <c r="C7" s="79" t="n">
        <v>0.3</v>
      </c>
      <c r="D7" s="79" t="n">
        <v>0.45</v>
      </c>
      <c r="E7" t="inlineStr">
        <is>
          <t>Gutted, head-on fish cut on the bone. Whole round fish to skin-on fillet loses 50-60%: measure it with template 12.</t>
        </is>
      </c>
    </row>
    <row r="8">
      <c r="A8" t="inlineStr">
        <is>
          <t>Shellfish</t>
        </is>
      </c>
      <c r="B8" s="79" t="n">
        <v>0.45</v>
      </c>
      <c r="C8" s="79" t="n">
        <v>0.35</v>
      </c>
      <c r="D8" s="79" t="n">
        <v>0.55</v>
      </c>
    </row>
    <row r="9">
      <c r="A9" t="inlineStr">
        <is>
          <t>Leafy greens</t>
        </is>
      </c>
      <c r="B9" s="79" t="n">
        <v>0.25</v>
      </c>
      <c r="C9" s="79" t="n">
        <v>0.2</v>
      </c>
      <c r="D9" s="79" t="n">
        <v>0.35</v>
      </c>
      <c r="E9" t="inlineStr">
        <is>
          <t>Also stems and flowers, such as asparagus and cauliflower.</t>
        </is>
      </c>
    </row>
    <row r="10">
      <c r="A10" t="inlineStr">
        <is>
          <t>Root vegetables</t>
        </is>
      </c>
      <c r="B10" s="79" t="n">
        <v>0.12</v>
      </c>
      <c r="C10" s="79" t="n">
        <v>0.08</v>
      </c>
      <c r="D10" s="79" t="n">
        <v>0.18</v>
      </c>
    </row>
    <row r="11">
      <c r="A11" t="inlineStr">
        <is>
          <t>Fruiting vegetables</t>
        </is>
      </c>
      <c r="B11" s="79" t="n">
        <v>0.1</v>
      </c>
      <c r="C11" s="79" t="n">
        <v>0.06</v>
      </c>
      <c r="D11" s="79" t="n">
        <v>0.15</v>
      </c>
    </row>
    <row r="12">
      <c r="A12" t="inlineStr">
        <is>
          <t>Fruit</t>
        </is>
      </c>
      <c r="B12" s="79" t="n">
        <v>0.15</v>
      </c>
      <c r="C12" s="79" t="n">
        <v>0.1</v>
      </c>
      <c r="D12" s="79" t="n">
        <v>0.25</v>
      </c>
    </row>
    <row r="13">
      <c r="A13" t="inlineStr">
        <is>
          <t>Dairy</t>
        </is>
      </c>
      <c r="B13" s="79" t="n">
        <v>0.03</v>
      </c>
      <c r="C13" s="79" t="n">
        <v>0.01</v>
      </c>
      <c r="D13" s="79" t="n">
        <v>0.05</v>
      </c>
    </row>
    <row r="14">
      <c r="A14" t="inlineStr">
        <is>
          <t>Dry goods &amp; grains</t>
        </is>
      </c>
      <c r="B14" s="79" t="n">
        <v>0.02</v>
      </c>
      <c r="C14" s="79" t="n">
        <v>0.01</v>
      </c>
      <c r="D14" s="79" t="n">
        <v>0.04</v>
      </c>
    </row>
    <row r="15">
      <c r="A15" t="inlineStr">
        <is>
          <t>Frozen</t>
        </is>
      </c>
      <c r="B15" s="79" t="n">
        <v>0.07000000000000001</v>
      </c>
      <c r="C15" s="79" t="n">
        <v>0.03</v>
      </c>
      <c r="D15" s="79" t="n">
        <v>0.1</v>
      </c>
    </row>
    <row r="16">
      <c r="A16" t="inlineStr">
        <is>
          <t>Bread &amp; pastry</t>
        </is>
      </c>
      <c r="B16" s="79" t="n">
        <v>0.05</v>
      </c>
      <c r="C16" s="79" t="n">
        <v>0.02</v>
      </c>
      <c r="D16" s="79" t="n">
        <v>0.1</v>
      </c>
    </row>
    <row r="17">
      <c r="A17" t="inlineStr">
        <is>
          <t>Eggs</t>
        </is>
      </c>
      <c r="B17" s="79" t="n">
        <v>0.11</v>
      </c>
      <c r="C17" s="79" t="n">
        <v>0.1</v>
      </c>
      <c r="D17" s="79" t="n">
        <v>0.13</v>
      </c>
    </row>
    <row r="18">
      <c r="A18" t="inlineStr">
        <is>
          <t>Oils &amp; fats</t>
        </is>
      </c>
      <c r="B18" s="79" t="n">
        <v>0.03</v>
      </c>
      <c r="C18" s="79" t="n">
        <v>0.01</v>
      </c>
      <c r="D18" s="79" t="n">
        <v>0.05</v>
      </c>
    </row>
    <row r="19">
      <c r="A19" t="inlineStr">
        <is>
          <t>Herbs &amp; spices</t>
        </is>
      </c>
      <c r="B19" s="79" t="n">
        <v>0.2</v>
      </c>
      <c r="C19" s="79" t="n">
        <v>0.1</v>
      </c>
      <c r="D19" s="79" t="n">
        <v>0.3</v>
      </c>
    </row>
    <row r="20">
      <c r="A20" t="inlineStr">
        <is>
          <t>Chocolate &amp; cocoa</t>
        </is>
      </c>
      <c r="B20" s="79" t="n">
        <v>0.05</v>
      </c>
      <c r="C20" s="79" t="n">
        <v>0.02</v>
      </c>
      <c r="D20" s="79" t="n">
        <v>0.08</v>
      </c>
    </row>
    <row r="21">
      <c r="A21" t="inlineStr">
        <is>
          <t>Beverages &amp; spirits</t>
        </is>
      </c>
      <c r="B21" s="79" t="n">
        <v>0.02</v>
      </c>
      <c r="C21" s="79" t="n">
        <v>0.01</v>
      </c>
      <c r="D21" s="79" t="n">
        <v>0.04</v>
      </c>
    </row>
    <row r="22">
      <c r="A22" t="inlineStr">
        <is>
          <t>Mushrooms</t>
        </is>
      </c>
      <c r="B22" s="79" t="n">
        <v>0.2</v>
      </c>
      <c r="C22" s="79" t="n">
        <v>0.12</v>
      </c>
      <c r="D22" s="79" t="n">
        <v>0.3</v>
      </c>
    </row>
    <row r="23">
      <c r="A23" t="inlineStr">
        <is>
          <t>Canned &amp; pickled</t>
        </is>
      </c>
      <c r="B23" s="79" t="n">
        <v>0.08</v>
      </c>
      <c r="C23" s="79" t="n">
        <v>0.04</v>
      </c>
      <c r="D23" s="79" t="n">
        <v>0.15</v>
      </c>
    </row>
    <row r="24">
      <c r="A24" t="inlineStr">
        <is>
          <t>Sauces &amp; condiments</t>
        </is>
      </c>
      <c r="B24" s="79" t="n">
        <v>0.05</v>
      </c>
      <c r="C24" s="79" t="n">
        <v>0.02</v>
      </c>
      <c r="D24" s="79" t="n">
        <v>0.08</v>
      </c>
    </row>
    <row r="25">
      <c r="A25" t="inlineStr">
        <is>
          <t>Pasta &amp; rice</t>
        </is>
      </c>
      <c r="B25" s="79" t="n">
        <v>0.02</v>
      </c>
      <c r="C25" s="79" t="n">
        <v>0.01</v>
      </c>
      <c r="D25" s="79" t="n">
        <v>0.04</v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Food Truck Menu Pricing &amp; Break-Even</dc:title>
  <dc:description xmlns:dc="http://purl.org/dc/elements/1.1/">aichef.pro/en/digital-products/food-cost-templates</dc:description>
  <dc:subject xmlns:dc="http://purl.org/dc/elements/1.1/">Food Cost Kit Pro · v2.1</dc:subject>
  <dcterms:created xmlns:dcterms="http://purl.org/dc/terms/" xmlns:xsi="http://www.w3.org/2001/XMLSchema-instance" xsi:type="dcterms:W3CDTF">2026-03-18T21:50:24Z</dcterms:created>
  <dcterms:modified xmlns:dcterms="http://purl.org/dc/terms/" xmlns:xsi="http://www.w3.org/2001/XMLSchema-instance" xsi:type="dcterms:W3CDTF">2026-09-24T20:23:23Z</dcterms:modified>
  <cp:lastModifiedBy>AI Chef Pro</cp:lastModifiedBy>
  <cp:category>AI Chef Pro · Digital products</cp:category>
  <cp:keywords>food cost kit, food cost templates, AI Chef Pro</cp:keywords>
</cp:coreProperties>
</file>