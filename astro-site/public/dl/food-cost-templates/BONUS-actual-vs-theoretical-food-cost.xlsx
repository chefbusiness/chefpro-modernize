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ventory" sheetId="2" state="visible" r:id="rId2"/>
    <sheet xmlns:r="http://schemas.openxmlformats.org/officeDocument/2006/relationships" name="Sales for the Period" sheetId="3" state="visible" r:id="rId3"/>
    <sheet xmlns:r="http://schemas.openxmlformats.org/officeDocument/2006/relationships" name="Waste Checklist" sheetId="4" state="visible" r:id="rId4"/>
  </sheets>
  <definedNames>
    <definedName name="_xlnm.Print_Titles" localSheetId="1">'Inventory'!$4:$4</definedName>
    <definedName name="_xlnm.Print_Area" localSheetId="1">'Inventory'!$A$1:$J$23</definedName>
    <definedName name="_xlnm.Print_Area" localSheetId="2">'Sales for the Period'!$A$1:$Q$17</definedName>
    <definedName name="_xlnm.Print_Area" localSheetId="3">'Waste Checklist'!$A$1:$F$94</definedName>
  </definedNames>
  <calcPr calcId="124519" fullCalcOnLoad="1"/>
</workbook>
</file>

<file path=xl/styles.xml><?xml version="1.0" encoding="utf-8"?>
<styleSheet xmlns="http://schemas.openxmlformats.org/spreadsheetml/2006/main">
  <numFmts count="5">
    <numFmt numFmtId="164" formatCode="+0.00;-0.00"/>
    <numFmt numFmtId="165" formatCode="m/d/yyyy"/>
    <numFmt numFmtId="166" formatCode="#,##0.00"/>
    <numFmt numFmtId="167" formatCode="0.000"/>
    <numFmt numFmtId="168" formatCode="m/d/yyyy;@"/>
  </numFmts>
  <fonts count="19">
    <font>
      <name val="Calibri"/>
      <family val="2"/>
      <color theme="1"/>
      <sz val="11"/>
      <scheme val="minor"/>
    </font>
    <font>
      <name val="Calibri"/>
      <b val="1"/>
      <color rgb="00FFD700"/>
      <sz val="18"/>
    </font>
    <font>
      <name val="Calibri"/>
      <color rgb="00888888"/>
      <sz val="11"/>
    </font>
    <font>
      <name val="Calibri"/>
      <i val="1"/>
      <color rgb="00888888"/>
      <sz val="10"/>
    </font>
    <font>
      <name val="Calibri"/>
      <b val="1"/>
      <color rgb="001A1A1A"/>
      <sz val="12"/>
    </font>
    <font>
      <name val="Calibri"/>
      <color rgb="00333333"/>
      <sz val="11"/>
    </font>
    <font>
      <name val="Calibri"/>
      <i val="1"/>
      <color rgb="00888888"/>
      <sz val="11"/>
    </font>
    <font>
      <name val="Calibri"/>
      <color rgb="00AAAAAA"/>
      <sz val="9"/>
    </font>
    <font>
      <name val="Calibri"/>
      <b val="1"/>
      <color rgb="00FFFFFF"/>
      <sz val="11"/>
    </font>
    <font>
      <name val="Calibri"/>
      <b val="1"/>
      <color rgb="00333333"/>
      <sz val="11"/>
    </font>
    <font>
      <name val="Calibri"/>
      <b val="1"/>
      <sz val="14"/>
    </font>
    <font/>
    <font>
      <b val="1"/>
      <sz val="13"/>
    </font>
    <font>
      <i val="1"/>
      <color rgb="00606060"/>
      <sz val="9"/>
    </font>
    <font>
      <b val="1"/>
      <sz val="9"/>
    </font>
    <font>
      <color rgb="00808080"/>
      <sz val="9"/>
    </font>
    <font>
      <sz val="11"/>
    </font>
    <font>
      <b val="1"/>
      <color rgb="00FFFFFF"/>
      <sz val="10"/>
    </font>
    <font>
      <b val="1"/>
      <sz val="11"/>
    </font>
  </fonts>
  <fills count="12">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FFFFFF"/>
        <bgColor rgb="00FFFFFF"/>
      </patternFill>
    </fill>
    <fill>
      <patternFill patternType="solid">
        <fgColor rgb="00F5F5F5"/>
        <bgColor rgb="00F5F5F5"/>
      </patternFill>
    </fill>
    <fill>
      <patternFill patternType="solid">
        <fgColor rgb="00FFD700"/>
        <bgColor rgb="00FFD700"/>
      </patternFill>
    </fill>
    <fill>
      <patternFill patternType="solid">
        <fgColor rgb="002D2D2D"/>
      </patternFill>
    </fill>
    <fill>
      <patternFill patternType="solid">
        <fgColor rgb="00E8F5E9"/>
      </patternFill>
    </fill>
    <fill>
      <patternFill patternType="solid">
        <fgColor rgb="00FFD700"/>
      </patternFill>
    </fill>
    <fill>
      <patternFill patternType="solid">
        <fgColor rgb="00FFFFFF"/>
      </patternFill>
    </fill>
    <fill>
      <patternFill patternType="solid">
        <fgColor rgb="00F5F5F5"/>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60">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1" fillId="0" borderId="0" pivotButton="0" quotePrefix="0" xfId="0"/>
    <xf numFmtId="0" fontId="0" fillId="2" borderId="1" pivotButton="0" quotePrefix="0" xfId="0"/>
    <xf numFmtId="0" fontId="8" fillId="3" borderId="1" applyAlignment="1" pivotButton="0" quotePrefix="0" xfId="0">
      <alignment horizontal="center" vertical="center" wrapText="1"/>
    </xf>
    <xf numFmtId="0" fontId="5" fillId="4" borderId="1" pivotButton="0" quotePrefix="0" xfId="0"/>
    <xf numFmtId="0" fontId="5" fillId="4" borderId="1" applyAlignment="1" pivotButton="0" quotePrefix="0" xfId="0">
      <alignment horizontal="center" vertical="center" wrapText="1"/>
    </xf>
    <xf numFmtId="2" fontId="0" fillId="2" borderId="1" pivotButton="0" quotePrefix="0" xfId="0"/>
    <xf numFmtId="2" fontId="9" fillId="4" borderId="1" pivotButton="0" quotePrefix="0" xfId="0"/>
    <xf numFmtId="164" fontId="9" fillId="4" borderId="1" pivotButton="0" quotePrefix="0" xfId="0"/>
    <xf numFmtId="0" fontId="5" fillId="5" borderId="1" pivotButton="0" quotePrefix="0" xfId="0"/>
    <xf numFmtId="0" fontId="5" fillId="5" borderId="1" applyAlignment="1" pivotButton="0" quotePrefix="0" xfId="0">
      <alignment horizontal="center" vertical="center" wrapText="1"/>
    </xf>
    <xf numFmtId="2" fontId="9" fillId="5" borderId="1" pivotButton="0" quotePrefix="0" xfId="0"/>
    <xf numFmtId="164" fontId="9" fillId="5" borderId="1" pivotButton="0" quotePrefix="0" xfId="0"/>
    <xf numFmtId="165" fontId="0" fillId="2" borderId="1" pivotButton="0" quotePrefix="0" xfId="0"/>
    <xf numFmtId="166" fontId="0" fillId="2" borderId="1" pivotButton="0" quotePrefix="0" xfId="0"/>
    <xf numFmtId="0" fontId="4" fillId="6" borderId="1" pivotButton="0" quotePrefix="0" xfId="0"/>
    <xf numFmtId="0" fontId="0" fillId="0" borderId="4" pivotButton="0" quotePrefix="0" xfId="0"/>
    <xf numFmtId="0" fontId="0" fillId="0" borderId="5" pivotButton="0" quotePrefix="0" xfId="0"/>
    <xf numFmtId="166" fontId="10" fillId="6" borderId="1" pivotButton="0" quotePrefix="0" xfId="0"/>
    <xf numFmtId="0" fontId="12" fillId="0" borderId="0" pivotButton="0" quotePrefix="0" xfId="0"/>
    <xf numFmtId="0" fontId="18" fillId="0" borderId="0" pivotButton="0" quotePrefix="0" xfId="0"/>
    <xf numFmtId="0" fontId="16" fillId="8" borderId="1" applyAlignment="1" applyProtection="1" pivotButton="0" quotePrefix="0" xfId="0">
      <alignment horizontal="center" vertical="center"/>
      <protection locked="0" hidden="0"/>
    </xf>
    <xf numFmtId="0" fontId="11" fillId="0" borderId="0" pivotButton="0" quotePrefix="0" xfId="0"/>
    <xf numFmtId="0" fontId="13" fillId="0" borderId="0" applyAlignment="1" pivotButton="0" quotePrefix="0" xfId="0">
      <alignment vertical="top" wrapText="1"/>
    </xf>
    <xf numFmtId="0" fontId="17" fillId="7" borderId="1" applyAlignment="1" pivotButton="0" quotePrefix="0" xfId="0">
      <alignment horizontal="center" vertical="center" wrapText="1"/>
    </xf>
    <xf numFmtId="0" fontId="17" fillId="7" borderId="0" applyAlignment="1" pivotButton="0" quotePrefix="0" xfId="0">
      <alignment horizontal="center" vertical="center" wrapText="1"/>
    </xf>
    <xf numFmtId="0" fontId="16" fillId="8" borderId="1" applyProtection="1" pivotButton="0" quotePrefix="0" xfId="0">
      <protection locked="0" hidden="0"/>
    </xf>
    <xf numFmtId="2" fontId="16" fillId="8" borderId="1" applyAlignment="1" applyProtection="1" pivotButton="0" quotePrefix="0" xfId="0">
      <alignment horizontal="center" vertical="center"/>
      <protection locked="0" hidden="0"/>
    </xf>
    <xf numFmtId="2" fontId="16" fillId="10" borderId="1" applyAlignment="1" pivotButton="0" quotePrefix="0" xfId="0">
      <alignment horizontal="center" vertical="center"/>
    </xf>
    <xf numFmtId="164" fontId="16" fillId="10" borderId="1" applyAlignment="1" pivotButton="0" quotePrefix="0" xfId="0">
      <alignment horizontal="center" vertical="center"/>
    </xf>
    <xf numFmtId="166" fontId="16" fillId="8" borderId="0" applyAlignment="1" applyProtection="1" pivotButton="0" quotePrefix="0" xfId="0">
      <alignment horizontal="center" vertical="center"/>
      <protection locked="0" hidden="0"/>
    </xf>
    <xf numFmtId="166" fontId="18" fillId="10" borderId="0" pivotButton="0" quotePrefix="0" xfId="0"/>
    <xf numFmtId="2" fontId="16" fillId="11" borderId="1" applyAlignment="1" pivotButton="0" quotePrefix="0" xfId="0">
      <alignment horizontal="center" vertical="center"/>
    </xf>
    <xf numFmtId="164" fontId="16" fillId="11" borderId="1" applyAlignment="1" pivotButton="0" quotePrefix="0" xfId="0">
      <alignment horizontal="center" vertical="center"/>
    </xf>
    <xf numFmtId="166" fontId="18" fillId="11" borderId="0" pivotButton="0" quotePrefix="0" xfId="0"/>
    <xf numFmtId="0" fontId="18" fillId="9" borderId="0" pivotButton="0" quotePrefix="0" xfId="0"/>
    <xf numFmtId="166" fontId="18" fillId="9" borderId="0" pivotButton="0" quotePrefix="0" xfId="0"/>
    <xf numFmtId="0" fontId="13" fillId="0" borderId="0" applyAlignment="1" pivotButton="0" quotePrefix="0" xfId="0">
      <alignment vertical="center" wrapText="1"/>
    </xf>
    <xf numFmtId="0" fontId="14" fillId="0" borderId="0" applyAlignment="1" pivotButton="0" quotePrefix="0" xfId="0">
      <alignment horizontal="right" vertical="center"/>
    </xf>
    <xf numFmtId="0" fontId="15" fillId="0" borderId="0" applyAlignment="1" pivotButton="0" quotePrefix="0" xfId="0">
      <alignment horizontal="center" vertical="center"/>
    </xf>
    <xf numFmtId="0" fontId="16" fillId="8" borderId="0" applyProtection="1" pivotButton="0" quotePrefix="0" xfId="0">
      <protection locked="0" hidden="0"/>
    </xf>
    <xf numFmtId="1" fontId="16" fillId="8" borderId="0" applyAlignment="1" applyProtection="1" pivotButton="0" quotePrefix="0" xfId="0">
      <alignment horizontal="center" vertical="center"/>
      <protection locked="0" hidden="0"/>
    </xf>
    <xf numFmtId="167" fontId="16" fillId="8" borderId="0" applyAlignment="1" applyProtection="1" pivotButton="0" quotePrefix="0" xfId="0">
      <alignment horizontal="center" vertical="center"/>
      <protection locked="0" hidden="0"/>
    </xf>
    <xf numFmtId="1" fontId="18" fillId="9" borderId="0" applyAlignment="1" pivotButton="0" quotePrefix="0" xfId="0">
      <alignment horizontal="center" vertical="center"/>
    </xf>
    <xf numFmtId="2" fontId="18" fillId="9" borderId="0" applyAlignment="1" pivotButton="0" quotePrefix="0" xfId="0">
      <alignment horizontal="center" vertical="center"/>
    </xf>
    <xf numFmtId="168" fontId="16" fillId="8" borderId="1" applyAlignment="1" applyProtection="1" pivotButton="0" quotePrefix="0" xfId="0">
      <alignment horizontal="center" vertical="center"/>
      <protection locked="0" hidden="0"/>
    </xf>
    <xf numFmtId="166" fontId="16" fillId="8" borderId="1" applyProtection="1" pivotButton="0" quotePrefix="0" xfId="0">
      <protection locked="0" hidden="0"/>
    </xf>
    <xf numFmtId="2" fontId="16" fillId="8" borderId="0" applyAlignment="1" applyProtection="1" pivotButton="0" quotePrefix="0" xfId="0">
      <alignment horizontal="center" vertical="center"/>
      <protection locked="0" hidden="0"/>
    </xf>
    <xf numFmtId="168" fontId="16" fillId="8" borderId="0" applyAlignment="1" applyProtection="1" pivotButton="0" quotePrefix="0" xfId="0">
      <alignment horizontal="center" vertical="center"/>
      <protection locked="0" hidden="0"/>
    </xf>
    <xf numFmtId="166" fontId="16" fillId="8" borderId="0" applyProtection="1" pivotButton="0" quotePrefix="0" xfId="0">
      <protection locked="0" hidden="0"/>
    </xf>
    <xf numFmtId="14" fontId="16" fillId="8" borderId="1" applyAlignment="1" applyProtection="1" pivotButton="0" quotePrefix="0" xfId="0">
      <alignment horizontal="center" vertical="center"/>
      <protection locked="0" hidden="0"/>
    </xf>
    <xf numFmtId="14" fontId="16" fillId="8" borderId="0" applyAlignment="1" applyProtection="1" pivotButton="0" quotePrefix="0" xfId="0">
      <alignment horizontal="center"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62"/>
  <sheetViews>
    <sheetView workbookViewId="0">
      <selection activeCell="A1" sqref="A1"/>
    </sheetView>
  </sheetViews>
  <sheetFormatPr baseColWidth="8" defaultRowHeight="15"/>
  <cols>
    <col width="3" customWidth="1" min="1" max="1"/>
    <col width="80" customWidth="1" min="2" max="2"/>
  </cols>
  <sheetData>
    <row r="1"/>
    <row r="2">
      <c r="B2" s="1" t="inlineStr">
        <is>
          <t>📋 BONUS: Actual vs Theoretical Food Cost (Inventory &amp; Waste)</t>
        </is>
      </c>
    </row>
    <row r="3">
      <c r="B3" s="2" t="inlineStr">
        <is>
          <t>Food Cost Kit Pro — AI Chef Pro</t>
        </is>
      </c>
    </row>
    <row r="4">
      <c r="B4" s="3" t="inlineStr">
        <is>
          <t>www.aichef.pro</t>
        </is>
      </c>
    </row>
    <row r="5"/>
    <row r="6">
      <c r="B6" s="6" t="inlineStr">
        <is>
          <t>▸ "Sales for the Period" tab: what you've sold and how much of each product goes into each portion.</t>
        </is>
      </c>
    </row>
    <row r="7">
      <c r="B7" s="6" t="inlineStr">
        <is>
          <t>▸ "Inventory" tab: your actual stock. It compares what you used with what you should have used, and puts a dollar value on it.</t>
        </is>
      </c>
    </row>
    <row r="8">
      <c r="B8" s="6" t="inlineStr">
        <is>
          <t>▸ "Waste Checklist" tab: the month's log of incidents.</t>
        </is>
      </c>
    </row>
    <row r="9">
      <c r="B9" s="6" t="inlineStr">
        <is>
          <t>▸ Only the GREEN cells get filled in.</t>
        </is>
      </c>
    </row>
    <row r="10">
      <c r="B10" s="6" t="n"/>
    </row>
    <row r="11">
      <c r="B11" s="4" t="inlineStr">
        <is>
          <t>How Theoretical Usage Is Calculated</t>
        </is>
      </c>
    </row>
    <row r="12">
      <c r="B12" s="7" t="n"/>
    </row>
    <row r="13">
      <c r="B13" s="6" t="inlineStr">
        <is>
          <t>▸ Theoretical usage = Σ (portions sold of the dish × quantity of that product per portion).</t>
        </is>
      </c>
    </row>
    <row r="14">
      <c r="B14" s="6" t="inlineStr">
        <is>
          <t>▸ Filled in on "Sales for the Period": one row per dish, portions sold in column B, and the quantity per portion under each product.</t>
        </is>
      </c>
    </row>
    <row r="15">
      <c r="B15" s="6" t="inlineStr">
        <is>
          <t>▸ The quantity is the AP (as-purchased) quantity from the recipe cost card (the "AP qty" column, with the butchering trim loss already built in): if you use the edible-portion quantity instead, all that trim will show up as a hidden loss.</t>
        </is>
      </c>
    </row>
    <row r="16">
      <c r="B16" s="6" t="inlineStr">
        <is>
          <t>▸ The TOTALS row is what feeds the "Theoretical usage" column on the Inventory tab. Nothing needs to be copied by hand.</t>
        </is>
      </c>
    </row>
    <row r="17"/>
    <row r="18">
      <c r="B18" s="4" t="inlineStr">
        <is>
          <t>How to Read the Variance</t>
        </is>
      </c>
    </row>
    <row r="19"/>
    <row r="20">
      <c r="B20" s="6" t="inlineStr">
        <is>
          <t>▸ Actual usage = beginning inventory + purchases − ending inventory.</t>
        </is>
      </c>
    </row>
    <row r="21">
      <c r="B21" s="6" t="inlineStr">
        <is>
          <t>▸ Variance = actual usage − theoretical usage. A positive number means you've used more than you should have.</t>
        </is>
      </c>
    </row>
    <row r="22">
      <c r="B22" s="6" t="inlineStr">
        <is>
          <t>▸ "Value of the variance" = variance × unit price. This is the column that matters: prioritize by dollars, not by pounds.</t>
        </is>
      </c>
    </row>
    <row r="23">
      <c r="B23" s="6" t="inlineStr">
        <is>
          <t>▸ Common causes of a positive variance: uncontrolled portioning, breakage and spills, theft, or an outdated recipe cost card.</t>
        </is>
      </c>
    </row>
    <row r="24">
      <c r="B24" s="6" t="inlineStr">
        <is>
          <t>▸ Products with no sales logged are left blank on purpose: with no theoretical figure, there's no comparison to make.</t>
        </is>
      </c>
    </row>
    <row r="25"/>
    <row r="26">
      <c r="B26" s="4" t="inlineStr">
        <is>
          <t>Incident Log</t>
        </is>
      </c>
    </row>
    <row r="27"/>
    <row r="28">
      <c r="B28" s="6" t="inlineStr">
        <is>
          <t>▸ 90 lines a month (about three a day). Date, product, quantity, reason (dropdown), corrective action and estimated cost.</t>
        </is>
      </c>
    </row>
    <row r="29">
      <c r="B29" s="6" t="inlineStr">
        <is>
          <t>▸ The period total adds up automatically at the bottom of the table.</t>
        </is>
      </c>
    </row>
    <row r="30">
      <c r="B30" s="6" t="inlineStr">
        <is>
          <t>▸ Cross-check this total against the "Weekly Waste Log" tab in 09-food-waste-tracker: if they don't match, some waste isn't being logged.</t>
        </is>
      </c>
    </row>
    <row r="31"/>
    <row r="32">
      <c r="B32" s="4" t="inlineStr">
        <is>
          <t>Sheet Protection</t>
        </is>
      </c>
    </row>
    <row r="33"/>
    <row r="34">
      <c r="B34" s="6" t="inlineStr">
        <is>
          <t>▸ The sheets are protected WITHOUT a password: you only type into the green cells. Go to Review → Unprotect Sheet (Google Sheets: Data → Protect sheets and ranges) to edit the rest.</t>
        </is>
      </c>
    </row>
    <row r="35"/>
    <row r="36">
      <c r="B36" s="4" t="inlineStr">
        <is>
          <t>Using your POS product mix</t>
        </is>
      </c>
    </row>
    <row r="37"/>
    <row r="38">
      <c r="B38" s="6" t="inlineStr">
        <is>
          <t>▸ Your POS already counts what you sold: Toast (Product mix), Square (Item sales), Clover (Item Sales), Lightspeed (Product Mix), Epos Now (Sales by Product). Run it for the same dates as your inventory count.</t>
        </is>
      </c>
    </row>
    <row r="39">
      <c r="B39" s="6" t="inlineStr">
        <is>
          <t>▸ Set up "Sales for the Period" once: each dish in column A and, across its row, what ONE portion uses of each product: the AP qty from its recipe cost card, in the unit shown above the product (a 7 oz tenderloin portion is 0.6988 lb AP once trim loss is in).</t>
        </is>
      </c>
    </row>
    <row r="40">
      <c r="B40" s="6" t="inlineStr">
        <is>
          <t>▸ Every period, copy ONLY the units sold into column B, on the row of the matching dish. Never paste the export over column A: it comes in its own order, dishes would land next to another dish's recipe, and theoretical usage would be wrong with no warning.</t>
        </is>
      </c>
    </row>
    <row r="41">
      <c r="B41" s="6" t="inlineStr">
        <is>
          <t>▸ There are 10 dish rows: fill them first with the dishes that use your most expensive products.</t>
        </is>
      </c>
    </row>
    <row r="42"/>
    <row r="43">
      <c r="B43" s="4" t="inlineStr">
        <is>
          <t>Related templates</t>
        </is>
      </c>
    </row>
    <row r="44"/>
    <row r="45">
      <c r="B45" s="6" t="inlineStr">
        <is>
          <t>▸ Quantities per portion come from your recipe cost cards (with trim loss measured in template 12, Yield Test, where you have it); unit prices on "Inventory" from template 13 (Ingredient Price Tracker), in the same unit you count in.</t>
        </is>
      </c>
    </row>
    <row r="46"/>
    <row r="47">
      <c r="B47" s="4" t="inlineStr">
        <is>
          <t>Using Google Sheets</t>
        </is>
      </c>
    </row>
    <row r="48"/>
    <row r="49">
      <c r="B49" s="6" t="inlineStr">
        <is>
          <t>▸ This file is built for Microsoft Excel. In Google Sheets: upload it to Google Drive, open it and choose File → Save as Google Sheets (Protect sheets and ranges isn't available while it's still an .xlsx). To go back: File → Download → Microsoft Excel (.xlsx).</t>
        </is>
      </c>
    </row>
    <row r="50">
      <c r="B50" s="6" t="inlineStr">
        <is>
          <t>▸ Protection: Data → Protect sheets and ranges. Dropdowns: Data → Data validation; if one doesn't come across, type the value exactly as it appears on its list (Expired, Spoiled, Overproduction): the formulas read the text.</t>
        </is>
      </c>
    </row>
    <row r="51"/>
    <row r="52">
      <c r="B52" s="4" t="inlineStr">
        <is>
          <t>Good to know</t>
        </is>
      </c>
    </row>
    <row r="53"/>
    <row r="54">
      <c r="B54" s="6" t="inlineStr">
        <is>
          <t>▸ Amounts have no currency symbol: they're in your currency. The examples use U.S. dollars.</t>
        </is>
      </c>
    </row>
    <row r="55">
      <c r="B55" s="6" t="inlineStr">
        <is>
          <t>▸ Sample prices are illustrative U.S. references — replace them with your own supplier invoices.</t>
        </is>
      </c>
    </row>
    <row r="56">
      <c r="B56" s="6" t="inlineStr">
        <is>
          <t>License: one business (all its locations) per purchase — use it with your clients, but don't hand out copies; schools: info@aichef.pro</t>
        </is>
      </c>
    </row>
    <row r="57"/>
    <row r="58">
      <c r="B58" s="6" t="inlineStr">
        <is>
          <t>— Food Cost Kit Pro · AI Chef Pro · aichef.pro</t>
        </is>
      </c>
    </row>
    <row r="59"/>
    <row r="60">
      <c r="B60" s="6" t="inlineStr">
        <is>
          <t>© 2026 AI Chef Pro · All rights reserved</t>
        </is>
      </c>
    </row>
    <row r="61"/>
    <row r="62">
      <c r="B62" s="6" t="inlineStr">
        <is>
          <t>Version 2.1 · September 2026 · aichef.pro/en/digital-products/food-cost-templates · info@aichef.pro</t>
        </is>
      </c>
    </row>
  </sheetData>
  <mergeCells count="1">
    <mergeCell ref="B2"/>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J23"/>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13" customWidth="1" min="3" max="3"/>
    <col width="12" customWidth="1" min="4" max="4"/>
    <col width="13" customWidth="1" min="5" max="5"/>
    <col width="14" customWidth="1" min="6" max="6"/>
    <col width="15" customWidth="1" min="7" max="7"/>
    <col width="15" customWidth="1" min="8" max="8"/>
    <col width="17" customWidth="1" min="9" max="9"/>
    <col width="21" customWidth="1" min="10" max="10"/>
  </cols>
  <sheetData>
    <row r="1">
      <c r="A1" s="27" t="inlineStr">
        <is>
          <t>Inventory Control — Weekly/Monthly</t>
        </is>
      </c>
    </row>
    <row r="2">
      <c r="A2" s="28" t="inlineStr">
        <is>
          <t>Period:</t>
        </is>
      </c>
      <c r="B2" s="29" t="n"/>
      <c r="C2" s="30" t="n"/>
      <c r="D2" s="30" t="n"/>
      <c r="E2" s="30" t="n"/>
      <c r="F2" s="30" t="n"/>
      <c r="G2" s="30" t="n"/>
      <c r="H2" s="30" t="n"/>
      <c r="I2" s="30" t="n"/>
      <c r="J2" s="30" t="n"/>
    </row>
    <row r="3" ht="30" customHeight="1">
      <c r="A3" s="31" t="inlineStr">
        <is>
          <t>Actual usage = beginning inventory + purchases − ending inventory. Theoretical usage = what you SHOULD have used based on what you sold (the "Sales for the Period" tab). The variance, valued in dollars, is your hidden loss: breakage, theft, uncontrolled portioning or outdated recipe cost cards.</t>
        </is>
      </c>
    </row>
    <row r="4" ht="30" customHeight="1">
      <c r="A4" s="32" t="inlineStr">
        <is>
          <t>Product</t>
        </is>
      </c>
      <c r="B4" s="32" t="inlineStr">
        <is>
          <t>Unit</t>
        </is>
      </c>
      <c r="C4" s="32" t="inlineStr">
        <is>
          <t>Beginning inventory</t>
        </is>
      </c>
      <c r="D4" s="32" t="inlineStr">
        <is>
          <t>Purchases</t>
        </is>
      </c>
      <c r="E4" s="32" t="inlineStr">
        <is>
          <t>Ending inventory</t>
        </is>
      </c>
      <c r="F4" s="32" t="inlineStr">
        <is>
          <t>Actual usage</t>
        </is>
      </c>
      <c r="G4" s="32" t="inlineStr">
        <is>
          <t>Theoretical usage</t>
        </is>
      </c>
      <c r="H4" s="32" t="inlineStr">
        <is>
          <t>Variance (units)</t>
        </is>
      </c>
      <c r="I4" s="33" t="inlineStr">
        <is>
          <t>Unit price</t>
        </is>
      </c>
      <c r="J4" s="33" t="inlineStr">
        <is>
          <t>Value of the variance</t>
        </is>
      </c>
    </row>
    <row r="5">
      <c r="A5" s="34" t="inlineStr">
        <is>
          <t>Beef tenderloin (PSMO)</t>
        </is>
      </c>
      <c r="B5" s="29" t="inlineStr">
        <is>
          <t>lb</t>
        </is>
      </c>
      <c r="C5" s="35" t="n">
        <v>25.41</v>
      </c>
      <c r="D5" s="35" t="n">
        <v>88.93000000000001</v>
      </c>
      <c r="E5" s="35" t="n">
        <v>26.99</v>
      </c>
      <c r="F5" s="36">
        <f>IFERROR(IF(SUM(C5:E5)=0,"",C5+D5-E5),"")</f>
        <v>87.35000000000001</v>
      </c>
      <c r="G5" s="36">
        <f>IFERROR(IF('Sales for the Period'!C15=0,"",'Sales for the Period'!C15),"")</f>
        <v>83.8524</v>
      </c>
      <c r="H5" s="37">
        <f>IFERROR(IF(F5="","",IF(G5="","",F5-G5)),"")</f>
        <v>3.4976000000000056</v>
      </c>
      <c r="I5" s="38" t="n">
        <v>17.21</v>
      </c>
      <c r="J5" s="39">
        <f>IFERROR(IF(H5="","",H5*I5),"")</f>
        <v>60.1936960000001</v>
      </c>
    </row>
    <row r="6">
      <c r="A6" s="34" t="inlineStr">
        <is>
          <t>Chicken thighs</t>
        </is>
      </c>
      <c r="B6" s="29" t="inlineStr">
        <is>
          <t>lb</t>
        </is>
      </c>
      <c r="C6" s="35" t="n"/>
      <c r="D6" s="35" t="n"/>
      <c r="E6" s="35" t="n"/>
      <c r="F6" s="40">
        <f>IFERROR(IF(SUM(C6:E6)=0,"",C6+D6-E6),"")</f>
        <v/>
      </c>
      <c r="G6" s="40">
        <f>IFERROR(IF('Sales for the Period'!D15=0,"",'Sales for the Period'!D15),"")</f>
        <v/>
      </c>
      <c r="H6" s="41">
        <f>IFERROR(IF(F6="","",IF(G6="","",F6-G6)),"")</f>
        <v/>
      </c>
      <c r="I6" s="38" t="n">
        <v>1.67</v>
      </c>
      <c r="J6" s="42">
        <f>IFERROR(IF(H6="","",H6*I6),"")</f>
        <v/>
      </c>
    </row>
    <row r="7">
      <c r="A7" s="34" t="inlineStr">
        <is>
          <t>Branzino (whole)</t>
        </is>
      </c>
      <c r="B7" s="29" t="inlineStr">
        <is>
          <t>lb</t>
        </is>
      </c>
      <c r="C7" s="35" t="n">
        <v>13.23</v>
      </c>
      <c r="D7" s="35" t="n">
        <v>59.52</v>
      </c>
      <c r="E7" s="35" t="n">
        <v>11.02</v>
      </c>
      <c r="F7" s="36">
        <f>IFERROR(IF(SUM(C7:E7)=0,"",C7+D7-E7),"")</f>
        <v>61.730000000000004</v>
      </c>
      <c r="G7" s="36">
        <f>IFERROR(IF('Sales for the Period'!E15=0,"",'Sales for the Period'!E15),"")</f>
        <v>59.96576</v>
      </c>
      <c r="H7" s="37">
        <f>IFERROR(IF(F7="","",IF(G7="","",F7-G7)),"")</f>
        <v>1.764240000000001</v>
      </c>
      <c r="I7" s="38" t="n">
        <v>10.99</v>
      </c>
      <c r="J7" s="39">
        <f>IFERROR(IF(H7="","",H7*I7),"")</f>
        <v>19.38899760000001</v>
      </c>
    </row>
    <row r="8">
      <c r="A8" s="34" t="inlineStr">
        <is>
          <t>Shrimp 16/20</t>
        </is>
      </c>
      <c r="B8" s="29" t="inlineStr">
        <is>
          <t>lb</t>
        </is>
      </c>
      <c r="C8" s="35" t="n"/>
      <c r="D8" s="35" t="n"/>
      <c r="E8" s="35" t="n"/>
      <c r="F8" s="40">
        <f>IFERROR(IF(SUM(C8:E8)=0,"",C8+D8-E8),"")</f>
        <v/>
      </c>
      <c r="G8" s="40">
        <f>IFERROR(IF('Sales for the Period'!F15=0,"",'Sales for the Period'!F15),"")</f>
        <v/>
      </c>
      <c r="H8" s="41">
        <f>IFERROR(IF(F8="","",IF(G8="","",F8-G8)),"")</f>
        <v/>
      </c>
      <c r="I8" s="38" t="n">
        <v>8.99</v>
      </c>
      <c r="J8" s="42">
        <f>IFERROR(IF(H8="","",H8*I8),"")</f>
        <v/>
      </c>
    </row>
    <row r="9">
      <c r="A9" s="34" t="inlineStr">
        <is>
          <t>Potatoes</t>
        </is>
      </c>
      <c r="B9" s="29" t="inlineStr">
        <is>
          <t>lb</t>
        </is>
      </c>
      <c r="C9" s="35" t="n">
        <v>49.3</v>
      </c>
      <c r="D9" s="35" t="n">
        <v>50</v>
      </c>
      <c r="E9" s="35" t="n">
        <v>34.2</v>
      </c>
      <c r="F9" s="36">
        <f>IFERROR(IF(SUM(C9:E9)=0,"",C9+D9-E9),"")</f>
        <v>65.1</v>
      </c>
      <c r="G9" s="36">
        <f>IFERROR(IF('Sales for the Period'!G15=0,"",'Sales for the Period'!G15),"")</f>
        <v>61.553039999999996</v>
      </c>
      <c r="H9" s="37">
        <f>IFERROR(IF(F9="","",IF(G9="","",F9-G9)),"")</f>
        <v>3.5469599999999986</v>
      </c>
      <c r="I9" s="38" t="n">
        <v>0.7296</v>
      </c>
      <c r="J9" s="39">
        <f>IFERROR(IF(H9="","",H9*I9),"")</f>
        <v>2.587862015999999</v>
      </c>
    </row>
    <row r="10">
      <c r="A10" s="34" t="inlineStr">
        <is>
          <t>Tomatoes</t>
        </is>
      </c>
      <c r="B10" s="29" t="inlineStr">
        <is>
          <t>lb</t>
        </is>
      </c>
      <c r="C10" s="35" t="n">
        <v>13.2</v>
      </c>
      <c r="D10" s="35" t="n">
        <v>25</v>
      </c>
      <c r="E10" s="35" t="n">
        <v>12.85</v>
      </c>
      <c r="F10" s="40">
        <f>IFERROR(IF(SUM(C10:E10)=0,"",C10+D10-E10),"")</f>
        <v>25.35</v>
      </c>
      <c r="G10" s="40">
        <f>IFERROR(IF('Sales for the Period'!H15=0,"",'Sales for the Period'!H15),"")</f>
        <v>23.1486</v>
      </c>
      <c r="H10" s="41">
        <f>IFERROR(IF(F10="","",IF(G10="","",F10-G10)),"")</f>
        <v>2.201400000000003</v>
      </c>
      <c r="I10" s="38" t="n">
        <v>1.98</v>
      </c>
      <c r="J10" s="42">
        <f>IFERROR(IF(H10="","",H10*I10),"")</f>
        <v>4.358772000000006</v>
      </c>
    </row>
    <row r="11">
      <c r="A11" s="34" t="inlineStr">
        <is>
          <t>Spring mix</t>
        </is>
      </c>
      <c r="B11" s="29" t="inlineStr">
        <is>
          <t>lb</t>
        </is>
      </c>
      <c r="C11" s="35" t="n">
        <v>8.800000000000001</v>
      </c>
      <c r="D11" s="35" t="n">
        <v>36</v>
      </c>
      <c r="E11" s="35" t="n">
        <v>6.22</v>
      </c>
      <c r="F11" s="36">
        <f>IFERROR(IF(SUM(C11:E11)=0,"",C11+D11-E11),"")</f>
        <v>38.58</v>
      </c>
      <c r="G11" s="36">
        <f>IFERROR(IF('Sales for the Period'!I15=0,"",'Sales for the Period'!I15),"")</f>
        <v>36.37635</v>
      </c>
      <c r="H11" s="37">
        <f>IFERROR(IF(F11="","",IF(G11="","",F11-G11)),"")</f>
        <v>2.203649999999996</v>
      </c>
      <c r="I11" s="38" t="n">
        <v>3.66</v>
      </c>
      <c r="J11" s="39">
        <f>IFERROR(IF(H11="","",H11*I11),"")</f>
        <v>8.065358999999987</v>
      </c>
    </row>
    <row r="12">
      <c r="A12" s="34" t="inlineStr">
        <is>
          <t>Butter</t>
        </is>
      </c>
      <c r="B12" s="29" t="inlineStr">
        <is>
          <t>lb</t>
        </is>
      </c>
      <c r="C12" s="35" t="n">
        <v>9.699999999999999</v>
      </c>
      <c r="D12" s="35" t="n">
        <v>6</v>
      </c>
      <c r="E12" s="35" t="n">
        <v>7.65</v>
      </c>
      <c r="F12" s="40">
        <f>IFERROR(IF(SUM(C12:E12)=0,"",C12+D12-E12),"")</f>
        <v>8.049999999999999</v>
      </c>
      <c r="G12" s="40">
        <f>IFERROR(IF('Sales for the Period'!J15=0,"",'Sales for the Period'!J15),"")</f>
        <v>7.731960000000001</v>
      </c>
      <c r="H12" s="41">
        <f>IFERROR(IF(F12="","",IF(G12="","",F12-G12)),"")</f>
        <v>0.3180399999999981</v>
      </c>
      <c r="I12" s="38" t="n">
        <v>3.23</v>
      </c>
      <c r="J12" s="42">
        <f>IFERROR(IF(H12="","",H12*I12),"")</f>
        <v>1.0272691999999939</v>
      </c>
    </row>
    <row r="13">
      <c r="A13" s="34" t="inlineStr">
        <is>
          <t>Extra virgin olive oil</t>
        </is>
      </c>
      <c r="B13" s="29" t="inlineStr">
        <is>
          <t>L</t>
        </is>
      </c>
      <c r="C13" s="35" t="n">
        <v>10</v>
      </c>
      <c r="D13" s="35" t="n">
        <v>6</v>
      </c>
      <c r="E13" s="35" t="n">
        <v>12.5</v>
      </c>
      <c r="F13" s="36">
        <f>IFERROR(IF(SUM(C13:E13)=0,"",C13+D13-E13),"")</f>
        <v>3.5</v>
      </c>
      <c r="G13" s="36">
        <f>IFERROR(IF('Sales for the Period'!K15=0,"",'Sales for the Period'!K15),"")</f>
        <v>3.1</v>
      </c>
      <c r="H13" s="37">
        <f>IFERROR(IF(F13="","",IF(G13="","",F13-G13)),"")</f>
        <v>0.3999999999999999</v>
      </c>
      <c r="I13" s="38" t="n">
        <v>8.58</v>
      </c>
      <c r="J13" s="39">
        <f>IFERROR(IF(H13="","",H13*I13),"")</f>
        <v>3.431999999999999</v>
      </c>
    </row>
    <row r="14">
      <c r="A14" s="34" t="inlineStr">
        <is>
          <t>Dry white wine</t>
        </is>
      </c>
      <c r="B14" s="29" t="inlineStr">
        <is>
          <t>L</t>
        </is>
      </c>
      <c r="C14" s="35" t="n">
        <v>12</v>
      </c>
      <c r="D14" s="35" t="n">
        <v>6</v>
      </c>
      <c r="E14" s="35" t="n">
        <v>14</v>
      </c>
      <c r="F14" s="40">
        <f>IFERROR(IF(SUM(C14:E14)=0,"",C14+D14-E14),"")</f>
        <v>4.0</v>
      </c>
      <c r="G14" s="40">
        <f>IFERROR(IF('Sales for the Period'!L15=0,"",'Sales for the Period'!L15),"")</f>
        <v>3.5999999999999996</v>
      </c>
      <c r="H14" s="41">
        <f>IFERROR(IF(F14="","",IF(G14="","",F14-G14)),"")</f>
        <v>0.40000000000000036</v>
      </c>
      <c r="I14" s="38" t="n">
        <v>13.75</v>
      </c>
      <c r="J14" s="42">
        <f>IFERROR(IF(H14="","",H14*I14),"")</f>
        <v>5.500000000000005</v>
      </c>
    </row>
    <row r="15">
      <c r="A15" s="34" t="inlineStr">
        <is>
          <t>All-purpose flour</t>
        </is>
      </c>
      <c r="B15" s="29" t="inlineStr">
        <is>
          <t>lb</t>
        </is>
      </c>
      <c r="C15" s="35" t="n"/>
      <c r="D15" s="35" t="n"/>
      <c r="E15" s="35" t="n"/>
      <c r="F15" s="36">
        <f>IFERROR(IF(SUM(C15:E15)=0,"",C15+D15-E15),"")</f>
        <v/>
      </c>
      <c r="G15" s="36">
        <f>IFERROR(IF('Sales for the Period'!M15=0,"",'Sales for the Period'!M15),"")</f>
        <v/>
      </c>
      <c r="H15" s="37">
        <f>IFERROR(IF(F15="","",IF(G15="","",F15-G15)),"")</f>
        <v/>
      </c>
      <c r="I15" s="38" t="n">
        <v>0.5998</v>
      </c>
      <c r="J15" s="39">
        <f>IFERROR(IF(H15="","",H15*I15),"")</f>
        <v/>
      </c>
    </row>
    <row r="16">
      <c r="A16" s="34" t="inlineStr">
        <is>
          <t>Sugar</t>
        </is>
      </c>
      <c r="B16" s="29" t="inlineStr">
        <is>
          <t>lb</t>
        </is>
      </c>
      <c r="C16" s="35" t="n"/>
      <c r="D16" s="35" t="n"/>
      <c r="E16" s="35" t="n"/>
      <c r="F16" s="40">
        <f>IFERROR(IF(SUM(C16:E16)=0,"",C16+D16-E16),"")</f>
        <v/>
      </c>
      <c r="G16" s="40">
        <f>IFERROR(IF('Sales for the Period'!N15=0,"",'Sales for the Period'!N15),"")</f>
        <v/>
      </c>
      <c r="H16" s="41">
        <f>IFERROR(IF(F16="","",IF(G16="","",F16-G16)),"")</f>
        <v/>
      </c>
      <c r="I16" s="38" t="n">
        <v>1.01</v>
      </c>
      <c r="J16" s="42">
        <f>IFERROR(IF(H16="","",H16*I16),"")</f>
        <v/>
      </c>
    </row>
    <row r="17">
      <c r="A17" s="34" t="inlineStr">
        <is>
          <t>Eggs</t>
        </is>
      </c>
      <c r="B17" s="29" t="inlineStr">
        <is>
          <t>dozen</t>
        </is>
      </c>
      <c r="C17" s="35" t="n"/>
      <c r="D17" s="35" t="n"/>
      <c r="E17" s="35" t="n"/>
      <c r="F17" s="36">
        <f>IFERROR(IF(SUM(C17:E17)=0,"",C17+D17-E17),"")</f>
        <v/>
      </c>
      <c r="G17" s="36">
        <f>IFERROR(IF('Sales for the Period'!O15=0,"",'Sales for the Period'!O15),"")</f>
        <v/>
      </c>
      <c r="H17" s="37">
        <f>IFERROR(IF(F17="","",IF(G17="","",F17-G17)),"")</f>
        <v/>
      </c>
      <c r="I17" s="38" t="n">
        <v>2.27</v>
      </c>
      <c r="J17" s="39">
        <f>IFERROR(IF(H17="","",H17*I17),"")</f>
        <v/>
      </c>
    </row>
    <row r="18">
      <c r="A18" s="34" t="inlineStr">
        <is>
          <t>Heavy cream</t>
        </is>
      </c>
      <c r="B18" s="29" t="inlineStr">
        <is>
          <t>qt</t>
        </is>
      </c>
      <c r="C18" s="35" t="n"/>
      <c r="D18" s="35" t="n"/>
      <c r="E18" s="35" t="n"/>
      <c r="F18" s="40">
        <f>IFERROR(IF(SUM(C18:E18)=0,"",C18+D18-E18),"")</f>
        <v/>
      </c>
      <c r="G18" s="40">
        <f>IFERROR(IF('Sales for the Period'!P15=0,"",'Sales for the Period'!P15),"")</f>
        <v/>
      </c>
      <c r="H18" s="41">
        <f>IFERROR(IF(F18="","",IF(G18="","",F18-G18)),"")</f>
        <v/>
      </c>
      <c r="I18" s="38" t="n">
        <v>4.98</v>
      </c>
      <c r="J18" s="42">
        <f>IFERROR(IF(H18="","",H18*I18),"")</f>
        <v/>
      </c>
    </row>
    <row r="19">
      <c r="A19" s="34" t="inlineStr">
        <is>
          <t>Dark chocolate 70%</t>
        </is>
      </c>
      <c r="B19" s="29" t="inlineStr">
        <is>
          <t>lb</t>
        </is>
      </c>
      <c r="C19" s="35" t="n"/>
      <c r="D19" s="35" t="n"/>
      <c r="E19" s="35" t="n"/>
      <c r="F19" s="36">
        <f>IFERROR(IF(SUM(C19:E19)=0,"",C19+D19-E19),"")</f>
        <v/>
      </c>
      <c r="G19" s="36">
        <f>IFERROR(IF('Sales for the Period'!Q15=0,"",'Sales for the Period'!Q15),"")</f>
        <v/>
      </c>
      <c r="H19" s="37">
        <f>IFERROR(IF(F19="","",IF(G19="","",F19-G19)),"")</f>
        <v/>
      </c>
      <c r="I19" s="38" t="n">
        <v>9.84</v>
      </c>
      <c r="J19" s="39">
        <f>IFERROR(IF(H19="","",H19*I19),"")</f>
        <v/>
      </c>
    </row>
    <row r="20">
      <c r="A20" s="43" t="inlineStr">
        <is>
          <t>TOTAL VALUE OF VARIANCE</t>
        </is>
      </c>
      <c r="J20" s="44">
        <f>SUM(J5:J19)</f>
        <v>104.5539558160001</v>
      </c>
    </row>
    <row r="21">
      <c r="A21" s="30" t="n"/>
      <c r="B21" s="30" t="n"/>
      <c r="C21" s="30" t="n"/>
      <c r="D21" s="30" t="n"/>
      <c r="E21" s="30" t="n"/>
      <c r="F21" s="30" t="n"/>
      <c r="G21" s="30" t="n"/>
      <c r="H21" s="30" t="n"/>
      <c r="I21" s="30" t="n"/>
      <c r="J21" s="30" t="n"/>
    </row>
    <row r="22" ht="26" customHeight="1">
      <c r="A22" s="45" t="inlineStr">
        <is>
          <t>A POSITIVE variance means you've used more than what you sold accounts for. Always start with the product with the highest dollar variance, not the one with the biggest variance in units.</t>
        </is>
      </c>
    </row>
    <row r="23" ht="26" customHeight="1">
      <c r="A23" s="45" t="inlineStr">
        <is>
          <t>Products with no sales logged leave theoretical usage and variance blank: with no sales, there's no theoretical figure to compare against, and a zero there would make all of the usage look like a loss.</t>
        </is>
      </c>
    </row>
  </sheetData>
  <sheetProtection selectLockedCells="0" selectUnlockedCells="0" sheet="1" objects="0" insertRows="1" insertHyperlinks="1" autoFilter="1" scenarios="0" formatColumns="0" deleteColumns="1" insertColumns="1" pivotTables="1" deleteRows="1" formatCells="1" formatRows="0" sort="1"/>
  <mergeCells count="5">
    <mergeCell ref="A22:J22"/>
    <mergeCell ref="A3:J3"/>
    <mergeCell ref="A23:J23"/>
    <mergeCell ref="A20:I20"/>
    <mergeCell ref="A1:J1"/>
  </mergeCell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Q18"/>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27" t="inlineStr">
        <is>
          <t>Sales for the Period — Portions Sold per Dish</t>
        </is>
      </c>
    </row>
    <row r="2" ht="30" customHeight="1">
      <c r="A2" s="31" t="inlineStr">
        <is>
          <t>One row per dish: how many portions you sold and how much of each inventory product EACH portion uses. The quantity is the AP (as-purchased) figure from the recipe cost card (the "AP qty" column, already including the trim). The TOTALS row multiplies portions × quantity and is the "Theoretical usage" that shows up on the "Inventory" tab.</t>
        </is>
      </c>
    </row>
    <row r="3">
      <c r="A3" s="30" t="n"/>
      <c r="B3" s="46" t="inlineStr">
        <is>
          <t>Unit →</t>
        </is>
      </c>
      <c r="C3" s="47" t="str">
        <f>Inventory!B5</f>
        <v>lb</v>
      </c>
      <c r="D3" s="47" t="str">
        <f>Inventory!B6</f>
        <v>lb</v>
      </c>
      <c r="E3" s="47" t="str">
        <f>Inventory!B7</f>
        <v>lb</v>
      </c>
      <c r="F3" s="47" t="str">
        <f>Inventory!B8</f>
        <v>lb</v>
      </c>
      <c r="G3" s="47" t="str">
        <f>Inventory!B9</f>
        <v>lb</v>
      </c>
      <c r="H3" s="47" t="str">
        <f>Inventory!B10</f>
        <v>lb</v>
      </c>
      <c r="I3" s="47" t="str">
        <f>Inventory!B11</f>
        <v>lb</v>
      </c>
      <c r="J3" s="47" t="str">
        <f>Inventory!B12</f>
        <v>lb</v>
      </c>
      <c r="K3" s="47" t="str">
        <f>Inventory!B13</f>
        <v>L</v>
      </c>
      <c r="L3" s="47" t="str">
        <f>Inventory!B14</f>
        <v>L</v>
      </c>
      <c r="M3" s="47" t="str">
        <f>Inventory!B15</f>
        <v>lb</v>
      </c>
      <c r="N3" s="47" t="str">
        <f>Inventory!B16</f>
        <v>lb</v>
      </c>
      <c r="O3" s="47" t="str">
        <f>Inventory!B17</f>
        <v>dozen</v>
      </c>
      <c r="P3" s="47" t="str">
        <f>Inventory!B18</f>
        <v>qt</v>
      </c>
      <c r="Q3" s="47" t="str">
        <f>Inventory!B19</f>
        <v>lb</v>
      </c>
    </row>
    <row r="4" ht="30" customHeight="1">
      <c r="A4" s="33" t="inlineStr">
        <is>
          <t>Dish</t>
        </is>
      </c>
      <c r="B4" s="33" t="inlineStr">
        <is>
          <t>Portions sold</t>
        </is>
      </c>
      <c r="C4" s="33" t="str">
        <f>Inventory!A5</f>
        <v>Beef tenderloin (PSMO)</v>
      </c>
      <c r="D4" s="33" t="str">
        <f>Inventory!A6</f>
        <v>Chicken thighs</v>
      </c>
      <c r="E4" s="33" t="str">
        <f>Inventory!A7</f>
        <v>Branzino (whole)</v>
      </c>
      <c r="F4" s="33" t="str">
        <f>Inventory!A8</f>
        <v>Shrimp 16/20</v>
      </c>
      <c r="G4" s="33" t="str">
        <f>Inventory!A9</f>
        <v>Potatoes</v>
      </c>
      <c r="H4" s="33" t="str">
        <f>Inventory!A10</f>
        <v>Tomatoes</v>
      </c>
      <c r="I4" s="33" t="str">
        <f>Inventory!A11</f>
        <v>Spring mix</v>
      </c>
      <c r="J4" s="33" t="str">
        <f>Inventory!A12</f>
        <v>Butter</v>
      </c>
      <c r="K4" s="33" t="str">
        <f>Inventory!A13</f>
        <v>Extra virgin olive oil</v>
      </c>
      <c r="L4" s="33" t="str">
        <f>Inventory!A14</f>
        <v>Dry white wine</v>
      </c>
      <c r="M4" s="33" t="str">
        <f>Inventory!A15</f>
        <v>All-purpose flour</v>
      </c>
      <c r="N4" s="33" t="str">
        <f>Inventory!A16</f>
        <v>Sugar</v>
      </c>
      <c r="O4" s="33" t="str">
        <f>Inventory!A17</f>
        <v>Eggs</v>
      </c>
      <c r="P4" s="33" t="str">
        <f>Inventory!A18</f>
        <v>Heavy cream</v>
      </c>
      <c r="Q4" s="33" t="str">
        <f>Inventory!A19</f>
        <v>Dark chocolate 70%</v>
      </c>
    </row>
    <row r="5">
      <c r="A5" s="48" t="inlineStr">
        <is>
          <t>Beef Tenderloin with PX Sherry Reduction</t>
        </is>
      </c>
      <c r="B5" s="49" t="n">
        <v>120</v>
      </c>
      <c r="C5" s="50" t="n">
        <v>0.69877</v>
      </c>
      <c r="D5" s="50" t="n"/>
      <c r="E5" s="50" t="n"/>
      <c r="F5" s="50" t="n"/>
      <c r="G5" s="50" t="n">
        <v>0.355114</v>
      </c>
      <c r="H5" s="50" t="n"/>
      <c r="I5" s="50" t="n"/>
      <c r="J5" s="50" t="n">
        <v>0.064433</v>
      </c>
      <c r="K5" s="50" t="n"/>
      <c r="L5" s="50" t="n">
        <v>0.03</v>
      </c>
      <c r="M5" s="50" t="n"/>
      <c r="N5" s="50" t="n"/>
      <c r="O5" s="50" t="n"/>
      <c r="P5" s="50" t="n"/>
      <c r="Q5" s="50" t="n"/>
    </row>
    <row r="6">
      <c r="A6" s="48" t="inlineStr">
        <is>
          <t>Grilled Branzino</t>
        </is>
      </c>
      <c r="B6" s="49" t="n">
        <v>80</v>
      </c>
      <c r="C6" s="50" t="n"/>
      <c r="D6" s="50" t="n"/>
      <c r="E6" s="50" t="n">
        <v>0.749572</v>
      </c>
      <c r="F6" s="50" t="n"/>
      <c r="G6" s="50" t="n">
        <v>0.236742</v>
      </c>
      <c r="H6" s="50" t="n"/>
      <c r="I6" s="50" t="n"/>
      <c r="J6" s="50" t="n"/>
      <c r="K6" s="50" t="n">
        <v>0.02</v>
      </c>
      <c r="L6" s="50" t="n"/>
      <c r="M6" s="50" t="n"/>
      <c r="N6" s="50" t="n"/>
      <c r="O6" s="50" t="n"/>
      <c r="P6" s="50" t="n"/>
      <c r="Q6" s="50" t="n"/>
    </row>
    <row r="7">
      <c r="A7" s="48" t="inlineStr">
        <is>
          <t>House Salad</t>
        </is>
      </c>
      <c r="B7" s="49" t="n">
        <v>150</v>
      </c>
      <c r="C7" s="50" t="n"/>
      <c r="D7" s="50" t="n"/>
      <c r="E7" s="50" t="n"/>
      <c r="F7" s="50" t="n"/>
      <c r="G7" s="50" t="n"/>
      <c r="H7" s="50" t="n">
        <v>0.154324</v>
      </c>
      <c r="I7" s="50" t="n">
        <v>0.242509</v>
      </c>
      <c r="J7" s="50" t="n"/>
      <c r="K7" s="50" t="n">
        <v>0.01</v>
      </c>
      <c r="L7" s="50" t="n"/>
      <c r="M7" s="50" t="n"/>
      <c r="N7" s="50" t="n"/>
      <c r="O7" s="50" t="n"/>
      <c r="P7" s="50" t="n"/>
      <c r="Q7" s="50" t="n"/>
    </row>
    <row r="8">
      <c r="A8" s="48" t="n"/>
      <c r="B8" s="49" t="n"/>
      <c r="C8" s="50" t="n"/>
      <c r="D8" s="50" t="n"/>
      <c r="E8" s="50" t="n"/>
      <c r="F8" s="50" t="n"/>
      <c r="G8" s="50" t="n"/>
      <c r="H8" s="50" t="n"/>
      <c r="I8" s="50" t="n"/>
      <c r="J8" s="50" t="n"/>
      <c r="K8" s="50" t="n"/>
      <c r="L8" s="50" t="n"/>
      <c r="M8" s="50" t="n"/>
      <c r="N8" s="50" t="n"/>
      <c r="O8" s="50" t="n"/>
      <c r="P8" s="50" t="n"/>
      <c r="Q8" s="50" t="n"/>
    </row>
    <row r="9">
      <c r="A9" s="48" t="n"/>
      <c r="B9" s="49" t="n"/>
      <c r="C9" s="50" t="n"/>
      <c r="D9" s="50" t="n"/>
      <c r="E9" s="50" t="n"/>
      <c r="F9" s="50" t="n"/>
      <c r="G9" s="50" t="n"/>
      <c r="H9" s="50" t="n"/>
      <c r="I9" s="50" t="n"/>
      <c r="J9" s="50" t="n"/>
      <c r="K9" s="50" t="n"/>
      <c r="L9" s="50" t="n"/>
      <c r="M9" s="50" t="n"/>
      <c r="N9" s="50" t="n"/>
      <c r="O9" s="50" t="n"/>
      <c r="P9" s="50" t="n"/>
      <c r="Q9" s="50" t="n"/>
    </row>
    <row r="10">
      <c r="A10" s="48" t="n"/>
      <c r="B10" s="49" t="n"/>
      <c r="C10" s="50" t="n"/>
      <c r="D10" s="50" t="n"/>
      <c r="E10" s="50" t="n"/>
      <c r="F10" s="50" t="n"/>
      <c r="G10" s="50" t="n"/>
      <c r="H10" s="50" t="n"/>
      <c r="I10" s="50" t="n"/>
      <c r="J10" s="50" t="n"/>
      <c r="K10" s="50" t="n"/>
      <c r="L10" s="50" t="n"/>
      <c r="M10" s="50" t="n"/>
      <c r="N10" s="50" t="n"/>
      <c r="O10" s="50" t="n"/>
      <c r="P10" s="50" t="n"/>
      <c r="Q10" s="50" t="n"/>
    </row>
    <row r="11">
      <c r="A11" s="48" t="n"/>
      <c r="B11" s="49" t="n"/>
      <c r="C11" s="50" t="n"/>
      <c r="D11" s="50" t="n"/>
      <c r="E11" s="50" t="n"/>
      <c r="F11" s="50" t="n"/>
      <c r="G11" s="50" t="n"/>
      <c r="H11" s="50" t="n"/>
      <c r="I11" s="50" t="n"/>
      <c r="J11" s="50" t="n"/>
      <c r="K11" s="50" t="n"/>
      <c r="L11" s="50" t="n"/>
      <c r="M11" s="50" t="n"/>
      <c r="N11" s="50" t="n"/>
      <c r="O11" s="50" t="n"/>
      <c r="P11" s="50" t="n"/>
      <c r="Q11" s="50" t="n"/>
    </row>
    <row r="12">
      <c r="A12" s="48" t="n"/>
      <c r="B12" s="49" t="n"/>
      <c r="C12" s="50" t="n"/>
      <c r="D12" s="50" t="n"/>
      <c r="E12" s="50" t="n"/>
      <c r="F12" s="50" t="n"/>
      <c r="G12" s="50" t="n"/>
      <c r="H12" s="50" t="n"/>
      <c r="I12" s="50" t="n"/>
      <c r="J12" s="50" t="n"/>
      <c r="K12" s="50" t="n"/>
      <c r="L12" s="50" t="n"/>
      <c r="M12" s="50" t="n"/>
      <c r="N12" s="50" t="n"/>
      <c r="O12" s="50" t="n"/>
      <c r="P12" s="50" t="n"/>
      <c r="Q12" s="50" t="n"/>
    </row>
    <row r="13">
      <c r="A13" s="48" t="n"/>
      <c r="B13" s="49" t="n"/>
      <c r="C13" s="50" t="n"/>
      <c r="D13" s="50" t="n"/>
      <c r="E13" s="50" t="n"/>
      <c r="F13" s="50" t="n"/>
      <c r="G13" s="50" t="n"/>
      <c r="H13" s="50" t="n"/>
      <c r="I13" s="50" t="n"/>
      <c r="J13" s="50" t="n"/>
      <c r="K13" s="50" t="n"/>
      <c r="L13" s="50" t="n"/>
      <c r="M13" s="50" t="n"/>
      <c r="N13" s="50" t="n"/>
      <c r="O13" s="50" t="n"/>
      <c r="P13" s="50" t="n"/>
      <c r="Q13" s="50" t="n"/>
    </row>
    <row r="14">
      <c r="A14" s="48" t="n"/>
      <c r="B14" s="49" t="n"/>
      <c r="C14" s="50" t="n"/>
      <c r="D14" s="50" t="n"/>
      <c r="E14" s="50" t="n"/>
      <c r="F14" s="50" t="n"/>
      <c r="G14" s="50" t="n"/>
      <c r="H14" s="50" t="n"/>
      <c r="I14" s="50" t="n"/>
      <c r="J14" s="50" t="n"/>
      <c r="K14" s="50" t="n"/>
      <c r="L14" s="50" t="n"/>
      <c r="M14" s="50" t="n"/>
      <c r="N14" s="50" t="n"/>
      <c r="O14" s="50" t="n"/>
      <c r="P14" s="50" t="n"/>
      <c r="Q14" s="50" t="n"/>
    </row>
    <row r="15">
      <c r="A15" s="43" t="inlineStr">
        <is>
          <t>TOTALS (portions · theoretical usage)</t>
        </is>
      </c>
      <c r="B15" s="51">
        <f>SUM(B5:B14)</f>
        <v>350.0</v>
      </c>
      <c r="C15" s="52">
        <f>IFERROR(SUMPRODUCT($B$5:$B$14,C5:C14),"")</f>
        <v>83.8524</v>
      </c>
      <c r="D15" s="52">
        <f>IFERROR(SUMPRODUCT($B$5:$B$14,D5:D14),"")</f>
        <v>0.0</v>
      </c>
      <c r="E15" s="52">
        <f>IFERROR(SUMPRODUCT($B$5:$B$14,E5:E14),"")</f>
        <v>59.96576</v>
      </c>
      <c r="F15" s="52">
        <f>IFERROR(SUMPRODUCT($B$5:$B$14,F5:F14),"")</f>
        <v>0.0</v>
      </c>
      <c r="G15" s="52">
        <f>IFERROR(SUMPRODUCT($B$5:$B$14,G5:G14),"")</f>
        <v>61.553039999999996</v>
      </c>
      <c r="H15" s="52">
        <f>IFERROR(SUMPRODUCT($B$5:$B$14,H5:H14),"")</f>
        <v>23.1486</v>
      </c>
      <c r="I15" s="52">
        <f>IFERROR(SUMPRODUCT($B$5:$B$14,I5:I14),"")</f>
        <v>36.37635</v>
      </c>
      <c r="J15" s="52">
        <f>IFERROR(SUMPRODUCT($B$5:$B$14,J5:J14),"")</f>
        <v>7.731960000000001</v>
      </c>
      <c r="K15" s="52">
        <f>IFERROR(SUMPRODUCT($B$5:$B$14,K5:K14),"")</f>
        <v>3.1</v>
      </c>
      <c r="L15" s="52">
        <f>IFERROR(SUMPRODUCT($B$5:$B$14,L5:L14),"")</f>
        <v>3.5999999999999996</v>
      </c>
      <c r="M15" s="52">
        <f>IFERROR(SUMPRODUCT($B$5:$B$14,M5:M14),"")</f>
        <v>0.0</v>
      </c>
      <c r="N15" s="52">
        <f>IFERROR(SUMPRODUCT($B$5:$B$14,N5:N14),"")</f>
        <v>0.0</v>
      </c>
      <c r="O15" s="52">
        <f>IFERROR(SUMPRODUCT($B$5:$B$14,O5:O14),"")</f>
        <v>0.0</v>
      </c>
      <c r="P15" s="52">
        <f>IFERROR(SUMPRODUCT($B$5:$B$14,P5:P14),"")</f>
        <v>0.0</v>
      </c>
      <c r="Q15" s="52">
        <f>IFERROR(SUMPRODUCT($B$5:$B$14,Q5:Q14),"")</f>
        <v>0.0</v>
      </c>
    </row>
    <row r="16">
      <c r="A16" s="30" t="n"/>
      <c r="B16" s="30" t="n"/>
      <c r="C16" s="30" t="n"/>
      <c r="D16" s="30" t="n"/>
      <c r="E16" s="30" t="n"/>
      <c r="F16" s="30" t="n"/>
      <c r="G16" s="30" t="n"/>
      <c r="H16" s="30" t="n"/>
      <c r="I16" s="30" t="n"/>
      <c r="J16" s="30" t="n"/>
      <c r="K16" s="30" t="n"/>
      <c r="L16" s="30" t="n"/>
      <c r="M16" s="30" t="n"/>
      <c r="N16" s="30" t="n"/>
      <c r="O16" s="30" t="n"/>
      <c r="P16" s="30" t="n"/>
      <c r="Q16" s="30" t="n"/>
    </row>
    <row r="17" ht="26" customHeight="1">
      <c r="A17" s="45" t="inlineStr">
        <is>
          <t>The names and units in the header are pulled from the "Inventory" tab: change a product there and it updates here automatically.</t>
        </is>
      </c>
    </row>
    <row r="18">
      <c r="A18" s="30" t="n"/>
      <c r="B18" s="30" t="n"/>
      <c r="C18" s="30" t="n"/>
      <c r="D18" s="30" t="n"/>
      <c r="E18" s="30" t="n"/>
      <c r="F18" s="30" t="n"/>
      <c r="G18" s="30" t="n"/>
      <c r="H18" s="30" t="n"/>
      <c r="I18" s="30" t="n"/>
      <c r="J18" s="30" t="n"/>
      <c r="K18" s="30" t="n"/>
      <c r="L18" s="30" t="n"/>
      <c r="M18" s="30" t="n"/>
      <c r="N18" s="30" t="n"/>
      <c r="O18" s="30" t="n"/>
      <c r="P18" s="30" t="n"/>
      <c r="Q18" s="30" t="n"/>
    </row>
  </sheetData>
  <sheetProtection selectLockedCells="0" selectUnlockedCells="0" sheet="1" objects="0" insertRows="1" insertHyperlinks="1" autoFilter="1" scenarios="0" formatColumns="0" deleteColumns="1" insertColumns="1" pivotTables="1" deleteRows="1" formatCells="1" formatRows="0" sort="1"/>
  <mergeCells count="3">
    <mergeCell ref="A2:Q2"/>
    <mergeCell ref="A17:Q17"/>
    <mergeCell ref="A1:Q1"/>
  </mergeCell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FF4444"/>
    <outlinePr summaryBelow="1" summaryRight="1"/>
    <pageSetUpPr fitToPage="1"/>
  </sheetPr>
  <dimension ref="A1:F96"/>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12" customWidth="1" min="3" max="3"/>
    <col width="20" customWidth="1" min="4" max="4"/>
    <col width="32" customWidth="1" min="5" max="5"/>
    <col width="16" customWidth="1" min="6" max="6"/>
  </cols>
  <sheetData>
    <row r="1">
      <c r="A1" s="27" t="inlineStr">
        <is>
          <t>Incident Log (Month)</t>
        </is>
      </c>
    </row>
    <row r="2" ht="30" customHeight="1">
      <c r="A2" s="31" t="inlineStr">
        <is>
          <t>90 lines: about three incidents a day over a month. Log each waste incident as soon as it happens — by the end of the shift, nobody remembers.</t>
        </is>
      </c>
    </row>
    <row r="3" ht="30" customHeight="1">
      <c r="A3" s="32" t="inlineStr">
        <is>
          <t>Date</t>
        </is>
      </c>
      <c r="B3" s="32" t="inlineStr">
        <is>
          <t>Product</t>
        </is>
      </c>
      <c r="C3" s="32" t="inlineStr">
        <is>
          <t>Quantity</t>
        </is>
      </c>
      <c r="D3" s="32" t="inlineStr">
        <is>
          <t>Reason</t>
        </is>
      </c>
      <c r="E3" s="32" t="inlineStr">
        <is>
          <t>Corrective action</t>
        </is>
      </c>
      <c r="F3" s="32" t="inlineStr">
        <is>
          <t>Estimated cost</t>
        </is>
      </c>
    </row>
    <row r="4">
      <c r="A4" s="58" t="n"/>
      <c r="B4" s="34" t="n"/>
      <c r="C4" s="35" t="n"/>
      <c r="D4" s="34" t="n"/>
      <c r="E4" s="34" t="n"/>
      <c r="F4" s="54" t="n"/>
    </row>
    <row r="5">
      <c r="A5" s="58" t="n"/>
      <c r="B5" s="34" t="n"/>
      <c r="C5" s="35" t="n"/>
      <c r="D5" s="34" t="n"/>
      <c r="E5" s="34" t="n"/>
      <c r="F5" s="54" t="n"/>
    </row>
    <row r="6">
      <c r="A6" s="58" t="n"/>
      <c r="B6" s="34" t="n"/>
      <c r="C6" s="35" t="n"/>
      <c r="D6" s="34" t="n"/>
      <c r="E6" s="34" t="n"/>
      <c r="F6" s="54" t="n"/>
    </row>
    <row r="7">
      <c r="A7" s="58" t="n"/>
      <c r="B7" s="34" t="n"/>
      <c r="C7" s="35" t="n"/>
      <c r="D7" s="34" t="n"/>
      <c r="E7" s="34" t="n"/>
      <c r="F7" s="54" t="n"/>
    </row>
    <row r="8">
      <c r="A8" s="58" t="n"/>
      <c r="B8" s="34" t="n"/>
      <c r="C8" s="35" t="n"/>
      <c r="D8" s="34" t="n"/>
      <c r="E8" s="34" t="n"/>
      <c r="F8" s="54" t="n"/>
    </row>
    <row r="9">
      <c r="A9" s="58" t="n"/>
      <c r="B9" s="34" t="n"/>
      <c r="C9" s="35" t="n"/>
      <c r="D9" s="34" t="n"/>
      <c r="E9" s="34" t="n"/>
      <c r="F9" s="54" t="n"/>
    </row>
    <row r="10">
      <c r="A10" s="58" t="n"/>
      <c r="B10" s="34" t="n"/>
      <c r="C10" s="35" t="n"/>
      <c r="D10" s="34" t="n"/>
      <c r="E10" s="34" t="n"/>
      <c r="F10" s="54" t="n"/>
    </row>
    <row r="11">
      <c r="A11" s="58" t="n"/>
      <c r="B11" s="34" t="n"/>
      <c r="C11" s="35" t="n"/>
      <c r="D11" s="34" t="n"/>
      <c r="E11" s="34" t="n"/>
      <c r="F11" s="54" t="n"/>
    </row>
    <row r="12">
      <c r="A12" s="58" t="n"/>
      <c r="B12" s="34" t="n"/>
      <c r="C12" s="35" t="n"/>
      <c r="D12" s="34" t="n"/>
      <c r="E12" s="34" t="n"/>
      <c r="F12" s="54" t="n"/>
    </row>
    <row r="13">
      <c r="A13" s="58" t="n"/>
      <c r="B13" s="34" t="n"/>
      <c r="C13" s="35" t="n"/>
      <c r="D13" s="34" t="n"/>
      <c r="E13" s="34" t="n"/>
      <c r="F13" s="54" t="n"/>
    </row>
    <row r="14">
      <c r="A14" s="58" t="n"/>
      <c r="B14" s="34" t="n"/>
      <c r="C14" s="35" t="n"/>
      <c r="D14" s="34" t="n"/>
      <c r="E14" s="34" t="n"/>
      <c r="F14" s="54" t="n"/>
    </row>
    <row r="15">
      <c r="A15" s="58" t="n"/>
      <c r="B15" s="34" t="n"/>
      <c r="C15" s="35" t="n"/>
      <c r="D15" s="34" t="n"/>
      <c r="E15" s="34" t="n"/>
      <c r="F15" s="54" t="n"/>
    </row>
    <row r="16">
      <c r="A16" s="58" t="n"/>
      <c r="B16" s="34" t="n"/>
      <c r="C16" s="35" t="n"/>
      <c r="D16" s="34" t="n"/>
      <c r="E16" s="34" t="n"/>
      <c r="F16" s="54" t="n"/>
    </row>
    <row r="17">
      <c r="A17" s="58" t="n"/>
      <c r="B17" s="34" t="n"/>
      <c r="C17" s="35" t="n"/>
      <c r="D17" s="34" t="n"/>
      <c r="E17" s="34" t="n"/>
      <c r="F17" s="54" t="n"/>
    </row>
    <row r="18">
      <c r="A18" s="58" t="n"/>
      <c r="B18" s="34" t="n"/>
      <c r="C18" s="35" t="n"/>
      <c r="D18" s="34" t="n"/>
      <c r="E18" s="34" t="n"/>
      <c r="F18" s="54" t="n"/>
    </row>
    <row r="19">
      <c r="A19" s="58" t="n"/>
      <c r="B19" s="34" t="n"/>
      <c r="C19" s="35" t="n"/>
      <c r="D19" s="34" t="n"/>
      <c r="E19" s="34" t="n"/>
      <c r="F19" s="54" t="n"/>
    </row>
    <row r="20">
      <c r="A20" s="58" t="n"/>
      <c r="B20" s="34" t="n"/>
      <c r="C20" s="35" t="n"/>
      <c r="D20" s="34" t="n"/>
      <c r="E20" s="34" t="n"/>
      <c r="F20" s="54" t="n"/>
    </row>
    <row r="21">
      <c r="A21" s="58" t="n"/>
      <c r="B21" s="34" t="n"/>
      <c r="C21" s="35" t="n"/>
      <c r="D21" s="34" t="n"/>
      <c r="E21" s="34" t="n"/>
      <c r="F21" s="54" t="n"/>
    </row>
    <row r="22">
      <c r="A22" s="58" t="n"/>
      <c r="B22" s="34" t="n"/>
      <c r="C22" s="35" t="n"/>
      <c r="D22" s="34" t="n"/>
      <c r="E22" s="34" t="n"/>
      <c r="F22" s="54" t="n"/>
    </row>
    <row r="23">
      <c r="A23" s="58" t="n"/>
      <c r="B23" s="34" t="n"/>
      <c r="C23" s="35" t="n"/>
      <c r="D23" s="34" t="n"/>
      <c r="E23" s="34" t="n"/>
      <c r="F23" s="54" t="n"/>
    </row>
    <row r="24">
      <c r="A24" s="58" t="n"/>
      <c r="B24" s="34" t="n"/>
      <c r="C24" s="35" t="n"/>
      <c r="D24" s="34" t="n"/>
      <c r="E24" s="34" t="n"/>
      <c r="F24" s="54" t="n"/>
    </row>
    <row r="25">
      <c r="A25" s="58" t="n"/>
      <c r="B25" s="34" t="n"/>
      <c r="C25" s="35" t="n"/>
      <c r="D25" s="34" t="n"/>
      <c r="E25" s="34" t="n"/>
      <c r="F25" s="54" t="n"/>
    </row>
    <row r="26">
      <c r="A26" s="58" t="n"/>
      <c r="B26" s="34" t="n"/>
      <c r="C26" s="35" t="n"/>
      <c r="D26" s="34" t="n"/>
      <c r="E26" s="34" t="n"/>
      <c r="F26" s="54" t="n"/>
    </row>
    <row r="27">
      <c r="A27" s="58" t="n"/>
      <c r="B27" s="34" t="n"/>
      <c r="C27" s="35" t="n"/>
      <c r="D27" s="34" t="n"/>
      <c r="E27" s="34" t="n"/>
      <c r="F27" s="54" t="n"/>
    </row>
    <row r="28">
      <c r="A28" s="58" t="n"/>
      <c r="B28" s="34" t="n"/>
      <c r="C28" s="35" t="n"/>
      <c r="D28" s="34" t="n"/>
      <c r="E28" s="34" t="n"/>
      <c r="F28" s="54" t="n"/>
    </row>
    <row r="29">
      <c r="A29" s="58" t="n"/>
      <c r="B29" s="34" t="n"/>
      <c r="C29" s="35" t="n"/>
      <c r="D29" s="34" t="n"/>
      <c r="E29" s="34" t="n"/>
      <c r="F29" s="54" t="n"/>
    </row>
    <row r="30">
      <c r="A30" s="58" t="n"/>
      <c r="B30" s="34" t="n"/>
      <c r="C30" s="35" t="n"/>
      <c r="D30" s="34" t="n"/>
      <c r="E30" s="34" t="n"/>
      <c r="F30" s="54" t="n"/>
    </row>
    <row r="31">
      <c r="A31" s="58" t="n"/>
      <c r="B31" s="34" t="n"/>
      <c r="C31" s="35" t="n"/>
      <c r="D31" s="34" t="n"/>
      <c r="E31" s="34" t="n"/>
      <c r="F31" s="54" t="n"/>
    </row>
    <row r="32">
      <c r="A32" s="58" t="n"/>
      <c r="B32" s="34" t="n"/>
      <c r="C32" s="35" t="n"/>
      <c r="D32" s="34" t="n"/>
      <c r="E32" s="34" t="n"/>
      <c r="F32" s="54" t="n"/>
    </row>
    <row r="33">
      <c r="A33" s="58" t="n"/>
      <c r="B33" s="34" t="n"/>
      <c r="C33" s="35" t="n"/>
      <c r="D33" s="34" t="n"/>
      <c r="E33" s="34" t="n"/>
      <c r="F33" s="54" t="n"/>
    </row>
    <row r="34">
      <c r="A34" s="58" t="n"/>
      <c r="B34" s="48" t="n"/>
      <c r="C34" s="55" t="n"/>
      <c r="D34" s="48" t="n"/>
      <c r="E34" s="48" t="n"/>
      <c r="F34" s="54" t="n"/>
    </row>
    <row r="35">
      <c r="A35" s="59" t="n"/>
      <c r="B35" s="48" t="n"/>
      <c r="C35" s="55" t="n"/>
      <c r="D35" s="48" t="n"/>
      <c r="E35" s="48" t="n"/>
      <c r="F35" s="57" t="n"/>
    </row>
    <row r="36">
      <c r="A36" s="59" t="n"/>
      <c r="B36" s="48" t="n"/>
      <c r="C36" s="55" t="n"/>
      <c r="D36" s="48" t="n"/>
      <c r="E36" s="48" t="n"/>
      <c r="F36" s="57" t="n"/>
    </row>
    <row r="37">
      <c r="A37" s="59" t="n"/>
      <c r="B37" s="48" t="n"/>
      <c r="C37" s="55" t="n"/>
      <c r="D37" s="48" t="n"/>
      <c r="E37" s="48" t="n"/>
      <c r="F37" s="57" t="n"/>
    </row>
    <row r="38">
      <c r="A38" s="59" t="n"/>
      <c r="B38" s="48" t="n"/>
      <c r="C38" s="55" t="n"/>
      <c r="D38" s="48" t="n"/>
      <c r="E38" s="48" t="n"/>
      <c r="F38" s="57" t="n"/>
    </row>
    <row r="39">
      <c r="A39" s="59" t="n"/>
      <c r="B39" s="48" t="n"/>
      <c r="C39" s="55" t="n"/>
      <c r="D39" s="48" t="n"/>
      <c r="E39" s="48" t="n"/>
      <c r="F39" s="57" t="n"/>
    </row>
    <row r="40">
      <c r="A40" s="59" t="n"/>
      <c r="B40" s="48" t="n"/>
      <c r="C40" s="55" t="n"/>
      <c r="D40" s="48" t="n"/>
      <c r="E40" s="48" t="n"/>
      <c r="F40" s="57" t="n"/>
    </row>
    <row r="41">
      <c r="A41" s="59" t="n"/>
      <c r="B41" s="48" t="n"/>
      <c r="C41" s="55" t="n"/>
      <c r="D41" s="48" t="n"/>
      <c r="E41" s="48" t="n"/>
      <c r="F41" s="57" t="n"/>
    </row>
    <row r="42">
      <c r="A42" s="59" t="n"/>
      <c r="B42" s="48" t="n"/>
      <c r="C42" s="55" t="n"/>
      <c r="D42" s="48" t="n"/>
      <c r="E42" s="48" t="n"/>
      <c r="F42" s="57" t="n"/>
    </row>
    <row r="43">
      <c r="A43" s="59" t="n"/>
      <c r="B43" s="48" t="n"/>
      <c r="C43" s="55" t="n"/>
      <c r="D43" s="48" t="n"/>
      <c r="E43" s="48" t="n"/>
      <c r="F43" s="57" t="n"/>
    </row>
    <row r="44">
      <c r="A44" s="59" t="n"/>
      <c r="B44" s="48" t="n"/>
      <c r="C44" s="55" t="n"/>
      <c r="D44" s="48" t="n"/>
      <c r="E44" s="48" t="n"/>
      <c r="F44" s="57" t="n"/>
    </row>
    <row r="45">
      <c r="A45" s="59" t="n"/>
      <c r="B45" s="48" t="n"/>
      <c r="C45" s="55" t="n"/>
      <c r="D45" s="48" t="n"/>
      <c r="E45" s="48" t="n"/>
      <c r="F45" s="57" t="n"/>
    </row>
    <row r="46">
      <c r="A46" s="59" t="n"/>
      <c r="B46" s="48" t="n"/>
      <c r="C46" s="55" t="n"/>
      <c r="D46" s="48" t="n"/>
      <c r="E46" s="48" t="n"/>
      <c r="F46" s="57" t="n"/>
    </row>
    <row r="47">
      <c r="A47" s="59" t="n"/>
      <c r="B47" s="48" t="n"/>
      <c r="C47" s="55" t="n"/>
      <c r="D47" s="48" t="n"/>
      <c r="E47" s="48" t="n"/>
      <c r="F47" s="57" t="n"/>
    </row>
    <row r="48">
      <c r="A48" s="59" t="n"/>
      <c r="B48" s="48" t="n"/>
      <c r="C48" s="55" t="n"/>
      <c r="D48" s="48" t="n"/>
      <c r="E48" s="48" t="n"/>
      <c r="F48" s="57" t="n"/>
    </row>
    <row r="49">
      <c r="A49" s="59" t="n"/>
      <c r="B49" s="48" t="n"/>
      <c r="C49" s="55" t="n"/>
      <c r="D49" s="48" t="n"/>
      <c r="E49" s="48" t="n"/>
      <c r="F49" s="57" t="n"/>
    </row>
    <row r="50">
      <c r="A50" s="59" t="n"/>
      <c r="B50" s="48" t="n"/>
      <c r="C50" s="55" t="n"/>
      <c r="D50" s="48" t="n"/>
      <c r="E50" s="48" t="n"/>
      <c r="F50" s="57" t="n"/>
    </row>
    <row r="51">
      <c r="A51" s="59" t="n"/>
      <c r="B51" s="48" t="n"/>
      <c r="C51" s="55" t="n"/>
      <c r="D51" s="48" t="n"/>
      <c r="E51" s="48" t="n"/>
      <c r="F51" s="57" t="n"/>
    </row>
    <row r="52">
      <c r="A52" s="59" t="n"/>
      <c r="B52" s="48" t="n"/>
      <c r="C52" s="55" t="n"/>
      <c r="D52" s="48" t="n"/>
      <c r="E52" s="48" t="n"/>
      <c r="F52" s="57" t="n"/>
    </row>
    <row r="53">
      <c r="A53" s="59" t="n"/>
      <c r="B53" s="48" t="n"/>
      <c r="C53" s="55" t="n"/>
      <c r="D53" s="48" t="n"/>
      <c r="E53" s="48" t="n"/>
      <c r="F53" s="57" t="n"/>
    </row>
    <row r="54">
      <c r="A54" s="59" t="n"/>
      <c r="B54" s="48" t="n"/>
      <c r="C54" s="55" t="n"/>
      <c r="D54" s="48" t="n"/>
      <c r="E54" s="48" t="n"/>
      <c r="F54" s="57" t="n"/>
    </row>
    <row r="55">
      <c r="A55" s="59" t="n"/>
      <c r="B55" s="48" t="n"/>
      <c r="C55" s="55" t="n"/>
      <c r="D55" s="48" t="n"/>
      <c r="E55" s="48" t="n"/>
      <c r="F55" s="57" t="n"/>
    </row>
    <row r="56">
      <c r="A56" s="59" t="n"/>
      <c r="B56" s="48" t="n"/>
      <c r="C56" s="55" t="n"/>
      <c r="D56" s="48" t="n"/>
      <c r="E56" s="48" t="n"/>
      <c r="F56" s="57" t="n"/>
    </row>
    <row r="57">
      <c r="A57" s="59" t="n"/>
      <c r="B57" s="48" t="n"/>
      <c r="C57" s="55" t="n"/>
      <c r="D57" s="48" t="n"/>
      <c r="E57" s="48" t="n"/>
      <c r="F57" s="57" t="n"/>
    </row>
    <row r="58">
      <c r="A58" s="59" t="n"/>
      <c r="B58" s="48" t="n"/>
      <c r="C58" s="55" t="n"/>
      <c r="D58" s="48" t="n"/>
      <c r="E58" s="48" t="n"/>
      <c r="F58" s="57" t="n"/>
    </row>
    <row r="59">
      <c r="A59" s="59" t="n"/>
      <c r="B59" s="48" t="n"/>
      <c r="C59" s="55" t="n"/>
      <c r="D59" s="48" t="n"/>
      <c r="E59" s="48" t="n"/>
      <c r="F59" s="57" t="n"/>
    </row>
    <row r="60">
      <c r="A60" s="59" t="n"/>
      <c r="B60" s="48" t="n"/>
      <c r="C60" s="55" t="n"/>
      <c r="D60" s="48" t="n"/>
      <c r="E60" s="48" t="n"/>
      <c r="F60" s="57" t="n"/>
    </row>
    <row r="61">
      <c r="A61" s="59" t="n"/>
      <c r="B61" s="48" t="n"/>
      <c r="C61" s="55" t="n"/>
      <c r="D61" s="48" t="n"/>
      <c r="E61" s="48" t="n"/>
      <c r="F61" s="57" t="n"/>
    </row>
    <row r="62">
      <c r="A62" s="59" t="n"/>
      <c r="B62" s="48" t="n"/>
      <c r="C62" s="55" t="n"/>
      <c r="D62" s="48" t="n"/>
      <c r="E62" s="48" t="n"/>
      <c r="F62" s="57" t="n"/>
    </row>
    <row r="63">
      <c r="A63" s="59" t="n"/>
      <c r="B63" s="48" t="n"/>
      <c r="C63" s="55" t="n"/>
      <c r="D63" s="48" t="n"/>
      <c r="E63" s="48" t="n"/>
      <c r="F63" s="57" t="n"/>
    </row>
    <row r="64">
      <c r="A64" s="59" t="n"/>
      <c r="B64" s="48" t="n"/>
      <c r="C64" s="55" t="n"/>
      <c r="D64" s="48" t="n"/>
      <c r="E64" s="48" t="n"/>
      <c r="F64" s="57" t="n"/>
    </row>
    <row r="65">
      <c r="A65" s="59" t="n"/>
      <c r="B65" s="48" t="n"/>
      <c r="C65" s="55" t="n"/>
      <c r="D65" s="48" t="n"/>
      <c r="E65" s="48" t="n"/>
      <c r="F65" s="57" t="n"/>
    </row>
    <row r="66">
      <c r="A66" s="59" t="n"/>
      <c r="B66" s="48" t="n"/>
      <c r="C66" s="55" t="n"/>
      <c r="D66" s="48" t="n"/>
      <c r="E66" s="48" t="n"/>
      <c r="F66" s="57" t="n"/>
    </row>
    <row r="67">
      <c r="A67" s="59" t="n"/>
      <c r="B67" s="48" t="n"/>
      <c r="C67" s="55" t="n"/>
      <c r="D67" s="48" t="n"/>
      <c r="E67" s="48" t="n"/>
      <c r="F67" s="57" t="n"/>
    </row>
    <row r="68">
      <c r="A68" s="59" t="n"/>
      <c r="B68" s="48" t="n"/>
      <c r="C68" s="55" t="n"/>
      <c r="D68" s="48" t="n"/>
      <c r="E68" s="48" t="n"/>
      <c r="F68" s="57" t="n"/>
    </row>
    <row r="69">
      <c r="A69" s="59" t="n"/>
      <c r="B69" s="48" t="n"/>
      <c r="C69" s="55" t="n"/>
      <c r="D69" s="48" t="n"/>
      <c r="E69" s="48" t="n"/>
      <c r="F69" s="57" t="n"/>
    </row>
    <row r="70">
      <c r="A70" s="59" t="n"/>
      <c r="B70" s="48" t="n"/>
      <c r="C70" s="55" t="n"/>
      <c r="D70" s="48" t="n"/>
      <c r="E70" s="48" t="n"/>
      <c r="F70" s="57" t="n"/>
    </row>
    <row r="71">
      <c r="A71" s="59" t="n"/>
      <c r="B71" s="48" t="n"/>
      <c r="C71" s="55" t="n"/>
      <c r="D71" s="48" t="n"/>
      <c r="E71" s="48" t="n"/>
      <c r="F71" s="57" t="n"/>
    </row>
    <row r="72">
      <c r="A72" s="59" t="n"/>
      <c r="B72" s="48" t="n"/>
      <c r="C72" s="55" t="n"/>
      <c r="D72" s="48" t="n"/>
      <c r="E72" s="48" t="n"/>
      <c r="F72" s="57" t="n"/>
    </row>
    <row r="73">
      <c r="A73" s="59" t="n"/>
      <c r="B73" s="48" t="n"/>
      <c r="C73" s="55" t="n"/>
      <c r="D73" s="48" t="n"/>
      <c r="E73" s="48" t="n"/>
      <c r="F73" s="57" t="n"/>
    </row>
    <row r="74">
      <c r="A74" s="59" t="n"/>
      <c r="B74" s="48" t="n"/>
      <c r="C74" s="55" t="n"/>
      <c r="D74" s="48" t="n"/>
      <c r="E74" s="48" t="n"/>
      <c r="F74" s="57" t="n"/>
    </row>
    <row r="75">
      <c r="A75" s="59" t="n"/>
      <c r="B75" s="48" t="n"/>
      <c r="C75" s="55" t="n"/>
      <c r="D75" s="48" t="n"/>
      <c r="E75" s="48" t="n"/>
      <c r="F75" s="57" t="n"/>
    </row>
    <row r="76">
      <c r="A76" s="59" t="n"/>
      <c r="B76" s="48" t="n"/>
      <c r="C76" s="55" t="n"/>
      <c r="D76" s="48" t="n"/>
      <c r="E76" s="48" t="n"/>
      <c r="F76" s="57" t="n"/>
    </row>
    <row r="77">
      <c r="A77" s="59" t="n"/>
      <c r="B77" s="48" t="n"/>
      <c r="C77" s="55" t="n"/>
      <c r="D77" s="48" t="n"/>
      <c r="E77" s="48" t="n"/>
      <c r="F77" s="57" t="n"/>
    </row>
    <row r="78">
      <c r="A78" s="59" t="n"/>
      <c r="B78" s="48" t="n"/>
      <c r="C78" s="55" t="n"/>
      <c r="D78" s="48" t="n"/>
      <c r="E78" s="48" t="n"/>
      <c r="F78" s="57" t="n"/>
    </row>
    <row r="79">
      <c r="A79" s="59" t="n"/>
      <c r="B79" s="48" t="n"/>
      <c r="C79" s="55" t="n"/>
      <c r="D79" s="48" t="n"/>
      <c r="E79" s="48" t="n"/>
      <c r="F79" s="57" t="n"/>
    </row>
    <row r="80">
      <c r="A80" s="59" t="n"/>
      <c r="B80" s="48" t="n"/>
      <c r="C80" s="55" t="n"/>
      <c r="D80" s="48" t="n"/>
      <c r="E80" s="48" t="n"/>
      <c r="F80" s="57" t="n"/>
    </row>
    <row r="81">
      <c r="A81" s="59" t="n"/>
      <c r="B81" s="48" t="n"/>
      <c r="C81" s="55" t="n"/>
      <c r="D81" s="48" t="n"/>
      <c r="E81" s="48" t="n"/>
      <c r="F81" s="57" t="n"/>
    </row>
    <row r="82">
      <c r="A82" s="59" t="n"/>
      <c r="B82" s="48" t="n"/>
      <c r="C82" s="55" t="n"/>
      <c r="D82" s="48" t="n"/>
      <c r="E82" s="48" t="n"/>
      <c r="F82" s="57" t="n"/>
    </row>
    <row r="83">
      <c r="A83" s="59" t="n"/>
      <c r="B83" s="48" t="n"/>
      <c r="C83" s="55" t="n"/>
      <c r="D83" s="48" t="n"/>
      <c r="E83" s="48" t="n"/>
      <c r="F83" s="57" t="n"/>
    </row>
    <row r="84">
      <c r="A84" s="59" t="n"/>
      <c r="B84" s="48" t="n"/>
      <c r="C84" s="55" t="n"/>
      <c r="D84" s="48" t="n"/>
      <c r="E84" s="48" t="n"/>
      <c r="F84" s="57" t="n"/>
    </row>
    <row r="85">
      <c r="A85" s="59" t="n"/>
      <c r="B85" s="48" t="n"/>
      <c r="C85" s="55" t="n"/>
      <c r="D85" s="48" t="n"/>
      <c r="E85" s="48" t="n"/>
      <c r="F85" s="57" t="n"/>
    </row>
    <row r="86">
      <c r="A86" s="59" t="n"/>
      <c r="B86" s="48" t="n"/>
      <c r="C86" s="55" t="n"/>
      <c r="D86" s="48" t="n"/>
      <c r="E86" s="48" t="n"/>
      <c r="F86" s="57" t="n"/>
    </row>
    <row r="87">
      <c r="A87" s="59" t="n"/>
      <c r="B87" s="48" t="n"/>
      <c r="C87" s="55" t="n"/>
      <c r="D87" s="48" t="n"/>
      <c r="E87" s="48" t="n"/>
      <c r="F87" s="57" t="n"/>
    </row>
    <row r="88">
      <c r="A88" s="59" t="n"/>
      <c r="B88" s="48" t="n"/>
      <c r="C88" s="55" t="n"/>
      <c r="D88" s="48" t="n"/>
      <c r="E88" s="48" t="n"/>
      <c r="F88" s="57" t="n"/>
    </row>
    <row r="89">
      <c r="A89" s="59" t="n"/>
      <c r="B89" s="48" t="n"/>
      <c r="C89" s="55" t="n"/>
      <c r="D89" s="48" t="n"/>
      <c r="E89" s="48" t="n"/>
      <c r="F89" s="57" t="n"/>
    </row>
    <row r="90">
      <c r="A90" s="59" t="n"/>
      <c r="B90" s="48" t="n"/>
      <c r="C90" s="55" t="n"/>
      <c r="D90" s="48" t="n"/>
      <c r="E90" s="48" t="n"/>
      <c r="F90" s="57" t="n"/>
    </row>
    <row r="91">
      <c r="A91" s="59" t="n"/>
      <c r="B91" s="48" t="n"/>
      <c r="C91" s="55" t="n"/>
      <c r="D91" s="48" t="n"/>
      <c r="E91" s="48" t="n"/>
      <c r="F91" s="57" t="n"/>
    </row>
    <row r="92">
      <c r="A92" s="59" t="n"/>
      <c r="B92" s="48" t="n"/>
      <c r="C92" s="55" t="n"/>
      <c r="D92" s="48" t="n"/>
      <c r="E92" s="48" t="n"/>
      <c r="F92" s="57" t="n"/>
    </row>
    <row r="93">
      <c r="A93" s="59" t="n"/>
      <c r="B93" s="48" t="n"/>
      <c r="C93" s="55" t="n"/>
      <c r="D93" s="48" t="n"/>
      <c r="E93" s="48" t="n"/>
      <c r="F93" s="57" t="n"/>
    </row>
    <row r="94">
      <c r="A94" s="43" t="inlineStr">
        <is>
          <t>TOTAL WASTE FOR THE PERIOD</t>
        </is>
      </c>
      <c r="F94" s="44">
        <f>SUM(F4:F93)</f>
        <v>0.0</v>
      </c>
    </row>
    <row r="95">
      <c r="A95" s="30" t="n"/>
      <c r="B95" s="30" t="n"/>
      <c r="C95" s="30" t="n"/>
      <c r="D95" s="30" t="n"/>
      <c r="E95" s="30" t="n"/>
      <c r="F95" s="30" t="n"/>
    </row>
    <row r="96">
      <c r="A96" s="30" t="n"/>
      <c r="B96" s="30" t="n"/>
      <c r="C96" s="30" t="n"/>
      <c r="D96" s="30" t="n"/>
      <c r="E96" s="30" t="n"/>
      <c r="F96" s="30" t="n"/>
    </row>
  </sheetData>
  <sheetProtection selectLockedCells="0" selectUnlockedCells="0" sheet="1" objects="0" insertRows="1" insertHyperlinks="1" autoFilter="1" scenarios="0" formatColumns="0" deleteColumns="1" insertColumns="1" pivotTables="1" deleteRows="1" formatCells="1" formatRows="0" sort="1"/>
  <mergeCells count="3">
    <mergeCell ref="A1:F1"/>
    <mergeCell ref="A2:F2"/>
    <mergeCell ref="A94:E94"/>
  </mergeCells>
  <dataValidations count="1">
    <dataValidation sqref="D4:D93" showDropDown="0" showInputMessage="0" showErrorMessage="1" allowBlank="1" errorTitle="Invalid value" error="Choose a reason from the list." type="list">
      <formula1>"Expired,Spoiled,Overproduction,Prep error,Improper storage,Over-portioning,Other"</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BONUS: Actual vs Theoretical Food Cost (Inventory &amp; Waste)</dc:title>
  <dc:description xmlns:dc="http://purl.org/dc/elements/1.1/">aichef.pro/en/digital-products/food-cost-templates</dc:description>
  <dc:subject xmlns:dc="http://purl.org/dc/elements/1.1/">Food Cost Kit Pro · v2.1</dc:subject>
  <dcterms:created xmlns:dcterms="http://purl.org/dc/terms/" xmlns:xsi="http://www.w3.org/2001/XMLSchema-instance" xsi:type="dcterms:W3CDTF">2026-03-18T21:50:24Z</dcterms:created>
  <dcterms:modified xmlns:dcterms="http://purl.org/dc/terms/" xmlns:xsi="http://www.w3.org/2001/XMLSchema-instance" xsi:type="dcterms:W3CDTF">2026-09-24T20:23:25Z</dcterms:modified>
  <cp:lastModifiedBy>AI Chef Pro</cp:lastModifiedBy>
  <cp:category>AI Chef Pro · Digital products</cp:category>
  <cp:keywords>food cost kit, food cost templates, AI Chef Pro</cp:keywords>
</cp:coreProperties>
</file>