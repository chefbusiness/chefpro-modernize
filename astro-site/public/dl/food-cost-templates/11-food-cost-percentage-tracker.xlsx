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s>
  <definedNames>
    <definedName name="_xlnm.Print_Titles" localSheetId="1">'Dashboard'!$6:$6</definedName>
    <definedName name="_xlnm.Print_Area" localSheetId="1">'Dashboard'!$A$1:$K$38</definedName>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0.0%"/>
  </numFmts>
  <fonts count="16">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FFFF"/>
      <sz val="11"/>
    </font>
    <font>
      <name val="Calibri"/>
      <b val="1"/>
      <color rgb="00333333"/>
      <sz val="11"/>
    </font>
    <font/>
    <font>
      <b val="1"/>
      <sz val="13"/>
    </font>
    <font>
      <b val="1"/>
      <sz val="11"/>
    </font>
    <font>
      <sz val="11"/>
    </font>
    <font>
      <i val="1"/>
      <color rgb="00606060"/>
      <sz val="9"/>
    </font>
    <font>
      <b val="1"/>
      <color rgb="00FFFFFF"/>
      <sz val="10"/>
    </font>
  </fonts>
  <fills count="12">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FFFFFF"/>
        <bgColor rgb="00FFFFFF"/>
      </patternFill>
    </fill>
    <fill>
      <patternFill patternType="solid">
        <fgColor rgb="00F5F5F5"/>
        <bgColor rgb="00F5F5F5"/>
      </patternFill>
    </fill>
    <fill>
      <patternFill patternType="solid">
        <fgColor rgb="00FFD700"/>
        <bgColor rgb="00FFD700"/>
      </patternFill>
    </fill>
    <fill>
      <patternFill patternType="solid">
        <fgColor rgb="00E8F5E9"/>
      </patternFill>
    </fill>
    <fill>
      <patternFill patternType="solid">
        <fgColor rgb="002D2D2D"/>
      </patternFill>
    </fill>
    <fill>
      <patternFill patternType="solid">
        <fgColor rgb="00FFFFFF"/>
      </patternFill>
    </fill>
    <fill>
      <patternFill patternType="solid">
        <fgColor rgb="00F5F5F5"/>
      </patternFill>
    </fill>
    <fill>
      <patternFill patternType="solid">
        <fgColor rgb="00FFD700"/>
      </patternFill>
    </fill>
  </fills>
  <borders count="4">
    <border>
      <left/>
      <right/>
      <top/>
      <bottom/>
      <diagonal/>
    </border>
    <border>
      <left style="thin">
        <color rgb="00E0E0E0"/>
      </left>
      <right style="thin">
        <color rgb="00E0E0E0"/>
      </right>
      <top style="thin">
        <color rgb="00E0E0E0"/>
      </top>
      <bottom style="thin">
        <color rgb="00E0E0E0"/>
      </bottom>
    </border>
    <border>
      <left/>
      <right style="thin">
        <color rgb="00E0E0E0"/>
      </right>
      <top/>
      <bottom style="thin">
        <color rgb="00E0E0E0"/>
      </bottom>
      <diagonal/>
    </border>
    <border>
      <left/>
      <right style="thin">
        <color rgb="00E0E0E0"/>
      </right>
      <top/>
      <bottom/>
      <diagonal/>
    </border>
  </borders>
  <cellStyleXfs count="1">
    <xf numFmtId="0" fontId="0" fillId="0" borderId="0"/>
  </cellStyleXfs>
  <cellXfs count="53">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 fillId="0" borderId="0" pivotButton="0" quotePrefix="0" xfId="0"/>
    <xf numFmtId="0" fontId="0" fillId="2" borderId="1" pivotButton="0" quotePrefix="0" xfId="0"/>
    <xf numFmtId="9" fontId="0" fillId="2" borderId="1" pivotButton="0" quotePrefix="0" xfId="0"/>
    <xf numFmtId="0" fontId="8" fillId="3" borderId="1" applyAlignment="1" pivotButton="0" quotePrefix="0" xfId="0">
      <alignment horizontal="center" vertical="center" wrapText="1"/>
    </xf>
    <xf numFmtId="0" fontId="5" fillId="4" borderId="1" pivotButton="0" quotePrefix="0" xfId="0"/>
    <xf numFmtId="164" fontId="0" fillId="2" borderId="1" pivotButton="0" quotePrefix="0" xfId="0"/>
    <xf numFmtId="165" fontId="9" fillId="4" borderId="1" applyAlignment="1" pivotButton="0" quotePrefix="0" xfId="0">
      <alignment horizontal="center" vertical="center" wrapText="1"/>
    </xf>
    <xf numFmtId="165" fontId="5" fillId="4" borderId="1" applyAlignment="1" pivotButton="0" quotePrefix="0" xfId="0">
      <alignment horizontal="center" vertical="center" wrapText="1"/>
    </xf>
    <xf numFmtId="166" fontId="9" fillId="4" borderId="1" applyAlignment="1" pivotButton="0" quotePrefix="0" xfId="0">
      <alignment horizontal="center" vertical="center" wrapText="1"/>
    </xf>
    <xf numFmtId="0" fontId="5" fillId="5" borderId="1" pivotButton="0" quotePrefix="0" xfId="0"/>
    <xf numFmtId="165" fontId="9" fillId="5" borderId="1" applyAlignment="1" pivotButton="0" quotePrefix="0" xfId="0">
      <alignment horizontal="center" vertical="center" wrapText="1"/>
    </xf>
    <xf numFmtId="165" fontId="5" fillId="5" borderId="1" applyAlignment="1" pivotButton="0" quotePrefix="0" xfId="0">
      <alignment horizontal="center" vertical="center" wrapText="1"/>
    </xf>
    <xf numFmtId="166" fontId="9" fillId="5" borderId="1" applyAlignment="1" pivotButton="0" quotePrefix="0" xfId="0">
      <alignment horizontal="center" vertical="center" wrapText="1"/>
    </xf>
    <xf numFmtId="0" fontId="4" fillId="6" borderId="1" pivotButton="0" quotePrefix="0" xfId="0"/>
    <xf numFmtId="164" fontId="4" fillId="6" borderId="1" pivotButton="0" quotePrefix="0" xfId="0"/>
    <xf numFmtId="165" fontId="4" fillId="6" borderId="1" pivotButton="0" quotePrefix="0" xfId="0"/>
    <xf numFmtId="0" fontId="10" fillId="0" borderId="0" pivotButton="0" quotePrefix="0" xfId="0"/>
    <xf numFmtId="0" fontId="11" fillId="0" borderId="0" pivotButton="0" quotePrefix="0" xfId="0"/>
    <xf numFmtId="0" fontId="12" fillId="0" borderId="2" pivotButton="0" quotePrefix="0" xfId="0"/>
    <xf numFmtId="0" fontId="0" fillId="0" borderId="2" pivotButton="0" quotePrefix="0" xfId="0"/>
    <xf numFmtId="1" fontId="13" fillId="7" borderId="0" applyAlignment="1" applyProtection="1" pivotButton="0" quotePrefix="0" xfId="0">
      <alignment horizontal="center" vertical="center"/>
      <protection locked="0" hidden="0"/>
    </xf>
    <xf numFmtId="9" fontId="13" fillId="7" borderId="0" applyAlignment="1" applyProtection="1" pivotButton="0" quotePrefix="0" xfId="0">
      <alignment horizontal="center" vertical="center"/>
      <protection locked="0" hidden="0"/>
    </xf>
    <xf numFmtId="0" fontId="14" fillId="0" borderId="0" applyAlignment="1" pivotButton="0" quotePrefix="0" xfId="0">
      <alignment vertical="center" wrapText="1"/>
    </xf>
    <xf numFmtId="0" fontId="15" fillId="8" borderId="1" applyAlignment="1" pivotButton="0" quotePrefix="0" xfId="0">
      <alignment horizontal="center" vertical="center" wrapText="1"/>
    </xf>
    <xf numFmtId="0" fontId="15" fillId="8" borderId="0" applyAlignment="1" pivotButton="0" quotePrefix="0" xfId="0">
      <alignment horizontal="center" vertical="center" wrapText="1"/>
    </xf>
    <xf numFmtId="0" fontId="13" fillId="9" borderId="1" pivotButton="0" quotePrefix="0" xfId="0"/>
    <xf numFmtId="164" fontId="13" fillId="7" borderId="1" applyProtection="1" pivotButton="0" quotePrefix="0" xfId="0">
      <protection locked="0" hidden="0"/>
    </xf>
    <xf numFmtId="164" fontId="13" fillId="9" borderId="1" pivotButton="0" quotePrefix="0" xfId="0"/>
    <xf numFmtId="165" fontId="12" fillId="9" borderId="0" applyAlignment="1" pivotButton="0" quotePrefix="0" xfId="0">
      <alignment horizontal="center" vertical="center"/>
    </xf>
    <xf numFmtId="165" fontId="13" fillId="9" borderId="0" applyAlignment="1" pivotButton="0" quotePrefix="0" xfId="0">
      <alignment horizontal="center" vertical="center"/>
    </xf>
    <xf numFmtId="166" fontId="13" fillId="9" borderId="0" applyAlignment="1" pivotButton="0" quotePrefix="0" xfId="0">
      <alignment horizontal="center" vertical="center"/>
    </xf>
    <xf numFmtId="0" fontId="13" fillId="9" borderId="0" applyAlignment="1" pivotButton="0" quotePrefix="0" xfId="0">
      <alignment horizontal="center" vertical="center"/>
    </xf>
    <xf numFmtId="0" fontId="13" fillId="10" borderId="1" pivotButton="0" quotePrefix="0" xfId="0"/>
    <xf numFmtId="164" fontId="13" fillId="10" borderId="1" pivotButton="0" quotePrefix="0" xfId="0"/>
    <xf numFmtId="165" fontId="12" fillId="10" borderId="0" applyAlignment="1" pivotButton="0" quotePrefix="0" xfId="0">
      <alignment horizontal="center" vertical="center"/>
    </xf>
    <xf numFmtId="165" fontId="13" fillId="10" borderId="0" applyAlignment="1" pivotButton="0" quotePrefix="0" xfId="0">
      <alignment horizontal="center" vertical="center"/>
    </xf>
    <xf numFmtId="166" fontId="13" fillId="10" borderId="0" applyAlignment="1" pivotButton="0" quotePrefix="0" xfId="0">
      <alignment horizontal="center" vertical="center"/>
    </xf>
    <xf numFmtId="0" fontId="13" fillId="10" borderId="0" applyAlignment="1" pivotButton="0" quotePrefix="0" xfId="0">
      <alignment horizontal="center" vertical="center"/>
    </xf>
    <xf numFmtId="0" fontId="12" fillId="11" borderId="1" pivotButton="0" quotePrefix="0" xfId="0"/>
    <xf numFmtId="164" fontId="12" fillId="11" borderId="1" pivotButton="0" quotePrefix="0" xfId="0"/>
    <xf numFmtId="164" fontId="12" fillId="11" borderId="0" pivotButton="0" quotePrefix="0" xfId="0"/>
    <xf numFmtId="165" fontId="12" fillId="11" borderId="0" applyAlignment="1" pivotButton="0" quotePrefix="0" xfId="0">
      <alignment horizontal="center" vertical="center"/>
    </xf>
    <xf numFmtId="0" fontId="12" fillId="11" borderId="0" pivotButton="0" quotePrefix="0" xfId="0"/>
    <xf numFmtId="0" fontId="12" fillId="11" borderId="0" applyAlignment="1" pivotButton="0" quotePrefix="0" xfId="0">
      <alignment horizontal="center" vertical="center"/>
    </xf>
  </cellXfs>
  <cellStyles count="1">
    <cellStyle name="Normal" xfId="0" builtinId="0" hidden="0"/>
  </cellStyles>
  <dxfs count="3">
    <dxf>
      <font>
        <color rgb="00FFFFFF"/>
      </font>
    </dxf>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Monthly Food Cost vs. Target</a:t>
            </a:r>
          </a:p>
        </rich>
      </tx>
    </title>
    <plotArea>
      <barChart>
        <barDir val="col"/>
        <grouping val="clustered"/>
        <ser>
          <idx val="0"/>
          <order val="0"/>
          <tx>
            <strRef>
              <f>Dashboard!H6</f>
            </strRef>
          </tx>
          <spPr>
            <a:ln xmlns:a="http://schemas.openxmlformats.org/drawingml/2006/main">
              <a:prstDash val="solid"/>
            </a:ln>
          </spPr>
          <cat>
            <strRef>
              <f>Dashboard!$B$7:$B$18</f>
            </strRef>
          </cat>
          <val>
            <numRef>
              <f>Dashboard!$H$7:$H$18</f>
            </numRef>
          </val>
        </ser>
        <ser>
          <idx val="1"/>
          <order val="1"/>
          <tx>
            <strRef>
              <f>Dashboard!I6</f>
            </strRef>
          </tx>
          <spPr>
            <a:ln xmlns:a="http://schemas.openxmlformats.org/drawingml/2006/main">
              <a:prstDash val="solid"/>
            </a:ln>
          </spPr>
          <cat>
            <strRef>
              <f>Dashboard!$B$7:$B$18</f>
            </strRef>
          </cat>
          <val>
            <numRef>
              <f>Dashboard!$I$7:$I$18</f>
            </numRef>
          </val>
        </ser>
        <gapWidth val="15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20</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A1:B55"/>
  <sheetViews>
    <sheetView workbookViewId="0">
      <selection activeCell="A1" sqref="A1"/>
    </sheetView>
  </sheetViews>
  <sheetFormatPr baseColWidth="8" defaultRowHeight="15"/>
  <cols>
    <col width="3" customWidth="1" min="1" max="1"/>
    <col width="80" customWidth="1" min="2" max="2"/>
  </cols>
  <sheetData>
    <row r="1"/>
    <row r="2">
      <c r="B2" s="1" t="inlineStr">
        <is>
          <t>📋 Food Cost Percentage Tracker</t>
        </is>
      </c>
    </row>
    <row r="3">
      <c r="B3" s="2" t="inlineStr">
        <is>
          <t>Food Cost Kit Pro — AI Chef Pro</t>
        </is>
      </c>
    </row>
    <row r="4">
      <c r="B4" s="3" t="inlineStr">
        <is>
          <t>www.aichef.pro</t>
        </is>
      </c>
    </row>
    <row r="5"/>
    <row r="6">
      <c r="B6" s="6" t="inlineStr">
        <is>
          <t>▸ Record, month by month, your beginning inventory, purchases, ending inventory, and sales. Only the GREEN cells are meant to be filled in.</t>
        </is>
      </c>
    </row>
    <row r="7">
      <c r="B7" s="6" t="inlineStr">
        <is>
          <t>▸ The food cost, the variance from your target, the status, and the chart all calculate themselves.</t>
        </is>
      </c>
    </row>
    <row r="8">
      <c r="B8" s="6" t="n"/>
    </row>
    <row r="9">
      <c r="B9" s="4" t="inlineStr">
        <is>
          <t>The formula (and why it matters)</t>
        </is>
      </c>
    </row>
    <row r="10">
      <c r="B10" s="6" t="n"/>
    </row>
    <row r="11">
      <c r="B11" s="6" t="inlineStr">
        <is>
          <t>▸ Usage = beginning inventory + purchases − ending inventory.</t>
        </is>
      </c>
    </row>
    <row r="12">
      <c r="B12" s="6" t="inlineStr">
        <is>
          <t>▸ Food cost = usage ÷ sales.</t>
        </is>
      </c>
    </row>
    <row r="13">
      <c r="B13" s="6" t="inlineStr">
        <is>
          <t>▸ It is NOT purchases ÷ sales. A big order on the 28th, or clearing out the walk-in, would swing the number by several points without anything actually changing in the kitchen — which is exactly the mistake this dashboard exists to prevent.</t>
        </is>
      </c>
    </row>
    <row r="14">
      <c r="B14" s="6" t="inlineStr">
        <is>
          <t>▸ Get your stock's value from the "Inventory" tab in the BONUS file: quantity × unit price.</t>
        </is>
      </c>
    </row>
    <row r="15">
      <c r="B15" s="8" t="n"/>
    </row>
    <row r="16">
      <c r="B16" s="4" t="inlineStr">
        <is>
          <t>Tax: everything in NET amounts</t>
        </is>
      </c>
    </row>
    <row r="17">
      <c r="B17" s="8" t="n"/>
    </row>
    <row r="18">
      <c r="B18" s="6" t="inlineStr">
        <is>
          <t>▸ Purchases and sales go in NET: no recoverable tax, and food sales without tax, service charges or tips — drinks are tracked separately, with their own pour cost. If your POS reports sales including tax, divide them by 1 + your rate (1.20 with UK VAT) before you type them in.</t>
        </is>
      </c>
    </row>
    <row r="19">
      <c r="B19" s="6" t="inlineStr">
        <is>
          <t>▸ With gross sales (tax included) your food cost looks better than it is: about 2 points at a 7.5% sales tax (the US average) and 5 points with 20% UK VAT — so you think you're on track when you're not.</t>
        </is>
      </c>
    </row>
    <row r="20"/>
    <row r="21">
      <c r="B21" s="4" t="inlineStr">
        <is>
          <t>Alerts</t>
        </is>
      </c>
    </row>
    <row r="22"/>
    <row r="23">
      <c r="B23" s="6" t="inlineStr">
        <is>
          <t>▸ "Status" column: GREEN ("OK") if the month's food cost is at or below target; RED ("ALERT") if it's over.</t>
        </is>
      </c>
    </row>
    <row r="24">
      <c r="B24" s="6" t="inlineStr">
        <is>
          <t>▸ The "Food Cost %" column turns red when it goes over the target.</t>
        </is>
      </c>
    </row>
    <row r="25">
      <c r="B25" s="6" t="inlineStr">
        <is>
          <t>▸ The chart compares each month against the target. Months with no data don't show a bar: neither the actual one nor the target one — their cells intentionally return #N/A (the only value the chart skips) and conditional formatting hides it from the table.</t>
        </is>
      </c>
    </row>
    <row r="26"/>
    <row r="27">
      <c r="B27" s="4" t="inlineStr">
        <is>
          <t>Sheet protection</t>
        </is>
      </c>
    </row>
    <row r="28"/>
    <row r="29">
      <c r="B29" s="6" t="inlineStr">
        <is>
          <t>▸ The sheet is protected with NO password: only the green cells are meant to be filled in. Review → Unprotect Sheet (Google Sheets: Data → Protect sheets and ranges) to edit the rest.</t>
        </is>
      </c>
    </row>
    <row r="30"/>
    <row r="31">
      <c r="B31" s="4" t="inlineStr">
        <is>
          <t>Tracking by week</t>
        </is>
      </c>
    </row>
    <row r="32"/>
    <row r="33">
      <c r="B33" s="6" t="inlineStr">
        <is>
          <t>▸ Weekly works the same way: one row = one week. Count and value your inventory at the same moment every week (e.g., Sunday night after close), with current prices from template 13 (Ingredient Price Tracker). Each week's ending inventory is next week's beginning inventory.</t>
        </is>
      </c>
    </row>
    <row r="34">
      <c r="B34" s="6" t="inlineStr">
        <is>
          <t>▸ Purchases = invoices for goods delivered that week, minus credit memos, without recoverable tax. Net food sales = the week's POS food sales (drinks go in their own pour cost) without tax, service charges or tips.</t>
        </is>
      </c>
    </row>
    <row r="35">
      <c r="B35" s="6" t="inlineStr">
        <is>
          <t>▸ To label the rows by week: Review → Unprotect Sheet, type Wk 1 to Wk 12 (or each week's start date) over the month names in column B (the chart uses them as labels), then Review → Protect Sheet. The total row already reads TOTAL (12 periods).</t>
        </is>
      </c>
    </row>
    <row r="36">
      <c r="B36" s="6" t="inlineStr">
        <is>
          <t>▸ One copy of the file holds 12 weeks, about a quarter: start a new copy for the next 12 and name each copy by its weeks.</t>
        </is>
      </c>
    </row>
    <row r="37">
      <c r="B37" s="6" t="inlineStr">
        <is>
          <t>▸ Weekly numbers jump around: one Friday delivery can move a week by several points. Judge the 4-week trend and the 12-week total, not a single week.</t>
        </is>
      </c>
    </row>
    <row r="38"/>
    <row r="39">
      <c r="B39" s="4" t="inlineStr">
        <is>
          <t>Using Google Sheets</t>
        </is>
      </c>
    </row>
    <row r="40"/>
    <row r="41">
      <c r="B41" s="6" t="inlineStr">
        <is>
          <t>▸ This file is built for Microsoft Excel. In Google Sheets: upload it to Google Drive, open it and choose File → Save as Google Sheets (Protect sheets and ranges isn't available while it's still an .xlsx). To go back: File → Download → Microsoft Excel (.xlsx).</t>
        </is>
      </c>
    </row>
    <row r="42">
      <c r="B42" s="6" t="inlineStr">
        <is>
          <t>▸ Protection: Data → Protect sheets and ranges.</t>
        </is>
      </c>
    </row>
    <row r="43">
      <c r="B43" s="6" t="inlineStr">
        <is>
          <t>▸ If the chart looks different after converting, the numbers in the table don't change: the chart only draws them.</t>
        </is>
      </c>
    </row>
    <row r="44"/>
    <row r="45">
      <c r="B45" s="4" t="inlineStr">
        <is>
          <t>Good to know</t>
        </is>
      </c>
    </row>
    <row r="46"/>
    <row r="47">
      <c r="B47" s="6" t="inlineStr">
        <is>
          <t>▸ Amounts have no currency symbol: they're in your currency. The examples use U.S. dollars.</t>
        </is>
      </c>
    </row>
    <row r="48">
      <c r="B48" s="6" t="inlineStr">
        <is>
          <t>▸ Sample amounts are illustrative U.S. figures — replace them with your own.</t>
        </is>
      </c>
    </row>
    <row r="49">
      <c r="B49" s="6" t="inlineStr">
        <is>
          <t>License: one business (all its locations) per purchase — use it with your clients, but don't hand out copies; schools: info@aichef.pro</t>
        </is>
      </c>
    </row>
    <row r="50"/>
    <row r="51">
      <c r="B51" s="6" t="inlineStr">
        <is>
          <t>— Food Cost Kit Pro · AI Chef Pro · aichef.pro</t>
        </is>
      </c>
    </row>
    <row r="52"/>
    <row r="53">
      <c r="B53" s="6" t="inlineStr">
        <is>
          <t>© 2026 AI Chef Pro · All rights reserved</t>
        </is>
      </c>
    </row>
    <row r="54"/>
    <row r="55">
      <c r="B55"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K2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5" customWidth="1" min="3" max="3"/>
    <col width="19" customWidth="1" min="4" max="4"/>
    <col width="15" customWidth="1" min="5" max="5"/>
    <col width="15" customWidth="1" min="6" max="6"/>
    <col width="19" customWidth="1" min="7" max="7"/>
    <col width="13" customWidth="1" min="8" max="8"/>
    <col width="12" customWidth="1" min="9" max="9"/>
    <col width="13" customWidth="1" min="10" max="10"/>
    <col width="11" customWidth="1" min="11" max="11"/>
  </cols>
  <sheetData>
    <row r="1">
      <c r="A1" s="25" t="n"/>
      <c r="B1" s="25" t="n"/>
      <c r="C1" s="25" t="n"/>
      <c r="D1" s="25" t="n"/>
      <c r="E1" s="25" t="n"/>
      <c r="F1" s="25" t="n"/>
      <c r="G1" s="25" t="n"/>
      <c r="H1" s="25" t="n"/>
      <c r="I1" s="25" t="n"/>
      <c r="J1" s="25" t="n"/>
      <c r="K1" s="25" t="n"/>
    </row>
    <row r="2">
      <c r="A2" s="25" t="n"/>
      <c r="B2" s="26" t="inlineStr">
        <is>
          <t>Food Cost Percentage Tracker</t>
        </is>
      </c>
    </row>
    <row r="3">
      <c r="A3" s="25" t="n"/>
      <c r="B3" s="27" t="inlineStr">
        <is>
          <t>Year:</t>
        </is>
      </c>
      <c r="C3" s="28" t="n"/>
      <c r="D3" s="29" t="n">
        <v>2026</v>
      </c>
      <c r="E3" s="25" t="n"/>
      <c r="F3" s="25" t="n"/>
      <c r="G3" s="25" t="n"/>
      <c r="H3" s="25" t="n"/>
      <c r="I3" s="25" t="n"/>
      <c r="J3" s="25" t="n"/>
      <c r="K3" s="25" t="n"/>
    </row>
    <row r="4">
      <c r="A4" s="25" t="n"/>
      <c r="B4" s="27" t="inlineStr">
        <is>
          <t>Target food cost (%):</t>
        </is>
      </c>
      <c r="C4" s="28" t="n"/>
      <c r="D4" s="30" t="n">
        <v>0.3</v>
      </c>
      <c r="E4" s="25" t="n"/>
      <c r="F4" s="25" t="n"/>
      <c r="G4" s="25" t="n"/>
      <c r="H4" s="25" t="n"/>
      <c r="I4" s="25" t="n"/>
      <c r="J4" s="25" t="n"/>
      <c r="K4" s="25" t="n"/>
    </row>
    <row r="5" ht="26" customHeight="1">
      <c r="A5" s="25" t="n"/>
      <c r="B5" s="31" t="inlineStr">
        <is>
          <t>Food cost = (beginning inventory + purchases − ending inventory) ÷ net food sales. It is NOT purchases ÷ sales: a big order at the end of the month would move the number several points without anything changing in the kitchen. Everything NET: purchases without recoverable tax, and food sales only (drinks go in their own pour cost) without tax, service charges or tips. If your POS reports sales including tax, divide them by 1 + your rate (1.20 with UK VAT) before you type them in.</t>
        </is>
      </c>
    </row>
    <row r="6" ht="30" customHeight="1">
      <c r="A6" s="25" t="n"/>
      <c r="B6" s="32" t="inlineStr">
        <is>
          <t>Period (month or week)</t>
        </is>
      </c>
      <c r="C6" s="32" t="inlineStr">
        <is>
          <t>Beginning inventory</t>
        </is>
      </c>
      <c r="D6" s="32" t="inlineStr">
        <is>
          <t>Net purchases (excl. recoverable tax)</t>
        </is>
      </c>
      <c r="E6" s="32" t="inlineStr">
        <is>
          <t>Ending inventory</t>
        </is>
      </c>
      <c r="F6" s="32" t="inlineStr">
        <is>
          <t>Usage</t>
        </is>
      </c>
      <c r="G6" s="32" t="inlineStr">
        <is>
          <t>Net food sales</t>
        </is>
      </c>
      <c r="H6" s="33" t="inlineStr">
        <is>
          <t>Food Cost %</t>
        </is>
      </c>
      <c r="I6" s="33" t="inlineStr">
        <is>
          <t>Target %</t>
        </is>
      </c>
      <c r="J6" s="33" t="inlineStr">
        <is>
          <t>Variance</t>
        </is>
      </c>
      <c r="K6" s="33" t="inlineStr">
        <is>
          <t>Status</t>
        </is>
      </c>
    </row>
    <row r="7">
      <c r="A7" s="25" t="n"/>
      <c r="B7" s="34" t="inlineStr">
        <is>
          <t>January</t>
        </is>
      </c>
      <c r="C7" s="35" t="n">
        <v>4000</v>
      </c>
      <c r="D7" s="35" t="n">
        <v>20000</v>
      </c>
      <c r="E7" s="35" t="n">
        <v>4800</v>
      </c>
      <c r="F7" s="36">
        <f>IFERROR(IF(G7=0,"",C7+D7-E7),"")</f>
        <v>19200.0</v>
      </c>
      <c r="G7" s="35" t="n">
        <v>64000</v>
      </c>
      <c r="H7" s="37">
        <f>IF(G7=0,NA(),F7/G7)</f>
        <v>0.3</v>
      </c>
      <c r="I7" s="38">
        <f>IF(G7=0,NA(),$D$4)</f>
        <v>0.3</v>
      </c>
      <c r="J7" s="39">
        <f>IFERROR(H7-I7,"")</f>
        <v>0.0</v>
      </c>
      <c r="K7" s="40" t="str">
        <f>IFERROR(IF(H7&lt;=$D$4,"OK","ALERT"),"")</f>
        <v>OK</v>
      </c>
    </row>
    <row r="8">
      <c r="A8" s="25" t="n"/>
      <c r="B8" s="41" t="inlineStr">
        <is>
          <t>February</t>
        </is>
      </c>
      <c r="C8" s="35" t="n">
        <v>4800</v>
      </c>
      <c r="D8" s="35" t="n">
        <v>21600</v>
      </c>
      <c r="E8" s="35" t="n">
        <v>4400</v>
      </c>
      <c r="F8" s="42">
        <f>IFERROR(IF(G8=0,"",C8+D8-E8),"")</f>
        <v>22000.0</v>
      </c>
      <c r="G8" s="35" t="n">
        <v>60000</v>
      </c>
      <c r="H8" s="43">
        <f>IF(G8=0,NA(),F8/G8)</f>
        <v>0.36666666666666664</v>
      </c>
      <c r="I8" s="44">
        <f>IF(G8=0,NA(),$D$4)</f>
        <v>0.3</v>
      </c>
      <c r="J8" s="45">
        <f>IFERROR(H8-I8,"")</f>
        <v>0.06666666666666665</v>
      </c>
      <c r="K8" s="46" t="str">
        <f>IFERROR(IF(H8&lt;=$D$4,"OK","ALERT"),"")</f>
        <v>ALERT</v>
      </c>
    </row>
    <row r="9">
      <c r="A9" s="25" t="n"/>
      <c r="B9" s="34" t="inlineStr">
        <is>
          <t>March</t>
        </is>
      </c>
      <c r="C9" s="35" t="n">
        <v>4400</v>
      </c>
      <c r="D9" s="35" t="n">
        <v>20800</v>
      </c>
      <c r="E9" s="35" t="n">
        <v>5200</v>
      </c>
      <c r="F9" s="36">
        <f>IFERROR(IF(G9=0,"",C9+D9-E9),"")</f>
        <v>20000.0</v>
      </c>
      <c r="G9" s="35" t="n">
        <v>68000</v>
      </c>
      <c r="H9" s="37">
        <f>IF(G9=0,NA(),F9/G9)</f>
        <v>0.29411764705882354</v>
      </c>
      <c r="I9" s="38">
        <f>IF(G9=0,NA(),$D$4)</f>
        <v>0.3</v>
      </c>
      <c r="J9" s="39">
        <f>IFERROR(H9-I9,"")</f>
        <v>-0.00588235294117645</v>
      </c>
      <c r="K9" s="40" t="str">
        <f>IFERROR(IF(H9&lt;=$D$4,"OK","ALERT"),"")</f>
        <v>OK</v>
      </c>
    </row>
    <row r="10">
      <c r="A10" s="25" t="n"/>
      <c r="B10" s="41" t="inlineStr">
        <is>
          <t>April</t>
        </is>
      </c>
      <c r="C10" s="35" t="n"/>
      <c r="D10" s="35" t="n"/>
      <c r="E10" s="35" t="n"/>
      <c r="F10" s="42">
        <f>IFERROR(IF(G10=0,"",C10+D10-E10),"")</f>
        <v/>
      </c>
      <c r="G10" s="35" t="n"/>
      <c r="H10" s="43" t="str">
        <f>IF(G10=0,NA(),F10/G10)</f>
        <v>#N/A</v>
      </c>
      <c r="I10" s="44" t="str">
        <f>IF(G10=0,NA(),$D$4)</f>
        <v>#N/A</v>
      </c>
      <c r="J10" s="45">
        <f>IFERROR(H10-I10,"")</f>
        <v/>
      </c>
      <c r="K10" s="46">
        <f>IFERROR(IF(H10&lt;=$D$4,"OK","ALERT"),"")</f>
        <v/>
      </c>
    </row>
    <row r="11">
      <c r="A11" s="25" t="n"/>
      <c r="B11" s="34" t="inlineStr">
        <is>
          <t>May</t>
        </is>
      </c>
      <c r="C11" s="35" t="n"/>
      <c r="D11" s="35" t="n"/>
      <c r="E11" s="35" t="n"/>
      <c r="F11" s="36">
        <f>IFERROR(IF(G11=0,"",C11+D11-E11),"")</f>
        <v/>
      </c>
      <c r="G11" s="35" t="n"/>
      <c r="H11" s="37" t="str">
        <f>IF(G11=0,NA(),F11/G11)</f>
        <v>#N/A</v>
      </c>
      <c r="I11" s="38" t="str">
        <f>IF(G11=0,NA(),$D$4)</f>
        <v>#N/A</v>
      </c>
      <c r="J11" s="39">
        <f>IFERROR(H11-I11,"")</f>
        <v/>
      </c>
      <c r="K11" s="40">
        <f>IFERROR(IF(H11&lt;=$D$4,"OK","ALERT"),"")</f>
        <v/>
      </c>
    </row>
    <row r="12">
      <c r="A12" s="25" t="n"/>
      <c r="B12" s="41" t="inlineStr">
        <is>
          <t>June</t>
        </is>
      </c>
      <c r="C12" s="35" t="n"/>
      <c r="D12" s="35" t="n"/>
      <c r="E12" s="35" t="n"/>
      <c r="F12" s="42">
        <f>IFERROR(IF(G12=0,"",C12+D12-E12),"")</f>
        <v/>
      </c>
      <c r="G12" s="35" t="n"/>
      <c r="H12" s="43" t="str">
        <f>IF(G12=0,NA(),F12/G12)</f>
        <v>#N/A</v>
      </c>
      <c r="I12" s="44" t="str">
        <f>IF(G12=0,NA(),$D$4)</f>
        <v>#N/A</v>
      </c>
      <c r="J12" s="45">
        <f>IFERROR(H12-I12,"")</f>
        <v/>
      </c>
      <c r="K12" s="46">
        <f>IFERROR(IF(H12&lt;=$D$4,"OK","ALERT"),"")</f>
        <v/>
      </c>
    </row>
    <row r="13">
      <c r="A13" s="25" t="n"/>
      <c r="B13" s="34" t="inlineStr">
        <is>
          <t>July</t>
        </is>
      </c>
      <c r="C13" s="35" t="n"/>
      <c r="D13" s="35" t="n"/>
      <c r="E13" s="35" t="n"/>
      <c r="F13" s="36">
        <f>IFERROR(IF(G13=0,"",C13+D13-E13),"")</f>
        <v/>
      </c>
      <c r="G13" s="35" t="n"/>
      <c r="H13" s="37" t="str">
        <f>IF(G13=0,NA(),F13/G13)</f>
        <v>#N/A</v>
      </c>
      <c r="I13" s="38" t="str">
        <f>IF(G13=0,NA(),$D$4)</f>
        <v>#N/A</v>
      </c>
      <c r="J13" s="39">
        <f>IFERROR(H13-I13,"")</f>
        <v/>
      </c>
      <c r="K13" s="40">
        <f>IFERROR(IF(H13&lt;=$D$4,"OK","ALERT"),"")</f>
        <v/>
      </c>
    </row>
    <row r="14">
      <c r="A14" s="25" t="n"/>
      <c r="B14" s="41" t="inlineStr">
        <is>
          <t>August</t>
        </is>
      </c>
      <c r="C14" s="35" t="n"/>
      <c r="D14" s="35" t="n"/>
      <c r="E14" s="35" t="n"/>
      <c r="F14" s="42">
        <f>IFERROR(IF(G14=0,"",C14+D14-E14),"")</f>
        <v/>
      </c>
      <c r="G14" s="35" t="n"/>
      <c r="H14" s="43" t="str">
        <f>IF(G14=0,NA(),F14/G14)</f>
        <v>#N/A</v>
      </c>
      <c r="I14" s="44" t="str">
        <f>IF(G14=0,NA(),$D$4)</f>
        <v>#N/A</v>
      </c>
      <c r="J14" s="45">
        <f>IFERROR(H14-I14,"")</f>
        <v/>
      </c>
      <c r="K14" s="46">
        <f>IFERROR(IF(H14&lt;=$D$4,"OK","ALERT"),"")</f>
        <v/>
      </c>
    </row>
    <row r="15">
      <c r="A15" s="25" t="n"/>
      <c r="B15" s="34" t="inlineStr">
        <is>
          <t>September</t>
        </is>
      </c>
      <c r="C15" s="35" t="n"/>
      <c r="D15" s="35" t="n"/>
      <c r="E15" s="35" t="n"/>
      <c r="F15" s="36">
        <f>IFERROR(IF(G15=0,"",C15+D15-E15),"")</f>
        <v/>
      </c>
      <c r="G15" s="35" t="n"/>
      <c r="H15" s="37" t="str">
        <f>IF(G15=0,NA(),F15/G15)</f>
        <v>#N/A</v>
      </c>
      <c r="I15" s="38" t="str">
        <f>IF(G15=0,NA(),$D$4)</f>
        <v>#N/A</v>
      </c>
      <c r="J15" s="39">
        <f>IFERROR(H15-I15,"")</f>
        <v/>
      </c>
      <c r="K15" s="40">
        <f>IFERROR(IF(H15&lt;=$D$4,"OK","ALERT"),"")</f>
        <v/>
      </c>
    </row>
    <row r="16">
      <c r="A16" s="25" t="n"/>
      <c r="B16" s="41" t="inlineStr">
        <is>
          <t>October</t>
        </is>
      </c>
      <c r="C16" s="35" t="n"/>
      <c r="D16" s="35" t="n"/>
      <c r="E16" s="35" t="n"/>
      <c r="F16" s="42">
        <f>IFERROR(IF(G16=0,"",C16+D16-E16),"")</f>
        <v/>
      </c>
      <c r="G16" s="35" t="n"/>
      <c r="H16" s="43" t="str">
        <f>IF(G16=0,NA(),F16/G16)</f>
        <v>#N/A</v>
      </c>
      <c r="I16" s="44" t="str">
        <f>IF(G16=0,NA(),$D$4)</f>
        <v>#N/A</v>
      </c>
      <c r="J16" s="45">
        <f>IFERROR(H16-I16,"")</f>
        <v/>
      </c>
      <c r="K16" s="46">
        <f>IFERROR(IF(H16&lt;=$D$4,"OK","ALERT"),"")</f>
        <v/>
      </c>
    </row>
    <row r="17">
      <c r="A17" s="25" t="n"/>
      <c r="B17" s="34" t="inlineStr">
        <is>
          <t>November</t>
        </is>
      </c>
      <c r="C17" s="35" t="n"/>
      <c r="D17" s="35" t="n"/>
      <c r="E17" s="35" t="n"/>
      <c r="F17" s="36">
        <f>IFERROR(IF(G17=0,"",C17+D17-E17),"")</f>
        <v/>
      </c>
      <c r="G17" s="35" t="n"/>
      <c r="H17" s="37" t="str">
        <f>IF(G17=0,NA(),F17/G17)</f>
        <v>#N/A</v>
      </c>
      <c r="I17" s="38" t="str">
        <f>IF(G17=0,NA(),$D$4)</f>
        <v>#N/A</v>
      </c>
      <c r="J17" s="39">
        <f>IFERROR(H17-I17,"")</f>
        <v/>
      </c>
      <c r="K17" s="40">
        <f>IFERROR(IF(H17&lt;=$D$4,"OK","ALERT"),"")</f>
        <v/>
      </c>
    </row>
    <row r="18">
      <c r="A18" s="25" t="n"/>
      <c r="B18" s="41" t="inlineStr">
        <is>
          <t>December</t>
        </is>
      </c>
      <c r="C18" s="35" t="n"/>
      <c r="D18" s="35" t="n"/>
      <c r="E18" s="35" t="n"/>
      <c r="F18" s="42">
        <f>IFERROR(IF(G18=0,"",C18+D18-E18),"")</f>
        <v/>
      </c>
      <c r="G18" s="35" t="n"/>
      <c r="H18" s="43" t="str">
        <f>IF(G18=0,NA(),F18/G18)</f>
        <v>#N/A</v>
      </c>
      <c r="I18" s="44" t="str">
        <f>IF(G18=0,NA(),$D$4)</f>
        <v>#N/A</v>
      </c>
      <c r="J18" s="45">
        <f>IFERROR(H18-I18,"")</f>
        <v/>
      </c>
      <c r="K18" s="46">
        <f>IFERROR(IF(H18&lt;=$D$4,"OK","ALERT"),"")</f>
        <v/>
      </c>
    </row>
    <row r="19">
      <c r="A19" s="25" t="n"/>
      <c r="B19" s="47" t="inlineStr">
        <is>
          <t>TOTAL (12 periods)</t>
        </is>
      </c>
      <c r="C19" s="47" t="n"/>
      <c r="D19" s="48">
        <f>SUM(D7:D18)</f>
        <v>62400.0</v>
      </c>
      <c r="E19" s="47" t="n"/>
      <c r="F19" s="49">
        <f>SUM(F7:F18)</f>
        <v>61200.0</v>
      </c>
      <c r="G19" s="49">
        <f>SUM(G7:G18)</f>
        <v>192000.0</v>
      </c>
      <c r="H19" s="50">
        <f>IFERROR(IF(G19=0,"",F19/G19),"")</f>
        <v>0.31875</v>
      </c>
      <c r="I19" s="51" t="n"/>
      <c r="J19" s="51" t="n"/>
      <c r="K19" s="52" t="str">
        <f>IFERROR(IF(H19="","",IF(H19&lt;=$D$4,"OK","ALERT")),"")</f>
        <v>ALERT</v>
      </c>
    </row>
    <row r="20">
      <c r="A20" s="25" t="n"/>
      <c r="B20" s="25" t="n"/>
      <c r="C20" s="25" t="n"/>
      <c r="D20" s="25" t="n"/>
      <c r="E20" s="25" t="n"/>
      <c r="F20" s="25" t="n"/>
      <c r="G20" s="25" t="n"/>
      <c r="H20" s="25" t="n"/>
      <c r="I20" s="25" t="n"/>
      <c r="J20" s="25" t="n"/>
      <c r="K20" s="25" t="n"/>
    </row>
  </sheetData>
  <sheetProtection selectLockedCells="0" selectUnlockedCells="0" sheet="1" objects="0" insertRows="1" insertHyperlinks="1" autoFilter="1" scenarios="0" formatColumns="0" deleteColumns="1" insertColumns="1" pivotTables="1" deleteRows="1" formatCells="1" formatRows="0" sort="1"/>
  <mergeCells count="4">
    <mergeCell ref="B3:C3"/>
    <mergeCell ref="B5:K5"/>
    <mergeCell ref="B4:C4"/>
    <mergeCell ref="B2:K2"/>
  </mergeCells>
  <conditionalFormatting sqref="H7:I18">
    <cfRule type="expression" priority="1" dxfId="0" stopIfTrue="1">
      <formula>ISNA(H7)</formula>
    </cfRule>
  </conditionalFormatting>
  <conditionalFormatting sqref="K7:K19">
    <cfRule type="cellIs" priority="2" operator="equal" dxfId="1" stopIfTrue="0">
      <formula>"ALERT"</formula>
    </cfRule>
    <cfRule type="cellIs" priority="3" operator="equal" dxfId="2" stopIfTrue="0">
      <formula>"OK"</formula>
    </cfRule>
  </conditionalFormatting>
  <conditionalFormatting sqref="H7:H19">
    <cfRule type="expression" priority="4" dxfId="1" stopIfTrue="0">
      <formula>AND(ISNUMBER(H7),H7&gt;$D$4)</formula>
    </cfRule>
  </conditionalFormatting>
  <pageMargins left="0.59" right="0.59" top="0.59" bottom="0.59" header="0.3" footer="0.3"/>
  <pageSetup orientation="landscape" paperSize="1" fitToHeight="1"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Cost Percentage Tracker</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2026-03-18T21:50:24Z</dcterms:created>
  <dcterms:modified xmlns:dcterms="http://purl.org/dc/terms/" xmlns:xsi="http://www.w3.org/2001/XMLSchema-instance" xsi:type="dcterms:W3CDTF">2026-09-24T20:23:24Z</dcterms:modified>
  <cp:lastModifiedBy>AI Chef Pro</cp:lastModifiedBy>
  <cp:category>AI Chef Pro · Digital products</cp:category>
  <cp:keywords>food cost kit, food cost templates, AI Chef Pro</cp:keywords>
</cp:coreProperties>
</file>