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utcher Yield Test" sheetId="2" state="visible" r:id="rId2"/>
    <sheet xmlns:r="http://schemas.openxmlformats.org/officeDocument/2006/relationships" name="Cooking Loss Test" sheetId="3" state="visible" r:id="rId3"/>
  </sheets>
  <definedNames>
    <definedName name="_xlnm.Print_Area" localSheetId="1">'Butcher Yield Test'!$A$1:$F$39</definedName>
    <definedName name="_xlnm.Print_Area" localSheetId="2">'Cooking Loss Test'!$A$1:$F$20</definedName>
  </definedNames>
  <calcPr calcId="124519" fullCalcOnLoad="1"/>
</workbook>
</file>

<file path=xl/styles.xml><?xml version="1.0" encoding="utf-8"?>
<styleSheet xmlns="http://schemas.openxmlformats.org/spreadsheetml/2006/main">
  <numFmts count="3">
    <numFmt numFmtId="164" formatCode="0.000"/>
    <numFmt numFmtId="165" formatCode="#,##0.00"/>
    <numFmt numFmtId="166" formatCode="0.0%"/>
  </numFmts>
  <fonts count="14">
    <font>
      <name val="Calibri"/>
      <family val="2"/>
      <color theme="1"/>
      <sz val="11"/>
      <scheme val="minor"/>
    </font>
    <font>
      <name val="Calibri"/>
      <b val="1"/>
      <color rgb="00FFD700"/>
      <sz val="18"/>
    </font>
    <font>
      <name val="Calibri"/>
      <color rgb="00888888"/>
      <sz val="11"/>
    </font>
    <font>
      <name val="Calibri"/>
      <color rgb="00888888"/>
      <sz val="10"/>
    </font>
    <font>
      <name val="Calibri"/>
      <b val="1"/>
      <color rgb="001A1A1A"/>
      <sz val="12"/>
    </font>
    <font>
      <name val="Calibri"/>
      <color rgb="00333333"/>
      <sz val="11"/>
    </font>
    <font>
      <b val="1"/>
      <color rgb="00FFFFFF"/>
    </font>
    <font>
      <b val="1"/>
      <color rgb="00FFD700"/>
      <sz val="16"/>
    </font>
    <font>
      <color rgb="00888888"/>
      <sz val="11"/>
    </font>
    <font>
      <b val="1"/>
      <sz val="11"/>
    </font>
    <font>
      <sz val="11"/>
    </font>
    <font>
      <i val="1"/>
      <color rgb="00606060"/>
      <sz val="9"/>
    </font>
    <font>
      <i val="1"/>
    </font>
    <font>
      <b val="1"/>
      <sz val="12"/>
    </font>
  </fonts>
  <fills count="6">
    <fill>
      <patternFill/>
    </fill>
    <fill>
      <patternFill patternType="gray125"/>
    </fill>
    <fill>
      <patternFill patternType="solid">
        <fgColor rgb="002D2D2D"/>
      </patternFill>
    </fill>
    <fill>
      <patternFill patternType="solid">
        <fgColor rgb="00E8F5E9"/>
      </patternFill>
    </fill>
    <fill>
      <patternFill patternType="solid">
        <fgColor rgb="00FFF8DC"/>
      </patternFill>
    </fill>
    <fill>
      <patternFill patternType="solid">
        <fgColor rgb="00FFD7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center"/>
    </xf>
    <xf numFmtId="0" fontId="8" fillId="0" borderId="0" applyAlignment="1" pivotButton="0" quotePrefix="0" xfId="0">
      <alignment vertical="top" wrapText="1"/>
    </xf>
    <xf numFmtId="0" fontId="6" fillId="2" borderId="0" applyAlignment="1" pivotButton="0" quotePrefix="0" xfId="0">
      <alignment vertical="center"/>
    </xf>
    <xf numFmtId="0" fontId="9" fillId="0" borderId="0" applyAlignment="1" pivotButton="0" quotePrefix="0" xfId="0">
      <alignment vertical="center" wrapText="1"/>
    </xf>
    <xf numFmtId="0" fontId="10" fillId="3" borderId="1" applyAlignment="1" applyProtection="1" pivotButton="0" quotePrefix="0" xfId="0">
      <alignment horizontal="left" vertical="center"/>
      <protection locked="0" hidden="0"/>
    </xf>
    <xf numFmtId="0" fontId="0" fillId="0" borderId="4" pivotButton="0" quotePrefix="0" xfId="0"/>
    <xf numFmtId="0" fontId="0" fillId="0" borderId="5" pivotButton="0" quotePrefix="0" xfId="0"/>
    <xf numFmtId="14" fontId="10" fillId="3" borderId="1" applyAlignment="1" applyProtection="1" pivotButton="0" quotePrefix="0" xfId="0">
      <alignment horizontal="center" vertical="center"/>
      <protection locked="0" hidden="0"/>
    </xf>
    <xf numFmtId="164" fontId="10" fillId="3" borderId="1" applyAlignment="1" applyProtection="1" pivotButton="0" quotePrefix="0" xfId="0">
      <alignment horizontal="center" vertical="center"/>
      <protection locked="0" hidden="0"/>
    </xf>
    <xf numFmtId="0" fontId="11" fillId="0" borderId="0" applyAlignment="1" pivotButton="0" quotePrefix="0" xfId="0">
      <alignment vertical="center" wrapText="1"/>
    </xf>
    <xf numFmtId="165" fontId="10" fillId="3" borderId="1" applyAlignment="1" applyProtection="1" pivotButton="0" quotePrefix="0" xfId="0">
      <alignment horizontal="center" vertical="center"/>
      <protection locked="0" hidden="0"/>
    </xf>
    <xf numFmtId="165" fontId="9" fillId="0" borderId="1" applyAlignment="1" pivotButton="0" quotePrefix="0" xfId="0">
      <alignment horizontal="center" vertical="center"/>
    </xf>
    <xf numFmtId="3" fontId="10" fillId="3" borderId="1" applyAlignment="1" applyProtection="1" pivotButton="0" quotePrefix="0" xfId="0">
      <alignment horizontal="center" vertical="center"/>
      <protection locked="0" hidden="0"/>
    </xf>
    <xf numFmtId="0" fontId="6" fillId="2" borderId="0" applyAlignment="1" pivotButton="0" quotePrefix="0" xfId="0">
      <alignment horizontal="center" vertical="center" wrapText="1"/>
    </xf>
    <xf numFmtId="0" fontId="10" fillId="3" borderId="1" applyAlignment="1" applyProtection="1" pivotButton="0" quotePrefix="0" xfId="0">
      <alignment horizontal="center" vertical="center"/>
      <protection locked="0" hidden="0"/>
    </xf>
    <xf numFmtId="165" fontId="10" fillId="0" borderId="1" applyAlignment="1" pivotButton="0" quotePrefix="0" xfId="0">
      <alignment horizontal="center" vertical="center"/>
    </xf>
    <xf numFmtId="166" fontId="10" fillId="0" borderId="1" applyAlignment="1" pivotButton="0" quotePrefix="0" xfId="0">
      <alignment horizontal="center" vertical="center"/>
    </xf>
    <xf numFmtId="0" fontId="12" fillId="0" borderId="1" pivotButton="0" quotePrefix="0" xfId="0"/>
    <xf numFmtId="0" fontId="0" fillId="0" borderId="1" applyAlignment="1" pivotButton="0" quotePrefix="0" xfId="0">
      <alignment horizontal="center"/>
    </xf>
    <xf numFmtId="164" fontId="10" fillId="0" borderId="1" applyAlignment="1" pivotButton="0" quotePrefix="0" xfId="0">
      <alignment horizontal="center" vertical="center"/>
    </xf>
    <xf numFmtId="0" fontId="0" fillId="0" borderId="1" pivotButton="0" quotePrefix="0" xfId="0"/>
    <xf numFmtId="0" fontId="10" fillId="0" borderId="0" applyAlignment="1" pivotButton="0" quotePrefix="0" xfId="0">
      <alignment vertical="center" wrapText="1"/>
    </xf>
    <xf numFmtId="0" fontId="9" fillId="4" borderId="0" applyAlignment="1" pivotButton="0" quotePrefix="0" xfId="0">
      <alignment vertical="center" wrapText="1"/>
    </xf>
    <xf numFmtId="0" fontId="0" fillId="4" borderId="0" pivotButton="0" quotePrefix="0" xfId="0"/>
    <xf numFmtId="165" fontId="9" fillId="4" borderId="1" applyAlignment="1" pivotButton="0" quotePrefix="0" xfId="0">
      <alignment horizontal="center" vertical="center"/>
    </xf>
    <xf numFmtId="0" fontId="13" fillId="5" borderId="0" applyAlignment="1" pivotButton="0" quotePrefix="0" xfId="0">
      <alignment vertical="center" wrapText="1"/>
    </xf>
    <xf numFmtId="0" fontId="0" fillId="5" borderId="0" pivotButton="0" quotePrefix="0" xfId="0"/>
    <xf numFmtId="166" fontId="13" fillId="5" borderId="1" applyAlignment="1" pivotButton="0" quotePrefix="0" xfId="0">
      <alignment horizontal="center" vertical="center"/>
    </xf>
    <xf numFmtId="165" fontId="13" fillId="5" borderId="1" applyAlignment="1" pivotButton="0" quotePrefix="0" xfId="0">
      <alignment horizontal="center" vertical="center"/>
    </xf>
    <xf numFmtId="3" fontId="9" fillId="0" borderId="1" applyAlignment="1" pivotButton="0" quotePrefix="0" xfId="0">
      <alignment horizontal="center" vertical="center"/>
    </xf>
    <xf numFmtId="0" fontId="11" fillId="0" borderId="0" applyAlignment="1" pivotButton="0" quotePrefix="0" xfId="0">
      <alignment vertical="top" wrapText="1"/>
    </xf>
    <xf numFmtId="166" fontId="10" fillId="3" borderId="1" applyAlignment="1" applyProtection="1" pivotButton="0" quotePrefix="0" xfId="0">
      <alignment horizontal="center" vertical="center"/>
      <protection locked="0" hidden="0"/>
    </xf>
    <xf numFmtId="166" fontId="9" fillId="4" borderId="1" applyAlignment="1" pivotButton="0" quotePrefix="0" xfId="0">
      <alignment horizontal="center" vertical="center"/>
    </xf>
    <xf numFmtId="0" fontId="0" fillId="0" borderId="4" applyProtection="1" pivotButton="0" quotePrefix="0" xfId="0">
      <protection locked="0" hidden="0"/>
    </xf>
    <xf numFmtId="0" fontId="0" fillId="0" borderId="5" applyProtection="1" pivotButton="0" quotePrefix="0" xfId="0">
      <protection locked="0" hidden="0"/>
    </xf>
    <xf numFmtId="4" fontId="10" fillId="3" borderId="1" applyAlignment="1" applyProtection="1" pivotButton="0" quotePrefix="0" xfId="0">
      <alignment horizontal="center" vertical="center"/>
      <protection locked="0" hidden="0"/>
    </xf>
  </cellXfs>
  <cellStyles count="1">
    <cellStyle name="Normal" xfId="0" builtinId="0" hidden="0"/>
  </cellStyles>
  <dxfs count="1">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74"/>
  <sheetViews>
    <sheetView workbookViewId="0">
      <selection activeCell="A1" sqref="A1"/>
    </sheetView>
  </sheetViews>
  <sheetFormatPr baseColWidth="8" defaultRowHeight="15"/>
  <cols>
    <col width="3" customWidth="1" min="1" max="1"/>
    <col width="80" customWidth="1" min="2" max="2"/>
  </cols>
  <sheetData>
    <row r="1"/>
    <row r="2">
      <c r="B2" s="1" t="inlineStr">
        <is>
          <t>📋 Yield Test (Butcher &amp; Cooking Loss)</t>
        </is>
      </c>
    </row>
    <row r="3">
      <c r="B3" s="2" t="inlineStr">
        <is>
          <t>Food Cost Kit Pro — AI Chef Pro</t>
        </is>
      </c>
    </row>
    <row r="4">
      <c r="B4" s="3" t="inlineStr">
        <is>
          <t>www.aichef.pro</t>
        </is>
      </c>
    </row>
    <row r="5"/>
    <row r="6">
      <c r="B6" s="4" t="inlineStr">
        <is>
          <t>What It's For</t>
        </is>
      </c>
    </row>
    <row r="7"/>
    <row r="8">
      <c r="B8" s="5" t="inlineStr">
        <is>
          <t>▸ The trim loss on the "Trim Loss Factors" tab of each recipe cost card is a starting point. Yours depends on your supplier, the specific cut, and how you clean it — and the only way to know it is to weigh it. This template turns that weigh-in into the number your recipe cost card needs.</t>
        </is>
      </c>
    </row>
    <row r="9">
      <c r="B9" s="5" t="inlineStr">
        <is>
          <t>▸ "Butcher Yield Test" tab: a piece you buy whole (a tenderloin, a loin, a whole fish) and what comes out of it once you clean it.</t>
        </is>
      </c>
    </row>
    <row r="10">
      <c r="B10" s="5" t="inlineStr">
        <is>
          <t>▸ "Cooking Loss Test" tab: what a preparation loses when you cook it, for when you portion by cooked weight.</t>
        </is>
      </c>
    </row>
    <row r="11">
      <c r="B11" s="5" t="inlineStr">
        <is>
          <t>▸ GREEN cells are editable; everything else is a formula.</t>
        </is>
      </c>
    </row>
    <row r="12"/>
    <row r="13">
      <c r="B13" s="4" t="inlineStr">
        <is>
          <t>Butcher Yield Test, Step by Step</t>
        </is>
      </c>
    </row>
    <row r="14"/>
    <row r="15">
      <c r="B15" s="5" t="inlineStr">
        <is>
          <t>▸ 1. Weigh the piece as it arrives (gross/AP weight) and enter the invoice price per lb.</t>
        </is>
      </c>
    </row>
    <row r="16">
      <c r="B16" s="5" t="inlineStr">
        <is>
          <t>▸ 2. Clean it and weigh each part separately. Mark it as "Usable" (what you'll serve), "By-product" (what you'll use in another preparation), or "Trim (no value)" (what you throw away).</t>
        </is>
      </c>
    </row>
    <row r="17">
      <c r="B17" s="5" t="inlineStr">
        <is>
          <t>▸ 3. Give each by-product its market value per lb: what it would cost you to buy that cut for the use you're giving it (the chain for ground meat or stock, the trimmings for a stir-fry). That value is deducted from the cost of the piece. If you're not going to use it, mark it as "Trim (no value)".</t>
        </is>
      </c>
    </row>
    <row r="18">
      <c r="B18" s="5" t="inlineStr">
        <is>
          <t>▸ 4. The "Cutting loss" row automatically calculates what you haven't weighed: the drip loss and scraps left out of the table. If it comes out negative (in red), you've weighed something twice.</t>
        </is>
      </c>
    </row>
    <row r="19">
      <c r="B19" s="5" t="inlineStr">
        <is>
          <t>▸ 5. Take the TRIM LOSS % FOR YOUR RECIPE COST CARD over to the card: enter it in that ingredient's "Trim loss %" column and keep the usual purchase price per lb. The card will give you the same cost per portion as this test.</t>
        </is>
      </c>
    </row>
    <row r="20"/>
    <row r="21">
      <c r="B21" s="4" t="inlineStr">
        <is>
          <t>How to Read the Result</t>
        </is>
      </c>
    </row>
    <row r="22"/>
    <row r="23">
      <c r="B23" s="5" t="inlineStr">
        <is>
          <t>▸ Usable weight: the sum of the parts marked "Usable".</t>
        </is>
      </c>
    </row>
    <row r="24">
      <c r="B24" s="5" t="inlineStr">
        <is>
          <t>▸ Net usable cost: what you paid for the piece minus what the by-products are worth.</t>
        </is>
      </c>
    </row>
    <row r="25">
      <c r="B25" s="5" t="inlineStr">
        <is>
          <t>▸ Gross yield (%): usable weight ÷ gross weight. It's informational only — it doesn't account for the value of the by-products, so don't use it on the card.</t>
        </is>
      </c>
    </row>
    <row r="26">
      <c r="B26" s="5" t="inlineStr">
        <is>
          <t>▸ COST PER USABLE LB: what each pound you actually serve really costs you.</t>
        </is>
      </c>
    </row>
    <row r="27">
      <c r="B27" s="5" t="inlineStr">
        <is>
          <t>▸ Cost factor: cost per usable lb ÷ purchase price per lb. If your supplier raises the price of the piece, multiply the new price by this factor and you'll have the new cost per usable lb without repeating the test, as long as the cut and how you clean it don't change.</t>
        </is>
      </c>
    </row>
    <row r="28">
      <c r="B28" s="5" t="inlineStr">
        <is>
          <t>▸ TRIM LOSS % FOR YOUR RECIPE COST CARD: 1 − purchase price ÷ cost per usable lb. It already accounts for the value of the by-products, and it's the only figure that goes on the card.</t>
        </is>
      </c>
    </row>
    <row r="29">
      <c r="B29" s="5" t="inlineStr">
        <is>
          <t>▸ COST PER PORTION: standard portion × cost per usable lb. The green "Ounces per pound" cell is set to 16 because the piece is weighed in lb and the portion in oz; if you weigh and portion in the same unit, set it to 1.</t>
        </is>
      </c>
    </row>
    <row r="30">
      <c r="B30" s="5" t="inlineStr">
        <is>
          <t>▸ PORTIONS PER PIECE: usable weight × ounces per pound ÷ standard portion, rounded down, because you don't serve a partial portion. In the example, the 3.375 lb of usable meat give 7 portions of 7 oz (5 oz left over): that's the number that tells you how many pieces to order.</t>
        </is>
      </c>
    </row>
    <row r="31"/>
    <row r="32">
      <c r="B32" s="4" t="inlineStr">
        <is>
          <t>Cooking Loss Test</t>
        </is>
      </c>
    </row>
    <row r="33"/>
    <row r="34">
      <c r="B34" s="5" t="inlineStr">
        <is>
          <t>▸ Weigh what you're about to cook raw, already cleaned, and enter the invoice price per lb, the same one on the card. If it comes from a piece you butcher yourself, also enter its butchering trim loss (the TRIM LOSS % FOR YOUR RECIPE COST CARD from the Butcher Yield Test); if you buy it ready-trimmed, leave it at 0%.</t>
        </is>
      </c>
    </row>
    <row r="35">
      <c r="B35" s="5" t="inlineStr">
        <is>
          <t>▸ Cook it the way you would for service and weigh it right after cooking, before portioning. COOKING LOSS = 1 − cooked weight ÷ raw weight.</t>
        </is>
      </c>
    </row>
    <row r="36">
      <c r="B36" s="5" t="inlineStr">
        <is>
          <t>▸ If you enter the quantity on the card in RAW weight, just use the butchering trim loss as-is. If you enter it in COOKED weight (the portion that hits the plate), use the COMBINED TRIM LOSS FOR THE CARD: 1 − (1 − butchering trim loss) × (1 − cooking loss). Either way, the card gives you the same cost per portion as this test.</t>
        </is>
      </c>
    </row>
    <row r="37">
      <c r="B37" s="5" t="inlineStr">
        <is>
          <t>▸ Portions in the batch: cooked weight × 16 ÷ cooked portion. In the example, 2.775 × 16 ÷ 4.44 = 10 patties.</t>
        </is>
      </c>
    </row>
    <row r="38">
      <c r="B38" s="5" t="inlineStr">
        <is>
          <t>▸ Duplicate the tab for another test: right-click the tab → Move or Copy → Create a copy.</t>
        </is>
      </c>
    </row>
    <row r="39"/>
    <row r="40">
      <c r="B40" s="4" t="inlineStr">
        <is>
          <t>The Loaded Examples</t>
        </is>
      </c>
    </row>
    <row r="41"/>
    <row r="42">
      <c r="B42" s="5" t="inlineStr">
        <is>
          <t>▸ Butchering: the whole beef tenderloin (PSMO) that Template 01 (Recipe Cost Card) buys, at $17.21/lb. The example follows a published weigh-in of a 5 lb 9 oz whole tenderloin: 3 lb 6 oz of center and head for steaks, 6 oz of tips and 5 oz of chain you can use, and 1 lb 8 oz of fat and silverskin (27% of the piece). The value of the tips and the chain is an estimate — weigh and price your own.</t>
        </is>
      </c>
    </row>
    <row r="43">
      <c r="B43" s="5" t="inlineStr">
        <is>
          <t>▸ With that yield test, the tenderloin's trim loss for the card is 37.4% (the 39.3% you trim off, minus what the tips and chain are worth), not the generic 20% for "Beef &amp; red meat": that's the figure Template 01 now carries in the tenderloin row.</t>
        </is>
      </c>
    </row>
    <row r="44">
      <c r="B44" s="5" t="inlineStr">
        <is>
          <t>▸ Cooking: the smash burger from Template 08 (Food Truck), 10 burgers of 6 oz of 80/20 ground beef (two 3 oz balls each). The cooked weight applies the USDA reference yield for ground beef with no more than 20% fat (0.74 lb cooked per lb raw). It's not a measurement — weigh your own, because the flat-top, the thickness and the doneness all change it.</t>
        </is>
      </c>
    </row>
    <row r="45">
      <c r="B45" s="5" t="inlineStr">
        <is>
          <t>▸ Ground beef is bought ready to cook, so its butchering trim loss is 0%, and card 08 also carries 0% in that row: at 6 oz raw it costs the same on the card as it does here ($1.25).</t>
        </is>
      </c>
    </row>
    <row r="46">
      <c r="B46" s="5" t="inlineStr">
        <is>
          <t>▸ These are sample figures: type over the green cells or clear them with Delete.</t>
        </is>
      </c>
    </row>
    <row r="47"/>
    <row r="48">
      <c r="B48" s="4" t="inlineStr">
        <is>
          <t>Sheet Protection</t>
        </is>
      </c>
    </row>
    <row r="49"/>
    <row r="50">
      <c r="B50" s="5" t="inlineStr">
        <is>
          <t>▸ The sheets are protected WITHOUT a password so you don't accidentally delete a formula: only the green cells are meant to be edited. Review → Unprotect Sheet to change anything else; it won't ask for a password.</t>
        </is>
      </c>
    </row>
    <row r="51"/>
    <row r="52">
      <c r="B52" s="4" t="inlineStr">
        <is>
          <t>Related Templates</t>
        </is>
      </c>
    </row>
    <row r="53"/>
    <row r="54">
      <c r="B54" s="5" t="inlineStr">
        <is>
          <t>▸ Keep the whole cut's AP price in template 13 (Ingredient Price Tracker). Re-run the test when the cut, the supplier or your trim spec changes, not every time the price moves: the Cost factor covers price changes.</t>
        </is>
      </c>
    </row>
    <row r="55">
      <c r="B55" s="5" t="inlineStr">
        <is>
          <t>▸ Reference yields for many foods (as purchased to ready to cook, raw to cooked): USDA Food Buying Guide, foodbuyingguide.fns.usda.gov. A starting point; your own test wins.</t>
        </is>
      </c>
    </row>
    <row r="56"/>
    <row r="57">
      <c r="B57" s="4" t="inlineStr">
        <is>
          <t>Using Google Sheets</t>
        </is>
      </c>
    </row>
    <row r="58"/>
    <row r="59">
      <c r="B59" s="5" t="inlineStr">
        <is>
          <t>▸ This file is built for Microsoft Excel. In Google Sheets: upload it to Google Drive, open it and choose File → Save as Google Sheets (Protect sheets and ranges isn't available while it's still an .xlsx). To go back: File → Download → Microsoft Excel (.xlsx).</t>
        </is>
      </c>
    </row>
    <row r="60">
      <c r="B60" s="5" t="inlineStr">
        <is>
          <t>▸ Protection: Data → Protect sheets and ranges. Dropdowns: Data → Data validation; if one doesn't come across, type the value exactly as it appears on its list (Usable, By-product, Trim (no value)): the formulas read the text.</t>
        </is>
      </c>
    </row>
    <row r="61">
      <c r="B61" s="5" t="inlineStr">
        <is>
          <t>▸ Duplicate a tab: right-click the tab → Duplicate.</t>
        </is>
      </c>
    </row>
    <row r="62"/>
    <row r="63">
      <c r="B63" s="4" t="inlineStr">
        <is>
          <t>Good to Know</t>
        </is>
      </c>
    </row>
    <row r="64"/>
    <row r="65">
      <c r="B65" s="5" t="inlineStr">
        <is>
          <t>▸ Amounts have no currency symbol: they're in your currency. The examples use U.S. dollars.</t>
        </is>
      </c>
    </row>
    <row r="66">
      <c r="B66" s="5" t="inlineStr">
        <is>
          <t>▸ Sample prices are illustrative U.S. references — replace them with your own supplier invoices.</t>
        </is>
      </c>
    </row>
    <row r="67">
      <c r="B67" s="5" t="inlineStr">
        <is>
          <t>▸ Working in metric (UK): enter weights in kg, the price per kg and the portion in g, and set Ounces per pound (for the portion) to 1000 on both tabs; labels that say lb then read kg. The formulas only need consistent units.</t>
        </is>
      </c>
    </row>
    <row r="68">
      <c r="B68" s="5" t="inlineStr">
        <is>
          <t>License: one business (all its locations) per purchase — use it with your clients, but don't hand out copies; schools: info@aichef.pro</t>
        </is>
      </c>
    </row>
    <row r="69"/>
    <row r="70">
      <c r="B70" s="5" t="inlineStr">
        <is>
          <t>— Food Cost Kit Pro · AI Chef Pro · aichef.pro</t>
        </is>
      </c>
    </row>
    <row r="71"/>
    <row r="72">
      <c r="B72" s="5" t="inlineStr">
        <is>
          <t>© 2026 AI Chef Pro · All rights reserved</t>
        </is>
      </c>
    </row>
    <row r="73"/>
    <row r="74">
      <c r="B74" s="5" t="inlineStr">
        <is>
          <t>Version 2.1 · September 2026 · aichef.pro/en/digital-products/food-cost-templates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F39"/>
  <sheetViews>
    <sheetView workbookViewId="0">
      <selection activeCell="A1" sqref="A1"/>
    </sheetView>
  </sheetViews>
  <sheetFormatPr baseColWidth="8" defaultRowHeight="15"/>
  <cols>
    <col width="44" customWidth="1" min="1" max="1"/>
    <col width="15" customWidth="1" min="2" max="2"/>
    <col width="13" customWidth="1" min="3" max="3"/>
    <col width="17" customWidth="1" min="4" max="4"/>
    <col width="13" customWidth="1" min="5" max="5"/>
    <col width="12" customWidth="1" min="6" max="6"/>
  </cols>
  <sheetData>
    <row r="1" ht="24" customHeight="1">
      <c r="A1" s="6" t="inlineStr">
        <is>
          <t>Butcher Yield Test — Whole Beef Tenderloin (PSMO)</t>
        </is>
      </c>
    </row>
    <row r="2" ht="30" customHeight="1">
      <c r="A2" s="7" t="inlineStr">
        <is>
          <t>Weigh the piece as it arrives and each part that comes out when you clean it. The green cells are editable; the rest are formulas.</t>
        </is>
      </c>
    </row>
    <row r="4" ht="20" customHeight="1">
      <c r="A4" s="8" t="inlineStr">
        <is>
          <t>PURCHASE DATA</t>
        </is>
      </c>
    </row>
    <row r="5">
      <c r="A5" s="9" t="inlineStr">
        <is>
          <t>Product</t>
        </is>
      </c>
      <c r="C5" s="10" t="inlineStr">
        <is>
          <t>Whole beef tenderloin, PSMO (IMPS 189A: peeled, side muscle on)</t>
        </is>
      </c>
      <c r="D5" s="39" t="n"/>
      <c r="E5" s="39" t="n"/>
      <c r="F5" s="40" t="n"/>
    </row>
    <row r="6">
      <c r="A6" s="9" t="inlineStr">
        <is>
          <t>Supplier</t>
        </is>
      </c>
      <c r="C6" s="10" t="n"/>
      <c r="D6" s="39" t="n"/>
      <c r="E6" s="39" t="n"/>
      <c r="F6" s="40" t="n"/>
    </row>
    <row r="7">
      <c r="A7" s="9" t="inlineStr">
        <is>
          <t>Test date</t>
        </is>
      </c>
      <c r="C7" s="13" t="n"/>
    </row>
    <row r="8" ht="18" customHeight="1">
      <c r="A8" s="9" t="inlineStr">
        <is>
          <t>Gross purchase weight (lb)</t>
        </is>
      </c>
      <c r="C8" s="14" t="n">
        <v>5.5625</v>
      </c>
      <c r="D8" s="15" t="inlineStr">
        <is>
          <t>The whole piece, as it arrives.</t>
        </is>
      </c>
    </row>
    <row r="9" ht="30" customHeight="1">
      <c r="A9" s="9" t="inlineStr">
        <is>
          <t>Purchase price per lb</t>
        </is>
      </c>
      <c r="C9" s="16" t="n">
        <v>17.21</v>
      </c>
      <c r="D9" s="15" t="inlineStr">
        <is>
          <t>The one from the invoice: the same one you enter on the card.</t>
        </is>
      </c>
    </row>
    <row r="10" ht="18" customHeight="1">
      <c r="A10" s="9" t="inlineStr">
        <is>
          <t>Gross purchase cost</t>
        </is>
      </c>
      <c r="C10" s="17">
        <f>IFERROR(C8*C9,"")</f>
        <v>95.730625</v>
      </c>
      <c r="D10" s="15" t="inlineStr">
        <is>
          <t>Weight × price.</t>
        </is>
      </c>
    </row>
    <row r="11" ht="30" customHeight="1">
      <c r="A11" s="9" t="inlineStr">
        <is>
          <t>Ounces per pound (for the portion)</t>
        </is>
      </c>
      <c r="C11" s="18" t="n">
        <v>16</v>
      </c>
      <c r="D11" s="15" t="inlineStr">
        <is>
          <t>Set it to 16 if you weigh the piece in lb and the portion in oz.</t>
        </is>
      </c>
    </row>
    <row r="13" ht="30" customHeight="1">
      <c r="A13" s="19" t="inlineStr">
        <is>
          <t>Piece</t>
        </is>
      </c>
      <c r="B13" s="19" t="inlineStr">
        <is>
          <t>Type</t>
        </is>
      </c>
      <c r="C13" s="19" t="inlineStr">
        <is>
          <t>Weight (lb)</t>
        </is>
      </c>
      <c r="D13" s="19" t="inlineStr">
        <is>
          <t>Market value (per lb)</t>
        </is>
      </c>
      <c r="E13" s="19" t="inlineStr">
        <is>
          <t>Value</t>
        </is>
      </c>
      <c r="F13" s="19" t="inlineStr">
        <is>
          <t>% of gross weight</t>
        </is>
      </c>
    </row>
    <row r="14">
      <c r="A14" s="10" t="inlineStr">
        <is>
          <t>Center-cut and head, trimmed (steaks and roasts)</t>
        </is>
      </c>
      <c r="B14" s="20" t="inlineStr">
        <is>
          <t>Usable</t>
        </is>
      </c>
      <c r="C14" s="14" t="n">
        <v>3.375</v>
      </c>
      <c r="D14" s="16" t="n"/>
      <c r="E14" s="21">
        <f>IF(B14="By-product",IFERROR(C14*D14,""),"")</f>
        <v/>
      </c>
      <c r="F14" s="22">
        <f>IF(C14="","",IFERROR(C14/$C$8,""))</f>
        <v>0.6067415730337079</v>
      </c>
    </row>
    <row r="15">
      <c r="A15" s="10" t="inlineStr">
        <is>
          <t>Tips and small pieces (for sautés)</t>
        </is>
      </c>
      <c r="B15" s="20" t="inlineStr">
        <is>
          <t>By-product</t>
        </is>
      </c>
      <c r="C15" s="14" t="n">
        <v>0.375</v>
      </c>
      <c r="D15" s="16" t="n">
        <v>5.1</v>
      </c>
      <c r="E15" s="21">
        <f>IF(B15="By-product",IFERROR(C15*D15,""),"")</f>
        <v>1.9124999999999999</v>
      </c>
      <c r="F15" s="22">
        <f>IF(C15="","",IFERROR(C15/$C$8,""))</f>
        <v>0.06741573033707865</v>
      </c>
    </row>
    <row r="16">
      <c r="A16" s="10" t="inlineStr">
        <is>
          <t>Chain, cleaned (for grind or stock)</t>
        </is>
      </c>
      <c r="B16" s="20" t="inlineStr">
        <is>
          <t>By-product</t>
        </is>
      </c>
      <c r="C16" s="14" t="n">
        <v>0.3125</v>
      </c>
      <c r="D16" s="16" t="n">
        <v>3.33</v>
      </c>
      <c r="E16" s="21">
        <f>IF(B16="By-product",IFERROR(C16*D16,""),"")</f>
        <v>1.040625</v>
      </c>
      <c r="F16" s="22">
        <f>IF(C16="","",IFERROR(C16/$C$8,""))</f>
        <v>0.056179775280898875</v>
      </c>
    </row>
    <row r="17">
      <c r="A17" s="10" t="inlineStr">
        <is>
          <t>Fat, silverskin and sinew</t>
        </is>
      </c>
      <c r="B17" s="20" t="inlineStr">
        <is>
          <t>Trim (no value)</t>
        </is>
      </c>
      <c r="C17" s="14" t="n">
        <v>1.5</v>
      </c>
      <c r="D17" s="16" t="n"/>
      <c r="E17" s="21">
        <f>IF(B17="By-product",IFERROR(C17*D17,""),"")</f>
        <v/>
      </c>
      <c r="F17" s="22">
        <f>IF(C17="","",IFERROR(C17/$C$8,""))</f>
        <v>0.2696629213483146</v>
      </c>
    </row>
    <row r="18">
      <c r="A18" s="10" t="n"/>
      <c r="B18" s="20" t="n"/>
      <c r="C18" s="14" t="n"/>
      <c r="D18" s="16" t="n"/>
      <c r="E18" s="21">
        <f>IF(B18="By-product",IFERROR(C18*D18,""),"")</f>
        <v/>
      </c>
      <c r="F18" s="22">
        <f>IF(C18="","",IFERROR(C18/$C$8,""))</f>
        <v/>
      </c>
    </row>
    <row r="19">
      <c r="A19" s="10" t="n"/>
      <c r="B19" s="20" t="n"/>
      <c r="C19" s="14" t="n"/>
      <c r="D19" s="16" t="n"/>
      <c r="E19" s="21">
        <f>IF(B19="By-product",IFERROR(C19*D19,""),"")</f>
        <v/>
      </c>
      <c r="F19" s="22">
        <f>IF(C19="","",IFERROR(C19/$C$8,""))</f>
        <v/>
      </c>
    </row>
    <row r="20">
      <c r="A20" s="10" t="n"/>
      <c r="B20" s="20" t="n"/>
      <c r="C20" s="14" t="n"/>
      <c r="D20" s="16" t="n"/>
      <c r="E20" s="21">
        <f>IF(B20="By-product",IFERROR(C20*D20,""),"")</f>
        <v/>
      </c>
      <c r="F20" s="22">
        <f>IF(C20="","",IFERROR(C20/$C$8,""))</f>
        <v/>
      </c>
    </row>
    <row r="21">
      <c r="A21" s="10" t="n"/>
      <c r="B21" s="20" t="n"/>
      <c r="C21" s="14" t="n"/>
      <c r="D21" s="16" t="n"/>
      <c r="E21" s="21">
        <f>IF(B21="By-product",IFERROR(C21*D21,""),"")</f>
        <v/>
      </c>
      <c r="F21" s="22">
        <f>IF(C21="","",IFERROR(C21/$C$8,""))</f>
        <v/>
      </c>
    </row>
    <row r="22">
      <c r="A22" s="10" t="n"/>
      <c r="B22" s="20" t="n"/>
      <c r="C22" s="14" t="n"/>
      <c r="D22" s="16" t="n"/>
      <c r="E22" s="21">
        <f>IF(B22="By-product",IFERROR(C22*D22,""),"")</f>
        <v/>
      </c>
      <c r="F22" s="22">
        <f>IF(C22="","",IFERROR(C22/$C$8,""))</f>
        <v/>
      </c>
    </row>
    <row r="23">
      <c r="A23" s="10" t="n"/>
      <c r="B23" s="20" t="n"/>
      <c r="C23" s="14" t="n"/>
      <c r="D23" s="16" t="n"/>
      <c r="E23" s="21">
        <f>IF(B23="By-product",IFERROR(C23*D23,""),"")</f>
        <v/>
      </c>
      <c r="F23" s="22">
        <f>IF(C23="","",IFERROR(C23/$C$8,""))</f>
        <v/>
      </c>
    </row>
    <row r="24">
      <c r="A24" s="10" t="n"/>
      <c r="B24" s="20" t="n"/>
      <c r="C24" s="14" t="n"/>
      <c r="D24" s="16" t="n"/>
      <c r="E24" s="21">
        <f>IF(B24="By-product",IFERROR(C24*D24,""),"")</f>
        <v/>
      </c>
      <c r="F24" s="22">
        <f>IF(C24="","",IFERROR(C24/$C$8,""))</f>
        <v/>
      </c>
    </row>
    <row r="25">
      <c r="A25" s="10" t="n"/>
      <c r="B25" s="20" t="n"/>
      <c r="C25" s="14" t="n"/>
      <c r="D25" s="16" t="n"/>
      <c r="E25" s="21">
        <f>IF(B25="By-product",IFERROR(C25*D25,""),"")</f>
        <v/>
      </c>
      <c r="F25" s="22">
        <f>IF(C25="","",IFERROR(C25/$C$8,""))</f>
        <v/>
      </c>
    </row>
    <row r="26">
      <c r="A26" s="23" t="inlineStr">
        <is>
          <t>Cutting loss (drip and scraps not weighed)</t>
        </is>
      </c>
      <c r="B26" s="24" t="inlineStr">
        <is>
          <t>Trim (no value)</t>
        </is>
      </c>
      <c r="C26" s="25">
        <f>IFERROR(ROUND($C$8-SUM(C14:C25),6)+0,"")</f>
        <v>0.0</v>
      </c>
      <c r="D26" s="26" t="n"/>
      <c r="E26" s="26" t="n"/>
      <c r="F26" s="22">
        <f>IF(C26="","",IFERROR(C26/$C$8,""))</f>
        <v>0.0</v>
      </c>
    </row>
    <row r="28" ht="20" customHeight="1">
      <c r="A28" s="8" t="inlineStr">
        <is>
          <t>RESULT</t>
        </is>
      </c>
    </row>
    <row r="29" ht="18" customHeight="1">
      <c r="A29" s="27" t="inlineStr">
        <is>
          <t>Usable weight (lb)</t>
        </is>
      </c>
      <c r="C29" s="25">
        <f>SUMIF(B14:B25,"Usable",C14:C25)</f>
        <v>3.375</v>
      </c>
      <c r="D29" s="15" t="inlineStr">
        <is>
          <t>Sum of the parts marked "Usable".</t>
        </is>
      </c>
    </row>
    <row r="30" ht="18" customHeight="1">
      <c r="A30" s="27" t="inlineStr">
        <is>
          <t>Value of the by-products</t>
        </is>
      </c>
      <c r="C30" s="21">
        <f>SUM(E14:E25)</f>
        <v>2.953125</v>
      </c>
      <c r="D30" s="15" t="inlineStr">
        <is>
          <t>What the parts you use are worth.</t>
        </is>
      </c>
    </row>
    <row r="31" ht="30" customHeight="1">
      <c r="A31" s="27" t="inlineStr">
        <is>
          <t>Net usable cost</t>
        </is>
      </c>
      <c r="C31" s="21">
        <f>IFERROR(C10-C30,"")</f>
        <v>92.7775</v>
      </c>
      <c r="D31" s="15" t="inlineStr">
        <is>
          <t>Gross purchase cost − value of the by-products.</t>
        </is>
      </c>
    </row>
    <row r="32" ht="30" customHeight="1">
      <c r="A32" s="27" t="inlineStr">
        <is>
          <t>Gross yield (%) · informational</t>
        </is>
      </c>
      <c r="C32" s="22">
        <f>IFERROR(C29/C8,"")</f>
        <v>0.6067415730337079</v>
      </c>
      <c r="D32" s="15" t="inlineStr">
        <is>
          <t>Usable weight ÷ gross weight. Doesn't go on the card.</t>
        </is>
      </c>
    </row>
    <row r="33" ht="18" customHeight="1">
      <c r="A33" s="28" t="inlineStr">
        <is>
          <t>COST PER USABLE LB</t>
        </is>
      </c>
      <c r="C33" s="30">
        <f>IFERROR(C31/C29,"")</f>
        <v>27.48962962962963</v>
      </c>
      <c r="D33" s="15" t="inlineStr">
        <is>
          <t>What each pound you serve costs you.</t>
        </is>
      </c>
    </row>
    <row r="34" ht="30" customHeight="1">
      <c r="A34" s="27" t="inlineStr">
        <is>
          <t>Cost factor</t>
        </is>
      </c>
      <c r="C34" s="25">
        <f>IFERROR(C33/C9,"")</f>
        <v>1.5973056147373403</v>
      </c>
      <c r="D34" s="15" t="inlineStr">
        <is>
          <t>New price × factor = new cost per usable lb.</t>
        </is>
      </c>
    </row>
    <row r="35" ht="30" customHeight="1">
      <c r="A35" s="31" t="inlineStr">
        <is>
          <t>TRIM LOSS % FOR YOUR RECIPE COST CARD</t>
        </is>
      </c>
      <c r="C35" s="33">
        <f>IFERROR(1-C9/C33,"")</f>
        <v>0.3739457303764382</v>
      </c>
      <c r="D35" s="15" t="inlineStr">
        <is>
          <t>The ONLY figure that goes on the recipe cost card, in "Trim loss %".</t>
        </is>
      </c>
    </row>
    <row r="36" ht="30" customHeight="1">
      <c r="A36" s="9" t="inlineStr">
        <is>
          <t>Standard portion (oz)</t>
        </is>
      </c>
      <c r="C36" s="41" t="n">
        <v>7</v>
      </c>
      <c r="D36" s="15" t="inlineStr">
        <is>
          <t>Raw and trimmed: card 01 uses 7 oz.</t>
        </is>
      </c>
    </row>
    <row r="37" ht="30" customHeight="1">
      <c r="A37" s="31" t="inlineStr">
        <is>
          <t>COST PER PORTION</t>
        </is>
      </c>
      <c r="C37" s="34">
        <f>IFERROR(C36/C11*C33,"")</f>
        <v>12.026712962962963</v>
      </c>
      <c r="D37" s="15" t="inlineStr">
        <is>
          <t>Portion × cost per usable lb. The card will give you the same figure.</t>
        </is>
      </c>
    </row>
    <row r="38" ht="30" customHeight="1">
      <c r="A38" s="9" t="inlineStr">
        <is>
          <t>Portions per piece</t>
        </is>
      </c>
      <c r="C38" s="35">
        <f>IFERROR(ROUNDDOWN(ROUND(C29*C11/C36,6),0),"")</f>
        <v>7.0</v>
      </c>
      <c r="D38" s="15" t="inlineStr">
        <is>
          <t>Usable weight ÷ portion, rounded down.</t>
        </is>
      </c>
    </row>
    <row r="39" ht="52" customHeight="1">
      <c r="A39" s="36" t="inlineStr">
        <is>
          <t>Example based on a published weigh-in of a 5 lb 9 oz whole tenderloin (For Love of the Table, 2010), not on your piece. The value of the tips and chain is an estimate: weigh and price your own. Duplicate the tab for another test (right-click the tab → Move or Copy → Create a copy).</t>
        </is>
      </c>
    </row>
  </sheetData>
  <sheetProtection selectLockedCells="0" selectUnlockedCells="0" sheet="1" objects="0" insertRows="1" insertHyperlinks="1" autoFilter="1" scenarios="0" formatColumns="0" deleteColumns="1" insertColumns="1" pivotTables="1" deleteRows="1" formatCells="1" formatRows="0" sort="1"/>
  <mergeCells count="38">
    <mergeCell ref="D8:F8"/>
    <mergeCell ref="D37:F37"/>
    <mergeCell ref="A2:F2"/>
    <mergeCell ref="A9:B9"/>
    <mergeCell ref="A39:F39"/>
    <mergeCell ref="D10:F10"/>
    <mergeCell ref="A5:B5"/>
    <mergeCell ref="C6:F6"/>
    <mergeCell ref="A35:B35"/>
    <mergeCell ref="A4:F4"/>
    <mergeCell ref="A7:B7"/>
    <mergeCell ref="A34:B34"/>
    <mergeCell ref="D31:F31"/>
    <mergeCell ref="D33:F33"/>
    <mergeCell ref="D38:F38"/>
    <mergeCell ref="A31:B31"/>
    <mergeCell ref="A28:F28"/>
    <mergeCell ref="D35:F35"/>
    <mergeCell ref="D29:F29"/>
    <mergeCell ref="D36:F36"/>
    <mergeCell ref="A8:B8"/>
    <mergeCell ref="A29:B29"/>
    <mergeCell ref="A37:B37"/>
    <mergeCell ref="A36:B36"/>
    <mergeCell ref="C5:F5"/>
    <mergeCell ref="A6:B6"/>
    <mergeCell ref="A1:F1"/>
    <mergeCell ref="A38:B38"/>
    <mergeCell ref="D11:F11"/>
    <mergeCell ref="A30:B30"/>
    <mergeCell ref="A11:B11"/>
    <mergeCell ref="D32:F32"/>
    <mergeCell ref="A33:B33"/>
    <mergeCell ref="A10:B10"/>
    <mergeCell ref="D34:F34"/>
    <mergeCell ref="D9:F9"/>
    <mergeCell ref="A32:B32"/>
    <mergeCell ref="D30:F30"/>
  </mergeCells>
  <conditionalFormatting sqref="C26">
    <cfRule type="cellIs" priority="1" operator="lessThan" dxfId="0">
      <formula>0</formula>
    </cfRule>
  </conditionalFormatting>
  <dataValidations count="1">
    <dataValidation sqref="B14:B25" showDropDown="0" showInputMessage="0" showErrorMessage="1" allowBlank="1" errorTitle="Invalid value" error="Choose Usable, By-product, or Trim (no value)." type="list">
      <formula1>"Usable,By-product,Trim (no value)"</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F20"/>
  <sheetViews>
    <sheetView workbookViewId="0">
      <selection activeCell="A1" sqref="A1"/>
    </sheetView>
  </sheetViews>
  <sheetFormatPr baseColWidth="8" defaultRowHeight="15"/>
  <cols>
    <col width="44" customWidth="1" min="1" max="1"/>
    <col width="15" customWidth="1" min="2" max="2"/>
    <col width="13" customWidth="1" min="3" max="3"/>
    <col width="17" customWidth="1" min="4" max="4"/>
    <col width="13" customWidth="1" min="5" max="5"/>
    <col width="12" customWidth="1" min="6" max="6"/>
  </cols>
  <sheetData>
    <row r="1" ht="24" customHeight="1">
      <c r="A1" s="6" t="inlineStr">
        <is>
          <t>Cooking Loss Test — Smash Burger (Template 08)</t>
        </is>
      </c>
    </row>
    <row r="2" ht="30" customHeight="1">
      <c r="A2" s="7" t="inlineStr">
        <is>
          <t>Weigh what you're about to cook raw, cook it the way you would for service, and weigh it before portioning. The green cells are editable.</t>
        </is>
      </c>
    </row>
    <row r="4" ht="20" customHeight="1">
      <c r="A4" s="8" t="inlineStr">
        <is>
          <t>TEST DATA</t>
        </is>
      </c>
    </row>
    <row r="5">
      <c r="A5" s="9" t="inlineStr">
        <is>
          <t>Preparation</t>
        </is>
      </c>
      <c r="C5" s="10" t="inlineStr">
        <is>
          <t>80/20 ground beef, in 3 oz balls</t>
        </is>
      </c>
      <c r="D5" s="39" t="n"/>
      <c r="E5" s="39" t="n"/>
      <c r="F5" s="40" t="n"/>
    </row>
    <row r="6">
      <c r="A6" s="9" t="inlineStr">
        <is>
          <t>Test date</t>
        </is>
      </c>
      <c r="C6" s="13" t="n"/>
    </row>
    <row r="7" ht="18" customHeight="1">
      <c r="A7" s="9" t="inlineStr">
        <is>
          <t>Usable raw weight (lb)</t>
        </is>
      </c>
      <c r="C7" s="14" t="n">
        <v>3.75</v>
      </c>
      <c r="D7" s="15" t="inlineStr">
        <is>
          <t>Already trimmed: what goes on the flat-top.</t>
        </is>
      </c>
    </row>
    <row r="8" ht="30" customHeight="1">
      <c r="A8" s="9" t="inlineStr">
        <is>
          <t>Purchase price per lb</t>
        </is>
      </c>
      <c r="C8" s="16" t="n">
        <v>3.33</v>
      </c>
      <c r="D8" s="15" t="inlineStr">
        <is>
          <t>The one from the invoice: the same one you enter on the card.</t>
        </is>
      </c>
    </row>
    <row r="9" ht="18" customHeight="1">
      <c r="A9" s="9" t="inlineStr">
        <is>
          <t>Cooked weight (lb)</t>
        </is>
      </c>
      <c r="C9" s="14" t="n">
        <v>2.775</v>
      </c>
      <c r="D9" s="15" t="inlineStr">
        <is>
          <t>Straight off the heat, before portioning.</t>
        </is>
      </c>
    </row>
    <row r="10" ht="30" customHeight="1">
      <c r="A10" s="9" t="inlineStr">
        <is>
          <t>Butchering trim loss for this piece (%)</t>
        </is>
      </c>
      <c r="C10" s="37" t="n">
        <v>0</v>
      </c>
      <c r="D10" s="15" t="inlineStr">
        <is>
          <t>The TRIM LOSS % from the Butcher Yield Test; 0% if you buy it ready-trimmed, like this ground beef.</t>
        </is>
      </c>
    </row>
    <row r="11" ht="30" customHeight="1">
      <c r="A11" s="9" t="inlineStr">
        <is>
          <t>Ounces per pound (for the portion)</t>
        </is>
      </c>
      <c r="C11" s="18" t="n">
        <v>16</v>
      </c>
      <c r="D11" s="15" t="inlineStr">
        <is>
          <t>Set it to 16 if you weigh in lb and portion in oz.</t>
        </is>
      </c>
    </row>
    <row r="12" ht="30" customHeight="1">
      <c r="A12" s="9" t="inlineStr">
        <is>
          <t>Cooked portion (oz)</t>
        </is>
      </c>
      <c r="C12" s="41" t="n">
        <v>4.44</v>
      </c>
      <c r="D12" s="15" t="inlineStr">
        <is>
          <t>The one you serve: 6 oz raw from card 08 × 0.74.</t>
        </is>
      </c>
    </row>
    <row r="14" ht="20" customHeight="1">
      <c r="A14" s="8" t="inlineStr">
        <is>
          <t>RESULT</t>
        </is>
      </c>
    </row>
    <row r="15" ht="18" customHeight="1">
      <c r="A15" s="28" t="inlineStr">
        <is>
          <t>COOKING LOSS (%)</t>
        </is>
      </c>
      <c r="C15" s="38">
        <f>IFERROR(1-C9/C7,"")</f>
        <v>0.26</v>
      </c>
      <c r="D15" s="15" t="inlineStr">
        <is>
          <t>1 − cooked weight ÷ raw weight.</t>
        </is>
      </c>
    </row>
    <row r="16" ht="30" customHeight="1">
      <c r="A16" s="27" t="inlineStr">
        <is>
          <t>Cost per cooked lb</t>
        </is>
      </c>
      <c r="C16" s="21">
        <f>IFERROR(C8/((1-C10)*(1-C15)),"")</f>
        <v>4.5</v>
      </c>
      <c r="D16" s="15" t="inlineStr">
        <is>
          <t>Price ÷ ((1 − butchering trim loss) × (1 − cooking loss)).</t>
        </is>
      </c>
    </row>
    <row r="17" ht="18" customHeight="1">
      <c r="A17" s="31" t="inlineStr">
        <is>
          <t>COST PER COOKED PORTION</t>
        </is>
      </c>
      <c r="C17" s="34">
        <f>IFERROR(C12/C11*C16,"")</f>
        <v>1.24875</v>
      </c>
      <c r="D17" s="15" t="inlineStr">
        <is>
          <t>Portion × cost per cooked lb.</t>
        </is>
      </c>
    </row>
    <row r="18" ht="30" customHeight="1">
      <c r="A18" s="31" t="inlineStr">
        <is>
          <t>COMBINED TRIM LOSS FOR THE CARD (%)</t>
        </is>
      </c>
      <c r="C18" s="33">
        <f>IFERROR(1-(1-C10)*(1-C15),"")</f>
        <v>0.26</v>
      </c>
      <c r="D18" s="15" t="inlineStr">
        <is>
          <t>If you enter the COOKED weight on the card.</t>
        </is>
      </c>
    </row>
    <row r="20" ht="40" customHeight="1">
      <c r="A20" s="36" t="inlineStr">
        <is>
          <t>Example: 10 burgers from Template 08 (Food Truck), 6 oz of 80/20 ground beef each. The cooked weight applies the USDA reference yield for ground beef with no more than 20% fat: 0.74 lb cooked per lb raw. It's not a measurement — weigh your own, because the flat-top, the thickness and the doneness all change it.</t>
        </is>
      </c>
    </row>
  </sheetData>
  <sheetProtection selectLockedCells="0" selectUnlockedCells="0" sheet="1" objects="0" insertRows="1" insertHyperlinks="1" autoFilter="1" scenarios="0" formatColumns="0" deleteColumns="1" insertColumns="1" pivotTables="1" deleteRows="1" formatCells="1" formatRows="0" sort="1"/>
  <mergeCells count="28">
    <mergeCell ref="D8:F8"/>
    <mergeCell ref="A2:F2"/>
    <mergeCell ref="A14:F14"/>
    <mergeCell ref="A9:B9"/>
    <mergeCell ref="D10:F10"/>
    <mergeCell ref="A5:B5"/>
    <mergeCell ref="A20:F20"/>
    <mergeCell ref="D7:F7"/>
    <mergeCell ref="A4:F4"/>
    <mergeCell ref="A7:B7"/>
    <mergeCell ref="D12:F12"/>
    <mergeCell ref="A16:B16"/>
    <mergeCell ref="A8:B8"/>
    <mergeCell ref="C5:F5"/>
    <mergeCell ref="A6:B6"/>
    <mergeCell ref="A1:F1"/>
    <mergeCell ref="D11:F11"/>
    <mergeCell ref="A18:B18"/>
    <mergeCell ref="D15:F15"/>
    <mergeCell ref="D17:F17"/>
    <mergeCell ref="A11:B11"/>
    <mergeCell ref="D16:F16"/>
    <mergeCell ref="A12:B12"/>
    <mergeCell ref="A15:B15"/>
    <mergeCell ref="A17:B17"/>
    <mergeCell ref="A10:B10"/>
    <mergeCell ref="D9:F9"/>
    <mergeCell ref="D18:F18"/>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Yield Test (Butcher &amp; Cooking Loss)</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2026-09-24T15:24:55Z</dcterms:created>
  <dcterms:modified xmlns:dcterms="http://purl.org/dc/terms/" xmlns:xsi="http://www.w3.org/2001/XMLSchema-instance" xsi:type="dcterms:W3CDTF">2026-09-24T20:23:24Z</dcterms:modified>
  <cp:lastModifiedBy>AI Chef Pro</cp:lastModifiedBy>
  <cp:category>AI Chef Pro · Digital products</cp:category>
  <cp:keywords>food cost kit, food cost templates, AI Chef Pro</cp:keywords>
</cp:coreProperties>
</file>