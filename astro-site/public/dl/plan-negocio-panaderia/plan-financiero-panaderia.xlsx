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0.00 €"/>
    <numFmt numFmtId="167" formatCode="#,##0.0"/>
  </numFmts>
  <fonts count="13">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6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8"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6" fontId="0" fillId="4" borderId="0" applyProtection="1" pivotButton="0" quotePrefix="0" xfId="0">
      <protection locked="0" hidden="0"/>
    </xf>
    <xf numFmtId="165" fontId="0" fillId="4" borderId="0" applyProtection="1" pivotButton="0" quotePrefix="0" xfId="0">
      <protection locked="0" hidden="0"/>
    </xf>
    <xf numFmtId="166" fontId="0" fillId="0" borderId="0" pivotButton="0" quotePrefix="0" xfId="0"/>
    <xf numFmtId="165" fontId="0" fillId="0" borderId="0" pivotButton="0" quotePrefix="0" xfId="0"/>
    <xf numFmtId="164" fontId="0" fillId="4" borderId="0" applyProtection="1" pivotButton="0" quotePrefix="0" xfId="0">
      <protection locked="0" hidden="0"/>
    </xf>
    <xf numFmtId="4" fontId="0" fillId="4" borderId="0" applyProtection="1" pivotButton="0" quotePrefix="0" xfId="0">
      <protection locked="0" hidden="0"/>
    </xf>
    <xf numFmtId="0" fontId="10" fillId="0" borderId="3" pivotButton="0" quotePrefix="0" xfId="0"/>
    <xf numFmtId="164" fontId="10" fillId="0" borderId="3" pivotButton="0" quotePrefix="0" xfId="0"/>
    <xf numFmtId="165" fontId="10" fillId="0" borderId="3" pivotButton="0" quotePrefix="0" xfId="0"/>
    <xf numFmtId="0" fontId="9" fillId="0" borderId="3" pivotButton="0" quotePrefix="0" xfId="0"/>
    <xf numFmtId="164" fontId="9" fillId="4" borderId="3" applyProtection="1" pivotButton="0" quotePrefix="0" xfId="0">
      <protection locked="0" hidden="0"/>
    </xf>
    <xf numFmtId="165" fontId="9" fillId="0" borderId="3" pivotButton="0" quotePrefix="0" xfId="0"/>
    <xf numFmtId="0" fontId="9" fillId="4" borderId="3" applyProtection="1" pivotButton="0" quotePrefix="0" xfId="0">
      <protection locked="0" hidden="0"/>
    </xf>
    <xf numFmtId="164" fontId="9" fillId="0" borderId="3" pivotButton="0" quotePrefix="0" xfId="0"/>
    <xf numFmtId="0" fontId="12" fillId="0" borderId="0" pivotButton="0" quotePrefix="0" xfId="0"/>
    <xf numFmtId="164" fontId="0" fillId="0" borderId="0" pivotButton="0" quotePrefix="0" xfId="0"/>
    <xf numFmtId="164" fontId="11" fillId="0" borderId="0" pivotButton="0" quotePrefix="0" xfId="0"/>
    <xf numFmtId="165" fontId="11" fillId="0" borderId="0" pivotButton="0" quotePrefix="0" xfId="0"/>
    <xf numFmtId="0" fontId="11" fillId="0" borderId="0" pivotButton="0" quotePrefix="0" xfId="0"/>
    <xf numFmtId="0" fontId="10" fillId="0" borderId="3" applyAlignment="1" pivotButton="0" quotePrefix="0" xfId="0">
      <alignment horizontal="general" vertical="top" wrapText="1"/>
    </xf>
    <xf numFmtId="3" fontId="9" fillId="0" borderId="3" pivotButton="0" quotePrefix="0" xfId="0"/>
    <xf numFmtId="166" fontId="9" fillId="0" borderId="3" pivotButton="0" quotePrefix="0" xfId="0"/>
    <xf numFmtId="165" fontId="9" fillId="4" borderId="3" applyProtection="1" pivotButton="0" quotePrefix="0" xfId="0">
      <protection locked="0" hidden="0"/>
    </xf>
    <xf numFmtId="3" fontId="0" fillId="0" borderId="0" pivotButton="0" quotePrefix="0" xfId="0"/>
    <xf numFmtId="165" fontId="12" fillId="4" borderId="0" applyProtection="1" pivotButton="0" quotePrefix="0" xfId="0">
      <protection locked="0" hidden="0"/>
    </xf>
    <xf numFmtId="167" fontId="9" fillId="0" borderId="3" pivotButton="0" quotePrefix="0" xfId="0"/>
    <xf numFmtId="167" fontId="10" fillId="0" borderId="3" pivotButton="0" quotePrefix="0" xfId="0"/>
    <xf numFmtId="0" fontId="9" fillId="0" borderId="3" applyAlignment="1" pivotButton="0" quotePrefix="0" xfId="0">
      <alignment horizontal="general" vertical="top" wrapText="1"/>
    </xf>
    <xf numFmtId="166" fontId="10" fillId="0" borderId="3" pivotButton="0" quotePrefix="0" xfId="0"/>
    <xf numFmtId="167" fontId="0" fillId="0" borderId="0" pivotButton="0" quotePrefix="0" xfId="0"/>
    <xf numFmtId="3" fontId="9" fillId="4" borderId="3" applyProtection="1" pivotButton="0" quotePrefix="0" xfId="0">
      <protection locked="0" hidden="0"/>
    </xf>
    <xf numFmtId="166" fontId="9" fillId="4" borderId="3" applyProtection="1" pivotButton="0" quotePrefix="0" xfId="0">
      <protection locked="0" hidden="0"/>
    </xf>
    <xf numFmtId="9" fontId="9" fillId="4" borderId="3" applyProtection="1" pivotButton="0" quotePrefix="0" xfId="0">
      <protection locked="0" hidden="0"/>
    </xf>
    <xf numFmtId="3" fontId="11" fillId="0" borderId="0" pivotButton="0" quotePrefix="0" xfId="0"/>
    <xf numFmtId="4" fontId="11" fillId="0" borderId="0" pivotButton="0" quotePrefix="0" xfId="0"/>
    <xf numFmtId="166" fontId="11" fillId="0" borderId="0" pivotButton="0" quotePrefix="0" xfId="0"/>
    <xf numFmtId="164" fontId="12" fillId="4" borderId="0" applyProtection="1" pivotButton="0" quotePrefix="0" xfId="0">
      <protection locked="0" hidden="0"/>
    </xf>
    <xf numFmtId="3" fontId="12" fillId="4" borderId="0" applyProtection="1" pivotButton="0" quotePrefix="0" xfId="0">
      <protection locked="0" hidden="0"/>
    </xf>
    <xf numFmtId="167" fontId="12"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4" fontId="9" fillId="0" borderId="3" pivotButton="0" quotePrefix="0" xfId="0"/>
    <xf numFmtId="4" fontId="10" fillId="0" borderId="3"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6" t="inlineStr">
        <is>
          <t>SUPUESTOS — aquí se teclean las TASAS y los DRIVERS del modelo</t>
        </is>
      </c>
    </row>
    <row r="2" ht="45" customHeight="1">
      <c r="A2" s="17" t="inlineStr">
        <is>
          <t>Cambia las celdas VERDES: el resto del libro se recalcula solo. Las partidas de gasto se teclean en su hoja (también en verde) y no se repiten aquí.</t>
        </is>
      </c>
    </row>
    <row r="3">
      <c r="A3" s="16" t="inlineStr">
        <is>
          <t>ACTIVIDAD</t>
        </is>
      </c>
    </row>
    <row r="4">
      <c r="A4" t="inlineStr">
        <is>
          <t>Transacciones/día (media del año 1)</t>
        </is>
      </c>
      <c r="B4" s="18" t="n">
        <v>180</v>
      </c>
      <c r="C4" t="inlineStr">
        <is>
          <t>Transacciones servidas al día de media del año (barra de pan, bollería y café, más lo que recoge el canal mayorista). Dentro del rango 80-200 que este mismo libro publica en «Escenarios» (pesimista/optimista): el «objetivo» de la v1.1 (148) era una cifra DERIVADA de la facturación buscada, no un input real. Con menos transacciones el resultado neto se quedaba por debajo del 5 % que este libro fija como suelo, porque los costes fijos (personal, alquiler, seguros…) no crecen con el volumen y cada transacción de más va casi entera al resultado. OJO: el caso base es exigente por los DOS lados a la vez —el 90 % del volumen del escenario optimista que publica «Escenarios» y el ticket de ese mismo escenario optimista—; si sólo se cumple uno de los dos, el resultado neto cae por debajo de ese suelo. Contrástalo con tu zona antes de darlo por bueno</t>
        </is>
      </c>
    </row>
    <row r="5">
      <c r="A5" t="inlineStr">
        <is>
          <t>Ticket medio SIN IVA (€)</t>
        </is>
      </c>
      <c r="B5" s="19" t="n">
        <v>5.5</v>
      </c>
      <c r="C5" t="inlineStr">
        <is>
          <t>SIN IVA. Dentro del rango 3-6 € que este mismo kit declara en la tabla «Datos de referencia del sector» de la hoja de Instrucciones («Ticket medio panadería»), en el tercio alto porque incluye bollería y café además de la barra de pan, no sólo la barra. Ojo: coincide con el ticket que la versión anterior usaba en su escenario OPTIMISTA, así que compruébalo con tu carta antes de darlo por bueno — si tu ticket real es menor, bájalo aquí y mira qué le pasa al resultado</t>
        </is>
      </c>
    </row>
    <row r="6">
      <c r="A6" t="inlineStr">
        <is>
          <t>Días de apertura al año</t>
        </is>
      </c>
      <c r="B6" s="18" t="n">
        <v>310</v>
      </c>
      <c r="C6" t="inlineStr">
        <is>
          <t>El MISMO dato lo usan el P&amp;L, el punto de equilibrio y los escenarios: el fichero v1.1 tenía DOS calendarios distintos («Punto Equilibrio!C8»: «30 días apertura», mensual; «Escenarios!C7»: 310 días/año, realista)</t>
        </is>
      </c>
    </row>
    <row r="7">
      <c r="A7" t="inlineStr">
        <is>
          <t>Crecimiento de volumen del año 2</t>
        </is>
      </c>
      <c r="B7" s="20" t="n">
        <v>0.12</v>
      </c>
      <c r="C7" t="inlineStr">
        <is>
          <t>Segundo año con el canal mayorista (restaurantes y hoteles) ya consolidado y sin gastos de lanzamiento. Muy por debajo del salto que proyectaba la versión anterior de este libro (de 200.000 € a 250.000 €, un 25 %)</t>
        </is>
      </c>
    </row>
    <row r="8">
      <c r="A8" t="inlineStr">
        <is>
          <t>Crecimiento de volumen del año 3</t>
        </is>
      </c>
      <c r="B8" s="20" t="n">
        <v>0.07000000000000001</v>
      </c>
      <c r="C8" t="inlineStr">
        <is>
          <t>Tercer año, cerca del techo de producción del horno instalado. La versión anterior proyectaba un 20 % de subida en este año</t>
        </is>
      </c>
    </row>
    <row r="9">
      <c r="A9" t="inlineStr">
        <is>
          <t>PVP equivalente con IVA (calculado)</t>
        </is>
      </c>
      <c r="B9" s="21">
        <f>IFERROR(IF($B$5="","",$B$5*(1+SUMPRODUCT('PyG 3 Años'!$E$10:$E$11,'PyG 3 Años'!$G$10:$G$11))),"")</f>
        <v>5.81801</v>
      </c>
      <c r="C9" t="str">
        <f>IFERROR("Ticket sin IVA más el IVA medio ponderado de tus líneas de venta: "&amp;TEXT(SUMPRODUCT('PyG 3 Años'!$E$10:$E$11,'PyG 3 Años'!$G$10:$G$11)*100,"0")&amp;" %. En mostrador todo va al 10 % (art. 91.Uno.2.2.º de la Ley 37/1992, alcohol incluido); el alcohol que sale por delivery y el pan común, si los tienes, mueven la media. Aquí va redondeado. Compáralo con el rango del sector, que va con IVA.","")</f>
        <v>Ticket sin IVA más el IVA medio ponderado de tus líneas de venta: 6 %. En mostrador todo va al 10 % (art. 91.Uno.2.2.º de la Ley 37/1992, alcohol incluido); el alcohol que sale por delivery y el pan común, si los tienes, mueven la media. Aquí va redondeado. Compáralo con el rango del sector, que va con IVA.</v>
      </c>
    </row>
    <row r="10">
      <c r="A10" s="16" t="inlineStr">
        <is>
          <t>MIX Y COSTE DE MERCANCÍA</t>
        </is>
      </c>
    </row>
    <row r="11">
      <c r="A11" t="inlineStr">
        <is>
          <t>Ventas de COMIDA sobre el total</t>
        </is>
      </c>
      <c r="B11" s="20" t="n">
        <v>0.925</v>
      </c>
      <c r="C11" t="inlineStr">
        <is>
          <t>Peso de la COMIDA sobre el total de ventas. Es un INPUT: cámbialo aquí y el P&amp;L, la tesorería y el IVA repercutido se recalculan solos</t>
        </is>
      </c>
    </row>
    <row r="12">
      <c r="A12" t="inlineStr">
        <is>
          <t>Ventas de BEBIDA sobre el total</t>
        </is>
      </c>
      <c r="B12" s="22">
        <f>IFERROR(IF(COUNT(B11)=0,"",1-B11),"")</f>
        <v>0.07499999999999996</v>
      </c>
      <c r="C12" t="inlineStr">
        <is>
          <t>Se calcula como el resto: comida + bebida = 100 %</t>
        </is>
      </c>
    </row>
    <row r="13">
      <c r="A13" t="inlineStr">
        <is>
          <t>Coste de mercancía sobre las ventas de COMIDA</t>
        </is>
      </c>
      <c r="B13" s="20" t="n">
        <v>0.29</v>
      </c>
      <c r="C13" t="inlineStr">
        <is>
          <t>Food cost de pan y bollería, ponderado con los rangos que este mismo kit publica en la tabla «Datos de referencia del sector» de la hoja de Instrucciones: pan 25-30 % y bollería 32-38 %. El pan pesa más del mix, así que el blend queda cerca del extremo bajo del rango de bollería</t>
        </is>
      </c>
    </row>
    <row r="14">
      <c r="A14" t="inlineStr">
        <is>
          <t>Coste de mercancía sobre las ventas de BEBIDA</t>
        </is>
      </c>
      <c r="B14" s="20" t="n">
        <v>0.27</v>
      </c>
      <c r="C14" t="inlineStr">
        <is>
          <t>Coste de café y bebidas sobre sus propias ventas: dentro del 25-30 % que declara la tabla «Datos de referencia del sector» de la hoja de Instrucciones de este mismo libro</t>
        </is>
      </c>
    </row>
    <row r="15">
      <c r="A15" t="inlineStr">
        <is>
          <t>Consumibles sobre ventas</t>
        </is>
      </c>
      <c r="B15" s="20" t="n">
        <v>0.02</v>
      </c>
      <c r="C15" t="inlineStr">
        <is>
          <t>Bolsas de papel, cajas de bollería y servilletas de mostrador</t>
        </is>
      </c>
    </row>
    <row r="16">
      <c r="A16" t="inlineStr">
        <is>
          <t>Ventas por delivery sobre el total</t>
        </is>
      </c>
      <c r="B16" s="20" t="n">
        <v>0</v>
      </c>
      <c r="C16" t="inlineStr">
        <is>
          <t>A CERO por defecto: el pan recién horneado no viaja bien y este plan no lo vende a domicilio el día 1. Súbelo si activas un canal de reparto de bollería/desayunos</t>
        </is>
      </c>
    </row>
    <row r="17">
      <c r="A17" t="inlineStr">
        <is>
          <t>Comisión de la plataforma de delivery</t>
        </is>
      </c>
      <c r="B17" s="20" t="n">
        <v>0.3</v>
      </c>
      <c r="C17" t="inlineStr">
        <is>
          <t>Comisión típica de Glovo/Uber Eats sobre el pedido servido por ese canal, si algún día lo activas</t>
        </is>
      </c>
    </row>
    <row r="18">
      <c r="A18" t="inlineStr">
        <is>
          <t>Comisión de los medios de pago</t>
        </is>
      </c>
      <c r="B18" s="20" t="n">
        <v>0.008</v>
      </c>
      <c r="C18" t="inlineStr">
        <is>
          <t>Tarjeta y bizum sobre el total facturado en tienda</t>
        </is>
      </c>
    </row>
    <row r="19">
      <c r="A19" s="16" t="inlineStr">
        <is>
          <t>PERSONAL</t>
        </is>
      </c>
    </row>
    <row r="20">
      <c r="A20" t="inlineStr">
        <is>
          <t>Seguridad Social a cargo de la empresa</t>
        </is>
      </c>
      <c r="B20" s="20" t="n">
        <v>0.33</v>
      </c>
      <c r="C20" t="inlineStr">
        <is>
          <t>Contingencias comunes + AT/EP + desempleo + FOGASA + FP; ajusta a tu convenio y bonificaciones</t>
        </is>
      </c>
    </row>
    <row r="21">
      <c r="A21" t="inlineStr">
        <is>
          <t>Número de pagas anuales</t>
        </is>
      </c>
      <c r="B21" s="18" t="n">
        <v>14</v>
      </c>
      <c r="C21" t="inlineStr">
        <is>
          <t>Salario bruto anual = bruto mensual × pagas</t>
        </is>
      </c>
    </row>
    <row r="22">
      <c r="A22" t="inlineStr">
        <is>
          <t>SMI anual de referencia (€)</t>
        </is>
      </c>
      <c r="B22" s="23" t="n">
        <v>17094</v>
      </c>
      <c r="C22" t="inlineStr">
        <is>
          <t>SMI 2026: 17.094 € al año (1.221 €/mes en 14 pagas), suelo legal por jornada completa. Comprueba el importe vigente si presentas el plan en otro ejercicio</t>
        </is>
      </c>
    </row>
    <row r="23">
      <c r="A23" s="16" t="inlineStr">
        <is>
          <t>LOCAL Y FIJOS</t>
        </is>
      </c>
    </row>
    <row r="24">
      <c r="A24" t="inlineStr">
        <is>
          <t>Alquiler mensual del local (€)</t>
        </is>
      </c>
      <c r="B24" s="23" t="n">
        <v>2100</v>
      </c>
      <c r="C24" t="inlineStr">
        <is>
          <t>Local de obrador + tienda (mínimo 80 m² entre obrador, tienda y almacén, checklist F2). Lo que pesa sobre las ventas lo calcula el propio libro en la fila «Alquiler / Ventas» del bloque de ratios del P&amp;L: en el caso base queda por DEBAJO del 10-14 % que la tabla de referencias de la hoja de Instrucciones da como habitual del sector</t>
        </is>
      </c>
    </row>
    <row r="25">
      <c r="A25" t="inlineStr">
        <is>
          <t>Fianza del alquiler (meses)</t>
        </is>
      </c>
      <c r="B25" s="18" t="n">
        <v>3</v>
      </c>
      <c r="C25" t="inlineStr">
        <is>
          <t>Tres meses de renta, como en el contrato tipo de local de negocio</t>
        </is>
      </c>
    </row>
    <row r="26">
      <c r="A26" t="inlineStr">
        <is>
          <t>Suministros mensuales de luz, agua y gas (€)</t>
        </is>
      </c>
      <c r="B26" s="23" t="n">
        <v>875</v>
      </c>
      <c r="C26" t="inlineStr">
        <is>
          <t>Luz (hornos, potencia 30-40 kW — checklist F2), agua y gas: pide el histórico del local antes de firmar</t>
        </is>
      </c>
    </row>
    <row r="27">
      <c r="A27" t="inlineStr">
        <is>
          <t>Seguros (€/año)</t>
        </is>
      </c>
      <c r="B27" s="23" t="n">
        <v>2100</v>
      </c>
      <c r="C27" t="inlineStr">
        <is>
          <t>Responsabilidad civil (mínimo 300.000 € — checklist F1) + multirriesgo del local con hornos («incendio crítico por hornos», checklist F2)</t>
        </is>
      </c>
    </row>
    <row r="28">
      <c r="A28" t="inlineStr">
        <is>
          <t>Varios e imprevistos sobre ventas</t>
        </is>
      </c>
      <c r="B28" s="20" t="n">
        <v>0.02</v>
      </c>
      <c r="C28" t="inlineStr">
        <is>
          <t>Colchón de gasto corriente no presupuestado</t>
        </is>
      </c>
    </row>
    <row r="29">
      <c r="A29" s="16" t="inlineStr">
        <is>
          <t>FINANCIACIÓN</t>
        </is>
      </c>
    </row>
    <row r="30">
      <c r="A30" t="inlineStr">
        <is>
          <t>Recursos propios aportados (€)</t>
        </is>
      </c>
      <c r="B30" s="23" t="n">
        <v>50000</v>
      </c>
      <c r="C30" t="inlineStr">
        <is>
          <t>Aportación de los socios. Con menos, el banco no entra: pide un 25-30 % de fondos propios sobre la necesidad de caja de este plan</t>
        </is>
      </c>
    </row>
    <row r="31">
      <c r="A31" t="inlineStr">
        <is>
          <t>Préstamo bancario solicitado (€)</t>
        </is>
      </c>
      <c r="B31" s="23" t="n">
        <v>120000</v>
      </c>
      <c r="C31" t="inlineStr">
        <is>
          <t>Principal solicitado. La hoja de Financiación comprueba que origen y usos cuadran con la necesidad de caja calculada en la hoja 1</t>
        </is>
      </c>
    </row>
    <row r="32">
      <c r="A32" t="inlineStr">
        <is>
          <t>Tipo de interés nominal anual</t>
        </is>
      </c>
      <c r="B32" s="20" t="n">
        <v>0.06</v>
      </c>
      <c r="C32" t="inlineStr">
        <is>
          <t>Tipo nominal anual; pide oferta a dos entidades y a una línea ICO antes de fijarlo (el horno y la maquinaria de un obrador son objeto habitual de leasing/renting: compáralo)</t>
        </is>
      </c>
    </row>
    <row r="33">
      <c r="A33" t="inlineStr">
        <is>
          <t>Plazo del préstamo (años)</t>
        </is>
      </c>
      <c r="B33" s="18" t="n">
        <v>7</v>
      </c>
      <c r="C33" t="inlineStr">
        <is>
          <t>Años totales, carencia incluida</t>
        </is>
      </c>
    </row>
    <row r="34">
      <c r="A34" t="inlineStr">
        <is>
          <t>Carencia de principal (años)</t>
        </is>
      </c>
      <c r="B34" s="18" t="n">
        <v>1</v>
      </c>
      <c r="C34" t="inlineStr">
        <is>
          <t>Primer año pagando sólo intereses, que es cuando la caja está más tensa (obra y maquinaria antes de facturar nada). Al salir de la carencia la devolución del principal entra de golpe: la hoja de Punto de Equilibrio mide esa holgura año a año</t>
        </is>
      </c>
    </row>
    <row r="35">
      <c r="A35" t="inlineStr">
        <is>
          <t>Fondo de maniobra (meses de costes fijos)</t>
        </is>
      </c>
      <c r="B35" s="18" t="n">
        <v>3</v>
      </c>
      <c r="C35" t="inlineStr">
        <is>
          <t>Mínimo que exige este mismo libro (Instrucciones): un colchón por debajo de 3 meses no cubre un bache de temporada baja</t>
        </is>
      </c>
    </row>
    <row r="36">
      <c r="A36" s="16" t="inlineStr">
        <is>
          <t>FISCAL</t>
        </is>
      </c>
    </row>
    <row r="37">
      <c r="A37" t="inlineStr">
        <is>
          <t>Impuesto de Sociedades, nueva creación</t>
        </is>
      </c>
      <c r="B37" s="20"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20"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20" t="n">
        <v>0.1</v>
      </c>
      <c r="C39" t="inlineStr">
        <is>
          <t>Tipo reducido de hostelería</t>
        </is>
      </c>
    </row>
    <row r="40">
      <c r="A40" t="inlineStr">
        <is>
          <t>IVA repercutido/soportado general</t>
        </is>
      </c>
      <c r="B40" s="20" t="n">
        <v>0.21</v>
      </c>
      <c r="C40" t="inlineStr">
        <is>
          <t>Tipo general. En este libro lo usan dos cosas: el IVA que soportas al comprar el alcohol (el proveedor lo factura al 21 %) y el que repercutes por el alcohol que sale por delivery (es una entrega de bienes). El alcohol servido en mostrador va al reducido: su tipo está en el bloque de desglose del IVA. Suministros, equipamiento y servicios tienen su tipo en la celda de abajo. El libro manda al general sólo el alcohol: si compras refrescos o zumos con azúcares añadidos, su factura también va al 21 % (art. 91.Uno.1.1.º de la Ley 37/1992)</t>
        </is>
      </c>
    </row>
    <row r="41">
      <c r="A41" t="inlineStr">
        <is>
          <t>IVA soportado en compras e inversión</t>
        </is>
      </c>
      <c r="B41" s="20" t="n">
        <v>0.21</v>
      </c>
      <c r="C41" t="inlineStr">
        <is>
          <t>Recuperable vía modelo 303, pero hay que adelantarlo</t>
        </is>
      </c>
    </row>
    <row r="42">
      <c r="A42" t="inlineStr">
        <is>
          <t>Bases negativas de ejercicios anteriores (€)</t>
        </is>
      </c>
      <c r="B42" s="23" t="n">
        <v>0</v>
      </c>
      <c r="C42" t="inlineStr">
        <is>
          <t>Pérdidas pendientes de compensar al empezar (art. 26 LIS)</t>
        </is>
      </c>
    </row>
    <row r="43">
      <c r="A43" s="16" t="inlineStr">
        <is>
          <t>AMORTIZACIÓN</t>
        </is>
      </c>
    </row>
    <row r="44">
      <c r="A44" t="inlineStr">
        <is>
          <t>Vida útil de obra e instalaciones (años)</t>
        </is>
      </c>
      <c r="B44" s="18" t="n">
        <v>10</v>
      </c>
      <c r="C44" t="inlineStr">
        <is>
          <t>Obra, instalación eléctrica de potencia y salida de humos de un obrador. Coeficientes de la tabla del art. 12.1 LIS: confírmalo con tu asesor</t>
        </is>
      </c>
    </row>
    <row r="45">
      <c r="A45" t="inlineStr">
        <is>
          <t>Vida útil de maquinaria y mobiliario (años)</t>
        </is>
      </c>
      <c r="B45" s="18" t="n">
        <v>9</v>
      </c>
      <c r="C45" t="inlineStr">
        <is>
          <t>Horno, amasadora, divisora, cámaras y vitrina. El coeficiente lineal máximo del art. 12.1 LIS para maquinaria es del 12 % anual: por debajo de 9 años el exceso no sería deducible. Confírmalo con tu asesor</t>
        </is>
      </c>
    </row>
    <row r="46"/>
    <row r="47">
      <c r="A47" s="16" t="inlineStr">
        <is>
          <t>CRECIMIENTO Y ACTUALIZACIÓN DE COSTES</t>
        </is>
      </c>
    </row>
    <row r="48">
      <c r="A48" t="inlineStr">
        <is>
          <t>Subida anual de los costes fijos</t>
        </is>
      </c>
      <c r="B48" s="20" t="n">
        <v>0</v>
      </c>
      <c r="C48" t="inlineStr">
        <is>
          <t>A CERO: las tres columnas están en euros del año 1 (términos reales). Súbela si quieres proyectar en euros corrientes</t>
        </is>
      </c>
    </row>
    <row r="49">
      <c r="A49" s="16" t="inlineStr">
        <is>
          <t>ARRANQUE Y AFORO</t>
        </is>
      </c>
    </row>
    <row r="50"/>
    <row r="51">
      <c r="A51" t="inlineStr">
        <is>
          <t>Aforo del local (plazas sentadas + barra)</t>
        </is>
      </c>
      <c r="B51" s="18" t="n">
        <v>15</v>
      </c>
      <c r="C51" t="inlineStr">
        <is>
          <t>La mayoría de las transacciones son de mostrador (llevar), no de mesa: este número cubre sólo el rincón de café con asientos, no la cola de la barra de pan. Sirve para dimensionar el espacio de consumo del local; el volumen del negocio se proyecta con las transacciones de mostrador, no con la rotación de las plazas</t>
        </is>
      </c>
    </row>
    <row r="52">
      <c r="A52" t="inlineStr">
        <is>
          <t>Actividad del mes 1 sobre la de crucero</t>
        </is>
      </c>
      <c r="B52" s="20" t="n">
        <v>0.55</v>
      </c>
      <c r="C52" t="inlineStr">
        <is>
          <t>Un local que abre no factura desde el primer día lo mismo que a los seis meses. Con 100 % se elimina la rampa y el año 1 se proyecta a velocidad de crucero</t>
        </is>
      </c>
    </row>
    <row r="53">
      <c r="A53" t="inlineStr">
        <is>
          <t>Meses hasta alcanzar el régimen de crucero</t>
        </is>
      </c>
      <c r="B53" s="18" t="n">
        <v>6</v>
      </c>
      <c r="C53" t="inlineStr">
        <is>
          <t>La rampa sube en línea recta desde el porcentaje de arriba hasta el 100 % en este número de meses</t>
        </is>
      </c>
    </row>
    <row r="54">
      <c r="A54" t="inlineStr">
        <is>
          <t>Meses de alquiler ANTES de abrir (obra y licencias)</t>
        </is>
      </c>
      <c r="B54" s="18" t="n">
        <v>1</v>
      </c>
      <c r="C54" t="inlineStr">
        <is>
          <t>El local se paga desde que se firma. Estos meses son inversión: NO se solapan con el P&amp;L, que arranca el día de la apertura</t>
        </is>
      </c>
    </row>
    <row r="55">
      <c r="A55" t="inlineStr">
        <is>
          <t>Imprevistos sobre las partidas de OBRA del bloque de local (%)</t>
        </is>
      </c>
      <c r="B55" s="20" t="n">
        <v>0.1</v>
      </c>
      <c r="C55" t="inlineStr">
        <is>
          <t>Colchón sobre la partida de obra y acondicionamiento. Un banco no financia una reforma sin él</t>
        </is>
      </c>
    </row>
    <row r="56"/>
    <row r="57">
      <c r="A57" s="16" t="inlineStr">
        <is>
          <t>COBROS, PAGOS Y DESGLOSE DEL IVA</t>
        </is>
      </c>
    </row>
    <row r="58">
      <c r="A58" t="inlineStr">
        <is>
          <t>Días medios de cobro</t>
        </is>
      </c>
      <c r="B58" s="18" t="n">
        <v>3</v>
      </c>
      <c r="C58" t="inlineStr">
        <is>
          <t>Media ponderada: el mostrador cobra al contado (0 días) y el canal mayorista —restaurantes y hoteles— paga a 30 días, que es el plazo por defecto del art. 4 de la Ley 3/2004 contra la morosidad (60 como máximo, y sólo si se pacta). Con el peso que este plan da al mayorista salen 3 días de media: súbelo si tu reparto a otros negocios pesa más</t>
        </is>
      </c>
    </row>
    <row r="59">
      <c r="A59" t="inlineStr">
        <is>
          <t>Días medios de pago a proveedor</t>
        </is>
      </c>
      <c r="B59" s="18" t="n">
        <v>30</v>
      </c>
      <c r="C59" t="inlineStr">
        <is>
          <t>Lo que te financian tus proveedores. Es lo primero que se pierde si te retrasas en un pago</t>
        </is>
      </c>
    </row>
    <row r="60">
      <c r="A60" t="inlineStr">
        <is>
          <t>Mes de la paga extra de verano</t>
        </is>
      </c>
      <c r="B60" s="18" t="n">
        <v>7</v>
      </c>
      <c r="C60" t="inlineStr">
        <is>
          <t>Mes del año (1-12) en el que sale de caja la primera paga extra</t>
        </is>
      </c>
    </row>
    <row r="61">
      <c r="A61" t="inlineStr">
        <is>
          <t>Mes de la paga extra de Navidad</t>
        </is>
      </c>
      <c r="B61" s="18" t="n">
        <v>12</v>
      </c>
      <c r="C61" t="inlineStr">
        <is>
          <t>Mes del año (1-12) en el que sale de caja la segunda paga extra</t>
        </is>
      </c>
    </row>
    <row r="62">
      <c r="A62" t="inlineStr">
        <is>
          <t>Bebida ALCOHÓLICA sobre el total de bebida</t>
        </is>
      </c>
      <c r="B62" s="20" t="n">
        <v>0</v>
      </c>
      <c r="C62" t="inlineStr">
        <is>
          <t>A CERO: la línea de bebida de este plan es café e infusiones, sin alcohol (a diferencia de cafetería, que sí sirve algún mimosa de celebración). Si añades cava para desayunos de celebración, sube este parámetro</t>
        </is>
      </c>
    </row>
    <row r="63">
      <c r="A63" t="inlineStr">
        <is>
          <t>IVA de la bebida ALCOHÓLICA servida en mostrador</t>
        </is>
      </c>
      <c r="B63" s="20" t="n">
        <v>0.1</v>
      </c>
      <c r="C63" t="inlineStr">
        <is>
          <t>10 %, igual que el resto del consumo en mostrador: el art. 91.Uno.2.2.º de la Ley 37/1992 del IVA grava al tipo reducido los servicios de hostelería y «el suministro de comidas y bebidas para consumir en el acto», sin excluir el alcohol. El 21 % es el tipo GENERAL y, fuera del consumo en el acto, alcanza al alcohol y también a los refrescos y zumos con azúcares o edulcorantes añadidos vendidos para llevar o a domicilio (art. 91.Uno.1.1.º de la misma ley). El libro lo aplica sólo a la parte ALCOHÓLICA de la bebida que sale por el canal de la celda «Ventas por delivery sobre el total»; los refrescos azucarados repartidos irían también al general y el libro no los separa</t>
        </is>
      </c>
    </row>
    <row r="64">
      <c r="A64" s="16" t="inlineStr">
        <is>
          <t>UMBRALES Y SUELOS DE CONTROL</t>
        </is>
      </c>
    </row>
    <row r="65">
      <c r="A65" t="inlineStr">
        <is>
          <t>DSCR mínimo aceptable</t>
        </is>
      </c>
      <c r="B65" s="24" t="n">
        <v>1</v>
      </c>
      <c r="C65" t="inlineStr">
        <is>
          <t>Por debajo de 1 el negocio no genera para pagar el préstamo. Ponlo en el covenant que te exija tu banco</t>
        </is>
      </c>
    </row>
    <row r="66">
      <c r="A66" t="inlineStr">
        <is>
          <t>DSCR objetivo (verde)</t>
        </is>
      </c>
      <c r="B66" s="24" t="n">
        <v>1.25</v>
      </c>
      <c r="C66" t="inlineStr">
        <is>
          <t>Lo que suele pedir una entidad para dar el préstamo sin garantías adicionales</t>
        </is>
      </c>
    </row>
    <row r="67">
      <c r="A67" t="inlineStr">
        <is>
          <t>Holgura mínima sobre el punto de equilibrio</t>
        </is>
      </c>
      <c r="B67" s="20"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3" t="n">
        <v>0</v>
      </c>
      <c r="C68" t="inlineStr">
        <is>
          <t>El convenio PROVINCIAL de panadería/pastelería, no el SMI, es el suelo real del sector: cópialo de la tabla salarial de tu provincia («Convenio hostelería/alimentación», checklist F4).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38"/>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PANADERÍA / OBRADOR</t>
        </is>
      </c>
    </row>
    <row r="2">
      <c r="A2" s="2" t="inlineStr">
        <is>
          <t>Inversión Inicial — España 2026</t>
        </is>
      </c>
    </row>
    <row r="3">
      <c r="A3" s="3" t="inlineStr">
        <is>
          <t>Ajusta las cifras a tu proyecto.</t>
        </is>
      </c>
    </row>
    <row r="4"/>
    <row r="5">
      <c r="A5" s="25" t="inlineStr">
        <is>
          <t>Concepto</t>
        </is>
      </c>
      <c r="B5" s="25" t="inlineStr">
        <is>
          <t>Importe</t>
        </is>
      </c>
      <c r="C5" s="25" t="inlineStr">
        <is>
          <t>% s/inversión</t>
        </is>
      </c>
      <c r="D5" s="25" t="inlineStr">
        <is>
          <t>Notas</t>
        </is>
      </c>
      <c r="E5" s="25" t="inlineStr">
        <is>
          <t>¿Lleva IVA?</t>
        </is>
      </c>
    </row>
    <row r="6">
      <c r="A6" s="25" t="inlineStr">
        <is>
          <t>INVERSIÓN</t>
        </is>
      </c>
      <c r="B6" s="26">
        <f>IFERROR(IF(COUNT(B7:B28)=0,"",SUM(B7:B28)),"")</f>
        <v>101600.0</v>
      </c>
      <c r="C6" s="27">
        <f>IFERROR(B6/$B$31,"")</f>
        <v>0.6996506739216402</v>
      </c>
      <c r="D6" s="28" t="n"/>
      <c r="E6" s="28" t="n"/>
    </row>
    <row r="7">
      <c r="A7" s="28" t="inlineStr">
        <is>
          <t>Constitución SL + notaría</t>
        </is>
      </c>
      <c r="B7" s="29" t="n">
        <v>800</v>
      </c>
      <c r="C7" s="30">
        <f>IFERROR(B7/$B$31,"")</f>
        <v>0.005509060424579843</v>
      </c>
      <c r="D7" s="28" t="inlineStr">
        <is>
          <t>SL unipersonal express</t>
        </is>
      </c>
      <c r="E7" s="31" t="inlineStr">
        <is>
          <t>No</t>
        </is>
      </c>
    </row>
    <row r="8">
      <c r="A8" s="28" t="inlineStr">
        <is>
          <t>Licencia actividad (clasificada)</t>
        </is>
      </c>
      <c r="B8" s="29" t="n">
        <v>1200</v>
      </c>
      <c r="C8" s="30">
        <f>IFERROR(B8/$B$31,"")</f>
        <v>0.008263590636869765</v>
      </c>
      <c r="D8" s="28" t="inlineStr">
        <is>
          <t>Obrador con horno = actividad clasificada</t>
        </is>
      </c>
      <c r="E8" s="31" t="inlineStr">
        <is>
          <t>No</t>
        </is>
      </c>
    </row>
    <row r="9">
      <c r="A9" s="28" t="inlineStr">
        <is>
          <t>Proyecto técnico + certificación</t>
        </is>
      </c>
      <c r="B9" s="29" t="n">
        <v>3500</v>
      </c>
      <c r="C9" s="30">
        <f>IFERROR(B9/$B$31,"")</f>
        <v>0.024102139357536814</v>
      </c>
      <c r="D9" s="28" t="inlineStr">
        <is>
          <t>Obligatorio: salida humos, potencia eléctrica</t>
        </is>
      </c>
      <c r="E9" s="31" t="inlineStr">
        <is>
          <t>Sí</t>
        </is>
      </c>
    </row>
    <row r="10">
      <c r="A10" s="28" t="inlineStr">
        <is>
          <t>Obra civil y adecuación local</t>
        </is>
      </c>
      <c r="B10" s="29" t="n">
        <v>20000</v>
      </c>
      <c r="C10" s="30">
        <f>IFERROR(B10/$B$31,"")</f>
        <v>0.1377265106144961</v>
      </c>
      <c r="D10" s="28" t="inlineStr">
        <is>
          <t>Suelo técnico, revestimientos lavables, obrador</t>
        </is>
      </c>
      <c r="E10" s="31" t="inlineStr">
        <is>
          <t>Sí</t>
        </is>
      </c>
    </row>
    <row r="11">
      <c r="A11" s="28" t="inlineStr">
        <is>
          <t>Instalación eléctrica (potencia 30-40 kW)</t>
        </is>
      </c>
      <c r="B11" s="29" t="n">
        <v>7000</v>
      </c>
      <c r="C11" s="30">
        <f>IFERROR(B11/$B$31,"")</f>
        <v>0.04820427871507363</v>
      </c>
      <c r="D11" s="28" t="inlineStr">
        <is>
          <t>Hornos eléctricos consumen mucha potencia</t>
        </is>
      </c>
      <c r="E11" s="31" t="inlineStr">
        <is>
          <t>Sí</t>
        </is>
      </c>
    </row>
    <row r="12">
      <c r="A12" s="28" t="inlineStr">
        <is>
          <t>Salida humos + ventilación obrador</t>
        </is>
      </c>
      <c r="B12" s="29" t="n">
        <v>5000</v>
      </c>
      <c r="C12" s="30">
        <f>IFERROR(B12/$B$31,"")</f>
        <v>0.03443162765362402</v>
      </c>
      <c r="D12" s="28" t="inlineStr">
        <is>
          <t>Obligatoria: campana + extractor + filtros</t>
        </is>
      </c>
      <c r="E12" s="31" t="inlineStr">
        <is>
          <t>Sí</t>
        </is>
      </c>
    </row>
    <row r="13">
      <c r="A13" s="28" t="inlineStr">
        <is>
          <t>Horno de pisos / rotativo profesional</t>
        </is>
      </c>
      <c r="B13" s="29" t="n">
        <v>18000</v>
      </c>
      <c r="C13" s="30">
        <f>IFERROR(B13/$B$31,"")</f>
        <v>0.12395385955304647</v>
      </c>
      <c r="D13" s="28" t="inlineStr">
        <is>
          <t>Horno de pisos (artesanal) o rotativo (volumen)</t>
        </is>
      </c>
      <c r="E13" s="31" t="inlineStr">
        <is>
          <t>Sí</t>
        </is>
      </c>
    </row>
    <row r="14">
      <c r="A14" s="28" t="inlineStr">
        <is>
          <t>Amasadora espiral (25-50 kg)</t>
        </is>
      </c>
      <c r="B14" s="29" t="n">
        <v>4000</v>
      </c>
      <c r="C14" s="30">
        <f>IFERROR(B14/$B$31,"")</f>
        <v>0.027545302122899216</v>
      </c>
      <c r="D14" s="28" t="inlineStr">
        <is>
          <t>Capacidad según producción diaria</t>
        </is>
      </c>
      <c r="E14" s="31" t="inlineStr">
        <is>
          <t>Sí</t>
        </is>
      </c>
    </row>
    <row r="15">
      <c r="A15" s="28" t="inlineStr">
        <is>
          <t>Divisora + boleadora</t>
        </is>
      </c>
      <c r="B15" s="29" t="n">
        <v>3000</v>
      </c>
      <c r="C15" s="30">
        <f>IFERROR(B15/$B$31,"")</f>
        <v>0.020658976592174413</v>
      </c>
      <c r="D15" s="28" t="inlineStr">
        <is>
          <t>Para producción en serie de piezas</t>
        </is>
      </c>
      <c r="E15" s="31" t="inlineStr">
        <is>
          <t>Sí</t>
        </is>
      </c>
    </row>
    <row r="16">
      <c r="A16" s="28" t="inlineStr">
        <is>
          <t>Cámara de fermentación controlada</t>
        </is>
      </c>
      <c r="B16" s="29" t="n">
        <v>5000</v>
      </c>
      <c r="C16" s="30">
        <f>IFERROR(B16/$B$31,"")</f>
        <v>0.03443162765362402</v>
      </c>
      <c r="D16" s="28" t="inlineStr">
        <is>
          <t>Fermentación lenta programable, clave calidad</t>
        </is>
      </c>
      <c r="E16" s="31" t="inlineStr">
        <is>
          <t>Sí</t>
        </is>
      </c>
    </row>
    <row r="17">
      <c r="A17" s="28" t="inlineStr">
        <is>
          <t>Cámara frigorífica + congelador</t>
        </is>
      </c>
      <c r="B17" s="29" t="n">
        <v>4000</v>
      </c>
      <c r="C17" s="30">
        <f>IFERROR(B17/$B$31,"")</f>
        <v>0.027545302122899216</v>
      </c>
      <c r="D17" s="28" t="inlineStr">
        <is>
          <t>Almacén materia prima + masa congelada</t>
        </is>
      </c>
      <c r="E17" s="31" t="inlineStr">
        <is>
          <t>Sí</t>
        </is>
      </c>
    </row>
    <row r="18">
      <c r="A18" s="28" t="inlineStr">
        <is>
          <t>Mesa de trabajo inox + estanterías</t>
        </is>
      </c>
      <c r="B18" s="29" t="n">
        <v>2500</v>
      </c>
      <c r="C18" s="30">
        <f>IFERROR(B18/$B$31,"")</f>
        <v>0.01721581382681201</v>
      </c>
      <c r="D18" s="28" t="inlineStr">
        <is>
          <t>Superficie de trabajo obrador</t>
        </is>
      </c>
      <c r="E18" s="31" t="inlineStr">
        <is>
          <t>Sí</t>
        </is>
      </c>
    </row>
    <row r="19">
      <c r="A19" s="28" t="inlineStr">
        <is>
          <t>Laminadora (si bollería)</t>
        </is>
      </c>
      <c r="B19" s="29" t="n">
        <v>2500</v>
      </c>
      <c r="C19" s="30">
        <f>IFERROR(B19/$B$31,"")</f>
        <v>0.01721581382681201</v>
      </c>
      <c r="D19" s="28" t="inlineStr">
        <is>
          <t>Para croissants, hojaldre, bollería</t>
        </is>
      </c>
      <c r="E19" s="31" t="inlineStr">
        <is>
          <t>Sí</t>
        </is>
      </c>
    </row>
    <row r="20">
      <c r="A20" s="28" t="inlineStr">
        <is>
          <t>Vitrina expositor + mostrador</t>
        </is>
      </c>
      <c r="B20" s="29" t="n">
        <v>3500</v>
      </c>
      <c r="C20" s="30">
        <f>IFERROR(B20/$B$31,"")</f>
        <v>0.024102139357536814</v>
      </c>
      <c r="D20" s="28" t="inlineStr">
        <is>
          <t>Exposición pan y bollería al público</t>
        </is>
      </c>
      <c r="E20" s="31" t="inlineStr">
        <is>
          <t>Sí</t>
        </is>
      </c>
    </row>
    <row r="21">
      <c r="A21" s="28" t="inlineStr">
        <is>
          <t>Mobiliario tienda (si venta directa)</t>
        </is>
      </c>
      <c r="B21" s="29" t="n">
        <v>3000</v>
      </c>
      <c r="C21" s="30">
        <f>IFERROR(B21/$B$31,"")</f>
        <v>0.020658976592174413</v>
      </c>
      <c r="D21" s="28" t="inlineStr">
        <is>
          <t>Mostrador, estanterías, caja</t>
        </is>
      </c>
      <c r="E21" s="31" t="inlineStr">
        <is>
          <t>Sí</t>
        </is>
      </c>
    </row>
    <row r="22">
      <c r="A22" s="28" t="inlineStr">
        <is>
          <t>TPV + balanza + software</t>
        </is>
      </c>
      <c r="B22" s="29" t="n">
        <v>1500</v>
      </c>
      <c r="C22" s="30">
        <f>IFERROR(B22/$B$31,"")</f>
        <v>0.010329488296087206</v>
      </c>
      <c r="D22" s="28" t="inlineStr">
        <is>
          <t>TPV con control producción y ventas</t>
        </is>
      </c>
      <c r="E22" s="31" t="inlineStr">
        <is>
          <t>Sí</t>
        </is>
      </c>
    </row>
    <row r="23">
      <c r="A23" s="28" t="inlineStr">
        <is>
          <t>Rotulación + imagen exterior</t>
        </is>
      </c>
      <c r="B23" s="29" t="n">
        <v>1500</v>
      </c>
      <c r="C23" s="30">
        <f>IFERROR(B23/$B$31,"")</f>
        <v>0.010329488296087206</v>
      </c>
      <c r="D23" s="28" t="inlineStr">
        <is>
          <t>Rótulo y escaparate</t>
        </is>
      </c>
      <c r="E23" s="31" t="inlineStr">
        <is>
          <t>Sí</t>
        </is>
      </c>
    </row>
    <row r="24">
      <c r="A24" s="28" t="inlineStr">
        <is>
          <t>Marketing lanzamiento</t>
        </is>
      </c>
      <c r="B24" s="29" t="n">
        <v>2000</v>
      </c>
      <c r="C24" s="30">
        <f>IFERROR(B24/$B$31,"")</f>
        <v>0.013772651061449608</v>
      </c>
      <c r="D24" s="28" t="inlineStr">
        <is>
          <t>Web, Google My Business, RRSS, flyers</t>
        </is>
      </c>
      <c r="E24" s="31" t="inlineStr">
        <is>
          <t>Sí</t>
        </is>
      </c>
    </row>
    <row r="25">
      <c r="A25" s="28" t="inlineStr">
        <is>
          <t>Stock inicial (harinas, levaduras, etc.)</t>
        </is>
      </c>
      <c r="B25" s="29" t="n">
        <v>1500</v>
      </c>
      <c r="C25" s="30">
        <f>IFERROR(B25/$B$31,"")</f>
        <v>0.010329488296087206</v>
      </c>
      <c r="D25" s="28" t="inlineStr">
        <is>
          <t>Harina fuerza, centeno, masa madre, levadura</t>
        </is>
      </c>
      <c r="E25" s="31" t="inlineStr">
        <is>
          <t>Sí</t>
        </is>
      </c>
    </row>
    <row r="26">
      <c r="A26" s="28" t="inlineStr">
        <is>
          <t>Fianza del alquiler</t>
        </is>
      </c>
      <c r="B26" s="32">
        <f>IFERROR(IF('0. Supuestos'!$B$24="","",'0. Supuestos'!$B$24*'0. Supuestos'!$B$25),"")</f>
        <v>6300.0</v>
      </c>
      <c r="C26" s="30">
        <f>IFERROR(B26/$B$31,"")</f>
        <v>0.04338385084356627</v>
      </c>
      <c r="D26" s="28" t="str">
        <f>IFERROR(""&amp;TEXT('0. Supuestos'!$B$25,"0")&amp;" meses de renta, al tipo de la hoja de Supuestos. Es un activo recuperable al cerrar: ni se amortiza ni lleva IVA","")</f>
        <v>3 meses de renta, al tipo de la hoja de Supuestos. Es un activo recuperable al cerrar: ni se amortiza ni lleva IVA</v>
      </c>
      <c r="E26" s="28" t="inlineStr">
        <is>
          <t>No</t>
        </is>
      </c>
    </row>
    <row r="27">
      <c r="A27" s="28" t="inlineStr">
        <is>
          <t>Alquiler de los meses previos a la apertura</t>
        </is>
      </c>
      <c r="B27" s="32">
        <f>IFERROR(IF('0. Supuestos'!$B$24="","",'0. Supuestos'!$B$24*'0. Supuestos'!$B$54),"")</f>
        <v>2100.0</v>
      </c>
      <c r="C27" s="30">
        <f>IFERROR(B27/$B$31,"")</f>
        <v>0.014461283614522088</v>
      </c>
      <c r="D27" s="28" t="str">
        <f>IFERROR("Renta "&amp;IF('0. Supuestos'!$B$54=1,"del mes","de los "&amp;TEXT('0. Supuestos'!$B$54,"0")&amp;" meses")&amp;" de obra y licencias. NO se solapa con el P&amp;L, que arranca el día de la apertura: los doce meses del P&amp;L son los doce de explotación","")</f>
        <v>Renta del mes de obra y licencias. NO se solapa con el P&amp;L, que arranca el día de la apertura: los doce meses del P&amp;L son los doce de explotación</v>
      </c>
      <c r="E27" s="28" t="inlineStr">
        <is>
          <t>Sí</t>
        </is>
      </c>
    </row>
    <row r="28">
      <c r="A28" s="33" t="inlineStr">
        <is>
          <t>Imprevistos de obra y acondicionamiento</t>
        </is>
      </c>
      <c r="B28" s="34">
        <f>IFERROR(IF(COUNT(B9,B10,B11,B12,B23)=0,"",ROUND((B9+B10+B11+B12+B23)*'0. Supuestos'!$B$55,0)),"")</f>
        <v>3700.0</v>
      </c>
      <c r="C28" s="22">
        <f>IFERROR(B28/$B$31,"")</f>
        <v>0.025479404463681774</v>
      </c>
      <c r="D28" t="str">
        <f>IFERROR("Al "&amp;TEXT('0. Supuestos'!$B$55,"0%")&amp;" de las partidas de OBRA Y ACONDICIONAMIENTO de este bloque (Proyecto técnico + certificación, Obra civil y adecuación local, Instalación eléctrica (potencia 30-40 kW), Salida humos + ventilación obrador y Rotulación + imagen exterior), no "&amp;"del bloque entero: el resto de partidas del bloque quedan fuera. Un banco no financia una reforma sin colchón: el porcentaje está en la hoja de Supuestos","")</f>
        <v>Al 10% de las partidas de OBRA Y ACONDICIONAMIENTO de este bloque (Proyecto técnico + certificación, Obra civil y adecuación local, Instalación eléctrica (potencia 30-40 kW), Salida humos + ventilación obrador y Rotulación + imagen exterior), no del bloque entero: el resto de partidas del bloque quedan fuera. Un banco no financia una reforma sin colchón: el porcentaje está en la hoja de Supuestos</v>
      </c>
      <c r="E28" s="33" t="inlineStr">
        <is>
          <t>Sí</t>
        </is>
      </c>
    </row>
    <row r="29">
      <c r="A29" s="16" t="inlineStr">
        <is>
          <t>FONDO DE MANIOBRA</t>
        </is>
      </c>
      <c r="B29" s="35">
        <f>IFERROR(IF(B30="","",B30),"")</f>
        <v>43615.325</v>
      </c>
      <c r="C29" s="36">
        <f>IFERROR(B29/$B$31,"")</f>
        <v>0.3003493260783598</v>
      </c>
    </row>
    <row r="30">
      <c r="A30" s="33" t="inlineStr">
        <is>
          <t>Colchón operativo hasta alcanzar el equilibrio</t>
        </is>
      </c>
      <c r="B30" s="34">
        <f>IFERROR(IF('0. Supuestos'!$B$35*('PyG 3 Años'!$B$38-'PyG 3 Años'!$B$36)=0,"",'0. Supuestos'!$B$35*('PyG 3 Años'!$B$38-'PyG 3 Años'!$B$36)/12),"")</f>
        <v>43615.325</v>
      </c>
      <c r="C30" s="22">
        <f>IFERROR(B30/$B$31,"")</f>
        <v>0.3003493260783598</v>
      </c>
      <c r="D30"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30" s="33" t="inlineStr">
        <is>
          <t>No</t>
        </is>
      </c>
    </row>
    <row r="31">
      <c r="A31" s="16" t="inlineStr">
        <is>
          <t>INVERSIÓN TOTAL (suma de los bloques)</t>
        </is>
      </c>
      <c r="B31" s="35">
        <f>IFERROR(B6+B29,"")</f>
        <v>145215.325</v>
      </c>
      <c r="D31" s="37" t="str">
        <f>IFERROR("Los porcentajes de la columna C se leen sobre esta cifra, que incluye el fondo de maniobra ("&amp;TEXT(C29,"0%")&amp;" del total). Para comparar el desglose con otro plan, usa la fila de CAPEX de abajo.","")</f>
        <v>Los porcentajes de la columna C se leen sobre esta cifra, que incluye el fondo de maniobra (30% del total). Para comparar el desglose con otro plan, usa la fila de CAPEX de abajo.</v>
      </c>
    </row>
    <row r="32">
      <c r="A32" s="16" t="inlineStr">
        <is>
          <t>CAPEX (inversión sin el fondo de maniobra)</t>
        </is>
      </c>
      <c r="B32" s="35">
        <f>IFERROR(B31-B29,"")</f>
        <v>101600.00000000001</v>
      </c>
      <c r="D32" s="16" t="inlineStr">
        <is>
          <t>Es lo que se compra: obra, equipamiento, lanzamiento y gastos de constitución. El colchón de caja no es inversión, es circulante</t>
        </is>
      </c>
    </row>
    <row r="33">
      <c r="A33" s="33" t="inlineStr">
        <is>
          <t>IVA soportado sobre la inversión (recuperable)</t>
        </is>
      </c>
      <c r="B33" s="34">
        <f>IFERROR(IF(B31="","",SUMIF($E$7:$E$28,"Sí",$B$7:$B$28)*'0. Supuestos'!$B$41),"")</f>
        <v>19593.0</v>
      </c>
      <c r="D33"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row>
    <row r="34">
      <c r="A34" s="16" t="inlineStr">
        <is>
          <t>NECESIDAD TOTAL DE CAJA AL ARRANQUE</t>
        </is>
      </c>
      <c r="B34" s="35">
        <f>IFERROR(B31+B33,"")</f>
        <v>164808.325</v>
      </c>
      <c r="D34" s="16" t="inlineStr">
        <is>
          <t>Es la cifra que tiene que cubrir la hoja de Financiación</t>
        </is>
      </c>
    </row>
    <row r="35">
      <c r="A35" s="16" t="inlineStr">
        <is>
          <t>BASES DE AMORTIZACIÓN (no suman a la inversión)</t>
        </is>
      </c>
    </row>
    <row r="36">
      <c r="A36" s="33" t="inlineStr">
        <is>
          <t>Obra, instalaciones y acondicionamiento</t>
        </is>
      </c>
      <c r="B36" s="34">
        <f>IFERROR(IF(B9="","",B9+B10+B11+B12+B23+B28),"")</f>
        <v>40700.0</v>
      </c>
      <c r="D36" t="str">
        <f>IFERROR("Se amortiza en "&amp;TEXT('0. Supuestos'!$B$44,"0")&amp;" años","")</f>
        <v>Se amortiza en 10 años</v>
      </c>
    </row>
    <row r="37">
      <c r="A37" s="33" t="inlineStr">
        <is>
          <t>Maquinaria, mobiliario y equipos</t>
        </is>
      </c>
      <c r="B37" s="34">
        <f>IFERROR(IF(B13="","",B13+B14+B15+B16+B17+B18+B19+B20+B21+B22),"")</f>
        <v>47000.0</v>
      </c>
      <c r="D37" t="str">
        <f>IFERROR("Se amortiza en "&amp;TEXT('0. Supuestos'!$B$45,"0")&amp;" años","")</f>
        <v>Se amortiza en 9 años</v>
      </c>
    </row>
    <row r="38">
      <c r="A38" s="16" t="inlineStr">
        <is>
          <t>Amortización anual del inmovilizado</t>
        </is>
      </c>
      <c r="B38" s="35">
        <f>IFERROR(B36/MAX(1,'0. Supuestos'!$B$44)+B37/MAX(1,'0. Supuestos'!$B$45),"")</f>
        <v>9292.222222222223</v>
      </c>
      <c r="D38" s="37" t="str">
        <f>IFERROR("No se amortizan, por no ser inmovilizado, Constitución SL + notaría, Licencia actividad (clasificada), Marketing lanzamiento, Stock inicial (harinas, levaduras, etc.), Fianza del alquiler, Alquiler de los meses previos a la apertura ni "&amp;"Colchón operativo hasta alcanzar el equilibrio. Suman "&amp;TEXT(B31-B36-B37,"0")&amp;" € de los "&amp;TEXT(B31,"0")&amp;" € de inversión.","")</f>
        <v>No se amortizan, por no ser inmovilizado, Constitución SL + notaría, Licencia actividad (clasificada), Marketing lanzamiento, Stock inicial (harinas, levaduras, etc.), Fianza del alquiler, Alquiler de los meses previos a la apertura ni Colchón operativo hasta alcanzar el equilibrio. Suman 57515 € de los 145215 € de inversión.</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4">
    <cfRule type="expression" priority="1" dxfId="0" stopIfTrue="1">
      <formula>AND(ISNUMBER(B34),B34&gt;0)</formula>
    </cfRule>
  </conditionalFormatting>
  <dataValidations count="2">
    <dataValidation sqref="E7:E25"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9"/>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c r="A1" s="1" t="inlineStr">
        <is>
          <t>CUENTA DE RESULTADOS — 3 AÑOS</t>
        </is>
      </c>
    </row>
    <row r="2">
      <c r="A2" s="3" t="inlineStr">
        <is>
          <t>Escenario realista — Panadería / Obrador</t>
        </is>
      </c>
    </row>
    <row r="3"/>
    <row r="4">
      <c r="A4" s="38" t="inlineStr">
        <is>
          <t>Concepto</t>
        </is>
      </c>
      <c r="B4" s="38" t="inlineStr">
        <is>
          <t>Año 1</t>
        </is>
      </c>
      <c r="C4" s="38" t="inlineStr">
        <is>
          <t>Año 2</t>
        </is>
      </c>
      <c r="D4" s="38" t="inlineStr">
        <is>
          <t>Año 3</t>
        </is>
      </c>
      <c r="E4" s="38" t="inlineStr">
        <is>
          <t>% s/ventas (año 1)</t>
        </is>
      </c>
      <c r="F4" s="38" t="inlineStr">
        <is>
          <t>Notas</t>
        </is>
      </c>
      <c r="G4" s="38" t="inlineStr">
        <is>
          <t>Tipo de IVA de la línea (%)</t>
        </is>
      </c>
      <c r="H4" s="38" t="inlineStr">
        <is>
          <t>Pan común sobre la línea (%)</t>
        </is>
      </c>
    </row>
    <row r="5">
      <c r="A5" s="25" t="inlineStr">
        <is>
          <t>INGRESOS</t>
        </is>
      </c>
      <c r="B5" s="28" t="n"/>
      <c r="C5" s="28" t="n"/>
      <c r="D5" s="28" t="n"/>
      <c r="E5" s="28" t="n"/>
      <c r="F5" s="28" t="n"/>
      <c r="G5" s="28" t="n"/>
      <c r="H5" s="28" t="n"/>
    </row>
    <row r="6">
      <c r="A6" s="28" t="inlineStr">
        <is>
          <t>Transacciones/día (media)</t>
        </is>
      </c>
      <c r="B6" s="39">
        <f>IFERROR(IF('0. Supuestos'!$B$4="","",'0. Supuestos'!$B$4),"")</f>
        <v>180.0</v>
      </c>
      <c r="C6" s="39">
        <f>IFERROR(B6*(1+'0. Supuestos'!$B$7),"")</f>
        <v>201.60000000000002</v>
      </c>
      <c r="D6" s="39">
        <f>IFERROR(C6*(1+'0. Supuestos'!$B$8),"")</f>
        <v>215.71200000000005</v>
      </c>
      <c r="E6" s="28" t="n"/>
      <c r="F6" s="28" t="inlineStr">
        <is>
          <t>El crecimiento de los años 2 y 3 está en la hoja de Supuestos</t>
        </is>
      </c>
      <c r="G6" s="28" t="n"/>
      <c r="H6" s="28" t="n"/>
    </row>
    <row r="7">
      <c r="A7" s="28" t="inlineStr">
        <is>
          <t>Ticket medio sin IVA</t>
        </is>
      </c>
      <c r="B7" s="40">
        <f>IFERROR(IF('0. Supuestos'!$B$5="","",'0. Supuestos'!$B$5),"")</f>
        <v>5.5</v>
      </c>
      <c r="C7" s="40">
        <f>IFERROR(IF(B7="","",B7),"")</f>
        <v>5.5</v>
      </c>
      <c r="D7" s="40">
        <f>IFERROR(IF(C7="","",C7),"")</f>
        <v>5.5</v>
      </c>
      <c r="E7" s="28" t="n"/>
      <c r="F7" s="28" t="inlineStr">
        <is>
          <t>Constante en euros del año 1: una subida de precios es una decisión aparte</t>
        </is>
      </c>
      <c r="G7" s="28" t="n"/>
      <c r="H7" s="28" t="n"/>
    </row>
    <row r="8">
      <c r="A8" s="28" t="inlineStr">
        <is>
          <t>Días de apertura al año</t>
        </is>
      </c>
      <c r="B8" s="39">
        <f>IFERROR(IF('0. Supuestos'!$B$6="","",'0. Supuestos'!$B$6),"")</f>
        <v>310.0</v>
      </c>
      <c r="C8" s="39">
        <f>IFERROR(IF(B8="","",B8),"")</f>
        <v>310.0</v>
      </c>
      <c r="D8" s="39">
        <f>IFERROR(IF(C8="","",C8),"")</f>
        <v>310.0</v>
      </c>
      <c r="E8" s="28" t="n"/>
      <c r="F8" s="28" t="n"/>
      <c r="G8" s="28" t="n"/>
      <c r="H8" s="28" t="n"/>
    </row>
    <row r="9">
      <c r="A9" s="25" t="inlineStr">
        <is>
          <t>INGRESOS TOTALES (sin IVA)</t>
        </is>
      </c>
      <c r="B9" s="26">
        <f>IFERROR(IF(B6*B7*B8=0,"",B6*B7*B8),"")</f>
        <v>306900.0</v>
      </c>
      <c r="C9" s="26">
        <f>IFERROR(IF(C6*C7*C8=0,"",C6*C7*C8),"")</f>
        <v>343728.00000000006</v>
      </c>
      <c r="D9" s="26">
        <f>IFERROR(IF(D6*D7*D8=0,"",D6*D7*D8),"")</f>
        <v>367788.9600000001</v>
      </c>
      <c r="E9" s="27">
        <f>IFERROR(IF(B9="","",1),"")</f>
        <v>1.0</v>
      </c>
      <c r="F9" s="28" t="n"/>
      <c r="G9" s="28" t="n"/>
      <c r="H9" s="28" t="n"/>
    </row>
    <row r="10">
      <c r="A10" s="28" t="inlineStr">
        <is>
          <t>Ventas de pan, bollería y mayorista (obrador + reparto HORECA)</t>
        </is>
      </c>
      <c r="B10" s="32">
        <f>IFERROR(IF(B9="","",B9*$E$10),"")</f>
        <v>283882.5</v>
      </c>
      <c r="C10" s="32">
        <f>IFERROR(IF(C9="","",C9*$E$10),"")</f>
        <v>317948.4000000001</v>
      </c>
      <c r="D10" s="32">
        <f>IFERROR(IF(D9="","",D9*$E$10),"")</f>
        <v>340204.7880000001</v>
      </c>
      <c r="E10" s="30">
        <f>IFERROR(IF('0. Supuestos'!$B$11="","",'0. Supuestos'!$B$11),"")</f>
        <v>0.925</v>
      </c>
      <c r="F10" s="28" t="inlineStr">
        <is>
          <t>Barra de pan artesanal y bollería/pastelería de tienda, más el canal mayorista a restaurantes y hoteles (el pan que se vende a otro negocio sigue siendo la misma partida de producto que el que se vende en mostrador, sólo cambia el canal). OJO: el modelo proyecta las ventas con UN solo motor —transacciones × ticket × días—, así que el reparto a otro negocio entra aquí como una transacción más y no como un pedido grande. Lo que sí recoge el libro es su efecto en la caja, con los días medios de cobro de la hoja de Supuestos. Si el mayorista pesa de verdad en tu proyecto, proyéctalo aparte · El 4 % es el tipo SUPERREDUCIDO del pan común y de las harinas panificables (art. 91.Dos.1.1.º de la Ley 37/1992); la bollería, la pastelería y el consumo en el propio local van al 10 %. El porcentaje de la derecha dice qué parte de esta línea es pan común: sale del desglose de la versión anterior de este plan (pan artesanal 120.000 € + mayorista 20.000 € sobre 185.000 €). Ajústalo a tu carta: un pan especial NO es pan común</t>
        </is>
      </c>
      <c r="G10" s="30">
        <f>IFERROR(IF(B9="","",H10*0.04+(1-H10)*'0. Supuestos'!$B$39),"")</f>
        <v>0.054400000000000004</v>
      </c>
      <c r="H10" s="41" t="n">
        <v>0.76</v>
      </c>
    </row>
    <row r="11">
      <c r="A11" s="28" t="inlineStr">
        <is>
          <t>Ventas de café y bebidas (sin alcohol)</t>
        </is>
      </c>
      <c r="B11" s="32">
        <f>IFERROR(IF(B9="","",B9*$E$11),"")</f>
        <v>23017.499999999985</v>
      </c>
      <c r="C11" s="32">
        <f>IFERROR(IF(C9="","",C9*$E$11),"")</f>
        <v>25779.599999999988</v>
      </c>
      <c r="D11" s="32">
        <f>IFERROR(IF(D9="","",D9*$E$11),"")</f>
        <v>27584.17199999999</v>
      </c>
      <c r="E11" s="30">
        <f>IFERROR(IF('0. Supuestos'!$B$12="","",'0. Supuestos'!$B$12),"")</f>
        <v>0.07499999999999996</v>
      </c>
      <c r="F11" s="28" t="inlineStr">
        <is>
          <t>Café de grano, tés e infusiones de mostrador, para acompañar el desayuno o la merienda: el coste es alto por el grano de calidad, y la tabla de referencias de la hoja de Instrucciones lo sitúa en el 25-30 % de sus propias ventas</t>
        </is>
      </c>
      <c r="G11" s="30">
        <f>IFERROR(IF(B9="","",('0. Supuestos'!$B$62*((1-'0. Supuestos'!$B$16)*'0. Supuestos'!$B$63+'0. Supuestos'!$B$16*'0. Supuestos'!$B$40)+(1-'0. Supuestos'!$B$62)*'0. Supuestos'!$B$39)),"")</f>
        <v>0.1</v>
      </c>
      <c r="H11" s="28" t="n"/>
    </row>
    <row r="12">
      <c r="A12" s="25" t="inlineStr">
        <is>
          <t>COSTES VARIABLES</t>
        </is>
      </c>
      <c r="B12" s="28" t="n"/>
      <c r="C12" s="28" t="n"/>
      <c r="D12" s="28" t="n"/>
      <c r="E12" s="28" t="n"/>
      <c r="F12" s="28" t="n"/>
      <c r="G12" s="28" t="n"/>
      <c r="H12" s="28" t="n"/>
    </row>
    <row r="13">
      <c r="A13" s="28" t="inlineStr">
        <is>
          <t>Coste de mercancía — comida</t>
        </is>
      </c>
      <c r="B13" s="32">
        <f>IFERROR(IF(B9="","",B9*'0. Supuestos'!$B$11*'0. Supuestos'!$B$13),"")</f>
        <v>82325.92499999999</v>
      </c>
      <c r="C13" s="32">
        <f>IFERROR(IF(C9="","",C9*'0. Supuestos'!$B$11*'0. Supuestos'!$B$13),"")</f>
        <v>92205.03600000002</v>
      </c>
      <c r="D13" s="32">
        <f>IFERROR(IF(D9="","",D9*'0. Supuestos'!$B$11*'0. Supuestos'!$B$13),"")</f>
        <v>98659.38852000002</v>
      </c>
      <c r="E13" s="30">
        <f>IFERROR(B13/$B$9,"")</f>
        <v>0.26825</v>
      </c>
      <c r="F13" s="28" t="str">
        <f>IFERROR("Al "&amp;TEXT('0. Supuestos'!$B$13,"0%")&amp;" de las ventas de COMIDA, no del total: la bebida tiene su propia línea · El IVA que SOPORTAS al comprar es el ponderado de las harinas panificables al 4 % (art. 91.Dos.1.1.º de la Ley 37/1992) y del resto de la materia prima al 10 %, con "&amp;"el mismo peso de pan común que declara la línea de ventas de arriba","")</f>
        <v>Al 29% de las ventas de COMIDA, no del total: la bebida tiene su propia línea · El IVA que SOPORTAS al comprar es el ponderado de las harinas panificables al 4 % (art. 91.Dos.1.1.º de la Ley 37/1992) y del resto de la materia prima al 10 %, con el mismo peso de pan común que declara la línea de ventas de arriba</v>
      </c>
      <c r="G13" s="30">
        <f>IFERROR(IF(B9="","",$H$10*0.04+(1-$H$10)*'0. Supuestos'!$B$39),"")</f>
        <v>0.054400000000000004</v>
      </c>
      <c r="H13" s="28" t="n"/>
    </row>
    <row r="14">
      <c r="A14" s="28" t="inlineStr">
        <is>
          <t>Coste de mercancía — bebida</t>
        </is>
      </c>
      <c r="B14" s="32">
        <f>IFERROR(IF(B9="","",B9*'0. Supuestos'!$B$12*'0. Supuestos'!$B$14),"")</f>
        <v>6214.724999999997</v>
      </c>
      <c r="C14" s="32">
        <f>IFERROR(IF(C9="","",C9*'0. Supuestos'!$B$12*'0. Supuestos'!$B$14),"")</f>
        <v>6960.4919999999975</v>
      </c>
      <c r="D14" s="32">
        <f>IFERROR(IF(D9="","",D9*'0. Supuestos'!$B$12*'0. Supuestos'!$B$14),"")</f>
        <v>7447.726439999999</v>
      </c>
      <c r="E14" s="30">
        <f>IFERROR(B14/$B$9,"")</f>
        <v>0.02024999999999999</v>
      </c>
      <c r="F14" s="28" t="str">
        <f>IFERROR("Al "&amp;TEXT('0. Supuestos'!$B$14,"0%")&amp;" de las ventas de BEBIDA","")</f>
        <v>Al 27% de las ventas de BEBIDA</v>
      </c>
      <c r="G14" s="30">
        <f>IFERROR(IF(B9="","",('0. Supuestos'!$B$62*'0. Supuestos'!$B$40+(1-'0. Supuestos'!$B$62)*'0. Supuestos'!$B$39)),"")</f>
        <v>0.1</v>
      </c>
      <c r="H14" s="28" t="n"/>
    </row>
    <row r="15">
      <c r="A15" s="28" t="inlineStr">
        <is>
          <t>Consumibles y envases</t>
        </is>
      </c>
      <c r="B15" s="32">
        <f>IFERROR(IF(B9="","",B9*'0. Supuestos'!$B$15),"")</f>
        <v>6138.0</v>
      </c>
      <c r="C15" s="32">
        <f>IFERROR(IF(C9="","",C9*'0. Supuestos'!$B$15),"")</f>
        <v>6874.560000000001</v>
      </c>
      <c r="D15" s="32">
        <f>IFERROR(IF(D9="","",D9*'0. Supuestos'!$B$15),"")</f>
        <v>7355.779200000002</v>
      </c>
      <c r="E15" s="30">
        <f>IFERROR(B15/$B$9,"")</f>
        <v>0.02</v>
      </c>
      <c r="F15" s="28" t="n"/>
      <c r="G15" s="30">
        <f>IFERROR(IF(B9="","",'0. Supuestos'!$B$41),"")</f>
        <v>0.21</v>
      </c>
      <c r="H15" s="28" t="n"/>
    </row>
    <row r="16">
      <c r="A16" s="28" t="inlineStr">
        <is>
          <t>Comisiones de delivery</t>
        </is>
      </c>
      <c r="B16" s="32">
        <f>IFERROR(IF(B9="","",B9*'0. Supuestos'!$B$16*'0. Supuestos'!$B$17),"")</f>
        <v>0.0</v>
      </c>
      <c r="C16" s="32">
        <f>IFERROR(IF(C9="","",C9*'0. Supuestos'!$B$16*'0. Supuestos'!$B$17),"")</f>
        <v>0.0</v>
      </c>
      <c r="D16" s="32">
        <f>IFERROR(IF(D9="","",D9*'0. Supuestos'!$B$16*'0. Supuestos'!$B$17),"")</f>
        <v>0.0</v>
      </c>
      <c r="E16" s="30">
        <f>IFERROR(B16/$B$9,"")</f>
        <v>0.0</v>
      </c>
      <c r="F16" s="28" t="inlineStr">
        <is>
          <t>Sobre las ventas DEL CANAL. Con 0 % de delivery en Supuestos, esta línea vale cero</t>
        </is>
      </c>
      <c r="G16" s="30">
        <f>IFERROR(IF(B9="","",'0. Supuestos'!$B$41),"")</f>
        <v>0.21</v>
      </c>
      <c r="H16" s="28" t="n"/>
    </row>
    <row r="17">
      <c r="A17" s="28" t="inlineStr">
        <is>
          <t>Comisiones de los medios de pago</t>
        </is>
      </c>
      <c r="B17" s="32">
        <f>IFERROR(IF(B9="","",B9*'0. Supuestos'!$B$18),"")</f>
        <v>2455.2000000000003</v>
      </c>
      <c r="C17" s="32">
        <f>IFERROR(IF(C9="","",C9*'0. Supuestos'!$B$18),"")</f>
        <v>2749.8240000000005</v>
      </c>
      <c r="D17" s="32">
        <f>IFERROR(IF(D9="","",D9*'0. Supuestos'!$B$18),"")</f>
        <v>2942.3116800000007</v>
      </c>
      <c r="E17" s="30">
        <f>IFERROR(B17/$B$9,"")</f>
        <v>0.008</v>
      </c>
      <c r="F17" s="28" t="inlineStr">
        <is>
          <t>Las comisiones de los medios de pago están EXENTAS de IVA (art. 20.Uno.18 LIVA): no se deduce nada por ellas</t>
        </is>
      </c>
      <c r="G17" s="30" t="n">
        <v>0</v>
      </c>
      <c r="H17" s="28" t="n"/>
    </row>
    <row r="18">
      <c r="A18" s="28" t="inlineStr">
        <is>
          <t>Varios e imprevistos</t>
        </is>
      </c>
      <c r="B18" s="32">
        <f>IFERROR(IF(B9="","",B9*'0. Supuestos'!$B$28),"")</f>
        <v>6138.0</v>
      </c>
      <c r="C18" s="32">
        <f>IFERROR(IF(C9="","",C9*'0. Supuestos'!$B$28),"")</f>
        <v>6874.560000000001</v>
      </c>
      <c r="D18" s="32">
        <f>IFERROR(IF(D9="","",D9*'0. Supuestos'!$B$28),"")</f>
        <v>7355.779200000002</v>
      </c>
      <c r="E18" s="30">
        <f>IFERROR(B18/$B$9,"")</f>
        <v>0.02</v>
      </c>
      <c r="F18" s="28"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30">
        <f>IFERROR(IF(B9="","",'0. Supuestos'!$B$41),"")</f>
        <v>0.21</v>
      </c>
      <c r="H18" s="28" t="n"/>
    </row>
    <row r="19">
      <c r="A19" s="25" t="inlineStr">
        <is>
          <t>TOTAL COSTES VARIABLES</t>
        </is>
      </c>
      <c r="B19" s="26">
        <f>IFERROR(IF(B9="","",SUM(B13:B18)),"")</f>
        <v>103271.84999999998</v>
      </c>
      <c r="C19" s="26">
        <f>IFERROR(IF(C9="","",SUM(C13:C18)),"")</f>
        <v>115664.47200000001</v>
      </c>
      <c r="D19" s="26">
        <f>IFERROR(IF(D9="","",SUM(D13:D18)),"")</f>
        <v>123760.98504000003</v>
      </c>
      <c r="E19" s="27">
        <f>IFERROR(B19/$B$9,"")</f>
        <v>0.3364999999999999</v>
      </c>
      <c r="F19" s="28" t="n"/>
      <c r="G19" s="28" t="n"/>
      <c r="H19" s="28" t="n"/>
    </row>
    <row r="20">
      <c r="A20" s="25" t="inlineStr">
        <is>
          <t>MARGEN BRUTO</t>
        </is>
      </c>
      <c r="B20" s="26">
        <f>IFERROR(IF(B9="","",B9-B19),"")</f>
        <v>203628.15000000002</v>
      </c>
      <c r="C20" s="26">
        <f>IFERROR(IF(C9="","",C9-C19),"")</f>
        <v>228063.52800000005</v>
      </c>
      <c r="D20" s="26">
        <f>IFERROR(IF(D9="","",D9-D19),"")</f>
        <v>244027.97496000005</v>
      </c>
      <c r="E20" s="27">
        <f>IFERROR(B20/$B$9,"")</f>
        <v>0.6635000000000001</v>
      </c>
      <c r="F20" s="28" t="n"/>
      <c r="G20" s="28" t="n"/>
      <c r="H20" s="28" t="n"/>
    </row>
    <row r="21">
      <c r="A21" s="25" t="inlineStr">
        <is>
          <t>COSTES FIJOS</t>
        </is>
      </c>
      <c r="B21" s="28" t="n"/>
      <c r="C21" s="28" t="n"/>
      <c r="D21" s="28" t="n"/>
      <c r="E21" s="28" t="n"/>
      <c r="F21" s="28" t="n"/>
      <c r="G21" s="28" t="n"/>
      <c r="H21" s="28" t="n"/>
    </row>
    <row r="22">
      <c r="A22" s="28" t="inlineStr">
        <is>
          <t>Alquiler del local</t>
        </is>
      </c>
      <c r="B22" s="32">
        <f>IFERROR(IF(B9="","",'0. Supuestos'!$B$24*12),"")</f>
        <v>25200.0</v>
      </c>
      <c r="C22" s="32">
        <f>IFERROR(IF(C9="","",B22*(1+'0. Supuestos'!$B$48)),"")</f>
        <v>25200.0</v>
      </c>
      <c r="D22" s="32">
        <f>IFERROR(IF(D9="","",C22*(1+'0. Supuestos'!$B$48)),"")</f>
        <v>25200.0</v>
      </c>
      <c r="E22" s="30">
        <f>IFERROR(B22/$B$9,"")</f>
        <v>0.08211143695014662</v>
      </c>
      <c r="F22" s="28" t="inlineStr">
        <is>
          <t>El importe mensual está en la hoja de Supuestos; aquí se multiplica por doce. La renta de los meses de obra, que es anterior a la apertura, está en la hoja de Inversión y NO se cuenta dos veces</t>
        </is>
      </c>
      <c r="G22" s="30">
        <f>IFERROR(IF(B9="","",'0. Supuestos'!$B$41),"")</f>
        <v>0.21</v>
      </c>
      <c r="H22" s="28" t="n"/>
    </row>
    <row r="23">
      <c r="A23" s="28" t="inlineStr">
        <is>
          <t>Personal (nóminas + Seguridad Social)</t>
        </is>
      </c>
      <c r="B23" s="32">
        <f>IFERROR(IF(B9="","",'Personal'!$G$11),"")</f>
        <v>113861.3</v>
      </c>
      <c r="C23" s="32">
        <f>IFERROR(IF(C9="","",'Personal'!$B$15),"")</f>
        <v>119861.3</v>
      </c>
      <c r="D23" s="32">
        <f>IFERROR(IF(D9="","",'Personal'!$B$16),"")</f>
        <v>125861.3</v>
      </c>
      <c r="E23" s="30">
        <f>IFERROR(B23/$B$9,"")</f>
        <v>0.37100456174649726</v>
      </c>
      <c r="F23" s="28" t="inlineStr">
        <is>
          <t>Sale de la hoja de Personal: es el MISMO número, no una estimación aparte. Los años 2 y 3 suman las INCORPORACIONES declaradas en esa hoja, no un porcentaje de volumen</t>
        </is>
      </c>
      <c r="G23" s="30" t="n">
        <v>0</v>
      </c>
      <c r="H23" s="28" t="n"/>
    </row>
    <row r="24">
      <c r="A24" s="28" t="inlineStr">
        <is>
          <t>Suministros (luz, agua, gas)</t>
        </is>
      </c>
      <c r="B24" s="32">
        <f>IFERROR(IF(B9="","",'0. Supuestos'!$B$26*12),"")</f>
        <v>10500.0</v>
      </c>
      <c r="C24" s="32">
        <f>IFERROR(IF(C9="","",B24*(1+'0. Supuestos'!$B$48)),"")</f>
        <v>10500.0</v>
      </c>
      <c r="D24" s="32">
        <f>IFERROR(IF(D9="","",C24*(1+'0. Supuestos'!$B$48)),"")</f>
        <v>10500.0</v>
      </c>
      <c r="E24" s="30">
        <f>IFERROR(B24/$B$9,"")</f>
        <v>0.03421309872922776</v>
      </c>
      <c r="F24" s="28" t="inlineStr">
        <is>
          <t>Luz y gas van al 21 %; la factura del agua, al 10 %. El libro aplica a toda esta partida el tipo de la columna de al lado (21 %): si el agua pesa mucho en tu local, sepárala en su línea</t>
        </is>
      </c>
      <c r="G24" s="30">
        <f>IFERROR(IF(B9="","",'0. Supuestos'!$B$41),"")</f>
        <v>0.21</v>
      </c>
      <c r="H24" s="28" t="n"/>
    </row>
    <row r="25">
      <c r="A25" s="28" t="inlineStr">
        <is>
          <t>Seguros (RC + multirriesgo)</t>
        </is>
      </c>
      <c r="B25" s="32">
        <f>IFERROR(IF(B9="","",'0. Supuestos'!$B$27),"")</f>
        <v>2100.0</v>
      </c>
      <c r="C25" s="32">
        <f>IFERROR(IF(C9="","",B25*(1+'0. Supuestos'!$B$48)),"")</f>
        <v>2100.0</v>
      </c>
      <c r="D25" s="32">
        <f>IFERROR(IF(D9="","",C25*(1+'0. Supuestos'!$B$48)),"")</f>
        <v>2100.0</v>
      </c>
      <c r="E25" s="30">
        <f>IFERROR(B25/$B$9,"")</f>
        <v>0.006842619745845552</v>
      </c>
      <c r="F25" s="28" t="inlineStr">
        <is>
          <t>Las operaciones de seguro están EXENTAS de IVA (art. 20.Uno.16 LIVA): la prima no lleva IVA deducible</t>
        </is>
      </c>
      <c r="G25" s="30" t="n">
        <v>0</v>
      </c>
      <c r="H25" s="28" t="n"/>
    </row>
    <row r="26">
      <c r="A26" s="28" t="inlineStr">
        <is>
          <t>Gestoría</t>
        </is>
      </c>
      <c r="B26" s="29" t="n">
        <v>2400</v>
      </c>
      <c r="C26" s="32">
        <f>IFERROR(IF(C9="","",B26*(1+'0. Supuestos'!$B$48)),"")</f>
        <v>2400.0</v>
      </c>
      <c r="D26" s="32">
        <f>IFERROR(IF(D9="","",C26*(1+'0. Supuestos'!$B$48)),"")</f>
        <v>2400.0</v>
      </c>
      <c r="E26" s="30">
        <f>IFERROR(B26/$B$9,"")</f>
        <v>0.007820136852394917</v>
      </c>
      <c r="F26" s="28" t="n"/>
      <c r="G26" s="30">
        <f>IFERROR(IF(B9="","",'0. Supuestos'!$B$41),"")</f>
        <v>0.21</v>
      </c>
      <c r="H26" s="28" t="n"/>
    </row>
    <row r="27">
      <c r="A27" s="28" t="inlineStr">
        <is>
          <t>Mantenimiento hornos y maquinaria</t>
        </is>
      </c>
      <c r="B27" s="29" t="n">
        <v>2500</v>
      </c>
      <c r="C27" s="32">
        <f>IFERROR(IF(C9="","",B27*(1+'0. Supuestos'!$B$48)),"")</f>
        <v>2500.0</v>
      </c>
      <c r="D27" s="32">
        <f>IFERROR(IF(D9="","",C27*(1+'0. Supuestos'!$B$48)),"")</f>
        <v>2500.0</v>
      </c>
      <c r="E27" s="30">
        <f>IFERROR(B27/$B$9,"")</f>
        <v>0.008145975887911373</v>
      </c>
      <c r="F27" s="28" t="n"/>
      <c r="G27" s="30">
        <f>IFERROR(IF(B9="","",'0. Supuestos'!$B$41),"")</f>
        <v>0.21</v>
      </c>
      <c r="H27" s="28" t="n"/>
    </row>
    <row r="28">
      <c r="A28" s="28" t="inlineStr">
        <is>
          <t>Marketing</t>
        </is>
      </c>
      <c r="B28" s="29" t="n">
        <v>3600</v>
      </c>
      <c r="C28" s="32">
        <f>IFERROR(IF(C9="","",B28*(1+'0. Supuestos'!$B$48)),"")</f>
        <v>3600.0</v>
      </c>
      <c r="D28" s="32">
        <f>IFERROR(IF(D9="","",C28*(1+'0. Supuestos'!$B$48)),"")</f>
        <v>3600.0</v>
      </c>
      <c r="E28" s="30">
        <f>IFERROR(B28/$B$9,"")</f>
        <v>0.011730205278592375</v>
      </c>
      <c r="F28" s="28" t="n"/>
      <c r="G28" s="30">
        <f>IFERROR(IF(B9="","",'0. Supuestos'!$B$41),"")</f>
        <v>0.21</v>
      </c>
      <c r="H28" s="28" t="n"/>
    </row>
    <row r="29">
      <c r="A29" s="28" t="inlineStr">
        <is>
          <t>Software</t>
        </is>
      </c>
      <c r="B29" s="29" t="n">
        <v>600</v>
      </c>
      <c r="C29" s="32">
        <f>IFERROR(IF(C9="","",B29*(1+'0. Supuestos'!$B$48)),"")</f>
        <v>600.0</v>
      </c>
      <c r="D29" s="32">
        <f>IFERROR(IF(D9="","",C29*(1+'0. Supuestos'!$B$48)),"")</f>
        <v>600.0</v>
      </c>
      <c r="E29" s="30">
        <f>IFERROR(B29/$B$9,"")</f>
        <v>0.0019550342130987292</v>
      </c>
      <c r="F29" s="28" t="n"/>
      <c r="G29" s="30">
        <f>IFERROR(IF(B9="","",'0. Supuestos'!$B$41),"")</f>
        <v>0.21</v>
      </c>
      <c r="H29" s="28" t="n"/>
    </row>
    <row r="30">
      <c r="A30" s="28" t="inlineStr">
        <is>
          <t>Limpieza</t>
        </is>
      </c>
      <c r="B30" s="29" t="n">
        <v>1800</v>
      </c>
      <c r="C30" s="32">
        <f>IFERROR(IF(C9="","",B30*(1+'0. Supuestos'!$B$48)),"")</f>
        <v>1800.0</v>
      </c>
      <c r="D30" s="32">
        <f>IFERROR(IF(D9="","",C30*(1+'0. Supuestos'!$B$48)),"")</f>
        <v>1800.0</v>
      </c>
      <c r="E30" s="30">
        <f>IFERROR(B30/$B$9,"")</f>
        <v>0.005865102639296188</v>
      </c>
      <c r="F30" s="28" t="n"/>
      <c r="G30" s="30">
        <f>IFERROR(IF(B9="","",'0. Supuestos'!$B$41),"")</f>
        <v>0.21</v>
      </c>
      <c r="H30" s="28" t="n"/>
    </row>
    <row r="31">
      <c r="A31" s="28" t="inlineStr">
        <is>
          <t>Varios</t>
        </is>
      </c>
      <c r="B31" s="29" t="n">
        <v>2000</v>
      </c>
      <c r="C31" s="32">
        <f>IFERROR(IF(C9="","",B31*(1+'0. Supuestos'!$B$48)),"")</f>
        <v>2000.0</v>
      </c>
      <c r="D31" s="32">
        <f>IFERROR(IF(D9="","",C31*(1+'0. Supuestos'!$B$48)),"")</f>
        <v>2000.0</v>
      </c>
      <c r="E31" s="30">
        <f>IFERROR(B31/$B$9,"")</f>
        <v>0.006516780710329097</v>
      </c>
      <c r="F31" s="28" t="n"/>
      <c r="G31" s="30">
        <f>IFERROR(IF(B9="","",'0. Supuestos'!$B$41),"")</f>
        <v>0.21</v>
      </c>
      <c r="H31" s="28" t="n"/>
    </row>
    <row r="32">
      <c r="A32" s="28" t="inlineStr">
        <is>
          <t>Gestión de residuos (orgánico de obrador, cartón; sin aceite de fritura)</t>
        </is>
      </c>
      <c r="B32" s="29" t="n">
        <v>700</v>
      </c>
      <c r="C32" s="32">
        <f>IFERROR(IF(C9="","",B32*(1+'0. Supuestos'!$B$48)),"")</f>
        <v>700.0</v>
      </c>
      <c r="D32" s="32">
        <f>IFERROR(IF(D9="","",C32*(1+'0. Supuestos'!$B$48)),"")</f>
        <v>700.0</v>
      </c>
      <c r="E32" s="30">
        <f>IFERROR(B32/$B$9,"")</f>
        <v>0.002280873248615184</v>
      </c>
      <c r="F32" s="28" t="inlineStr">
        <is>
          <t>Gestor autorizado; el checklist lo pide antes de abrir. Este plan no fríe (licencia «inocua»), así que el volumen es menor que en un restaurante — pide presupuesto en tu zona</t>
        </is>
      </c>
      <c r="G32" s="30">
        <f>IFERROR(IF(B9="","",'0. Supuestos'!$B$41),"")</f>
        <v>0.21</v>
      </c>
      <c r="H32" s="28" t="n"/>
    </row>
    <row r="33">
      <c r="A33" s="28" t="inlineStr">
        <is>
          <t>Desinsectación, desratización y desinfección (DDD)</t>
        </is>
      </c>
      <c r="B33" s="29" t="n">
        <v>750</v>
      </c>
      <c r="C33" s="32">
        <f>IFERROR(IF(C9="","",B33*(1+'0. Supuestos'!$B$48)),"")</f>
        <v>750.0</v>
      </c>
      <c r="D33" s="32">
        <f>IFERROR(IF(D9="","",C33*(1+'0. Supuestos'!$B$48)),"")</f>
        <v>750.0</v>
      </c>
      <c r="E33" s="30">
        <f>IFERROR(B33/$B$9,"")</f>
        <v>0.0024437927663734115</v>
      </c>
      <c r="F33" s="28" t="inlineStr">
        <is>
          <t>Empresa inscrita en el ROESB; forma parte del plan APPCC que el checklist ya exige (F4). La harina almacenada atrae plaga con más facilidad que en un restaurante: presupuesto ligeramente mayor</t>
        </is>
      </c>
      <c r="G33" s="30">
        <f>IFERROR(IF(B9="","",'0. Supuestos'!$B$41),"")</f>
        <v>0.21</v>
      </c>
      <c r="H33" s="28" t="n"/>
    </row>
    <row r="34">
      <c r="A34" s="28" t="inlineStr">
        <is>
          <t>Derechos de autor por música ambiental</t>
        </is>
      </c>
      <c r="B34" s="29" t="n">
        <v>700</v>
      </c>
      <c r="C34" s="32">
        <f>IFERROR(IF(C9="","",B34*(1+'0. Supuestos'!$B$48)),"")</f>
        <v>700.0</v>
      </c>
      <c r="D34" s="32">
        <f>IFERROR(IF(D9="","",C34*(1+'0. Supuestos'!$B$48)),"")</f>
        <v>700.0</v>
      </c>
      <c r="E34" s="30">
        <f>IFERROR(B34/$B$9,"")</f>
        <v>0.002280873248615184</v>
      </c>
      <c r="F34" s="28" t="inlineStr">
        <is>
          <t>SGAE y AGEDI-AIE son dos licencias distintas; el importe depende de los metros y del aforo de tu tienda</t>
        </is>
      </c>
      <c r="G34" s="30">
        <f>IFERROR(IF(B9="","",'0. Supuestos'!$B$41),"")</f>
        <v>0.21</v>
      </c>
      <c r="H34" s="28" t="n"/>
    </row>
    <row r="35">
      <c r="A35" s="28" t="inlineStr">
        <is>
          <t>Prevención de riesgos laborales y vigilancia de la salud</t>
        </is>
      </c>
      <c r="B35" s="29" t="n">
        <v>550</v>
      </c>
      <c r="C35" s="32">
        <f>IFERROR(IF(C9="","",B35*(1+'0. Supuestos'!$B$48)),"")</f>
        <v>550.0</v>
      </c>
      <c r="D35" s="32">
        <f>IFERROR(IF(D9="","",C35*(1+'0. Supuestos'!$B$48)),"")</f>
        <v>550.0</v>
      </c>
      <c r="E35" s="30">
        <f>IFERROR(B35/$B$9,"")</f>
        <v>0.0017921146953405018</v>
      </c>
      <c r="F35" s="28" t="inlineStr">
        <is>
          <t>El plan de prevención es obligatorio; el proveedor externo, no (art. 30.5 de la Ley 31/1995) — el checklist F4 lo corrige. Un obrador tiene riesgos específicos (quemaduras, cargas, harina en suspensión) que el propio checklist ya nombra (F4!E10)</t>
        </is>
      </c>
      <c r="G35" s="30">
        <f>IFERROR(IF(B9="","",'0. Supuestos'!$B$41),"")</f>
        <v>0.21</v>
      </c>
      <c r="H35" s="28" t="n"/>
    </row>
    <row r="36">
      <c r="A36" s="28" t="inlineStr">
        <is>
          <t>Amortización del inmovilizado</t>
        </is>
      </c>
      <c r="B36" s="32">
        <f>IFERROR(IF(B9="","",'Inversión Inicial'!$B$38),"")</f>
        <v>9292.222222222223</v>
      </c>
      <c r="C36" s="32">
        <f>IFERROR(IF(C9="","",B36),"")</f>
        <v>9292.222222222223</v>
      </c>
      <c r="D36" s="32">
        <f>IFERROR(IF(D9="","",B36),"")</f>
        <v>9292.222222222223</v>
      </c>
      <c r="E36" s="30">
        <f>IFERROR(B36/$B$9,"")</f>
        <v>0.03027768726693458</v>
      </c>
      <c r="F36" s="28" t="inlineStr">
        <is>
          <t>Sale de las bases de amortización de la hoja de Inversión: sólo inmovilizado real. NO sube con el IPC: es una cuota sobre el coste HISTÓRICO del inmovilizado</t>
        </is>
      </c>
      <c r="G36" s="30" t="n">
        <v>0</v>
      </c>
      <c r="H36" s="28" t="n"/>
    </row>
    <row r="37">
      <c r="A37" s="28" t="inlineStr">
        <is>
          <t>Gastos financieros (intereses del préstamo)</t>
        </is>
      </c>
      <c r="B37" s="32">
        <f>IFERROR(IF(B9="","",'Financiación'!$B$44),"")</f>
        <v>7200.0</v>
      </c>
      <c r="C37" s="32">
        <f>IFERROR(IF(C9="","",'Financiación'!$B$46),"")</f>
        <v>7200.0</v>
      </c>
      <c r="D37" s="32">
        <f>IFERROR(IF(D9="","",'Financiación'!$B$48),"")</f>
        <v>6167.789074980753</v>
      </c>
      <c r="E37" s="30">
        <f>IFERROR(B37/$B$9,"")</f>
        <v>0.02346041055718475</v>
      </c>
      <c r="F37" s="28" t="inlineStr">
        <is>
          <t>Sólo los INTERESES son gasto. La devolución del principal va en la hoja de Tesorería</t>
        </is>
      </c>
      <c r="G37" s="30" t="n">
        <v>0</v>
      </c>
      <c r="H37" s="28" t="n"/>
    </row>
    <row r="38">
      <c r="A38" s="25" t="inlineStr">
        <is>
          <t>TOTAL COSTES FIJOS</t>
        </is>
      </c>
      <c r="B38" s="26">
        <f>IFERROR(IF(B9="","",SUM(B22:B37)),"")</f>
        <v>183753.5222222222</v>
      </c>
      <c r="C38" s="26">
        <f>IFERROR(IF(C9="","",SUM(C22:C37)),"")</f>
        <v>189753.5222222222</v>
      </c>
      <c r="D38" s="26">
        <f>IFERROR(IF(D9="","",SUM(D22:D37)),"")</f>
        <v>194721.31129720295</v>
      </c>
      <c r="E38" s="27">
        <f>IFERROR(B38/$B$9,"")</f>
        <v>0.5987407045364034</v>
      </c>
      <c r="F38" s="28" t="n"/>
      <c r="G38" s="28" t="n"/>
      <c r="H38" s="28" t="n"/>
    </row>
    <row r="39">
      <c r="A39" s="33" t="inlineStr">
        <is>
          <t>IVA soportado de los costes variables</t>
        </is>
      </c>
      <c r="B39" s="34">
        <f>IFERROR(IF(B9="","",SUMPRODUCT(B13:B18,G13:G18)),"")</f>
        <v>7677.962819999999</v>
      </c>
      <c r="C39" s="34">
        <f>IFERROR(IF(C9="","",SUMPRODUCT(C13:C18,G13:G18)),"")</f>
        <v>8599.318358400002</v>
      </c>
      <c r="D39" s="34">
        <f>IFERROR(IF(D9="","",SUMPRODUCT(D13:D18,G13:G18)),"")</f>
        <v>9201.270643488002</v>
      </c>
      <c r="F39" s="33" t="inlineStr">
        <is>
          <t>Cada línea a SU tipo, leído de la columna de al lado. Es lo que la hoja de Tesorería paga de más a los proveedores y luego se deduce</t>
        </is>
      </c>
    </row>
    <row r="40">
      <c r="A40" s="33" t="inlineStr">
        <is>
          <t>IVA soportado de los costes fijos</t>
        </is>
      </c>
      <c r="B40" s="34">
        <f>IFERROR(IF(B9="","",SUMPRODUCT(B22:B37,G22:G37)),"")</f>
        <v>10773.0</v>
      </c>
      <c r="C40" s="34">
        <f>IFERROR(IF(C9="","",SUMPRODUCT(C22:C37,G22:G37)),"")</f>
        <v>10773.0</v>
      </c>
      <c r="D40" s="34">
        <f>IFERROR(IF(D9="","",SUMPRODUCT(D22:D37,G22:G37)),"")</f>
        <v>10773.0</v>
      </c>
    </row>
    <row r="41">
      <c r="A41" s="16" t="inlineStr">
        <is>
          <t>RESULTADO ANTES DE IMPUESTOS</t>
        </is>
      </c>
      <c r="B41" s="35">
        <f>IFERROR(IF(B9="","",B20-B38),"")</f>
        <v>19874.627777777816</v>
      </c>
      <c r="C41" s="35">
        <f>IFERROR(IF(C9="","",C20-C38),"")</f>
        <v>38310.00577777784</v>
      </c>
      <c r="D41" s="35">
        <f>IFERROR(IF(D9="","",D20-D38),"")</f>
        <v>49306.6636627971</v>
      </c>
      <c r="E41" s="36">
        <f>IFERROR(B41/$B$9,"")</f>
        <v>0.06475929546359667</v>
      </c>
    </row>
    <row r="42">
      <c r="A42" s="33" t="inlineStr">
        <is>
          <t>Bases negativas pendientes al inicio</t>
        </is>
      </c>
      <c r="B42" s="34">
        <f>IFERROR(IF(B9="","",'0. Supuestos'!$B$42),"")</f>
        <v>0.0</v>
      </c>
      <c r="C42" s="34">
        <f>IFERROR(IF(C9="","",B47),"")</f>
        <v>0.0</v>
      </c>
      <c r="D42" s="34">
        <f>IFERROR(IF(D9="","",C47),"")</f>
        <v>0.0</v>
      </c>
      <c r="F42" s="33" t="inlineStr">
        <is>
          <t>Art. 26 LIS: las pérdidas de un ejercicio se compensan con los beneficios de los siguientes</t>
        </is>
      </c>
    </row>
    <row r="43">
      <c r="A43" s="33" t="inlineStr">
        <is>
          <t>Base imponible (después de compensar)</t>
        </is>
      </c>
      <c r="B43" s="34">
        <f>IFERROR(IF(B9="","",MAX(0,B41-B42)),"")</f>
        <v>19874.627777777816</v>
      </c>
      <c r="C43" s="34">
        <f>IFERROR(IF(C9="","",MAX(0,C41-C42)),"")</f>
        <v>38310.00577777784</v>
      </c>
      <c r="D43" s="34">
        <f>IFERROR(IF(D9="","",MAX(0,D41-D42)),"")</f>
        <v>49306.6636627971</v>
      </c>
    </row>
    <row r="44">
      <c r="A44" s="33" t="inlineStr">
        <is>
          <t>Ejercicios con base positiva (acumulado)</t>
        </is>
      </c>
      <c r="B44" s="42">
        <f>IFERROR(IF(B9="","",IF(B43&gt;0,1,0)),"")</f>
        <v>1.0</v>
      </c>
      <c r="C44" s="42">
        <f>IFERROR(IF(C9="","",B44+IF(C43&gt;0,1,0)),"")</f>
        <v>2.0</v>
      </c>
      <c r="D44" s="42">
        <f>IFERROR(IF(D9="","",C44+IF(D43&gt;0,1,0)),"")</f>
        <v>3.0</v>
      </c>
    </row>
    <row r="45">
      <c r="A45" s="33" t="inlineStr">
        <is>
          <t>Tipo de Impuesto de Sociedades aplicado</t>
        </is>
      </c>
      <c r="B45" s="22">
        <f>IFERROR(IF(B9="","",IF(B43&lt;=0,"",IF(B44&lt;=2,'0. Supuestos'!$B$37,'0. Supuestos'!$B$38))),"")</f>
        <v>0.15</v>
      </c>
      <c r="C45" s="22">
        <f>IFERROR(IF(C9="","",IF(C43&lt;=0,"",IF(C44&lt;=2,'0. Supuestos'!$B$37,'0. Supuestos'!$B$38))),"")</f>
        <v>0.15</v>
      </c>
      <c r="D45" s="22">
        <f>IFERROR(IF(D9="","",IF(D43&lt;=0,"",IF(D44&lt;=2,'0. Supuestos'!$B$37,'0. Supuestos'!$B$38))),"")</f>
        <v>0.25</v>
      </c>
      <c r="F45" s="33" t="inlineStr">
        <is>
          <t>Art. 29.1 LIS: el 15 % de entidad de nueva creación se aplica al PRIMER ejercicio con base positiva y al SIGUIENTE, no al primer año de vida. El libro lo aproxima contando los dos primeros ejercicios con base positiva</t>
        </is>
      </c>
    </row>
    <row r="46">
      <c r="A46" s="33" t="inlineStr">
        <is>
          <t>Impuesto de Sociedades</t>
        </is>
      </c>
      <c r="B46" s="34">
        <f>IFERROR(IF(B9="","",IF(B45="",0,B43*B45)),"")</f>
        <v>2981.194166666672</v>
      </c>
      <c r="C46" s="34">
        <f>IFERROR(IF(C9="","",IF(C45="",0,C43*C45)),"")</f>
        <v>5746.500866666676</v>
      </c>
      <c r="D46" s="34">
        <f>IFERROR(IF(D9="","",IF(D45="",0,D43*D45)),"")</f>
        <v>12326.665915699276</v>
      </c>
    </row>
    <row r="47">
      <c r="A47" s="33" t="inlineStr">
        <is>
          <t>Bases negativas pendientes al cierre</t>
        </is>
      </c>
      <c r="B47" s="34">
        <f>IFERROR(IF(B9="","",MAX(0,B42-B41)),"")</f>
        <v>0.0</v>
      </c>
      <c r="C47" s="34">
        <f>IFERROR(IF(C9="","",MAX(0,C42-C41)),"")</f>
        <v>0.0</v>
      </c>
      <c r="D47" s="34">
        <f>IFERROR(IF(D9="","",MAX(0,D42-D41)),"")</f>
        <v>0.0</v>
      </c>
    </row>
    <row r="48">
      <c r="A48" s="16" t="inlineStr">
        <is>
          <t>RESULTADO NETO</t>
        </is>
      </c>
      <c r="B48" s="35">
        <f>IFERROR(IF(B9="","",B41-B46),"")</f>
        <v>16893.433611111144</v>
      </c>
      <c r="C48" s="35">
        <f>IFERROR(IF(C9="","",C41-C46),"")</f>
        <v>32563.504911111166</v>
      </c>
      <c r="D48" s="35">
        <f>IFERROR(IF(D9="","",D41-D46),"")</f>
        <v>36979.99774709783</v>
      </c>
      <c r="E48" s="36">
        <f>IFERROR(B48/$B$9,"")</f>
        <v>0.05504540114405716</v>
      </c>
    </row>
    <row r="49">
      <c r="A49" s="16" t="inlineStr">
        <is>
          <t>RATIOS CLAVE</t>
        </is>
      </c>
    </row>
    <row r="50">
      <c r="A50" s="16" t="inlineStr">
        <is>
          <t>Ratio</t>
        </is>
      </c>
      <c r="B50" s="16" t="inlineStr">
        <is>
          <t>Año 1</t>
        </is>
      </c>
      <c r="C50" s="16" t="inlineStr">
        <is>
          <t>Año 2</t>
        </is>
      </c>
      <c r="D50" s="16" t="inlineStr">
        <is>
          <t>Año 3</t>
        </is>
      </c>
      <c r="E50" s="16" t="inlineStr">
        <is>
          <t>Umbral</t>
        </is>
      </c>
      <c r="F50" s="16" t="inlineStr">
        <is>
          <t>Comentario</t>
        </is>
      </c>
    </row>
    <row r="51">
      <c r="A51" s="33" t="inlineStr">
        <is>
          <t>Margen bruto / Ventas</t>
        </is>
      </c>
      <c r="B51" s="22">
        <f>IFERROR(IF(B9="","",B20/B9),"")</f>
        <v>0.6635000000000001</v>
      </c>
      <c r="C51" s="22">
        <f>IFERROR(IF(C9="","",C20/C9),"")</f>
        <v>0.6635</v>
      </c>
      <c r="D51" s="22">
        <f>IFERROR(IF(D9="","",D20/D9),"")</f>
        <v>0.6635</v>
      </c>
      <c r="E51" s="43" t="n">
        <v>0.62</v>
      </c>
      <c r="F51" s="33" t="inlineStr">
        <is>
          <t>Suelo que declara este mismo kit en la tabla «Datos de referencia del sector» de la hoja de Instrucciones: «Margen bruto objetivo: &gt; 62 %»</t>
        </is>
      </c>
    </row>
    <row r="52">
      <c r="A52" s="33" t="inlineStr">
        <is>
          <t>Coste de mercancía (comida + bebida)</t>
        </is>
      </c>
      <c r="B52" s="34">
        <f>IFERROR(IF(B9="","",B13+B14),"")</f>
        <v>88540.64999999998</v>
      </c>
      <c r="C52" s="34">
        <f>IFERROR(IF(C9="","",C13+C14),"")</f>
        <v>99165.52800000002</v>
      </c>
      <c r="D52" s="34">
        <f>IFERROR(IF(D9="","",D13+D14),"")</f>
        <v>106107.11496000002</v>
      </c>
    </row>
    <row r="53">
      <c r="A53" s="33" t="inlineStr">
        <is>
          <t>Coste de mercancía / Ventas</t>
        </is>
      </c>
      <c r="B53" s="22">
        <f>IFERROR(IF(B9="","",B52/B9),"")</f>
        <v>0.2884999999999999</v>
      </c>
      <c r="C53" s="22">
        <f>IFERROR(IF(C9="","",C52/C9),"")</f>
        <v>0.28850000000000003</v>
      </c>
      <c r="D53" s="22">
        <f>IFERROR(IF(D9="","",D52/D9),"")</f>
        <v>0.2885</v>
      </c>
      <c r="E53" s="43" t="n">
        <v>0.32</v>
      </c>
      <c r="F53" s="33" t="inlineStr">
        <is>
          <t>Techo del blend que publica este producto en esa misma tabla de referencias: pan 25-30 %, bollería 32-38 % y café 25-30 %</t>
        </is>
      </c>
    </row>
    <row r="54">
      <c r="A54" s="33" t="inlineStr">
        <is>
          <t>Coste de personal / Ventas</t>
        </is>
      </c>
      <c r="B54" s="22">
        <f>IFERROR(IF(B9="","",B23/B9),"")</f>
        <v>0.37100456174649726</v>
      </c>
      <c r="C54" s="22">
        <f>IFERROR(IF(C9="","",C23/C9),"")</f>
        <v>0.3487097356048968</v>
      </c>
      <c r="D54" s="22">
        <f>IFERROR(IF(D9="","",D23/D9),"")</f>
        <v>0.3422106525437848</v>
      </c>
      <c r="E54" s="43" t="n">
        <v>0.42</v>
      </c>
      <c r="F54" s="33" t="inlineStr">
        <is>
          <t>Techo del extremo ALTO del rango que publica este producto en la tabla de referencias de la hoja de Instrucciones («Coste de personal sobre ventas: 35-42 %»), el más alto de los cinco planes de restauración de esta línea. La nota de esa misma fila explica por qué: turno de madrugada y doble oficio (producción + venta). Usar el extremo bajo (35 %, el criterio de una cafetería) habría exigido una plantilla por debajo del mínimo operable de un obrador con horno diario</t>
        </is>
      </c>
    </row>
    <row r="55">
      <c r="A55" s="33" t="inlineStr">
        <is>
          <t>Alquiler / Ventas</t>
        </is>
      </c>
      <c r="B55" s="22">
        <f>IFERROR(IF(B9="","",B22/B9),"")</f>
        <v>0.08211143695014662</v>
      </c>
      <c r="C55" s="22">
        <f>IFERROR(IF(C9="","",C22/C9),"")</f>
        <v>0.07331378299120234</v>
      </c>
      <c r="D55" s="22">
        <f>IFERROR(IF(D9="","",D22/D9),"")</f>
        <v>0.06851755419738535</v>
      </c>
      <c r="E55" s="43" t="n">
        <v>0.1</v>
      </c>
      <c r="F55" s="33" t="inlineStr">
        <is>
          <t>Techo del extremo estricto que declara este mismo kit en la tabla de referencias de la hoja de Instrucciones: «Alquiler sobre ventas: 10-14 %»</t>
        </is>
      </c>
    </row>
    <row r="56">
      <c r="A56" s="33" t="inlineStr">
        <is>
          <t>Resultado neto / Ventas</t>
        </is>
      </c>
      <c r="B56" s="22">
        <f>IFERROR(IF(B9="","",B48/B9),"")</f>
        <v>0.05504540114405716</v>
      </c>
      <c r="C56" s="22">
        <f>IFERROR(IF(C9="","",C48/C9),"")</f>
        <v>0.09473625922564109</v>
      </c>
      <c r="D56" s="22">
        <f>IFERROR(IF(D9="","",D48/D9),"")</f>
        <v>0.10054678570856998</v>
      </c>
      <c r="E56" s="43" t="n">
        <v>0.05</v>
      </c>
      <c r="F56" s="33" t="inlineStr">
        <is>
          <t>Derivado del suelo de EBITDA que declara este producto para el año 2 en la tabla de referencias de la hoja de Instrucciones («EBITDA objetivo (año 2): 10-18 %, el primer año puede ser negativo»): descontando amortización, intereses e Impuesto de Sociedades, un EBITDA en la franja baja deja un resultado neto en torno al 5 %</t>
        </is>
      </c>
    </row>
    <row r="57">
      <c r="A57" s="33" t="inlineStr">
        <is>
          <t>Punto de equilibrio alcanzado</t>
        </is>
      </c>
      <c r="B57" t="str">
        <f>IFERROR(IF(B9="","",IF(B9&gt;='Punto Equilibrio'!$B$16,"Sí","No")),"")</f>
        <v>Sí</v>
      </c>
      <c r="C57" t="str">
        <f>IFERROR(IF(C9="","",IF(C9&gt;='Punto Equilibrio'!$C$16,"Sí","No")),"")</f>
        <v>Sí</v>
      </c>
      <c r="D57" t="str">
        <f>IFERROR(IF(D9="","",IF(D9&gt;='Punto Equilibrio'!$D$16,"Sí","No")),"")</f>
        <v>Sí</v>
      </c>
      <c r="F57" s="33" t="inlineStr">
        <is>
          <t>Compara las ventas de CADA año con el umbral de ese mismo año, que calcula la hoja de Punto de Equilibrio con los costes fijos del año</t>
        </is>
      </c>
    </row>
    <row r="58"/>
    <row r="59" ht="165" customHeight="1">
      <c r="A59" s="17"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1:D51">
    <cfRule type="expression" priority="1" dxfId="1" stopIfTrue="1">
      <formula>AND(ISNUMBER(B51),B51&lt;$E$51)</formula>
    </cfRule>
    <cfRule type="expression" priority="2" dxfId="0" stopIfTrue="1">
      <formula>AND(ISNUMBER(B51),B51&gt;=$E$51)</formula>
    </cfRule>
  </conditionalFormatting>
  <conditionalFormatting sqref="B53:D53">
    <cfRule type="expression" priority="3" dxfId="1" stopIfTrue="1">
      <formula>AND(ISNUMBER(B53),B53&gt;$E$53)</formula>
    </cfRule>
    <cfRule type="expression" priority="4" dxfId="0" stopIfTrue="1">
      <formula>AND(ISNUMBER(B53),B53&lt;=$E$53)</formula>
    </cfRule>
  </conditionalFormatting>
  <conditionalFormatting sqref="B54:D54">
    <cfRule type="expression" priority="5" dxfId="1" stopIfTrue="1">
      <formula>AND(ISNUMBER(B54),B54&gt;$E$54)</formula>
    </cfRule>
    <cfRule type="expression" priority="6" dxfId="0" stopIfTrue="1">
      <formula>AND(ISNUMBER(B54),B54&lt;=$E$54)</formula>
    </cfRule>
  </conditionalFormatting>
  <conditionalFormatting sqref="B55:D55">
    <cfRule type="expression" priority="7" dxfId="1" stopIfTrue="1">
      <formula>AND(ISNUMBER(B55),B55&gt;$E$55)</formula>
    </cfRule>
    <cfRule type="expression" priority="8" dxfId="0" stopIfTrue="1">
      <formula>AND(ISNUMBER(B55),B55&lt;=$E$55)</formula>
    </cfRule>
  </conditionalFormatting>
  <conditionalFormatting sqref="B56:D56">
    <cfRule type="expression" priority="9" dxfId="1" stopIfTrue="1">
      <formula>AND(ISNUMBER(B56),B56&lt;$E$56)</formula>
    </cfRule>
    <cfRule type="expression" priority="10" dxfId="0" stopIfTrue="1">
      <formula>AND(ISNUMBER(B56),B56&gt;=$E$56)</formula>
    </cfRule>
  </conditionalFormatting>
  <conditionalFormatting sqref="B57:D57">
    <cfRule type="containsText" priority="11" operator="containsText" dxfId="0" stopIfTrue="1" text="Sí">
      <formula>NOT(ISERROR(SEARCH("Sí",B57)))</formula>
    </cfRule>
    <cfRule type="containsText" priority="12" operator="containsText" dxfId="1" stopIfTrue="1" text="No">
      <formula>NOT(ISERROR(SEARCH("No",B57)))</formula>
    </cfRule>
  </conditionalFormatting>
  <conditionalFormatting sqref="B41:E41">
    <cfRule type="expression" priority="13" dxfId="1" stopIfTrue="1">
      <formula>AND(ISNUMBER(B41),B41&lt;0)</formula>
    </cfRule>
    <cfRule type="expression" priority="14" dxfId="0" stopIfTrue="1">
      <formula>AND(ISNUMBER(B41),B41&gt;0)</formula>
    </cfRule>
  </conditionalFormatting>
  <conditionalFormatting sqref="B48:E48">
    <cfRule type="expression" priority="15" dxfId="1" stopIfTrue="1">
      <formula>AND(ISNUMBER(B48),B48&lt;0)</formula>
    </cfRule>
    <cfRule type="expression" priority="16" dxfId="0" stopIfTrue="1">
      <formula>AND(ISNUMBER(B48),B48&gt;0)</formula>
    </cfRule>
  </conditionalFormatting>
  <conditionalFormatting sqref="B56:E56">
    <cfRule type="expression" priority="17" dxfId="1" stopIfTrue="1">
      <formula>AND(ISNUMBER(B56),B56&lt;0)</formula>
    </cfRule>
    <cfRule type="expression" priority="18" dxfId="0" stopIfTrue="1">
      <formula>AND(ISNUMBER(B56),B56&gt;0)</formula>
    </cfRule>
  </conditionalFormatting>
  <dataValidations count="2">
    <dataValidation sqref="B26 B27 B28 B29 B30 B31 B32 B33 B34 B35" showDropDown="0" showInputMessage="0" showErrorMessage="1" allowBlank="1" errorTitle="Importe no válido" error="Escribe un número mayor o igual que 0." type="decimal" operator="greaterThanOrEqual">
      <formula1>0</formula1>
    </dataValidation>
    <dataValidation sqref="E51 E53 E54 E55 E56 H10"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6"/>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PUNTO DE EQUILIBRIO</t>
        </is>
      </c>
    </row>
    <row r="2"/>
    <row r="3"/>
    <row r="4">
      <c r="A4" s="25" t="inlineStr">
        <is>
          <t>Variable</t>
        </is>
      </c>
      <c r="B4" s="25" t="inlineStr">
        <is>
          <t>Año 1</t>
        </is>
      </c>
      <c r="C4" s="25" t="inlineStr">
        <is>
          <t>Año 2</t>
        </is>
      </c>
      <c r="D4" s="25" t="inlineStr">
        <is>
          <t>Año 3</t>
        </is>
      </c>
      <c r="E4" s="25" t="inlineStr">
        <is>
          <t>Notas</t>
        </is>
      </c>
      <c r="F4" s="28" t="n"/>
    </row>
    <row r="5">
      <c r="A5" s="25" t="inlineStr">
        <is>
          <t>DATOS BASE POR AÑO</t>
        </is>
      </c>
      <c r="B5" s="28" t="n"/>
      <c r="C5" s="28" t="n"/>
      <c r="D5" s="28" t="n"/>
      <c r="E5" s="28" t="n"/>
      <c r="F5" s="28" t="n"/>
    </row>
    <row r="6">
      <c r="A6" s="28" t="inlineStr">
        <is>
          <t>Costes fijos anuales</t>
        </is>
      </c>
      <c r="B6" s="40">
        <f>IFERROR(IF('PyG 3 Años'!$B$9="","",'PyG 3 Años'!$B$38),"")</f>
        <v>183753.5222222222</v>
      </c>
      <c r="C6" s="40">
        <f>IFERROR(IF('PyG 3 Años'!$C$9="","",'PyG 3 Años'!$C$38),"")</f>
        <v>189753.5222222222</v>
      </c>
      <c r="D6" s="40">
        <f>IFERROR(IF('PyG 3 Años'!$D$9="","",'PyG 3 Años'!$D$38),"")</f>
        <v>194721.31129720295</v>
      </c>
      <c r="E6" s="28" t="inlineStr">
        <is>
          <t>Los MISMOS costes fijos del P&amp;L. Cada año tiene los suyos: por eso el umbral no puede ser uno solo para los tres</t>
        </is>
      </c>
      <c r="F6" s="28" t="n"/>
    </row>
    <row r="7">
      <c r="A7" s="28" t="inlineStr">
        <is>
          <t>Costes fijos mensuales</t>
        </is>
      </c>
      <c r="B7" s="40">
        <f>IFERROR(IF('PyG 3 Años'!$B$9="","",B6/12),"")</f>
        <v>15312.793518518518</v>
      </c>
      <c r="C7" s="40">
        <f>IFERROR(IF('PyG 3 Años'!$C$9="","",C6/12),"")</f>
        <v>15812.793518518518</v>
      </c>
      <c r="D7" s="40">
        <f>IFERROR(IF('PyG 3 Años'!$D$9="","",D6/12),"")</f>
        <v>16226.77594143358</v>
      </c>
      <c r="E7" s="28" t="n"/>
      <c r="F7" s="28" t="n"/>
    </row>
    <row r="8">
      <c r="A8" s="28" t="inlineStr">
        <is>
          <t>Ticket medio sin IVA</t>
        </is>
      </c>
      <c r="B8" s="40">
        <f>IFERROR(IF('PyG 3 Años'!$B$9="","",'PyG 3 Años'!$B$7),"")</f>
        <v>5.5</v>
      </c>
      <c r="C8" s="40">
        <f>IFERROR(IF('PyG 3 Años'!$C$9="","",'PyG 3 Años'!$C$7),"")</f>
        <v>5.5</v>
      </c>
      <c r="D8" s="40">
        <f>IFERROR(IF('PyG 3 Años'!$D$9="","",'PyG 3 Años'!$D$7),"")</f>
        <v>5.5</v>
      </c>
      <c r="E8" s="28" t="n"/>
      <c r="F8" s="28" t="n"/>
    </row>
    <row r="9">
      <c r="A9" s="28" t="inlineStr">
        <is>
          <t>Coste variable por transacción</t>
        </is>
      </c>
      <c r="B9" s="40">
        <f>IFERROR(IF('PyG 3 Años'!$B$9="","",'PyG 3 Años'!$B$19/('PyG 3 Años'!$B$6*'PyG 3 Años'!$B$8)),"")</f>
        <v>1.8507499999999997</v>
      </c>
      <c r="C9" s="40">
        <f>IFERROR(IF('PyG 3 Años'!$C$9="","",'PyG 3 Años'!$C$19/('PyG 3 Años'!$C$6*'PyG 3 Años'!$C$8)),"")</f>
        <v>1.85075</v>
      </c>
      <c r="D9" s="40">
        <f>IFERROR(IF('PyG 3 Años'!$D$9="","",'PyG 3 Años'!$D$19/('PyG 3 Años'!$D$6*'PyG 3 Años'!$D$8)),"")</f>
        <v>1.85075</v>
      </c>
      <c r="E9" s="28" t="inlineStr">
        <is>
          <t>Sale del total de costes variables del P&amp;L, no de una estimación aparte. Incluye los varios e imprevistos, que son un porcentaje de las ventas</t>
        </is>
      </c>
      <c r="F9" s="28" t="n"/>
    </row>
    <row r="10">
      <c r="A10" s="28" t="inlineStr">
        <is>
          <t>Margen de contribución por transacción</t>
        </is>
      </c>
      <c r="B10" s="40">
        <f>IFERROR(IF('PyG 3 Años'!$B$9="","",B8-B9),"")</f>
        <v>3.6492500000000003</v>
      </c>
      <c r="C10" s="40">
        <f>IFERROR(IF('PyG 3 Años'!$C$9="","",C8-C9),"")</f>
        <v>3.6492500000000003</v>
      </c>
      <c r="D10" s="40">
        <f>IFERROR(IF('PyG 3 Años'!$D$9="","",D8-D9),"")</f>
        <v>3.6492500000000003</v>
      </c>
      <c r="E10" s="28" t="inlineStr">
        <is>
          <t>Ticket menos coste variable unitario</t>
        </is>
      </c>
      <c r="F10" s="28" t="n"/>
    </row>
    <row r="11">
      <c r="A11" s="28" t="inlineStr">
        <is>
          <t>Días de apertura al año</t>
        </is>
      </c>
      <c r="B11" s="39">
        <f>IFERROR(IF('PyG 3 Años'!$B$9="","",'PyG 3 Años'!$B$8),"")</f>
        <v>310.0</v>
      </c>
      <c r="C11" s="39">
        <f>IFERROR(IF('PyG 3 Años'!$C$9="","",'PyG 3 Años'!$C$8),"")</f>
        <v>310.0</v>
      </c>
      <c r="D11" s="39">
        <f>IFERROR(IF('PyG 3 Años'!$D$9="","",'PyG 3 Años'!$D$8),"")</f>
        <v>310.0</v>
      </c>
      <c r="E11" s="28" t="inlineStr">
        <is>
          <t>El mismo calendario que el P&amp;L y que los escenarios</t>
        </is>
      </c>
      <c r="F11" s="28" t="n"/>
    </row>
    <row r="12">
      <c r="A12" s="28" t="inlineStr">
        <is>
          <t>Devolución de principal del año (cuota)</t>
        </is>
      </c>
      <c r="B12" s="40">
        <f>IFERROR(IF('PyG 3 Años'!$B$9="","",'Financiación'!$B$45),"")</f>
        <v>0.0</v>
      </c>
      <c r="C12" s="40">
        <f>IFERROR(IF('PyG 3 Años'!$C$9="","",'Financiación'!$B$47),"")</f>
        <v>17203.51541698744</v>
      </c>
      <c r="D12" s="40">
        <f>IFERROR(IF('PyG 3 Años'!$D$9="","",'Financiación'!$B$49),"")</f>
        <v>18235.72634200669</v>
      </c>
      <c r="E12" s="28" t="inlineStr">
        <is>
          <t>El principal NO es gasto del P&amp;L, pero sale de la caja. Sin él, el umbral de equilibrio se publica por debajo del real</t>
        </is>
      </c>
      <c r="F12" s="28" t="n"/>
    </row>
    <row r="13">
      <c r="A13" s="25" t="inlineStr">
        <is>
          <t>PUNTO DE EQUILIBRIO CONTABLE (incluye amortización)</t>
        </is>
      </c>
      <c r="B13" s="28" t="n"/>
      <c r="C13" s="28" t="n"/>
      <c r="D13" s="28" t="n"/>
      <c r="E13" s="28" t="n"/>
      <c r="F13" s="28" t="n"/>
    </row>
    <row r="14">
      <c r="A14" s="28" t="inlineStr">
        <is>
          <t>Transacciones necesarias al año</t>
        </is>
      </c>
      <c r="B14" s="39">
        <f>IFERROR(IF('PyG 3 Años'!$B$9="","",IF(B10&lt;=0,"",B6/B10)),"")</f>
        <v>50353.77741240589</v>
      </c>
      <c r="C14" s="39">
        <f>IFERROR(IF('PyG 3 Años'!$C$9="","",IF(C10&lt;=0,"",C6/C10)),"")</f>
        <v>51997.95087270595</v>
      </c>
      <c r="D14" s="39">
        <f>IFERROR(IF('PyG 3 Años'!$D$9="","",IF(D10&lt;=0,"",D6/D10)),"")</f>
        <v>53359.268698281274</v>
      </c>
      <c r="E14" s="28" t="n"/>
      <c r="F14" s="28" t="n"/>
    </row>
    <row r="15">
      <c r="A15" s="28" t="inlineStr">
        <is>
          <t>Transacciones necesarias al día</t>
        </is>
      </c>
      <c r="B15" s="44">
        <f>IFERROR(IF('PyG 3 Años'!$B$9="","",B14/B11),"")</f>
        <v>162.431540040019</v>
      </c>
      <c r="C15" s="44">
        <f>IFERROR(IF('PyG 3 Años'!$C$9="","",C14/C11),"")</f>
        <v>167.73532539582564</v>
      </c>
      <c r="D15" s="44">
        <f>IFERROR(IF('PyG 3 Años'!$D$9="","",D14/D11),"")</f>
        <v>172.12667322026218</v>
      </c>
      <c r="E15" s="28" t="n"/>
      <c r="F15" s="28" t="n"/>
    </row>
    <row r="16">
      <c r="A16" s="25" t="inlineStr">
        <is>
          <t>Ingresos necesarios al año</t>
        </is>
      </c>
      <c r="B16" s="26">
        <f>IFERROR(IF('PyG 3 Años'!$B$9="","",B14*B8),"")</f>
        <v>276945.7757682324</v>
      </c>
      <c r="C16" s="26">
        <f>IFERROR(IF('PyG 3 Años'!$C$9="","",C14*C8),"")</f>
        <v>285988.72979988274</v>
      </c>
      <c r="D16" s="26">
        <f>IFERROR(IF('PyG 3 Años'!$D$9="","",D14*D8),"")</f>
        <v>293475.977840547</v>
      </c>
      <c r="E16" s="28" t="n"/>
      <c r="F16" s="28" t="n"/>
    </row>
    <row r="17">
      <c r="A17" s="25" t="inlineStr">
        <is>
          <t>PUNTO DE EQUILIBRIO DE CAJA (incluye la cuota del préstamo)</t>
        </is>
      </c>
      <c r="B17" s="28" t="n"/>
      <c r="C17" s="28" t="n"/>
      <c r="D17" s="28" t="n"/>
      <c r="E17" s="28" t="n"/>
      <c r="F17" s="28" t="n"/>
    </row>
    <row r="18">
      <c r="A18" s="28" t="inlineStr">
        <is>
          <t>Costes fijos de caja + principal del año</t>
        </is>
      </c>
      <c r="B18" s="40">
        <f>IFERROR(IF('PyG 3 Años'!$B$9="","",B6-'PyG 3 Años'!$B$36+B12),"")</f>
        <v>174461.3</v>
      </c>
      <c r="C18" s="40">
        <f>IFERROR(IF('PyG 3 Años'!$C$9="","",C6-'PyG 3 Años'!$C$36+C12),"")</f>
        <v>197664.81541698743</v>
      </c>
      <c r="D18" s="40">
        <f>IFERROR(IF('PyG 3 Años'!$D$9="","",D6-'PyG 3 Años'!$D$36+D12),"")</f>
        <v>203664.8154169874</v>
      </c>
      <c r="E18" s="28" t="inlineStr">
        <is>
          <t>Los fijos del P&amp;L sin la amortización (que no se paga) y CON la devolución de principal (que sí). Es el umbral que decide si la caja aguanta</t>
        </is>
      </c>
      <c r="F18" s="28" t="n"/>
    </row>
    <row r="19">
      <c r="A19" s="28" t="inlineStr">
        <is>
          <t>Transacciones necesarias al año (caja)</t>
        </is>
      </c>
      <c r="B19" s="39">
        <f>IFERROR(IF('PyG 3 Años'!$B$9="","",IF(B10&lt;=0,"",B18/B10)),"")</f>
        <v>47807.43988490785</v>
      </c>
      <c r="C19" s="39">
        <f>IFERROR(IF('PyG 3 Años'!$C$9="","",IF(C10&lt;=0,"",C18/C10)),"")</f>
        <v>54165.87392395353</v>
      </c>
      <c r="D19" s="39">
        <f>IFERROR(IF('PyG 3 Años'!$D$9="","",IF(D10&lt;=0,"",D18/D10)),"")</f>
        <v>55810.04738425358</v>
      </c>
      <c r="E19" s="28" t="n"/>
      <c r="F19" s="28" t="n"/>
    </row>
    <row r="20">
      <c r="A20" s="25" t="inlineStr">
        <is>
          <t>Transacciones necesarias al día (caja)</t>
        </is>
      </c>
      <c r="B20" s="45">
        <f>IFERROR(IF('PyG 3 Años'!$B$9="","",B19/B11),"")</f>
        <v>154.21754801583177</v>
      </c>
      <c r="C20" s="45">
        <f>IFERROR(IF('PyG 3 Años'!$C$9="","",C19/C11),"")</f>
        <v>174.7286255611404</v>
      </c>
      <c r="D20" s="45">
        <f>IFERROR(IF('PyG 3 Años'!$D$9="","",D19/D11),"")</f>
        <v>180.03241091694704</v>
      </c>
      <c r="E20" s="28" t="n"/>
      <c r="F20" s="28" t="n"/>
    </row>
    <row r="21">
      <c r="A21" s="28" t="inlineStr">
        <is>
          <t>Ingresos necesarios al año (caja)</t>
        </is>
      </c>
      <c r="B21" s="32">
        <f>IFERROR(IF('PyG 3 Años'!$B$9="","",B19*B8),"")</f>
        <v>262940.9193669932</v>
      </c>
      <c r="C21" s="32">
        <f>IFERROR(IF('PyG 3 Años'!$C$9="","",C19*C8),"")</f>
        <v>297912.3065817444</v>
      </c>
      <c r="D21" s="32">
        <f>IFERROR(IF('PyG 3 Años'!$D$9="","",D19*D8),"")</f>
        <v>306955.26061339467</v>
      </c>
      <c r="E21" s="28" t="n"/>
      <c r="F21" s="28" t="n"/>
    </row>
    <row r="22">
      <c r="A22" s="25" t="inlineStr">
        <is>
          <t>CONTRASTE CON EL PLAN</t>
        </is>
      </c>
      <c r="B22" s="28" t="n"/>
      <c r="C22" s="28" t="n"/>
      <c r="D22" s="28" t="n"/>
      <c r="E22" s="28" t="n"/>
      <c r="F22" s="28" t="n"/>
    </row>
    <row r="23">
      <c r="A23" s="28" t="inlineStr">
        <is>
          <t>Transacciones/día previstos en el plan</t>
        </is>
      </c>
      <c r="B23" s="39">
        <f>IFERROR(IF('PyG 3 Años'!$B$9="","",'PyG 3 Años'!$B$6),"")</f>
        <v>180.0</v>
      </c>
      <c r="C23" s="39">
        <f>IFERROR(IF('PyG 3 Años'!$C$9="","",'PyG 3 Años'!$C$6),"")</f>
        <v>201.60000000000002</v>
      </c>
      <c r="D23" s="39">
        <f>IFERROR(IF('PyG 3 Años'!$D$9="","",'PyG 3 Años'!$D$6),"")</f>
        <v>215.71200000000005</v>
      </c>
      <c r="E23" s="28" t="n"/>
      <c r="F23" s="28" t="n"/>
    </row>
    <row r="24">
      <c r="A24" s="28" t="inlineStr">
        <is>
          <t>Holgura sobre el equilibrio de CAJA (%)</t>
        </is>
      </c>
      <c r="B24" s="30">
        <f>IFERROR(IF('PyG 3 Años'!$B$9="","",B23/B20-1),"")</f>
        <v>0.16718234932331733</v>
      </c>
      <c r="C24" s="30">
        <f>IFERROR(IF('PyG 3 Años'!$C$9="","",C23/C20-1),"")</f>
        <v>0.1537891936857072</v>
      </c>
      <c r="D24" s="30">
        <f>IFERROR(IF('PyG 3 Años'!$D$9="","",D23/D20-1),"")</f>
        <v>0.19818425416472807</v>
      </c>
      <c r="E24" s="28" t="inlineStr">
        <is>
          <t>Cuánto superan tus ventas previstas a las del equilibrio de caja. La caída que aguantas antes de no poder pagar los costes fijos y la cuota es algo menor: con un 25 % de holgura, un 20 %. El mínimo exigible está en la hoja de Supuestos</t>
        </is>
      </c>
      <c r="F24" s="28" t="n"/>
    </row>
    <row r="25">
      <c r="A25" s="25" t="inlineStr">
        <is>
          <t>INTERPRETACIÓN</t>
        </is>
      </c>
      <c r="B25" s="28" t="n"/>
      <c r="C25" s="28" t="n"/>
      <c r="D25" s="28" t="n"/>
      <c r="E25" s="28" t="n"/>
      <c r="F25" s="28" t="n"/>
    </row>
    <row r="26" ht="46" customHeight="1">
      <c r="A26" s="28" t="str">
        <f>IFERROR("Con el ticket medio sin IVA de la fila de arriba necesitas "&amp;TEXT(ROUNDUP(B15,0),"0")&amp;" transacciones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163 transacciones al día durante los 310 días que abres para no perder dinero (equilibrio contable, con la amortización dentro), y 155 para que la caja aguante (equilibrio de caja: sin la amortización, que no se paga, y con la cuota del préstamo del año; este año sólo intereses, porque el préstamo está en carencia). En las filas «Ingresos necesarios al año» tienes esas mismas cifras en euros.</v>
      </c>
      <c r="B26" s="28" t="n"/>
      <c r="C26" s="28" t="n"/>
      <c r="D26" s="28" t="n"/>
      <c r="E26" s="28" t="n"/>
      <c r="F26" s="28" t="n"/>
    </row>
    <row r="27">
      <c r="A27" s="28" t="n"/>
      <c r="B27" s="28" t="n"/>
      <c r="C27" s="28" t="n"/>
      <c r="D27" s="28" t="n"/>
      <c r="E27" s="28" t="n"/>
      <c r="F27" s="28" t="n"/>
    </row>
    <row r="28">
      <c r="A28" s="25" t="inlineStr">
        <is>
          <t>SENSIBILIDAD DEL PUNTO DE EQUILIBRIO</t>
        </is>
      </c>
      <c r="B28" s="28" t="n"/>
      <c r="C28" s="28" t="n"/>
      <c r="D28" s="28" t="n"/>
      <c r="E28" s="28" t="n"/>
      <c r="F28" s="28" t="n"/>
    </row>
    <row r="29" ht="75" customHeight="1">
      <c r="A29" s="46" t="inlineStr">
        <is>
          <t>Transacciones/día necesarios para cubrir costes según el ticket medio (columnas) y el coste variable por transacción (filas). En verde, los que están por debajo de las transacciones que prevé el plan.</t>
        </is>
      </c>
      <c r="B29" s="28" t="n"/>
      <c r="C29" s="28" t="n"/>
      <c r="D29" s="28" t="n"/>
      <c r="E29" s="28" t="n"/>
      <c r="F29" s="28" t="n"/>
    </row>
    <row r="30">
      <c r="A30" s="28" t="n"/>
      <c r="B30" s="28" t="n"/>
      <c r="C30" s="28" t="n"/>
      <c r="D30" s="28" t="n"/>
      <c r="E30" s="28" t="n"/>
      <c r="F30" s="28" t="n"/>
    </row>
    <row r="31" ht="45" customHeight="1">
      <c r="A31" s="38" t="inlineStr">
        <is>
          <t>Transacciones/día necesarios: ticket medio sin IVA (columnas) × coste variable por transacción (filas)</t>
        </is>
      </c>
      <c r="B31" s="47">
        <f>IFERROR($B$8-2,"")</f>
        <v>3.5</v>
      </c>
      <c r="C31" s="47">
        <f>IFERROR(IF($B$8="","",$B$8),"")</f>
        <v>5.5</v>
      </c>
      <c r="D31" s="47">
        <f>IFERROR($B$8+2,"")</f>
        <v>7.5</v>
      </c>
      <c r="E31" s="47">
        <f>IFERROR($B$8+4,"")</f>
        <v>9.5</v>
      </c>
      <c r="F31" s="28" t="n"/>
    </row>
    <row r="32">
      <c r="A32" s="40">
        <f>IFERROR($B$9*0.85,"")</f>
        <v>1.5731374999999996</v>
      </c>
      <c r="B32" s="44">
        <f>IFERROR(IF($B$31-$A32&lt;=0,"",$B$6/($B$31-$A32)/$B$11),"")</f>
        <v>307.6261526139199</v>
      </c>
      <c r="C32" s="44">
        <f>IFERROR(IF($C$31-$A32&lt;=0,"",$B$6/($C$31-$A32)/$B$11),"")</f>
        <v>150.9483200624008</v>
      </c>
      <c r="D32" s="44">
        <f>IFERROR(IF($D$31-$A32&lt;=0,"",$B$6/($D$31-$A32)/$B$11),"")</f>
        <v>100.01131247621137</v>
      </c>
      <c r="E32" s="44">
        <f>IFERROR(IF($E$31-$A32&lt;=0,"",$B$6/($E$31-$A32)/$B$11),"")</f>
        <v>74.77779480734519</v>
      </c>
      <c r="F32" s="28" t="n"/>
    </row>
    <row r="33">
      <c r="A33" s="40">
        <f>IFERROR($B$9*0.925,"")</f>
        <v>1.7119437499999999</v>
      </c>
      <c r="B33" s="44">
        <f>IFERROR(IF($B$31-$A33&lt;=0,"",$B$6/($B$31-$A33)/$B$11),"")</f>
        <v>331.50707506603294</v>
      </c>
      <c r="C33" s="44">
        <f>IFERROR(IF($C$31-$A33&lt;=0,"",$B$6/($C$31-$A33)/$B$11),"")</f>
        <v>156.47953947121016</v>
      </c>
      <c r="D33" s="44">
        <f>IFERROR(IF($D$31-$A33&lt;=0,"",$B$6/($D$31-$A33)/$B$11),"")</f>
        <v>102.40973340420445</v>
      </c>
      <c r="E33" s="44">
        <f>IFERROR(IF($E$31-$A33&lt;=0,"",$B$6/($E$31-$A33)/$B$11),"")</f>
        <v>76.11055678893425</v>
      </c>
      <c r="F33" s="28" t="n"/>
    </row>
    <row r="34">
      <c r="A34" s="21">
        <f>IFERROR($B$9*1.0,"")</f>
        <v>1.8507499999999997</v>
      </c>
      <c r="B34" s="48">
        <f>IFERROR(IF($B$31-$A34&lt;=0,"",$B$6/($B$31-$A34)/$B$11),"")</f>
        <v>359.4077898990688</v>
      </c>
      <c r="C34" s="48">
        <f>IFERROR(IF($C$31-$A34&lt;=0,"",$B$6/($C$31-$A34)/$B$11),"")</f>
        <v>162.431540040019</v>
      </c>
      <c r="D34" s="48">
        <f>IFERROR(IF($D$31-$A34&lt;=0,"",$B$6/($D$31-$A34)/$B$11),"")</f>
        <v>104.92601628376144</v>
      </c>
      <c r="E34" s="48">
        <f>IFERROR(IF($E$31-$A34&lt;=0,"",$B$6/($E$31-$A34)/$B$11),"")</f>
        <v>77.49168839965216</v>
      </c>
    </row>
    <row r="35">
      <c r="A35" s="21">
        <f>IFERROR($B$9*1.075,"")</f>
        <v>1.9895562499999995</v>
      </c>
      <c r="B35" s="48">
        <f>IFERROR(IF($B$31-$A35&lt;=0,"",$B$6/($B$31-$A35)/$B$11),"")</f>
        <v>392.4365256839516</v>
      </c>
      <c r="C35" s="48">
        <f>IFERROR(IF($C$31-$A35&lt;=0,"",$B$6/($C$31-$A35)/$B$11),"")</f>
        <v>168.8542360181784</v>
      </c>
      <c r="D35" s="48">
        <f>IFERROR(IF($D$31-$A35&lt;=0,"",$B$6/($D$31-$A35)/$B$11),"")</f>
        <v>107.56906782526167</v>
      </c>
      <c r="E35" s="48">
        <f>IFERROR(IF($E$31-$A35&lt;=0,"",$B$6/($E$31-$A35)/$B$11),"")</f>
        <v>78.92387150773074</v>
      </c>
    </row>
    <row r="36">
      <c r="A36" s="21">
        <f>IFERROR($B$9*1.15,"")</f>
        <v>2.1283624999999993</v>
      </c>
      <c r="B36" s="48">
        <f>IFERROR(IF($B$31-$A36&lt;=0,"",$B$6/($B$31-$A36)/$B$11),"")</f>
        <v>432.1501107187862</v>
      </c>
      <c r="C36" s="48">
        <f>IFERROR(IF($C$31-$A36&lt;=0,"",$B$6/($C$31-$A36)/$B$11),"")</f>
        <v>175.80576129285524</v>
      </c>
      <c r="D36" s="48">
        <f>IFERROR(IF($D$31-$A36&lt;=0,"",$B$6/($D$31-$A36)/$B$11),"")</f>
        <v>110.34871535747513</v>
      </c>
      <c r="E36" s="48">
        <f>IFERROR(IF($E$31-$A36&lt;=0,"",$B$6/($E$31-$A36)/$B$11),"")</f>
        <v>80.40998997726615</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32:E36">
    <cfRule type="expression" priority="4" dxfId="1" stopIfTrue="1">
      <formula>AND(ISNUMBER(B32),B32&gt;$B$23)</formula>
    </cfRule>
    <cfRule type="expression" priority="5" dxfId="0" stopIfTrue="1">
      <formula>AND(ISNUMBER(B32),B32&lt;=$B$23)</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ESCENARIOS</t>
        </is>
      </c>
    </row>
    <row r="2"/>
    <row r="3"/>
    <row r="4">
      <c r="A4" s="25" t="inlineStr">
        <is>
          <t>Métrica</t>
        </is>
      </c>
      <c r="B4" s="25" t="inlineStr">
        <is>
          <t>Pesimista</t>
        </is>
      </c>
      <c r="C4" s="25" t="inlineStr">
        <is>
          <t>Realista</t>
        </is>
      </c>
      <c r="D4" s="25" t="inlineStr">
        <is>
          <t>Optimista</t>
        </is>
      </c>
      <c r="E4" s="25" t="inlineStr">
        <is>
          <t>Notas</t>
        </is>
      </c>
      <c r="F4" s="28" t="n"/>
    </row>
    <row r="5">
      <c r="A5" s="28" t="inlineStr">
        <is>
          <t>Transacciones/día</t>
        </is>
      </c>
      <c r="B5" s="49" t="n">
        <v>120</v>
      </c>
      <c r="C5" s="39">
        <f>IFERROR(IF('PyG 3 Años'!$B$6="","",'PyG 3 Años'!$B$6),"")</f>
        <v>180.0</v>
      </c>
      <c r="D5" s="49" t="n">
        <v>200</v>
      </c>
      <c r="E5" s="28" t="n"/>
      <c r="F5" s="28" t="n"/>
    </row>
    <row r="6">
      <c r="A6" s="28" t="inlineStr">
        <is>
          <t>Ticket medio sin IVA</t>
        </is>
      </c>
      <c r="B6" s="50" t="n">
        <v>4.2</v>
      </c>
      <c r="C6" s="40">
        <f>IFERROR(IF('PyG 3 Años'!$B$7="","",'PyG 3 Años'!$B$7),"")</f>
        <v>5.5</v>
      </c>
      <c r="D6" s="50" t="n">
        <v>6</v>
      </c>
      <c r="E6" s="28" t="n"/>
      <c r="F6" s="28" t="n"/>
    </row>
    <row r="7">
      <c r="A7" s="28" t="inlineStr">
        <is>
          <t>Días de apertura al año</t>
        </is>
      </c>
      <c r="B7" s="49" t="n">
        <v>300</v>
      </c>
      <c r="C7" s="39">
        <f>IFERROR(IF('PyG 3 Años'!$B$8="","",'PyG 3 Años'!$B$8),"")</f>
        <v>310.0</v>
      </c>
      <c r="D7" s="49" t="n">
        <v>320</v>
      </c>
      <c r="E7" s="28" t="n"/>
      <c r="F7" s="28" t="n"/>
    </row>
    <row r="8">
      <c r="A8" s="25" t="inlineStr">
        <is>
          <t>INGRESOS ANUALES (sin IVA)</t>
        </is>
      </c>
      <c r="B8" s="26">
        <f>IFERROR(IF(B5*B6*B7=0,"",B5*B6*B7),"")</f>
        <v>151200.0</v>
      </c>
      <c r="C8" s="26">
        <f>IFERROR(IF(C5*C6*C7=0,"",C5*C6*C7),"")</f>
        <v>306900.0</v>
      </c>
      <c r="D8" s="26">
        <f>IFERROR(IF(D5*D6*D7=0,"",D5*D6*D7),"")</f>
        <v>384000.0</v>
      </c>
      <c r="E8" s="28" t="n"/>
      <c r="F8" s="28" t="n"/>
    </row>
    <row r="9">
      <c r="A9" s="28" t="inlineStr">
        <is>
          <t>Coste de mercancía — comida</t>
        </is>
      </c>
      <c r="B9" s="32">
        <f>IFERROR(IF(B8="","",B8*'0. Supuestos'!$B$11*'0. Supuestos'!$B$13),"")</f>
        <v>40559.399999999994</v>
      </c>
      <c r="C9" s="32">
        <f>IFERROR(IF(C8="","",C8*'0. Supuestos'!$B$11*'0. Supuestos'!$B$13),"")</f>
        <v>82325.92499999999</v>
      </c>
      <c r="D9" s="32">
        <f>IFERROR(IF(D8="","",D8*'0. Supuestos'!$B$11*'0. Supuestos'!$B$13),"")</f>
        <v>103008.0</v>
      </c>
      <c r="E9" s="28" t="n"/>
      <c r="F9" s="28" t="n"/>
    </row>
    <row r="10">
      <c r="A10" s="28" t="inlineStr">
        <is>
          <t>Coste de mercancía — bebida</t>
        </is>
      </c>
      <c r="B10" s="32">
        <f>IFERROR(IF(B8="","",B8*'0. Supuestos'!$B$12*'0. Supuestos'!$B$14),"")</f>
        <v>3061.7999999999984</v>
      </c>
      <c r="C10" s="32">
        <f>IFERROR(IF(C8="","",C8*'0. Supuestos'!$B$12*'0. Supuestos'!$B$14),"")</f>
        <v>6214.724999999997</v>
      </c>
      <c r="D10" s="32">
        <f>IFERROR(IF(D8="","",D8*'0. Supuestos'!$B$12*'0. Supuestos'!$B$14),"")</f>
        <v>7775.999999999995</v>
      </c>
      <c r="E10" s="28" t="n"/>
      <c r="F10" s="28" t="n"/>
    </row>
    <row r="11">
      <c r="A11" s="28" t="inlineStr">
        <is>
          <t>Consumibles y envases</t>
        </is>
      </c>
      <c r="B11" s="32">
        <f>IFERROR(IF(B8="","",B8*'0. Supuestos'!$B$15),"")</f>
        <v>3024.0</v>
      </c>
      <c r="C11" s="32">
        <f>IFERROR(IF(C8="","",C8*'0. Supuestos'!$B$15),"")</f>
        <v>6138.0</v>
      </c>
      <c r="D11" s="32">
        <f>IFERROR(IF(D8="","",D8*'0. Supuestos'!$B$15),"")</f>
        <v>7680.0</v>
      </c>
      <c r="E11" s="28" t="n"/>
      <c r="F11" s="28" t="n"/>
    </row>
    <row r="12">
      <c r="A12" s="28" t="inlineStr">
        <is>
          <t>Comisiones de delivery</t>
        </is>
      </c>
      <c r="B12" s="32">
        <f>IFERROR(IF(B8="","",B8*'0. Supuestos'!$B$16*'0. Supuestos'!$B$17),"")</f>
        <v>0.0</v>
      </c>
      <c r="C12" s="32">
        <f>IFERROR(IF(C8="","",C8*'0. Supuestos'!$B$16*'0. Supuestos'!$B$17),"")</f>
        <v>0.0</v>
      </c>
      <c r="D12" s="32">
        <f>IFERROR(IF(D8="","",D8*'0. Supuestos'!$B$16*'0. Supuestos'!$B$17),"")</f>
        <v>0.0</v>
      </c>
      <c r="E12" s="28" t="n"/>
      <c r="F12" s="28" t="n"/>
    </row>
    <row r="13">
      <c r="A13" s="28" t="inlineStr">
        <is>
          <t>Comisiones de los medios de pago</t>
        </is>
      </c>
      <c r="B13" s="32">
        <f>IFERROR(IF(B8="","",B8*'0. Supuestos'!$B$18),"")</f>
        <v>1209.6000000000001</v>
      </c>
      <c r="C13" s="32">
        <f>IFERROR(IF(C8="","",C8*'0. Supuestos'!$B$18),"")</f>
        <v>2455.2000000000003</v>
      </c>
      <c r="D13" s="32">
        <f>IFERROR(IF(D8="","",D8*'0. Supuestos'!$B$18),"")</f>
        <v>3072.0</v>
      </c>
      <c r="E13" s="28" t="n"/>
      <c r="F13" s="28" t="n"/>
    </row>
    <row r="14">
      <c r="A14" s="28" t="inlineStr">
        <is>
          <t>Varios e imprevistos</t>
        </is>
      </c>
      <c r="B14" s="32">
        <f>IFERROR(IF(B8="","",B8*'0. Supuestos'!$B$28),"")</f>
        <v>3024.0</v>
      </c>
      <c r="C14" s="32">
        <f>IFERROR(IF(C8="","",C8*'0. Supuestos'!$B$28),"")</f>
        <v>6138.0</v>
      </c>
      <c r="D14" s="32">
        <f>IFERROR(IF(D8="","",D8*'0. Supuestos'!$B$28),"")</f>
        <v>7680.0</v>
      </c>
      <c r="E14" s="28" t="n"/>
      <c r="F14" s="28" t="n"/>
    </row>
    <row r="15">
      <c r="A15" s="33" t="inlineStr">
        <is>
          <t>TOTAL COSTES VARIABLES</t>
        </is>
      </c>
      <c r="B15" s="34">
        <f>IFERROR(IF(B8="","",SUM(B9:B14)),"")</f>
        <v>50878.79999999999</v>
      </c>
      <c r="C15" s="34">
        <f>IFERROR(IF(C8="","",SUM(C9:C14)),"")</f>
        <v>103271.84999999998</v>
      </c>
      <c r="D15" s="34">
        <f>IFERROR(IF(D8="","",SUM(D9:D14)),"")</f>
        <v>129216.0</v>
      </c>
    </row>
    <row r="16">
      <c r="A16" s="33" t="inlineStr">
        <is>
          <t>MARGEN BRUTO</t>
        </is>
      </c>
      <c r="B16" s="34">
        <f>IFERROR(IF(B8="","",B8-B15),"")</f>
        <v>100321.20000000001</v>
      </c>
      <c r="C16" s="34">
        <f>IFERROR(IF(C8="","",C8-C15),"")</f>
        <v>203628.15000000002</v>
      </c>
      <c r="D16" s="34">
        <f>IFERROR(IF(D8="","",D8-D15),"")</f>
        <v>254784.0</v>
      </c>
    </row>
    <row r="17">
      <c r="A17" s="33" t="inlineStr">
        <is>
          <t>COSTES FIJOS (los del P&amp;L)</t>
        </is>
      </c>
      <c r="B17" s="34">
        <f>IFERROR(IF(B8="","",'PyG 3 Años'!$B$38),"")</f>
        <v>183753.5222222222</v>
      </c>
      <c r="C17" s="34">
        <f>IFERROR(IF(C8="","",'PyG 3 Años'!$B$38),"")</f>
        <v>183753.5222222222</v>
      </c>
      <c r="D17" s="34">
        <f>IFERROR(IF(D8="","",'PyG 3 Años'!$B$38),"")</f>
        <v>183753.5222222222</v>
      </c>
      <c r="E17" s="33" t="inlineStr">
        <is>
          <t>Los costes fijos no cambian con el escenario: por eso son fijos</t>
        </is>
      </c>
    </row>
    <row r="18">
      <c r="A18" s="16" t="inlineStr">
        <is>
          <t>RESULTADO ANTES DE IMPUESTOS</t>
        </is>
      </c>
      <c r="B18" s="35">
        <f>IFERROR(IF(B8="","",B16-B17),"")</f>
        <v>-83432.3222222222</v>
      </c>
      <c r="C18" s="35">
        <f>IFERROR(IF(C8="","",C16-C17),"")</f>
        <v>19874.627777777816</v>
      </c>
      <c r="D18" s="35">
        <f>IFERROR(IF(D8="","",D16-D17),"")</f>
        <v>71030.47777777779</v>
      </c>
    </row>
    <row r="19">
      <c r="A19" s="33" t="inlineStr">
        <is>
          <t>Impuesto de Sociedades</t>
        </is>
      </c>
      <c r="B19" s="34">
        <f>IFERROR(IF(B8="","",MAX(0,B18-'0. Supuestos'!$B$42)*'0. Supuestos'!$B$37),"")</f>
        <v>0.0</v>
      </c>
      <c r="C19" s="34">
        <f>IFERROR(IF(C8="","",MAX(0,C18-'0. Supuestos'!$B$42)*'0. Supuestos'!$B$37),"")</f>
        <v>2981.194166666672</v>
      </c>
      <c r="D19" s="34">
        <f>IFERROR(IF(D8="","",MAX(0,D18-'0. Supuestos'!$B$42)*'0. Supuestos'!$B$37),"")</f>
        <v>10654.571666666669</v>
      </c>
      <c r="E19" s="33" t="inlineStr">
        <is>
          <t>Al tipo de entidad de nueva creación, compensando las bases negativas anteriores</t>
        </is>
      </c>
    </row>
    <row r="20">
      <c r="A20" s="16" t="inlineStr">
        <is>
          <t>RESULTADO NETO</t>
        </is>
      </c>
      <c r="B20" s="35">
        <f>IFERROR(IF(B8="","",B18-B19),"")</f>
        <v>-83432.3222222222</v>
      </c>
      <c r="C20" s="35">
        <f>IFERROR(IF(C8="","",C18-C19),"")</f>
        <v>16893.433611111144</v>
      </c>
      <c r="D20" s="35">
        <f>IFERROR(IF(D8="","",D18-D19),"")</f>
        <v>60375.90611111112</v>
      </c>
    </row>
    <row r="21">
      <c r="A21" s="33" t="inlineStr">
        <is>
          <t>Transacciones/día para el equilibrio</t>
        </is>
      </c>
      <c r="B21" s="48">
        <f>IFERROR(IF(B8="","",IF(B6-B15/(B5*B7)&lt;=0,"",B17/(B6-B15/(B5*B7))/B7)),"")</f>
        <v>219.79823473669234</v>
      </c>
      <c r="C21" s="48">
        <f>IFERROR(IF(C8="","",IF(C6-C15/(C5*C7)&lt;=0,"",C17/(C6-C15/(C5*C7))/C7)),"")</f>
        <v>162.431540040019</v>
      </c>
      <c r="D21" s="48">
        <f>IFERROR(IF(D8="","",IF(D6-D15/(D5*D7)&lt;=0,"",D17/(D6-D15/(D5*D7))/D7)),"")</f>
        <v>144.24259154595438</v>
      </c>
    </row>
    <row r="22">
      <c r="A22" s="16" t="inlineStr">
        <is>
          <t>LO QUE CADA ESCENARIO EXIGE</t>
        </is>
      </c>
    </row>
    <row r="23">
      <c r="A23" s="33" t="inlineStr">
        <is>
          <t>Coste de personal / Ventas</t>
        </is>
      </c>
      <c r="B23" s="22">
        <f>IFERROR(IF(B8="","",'PyG 3 Años'!$B$23/B8),"")</f>
        <v>0.7530509259259259</v>
      </c>
      <c r="C23" s="22">
        <f>IFERROR(IF(C8="","",'PyG 3 Años'!$B$23/C8),"")</f>
        <v>0.37100456174649726</v>
      </c>
      <c r="D23" s="22">
        <f>IFERROR(IF(D8="","",'PyG 3 Años'!$B$23/D8),"")</f>
        <v>0.29651380208333333</v>
      </c>
      <c r="E23" s="33" t="inlineStr">
        <is>
          <t>La MISMA plantilla en los tres escenarios. Si en el pesimista se dispara, el ajuste hay que hacerlo en la hoja de Personal, no aquí</t>
        </is>
      </c>
    </row>
    <row r="24">
      <c r="A24" s="33" t="inlineStr">
        <is>
          <t>Transacciones al año por jornada equivalente</t>
        </is>
      </c>
      <c r="B24" s="42">
        <f>IFERROR(IF(B8="","",B5*B7/'Personal'!$C$11),"")</f>
        <v>8200.455580865604</v>
      </c>
      <c r="C24" s="42">
        <f>IFERROR(IF(C8="","",C5*C7/'Personal'!$C$11),"")</f>
        <v>12710.706150341686</v>
      </c>
      <c r="D24" s="42">
        <f>IFERROR(IF(D8="","",D5*D7/'Personal'!$C$11),"")</f>
        <v>14578.58769931663</v>
      </c>
      <c r="E24" s="33" t="inlineStr">
        <is>
          <t>Transacciones que tendría que sacar cada jornada completa del cuadro de Personal. En el optimista dice si hace falta contratar</t>
        </is>
      </c>
    </row>
    <row r="25">
      <c r="A25" s="16" t="inlineStr">
        <is>
          <t>Saldo de caja al cierre del año 1 (estimado, el mismo método en los tres escenarios)</t>
        </is>
      </c>
      <c r="B25" s="35">
        <f>IFERROR(IF(B8="","",'Inversión Inicial'!$B$30+B20+'PyG 3 Años'!$B$36-'Financiación'!$B$45),"")</f>
        <v>-30524.774999999976</v>
      </c>
      <c r="C25" s="35">
        <f>IFERROR(IF(C8="","",'Inversión Inicial'!$B$30+C20+'PyG 3 Años'!$B$36-'Financiación'!$B$45),"")</f>
        <v>69800.98083333336</v>
      </c>
      <c r="D25" s="35">
        <f>IFERROR(IF(D8="","",'Inversión Inicial'!$B$30+D20+'PyG 3 Años'!$B$36-'Financiación'!$B$45),"")</f>
        <v>113283.45333333334</v>
      </c>
      <c r="E25" s="16"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row>
    <row r="26">
      <c r="A26" s="33" t="inlineStr">
        <is>
          <t>Saldo real del mes 12 de la hoja de Tesorería (sólo realista)</t>
        </is>
      </c>
      <c r="C26" s="34">
        <f>IFERROR(IF(C8="","",'Tesorería 12 meses'!$M$22),"")</f>
        <v>82842.21058571633</v>
      </c>
      <c r="E26" s="33" t="inlineStr">
        <is>
          <t>El saldo REAL del caso base, con su desfase de cobros y pagos y su liquidación de IVA. Sólo existe para el escenario realista, que es el único con tesorería mensual propia: por eso no está en la fila de arriba, donde se compararía contra dos estimaciones</t>
        </is>
      </c>
    </row>
    <row r="27"/>
    <row r="28" ht="150" customHeight="1">
      <c r="A28" s="17" t="inlineStr">
        <is>
          <t>La columna «Realista» lee sus tres datos de la hoja de Supuestos, así que reproduce EXACTAMENTE el año 1 del P&amp;L. Los otros dos escenarios usan las mismas tasas de coste: lo único que cambia son las transacciones, el ticket y los días. Los COSTES FIJOS sí son los mismos en los tres: los varios e imprevistos, que son un porcentaje de las ventas, van arriba con los variables y cada escenario carga los suyos.</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Años'!$E$54)</formula>
    </cfRule>
    <cfRule type="expression" priority="2" dxfId="0" stopIfTrue="1">
      <formula>AND(ISNUMBER(B23),B23&lt;='PyG 3 Años'!$E$54)</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9"/>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PERSONAL Y COSTES</t>
        </is>
      </c>
    </row>
    <row r="2">
      <c r="A2" t="str">
        <f>IFERROR("Convenio Hostelería — "&amp;TEXT('0. Supuestos'!$B$21,"0")&amp;" pagas + SS "&amp;TEXT('0. Supuestos'!$B$20*100,"0")&amp;" %","")</f>
        <v>Convenio Hostelería — 14 pagas + SS 33 %</v>
      </c>
    </row>
    <row r="3"/>
    <row r="4">
      <c r="A4" s="38" t="inlineStr">
        <is>
          <t>Puesto</t>
        </is>
      </c>
      <c r="B4" s="38" t="inlineStr">
        <is>
          <t>Personas</t>
        </is>
      </c>
      <c r="C4" s="38" t="inlineStr">
        <is>
          <t>Jornada</t>
        </is>
      </c>
      <c r="D4" s="38" t="inlineStr">
        <is>
          <t>Bruto mes (€, total del puesto)</t>
        </is>
      </c>
      <c r="E4" s="38" t="inlineStr">
        <is>
          <t>Seg. Social a cargo de la empresa (€)</t>
        </is>
      </c>
      <c r="F4" s="38" t="inlineStr">
        <is>
          <t>Coste mes (€, total del puesto)</t>
        </is>
      </c>
      <c r="G4" s="38" t="inlineStr">
        <is>
          <t>Coste año (€)</t>
        </is>
      </c>
      <c r="H4" s="38" t="inlineStr">
        <is>
          <t>Horas/semana por persona</t>
        </is>
      </c>
      <c r="I4" s="38" t="inlineStr">
        <is>
          <t>Horas/año del puesto</t>
        </is>
      </c>
      <c r="J4" s="38" t="inlineStr">
        <is>
          <t>Notas</t>
        </is>
      </c>
    </row>
    <row r="5">
      <c r="A5" s="28" t="inlineStr">
        <is>
          <t>Maestro panadero / Propietario/a</t>
        </is>
      </c>
      <c r="B5" s="49" t="n">
        <v>1</v>
      </c>
      <c r="C5" s="51" t="n">
        <v>1</v>
      </c>
      <c r="D5" s="50" t="n">
        <v>1750</v>
      </c>
      <c r="E5" s="40">
        <f>IFERROR(IF(D5="","",D5*'0. Supuestos'!$B$20),"")</f>
        <v>577.5</v>
      </c>
      <c r="F5" s="40">
        <f>IFERROR(IF(D5="","",D5+E5),"")</f>
        <v>2327.5</v>
      </c>
      <c r="G5" s="40">
        <f>IFERROR(IF(D5="","",F5*MAX(12,'0. Supuestos'!$B$21)),"")</f>
        <v>32585.0</v>
      </c>
      <c r="H5" s="44">
        <f>IFERROR(IF(D5="","",C5*$B$18),"")</f>
        <v>40.0</v>
      </c>
      <c r="I5" s="39">
        <f>IFERROR(IF(D5="","",H5*B5*$B$19),"")</f>
        <v>1840.0</v>
      </c>
      <c r="J5" s="28" t="inlineStr">
        <is>
          <t>Turno de madrugada (4:00-5:00 AM, checklist F4): amasado, formado y horneado de la primera hornada, más gestión y compras. Es el puesto de mayor cualificación del obrador</t>
        </is>
      </c>
    </row>
    <row r="6">
      <c r="A6" s="28" t="inlineStr">
        <is>
          <t>Oficial panadero</t>
        </is>
      </c>
      <c r="B6" s="49" t="n">
        <v>1</v>
      </c>
      <c r="C6" s="51" t="n">
        <v>1</v>
      </c>
      <c r="D6" s="50" t="n">
        <v>1400</v>
      </c>
      <c r="E6" s="40">
        <f>IFERROR(IF(D6="","",D6*'0. Supuestos'!$B$20),"")</f>
        <v>462.0</v>
      </c>
      <c r="F6" s="40">
        <f>IFERROR(IF(D6="","",D6+E6),"")</f>
        <v>1862.0</v>
      </c>
      <c r="G6" s="40">
        <f>IFERROR(IF(D6="","",F6*MAX(12,'0. Supuestos'!$B$21)),"")</f>
        <v>26068.0</v>
      </c>
      <c r="H6" s="44">
        <f>IFERROR(IF(D6="","",C6*$B$18),"")</f>
        <v>40.0</v>
      </c>
      <c r="I6" s="39">
        <f>IFERROR(IF(D6="","",H6*B6*$B$19),"")</f>
        <v>1840.0</v>
      </c>
      <c r="J6" s="28" t="inlineStr">
        <is>
          <t>Segunda hornada y bollería del turno de mañana; cubre al maestro panadero en sus descansos</t>
        </is>
      </c>
    </row>
    <row r="7">
      <c r="A7" s="28" t="inlineStr">
        <is>
          <t>Ayudante/a de obrador</t>
        </is>
      </c>
      <c r="B7" s="49" t="n">
        <v>1</v>
      </c>
      <c r="C7" s="51" t="n">
        <v>1</v>
      </c>
      <c r="D7" s="50" t="n">
        <v>1235</v>
      </c>
      <c r="E7" s="40">
        <f>IFERROR(IF(D7="","",D7*'0. Supuestos'!$B$20),"")</f>
        <v>407.55</v>
      </c>
      <c r="F7" s="40">
        <f>IFERROR(IF(D7="","",D7+E7),"")</f>
        <v>1642.55</v>
      </c>
      <c r="G7" s="40">
        <f>IFERROR(IF(D7="","",F7*MAX(12,'0. Supuestos'!$B$21)),"")</f>
        <v>22995.7</v>
      </c>
      <c r="H7" s="44">
        <f>IFERROR(IF(D7="","",C7*$B$18),"")</f>
        <v>40.0</v>
      </c>
      <c r="I7" s="39">
        <f>IFERROR(IF(D7="","",H7*B7*$B$19),"")</f>
        <v>1840.0</v>
      </c>
      <c r="J7" s="28" t="inlineStr">
        <is>
          <t>Pesaje, limpieza, carga/descarga de hornos y apoyo en fermentación (Personal!F7 de la v1.1)</t>
        </is>
      </c>
    </row>
    <row r="8">
      <c r="A8" s="28" t="inlineStr">
        <is>
          <t>Dependienta/e de tienda</t>
        </is>
      </c>
      <c r="B8" s="49" t="n">
        <v>1</v>
      </c>
      <c r="C8" s="51" t="n">
        <v>1</v>
      </c>
      <c r="D8" s="50" t="n">
        <v>1235</v>
      </c>
      <c r="E8" s="40">
        <f>IFERROR(IF(D8="","",D8*'0. Supuestos'!$B$20),"")</f>
        <v>407.55</v>
      </c>
      <c r="F8" s="40">
        <f>IFERROR(IF(D8="","",D8+E8),"")</f>
        <v>1642.55</v>
      </c>
      <c r="G8" s="40">
        <f>IFERROR(IF(D8="","",F8*MAX(12,'0. Supuestos'!$B$21)),"")</f>
        <v>22995.7</v>
      </c>
      <c r="H8" s="44">
        <f>IFERROR(IF(D8="","",C8*$B$18),"")</f>
        <v>40.0</v>
      </c>
      <c r="I8" s="39">
        <f>IFERROR(IF(D8="","",H8*B8*$B$19),"")</f>
        <v>1840.0</v>
      </c>
      <c r="J8" s="28" t="inlineStr">
        <is>
          <t>Atención al cliente, caja y reposición de vitrina durante toda la jornada de apertura</t>
        </is>
      </c>
    </row>
    <row r="9">
      <c r="A9" s="28" t="inlineStr">
        <is>
          <t>Extra de fin de semana</t>
        </is>
      </c>
      <c r="B9" s="49" t="n">
        <v>1</v>
      </c>
      <c r="C9" s="51" t="n">
        <v>0.3</v>
      </c>
      <c r="D9" s="50" t="n">
        <v>380</v>
      </c>
      <c r="E9" s="40">
        <f>IFERROR(IF(D9="","",D9*'0. Supuestos'!$B$20),"")</f>
        <v>125.4</v>
      </c>
      <c r="F9" s="40">
        <f>IFERROR(IF(D9="","",D9+E9),"")</f>
        <v>505.4</v>
      </c>
      <c r="G9" s="40">
        <f>IFERROR(IF(D9="","",F9*MAX(12,'0. Supuestos'!$B$21)),"")</f>
        <v>7075.599999999999</v>
      </c>
      <c r="H9" s="44">
        <f>IFERROR(IF(D9="","",C9*$B$18),"")</f>
        <v>12.0</v>
      </c>
      <c r="I9" s="39">
        <f>IFERROR(IF(D9="","",H9*B9*$B$19),"")</f>
        <v>552.0</v>
      </c>
      <c r="J9" s="28" t="inlineStr">
        <is>
          <t>Refuerzo del pico de sábado-domingo mañana, cuando la demanda de bollería sube (Personal!F9 de la v1.1)</t>
        </is>
      </c>
    </row>
    <row r="10">
      <c r="A10" s="28" t="inlineStr">
        <is>
          <t>Suplencias de vacaciones y descansos</t>
        </is>
      </c>
      <c r="B10" s="49" t="n">
        <v>1</v>
      </c>
      <c r="C10" s="51" t="n">
        <v>0.09</v>
      </c>
      <c r="D10" s="50" t="n">
        <v>115</v>
      </c>
      <c r="E10" s="40">
        <f>IFERROR(IF(D10="","",D10*'0. Supuestos'!$B$20),"")</f>
        <v>37.95</v>
      </c>
      <c r="F10" s="40">
        <f>IFERROR(IF(D10="","",D10+E10),"")</f>
        <v>152.95</v>
      </c>
      <c r="G10" s="40">
        <f>IFERROR(IF(D10="","",F10*MAX(12,'0. Supuestos'!$B$21)),"")</f>
        <v>2141.2999999999997</v>
      </c>
      <c r="H10" s="44">
        <f>IFERROR(IF(D10="","",C10*$B$18),"")</f>
        <v>3.5999999999999996</v>
      </c>
      <c r="I10" s="39">
        <f>IFERROR(IF(D10="","",H10*B10*$B$19),"")</f>
        <v>165.6</v>
      </c>
      <c r="J10" s="28" t="inlineStr">
        <is>
          <t>Cobertura de los 30 días de vacaciones (art. 38 ET) y del descanso semanal del equipo de obrador</t>
        </is>
      </c>
    </row>
    <row r="11">
      <c r="A11" s="16" t="inlineStr">
        <is>
          <t>TOTAL PLANTILLA</t>
        </is>
      </c>
      <c r="B11" s="52">
        <f>IFERROR(IF(COUNT(D5:D10)=0,"",SUM(B5:B10)),"")</f>
        <v>6.0</v>
      </c>
      <c r="C11" s="53">
        <f>IFERROR(IF(COUNT(D5:D10)=0,"",SUM(C5:C10)),"")</f>
        <v>4.39</v>
      </c>
      <c r="D11" s="54">
        <f>IFERROR(IF(COUNT(D5:D10)=0,"",SUM(D5:D10)),"")</f>
        <v>6115.0</v>
      </c>
      <c r="E11" s="54">
        <f>IFERROR(IF(COUNT(D5:D10)=0,"",SUM(E5:E10)),"")</f>
        <v>2017.95</v>
      </c>
      <c r="F11" s="54">
        <f>IFERROR(IF(COUNT(D5:D10)=0,"",SUM(F5:F10)),"")</f>
        <v>8132.95</v>
      </c>
      <c r="G11" s="54">
        <f>IFERROR(IF(COUNT(D5:D10)=0,"",SUM(G5:G10)),"")</f>
        <v>113861.3</v>
      </c>
      <c r="I11" s="52">
        <f>IFERROR(IF(COUNT(D5:D10)=0,"",SUM(I5:I10)),"")</f>
        <v>8077.6</v>
      </c>
    </row>
    <row r="12">
      <c r="A12" s="16" t="inlineStr">
        <is>
          <t>CRECIMIENTO DE LA PLANTILLA (coste escalonado)</t>
        </is>
      </c>
    </row>
    <row r="13">
      <c r="A13" s="33" t="inlineStr">
        <is>
          <t>Coste anual de las incorporaciones del año 2 (€)</t>
        </is>
      </c>
      <c r="B13" s="55" t="n">
        <v>6000</v>
      </c>
      <c r="J13" s="33" t="inlineStr">
        <is>
          <t>Coste ANUAL completo (bruto + Seguridad Social × pagas) de lo que se contrate ese año. El P&amp;L lo suma al coste del año anterior: la plantilla no crece con un porcentaje, crece con personas</t>
        </is>
      </c>
    </row>
    <row r="14">
      <c r="A14" s="33" t="inlineStr">
        <is>
          <t>Coste anual de las incorporaciones del año 3 (€)</t>
        </is>
      </c>
      <c r="B14" s="55" t="n">
        <v>6000</v>
      </c>
      <c r="J14" s="33" t="inlineStr">
        <is>
          <t>Coste ANUAL completo (bruto + Seguridad Social × pagas) de lo que se contrate ese año. El P&amp;L lo suma al coste del año anterior: la plantilla no crece con un porcentaje, crece con personas</t>
        </is>
      </c>
    </row>
    <row r="15">
      <c r="A15" s="33" t="inlineStr">
        <is>
          <t>Coste de personal del año 2</t>
        </is>
      </c>
      <c r="B15" s="34">
        <f>IFERROR(IF(G11="","",G11*(1+'0. Supuestos'!$B$48)+B13),"")</f>
        <v>119861.3</v>
      </c>
    </row>
    <row r="16">
      <c r="A16" s="33" t="inlineStr">
        <is>
          <t>Coste de personal del año 3</t>
        </is>
      </c>
      <c r="B16" s="34">
        <f>IFERROR(IF(B15="","",B15*(1+'0. Supuestos'!$B$48)+B14),"")</f>
        <v>125861.3</v>
      </c>
    </row>
    <row r="17">
      <c r="A17" s="16" t="inlineStr">
        <is>
          <t>COBERTURA POR HORAS DE SERVICIO</t>
        </is>
      </c>
    </row>
    <row r="18">
      <c r="A18" s="33" t="inlineStr">
        <is>
          <t>Jornada completa del convenio (horas/semana)</t>
        </is>
      </c>
      <c r="B18" s="56" t="n">
        <v>40</v>
      </c>
      <c r="J18" s="33" t="inlineStr">
        <is>
          <t>Art. 34.1 del Estatuto de los Trabajadores; tu convenio provincial puede fijar menos</t>
        </is>
      </c>
    </row>
    <row r="19">
      <c r="A19" s="33" t="inlineStr">
        <is>
          <t>Semanas trabajadas al año por persona</t>
        </is>
      </c>
      <c r="B19" s="56" t="n">
        <v>46</v>
      </c>
      <c r="J19" s="33" t="inlineStr">
        <is>
          <t>46 semanas: 52 menos las vacaciones (30 días naturales, art. 38 ET), los festivos y las ausencias medias</t>
        </is>
      </c>
    </row>
    <row r="20">
      <c r="A20" s="33" t="inlineStr">
        <is>
          <t>Horas de servicio al día que hay que cubrir</t>
        </is>
      </c>
      <c r="B20" s="57" t="n">
        <v>13</v>
      </c>
      <c r="J20" s="33" t="inlineStr">
        <is>
          <t>De la apertura al cierre de la TIENDA. El turno de obrador va en la fila de abajo y no se solapa con el mostrador. Cuéntalas sobre tu horario real</t>
        </is>
      </c>
    </row>
    <row r="21">
      <c r="A21" s="33" t="inlineStr">
        <is>
          <t>Personas necesarias a la vez en cada franja</t>
        </is>
      </c>
      <c r="B21" s="57" t="n">
        <v>1.7</v>
      </c>
      <c r="J21" s="33" t="inlineStr">
        <is>
          <t>Presencia media simultánea en el mostrador a lo largo del día: una persona fija más el refuerzo de las puntas de la mañana y de la merienda</t>
        </is>
      </c>
    </row>
    <row r="22">
      <c r="A22" s="33" t="inlineStr">
        <is>
          <t>Horas de producción al día ANTES de abrir</t>
        </is>
      </c>
      <c r="B22" s="57" t="n">
        <v>3.5</v>
      </c>
      <c r="J22" s="33" t="inlineStr">
        <is>
          <t>Turno de madrugada (4:00-5:00 AM, checklist F4): amasado, formado y horneado de la primera hornada, ANTES de abrir la tienda</t>
        </is>
      </c>
    </row>
    <row r="23">
      <c r="A23" s="33" t="inlineStr">
        <is>
          <t>Personas en el turno de producción</t>
        </is>
      </c>
      <c r="B23" s="57" t="n">
        <v>1</v>
      </c>
      <c r="J23" s="33" t="inlineStr">
        <is>
          <t>El maestro panadero. Si tu obrador arranca con dos personas, súbelo aquí</t>
        </is>
      </c>
    </row>
    <row r="24">
      <c r="A24" s="33" t="inlineStr">
        <is>
          <t>Horas de servicio a cubrir al año</t>
        </is>
      </c>
      <c r="B24" s="42">
        <f>IFERROR(IF(OR(B20="",B21="",'0. Supuestos'!$B$6=""),"",B20*B21*'0. Supuestos'!$B$6+B22*B23*'0. Supuestos'!$B$6),"")</f>
        <v>7935.999999999999</v>
      </c>
    </row>
    <row r="25">
      <c r="A25" s="33" t="inlineStr">
        <is>
          <t>Horas contratadas al año</t>
        </is>
      </c>
      <c r="B25" s="42">
        <f>IFERROR(IF(I11="","",I11),"")</f>
        <v>8077.6</v>
      </c>
    </row>
    <row r="26">
      <c r="A26" s="16" t="inlineStr">
        <is>
          <t>Cobertura (contratadas / necesarias)</t>
        </is>
      </c>
      <c r="B26" s="36">
        <f>IFERROR(B25/B24,"")</f>
        <v>1.017842741935484</v>
      </c>
      <c r="J26" s="16" t="inlineStr">
        <is>
          <t>Por debajo del 100 % la plantilla no llega a cubrir el horario que declara el plan: o se contrata más o se recorta el horario</t>
        </is>
      </c>
    </row>
    <row r="27"/>
    <row r="28" ht="150" customHeight="1">
      <c r="A28" s="17"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row>
    <row r="29" ht="150" customHeight="1">
      <c r="A29" s="17"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6">
    <cfRule type="expression" priority="1" dxfId="1" stopIfTrue="1">
      <formula>AND(ISNUMBER(B26),B26&lt;0.9)</formula>
    </cfRule>
    <cfRule type="expression" priority="2" dxfId="2" stopIfTrue="1">
      <formula>AND(ISNUMBER(B26),B26&gt;=0.9)</formula>
    </cfRule>
    <cfRule type="expression" priority="3" dxfId="0" stopIfTrue="1">
      <formula>AND(ISNUMBER(B26),B26&gt;=1)</formula>
    </cfRule>
  </conditionalFormatting>
  <conditionalFormatting sqref="D5:D10">
    <cfRule type="expression" priority="4" dxfId="1" stopIfTrue="1">
      <formula>AND(ISNUMBER(D5),IFERROR(D5/B5,0)*'0. Supuestos'!$B$21&lt;MAX('0. Supuestos'!$B$22,'0. Supuestos'!$B$68)*C5)</formula>
    </cfRule>
  </conditionalFormatting>
  <dataValidations count="3">
    <dataValidation sqref="B5 B6 B7 B8 B9 B10 B13 B14 B18 B19 B20 B22 D5 D6 D7 D8 D9 D10" showDropDown="0" showInputMessage="0" showErrorMessage="1" allowBlank="1" errorTitle="Importe no válido" error="Escribe un número mayor o igual que 0." type="decimal" operator="greaterThanOrEqual">
      <formula1>0</formula1>
    </dataValidation>
    <dataValidation sqref="B21 B23"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2"/>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5" t="inlineStr">
        <is>
          <t>INSTRUCCIONES DE USO — Plan financiero Panadería / Obrador</t>
        </is>
      </c>
      <c r="B1" s="28" t="n"/>
      <c r="C1" s="28" t="n"/>
      <c r="D1" s="28" t="n"/>
      <c r="E1" s="28" t="n"/>
    </row>
    <row r="2">
      <c r="A2" s="28" t="n"/>
      <c r="B2" s="28" t="n"/>
      <c r="C2" s="28" t="n"/>
      <c r="D2" s="28" t="n"/>
      <c r="E2" s="28" t="n"/>
    </row>
    <row r="3">
      <c r="A3" s="38" t="inlineStr">
        <is>
          <t>CÓMO SE USA ESTE LIBRO</t>
        </is>
      </c>
      <c r="B3" s="28" t="n"/>
      <c r="C3" s="28" t="n"/>
      <c r="D3" s="28" t="n"/>
      <c r="E3" s="28" t="n"/>
    </row>
    <row r="4" ht="30" customHeight="1">
      <c r="A4" s="46" t="inlineStr">
        <is>
          <t>Este plan financiero es un MODELO: sólo se teclea en las celdas VERDES y el resto se recalcula solo.</t>
        </is>
      </c>
      <c r="B4" s="28" t="n"/>
      <c r="C4" s="28" t="n"/>
      <c r="D4" s="28" t="n"/>
      <c r="E4" s="28" t="n"/>
    </row>
    <row r="5" ht="45" customHeight="1">
      <c r="A5" s="46" t="inlineStr">
        <is>
          <t>1. «0. Supuestos» es la hoja de mando: transacciones, ticket sin IVA, días de apertura, mezcla de comida y bebida, coste de mercancía, alquiler, financiación e impuestos.</t>
        </is>
      </c>
      <c r="B5" s="28" t="n"/>
      <c r="C5" s="28" t="n"/>
      <c r="D5" s="28" t="n"/>
      <c r="E5" s="28" t="n"/>
    </row>
    <row r="6" ht="45" customHeight="1">
      <c r="A6" s="46" t="inlineStr">
        <is>
          <t>2. Las partidas de la inversión, los costes fijos y la plantilla se teclean en su propia hoja, también en verde. Ningún número se escribe dos veces.</t>
        </is>
      </c>
      <c r="B6" s="28" t="n"/>
      <c r="C6" s="28" t="n"/>
      <c r="D6" s="28" t="n"/>
      <c r="E6" s="28" t="n"/>
    </row>
    <row r="7" ht="90" customHeight="1">
      <c r="A7" s="46" t="inlineStr">
        <is>
          <t>3. Sólo «Punto Equilibrio» se deriva entera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28" t="n"/>
      <c r="C7" s="28" t="n"/>
      <c r="D7" s="28" t="n"/>
      <c r="E7" s="28" t="n"/>
    </row>
    <row r="8" ht="240" customHeight="1">
      <c r="A8" s="46" t="inlineStr">
        <is>
          <t>4. Todas las cifras van SIN IVA. Para pasar un PVP a precio sin IVA, divide por el tipo que le corresponda: entre 1,04 el pan común y las harinas panificables (tipo superreducido, art. 91.Dos.1.1.º de la Ley 37/1992 del IVA); entre 1,10 todo el consumo en el acto —comida y bebida, alcohol incluido— (art. 91.Uno.2.2.º) y, cuando se venden para llevar, los demás alimentos, bollería y pastelería incluidas, que son productos alimenticios al tipo reducido por el art. 91.Uno.1.1.º; y entre 1,21 el tipo general, que en hostelería sólo alcanza a lo que sale del local como entrega de bienes excluida del reducido: el alcohol y los refrescos o zumos con azúcares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28" t="n"/>
      <c r="C8" s="28" t="n"/>
      <c r="D8" s="28" t="n"/>
      <c r="E8" s="28" t="n"/>
    </row>
    <row r="9" ht="30" customHeight="1">
      <c r="A9" s="46" t="inlineStr">
        <is>
          <t>5. Si cambias la plantilla, el P&amp;L la lee sola: el coste de personal sale de la hoja «Personal», no de una estimación aparte.</t>
        </is>
      </c>
      <c r="B9" s="28" t="n"/>
      <c r="C9" s="28" t="n"/>
      <c r="D9" s="28" t="n"/>
      <c r="E9" s="28" t="n"/>
    </row>
    <row r="10" ht="45" customHeight="1">
      <c r="A10" s="46" t="inlineStr">
        <is>
          <t>6. La hoja «Tesorería 12 meses» responde la pregunta que decide una operación bancaria: en qué mes se agota la caja. El saldo mínimo del año nunca puede salir en rojo.</t>
        </is>
      </c>
      <c r="B10" s="28" t="n"/>
      <c r="C10" s="28" t="n"/>
      <c r="D10" s="28" t="n"/>
      <c r="E10" s="28" t="n"/>
    </row>
    <row r="11" ht="45" customHeight="1">
      <c r="A11" s="46" t="inlineStr">
        <is>
          <t>7. La hoja «Financiación» cuadra lo que hace falta con lo que se aporta y monta el cuadro de amortización del préstamo. Si la diferencia sale en rojo, el plan no está financiado.</t>
        </is>
      </c>
      <c r="B11" s="28" t="n"/>
      <c r="C11" s="28" t="n"/>
      <c r="D11" s="28" t="n"/>
      <c r="E11" s="28" t="n"/>
    </row>
    <row r="12" ht="45" customHeight="1">
      <c r="A12" s="46" t="inlineStr">
        <is>
          <t>8. El documento Word de este pack es el de la versión 1.1: las cifras válidas son las de este Excel, que es el que se recalcula solo cuando cambias un supuesto.</t>
        </is>
      </c>
      <c r="B12" s="28" t="n"/>
      <c r="C12" s="28" t="n"/>
      <c r="D12" s="28" t="n"/>
      <c r="E12" s="28" t="n"/>
    </row>
    <row r="13">
      <c r="A13" s="28" t="n"/>
      <c r="B13" s="28" t="n"/>
      <c r="C13" s="28" t="n"/>
      <c r="D13" s="28" t="n"/>
      <c r="E13" s="28" t="n"/>
    </row>
    <row r="14">
      <c r="A14" s="25" t="inlineStr">
        <is>
          <t>RATIOS QUE AUDITA EL LIBRO</t>
        </is>
      </c>
      <c r="B14" s="28" t="n"/>
      <c r="C14" s="28" t="n"/>
      <c r="D14" s="28" t="n"/>
      <c r="E14" s="28" t="n"/>
    </row>
    <row r="15" ht="30" customHeight="1">
      <c r="A15" s="46" t="inlineStr">
        <is>
          <t>Los umbrales viven en la columna «Umbral» del bloque RATIOS CLAVE del P&amp;L: cámbialos ahí y el semáforo cambia con ellos.</t>
        </is>
      </c>
      <c r="B15" s="28" t="n"/>
      <c r="C15" s="28" t="n"/>
      <c r="D15" s="28" t="n"/>
      <c r="E15" s="28" t="n"/>
    </row>
    <row r="16">
      <c r="A16" s="28" t="n"/>
      <c r="B16" s="28" t="n"/>
      <c r="C16" s="28" t="n"/>
      <c r="D16" s="28" t="n"/>
      <c r="E16" s="28" t="n"/>
    </row>
    <row r="17">
      <c r="A17" s="25" t="inlineStr">
        <is>
          <t>Ratio</t>
        </is>
      </c>
      <c r="B17" s="25" t="inlineStr">
        <is>
          <t>Valor del año 1</t>
        </is>
      </c>
      <c r="C17" s="25" t="inlineStr">
        <is>
          <t>Umbral</t>
        </is>
      </c>
      <c r="D17" s="25" t="inlineStr">
        <is>
          <t>Estado</t>
        </is>
      </c>
      <c r="E17" s="28" t="n"/>
    </row>
    <row r="18">
      <c r="A18" t="inlineStr">
        <is>
          <t>Coste de mercancía / Ventas</t>
        </is>
      </c>
      <c r="B18" s="22">
        <f>IFERROR(IF('PyG 3 Años'!$B$53="","",'PyG 3 Años'!$B$53),"")</f>
        <v>0.2884999999999999</v>
      </c>
      <c r="C18" s="22">
        <f>IFERROR(IF('PyG 3 Años'!$E$53="","",'PyG 3 Años'!$E$53),"")</f>
        <v>0.32</v>
      </c>
      <c r="D18" t="str">
        <f>IFERROR(IF(OR(B18="",C18=""),"",IF(B18&lt;=C18,"CUMPLE","REVISAR")),"")</f>
        <v>CUMPLE</v>
      </c>
    </row>
    <row r="19">
      <c r="A19" t="inlineStr">
        <is>
          <t>Coste de personal / Ventas</t>
        </is>
      </c>
      <c r="B19" s="22">
        <f>IFERROR(IF('PyG 3 Años'!$B$54="","",'PyG 3 Años'!$B$54),"")</f>
        <v>0.37100456174649726</v>
      </c>
      <c r="C19" s="22">
        <f>IFERROR(IF('PyG 3 Años'!$E$54="","",'PyG 3 Años'!$E$54),"")</f>
        <v>0.42</v>
      </c>
      <c r="D19" t="str">
        <f>IFERROR(IF(OR(B19="",C19=""),"",IF(B19&lt;=C19,"CUMPLE","REVISAR")),"")</f>
        <v>CUMPLE</v>
      </c>
    </row>
    <row r="20">
      <c r="A20" t="inlineStr">
        <is>
          <t>Alquiler / Ventas</t>
        </is>
      </c>
      <c r="B20" s="22">
        <f>IFERROR(IF('PyG 3 Años'!$B$55="","",'PyG 3 Años'!$B$55),"")</f>
        <v>0.08211143695014662</v>
      </c>
      <c r="C20" s="22">
        <f>IFERROR(IF('PyG 3 Años'!$E$55="","",'PyG 3 Años'!$E$55),"")</f>
        <v>0.1</v>
      </c>
      <c r="D20" t="str">
        <f>IFERROR(IF(OR(B20="",C20=""),"",IF(B20&lt;=C20,"CUMPLE","REVISAR")),"")</f>
        <v>CUMPLE</v>
      </c>
    </row>
    <row r="21">
      <c r="A21" t="inlineStr">
        <is>
          <t>Resultado neto / Ventas</t>
        </is>
      </c>
      <c r="B21" s="22">
        <f>IFERROR(IF('PyG 3 Años'!$B$56="","",'PyG 3 Años'!$B$56),"")</f>
        <v>0.05504540114405716</v>
      </c>
      <c r="C21" s="22">
        <f>IFERROR(IF('PyG 3 Años'!$E$56="","",'PyG 3 Años'!$E$56),"")</f>
        <v>0.05</v>
      </c>
      <c r="D21" t="str">
        <f>IFERROR(IF(OR(B21="",C21=""),"",IF(B21&gt;=C21,"CUMPLE","REVISAR")),"")</f>
        <v>CUMPLE</v>
      </c>
    </row>
    <row r="22">
      <c r="A22" t="inlineStr">
        <is>
          <t>Margen bruto / Ventas</t>
        </is>
      </c>
      <c r="B22" s="22">
        <f>IFERROR(IF('PyG 3 Años'!$B$51="","",'PyG 3 Años'!$B$51),"")</f>
        <v>0.6635000000000001</v>
      </c>
      <c r="C22" s="22">
        <f>IFERROR(IF('PyG 3 Años'!$E$51="","",'PyG 3 Años'!$E$51),"")</f>
        <v>0.62</v>
      </c>
      <c r="D22" t="str">
        <f>IFERROR(IF(OR(B22="",C22=""),"",IF(B22&gt;=C22,"CUMPLE","REVISAR")),"")</f>
        <v>CUMPLE</v>
      </c>
    </row>
    <row r="23"/>
    <row r="24">
      <c r="A24" s="16" t="inlineStr">
        <is>
          <t>CIFRAS DE ESTE PLAN</t>
        </is>
      </c>
    </row>
    <row r="25">
      <c r="A25" t="inlineStr">
        <is>
          <t>Inversión total (suma de los bloques)</t>
        </is>
      </c>
      <c r="B25" s="34">
        <f>IFERROR(IF('Inversión Inicial'!$B$31="","",'Inversión Inicial'!$B$31),"")</f>
        <v>145215.325</v>
      </c>
    </row>
    <row r="26">
      <c r="A26" t="inlineStr">
        <is>
          <t>Necesidad total de caja al arranque</t>
        </is>
      </c>
      <c r="B26" s="34">
        <f>IFERROR(IF('Inversión Inicial'!$B$34="","",'Inversión Inicial'!$B$34),"")</f>
        <v>164808.325</v>
      </c>
    </row>
    <row r="27">
      <c r="A27" t="inlineStr">
        <is>
          <t>Fondo de maniobra dotado</t>
        </is>
      </c>
      <c r="B27" s="34">
        <f>IFERROR(IF('Inversión Inicial'!$B$30="","",'Inversión Inicial'!$B$30),"")</f>
        <v>43615.325</v>
      </c>
    </row>
    <row r="28">
      <c r="A28" t="inlineStr">
        <is>
          <t>Facturación prevista del año 1</t>
        </is>
      </c>
      <c r="B28" s="34">
        <f>IFERROR(IF('PyG 3 Años'!$B$9="","",'PyG 3 Años'!$B$9),"")</f>
        <v>306900.0</v>
      </c>
    </row>
    <row r="29">
      <c r="A29" t="inlineStr">
        <is>
          <t>Resultado neto del año 1</t>
        </is>
      </c>
      <c r="B29" s="34">
        <f>IFERROR(IF('PyG 3 Años'!$B$48="","",'PyG 3 Años'!$B$48),"")</f>
        <v>16893.433611111144</v>
      </c>
    </row>
    <row r="30">
      <c r="A30" t="inlineStr">
        <is>
          <t>Transacciones/día para el punto de equilibrio CONTABLE (con la amortización dentro)</t>
        </is>
      </c>
      <c r="B30" s="48">
        <f>IFERROR(IF('Punto Equilibrio'!$B$15="","",'Punto Equilibrio'!$B$15),"")</f>
        <v>162.431540040019</v>
      </c>
    </row>
    <row r="31">
      <c r="A31" t="inlineStr">
        <is>
          <t>Payback del proyecto (años), antes de la deuda</t>
        </is>
      </c>
      <c r="B31" t="str">
        <f>IFERROR(IF('Tesorería 12 meses'!$B$31="","",'Tesorería 12 meses'!$B$31),"")</f>
        <v>Más de 3 años</v>
      </c>
    </row>
    <row r="32"/>
    <row r="33">
      <c r="A33" s="16" t="inlineStr">
        <is>
          <t>QUÉ HA CAMBIADO RESPECTO DE LA VERSIÓN 1.1</t>
        </is>
      </c>
    </row>
    <row r="34">
      <c r="A34" s="16" t="inlineStr">
        <is>
          <t>Concepto</t>
        </is>
      </c>
      <c r="B34" s="16" t="inlineStr">
        <is>
          <t>v1.1</t>
        </is>
      </c>
      <c r="C34" s="16" t="inlineStr">
        <is>
          <t>v2.2</t>
        </is>
      </c>
      <c r="D34" s="16" t="inlineStr">
        <is>
          <t>Por qué</t>
        </is>
      </c>
    </row>
    <row r="35" ht="75" customHeight="1">
      <c r="A35" s="58" t="inlineStr">
        <is>
          <t>Coste de personal imputado al P&amp;L</t>
        </is>
      </c>
      <c r="B35" s="58" t="inlineStr">
        <is>
          <t>72.000 €</t>
        </is>
      </c>
      <c r="C35" s="58" t="inlineStr">
        <is>
          <t>Sale de la hoja Personal, por fórmula</t>
        </is>
      </c>
      <c r="D35" s="17" t="inlineStr">
        <is>
          <t>La cuenta de resultados llevaba tecleada una cifra distinta de la que sumaba su propia hoja de Personal (135.408 €): 63.408 € de diferencia. Con la cifra buena, el coste laboral se comía el 67,7 % de las ventas y el negocio no se sostenía</t>
        </is>
      </c>
    </row>
    <row r="36" ht="105" customHeight="1">
      <c r="A36" s="58" t="inlineStr">
        <is>
          <t>Plantilla</t>
        </is>
      </c>
      <c r="B36" s="58" t="inlineStr">
        <is>
          <t>5 puestos / 135.408 €</t>
        </is>
      </c>
      <c r="C36" s="58" t="inlineStr">
        <is>
          <t>6 puestos con las jornadas ajustadas / 113.861 €</t>
        </is>
      </c>
      <c r="D36" s="17" t="inlineStr">
        <is>
          <t>Dimensionada por las horas que hay que cubrir de verdad —turno de madrugada del obrador, jornada de tienda y una línea para las suplencias de vacaciones y descansos, que antes no existía— y con el techo del 42 % de coste de personal sobre ventas que declara este mismo libro. Ninguna nómina baja del salario mínimo en proporción a su jornada</t>
        </is>
      </c>
    </row>
    <row r="37" ht="90" customHeight="1">
      <c r="A37" s="58" t="inlineStr">
        <is>
          <t>Transacciones al día</t>
        </is>
      </c>
      <c r="B37" s="58" t="inlineStr">
        <is>
          <t>148 (200.000 € ÷ 4,50 € ÷ 300 días: una cifra derivada, no un dato)</t>
        </is>
      </c>
      <c r="C37" s="58" t="inlineStr">
        <is>
          <t>180</t>
        </is>
      </c>
      <c r="D37" s="17" t="inlineStr">
        <is>
          <t>Dentro del rango 80-200 que la versión anterior publicaba como escenario pesimista y optimista. Con 165 el resultado neto se quedaba por debajo del 5 % que este libro fija como suelo: los costes fijos no crecen con el volumen, así que cada transacción de más va casi entera al resultado</t>
        </is>
      </c>
    </row>
    <row r="38" ht="60" customHeight="1">
      <c r="A38" s="58" t="inlineStr">
        <is>
          <t>Ticket medio</t>
        </is>
      </c>
      <c r="B38" s="58" t="inlineStr">
        <is>
          <t>4,50 € (sin decir si llevaba IVA)</t>
        </is>
      </c>
      <c r="C38" s="58" t="inlineStr">
        <is>
          <t>5,50 € SIN IVA</t>
        </is>
      </c>
      <c r="D38" s="17" t="inlineStr">
        <is>
          <t>Ahora se declara sin IVA, que es como se proyecta un negocio. Está en el tercio alto del rango 3-6 € del propio libro porque el ticket combina barra de pan, bollería y café, no sólo la barra</t>
        </is>
      </c>
    </row>
    <row r="39" ht="75" customHeight="1">
      <c r="A39" s="58" t="inlineStr">
        <is>
          <t>Alquiler</t>
        </is>
      </c>
      <c r="B39" s="58" t="inlineStr">
        <is>
          <t>2.000 €/mes (24.000 €/año)</t>
        </is>
      </c>
      <c r="C39" s="58" t="inlineStr">
        <is>
          <t>2.100 €/mes</t>
        </is>
      </c>
      <c r="D39" s="17" t="inlineStr">
        <is>
          <t>Un obrador necesita más metros que una tienda sola: obrador, tienda y almacén suman los 80 m² mínimos que pide el checklist. Con las ventas del caso base son el 8,2 % de la facturación, por debajo del 10-14 % que declara este mismo libro</t>
        </is>
      </c>
    </row>
    <row r="40" ht="45" customHeight="1">
      <c r="A40" s="58" t="inlineStr">
        <is>
          <t>Suministros</t>
        </is>
      </c>
      <c r="B40" s="58" t="inlineStr">
        <is>
          <t>800 €/mes (9.600 €/año)</t>
        </is>
      </c>
      <c r="C40" s="58" t="inlineStr">
        <is>
          <t>875 €/mes</t>
        </is>
      </c>
      <c r="D40" s="17" t="inlineStr">
        <is>
          <t>Hornos de 30-40 kW de potencia contratada: el consumo eléctrico de un obrador no es el de una tienda. Pide el histórico del local antes de firmar el contrato</t>
        </is>
      </c>
    </row>
    <row r="41" ht="60" customHeight="1">
      <c r="A41" s="58" t="inlineStr">
        <is>
          <t>Calendario de apertura</t>
        </is>
      </c>
      <c r="B41" s="58" t="inlineStr">
        <is>
          <t>Punto de equilibrio calculado a 30 días al mes y escenarios a 300-320 días al año</t>
        </is>
      </c>
      <c r="C41" s="58" t="inlineStr">
        <is>
          <t>310 días al año, un único dato en Supuestos</t>
        </is>
      </c>
      <c r="D41" s="17" t="inlineStr">
        <is>
          <t>El libro traía dos calendarios distintos y el punto de equilibrio diario salía entre un 17 y un 20 % por debajo del que corresponde a los días que el propio libro declaraba abrir</t>
        </is>
      </c>
    </row>
    <row r="42" ht="45" customHeight="1">
      <c r="A42" s="58" t="inlineStr">
        <is>
          <t>Fondo de maniobra</t>
        </is>
      </c>
      <c r="B42" s="58" t="inlineStr">
        <is>
          <t>8.000 € etiquetados «3 meses»</t>
        </is>
      </c>
      <c r="C42" s="58" t="inlineStr">
        <is>
          <t>3 × los costes fijos de caja mensuales, por fórmula</t>
        </is>
      </c>
      <c r="D42" s="17" t="inlineStr">
        <is>
          <t>Los 8.000 € cubrían 0,80 meses, no 3. Ahora el colchón se calcula solo y se mueve cuando cambian los costes: si subes el alquiler o la plantilla, sube con ellos</t>
        </is>
      </c>
    </row>
    <row r="43" ht="90" customHeight="1">
      <c r="A43" s="58" t="inlineStr">
        <is>
          <t>Amortización</t>
        </is>
      </c>
      <c r="B43" s="58" t="inlineStr">
        <is>
          <t>10.450 €/año a 10 años planos sobre TODA la inversión, colchón de caja e imprevistos incluidos</t>
        </is>
      </c>
      <c r="C43" s="58" t="inlineStr">
        <is>
          <t>Obra e instalaciones a 10 años y maquinaria a 9 / 9.292 €/año</t>
        </is>
      </c>
      <c r="D43" s="17" t="inlineStr">
        <is>
          <t>Sólo se amortiza el inmovilizado: ni el colchón de caja, ni las existencias, ni los imprevistos, que no son bienes. Y la maquinaria a 9 años porque el coeficiente lineal máximo del art. 12.1 de la Ley del Impuesto sobre Sociedades es del 12 % anual: a 8 años el exceso no sería deducible</t>
        </is>
      </c>
    </row>
    <row r="44" ht="150" customHeight="1">
      <c r="A44" s="58" t="inlineStr">
        <is>
          <t>Imprevistos de obra</t>
        </is>
      </c>
      <c r="B44" s="58" t="inlineStr">
        <is>
          <t>7.500 € redondos bajo el rótulo «Imprevistos (8%)»</t>
        </is>
      </c>
      <c r="C44" s="58" t="inlineStr">
        <is>
          <t>3.700 € (10 % sobre las partidas de obra, por fórmula)</t>
        </is>
      </c>
      <c r="D44" s="17" t="inlineStr">
        <is>
          <t>La cifra anterior era un número redondo escrito a mano que no salía de ningún porcentaje del propio libro. Ahora el colchón se calcula sólo sobre lo que de verdad se puede desviar en una reforma —proyecto técnico, obra civil, instalación eléctrica, salida de humos y rotulación—, y no sobre el equipamiento, que se compra con precio cerrado: por eso la cifra BAJA aunque el porcentaje que la calcula sea mayor. Ese porcentaje vive en la hoja de Supuestos: cámbialo y la cifra se recalcula sola, en vez de rehacerse a mano cada vez que se toca un presupuesto</t>
        </is>
      </c>
    </row>
    <row r="45" ht="45" customHeight="1">
      <c r="A45" s="58" t="inlineStr">
        <is>
          <t>Impuesto de Sociedades</t>
        </is>
      </c>
      <c r="B45" s="58" t="inlineStr">
        <is>
          <t>25 % en los años 2 y 3, sin compensar las pérdidas del año 1</t>
        </is>
      </c>
      <c r="C45" s="58" t="inlineStr">
        <is>
          <t>15 % en los dos primeros ejercicios con beneficio, compensando las bases negativas</t>
        </is>
      </c>
      <c r="D45" s="17" t="inlineStr">
        <is>
          <t>Es lo que fijan los artículos 26 y 29.1 de la Ley del Impuesto sobre Sociedades para una entidad de nueva creación</t>
        </is>
      </c>
    </row>
    <row r="46" ht="105" customHeight="1">
      <c r="A46" s="58" t="inlineStr">
        <is>
          <t>Crecimiento del año 2</t>
        </is>
      </c>
      <c r="B46" s="58" t="inlineStr">
        <is>
          <t>+25 % (de 200.000 € a 250.000 €)</t>
        </is>
      </c>
      <c r="C46" s="58" t="inlineStr">
        <is>
          <t>+12 %</t>
        </is>
      </c>
      <c r="D46" s="17" t="inlineStr">
        <is>
          <t>La versión anterior proyectaba un salto del 25 % en el año 2 y otro del 20 % en el año 3. Aquí se proyecta menos de la mitad, que es lo prudente, pero no menos: el año 2 es el que carga de golpe la devolución del principal del préstamo al terminar la carencia, y con un crecimiento del 10 % la holgura sobre el punto de equilibrio de caja se quedaba por debajo del 15 % que el propio libro exige</t>
        </is>
      </c>
    </row>
    <row r="47" ht="75" customHeight="1">
      <c r="A47" s="58" t="inlineStr">
        <is>
          <t>Días medios de cobro</t>
        </is>
      </c>
      <c r="B47" s="58" t="inlineStr">
        <is>
          <t>0 días: todo al contado</t>
        </is>
      </c>
      <c r="C47" s="58" t="inlineStr">
        <is>
          <t>3 días de media ponderada</t>
        </is>
      </c>
      <c r="D47" s="17" t="inlineStr">
        <is>
          <t>El mostrador cobra al contado, pero un restaurante o un hotel paga a 30 días, que es el plazo por defecto del art. 4 de la Ley 3/2004 contra la morosidad. Con el peso que este negocio da al canal mayorista, la media son 3 días, y la hoja de Tesorería ya los tiene en cuenta</t>
        </is>
      </c>
    </row>
    <row r="48" ht="45" customHeight="1">
      <c r="A48" s="58" t="inlineStr">
        <is>
          <t>Plan de financiación</t>
        </is>
      </c>
      <c r="B48" s="58" t="inlineStr">
        <is>
          <t>no existía</t>
        </is>
      </c>
      <c r="C48" s="58" t="inlineStr">
        <is>
          <t>Hoja «Financiación»: origen de fondos, usos y cuadro de amortización francés</t>
        </is>
      </c>
      <c r="D48" s="17" t="inlineStr">
        <is>
          <t>Es la hoja que el banco pide junto con la cuenta de resultados, y el pack no la traía. Ahora comprueba además que lo que se aporta cubre lo que hace falta</t>
        </is>
      </c>
    </row>
    <row r="49" ht="30" customHeight="1">
      <c r="A49" s="58" t="inlineStr">
        <is>
          <t>Tesorería mensual</t>
        </is>
      </c>
      <c r="B49" s="58" t="inlineStr">
        <is>
          <t>no existía</t>
        </is>
      </c>
      <c r="C49" s="58" t="inlineStr">
        <is>
          <t>Hoja «Tesorería 12 meses»: cobros, pagos, IVA trimestral y saldo acumulado</t>
        </is>
      </c>
      <c r="D49" s="17" t="inlineStr">
        <is>
          <t>Responde la pregunta que decide una operación bancaria: en qué mes se agota la caja</t>
        </is>
      </c>
    </row>
    <row r="50" ht="45" customHeight="1">
      <c r="A50" s="58" t="inlineStr">
        <is>
          <t>Epígrafe de IAE</t>
        </is>
      </c>
      <c r="B50" s="58" t="inlineStr">
        <is>
          <t>«471.1 pan y bollería», que no existe</t>
        </is>
      </c>
      <c r="C50" s="58" t="inlineStr">
        <is>
          <t>644.1 (venta al por menor de pan y pastelería), con aviso del 419.1 si el mayorista pesa</t>
        </is>
      </c>
      <c r="D50" s="17" t="inlineStr">
        <is>
          <t>El 471 no es un grupo del IAE de panadería. La elección final la valida tu gestor: condiciona inspecciones y licencia</t>
        </is>
      </c>
    </row>
    <row r="51" ht="75" customHeight="1">
      <c r="A51" s="58" t="inlineStr">
        <is>
          <t>Registro sanitario</t>
        </is>
      </c>
      <c r="B51" s="58" t="inlineStr">
        <is>
          <t>exigía el registro estatal sin matices</t>
        </is>
      </c>
      <c r="C51" s="58" t="inlineStr">
        <is>
          <t>Registro de tu Comunidad Autónoma, con aviso para el canal mayorista</t>
        </is>
      </c>
      <c r="D51" s="17" t="inlineStr">
        <is>
          <t>El registro estatal no alcanza al minorista que vende al consumidor final (art. 2.2 del RD 191/2011). Pero la exención del minorista puro no cubre automáticamente la venta a otros negocios: si el mayorista crece, consúltalo con tu gestoría</t>
        </is>
      </c>
    </row>
    <row r="52"/>
    <row r="53">
      <c r="A53" s="16" t="inlineStr">
        <is>
          <t>DATOS DE REFERENCIA DEL SECTOR</t>
        </is>
      </c>
    </row>
    <row r="54">
      <c r="A54" s="16" t="inlineStr">
        <is>
          <t>Referencia</t>
        </is>
      </c>
      <c r="B54" s="16" t="inlineStr">
        <is>
          <t>Valor</t>
        </is>
      </c>
      <c r="C54" s="16" t="inlineStr">
        <is>
          <t>Fuente</t>
        </is>
      </c>
      <c r="D54" s="16" t="inlineStr">
        <is>
          <t>Nota</t>
        </is>
      </c>
    </row>
    <row r="55" ht="15" customHeight="1">
      <c r="A55" t="inlineStr">
        <is>
          <t>Food cost pan artesanal</t>
        </is>
      </c>
      <c r="B55" t="inlineStr">
        <is>
          <t>25-30 %</t>
        </is>
      </c>
      <c r="C55" t="inlineStr">
        <is>
          <t>Versión anterior de este kit — contrástalo en tu zona</t>
        </is>
      </c>
      <c r="D55" s="17" t="inlineStr">
        <is>
          <t>Harina + levadura + agua = bajo coste unitario</t>
        </is>
      </c>
    </row>
    <row r="56">
      <c r="A56" t="inlineStr">
        <is>
          <t>Food cost bollería</t>
        </is>
      </c>
      <c r="B56" t="inlineStr">
        <is>
          <t>32-38 %</t>
        </is>
      </c>
      <c r="C56" t="inlineStr">
        <is>
          <t>Versión anterior de este kit — contrástalo en tu zona</t>
        </is>
      </c>
      <c r="D56" s="17" t="inlineStr">
        <is>
          <t>Mantequilla y chocolate suben el coste</t>
        </is>
      </c>
    </row>
    <row r="57">
      <c r="A57" t="inlineStr">
        <is>
          <t>Food cost café</t>
        </is>
      </c>
      <c r="B57" t="inlineStr">
        <is>
          <t>25-30 %</t>
        </is>
      </c>
      <c r="C57" t="inlineStr">
        <is>
          <t>Versión anterior de este kit — contrástalo en tu zona</t>
        </is>
      </c>
      <c r="D57" s="17" t="inlineStr">
        <is>
          <t>Café de grano, margen alto</t>
        </is>
      </c>
    </row>
    <row r="58" ht="30" customHeight="1">
      <c r="A58" t="inlineStr">
        <is>
          <t>Coste de personal sobre ventas</t>
        </is>
      </c>
      <c r="B58" t="inlineStr">
        <is>
          <t>35-42 %</t>
        </is>
      </c>
      <c r="C58" t="inlineStr">
        <is>
          <t>Versión anterior de este kit — contrástalo con tu convenio</t>
        </is>
      </c>
      <c r="D58" s="17" t="inlineStr">
        <is>
          <t>El más alto de la línea de planes de restauración: turno de madrugada y doble oficio (producción + venta)</t>
        </is>
      </c>
    </row>
    <row r="59" ht="30" customHeight="1">
      <c r="A59" t="inlineStr">
        <is>
          <t>Alquiler sobre ventas</t>
        </is>
      </c>
      <c r="B59" t="inlineStr">
        <is>
          <t>10-14 %</t>
        </is>
      </c>
      <c r="C59" t="inlineStr">
        <is>
          <t>Versión anterior de este kit — contrástalo en tu zona</t>
        </is>
      </c>
      <c r="D59" s="17" t="inlineStr">
        <is>
          <t>Un obrador necesita más metros que una tienda sola: el alquiler pesa más que en una cafetería</t>
        </is>
      </c>
    </row>
    <row r="60" ht="30" customHeight="1">
      <c r="A60" t="inlineStr">
        <is>
          <t>Ticket medio panadería</t>
        </is>
      </c>
      <c r="B60" t="inlineStr">
        <is>
          <t>3-6 €</t>
        </is>
      </c>
      <c r="C60" t="inlineStr">
        <is>
          <t>Versión anterior de este kit — contrástalo en tu zona</t>
        </is>
      </c>
      <c r="D60" s="17" t="inlineStr">
        <is>
          <t>Barra de pan + bollería + café. El ticket SIN IVA de ESTE plan lo calcula la hoja 0. Supuestos</t>
        </is>
      </c>
    </row>
    <row r="61" ht="15" customHeight="1">
      <c r="A61" t="inlineStr">
        <is>
          <t>Producción diaria (kg pan)</t>
        </is>
      </c>
      <c r="B61" t="inlineStr">
        <is>
          <t>80-200 kg</t>
        </is>
      </c>
      <c r="C61" t="inlineStr">
        <is>
          <t>Versión anterior de este kit — depende de tu horno</t>
        </is>
      </c>
      <c r="D61" s="17" t="inlineStr">
        <is>
          <t>Depende del horno y del equipo instalado</t>
        </is>
      </c>
    </row>
    <row r="62" ht="30" customHeight="1">
      <c r="A62" t="inlineStr">
        <is>
          <t>Merma de pan (no vendido)</t>
        </is>
      </c>
      <c r="B62" t="inlineStr">
        <is>
          <t>5-10 %</t>
        </is>
      </c>
      <c r="C62" t="inlineStr">
        <is>
          <t>Versión anterior de este kit — mídela tú cada semana</t>
        </is>
      </c>
      <c r="D62" s="17" t="inlineStr">
        <is>
          <t>Pan del día: lo que no se vende se pierde — vigílalo cada semana (checklist F6)</t>
        </is>
      </c>
    </row>
    <row r="63" ht="15" customHeight="1">
      <c r="A63" t="inlineStr">
        <is>
          <t>Margen bruto objetivo</t>
        </is>
      </c>
      <c r="B63" t="inlineStr">
        <is>
          <t>&gt; 62 %</t>
        </is>
      </c>
      <c r="C63" t="inlineStr">
        <is>
          <t>Versión anterior de este kit — contrástalo en tu zona</t>
        </is>
      </c>
      <c r="D63" s="17" t="inlineStr">
        <is>
          <t>El pan artesanal tiene mejor margen que el industrial</t>
        </is>
      </c>
    </row>
    <row r="64" ht="15" customHeight="1">
      <c r="A64" t="inlineStr">
        <is>
          <t>Hora de inicio de producción</t>
        </is>
      </c>
      <c r="B64" t="inlineStr">
        <is>
          <t>4:00-5:00 AM</t>
        </is>
      </c>
      <c r="C64" t="inlineStr">
        <is>
          <t>Versión anterior de este kit</t>
        </is>
      </c>
      <c r="D64" s="17" t="inlineStr">
        <is>
          <t>Turno de madrugada crítico para tener pan a las 7:30</t>
        </is>
      </c>
    </row>
    <row r="65" ht="30" customHeight="1">
      <c r="A65" t="inlineStr">
        <is>
          <t>EBITDA objetivo (año 2)</t>
        </is>
      </c>
      <c r="B65" t="inlineStr">
        <is>
          <t>10-18 %</t>
        </is>
      </c>
      <c r="C65" t="inlineStr">
        <is>
          <t>Versión anterior de este kit — contrástalo en tu zona</t>
        </is>
      </c>
      <c r="D65" s="17" t="inlineStr">
        <is>
          <t>El primer año puede ser negativo: es normal en un obrador nuevo</t>
        </is>
      </c>
    </row>
    <row r="66" ht="120" customHeight="1">
      <c r="A66" t="inlineStr">
        <is>
          <t>Retorno de la inversión</t>
        </is>
      </c>
      <c r="B66" t="inlineStr">
        <is>
          <t>lo calcula este libro: fila «Payback del proyecto»</t>
        </is>
      </c>
      <c r="C66" t="inlineStr">
        <is>
          <t>Calculado por este libro, no copiado</t>
        </is>
      </c>
      <c r="D66" s="17" t="inlineStr">
        <is>
          <t>La versión anterior publicaba «24-36 meses» como si fuera un dato del sector. Aquí no se copia de nadie: el propio libro lo calcula con SU inversión y SUS flujos de caja antes de la deuda, y lo publica arriba, en la fila «Payback del proyecto» del bloque de cifras. Un obrador tarda más en devolver la inversión que una cafetería, porque el horno, la amasadora y las cámaras se pagan el primer día</t>
        </is>
      </c>
    </row>
    <row r="67" ht="30" customHeight="1">
      <c r="A67" t="inlineStr">
        <is>
          <t>Convenio colectivo aplicable</t>
        </is>
      </c>
      <c r="B67" t="inlineStr">
        <is>
          <t>PROVINCIAL de hostelería/alimentación</t>
        </is>
      </c>
      <c r="C67" t="inlineStr">
        <is>
          <t>Checklist de apertura, fase 4</t>
        </is>
      </c>
      <c r="D67" s="17" t="inlineStr">
        <is>
          <t>No existe una tabla salarial estatal única: copia la tabla de tu provincia en la celda de Supuestos</t>
        </is>
      </c>
    </row>
    <row r="68"/>
    <row r="69">
      <c r="A69" s="59" t="inlineStr">
        <is>
          <t>Para editar una celda que no esté en verde: Revisar → Desproteger hoja (no tiene contraseña).</t>
        </is>
      </c>
    </row>
    <row r="70">
      <c r="A70" s="59" t="inlineStr">
        <is>
          <t>Más plantillas y kits del catálogo en aichef.pro/productos-digitales</t>
        </is>
      </c>
    </row>
    <row r="71">
      <c r="A71" s="59" t="inlineStr">
        <is>
          <t>Diseñado por John Guerrero — chef y consultor gastronómico desde 2010, en cocina desde los 17 años · johnguerrero.es</t>
        </is>
      </c>
    </row>
    <row r="72">
      <c r="A72" s="59" t="inlineStr">
        <is>
          <t>Versión 2.2 · septiembre 2026 · aichef.pro/plan-negocio-panaderia · info@aichef.pro</t>
        </is>
      </c>
    </row>
  </sheetData>
  <sheetProtection selectLockedCells="0" selectUnlockedCells="0" sheet="1" objects="0" insertRows="1" insertHyperlinks="1" autoFilter="1" scenarios="0" formatColumns="0" deleteColumns="1" insertColumns="1" pivotTables="1" deleteRows="1" formatCells="1" formatRows="0" sort="0"/>
  <conditionalFormatting sqref="D18:D22">
    <cfRule type="containsText" priority="1" operator="containsText" dxfId="0" stopIfTrue="1" text="CUMPLE">
      <formula>NOT(ISERROR(SEARCH("CUMPLE",D18)))</formula>
    </cfRule>
    <cfRule type="containsText" priority="2" operator="containsText" dxfId="1" stopIfTrue="1" text="REVISAR">
      <formula>NOT(ISERROR(SEARCH("REVISAR",D18)))</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5" t="inlineStr">
        <is>
          <t>PREVISIÓN DE TESORERÍA — AÑO 1</t>
        </is>
      </c>
      <c r="B1" s="28" t="n"/>
      <c r="C1" s="28" t="n"/>
      <c r="D1" s="28" t="n"/>
      <c r="E1" s="28" t="n"/>
      <c r="F1" s="28" t="n"/>
      <c r="G1" s="28" t="n"/>
      <c r="H1" s="28" t="n"/>
      <c r="I1" s="28" t="n"/>
      <c r="J1" s="28" t="n"/>
      <c r="K1" s="28" t="n"/>
      <c r="L1" s="28" t="n"/>
      <c r="M1" s="28" t="n"/>
      <c r="N1" s="28" t="n"/>
      <c r="O1" s="28" t="n"/>
    </row>
    <row r="2" ht="45" customHeight="1">
      <c r="A2" s="46" t="inlineStr">
        <is>
          <t>El P&amp;L dice si el negocio gana dinero; esta hoja dice si le queda caja para llegar a fin de mes. Es la primera que mira un banco.</t>
        </is>
      </c>
      <c r="B2" s="28" t="n"/>
      <c r="C2" s="28" t="n"/>
      <c r="D2" s="28" t="n"/>
      <c r="E2" s="28" t="n"/>
      <c r="F2" s="28" t="n"/>
      <c r="G2" s="28" t="n"/>
      <c r="H2" s="28" t="n"/>
      <c r="I2" s="28" t="n"/>
      <c r="J2" s="28" t="n"/>
      <c r="K2" s="28" t="n"/>
      <c r="L2" s="28" t="n"/>
      <c r="M2" s="28" t="n"/>
      <c r="N2" s="28" t="n"/>
      <c r="O2" s="28" t="n"/>
    </row>
    <row r="3">
      <c r="A3" s="28" t="n"/>
      <c r="B3" s="28" t="n"/>
      <c r="C3" s="28" t="n"/>
      <c r="D3" s="28" t="n"/>
      <c r="E3" s="28" t="n"/>
      <c r="F3" s="28" t="n"/>
      <c r="G3" s="28" t="n"/>
      <c r="H3" s="28" t="n"/>
      <c r="I3" s="28" t="n"/>
      <c r="J3" s="28" t="n"/>
      <c r="K3" s="28" t="n"/>
      <c r="L3" s="28" t="n"/>
      <c r="M3" s="28" t="n"/>
      <c r="N3" s="28" t="n"/>
      <c r="O3" s="28" t="n"/>
    </row>
    <row r="4">
      <c r="A4" s="25" t="inlineStr">
        <is>
          <t>Concepto</t>
        </is>
      </c>
      <c r="B4" s="25" t="inlineStr">
        <is>
          <t>Mes 1 (€)</t>
        </is>
      </c>
      <c r="C4" s="25" t="inlineStr">
        <is>
          <t>Mes 2 (€)</t>
        </is>
      </c>
      <c r="D4" s="25" t="inlineStr">
        <is>
          <t>Mes 3 (€)</t>
        </is>
      </c>
      <c r="E4" s="25" t="inlineStr">
        <is>
          <t>Mes 4 (€)</t>
        </is>
      </c>
      <c r="F4" s="25" t="inlineStr">
        <is>
          <t>Mes 5 (€)</t>
        </is>
      </c>
      <c r="G4" s="25" t="inlineStr">
        <is>
          <t>Mes 6 (€)</t>
        </is>
      </c>
      <c r="H4" s="25" t="inlineStr">
        <is>
          <t>Mes 7 (€)</t>
        </is>
      </c>
      <c r="I4" s="25" t="inlineStr">
        <is>
          <t>Mes 8 (€)</t>
        </is>
      </c>
      <c r="J4" s="25" t="inlineStr">
        <is>
          <t>Mes 9 (€)</t>
        </is>
      </c>
      <c r="K4" s="25" t="inlineStr">
        <is>
          <t>Mes 10 (€)</t>
        </is>
      </c>
      <c r="L4" s="25" t="inlineStr">
        <is>
          <t>Mes 11 (€)</t>
        </is>
      </c>
      <c r="M4" s="25" t="inlineStr">
        <is>
          <t>Mes 12 (€)</t>
        </is>
      </c>
      <c r="N4" s="25" t="inlineStr">
        <is>
          <t>Año (€)</t>
        </is>
      </c>
      <c r="O4" s="28" t="n"/>
    </row>
    <row r="5">
      <c r="A5" s="28" t="inlineStr">
        <is>
          <t>Estacionalidad del mes (suma 100 %)</t>
        </is>
      </c>
      <c r="B5" s="41" t="n">
        <v>0.083</v>
      </c>
      <c r="C5" s="41" t="n">
        <v>0.078</v>
      </c>
      <c r="D5" s="41" t="n">
        <v>0.083</v>
      </c>
      <c r="E5" s="41" t="n">
        <v>0.08500000000000001</v>
      </c>
      <c r="F5" s="41" t="n">
        <v>0.083</v>
      </c>
      <c r="G5" s="41" t="n">
        <v>0.08</v>
      </c>
      <c r="H5" s="41" t="n">
        <v>0.075</v>
      </c>
      <c r="I5" s="41" t="n">
        <v>0.06</v>
      </c>
      <c r="J5" s="41" t="n">
        <v>0.083</v>
      </c>
      <c r="K5" s="41" t="n">
        <v>0.08500000000000001</v>
      </c>
      <c r="L5" s="41" t="n">
        <v>0.083</v>
      </c>
      <c r="M5" s="41" t="n">
        <v>0.122</v>
      </c>
      <c r="N5" s="30">
        <f>IFERROR(IF('PyG 3 Años'!$B$9="","",SUM(B5:M5)),"")</f>
        <v>0.9999999999999999</v>
      </c>
      <c r="O5" s="28" t="inlineStr">
        <is>
          <t>Perfil de tu zona: agosto flojo en ciudad y fuerte en costa. Tiene que sumar 100 %</t>
        </is>
      </c>
    </row>
    <row r="6">
      <c r="A6" s="28" t="inlineStr">
        <is>
          <t>Rampa de arranque (% de la actividad de crucero)</t>
        </is>
      </c>
      <c r="B6" s="30">
        <f>IFERROR(IF('PyG 3 Años'!$B$9="","",MIN(1,'0. Supuestos'!$B$52+(1-'0. Supuestos'!$B$52)*0/MAX(1,'0. Supuestos'!$B$53-1))),"")</f>
        <v>0.55</v>
      </c>
      <c r="C6" s="30">
        <f>IFERROR(IF('PyG 3 Años'!$B$9="","",MIN(1,'0. Supuestos'!$B$52+(1-'0. Supuestos'!$B$52)*1/MAX(1,'0. Supuestos'!$B$53-1))),"")</f>
        <v>0.64</v>
      </c>
      <c r="D6" s="30">
        <f>IFERROR(IF('PyG 3 Años'!$B$9="","",MIN(1,'0. Supuestos'!$B$52+(1-'0. Supuestos'!$B$52)*2/MAX(1,'0. Supuestos'!$B$53-1))),"")</f>
        <v>0.73</v>
      </c>
      <c r="E6" s="30">
        <f>IFERROR(IF('PyG 3 Años'!$B$9="","",MIN(1,'0. Supuestos'!$B$52+(1-'0. Supuestos'!$B$52)*3/MAX(1,'0. Supuestos'!$B$53-1))),"")</f>
        <v>0.8200000000000001</v>
      </c>
      <c r="F6" s="30">
        <f>IFERROR(IF('PyG 3 Años'!$B$9="","",MIN(1,'0. Supuestos'!$B$52+(1-'0. Supuestos'!$B$52)*4/MAX(1,'0. Supuestos'!$B$53-1))),"")</f>
        <v>0.91</v>
      </c>
      <c r="G6" s="30">
        <f>IFERROR(IF('PyG 3 Años'!$B$9="","",MIN(1,'0. Supuestos'!$B$52+(1-'0. Supuestos'!$B$52)*5/MAX(1,'0. Supuestos'!$B$53-1))),"")</f>
        <v>1.0</v>
      </c>
      <c r="H6" s="30">
        <f>IFERROR(IF('PyG 3 Años'!$B$9="","",MIN(1,'0. Supuestos'!$B$52+(1-'0. Supuestos'!$B$52)*6/MAX(1,'0. Supuestos'!$B$53-1))),"")</f>
        <v>1.0</v>
      </c>
      <c r="I6" s="30">
        <f>IFERROR(IF('PyG 3 Años'!$B$9="","",MIN(1,'0. Supuestos'!$B$52+(1-'0. Supuestos'!$B$52)*7/MAX(1,'0. Supuestos'!$B$53-1))),"")</f>
        <v>1.0</v>
      </c>
      <c r="J6" s="30">
        <f>IFERROR(IF('PyG 3 Años'!$B$9="","",MIN(1,'0. Supuestos'!$B$52+(1-'0. Supuestos'!$B$52)*8/MAX(1,'0. Supuestos'!$B$53-1))),"")</f>
        <v>1.0</v>
      </c>
      <c r="K6" s="30">
        <f>IFERROR(IF('PyG 3 Años'!$B$9="","",MIN(1,'0. Supuestos'!$B$52+(1-'0. Supuestos'!$B$52)*9/MAX(1,'0. Supuestos'!$B$53-1))),"")</f>
        <v>1.0</v>
      </c>
      <c r="L6" s="30">
        <f>IFERROR(IF('PyG 3 Años'!$B$9="","",MIN(1,'0. Supuestos'!$B$52+(1-'0. Supuestos'!$B$52)*10/MAX(1,'0. Supuestos'!$B$53-1))),"")</f>
        <v>1.0</v>
      </c>
      <c r="M6" s="30">
        <f>IFERROR(IF('PyG 3 Años'!$B$9="","",MIN(1,'0. Supuestos'!$B$52+(1-'0. Supuestos'!$B$52)*11/MAX(1,'0. Supuestos'!$B$53-1))),"")</f>
        <v>1.0</v>
      </c>
      <c r="N6" s="28" t="n"/>
      <c r="O6" s="28" t="inlineStr">
        <is>
          <t>Sube en línea recta desde el porcentaje del mes 1 hasta el 100 % en los meses que digas en Supuestos. Con el mes 1 al 100 % la rampa desaparece</t>
        </is>
      </c>
    </row>
    <row r="7">
      <c r="A7" s="28" t="inlineStr">
        <is>
          <t>Reparto de la actividad por mes (calculado)</t>
        </is>
      </c>
      <c r="B7" s="30">
        <f>IFERROR(IF('PyG 3 Años'!$B$9="","",B5*B6/SUMPRODUCT($B$5:$M$5,$B$6:$M$6)),"")</f>
        <v>0.05132731422660476</v>
      </c>
      <c r="C7" s="30">
        <f>IFERROR(IF('PyG 3 Años'!$B$9="","",C5*C6/SUMPRODUCT($B$5:$M$5,$B$6:$M$6)),"")</f>
        <v>0.056128357638381365</v>
      </c>
      <c r="D7" s="30">
        <f>IFERROR(IF('PyG 3 Años'!$B$9="","",D5*D6/SUMPRODUCT($B$5:$M$5,$B$6:$M$6)),"")</f>
        <v>0.06812534433712995</v>
      </c>
      <c r="E7" s="30">
        <f>IFERROR(IF('PyG 3 Años'!$B$9="","",E5*E6/SUMPRODUCT($B$5:$M$5,$B$6:$M$6)),"")</f>
        <v>0.07836831985967913</v>
      </c>
      <c r="F7" s="30">
        <f>IFERROR(IF('PyG 3 Años'!$B$9="","",F5*F6/SUMPRODUCT($B$5:$M$5,$B$6:$M$6)),"")</f>
        <v>0.08492337444765514</v>
      </c>
      <c r="G7" s="30">
        <f>IFERROR(IF('PyG 3 Años'!$B$9="","",G5*G6/SUMPRODUCT($B$5:$M$5,$B$6:$M$6)),"")</f>
        <v>0.08994929108714964</v>
      </c>
      <c r="H7" s="30">
        <f>IFERROR(IF('PyG 3 Años'!$B$9="","",H5*H6/SUMPRODUCT($B$5:$M$5,$B$6:$M$6)),"")</f>
        <v>0.08432746039420277</v>
      </c>
      <c r="I7" s="30">
        <f>IFERROR(IF('PyG 3 Años'!$B$9="","",I5*I6/SUMPRODUCT($B$5:$M$5,$B$6:$M$6)),"")</f>
        <v>0.06746196831536222</v>
      </c>
      <c r="J7" s="30">
        <f>IFERROR(IF('PyG 3 Años'!$B$9="","",J5*J6/SUMPRODUCT($B$5:$M$5,$B$6:$M$6)),"")</f>
        <v>0.09332238950291774</v>
      </c>
      <c r="K7" s="30">
        <f>IFERROR(IF('PyG 3 Años'!$B$9="","",K5*K6/SUMPRODUCT($B$5:$M$5,$B$6:$M$6)),"")</f>
        <v>0.09557112178009648</v>
      </c>
      <c r="L7" s="30">
        <f>IFERROR(IF('PyG 3 Años'!$B$9="","",L5*L6/SUMPRODUCT($B$5:$M$5,$B$6:$M$6)),"")</f>
        <v>0.09332238950291774</v>
      </c>
      <c r="M7" s="30">
        <f>IFERROR(IF('PyG 3 Años'!$B$9="","",M5*M6/SUMPRODUCT($B$5:$M$5,$B$6:$M$6)),"")</f>
        <v>0.1371726689079032</v>
      </c>
      <c r="N7" s="30">
        <f>IFERROR(IF('PyG 3 Años'!$B$9="","",SUM(B7:M7)),"")</f>
        <v>1.0000000000000002</v>
      </c>
      <c r="O7" s="28" t="inlineStr">
        <is>
          <t>Estacionalidad × rampa, normalizado a 100 %: el AÑO factura lo que dice el P&amp;L, pero repartido como lo reparte un local que acaba de abrir</t>
        </is>
      </c>
    </row>
    <row r="8">
      <c r="A8" s="25" t="inlineStr">
        <is>
          <t>COBROS</t>
        </is>
      </c>
      <c r="B8" s="28" t="n"/>
      <c r="C8" s="28" t="n"/>
      <c r="D8" s="28" t="n"/>
      <c r="E8" s="28" t="n"/>
      <c r="F8" s="28" t="n"/>
      <c r="G8" s="28" t="n"/>
      <c r="H8" s="28" t="n"/>
      <c r="I8" s="28" t="n"/>
      <c r="J8" s="28" t="n"/>
      <c r="K8" s="28" t="n"/>
      <c r="L8" s="28" t="n"/>
      <c r="M8" s="28" t="n"/>
      <c r="N8" s="28" t="n"/>
      <c r="O8" s="28" t="n"/>
    </row>
    <row r="9">
      <c r="A9" s="28" t="inlineStr">
        <is>
          <t>Ventas cobradas (con IVA repercutido)</t>
        </is>
      </c>
      <c r="B9" s="32">
        <f>IFERROR(IF('PyG 3 Años'!$B$9="","",('PyG 3 Años'!$B$9+'PyG 3 Años'!$B$9*SUMPRODUCT('PyG 3 Años'!$E$10:$E$11,'PyG 3 Años'!$G$10:$G$11))*B7*(1-MIN(30,'0. Supuestos'!$B$58)/30)),"")</f>
        <v>14996.838394214015</v>
      </c>
      <c r="C9" s="32">
        <f>IFERROR(IF('PyG 3 Años'!$B$9="","",('PyG 3 Años'!$B$9+'PyG 3 Años'!$B$9*SUMPRODUCT('PyG 3 Años'!$E$10:$E$11,'PyG 3 Años'!$G$10:$G$11))*(C7*(1-MIN(30,'0. Supuestos'!$B$58)/30)+B7*MIN(30,'0. Supuestos'!$B$58)/30)),"")</f>
        <v>18065.92485444406</v>
      </c>
      <c r="D9" s="32">
        <f>IFERROR(IF('PyG 3 Años'!$B$9="","",('PyG 3 Años'!$B$9+'PyG 3 Años'!$B$9*SUMPRODUCT('PyG 3 Años'!$E$10:$E$11,'PyG 3 Años'!$G$10:$G$11))*(D7*(1-MIN(30,'0. Supuestos'!$B$58)/30)+C7*MIN(30,'0. Supuestos'!$B$58)/30)),"")</f>
        <v>21727.073426768915</v>
      </c>
      <c r="E9" s="32">
        <f>IFERROR(IF('PyG 3 Años'!$B$9="","",('PyG 3 Años'!$B$9+'PyG 3 Años'!$B$9*SUMPRODUCT('PyG 3 Años'!$E$10:$E$11,'PyG 3 Años'!$G$10:$G$11))*(E7*(1-MIN(30,'0. Supuestos'!$B$58)/30)+D7*MIN(30,'0. Supuestos'!$B$58)/30)),"")</f>
        <v>25109.346873544793</v>
      </c>
      <c r="F9" s="32">
        <f>IFERROR(IF('PyG 3 Años'!$B$9="","",('PyG 3 Años'!$B$9+'PyG 3 Años'!$B$9*SUMPRODUCT('PyG 3 Años'!$E$10:$E$11,'PyG 3 Años'!$G$10:$G$11))*(F7*(1-MIN(30,'0. Supuestos'!$B$58)/30)+E7*MIN(30,'0. Supuestos'!$B$58)/30)),"")</f>
        <v>27357.138788637156</v>
      </c>
      <c r="G9" s="32">
        <f>IFERROR(IF('PyG 3 Años'!$B$9="","",('PyG 3 Años'!$B$9+'PyG 3 Años'!$B$9*SUMPRODUCT('PyG 3 Años'!$E$10:$E$11,'PyG 3 Años'!$G$10:$G$11))*(G7*(1-MIN(30,'0. Supuestos'!$B$58)/30)+F7*MIN(30,'0. Supuestos'!$B$58)/30)),"")</f>
        <v>29038.41997748345</v>
      </c>
      <c r="H9" s="32">
        <f>IFERROR(IF('PyG 3 Años'!$B$9="","",('PyG 3 Años'!$B$9+'PyG 3 Años'!$B$9*SUMPRODUCT('PyG 3 Años'!$E$10:$E$11,'PyG 3 Años'!$G$10:$G$11))*(H7*(1-MIN(30,'0. Supuestos'!$B$58)/30)+G7*MIN(30,'0. Supuestos'!$B$58)/30)),"")</f>
        <v>27558.99473684211</v>
      </c>
      <c r="I9" s="32">
        <f>IFERROR(IF('PyG 3 Años'!$B$9="","",('PyG 3 Años'!$B$9+'PyG 3 Años'!$B$9*SUMPRODUCT('PyG 3 Años'!$E$10:$E$11,'PyG 3 Años'!$G$10:$G$11))*(I7*(1-MIN(30,'0. Supuestos'!$B$58)/30)+H7*MIN(30,'0. Supuestos'!$B$58)/30)),"")</f>
        <v>22448.717567096548</v>
      </c>
      <c r="J9" s="32">
        <f>IFERROR(IF('PyG 3 Años'!$B$9="","",('PyG 3 Años'!$B$9+'PyG 3 Años'!$B$9*SUMPRODUCT('PyG 3 Años'!$E$10:$E$11,'PyG 3 Años'!$G$10:$G$11))*(J7*(1-MIN(30,'0. Supuestos'!$B$58)/30)+I7*MIN(30,'0. Supuestos'!$B$58)/30)),"")</f>
        <v>29457.097685604745</v>
      </c>
      <c r="K9" s="32">
        <f>IFERROR(IF('PyG 3 Años'!$B$9="","",('PyG 3 Años'!$B$9+'PyG 3 Años'!$B$9*SUMPRODUCT('PyG 3 Años'!$E$10:$E$11,'PyG 3 Años'!$G$10:$G$11))*(K7*(1-MIN(30,'0. Supuestos'!$B$58)/30)+J7*MIN(30,'0. Supuestos'!$B$58)/30)),"")</f>
        <v>30953.678856744515</v>
      </c>
      <c r="L9" s="32">
        <f>IFERROR(IF('PyG 3 Años'!$B$9="","",('PyG 3 Años'!$B$9+'PyG 3 Años'!$B$9*SUMPRODUCT('PyG 3 Años'!$E$10:$E$11,'PyG 3 Años'!$G$10:$G$11))*(L7*(1-MIN(30,'0. Supuestos'!$B$58)/30)+K7*MIN(30,'0. Supuestos'!$B$58)/30)),"")</f>
        <v>30369.647180202166</v>
      </c>
      <c r="M9" s="32">
        <f>IFERROR(IF('PyG 3 Años'!$B$9="","",('PyG 3 Años'!$B$9+'PyG 3 Años'!$B$9*SUMPRODUCT('PyG 3 Años'!$E$10:$E$11,'PyG 3 Años'!$G$10:$G$11))*(M7*(1-MIN(30,'0. Supuestos'!$B$58)/30)+L7*MIN(30,'0. Supuestos'!$B$58)/30)),"")</f>
        <v>43108.83812478216</v>
      </c>
      <c r="N9" s="32">
        <f>IFERROR(IF('PyG 3 Años'!$B$9="","",SUM(B9:M9)),"")</f>
        <v>320191.7164663646</v>
      </c>
      <c r="O9" s="28" t="inlineStr">
        <is>
          <t>Ventas del mes con el IVA repercutido, corregidas por los días medios de cobro de la hoja de Supuestos</t>
        </is>
      </c>
    </row>
    <row r="10">
      <c r="A10" s="25" t="inlineStr">
        <is>
          <t>PAGOS</t>
        </is>
      </c>
      <c r="B10" s="28" t="n"/>
      <c r="C10" s="28" t="n"/>
      <c r="D10" s="28" t="n"/>
      <c r="E10" s="28" t="n"/>
      <c r="F10" s="28" t="n"/>
      <c r="G10" s="28" t="n"/>
      <c r="H10" s="28" t="n"/>
      <c r="I10" s="28" t="n"/>
      <c r="J10" s="28" t="n"/>
      <c r="K10" s="28" t="n"/>
      <c r="L10" s="28" t="n"/>
      <c r="M10" s="28" t="n"/>
      <c r="N10" s="28" t="n"/>
      <c r="O10" s="28" t="n"/>
    </row>
    <row r="11">
      <c r="A11" s="28" t="inlineStr">
        <is>
          <t>Compras y costes variables (IVA incluido)</t>
        </is>
      </c>
      <c r="B11" s="32">
        <f>IFERROR(IF('PyG 3 Años'!$B$9="","",-('PyG 3 Años'!$B$13*(1+'PyG 3 Años'!$G$13)+'PyG 3 Años'!$B$14*(1+'PyG 3 Años'!$G$14)+'PyG 3 Años'!$B$15*(1+'PyG 3 Años'!$G$15)+'PyG 3 Años'!$B$16*(1+'PyG 3 Años'!$G$16)+'PyG 3 Años'!$B$17*(1+'PyG 3 Años'!$G$17)+'PyG 3 Años'!$B$18*(1+'PyG 3 Años'!$G$18))*B7*(1-MIN(30,'0. Supuestos'!$B$59)/30)),"")</f>
        <v>-0.0</v>
      </c>
      <c r="C11" s="32">
        <f>IFERROR(IF('PyG 3 Años'!$B$9="","",-('PyG 3 Años'!$B$13*(1+'PyG 3 Años'!$G$13)+'PyG 3 Años'!$B$14*(1+'PyG 3 Años'!$G$14)+'PyG 3 Años'!$B$15*(1+'PyG 3 Años'!$G$15)+'PyG 3 Años'!$B$16*(1+'PyG 3 Años'!$G$16)+'PyG 3 Años'!$B$17*(1+'PyG 3 Años'!$G$17)+'PyG 3 Años'!$B$18*(1+'PyG 3 Años'!$G$18))*(C7*(1-MIN(30,'0. Supuestos'!$B$59)/30)+B7*MIN(30,'0. Supuestos'!$B$59)/30)),"")</f>
        <v>-5694.75590599512</v>
      </c>
      <c r="D11" s="32">
        <f>IFERROR(IF('PyG 3 Años'!$B$9="","",-('PyG 3 Años'!$B$13*(1+'PyG 3 Años'!$G$13)+'PyG 3 Años'!$B$14*(1+'PyG 3 Años'!$G$14)+'PyG 3 Años'!$B$15*(1+'PyG 3 Años'!$G$15)+'PyG 3 Años'!$B$16*(1+'PyG 3 Años'!$G$16)+'PyG 3 Años'!$B$17*(1+'PyG 3 Años'!$G$17)+'PyG 3 Años'!$B$18*(1+'PyG 3 Años'!$G$18))*(D7*(1-MIN(30,'0. Supuestos'!$B$59)/30)+C7*MIN(30,'0. Supuestos'!$B$59)/30)),"")</f>
        <v>-6227.430773872429</v>
      </c>
      <c r="E11" s="32">
        <f>IFERROR(IF('PyG 3 Años'!$B$9="","",-('PyG 3 Años'!$B$13*(1+'PyG 3 Años'!$G$13)+'PyG 3 Años'!$B$14*(1+'PyG 3 Años'!$G$14)+'PyG 3 Años'!$B$15*(1+'PyG 3 Años'!$G$15)+'PyG 3 Años'!$B$16*(1+'PyG 3 Años'!$G$16)+'PyG 3 Años'!$B$17*(1+'PyG 3 Años'!$G$17)+'PyG 3 Años'!$B$18*(1+'PyG 3 Años'!$G$18))*(E7*(1-MIN(30,'0. Supuestos'!$B$59)/30)+D7*MIN(30,'0. Supuestos'!$B$59)/30)),"")</f>
        <v>-7558.494202502614</v>
      </c>
      <c r="F11" s="32">
        <f>IFERROR(IF('PyG 3 Años'!$B$9="","",-('PyG 3 Años'!$B$13*(1+'PyG 3 Años'!$G$13)+'PyG 3 Años'!$B$14*(1+'PyG 3 Años'!$G$14)+'PyG 3 Años'!$B$15*(1+'PyG 3 Años'!$G$15)+'PyG 3 Años'!$B$16*(1+'PyG 3 Años'!$G$16)+'PyG 3 Años'!$B$17*(1+'PyG 3 Años'!$G$17)+'PyG 3 Años'!$B$18*(1+'PyG 3 Años'!$G$18))*(F7*(1-MIN(30,'0. Supuestos'!$B$59)/30)+E7*MIN(30,'0. Supuestos'!$B$59)/30)),"")</f>
        <v>-8694.950419449286</v>
      </c>
      <c r="G11" s="32">
        <f>IFERROR(IF('PyG 3 Años'!$B$9="","",-('PyG 3 Años'!$B$13*(1+'PyG 3 Años'!$G$13)+'PyG 3 Años'!$B$14*(1+'PyG 3 Años'!$G$14)+'PyG 3 Años'!$B$15*(1+'PyG 3 Años'!$G$15)+'PyG 3 Años'!$B$16*(1+'PyG 3 Años'!$G$16)+'PyG 3 Años'!$B$17*(1+'PyG 3 Años'!$G$17)+'PyG 3 Años'!$B$18*(1+'PyG 3 Años'!$G$18))*(G7*(1-MIN(30,'0. Supuestos'!$B$59)/30)+F7*MIN(30,'0. Supuestos'!$B$59)/30)),"")</f>
        <v>-9422.232499010108</v>
      </c>
      <c r="H11" s="32">
        <f>IFERROR(IF('PyG 3 Años'!$B$9="","",-('PyG 3 Años'!$B$13*(1+'PyG 3 Años'!$G$13)+'PyG 3 Años'!$B$14*(1+'PyG 3 Años'!$G$14)+'PyG 3 Años'!$B$15*(1+'PyG 3 Años'!$G$15)+'PyG 3 Años'!$B$16*(1+'PyG 3 Años'!$G$16)+'PyG 3 Años'!$B$17*(1+'PyG 3 Años'!$G$17)+'PyG 3 Años'!$B$18*(1+'PyG 3 Años'!$G$18))*(H7*(1-MIN(30,'0. Supuestos'!$B$59)/30)+G7*MIN(30,'0. Supuestos'!$B$59)/30)),"")</f>
        <v>-9979.857009410944</v>
      </c>
      <c r="I11" s="32">
        <f>IFERROR(IF('PyG 3 Años'!$B$9="","",-('PyG 3 Años'!$B$13*(1+'PyG 3 Años'!$G$13)+'PyG 3 Años'!$B$14*(1+'PyG 3 Años'!$G$14)+'PyG 3 Años'!$B$15*(1+'PyG 3 Años'!$G$15)+'PyG 3 Años'!$B$16*(1+'PyG 3 Años'!$G$16)+'PyG 3 Años'!$B$17*(1+'PyG 3 Años'!$G$17)+'PyG 3 Años'!$B$18*(1+'PyG 3 Años'!$G$18))*(I7*(1-MIN(30,'0. Supuestos'!$B$59)/30)+H7*MIN(30,'0. Supuestos'!$B$59)/30)),"")</f>
        <v>-9356.11594632276</v>
      </c>
      <c r="J11" s="32">
        <f>IFERROR(IF('PyG 3 Años'!$B$9="","",-('PyG 3 Años'!$B$13*(1+'PyG 3 Años'!$G$13)+'PyG 3 Años'!$B$14*(1+'PyG 3 Años'!$G$14)+'PyG 3 Años'!$B$15*(1+'PyG 3 Años'!$G$15)+'PyG 3 Años'!$B$16*(1+'PyG 3 Años'!$G$16)+'PyG 3 Años'!$B$17*(1+'PyG 3 Años'!$G$17)+'PyG 3 Años'!$B$18*(1+'PyG 3 Años'!$G$18))*(J7*(1-MIN(30,'0. Supuestos'!$B$59)/30)+I7*MIN(30,'0. Supuestos'!$B$59)/30)),"")</f>
        <v>-7484.892757058206</v>
      </c>
      <c r="K11" s="32">
        <f>IFERROR(IF('PyG 3 Años'!$B$9="","",-('PyG 3 Años'!$B$13*(1+'PyG 3 Años'!$G$13)+'PyG 3 Años'!$B$14*(1+'PyG 3 Años'!$G$14)+'PyG 3 Años'!$B$15*(1+'PyG 3 Años'!$G$15)+'PyG 3 Años'!$B$16*(1+'PyG 3 Años'!$G$16)+'PyG 3 Años'!$B$17*(1+'PyG 3 Años'!$G$17)+'PyG 3 Años'!$B$18*(1+'PyG 3 Años'!$G$18))*(K7*(1-MIN(30,'0. Supuestos'!$B$59)/30)+J7*MIN(30,'0. Supuestos'!$B$59)/30)),"")</f>
        <v>-10354.101647263855</v>
      </c>
      <c r="L11" s="32">
        <f>IFERROR(IF('PyG 3 Años'!$B$9="","",-('PyG 3 Años'!$B$13*(1+'PyG 3 Años'!$G$13)+'PyG 3 Años'!$B$14*(1+'PyG 3 Años'!$G$14)+'PyG 3 Años'!$B$15*(1+'PyG 3 Años'!$G$15)+'PyG 3 Años'!$B$16*(1+'PyG 3 Años'!$G$16)+'PyG 3 Años'!$B$17*(1+'PyG 3 Años'!$G$17)+'PyG 3 Años'!$B$18*(1+'PyG 3 Años'!$G$18))*(L7*(1-MIN(30,'0. Supuestos'!$B$59)/30)+K7*MIN(30,'0. Supuestos'!$B$59)/30)),"")</f>
        <v>-10603.598072499128</v>
      </c>
      <c r="M11" s="32">
        <f>IFERROR(IF('PyG 3 Años'!$B$9="","",-('PyG 3 Años'!$B$13*(1+'PyG 3 Años'!$G$13)+'PyG 3 Años'!$B$14*(1+'PyG 3 Años'!$G$14)+'PyG 3 Años'!$B$15*(1+'PyG 3 Años'!$G$15)+'PyG 3 Años'!$B$16*(1+'PyG 3 Años'!$G$16)+'PyG 3 Años'!$B$17*(1+'PyG 3 Años'!$G$17)+'PyG 3 Años'!$B$18*(1+'PyG 3 Años'!$G$18))*(M7*(1-MIN(30,'0. Supuestos'!$B$59)/30)+L7*MIN(30,'0. Supuestos'!$B$59)/30)),"")</f>
        <v>-10354.101647263855</v>
      </c>
      <c r="N11" s="32">
        <f>IFERROR(IF('PyG 3 Años'!$B$9="","",SUM(B11:M11)),"")</f>
        <v>-95730.53088064831</v>
      </c>
      <c r="O11" s="28"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28" t="inlineStr">
        <is>
          <t>Costes fijos de explotación (IVA incluido)</t>
        </is>
      </c>
      <c r="B12" s="32">
        <f>IFERROR(IF('PyG 3 Años'!$B$9="","",-('PyG 3 Años'!$B$38-'PyG 3 Años'!$B$23-'PyG 3 Años'!$B$36-'PyG 3 Años'!$B$37+'PyG 3 Años'!$B$40)/12),"")</f>
        <v>-5347.749999999999</v>
      </c>
      <c r="C12" s="32">
        <f>IFERROR(IF('PyG 3 Años'!$B$9="","",-('PyG 3 Años'!$B$38-'PyG 3 Años'!$B$23-'PyG 3 Años'!$B$36-'PyG 3 Años'!$B$37+'PyG 3 Años'!$B$40)/12),"")</f>
        <v>-5347.749999999999</v>
      </c>
      <c r="D12" s="32">
        <f>IFERROR(IF('PyG 3 Años'!$B$9="","",-('PyG 3 Años'!$B$38-'PyG 3 Años'!$B$23-'PyG 3 Años'!$B$36-'PyG 3 Años'!$B$37+'PyG 3 Años'!$B$40)/12),"")</f>
        <v>-5347.749999999999</v>
      </c>
      <c r="E12" s="32">
        <f>IFERROR(IF('PyG 3 Años'!$B$9="","",-('PyG 3 Años'!$B$38-'PyG 3 Años'!$B$23-'PyG 3 Años'!$B$36-'PyG 3 Años'!$B$37+'PyG 3 Años'!$B$40)/12),"")</f>
        <v>-5347.749999999999</v>
      </c>
      <c r="F12" s="32">
        <f>IFERROR(IF('PyG 3 Años'!$B$9="","",-('PyG 3 Años'!$B$38-'PyG 3 Años'!$B$23-'PyG 3 Años'!$B$36-'PyG 3 Años'!$B$37+'PyG 3 Años'!$B$40)/12),"")</f>
        <v>-5347.749999999999</v>
      </c>
      <c r="G12" s="32">
        <f>IFERROR(IF('PyG 3 Años'!$B$9="","",-('PyG 3 Años'!$B$38-'PyG 3 Años'!$B$23-'PyG 3 Años'!$B$36-'PyG 3 Años'!$B$37+'PyG 3 Años'!$B$40)/12),"")</f>
        <v>-5347.749999999999</v>
      </c>
      <c r="H12" s="32">
        <f>IFERROR(IF('PyG 3 Años'!$B$9="","",-('PyG 3 Años'!$B$38-'PyG 3 Años'!$B$23-'PyG 3 Años'!$B$36-'PyG 3 Años'!$B$37+'PyG 3 Años'!$B$40)/12),"")</f>
        <v>-5347.749999999999</v>
      </c>
      <c r="I12" s="32">
        <f>IFERROR(IF('PyG 3 Años'!$B$9="","",-('PyG 3 Años'!$B$38-'PyG 3 Años'!$B$23-'PyG 3 Años'!$B$36-'PyG 3 Años'!$B$37+'PyG 3 Años'!$B$40)/12),"")</f>
        <v>-5347.749999999999</v>
      </c>
      <c r="J12" s="32">
        <f>IFERROR(IF('PyG 3 Años'!$B$9="","",-('PyG 3 Años'!$B$38-'PyG 3 Años'!$B$23-'PyG 3 Años'!$B$36-'PyG 3 Años'!$B$37+'PyG 3 Años'!$B$40)/12),"")</f>
        <v>-5347.749999999999</v>
      </c>
      <c r="K12" s="32">
        <f>IFERROR(IF('PyG 3 Años'!$B$9="","",-('PyG 3 Años'!$B$38-'PyG 3 Años'!$B$23-'PyG 3 Años'!$B$36-'PyG 3 Años'!$B$37+'PyG 3 Años'!$B$40)/12),"")</f>
        <v>-5347.749999999999</v>
      </c>
      <c r="L12" s="32">
        <f>IFERROR(IF('PyG 3 Años'!$B$9="","",-('PyG 3 Años'!$B$38-'PyG 3 Años'!$B$23-'PyG 3 Años'!$B$36-'PyG 3 Años'!$B$37+'PyG 3 Años'!$B$40)/12),"")</f>
        <v>-5347.749999999999</v>
      </c>
      <c r="M12" s="32">
        <f>IFERROR(IF('PyG 3 Años'!$B$9="","",-('PyG 3 Años'!$B$38-'PyG 3 Años'!$B$23-'PyG 3 Años'!$B$36-'PyG 3 Años'!$B$37+'PyG 3 Años'!$B$40)/12),"")</f>
        <v>-5347.749999999999</v>
      </c>
      <c r="N12" s="32">
        <f>IFERROR(IF('PyG 3 Años'!$B$9="","",SUM(B12:M12)),"")</f>
        <v>-64172.99999999999</v>
      </c>
      <c r="O12" s="28" t="inlineStr">
        <is>
          <t>Los fijos que salen de caja, cada uno con su tipo de IVA: los seguros están exentos y no llevan</t>
        </is>
      </c>
    </row>
    <row r="13">
      <c r="A13" s="28" t="inlineStr">
        <is>
          <t>Nóminas y Seguridad Social</t>
        </is>
      </c>
      <c r="B13" s="32">
        <f>IFERROR(IF('PyG 3 Años'!$B$9="","",-'PyG 3 Años'!$B$23/MAX(12,'0. Supuestos'!$B$21)*(1+IF(1='0. Supuestos'!$B$60,(MAX(12,'0. Supuestos'!$B$21)-12)/2,0)+IF(1='0. Supuestos'!$B$61,(MAX(12,'0. Supuestos'!$B$21)-12)/2,0))),"")</f>
        <v>-8132.95</v>
      </c>
      <c r="C13" s="32">
        <f>IFERROR(IF('PyG 3 Años'!$B$9="","",-'PyG 3 Años'!$B$23/MAX(12,'0. Supuestos'!$B$21)*(1+IF(2='0. Supuestos'!$B$60,(MAX(12,'0. Supuestos'!$B$21)-12)/2,0)+IF(2='0. Supuestos'!$B$61,(MAX(12,'0. Supuestos'!$B$21)-12)/2,0))),"")</f>
        <v>-8132.95</v>
      </c>
      <c r="D13" s="32">
        <f>IFERROR(IF('PyG 3 Años'!$B$9="","",-'PyG 3 Años'!$B$23/MAX(12,'0. Supuestos'!$B$21)*(1+IF(3='0. Supuestos'!$B$60,(MAX(12,'0. Supuestos'!$B$21)-12)/2,0)+IF(3='0. Supuestos'!$B$61,(MAX(12,'0. Supuestos'!$B$21)-12)/2,0))),"")</f>
        <v>-8132.95</v>
      </c>
      <c r="E13" s="32">
        <f>IFERROR(IF('PyG 3 Años'!$B$9="","",-'PyG 3 Años'!$B$23/MAX(12,'0. Supuestos'!$B$21)*(1+IF(4='0. Supuestos'!$B$60,(MAX(12,'0. Supuestos'!$B$21)-12)/2,0)+IF(4='0. Supuestos'!$B$61,(MAX(12,'0. Supuestos'!$B$21)-12)/2,0))),"")</f>
        <v>-8132.95</v>
      </c>
      <c r="F13" s="32">
        <f>IFERROR(IF('PyG 3 Años'!$B$9="","",-'PyG 3 Años'!$B$23/MAX(12,'0. Supuestos'!$B$21)*(1+IF(5='0. Supuestos'!$B$60,(MAX(12,'0. Supuestos'!$B$21)-12)/2,0)+IF(5='0. Supuestos'!$B$61,(MAX(12,'0. Supuestos'!$B$21)-12)/2,0))),"")</f>
        <v>-8132.95</v>
      </c>
      <c r="G13" s="32">
        <f>IFERROR(IF('PyG 3 Años'!$B$9="","",-'PyG 3 Años'!$B$23/MAX(12,'0. Supuestos'!$B$21)*(1+IF(6='0. Supuestos'!$B$60,(MAX(12,'0. Supuestos'!$B$21)-12)/2,0)+IF(6='0. Supuestos'!$B$61,(MAX(12,'0. Supuestos'!$B$21)-12)/2,0))),"")</f>
        <v>-8132.95</v>
      </c>
      <c r="H13" s="32">
        <f>IFERROR(IF('PyG 3 Años'!$B$9="","",-'PyG 3 Años'!$B$23/MAX(12,'0. Supuestos'!$B$21)*(1+IF(7='0. Supuestos'!$B$60,(MAX(12,'0. Supuestos'!$B$21)-12)/2,0)+IF(7='0. Supuestos'!$B$61,(MAX(12,'0. Supuestos'!$B$21)-12)/2,0))),"")</f>
        <v>-16265.9</v>
      </c>
      <c r="I13" s="32">
        <f>IFERROR(IF('PyG 3 Años'!$B$9="","",-'PyG 3 Años'!$B$23/MAX(12,'0. Supuestos'!$B$21)*(1+IF(8='0. Supuestos'!$B$60,(MAX(12,'0. Supuestos'!$B$21)-12)/2,0)+IF(8='0. Supuestos'!$B$61,(MAX(12,'0. Supuestos'!$B$21)-12)/2,0))),"")</f>
        <v>-8132.95</v>
      </c>
      <c r="J13" s="32">
        <f>IFERROR(IF('PyG 3 Años'!$B$9="","",-'PyG 3 Años'!$B$23/MAX(12,'0. Supuestos'!$B$21)*(1+IF(9='0. Supuestos'!$B$60,(MAX(12,'0. Supuestos'!$B$21)-12)/2,0)+IF(9='0. Supuestos'!$B$61,(MAX(12,'0. Supuestos'!$B$21)-12)/2,0))),"")</f>
        <v>-8132.95</v>
      </c>
      <c r="K13" s="32">
        <f>IFERROR(IF('PyG 3 Años'!$B$9="","",-'PyG 3 Años'!$B$23/MAX(12,'0. Supuestos'!$B$21)*(1+IF(10='0. Supuestos'!$B$60,(MAX(12,'0. Supuestos'!$B$21)-12)/2,0)+IF(10='0. Supuestos'!$B$61,(MAX(12,'0. Supuestos'!$B$21)-12)/2,0))),"")</f>
        <v>-8132.95</v>
      </c>
      <c r="L13" s="32">
        <f>IFERROR(IF('PyG 3 Años'!$B$9="","",-'PyG 3 Años'!$B$23/MAX(12,'0. Supuestos'!$B$21)*(1+IF(11='0. Supuestos'!$B$60,(MAX(12,'0. Supuestos'!$B$21)-12)/2,0)+IF(11='0. Supuestos'!$B$61,(MAX(12,'0. Supuestos'!$B$21)-12)/2,0))),"")</f>
        <v>-8132.95</v>
      </c>
      <c r="M13" s="32">
        <f>IFERROR(IF('PyG 3 Años'!$B$9="","",-'PyG 3 Años'!$B$23/MAX(12,'0. Supuestos'!$B$21)*(1+IF(12='0. Supuestos'!$B$60,(MAX(12,'0. Supuestos'!$B$21)-12)/2,0)+IF(12='0. Supuestos'!$B$61,(MAX(12,'0. Supuestos'!$B$21)-12)/2,0))),"")</f>
        <v>-16265.9</v>
      </c>
      <c r="N13" s="32">
        <f>IFERROR(IF('PyG 3 Años'!$B$9="","",SUM(B13:M13)),"")</f>
        <v>-113861.29999999999</v>
      </c>
      <c r="O13" s="28" t="inlineStr">
        <is>
          <t>Doce mensualidades más las pagas extra en los meses que digas en Supuestos. La suma del año es la misma que la del P&amp;L</t>
        </is>
      </c>
    </row>
    <row r="14">
      <c r="A14" s="28" t="inlineStr">
        <is>
          <t>Intereses del préstamo</t>
        </is>
      </c>
      <c r="B14" s="32">
        <f>IFERROR(IF('PyG 3 Años'!$B$9="","",-'Financiación'!$B$44/12),"")</f>
        <v>-600.0</v>
      </c>
      <c r="C14" s="32">
        <f>IFERROR(IF('PyG 3 Años'!$B$9="","",-'Financiación'!$B$44/12),"")</f>
        <v>-600.0</v>
      </c>
      <c r="D14" s="32">
        <f>IFERROR(IF('PyG 3 Años'!$B$9="","",-'Financiación'!$B$44/12),"")</f>
        <v>-600.0</v>
      </c>
      <c r="E14" s="32">
        <f>IFERROR(IF('PyG 3 Años'!$B$9="","",-'Financiación'!$B$44/12),"")</f>
        <v>-600.0</v>
      </c>
      <c r="F14" s="32">
        <f>IFERROR(IF('PyG 3 Años'!$B$9="","",-'Financiación'!$B$44/12),"")</f>
        <v>-600.0</v>
      </c>
      <c r="G14" s="32">
        <f>IFERROR(IF('PyG 3 Años'!$B$9="","",-'Financiación'!$B$44/12),"")</f>
        <v>-600.0</v>
      </c>
      <c r="H14" s="32">
        <f>IFERROR(IF('PyG 3 Años'!$B$9="","",-'Financiación'!$B$44/12),"")</f>
        <v>-600.0</v>
      </c>
      <c r="I14" s="32">
        <f>IFERROR(IF('PyG 3 Años'!$B$9="","",-'Financiación'!$B$44/12),"")</f>
        <v>-600.0</v>
      </c>
      <c r="J14" s="32">
        <f>IFERROR(IF('PyG 3 Años'!$B$9="","",-'Financiación'!$B$44/12),"")</f>
        <v>-600.0</v>
      </c>
      <c r="K14" s="32">
        <f>IFERROR(IF('PyG 3 Años'!$B$9="","",-'Financiación'!$B$44/12),"")</f>
        <v>-600.0</v>
      </c>
      <c r="L14" s="32">
        <f>IFERROR(IF('PyG 3 Años'!$B$9="","",-'Financiación'!$B$44/12),"")</f>
        <v>-600.0</v>
      </c>
      <c r="M14" s="32">
        <f>IFERROR(IF('PyG 3 Años'!$B$9="","",-'Financiación'!$B$44/12),"")</f>
        <v>-600.0</v>
      </c>
      <c r="N14" s="32">
        <f>IFERROR(IF('PyG 3 Años'!$B$9="","",SUM(B14:M14)),"")</f>
        <v>-7200.0</v>
      </c>
      <c r="O14" s="28" t="n"/>
    </row>
    <row r="15">
      <c r="A15" s="28" t="inlineStr">
        <is>
          <t>Devolución de principal del préstamo</t>
        </is>
      </c>
      <c r="B15" s="32">
        <f>IFERROR(IF('PyG 3 Años'!$B$9="","",-'Financiación'!$B$45/12),"")</f>
        <v>0.0</v>
      </c>
      <c r="C15" s="32">
        <f>IFERROR(IF('PyG 3 Años'!$B$9="","",-'Financiación'!$B$45/12),"")</f>
        <v>0.0</v>
      </c>
      <c r="D15" s="32">
        <f>IFERROR(IF('PyG 3 Años'!$B$9="","",-'Financiación'!$B$45/12),"")</f>
        <v>0.0</v>
      </c>
      <c r="E15" s="32">
        <f>IFERROR(IF('PyG 3 Años'!$B$9="","",-'Financiación'!$B$45/12),"")</f>
        <v>0.0</v>
      </c>
      <c r="F15" s="32">
        <f>IFERROR(IF('PyG 3 Años'!$B$9="","",-'Financiación'!$B$45/12),"")</f>
        <v>0.0</v>
      </c>
      <c r="G15" s="32">
        <f>IFERROR(IF('PyG 3 Años'!$B$9="","",-'Financiación'!$B$45/12),"")</f>
        <v>0.0</v>
      </c>
      <c r="H15" s="32">
        <f>IFERROR(IF('PyG 3 Años'!$B$9="","",-'Financiación'!$B$45/12),"")</f>
        <v>0.0</v>
      </c>
      <c r="I15" s="32">
        <f>IFERROR(IF('PyG 3 Años'!$B$9="","",-'Financiación'!$B$45/12),"")</f>
        <v>0.0</v>
      </c>
      <c r="J15" s="32">
        <f>IFERROR(IF('PyG 3 Años'!$B$9="","",-'Financiación'!$B$45/12),"")</f>
        <v>0.0</v>
      </c>
      <c r="K15" s="32">
        <f>IFERROR(IF('PyG 3 Años'!$B$9="","",-'Financiación'!$B$45/12),"")</f>
        <v>0.0</v>
      </c>
      <c r="L15" s="32">
        <f>IFERROR(IF('PyG 3 Años'!$B$9="","",-'Financiación'!$B$45/12),"")</f>
        <v>0.0</v>
      </c>
      <c r="M15" s="32">
        <f>IFERROR(IF('PyG 3 Años'!$B$9="","",-'Financiación'!$B$45/12),"")</f>
        <v>0.0</v>
      </c>
      <c r="N15" s="32">
        <f>IFERROR(IF('PyG 3 Años'!$B$9="","",SUM(B15:M15)),"")</f>
        <v>0.0</v>
      </c>
      <c r="O15" s="28" t="n"/>
    </row>
    <row r="16">
      <c r="A16" s="28" t="inlineStr">
        <is>
          <t>IVA repercutido del mes (memoria)</t>
        </is>
      </c>
      <c r="B16" s="32">
        <f>IFERROR(IF('PyG 3 Años'!$B$9="","",'PyG 3 Años'!$B$9*B7*SUMPRODUCT('PyG 3 Años'!$E$10:$E$11,'PyG 3 Años'!$G$10:$G$11)),"")</f>
        <v>910.8010352039039</v>
      </c>
      <c r="C16" s="32">
        <f>IFERROR(IF('PyG 3 Años'!$B$9="","",'PyG 3 Años'!$B$9*C7*SUMPRODUCT('PyG 3 Años'!$E$10:$E$11,'PyG 3 Años'!$G$10:$G$11)),"")</f>
        <v>995.9953489020564</v>
      </c>
      <c r="D16" s="32">
        <f>IFERROR(IF('PyG 3 Años'!$B$9="","",'PyG 3 Años'!$B$9*D7*SUMPRODUCT('PyG 3 Años'!$E$10:$E$11,'PyG 3 Años'!$G$10:$G$11)),"")</f>
        <v>1208.8813739979087</v>
      </c>
      <c r="E16" s="32">
        <f>IFERROR(IF('PyG 3 Años'!$B$9="","",'PyG 3 Años'!$B$9*E7*SUMPRODUCT('PyG 3 Años'!$E$10:$E$11,'PyG 3 Años'!$G$10:$G$11)),"")</f>
        <v>1390.642544440572</v>
      </c>
      <c r="F16" s="32">
        <f>IFERROR(IF('PyG 3 Años'!$B$9="","",'PyG 3 Años'!$B$9*F7*SUMPRODUCT('PyG 3 Años'!$E$10:$E$11,'PyG 3 Años'!$G$10:$G$11)),"")</f>
        <v>1506.9617127919137</v>
      </c>
      <c r="G16" s="32">
        <f>IFERROR(IF('PyG 3 Años'!$B$9="","",'PyG 3 Años'!$B$9*G7*SUMPRODUCT('PyG 3 Años'!$E$10:$E$11,'PyG 3 Años'!$G$10:$G$11)),"")</f>
        <v>1596.1463924712446</v>
      </c>
      <c r="H16" s="32">
        <f>IFERROR(IF('PyG 3 Años'!$B$9="","",'PyG 3 Años'!$B$9*H7*SUMPRODUCT('PyG 3 Años'!$E$10:$E$11,'PyG 3 Años'!$G$10:$G$11)),"")</f>
        <v>1496.3872429417916</v>
      </c>
      <c r="I16" s="32">
        <f>IFERROR(IF('PyG 3 Años'!$B$9="","",'PyG 3 Años'!$B$9*I7*SUMPRODUCT('PyG 3 Años'!$E$10:$E$11,'PyG 3 Años'!$G$10:$G$11)),"")</f>
        <v>1197.1097943534332</v>
      </c>
      <c r="J16" s="32">
        <f>IFERROR(IF('PyG 3 Años'!$B$9="","",'PyG 3 Años'!$B$9*J7*SUMPRODUCT('PyG 3 Años'!$E$10:$E$11,'PyG 3 Años'!$G$10:$G$11)),"")</f>
        <v>1656.001882188916</v>
      </c>
      <c r="K16" s="32">
        <f>IFERROR(IF('PyG 3 Años'!$B$9="","",'PyG 3 Años'!$B$9*K7*SUMPRODUCT('PyG 3 Años'!$E$10:$E$11,'PyG 3 Años'!$G$10:$G$11)),"")</f>
        <v>1695.9055420006973</v>
      </c>
      <c r="L16" s="32">
        <f>IFERROR(IF('PyG 3 Años'!$B$9="","",'PyG 3 Años'!$B$9*L7*SUMPRODUCT('PyG 3 Años'!$E$10:$E$11,'PyG 3 Años'!$G$10:$G$11)),"")</f>
        <v>1656.001882188916</v>
      </c>
      <c r="M16" s="32">
        <f>IFERROR(IF('PyG 3 Años'!$B$9="","",'PyG 3 Años'!$B$9*M7*SUMPRODUCT('PyG 3 Años'!$E$10:$E$11,'PyG 3 Años'!$G$10:$G$11)),"")</f>
        <v>2434.123248518648</v>
      </c>
      <c r="N16" s="32">
        <f>IFERROR(IF('PyG 3 Años'!$B$9="","",SUM(B16:M16)),"")</f>
        <v>17744.958</v>
      </c>
      <c r="O16" s="28" t="inlineStr">
        <is>
          <t>Cada línea de venta a SU tipo, leído de la columna de IVA del P&amp;L: en mostrador, alcohol incluido, el reducido (art. 91.Uno.2.2.º de la Ley 37/1992 del IVA); el alcohol que sale por delivery, al general; el pan común y las harinas panificables, al superreducido (art. 91.Dos.1.1.º)</t>
        </is>
      </c>
    </row>
    <row r="17">
      <c r="A17" s="28" t="inlineStr">
        <is>
          <t>IVA soportado del mes (memoria)</t>
        </is>
      </c>
      <c r="B17" s="32">
        <f>IFERROR(IF('PyG 3 Años'!$B$9="","",'PyG 3 Años'!$B$39*B7+'PyG 3 Años'!$B$40/12),"")</f>
        <v>1291.8392102823284</v>
      </c>
      <c r="C17" s="32">
        <f>IFERROR(IF('PyG 3 Años'!$B$9="","",'PyG 3 Años'!$B$39*C7+'PyG 3 Años'!$B$40/12),"")</f>
        <v>1328.7014430951551</v>
      </c>
      <c r="D17" s="32">
        <f>IFERROR(IF('PyG 3 Años'!$B$9="","",'PyG 3 Años'!$B$39*D7+'PyG 3 Años'!$B$40/12),"")</f>
        <v>1420.8138609201812</v>
      </c>
      <c r="E17" s="32">
        <f>IFERROR(IF('PyG 3 Años'!$B$9="","",'PyG 3 Años'!$B$39*E7+'PyG 3 Años'!$B$40/12),"")</f>
        <v>1499.4590461484838</v>
      </c>
      <c r="F17" s="32">
        <f>IFERROR(IF('PyG 3 Años'!$B$9="","",'PyG 3 Años'!$B$39*F7+'PyG 3 Años'!$B$40/12),"")</f>
        <v>1549.788511558034</v>
      </c>
      <c r="G17" s="32">
        <f>IFERROR(IF('PyG 3 Años'!$B$9="","",'PyG 3 Años'!$B$39*G7+'PyG 3 Años'!$B$40/12),"")</f>
        <v>1588.377312652492</v>
      </c>
      <c r="H17" s="32">
        <f>IFERROR(IF('PyG 3 Años'!$B$9="","",'PyG 3 Años'!$B$39*H7+'PyG 3 Años'!$B$40/12),"")</f>
        <v>1545.2131056117114</v>
      </c>
      <c r="I17" s="32">
        <f>IFERROR(IF('PyG 3 Años'!$B$9="","",'PyG 3 Años'!$B$39*I7+'PyG 3 Años'!$B$40/12),"")</f>
        <v>1415.720484489369</v>
      </c>
      <c r="J17" s="32">
        <f>IFERROR(IF('PyG 3 Años'!$B$9="","",'PyG 3 Años'!$B$39*J7+'PyG 3 Años'!$B$40/12),"")</f>
        <v>1614.2758368769605</v>
      </c>
      <c r="K17" s="32">
        <f>IFERROR(IF('PyG 3 Años'!$B$9="","",'PyG 3 Años'!$B$39*K7+'PyG 3 Años'!$B$40/12),"")</f>
        <v>1631.541519693273</v>
      </c>
      <c r="L17" s="32">
        <f>IFERROR(IF('PyG 3 Años'!$B$9="","",'PyG 3 Años'!$B$39*L7+'PyG 3 Años'!$B$40/12),"")</f>
        <v>1614.2758368769605</v>
      </c>
      <c r="M17" s="32">
        <f>IFERROR(IF('PyG 3 Años'!$B$9="","",'PyG 3 Años'!$B$39*M7+'PyG 3 Años'!$B$40/12),"")</f>
        <v>1950.9566517950507</v>
      </c>
      <c r="N17" s="32">
        <f>IFERROR(IF('PyG 3 Años'!$B$9="","",SUM(B17:M17)),"")</f>
        <v>18450.96282</v>
      </c>
      <c r="O17" s="28" t="inlineStr">
        <is>
          <t>Cada partida a su tipo, leído de la columna de IVA del P&amp;L: los seguros y las comisiones de los medios de pago están exentos</t>
        </is>
      </c>
    </row>
    <row r="18">
      <c r="A18" s="28" t="inlineStr">
        <is>
          <t>IVA a compensar arrastrado (inversión incluida)</t>
        </is>
      </c>
      <c r="B18" s="28" t="n"/>
      <c r="C18" s="28" t="n"/>
      <c r="D18" s="28" t="n"/>
      <c r="E18" s="32">
        <f>IFERROR(IF('PyG 3 Años'!$B$9="","",'Inversión Inicial'!$B$33),"")</f>
        <v>19593.0</v>
      </c>
      <c r="F18" s="28" t="n"/>
      <c r="G18" s="28" t="n"/>
      <c r="H18" s="32">
        <f>IFERROR(IF('PyG 3 Años'!$B$9="","",MAX(0,-E19)),"")</f>
        <v>20518.676756193796</v>
      </c>
      <c r="I18" s="28" t="n"/>
      <c r="J18" s="28" t="n"/>
      <c r="K18" s="32">
        <f>IFERROR(IF('PyG 3 Años'!$B$9="","",MAX(0,-H19)),"")</f>
        <v>20662.550976849074</v>
      </c>
      <c r="L18" s="28" t="n"/>
      <c r="M18" s="28" t="n"/>
      <c r="N18" s="28" t="n"/>
      <c r="O18" s="28" t="inlineStr">
        <is>
          <t>El IVA soportado de la INVERSIÓN entra aquí: se compensa contra el repercutido de los trimestres siguientes hasta agotarlo (modelo 303)</t>
        </is>
      </c>
    </row>
    <row r="19">
      <c r="A19" s="28" t="inlineStr">
        <is>
          <t>Resultado de la liquidación trimestral</t>
        </is>
      </c>
      <c r="B19" s="28" t="n"/>
      <c r="C19" s="28" t="n"/>
      <c r="D19" s="28" t="n"/>
      <c r="E19" s="32">
        <f>IFERROR(IF('PyG 3 Años'!$B$9="","",SUM(B16:D16)-SUM(B17:D17)-E18),"")</f>
        <v>-20518.676756193796</v>
      </c>
      <c r="F19" s="28" t="n"/>
      <c r="G19" s="28" t="n"/>
      <c r="H19" s="32">
        <f>IFERROR(IF('PyG 3 Años'!$B$9="","",SUM(E16:G16)-SUM(E17:G17)-H18),"")</f>
        <v>-20662.550976849074</v>
      </c>
      <c r="I19" s="28" t="n"/>
      <c r="J19" s="28" t="n"/>
      <c r="K19" s="32">
        <f>IFERROR(IF('PyG 3 Años'!$B$9="","",SUM(H16:J16)-SUM(H17:J17)-K18),"")</f>
        <v>-20888.261484342973</v>
      </c>
      <c r="L19" s="28" t="n"/>
      <c r="M19" s="28" t="n"/>
      <c r="N19" s="28" t="n"/>
      <c r="O19" s="28" t="inlineStr">
        <is>
          <t>Repercutido menos soportado del trimestre menos lo que venía arrastrado. En negativo NO se paga: se compensa en el trimestre siguiente</t>
        </is>
      </c>
    </row>
    <row r="20">
      <c r="A20" s="28" t="inlineStr">
        <is>
          <t>Pago del IVA (modelo 303)</t>
        </is>
      </c>
      <c r="B20" s="28" t="n"/>
      <c r="C20" s="28" t="n"/>
      <c r="D20" s="28" t="n"/>
      <c r="E20" s="32">
        <f>IFERROR(IF('PyG 3 Años'!$B$9="","",IF(E19&lt;=0,"",-E19)),"")</f>
        <v/>
      </c>
      <c r="F20" s="28" t="n"/>
      <c r="G20" s="28" t="n"/>
      <c r="H20" s="32">
        <f>IFERROR(IF('PyG 3 Años'!$B$9="","",IF(H19&lt;=0,"",-H19)),"")</f>
        <v/>
      </c>
      <c r="I20" s="28" t="n"/>
      <c r="J20" s="28" t="n"/>
      <c r="K20" s="32">
        <f>IFERROR(IF('PyG 3 Años'!$B$9="","",IF(K19&lt;=0,"",-K19)),"")</f>
        <v/>
      </c>
      <c r="L20" s="28" t="n"/>
      <c r="M20" s="28" t="n"/>
      <c r="N20" s="32">
        <f>IFERROR(IF('PyG 3 Años'!$B$9="","",SUM(B20:M20)),"")</f>
        <v>0.0</v>
      </c>
      <c r="O20" s="28" t="inlineStr">
        <is>
          <t>Sólo sale caja cuando el resultado del trimestre es positivo. Los meses sin liquidación van en blanco, no a cero. La celda se pinta en ROJO cuando el pago del 303 se lleva más caja de la que queda ese mes</t>
        </is>
      </c>
    </row>
    <row r="21">
      <c r="A21" s="25" t="inlineStr">
        <is>
          <t>FLUJO DEL MES</t>
        </is>
      </c>
      <c r="B21" s="26">
        <f>IFERROR(IF('PyG 3 Años'!$B$9="","",SUM(B9:B15)+IF(B20="",0,B20)),"")</f>
        <v>916.1383942140174</v>
      </c>
      <c r="C21" s="26">
        <f>IFERROR(IF('PyG 3 Años'!$B$9="","",SUM(C9:C15)+IF(C20="",0,C20)),"")</f>
        <v>-1709.5310515510591</v>
      </c>
      <c r="D21" s="26">
        <f>IFERROR(IF('PyG 3 Años'!$B$9="","",SUM(D9:D15)+IF(D20="",0,D20)),"")</f>
        <v>1418.9426528964877</v>
      </c>
      <c r="E21" s="26">
        <f>IFERROR(IF('PyG 3 Años'!$B$9="","",SUM(E9:E15)+IF(E20="",0,E20)),"")</f>
        <v>3470.1526710421795</v>
      </c>
      <c r="F21" s="26">
        <f>IFERROR(IF('PyG 3 Años'!$B$9="","",SUM(F9:F15)+IF(F20="",0,F20)),"")</f>
        <v>4581.488369187869</v>
      </c>
      <c r="G21" s="26">
        <f>IFERROR(IF('PyG 3 Años'!$B$9="","",SUM(G9:G15)+IF(G20="",0,G20)),"")</f>
        <v>5535.487478473341</v>
      </c>
      <c r="H21" s="26">
        <f>IFERROR(IF('PyG 3 Años'!$B$9="","",SUM(H9:H15)+IF(H20="",0,H20)),"")</f>
        <v>-4634.5122725688325</v>
      </c>
      <c r="I21" s="26">
        <f>IFERROR(IF('PyG 3 Años'!$B$9="","",SUM(I9:I15)+IF(I20="",0,I20)),"")</f>
        <v>-988.0983792262105</v>
      </c>
      <c r="J21" s="26">
        <f>IFERROR(IF('PyG 3 Años'!$B$9="","",SUM(J9:J15)+IF(J20="",0,J20)),"")</f>
        <v>7891.504928546539</v>
      </c>
      <c r="K21" s="26">
        <f>IFERROR(IF('PyG 3 Años'!$B$9="","",SUM(K9:K15)+IF(K20="",0,K20)),"")</f>
        <v>6518.87720948066</v>
      </c>
      <c r="L21" s="26">
        <f>IFERROR(IF('PyG 3 Años'!$B$9="","",SUM(L9:L15)+IF(L20="",0,L20)),"")</f>
        <v>5685.3491077030385</v>
      </c>
      <c r="M21" s="26">
        <f>IFERROR(IF('PyG 3 Años'!$B$9="","",SUM(M9:M15)+IF(M20="",0,M20)),"")</f>
        <v>10541.086477518305</v>
      </c>
      <c r="N21" s="26">
        <f>IFERROR(IF('PyG 3 Años'!$B$9="","",SUM(B21:M21)),"")</f>
        <v>39226.885585716336</v>
      </c>
      <c r="O21" s="28" t="n"/>
    </row>
    <row r="22">
      <c r="A22" s="25" t="inlineStr">
        <is>
          <t>SALDO ACUMULADO DE CAJA</t>
        </is>
      </c>
      <c r="B22" s="26">
        <f>IFERROR(IF('PyG 3 Años'!$B$9="","",'Inversión Inicial'!$B$30+B21),"")</f>
        <v>44531.46339421401</v>
      </c>
      <c r="C22" s="26">
        <f>IFERROR(IF('PyG 3 Años'!$B$9="","",B22+C21),"")</f>
        <v>42821.932342662956</v>
      </c>
      <c r="D22" s="26">
        <f>IFERROR(IF('PyG 3 Años'!$B$9="","",C22+D21),"")</f>
        <v>44240.87499555945</v>
      </c>
      <c r="E22" s="26">
        <f>IFERROR(IF('PyG 3 Años'!$B$9="","",D22+E21),"")</f>
        <v>47711.02766660163</v>
      </c>
      <c r="F22" s="26">
        <f>IFERROR(IF('PyG 3 Años'!$B$9="","",E22+F21),"")</f>
        <v>52292.5160357895</v>
      </c>
      <c r="G22" s="26">
        <f>IFERROR(IF('PyG 3 Años'!$B$9="","",F22+G21),"")</f>
        <v>57828.00351426284</v>
      </c>
      <c r="H22" s="26">
        <f>IFERROR(IF('PyG 3 Años'!$B$9="","",G22+H21),"")</f>
        <v>53193.491241694006</v>
      </c>
      <c r="I22" s="26">
        <f>IFERROR(IF('PyG 3 Años'!$B$9="","",H22+I21),"")</f>
        <v>52205.392862467794</v>
      </c>
      <c r="J22" s="26">
        <f>IFERROR(IF('PyG 3 Años'!$B$9="","",I22+J21),"")</f>
        <v>60096.89779101433</v>
      </c>
      <c r="K22" s="26">
        <f>IFERROR(IF('PyG 3 Años'!$B$9="","",J22+K21),"")</f>
        <v>66615.77500049499</v>
      </c>
      <c r="L22" s="26">
        <f>IFERROR(IF('PyG 3 Años'!$B$9="","",K22+L21),"")</f>
        <v>72301.12410819803</v>
      </c>
      <c r="M22" s="26">
        <f>IFERROR(IF('PyG 3 Años'!$B$9="","",L22+M21),"")</f>
        <v>82842.21058571633</v>
      </c>
      <c r="N22" s="28" t="n"/>
      <c r="O22" s="28" t="n"/>
    </row>
    <row r="23">
      <c r="A23" s="28" t="inlineStr">
        <is>
          <t>Saldo mínimo del año</t>
        </is>
      </c>
      <c r="B23" s="32">
        <f>IFERROR(IF('PyG 3 Años'!$B$9="","",IF(COUNT(B22:M22)=0,"",MIN(B22:M22))),"")</f>
        <v>42821.932342662956</v>
      </c>
      <c r="C23" s="28" t="n"/>
      <c r="D23" s="28" t="inlineStr">
        <is>
          <t>Si es negativo, sube el fondo de maniobra o el préstamo: te quedas sin caja</t>
        </is>
      </c>
      <c r="E23" s="28" t="n"/>
      <c r="F23" s="28" t="n"/>
      <c r="G23" s="28" t="n"/>
      <c r="H23" s="28" t="n"/>
      <c r="I23" s="28" t="n"/>
      <c r="J23" s="28" t="n"/>
      <c r="K23" s="28" t="n"/>
      <c r="L23" s="28" t="n"/>
      <c r="M23" s="28" t="n"/>
      <c r="N23" s="28" t="n"/>
      <c r="O23" s="28" t="n"/>
    </row>
    <row r="24">
      <c r="A24" s="28" t="inlineStr">
        <is>
          <t>Mes en el que la caja toca fondo</t>
        </is>
      </c>
      <c r="B24" s="39">
        <f>IFERROR(IF('PyG 3 Años'!$B$9="","",IF(COUNT(B22:M22)=0,"",MATCH(MIN(B22:M22),B22:M22,0))),"")</f>
        <v>2.0</v>
      </c>
      <c r="C24" s="28" t="n"/>
      <c r="D24" s="28" t="inlineStr">
        <is>
          <t>Es la respuesta a la pregunta que decide una operación bancaria: en qué mes se agota la caja</t>
        </is>
      </c>
      <c r="E24" s="28" t="n"/>
      <c r="F24" s="28" t="n"/>
      <c r="G24" s="28" t="n"/>
      <c r="H24" s="28" t="n"/>
      <c r="I24" s="28" t="n"/>
      <c r="J24" s="28" t="n"/>
      <c r="K24" s="28" t="n"/>
      <c r="L24" s="28" t="n"/>
      <c r="M24" s="28" t="n"/>
      <c r="N24" s="28" t="n"/>
      <c r="O24" s="28" t="n"/>
    </row>
    <row r="25">
      <c r="A25" s="25" t="inlineStr">
        <is>
          <t>RETORNO DE LA INVERSIÓN</t>
        </is>
      </c>
      <c r="B25" s="28" t="n"/>
      <c r="C25" s="28" t="n"/>
      <c r="D25" s="28" t="n"/>
      <c r="E25" s="28" t="n"/>
      <c r="F25" s="28" t="n"/>
      <c r="G25" s="28" t="n"/>
      <c r="H25" s="28" t="n"/>
      <c r="I25" s="28" t="n"/>
      <c r="J25" s="28" t="n"/>
      <c r="K25" s="28" t="n"/>
      <c r="L25" s="28" t="n"/>
      <c r="M25" s="28" t="n"/>
      <c r="N25" s="28" t="n"/>
      <c r="O25" s="28" t="n"/>
    </row>
    <row r="26">
      <c r="A26" s="28" t="inlineStr">
        <is>
          <t>Flujo de caja libre antes de la deuda, año 1</t>
        </is>
      </c>
      <c r="B26" s="32">
        <f>IFERROR(IF('PyG 3 Años'!$B$9="","",'PyG 3 Años'!$B$48+'PyG 3 Años'!$B$36+'Financiación'!$B$44),"")</f>
        <v>33385.65583333337</v>
      </c>
      <c r="C26" s="28" t="n"/>
      <c r="D26" s="28" t="inlineStr">
        <is>
          <t>Resultado neto más amortización (que no se paga) más los intereses de ese año: el principal no se resta porque este flujo es ANTES de la deuda. La MISMA base que los años 2 y 3, para que el payback compare peras con peras</t>
        </is>
      </c>
      <c r="E26" s="28" t="n"/>
      <c r="F26" s="28" t="n"/>
      <c r="G26" s="28" t="n"/>
      <c r="H26" s="28" t="n"/>
      <c r="I26" s="28" t="n"/>
      <c r="J26" s="28" t="n"/>
      <c r="K26" s="28" t="n"/>
      <c r="L26" s="28" t="n"/>
      <c r="M26" s="28" t="n"/>
      <c r="N26" s="28" t="n"/>
      <c r="O26" s="28" t="n"/>
    </row>
    <row r="27">
      <c r="A27" s="28" t="inlineStr">
        <is>
          <t>Flujo de caja libre antes de la deuda, año 2</t>
        </is>
      </c>
      <c r="B27" s="32">
        <f>IFERROR(IF('PyG 3 Años'!$B$9="","",'PyG 3 Años'!$C$48+'PyG 3 Años'!$C$36+'Financiación'!$B$46),"")</f>
        <v>49055.72713333339</v>
      </c>
      <c r="C27" s="28" t="n"/>
      <c r="D27" s="28" t="inlineStr">
        <is>
          <t>Resultado neto más amortización (que no se paga) más los intereses de ese año: el principal no se resta porque este flujo es ANTES de la deuda. Sin tabla mensual, es una estimación</t>
        </is>
      </c>
      <c r="E27" s="28" t="n"/>
      <c r="F27" s="28" t="n"/>
      <c r="G27" s="28" t="n"/>
      <c r="H27" s="28" t="n"/>
      <c r="I27" s="28" t="n"/>
      <c r="J27" s="28" t="n"/>
      <c r="K27" s="28" t="n"/>
      <c r="L27" s="28" t="n"/>
      <c r="M27" s="28" t="n"/>
      <c r="N27" s="28" t="n"/>
      <c r="O27" s="28" t="n"/>
    </row>
    <row r="28">
      <c r="A28" s="28" t="inlineStr">
        <is>
          <t>Flujo de caja libre antes de la deuda, año 3</t>
        </is>
      </c>
      <c r="B28" s="32">
        <f>IFERROR(IF('PyG 3 Años'!$B$9="","",'PyG 3 Años'!$D$48+'PyG 3 Años'!$D$36+'Financiación'!$B$48),"")</f>
        <v>52440.00904430081</v>
      </c>
      <c r="C28" s="28" t="n"/>
      <c r="D28" s="28" t="inlineStr">
        <is>
          <t>Resultado neto más amortización (que no se paga) más los intereses de ese año: el principal no se resta porque este flujo es ANTES de la deuda. Sin tabla mensual, es una estimación</t>
        </is>
      </c>
      <c r="E28" s="28" t="n"/>
      <c r="F28" s="28" t="n"/>
      <c r="G28" s="28" t="n"/>
      <c r="H28" s="28" t="n"/>
      <c r="I28" s="28" t="n"/>
      <c r="J28" s="28" t="n"/>
      <c r="K28" s="28" t="n"/>
      <c r="L28" s="28" t="n"/>
      <c r="M28" s="28" t="n"/>
      <c r="N28" s="28" t="n"/>
      <c r="O28" s="28" t="n"/>
    </row>
    <row r="29">
      <c r="A29" s="28" t="inlineStr">
        <is>
          <t>Informativo: flujo REAL de caja del año 1 (tabla mensual, antes de la deuda)</t>
        </is>
      </c>
      <c r="B29" s="32">
        <f>IFERROR(IF('PyG 3 Años'!$B$9="","",N21+'Financiación'!$B$44+'Financiación'!$B$45),"")</f>
        <v>46426.885585716336</v>
      </c>
      <c r="C29" s="28" t="n"/>
      <c r="D29" s="28"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28" t="n"/>
      <c r="F29" s="28" t="n"/>
      <c r="G29" s="28" t="n"/>
      <c r="H29" s="28" t="n"/>
      <c r="I29" s="28" t="n"/>
      <c r="J29" s="28" t="n"/>
      <c r="K29" s="28" t="n"/>
      <c r="L29" s="28" t="n"/>
      <c r="M29" s="28" t="n"/>
      <c r="N29" s="28" t="n"/>
      <c r="O29" s="28" t="n"/>
    </row>
    <row r="30">
      <c r="A30" s="28" t="inlineStr">
        <is>
          <t>Inversión a recuperar (sin el IVA, que se recupera por el 303)</t>
        </is>
      </c>
      <c r="B30" s="32">
        <f>IFERROR(IF('PyG 3 Años'!$B$9="","",'Inversión Inicial'!$B$34-'Inversión Inicial'!$B$33),"")</f>
        <v>145215.325</v>
      </c>
      <c r="C30" s="28" t="n"/>
      <c r="D30" s="28"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28" t="n"/>
      <c r="F30" s="28" t="n"/>
      <c r="G30" s="28" t="n"/>
      <c r="H30" s="28" t="n"/>
      <c r="I30" s="28" t="n"/>
      <c r="J30" s="28" t="n"/>
      <c r="K30" s="28" t="n"/>
      <c r="L30" s="28" t="n"/>
      <c r="M30" s="28" t="n"/>
      <c r="N30" s="28" t="n"/>
      <c r="O30" s="28" t="n"/>
    </row>
    <row r="31">
      <c r="A31" s="25" t="inlineStr">
        <is>
          <t>Payback del proyecto (años), antes de la deuda</t>
        </is>
      </c>
      <c r="B31" s="25" t="str">
        <f>IFERROR(IF('PyG 3 Años'!$B$9="","",IF(B26&gt;=B30,ROUND(B30/B26,1),IF(B26+B27&gt;=B30,ROUND(1+(B30-B26)/B27,1),IF(B26+B27+B28&gt;=B30,ROUND(2+(B30-B26-B27)/B28,1),"Más de 3 años")))),"")</f>
        <v>Más de 3 años</v>
      </c>
      <c r="C31" s="28" t="n"/>
      <c r="D31" s="25" t="inlineStr">
        <is>
          <t>Mide cuánto tarda el negocio en devolver la inversión con lo que genera ANTES de pagar al banco, con la MISMA base de flujo en los tres años; si puedes pagar la cuota lo dice el DSCR de la hoja de Financiación. El documento Word del pack sigue en la versión 1.1 y no lee esta celda: las cifras válidas son las de este libro</t>
        </is>
      </c>
      <c r="E31" s="28" t="n"/>
      <c r="F31" s="28" t="n"/>
      <c r="G31" s="28" t="n"/>
      <c r="H31" s="28" t="n"/>
      <c r="I31" s="28" t="n"/>
      <c r="J31" s="28" t="n"/>
      <c r="K31" s="28" t="n"/>
      <c r="L31" s="28" t="n"/>
      <c r="M31" s="28" t="n"/>
      <c r="N31" s="28" t="n"/>
      <c r="O31" s="28" t="n"/>
    </row>
    <row r="32">
      <c r="A32" s="28" t="inlineStr">
        <is>
          <t>Payback sobre el CAPEX, sin fondo de maniobra (años)</t>
        </is>
      </c>
      <c r="B32" s="28">
        <f>IFERROR(IF('PyG 3 Años'!$B$9="","",IF(B26&gt;='Inversión Inicial'!$B$32,ROUND('Inversión Inicial'!$B$32/B26,1),IF(B26+B27&gt;='Inversión Inicial'!$B$32,ROUND(1+('Inversión Inicial'!$B$32-B26)/B27,1),IF(B26+B27+B28&gt;='Inversión Inicial'!$B$32,ROUND(2+('Inversión Inicial'!$B$32-B26-B27)/B28,1),"Más de 3 años")))),"")</f>
        <v>2.4</v>
      </c>
      <c r="C32" s="28" t="n"/>
      <c r="D32" s="28" t="inlineStr">
        <is>
          <t>El mismo cálculo sobre lo que se COMPRA (obra, equipamiento, lanzamiento y constitución), sin el fondo de maniobra: ese dinero no se gasta, se inmoviliza y vuelve al cerrar el negocio. Informativo: el payback que se publica es el de arriba</t>
        </is>
      </c>
      <c r="E32" s="28" t="n"/>
      <c r="F32" s="28" t="n"/>
      <c r="G32" s="28" t="n"/>
      <c r="H32" s="28" t="n"/>
      <c r="I32" s="28" t="n"/>
      <c r="J32" s="28" t="n"/>
      <c r="K32" s="28" t="n"/>
      <c r="L32" s="28" t="n"/>
      <c r="M32" s="28" t="n"/>
      <c r="N32" s="28" t="n"/>
      <c r="O32" s="28" t="n"/>
    </row>
    <row r="33">
      <c r="A33" s="28" t="n"/>
      <c r="B33" s="28" t="n"/>
      <c r="C33" s="28" t="n"/>
      <c r="D33" s="28" t="n"/>
      <c r="E33" s="28" t="n"/>
      <c r="F33" s="28" t="n"/>
      <c r="G33" s="28" t="n"/>
      <c r="H33" s="28" t="n"/>
      <c r="I33" s="28" t="n"/>
      <c r="J33" s="28" t="n"/>
      <c r="K33" s="28" t="n"/>
      <c r="L33" s="28" t="n"/>
      <c r="M33" s="28" t="n"/>
      <c r="N33" s="28" t="n"/>
      <c r="O33" s="28" t="n"/>
    </row>
    <row r="34" ht="120" customHeight="1">
      <c r="A34" s="46"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28" t="n"/>
      <c r="C34" s="28" t="n"/>
      <c r="D34" s="28" t="n"/>
      <c r="E34" s="28" t="n"/>
      <c r="F34" s="28" t="n"/>
      <c r="G34" s="28" t="n"/>
      <c r="H34" s="28" t="n"/>
      <c r="I34" s="28" t="n"/>
      <c r="J34" s="28" t="n"/>
      <c r="K34" s="28" t="n"/>
      <c r="L34" s="28" t="n"/>
      <c r="M34" s="28" t="n"/>
      <c r="N34" s="28" t="n"/>
      <c r="O34" s="28" t="n"/>
    </row>
    <row r="35">
      <c r="A35" s="28" t="n"/>
      <c r="B35" s="28" t="n"/>
      <c r="C35" s="28" t="n"/>
      <c r="D35" s="28" t="n"/>
      <c r="E35" s="28" t="n"/>
      <c r="F35" s="28" t="n"/>
      <c r="G35" s="28" t="n"/>
      <c r="H35" s="28" t="n"/>
      <c r="I35" s="28" t="n"/>
      <c r="J35" s="28" t="n"/>
      <c r="K35" s="28" t="n"/>
      <c r="L35" s="28" t="n"/>
      <c r="M35" s="28" t="n"/>
      <c r="N35" s="28" t="n"/>
      <c r="O35" s="28" t="n"/>
    </row>
    <row r="36">
      <c r="A36" s="28" t="n"/>
      <c r="B36" s="28" t="n"/>
      <c r="C36" s="28" t="n"/>
      <c r="D36" s="28" t="n"/>
      <c r="E36" s="28" t="n"/>
      <c r="F36" s="28" t="n"/>
      <c r="G36" s="28" t="n"/>
      <c r="H36" s="28" t="n"/>
      <c r="I36" s="28" t="n"/>
      <c r="J36" s="28" t="n"/>
      <c r="K36" s="28" t="n"/>
      <c r="L36" s="28" t="n"/>
      <c r="M36" s="28" t="n"/>
      <c r="N36" s="28" t="n"/>
      <c r="O36" s="28" t="n"/>
    </row>
    <row r="37">
      <c r="A37" s="28" t="n"/>
      <c r="B37" s="28" t="n"/>
      <c r="C37" s="28" t="n"/>
      <c r="D37" s="28" t="n"/>
      <c r="E37" s="28" t="n"/>
      <c r="F37" s="28" t="n"/>
      <c r="G37" s="28" t="n"/>
      <c r="H37" s="28" t="n"/>
      <c r="I37" s="28" t="n"/>
      <c r="J37" s="28" t="n"/>
      <c r="K37" s="28" t="n"/>
      <c r="L37" s="28" t="n"/>
      <c r="M37" s="28" t="n"/>
      <c r="N37" s="28" t="n"/>
      <c r="O37" s="28" t="n"/>
    </row>
    <row r="38">
      <c r="A38" s="28" t="n"/>
      <c r="B38" s="28" t="n"/>
      <c r="C38" s="28" t="n"/>
      <c r="D38" s="28" t="n"/>
      <c r="E38" s="28" t="n"/>
      <c r="F38" s="28" t="n"/>
      <c r="G38" s="28" t="n"/>
      <c r="H38" s="28" t="n"/>
      <c r="I38" s="28" t="n"/>
      <c r="J38" s="28" t="n"/>
      <c r="K38" s="28" t="n"/>
      <c r="L38" s="28" t="n"/>
      <c r="M38" s="28" t="n"/>
      <c r="N38" s="28" t="n"/>
      <c r="O38" s="28" t="n"/>
    </row>
    <row r="39">
      <c r="A39" s="28" t="n"/>
      <c r="B39" s="28" t="n"/>
      <c r="C39" s="28" t="n"/>
      <c r="D39" s="28" t="n"/>
      <c r="E39" s="28" t="n"/>
      <c r="F39" s="28" t="n"/>
      <c r="G39" s="28" t="n"/>
      <c r="H39" s="28" t="n"/>
      <c r="I39" s="28" t="n"/>
      <c r="J39" s="28" t="n"/>
      <c r="K39" s="28" t="n"/>
      <c r="L39" s="28" t="n"/>
      <c r="M39" s="28" t="n"/>
      <c r="N39" s="28" t="n"/>
      <c r="O39" s="28" t="n"/>
    </row>
    <row r="40">
      <c r="A40" s="28" t="n"/>
      <c r="B40" s="28" t="n"/>
      <c r="C40" s="28" t="n"/>
      <c r="D40" s="28" t="n"/>
      <c r="E40" s="28" t="n"/>
      <c r="F40" s="28" t="n"/>
      <c r="G40" s="28" t="n"/>
      <c r="H40" s="28" t="n"/>
      <c r="I40" s="28" t="n"/>
      <c r="J40" s="28" t="n"/>
      <c r="K40" s="28" t="n"/>
      <c r="L40" s="28" t="n"/>
      <c r="M40" s="28" t="n"/>
      <c r="N40" s="28" t="n"/>
      <c r="O40" s="28" t="n"/>
    </row>
    <row r="41">
      <c r="A41" s="28" t="n"/>
      <c r="B41" s="28" t="n"/>
      <c r="C41" s="28" t="n"/>
      <c r="D41" s="28" t="n"/>
      <c r="E41" s="28" t="n"/>
      <c r="F41" s="28" t="n"/>
      <c r="G41" s="28" t="n"/>
      <c r="H41" s="28" t="n"/>
      <c r="I41" s="28" t="n"/>
      <c r="J41" s="28" t="n"/>
      <c r="K41" s="28" t="n"/>
      <c r="L41" s="28" t="n"/>
      <c r="M41" s="28" t="n"/>
      <c r="N41" s="28" t="n"/>
      <c r="O41" s="28" t="n"/>
    </row>
    <row r="42">
      <c r="A42" s="28" t="n"/>
      <c r="B42" s="28" t="n"/>
      <c r="C42" s="28" t="n"/>
      <c r="D42" s="28" t="n"/>
      <c r="E42" s="28" t="n"/>
      <c r="F42" s="28" t="n"/>
      <c r="G42" s="28" t="n"/>
      <c r="H42" s="28" t="n"/>
      <c r="I42" s="28" t="n"/>
      <c r="J42" s="28" t="n"/>
      <c r="K42" s="28" t="n"/>
      <c r="L42" s="28" t="n"/>
      <c r="M42" s="28" t="n"/>
      <c r="N42" s="28" t="n"/>
      <c r="O42" s="28" t="n"/>
    </row>
    <row r="43">
      <c r="A43" s="28" t="n"/>
      <c r="B43" s="28" t="n"/>
      <c r="C43" s="28" t="n"/>
      <c r="D43" s="28" t="n"/>
      <c r="E43" s="28" t="n"/>
      <c r="F43" s="28" t="n"/>
      <c r="G43" s="28" t="n"/>
      <c r="H43" s="28" t="n"/>
      <c r="I43" s="28" t="n"/>
      <c r="J43" s="28" t="n"/>
      <c r="K43" s="28" t="n"/>
      <c r="L43" s="28" t="n"/>
      <c r="M43" s="28" t="n"/>
      <c r="N43" s="28" t="n"/>
      <c r="O43" s="28" t="n"/>
    </row>
    <row r="44">
      <c r="A44" s="28" t="n"/>
      <c r="B44" s="28" t="n"/>
      <c r="C44" s="28" t="n"/>
      <c r="D44" s="28" t="n"/>
      <c r="E44" s="28" t="n"/>
      <c r="F44" s="28" t="n"/>
      <c r="G44" s="28" t="n"/>
      <c r="H44" s="28" t="n"/>
      <c r="I44" s="28" t="n"/>
      <c r="J44" s="28" t="n"/>
      <c r="K44" s="28" t="n"/>
      <c r="L44" s="28" t="n"/>
      <c r="M44" s="28" t="n"/>
      <c r="N44" s="28" t="n"/>
      <c r="O44" s="28" t="n"/>
    </row>
    <row r="45">
      <c r="A45" s="28" t="n"/>
      <c r="B45" s="28" t="n"/>
      <c r="C45" s="28" t="n"/>
      <c r="D45" s="28" t="n"/>
      <c r="E45" s="28" t="n"/>
      <c r="F45" s="28" t="n"/>
      <c r="G45" s="28" t="n"/>
      <c r="H45" s="28" t="n"/>
      <c r="I45" s="28" t="n"/>
      <c r="J45" s="28" t="n"/>
      <c r="K45" s="28" t="n"/>
      <c r="L45" s="28" t="n"/>
      <c r="M45" s="28" t="n"/>
      <c r="N45" s="28" t="n"/>
      <c r="O45" s="28" t="n"/>
    </row>
    <row r="46">
      <c r="A46" s="28" t="n"/>
      <c r="B46" s="28" t="n"/>
      <c r="C46" s="28" t="n"/>
      <c r="D46" s="28" t="n"/>
      <c r="E46" s="28" t="n"/>
      <c r="F46" s="28" t="n"/>
      <c r="G46" s="28" t="n"/>
      <c r="H46" s="28" t="n"/>
      <c r="I46" s="28" t="n"/>
      <c r="J46" s="28" t="n"/>
      <c r="K46" s="28" t="n"/>
      <c r="L46" s="28" t="n"/>
      <c r="M46" s="28" t="n"/>
      <c r="N46" s="28" t="n"/>
      <c r="O46" s="28" t="n"/>
    </row>
    <row r="47">
      <c r="A47" s="28" t="n"/>
      <c r="B47" s="28" t="n"/>
      <c r="C47" s="28" t="n"/>
      <c r="D47" s="28" t="n"/>
      <c r="E47" s="28" t="n"/>
      <c r="F47" s="28" t="n"/>
      <c r="G47" s="28" t="n"/>
      <c r="H47" s="28" t="n"/>
      <c r="I47" s="28" t="n"/>
      <c r="J47" s="28" t="n"/>
      <c r="K47" s="28" t="n"/>
      <c r="L47" s="28" t="n"/>
      <c r="M47" s="28" t="n"/>
      <c r="N47" s="28" t="n"/>
      <c r="O47" s="28" t="n"/>
    </row>
    <row r="48">
      <c r="A48" s="28" t="n"/>
      <c r="B48" s="28" t="n"/>
      <c r="C48" s="28" t="n"/>
      <c r="D48" s="28" t="n"/>
      <c r="E48" s="28" t="n"/>
      <c r="F48" s="28" t="n"/>
      <c r="G48" s="28" t="n"/>
      <c r="H48" s="28" t="n"/>
      <c r="I48" s="28" t="n"/>
      <c r="J48" s="28" t="n"/>
      <c r="K48" s="28" t="n"/>
      <c r="L48" s="28" t="n"/>
      <c r="M48" s="28" t="n"/>
      <c r="N48" s="28" t="n"/>
      <c r="O48" s="28" t="n"/>
    </row>
    <row r="49">
      <c r="A49" s="28" t="n"/>
      <c r="B49" s="28" t="n"/>
      <c r="C49" s="28" t="n"/>
      <c r="D49" s="28" t="n"/>
      <c r="E49" s="28" t="n"/>
      <c r="F49" s="28" t="n"/>
      <c r="G49" s="28" t="n"/>
      <c r="H49" s="28" t="n"/>
      <c r="I49" s="28" t="n"/>
      <c r="J49" s="28" t="n"/>
      <c r="K49" s="28" t="n"/>
      <c r="L49" s="28" t="n"/>
      <c r="M49" s="28" t="n"/>
      <c r="N49" s="28" t="n"/>
      <c r="O49" s="28" t="n"/>
    </row>
    <row r="50">
      <c r="A50" s="28" t="n"/>
      <c r="B50" s="28" t="n"/>
      <c r="C50" s="28" t="n"/>
      <c r="D50" s="28" t="n"/>
      <c r="E50" s="28" t="n"/>
      <c r="F50" s="28" t="n"/>
      <c r="G50" s="28" t="n"/>
      <c r="H50" s="28" t="n"/>
      <c r="I50" s="28" t="n"/>
      <c r="J50" s="28" t="n"/>
      <c r="K50" s="28" t="n"/>
      <c r="L50" s="28" t="n"/>
      <c r="M50" s="28" t="n"/>
      <c r="N50" s="28" t="n"/>
      <c r="O50" s="28" t="n"/>
    </row>
    <row r="51">
      <c r="A51" s="28" t="n"/>
      <c r="B51" s="28" t="n"/>
      <c r="C51" s="28" t="n"/>
      <c r="D51" s="28" t="n"/>
      <c r="E51" s="28" t="n"/>
      <c r="F51" s="28" t="n"/>
      <c r="G51" s="28" t="n"/>
      <c r="H51" s="28" t="n"/>
      <c r="I51" s="28" t="n"/>
      <c r="J51" s="28" t="n"/>
      <c r="K51" s="28" t="n"/>
      <c r="L51" s="28" t="n"/>
      <c r="M51" s="28" t="n"/>
      <c r="N51" s="28" t="n"/>
      <c r="O51" s="28" t="n"/>
    </row>
    <row r="52">
      <c r="A52" s="28" t="n"/>
      <c r="B52" s="28" t="n"/>
      <c r="C52" s="28" t="n"/>
      <c r="D52" s="28" t="n"/>
      <c r="E52" s="28" t="n"/>
      <c r="F52" s="28" t="n"/>
      <c r="G52" s="28" t="n"/>
      <c r="H52" s="28" t="n"/>
      <c r="I52" s="28" t="n"/>
      <c r="J52" s="28" t="n"/>
      <c r="K52" s="28" t="n"/>
      <c r="L52" s="28" t="n"/>
      <c r="M52" s="28" t="n"/>
      <c r="N52" s="28" t="n"/>
      <c r="O52" s="28" t="n"/>
    </row>
    <row r="53">
      <c r="A53" s="28" t="n"/>
      <c r="B53" s="28" t="n"/>
      <c r="C53" s="28" t="n"/>
      <c r="D53" s="28" t="n"/>
      <c r="E53" s="28" t="n"/>
      <c r="F53" s="28" t="n"/>
      <c r="G53" s="28" t="n"/>
      <c r="H53" s="28" t="n"/>
      <c r="I53" s="28" t="n"/>
      <c r="J53" s="28" t="n"/>
      <c r="K53" s="28" t="n"/>
      <c r="L53" s="28" t="n"/>
      <c r="M53" s="28" t="n"/>
      <c r="N53" s="28" t="n"/>
      <c r="O53" s="28" t="n"/>
    </row>
    <row r="54">
      <c r="A54" s="28" t="n"/>
      <c r="B54" s="28" t="n"/>
      <c r="C54" s="28" t="n"/>
      <c r="D54" s="28" t="n"/>
      <c r="E54" s="28" t="n"/>
      <c r="F54" s="28" t="n"/>
      <c r="G54" s="28" t="n"/>
      <c r="H54" s="28" t="n"/>
      <c r="I54" s="28" t="n"/>
      <c r="J54" s="28" t="n"/>
      <c r="K54" s="28" t="n"/>
      <c r="L54" s="28" t="n"/>
      <c r="M54" s="28" t="n"/>
      <c r="N54" s="28" t="n"/>
      <c r="O54" s="28" t="n"/>
    </row>
    <row r="55">
      <c r="A55" s="28" t="n"/>
      <c r="B55" s="28" t="n"/>
      <c r="C55" s="28" t="n"/>
      <c r="D55" s="28" t="n"/>
      <c r="E55" s="28" t="n"/>
      <c r="F55" s="28" t="n"/>
      <c r="G55" s="28" t="n"/>
      <c r="H55" s="28" t="n"/>
      <c r="I55" s="28" t="n"/>
      <c r="J55" s="28" t="n"/>
      <c r="K55" s="28" t="n"/>
      <c r="L55" s="28" t="n"/>
      <c r="M55" s="28" t="n"/>
      <c r="N55" s="28" t="n"/>
      <c r="O55" s="28" t="n"/>
    </row>
    <row r="56">
      <c r="A56" s="28" t="n"/>
      <c r="B56" s="28" t="n"/>
      <c r="C56" s="28" t="n"/>
      <c r="D56" s="28" t="n"/>
      <c r="E56" s="28" t="n"/>
      <c r="F56" s="28" t="n"/>
      <c r="G56" s="28" t="n"/>
      <c r="H56" s="28" t="n"/>
      <c r="I56" s="28" t="n"/>
      <c r="J56" s="28" t="n"/>
      <c r="K56" s="28" t="n"/>
      <c r="L56" s="28" t="n"/>
      <c r="M56" s="28" t="n"/>
      <c r="N56" s="28" t="n"/>
      <c r="O56" s="28" t="n"/>
    </row>
    <row r="57">
      <c r="A57" s="28" t="n"/>
      <c r="B57" s="28" t="n"/>
      <c r="C57" s="28" t="n"/>
      <c r="D57" s="28" t="n"/>
      <c r="E57" s="28" t="n"/>
      <c r="F57" s="28" t="n"/>
      <c r="G57" s="28" t="n"/>
      <c r="H57" s="28" t="n"/>
      <c r="I57" s="28" t="n"/>
      <c r="J57" s="28" t="n"/>
      <c r="K57" s="28" t="n"/>
      <c r="L57" s="28" t="n"/>
      <c r="M57" s="28" t="n"/>
      <c r="N57" s="28" t="n"/>
      <c r="O57" s="28" t="n"/>
    </row>
    <row r="58">
      <c r="A58" s="28" t="n"/>
      <c r="B58" s="28" t="n"/>
      <c r="C58" s="28" t="n"/>
      <c r="D58" s="28" t="n"/>
      <c r="E58" s="28" t="n"/>
      <c r="F58" s="28" t="n"/>
      <c r="G58" s="28" t="n"/>
      <c r="H58" s="28" t="n"/>
      <c r="I58" s="28" t="n"/>
      <c r="J58" s="28" t="n"/>
      <c r="K58" s="28" t="n"/>
      <c r="L58" s="28" t="n"/>
      <c r="M58" s="28" t="n"/>
      <c r="N58" s="28" t="n"/>
      <c r="O58" s="28" t="n"/>
    </row>
    <row r="59">
      <c r="A59" s="28" t="n"/>
      <c r="B59" s="28" t="n"/>
      <c r="C59" s="28" t="n"/>
      <c r="D59" s="28" t="n"/>
      <c r="E59" s="28" t="n"/>
      <c r="F59" s="28" t="n"/>
      <c r="G59" s="28" t="n"/>
      <c r="H59" s="28" t="n"/>
      <c r="I59" s="28" t="n"/>
      <c r="J59" s="28" t="n"/>
      <c r="K59" s="28" t="n"/>
      <c r="L59" s="28" t="n"/>
      <c r="M59" s="28" t="n"/>
      <c r="N59" s="28" t="n"/>
      <c r="O59" s="28" t="n"/>
    </row>
    <row r="60">
      <c r="A60" s="28" t="n"/>
      <c r="B60" s="28" t="n"/>
      <c r="C60" s="28" t="n"/>
      <c r="D60" s="28" t="n"/>
      <c r="E60" s="28" t="n"/>
      <c r="F60" s="28" t="n"/>
      <c r="G60" s="28" t="n"/>
      <c r="H60" s="28" t="n"/>
      <c r="I60" s="28" t="n"/>
      <c r="J60" s="28" t="n"/>
      <c r="K60" s="28" t="n"/>
      <c r="L60" s="28" t="n"/>
      <c r="M60" s="28" t="n"/>
      <c r="N60" s="28" t="n"/>
      <c r="O60" s="28" t="n"/>
    </row>
    <row r="61">
      <c r="A61" s="28" t="n"/>
      <c r="B61" s="28" t="n"/>
      <c r="C61" s="28" t="n"/>
      <c r="D61" s="28" t="n"/>
      <c r="E61" s="28" t="n"/>
      <c r="F61" s="28" t="n"/>
      <c r="G61" s="28" t="n"/>
      <c r="H61" s="28" t="n"/>
      <c r="I61" s="28" t="n"/>
      <c r="J61" s="28" t="n"/>
      <c r="K61" s="28" t="n"/>
      <c r="L61" s="28" t="n"/>
      <c r="M61" s="28" t="n"/>
      <c r="N61" s="28" t="n"/>
      <c r="O61" s="28" t="n"/>
    </row>
    <row r="62">
      <c r="A62" s="28" t="n"/>
      <c r="B62" s="28" t="n"/>
      <c r="C62" s="28" t="n"/>
      <c r="D62" s="28" t="n"/>
      <c r="E62" s="28" t="n"/>
      <c r="F62" s="28" t="n"/>
      <c r="G62" s="28" t="n"/>
      <c r="H62" s="28" t="n"/>
      <c r="I62" s="28" t="n"/>
      <c r="J62" s="28" t="n"/>
      <c r="K62" s="28" t="n"/>
      <c r="L62" s="28" t="n"/>
      <c r="M62" s="28" t="n"/>
      <c r="N62" s="28" t="n"/>
      <c r="O62" s="28" t="n"/>
    </row>
    <row r="63">
      <c r="A63" s="28" t="n"/>
      <c r="B63" s="28" t="n"/>
      <c r="C63" s="28" t="n"/>
      <c r="D63" s="28" t="n"/>
      <c r="E63" s="28" t="n"/>
      <c r="F63" s="28" t="n"/>
      <c r="G63" s="28" t="n"/>
      <c r="H63" s="28" t="n"/>
      <c r="I63" s="28" t="n"/>
      <c r="J63" s="28" t="n"/>
      <c r="K63" s="28" t="n"/>
      <c r="L63" s="28" t="n"/>
      <c r="M63" s="28" t="n"/>
      <c r="N63" s="28" t="n"/>
      <c r="O63" s="28" t="n"/>
    </row>
    <row r="64">
      <c r="A64" s="28" t="n"/>
      <c r="B64" s="28" t="n"/>
      <c r="C64" s="28" t="n"/>
      <c r="D64" s="28" t="n"/>
      <c r="E64" s="28" t="n"/>
      <c r="F64" s="28" t="n"/>
      <c r="G64" s="28" t="n"/>
      <c r="H64" s="28" t="n"/>
      <c r="I64" s="28" t="n"/>
      <c r="J64" s="28" t="n"/>
      <c r="K64" s="28" t="n"/>
      <c r="L64" s="28" t="n"/>
      <c r="M64" s="28" t="n"/>
      <c r="N64" s="28" t="n"/>
      <c r="O64" s="28" t="n"/>
    </row>
    <row r="65">
      <c r="A65" s="28" t="n"/>
      <c r="B65" s="28" t="n"/>
      <c r="C65" s="28" t="n"/>
      <c r="D65" s="28" t="n"/>
      <c r="E65" s="28" t="n"/>
      <c r="F65" s="28" t="n"/>
      <c r="G65" s="28" t="n"/>
      <c r="H65" s="28" t="n"/>
      <c r="I65" s="28" t="n"/>
      <c r="J65" s="28" t="n"/>
      <c r="K65" s="28" t="n"/>
      <c r="L65" s="28" t="n"/>
      <c r="M65" s="28" t="n"/>
      <c r="N65" s="28" t="n"/>
      <c r="O65" s="28" t="n"/>
    </row>
    <row r="66">
      <c r="A66" s="28" t="n"/>
      <c r="B66" s="28" t="n"/>
      <c r="C66" s="28" t="n"/>
      <c r="D66" s="28" t="n"/>
      <c r="E66" s="28" t="n"/>
      <c r="F66" s="28" t="n"/>
      <c r="G66" s="28" t="n"/>
      <c r="H66" s="28" t="n"/>
      <c r="I66" s="28" t="n"/>
      <c r="J66" s="28" t="n"/>
      <c r="K66" s="28" t="n"/>
      <c r="L66" s="28" t="n"/>
      <c r="M66" s="28" t="n"/>
      <c r="N66" s="28" t="n"/>
      <c r="O66" s="28" t="n"/>
    </row>
    <row r="67">
      <c r="A67" s="28" t="n"/>
      <c r="B67" s="28" t="n"/>
      <c r="C67" s="28" t="n"/>
      <c r="D67" s="28" t="n"/>
      <c r="E67" s="28" t="n"/>
      <c r="F67" s="28" t="n"/>
      <c r="G67" s="28" t="n"/>
      <c r="H67" s="28" t="n"/>
      <c r="I67" s="28" t="n"/>
      <c r="J67" s="28" t="n"/>
      <c r="K67" s="28" t="n"/>
      <c r="L67" s="28" t="n"/>
      <c r="M67" s="28" t="n"/>
      <c r="N67" s="28" t="n"/>
      <c r="O67" s="28" t="n"/>
    </row>
    <row r="68">
      <c r="A68" s="28" t="n"/>
      <c r="B68" s="28" t="n"/>
      <c r="C68" s="28" t="n"/>
      <c r="D68" s="28" t="n"/>
      <c r="E68" s="28" t="n"/>
      <c r="F68" s="28" t="n"/>
      <c r="G68" s="28" t="n"/>
      <c r="H68" s="28" t="n"/>
      <c r="I68" s="28" t="n"/>
      <c r="J68" s="28" t="n"/>
      <c r="K68" s="28" t="n"/>
      <c r="L68" s="28" t="n"/>
      <c r="M68" s="28" t="n"/>
      <c r="N68" s="28" t="n"/>
      <c r="O68" s="28" t="n"/>
    </row>
    <row r="69">
      <c r="A69" s="28" t="n"/>
      <c r="B69" s="28" t="n"/>
      <c r="C69" s="28" t="n"/>
      <c r="D69" s="28" t="n"/>
      <c r="E69" s="28" t="n"/>
      <c r="F69" s="28" t="n"/>
      <c r="G69" s="28" t="n"/>
      <c r="H69" s="28" t="n"/>
      <c r="I69" s="28" t="n"/>
      <c r="J69" s="28" t="n"/>
      <c r="K69" s="28" t="n"/>
      <c r="L69" s="28" t="n"/>
      <c r="M69" s="28" t="n"/>
      <c r="N69" s="28" t="n"/>
      <c r="O69" s="28" t="n"/>
    </row>
    <row r="70">
      <c r="A70" s="28" t="n"/>
      <c r="B70" s="28" t="n"/>
      <c r="C70" s="28" t="n"/>
      <c r="D70" s="28" t="n"/>
      <c r="E70" s="28" t="n"/>
      <c r="F70" s="28" t="n"/>
      <c r="G70" s="28" t="n"/>
      <c r="H70" s="28" t="n"/>
      <c r="I70" s="28" t="n"/>
      <c r="J70" s="28" t="n"/>
      <c r="K70" s="28" t="n"/>
      <c r="L70" s="28" t="n"/>
      <c r="M70" s="28" t="n"/>
      <c r="N70" s="28" t="n"/>
      <c r="O70" s="28"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5" t="inlineStr">
        <is>
          <t>PLAN DE FINANCIACIÓN</t>
        </is>
      </c>
      <c r="B1" s="28" t="n"/>
      <c r="C1" s="28" t="n"/>
      <c r="D1" s="28" t="n"/>
      <c r="E1" s="28" t="n"/>
      <c r="F1" s="28" t="n"/>
      <c r="G1" s="28" t="n"/>
      <c r="H1" s="28" t="n"/>
    </row>
    <row r="2" ht="45" customHeight="1">
      <c r="A2" s="46" t="inlineStr">
        <is>
          <t>Qué hace falta, de dónde sale y cuánto cuesta devolverlo. Es la hoja que el banco pide junto con el P&amp;L.</t>
        </is>
      </c>
      <c r="B2" s="28" t="n"/>
      <c r="C2" s="28" t="n"/>
      <c r="D2" s="28" t="n"/>
      <c r="E2" s="28" t="n"/>
      <c r="F2" s="28" t="n"/>
      <c r="G2" s="28" t="n"/>
      <c r="H2" s="28" t="n"/>
    </row>
    <row r="3">
      <c r="A3" s="28" t="n"/>
      <c r="B3" s="28" t="n"/>
      <c r="C3" s="28" t="n"/>
      <c r="D3" s="28" t="n"/>
      <c r="E3" s="28" t="n"/>
      <c r="F3" s="28" t="n"/>
      <c r="G3" s="28" t="n"/>
      <c r="H3" s="28" t="n"/>
    </row>
    <row r="4">
      <c r="A4" s="25" t="inlineStr">
        <is>
          <t>Concepto</t>
        </is>
      </c>
      <c r="B4" s="25" t="inlineStr">
        <is>
          <t>Importe</t>
        </is>
      </c>
      <c r="C4" s="25" t="inlineStr">
        <is>
          <t>Notas</t>
        </is>
      </c>
      <c r="D4" s="28" t="n"/>
      <c r="E4" s="28" t="n"/>
      <c r="F4" s="28" t="n"/>
      <c r="G4" s="28" t="n"/>
      <c r="H4" s="28" t="n"/>
    </row>
    <row r="5">
      <c r="A5" s="25" t="inlineStr">
        <is>
          <t>ORIGEN DE FONDOS</t>
        </is>
      </c>
      <c r="B5" s="28" t="n"/>
      <c r="C5" s="28" t="n"/>
      <c r="D5" s="28" t="n"/>
      <c r="E5" s="28" t="n"/>
      <c r="F5" s="28" t="n"/>
      <c r="G5" s="28" t="n"/>
      <c r="H5" s="28" t="n"/>
    </row>
    <row r="6">
      <c r="A6" s="28" t="inlineStr">
        <is>
          <t>Recursos propios de los socios</t>
        </is>
      </c>
      <c r="B6" s="32">
        <f>IFERROR(IF('0. Supuestos'!$B$30="","",'0. Supuestos'!$B$30),"")</f>
        <v>50000.0</v>
      </c>
      <c r="C6" s="28" t="n"/>
      <c r="D6" s="28" t="n"/>
      <c r="E6" s="28" t="n"/>
      <c r="F6" s="28" t="n"/>
      <c r="G6" s="28" t="n"/>
      <c r="H6" s="28" t="n"/>
    </row>
    <row r="7">
      <c r="A7" s="28" t="inlineStr">
        <is>
          <t>Préstamo bancario</t>
        </is>
      </c>
      <c r="B7" s="32">
        <f>IFERROR(IF('0. Supuestos'!$B$31="","",'0. Supuestos'!$B$31),"")</f>
        <v>120000.0</v>
      </c>
      <c r="C7" s="28" t="n"/>
      <c r="D7" s="28" t="n"/>
      <c r="E7" s="28" t="n"/>
      <c r="F7" s="28" t="n"/>
      <c r="G7" s="28" t="n"/>
      <c r="H7" s="28" t="n"/>
    </row>
    <row r="8">
      <c r="A8" s="28" t="inlineStr">
        <is>
          <t>Línea ICO (avalada por el ICO, la concede tu banco)</t>
        </is>
      </c>
      <c r="B8" s="29" t="n">
        <v>0</v>
      </c>
      <c r="C8" s="28" t="inlineStr">
        <is>
          <t>Consulta las líneas del ejercicio en curso en ico.es</t>
        </is>
      </c>
      <c r="D8" s="28" t="n"/>
      <c r="E8" s="28" t="n"/>
      <c r="F8" s="28" t="n"/>
      <c r="G8" s="28" t="n"/>
      <c r="H8" s="28" t="n"/>
    </row>
    <row r="9">
      <c r="A9" s="28" t="inlineStr">
        <is>
          <t>Préstamo participativo ENISA</t>
        </is>
      </c>
      <c r="B9" s="29" t="n">
        <v>0</v>
      </c>
      <c r="C9" s="28" t="inlineStr">
        <is>
          <t>Para sociedades; sin garantías personales</t>
        </is>
      </c>
      <c r="D9" s="28" t="n"/>
      <c r="E9" s="28" t="n"/>
      <c r="F9" s="28" t="n"/>
      <c r="G9" s="28" t="n"/>
      <c r="H9" s="28" t="n"/>
    </row>
    <row r="10">
      <c r="A10" s="28" t="inlineStr">
        <is>
          <t>Business angels o socios inversores</t>
        </is>
      </c>
      <c r="B10" s="29" t="n">
        <v>0</v>
      </c>
      <c r="C10" s="28" t="inlineStr">
        <is>
          <t>Entra en el capital: diluye, no se devuelve</t>
        </is>
      </c>
      <c r="D10" s="28" t="n"/>
      <c r="E10" s="28" t="n"/>
      <c r="F10" s="28" t="n"/>
      <c r="G10" s="28" t="n"/>
      <c r="H10" s="28" t="n"/>
    </row>
    <row r="11">
      <c r="A11" s="28" t="inlineStr">
        <is>
          <t>Subvenciones autonómicas o locales</t>
        </is>
      </c>
      <c r="B11" s="29" t="n">
        <v>0</v>
      </c>
      <c r="C11" s="28" t="inlineStr">
        <is>
          <t>Suelen cobrarse DESPUÉS de justificar el gasto</t>
        </is>
      </c>
      <c r="D11" s="28" t="n"/>
      <c r="E11" s="28" t="n"/>
      <c r="F11" s="28" t="n"/>
      <c r="G11" s="28" t="n"/>
      <c r="H11" s="28" t="n"/>
    </row>
    <row r="12">
      <c r="A12" s="25" t="inlineStr">
        <is>
          <t>TOTAL ORIGEN DE FONDOS</t>
        </is>
      </c>
      <c r="B12" s="26">
        <f>IFERROR(IF(COUNT(B6:B11)=0,"",SUM(B6:B11)),"")</f>
        <v>170000.0</v>
      </c>
      <c r="C12" s="28" t="n"/>
      <c r="D12" s="28" t="n"/>
      <c r="E12" s="28" t="n"/>
      <c r="F12" s="28" t="n"/>
      <c r="G12" s="28" t="n"/>
      <c r="H12" s="28" t="n"/>
    </row>
    <row r="13">
      <c r="A13" s="25" t="inlineStr">
        <is>
          <t>USOS</t>
        </is>
      </c>
      <c r="B13" s="28" t="n"/>
      <c r="C13" s="28" t="n"/>
      <c r="D13" s="28" t="n"/>
      <c r="E13" s="28" t="n"/>
      <c r="F13" s="28" t="n"/>
      <c r="G13" s="28" t="n"/>
      <c r="H13" s="28" t="n"/>
    </row>
    <row r="14">
      <c r="A14" s="28" t="inlineStr">
        <is>
          <t>Necesidad total de caja al arranque</t>
        </is>
      </c>
      <c r="B14" s="32">
        <f>IFERROR(IF('Inversión Inicial'!$B$34="","",'Inversión Inicial'!$B$34),"")</f>
        <v>164808.325</v>
      </c>
      <c r="C14" s="28" t="inlineStr">
        <is>
          <t>Inversión más el IVA que hay que adelantar</t>
        </is>
      </c>
      <c r="D14" s="28" t="n"/>
      <c r="E14" s="28" t="n"/>
      <c r="F14" s="28" t="n"/>
      <c r="G14" s="28" t="n"/>
      <c r="H14" s="28" t="n"/>
    </row>
    <row r="15">
      <c r="A15" s="25" t="inlineStr">
        <is>
          <t>Diferencia (origen - usos)</t>
        </is>
      </c>
      <c r="B15" s="26">
        <f>IFERROR(B12-B14,"")</f>
        <v>5191.674999999988</v>
      </c>
      <c r="C15" s="25" t="inlineStr">
        <is>
          <t>En rojo (negativa) el plan NO está financiado. Muy por encima de cero tampoco es gratis: se pagan intereses por un dinero que no se usa</t>
        </is>
      </c>
      <c r="D15" s="28" t="n"/>
      <c r="E15" s="28" t="n"/>
      <c r="F15" s="28" t="n"/>
      <c r="G15" s="28" t="n"/>
      <c r="H15" s="28" t="n"/>
    </row>
    <row r="16">
      <c r="A16" s="28" t="inlineStr">
        <is>
          <t>Diferencia sobre los usos (%)</t>
        </is>
      </c>
      <c r="B16" s="30">
        <f>IFERROR(B15/B14,"")</f>
        <v>0.031501290969372986</v>
      </c>
      <c r="C16" s="28" t="inlineStr">
        <is>
          <t>Ámbar por encima del margen que fijes: es deuda que pagas sin necesitarla</t>
        </is>
      </c>
      <c r="D16" s="28" t="n"/>
      <c r="E16" s="28" t="n"/>
      <c r="F16" s="28" t="n"/>
      <c r="G16" s="28" t="n"/>
      <c r="H16" s="28" t="n"/>
    </row>
    <row r="17">
      <c r="A17" s="28" t="inlineStr">
        <is>
          <t>Exceso de financiación admisible (%)</t>
        </is>
      </c>
      <c r="B17" s="41" t="n">
        <v>0.05</v>
      </c>
      <c r="C17" s="28" t="inlineStr">
        <is>
          <t>Un pequeño colchón sobre la necesidad es sano; un 20 % de más son intereses tirados</t>
        </is>
      </c>
      <c r="D17" s="28" t="n"/>
      <c r="E17" s="28" t="n"/>
      <c r="F17" s="28" t="n"/>
      <c r="G17" s="28" t="n"/>
      <c r="H17" s="28" t="n"/>
    </row>
    <row r="18">
      <c r="A18" s="28" t="inlineStr">
        <is>
          <t>Préstamo que ajustaría el origen a la necesidad</t>
        </is>
      </c>
      <c r="B18" s="32">
        <f>IFERROR(MAX(0,B14-B12+B7),"")</f>
        <v>114808.32500000001</v>
      </c>
      <c r="C18" s="28" t="inlineStr">
        <is>
          <t>Cópialo en «Préstamo bancario solicitado» de la hoja de Supuestos y la diferencia se pone a cero</t>
        </is>
      </c>
      <c r="D18" s="28" t="n"/>
      <c r="E18" s="28" t="n"/>
      <c r="F18" s="28" t="n"/>
      <c r="G18" s="28" t="n"/>
      <c r="H18" s="28" t="n"/>
    </row>
    <row r="19">
      <c r="A19" s="25" t="inlineStr">
        <is>
          <t>CONDICIONES DEL PRÉSTAMO</t>
        </is>
      </c>
      <c r="B19" s="28" t="n"/>
      <c r="C19" s="28" t="n"/>
      <c r="D19" s="28" t="n"/>
      <c r="E19" s="28" t="n"/>
      <c r="F19" s="28" t="n"/>
      <c r="G19" s="28" t="n"/>
      <c r="H19" s="28" t="n"/>
    </row>
    <row r="20">
      <c r="A20" s="28" t="inlineStr">
        <is>
          <t>Importe del principal</t>
        </is>
      </c>
      <c r="B20" s="32">
        <f>IFERROR(IF('0. Supuestos'!$B$31=0,"",'0. Supuestos'!$B$31),"")</f>
        <v>120000.0</v>
      </c>
      <c r="C20" s="28" t="n"/>
      <c r="D20" s="28" t="n"/>
      <c r="E20" s="28" t="n"/>
      <c r="F20" s="28" t="n"/>
      <c r="G20" s="28" t="n"/>
      <c r="H20" s="28" t="n"/>
    </row>
    <row r="21">
      <c r="A21" s="28" t="inlineStr">
        <is>
          <t>Tipo de interés nominal anual</t>
        </is>
      </c>
      <c r="B21" s="30">
        <f>IFERROR(IF('0. Supuestos'!$B$32="","",'0. Supuestos'!$B$32),"")</f>
        <v>0.06</v>
      </c>
      <c r="C21" s="28" t="n"/>
      <c r="D21" s="28" t="n"/>
      <c r="E21" s="28" t="n"/>
      <c r="F21" s="28" t="n"/>
      <c r="G21" s="28" t="n"/>
      <c r="H21" s="28" t="n"/>
    </row>
    <row r="22">
      <c r="A22" s="28" t="inlineStr">
        <is>
          <t>Plazo total (años)</t>
        </is>
      </c>
      <c r="B22" s="39">
        <f>IFERROR(IF('0. Supuestos'!$B$33="","",'0. Supuestos'!$B$33),"")</f>
        <v>7.0</v>
      </c>
      <c r="C22" s="28" t="n"/>
      <c r="D22" s="28" t="n"/>
      <c r="E22" s="28" t="n"/>
      <c r="F22" s="28" t="n"/>
      <c r="G22" s="28" t="n"/>
      <c r="H22" s="28" t="n"/>
    </row>
    <row r="23">
      <c r="A23" s="28" t="inlineStr">
        <is>
          <t>Carencia de principal aplicada (años)</t>
        </is>
      </c>
      <c r="B23" s="39">
        <f>IFERROR(IF(OR('0. Supuestos'!$B$34="",'0. Supuestos'!$B$33=""),"",IF('0. Supuestos'!$B$34&gt;='0. Supuestos'!$B$33,0,'0. Supuestos'!$B$34)),"")</f>
        <v>1.0</v>
      </c>
      <c r="C23" s="28" t="inlineStr">
        <is>
          <t>Una carencia igual o mayor que el plazo no existe: la hoja la anula en origen</t>
        </is>
      </c>
      <c r="D23" s="28" t="n"/>
      <c r="E23" s="28" t="n"/>
      <c r="F23" s="28" t="n"/>
      <c r="G23" s="28" t="n"/>
      <c r="H23" s="28" t="n"/>
    </row>
    <row r="24">
      <c r="A24" s="25" t="inlineStr">
        <is>
          <t>Cuota anual durante la amortización</t>
        </is>
      </c>
      <c r="B24" s="47">
        <f>IFERROR(IF(B22-B23&lt;=0,"",IF(B21=0,B20/(B22-B23),B20*B21/(1-(1+B21)^-(B22-B23)))),"")</f>
        <v>24403.51541698744</v>
      </c>
      <c r="C24" s="25" t="inlineStr">
        <is>
          <t>Sistema francés, anualidad algebraica. Con el tipo al 0 % es el principal entre los años de amortización: sin esa rama el cuadro se apagaba entero</t>
        </is>
      </c>
      <c r="D24" s="28" t="n"/>
      <c r="E24" s="28" t="n"/>
      <c r="F24" s="28" t="n"/>
      <c r="G24" s="28" t="n"/>
      <c r="H24" s="28" t="n"/>
    </row>
    <row r="25">
      <c r="A25" s="25" t="inlineStr">
        <is>
          <t>CUADRO DE AMORTIZACIÓN</t>
        </is>
      </c>
      <c r="B25" s="28" t="n"/>
      <c r="C25" s="28" t="n"/>
      <c r="D25" s="28" t="n"/>
      <c r="E25" s="28" t="n"/>
      <c r="F25" s="28" t="n"/>
      <c r="G25" s="28" t="n"/>
      <c r="H25" s="28" t="n"/>
    </row>
    <row r="26">
      <c r="A26" s="25" t="inlineStr">
        <is>
          <t>Año</t>
        </is>
      </c>
      <c r="B26" s="25" t="inlineStr">
        <is>
          <t>Capital pendiente</t>
        </is>
      </c>
      <c r="C26" s="25" t="inlineStr">
        <is>
          <t>Intereses</t>
        </is>
      </c>
      <c r="D26" s="25" t="inlineStr">
        <is>
          <t>Amortización de principal</t>
        </is>
      </c>
      <c r="E26" s="25" t="inlineStr">
        <is>
          <t>Cuota total</t>
        </is>
      </c>
      <c r="F26" s="25" t="inlineStr">
        <is>
          <t>Capital al cierre</t>
        </is>
      </c>
      <c r="G26" s="25" t="inlineStr">
        <is>
          <t>Flujo disponible para la deuda (después de impuestos; del año 4 en adelante, el del año 3 mantenido)</t>
        </is>
      </c>
      <c r="H26" s="25" t="inlineStr">
        <is>
          <t>DSCR del año</t>
        </is>
      </c>
    </row>
    <row r="27">
      <c r="A27" s="39" t="n">
        <v>1</v>
      </c>
      <c r="B27" s="40">
        <f>IFERROR(IF(B20="","",B20),"")</f>
        <v>120000.0</v>
      </c>
      <c r="C27" s="40">
        <f>IFERROR(IF(OR(1&gt;B22,B27=""),"",B27*B21),"")</f>
        <v>7200.0</v>
      </c>
      <c r="D27" s="40">
        <f>IFERROR(IF(OR(1&gt;B22,B27=""),"",IF(1&lt;=B23,0,MIN(B27,B24-C27))),"")</f>
        <v>0.0</v>
      </c>
      <c r="E27" s="40">
        <f>IFERROR(IF(C27="","",C27+D27),"")</f>
        <v>7200.0</v>
      </c>
      <c r="F27" s="40">
        <f>IFERROR(IF(D27="","",B27-D27),"")</f>
        <v>120000.0</v>
      </c>
      <c r="G27" s="40">
        <f>IFERROR(IF(E27="","",'PyG 3 Años'!$B$41-'PyG 3 Años'!$B$46+'PyG 3 Años'!$B$36+'PyG 3 Años'!$B$37),"")</f>
        <v>33385.65583333337</v>
      </c>
      <c r="H27" s="60">
        <f>IFERROR(IF(OR(E27="",E27=0),"",G27/E27),"")</f>
        <v>4.636896643518523</v>
      </c>
    </row>
    <row r="28">
      <c r="A28" s="39" t="n">
        <v>2</v>
      </c>
      <c r="B28" s="40">
        <f>IFERROR(IF(OR(2&gt;B22,F27=""),"",F27),"")</f>
        <v>120000.0</v>
      </c>
      <c r="C28" s="40">
        <f>IFERROR(IF(OR(2&gt;B22,B28=""),"",B28*B21),"")</f>
        <v>7200.0</v>
      </c>
      <c r="D28" s="40">
        <f>IFERROR(IF(OR(2&gt;B22,B28=""),"",IF(2&lt;=B23,0,MIN(B28,B24-C28))),"")</f>
        <v>17203.51541698744</v>
      </c>
      <c r="E28" s="40">
        <f>IFERROR(IF(C28="","",C28+D28),"")</f>
        <v>24403.51541698744</v>
      </c>
      <c r="F28" s="40">
        <f>IFERROR(IF(D28="","",B28-D28),"")</f>
        <v>102796.48458301256</v>
      </c>
      <c r="G28" s="40">
        <f>IFERROR(IF(E28="","",'PyG 3 Años'!$C$41-'PyG 3 Años'!$C$46+'PyG 3 Años'!$C$36+'PyG 3 Años'!$C$37),"")</f>
        <v>49055.72713333339</v>
      </c>
      <c r="H28" s="60">
        <f>IFERROR(IF(OR(E28="",E28=0),"",G28/E28),"")</f>
        <v>2.0101910030218595</v>
      </c>
    </row>
    <row r="29">
      <c r="A29" s="39" t="n">
        <v>3</v>
      </c>
      <c r="B29" s="40">
        <f>IFERROR(IF(OR(3&gt;B22,F28=""),"",F28),"")</f>
        <v>102796.48458301256</v>
      </c>
      <c r="C29" s="40">
        <f>IFERROR(IF(OR(3&gt;B22,B29=""),"",B29*B21),"")</f>
        <v>6167.789074980753</v>
      </c>
      <c r="D29" s="40">
        <f>IFERROR(IF(OR(3&gt;B22,B29=""),"",IF(3&lt;=B23,0,MIN(B29,B24-C29))),"")</f>
        <v>18235.72634200669</v>
      </c>
      <c r="E29" s="40">
        <f>IFERROR(IF(C29="","",C29+D29),"")</f>
        <v>24403.51541698744</v>
      </c>
      <c r="F29" s="40">
        <f>IFERROR(IF(D29="","",B29-D29),"")</f>
        <v>84560.75824100587</v>
      </c>
      <c r="G29" s="40">
        <f>IFERROR(IF(E29="","",'PyG 3 Años'!$D$41-'PyG 3 Años'!$D$46+'PyG 3 Años'!$D$36+'PyG 3 Años'!$D$37),"")</f>
        <v>52440.00904430081</v>
      </c>
      <c r="H29" s="60">
        <f>IFERROR(IF(OR(E29="",E29=0),"",G29/E29),"")</f>
        <v>2.1488711010790267</v>
      </c>
    </row>
    <row r="30">
      <c r="A30" s="39" t="n">
        <v>4</v>
      </c>
      <c r="B30" s="40">
        <f>IFERROR(IF(OR(4&gt;B22,F29=""),"",F29),"")</f>
        <v>84560.75824100587</v>
      </c>
      <c r="C30" s="40">
        <f>IFERROR(IF(OR(4&gt;B22,B30=""),"",B30*B21),"")</f>
        <v>5073.645494460352</v>
      </c>
      <c r="D30" s="40">
        <f>IFERROR(IF(OR(4&gt;B22,B30=""),"",IF(4&lt;=B23,0,MIN(B30,B24-C30))),"")</f>
        <v>19329.86992252709</v>
      </c>
      <c r="E30" s="40">
        <f>IFERROR(IF(C30="","",C30+D30),"")</f>
        <v>24403.515416987444</v>
      </c>
      <c r="F30" s="40">
        <f>IFERROR(IF(D30="","",B30-D30),"")</f>
        <v>65230.88831847878</v>
      </c>
      <c r="G30" s="40">
        <f>IFERROR(IF(E30="","",'PyG 3 Años'!$D$41-'PyG 3 Años'!$D$46+'PyG 3 Años'!$D$36+'PyG 3 Años'!$D$37),"")</f>
        <v>52440.00904430081</v>
      </c>
      <c r="H30" s="60">
        <f>IFERROR(IF(OR(E30="",E30=0),"",G30/E30),"")</f>
        <v>2.1488711010790267</v>
      </c>
    </row>
    <row r="31">
      <c r="A31" s="39" t="n">
        <v>5</v>
      </c>
      <c r="B31" s="40">
        <f>IFERROR(IF(OR(5&gt;B22,F30=""),"",F30),"")</f>
        <v>65230.88831847878</v>
      </c>
      <c r="C31" s="40">
        <f>IFERROR(IF(OR(5&gt;B22,B31=""),"",B31*B21),"")</f>
        <v>3913.8532991087263</v>
      </c>
      <c r="D31" s="40">
        <f>IFERROR(IF(OR(5&gt;B22,B31=""),"",IF(5&lt;=B23,0,MIN(B31,B24-C31))),"")</f>
        <v>20489.662117878714</v>
      </c>
      <c r="E31" s="40">
        <f>IFERROR(IF(C31="","",C31+D31),"")</f>
        <v>24403.51541698744</v>
      </c>
      <c r="F31" s="40">
        <f>IFERROR(IF(D31="","",B31-D31),"")</f>
        <v>44741.22620060007</v>
      </c>
      <c r="G31" s="40">
        <f>IFERROR(IF(E31="","",'PyG 3 Años'!$D$41-'PyG 3 Años'!$D$46+'PyG 3 Años'!$D$36+'PyG 3 Años'!$D$37),"")</f>
        <v>52440.00904430081</v>
      </c>
      <c r="H31" s="60">
        <f>IFERROR(IF(OR(E31="",E31=0),"",G31/E31),"")</f>
        <v>2.1488711010790267</v>
      </c>
    </row>
    <row r="32">
      <c r="A32" s="39" t="n">
        <v>6</v>
      </c>
      <c r="B32" s="40">
        <f>IFERROR(IF(OR(6&gt;B22,F31=""),"",F31),"")</f>
        <v>44741.22620060007</v>
      </c>
      <c r="C32" s="40">
        <f>IFERROR(IF(OR(6&gt;B22,B32=""),"",B32*B21),"")</f>
        <v>2684.473572036004</v>
      </c>
      <c r="D32" s="40">
        <f>IFERROR(IF(OR(6&gt;B22,B32=""),"",IF(6&lt;=B23,0,MIN(B32,B24-C32))),"")</f>
        <v>21719.041844951436</v>
      </c>
      <c r="E32" s="40">
        <f>IFERROR(IF(C32="","",C32+D32),"")</f>
        <v>24403.51541698744</v>
      </c>
      <c r="F32" s="40">
        <f>IFERROR(IF(D32="","",B32-D32),"")</f>
        <v>23022.18435564863</v>
      </c>
      <c r="G32" s="40">
        <f>IFERROR(IF(E32="","",'PyG 3 Años'!$D$41-'PyG 3 Años'!$D$46+'PyG 3 Años'!$D$36+'PyG 3 Años'!$D$37),"")</f>
        <v>52440.00904430081</v>
      </c>
      <c r="H32" s="60">
        <f>IFERROR(IF(OR(E32="",E32=0),"",G32/E32),"")</f>
        <v>2.1488711010790267</v>
      </c>
    </row>
    <row r="33">
      <c r="A33" s="39" t="n">
        <v>7</v>
      </c>
      <c r="B33" s="40">
        <f>IFERROR(IF(OR(7&gt;B22,F32=""),"",F32),"")</f>
        <v>23022.18435564863</v>
      </c>
      <c r="C33" s="40">
        <f>IFERROR(IF(OR(7&gt;B22,B33=""),"",B33*B21),"")</f>
        <v>1381.3310613389178</v>
      </c>
      <c r="D33" s="40">
        <f>IFERROR(IF(OR(7&gt;B22,B33=""),"",IF(7&lt;=B23,0,MIN(B33,B24-C33))),"")</f>
        <v>23022.184355648522</v>
      </c>
      <c r="E33" s="40">
        <f>IFERROR(IF(C33="","",C33+D33),"")</f>
        <v>24403.51541698744</v>
      </c>
      <c r="F33" s="40">
        <f>IFERROR(IF(D33="","",B33-D33),"")</f>
        <v>1.0913936421275139e-10</v>
      </c>
      <c r="G33" s="40">
        <f>IFERROR(IF(E33="","",'PyG 3 Años'!$D$41-'PyG 3 Años'!$D$46+'PyG 3 Años'!$D$36+'PyG 3 Años'!$D$37),"")</f>
        <v>52440.00904430081</v>
      </c>
      <c r="H33" s="60">
        <f>IFERROR(IF(OR(E33="",E33=0),"",G33/E33),"")</f>
        <v>2.1488711010790267</v>
      </c>
    </row>
    <row r="34">
      <c r="A34" s="39" t="n">
        <v>8</v>
      </c>
      <c r="B34" s="40">
        <f>IFERROR(IF(OR(8&gt;B22,F33=""),"",F33),"")</f>
        <v/>
      </c>
      <c r="C34" s="40">
        <f>IFERROR(IF(OR(8&gt;B22,B34=""),"",B34*B21),"")</f>
        <v/>
      </c>
      <c r="D34" s="40">
        <f>IFERROR(IF(OR(8&gt;B22,B34=""),"",IF(8&lt;=B23,0,MIN(B34,B24-C34))),"")</f>
        <v/>
      </c>
      <c r="E34" s="40">
        <f>IFERROR(IF(C34="","",C34+D34),"")</f>
        <v/>
      </c>
      <c r="F34" s="40">
        <f>IFERROR(IF(D34="","",B34-D34),"")</f>
        <v/>
      </c>
      <c r="G34" s="40">
        <f>IFERROR(IF(E34="","",'PyG 3 Años'!$D$41-'PyG 3 Años'!$D$46+'PyG 3 Años'!$D$36+'PyG 3 Años'!$D$37),"")</f>
        <v/>
      </c>
      <c r="H34" s="60">
        <f>IFERROR(IF(OR(E34="",E34=0),"",G34/E34),"")</f>
        <v/>
      </c>
    </row>
    <row r="35">
      <c r="A35" s="39" t="n">
        <v>9</v>
      </c>
      <c r="B35" s="40">
        <f>IFERROR(IF(OR(9&gt;B22,F34=""),"",F34),"")</f>
        <v/>
      </c>
      <c r="C35" s="40">
        <f>IFERROR(IF(OR(9&gt;B22,B35=""),"",B35*B21),"")</f>
        <v/>
      </c>
      <c r="D35" s="40">
        <f>IFERROR(IF(OR(9&gt;B22,B35=""),"",IF(9&lt;=B23,0,MIN(B35,B24-C35))),"")</f>
        <v/>
      </c>
      <c r="E35" s="40">
        <f>IFERROR(IF(C35="","",C35+D35),"")</f>
        <v/>
      </c>
      <c r="F35" s="40">
        <f>IFERROR(IF(D35="","",B35-D35),"")</f>
        <v/>
      </c>
      <c r="G35" s="40">
        <f>IFERROR(IF(E35="","",'PyG 3 Años'!$D$41-'PyG 3 Años'!$D$46+'PyG 3 Años'!$D$36+'PyG 3 Años'!$D$37),"")</f>
        <v/>
      </c>
      <c r="H35" s="60">
        <f>IFERROR(IF(OR(E35="",E35=0),"",G35/E35),"")</f>
        <v/>
      </c>
    </row>
    <row r="36">
      <c r="A36" s="39" t="n">
        <v>10</v>
      </c>
      <c r="B36" s="40">
        <f>IFERROR(IF(OR(10&gt;B22,F35=""),"",F35),"")</f>
        <v/>
      </c>
      <c r="C36" s="40">
        <f>IFERROR(IF(OR(10&gt;B22,B36=""),"",B36*B21),"")</f>
        <v/>
      </c>
      <c r="D36" s="40">
        <f>IFERROR(IF(OR(10&gt;B22,B36=""),"",IF(10&lt;=B23,0,MIN(B36,B24-C36))),"")</f>
        <v/>
      </c>
      <c r="E36" s="40">
        <f>IFERROR(IF(C36="","",C36+D36),"")</f>
        <v/>
      </c>
      <c r="F36" s="40">
        <f>IFERROR(IF(D36="","",B36-D36),"")</f>
        <v/>
      </c>
      <c r="G36" s="40">
        <f>IFERROR(IF(E36="","",'PyG 3 Años'!$D$41-'PyG 3 Años'!$D$46+'PyG 3 Años'!$D$36+'PyG 3 Años'!$D$37),"")</f>
        <v/>
      </c>
      <c r="H36" s="60">
        <f>IFERROR(IF(OR(E36="",E36=0),"",G36/E36),"")</f>
        <v/>
      </c>
    </row>
    <row r="37">
      <c r="A37" s="39" t="n">
        <v>11</v>
      </c>
      <c r="B37" s="40">
        <f>IFERROR(IF(OR(11&gt;B22,F36=""),"",F36),"")</f>
        <v/>
      </c>
      <c r="C37" s="40">
        <f>IFERROR(IF(OR(11&gt;B22,B37=""),"",B37*B21),"")</f>
        <v/>
      </c>
      <c r="D37" s="40">
        <f>IFERROR(IF(OR(11&gt;B22,B37=""),"",IF(11&lt;=B23,0,MIN(B37,B24-C37))),"")</f>
        <v/>
      </c>
      <c r="E37" s="40">
        <f>IFERROR(IF(C37="","",C37+D37),"")</f>
        <v/>
      </c>
      <c r="F37" s="40">
        <f>IFERROR(IF(D37="","",B37-D37),"")</f>
        <v/>
      </c>
      <c r="G37" s="40">
        <f>IFERROR(IF(E37="","",'PyG 3 Años'!$D$41-'PyG 3 Años'!$D$46+'PyG 3 Años'!$D$36+'PyG 3 Años'!$D$37),"")</f>
        <v/>
      </c>
      <c r="H37" s="60">
        <f>IFERROR(IF(OR(E37="",E37=0),"",G37/E37),"")</f>
        <v/>
      </c>
    </row>
    <row r="38">
      <c r="A38" s="39" t="n">
        <v>12</v>
      </c>
      <c r="B38" s="40">
        <f>IFERROR(IF(OR(12&gt;B22,F37=""),"",F37),"")</f>
        <v/>
      </c>
      <c r="C38" s="40">
        <f>IFERROR(IF(OR(12&gt;B22,B38=""),"",B38*B21),"")</f>
        <v/>
      </c>
      <c r="D38" s="40">
        <f>IFERROR(IF(OR(12&gt;B22,B38=""),"",IF(12&lt;=B23,0,MIN(B38,B24-C38))),"")</f>
        <v/>
      </c>
      <c r="E38" s="40">
        <f>IFERROR(IF(C38="","",C38+D38),"")</f>
        <v/>
      </c>
      <c r="F38" s="40">
        <f>IFERROR(IF(D38="","",B38-D38),"")</f>
        <v/>
      </c>
      <c r="G38" s="40">
        <f>IFERROR(IF(E38="","",'PyG 3 Años'!$D$41-'PyG 3 Años'!$D$46+'PyG 3 Años'!$D$36+'PyG 3 Años'!$D$37),"")</f>
        <v/>
      </c>
      <c r="H38" s="60">
        <f>IFERROR(IF(OR(E38="",E38=0),"",G38/E38),"")</f>
        <v/>
      </c>
    </row>
    <row r="39">
      <c r="A39" s="39" t="n">
        <v>13</v>
      </c>
      <c r="B39" s="40">
        <f>IFERROR(IF(OR(13&gt;B22,F38=""),"",F38),"")</f>
        <v/>
      </c>
      <c r="C39" s="40">
        <f>IFERROR(IF(OR(13&gt;B22,B39=""),"",B39*B21),"")</f>
        <v/>
      </c>
      <c r="D39" s="40">
        <f>IFERROR(IF(OR(13&gt;B22,B39=""),"",IF(13&lt;=B23,0,MIN(B39,B24-C39))),"")</f>
        <v/>
      </c>
      <c r="E39" s="40">
        <f>IFERROR(IF(C39="","",C39+D39),"")</f>
        <v/>
      </c>
      <c r="F39" s="40">
        <f>IFERROR(IF(D39="","",B39-D39),"")</f>
        <v/>
      </c>
      <c r="G39" s="40">
        <f>IFERROR(IF(E39="","",'PyG 3 Años'!$D$41-'PyG 3 Años'!$D$46+'PyG 3 Años'!$D$36+'PyG 3 Años'!$D$37),"")</f>
        <v/>
      </c>
      <c r="H39" s="60">
        <f>IFERROR(IF(OR(E39="",E39=0),"",G39/E39),"")</f>
        <v/>
      </c>
    </row>
    <row r="40">
      <c r="A40" s="39" t="n">
        <v>14</v>
      </c>
      <c r="B40" s="40">
        <f>IFERROR(IF(OR(14&gt;B22,F39=""),"",F39),"")</f>
        <v/>
      </c>
      <c r="C40" s="40">
        <f>IFERROR(IF(OR(14&gt;B22,B40=""),"",B40*B21),"")</f>
        <v/>
      </c>
      <c r="D40" s="40">
        <f>IFERROR(IF(OR(14&gt;B22,B40=""),"",IF(14&lt;=B23,0,MIN(B40,B24-C40))),"")</f>
        <v/>
      </c>
      <c r="E40" s="40">
        <f>IFERROR(IF(C40="","",C40+D40),"")</f>
        <v/>
      </c>
      <c r="F40" s="40">
        <f>IFERROR(IF(D40="","",B40-D40),"")</f>
        <v/>
      </c>
      <c r="G40" s="40">
        <f>IFERROR(IF(E40="","",'PyG 3 Años'!$D$41-'PyG 3 Años'!$D$46+'PyG 3 Años'!$D$36+'PyG 3 Años'!$D$37),"")</f>
        <v/>
      </c>
      <c r="H40" s="60">
        <f>IFERROR(IF(OR(E40="",E40=0),"",G40/E40),"")</f>
        <v/>
      </c>
    </row>
    <row r="41">
      <c r="A41" s="39" t="n">
        <v>15</v>
      </c>
      <c r="B41" s="40">
        <f>IFERROR(IF(OR(15&gt;B22,F40=""),"",F40),"")</f>
        <v/>
      </c>
      <c r="C41" s="40">
        <f>IFERROR(IF(OR(15&gt;B22,B41=""),"",B41*B21),"")</f>
        <v/>
      </c>
      <c r="D41" s="40">
        <f>IFERROR(IF(OR(15&gt;B22,B41=""),"",IF(15&lt;=B23,0,MIN(B41,B24-C41))),"")</f>
        <v/>
      </c>
      <c r="E41" s="40">
        <f>IFERROR(IF(C41="","",C41+D41),"")</f>
        <v/>
      </c>
      <c r="F41" s="40">
        <f>IFERROR(IF(D41="","",B41-D41),"")</f>
        <v/>
      </c>
      <c r="G41" s="40">
        <f>IFERROR(IF(E41="","",'PyG 3 Años'!$D$41-'PyG 3 Años'!$D$46+'PyG 3 Años'!$D$36+'PyG 3 Años'!$D$37),"")</f>
        <v/>
      </c>
      <c r="H41" s="60">
        <f>IFERROR(IF(OR(E41="",E41=0),"",G41/E41),"")</f>
        <v/>
      </c>
    </row>
    <row r="42">
      <c r="A42" s="28" t="inlineStr">
        <is>
          <t>Tolerancia de cierre del cuadro (€)</t>
        </is>
      </c>
      <c r="B42" s="50" t="n">
        <v>0.01</v>
      </c>
      <c r="C42" s="28" t="inlineStr">
        <is>
          <t>Margen por redondeo. Por encima, el cuadro no cierra y hay capital sin devolver</t>
        </is>
      </c>
      <c r="D42" s="28" t="n"/>
      <c r="E42" s="28" t="n"/>
      <c r="F42" s="28" t="n"/>
      <c r="G42" s="28" t="n"/>
      <c r="H42" s="28" t="n"/>
    </row>
    <row r="43">
      <c r="A43" s="28" t="inlineStr">
        <is>
          <t>Capital pendiente al vencimiento</t>
        </is>
      </c>
      <c r="B43" s="40">
        <f>IFERROR(IF(B20="","",ROUND(B20-SUM(D27:D41),2)),"")</f>
        <v>0.0</v>
      </c>
      <c r="C43" s="28" t="inlineStr">
        <is>
          <t>Tiene que ser cero: el principal devuelto en el cuadro tiene que ser el prestado. Si sale positivo, el plazo no llega</t>
        </is>
      </c>
      <c r="D43" s="28" t="n"/>
      <c r="E43" s="28" t="n"/>
      <c r="F43" s="28" t="n"/>
      <c r="G43" s="28" t="n"/>
      <c r="H43" s="28" t="n"/>
    </row>
    <row r="44">
      <c r="A44" s="28" t="inlineStr">
        <is>
          <t>Intereses del año 1</t>
        </is>
      </c>
      <c r="B44" s="32">
        <f>IFERROR(IF(B20="","",IF(C27="",0,C27)),"")</f>
        <v>7200.0</v>
      </c>
      <c r="C44" s="28" t="n"/>
      <c r="D44" s="28" t="n"/>
      <c r="E44" s="28" t="n"/>
      <c r="F44" s="28" t="n"/>
      <c r="G44" s="28" t="n"/>
      <c r="H44" s="28" t="n"/>
    </row>
    <row r="45">
      <c r="A45" s="28" t="inlineStr">
        <is>
          <t>Devolución de principal del año 1</t>
        </is>
      </c>
      <c r="B45" s="32">
        <f>IFERROR(IF(B20="","",IF(D27="",0,D27)),"")</f>
        <v>0.0</v>
      </c>
      <c r="C45" s="28" t="n"/>
      <c r="D45" s="28" t="n"/>
      <c r="E45" s="28" t="n"/>
      <c r="F45" s="28" t="n"/>
      <c r="G45" s="28" t="n"/>
      <c r="H45" s="28" t="n"/>
    </row>
    <row r="46">
      <c r="A46" s="28" t="inlineStr">
        <is>
          <t>Intereses del año 2</t>
        </is>
      </c>
      <c r="B46" s="32">
        <f>IFERROR(IF(B20="","",IF(C28="",0,C28)),"")</f>
        <v>7200.0</v>
      </c>
      <c r="C46" s="28" t="n"/>
      <c r="D46" s="28" t="n"/>
      <c r="E46" s="28" t="n"/>
      <c r="F46" s="28" t="n"/>
      <c r="G46" s="28" t="n"/>
      <c r="H46" s="28" t="n"/>
    </row>
    <row r="47">
      <c r="A47" s="28" t="inlineStr">
        <is>
          <t>Devolución de principal del año 2</t>
        </is>
      </c>
      <c r="B47" s="32">
        <f>IFERROR(IF(B20="","",IF(D28="",0,D28)),"")</f>
        <v>17203.51541698744</v>
      </c>
      <c r="C47" s="28" t="n"/>
      <c r="D47" s="28" t="n"/>
      <c r="E47" s="28" t="n"/>
      <c r="F47" s="28" t="n"/>
      <c r="G47" s="28" t="n"/>
      <c r="H47" s="28" t="n"/>
    </row>
    <row r="48">
      <c r="A48" s="28" t="inlineStr">
        <is>
          <t>Intereses del año 3</t>
        </is>
      </c>
      <c r="B48" s="32">
        <f>IFERROR(IF(B20="","",IF(C29="",0,C29)),"")</f>
        <v>6167.789074980753</v>
      </c>
      <c r="C48" s="28" t="n"/>
      <c r="D48" s="28" t="n"/>
      <c r="E48" s="28" t="n"/>
      <c r="F48" s="28" t="n"/>
      <c r="G48" s="28" t="n"/>
      <c r="H48" s="28" t="n"/>
    </row>
    <row r="49">
      <c r="A49" s="28" t="inlineStr">
        <is>
          <t>Devolución de principal del año 3</t>
        </is>
      </c>
      <c r="B49" s="32">
        <f>IFERROR(IF(B20="","",IF(D29="",0,D29)),"")</f>
        <v>18235.72634200669</v>
      </c>
      <c r="C49" s="28" t="n"/>
      <c r="D49" s="28" t="n"/>
      <c r="E49" s="28" t="n"/>
      <c r="F49" s="28" t="n"/>
      <c r="G49" s="28" t="n"/>
      <c r="H49" s="28" t="n"/>
    </row>
    <row r="50">
      <c r="A50" s="25" t="inlineStr">
        <is>
          <t>COBERTURA DEL SERVICIO DE LA DEUDA (DSCR)</t>
        </is>
      </c>
      <c r="B50" s="28" t="n"/>
      <c r="C50" s="28" t="n"/>
      <c r="D50" s="28" t="n"/>
      <c r="E50" s="28" t="n"/>
      <c r="F50" s="28" t="n"/>
      <c r="G50" s="28" t="n"/>
      <c r="H50" s="28" t="n"/>
    </row>
    <row r="51">
      <c r="A51" s="28" t="inlineStr">
        <is>
          <t>DSCR del año 1</t>
        </is>
      </c>
      <c r="B51" s="60">
        <f>IFERROR(('PyG 3 Años'!$B$41-'PyG 3 Años'!$B$46+'PyG 3 Años'!$B$36+B44)/(B44+B45),"")</f>
        <v>4.636896643518523</v>
      </c>
      <c r="C51" s="28" t="inlineStr">
        <is>
          <t>Año de CARENCIA si la hay: con sólo intereses en el denominador el ratio se dispara y no mide el negocio</t>
        </is>
      </c>
      <c r="D51" s="28" t="n"/>
      <c r="E51" s="28" t="n"/>
      <c r="F51" s="28" t="n"/>
      <c r="G51" s="28" t="n"/>
      <c r="H51" s="28" t="n"/>
    </row>
    <row r="52">
      <c r="A52" s="28" t="inlineStr">
        <is>
          <t>DSCR del año 2</t>
        </is>
      </c>
      <c r="B52" s="60">
        <f>IFERROR(('PyG 3 Años'!$C$41-'PyG 3 Años'!$C$46+'PyG 3 Años'!$C$36+B46)/(B46+B47),"")</f>
        <v>2.0101910030218595</v>
      </c>
      <c r="C52" s="28" t="n"/>
      <c r="D52" s="28" t="n"/>
      <c r="E52" s="28" t="n"/>
      <c r="F52" s="28" t="n"/>
      <c r="G52" s="28" t="n"/>
      <c r="H52" s="28" t="n"/>
    </row>
    <row r="53">
      <c r="A53" s="28" t="inlineStr">
        <is>
          <t>DSCR del año 3</t>
        </is>
      </c>
      <c r="B53" s="60">
        <f>IFERROR(('PyG 3 Años'!$D$41-'PyG 3 Años'!$D$46+'PyG 3 Años'!$D$36+B48)/(B48+B49),"")</f>
        <v>2.1488711010790267</v>
      </c>
      <c r="C53" s="28" t="n"/>
      <c r="D53" s="28" t="n"/>
      <c r="E53" s="28" t="n"/>
      <c r="F53" s="28" t="n"/>
      <c r="G53" s="28" t="n"/>
      <c r="H53" s="28" t="n"/>
    </row>
    <row r="54">
      <c r="A54" s="25" t="inlineStr">
        <is>
          <t>DSCR mínimo de todo el cuadro</t>
        </is>
      </c>
      <c r="B54" s="61">
        <f>IFERROR(IF(COUNT(H27:H41)=0,"",MIN(H27:H41)),"")</f>
        <v>2.0101910030218595</v>
      </c>
      <c r="C54" s="25"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28" t="n"/>
      <c r="E54" s="28" t="n"/>
      <c r="F54" s="28" t="n"/>
      <c r="G54" s="28" t="n"/>
      <c r="H54" s="28" t="n"/>
    </row>
    <row r="55">
      <c r="A55" s="28" t="n"/>
      <c r="B55" s="28" t="n"/>
      <c r="C55" s="28" t="n"/>
      <c r="D55" s="28" t="n"/>
      <c r="E55" s="28" t="n"/>
      <c r="F55" s="28" t="n"/>
      <c r="G55" s="28" t="n"/>
      <c r="H55" s="28" t="n"/>
    </row>
    <row r="56" ht="165" customHeight="1">
      <c r="A56" s="46"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28" t="n"/>
      <c r="C56" s="28" t="n"/>
      <c r="D56" s="28" t="n"/>
      <c r="E56" s="28" t="n"/>
      <c r="F56" s="28" t="n"/>
      <c r="G56" s="28" t="n"/>
      <c r="H56" s="28" t="n"/>
    </row>
    <row r="57">
      <c r="A57" s="28" t="n"/>
      <c r="B57" s="28" t="n"/>
      <c r="C57" s="28" t="n"/>
      <c r="D57" s="28" t="n"/>
      <c r="E57" s="28" t="n"/>
      <c r="F57" s="28" t="n"/>
      <c r="G57" s="28" t="n"/>
      <c r="H57" s="28" t="n"/>
    </row>
    <row r="58">
      <c r="A58" s="28" t="n"/>
      <c r="B58" s="28" t="n"/>
      <c r="C58" s="28" t="n"/>
      <c r="D58" s="28" t="n"/>
      <c r="E58" s="28" t="n"/>
      <c r="F58" s="28" t="n"/>
      <c r="G58" s="28" t="n"/>
      <c r="H58" s="28" t="n"/>
    </row>
    <row r="59">
      <c r="A59" s="28" t="n"/>
      <c r="B59" s="28" t="n"/>
      <c r="C59" s="28" t="n"/>
      <c r="D59" s="28" t="n"/>
      <c r="E59" s="28" t="n"/>
      <c r="F59" s="28" t="n"/>
      <c r="G59" s="28" t="n"/>
      <c r="H59" s="28" t="n"/>
    </row>
    <row r="60">
      <c r="A60" s="28" t="n"/>
      <c r="B60" s="28" t="n"/>
      <c r="C60" s="28" t="n"/>
      <c r="D60" s="28" t="n"/>
      <c r="E60" s="28" t="n"/>
      <c r="F60" s="28" t="n"/>
      <c r="G60" s="28" t="n"/>
      <c r="H60" s="28" t="n"/>
    </row>
    <row r="61">
      <c r="A61" s="28" t="n"/>
      <c r="B61" s="28" t="n"/>
      <c r="C61" s="28" t="n"/>
      <c r="D61" s="28" t="n"/>
      <c r="E61" s="28" t="n"/>
      <c r="F61" s="28" t="n"/>
      <c r="G61" s="28" t="n"/>
      <c r="H61" s="28" t="n"/>
    </row>
    <row r="62">
      <c r="A62" s="28" t="n"/>
      <c r="B62" s="28" t="n"/>
      <c r="C62" s="28" t="n"/>
      <c r="D62" s="28" t="n"/>
      <c r="E62" s="28" t="n"/>
      <c r="F62" s="28" t="n"/>
      <c r="G62" s="28" t="n"/>
      <c r="H62" s="28" t="n"/>
    </row>
    <row r="63">
      <c r="A63" s="28" t="n"/>
      <c r="B63" s="28" t="n"/>
      <c r="C63" s="28" t="n"/>
      <c r="D63" s="28" t="n"/>
      <c r="E63" s="28" t="n"/>
      <c r="F63" s="28" t="n"/>
      <c r="G63" s="28" t="n"/>
      <c r="H63" s="28" t="n"/>
    </row>
    <row r="64">
      <c r="A64" s="28" t="n"/>
      <c r="B64" s="28" t="n"/>
      <c r="C64" s="28" t="n"/>
      <c r="D64" s="28" t="n"/>
      <c r="E64" s="28" t="n"/>
      <c r="F64" s="28" t="n"/>
      <c r="G64" s="28" t="n"/>
      <c r="H64" s="28" t="n"/>
    </row>
    <row r="65">
      <c r="A65" s="28" t="n"/>
      <c r="B65" s="28" t="n"/>
      <c r="C65" s="28" t="n"/>
      <c r="D65" s="28" t="n"/>
      <c r="E65" s="28" t="n"/>
      <c r="F65" s="28" t="n"/>
      <c r="G65" s="28" t="n"/>
      <c r="H65" s="28" t="n"/>
    </row>
    <row r="66">
      <c r="A66" s="28" t="n"/>
      <c r="B66" s="28" t="n"/>
      <c r="C66" s="28" t="n"/>
      <c r="D66" s="28" t="n"/>
      <c r="E66" s="28" t="n"/>
      <c r="F66" s="28" t="n"/>
      <c r="G66" s="28" t="n"/>
      <c r="H66" s="28" t="n"/>
    </row>
    <row r="67">
      <c r="A67" s="28" t="n"/>
      <c r="B67" s="28" t="n"/>
      <c r="C67" s="28" t="n"/>
      <c r="D67" s="28" t="n"/>
      <c r="E67" s="28" t="n"/>
      <c r="F67" s="28" t="n"/>
      <c r="G67" s="28" t="n"/>
      <c r="H67" s="28" t="n"/>
    </row>
    <row r="68">
      <c r="A68" s="28" t="n"/>
      <c r="B68" s="28" t="n"/>
      <c r="C68" s="28" t="n"/>
      <c r="D68" s="28" t="n"/>
      <c r="E68" s="28" t="n"/>
      <c r="F68" s="28" t="n"/>
      <c r="G68" s="28" t="n"/>
      <c r="H68" s="28" t="n"/>
    </row>
    <row r="69">
      <c r="A69" s="28" t="n"/>
      <c r="B69" s="28" t="n"/>
      <c r="C69" s="28" t="n"/>
      <c r="D69" s="28" t="n"/>
      <c r="E69" s="28" t="n"/>
      <c r="F69" s="28" t="n"/>
      <c r="G69" s="28" t="n"/>
      <c r="H69" s="28" t="n"/>
    </row>
    <row r="70">
      <c r="A70" s="28" t="n"/>
      <c r="B70" s="28" t="n"/>
      <c r="C70" s="28" t="n"/>
      <c r="D70" s="28" t="n"/>
      <c r="E70" s="28" t="n"/>
      <c r="F70" s="28" t="n"/>
      <c r="G70" s="28" t="n"/>
      <c r="H70" s="28" t="n"/>
    </row>
    <row r="71">
      <c r="A71" s="28" t="n"/>
      <c r="B71" s="28" t="n"/>
      <c r="C71" s="28" t="n"/>
      <c r="D71" s="28" t="n"/>
      <c r="E71" s="28" t="n"/>
      <c r="F71" s="28" t="n"/>
      <c r="G71" s="28" t="n"/>
      <c r="H71" s="28" t="n"/>
    </row>
    <row r="72">
      <c r="A72" s="28" t="n"/>
      <c r="B72" s="28" t="n"/>
      <c r="C72" s="28" t="n"/>
      <c r="D72" s="28" t="n"/>
      <c r="E72" s="28" t="n"/>
      <c r="F72" s="28" t="n"/>
      <c r="G72" s="28" t="n"/>
      <c r="H72" s="28" t="n"/>
    </row>
    <row r="73">
      <c r="A73" s="28" t="n"/>
      <c r="B73" s="28" t="n"/>
      <c r="C73" s="28" t="n"/>
      <c r="D73" s="28" t="n"/>
      <c r="E73" s="28" t="n"/>
      <c r="F73" s="28" t="n"/>
      <c r="G73" s="28" t="n"/>
      <c r="H73" s="28" t="n"/>
    </row>
    <row r="74">
      <c r="A74" s="28" t="n"/>
      <c r="B74" s="28" t="n"/>
      <c r="C74" s="28" t="n"/>
      <c r="D74" s="28" t="n"/>
      <c r="E74" s="28" t="n"/>
      <c r="F74" s="28" t="n"/>
      <c r="G74" s="28" t="n"/>
      <c r="H74" s="28" t="n"/>
    </row>
    <row r="75">
      <c r="A75" s="28" t="n"/>
      <c r="B75" s="28" t="n"/>
      <c r="C75" s="28" t="n"/>
      <c r="D75" s="28" t="n"/>
      <c r="E75" s="28" t="n"/>
      <c r="F75" s="28" t="n"/>
      <c r="G75" s="28" t="n"/>
      <c r="H75" s="28" t="n"/>
    </row>
    <row r="76">
      <c r="A76" s="28" t="n"/>
      <c r="B76" s="28" t="n"/>
      <c r="C76" s="28" t="n"/>
      <c r="D76" s="28" t="n"/>
      <c r="E76" s="28" t="n"/>
      <c r="F76" s="28" t="n"/>
      <c r="G76" s="28" t="n"/>
      <c r="H76" s="28" t="n"/>
    </row>
    <row r="77">
      <c r="A77" s="28" t="n"/>
      <c r="B77" s="28" t="n"/>
      <c r="C77" s="28" t="n"/>
      <c r="D77" s="28" t="n"/>
      <c r="E77" s="28" t="n"/>
      <c r="F77" s="28" t="n"/>
      <c r="G77" s="28" t="n"/>
      <c r="H77" s="28" t="n"/>
    </row>
    <row r="78">
      <c r="A78" s="28" t="n"/>
      <c r="B78" s="28" t="n"/>
      <c r="C78" s="28" t="n"/>
      <c r="D78" s="28" t="n"/>
      <c r="E78" s="28" t="n"/>
      <c r="F78" s="28" t="n"/>
      <c r="G78" s="28" t="n"/>
      <c r="H78" s="28" t="n"/>
    </row>
    <row r="79">
      <c r="A79" s="28" t="n"/>
      <c r="B79" s="28" t="n"/>
      <c r="C79" s="28" t="n"/>
      <c r="D79" s="28" t="n"/>
      <c r="E79" s="28" t="n"/>
      <c r="F79" s="28" t="n"/>
      <c r="G79" s="28" t="n"/>
      <c r="H79" s="28" t="n"/>
    </row>
    <row r="80">
      <c r="A80" s="28" t="n"/>
      <c r="B80" s="28" t="n"/>
      <c r="C80" s="28" t="n"/>
      <c r="D80" s="28" t="n"/>
      <c r="E80" s="28" t="n"/>
      <c r="F80" s="28" t="n"/>
      <c r="G80" s="28" t="n"/>
      <c r="H80" s="28"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Panadería / Obrador · v2.2</dc:title>
  <dc:description xmlns:dc="http://purl.org/dc/elements/1.1/">aichef.pro/plan-negocio-panaderia</dc:description>
  <dc:subject xmlns:dc="http://purl.org/dc/elements/1.1/">Plan financiero — Panadería / Obrador · v2.2</dc:subject>
  <dcterms:created xmlns:dcterms="http://purl.org/dc/terms/" xmlns:xsi="http://www.w3.org/2001/XMLSchema-instance" xsi:type="dcterms:W3CDTF">2026-03-26T15:52:23Z</dcterms:created>
  <dcterms:modified xmlns:dcterms="http://purl.org/dc/terms/" xmlns:xsi="http://www.w3.org/2001/XMLSchema-instance" xsi:type="dcterms:W3CDTF">2026-09-05T15:30:19Z</dcterms:modified>
  <cp:lastModifiedBy>AI Chef Pro</cp:lastModifiedBy>
  <cp:category>AI Chef Pro · Productos digitales</cp:category>
  <cp:keywords>plan negocio panaderia, AI Chef Pro</cp:keywords>
</cp:coreProperties>
</file>