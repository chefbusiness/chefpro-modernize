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ndallo" sheetId="2" state="visible" r:id="rId2"/>
    <sheet xmlns:r="http://schemas.openxmlformats.org/officeDocument/2006/relationships" name="Conversiones" sheetId="3" state="visible" r:id="rId3"/>
    <sheet xmlns:r="http://schemas.openxmlformats.org/officeDocument/2006/relationships" name="Mermas" sheetId="4" state="visible" r:id="rId4"/>
  </sheets>
  <definedNames>
    <definedName name="_xlnm.Print_Titles" localSheetId="1">'Escandallo'!$4:$4</definedName>
    <definedName name="_xlnm.Print_Area" localSheetId="1">'Escandallo'!$A$1:$J$40</definedName>
    <definedName name="_xlnm.Print_Area" localSheetId="2">'Conversiones'!$A$1:$J$67</definedName>
    <definedName name="_xlnm.Print_Area" localSheetId="3">'Mermas'!$A$1:$J$25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"/>
    <numFmt numFmtId="165" formatCode="0.000"/>
    <numFmt numFmtId="166" formatCode="0.0%"/>
    <numFmt numFmtId="167" formatCode="0.###"/>
  </numFmts>
  <fonts count="2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9" borderId="14" applyAlignment="1" applyProtection="1" pivotButton="0" quotePrefix="0" xfId="0">
      <alignment horizontal="center" vertical="center"/>
      <protection locked="0" hidden="0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6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Escandallo Estándar — Plato a la Carta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Cómo usar esta plantilla</t>
        </is>
      </c>
    </row>
    <row r="7">
      <c r="B7" s="5" t="n"/>
    </row>
    <row r="8">
      <c r="B8" s="6" t="inlineStr">
        <is>
          <t>▸ Ve a la pestaña 'Escandallo' para empezar.</t>
        </is>
      </c>
    </row>
    <row r="9">
      <c r="B9" s="6" t="inlineStr">
        <is>
          <t>▸ El ejemplo cargado es un solomillo con Pedro Ximénez: bórralo o escribe encima.</t>
        </is>
      </c>
    </row>
    <row r="10">
      <c r="B10" s="6" t="inlineStr">
        <is>
          <t>▸ Las celdas VERDES son las editables; el resto son fórmulas.</t>
        </is>
      </c>
    </row>
    <row r="11">
      <c r="B11" s="6" t="n"/>
    </row>
    <row r="12">
      <c r="B12" s="4" t="inlineStr">
        <is>
          <t>Columnas de la hoja de escandallo</t>
        </is>
      </c>
    </row>
    <row r="13">
      <c r="B13" s="5" t="n"/>
    </row>
    <row r="14">
      <c r="B14" s="6" t="inlineStr">
        <is>
          <t>▸ Ingrediente: el producto tal como lo compras.</t>
        </is>
      </c>
    </row>
    <row r="15">
      <c r="B15" s="6" t="inlineStr">
        <is>
          <t>▸ Categoría: familia del ingrediente (desplegable). Es la que precarga la merma en las filas vacías.</t>
        </is>
      </c>
    </row>
    <row r="16">
      <c r="B16" s="6" t="inlineStr">
        <is>
          <t>▸ Ud. Compra: la unidad en la que COMPRAS (kg, L, docena, manojo…).</t>
        </is>
      </c>
    </row>
    <row r="17">
      <c r="B17" s="6" t="inlineStr">
        <is>
          <t>▸ Precio/Ud (€): lo que pagas por esa unidad de compra.</t>
        </is>
      </c>
    </row>
    <row r="18">
      <c r="B18" s="6" t="inlineStr">
        <is>
          <t>▸ ¿Llevas tus precios en la plantilla 13 (Lista de Precios de Ingredientes)? Lleva su «Precio por unidad base» a «Precio/Ud (€)» con Pegado especial → Valores (en Excel, Ctrl+Alt+V y luego V) y pon esa misma unidad en «Ud. Compra». Un pegado normal arrastraría la fórmula: el precio y el coste de esa línea se quedarían en blanco sin avisar, y el coste del plato saldría más bajo.</t>
        </is>
      </c>
    </row>
    <row r="19">
      <c r="B19" s="6" t="inlineStr">
        <is>
          <t>▸ Cantidad: la que usas en el plato, EN LA UNIDAD DE USO.</t>
        </is>
      </c>
    </row>
    <row r="20">
      <c r="B20" s="6" t="inlineStr">
        <is>
          <t>▸ Ud. Uso: la unidad en la que mides al cocinar (g, ml, cl, ud…).</t>
        </is>
      </c>
    </row>
    <row r="21">
      <c r="B21" s="6" t="inlineStr">
        <is>
          <t>▸ Factor: conversión automática Ud. Compra → Ud. Uso, de la hoja «Conversiones». Si la pareja NO está en la tabla, el Factor se pone en rojo con un «?» y el Coste dice «revisa unidades»: añade la equivalencia en «Conversiones» antes de fiarte del número. Nunca da un coste plausible y falso.</t>
        </is>
      </c>
    </row>
    <row r="22">
      <c r="B22" s="6" t="inlineStr">
        <is>
          <t>▸ Merma (%): desperdicio. En las filas de ejemplo está escrita a mano; en las vacías la trae la hoja «Mermas» en cuanto eliges categoría, y puedes escribir encima.</t>
        </is>
      </c>
    </row>
    <row r="23">
      <c r="B23" s="6" t="inlineStr">
        <is>
          <t>▸ La merma del solomillo (23,5 %) no es la genérica de «Carne roja» (20 %): sale del test de despiece de la plantilla 12 (Test de Rendimiento), que ya descuenta lo que vale el cordón. Mide tu propia merma con la plantilla 12.</t>
        </is>
      </c>
    </row>
    <row r="24">
      <c r="B24" s="6" t="inlineStr">
        <is>
          <t>▸ Ojo con la merma cuando mides en PIEZAS: la del 11 % de los huevos es la CÁSCARA, y sólo tiene sentido sobre el peso. Si compras y mides en unidades, déjala en 0 %: seis huevos son seis huevos, no 6,74. La misma regla vale para cualquier ingrediente que cuentes por unidad.</t>
        </is>
      </c>
    </row>
    <row r="25">
      <c r="B25" s="6" t="inlineStr">
        <is>
          <t>▸ Cant. Bruta: lo que hay que comprar contando la merma (automático).</t>
        </is>
      </c>
    </row>
    <row r="26">
      <c r="B26" s="6" t="inlineStr">
        <is>
          <t>▸ Coste (€): Cant. Bruta × Precio/Ud ÷ Factor (automático).</t>
        </is>
      </c>
    </row>
    <row r="27">
      <c r="B27" s="5" t="n"/>
    </row>
    <row r="28">
      <c r="B28" s="4" t="inlineStr">
        <is>
          <t>Bloque de resultado</t>
        </is>
      </c>
    </row>
    <row r="29">
      <c r="B29" s="5" t="n"/>
    </row>
    <row r="30">
      <c r="B30" s="6" t="inlineStr">
        <is>
          <t>▸ Coste elaboración (%): recargo sobre la materia prima para cubrir energía, envasado y pérdidas de preparación que no se escandallan línea a línea. Viene al 10 %; ponlo a 0 % si prefieres imputar esos costes aparte.</t>
        </is>
      </c>
    </row>
    <row r="31">
      <c r="B31" s="6" t="inlineStr">
        <is>
          <t>▸ COSTE TOTAL DEL PLATO: materia prima + coste de elaboración.</t>
        </is>
      </c>
    </row>
    <row r="32">
      <c r="B32" s="6" t="inlineStr">
        <is>
          <t>▸ Nº de raciones: cuántas raciones salen de lo escandallado. Déjalo en 1 si es un plato individual.</t>
        </is>
      </c>
    </row>
    <row r="33">
      <c r="B33" s="6" t="inlineStr">
        <is>
          <t>▸ COSTE POR RACIÓN: coste total ÷ raciones. Es la base del PVP.</t>
        </is>
      </c>
    </row>
    <row r="34">
      <c r="B34" s="6" t="inlineStr">
        <is>
          <t>▸ Food Cost objetivo (%): el que quieres conseguir. PVP sin IVA = coste por ración ÷ food cost objetivo.</t>
        </is>
      </c>
    </row>
    <row r="35">
      <c r="B35" s="6" t="inlineStr">
        <is>
          <t>▸ Tipo de IVA (%): editable. 10 % en hostelería en España; cámbialo si te aplica otro tipo (IGIC en Canarias, o el IVA/ITBIS/IVU de tu país en Latinoamérica).</t>
        </is>
      </c>
    </row>
    <row r="36">
      <c r="B36" s="6" t="inlineStr">
        <is>
          <t>▸ PVP actual en carta (sin IVA): lo que cobras HOY. Déjalo vacío si todavía no lo tienes.</t>
        </is>
      </c>
    </row>
    <row r="37">
      <c r="B37" s="6" t="inlineStr">
        <is>
          <t>▸ FOOD COST REAL (%): coste por ración ÷ PVP actual. Se pone en rojo en cuanto supera tu objetivo.</t>
        </is>
      </c>
    </row>
    <row r="38">
      <c r="B38" s="8" t="n"/>
    </row>
    <row r="39">
      <c r="B39" s="4" t="inlineStr">
        <is>
          <t>Hojas auxiliares</t>
        </is>
      </c>
    </row>
    <row r="40"/>
    <row r="41">
      <c r="B41" s="6" t="inlineStr">
        <is>
          <t>▸ «Conversiones»: equivalencias Ud. Compra → Ud. Uso. Va SIN protección: añade las parejas que te falten y corrige el tamaño de los formatos (la botella viene a 70 cl y la lata a 33 cl; si tu vino es de 75 cl, cambia el 70 por 75 en «botella→cl»).</t>
        </is>
      </c>
    </row>
    <row r="42">
      <c r="B42" s="6" t="inlineStr">
        <is>
          <t>▸ «Mermas»: merma mínima, típica y máxima por categoría. La típica es la que se precarga en las filas vacías.</t>
        </is>
      </c>
    </row>
    <row r="43"/>
    <row r="44">
      <c r="B44" s="4" t="inlineStr">
        <is>
          <t>Protección de la hoja</t>
        </is>
      </c>
    </row>
    <row r="45"/>
    <row r="46">
      <c r="B46" s="6" t="inlineStr">
        <is>
          <t>▸ Las hojas están protegidas SIN contraseña para que no borres una fórmula sin querer: sólo se escriben las celdas verdes.</t>
        </is>
      </c>
    </row>
    <row r="47">
      <c r="B47" s="6" t="inlineStr">
        <is>
          <t>▸ Para tocar cualquier otra cosa —insertar filas, pegar la foto del plato, cambiar una fórmula—: Revisar → Desproteger hoja. No pide contraseña.</t>
        </is>
      </c>
    </row>
    <row r="48">
      <c r="B48" s="6" t="inlineStr">
        <is>
          <t>▸ Si te quedas sin filas: desprotege la hoja e inserta filas DENTRO del bloque de ingredientes (clic derecho sobre una fila del bloque → Insertar), nunca debajo de la última. Así el «COSTE TOTAL INGREDIENTES» las recoge solo; lo que escribas por debajo del bloque NO suma.</t>
        </is>
      </c>
    </row>
    <row r="49">
      <c r="B49" s="6" t="inlineStr">
        <is>
          <t>▸ La foto del plato NO se puede arrastrar con la hoja protegida: primero Revisar → Desproteger hoja, y después Insertar → Imagen.</t>
        </is>
      </c>
    </row>
    <row r="50"/>
    <row r="51">
      <c r="B51" s="4" t="inlineStr">
        <is>
          <t>Referencia de mermas estándar</t>
        </is>
      </c>
    </row>
    <row r="52"/>
    <row r="53">
      <c r="B53" s="6" t="inlineStr">
        <is>
          <t>▸ Carne roja 20 % | Aves 25 % | Pescado 35 % | Marisco 45 %</t>
        </is>
      </c>
    </row>
    <row r="54">
      <c r="B54" s="6" t="inlineStr">
        <is>
          <t>▸ Verdura hoja 25 % | Verdura raíz 12 % | Verdura fruto 10 % | Fruta 15 %</t>
        </is>
      </c>
    </row>
    <row r="55">
      <c r="B55" s="6" t="inlineStr">
        <is>
          <t>▸ Lácteos 3 % | Secos/granos 2 % | Congelados 7 % | Pan/bollería 5 %</t>
        </is>
      </c>
    </row>
    <row r="56">
      <c r="B56" s="6" t="inlineStr">
        <is>
          <t>▸ Huevos 11 % | Aceites/grasas 3 % | Especias/hierbas 20 % | Chocolate/cacao 5 %</t>
        </is>
      </c>
    </row>
    <row r="57">
      <c r="B57" s="6" t="inlineStr">
        <is>
          <t>▸ Bebidas/licores 2 % | Setas/hongos 20 % | Conservas/encurtidos 8 % | Salsas/condimentos 5 %</t>
        </is>
      </c>
    </row>
    <row r="58">
      <c r="B58" s="6" t="inlineStr">
        <is>
          <t>▸ Pasta/arroz 2 %</t>
        </is>
      </c>
    </row>
    <row r="59">
      <c r="B59" s="6" t="inlineStr">
        <is>
          <t>▸ Son las 21 categorías del desplegable. La tabla completa, con mínimo y máximo, está en la hoja «Mermas».</t>
        </is>
      </c>
    </row>
    <row r="60"/>
    <row r="61">
      <c r="B61" s="6" t="inlineStr">
        <is>
          <t>— Kit de Escandallos Pro · AI Chef Pro · aichef.pro</t>
        </is>
      </c>
    </row>
    <row r="62"/>
    <row r="63">
      <c r="B63" s="6" t="inlineStr">
        <is>
          <t>© 2026 AI Chef Pro · Todos los derechos reservados</t>
        </is>
      </c>
    </row>
    <row r="64"/>
    <row r="65">
      <c r="B65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Escandallo — Solomillo con PX y Espárragos</t>
        </is>
      </c>
    </row>
    <row r="2" ht="17" customHeight="1">
      <c r="A2" s="51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2" t="inlineStr">
        <is>
          <t>Solomillo de ternera</t>
        </is>
      </c>
      <c r="B5" s="53" t="inlineStr">
        <is>
          <t>Carne roja</t>
        </is>
      </c>
      <c r="C5" s="53" t="inlineStr">
        <is>
          <t>kg</t>
        </is>
      </c>
      <c r="D5" s="54" t="n">
        <v>28.5</v>
      </c>
      <c r="E5" s="55" t="n">
        <v>0.2</v>
      </c>
      <c r="F5" s="53" t="inlineStr">
        <is>
          <t>kg</t>
        </is>
      </c>
      <c r="G5" s="56">
        <f>IF(C5&amp;F5="","",IFERROR(VLOOKUP(C5&amp;"→"&amp;F5,Conversiones!$A$5:$B$67,2,FALSE),"?"))</f>
        <v>1.0</v>
      </c>
      <c r="H5" s="57" t="n">
        <v>0.2354</v>
      </c>
      <c r="I5" s="20">
        <f>IFERROR(IF(E5="","",E5/(1-H5)),"revisa merma")</f>
        <v>0.26157467957101754</v>
      </c>
      <c r="J5" s="21">
        <f>IF(G5="?","revisa unidades",IFERROR(I5*D5/G5,""))</f>
        <v>7.454878367774</v>
      </c>
      <c r="L5" s="22" t="n"/>
      <c r="M5" s="23" t="n"/>
    </row>
    <row r="6" ht="28" customHeight="1">
      <c r="A6" s="52" t="inlineStr">
        <is>
          <t>Patata agria</t>
        </is>
      </c>
      <c r="B6" s="53" t="inlineStr">
        <is>
          <t>Verdura raíz</t>
        </is>
      </c>
      <c r="C6" s="53" t="inlineStr">
        <is>
          <t>kg</t>
        </is>
      </c>
      <c r="D6" s="54" t="n">
        <v>1.8</v>
      </c>
      <c r="E6" s="55" t="n">
        <v>0.15</v>
      </c>
      <c r="F6" s="53" t="inlineStr">
        <is>
          <t>kg</t>
        </is>
      </c>
      <c r="G6" s="56">
        <f>IF(C6&amp;F6="","",IFERROR(VLOOKUP(C6&amp;"→"&amp;F6,Conversiones!$A$5:$B$67,2,FALSE),"?"))</f>
        <v>1.0</v>
      </c>
      <c r="H6" s="57" t="n">
        <v>0.12</v>
      </c>
      <c r="I6" s="20">
        <f>IFERROR(IF(E6="","",E6/(1-H6)),"revisa merma")</f>
        <v>0.17045454545454544</v>
      </c>
      <c r="J6" s="21">
        <f>IF(G6="?","revisa unidades",IFERROR(I6*D6/G6,""))</f>
        <v>0.3068181818181818</v>
      </c>
      <c r="L6" s="22" t="n"/>
      <c r="M6" s="23" t="n"/>
    </row>
    <row r="7" ht="28" customHeight="1">
      <c r="A7" s="52" t="inlineStr">
        <is>
          <t>Espárrago verde</t>
        </is>
      </c>
      <c r="B7" s="53" t="inlineStr">
        <is>
          <t>Verdura hoja</t>
        </is>
      </c>
      <c r="C7" s="53" t="inlineStr">
        <is>
          <t>kg</t>
        </is>
      </c>
      <c r="D7" s="54" t="n">
        <v>6.5</v>
      </c>
      <c r="E7" s="55" t="n">
        <v>0.08</v>
      </c>
      <c r="F7" s="53" t="inlineStr">
        <is>
          <t>kg</t>
        </is>
      </c>
      <c r="G7" s="56">
        <f>IF(C7&amp;F7="","",IFERROR(VLOOKUP(C7&amp;"→"&amp;F7,Conversiones!$A$5:$B$67,2,FALSE),"?"))</f>
        <v>1.0</v>
      </c>
      <c r="H7" s="57" t="n">
        <v>0.25</v>
      </c>
      <c r="I7" s="20">
        <f>IFERROR(IF(E7="","",E7/(1-H7)),"revisa merma")</f>
        <v>0.10666666666666667</v>
      </c>
      <c r="J7" s="21">
        <f>IF(G7="?","revisa unidades",IFERROR(I7*D7/G7,""))</f>
        <v>0.6933333333333334</v>
      </c>
      <c r="L7" s="22" t="n"/>
      <c r="M7" s="23" t="n"/>
    </row>
    <row r="8" ht="28" customHeight="1">
      <c r="A8" s="52" t="inlineStr">
        <is>
          <t>Mantequilla</t>
        </is>
      </c>
      <c r="B8" s="53" t="inlineStr">
        <is>
          <t>Lácteos</t>
        </is>
      </c>
      <c r="C8" s="53" t="inlineStr">
        <is>
          <t>kg</t>
        </is>
      </c>
      <c r="D8" s="54" t="n">
        <v>9</v>
      </c>
      <c r="E8" s="55" t="n">
        <v>0.03</v>
      </c>
      <c r="F8" s="53" t="inlineStr">
        <is>
          <t>kg</t>
        </is>
      </c>
      <c r="G8" s="56">
        <f>IF(C8&amp;F8="","",IFERROR(VLOOKUP(C8&amp;"→"&amp;F8,Conversiones!$A$5:$B$67,2,FALSE),"?"))</f>
        <v>1.0</v>
      </c>
      <c r="H8" s="57" t="n">
        <v>0.03</v>
      </c>
      <c r="I8" s="20">
        <f>IFERROR(IF(E8="","",E8/(1-H8)),"revisa merma")</f>
        <v>0.030927835051546393</v>
      </c>
      <c r="J8" s="21">
        <f>IF(G8="?","revisa unidades",IFERROR(I8*D8/G8,""))</f>
        <v>0.27835051546391754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52" t="inlineStr">
        <is>
          <t>Vino Pedro Ximénez</t>
        </is>
      </c>
      <c r="B9" s="53" t="inlineStr">
        <is>
          <t>Bebidas/licores</t>
        </is>
      </c>
      <c r="C9" s="53" t="inlineStr">
        <is>
          <t>L</t>
        </is>
      </c>
      <c r="D9" s="54" t="n">
        <v>8.5</v>
      </c>
      <c r="E9" s="55" t="n">
        <v>0.05</v>
      </c>
      <c r="F9" s="53" t="inlineStr">
        <is>
          <t>L</t>
        </is>
      </c>
      <c r="G9" s="56">
        <f>IF(C9&amp;F9="","",IFERROR(VLOOKUP(C9&amp;"→"&amp;F9,Conversiones!$A$5:$B$67,2,FALSE),"?"))</f>
        <v>1.0</v>
      </c>
      <c r="H9" s="57" t="n">
        <v>0.02</v>
      </c>
      <c r="I9" s="20">
        <f>IFERROR(IF(E9="","",E9/(1-H9)),"revisa merma")</f>
        <v>0.05102040816326531</v>
      </c>
      <c r="J9" s="21">
        <f>IF(G9="?","revisa unidades",IFERROR(I9*D9/G9,""))</f>
        <v>0.4336734693877551</v>
      </c>
      <c r="L9" s="26" t="n"/>
      <c r="M9" s="27" t="n"/>
    </row>
    <row r="10" ht="28" customHeight="1">
      <c r="A10" s="52" t="inlineStr">
        <is>
          <t>Fondo oscuro de ternera</t>
        </is>
      </c>
      <c r="B10" s="53" t="inlineStr">
        <is>
          <t>Salsas/condimentos</t>
        </is>
      </c>
      <c r="C10" s="53" t="inlineStr">
        <is>
          <t>L</t>
        </is>
      </c>
      <c r="D10" s="54" t="n">
        <v>12</v>
      </c>
      <c r="E10" s="55" t="n">
        <v>0.08</v>
      </c>
      <c r="F10" s="53" t="inlineStr">
        <is>
          <t>L</t>
        </is>
      </c>
      <c r="G10" s="56">
        <f>IF(C10&amp;F10="","",IFERROR(VLOOKUP(C10&amp;"→"&amp;F10,Conversiones!$A$5:$B$67,2,FALSE),"?"))</f>
        <v>1.0</v>
      </c>
      <c r="H10" s="57" t="n">
        <v>0.07000000000000001</v>
      </c>
      <c r="I10" s="20">
        <f>IFERROR(IF(E10="","",E10/(1-H10)),"revisa merma")</f>
        <v>0.08602150537634409</v>
      </c>
      <c r="J10" s="21">
        <f>IF(G10="?","revisa unidades",IFERROR(I10*D10/G10,""))</f>
        <v>1.032258064516129</v>
      </c>
      <c r="L10" s="22" t="n"/>
      <c r="M10" s="23" t="n"/>
    </row>
    <row r="11" ht="28" customHeight="1">
      <c r="A11" s="52" t="inlineStr">
        <is>
          <t>Aceite de oliva virgen extra</t>
        </is>
      </c>
      <c r="B11" s="53" t="inlineStr">
        <is>
          <t>Aceites/grasas</t>
        </is>
      </c>
      <c r="C11" s="53" t="inlineStr">
        <is>
          <t>L</t>
        </is>
      </c>
      <c r="D11" s="54" t="n">
        <v>7.5</v>
      </c>
      <c r="E11" s="55" t="n">
        <v>0.03</v>
      </c>
      <c r="F11" s="53" t="inlineStr">
        <is>
          <t>L</t>
        </is>
      </c>
      <c r="G11" s="56">
        <f>IF(C11&amp;F11="","",IFERROR(VLOOKUP(C11&amp;"→"&amp;F11,Conversiones!$A$5:$B$67,2,FALSE),"?"))</f>
        <v>1.0</v>
      </c>
      <c r="H11" s="57" t="n">
        <v>0.03</v>
      </c>
      <c r="I11" s="20">
        <f>IFERROR(IF(E11="","",E11/(1-H11)),"revisa merma")</f>
        <v>0.030927835051546393</v>
      </c>
      <c r="J11" s="21">
        <f>IF(G11="?","revisa unidades",IFERROR(I11*D11/G11,""))</f>
        <v>0.23195876288659795</v>
      </c>
      <c r="L11" s="22" t="n"/>
      <c r="M11" s="23" t="n"/>
    </row>
    <row r="12" ht="28" customHeight="1">
      <c r="A12" s="52" t="inlineStr">
        <is>
          <t>Flor de sal</t>
        </is>
      </c>
      <c r="B12" s="53" t="inlineStr">
        <is>
          <t>Secos/granos</t>
        </is>
      </c>
      <c r="C12" s="53" t="inlineStr">
        <is>
          <t>kg</t>
        </is>
      </c>
      <c r="D12" s="54" t="n">
        <v>15</v>
      </c>
      <c r="E12" s="55" t="n">
        <v>0.003</v>
      </c>
      <c r="F12" s="53" t="inlineStr">
        <is>
          <t>kg</t>
        </is>
      </c>
      <c r="G12" s="56">
        <f>IF(C12&amp;F12="","",IFERROR(VLOOKUP(C12&amp;"→"&amp;F12,Conversiones!$A$5:$B$67,2,FALSE),"?"))</f>
        <v>1.0</v>
      </c>
      <c r="H12" s="57" t="n">
        <v>0.02</v>
      </c>
      <c r="I12" s="20">
        <f>IFERROR(IF(E12="","",E12/(1-H12)),"revisa merma")</f>
        <v>0.0030612244897959186</v>
      </c>
      <c r="J12" s="21">
        <f>IF(G12="?","revisa unidades",IFERROR(I12*D12/G12,""))</f>
        <v>0.04591836734693878</v>
      </c>
      <c r="L12" s="22" t="n"/>
      <c r="M12" s="23" t="n"/>
    </row>
    <row r="13" ht="28" customHeight="1">
      <c r="A13" s="52" t="inlineStr">
        <is>
          <t>Pimienta negra</t>
        </is>
      </c>
      <c r="B13" s="53" t="inlineStr">
        <is>
          <t>Especias/hierbas</t>
        </is>
      </c>
      <c r="C13" s="53" t="inlineStr">
        <is>
          <t>kg</t>
        </is>
      </c>
      <c r="D13" s="54" t="n">
        <v>25</v>
      </c>
      <c r="E13" s="55" t="n">
        <v>0.002</v>
      </c>
      <c r="F13" s="53" t="inlineStr">
        <is>
          <t>kg</t>
        </is>
      </c>
      <c r="G13" s="56">
        <f>IF(C13&amp;F13="","",IFERROR(VLOOKUP(C13&amp;"→"&amp;F13,Conversiones!$A$5:$B$67,2,FALSE),"?"))</f>
        <v>1.0</v>
      </c>
      <c r="H13" s="57" t="n">
        <v>0.2</v>
      </c>
      <c r="I13" s="20">
        <f>IFERROR(IF(E13="","",E13/(1-H13)),"revisa merma")</f>
        <v>0.0025</v>
      </c>
      <c r="J13" s="21">
        <f>IF(G13="?","revisa unidades",IFERROR(I13*D13/G13,""))</f>
        <v>0.0625</v>
      </c>
      <c r="L13" s="22" t="n"/>
      <c r="M13" s="23" t="n"/>
    </row>
    <row r="14" ht="28" customHeight="1">
      <c r="A14" s="52" t="inlineStr">
        <is>
          <t>Microgreens (bandeja 50 g)</t>
        </is>
      </c>
      <c r="B14" s="53" t="inlineStr">
        <is>
          <t>Verdura hoja</t>
        </is>
      </c>
      <c r="C14" s="53" t="inlineStr">
        <is>
          <t>kg</t>
        </is>
      </c>
      <c r="D14" s="54" t="n">
        <v>70</v>
      </c>
      <c r="E14" s="55" t="n">
        <v>0.003</v>
      </c>
      <c r="F14" s="53" t="inlineStr">
        <is>
          <t>kg</t>
        </is>
      </c>
      <c r="G14" s="56">
        <f>IF(C14&amp;F14="","",IFERROR(VLOOKUP(C14&amp;"→"&amp;F14,Conversiones!$A$5:$B$67,2,FALSE),"?"))</f>
        <v>1.0</v>
      </c>
      <c r="H14" s="57" t="n">
        <v>0</v>
      </c>
      <c r="I14" s="20">
        <f>IFERROR(IF(E14="","",E14/(1-H14)),"revisa merma")</f>
        <v>0.003</v>
      </c>
      <c r="J14" s="21">
        <f>IF(G14="?","revisa unidades",IFERROR(I14*D14/G14,""))</f>
        <v>0.21</v>
      </c>
      <c r="L14" s="28" t="n"/>
      <c r="M14" s="29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IF(C15&amp;F15="","",IFERROR(VLOOKUP(C15&amp;"→"&amp;F15,Conversiones!$A$5:$B$67,2,FALSE),"?"))</f>
        <v/>
      </c>
      <c r="H15" s="59">
        <f>IFERROR(VLOOKUP(B15,Mermas!$A$5:$C$25,2,FALSE),"")</f>
        <v/>
      </c>
      <c r="I15" s="32">
        <f>IFERROR(IF(E15="","",E15/(1-H15)),"revisa merma")</f>
        <v/>
      </c>
      <c r="J15" s="33">
        <f>IF(G15="?","revisa unidades",IFERROR(I15*D15/G15,""))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IF(C16&amp;F16="","",IFERROR(VLOOKUP(C16&amp;"→"&amp;F16,Conversiones!$A$5:$B$67,2,FALSE),"?"))</f>
        <v/>
      </c>
      <c r="H16" s="59">
        <f>IFERROR(VLOOKUP(B16,Mermas!$A$5:$C$25,2,FALSE),"")</f>
        <v/>
      </c>
      <c r="I16" s="32">
        <f>IFERROR(IF(E16="","",E16/(1-H16)),"revisa merma")</f>
        <v/>
      </c>
      <c r="J16" s="33">
        <f>IF(G16="?","revisa unidades",IFERROR(I16*D16/G16,""))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IF(C17&amp;F17="","",IFERROR(VLOOKUP(C17&amp;"→"&amp;F17,Conversiones!$A$5:$B$67,2,FALSE),"?"))</f>
        <v/>
      </c>
      <c r="H17" s="59">
        <f>IFERROR(VLOOKUP(B17,Mermas!$A$5:$C$25,2,FALSE),"")</f>
        <v/>
      </c>
      <c r="I17" s="32">
        <f>IFERROR(IF(E17="","",E17/(1-H17)),"revisa merma")</f>
        <v/>
      </c>
      <c r="J17" s="33">
        <f>IF(G17="?","revisa unidades",IFERROR(I17*D17/G17,""))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IF(C18&amp;F18="","",IFERROR(VLOOKUP(C18&amp;"→"&amp;F18,Conversiones!$A$5:$B$67,2,FALSE),"?"))</f>
        <v/>
      </c>
      <c r="H18" s="59">
        <f>IFERROR(VLOOKUP(B18,Mermas!$A$5:$C$25,2,FALSE),"")</f>
        <v/>
      </c>
      <c r="I18" s="32">
        <f>IFERROR(IF(E18="","",E18/(1-H18)),"revisa merma")</f>
        <v/>
      </c>
      <c r="J18" s="33">
        <f>IF(G18="?","revisa unidades",IFERROR(I18*D18/G18,""))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IF(C19&amp;F19="","",IFERROR(VLOOKUP(C19&amp;"→"&amp;F19,Conversiones!$A$5:$B$67,2,FALSE),"?"))</f>
        <v/>
      </c>
      <c r="H19" s="59">
        <f>IFERROR(VLOOKUP(B19,Mermas!$A$5:$C$25,2,FALSE),"")</f>
        <v/>
      </c>
      <c r="I19" s="32">
        <f>IFERROR(IF(E19="","",E19/(1-H19)),"revisa merma")</f>
        <v/>
      </c>
      <c r="J19" s="33">
        <f>IF(G19="?","revisa unidades",IFERROR(I19*D19/G19,""))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IF(C20&amp;F20="","",IFERROR(VLOOKUP(C20&amp;"→"&amp;F20,Conversiones!$A$5:$B$67,2,FALSE),"?"))</f>
        <v/>
      </c>
      <c r="H20" s="59">
        <f>IFERROR(VLOOKUP(B20,Mermas!$A$5:$C$25,2,FALSE),"")</f>
        <v/>
      </c>
      <c r="I20" s="32">
        <f>IFERROR(IF(E20="","",E20/(1-H20)),"revisa merma")</f>
        <v/>
      </c>
      <c r="J20" s="33">
        <f>IF(G20="?","revisa unidades",IFERROR(I20*D20/G20,""))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IF(C21&amp;F21="","",IFERROR(VLOOKUP(C21&amp;"→"&amp;F21,Conversiones!$A$5:$B$67,2,FALSE),"?"))</f>
        <v/>
      </c>
      <c r="H21" s="59">
        <f>IFERROR(VLOOKUP(B21,Mermas!$A$5:$C$25,2,FALSE),"")</f>
        <v/>
      </c>
      <c r="I21" s="32">
        <f>IFERROR(IF(E21="","",E21/(1-H21)),"revisa merma")</f>
        <v/>
      </c>
      <c r="J21" s="33">
        <f>IF(G21="?","revisa unidades",IFERROR(I21*D21/G21,""))</f>
        <v/>
      </c>
    </row>
    <row r="22">
      <c r="A22" s="58" t="n"/>
      <c r="B22" s="58" t="n"/>
      <c r="C22" s="58" t="n"/>
      <c r="D22" s="58" t="n"/>
      <c r="E22" s="58" t="n"/>
      <c r="F22" s="58" t="n"/>
      <c r="G22" s="56">
        <f>IF(C22&amp;F22="","",IFERROR(VLOOKUP(C22&amp;"→"&amp;F22,Conversiones!$A$5:$B$67,2,FALSE),"?"))</f>
        <v/>
      </c>
      <c r="H22" s="59">
        <f>IFERROR(VLOOKUP(B22,Mermas!$A$5:$C$25,2,FALSE),"")</f>
        <v/>
      </c>
      <c r="I22" s="32">
        <f>IFERROR(IF(E22="","",E22/(1-H22)),"revisa merma")</f>
        <v/>
      </c>
      <c r="J22" s="33">
        <f>IF(G22="?","revisa unidades",IFERROR(I22*D22/G22,""))</f>
        <v/>
      </c>
    </row>
    <row r="23">
      <c r="A23" s="58" t="n"/>
      <c r="B23" s="58" t="n"/>
      <c r="C23" s="58" t="n"/>
      <c r="D23" s="58" t="n"/>
      <c r="E23" s="58" t="n"/>
      <c r="F23" s="58" t="n"/>
      <c r="G23" s="56">
        <f>IF(C23&amp;F23="","",IFERROR(VLOOKUP(C23&amp;"→"&amp;F23,Conversiones!$A$5:$B$67,2,FALSE),"?"))</f>
        <v/>
      </c>
      <c r="H23" s="59">
        <f>IFERROR(VLOOKUP(B23,Mermas!$A$5:$C$25,2,FALSE),"")</f>
        <v/>
      </c>
      <c r="I23" s="32">
        <f>IFERROR(IF(E23="","",E23/(1-H23)),"revisa merma")</f>
        <v/>
      </c>
      <c r="J23" s="33">
        <f>IF(G23="?","revisa unidades",IFERROR(I23*D23/G23,""))</f>
        <v/>
      </c>
    </row>
    <row r="24">
      <c r="A24" s="58" t="n"/>
      <c r="B24" s="58" t="n"/>
      <c r="C24" s="58" t="n"/>
      <c r="D24" s="58" t="n"/>
      <c r="E24" s="58" t="n"/>
      <c r="F24" s="58" t="n"/>
      <c r="G24" s="56">
        <f>IF(C24&amp;F24="","",IFERROR(VLOOKUP(C24&amp;"→"&amp;F24,Conversiones!$A$5:$B$67,2,FALSE),"?"))</f>
        <v/>
      </c>
      <c r="H24" s="59">
        <f>IFERROR(VLOOKUP(B24,Mermas!$A$5:$C$25,2,FALSE),"")</f>
        <v/>
      </c>
      <c r="I24" s="32">
        <f>IFERROR(IF(E24="","",E24/(1-H24)),"revisa merma")</f>
        <v/>
      </c>
      <c r="J24" s="33">
        <f>IF(G24="?","revisa unidades",IFERROR(I24*D24/G24,""))</f>
        <v/>
      </c>
    </row>
    <row r="25"/>
    <row r="26">
      <c r="A26" s="35" t="inlineStr">
        <is>
          <t>COSTE TOTAL INGREDIENTES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36">
        <f>SUM(J5:J24)</f>
        <v>10.749689062526853</v>
      </c>
    </row>
    <row r="27">
      <c r="A27" s="37" t="inlineStr">
        <is>
          <t>Coste elaboración (%)</t>
        </is>
      </c>
      <c r="B27" s="49" t="n"/>
      <c r="C27" s="49" t="n"/>
      <c r="D27" s="49" t="n"/>
      <c r="E27" s="49" t="n"/>
      <c r="F27" s="49" t="n"/>
      <c r="G27" s="49" t="n"/>
      <c r="H27" s="50" t="n"/>
      <c r="I27" s="60" t="n">
        <v>0.1</v>
      </c>
      <c r="J27" s="38">
        <f>J26*I27</f>
        <v>1.0749689062526853</v>
      </c>
    </row>
    <row r="28">
      <c r="A28" s="39" t="inlineStr">
        <is>
          <t>COSTE TOTAL DEL PLATO</t>
        </is>
      </c>
      <c r="B28" s="49" t="n"/>
      <c r="C28" s="49" t="n"/>
      <c r="D28" s="49" t="n"/>
      <c r="E28" s="49" t="n"/>
      <c r="F28" s="49" t="n"/>
      <c r="G28" s="49" t="n"/>
      <c r="H28" s="49" t="n"/>
      <c r="I28" s="50" t="n"/>
      <c r="J28" s="40">
        <f>J26+J27</f>
        <v>11.824657968779539</v>
      </c>
    </row>
    <row r="29">
      <c r="A29" s="37" t="inlineStr">
        <is>
          <t>Nº de raciones</t>
        </is>
      </c>
      <c r="B29" s="49" t="n"/>
      <c r="C29" s="49" t="n"/>
      <c r="D29" s="49" t="n"/>
      <c r="E29" s="49" t="n"/>
      <c r="F29" s="49" t="n"/>
      <c r="G29" s="49" t="n"/>
      <c r="H29" s="50" t="n"/>
      <c r="I29" s="61" t="n">
        <v>1</v>
      </c>
      <c r="J29" s="38" t="n"/>
    </row>
    <row r="30">
      <c r="A30" s="39" t="inlineStr">
        <is>
          <t>COSTE POR RACIÓN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0">
        <f>IFERROR(J28/I29,"")</f>
        <v>11.824657968779539</v>
      </c>
    </row>
    <row r="31"/>
    <row r="32">
      <c r="A32" s="41" t="inlineStr">
        <is>
          <t>Food Cost objetivo (%)</t>
        </is>
      </c>
      <c r="B32" s="49" t="n"/>
      <c r="C32" s="49" t="n"/>
      <c r="D32" s="49" t="n"/>
      <c r="E32" s="49" t="n"/>
      <c r="F32" s="49" t="n"/>
      <c r="G32" s="49" t="n"/>
      <c r="H32" s="50" t="n"/>
      <c r="I32" s="62" t="n">
        <v>0.3</v>
      </c>
    </row>
    <row r="33">
      <c r="A33" s="43" t="inlineStr">
        <is>
          <t>PVP SUGERIDO (sin IVA)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IFERROR(J30/I32,"")</f>
        <v>39.415526562598465</v>
      </c>
    </row>
    <row r="34">
      <c r="A34" s="37" t="inlineStr">
        <is>
          <t>Tipo de IVA (%)</t>
        </is>
      </c>
      <c r="B34" s="49" t="n"/>
      <c r="C34" s="49" t="n"/>
      <c r="D34" s="49" t="n"/>
      <c r="E34" s="49" t="n"/>
      <c r="F34" s="49" t="n"/>
      <c r="G34" s="49" t="n"/>
      <c r="H34" s="50" t="n"/>
      <c r="I34" s="60" t="n">
        <v>0.1</v>
      </c>
      <c r="J34" s="38" t="n"/>
    </row>
    <row r="35">
      <c r="A35" s="39" t="inlineStr">
        <is>
          <t>PVP CON IVA</t>
        </is>
      </c>
      <c r="B35" s="49" t="n"/>
      <c r="C35" s="49" t="n"/>
      <c r="D35" s="49" t="n"/>
      <c r="E35" s="49" t="n"/>
      <c r="F35" s="49" t="n"/>
      <c r="G35" s="49" t="n"/>
      <c r="H35" s="49" t="n"/>
      <c r="I35" s="50" t="n"/>
      <c r="J35" s="40">
        <f>IFERROR(J33*(1+I34),"")</f>
        <v>43.35707921885832</v>
      </c>
    </row>
    <row r="36">
      <c r="A36" s="43" t="inlineStr">
        <is>
          <t>Margen bruto (€)</t>
        </is>
      </c>
      <c r="B36" s="49" t="n"/>
      <c r="C36" s="49" t="n"/>
      <c r="D36" s="49" t="n"/>
      <c r="E36" s="49" t="n"/>
      <c r="F36" s="49" t="n"/>
      <c r="G36" s="49" t="n"/>
      <c r="H36" s="49" t="n"/>
      <c r="I36" s="50" t="n"/>
      <c r="J36" s="44">
        <f>IFERROR(J33-J30,"")</f>
        <v>27.590868593818925</v>
      </c>
    </row>
    <row r="37">
      <c r="A37" s="37" t="inlineStr">
        <is>
          <t>Margen bruto (%)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47">
        <f>IFERROR((J33-J30)/J33,"")</f>
        <v>0.7</v>
      </c>
    </row>
    <row r="38"/>
    <row r="39">
      <c r="A39" s="37" t="inlineStr">
        <is>
          <t>PVP actual en carta (sin IVA)</t>
        </is>
      </c>
      <c r="B39" s="49" t="n"/>
      <c r="C39" s="49" t="n"/>
      <c r="D39" s="49" t="n"/>
      <c r="E39" s="49" t="n"/>
      <c r="F39" s="49" t="n"/>
      <c r="G39" s="49" t="n"/>
      <c r="H39" s="50" t="n"/>
      <c r="I39" s="63" t="n"/>
      <c r="J39" s="38" t="n"/>
    </row>
    <row r="40">
      <c r="A40" s="39" t="inlineStr">
        <is>
          <t>FOOD COST REAL (%)</t>
        </is>
      </c>
      <c r="B40" s="49" t="n"/>
      <c r="C40" s="49" t="n"/>
      <c r="D40" s="49" t="n"/>
      <c r="E40" s="49" t="n"/>
      <c r="F40" s="49" t="n"/>
      <c r="G40" s="49" t="n"/>
      <c r="H40" s="49" t="n"/>
      <c r="I40" s="50" t="n"/>
      <c r="J40" s="64">
        <f>IFERROR(J30/I39,"")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4:H34"/>
    <mergeCell ref="A37:I37"/>
    <mergeCell ref="A32:H32"/>
    <mergeCell ref="L3:M3"/>
    <mergeCell ref="A30:I30"/>
    <mergeCell ref="L8:M9"/>
    <mergeCell ref="A2:J2"/>
    <mergeCell ref="A27:H27"/>
    <mergeCell ref="A33:I33"/>
    <mergeCell ref="A29:H29"/>
    <mergeCell ref="A36:I36"/>
    <mergeCell ref="A28:I28"/>
    <mergeCell ref="A26:I26"/>
    <mergeCell ref="A39:H39"/>
    <mergeCell ref="A35:I35"/>
    <mergeCell ref="A1:J1"/>
    <mergeCell ref="A40:I40"/>
  </mergeCells>
  <conditionalFormatting sqref="G5:G24">
    <cfRule type="cellIs" priority="1" operator="equal" dxfId="0">
      <formula>"?"</formula>
    </cfRule>
  </conditionalFormatting>
  <conditionalFormatting sqref="J40">
    <cfRule type="expression" priority="2" dxfId="0" stopIfTrue="0">
      <formula>AND(ISNUMBER($J$40),$J$40&gt;$I$32)</formula>
    </cfRule>
  </conditionalFormatting>
  <dataValidations count="2">
    <dataValidation sqref="B5:B24" showDropDown="0" showInputMessage="0" showErrorMessage="1" allowBlank="1" errorTitle="Valor no válido" error="Elige una categoría de la lista (hoja «Mermas»)." type="list">
      <formula1>Mermas!$A$5:$A$25</formula1>
    </dataValidation>
    <dataValidation sqref="C5:C24 F5:F24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6" customWidth="1" min="3" max="3"/>
  </cols>
  <sheetData>
    <row r="1">
      <c r="A1" s="65" t="inlineStr">
        <is>
          <t>Tabla de conversión Ud. Compra → Ud. Uso</t>
        </is>
      </c>
    </row>
    <row r="2">
      <c r="A2" t="inlineStr">
        <is>
          <t>La usa la columna «Factor» de cada escandallo. Puedes añadir parejas al final, hasta la fila 67: la clave se escribe «compra→uso».</t>
        </is>
      </c>
    </row>
    <row r="3"/>
    <row r="4">
      <c r="A4" s="66" t="inlineStr">
        <is>
          <t>Conversión (compra→uso)</t>
        </is>
      </c>
      <c r="B4" s="66" t="inlineStr">
        <is>
          <t>Factor</t>
        </is>
      </c>
      <c r="C4" s="66" t="inlineStr">
        <is>
          <t>Qué significa</t>
        </is>
      </c>
    </row>
    <row r="5">
      <c r="A5" t="inlineStr">
        <is>
          <t>kg→kg</t>
        </is>
      </c>
      <c r="B5" s="67" t="n">
        <v>1</v>
      </c>
      <c r="C5" t="inlineStr">
        <is>
          <t>misma unidad</t>
        </is>
      </c>
    </row>
    <row r="6">
      <c r="A6" t="inlineStr">
        <is>
          <t>kg→g</t>
        </is>
      </c>
      <c r="B6" s="67" t="n">
        <v>1000</v>
      </c>
      <c r="C6" t="inlineStr">
        <is>
          <t>1 kg = 1.000 g</t>
        </is>
      </c>
    </row>
    <row r="7">
      <c r="A7" t="inlineStr">
        <is>
          <t>g→g</t>
        </is>
      </c>
      <c r="B7" s="67" t="n">
        <v>1</v>
      </c>
      <c r="C7" t="inlineStr">
        <is>
          <t>misma unidad</t>
        </is>
      </c>
    </row>
    <row r="8">
      <c r="A8" t="inlineStr">
        <is>
          <t>g→kg</t>
        </is>
      </c>
      <c r="B8" s="67" t="n">
        <v>0.001</v>
      </c>
      <c r="C8" t="inlineStr">
        <is>
          <t>1 g = 0,001 kg</t>
        </is>
      </c>
    </row>
    <row r="9">
      <c r="A9" t="inlineStr">
        <is>
          <t>L→L</t>
        </is>
      </c>
      <c r="B9" s="67" t="n">
        <v>1</v>
      </c>
      <c r="C9" t="inlineStr">
        <is>
          <t>misma unidad</t>
        </is>
      </c>
    </row>
    <row r="10">
      <c r="A10" t="inlineStr">
        <is>
          <t>L→ml</t>
        </is>
      </c>
      <c r="B10" s="67" t="n">
        <v>1000</v>
      </c>
      <c r="C10" t="inlineStr">
        <is>
          <t>1 L = 1.000 ml</t>
        </is>
      </c>
    </row>
    <row r="11">
      <c r="A11" t="inlineStr">
        <is>
          <t>L→cl</t>
        </is>
      </c>
      <c r="B11" s="67" t="n">
        <v>100</v>
      </c>
      <c r="C11" t="inlineStr">
        <is>
          <t>1 L = 100 cl</t>
        </is>
      </c>
    </row>
    <row r="12">
      <c r="A12" t="inlineStr">
        <is>
          <t>ml→ml</t>
        </is>
      </c>
      <c r="B12" s="67" t="n">
        <v>1</v>
      </c>
      <c r="C12" t="inlineStr">
        <is>
          <t>misma unidad</t>
        </is>
      </c>
    </row>
    <row r="13">
      <c r="A13" t="inlineStr">
        <is>
          <t>ml→L</t>
        </is>
      </c>
      <c r="B13" s="67" t="n">
        <v>0.001</v>
      </c>
      <c r="C13" t="inlineStr">
        <is>
          <t>1 ml = 0,001 L</t>
        </is>
      </c>
    </row>
    <row r="14">
      <c r="A14" t="inlineStr">
        <is>
          <t>ml→cl</t>
        </is>
      </c>
      <c r="B14" s="67" t="n">
        <v>0.1</v>
      </c>
      <c r="C14" t="inlineStr">
        <is>
          <t>1 ml = 0,1 cl</t>
        </is>
      </c>
    </row>
    <row r="15">
      <c r="A15" t="inlineStr">
        <is>
          <t>cl→cl</t>
        </is>
      </c>
      <c r="B15" s="67" t="n">
        <v>1</v>
      </c>
      <c r="C15" t="inlineStr">
        <is>
          <t>misma unidad</t>
        </is>
      </c>
    </row>
    <row r="16">
      <c r="A16" t="inlineStr">
        <is>
          <t>cl→ml</t>
        </is>
      </c>
      <c r="B16" s="67" t="n">
        <v>10</v>
      </c>
      <c r="C16" t="inlineStr">
        <is>
          <t>1 cl = 10 ml</t>
        </is>
      </c>
    </row>
    <row r="17">
      <c r="A17" t="inlineStr">
        <is>
          <t>cl→L</t>
        </is>
      </c>
      <c r="B17" s="67" t="n">
        <v>0.01</v>
      </c>
      <c r="C17" t="inlineStr">
        <is>
          <t>1 cl = 0,01 L</t>
        </is>
      </c>
    </row>
    <row r="18">
      <c r="A18" t="inlineStr">
        <is>
          <t>ud→ud</t>
        </is>
      </c>
      <c r="B18" s="67" t="n">
        <v>1</v>
      </c>
      <c r="C18" t="inlineStr">
        <is>
          <t>misma unidad</t>
        </is>
      </c>
    </row>
    <row r="19">
      <c r="A19" t="inlineStr">
        <is>
          <t>docena→ud</t>
        </is>
      </c>
      <c r="B19" s="67" t="n">
        <v>12</v>
      </c>
      <c r="C19" t="inlineStr">
        <is>
          <t>1 docena = 12 ud</t>
        </is>
      </c>
    </row>
    <row r="20">
      <c r="A20" t="inlineStr">
        <is>
          <t>docena→docena</t>
        </is>
      </c>
      <c r="B20" s="67" t="n">
        <v>1</v>
      </c>
      <c r="C20" t="inlineStr">
        <is>
          <t>misma unidad</t>
        </is>
      </c>
    </row>
    <row r="21">
      <c r="A21" t="inlineStr">
        <is>
          <t>ud→docena</t>
        </is>
      </c>
      <c r="B21" s="67" t="n">
        <v>0.0833333333333333</v>
      </c>
      <c r="C21" t="inlineStr">
        <is>
          <t>1 ud = 1/12 docena</t>
        </is>
      </c>
    </row>
    <row r="22">
      <c r="A22" t="inlineStr">
        <is>
          <t>manojo→manojo</t>
        </is>
      </c>
      <c r="B22" s="67" t="n">
        <v>1</v>
      </c>
      <c r="C22" t="inlineStr">
        <is>
          <t>misma unidad</t>
        </is>
      </c>
    </row>
    <row r="23">
      <c r="A23" t="inlineStr">
        <is>
          <t>manojo→ud</t>
        </is>
      </c>
      <c r="B23" s="67" t="n">
        <v>1</v>
      </c>
      <c r="C23" t="inlineStr">
        <is>
          <t>el manojo se compra y se usa como unidad</t>
        </is>
      </c>
    </row>
    <row r="24">
      <c r="A24" t="inlineStr">
        <is>
          <t>sobre→sobre</t>
        </is>
      </c>
      <c r="B24" s="67" t="n">
        <v>1</v>
      </c>
      <c r="C24" t="inlineStr">
        <is>
          <t>misma unidad</t>
        </is>
      </c>
    </row>
    <row r="25">
      <c r="A25" t="inlineStr">
        <is>
          <t>sobre→ud</t>
        </is>
      </c>
      <c r="B25" s="67" t="n">
        <v>1</v>
      </c>
      <c r="C25" t="inlineStr">
        <is>
          <t>el sobre se compra y se usa como unidad</t>
        </is>
      </c>
    </row>
    <row r="26">
      <c r="A26" t="inlineStr">
        <is>
          <t>lata→lata</t>
        </is>
      </c>
      <c r="B26" s="67" t="n">
        <v>1</v>
      </c>
      <c r="C26" t="inlineStr">
        <is>
          <t>misma unidad</t>
        </is>
      </c>
    </row>
    <row r="27">
      <c r="A27" t="inlineStr">
        <is>
          <t>lata→ud</t>
        </is>
      </c>
      <c r="B27" s="67" t="n">
        <v>1</v>
      </c>
      <c r="C27" t="inlineStr">
        <is>
          <t>la lata se compra y se usa como unidad</t>
        </is>
      </c>
    </row>
    <row r="28">
      <c r="A28" t="inlineStr">
        <is>
          <t>botella→botella</t>
        </is>
      </c>
      <c r="B28" s="67" t="n">
        <v>1</v>
      </c>
      <c r="C28" t="inlineStr">
        <is>
          <t>misma unidad</t>
        </is>
      </c>
    </row>
    <row r="29">
      <c r="A29" t="inlineStr">
        <is>
          <t>botella→ud</t>
        </is>
      </c>
      <c r="B29" s="67" t="n">
        <v>1</v>
      </c>
      <c r="C29" t="inlineStr">
        <is>
          <t>la botella se compra y se usa como unidad</t>
        </is>
      </c>
    </row>
    <row r="30">
      <c r="A30" t="inlineStr">
        <is>
          <t>botella→cl</t>
        </is>
      </c>
      <c r="B30" s="67" t="n">
        <v>70</v>
      </c>
      <c r="C30" t="inlineStr">
        <is>
          <t>botella de 70 cl (destilados). Vino: cambia el 70 por 75</t>
        </is>
      </c>
    </row>
    <row r="31">
      <c r="A31" t="inlineStr">
        <is>
          <t>botella→ml</t>
        </is>
      </c>
      <c r="B31" s="67" t="n">
        <v>700</v>
      </c>
      <c r="C31" t="inlineStr">
        <is>
          <t>botella de 70 cl = 700 ml</t>
        </is>
      </c>
    </row>
    <row r="32">
      <c r="A32" t="inlineStr">
        <is>
          <t>botella→L</t>
        </is>
      </c>
      <c r="B32" s="67" t="n">
        <v>0.7</v>
      </c>
      <c r="C32" t="inlineStr">
        <is>
          <t>botella de 70 cl = 0,7 L</t>
        </is>
      </c>
    </row>
    <row r="33">
      <c r="A33" t="inlineStr">
        <is>
          <t>lata→cl</t>
        </is>
      </c>
      <c r="B33" s="67" t="n">
        <v>33</v>
      </c>
      <c r="C33" t="inlineStr">
        <is>
          <t>lata de 33 cl</t>
        </is>
      </c>
    </row>
    <row r="34">
      <c r="A34" t="inlineStr">
        <is>
          <t>lata→ml</t>
        </is>
      </c>
      <c r="B34" s="67" t="n">
        <v>330</v>
      </c>
      <c r="C34" t="inlineStr">
        <is>
          <t>lata de 33 cl = 330 ml</t>
        </is>
      </c>
    </row>
    <row r="35">
      <c r="A35" t="inlineStr">
        <is>
          <t>lata→L</t>
        </is>
      </c>
      <c r="B35" s="67" t="n">
        <v>0.33</v>
      </c>
      <c r="C35" t="inlineStr">
        <is>
          <t>lata de 33 cl = 0,33 L</t>
        </is>
      </c>
    </row>
    <row r="36">
      <c r="A36" t="inlineStr">
        <is>
          <t>manojo→g</t>
        </is>
      </c>
      <c r="B36" s="67" t="n">
        <v>30</v>
      </c>
      <c r="C36" t="inlineStr">
        <is>
          <t>manojo de hierbas ≈ 30 g</t>
        </is>
      </c>
    </row>
    <row r="37">
      <c r="A37" t="inlineStr">
        <is>
          <t>sobre→g</t>
        </is>
      </c>
      <c r="B37" s="67" t="n">
        <v>10</v>
      </c>
      <c r="C37" t="inlineStr">
        <is>
          <t>sobre ≈ 10 g</t>
        </is>
      </c>
    </row>
    <row r="38"/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>
      <c r="A1" s="65" t="inlineStr">
        <is>
          <t>Mermas de referencia por categoría</t>
        </is>
      </c>
    </row>
    <row r="2">
      <c r="A2" t="inlineStr">
        <is>
          <t>La «típica» es la que se precarga en las filas vacías del escandallo al elegir categoría. Ajústala a tu proveedor.</t>
        </is>
      </c>
    </row>
    <row r="3">
      <c r="A3" t="inlineStr">
        <is>
          <t>Mide tu merma real con la plantilla 12 (Test de Rendimiento) y llévala a «Merma (%)» de la ficha.</t>
        </is>
      </c>
    </row>
    <row r="4">
      <c r="A4" s="66" t="inlineStr">
        <is>
          <t>Categoría</t>
        </is>
      </c>
      <c r="B4" s="66" t="inlineStr">
        <is>
          <t>Merma típica</t>
        </is>
      </c>
      <c r="C4" s="66" t="inlineStr">
        <is>
          <t>Mínima</t>
        </is>
      </c>
      <c r="D4" s="66" t="inlineStr">
        <is>
          <t>Máxima</t>
        </is>
      </c>
    </row>
    <row r="5">
      <c r="A5" t="inlineStr">
        <is>
          <t>Carne roja</t>
        </is>
      </c>
      <c r="B5" s="68" t="n">
        <v>0.2</v>
      </c>
      <c r="C5" s="68" t="n">
        <v>0.15</v>
      </c>
      <c r="D5" s="68" t="n">
        <v>0.25</v>
      </c>
    </row>
    <row r="6">
      <c r="A6" t="inlineStr">
        <is>
          <t>Aves</t>
        </is>
      </c>
      <c r="B6" s="68" t="n">
        <v>0.25</v>
      </c>
      <c r="C6" s="68" t="n">
        <v>0.2</v>
      </c>
      <c r="D6" s="68" t="n">
        <v>0.3</v>
      </c>
    </row>
    <row r="7">
      <c r="A7" t="inlineStr">
        <is>
          <t>Pescado</t>
        </is>
      </c>
      <c r="B7" s="68" t="n">
        <v>0.35</v>
      </c>
      <c r="C7" s="68" t="n">
        <v>0.3</v>
      </c>
      <c r="D7" s="68" t="n">
        <v>0.45</v>
      </c>
    </row>
    <row r="8">
      <c r="A8" t="inlineStr">
        <is>
          <t>Marisco</t>
        </is>
      </c>
      <c r="B8" s="68" t="n">
        <v>0.45</v>
      </c>
      <c r="C8" s="68" t="n">
        <v>0.35</v>
      </c>
      <c r="D8" s="68" t="n">
        <v>0.55</v>
      </c>
    </row>
    <row r="9">
      <c r="A9" t="inlineStr">
        <is>
          <t>Verdura hoja</t>
        </is>
      </c>
      <c r="B9" s="68" t="n">
        <v>0.25</v>
      </c>
      <c r="C9" s="68" t="n">
        <v>0.2</v>
      </c>
      <c r="D9" s="68" t="n">
        <v>0.35</v>
      </c>
    </row>
    <row r="10">
      <c r="A10" t="inlineStr">
        <is>
          <t>Verdura raíz</t>
        </is>
      </c>
      <c r="B10" s="68" t="n">
        <v>0.12</v>
      </c>
      <c r="C10" s="68" t="n">
        <v>0.08</v>
      </c>
      <c r="D10" s="68" t="n">
        <v>0.18</v>
      </c>
    </row>
    <row r="11">
      <c r="A11" t="inlineStr">
        <is>
          <t>Verdura fruto</t>
        </is>
      </c>
      <c r="B11" s="68" t="n">
        <v>0.1</v>
      </c>
      <c r="C11" s="68" t="n">
        <v>0.06</v>
      </c>
      <c r="D11" s="68" t="n">
        <v>0.15</v>
      </c>
    </row>
    <row r="12">
      <c r="A12" t="inlineStr">
        <is>
          <t>Fruta</t>
        </is>
      </c>
      <c r="B12" s="68" t="n">
        <v>0.15</v>
      </c>
      <c r="C12" s="68" t="n">
        <v>0.1</v>
      </c>
      <c r="D12" s="68" t="n">
        <v>0.25</v>
      </c>
    </row>
    <row r="13">
      <c r="A13" t="inlineStr">
        <is>
          <t>Lácteos</t>
        </is>
      </c>
      <c r="B13" s="68" t="n">
        <v>0.03</v>
      </c>
      <c r="C13" s="68" t="n">
        <v>0.01</v>
      </c>
      <c r="D13" s="68" t="n">
        <v>0.05</v>
      </c>
    </row>
    <row r="14">
      <c r="A14" t="inlineStr">
        <is>
          <t>Secos/granos</t>
        </is>
      </c>
      <c r="B14" s="68" t="n">
        <v>0.02</v>
      </c>
      <c r="C14" s="68" t="n">
        <v>0.01</v>
      </c>
      <c r="D14" s="68" t="n">
        <v>0.04</v>
      </c>
    </row>
    <row r="15">
      <c r="A15" t="inlineStr">
        <is>
          <t>Congelados</t>
        </is>
      </c>
      <c r="B15" s="68" t="n">
        <v>0.07000000000000001</v>
      </c>
      <c r="C15" s="68" t="n">
        <v>0.03</v>
      </c>
      <c r="D15" s="68" t="n">
        <v>0.1</v>
      </c>
    </row>
    <row r="16">
      <c r="A16" t="inlineStr">
        <is>
          <t>Pan/bollería</t>
        </is>
      </c>
      <c r="B16" s="68" t="n">
        <v>0.05</v>
      </c>
      <c r="C16" s="68" t="n">
        <v>0.02</v>
      </c>
      <c r="D16" s="68" t="n">
        <v>0.1</v>
      </c>
    </row>
    <row r="17">
      <c r="A17" t="inlineStr">
        <is>
          <t>Huevos</t>
        </is>
      </c>
      <c r="B17" s="68" t="n">
        <v>0.11</v>
      </c>
      <c r="C17" s="68" t="n">
        <v>0.1</v>
      </c>
      <c r="D17" s="68" t="n">
        <v>0.13</v>
      </c>
    </row>
    <row r="18">
      <c r="A18" t="inlineStr">
        <is>
          <t>Aceites/grasas</t>
        </is>
      </c>
      <c r="B18" s="68" t="n">
        <v>0.03</v>
      </c>
      <c r="C18" s="68" t="n">
        <v>0.01</v>
      </c>
      <c r="D18" s="68" t="n">
        <v>0.05</v>
      </c>
    </row>
    <row r="19">
      <c r="A19" t="inlineStr">
        <is>
          <t>Especias/hierbas</t>
        </is>
      </c>
      <c r="B19" s="68" t="n">
        <v>0.2</v>
      </c>
      <c r="C19" s="68" t="n">
        <v>0.1</v>
      </c>
      <c r="D19" s="68" t="n">
        <v>0.3</v>
      </c>
    </row>
    <row r="20">
      <c r="A20" t="inlineStr">
        <is>
          <t>Chocolate/cacao</t>
        </is>
      </c>
      <c r="B20" s="68" t="n">
        <v>0.05</v>
      </c>
      <c r="C20" s="68" t="n">
        <v>0.02</v>
      </c>
      <c r="D20" s="68" t="n">
        <v>0.08</v>
      </c>
    </row>
    <row r="21">
      <c r="A21" t="inlineStr">
        <is>
          <t>Bebidas/licores</t>
        </is>
      </c>
      <c r="B21" s="68" t="n">
        <v>0.02</v>
      </c>
      <c r="C21" s="68" t="n">
        <v>0.01</v>
      </c>
      <c r="D21" s="68" t="n">
        <v>0.04</v>
      </c>
    </row>
    <row r="22">
      <c r="A22" t="inlineStr">
        <is>
          <t>Setas/hongos</t>
        </is>
      </c>
      <c r="B22" s="68" t="n">
        <v>0.2</v>
      </c>
      <c r="C22" s="68" t="n">
        <v>0.12</v>
      </c>
      <c r="D22" s="68" t="n">
        <v>0.3</v>
      </c>
    </row>
    <row r="23">
      <c r="A23" t="inlineStr">
        <is>
          <t>Conservas/encurtidos</t>
        </is>
      </c>
      <c r="B23" s="68" t="n">
        <v>0.08</v>
      </c>
      <c r="C23" s="68" t="n">
        <v>0.04</v>
      </c>
      <c r="D23" s="68" t="n">
        <v>0.15</v>
      </c>
    </row>
    <row r="24">
      <c r="A24" t="inlineStr">
        <is>
          <t>Salsas/condimentos</t>
        </is>
      </c>
      <c r="B24" s="68" t="n">
        <v>0.05</v>
      </c>
      <c r="C24" s="68" t="n">
        <v>0.02</v>
      </c>
      <c r="D24" s="68" t="n">
        <v>0.08</v>
      </c>
    </row>
    <row r="25">
      <c r="A25" t="inlineStr">
        <is>
          <t>Pasta/arroz</t>
        </is>
      </c>
      <c r="B25" s="68" t="n">
        <v>0.02</v>
      </c>
      <c r="C25" s="68" t="n">
        <v>0.01</v>
      </c>
      <c r="D25" s="68" t="n">
        <v>0.04</v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Estándar — Plato a la Carta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2026-03-18T21:50:22Z</dcterms:created>
  <dcterms:modified xmlns:dcterms="http://purl.org/dc/terms/" xmlns:xsi="http://www.w3.org/2001/XMLSchema-instance" xsi:type="dcterms:W3CDTF">2026-09-24T15:25:00Z</dcterms:modified>
  <cp:lastModifiedBy>AI Chef Pro</cp:lastModifiedBy>
  <cp:category>AI Chef Pro · Productos digitales</cp:category>
  <cp:keywords>kit escandallos, AI Chef Pro</cp:keywords>
</cp:coreProperties>
</file>