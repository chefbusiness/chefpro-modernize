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ostada Aguacate" sheetId="2" state="visible" r:id="rId2"/>
    <sheet xmlns:r="http://schemas.openxmlformats.org/officeDocument/2006/relationships" name="Açaí Bowl" sheetId="3" state="visible" r:id="rId3"/>
    <sheet xmlns:r="http://schemas.openxmlformats.org/officeDocument/2006/relationships" name="Eggs Benedict" sheetId="4" state="visible" r:id="rId4"/>
  </sheets>
  <definedNames>
    <definedName name="_xlnm.Print_Titles" localSheetId="1">'Tostada Aguacate'!$4:$4</definedName>
    <definedName name="_xlnm.Print_Area" localSheetId="1">'Tostada Aguacate'!$A$1:$I$26</definedName>
    <definedName name="_xlnm.Print_Titles" localSheetId="2">'Açaí Bowl'!$4:$4</definedName>
    <definedName name="_xlnm.Print_Area" localSheetId="2">'Açaí Bowl'!$A$1:$I$26</definedName>
    <definedName name="_xlnm.Print_Titles" localSheetId="3">'Eggs Benedict'!$4:$4</definedName>
    <definedName name="_xlnm.Print_Area" localSheetId="3">'Eggs Benedict'!$A$1:$I$25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00"/>
    <numFmt numFmtId="166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D700"/>
      <sz val="12"/>
    </font>
    <font>
      <name val="Calibri"/>
      <i val="1"/>
      <color rgb="00AAAAAA"/>
      <sz val="11"/>
    </font>
    <font>
      <name val="Calibri"/>
      <i val="1"/>
      <color rgb="00BBBBBB"/>
      <sz val="9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333333"/>
      <sz val="11"/>
    </font>
    <font>
      <name val="Calibri"/>
      <b val="1"/>
      <color rgb="001A1A1A"/>
      <sz val="13"/>
    </font>
    <font>
      <name val="Calibri"/>
      <b val="1"/>
      <sz val="13"/>
    </font>
    <font>
      <name val="Calibri"/>
      <b val="1"/>
      <sz val="11"/>
    </font>
    <font>
      <name val="Calibri"/>
      <b val="1"/>
      <sz val="14"/>
    </font>
  </fonts>
  <fills count="7">
    <fill>
      <patternFill/>
    </fill>
    <fill>
      <patternFill patternType="gray125"/>
    </fill>
    <fill>
      <patternFill patternType="solid">
        <fgColor rgb="00FAFAFA"/>
        <bgColor rgb="00FAFAFA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8DC"/>
        <bgColor rgb="00FFF8DC"/>
      </patternFill>
    </fill>
    <fill>
      <patternFill patternType="solid">
        <fgColor rgb="00FFD700"/>
        <bgColor rgb="00FFD700"/>
      </patternFill>
    </fill>
  </fills>
  <borders count="20">
    <border>
      <left/>
      <right/>
      <top/>
      <bottom/>
      <diagonal/>
    </border>
    <border>
      <left style="medium">
        <color rgb="00FFD700"/>
      </left>
      <right style="medium">
        <color rgb="00FFD700"/>
      </right>
      <top style="medium">
        <color rgb="00FFD700"/>
      </top>
      <bottom style="medium">
        <color rgb="00FFD700"/>
      </bottom>
    </border>
    <border>
      <left style="medium">
        <color rgb="00FFD700"/>
      </left>
      <right style="thin">
        <color rgb="00E0E0E0"/>
      </right>
      <top style="medium">
        <color rgb="00FFD70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medium">
        <color rgb="00FFD70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medium">
        <color rgb="00FFD70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medium">
        <color rgb="00FFD700"/>
      </bottom>
    </border>
    <border>
      <left/>
      <right/>
      <top style="thin">
        <color rgb="00E0E0E0"/>
      </top>
      <bottom/>
      <diagonal/>
    </border>
    <border>
      <left style="medium">
        <color rgb="00FFD700"/>
      </left>
      <right/>
      <top/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/>
      <bottom/>
      <diagonal/>
    </border>
    <border>
      <left style="medium">
        <color rgb="00FFD700"/>
      </left>
      <right/>
      <top/>
      <bottom style="thin">
        <color rgb="00E0E0E0"/>
      </bottom>
      <diagonal/>
    </border>
    <border>
      <left/>
      <right style="thin">
        <color rgb="00E0E0E0"/>
      </right>
      <top/>
      <bottom style="thin">
        <color rgb="00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 style="medium">
        <color rgb="00FFD700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3" borderId="14" applyAlignment="1" pivotButton="0" quotePrefix="0" xfId="0">
      <alignment horizontal="center" vertical="center" wrapText="1"/>
    </xf>
    <xf numFmtId="0" fontId="0" fillId="2" borderId="2" pivotButton="0" quotePrefix="0" xfId="0"/>
    <xf numFmtId="0" fontId="0" fillId="2" borderId="3" pivotButton="0" quotePrefix="0" xfId="0"/>
    <xf numFmtId="0" fontId="5" fillId="4" borderId="14" applyAlignment="1" pivotButton="0" quotePrefix="0" xfId="0">
      <alignment horizontal="left" vertical="center" wrapText="1"/>
    </xf>
    <xf numFmtId="0" fontId="5" fillId="4" borderId="14" applyAlignment="1" pivotButton="0" quotePrefix="0" xfId="0">
      <alignment horizontal="center" vertical="center" wrapText="1"/>
    </xf>
    <xf numFmtId="164" fontId="5" fillId="4" borderId="14" applyAlignment="1" pivotButton="0" quotePrefix="0" xfId="0">
      <alignment horizontal="right" vertical="center"/>
    </xf>
    <xf numFmtId="165" fontId="5" fillId="4" borderId="14" applyAlignment="1" pivotButton="0" quotePrefix="0" xfId="0">
      <alignment horizontal="right" vertical="center"/>
    </xf>
    <xf numFmtId="9" fontId="5" fillId="4" borderId="14" applyAlignment="1" pivotButton="0" quotePrefix="0" xfId="0">
      <alignment horizontal="center" vertical="center" wrapText="1"/>
    </xf>
    <xf numFmtId="165" fontId="13" fillId="0" borderId="14" applyAlignment="1" pivotButton="0" quotePrefix="0" xfId="0">
      <alignment horizontal="right" vertical="center"/>
    </xf>
    <xf numFmtId="164" fontId="13" fillId="0" borderId="14" applyAlignment="1" pivotButton="0" quotePrefix="0" xfId="0">
      <alignment horizontal="right" vertical="center"/>
    </xf>
    <xf numFmtId="0" fontId="0" fillId="2" borderId="4" pivotButton="0" quotePrefix="0" xfId="0"/>
    <xf numFmtId="0" fontId="0" fillId="2" borderId="5" pivotButton="0" quotePrefix="0" xfId="0"/>
    <xf numFmtId="0" fontId="9" fillId="2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4" borderId="14" pivotButton="0" quotePrefix="0" xfId="0"/>
    <xf numFmtId="9" fontId="0" fillId="4" borderId="14" pivotButton="0" quotePrefix="0" xfId="0"/>
    <xf numFmtId="165" fontId="0" fillId="0" borderId="14" pivotButton="0" quotePrefix="0" xfId="0"/>
    <xf numFmtId="164" fontId="0" fillId="0" borderId="14" pivotButton="0" quotePrefix="0" xfId="0"/>
    <xf numFmtId="0" fontId="0" fillId="2" borderId="6" pivotButton="0" quotePrefix="0" xfId="0"/>
    <xf numFmtId="0" fontId="0" fillId="2" borderId="7" pivotButton="0" quotePrefix="0" xfId="0"/>
    <xf numFmtId="0" fontId="10" fillId="0" borderId="0" applyAlignment="1" pivotButton="0" quotePrefix="0" xfId="0">
      <alignment horizontal="center" vertical="center" wrapText="1"/>
    </xf>
    <xf numFmtId="0" fontId="4" fillId="5" borderId="14" applyAlignment="1" pivotButton="0" quotePrefix="0" xfId="0">
      <alignment horizontal="right" vertical="center"/>
    </xf>
    <xf numFmtId="164" fontId="4" fillId="5" borderId="14" pivotButton="0" quotePrefix="0" xfId="0"/>
    <xf numFmtId="0" fontId="5" fillId="0" borderId="14" applyAlignment="1" pivotButton="0" quotePrefix="0" xfId="0">
      <alignment horizontal="right" vertical="center"/>
    </xf>
    <xf numFmtId="164" fontId="13" fillId="0" borderId="14" pivotButton="0" quotePrefix="0" xfId="0"/>
    <xf numFmtId="0" fontId="14" fillId="6" borderId="14" applyAlignment="1" pivotButton="0" quotePrefix="0" xfId="0">
      <alignment horizontal="right" vertical="center"/>
    </xf>
    <xf numFmtId="164" fontId="15" fillId="6" borderId="14" pivotButton="0" quotePrefix="0" xfId="0"/>
    <xf numFmtId="0" fontId="13" fillId="0" borderId="14" applyAlignment="1" pivotButton="0" quotePrefix="0" xfId="0">
      <alignment horizontal="right" vertical="center"/>
    </xf>
    <xf numFmtId="9" fontId="16" fillId="4" borderId="14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right" vertical="center"/>
    </xf>
    <xf numFmtId="164" fontId="4" fillId="0" borderId="14" pivotButton="0" quotePrefix="0" xfId="0"/>
    <xf numFmtId="0" fontId="4" fillId="6" borderId="14" applyAlignment="1" pivotButton="0" quotePrefix="0" xfId="0">
      <alignment horizontal="right" vertical="center"/>
    </xf>
    <xf numFmtId="164" fontId="17" fillId="6" borderId="14" pivotButton="0" quotePrefix="0" xfId="0"/>
    <xf numFmtId="166" fontId="13" fillId="0" borderId="14" pivotButton="0" quotePrefix="0" xfId="0"/>
    <xf numFmtId="0" fontId="0" fillId="0" borderId="19" pivotButton="0" quotePrefix="0" xfId="0"/>
    <xf numFmtId="0" fontId="0" fillId="0" borderId="15" pivotButton="0" quotePrefix="0" xfId="0"/>
    <xf numFmtId="0" fontId="0" fillId="0" borderId="1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📋 Escandallo — Cafetería y Brunch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5"/>
    <row r="6">
      <c r="B6" s="4" t="inlineStr">
        <is>
          <t>Cómo usar esta plantilla</t>
        </is>
      </c>
    </row>
    <row r="7">
      <c r="B7" s="5" t="inlineStr"/>
    </row>
    <row r="8">
      <c r="B8" s="6" t="inlineStr">
        <is>
          <t>▸ 3 recetas típicas de brunch/cafetería</t>
        </is>
      </c>
    </row>
    <row r="9">
      <c r="B9" s="6" t="inlineStr">
        <is>
          <t>▸ Food cost objetivo en cafetería: 25-30%</t>
        </is>
      </c>
    </row>
    <row r="10">
      <c r="B10" s="6" t="inlineStr">
        <is>
          <t>▸ Ideal para calcular precios de carta de brunch</t>
        </is>
      </c>
    </row>
    <row r="11">
      <c r="B11" s="5" t="inlineStr"/>
    </row>
    <row r="12">
      <c r="B12" s="7" t="inlineStr">
        <is>
          <t>— Kit de Escandallos Pro · AI Chef Pro · aichef.pro</t>
        </is>
      </c>
    </row>
    <row r="13"/>
    <row r="14">
      <c r="B14" s="8" t="inlineStr">
        <is>
          <t>© 2026 AI Chef Pro · Todos los derechos reservados</t>
        </is>
      </c>
    </row>
    <row r="15"/>
    <row r="16">
      <c r="B16" s="8" t="inlineStr">
        <is>
          <t>Versión 1.1 · agosto 2026 · aichef.pro/kit-escandallos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0" customWidth="1" min="7" max="7"/>
    <col width="14" customWidth="1" min="8" max="8"/>
    <col width="14" customWidth="1" min="9" max="9"/>
    <col width="3" customWidth="1" min="10" max="10"/>
    <col width="20" customWidth="1" min="11" max="11"/>
    <col width="20" customWidth="1" min="12" max="12"/>
  </cols>
  <sheetData>
    <row r="1">
      <c r="A1" s="9" t="inlineStr">
        <is>
          <t>Tostada de Aguacate con Huevo Poché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48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Pan de masa madre</t>
        </is>
      </c>
      <c r="B5" s="16" t="inlineStr">
        <is>
          <t>Pan/bollería</t>
        </is>
      </c>
      <c r="C5" s="16" t="inlineStr">
        <is>
          <t>ud</t>
        </is>
      </c>
      <c r="D5" s="17" t="n">
        <v>0.6</v>
      </c>
      <c r="E5" s="18" t="n">
        <v>2</v>
      </c>
      <c r="F5" s="16" t="inlineStr">
        <is>
          <t>ud</t>
        </is>
      </c>
      <c r="G5" s="19" t="n">
        <v>0</v>
      </c>
      <c r="H5" s="20">
        <f>E5/(1-G5)</f>
        <v>2.0</v>
      </c>
      <c r="I5" s="21">
        <f>H5*D5</f>
        <v>1.2</v>
      </c>
      <c r="K5" s="22" t="n"/>
      <c r="L5" s="23" t="n"/>
    </row>
    <row r="6">
      <c r="A6" s="15" t="inlineStr">
        <is>
          <t>Aguacate Hass</t>
        </is>
      </c>
      <c r="B6" s="16" t="inlineStr">
        <is>
          <t>Fruta</t>
        </is>
      </c>
      <c r="C6" s="16" t="inlineStr">
        <is>
          <t>ud</t>
        </is>
      </c>
      <c r="D6" s="17" t="n">
        <v>1.5</v>
      </c>
      <c r="E6" s="18" t="n">
        <v>1</v>
      </c>
      <c r="F6" s="16" t="inlineStr">
        <is>
          <t>ud</t>
        </is>
      </c>
      <c r="G6" s="19" t="n">
        <v>0.28</v>
      </c>
      <c r="H6" s="20">
        <f>E6/(1-G6)</f>
        <v>1.3888888888888888</v>
      </c>
      <c r="I6" s="21">
        <f>H6*D6</f>
        <v>2.083333333333333</v>
      </c>
      <c r="K6" s="22" t="n"/>
      <c r="L6" s="23" t="n"/>
    </row>
    <row r="7">
      <c r="A7" s="15" t="inlineStr">
        <is>
          <t>Huevo campero</t>
        </is>
      </c>
      <c r="B7" s="16" t="inlineStr">
        <is>
          <t>Huevos</t>
        </is>
      </c>
      <c r="C7" s="16" t="inlineStr">
        <is>
          <t>docena</t>
        </is>
      </c>
      <c r="D7" s="17" t="n">
        <v>4.2</v>
      </c>
      <c r="E7" s="18" t="n">
        <v>0.167</v>
      </c>
      <c r="F7" s="16" t="inlineStr">
        <is>
          <t>ud</t>
        </is>
      </c>
      <c r="G7" s="19" t="n">
        <v>0.11</v>
      </c>
      <c r="H7" s="20">
        <f>E7/(1-G7)</f>
        <v>0.18764044943820227</v>
      </c>
      <c r="I7" s="21">
        <f>H7*D7</f>
        <v>0.7880898876404495</v>
      </c>
      <c r="K7" s="22" t="n"/>
      <c r="L7" s="23" t="n"/>
    </row>
    <row r="8">
      <c r="A8" s="15" t="inlineStr">
        <is>
          <t>Tomate cherry</t>
        </is>
      </c>
      <c r="B8" s="16" t="inlineStr">
        <is>
          <t>Verdura hoja</t>
        </is>
      </c>
      <c r="C8" s="16" t="inlineStr">
        <is>
          <t>kg</t>
        </is>
      </c>
      <c r="D8" s="17" t="n">
        <v>4</v>
      </c>
      <c r="E8" s="18" t="n">
        <v>0.04</v>
      </c>
      <c r="F8" s="16" t="inlineStr">
        <is>
          <t>kg</t>
        </is>
      </c>
      <c r="G8" s="19" t="n">
        <v>0.05</v>
      </c>
      <c r="H8" s="20">
        <f>E8/(1-G8)</f>
        <v>0.04210526315789474</v>
      </c>
      <c r="I8" s="21">
        <f>H8*D8</f>
        <v>0.16842105263157897</v>
      </c>
      <c r="K8" s="24" t="inlineStr">
        <is>
          <t>Arrastra aquí la foto
del plato terminado</t>
        </is>
      </c>
      <c r="L8" s="25" t="n"/>
    </row>
    <row r="9">
      <c r="A9" s="15" t="inlineStr">
        <is>
          <t>Semillas mix</t>
        </is>
      </c>
      <c r="B9" s="16" t="inlineStr">
        <is>
          <t>Secos/granos</t>
        </is>
      </c>
      <c r="C9" s="16" t="inlineStr">
        <is>
          <t>kg</t>
        </is>
      </c>
      <c r="D9" s="17" t="n">
        <v>10</v>
      </c>
      <c r="E9" s="18" t="n">
        <v>0.01</v>
      </c>
      <c r="F9" s="16" t="inlineStr">
        <is>
          <t>kg</t>
        </is>
      </c>
      <c r="G9" s="19" t="n">
        <v>0.02</v>
      </c>
      <c r="H9" s="20">
        <f>E9/(1-G9)</f>
        <v>0.010204081632653062</v>
      </c>
      <c r="I9" s="21">
        <f>H9*D9</f>
        <v>0.10204081632653061</v>
      </c>
      <c r="K9" s="26" t="n"/>
      <c r="L9" s="27" t="n"/>
    </row>
    <row r="10">
      <c r="A10" s="15" t="inlineStr">
        <is>
          <t>AOVE</t>
        </is>
      </c>
      <c r="B10" s="16" t="inlineStr">
        <is>
          <t>Aceites/grasas</t>
        </is>
      </c>
      <c r="C10" s="16" t="inlineStr">
        <is>
          <t>L</t>
        </is>
      </c>
      <c r="D10" s="17" t="n">
        <v>7.5</v>
      </c>
      <c r="E10" s="18" t="n">
        <v>0.01</v>
      </c>
      <c r="F10" s="16" t="inlineStr">
        <is>
          <t>L</t>
        </is>
      </c>
      <c r="G10" s="19" t="n">
        <v>0.03</v>
      </c>
      <c r="H10" s="20">
        <f>E10/(1-G10)</f>
        <v>0.010309278350515464</v>
      </c>
      <c r="I10" s="21">
        <f>H10*D10</f>
        <v>0.07731958762886598</v>
      </c>
      <c r="K10" s="22" t="n"/>
      <c r="L10" s="23" t="n"/>
    </row>
    <row r="11">
      <c r="A11" s="15" t="inlineStr">
        <is>
          <t>Sal en escamas</t>
        </is>
      </c>
      <c r="B11" s="16" t="inlineStr">
        <is>
          <t>Secos/granos</t>
        </is>
      </c>
      <c r="C11" s="16" t="inlineStr">
        <is>
          <t>kg</t>
        </is>
      </c>
      <c r="D11" s="17" t="n">
        <v>15</v>
      </c>
      <c r="E11" s="18" t="n">
        <v>0.002</v>
      </c>
      <c r="F11" s="16" t="inlineStr">
        <is>
          <t>kg</t>
        </is>
      </c>
      <c r="G11" s="19" t="n">
        <v>0.02</v>
      </c>
      <c r="H11" s="20">
        <f>E11/(1-G11)</f>
        <v>0.0020408163265306124</v>
      </c>
      <c r="I11" s="21">
        <f>H11*D11</f>
        <v>0.030612244897959186</v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A15" s="28" t="n"/>
      <c r="B15" s="28" t="n"/>
      <c r="C15" s="28" t="n"/>
      <c r="D15" s="28" t="n"/>
      <c r="E15" s="28" t="n"/>
      <c r="F15" s="28" t="n"/>
      <c r="G15" s="29" t="n"/>
      <c r="H15" s="30">
        <f>IF(E15="","",E15/(1-G15))</f>
        <v/>
      </c>
      <c r="I15" s="31">
        <f>IF(H15="","",H15*D15)</f>
        <v/>
      </c>
      <c r="K15" s="34" t="inlineStr">
        <is>
          <t>Insertar → Imagen → Desde archivo</t>
        </is>
      </c>
    </row>
    <row r="16">
      <c r="A16" s="28" t="n"/>
      <c r="B16" s="28" t="n"/>
      <c r="C16" s="28" t="n"/>
      <c r="D16" s="28" t="n"/>
      <c r="E16" s="28" t="n"/>
      <c r="F16" s="28" t="n"/>
      <c r="G16" s="29" t="n"/>
      <c r="H16" s="30">
        <f>IF(E16="","",E16/(1-G16))</f>
        <v/>
      </c>
      <c r="I16" s="31">
        <f>IF(H16="","",H16*D16)</f>
        <v/>
      </c>
    </row>
    <row r="17"/>
    <row r="18">
      <c r="A18" s="35" t="inlineStr">
        <is>
          <t>COSTE TOTAL INGREDIENTES</t>
        </is>
      </c>
      <c r="B18" s="49" t="n"/>
      <c r="C18" s="49" t="n"/>
      <c r="D18" s="49" t="n"/>
      <c r="E18" s="49" t="n"/>
      <c r="F18" s="49" t="n"/>
      <c r="G18" s="49" t="n"/>
      <c r="H18" s="50" t="n"/>
      <c r="I18" s="36">
        <f>SUM(I5:I16)</f>
        <v>4.449816922458717</v>
      </c>
    </row>
    <row r="19">
      <c r="A19" s="37" t="inlineStr">
        <is>
          <t>Coste elaboración (%)</t>
        </is>
      </c>
      <c r="B19" s="49" t="n"/>
      <c r="C19" s="49" t="n"/>
      <c r="D19" s="49" t="n"/>
      <c r="E19" s="49" t="n"/>
      <c r="F19" s="49" t="n"/>
      <c r="G19" s="50" t="n"/>
      <c r="H19" s="19" t="n">
        <v>0.1</v>
      </c>
      <c r="I19" s="38">
        <f>I18*H19</f>
        <v>0.4449816922458717</v>
      </c>
    </row>
    <row r="20">
      <c r="A20" s="39" t="inlineStr">
        <is>
          <t>COSTE TOTAL DEL PLATO</t>
        </is>
      </c>
      <c r="B20" s="49" t="n"/>
      <c r="C20" s="49" t="n"/>
      <c r="D20" s="49" t="n"/>
      <c r="E20" s="49" t="n"/>
      <c r="F20" s="49" t="n"/>
      <c r="G20" s="49" t="n"/>
      <c r="H20" s="50" t="n"/>
      <c r="I20" s="40">
        <f>I18+I19</f>
        <v>4.894798614704588</v>
      </c>
    </row>
    <row r="21"/>
    <row r="22">
      <c r="A22" s="41" t="inlineStr">
        <is>
          <t>Food Cost objetivo (%)</t>
        </is>
      </c>
      <c r="B22" s="49" t="n"/>
      <c r="C22" s="49" t="n"/>
      <c r="D22" s="49" t="n"/>
      <c r="E22" s="49" t="n"/>
      <c r="F22" s="49" t="n"/>
      <c r="G22" s="50" t="n"/>
      <c r="H22" s="42" t="n">
        <v>0.28</v>
      </c>
    </row>
    <row r="23">
      <c r="A23" s="43" t="inlineStr">
        <is>
          <t>PVP SUGERIDO (sin IVA)</t>
        </is>
      </c>
      <c r="B23" s="49" t="n"/>
      <c r="C23" s="49" t="n"/>
      <c r="D23" s="49" t="n"/>
      <c r="E23" s="49" t="n"/>
      <c r="F23" s="49" t="n"/>
      <c r="G23" s="49" t="n"/>
      <c r="H23" s="50" t="n"/>
      <c r="I23" s="44">
        <f>I20/H22</f>
        <v>17.481423623944956</v>
      </c>
    </row>
    <row r="24">
      <c r="A24" s="45" t="inlineStr">
        <is>
          <t>PVP CON IVA (10% hostelería)</t>
        </is>
      </c>
      <c r="B24" s="49" t="n"/>
      <c r="C24" s="49" t="n"/>
      <c r="D24" s="49" t="n"/>
      <c r="E24" s="49" t="n"/>
      <c r="F24" s="49" t="n"/>
      <c r="G24" s="49" t="n"/>
      <c r="H24" s="50" t="n"/>
      <c r="I24" s="46">
        <f>I23*1.10</f>
        <v>19.229565986339452</v>
      </c>
    </row>
    <row r="25">
      <c r="A25" s="37" t="inlineStr">
        <is>
          <t>Margen bruto (€)</t>
        </is>
      </c>
      <c r="B25" s="49" t="n"/>
      <c r="C25" s="49" t="n"/>
      <c r="D25" s="49" t="n"/>
      <c r="E25" s="49" t="n"/>
      <c r="F25" s="49" t="n"/>
      <c r="G25" s="49" t="n"/>
      <c r="H25" s="50" t="n"/>
      <c r="I25" s="38">
        <f>I23-I20</f>
        <v>12.586625009240368</v>
      </c>
    </row>
    <row r="26">
      <c r="A26" s="37" t="inlineStr">
        <is>
          <t>Margen bruto (%)</t>
        </is>
      </c>
      <c r="B26" s="49" t="n"/>
      <c r="C26" s="49" t="n"/>
      <c r="D26" s="49" t="n"/>
      <c r="E26" s="49" t="n"/>
      <c r="F26" s="49" t="n"/>
      <c r="G26" s="49" t="n"/>
      <c r="H26" s="50" t="n"/>
      <c r="I26" s="47">
        <f>I25/I23</f>
        <v>0.72</v>
      </c>
    </row>
  </sheetData>
  <mergeCells count="13">
    <mergeCell ref="K15:L15"/>
    <mergeCell ref="A18:H18"/>
    <mergeCell ref="K8:L9"/>
    <mergeCell ref="A2:I2"/>
    <mergeCell ref="A20:H20"/>
    <mergeCell ref="A26:H26"/>
    <mergeCell ref="A1:I1"/>
    <mergeCell ref="A24:H24"/>
    <mergeCell ref="K3:L3"/>
    <mergeCell ref="A19:G19"/>
    <mergeCell ref="A25:H25"/>
    <mergeCell ref="A22:G22"/>
    <mergeCell ref="A23:H23"/>
  </mergeCells>
  <dataValidations count="2">
    <dataValidation sqref="B5 B6 B7 B8 B9 B10 B11 B12 B13 B14 B15 B16" showDropDown="0" showInputMessage="0" showErrorMessage="0" allowBlank="1" errorTitle="Categoría inválida" error="Selecciona una categoría válida" type="list">
      <formula1>"Carne roja,Aves,Pescado,Marisco,Verdura hoja,Verdura raíz,Fruta,Lácteos,Secos/granos,Congelados,Pan/bollería,Huevos,Aceites/grasas,Especias/hierbas,Chocolate/cacao,Bebidas/licores"</formula1>
    </dataValidation>
    <dataValidation sqref="C5 C6 C7 C8 C9 C10 C11 C12 C13 C14 C15 C16 F5 F6 F7 F8 F9 F10 F11 F12 F13 F14 F15 F16" showDropDown="0" showInputMessage="0" showErrorMessage="0" allowBlank="1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0" customWidth="1" min="7" max="7"/>
    <col width="14" customWidth="1" min="8" max="8"/>
    <col width="14" customWidth="1" min="9" max="9"/>
    <col width="3" customWidth="1" min="10" max="10"/>
    <col width="20" customWidth="1" min="11" max="11"/>
    <col width="20" customWidth="1" min="12" max="12"/>
  </cols>
  <sheetData>
    <row r="1">
      <c r="A1" s="9" t="inlineStr">
        <is>
          <t>Açaí Bowl con Granola y Fruta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48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Açaí congelado</t>
        </is>
      </c>
      <c r="B5" s="16" t="inlineStr">
        <is>
          <t>Congelados</t>
        </is>
      </c>
      <c r="C5" s="16" t="inlineStr">
        <is>
          <t>kg</t>
        </is>
      </c>
      <c r="D5" s="17" t="n">
        <v>22</v>
      </c>
      <c r="E5" s="18" t="n">
        <v>0.1</v>
      </c>
      <c r="F5" s="16" t="inlineStr">
        <is>
          <t>kg</t>
        </is>
      </c>
      <c r="G5" s="19" t="n">
        <v>0.07000000000000001</v>
      </c>
      <c r="H5" s="20">
        <f>E5/(1-G5)</f>
        <v>0.10752688172043012</v>
      </c>
      <c r="I5" s="21">
        <f>H5*D5</f>
        <v>2.365591397849463</v>
      </c>
      <c r="K5" s="22" t="n"/>
      <c r="L5" s="23" t="n"/>
    </row>
    <row r="6">
      <c r="A6" s="15" t="inlineStr">
        <is>
          <t>Plátano</t>
        </is>
      </c>
      <c r="B6" s="16" t="inlineStr">
        <is>
          <t>Fruta</t>
        </is>
      </c>
      <c r="C6" s="16" t="inlineStr">
        <is>
          <t>kg</t>
        </is>
      </c>
      <c r="D6" s="17" t="n">
        <v>1.5</v>
      </c>
      <c r="E6" s="18" t="n">
        <v>0.12</v>
      </c>
      <c r="F6" s="16" t="inlineStr">
        <is>
          <t>kg</t>
        </is>
      </c>
      <c r="G6" s="19" t="n">
        <v>0.25</v>
      </c>
      <c r="H6" s="20">
        <f>E6/(1-G6)</f>
        <v>0.16</v>
      </c>
      <c r="I6" s="21">
        <f>H6*D6</f>
        <v>0.24</v>
      </c>
      <c r="K6" s="22" t="n"/>
      <c r="L6" s="23" t="n"/>
    </row>
    <row r="7">
      <c r="A7" s="15" t="inlineStr">
        <is>
          <t>Leche de avena</t>
        </is>
      </c>
      <c r="B7" s="16" t="inlineStr">
        <is>
          <t>Bebidas/licores</t>
        </is>
      </c>
      <c r="C7" s="16" t="inlineStr">
        <is>
          <t>L</t>
        </is>
      </c>
      <c r="D7" s="17" t="n">
        <v>2.5</v>
      </c>
      <c r="E7" s="18" t="n">
        <v>0.08</v>
      </c>
      <c r="F7" s="16" t="inlineStr">
        <is>
          <t>L</t>
        </is>
      </c>
      <c r="G7" s="19" t="n">
        <v>0.03</v>
      </c>
      <c r="H7" s="20">
        <f>E7/(1-G7)</f>
        <v>0.08247422680412371</v>
      </c>
      <c r="I7" s="21">
        <f>H7*D7</f>
        <v>0.20618556701030927</v>
      </c>
      <c r="K7" s="22" t="n"/>
      <c r="L7" s="23" t="n"/>
    </row>
    <row r="8">
      <c r="A8" s="15" t="inlineStr">
        <is>
          <t>Granola artesanal</t>
        </is>
      </c>
      <c r="B8" s="16" t="inlineStr">
        <is>
          <t>Secos/granos</t>
        </is>
      </c>
      <c r="C8" s="16" t="inlineStr">
        <is>
          <t>kg</t>
        </is>
      </c>
      <c r="D8" s="17" t="n">
        <v>8</v>
      </c>
      <c r="E8" s="18" t="n">
        <v>0.04</v>
      </c>
      <c r="F8" s="16" t="inlineStr">
        <is>
          <t>kg</t>
        </is>
      </c>
      <c r="G8" s="19" t="n">
        <v>0.02</v>
      </c>
      <c r="H8" s="20">
        <f>E8/(1-G8)</f>
        <v>0.04081632653061225</v>
      </c>
      <c r="I8" s="21">
        <f>H8*D8</f>
        <v>0.326530612244898</v>
      </c>
      <c r="K8" s="24" t="inlineStr">
        <is>
          <t>Arrastra aquí la foto
del plato terminado</t>
        </is>
      </c>
      <c r="L8" s="25" t="n"/>
    </row>
    <row r="9">
      <c r="A9" s="15" t="inlineStr">
        <is>
          <t>Arándanos</t>
        </is>
      </c>
      <c r="B9" s="16" t="inlineStr">
        <is>
          <t>Fruta</t>
        </is>
      </c>
      <c r="C9" s="16" t="inlineStr">
        <is>
          <t>kg</t>
        </is>
      </c>
      <c r="D9" s="17" t="n">
        <v>12</v>
      </c>
      <c r="E9" s="18" t="n">
        <v>0.03</v>
      </c>
      <c r="F9" s="16" t="inlineStr">
        <is>
          <t>kg</t>
        </is>
      </c>
      <c r="G9" s="19" t="n">
        <v>0.05</v>
      </c>
      <c r="H9" s="20">
        <f>E9/(1-G9)</f>
        <v>0.031578947368421054</v>
      </c>
      <c r="I9" s="21">
        <f>H9*D9</f>
        <v>0.37894736842105264</v>
      </c>
      <c r="K9" s="26" t="n"/>
      <c r="L9" s="27" t="n"/>
    </row>
    <row r="10">
      <c r="A10" s="15" t="inlineStr">
        <is>
          <t>Coco rallado</t>
        </is>
      </c>
      <c r="B10" s="16" t="inlineStr">
        <is>
          <t>Secos/granos</t>
        </is>
      </c>
      <c r="C10" s="16" t="inlineStr">
        <is>
          <t>kg</t>
        </is>
      </c>
      <c r="D10" s="17" t="n">
        <v>7</v>
      </c>
      <c r="E10" s="18" t="n">
        <v>0.01</v>
      </c>
      <c r="F10" s="16" t="inlineStr">
        <is>
          <t>kg</t>
        </is>
      </c>
      <c r="G10" s="19" t="n">
        <v>0.02</v>
      </c>
      <c r="H10" s="20">
        <f>E10/(1-G10)</f>
        <v>0.010204081632653062</v>
      </c>
      <c r="I10" s="21">
        <f>H10*D10</f>
        <v>0.07142857142857144</v>
      </c>
      <c r="K10" s="22" t="n"/>
      <c r="L10" s="23" t="n"/>
    </row>
    <row r="11">
      <c r="A11" s="15" t="inlineStr">
        <is>
          <t>Miel</t>
        </is>
      </c>
      <c r="B11" s="16" t="inlineStr">
        <is>
          <t>Secos/granos</t>
        </is>
      </c>
      <c r="C11" s="16" t="inlineStr">
        <is>
          <t>kg</t>
        </is>
      </c>
      <c r="D11" s="17" t="n">
        <v>10</v>
      </c>
      <c r="E11" s="18" t="n">
        <v>0.015</v>
      </c>
      <c r="F11" s="16" t="inlineStr">
        <is>
          <t>kg</t>
        </is>
      </c>
      <c r="G11" s="19" t="n">
        <v>0.03</v>
      </c>
      <c r="H11" s="20">
        <f>E11/(1-G11)</f>
        <v>0.015463917525773196</v>
      </c>
      <c r="I11" s="21">
        <f>H11*D11</f>
        <v>0.15463917525773196</v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A15" s="28" t="n"/>
      <c r="B15" s="28" t="n"/>
      <c r="C15" s="28" t="n"/>
      <c r="D15" s="28" t="n"/>
      <c r="E15" s="28" t="n"/>
      <c r="F15" s="28" t="n"/>
      <c r="G15" s="29" t="n"/>
      <c r="H15" s="30">
        <f>IF(E15="","",E15/(1-G15))</f>
        <v/>
      </c>
      <c r="I15" s="31">
        <f>IF(H15="","",H15*D15)</f>
        <v/>
      </c>
      <c r="K15" s="34" t="inlineStr">
        <is>
          <t>Insertar → Imagen → Desde archivo</t>
        </is>
      </c>
    </row>
    <row r="16">
      <c r="A16" s="28" t="n"/>
      <c r="B16" s="28" t="n"/>
      <c r="C16" s="28" t="n"/>
      <c r="D16" s="28" t="n"/>
      <c r="E16" s="28" t="n"/>
      <c r="F16" s="28" t="n"/>
      <c r="G16" s="29" t="n"/>
      <c r="H16" s="30">
        <f>IF(E16="","",E16/(1-G16))</f>
        <v/>
      </c>
      <c r="I16" s="31">
        <f>IF(H16="","",H16*D16)</f>
        <v/>
      </c>
    </row>
    <row r="17"/>
    <row r="18">
      <c r="A18" s="35" t="inlineStr">
        <is>
          <t>COSTE TOTAL INGREDIENTES</t>
        </is>
      </c>
      <c r="B18" s="49" t="n"/>
      <c r="C18" s="49" t="n"/>
      <c r="D18" s="49" t="n"/>
      <c r="E18" s="49" t="n"/>
      <c r="F18" s="49" t="n"/>
      <c r="G18" s="49" t="n"/>
      <c r="H18" s="50" t="n"/>
      <c r="I18" s="36">
        <f>SUM(I5:I16)</f>
        <v>3.7433226922120264</v>
      </c>
    </row>
    <row r="19">
      <c r="A19" s="37" t="inlineStr">
        <is>
          <t>Coste elaboración (%)</t>
        </is>
      </c>
      <c r="B19" s="49" t="n"/>
      <c r="C19" s="49" t="n"/>
      <c r="D19" s="49" t="n"/>
      <c r="E19" s="49" t="n"/>
      <c r="F19" s="49" t="n"/>
      <c r="G19" s="50" t="n"/>
      <c r="H19" s="19" t="n">
        <v>0.1</v>
      </c>
      <c r="I19" s="38">
        <f>I18*H19</f>
        <v>0.37433226922120266</v>
      </c>
    </row>
    <row r="20">
      <c r="A20" s="39" t="inlineStr">
        <is>
          <t>COSTE TOTAL DEL PLATO</t>
        </is>
      </c>
      <c r="B20" s="49" t="n"/>
      <c r="C20" s="49" t="n"/>
      <c r="D20" s="49" t="n"/>
      <c r="E20" s="49" t="n"/>
      <c r="F20" s="49" t="n"/>
      <c r="G20" s="49" t="n"/>
      <c r="H20" s="50" t="n"/>
      <c r="I20" s="40">
        <f>I18+I19</f>
        <v>4.117654961433229</v>
      </c>
    </row>
    <row r="21"/>
    <row r="22">
      <c r="A22" s="41" t="inlineStr">
        <is>
          <t>Food Cost objetivo (%)</t>
        </is>
      </c>
      <c r="B22" s="49" t="n"/>
      <c r="C22" s="49" t="n"/>
      <c r="D22" s="49" t="n"/>
      <c r="E22" s="49" t="n"/>
      <c r="F22" s="49" t="n"/>
      <c r="G22" s="50" t="n"/>
      <c r="H22" s="42" t="n">
        <v>0.28</v>
      </c>
    </row>
    <row r="23">
      <c r="A23" s="43" t="inlineStr">
        <is>
          <t>PVP SUGERIDO (sin IVA)</t>
        </is>
      </c>
      <c r="B23" s="49" t="n"/>
      <c r="C23" s="49" t="n"/>
      <c r="D23" s="49" t="n"/>
      <c r="E23" s="49" t="n"/>
      <c r="F23" s="49" t="n"/>
      <c r="G23" s="49" t="n"/>
      <c r="H23" s="50" t="n"/>
      <c r="I23" s="44">
        <f>I20/H22</f>
        <v>14.705910576547245</v>
      </c>
    </row>
    <row r="24">
      <c r="A24" s="45" t="inlineStr">
        <is>
          <t>PVP CON IVA (10% hostelería)</t>
        </is>
      </c>
      <c r="B24" s="49" t="n"/>
      <c r="C24" s="49" t="n"/>
      <c r="D24" s="49" t="n"/>
      <c r="E24" s="49" t="n"/>
      <c r="F24" s="49" t="n"/>
      <c r="G24" s="49" t="n"/>
      <c r="H24" s="50" t="n"/>
      <c r="I24" s="46">
        <f>I23*1.10</f>
        <v>16.17650163420197</v>
      </c>
    </row>
    <row r="25">
      <c r="A25" s="37" t="inlineStr">
        <is>
          <t>Margen bruto (€)</t>
        </is>
      </c>
      <c r="B25" s="49" t="n"/>
      <c r="C25" s="49" t="n"/>
      <c r="D25" s="49" t="n"/>
      <c r="E25" s="49" t="n"/>
      <c r="F25" s="49" t="n"/>
      <c r="G25" s="49" t="n"/>
      <c r="H25" s="50" t="n"/>
      <c r="I25" s="38">
        <f>I23-I20</f>
        <v>10.588255615114015</v>
      </c>
    </row>
    <row r="26">
      <c r="A26" s="37" t="inlineStr">
        <is>
          <t>Margen bruto (%)</t>
        </is>
      </c>
      <c r="B26" s="49" t="n"/>
      <c r="C26" s="49" t="n"/>
      <c r="D26" s="49" t="n"/>
      <c r="E26" s="49" t="n"/>
      <c r="F26" s="49" t="n"/>
      <c r="G26" s="49" t="n"/>
      <c r="H26" s="50" t="n"/>
      <c r="I26" s="47">
        <f>I25/I23</f>
        <v>0.7199999999999999</v>
      </c>
    </row>
  </sheetData>
  <mergeCells count="13">
    <mergeCell ref="K15:L15"/>
    <mergeCell ref="A18:H18"/>
    <mergeCell ref="K8:L9"/>
    <mergeCell ref="A2:I2"/>
    <mergeCell ref="A20:H20"/>
    <mergeCell ref="A26:H26"/>
    <mergeCell ref="A1:I1"/>
    <mergeCell ref="A24:H24"/>
    <mergeCell ref="K3:L3"/>
    <mergeCell ref="A19:G19"/>
    <mergeCell ref="A25:H25"/>
    <mergeCell ref="A22:G22"/>
    <mergeCell ref="A23:H23"/>
  </mergeCells>
  <dataValidations count="2">
    <dataValidation sqref="B5 B6 B7 B8 B9 B10 B11 B12 B13 B14 B15 B16" showDropDown="0" showInputMessage="0" showErrorMessage="0" allowBlank="1" errorTitle="Categoría inválida" error="Selecciona una categoría válida" type="list">
      <formula1>"Carne roja,Aves,Pescado,Marisco,Verdura hoja,Verdura raíz,Fruta,Lácteos,Secos/granos,Congelados,Pan/bollería,Huevos,Aceites/grasas,Especias/hierbas,Chocolate/cacao,Bebidas/licores"</formula1>
    </dataValidation>
    <dataValidation sqref="C5 C6 C7 C8 C9 C10 C11 C12 C13 C14 C15 C16 F5 F6 F7 F8 F9 F10 F11 F12 F13 F14 F15 F16" showDropDown="0" showInputMessage="0" showErrorMessage="0" allowBlank="1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0" customWidth="1" min="7" max="7"/>
    <col width="14" customWidth="1" min="8" max="8"/>
    <col width="14" customWidth="1" min="9" max="9"/>
    <col width="3" customWidth="1" min="10" max="10"/>
    <col width="20" customWidth="1" min="11" max="11"/>
    <col width="20" customWidth="1" min="12" max="12"/>
  </cols>
  <sheetData>
    <row r="1">
      <c r="A1" s="9" t="inlineStr">
        <is>
          <t>Eggs Benedict con Salmón Ahumado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48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English muffin</t>
        </is>
      </c>
      <c r="B5" s="16" t="inlineStr">
        <is>
          <t>Pan/bollería</t>
        </is>
      </c>
      <c r="C5" s="16" t="inlineStr">
        <is>
          <t>ud</t>
        </is>
      </c>
      <c r="D5" s="17" t="n">
        <v>0.4</v>
      </c>
      <c r="E5" s="18" t="n">
        <v>2</v>
      </c>
      <c r="F5" s="16" t="inlineStr">
        <is>
          <t>ud</t>
        </is>
      </c>
      <c r="G5" s="19" t="n">
        <v>0</v>
      </c>
      <c r="H5" s="20">
        <f>E5/(1-G5)</f>
        <v>2.0</v>
      </c>
      <c r="I5" s="21">
        <f>H5*D5</f>
        <v>0.8</v>
      </c>
      <c r="K5" s="22" t="n"/>
      <c r="L5" s="23" t="n"/>
    </row>
    <row r="6">
      <c r="A6" s="15" t="inlineStr">
        <is>
          <t>Huevo campero</t>
        </is>
      </c>
      <c r="B6" s="16" t="inlineStr">
        <is>
          <t>Huevos</t>
        </is>
      </c>
      <c r="C6" s="16" t="inlineStr">
        <is>
          <t>docena</t>
        </is>
      </c>
      <c r="D6" s="17" t="n">
        <v>4.2</v>
      </c>
      <c r="E6" s="18" t="n">
        <v>0.167</v>
      </c>
      <c r="F6" s="16" t="inlineStr">
        <is>
          <t>ud</t>
        </is>
      </c>
      <c r="G6" s="19" t="n">
        <v>0.11</v>
      </c>
      <c r="H6" s="20">
        <f>E6/(1-G6)</f>
        <v>0.18764044943820227</v>
      </c>
      <c r="I6" s="21">
        <f>H6*D6</f>
        <v>0.7880898876404495</v>
      </c>
      <c r="K6" s="22" t="n"/>
      <c r="L6" s="23" t="n"/>
    </row>
    <row r="7">
      <c r="A7" s="15" t="inlineStr">
        <is>
          <t>Salmón ahumado</t>
        </is>
      </c>
      <c r="B7" s="16" t="inlineStr">
        <is>
          <t>Pescado</t>
        </is>
      </c>
      <c r="C7" s="16" t="inlineStr">
        <is>
          <t>kg</t>
        </is>
      </c>
      <c r="D7" s="17" t="n">
        <v>35</v>
      </c>
      <c r="E7" s="18" t="n">
        <v>0.06</v>
      </c>
      <c r="F7" s="16" t="inlineStr">
        <is>
          <t>kg</t>
        </is>
      </c>
      <c r="G7" s="19" t="n">
        <v>0.05</v>
      </c>
      <c r="H7" s="20">
        <f>E7/(1-G7)</f>
        <v>0.06315789473684211</v>
      </c>
      <c r="I7" s="21">
        <f>H7*D7</f>
        <v>2.210526315789474</v>
      </c>
      <c r="K7" s="22" t="n"/>
      <c r="L7" s="23" t="n"/>
    </row>
    <row r="8">
      <c r="A8" s="15" t="inlineStr">
        <is>
          <t>Mantequilla (hollandaise)</t>
        </is>
      </c>
      <c r="B8" s="16" t="inlineStr">
        <is>
          <t>Lácteos</t>
        </is>
      </c>
      <c r="C8" s="16" t="inlineStr">
        <is>
          <t>kg</t>
        </is>
      </c>
      <c r="D8" s="17" t="n">
        <v>9</v>
      </c>
      <c r="E8" s="18" t="n">
        <v>0.05</v>
      </c>
      <c r="F8" s="16" t="inlineStr">
        <is>
          <t>kg</t>
        </is>
      </c>
      <c r="G8" s="19" t="n">
        <v>0.03</v>
      </c>
      <c r="H8" s="20">
        <f>E8/(1-G8)</f>
        <v>0.051546391752577324</v>
      </c>
      <c r="I8" s="21">
        <f>H8*D8</f>
        <v>0.4639175257731959</v>
      </c>
      <c r="K8" s="24" t="inlineStr">
        <is>
          <t>Arrastra aquí la foto
del plato terminado</t>
        </is>
      </c>
      <c r="L8" s="25" t="n"/>
    </row>
    <row r="9">
      <c r="A9" s="15" t="inlineStr">
        <is>
          <t>Limón</t>
        </is>
      </c>
      <c r="B9" s="16" t="inlineStr">
        <is>
          <t>Fruta</t>
        </is>
      </c>
      <c r="C9" s="16" t="inlineStr">
        <is>
          <t>kg</t>
        </is>
      </c>
      <c r="D9" s="17" t="n">
        <v>2.5</v>
      </c>
      <c r="E9" s="18" t="n">
        <v>0.01</v>
      </c>
      <c r="F9" s="16" t="inlineStr">
        <is>
          <t>kg</t>
        </is>
      </c>
      <c r="G9" s="19" t="n">
        <v>0.28</v>
      </c>
      <c r="H9" s="20">
        <f>E9/(1-G9)</f>
        <v>0.01388888888888889</v>
      </c>
      <c r="I9" s="21">
        <f>H9*D9</f>
        <v>0.034722222222222224</v>
      </c>
      <c r="K9" s="26" t="n"/>
      <c r="L9" s="27" t="n"/>
    </row>
    <row r="10">
      <c r="A10" s="15" t="inlineStr">
        <is>
          <t>Cebollino</t>
        </is>
      </c>
      <c r="B10" s="16" t="inlineStr">
        <is>
          <t>Especias/hierbas</t>
        </is>
      </c>
      <c r="C10" s="16" t="inlineStr">
        <is>
          <t>manojo</t>
        </is>
      </c>
      <c r="D10" s="17" t="n">
        <v>1.5</v>
      </c>
      <c r="E10" s="18" t="n">
        <v>0.25</v>
      </c>
      <c r="F10" s="16" t="inlineStr">
        <is>
          <t>ud</t>
        </is>
      </c>
      <c r="G10" s="19" t="n">
        <v>0.2</v>
      </c>
      <c r="H10" s="20">
        <f>E10/(1-G10)</f>
        <v>0.3125</v>
      </c>
      <c r="I10" s="21">
        <f>H10*D10</f>
        <v>0.46875</v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A15" s="28" t="n"/>
      <c r="B15" s="28" t="n"/>
      <c r="C15" s="28" t="n"/>
      <c r="D15" s="28" t="n"/>
      <c r="E15" s="28" t="n"/>
      <c r="F15" s="28" t="n"/>
      <c r="G15" s="29" t="n"/>
      <c r="H15" s="30">
        <f>IF(E15="","",E15/(1-G15))</f>
        <v/>
      </c>
      <c r="I15" s="31">
        <f>IF(H15="","",H15*D15)</f>
        <v/>
      </c>
      <c r="K15" s="34" t="inlineStr">
        <is>
          <t>Insertar → Imagen → Desde archivo</t>
        </is>
      </c>
    </row>
    <row r="16"/>
    <row r="17">
      <c r="A17" s="35" t="inlineStr">
        <is>
          <t>COSTE TOTAL INGREDIENTES</t>
        </is>
      </c>
      <c r="B17" s="49" t="n"/>
      <c r="C17" s="49" t="n"/>
      <c r="D17" s="49" t="n"/>
      <c r="E17" s="49" t="n"/>
      <c r="F17" s="49" t="n"/>
      <c r="G17" s="49" t="n"/>
      <c r="H17" s="50" t="n"/>
      <c r="I17" s="36">
        <f>SUM(I5:I15)</f>
        <v>4.766005951425342</v>
      </c>
    </row>
    <row r="18">
      <c r="A18" s="37" t="inlineStr">
        <is>
          <t>Coste elaboración (%)</t>
        </is>
      </c>
      <c r="B18" s="49" t="n"/>
      <c r="C18" s="49" t="n"/>
      <c r="D18" s="49" t="n"/>
      <c r="E18" s="49" t="n"/>
      <c r="F18" s="49" t="n"/>
      <c r="G18" s="50" t="n"/>
      <c r="H18" s="19" t="n">
        <v>0.1</v>
      </c>
      <c r="I18" s="38">
        <f>I17*H18</f>
        <v>0.4766005951425342</v>
      </c>
    </row>
    <row r="19">
      <c r="A19" s="39" t="inlineStr">
        <is>
          <t>COSTE TOTAL DEL PLATO</t>
        </is>
      </c>
      <c r="B19" s="49" t="n"/>
      <c r="C19" s="49" t="n"/>
      <c r="D19" s="49" t="n"/>
      <c r="E19" s="49" t="n"/>
      <c r="F19" s="49" t="n"/>
      <c r="G19" s="49" t="n"/>
      <c r="H19" s="50" t="n"/>
      <c r="I19" s="40">
        <f>I17+I18</f>
        <v>5.242606546567876</v>
      </c>
    </row>
    <row r="20"/>
    <row r="21">
      <c r="A21" s="41" t="inlineStr">
        <is>
          <t>Food Cost objetivo (%)</t>
        </is>
      </c>
      <c r="B21" s="49" t="n"/>
      <c r="C21" s="49" t="n"/>
      <c r="D21" s="49" t="n"/>
      <c r="E21" s="49" t="n"/>
      <c r="F21" s="49" t="n"/>
      <c r="G21" s="50" t="n"/>
      <c r="H21" s="42" t="n">
        <v>0.28</v>
      </c>
    </row>
    <row r="22">
      <c r="A22" s="43" t="inlineStr">
        <is>
          <t>PVP SUGERIDO (sin IVA)</t>
        </is>
      </c>
      <c r="B22" s="49" t="n"/>
      <c r="C22" s="49" t="n"/>
      <c r="D22" s="49" t="n"/>
      <c r="E22" s="49" t="n"/>
      <c r="F22" s="49" t="n"/>
      <c r="G22" s="49" t="n"/>
      <c r="H22" s="50" t="n"/>
      <c r="I22" s="44">
        <f>I19/H21</f>
        <v>18.723594809170983</v>
      </c>
    </row>
    <row r="23">
      <c r="A23" s="45" t="inlineStr">
        <is>
          <t>PVP CON IVA (10% hostelería)</t>
        </is>
      </c>
      <c r="B23" s="49" t="n"/>
      <c r="C23" s="49" t="n"/>
      <c r="D23" s="49" t="n"/>
      <c r="E23" s="49" t="n"/>
      <c r="F23" s="49" t="n"/>
      <c r="G23" s="49" t="n"/>
      <c r="H23" s="50" t="n"/>
      <c r="I23" s="46">
        <f>I22*1.10</f>
        <v>20.595954290088084</v>
      </c>
    </row>
    <row r="24">
      <c r="A24" s="37" t="inlineStr">
        <is>
          <t>Margen bruto (€)</t>
        </is>
      </c>
      <c r="B24" s="49" t="n"/>
      <c r="C24" s="49" t="n"/>
      <c r="D24" s="49" t="n"/>
      <c r="E24" s="49" t="n"/>
      <c r="F24" s="49" t="n"/>
      <c r="G24" s="49" t="n"/>
      <c r="H24" s="50" t="n"/>
      <c r="I24" s="38">
        <f>I22-I19</f>
        <v>13.480988262603107</v>
      </c>
    </row>
    <row r="25">
      <c r="A25" s="37" t="inlineStr">
        <is>
          <t>Margen bruto (%)</t>
        </is>
      </c>
      <c r="B25" s="49" t="n"/>
      <c r="C25" s="49" t="n"/>
      <c r="D25" s="49" t="n"/>
      <c r="E25" s="49" t="n"/>
      <c r="F25" s="49" t="n"/>
      <c r="G25" s="49" t="n"/>
      <c r="H25" s="50" t="n"/>
      <c r="I25" s="47">
        <f>I24/I22</f>
        <v>0.72</v>
      </c>
    </row>
  </sheetData>
  <mergeCells count="13">
    <mergeCell ref="K15:L15"/>
    <mergeCell ref="K8:L9"/>
    <mergeCell ref="A2:I2"/>
    <mergeCell ref="A17:H17"/>
    <mergeCell ref="A18:G18"/>
    <mergeCell ref="A22:H22"/>
    <mergeCell ref="A19:H19"/>
    <mergeCell ref="A1:I1"/>
    <mergeCell ref="A24:H24"/>
    <mergeCell ref="K3:L3"/>
    <mergeCell ref="A21:G21"/>
    <mergeCell ref="A25:H25"/>
    <mergeCell ref="A23:H23"/>
  </mergeCells>
  <dataValidations count="2">
    <dataValidation sqref="B5 B6 B7 B8 B9 B10 B11 B12 B13 B14 B15" showDropDown="0" showInputMessage="0" showErrorMessage="0" allowBlank="1" errorTitle="Categoría inválida" error="Selecciona una categoría válida" type="list">
      <formula1>"Carne roja,Aves,Pescado,Marisco,Verdura hoja,Verdura raíz,Fruta,Lácteos,Secos/granos,Congelados,Pan/bollería,Huevos,Aceites/grasas,Especias/hierbas,Chocolate/cacao,Bebidas/licores"</formula1>
    </dataValidation>
    <dataValidation sqref="C5 C6 C7 C8 C9 C10 C11 C12 C13 C14 C15 F5 F6 F7 F8 F9 F10 F11 F12 F13 F14 F15" showDropDown="0" showInputMessage="0" showErrorMessage="0" allowBlank="1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Escandallo — Cafetería y Brunch · Kit de Escandallos Pro</dc:title>
  <dc:description xmlns:dc="http://purl.org/dc/elements/1.1/">aichef.pro/kit-escandallos</dc:description>
  <dc:subject xmlns:dc="http://purl.org/dc/elements/1.1/">Kit de Escandallos Pro · v1.1</dc:subject>
  <dcterms:created xmlns:dcterms="http://purl.org/dc/terms/" xmlns:xsi="http://www.w3.org/2001/XMLSchema-instance" xsi:type="dcterms:W3CDTF">2026-03-18T21:50:24Z</dcterms:created>
  <dcterms:modified xmlns:dcterms="http://purl.org/dc/terms/" xmlns:xsi="http://www.w3.org/2001/XMLSchema-instance" xsi:type="dcterms:W3CDTF">2026-08-22T09:11:24Z</dcterms:modified>
  <cp:lastModifiedBy>AI Chef Pro</cp:lastModifiedBy>
  <cp:category>AI Chef Pro · Productos digitales</cp:category>
  <cp:keywords>kit escandallos, AI Chef Pro</cp:keywords>
</cp:coreProperties>
</file>