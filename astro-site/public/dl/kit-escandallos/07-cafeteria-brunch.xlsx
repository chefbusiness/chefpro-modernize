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ostada Aguacate" sheetId="2" state="visible" r:id="rId2"/>
    <sheet xmlns:r="http://schemas.openxmlformats.org/officeDocument/2006/relationships" name="Açaí Bowl" sheetId="3" state="visible" r:id="rId3"/>
    <sheet xmlns:r="http://schemas.openxmlformats.org/officeDocument/2006/relationships" name="Eggs Benedict" sheetId="4" state="visible" r:id="rId4"/>
    <sheet xmlns:r="http://schemas.openxmlformats.org/officeDocument/2006/relationships" name="Carrot Cake" sheetId="5" state="visible" r:id="rId5"/>
    <sheet xmlns:r="http://schemas.openxmlformats.org/officeDocument/2006/relationships" name="Conversiones" sheetId="6" state="visible" r:id="rId6"/>
    <sheet xmlns:r="http://schemas.openxmlformats.org/officeDocument/2006/relationships" name="Mermas" sheetId="7" state="visible" r:id="rId7"/>
  </sheets>
  <definedNames>
    <definedName name="_xlnm.Print_Titles" localSheetId="1">'Tostada Aguacate'!$4:$4</definedName>
    <definedName name="_xlnm.Print_Area" localSheetId="1">'Tostada Aguacate'!$A$1:$J$37</definedName>
    <definedName name="_xlnm.Print_Titles" localSheetId="2">'Açaí Bowl'!$4:$4</definedName>
    <definedName name="_xlnm.Print_Area" localSheetId="2">'Açaí Bowl'!$A$1:$J$37</definedName>
    <definedName name="_xlnm.Print_Titles" localSheetId="3">'Eggs Benedict'!$4:$4</definedName>
    <definedName name="_xlnm.Print_Area" localSheetId="3">'Eggs Benedict'!$A$1:$J$36</definedName>
    <definedName name="_xlnm.Print_Titles" localSheetId="4">'Carrot Cake'!$4:$4</definedName>
    <definedName name="_xlnm.Print_Area" localSheetId="4">'Carrot Cake'!$A$1:$J$37</definedName>
    <definedName name="_xlnm.Print_Area" localSheetId="5">'Conversiones'!$A$1:$J$67</definedName>
    <definedName name="_xlnm.Print_Area" localSheetId="6">'Mermas'!$A$1:$J$25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€"/>
    <numFmt numFmtId="165" formatCode="0.000"/>
    <numFmt numFmtId="166" formatCode="0.0%"/>
    <numFmt numFmtId="167" formatCode="0.###"/>
  </numFmts>
  <fonts count="2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D700"/>
      <sz val="12"/>
    </font>
    <font>
      <name val="Calibri"/>
      <i val="1"/>
      <color rgb="00AAAAAA"/>
      <sz val="11"/>
    </font>
    <font>
      <name val="Calibri"/>
      <i val="1"/>
      <color rgb="00BBBBBB"/>
      <sz val="9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color rgb="001A1A1A"/>
      <sz val="13"/>
    </font>
    <font>
      <name val="Calibri"/>
      <b val="1"/>
      <sz val="13"/>
    </font>
    <font>
      <name val="Calibri"/>
      <b val="1"/>
      <sz val="11"/>
    </font>
    <font>
      <name val="Calibri"/>
      <b val="1"/>
      <sz val="14"/>
    </font>
    <font>
      <b val="1"/>
      <sz val="12"/>
    </font>
    <font>
      <b val="1"/>
      <color rgb="00FFFFFF"/>
    </font>
    <font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8DC"/>
        <bgColor rgb="00FFF8DC"/>
      </patternFill>
    </fill>
    <fill>
      <patternFill patternType="solid">
        <fgColor rgb="00FFD700"/>
        <bgColor rgb="00FFD700"/>
      </patternFill>
    </fill>
    <fill>
      <patternFill patternType="solid">
        <fgColor rgb="002D2D2D"/>
      </patternFill>
    </fill>
    <fill>
      <patternFill patternType="solid">
        <fgColor rgb="00F2F2F2"/>
      </patternFill>
    </fill>
    <fill>
      <patternFill patternType="solid">
        <fgColor rgb="00E8F5E9"/>
      </patternFill>
    </fill>
  </fills>
  <borders count="20">
    <border>
      <left/>
      <right/>
      <top/>
      <bottom/>
      <diagonal/>
    </border>
    <border>
      <left style="medium">
        <color rgb="00FFD700"/>
      </left>
      <right style="medium">
        <color rgb="00FFD700"/>
      </right>
      <top style="medium">
        <color rgb="00FFD700"/>
      </top>
      <bottom style="medium">
        <color rgb="00FFD700"/>
      </bottom>
    </border>
    <border>
      <left style="medium">
        <color rgb="00FFD700"/>
      </left>
      <right style="thin">
        <color rgb="00E0E0E0"/>
      </right>
      <top style="medium">
        <color rgb="00FFD70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medium">
        <color rgb="00FFD70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medium">
        <color rgb="00FFD70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medium">
        <color rgb="00FFD700"/>
      </bottom>
    </border>
    <border>
      <left/>
      <right/>
      <top style="thin">
        <color rgb="00E0E0E0"/>
      </top>
      <bottom/>
      <diagonal/>
    </border>
    <border>
      <left style="medium">
        <color rgb="00FFD700"/>
      </left>
      <right/>
      <top/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/>
      <bottom/>
      <diagonal/>
    </border>
    <border>
      <left style="medium">
        <color rgb="00FFD700"/>
      </left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medium">
        <color rgb="00FFD700"/>
      </top>
      <bottom/>
      <diagonal/>
    </border>
    <border>
      <left/>
      <right style="medium">
        <color rgb="00FFD700"/>
      </right>
      <top style="medium">
        <color rgb="00FFD700"/>
      </top>
      <bottom/>
      <diagonal/>
    </border>
    <border>
      <left/>
      <right style="medium">
        <color rgb="00FFD700"/>
      </right>
      <top style="medium">
        <color rgb="00FFD700"/>
      </top>
      <bottom style="medium">
        <color rgb="00FFD700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3" borderId="14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5" fillId="4" borderId="14" applyAlignment="1" pivotButton="0" quotePrefix="0" xfId="0">
      <alignment horizontal="left" vertical="center" wrapText="1"/>
    </xf>
    <xf numFmtId="0" fontId="5" fillId="4" borderId="14" applyAlignment="1" pivotButton="0" quotePrefix="0" xfId="0">
      <alignment horizontal="center" vertical="center" wrapText="1"/>
    </xf>
    <xf numFmtId="164" fontId="5" fillId="4" borderId="14" applyAlignment="1" pivotButton="0" quotePrefix="0" xfId="0">
      <alignment horizontal="right" vertical="center"/>
    </xf>
    <xf numFmtId="165" fontId="5" fillId="4" borderId="14" applyAlignment="1" pivotButton="0" quotePrefix="0" xfId="0">
      <alignment horizontal="right" vertical="center"/>
    </xf>
    <xf numFmtId="9" fontId="5" fillId="4" borderId="14" applyAlignment="1" pivotButton="0" quotePrefix="0" xfId="0">
      <alignment horizontal="center" vertical="center" wrapText="1"/>
    </xf>
    <xf numFmtId="165" fontId="13" fillId="0" borderId="14" applyAlignment="1" pivotButton="0" quotePrefix="0" xfId="0">
      <alignment horizontal="right" vertical="center"/>
    </xf>
    <xf numFmtId="164" fontId="13" fillId="0" borderId="14" applyAlignment="1" pivotButton="0" quotePrefix="0" xfId="0">
      <alignment horizontal="right" vertical="center"/>
    </xf>
    <xf numFmtId="0" fontId="0" fillId="2" borderId="4" pivotButton="0" quotePrefix="0" xfId="0"/>
    <xf numFmtId="0" fontId="0" fillId="2" borderId="5" pivotButton="0" quotePrefix="0" xfId="0"/>
    <xf numFmtId="0" fontId="9" fillId="2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4" borderId="14" pivotButton="0" quotePrefix="0" xfId="0"/>
    <xf numFmtId="9" fontId="0" fillId="4" borderId="14" pivotButton="0" quotePrefix="0" xfId="0"/>
    <xf numFmtId="165" fontId="0" fillId="0" borderId="14" pivotButton="0" quotePrefix="0" xfId="0"/>
    <xf numFmtId="164" fontId="0" fillId="0" borderId="14" pivotButton="0" quotePrefix="0" xfId="0"/>
    <xf numFmtId="0" fontId="0" fillId="2" borderId="6" pivotButton="0" quotePrefix="0" xfId="0"/>
    <xf numFmtId="0" fontId="0" fillId="2" borderId="7" pivotButton="0" quotePrefix="0" xfId="0"/>
    <xf numFmtId="0" fontId="10" fillId="0" borderId="0" applyAlignment="1" pivotButton="0" quotePrefix="0" xfId="0">
      <alignment horizontal="center" vertical="center" wrapText="1"/>
    </xf>
    <xf numFmtId="0" fontId="4" fillId="5" borderId="14" applyAlignment="1" pivotButton="0" quotePrefix="0" xfId="0">
      <alignment horizontal="right" vertical="center"/>
    </xf>
    <xf numFmtId="164" fontId="4" fillId="5" borderId="14" pivotButton="0" quotePrefix="0" xfId="0"/>
    <xf numFmtId="0" fontId="5" fillId="0" borderId="14" applyAlignment="1" pivotButton="0" quotePrefix="0" xfId="0">
      <alignment horizontal="right" vertical="center"/>
    </xf>
    <xf numFmtId="164" fontId="13" fillId="0" borderId="14" pivotButton="0" quotePrefix="0" xfId="0"/>
    <xf numFmtId="0" fontId="14" fillId="6" borderId="14" applyAlignment="1" pivotButton="0" quotePrefix="0" xfId="0">
      <alignment horizontal="right" vertical="center"/>
    </xf>
    <xf numFmtId="164" fontId="15" fillId="6" borderId="14" pivotButton="0" quotePrefix="0" xfId="0"/>
    <xf numFmtId="0" fontId="13" fillId="0" borderId="14" applyAlignment="1" pivotButton="0" quotePrefix="0" xfId="0">
      <alignment horizontal="right" vertical="center"/>
    </xf>
    <xf numFmtId="9" fontId="16" fillId="4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right" vertical="center"/>
    </xf>
    <xf numFmtId="164" fontId="4" fillId="0" borderId="14" pivotButton="0" quotePrefix="0" xfId="0"/>
    <xf numFmtId="0" fontId="4" fillId="6" borderId="14" applyAlignment="1" pivotButton="0" quotePrefix="0" xfId="0">
      <alignment horizontal="right" vertical="center"/>
    </xf>
    <xf numFmtId="164" fontId="17" fillId="6" borderId="14" pivotButton="0" quotePrefix="0" xfId="0"/>
    <xf numFmtId="166" fontId="13" fillId="0" borderId="14" pivotButton="0" quotePrefix="0" xfId="0"/>
    <xf numFmtId="0" fontId="0" fillId="0" borderId="19" pivotButton="0" quotePrefix="0" xfId="0"/>
    <xf numFmtId="0" fontId="0" fillId="0" borderId="15" pivotButton="0" quotePrefix="0" xfId="0"/>
    <xf numFmtId="0" fontId="0" fillId="0" borderId="16" pivotButton="0" quotePrefix="0" xfId="0"/>
    <xf numFmtId="0" fontId="2" fillId="0" borderId="0" applyAlignment="1" pivotButton="0" quotePrefix="0" xfId="0">
      <alignment vertical="top" wrapText="1"/>
    </xf>
    <xf numFmtId="0" fontId="5" fillId="4" borderId="14" applyAlignment="1" applyProtection="1" pivotButton="0" quotePrefix="0" xfId="0">
      <alignment horizontal="left" vertical="center" wrapText="1"/>
      <protection locked="0" hidden="0"/>
    </xf>
    <xf numFmtId="0" fontId="5" fillId="4" borderId="14" applyAlignment="1" applyProtection="1" pivotButton="0" quotePrefix="0" xfId="0">
      <alignment horizontal="center" vertical="center" wrapText="1"/>
      <protection locked="0" hidden="0"/>
    </xf>
    <xf numFmtId="164" fontId="5" fillId="4" borderId="14" applyAlignment="1" applyProtection="1" pivotButton="0" quotePrefix="0" xfId="0">
      <alignment horizontal="right" vertical="center"/>
      <protection locked="0" hidden="0"/>
    </xf>
    <xf numFmtId="165" fontId="5" fillId="4" borderId="14" applyAlignment="1" applyProtection="1" pivotButton="0" quotePrefix="0" xfId="0">
      <alignment horizontal="right" vertical="center"/>
      <protection locked="0" hidden="0"/>
    </xf>
    <xf numFmtId="167" fontId="20" fillId="8" borderId="14" applyAlignment="1" pivotButton="0" quotePrefix="0" xfId="0">
      <alignment horizontal="center" vertical="center"/>
    </xf>
    <xf numFmtId="9" fontId="5" fillId="4" borderId="14" applyAlignment="1" applyProtection="1" pivotButton="0" quotePrefix="0" xfId="0">
      <alignment horizontal="center" vertical="center" wrapText="1"/>
      <protection locked="0" hidden="0"/>
    </xf>
    <xf numFmtId="0" fontId="0" fillId="4" borderId="14" applyProtection="1" pivotButton="0" quotePrefix="0" xfId="0">
      <protection locked="0" hidden="0"/>
    </xf>
    <xf numFmtId="9" fontId="0" fillId="4" borderId="14" applyProtection="1" pivotButton="0" quotePrefix="0" xfId="0">
      <protection locked="0" hidden="0"/>
    </xf>
    <xf numFmtId="9" fontId="5" fillId="9" borderId="14" applyAlignment="1" applyProtection="1" pivotButton="0" quotePrefix="0" xfId="0">
      <alignment horizontal="center" vertical="center"/>
      <protection locked="0" hidden="0"/>
    </xf>
    <xf numFmtId="1" fontId="5" fillId="9" borderId="14" applyAlignment="1" applyProtection="1" pivotButton="0" quotePrefix="0" xfId="0">
      <alignment horizontal="center" vertical="center"/>
      <protection locked="0" hidden="0"/>
    </xf>
    <xf numFmtId="9" fontId="16" fillId="9" borderId="14" applyAlignment="1" applyProtection="1" pivotButton="0" quotePrefix="0" xfId="0">
      <alignment horizontal="center" vertical="center"/>
      <protection locked="0" hidden="0"/>
    </xf>
    <xf numFmtId="164" fontId="5" fillId="9" borderId="14" applyAlignment="1" applyProtection="1" pivotButton="0" quotePrefix="0" xfId="0">
      <alignment horizontal="center" vertical="center"/>
      <protection locked="0" hidden="0"/>
    </xf>
    <xf numFmtId="166" fontId="15" fillId="6" borderId="14" pivotButton="0" quotePrefix="0" xfId="0"/>
    <xf numFmtId="0" fontId="18" fillId="0" borderId="0" pivotButton="0" quotePrefix="0" xfId="0"/>
    <xf numFmtId="0" fontId="19" fillId="7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65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📋 Escandallo — Cafetería y Brunch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5"/>
    <row r="6">
      <c r="B6" s="4" t="inlineStr">
        <is>
          <t>Cómo usar esta plantilla</t>
        </is>
      </c>
    </row>
    <row r="7">
      <c r="B7" s="5" t="n"/>
    </row>
    <row r="8">
      <c r="B8" s="6" t="inlineStr">
        <is>
          <t>▸ 4 recetas típicas de brunch y cafetería: tostada de aguacate, açaí bowl, eggs benedict y carrot cake.</t>
        </is>
      </c>
    </row>
    <row r="9">
      <c r="B9" s="6" t="inlineStr">
        <is>
          <t>▸ La carrot cake se escandalla por tanda: 12 raciones en «Nº de raciones» y el coste por porción sale solo.</t>
        </is>
      </c>
    </row>
    <row r="10">
      <c r="B10" s="6" t="inlineStr">
        <is>
          <t>▸ Food cost objetivo de referencia en cafetería: 25-30 %.</t>
        </is>
      </c>
    </row>
    <row r="11">
      <c r="B11" s="6" t="inlineStr">
        <is>
          <t>▸ Las celdas VERDES son las editables; el resto son fórmulas.</t>
        </is>
      </c>
    </row>
    <row r="12">
      <c r="B12" s="7" t="n"/>
    </row>
    <row r="13">
      <c r="B13" s="4" t="inlineStr">
        <is>
          <t>Columnas de la hoja de escandallo</t>
        </is>
      </c>
    </row>
    <row r="14">
      <c r="B14" s="8" t="n"/>
    </row>
    <row r="15">
      <c r="B15" s="6" t="inlineStr">
        <is>
          <t>▸ Ingrediente: el producto tal como lo compras.</t>
        </is>
      </c>
    </row>
    <row r="16">
      <c r="B16" s="6" t="inlineStr">
        <is>
          <t>▸ Categoría: familia del ingrediente (desplegable). Es la que precarga la merma en las filas vacías.</t>
        </is>
      </c>
    </row>
    <row r="17">
      <c r="B17" s="6" t="inlineStr">
        <is>
          <t>▸ Ud. Compra: la unidad en la que COMPRAS (kg, L, docena, manojo…).</t>
        </is>
      </c>
    </row>
    <row r="18">
      <c r="B18" s="6" t="inlineStr">
        <is>
          <t>▸ Precio/Ud (€): lo que pagas por esa unidad de compra.</t>
        </is>
      </c>
    </row>
    <row r="19">
      <c r="B19" s="6" t="inlineStr">
        <is>
          <t>▸ ¿Llevas tus precios en la plantilla 13 (Lista de Precios de Ingredientes)? Lleva su «Precio por unidad base» a «Precio/Ud (€)» con Pegado especial → Valores (en Excel, Ctrl+Alt+V y luego V) y pon esa misma unidad en «Ud. Compra». Un pegado normal arrastraría la fórmula: el precio y el coste de esa línea se quedarían en blanco sin avisar, y el coste del plato saldría más bajo.</t>
        </is>
      </c>
    </row>
    <row r="20">
      <c r="B20" s="6" t="inlineStr">
        <is>
          <t>▸ Cantidad: la que usas en el plato, EN LA UNIDAD DE USO.</t>
        </is>
      </c>
    </row>
    <row r="21">
      <c r="B21" s="6" t="inlineStr">
        <is>
          <t>▸ Ud. Uso: la unidad en la que mides al cocinar (g, ml, cl, ud…).</t>
        </is>
      </c>
    </row>
    <row r="22">
      <c r="B22" s="6" t="inlineStr">
        <is>
          <t>▸ Factor: conversión automática Ud. Compra → Ud. Uso, de la hoja «Conversiones». Si la pareja NO está en la tabla, el Factor se pone en rojo con un «?» y el Coste dice «revisa unidades»: añade la equivalencia en «Conversiones» antes de fiarte del número. Nunca da un coste plausible y falso.</t>
        </is>
      </c>
    </row>
    <row r="23">
      <c r="B23" s="6" t="inlineStr">
        <is>
          <t>▸ Merma (%): desperdicio. En las filas de ejemplo está escrita a mano; en las vacías la trae la hoja «Mermas» en cuanto eliges categoría, y puedes escribir encima.</t>
        </is>
      </c>
    </row>
    <row r="24">
      <c r="B24" s="6" t="inlineStr">
        <is>
          <t>▸ Ojo con la merma cuando mides en PIEZAS: la del 11 % de los huevos es la CÁSCARA, y sólo tiene sentido sobre el peso. Si compras y mides en unidades, déjala en 0 %: seis huevos son seis huevos, no 6,74. La misma regla vale para cualquier ingrediente que cuentes por unidad.</t>
        </is>
      </c>
    </row>
    <row r="25">
      <c r="B25" s="6" t="inlineStr">
        <is>
          <t>▸ Cant. Bruta: lo que hay que comprar contando la merma (automático).</t>
        </is>
      </c>
    </row>
    <row r="26">
      <c r="B26" s="6" t="inlineStr">
        <is>
          <t>▸ Coste (€): Cant. Bruta × Precio/Ud ÷ Factor (automático).</t>
        </is>
      </c>
    </row>
    <row r="27"/>
    <row r="28">
      <c r="B28" s="4" t="inlineStr">
        <is>
          <t>Bloque de resultado</t>
        </is>
      </c>
    </row>
    <row r="29"/>
    <row r="30">
      <c r="B30" s="6" t="inlineStr">
        <is>
          <t>▸ Coste elaboración (%): recargo sobre la materia prima para cubrir energía, envasado y pérdidas de preparación que no se escandallan línea a línea. Viene al 10 %; ponlo a 0 % si prefieres imputar esos costes aparte.</t>
        </is>
      </c>
    </row>
    <row r="31">
      <c r="B31" s="6" t="inlineStr">
        <is>
          <t>▸ COSTE TOTAL DEL PLATO: materia prima + coste de elaboración.</t>
        </is>
      </c>
    </row>
    <row r="32">
      <c r="B32" s="6" t="inlineStr">
        <is>
          <t>▸ Nº de raciones: cuántas raciones salen de lo escandallado. Déjalo en 1 si es un plato individual.</t>
        </is>
      </c>
    </row>
    <row r="33">
      <c r="B33" s="6" t="inlineStr">
        <is>
          <t>▸ COSTE POR RACIÓN: coste total ÷ raciones. Es la base del PVP.</t>
        </is>
      </c>
    </row>
    <row r="34">
      <c r="B34" s="6" t="inlineStr">
        <is>
          <t>▸ Food Cost objetivo (%): el que quieres conseguir. PVP sin IVA = coste por ración ÷ food cost objetivo.</t>
        </is>
      </c>
    </row>
    <row r="35">
      <c r="B35" s="6" t="inlineStr">
        <is>
          <t>▸ Tipo de IVA (%): editable. 10 % en hostelería en España; cámbialo si te aplica otro tipo (IGIC en Canarias, o el IVA/ITBIS/IVU de tu país en Latinoamérica).</t>
        </is>
      </c>
    </row>
    <row r="36">
      <c r="B36" s="6" t="inlineStr">
        <is>
          <t>▸ PVP actual en carta (sin IVA): lo que cobras HOY. Déjalo vacío si todavía no lo tienes.</t>
        </is>
      </c>
    </row>
    <row r="37">
      <c r="B37" s="6" t="inlineStr">
        <is>
          <t>▸ FOOD COST REAL (%): coste por ración ÷ PVP actual. Se pone en rojo en cuanto supera tu objetivo.</t>
        </is>
      </c>
    </row>
    <row r="38"/>
    <row r="39">
      <c r="B39" s="4" t="inlineStr">
        <is>
          <t>Hojas auxiliares</t>
        </is>
      </c>
    </row>
    <row r="40"/>
    <row r="41">
      <c r="B41" s="6" t="inlineStr">
        <is>
          <t>▸ «Conversiones»: equivalencias Ud. Compra → Ud. Uso. Va SIN protección: añade las parejas que te falten y corrige el tamaño de los formatos (la botella viene a 70 cl y la lata a 33 cl; si tu vino es de 75 cl, cambia el 70 por 75 en «botella→cl»).</t>
        </is>
      </c>
    </row>
    <row r="42">
      <c r="B42" s="6" t="inlineStr">
        <is>
          <t>▸ «Mermas»: merma mínima, típica y máxima por categoría. La típica es la que se precarga en las filas vacías.</t>
        </is>
      </c>
    </row>
    <row r="43"/>
    <row r="44">
      <c r="B44" s="4" t="inlineStr">
        <is>
          <t>Protección de la hoja</t>
        </is>
      </c>
    </row>
    <row r="45"/>
    <row r="46">
      <c r="B46" s="6" t="inlineStr">
        <is>
          <t>▸ Las hojas están protegidas SIN contraseña para que no borres una fórmula sin querer: sólo se escriben las celdas verdes.</t>
        </is>
      </c>
    </row>
    <row r="47">
      <c r="B47" s="6" t="inlineStr">
        <is>
          <t>▸ Para tocar cualquier otra cosa —insertar filas, pegar la foto del plato, cambiar una fórmula—: Revisar → Desproteger hoja. No pide contraseña.</t>
        </is>
      </c>
    </row>
    <row r="48">
      <c r="B48" s="6" t="inlineStr">
        <is>
          <t>▸ Si te quedas sin filas: desprotege la hoja e inserta filas DENTRO del bloque de ingredientes (clic derecho sobre una fila del bloque → Insertar), nunca debajo de la última. Así el «COSTE TOTAL INGREDIENTES» las recoge solo; lo que escribas por debajo del bloque NO suma.</t>
        </is>
      </c>
    </row>
    <row r="49">
      <c r="B49" s="6" t="inlineStr">
        <is>
          <t>▸ La foto del plato NO se puede arrastrar con la hoja protegida: primero Revisar → Desproteger hoja, y después Insertar → Imagen.</t>
        </is>
      </c>
    </row>
    <row r="50"/>
    <row r="51">
      <c r="B51" s="4" t="inlineStr">
        <is>
          <t>Referencia de mermas estándar</t>
        </is>
      </c>
    </row>
    <row r="52"/>
    <row r="53">
      <c r="B53" s="6" t="inlineStr">
        <is>
          <t>▸ Carne roja 20 % | Aves 25 % | Pescado 35 % | Marisco 45 %</t>
        </is>
      </c>
    </row>
    <row r="54">
      <c r="B54" s="6" t="inlineStr">
        <is>
          <t>▸ Verdura hoja 25 % | Verdura raíz 12 % | Verdura fruto 10 % | Fruta 15 %</t>
        </is>
      </c>
    </row>
    <row r="55">
      <c r="B55" s="6" t="inlineStr">
        <is>
          <t>▸ Lácteos 3 % | Secos/granos 2 % | Congelados 7 % | Pan/bollería 5 %</t>
        </is>
      </c>
    </row>
    <row r="56">
      <c r="B56" s="6" t="inlineStr">
        <is>
          <t>▸ Huevos 11 % | Aceites/grasas 3 % | Especias/hierbas 20 % | Chocolate/cacao 5 %</t>
        </is>
      </c>
    </row>
    <row r="57">
      <c r="B57" s="6" t="inlineStr">
        <is>
          <t>▸ Bebidas/licores 2 % | Setas/hongos 20 % | Conservas/encurtidos 8 % | Salsas/condimentos 5 %</t>
        </is>
      </c>
    </row>
    <row r="58">
      <c r="B58" s="6" t="inlineStr">
        <is>
          <t>▸ Pasta/arroz 2 %</t>
        </is>
      </c>
    </row>
    <row r="59">
      <c r="B59" s="6" t="inlineStr">
        <is>
          <t>▸ Son las 21 categorías del desplegable. La tabla completa, con mínimo y máximo, está en la hoja «Mermas».</t>
        </is>
      </c>
    </row>
    <row r="60"/>
    <row r="61">
      <c r="B61" s="6" t="inlineStr">
        <is>
          <t>— Kit de Escandallos Pro · AI Chef Pro · aichef.pro</t>
        </is>
      </c>
    </row>
    <row r="62"/>
    <row r="63">
      <c r="B63" s="6" t="inlineStr">
        <is>
          <t>© 2026 AI Chef Pro · Todos los derechos reservados</t>
        </is>
      </c>
    </row>
    <row r="64"/>
    <row r="65">
      <c r="B65" s="6" t="inlineStr">
        <is>
          <t>Versión 2.1 · septiembre 2026 · aichef.pro/kit-escandallos · info@aichef.pro</t>
        </is>
      </c>
    </row>
  </sheetData>
  <mergeCells count="1">
    <mergeCell ref="B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Tostada de Aguacate con Huevo Poché</t>
        </is>
      </c>
    </row>
    <row r="2" ht="17" customHeight="1">
      <c r="A2" s="51" t="inlineStr">
        <is>
          <t>Introduce tus ingredientes y cantidades. Las celdas verdes son editables.</t>
        </is>
      </c>
    </row>
    <row r="3">
      <c r="L3" s="10" t="inlineStr">
        <is>
          <t>📷 Foto del Plato</t>
        </is>
      </c>
      <c r="M3" s="48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52" t="inlineStr">
        <is>
          <t>Pan de masa madre (rebanada gruesa)</t>
        </is>
      </c>
      <c r="B5" s="53" t="inlineStr">
        <is>
          <t>Pan/bollería</t>
        </is>
      </c>
      <c r="C5" s="53" t="inlineStr">
        <is>
          <t>ud</t>
        </is>
      </c>
      <c r="D5" s="54" t="n">
        <v>0.6</v>
      </c>
      <c r="E5" s="55" t="n">
        <v>1</v>
      </c>
      <c r="F5" s="53" t="inlineStr">
        <is>
          <t>ud</t>
        </is>
      </c>
      <c r="G5" s="56">
        <f>IF(C5&amp;F5="","",IFERROR(VLOOKUP(C5&amp;"→"&amp;F5,Conversiones!$A$5:$B$67,2,FALSE),"?"))</f>
        <v>1.0</v>
      </c>
      <c r="H5" s="57" t="n">
        <v>0</v>
      </c>
      <c r="I5" s="20">
        <f>IFERROR(IF(E5="","",E5/(1-H5)),"revisa merma")</f>
        <v>1.0</v>
      </c>
      <c r="J5" s="21">
        <f>IF(G5="?","revisa unidades",IFERROR(I5*D5/G5,""))</f>
        <v>0.6</v>
      </c>
      <c r="L5" s="22" t="n"/>
      <c r="M5" s="23" t="n"/>
    </row>
    <row r="6" ht="28" customHeight="1">
      <c r="A6" s="52" t="inlineStr">
        <is>
          <t>Aguacate Hass (½ pieza)</t>
        </is>
      </c>
      <c r="B6" s="53" t="inlineStr">
        <is>
          <t>Fruta</t>
        </is>
      </c>
      <c r="C6" s="53" t="inlineStr">
        <is>
          <t>ud</t>
        </is>
      </c>
      <c r="D6" s="54" t="n">
        <v>1.5</v>
      </c>
      <c r="E6" s="55" t="n">
        <v>0.4</v>
      </c>
      <c r="F6" s="53" t="inlineStr">
        <is>
          <t>ud</t>
        </is>
      </c>
      <c r="G6" s="56">
        <f>IF(C6&amp;F6="","",IFERROR(VLOOKUP(C6&amp;"→"&amp;F6,Conversiones!$A$5:$B$67,2,FALSE),"?"))</f>
        <v>1.0</v>
      </c>
      <c r="H6" s="57" t="n">
        <v>0.28</v>
      </c>
      <c r="I6" s="20">
        <f>IFERROR(IF(E6="","",E6/(1-H6)),"revisa merma")</f>
        <v>0.5555555555555556</v>
      </c>
      <c r="J6" s="21">
        <f>IF(G6="?","revisa unidades",IFERROR(I6*D6/G6,""))</f>
        <v>0.8333333333333334</v>
      </c>
      <c r="L6" s="22" t="n"/>
      <c r="M6" s="23" t="n"/>
    </row>
    <row r="7" ht="28" customHeight="1">
      <c r="A7" s="52" t="inlineStr">
        <is>
          <t>Huevo campero</t>
        </is>
      </c>
      <c r="B7" s="53" t="inlineStr">
        <is>
          <t>Huevos</t>
        </is>
      </c>
      <c r="C7" s="53" t="inlineStr">
        <is>
          <t>docena</t>
        </is>
      </c>
      <c r="D7" s="54" t="n">
        <v>4.2</v>
      </c>
      <c r="E7" s="55" t="n">
        <v>1</v>
      </c>
      <c r="F7" s="53" t="inlineStr">
        <is>
          <t>ud</t>
        </is>
      </c>
      <c r="G7" s="56">
        <f>IF(C7&amp;F7="","",IFERROR(VLOOKUP(C7&amp;"→"&amp;F7,Conversiones!$A$5:$B$67,2,FALSE),"?"))</f>
        <v>12.0</v>
      </c>
      <c r="H7" s="57" t="n">
        <v>0</v>
      </c>
      <c r="I7" s="20">
        <f>IFERROR(IF(E7="","",E7/(1-H7)),"revisa merma")</f>
        <v>1.0</v>
      </c>
      <c r="J7" s="21">
        <f>IF(G7="?","revisa unidades",IFERROR(I7*D7/G7,""))</f>
        <v>0.35000000000000003</v>
      </c>
      <c r="L7" s="22" t="n"/>
      <c r="M7" s="23" t="n"/>
    </row>
    <row r="8" ht="28" customHeight="1">
      <c r="A8" s="52" t="inlineStr">
        <is>
          <t>Tomate cherry</t>
        </is>
      </c>
      <c r="B8" s="53" t="inlineStr">
        <is>
          <t>Verdura fruto</t>
        </is>
      </c>
      <c r="C8" s="53" t="inlineStr">
        <is>
          <t>kg</t>
        </is>
      </c>
      <c r="D8" s="54" t="n">
        <v>4</v>
      </c>
      <c r="E8" s="55" t="n">
        <v>0.04</v>
      </c>
      <c r="F8" s="53" t="inlineStr">
        <is>
          <t>kg</t>
        </is>
      </c>
      <c r="G8" s="56">
        <f>IF(C8&amp;F8="","",IFERROR(VLOOKUP(C8&amp;"→"&amp;F8,Conversiones!$A$5:$B$67,2,FALSE),"?"))</f>
        <v>1.0</v>
      </c>
      <c r="H8" s="57" t="n">
        <v>0.05</v>
      </c>
      <c r="I8" s="20">
        <f>IFERROR(IF(E8="","",E8/(1-H8)),"revisa merma")</f>
        <v>0.04210526315789474</v>
      </c>
      <c r="J8" s="21">
        <f>IF(G8="?","revisa unidades",IFERROR(I8*D8/G8,""))</f>
        <v>0.16842105263157897</v>
      </c>
      <c r="L8" s="24" t="inlineStr">
        <is>
          <t>Foto del plato terminado:
Revisar → Desproteger hoja,
luego Insertar → Imagen</t>
        </is>
      </c>
      <c r="M8" s="25" t="n"/>
    </row>
    <row r="9" ht="28" customHeight="1">
      <c r="A9" s="52" t="inlineStr">
        <is>
          <t>Semillas mix</t>
        </is>
      </c>
      <c r="B9" s="53" t="inlineStr">
        <is>
          <t>Secos/granos</t>
        </is>
      </c>
      <c r="C9" s="53" t="inlineStr">
        <is>
          <t>kg</t>
        </is>
      </c>
      <c r="D9" s="54" t="n">
        <v>10</v>
      </c>
      <c r="E9" s="55" t="n">
        <v>0.01</v>
      </c>
      <c r="F9" s="53" t="inlineStr">
        <is>
          <t>kg</t>
        </is>
      </c>
      <c r="G9" s="56">
        <f>IF(C9&amp;F9="","",IFERROR(VLOOKUP(C9&amp;"→"&amp;F9,Conversiones!$A$5:$B$67,2,FALSE),"?"))</f>
        <v>1.0</v>
      </c>
      <c r="H9" s="57" t="n">
        <v>0.02</v>
      </c>
      <c r="I9" s="20">
        <f>IFERROR(IF(E9="","",E9/(1-H9)),"revisa merma")</f>
        <v>0.010204081632653062</v>
      </c>
      <c r="J9" s="21">
        <f>IF(G9="?","revisa unidades",IFERROR(I9*D9/G9,""))</f>
        <v>0.10204081632653061</v>
      </c>
      <c r="L9" s="26" t="n"/>
      <c r="M9" s="27" t="n"/>
    </row>
    <row r="10" ht="28" customHeight="1">
      <c r="A10" s="52" t="inlineStr">
        <is>
          <t>AOVE</t>
        </is>
      </c>
      <c r="B10" s="53" t="inlineStr">
        <is>
          <t>Aceites/grasas</t>
        </is>
      </c>
      <c r="C10" s="53" t="inlineStr">
        <is>
          <t>L</t>
        </is>
      </c>
      <c r="D10" s="54" t="n">
        <v>7.5</v>
      </c>
      <c r="E10" s="55" t="n">
        <v>0.01</v>
      </c>
      <c r="F10" s="53" t="inlineStr">
        <is>
          <t>L</t>
        </is>
      </c>
      <c r="G10" s="56">
        <f>IF(C10&amp;F10="","",IFERROR(VLOOKUP(C10&amp;"→"&amp;F10,Conversiones!$A$5:$B$67,2,FALSE),"?"))</f>
        <v>1.0</v>
      </c>
      <c r="H10" s="57" t="n">
        <v>0.03</v>
      </c>
      <c r="I10" s="20">
        <f>IFERROR(IF(E10="","",E10/(1-H10)),"revisa merma")</f>
        <v>0.010309278350515464</v>
      </c>
      <c r="J10" s="21">
        <f>IF(G10="?","revisa unidades",IFERROR(I10*D10/G10,""))</f>
        <v>0.07731958762886598</v>
      </c>
      <c r="L10" s="22" t="n"/>
      <c r="M10" s="23" t="n"/>
    </row>
    <row r="11" ht="28" customHeight="1">
      <c r="A11" s="52" t="inlineStr">
        <is>
          <t>Sal en escamas</t>
        </is>
      </c>
      <c r="B11" s="53" t="inlineStr">
        <is>
          <t>Secos/granos</t>
        </is>
      </c>
      <c r="C11" s="53" t="inlineStr">
        <is>
          <t>kg</t>
        </is>
      </c>
      <c r="D11" s="54" t="n">
        <v>15</v>
      </c>
      <c r="E11" s="55" t="n">
        <v>0.002</v>
      </c>
      <c r="F11" s="53" t="inlineStr">
        <is>
          <t>kg</t>
        </is>
      </c>
      <c r="G11" s="56">
        <f>IF(C11&amp;F11="","",IFERROR(VLOOKUP(C11&amp;"→"&amp;F11,Conversiones!$A$5:$B$67,2,FALSE),"?"))</f>
        <v>1.0</v>
      </c>
      <c r="H11" s="57" t="n">
        <v>0.02</v>
      </c>
      <c r="I11" s="20">
        <f>IFERROR(IF(E11="","",E11/(1-H11)),"revisa merma")</f>
        <v>0.0020408163265306124</v>
      </c>
      <c r="J11" s="21">
        <f>IF(G11="?","revisa unidades",IFERROR(I11*D11/G11,""))</f>
        <v>0.030612244897959186</v>
      </c>
      <c r="L11" s="22" t="n"/>
      <c r="M11" s="23" t="n"/>
    </row>
    <row r="12" ht="28" customHeight="1">
      <c r="A12" s="58" t="n"/>
      <c r="B12" s="58" t="n"/>
      <c r="C12" s="58" t="n"/>
      <c r="D12" s="58" t="n"/>
      <c r="E12" s="58" t="n"/>
      <c r="F12" s="58" t="n"/>
      <c r="G12" s="56">
        <f>IF(C12&amp;F12="","",IFERROR(VLOOKUP(C12&amp;"→"&amp;F12,Conversiones!$A$5:$B$67,2,FALSE),"?"))</f>
        <v/>
      </c>
      <c r="H12" s="59">
        <f>IFERROR(VLOOKUP(B12,Mermas!$A$5:$C$25,2,FALSE),"")</f>
        <v/>
      </c>
      <c r="I12" s="30">
        <f>IFERROR(IF(E12="","",E12/(1-H12)),"revisa merma")</f>
        <v/>
      </c>
      <c r="J12" s="31">
        <f>IF(G12="?","revisa unidades",IFERROR(I12*D12/G12,""))</f>
        <v/>
      </c>
      <c r="L12" s="22" t="n"/>
      <c r="M12" s="23" t="n"/>
    </row>
    <row r="13" ht="28" customHeight="1">
      <c r="A13" s="58" t="n"/>
      <c r="B13" s="58" t="n"/>
      <c r="C13" s="58" t="n"/>
      <c r="D13" s="58" t="n"/>
      <c r="E13" s="58" t="n"/>
      <c r="F13" s="58" t="n"/>
      <c r="G13" s="56">
        <f>IF(C13&amp;F13="","",IFERROR(VLOOKUP(C13&amp;"→"&amp;F13,Conversiones!$A$5:$B$67,2,FALSE),"?"))</f>
        <v/>
      </c>
      <c r="H13" s="59">
        <f>IFERROR(VLOOKUP(B13,Mermas!$A$5:$C$25,2,FALSE),"")</f>
        <v/>
      </c>
      <c r="I13" s="30">
        <f>IFERROR(IF(E13="","",E13/(1-H13)),"revisa merma")</f>
        <v/>
      </c>
      <c r="J13" s="31">
        <f>IF(G13="?","revisa unidades",IFERROR(I13*D13/G13,""))</f>
        <v/>
      </c>
      <c r="L13" s="22" t="n"/>
      <c r="M13" s="23" t="n"/>
    </row>
    <row r="14" ht="28" customHeight="1">
      <c r="A14" s="58" t="n"/>
      <c r="B14" s="58" t="n"/>
      <c r="C14" s="58" t="n"/>
      <c r="D14" s="58" t="n"/>
      <c r="E14" s="58" t="n"/>
      <c r="F14" s="58" t="n"/>
      <c r="G14" s="56">
        <f>IF(C14&amp;F14="","",IFERROR(VLOOKUP(C14&amp;"→"&amp;F14,Conversiones!$A$5:$B$67,2,FALSE),"?"))</f>
        <v/>
      </c>
      <c r="H14" s="59">
        <f>IFERROR(VLOOKUP(B14,Mermas!$A$5:$C$25,2,FALSE),"")</f>
        <v/>
      </c>
      <c r="I14" s="30">
        <f>IFERROR(IF(E14="","",E14/(1-H14)),"revisa merma")</f>
        <v/>
      </c>
      <c r="J14" s="31">
        <f>IF(G14="?","revisa unidades",IFERROR(I14*D14/G14,""))</f>
        <v/>
      </c>
      <c r="L14" s="32" t="n"/>
      <c r="M14" s="33" t="n"/>
    </row>
    <row r="15">
      <c r="A15" s="58" t="n"/>
      <c r="B15" s="58" t="n"/>
      <c r="C15" s="58" t="n"/>
      <c r="D15" s="58" t="n"/>
      <c r="E15" s="58" t="n"/>
      <c r="F15" s="58" t="n"/>
      <c r="G15" s="56">
        <f>IF(C15&amp;F15="","",IFERROR(VLOOKUP(C15&amp;"→"&amp;F15,Conversiones!$A$5:$B$67,2,FALSE),"?"))</f>
        <v/>
      </c>
      <c r="H15" s="59">
        <f>IFERROR(VLOOKUP(B15,Mermas!$A$5:$C$25,2,FALSE),"")</f>
        <v/>
      </c>
      <c r="I15" s="30">
        <f>IFERROR(IF(E15="","",E15/(1-H15)),"revisa merma")</f>
        <v/>
      </c>
      <c r="J15" s="31">
        <f>IF(G15="?","revisa unidades",IFERROR(I15*D15/G15,""))</f>
        <v/>
      </c>
      <c r="L15" s="34" t="n"/>
    </row>
    <row r="16">
      <c r="A16" s="58" t="n"/>
      <c r="B16" s="58" t="n"/>
      <c r="C16" s="58" t="n"/>
      <c r="D16" s="58" t="n"/>
      <c r="E16" s="58" t="n"/>
      <c r="F16" s="58" t="n"/>
      <c r="G16" s="56">
        <f>IF(C16&amp;F16="","",IFERROR(VLOOKUP(C16&amp;"→"&amp;F16,Conversiones!$A$5:$B$67,2,FALSE),"?"))</f>
        <v/>
      </c>
      <c r="H16" s="59">
        <f>IFERROR(VLOOKUP(B16,Mermas!$A$5:$C$25,2,FALSE),"")</f>
        <v/>
      </c>
      <c r="I16" s="30">
        <f>IFERROR(IF(E16="","",E16/(1-H16)),"revisa merma")</f>
        <v/>
      </c>
      <c r="J16" s="31">
        <f>IF(G16="?","revisa unidades",IFERROR(I16*D16/G16,""))</f>
        <v/>
      </c>
    </row>
    <row r="17">
      <c r="A17" s="58" t="n"/>
      <c r="B17" s="58" t="n"/>
      <c r="C17" s="58" t="n"/>
      <c r="D17" s="58" t="n"/>
      <c r="E17" s="58" t="n"/>
      <c r="F17" s="58" t="n"/>
      <c r="G17" s="56">
        <f>IF(C17&amp;F17="","",IFERROR(VLOOKUP(C17&amp;"→"&amp;F17,Conversiones!$A$5:$B$67,2,FALSE),"?"))</f>
        <v/>
      </c>
      <c r="H17" s="59">
        <f>IFERROR(VLOOKUP(B17,Mermas!$A$5:$C$25,2,FALSE),"")</f>
        <v/>
      </c>
      <c r="I17" s="30">
        <f>IFERROR(IF(E17="","",E17/(1-H17)),"revisa merma")</f>
        <v/>
      </c>
      <c r="J17" s="31">
        <f>IF(G17="?","revisa unidades",IFERROR(I17*D17/G17,""))</f>
        <v/>
      </c>
    </row>
    <row r="18">
      <c r="A18" s="58" t="n"/>
      <c r="B18" s="58" t="n"/>
      <c r="C18" s="58" t="n"/>
      <c r="D18" s="58" t="n"/>
      <c r="E18" s="58" t="n"/>
      <c r="F18" s="58" t="n"/>
      <c r="G18" s="56">
        <f>IF(C18&amp;F18="","",IFERROR(VLOOKUP(C18&amp;"→"&amp;F18,Conversiones!$A$5:$B$67,2,FALSE),"?"))</f>
        <v/>
      </c>
      <c r="H18" s="59">
        <f>IFERROR(VLOOKUP(B18,Mermas!$A$5:$C$25,2,FALSE),"")</f>
        <v/>
      </c>
      <c r="I18" s="30">
        <f>IFERROR(IF(E18="","",E18/(1-H18)),"revisa merma")</f>
        <v/>
      </c>
      <c r="J18" s="31">
        <f>IF(G18="?","revisa unidades",IFERROR(I18*D18/G18,""))</f>
        <v/>
      </c>
    </row>
    <row r="19">
      <c r="A19" s="58" t="n"/>
      <c r="B19" s="58" t="n"/>
      <c r="C19" s="58" t="n"/>
      <c r="D19" s="58" t="n"/>
      <c r="E19" s="58" t="n"/>
      <c r="F19" s="58" t="n"/>
      <c r="G19" s="56">
        <f>IF(C19&amp;F19="","",IFERROR(VLOOKUP(C19&amp;"→"&amp;F19,Conversiones!$A$5:$B$67,2,FALSE),"?"))</f>
        <v/>
      </c>
      <c r="H19" s="59">
        <f>IFERROR(VLOOKUP(B19,Mermas!$A$5:$C$25,2,FALSE),"")</f>
        <v/>
      </c>
      <c r="I19" s="30">
        <f>IFERROR(IF(E19="","",E19/(1-H19)),"revisa merma")</f>
        <v/>
      </c>
      <c r="J19" s="31">
        <f>IF(G19="?","revisa unidades",IFERROR(I19*D19/G19,""))</f>
        <v/>
      </c>
    </row>
    <row r="20">
      <c r="A20" s="58" t="n"/>
      <c r="B20" s="58" t="n"/>
      <c r="C20" s="58" t="n"/>
      <c r="D20" s="58" t="n"/>
      <c r="E20" s="58" t="n"/>
      <c r="F20" s="58" t="n"/>
      <c r="G20" s="56">
        <f>IF(C20&amp;F20="","",IFERROR(VLOOKUP(C20&amp;"→"&amp;F20,Conversiones!$A$5:$B$67,2,FALSE),"?"))</f>
        <v/>
      </c>
      <c r="H20" s="59">
        <f>IFERROR(VLOOKUP(B20,Mermas!$A$5:$C$25,2,FALSE),"")</f>
        <v/>
      </c>
      <c r="I20" s="30">
        <f>IFERROR(IF(E20="","",E20/(1-H20)),"revisa merma")</f>
        <v/>
      </c>
      <c r="J20" s="31">
        <f>IF(G20="?","revisa unidades",IFERROR(I20*D20/G20,""))</f>
        <v/>
      </c>
    </row>
    <row r="21">
      <c r="A21" s="58" t="n"/>
      <c r="B21" s="58" t="n"/>
      <c r="C21" s="58" t="n"/>
      <c r="D21" s="58" t="n"/>
      <c r="E21" s="58" t="n"/>
      <c r="F21" s="58" t="n"/>
      <c r="G21" s="56">
        <f>IF(C21&amp;F21="","",IFERROR(VLOOKUP(C21&amp;"→"&amp;F21,Conversiones!$A$5:$B$67,2,FALSE),"?"))</f>
        <v/>
      </c>
      <c r="H21" s="59">
        <f>IFERROR(VLOOKUP(B21,Mermas!$A$5:$C$25,2,FALSE),"")</f>
        <v/>
      </c>
      <c r="I21" s="30">
        <f>IFERROR(IF(E21="","",E21/(1-H21)),"revisa merma")</f>
        <v/>
      </c>
      <c r="J21" s="31">
        <f>IF(G21="?","revisa unidades",IFERROR(I21*D21/G21,""))</f>
        <v/>
      </c>
    </row>
    <row r="22"/>
    <row r="23">
      <c r="A23" s="35" t="inlineStr">
        <is>
          <t>COSTE TOTAL INGREDIENTES</t>
        </is>
      </c>
      <c r="B23" s="49" t="n"/>
      <c r="C23" s="49" t="n"/>
      <c r="D23" s="49" t="n"/>
      <c r="E23" s="49" t="n"/>
      <c r="F23" s="49" t="n"/>
      <c r="G23" s="49" t="n"/>
      <c r="H23" s="49" t="n"/>
      <c r="I23" s="50" t="n"/>
      <c r="J23" s="36">
        <f>SUM(J5:J21)</f>
        <v>2.1617270348182687</v>
      </c>
    </row>
    <row r="24">
      <c r="A24" s="37" t="inlineStr">
        <is>
          <t>Coste elaboración (%)</t>
        </is>
      </c>
      <c r="B24" s="49" t="n"/>
      <c r="C24" s="49" t="n"/>
      <c r="D24" s="49" t="n"/>
      <c r="E24" s="49" t="n"/>
      <c r="F24" s="49" t="n"/>
      <c r="G24" s="49" t="n"/>
      <c r="H24" s="50" t="n"/>
      <c r="I24" s="60" t="n">
        <v>0.1</v>
      </c>
      <c r="J24" s="38">
        <f>J23*I24</f>
        <v>0.21617270348182688</v>
      </c>
    </row>
    <row r="25">
      <c r="A25" s="39" t="inlineStr">
        <is>
          <t>COSTE TOTAL DEL PLATO</t>
        </is>
      </c>
      <c r="B25" s="49" t="n"/>
      <c r="C25" s="49" t="n"/>
      <c r="D25" s="49" t="n"/>
      <c r="E25" s="49" t="n"/>
      <c r="F25" s="49" t="n"/>
      <c r="G25" s="49" t="n"/>
      <c r="H25" s="49" t="n"/>
      <c r="I25" s="50" t="n"/>
      <c r="J25" s="40">
        <f>J23+J24</f>
        <v>2.3778997383000955</v>
      </c>
    </row>
    <row r="26">
      <c r="A26" s="37" t="inlineStr">
        <is>
          <t>Nº de raciones</t>
        </is>
      </c>
      <c r="B26" s="49" t="n"/>
      <c r="C26" s="49" t="n"/>
      <c r="D26" s="49" t="n"/>
      <c r="E26" s="49" t="n"/>
      <c r="F26" s="49" t="n"/>
      <c r="G26" s="49" t="n"/>
      <c r="H26" s="50" t="n"/>
      <c r="I26" s="61" t="n">
        <v>1</v>
      </c>
      <c r="J26" s="38" t="n"/>
    </row>
    <row r="27">
      <c r="A27" s="39" t="inlineStr">
        <is>
          <t>COSTE POR RACIÓN</t>
        </is>
      </c>
      <c r="B27" s="49" t="n"/>
      <c r="C27" s="49" t="n"/>
      <c r="D27" s="49" t="n"/>
      <c r="E27" s="49" t="n"/>
      <c r="F27" s="49" t="n"/>
      <c r="G27" s="49" t="n"/>
      <c r="H27" s="49" t="n"/>
      <c r="I27" s="50" t="n"/>
      <c r="J27" s="40">
        <f>IFERROR(J25/I26,"")</f>
        <v>2.3778997383000955</v>
      </c>
    </row>
    <row r="28"/>
    <row r="29">
      <c r="A29" s="41" t="inlineStr">
        <is>
          <t>Food Cost objetivo (%)</t>
        </is>
      </c>
      <c r="B29" s="49" t="n"/>
      <c r="C29" s="49" t="n"/>
      <c r="D29" s="49" t="n"/>
      <c r="E29" s="49" t="n"/>
      <c r="F29" s="49" t="n"/>
      <c r="G29" s="49" t="n"/>
      <c r="H29" s="50" t="n"/>
      <c r="I29" s="62" t="n">
        <v>0.28</v>
      </c>
    </row>
    <row r="30">
      <c r="A30" s="43" t="inlineStr">
        <is>
          <t>PVP SUGERIDO (sin IVA)</t>
        </is>
      </c>
      <c r="B30" s="49" t="n"/>
      <c r="C30" s="49" t="n"/>
      <c r="D30" s="49" t="n"/>
      <c r="E30" s="49" t="n"/>
      <c r="F30" s="49" t="n"/>
      <c r="G30" s="49" t="n"/>
      <c r="H30" s="49" t="n"/>
      <c r="I30" s="50" t="n"/>
      <c r="J30" s="44">
        <f>IFERROR(J27/I29,"")</f>
        <v>8.492499065357483</v>
      </c>
    </row>
    <row r="31">
      <c r="A31" s="37" t="inlineStr">
        <is>
          <t>Tipo de IVA (%)</t>
        </is>
      </c>
      <c r="B31" s="49" t="n"/>
      <c r="C31" s="49" t="n"/>
      <c r="D31" s="49" t="n"/>
      <c r="E31" s="49" t="n"/>
      <c r="F31" s="49" t="n"/>
      <c r="G31" s="49" t="n"/>
      <c r="H31" s="50" t="n"/>
      <c r="I31" s="60" t="n">
        <v>0.1</v>
      </c>
      <c r="J31" s="38" t="n"/>
    </row>
    <row r="32">
      <c r="A32" s="39" t="inlineStr">
        <is>
          <t>PVP CON IVA</t>
        </is>
      </c>
      <c r="B32" s="49" t="n"/>
      <c r="C32" s="49" t="n"/>
      <c r="D32" s="49" t="n"/>
      <c r="E32" s="49" t="n"/>
      <c r="F32" s="49" t="n"/>
      <c r="G32" s="49" t="n"/>
      <c r="H32" s="49" t="n"/>
      <c r="I32" s="50" t="n"/>
      <c r="J32" s="40">
        <f>IFERROR(J30*(1+I31),"")</f>
        <v>9.341748971893233</v>
      </c>
    </row>
    <row r="33">
      <c r="A33" s="43" t="inlineStr">
        <is>
          <t>Margen bruto (€)</t>
        </is>
      </c>
      <c r="B33" s="49" t="n"/>
      <c r="C33" s="49" t="n"/>
      <c r="D33" s="49" t="n"/>
      <c r="E33" s="49" t="n"/>
      <c r="F33" s="49" t="n"/>
      <c r="G33" s="49" t="n"/>
      <c r="H33" s="49" t="n"/>
      <c r="I33" s="50" t="n"/>
      <c r="J33" s="44">
        <f>IFERROR(J30-J27,"")</f>
        <v>6.1145993270573875</v>
      </c>
    </row>
    <row r="34">
      <c r="A34" s="37" t="inlineStr">
        <is>
          <t>Margen bruto (%)</t>
        </is>
      </c>
      <c r="B34" s="49" t="n"/>
      <c r="C34" s="49" t="n"/>
      <c r="D34" s="49" t="n"/>
      <c r="E34" s="49" t="n"/>
      <c r="F34" s="49" t="n"/>
      <c r="G34" s="49" t="n"/>
      <c r="H34" s="49" t="n"/>
      <c r="I34" s="50" t="n"/>
      <c r="J34" s="47">
        <f>IFERROR((J30-J27)/J30,"")</f>
        <v>0.72</v>
      </c>
    </row>
    <row r="35"/>
    <row r="36">
      <c r="A36" s="37" t="inlineStr">
        <is>
          <t>PVP actual en carta (sin IVA)</t>
        </is>
      </c>
      <c r="B36" s="49" t="n"/>
      <c r="C36" s="49" t="n"/>
      <c r="D36" s="49" t="n"/>
      <c r="E36" s="49" t="n"/>
      <c r="F36" s="49" t="n"/>
      <c r="G36" s="49" t="n"/>
      <c r="H36" s="50" t="n"/>
      <c r="I36" s="63" t="n"/>
      <c r="J36" s="38" t="n"/>
    </row>
    <row r="37">
      <c r="A37" s="39" t="inlineStr">
        <is>
          <t>FOOD COST REAL (%)</t>
        </is>
      </c>
      <c r="B37" s="49" t="n"/>
      <c r="C37" s="49" t="n"/>
      <c r="D37" s="49" t="n"/>
      <c r="E37" s="49" t="n"/>
      <c r="F37" s="49" t="n"/>
      <c r="G37" s="49" t="n"/>
      <c r="H37" s="49" t="n"/>
      <c r="I37" s="50" t="n"/>
      <c r="J37" s="64">
        <f>IFERROR(J27/I36,"")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L15:M15"/>
    <mergeCell ref="A37:I37"/>
    <mergeCell ref="A23:I23"/>
    <mergeCell ref="A25:I25"/>
    <mergeCell ref="A34:I34"/>
    <mergeCell ref="A30:I30"/>
    <mergeCell ref="A31:H31"/>
    <mergeCell ref="A36:H36"/>
    <mergeCell ref="L8:M9"/>
    <mergeCell ref="A32:I32"/>
    <mergeCell ref="A2:J2"/>
    <mergeCell ref="A26:H26"/>
    <mergeCell ref="A29:H29"/>
    <mergeCell ref="A33:I33"/>
    <mergeCell ref="A24:H24"/>
    <mergeCell ref="L3:M3"/>
    <mergeCell ref="A27:I27"/>
    <mergeCell ref="A1:J1"/>
  </mergeCells>
  <conditionalFormatting sqref="G5:G21">
    <cfRule type="cellIs" priority="1" operator="equal" dxfId="0">
      <formula>"?"</formula>
    </cfRule>
  </conditionalFormatting>
  <conditionalFormatting sqref="J37">
    <cfRule type="expression" priority="2" dxfId="0" stopIfTrue="0">
      <formula>AND(ISNUMBER($J$37),$J$37&gt;$I$29)</formula>
    </cfRule>
  </conditionalFormatting>
  <dataValidations count="2">
    <dataValidation sqref="B5:B21" showDropDown="0" showInputMessage="0" showErrorMessage="1" allowBlank="1" errorTitle="Valor no válido" error="Elige una categoría de la lista (hoja «Mermas»)." type="list">
      <formula1>Mermas!$A$5:$A$25</formula1>
    </dataValidation>
    <dataValidation sqref="C5:C21 F5:F21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Açaí Bowl con Granola y Fruta</t>
        </is>
      </c>
    </row>
    <row r="2" ht="17" customHeight="1">
      <c r="A2" s="51" t="inlineStr">
        <is>
          <t>Introduce tus ingredientes y cantidades. Las celdas verdes son editables.</t>
        </is>
      </c>
    </row>
    <row r="3">
      <c r="L3" s="10" t="inlineStr">
        <is>
          <t>📷 Foto del Plato</t>
        </is>
      </c>
      <c r="M3" s="48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52" t="inlineStr">
        <is>
          <t>Açaí congelado</t>
        </is>
      </c>
      <c r="B5" s="53" t="inlineStr">
        <is>
          <t>Congelados</t>
        </is>
      </c>
      <c r="C5" s="53" t="inlineStr">
        <is>
          <t>kg</t>
        </is>
      </c>
      <c r="D5" s="54" t="n">
        <v>22</v>
      </c>
      <c r="E5" s="55" t="n">
        <v>0.1</v>
      </c>
      <c r="F5" s="53" t="inlineStr">
        <is>
          <t>kg</t>
        </is>
      </c>
      <c r="G5" s="56">
        <f>IF(C5&amp;F5="","",IFERROR(VLOOKUP(C5&amp;"→"&amp;F5,Conversiones!$A$5:$B$67,2,FALSE),"?"))</f>
        <v>1.0</v>
      </c>
      <c r="H5" s="57" t="n">
        <v>0.07000000000000001</v>
      </c>
      <c r="I5" s="20">
        <f>IFERROR(IF(E5="","",E5/(1-H5)),"revisa merma")</f>
        <v>0.10752688172043012</v>
      </c>
      <c r="J5" s="21">
        <f>IF(G5="?","revisa unidades",IFERROR(I5*D5/G5,""))</f>
        <v>2.365591397849463</v>
      </c>
      <c r="L5" s="22" t="n"/>
      <c r="M5" s="23" t="n"/>
    </row>
    <row r="6" ht="28" customHeight="1">
      <c r="A6" s="52" t="inlineStr">
        <is>
          <t>Plátano</t>
        </is>
      </c>
      <c r="B6" s="53" t="inlineStr">
        <is>
          <t>Fruta</t>
        </is>
      </c>
      <c r="C6" s="53" t="inlineStr">
        <is>
          <t>kg</t>
        </is>
      </c>
      <c r="D6" s="54" t="n">
        <v>1.5</v>
      </c>
      <c r="E6" s="55" t="n">
        <v>0.12</v>
      </c>
      <c r="F6" s="53" t="inlineStr">
        <is>
          <t>kg</t>
        </is>
      </c>
      <c r="G6" s="56">
        <f>IF(C6&amp;F6="","",IFERROR(VLOOKUP(C6&amp;"→"&amp;F6,Conversiones!$A$5:$B$67,2,FALSE),"?"))</f>
        <v>1.0</v>
      </c>
      <c r="H6" s="57" t="n">
        <v>0.25</v>
      </c>
      <c r="I6" s="20">
        <f>IFERROR(IF(E6="","",E6/(1-H6)),"revisa merma")</f>
        <v>0.16</v>
      </c>
      <c r="J6" s="21">
        <f>IF(G6="?","revisa unidades",IFERROR(I6*D6/G6,""))</f>
        <v>0.24</v>
      </c>
      <c r="L6" s="22" t="n"/>
      <c r="M6" s="23" t="n"/>
    </row>
    <row r="7" ht="28" customHeight="1">
      <c r="A7" s="52" t="inlineStr">
        <is>
          <t>Leche de avena</t>
        </is>
      </c>
      <c r="B7" s="53" t="inlineStr">
        <is>
          <t>Bebidas/licores</t>
        </is>
      </c>
      <c r="C7" s="53" t="inlineStr">
        <is>
          <t>L</t>
        </is>
      </c>
      <c r="D7" s="54" t="n">
        <v>2.5</v>
      </c>
      <c r="E7" s="55" t="n">
        <v>0.08</v>
      </c>
      <c r="F7" s="53" t="inlineStr">
        <is>
          <t>L</t>
        </is>
      </c>
      <c r="G7" s="56">
        <f>IF(C7&amp;F7="","",IFERROR(VLOOKUP(C7&amp;"→"&amp;F7,Conversiones!$A$5:$B$67,2,FALSE),"?"))</f>
        <v>1.0</v>
      </c>
      <c r="H7" s="57" t="n">
        <v>0.03</v>
      </c>
      <c r="I7" s="20">
        <f>IFERROR(IF(E7="","",E7/(1-H7)),"revisa merma")</f>
        <v>0.08247422680412371</v>
      </c>
      <c r="J7" s="21">
        <f>IF(G7="?","revisa unidades",IFERROR(I7*D7/G7,""))</f>
        <v>0.20618556701030927</v>
      </c>
      <c r="L7" s="22" t="n"/>
      <c r="M7" s="23" t="n"/>
    </row>
    <row r="8" ht="28" customHeight="1">
      <c r="A8" s="52" t="inlineStr">
        <is>
          <t>Granola artesanal</t>
        </is>
      </c>
      <c r="B8" s="53" t="inlineStr">
        <is>
          <t>Secos/granos</t>
        </is>
      </c>
      <c r="C8" s="53" t="inlineStr">
        <is>
          <t>kg</t>
        </is>
      </c>
      <c r="D8" s="54" t="n">
        <v>8</v>
      </c>
      <c r="E8" s="55" t="n">
        <v>0.04</v>
      </c>
      <c r="F8" s="53" t="inlineStr">
        <is>
          <t>kg</t>
        </is>
      </c>
      <c r="G8" s="56">
        <f>IF(C8&amp;F8="","",IFERROR(VLOOKUP(C8&amp;"→"&amp;F8,Conversiones!$A$5:$B$67,2,FALSE),"?"))</f>
        <v>1.0</v>
      </c>
      <c r="H8" s="57" t="n">
        <v>0.02</v>
      </c>
      <c r="I8" s="20">
        <f>IFERROR(IF(E8="","",E8/(1-H8)),"revisa merma")</f>
        <v>0.04081632653061225</v>
      </c>
      <c r="J8" s="21">
        <f>IF(G8="?","revisa unidades",IFERROR(I8*D8/G8,""))</f>
        <v>0.326530612244898</v>
      </c>
      <c r="L8" s="24" t="inlineStr">
        <is>
          <t>Foto del plato terminado:
Revisar → Desproteger hoja,
luego Insertar → Imagen</t>
        </is>
      </c>
      <c r="M8" s="25" t="n"/>
    </row>
    <row r="9" ht="28" customHeight="1">
      <c r="A9" s="52" t="inlineStr">
        <is>
          <t>Arándanos</t>
        </is>
      </c>
      <c r="B9" s="53" t="inlineStr">
        <is>
          <t>Fruta</t>
        </is>
      </c>
      <c r="C9" s="53" t="inlineStr">
        <is>
          <t>kg</t>
        </is>
      </c>
      <c r="D9" s="54" t="n">
        <v>12</v>
      </c>
      <c r="E9" s="55" t="n">
        <v>0.03</v>
      </c>
      <c r="F9" s="53" t="inlineStr">
        <is>
          <t>kg</t>
        </is>
      </c>
      <c r="G9" s="56">
        <f>IF(C9&amp;F9="","",IFERROR(VLOOKUP(C9&amp;"→"&amp;F9,Conversiones!$A$5:$B$67,2,FALSE),"?"))</f>
        <v>1.0</v>
      </c>
      <c r="H9" s="57" t="n">
        <v>0.05</v>
      </c>
      <c r="I9" s="20">
        <f>IFERROR(IF(E9="","",E9/(1-H9)),"revisa merma")</f>
        <v>0.031578947368421054</v>
      </c>
      <c r="J9" s="21">
        <f>IF(G9="?","revisa unidades",IFERROR(I9*D9/G9,""))</f>
        <v>0.37894736842105264</v>
      </c>
      <c r="L9" s="26" t="n"/>
      <c r="M9" s="27" t="n"/>
    </row>
    <row r="10" ht="28" customHeight="1">
      <c r="A10" s="52" t="inlineStr">
        <is>
          <t>Coco rallado</t>
        </is>
      </c>
      <c r="B10" s="53" t="inlineStr">
        <is>
          <t>Secos/granos</t>
        </is>
      </c>
      <c r="C10" s="53" t="inlineStr">
        <is>
          <t>kg</t>
        </is>
      </c>
      <c r="D10" s="54" t="n">
        <v>7</v>
      </c>
      <c r="E10" s="55" t="n">
        <v>0.01</v>
      </c>
      <c r="F10" s="53" t="inlineStr">
        <is>
          <t>kg</t>
        </is>
      </c>
      <c r="G10" s="56">
        <f>IF(C10&amp;F10="","",IFERROR(VLOOKUP(C10&amp;"→"&amp;F10,Conversiones!$A$5:$B$67,2,FALSE),"?"))</f>
        <v>1.0</v>
      </c>
      <c r="H10" s="57" t="n">
        <v>0.02</v>
      </c>
      <c r="I10" s="20">
        <f>IFERROR(IF(E10="","",E10/(1-H10)),"revisa merma")</f>
        <v>0.010204081632653062</v>
      </c>
      <c r="J10" s="21">
        <f>IF(G10="?","revisa unidades",IFERROR(I10*D10/G10,""))</f>
        <v>0.07142857142857144</v>
      </c>
      <c r="L10" s="22" t="n"/>
      <c r="M10" s="23" t="n"/>
    </row>
    <row r="11" ht="28" customHeight="1">
      <c r="A11" s="52" t="inlineStr">
        <is>
          <t>Miel</t>
        </is>
      </c>
      <c r="B11" s="53" t="inlineStr">
        <is>
          <t>Secos/granos</t>
        </is>
      </c>
      <c r="C11" s="53" t="inlineStr">
        <is>
          <t>kg</t>
        </is>
      </c>
      <c r="D11" s="54" t="n">
        <v>10</v>
      </c>
      <c r="E11" s="55" t="n">
        <v>0.015</v>
      </c>
      <c r="F11" s="53" t="inlineStr">
        <is>
          <t>kg</t>
        </is>
      </c>
      <c r="G11" s="56">
        <f>IF(C11&amp;F11="","",IFERROR(VLOOKUP(C11&amp;"→"&amp;F11,Conversiones!$A$5:$B$67,2,FALSE),"?"))</f>
        <v>1.0</v>
      </c>
      <c r="H11" s="57" t="n">
        <v>0.03</v>
      </c>
      <c r="I11" s="20">
        <f>IFERROR(IF(E11="","",E11/(1-H11)),"revisa merma")</f>
        <v>0.015463917525773196</v>
      </c>
      <c r="J11" s="21">
        <f>IF(G11="?","revisa unidades",IFERROR(I11*D11/G11,""))</f>
        <v>0.15463917525773196</v>
      </c>
      <c r="L11" s="22" t="n"/>
      <c r="M11" s="23" t="n"/>
    </row>
    <row r="12" ht="28" customHeight="1">
      <c r="A12" s="58" t="n"/>
      <c r="B12" s="58" t="n"/>
      <c r="C12" s="58" t="n"/>
      <c r="D12" s="58" t="n"/>
      <c r="E12" s="58" t="n"/>
      <c r="F12" s="58" t="n"/>
      <c r="G12" s="56">
        <f>IF(C12&amp;F12="","",IFERROR(VLOOKUP(C12&amp;"→"&amp;F12,Conversiones!$A$5:$B$67,2,FALSE),"?"))</f>
        <v/>
      </c>
      <c r="H12" s="59">
        <f>IFERROR(VLOOKUP(B12,Mermas!$A$5:$C$25,2,FALSE),"")</f>
        <v/>
      </c>
      <c r="I12" s="30">
        <f>IFERROR(IF(E12="","",E12/(1-H12)),"revisa merma")</f>
        <v/>
      </c>
      <c r="J12" s="31">
        <f>IF(G12="?","revisa unidades",IFERROR(I12*D12/G12,""))</f>
        <v/>
      </c>
      <c r="L12" s="22" t="n"/>
      <c r="M12" s="23" t="n"/>
    </row>
    <row r="13" ht="28" customHeight="1">
      <c r="A13" s="58" t="n"/>
      <c r="B13" s="58" t="n"/>
      <c r="C13" s="58" t="n"/>
      <c r="D13" s="58" t="n"/>
      <c r="E13" s="58" t="n"/>
      <c r="F13" s="58" t="n"/>
      <c r="G13" s="56">
        <f>IF(C13&amp;F13="","",IFERROR(VLOOKUP(C13&amp;"→"&amp;F13,Conversiones!$A$5:$B$67,2,FALSE),"?"))</f>
        <v/>
      </c>
      <c r="H13" s="59">
        <f>IFERROR(VLOOKUP(B13,Mermas!$A$5:$C$25,2,FALSE),"")</f>
        <v/>
      </c>
      <c r="I13" s="30">
        <f>IFERROR(IF(E13="","",E13/(1-H13)),"revisa merma")</f>
        <v/>
      </c>
      <c r="J13" s="31">
        <f>IF(G13="?","revisa unidades",IFERROR(I13*D13/G13,""))</f>
        <v/>
      </c>
      <c r="L13" s="22" t="n"/>
      <c r="M13" s="23" t="n"/>
    </row>
    <row r="14" ht="28" customHeight="1">
      <c r="A14" s="58" t="n"/>
      <c r="B14" s="58" t="n"/>
      <c r="C14" s="58" t="n"/>
      <c r="D14" s="58" t="n"/>
      <c r="E14" s="58" t="n"/>
      <c r="F14" s="58" t="n"/>
      <c r="G14" s="56">
        <f>IF(C14&amp;F14="","",IFERROR(VLOOKUP(C14&amp;"→"&amp;F14,Conversiones!$A$5:$B$67,2,FALSE),"?"))</f>
        <v/>
      </c>
      <c r="H14" s="59">
        <f>IFERROR(VLOOKUP(B14,Mermas!$A$5:$C$25,2,FALSE),"")</f>
        <v/>
      </c>
      <c r="I14" s="30">
        <f>IFERROR(IF(E14="","",E14/(1-H14)),"revisa merma")</f>
        <v/>
      </c>
      <c r="J14" s="31">
        <f>IF(G14="?","revisa unidades",IFERROR(I14*D14/G14,""))</f>
        <v/>
      </c>
      <c r="L14" s="32" t="n"/>
      <c r="M14" s="33" t="n"/>
    </row>
    <row r="15">
      <c r="A15" s="58" t="n"/>
      <c r="B15" s="58" t="n"/>
      <c r="C15" s="58" t="n"/>
      <c r="D15" s="58" t="n"/>
      <c r="E15" s="58" t="n"/>
      <c r="F15" s="58" t="n"/>
      <c r="G15" s="56">
        <f>IF(C15&amp;F15="","",IFERROR(VLOOKUP(C15&amp;"→"&amp;F15,Conversiones!$A$5:$B$67,2,FALSE),"?"))</f>
        <v/>
      </c>
      <c r="H15" s="59">
        <f>IFERROR(VLOOKUP(B15,Mermas!$A$5:$C$25,2,FALSE),"")</f>
        <v/>
      </c>
      <c r="I15" s="30">
        <f>IFERROR(IF(E15="","",E15/(1-H15)),"revisa merma")</f>
        <v/>
      </c>
      <c r="J15" s="31">
        <f>IF(G15="?","revisa unidades",IFERROR(I15*D15/G15,""))</f>
        <v/>
      </c>
      <c r="L15" s="34" t="n"/>
    </row>
    <row r="16">
      <c r="A16" s="58" t="n"/>
      <c r="B16" s="58" t="n"/>
      <c r="C16" s="58" t="n"/>
      <c r="D16" s="58" t="n"/>
      <c r="E16" s="58" t="n"/>
      <c r="F16" s="58" t="n"/>
      <c r="G16" s="56">
        <f>IF(C16&amp;F16="","",IFERROR(VLOOKUP(C16&amp;"→"&amp;F16,Conversiones!$A$5:$B$67,2,FALSE),"?"))</f>
        <v/>
      </c>
      <c r="H16" s="59">
        <f>IFERROR(VLOOKUP(B16,Mermas!$A$5:$C$25,2,FALSE),"")</f>
        <v/>
      </c>
      <c r="I16" s="30">
        <f>IFERROR(IF(E16="","",E16/(1-H16)),"revisa merma")</f>
        <v/>
      </c>
      <c r="J16" s="31">
        <f>IF(G16="?","revisa unidades",IFERROR(I16*D16/G16,""))</f>
        <v/>
      </c>
    </row>
    <row r="17">
      <c r="A17" s="58" t="n"/>
      <c r="B17" s="58" t="n"/>
      <c r="C17" s="58" t="n"/>
      <c r="D17" s="58" t="n"/>
      <c r="E17" s="58" t="n"/>
      <c r="F17" s="58" t="n"/>
      <c r="G17" s="56">
        <f>IF(C17&amp;F17="","",IFERROR(VLOOKUP(C17&amp;"→"&amp;F17,Conversiones!$A$5:$B$67,2,FALSE),"?"))</f>
        <v/>
      </c>
      <c r="H17" s="59">
        <f>IFERROR(VLOOKUP(B17,Mermas!$A$5:$C$25,2,FALSE),"")</f>
        <v/>
      </c>
      <c r="I17" s="30">
        <f>IFERROR(IF(E17="","",E17/(1-H17)),"revisa merma")</f>
        <v/>
      </c>
      <c r="J17" s="31">
        <f>IF(G17="?","revisa unidades",IFERROR(I17*D17/G17,""))</f>
        <v/>
      </c>
    </row>
    <row r="18">
      <c r="A18" s="58" t="n"/>
      <c r="B18" s="58" t="n"/>
      <c r="C18" s="58" t="n"/>
      <c r="D18" s="58" t="n"/>
      <c r="E18" s="58" t="n"/>
      <c r="F18" s="58" t="n"/>
      <c r="G18" s="56">
        <f>IF(C18&amp;F18="","",IFERROR(VLOOKUP(C18&amp;"→"&amp;F18,Conversiones!$A$5:$B$67,2,FALSE),"?"))</f>
        <v/>
      </c>
      <c r="H18" s="59">
        <f>IFERROR(VLOOKUP(B18,Mermas!$A$5:$C$25,2,FALSE),"")</f>
        <v/>
      </c>
      <c r="I18" s="30">
        <f>IFERROR(IF(E18="","",E18/(1-H18)),"revisa merma")</f>
        <v/>
      </c>
      <c r="J18" s="31">
        <f>IF(G18="?","revisa unidades",IFERROR(I18*D18/G18,""))</f>
        <v/>
      </c>
    </row>
    <row r="19">
      <c r="A19" s="58" t="n"/>
      <c r="B19" s="58" t="n"/>
      <c r="C19" s="58" t="n"/>
      <c r="D19" s="58" t="n"/>
      <c r="E19" s="58" t="n"/>
      <c r="F19" s="58" t="n"/>
      <c r="G19" s="56">
        <f>IF(C19&amp;F19="","",IFERROR(VLOOKUP(C19&amp;"→"&amp;F19,Conversiones!$A$5:$B$67,2,FALSE),"?"))</f>
        <v/>
      </c>
      <c r="H19" s="59">
        <f>IFERROR(VLOOKUP(B19,Mermas!$A$5:$C$25,2,FALSE),"")</f>
        <v/>
      </c>
      <c r="I19" s="30">
        <f>IFERROR(IF(E19="","",E19/(1-H19)),"revisa merma")</f>
        <v/>
      </c>
      <c r="J19" s="31">
        <f>IF(G19="?","revisa unidades",IFERROR(I19*D19/G19,""))</f>
        <v/>
      </c>
    </row>
    <row r="20">
      <c r="A20" s="58" t="n"/>
      <c r="B20" s="58" t="n"/>
      <c r="C20" s="58" t="n"/>
      <c r="D20" s="58" t="n"/>
      <c r="E20" s="58" t="n"/>
      <c r="F20" s="58" t="n"/>
      <c r="G20" s="56">
        <f>IF(C20&amp;F20="","",IFERROR(VLOOKUP(C20&amp;"→"&amp;F20,Conversiones!$A$5:$B$67,2,FALSE),"?"))</f>
        <v/>
      </c>
      <c r="H20" s="59">
        <f>IFERROR(VLOOKUP(B20,Mermas!$A$5:$C$25,2,FALSE),"")</f>
        <v/>
      </c>
      <c r="I20" s="30">
        <f>IFERROR(IF(E20="","",E20/(1-H20)),"revisa merma")</f>
        <v/>
      </c>
      <c r="J20" s="31">
        <f>IF(G20="?","revisa unidades",IFERROR(I20*D20/G20,""))</f>
        <v/>
      </c>
    </row>
    <row r="21">
      <c r="A21" s="58" t="n"/>
      <c r="B21" s="58" t="n"/>
      <c r="C21" s="58" t="n"/>
      <c r="D21" s="58" t="n"/>
      <c r="E21" s="58" t="n"/>
      <c r="F21" s="58" t="n"/>
      <c r="G21" s="56">
        <f>IF(C21&amp;F21="","",IFERROR(VLOOKUP(C21&amp;"→"&amp;F21,Conversiones!$A$5:$B$67,2,FALSE),"?"))</f>
        <v/>
      </c>
      <c r="H21" s="59">
        <f>IFERROR(VLOOKUP(B21,Mermas!$A$5:$C$25,2,FALSE),"")</f>
        <v/>
      </c>
      <c r="I21" s="30">
        <f>IFERROR(IF(E21="","",E21/(1-H21)),"revisa merma")</f>
        <v/>
      </c>
      <c r="J21" s="31">
        <f>IF(G21="?","revisa unidades",IFERROR(I21*D21/G21,""))</f>
        <v/>
      </c>
    </row>
    <row r="22"/>
    <row r="23">
      <c r="A23" s="35" t="inlineStr">
        <is>
          <t>COSTE TOTAL INGREDIENTES</t>
        </is>
      </c>
      <c r="B23" s="49" t="n"/>
      <c r="C23" s="49" t="n"/>
      <c r="D23" s="49" t="n"/>
      <c r="E23" s="49" t="n"/>
      <c r="F23" s="49" t="n"/>
      <c r="G23" s="49" t="n"/>
      <c r="H23" s="49" t="n"/>
      <c r="I23" s="50" t="n"/>
      <c r="J23" s="36">
        <f>SUM(J5:J21)</f>
        <v>3.7433226922120264</v>
      </c>
    </row>
    <row r="24">
      <c r="A24" s="37" t="inlineStr">
        <is>
          <t>Coste elaboración (%)</t>
        </is>
      </c>
      <c r="B24" s="49" t="n"/>
      <c r="C24" s="49" t="n"/>
      <c r="D24" s="49" t="n"/>
      <c r="E24" s="49" t="n"/>
      <c r="F24" s="49" t="n"/>
      <c r="G24" s="49" t="n"/>
      <c r="H24" s="50" t="n"/>
      <c r="I24" s="60" t="n">
        <v>0.1</v>
      </c>
      <c r="J24" s="38">
        <f>J23*I24</f>
        <v>0.37433226922120266</v>
      </c>
    </row>
    <row r="25">
      <c r="A25" s="39" t="inlineStr">
        <is>
          <t>COSTE TOTAL DEL PLATO</t>
        </is>
      </c>
      <c r="B25" s="49" t="n"/>
      <c r="C25" s="49" t="n"/>
      <c r="D25" s="49" t="n"/>
      <c r="E25" s="49" t="n"/>
      <c r="F25" s="49" t="n"/>
      <c r="G25" s="49" t="n"/>
      <c r="H25" s="49" t="n"/>
      <c r="I25" s="50" t="n"/>
      <c r="J25" s="40">
        <f>J23+J24</f>
        <v>4.117654961433229</v>
      </c>
    </row>
    <row r="26">
      <c r="A26" s="37" t="inlineStr">
        <is>
          <t>Nº de raciones</t>
        </is>
      </c>
      <c r="B26" s="49" t="n"/>
      <c r="C26" s="49" t="n"/>
      <c r="D26" s="49" t="n"/>
      <c r="E26" s="49" t="n"/>
      <c r="F26" s="49" t="n"/>
      <c r="G26" s="49" t="n"/>
      <c r="H26" s="50" t="n"/>
      <c r="I26" s="61" t="n">
        <v>1</v>
      </c>
      <c r="J26" s="38" t="n"/>
    </row>
    <row r="27">
      <c r="A27" s="39" t="inlineStr">
        <is>
          <t>COSTE POR RACIÓN</t>
        </is>
      </c>
      <c r="B27" s="49" t="n"/>
      <c r="C27" s="49" t="n"/>
      <c r="D27" s="49" t="n"/>
      <c r="E27" s="49" t="n"/>
      <c r="F27" s="49" t="n"/>
      <c r="G27" s="49" t="n"/>
      <c r="H27" s="49" t="n"/>
      <c r="I27" s="50" t="n"/>
      <c r="J27" s="40">
        <f>IFERROR(J25/I26,"")</f>
        <v>4.117654961433229</v>
      </c>
    </row>
    <row r="28"/>
    <row r="29">
      <c r="A29" s="41" t="inlineStr">
        <is>
          <t>Food Cost objetivo (%)</t>
        </is>
      </c>
      <c r="B29" s="49" t="n"/>
      <c r="C29" s="49" t="n"/>
      <c r="D29" s="49" t="n"/>
      <c r="E29" s="49" t="n"/>
      <c r="F29" s="49" t="n"/>
      <c r="G29" s="49" t="n"/>
      <c r="H29" s="50" t="n"/>
      <c r="I29" s="62" t="n">
        <v>0.28</v>
      </c>
    </row>
    <row r="30">
      <c r="A30" s="43" t="inlineStr">
        <is>
          <t>PVP SUGERIDO (sin IVA)</t>
        </is>
      </c>
      <c r="B30" s="49" t="n"/>
      <c r="C30" s="49" t="n"/>
      <c r="D30" s="49" t="n"/>
      <c r="E30" s="49" t="n"/>
      <c r="F30" s="49" t="n"/>
      <c r="G30" s="49" t="n"/>
      <c r="H30" s="49" t="n"/>
      <c r="I30" s="50" t="n"/>
      <c r="J30" s="44">
        <f>IFERROR(J27/I29,"")</f>
        <v>14.705910576547245</v>
      </c>
    </row>
    <row r="31">
      <c r="A31" s="37" t="inlineStr">
        <is>
          <t>Tipo de IVA (%)</t>
        </is>
      </c>
      <c r="B31" s="49" t="n"/>
      <c r="C31" s="49" t="n"/>
      <c r="D31" s="49" t="n"/>
      <c r="E31" s="49" t="n"/>
      <c r="F31" s="49" t="n"/>
      <c r="G31" s="49" t="n"/>
      <c r="H31" s="50" t="n"/>
      <c r="I31" s="60" t="n">
        <v>0.1</v>
      </c>
      <c r="J31" s="38" t="n"/>
    </row>
    <row r="32">
      <c r="A32" s="39" t="inlineStr">
        <is>
          <t>PVP CON IVA</t>
        </is>
      </c>
      <c r="B32" s="49" t="n"/>
      <c r="C32" s="49" t="n"/>
      <c r="D32" s="49" t="n"/>
      <c r="E32" s="49" t="n"/>
      <c r="F32" s="49" t="n"/>
      <c r="G32" s="49" t="n"/>
      <c r="H32" s="49" t="n"/>
      <c r="I32" s="50" t="n"/>
      <c r="J32" s="40">
        <f>IFERROR(J30*(1+I31),"")</f>
        <v>16.17650163420197</v>
      </c>
    </row>
    <row r="33">
      <c r="A33" s="43" t="inlineStr">
        <is>
          <t>Margen bruto (€)</t>
        </is>
      </c>
      <c r="B33" s="49" t="n"/>
      <c r="C33" s="49" t="n"/>
      <c r="D33" s="49" t="n"/>
      <c r="E33" s="49" t="n"/>
      <c r="F33" s="49" t="n"/>
      <c r="G33" s="49" t="n"/>
      <c r="H33" s="49" t="n"/>
      <c r="I33" s="50" t="n"/>
      <c r="J33" s="44">
        <f>IFERROR(J30-J27,"")</f>
        <v>10.588255615114015</v>
      </c>
    </row>
    <row r="34">
      <c r="A34" s="37" t="inlineStr">
        <is>
          <t>Margen bruto (%)</t>
        </is>
      </c>
      <c r="B34" s="49" t="n"/>
      <c r="C34" s="49" t="n"/>
      <c r="D34" s="49" t="n"/>
      <c r="E34" s="49" t="n"/>
      <c r="F34" s="49" t="n"/>
      <c r="G34" s="49" t="n"/>
      <c r="H34" s="49" t="n"/>
      <c r="I34" s="50" t="n"/>
      <c r="J34" s="47">
        <f>IFERROR((J30-J27)/J30,"")</f>
        <v>0.7199999999999999</v>
      </c>
    </row>
    <row r="35"/>
    <row r="36">
      <c r="A36" s="37" t="inlineStr">
        <is>
          <t>PVP actual en carta (sin IVA)</t>
        </is>
      </c>
      <c r="B36" s="49" t="n"/>
      <c r="C36" s="49" t="n"/>
      <c r="D36" s="49" t="n"/>
      <c r="E36" s="49" t="n"/>
      <c r="F36" s="49" t="n"/>
      <c r="G36" s="49" t="n"/>
      <c r="H36" s="50" t="n"/>
      <c r="I36" s="63" t="n"/>
      <c r="J36" s="38" t="n"/>
    </row>
    <row r="37">
      <c r="A37" s="39" t="inlineStr">
        <is>
          <t>FOOD COST REAL (%)</t>
        </is>
      </c>
      <c r="B37" s="49" t="n"/>
      <c r="C37" s="49" t="n"/>
      <c r="D37" s="49" t="n"/>
      <c r="E37" s="49" t="n"/>
      <c r="F37" s="49" t="n"/>
      <c r="G37" s="49" t="n"/>
      <c r="H37" s="49" t="n"/>
      <c r="I37" s="50" t="n"/>
      <c r="J37" s="64">
        <f>IFERROR(J27/I36,"")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L15:M15"/>
    <mergeCell ref="A37:I37"/>
    <mergeCell ref="A23:I23"/>
    <mergeCell ref="A25:I25"/>
    <mergeCell ref="A34:I34"/>
    <mergeCell ref="A30:I30"/>
    <mergeCell ref="A31:H31"/>
    <mergeCell ref="A36:H36"/>
    <mergeCell ref="L8:M9"/>
    <mergeCell ref="A32:I32"/>
    <mergeCell ref="A2:J2"/>
    <mergeCell ref="A26:H26"/>
    <mergeCell ref="A29:H29"/>
    <mergeCell ref="A33:I33"/>
    <mergeCell ref="A24:H24"/>
    <mergeCell ref="L3:M3"/>
    <mergeCell ref="A27:I27"/>
    <mergeCell ref="A1:J1"/>
  </mergeCells>
  <conditionalFormatting sqref="G5:G21">
    <cfRule type="cellIs" priority="1" operator="equal" dxfId="0">
      <formula>"?"</formula>
    </cfRule>
  </conditionalFormatting>
  <conditionalFormatting sqref="J37">
    <cfRule type="expression" priority="2" dxfId="0" stopIfTrue="0">
      <formula>AND(ISNUMBER($J$37),$J$37&gt;$I$29)</formula>
    </cfRule>
  </conditionalFormatting>
  <dataValidations count="2">
    <dataValidation sqref="B5:B21" showDropDown="0" showInputMessage="0" showErrorMessage="1" allowBlank="1" errorTitle="Valor no válido" error="Elige una categoría de la lista (hoja «Mermas»)." type="list">
      <formula1>Mermas!$A$5:$A$25</formula1>
    </dataValidation>
    <dataValidation sqref="C5:C21 F5:F21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Eggs Benedict con Salmón Ahumado</t>
        </is>
      </c>
    </row>
    <row r="2" ht="17" customHeight="1">
      <c r="A2" s="51" t="inlineStr">
        <is>
          <t>Introduce tus ingredientes y cantidades. Las celdas verdes son editables.</t>
        </is>
      </c>
    </row>
    <row r="3">
      <c r="L3" s="10" t="inlineStr">
        <is>
          <t>📷 Foto del Plato</t>
        </is>
      </c>
      <c r="M3" s="48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52" t="inlineStr">
        <is>
          <t>English muffin</t>
        </is>
      </c>
      <c r="B5" s="53" t="inlineStr">
        <is>
          <t>Pan/bollería</t>
        </is>
      </c>
      <c r="C5" s="53" t="inlineStr">
        <is>
          <t>ud</t>
        </is>
      </c>
      <c r="D5" s="54" t="n">
        <v>0.4</v>
      </c>
      <c r="E5" s="55" t="n">
        <v>2</v>
      </c>
      <c r="F5" s="53" t="inlineStr">
        <is>
          <t>ud</t>
        </is>
      </c>
      <c r="G5" s="56">
        <f>IF(C5&amp;F5="","",IFERROR(VLOOKUP(C5&amp;"→"&amp;F5,Conversiones!$A$5:$B$67,2,FALSE),"?"))</f>
        <v>1.0</v>
      </c>
      <c r="H5" s="57" t="n">
        <v>0</v>
      </c>
      <c r="I5" s="20">
        <f>IFERROR(IF(E5="","",E5/(1-H5)),"revisa merma")</f>
        <v>2.0</v>
      </c>
      <c r="J5" s="21">
        <f>IF(G5="?","revisa unidades",IFERROR(I5*D5/G5,""))</f>
        <v>0.8</v>
      </c>
      <c r="L5" s="22" t="n"/>
      <c r="M5" s="23" t="n"/>
    </row>
    <row r="6" ht="28" customHeight="1">
      <c r="A6" s="52" t="inlineStr">
        <is>
          <t>Huevo campero</t>
        </is>
      </c>
      <c r="B6" s="53" t="inlineStr">
        <is>
          <t>Huevos</t>
        </is>
      </c>
      <c r="C6" s="53" t="inlineStr">
        <is>
          <t>docena</t>
        </is>
      </c>
      <c r="D6" s="54" t="n">
        <v>4.2</v>
      </c>
      <c r="E6" s="55" t="n">
        <v>2</v>
      </c>
      <c r="F6" s="53" t="inlineStr">
        <is>
          <t>ud</t>
        </is>
      </c>
      <c r="G6" s="56">
        <f>IF(C6&amp;F6="","",IFERROR(VLOOKUP(C6&amp;"→"&amp;F6,Conversiones!$A$5:$B$67,2,FALSE),"?"))</f>
        <v>12.0</v>
      </c>
      <c r="H6" s="57" t="n">
        <v>0</v>
      </c>
      <c r="I6" s="20">
        <f>IFERROR(IF(E6="","",E6/(1-H6)),"revisa merma")</f>
        <v>2.0</v>
      </c>
      <c r="J6" s="21">
        <f>IF(G6="?","revisa unidades",IFERROR(I6*D6/G6,""))</f>
        <v>0.7000000000000001</v>
      </c>
      <c r="L6" s="22" t="n"/>
      <c r="M6" s="23" t="n"/>
    </row>
    <row r="7" ht="28" customHeight="1">
      <c r="A7" s="52" t="inlineStr">
        <is>
          <t>Salmón ahumado</t>
        </is>
      </c>
      <c r="B7" s="53" t="inlineStr">
        <is>
          <t>Pescado</t>
        </is>
      </c>
      <c r="C7" s="53" t="inlineStr">
        <is>
          <t>kg</t>
        </is>
      </c>
      <c r="D7" s="54" t="n">
        <v>35</v>
      </c>
      <c r="E7" s="55" t="n">
        <v>0.06</v>
      </c>
      <c r="F7" s="53" t="inlineStr">
        <is>
          <t>kg</t>
        </is>
      </c>
      <c r="G7" s="56">
        <f>IF(C7&amp;F7="","",IFERROR(VLOOKUP(C7&amp;"→"&amp;F7,Conversiones!$A$5:$B$67,2,FALSE),"?"))</f>
        <v>1.0</v>
      </c>
      <c r="H7" s="57" t="n">
        <v>0.05</v>
      </c>
      <c r="I7" s="20">
        <f>IFERROR(IF(E7="","",E7/(1-H7)),"revisa merma")</f>
        <v>0.06315789473684211</v>
      </c>
      <c r="J7" s="21">
        <f>IF(G7="?","revisa unidades",IFERROR(I7*D7/G7,""))</f>
        <v>2.210526315789474</v>
      </c>
      <c r="L7" s="22" t="n"/>
      <c r="M7" s="23" t="n"/>
    </row>
    <row r="8" ht="28" customHeight="1">
      <c r="A8" s="52" t="inlineStr">
        <is>
          <t>Mantequilla (hollandaise)</t>
        </is>
      </c>
      <c r="B8" s="53" t="inlineStr">
        <is>
          <t>Lácteos</t>
        </is>
      </c>
      <c r="C8" s="53" t="inlineStr">
        <is>
          <t>kg</t>
        </is>
      </c>
      <c r="D8" s="54" t="n">
        <v>9</v>
      </c>
      <c r="E8" s="55" t="n">
        <v>0.05</v>
      </c>
      <c r="F8" s="53" t="inlineStr">
        <is>
          <t>kg</t>
        </is>
      </c>
      <c r="G8" s="56">
        <f>IF(C8&amp;F8="","",IFERROR(VLOOKUP(C8&amp;"→"&amp;F8,Conversiones!$A$5:$B$67,2,FALSE),"?"))</f>
        <v>1.0</v>
      </c>
      <c r="H8" s="57" t="n">
        <v>0.03</v>
      </c>
      <c r="I8" s="20">
        <f>IFERROR(IF(E8="","",E8/(1-H8)),"revisa merma")</f>
        <v>0.051546391752577324</v>
      </c>
      <c r="J8" s="21">
        <f>IF(G8="?","revisa unidades",IFERROR(I8*D8/G8,""))</f>
        <v>0.4639175257731959</v>
      </c>
      <c r="L8" s="24" t="inlineStr">
        <is>
          <t>Foto del plato terminado:
Revisar → Desproteger hoja,
luego Insertar → Imagen</t>
        </is>
      </c>
      <c r="M8" s="25" t="n"/>
    </row>
    <row r="9" ht="28" customHeight="1">
      <c r="A9" s="52" t="inlineStr">
        <is>
          <t>Limón</t>
        </is>
      </c>
      <c r="B9" s="53" t="inlineStr">
        <is>
          <t>Fruta</t>
        </is>
      </c>
      <c r="C9" s="53" t="inlineStr">
        <is>
          <t>kg</t>
        </is>
      </c>
      <c r="D9" s="54" t="n">
        <v>2.5</v>
      </c>
      <c r="E9" s="55" t="n">
        <v>0.01</v>
      </c>
      <c r="F9" s="53" t="inlineStr">
        <is>
          <t>kg</t>
        </is>
      </c>
      <c r="G9" s="56">
        <f>IF(C9&amp;F9="","",IFERROR(VLOOKUP(C9&amp;"→"&amp;F9,Conversiones!$A$5:$B$67,2,FALSE),"?"))</f>
        <v>1.0</v>
      </c>
      <c r="H9" s="57" t="n">
        <v>0.28</v>
      </c>
      <c r="I9" s="20">
        <f>IFERROR(IF(E9="","",E9/(1-H9)),"revisa merma")</f>
        <v>0.01388888888888889</v>
      </c>
      <c r="J9" s="21">
        <f>IF(G9="?","revisa unidades",IFERROR(I9*D9/G9,""))</f>
        <v>0.034722222222222224</v>
      </c>
      <c r="L9" s="26" t="n"/>
      <c r="M9" s="27" t="n"/>
    </row>
    <row r="10" ht="28" customHeight="1">
      <c r="A10" s="52" t="inlineStr">
        <is>
          <t>Cebollino (1 rama ≈ 1/12 manojo)</t>
        </is>
      </c>
      <c r="B10" s="53" t="inlineStr">
        <is>
          <t>Especias/hierbas</t>
        </is>
      </c>
      <c r="C10" s="53" t="inlineStr">
        <is>
          <t>manojo</t>
        </is>
      </c>
      <c r="D10" s="54" t="n">
        <v>1.5</v>
      </c>
      <c r="E10" s="55" t="n">
        <v>0.083</v>
      </c>
      <c r="F10" s="53" t="inlineStr">
        <is>
          <t>manojo</t>
        </is>
      </c>
      <c r="G10" s="56">
        <f>IF(C10&amp;F10="","",IFERROR(VLOOKUP(C10&amp;"→"&amp;F10,Conversiones!$A$5:$B$67,2,FALSE),"?"))</f>
        <v>1.0</v>
      </c>
      <c r="H10" s="57" t="n">
        <v>0.2</v>
      </c>
      <c r="I10" s="20">
        <f>IFERROR(IF(E10="","",E10/(1-H10)),"revisa merma")</f>
        <v>0.10375</v>
      </c>
      <c r="J10" s="21">
        <f>IF(G10="?","revisa unidades",IFERROR(I10*D10/G10,""))</f>
        <v>0.15562499999999999</v>
      </c>
      <c r="L10" s="22" t="n"/>
      <c r="M10" s="23" t="n"/>
    </row>
    <row r="11" ht="28" customHeight="1">
      <c r="A11" s="58" t="n"/>
      <c r="B11" s="58" t="n"/>
      <c r="C11" s="58" t="n"/>
      <c r="D11" s="58" t="n"/>
      <c r="E11" s="58" t="n"/>
      <c r="F11" s="58" t="n"/>
      <c r="G11" s="56">
        <f>IF(C11&amp;F11="","",IFERROR(VLOOKUP(C11&amp;"→"&amp;F11,Conversiones!$A$5:$B$67,2,FALSE),"?"))</f>
        <v/>
      </c>
      <c r="H11" s="59">
        <f>IFERROR(VLOOKUP(B11,Mermas!$A$5:$C$25,2,FALSE),"")</f>
        <v/>
      </c>
      <c r="I11" s="30">
        <f>IFERROR(IF(E11="","",E11/(1-H11)),"revisa merma")</f>
        <v/>
      </c>
      <c r="J11" s="31">
        <f>IF(G11="?","revisa unidades",IFERROR(I11*D11/G11,""))</f>
        <v/>
      </c>
      <c r="L11" s="22" t="n"/>
      <c r="M11" s="23" t="n"/>
    </row>
    <row r="12" ht="28" customHeight="1">
      <c r="A12" s="58" t="n"/>
      <c r="B12" s="58" t="n"/>
      <c r="C12" s="58" t="n"/>
      <c r="D12" s="58" t="n"/>
      <c r="E12" s="58" t="n"/>
      <c r="F12" s="58" t="n"/>
      <c r="G12" s="56">
        <f>IF(C12&amp;F12="","",IFERROR(VLOOKUP(C12&amp;"→"&amp;F12,Conversiones!$A$5:$B$67,2,FALSE),"?"))</f>
        <v/>
      </c>
      <c r="H12" s="59">
        <f>IFERROR(VLOOKUP(B12,Mermas!$A$5:$C$25,2,FALSE),"")</f>
        <v/>
      </c>
      <c r="I12" s="30">
        <f>IFERROR(IF(E12="","",E12/(1-H12)),"revisa merma")</f>
        <v/>
      </c>
      <c r="J12" s="31">
        <f>IF(G12="?","revisa unidades",IFERROR(I12*D12/G12,""))</f>
        <v/>
      </c>
      <c r="L12" s="22" t="n"/>
      <c r="M12" s="23" t="n"/>
    </row>
    <row r="13" ht="28" customHeight="1">
      <c r="A13" s="58" t="n"/>
      <c r="B13" s="58" t="n"/>
      <c r="C13" s="58" t="n"/>
      <c r="D13" s="58" t="n"/>
      <c r="E13" s="58" t="n"/>
      <c r="F13" s="58" t="n"/>
      <c r="G13" s="56">
        <f>IF(C13&amp;F13="","",IFERROR(VLOOKUP(C13&amp;"→"&amp;F13,Conversiones!$A$5:$B$67,2,FALSE),"?"))</f>
        <v/>
      </c>
      <c r="H13" s="59">
        <f>IFERROR(VLOOKUP(B13,Mermas!$A$5:$C$25,2,FALSE),"")</f>
        <v/>
      </c>
      <c r="I13" s="30">
        <f>IFERROR(IF(E13="","",E13/(1-H13)),"revisa merma")</f>
        <v/>
      </c>
      <c r="J13" s="31">
        <f>IF(G13="?","revisa unidades",IFERROR(I13*D13/G13,""))</f>
        <v/>
      </c>
      <c r="L13" s="22" t="n"/>
      <c r="M13" s="23" t="n"/>
    </row>
    <row r="14" ht="28" customHeight="1">
      <c r="A14" s="58" t="n"/>
      <c r="B14" s="58" t="n"/>
      <c r="C14" s="58" t="n"/>
      <c r="D14" s="58" t="n"/>
      <c r="E14" s="58" t="n"/>
      <c r="F14" s="58" t="n"/>
      <c r="G14" s="56">
        <f>IF(C14&amp;F14="","",IFERROR(VLOOKUP(C14&amp;"→"&amp;F14,Conversiones!$A$5:$B$67,2,FALSE),"?"))</f>
        <v/>
      </c>
      <c r="H14" s="59">
        <f>IFERROR(VLOOKUP(B14,Mermas!$A$5:$C$25,2,FALSE),"")</f>
        <v/>
      </c>
      <c r="I14" s="30">
        <f>IFERROR(IF(E14="","",E14/(1-H14)),"revisa merma")</f>
        <v/>
      </c>
      <c r="J14" s="31">
        <f>IF(G14="?","revisa unidades",IFERROR(I14*D14/G14,""))</f>
        <v/>
      </c>
      <c r="L14" s="32" t="n"/>
      <c r="M14" s="33" t="n"/>
    </row>
    <row r="15">
      <c r="A15" s="58" t="n"/>
      <c r="B15" s="58" t="n"/>
      <c r="C15" s="58" t="n"/>
      <c r="D15" s="58" t="n"/>
      <c r="E15" s="58" t="n"/>
      <c r="F15" s="58" t="n"/>
      <c r="G15" s="56">
        <f>IF(C15&amp;F15="","",IFERROR(VLOOKUP(C15&amp;"→"&amp;F15,Conversiones!$A$5:$B$67,2,FALSE),"?"))</f>
        <v/>
      </c>
      <c r="H15" s="59">
        <f>IFERROR(VLOOKUP(B15,Mermas!$A$5:$C$25,2,FALSE),"")</f>
        <v/>
      </c>
      <c r="I15" s="30">
        <f>IFERROR(IF(E15="","",E15/(1-H15)),"revisa merma")</f>
        <v/>
      </c>
      <c r="J15" s="31">
        <f>IF(G15="?","revisa unidades",IFERROR(I15*D15/G15,""))</f>
        <v/>
      </c>
      <c r="L15" s="34" t="n"/>
    </row>
    <row r="16">
      <c r="A16" s="58" t="n"/>
      <c r="B16" s="58" t="n"/>
      <c r="C16" s="58" t="n"/>
      <c r="D16" s="58" t="n"/>
      <c r="E16" s="58" t="n"/>
      <c r="F16" s="58" t="n"/>
      <c r="G16" s="56">
        <f>IF(C16&amp;F16="","",IFERROR(VLOOKUP(C16&amp;"→"&amp;F16,Conversiones!$A$5:$B$67,2,FALSE),"?"))</f>
        <v/>
      </c>
      <c r="H16" s="59">
        <f>IFERROR(VLOOKUP(B16,Mermas!$A$5:$C$25,2,FALSE),"")</f>
        <v/>
      </c>
      <c r="I16" s="30">
        <f>IFERROR(IF(E16="","",E16/(1-H16)),"revisa merma")</f>
        <v/>
      </c>
      <c r="J16" s="31">
        <f>IF(G16="?","revisa unidades",IFERROR(I16*D16/G16,""))</f>
        <v/>
      </c>
      <c r="L16" s="34" t="n"/>
    </row>
    <row r="17">
      <c r="A17" s="58" t="n"/>
      <c r="B17" s="58" t="n"/>
      <c r="C17" s="58" t="n"/>
      <c r="D17" s="58" t="n"/>
      <c r="E17" s="58" t="n"/>
      <c r="F17" s="58" t="n"/>
      <c r="G17" s="56">
        <f>IF(C17&amp;F17="","",IFERROR(VLOOKUP(C17&amp;"→"&amp;F17,Conversiones!$A$5:$B$67,2,FALSE),"?"))</f>
        <v/>
      </c>
      <c r="H17" s="59">
        <f>IFERROR(VLOOKUP(B17,Mermas!$A$5:$C$25,2,FALSE),"")</f>
        <v/>
      </c>
      <c r="I17" s="30">
        <f>IFERROR(IF(E17="","",E17/(1-H17)),"revisa merma")</f>
        <v/>
      </c>
      <c r="J17" s="31">
        <f>IF(G17="?","revisa unidades",IFERROR(I17*D17/G17,""))</f>
        <v/>
      </c>
      <c r="L17" s="34" t="n"/>
    </row>
    <row r="18">
      <c r="A18" s="58" t="n"/>
      <c r="B18" s="58" t="n"/>
      <c r="C18" s="58" t="n"/>
      <c r="D18" s="58" t="n"/>
      <c r="E18" s="58" t="n"/>
      <c r="F18" s="58" t="n"/>
      <c r="G18" s="56">
        <f>IF(C18&amp;F18="","",IFERROR(VLOOKUP(C18&amp;"→"&amp;F18,Conversiones!$A$5:$B$67,2,FALSE),"?"))</f>
        <v/>
      </c>
      <c r="H18" s="59">
        <f>IFERROR(VLOOKUP(B18,Mermas!$A$5:$C$25,2,FALSE),"")</f>
        <v/>
      </c>
      <c r="I18" s="30">
        <f>IFERROR(IF(E18="","",E18/(1-H18)),"revisa merma")</f>
        <v/>
      </c>
      <c r="J18" s="31">
        <f>IF(G18="?","revisa unidades",IFERROR(I18*D18/G18,""))</f>
        <v/>
      </c>
      <c r="L18" s="34" t="n"/>
    </row>
    <row r="19">
      <c r="A19" s="58" t="n"/>
      <c r="B19" s="58" t="n"/>
      <c r="C19" s="58" t="n"/>
      <c r="D19" s="58" t="n"/>
      <c r="E19" s="58" t="n"/>
      <c r="F19" s="58" t="n"/>
      <c r="G19" s="56">
        <f>IF(C19&amp;F19="","",IFERROR(VLOOKUP(C19&amp;"→"&amp;F19,Conversiones!$A$5:$B$67,2,FALSE),"?"))</f>
        <v/>
      </c>
      <c r="H19" s="59">
        <f>IFERROR(VLOOKUP(B19,Mermas!$A$5:$C$25,2,FALSE),"")</f>
        <v/>
      </c>
      <c r="I19" s="30">
        <f>IFERROR(IF(E19="","",E19/(1-H19)),"revisa merma")</f>
        <v/>
      </c>
      <c r="J19" s="31">
        <f>IF(G19="?","revisa unidades",IFERROR(I19*D19/G19,""))</f>
        <v/>
      </c>
      <c r="L19" s="34" t="n"/>
    </row>
    <row r="20">
      <c r="A20" s="58" t="n"/>
      <c r="B20" s="58" t="n"/>
      <c r="C20" s="58" t="n"/>
      <c r="D20" s="58" t="n"/>
      <c r="E20" s="58" t="n"/>
      <c r="F20" s="58" t="n"/>
      <c r="G20" s="56">
        <f>IF(C20&amp;F20="","",IFERROR(VLOOKUP(C20&amp;"→"&amp;F20,Conversiones!$A$5:$B$67,2,FALSE),"?"))</f>
        <v/>
      </c>
      <c r="H20" s="59">
        <f>IFERROR(VLOOKUP(B20,Mermas!$A$5:$C$25,2,FALSE),"")</f>
        <v/>
      </c>
      <c r="I20" s="30">
        <f>IFERROR(IF(E20="","",E20/(1-H20)),"revisa merma")</f>
        <v/>
      </c>
      <c r="J20" s="31">
        <f>IF(G20="?","revisa unidades",IFERROR(I20*D20/G20,""))</f>
        <v/>
      </c>
      <c r="L20" s="34" t="n"/>
    </row>
    <row r="21"/>
    <row r="22">
      <c r="A22" s="35" t="inlineStr">
        <is>
          <t>COSTE TOTAL INGREDIENTES</t>
        </is>
      </c>
      <c r="B22" s="49" t="n"/>
      <c r="C22" s="49" t="n"/>
      <c r="D22" s="49" t="n"/>
      <c r="E22" s="49" t="n"/>
      <c r="F22" s="49" t="n"/>
      <c r="G22" s="49" t="n"/>
      <c r="H22" s="49" t="n"/>
      <c r="I22" s="50" t="n"/>
      <c r="J22" s="36">
        <f>SUM(J5:J20)</f>
        <v>4.3647910637848915</v>
      </c>
    </row>
    <row r="23">
      <c r="A23" s="37" t="inlineStr">
        <is>
          <t>Coste elaboración (%)</t>
        </is>
      </c>
      <c r="B23" s="49" t="n"/>
      <c r="C23" s="49" t="n"/>
      <c r="D23" s="49" t="n"/>
      <c r="E23" s="49" t="n"/>
      <c r="F23" s="49" t="n"/>
      <c r="G23" s="49" t="n"/>
      <c r="H23" s="50" t="n"/>
      <c r="I23" s="60" t="n">
        <v>0.1</v>
      </c>
      <c r="J23" s="38">
        <f>J22*I23</f>
        <v>0.4364791063784892</v>
      </c>
    </row>
    <row r="24">
      <c r="A24" s="39" t="inlineStr">
        <is>
          <t>COSTE TOTAL DEL PLATO</t>
        </is>
      </c>
      <c r="B24" s="49" t="n"/>
      <c r="C24" s="49" t="n"/>
      <c r="D24" s="49" t="n"/>
      <c r="E24" s="49" t="n"/>
      <c r="F24" s="49" t="n"/>
      <c r="G24" s="49" t="n"/>
      <c r="H24" s="49" t="n"/>
      <c r="I24" s="50" t="n"/>
      <c r="J24" s="40">
        <f>J22+J23</f>
        <v>4.801270170163381</v>
      </c>
    </row>
    <row r="25">
      <c r="A25" s="37" t="inlineStr">
        <is>
          <t>Nº de raciones</t>
        </is>
      </c>
      <c r="B25" s="49" t="n"/>
      <c r="C25" s="49" t="n"/>
      <c r="D25" s="49" t="n"/>
      <c r="E25" s="49" t="n"/>
      <c r="F25" s="49" t="n"/>
      <c r="G25" s="49" t="n"/>
      <c r="H25" s="50" t="n"/>
      <c r="I25" s="61" t="n">
        <v>1</v>
      </c>
      <c r="J25" s="38" t="n"/>
    </row>
    <row r="26">
      <c r="A26" s="39" t="inlineStr">
        <is>
          <t>COSTE POR RACIÓN</t>
        </is>
      </c>
      <c r="B26" s="49" t="n"/>
      <c r="C26" s="49" t="n"/>
      <c r="D26" s="49" t="n"/>
      <c r="E26" s="49" t="n"/>
      <c r="F26" s="49" t="n"/>
      <c r="G26" s="49" t="n"/>
      <c r="H26" s="49" t="n"/>
      <c r="I26" s="50" t="n"/>
      <c r="J26" s="40">
        <f>IFERROR(J24/I25,"")</f>
        <v>4.801270170163381</v>
      </c>
    </row>
    <row r="27"/>
    <row r="28">
      <c r="A28" s="41" t="inlineStr">
        <is>
          <t>Food Cost objetivo (%)</t>
        </is>
      </c>
      <c r="B28" s="49" t="n"/>
      <c r="C28" s="49" t="n"/>
      <c r="D28" s="49" t="n"/>
      <c r="E28" s="49" t="n"/>
      <c r="F28" s="49" t="n"/>
      <c r="G28" s="49" t="n"/>
      <c r="H28" s="50" t="n"/>
      <c r="I28" s="62" t="n">
        <v>0.28</v>
      </c>
    </row>
    <row r="29">
      <c r="A29" s="43" t="inlineStr">
        <is>
          <t>PVP SUGERIDO (sin IVA)</t>
        </is>
      </c>
      <c r="B29" s="49" t="n"/>
      <c r="C29" s="49" t="n"/>
      <c r="D29" s="49" t="n"/>
      <c r="E29" s="49" t="n"/>
      <c r="F29" s="49" t="n"/>
      <c r="G29" s="49" t="n"/>
      <c r="H29" s="49" t="n"/>
      <c r="I29" s="50" t="n"/>
      <c r="J29" s="44">
        <f>IFERROR(J26/I28,"")</f>
        <v>17.147393464869214</v>
      </c>
    </row>
    <row r="30">
      <c r="A30" s="37" t="inlineStr">
        <is>
          <t>Tipo de IVA (%)</t>
        </is>
      </c>
      <c r="B30" s="49" t="n"/>
      <c r="C30" s="49" t="n"/>
      <c r="D30" s="49" t="n"/>
      <c r="E30" s="49" t="n"/>
      <c r="F30" s="49" t="n"/>
      <c r="G30" s="49" t="n"/>
      <c r="H30" s="50" t="n"/>
      <c r="I30" s="60" t="n">
        <v>0.1</v>
      </c>
      <c r="J30" s="38" t="n"/>
    </row>
    <row r="31">
      <c r="A31" s="39" t="inlineStr">
        <is>
          <t>PVP CON IVA</t>
        </is>
      </c>
      <c r="B31" s="49" t="n"/>
      <c r="C31" s="49" t="n"/>
      <c r="D31" s="49" t="n"/>
      <c r="E31" s="49" t="n"/>
      <c r="F31" s="49" t="n"/>
      <c r="G31" s="49" t="n"/>
      <c r="H31" s="49" t="n"/>
      <c r="I31" s="50" t="n"/>
      <c r="J31" s="40">
        <f>IFERROR(J29*(1+I30),"")</f>
        <v>18.862132811356137</v>
      </c>
    </row>
    <row r="32">
      <c r="A32" s="43" t="inlineStr">
        <is>
          <t>Margen bruto (€)</t>
        </is>
      </c>
      <c r="B32" s="49" t="n"/>
      <c r="C32" s="49" t="n"/>
      <c r="D32" s="49" t="n"/>
      <c r="E32" s="49" t="n"/>
      <c r="F32" s="49" t="n"/>
      <c r="G32" s="49" t="n"/>
      <c r="H32" s="49" t="n"/>
      <c r="I32" s="50" t="n"/>
      <c r="J32" s="44">
        <f>IFERROR(J29-J26,"")</f>
        <v>12.346123294705833</v>
      </c>
    </row>
    <row r="33">
      <c r="A33" s="37" t="inlineStr">
        <is>
          <t>Margen bruto (%)</t>
        </is>
      </c>
      <c r="B33" s="49" t="n"/>
      <c r="C33" s="49" t="n"/>
      <c r="D33" s="49" t="n"/>
      <c r="E33" s="49" t="n"/>
      <c r="F33" s="49" t="n"/>
      <c r="G33" s="49" t="n"/>
      <c r="H33" s="49" t="n"/>
      <c r="I33" s="50" t="n"/>
      <c r="J33" s="47">
        <f>IFERROR((J29-J26)/J29,"")</f>
        <v>0.72</v>
      </c>
    </row>
    <row r="34"/>
    <row r="35">
      <c r="A35" s="37" t="inlineStr">
        <is>
          <t>PVP actual en carta (sin IVA)</t>
        </is>
      </c>
      <c r="B35" s="49" t="n"/>
      <c r="C35" s="49" t="n"/>
      <c r="D35" s="49" t="n"/>
      <c r="E35" s="49" t="n"/>
      <c r="F35" s="49" t="n"/>
      <c r="G35" s="49" t="n"/>
      <c r="H35" s="50" t="n"/>
      <c r="I35" s="63" t="n"/>
      <c r="J35" s="38" t="n"/>
    </row>
    <row r="36">
      <c r="A36" s="39" t="inlineStr">
        <is>
          <t>FOOD COST REAL (%)</t>
        </is>
      </c>
      <c r="B36" s="49" t="n"/>
      <c r="C36" s="49" t="n"/>
      <c r="D36" s="49" t="n"/>
      <c r="E36" s="49" t="n"/>
      <c r="F36" s="49" t="n"/>
      <c r="G36" s="49" t="n"/>
      <c r="H36" s="49" t="n"/>
      <c r="I36" s="50" t="n"/>
      <c r="J36" s="64">
        <f>IFERROR(J26/I35,"")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0:H30"/>
    <mergeCell ref="A23:H23"/>
    <mergeCell ref="A28:H28"/>
    <mergeCell ref="A32:I32"/>
    <mergeCell ref="L8:M9"/>
    <mergeCell ref="A2:J2"/>
    <mergeCell ref="L20:M20"/>
    <mergeCell ref="A26:I26"/>
    <mergeCell ref="A35:H35"/>
    <mergeCell ref="A31:I31"/>
    <mergeCell ref="A33:I33"/>
    <mergeCell ref="A36:I36"/>
    <mergeCell ref="L3:M3"/>
    <mergeCell ref="A22:I22"/>
    <mergeCell ref="A25:H25"/>
    <mergeCell ref="A29:I29"/>
    <mergeCell ref="A1:J1"/>
    <mergeCell ref="A24:I24"/>
  </mergeCells>
  <conditionalFormatting sqref="G5:G20">
    <cfRule type="cellIs" priority="1" operator="equal" dxfId="0">
      <formula>"?"</formula>
    </cfRule>
  </conditionalFormatting>
  <conditionalFormatting sqref="J36">
    <cfRule type="expression" priority="2" dxfId="0" stopIfTrue="0">
      <formula>AND(ISNUMBER($J$36),$J$36&gt;$I$28)</formula>
    </cfRule>
  </conditionalFormatting>
  <dataValidations count="2">
    <dataValidation sqref="B5:B20" showDropDown="0" showInputMessage="0" showErrorMessage="1" allowBlank="1" errorTitle="Valor no válido" error="Elige una categoría de la lista (hoja «Mermas»)." type="list">
      <formula1>Mermas!$A$5:$A$25</formula1>
    </dataValidation>
    <dataValidation sqref="C5:C20 F5:F20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Carrot Cake con Frosting de Queso — tanda de 12 raciones (molde de 20 cm, dos capas)</t>
        </is>
      </c>
    </row>
    <row r="2" ht="17" customHeight="1">
      <c r="A2" s="51" t="inlineStr">
        <is>
          <t>Escandallo por TANDA. El «Nº de raciones» reparte el coste entre las porciones que salen.</t>
        </is>
      </c>
    </row>
    <row r="3">
      <c r="L3" s="10" t="inlineStr">
        <is>
          <t>📷 Foto del Plato</t>
        </is>
      </c>
      <c r="M3" s="48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52" t="inlineStr">
        <is>
          <t>Zanahoria</t>
        </is>
      </c>
      <c r="B5" s="53" t="inlineStr">
        <is>
          <t>Verdura raíz</t>
        </is>
      </c>
      <c r="C5" s="53" t="inlineStr">
        <is>
          <t>kg</t>
        </is>
      </c>
      <c r="D5" s="54" t="n">
        <v>1.4</v>
      </c>
      <c r="E5" s="55" t="n">
        <v>0.45</v>
      </c>
      <c r="F5" s="53" t="inlineStr">
        <is>
          <t>kg</t>
        </is>
      </c>
      <c r="G5" s="56">
        <f>IF(C5&amp;F5="","",IFERROR(VLOOKUP(C5&amp;"→"&amp;F5,Conversiones!$A$5:$B$67,2,FALSE),"?"))</f>
        <v>1.0</v>
      </c>
      <c r="H5" s="57" t="n">
        <v>0.2</v>
      </c>
      <c r="I5" s="20">
        <f>IFERROR(IF(E5="","",E5/(1-H5)),"revisa merma")</f>
        <v>0.5625</v>
      </c>
      <c r="J5" s="21">
        <f>IF(G5="?","revisa unidades",IFERROR(I5*D5/G5,""))</f>
        <v>0.7875</v>
      </c>
      <c r="L5" s="22" t="n"/>
      <c r="M5" s="23" t="n"/>
    </row>
    <row r="6" ht="28" customHeight="1">
      <c r="A6" s="52" t="inlineStr">
        <is>
          <t>Harina floja</t>
        </is>
      </c>
      <c r="B6" s="53" t="inlineStr">
        <is>
          <t>Secos/granos</t>
        </is>
      </c>
      <c r="C6" s="53" t="inlineStr">
        <is>
          <t>kg</t>
        </is>
      </c>
      <c r="D6" s="54" t="n">
        <v>1.2</v>
      </c>
      <c r="E6" s="55" t="n">
        <v>0.3</v>
      </c>
      <c r="F6" s="53" t="inlineStr">
        <is>
          <t>kg</t>
        </is>
      </c>
      <c r="G6" s="56">
        <f>IF(C6&amp;F6="","",IFERROR(VLOOKUP(C6&amp;"→"&amp;F6,Conversiones!$A$5:$B$67,2,FALSE),"?"))</f>
        <v>1.0</v>
      </c>
      <c r="H6" s="57" t="n">
        <v>0.02</v>
      </c>
      <c r="I6" s="20">
        <f>IFERROR(IF(E6="","",E6/(1-H6)),"revisa merma")</f>
        <v>0.30612244897959184</v>
      </c>
      <c r="J6" s="21">
        <f>IF(G6="?","revisa unidades",IFERROR(I6*D6/G6,""))</f>
        <v>0.3673469387755102</v>
      </c>
      <c r="L6" s="22" t="n"/>
      <c r="M6" s="23" t="n"/>
    </row>
    <row r="7" ht="28" customHeight="1">
      <c r="A7" s="52" t="inlineStr">
        <is>
          <t>Azúcar moreno</t>
        </is>
      </c>
      <c r="B7" s="53" t="inlineStr">
        <is>
          <t>Secos/granos</t>
        </is>
      </c>
      <c r="C7" s="53" t="inlineStr">
        <is>
          <t>kg</t>
        </is>
      </c>
      <c r="D7" s="54" t="n">
        <v>2.2</v>
      </c>
      <c r="E7" s="55" t="n">
        <v>0.28</v>
      </c>
      <c r="F7" s="53" t="inlineStr">
        <is>
          <t>kg</t>
        </is>
      </c>
      <c r="G7" s="56">
        <f>IF(C7&amp;F7="","",IFERROR(VLOOKUP(C7&amp;"→"&amp;F7,Conversiones!$A$5:$B$67,2,FALSE),"?"))</f>
        <v>1.0</v>
      </c>
      <c r="H7" s="57" t="n">
        <v>0.02</v>
      </c>
      <c r="I7" s="20">
        <f>IFERROR(IF(E7="","",E7/(1-H7)),"revisa merma")</f>
        <v>0.28571428571428575</v>
      </c>
      <c r="J7" s="21">
        <f>IF(G7="?","revisa unidades",IFERROR(I7*D7/G7,""))</f>
        <v>0.6285714285714287</v>
      </c>
      <c r="L7" s="22" t="n"/>
      <c r="M7" s="23" t="n"/>
    </row>
    <row r="8" ht="28" customHeight="1">
      <c r="A8" s="52" t="inlineStr">
        <is>
          <t>Huevo campero</t>
        </is>
      </c>
      <c r="B8" s="53" t="inlineStr">
        <is>
          <t>Huevos</t>
        </is>
      </c>
      <c r="C8" s="53" t="inlineStr">
        <is>
          <t>docena</t>
        </is>
      </c>
      <c r="D8" s="54" t="n">
        <v>4.2</v>
      </c>
      <c r="E8" s="55" t="n">
        <v>6</v>
      </c>
      <c r="F8" s="53" t="inlineStr">
        <is>
          <t>ud</t>
        </is>
      </c>
      <c r="G8" s="56">
        <f>IF(C8&amp;F8="","",IFERROR(VLOOKUP(C8&amp;"→"&amp;F8,Conversiones!$A$5:$B$67,2,FALSE),"?"))</f>
        <v>12.0</v>
      </c>
      <c r="H8" s="57" t="n">
        <v>0</v>
      </c>
      <c r="I8" s="20">
        <f>IFERROR(IF(E8="","",E8/(1-H8)),"revisa merma")</f>
        <v>6.0</v>
      </c>
      <c r="J8" s="21">
        <f>IF(G8="?","revisa unidades",IFERROR(I8*D8/G8,""))</f>
        <v>2.1</v>
      </c>
      <c r="L8" s="24" t="inlineStr">
        <is>
          <t>Foto del plato terminado:
Revisar → Desproteger hoja,
luego Insertar → Imagen</t>
        </is>
      </c>
      <c r="M8" s="25" t="n"/>
    </row>
    <row r="9" ht="28" customHeight="1">
      <c r="A9" s="52" t="inlineStr">
        <is>
          <t>Aceite de girasol</t>
        </is>
      </c>
      <c r="B9" s="53" t="inlineStr">
        <is>
          <t>Aceites/grasas</t>
        </is>
      </c>
      <c r="C9" s="53" t="inlineStr">
        <is>
          <t>L</t>
        </is>
      </c>
      <c r="D9" s="54" t="n">
        <v>2.4</v>
      </c>
      <c r="E9" s="55" t="n">
        <v>0.24</v>
      </c>
      <c r="F9" s="53" t="inlineStr">
        <is>
          <t>L</t>
        </is>
      </c>
      <c r="G9" s="56">
        <f>IF(C9&amp;F9="","",IFERROR(VLOOKUP(C9&amp;"→"&amp;F9,Conversiones!$A$5:$B$67,2,FALSE),"?"))</f>
        <v>1.0</v>
      </c>
      <c r="H9" s="57" t="n">
        <v>0</v>
      </c>
      <c r="I9" s="20">
        <f>IFERROR(IF(E9="","",E9/(1-H9)),"revisa merma")</f>
        <v>0.24</v>
      </c>
      <c r="J9" s="21">
        <f>IF(G9="?","revisa unidades",IFERROR(I9*D9/G9,""))</f>
        <v>0.576</v>
      </c>
      <c r="L9" s="26" t="n"/>
      <c r="M9" s="27" t="n"/>
    </row>
    <row r="10" ht="28" customHeight="1">
      <c r="A10" s="52" t="inlineStr">
        <is>
          <t>Nueces peladas</t>
        </is>
      </c>
      <c r="B10" s="53" t="inlineStr">
        <is>
          <t>Secos/granos</t>
        </is>
      </c>
      <c r="C10" s="53" t="inlineStr">
        <is>
          <t>kg</t>
        </is>
      </c>
      <c r="D10" s="54" t="n">
        <v>16</v>
      </c>
      <c r="E10" s="55" t="n">
        <v>0.12</v>
      </c>
      <c r="F10" s="53" t="inlineStr">
        <is>
          <t>kg</t>
        </is>
      </c>
      <c r="G10" s="56">
        <f>IF(C10&amp;F10="","",IFERROR(VLOOKUP(C10&amp;"→"&amp;F10,Conversiones!$A$5:$B$67,2,FALSE),"?"))</f>
        <v>1.0</v>
      </c>
      <c r="H10" s="57" t="n">
        <v>0.05</v>
      </c>
      <c r="I10" s="20">
        <f>IFERROR(IF(E10="","",E10/(1-H10)),"revisa merma")</f>
        <v>0.12631578947368421</v>
      </c>
      <c r="J10" s="21">
        <f>IF(G10="?","revisa unidades",IFERROR(I10*D10/G10,""))</f>
        <v>2.0210526315789474</v>
      </c>
      <c r="L10" s="22" t="n"/>
      <c r="M10" s="23" t="n"/>
    </row>
    <row r="11" ht="28" customHeight="1">
      <c r="A11" s="52" t="inlineStr">
        <is>
          <t>Canela molida</t>
        </is>
      </c>
      <c r="B11" s="53" t="inlineStr">
        <is>
          <t>Especias/hierbas</t>
        </is>
      </c>
      <c r="C11" s="53" t="inlineStr">
        <is>
          <t>kg</t>
        </is>
      </c>
      <c r="D11" s="54" t="n">
        <v>32</v>
      </c>
      <c r="E11" s="55" t="n">
        <v>0.008</v>
      </c>
      <c r="F11" s="53" t="inlineStr">
        <is>
          <t>kg</t>
        </is>
      </c>
      <c r="G11" s="56">
        <f>IF(C11&amp;F11="","",IFERROR(VLOOKUP(C11&amp;"→"&amp;F11,Conversiones!$A$5:$B$67,2,FALSE),"?"))</f>
        <v>1.0</v>
      </c>
      <c r="H11" s="57" t="n">
        <v>0.02</v>
      </c>
      <c r="I11" s="20">
        <f>IFERROR(IF(E11="","",E11/(1-H11)),"revisa merma")</f>
        <v>0.00816326530612245</v>
      </c>
      <c r="J11" s="21">
        <f>IF(G11="?","revisa unidades",IFERROR(I11*D11/G11,""))</f>
        <v>0.2612244897959184</v>
      </c>
      <c r="L11" s="22" t="n"/>
      <c r="M11" s="23" t="n"/>
    </row>
    <row r="12" ht="28" customHeight="1">
      <c r="A12" s="58" t="inlineStr">
        <is>
          <t>Queso crema (frosting)</t>
        </is>
      </c>
      <c r="B12" s="58" t="inlineStr">
        <is>
          <t>Lácteos</t>
        </is>
      </c>
      <c r="C12" s="58" t="inlineStr">
        <is>
          <t>kg</t>
        </is>
      </c>
      <c r="D12" s="58" t="n">
        <v>7.9</v>
      </c>
      <c r="E12" s="58" t="n">
        <v>0.45</v>
      </c>
      <c r="F12" s="58" t="inlineStr">
        <is>
          <t>kg</t>
        </is>
      </c>
      <c r="G12" s="56">
        <f>IF(C12&amp;F12="","",IFERROR(VLOOKUP(C12&amp;"→"&amp;F12,Conversiones!$A$5:$B$67,2,FALSE),"?"))</f>
        <v>1.0</v>
      </c>
      <c r="H12" s="59" t="n">
        <v>0.03</v>
      </c>
      <c r="I12" s="30">
        <f>IFERROR(IF(E12="","",E12/(1-H12)),"revisa merma")</f>
        <v>0.4639175257731959</v>
      </c>
      <c r="J12" s="31">
        <f>IF(G12="?","revisa unidades",IFERROR(I12*D12/G12,""))</f>
        <v>3.6649484536082477</v>
      </c>
      <c r="L12" s="22" t="n"/>
      <c r="M12" s="23" t="n"/>
    </row>
    <row r="13" ht="28" customHeight="1">
      <c r="A13" s="58" t="inlineStr">
        <is>
          <t>Azúcar glas (frosting)</t>
        </is>
      </c>
      <c r="B13" s="58" t="inlineStr">
        <is>
          <t>Secos/granos</t>
        </is>
      </c>
      <c r="C13" s="58" t="inlineStr">
        <is>
          <t>kg</t>
        </is>
      </c>
      <c r="D13" s="58" t="n">
        <v>2.8</v>
      </c>
      <c r="E13" s="58" t="n">
        <v>0.2</v>
      </c>
      <c r="F13" s="58" t="inlineStr">
        <is>
          <t>kg</t>
        </is>
      </c>
      <c r="G13" s="56">
        <f>IF(C13&amp;F13="","",IFERROR(VLOOKUP(C13&amp;"→"&amp;F13,Conversiones!$A$5:$B$67,2,FALSE),"?"))</f>
        <v>1.0</v>
      </c>
      <c r="H13" s="59" t="n">
        <v>0.02</v>
      </c>
      <c r="I13" s="30">
        <f>IFERROR(IF(E13="","",E13/(1-H13)),"revisa merma")</f>
        <v>0.20408163265306123</v>
      </c>
      <c r="J13" s="31">
        <f>IF(G13="?","revisa unidades",IFERROR(I13*D13/G13,""))</f>
        <v>0.5714285714285714</v>
      </c>
      <c r="L13" s="22" t="n"/>
      <c r="M13" s="23" t="n"/>
    </row>
    <row r="14" ht="28" customHeight="1">
      <c r="A14" s="58" t="inlineStr">
        <is>
          <t>Mantequilla (frosting)</t>
        </is>
      </c>
      <c r="B14" s="58" t="inlineStr">
        <is>
          <t>Lácteos</t>
        </is>
      </c>
      <c r="C14" s="58" t="inlineStr">
        <is>
          <t>kg</t>
        </is>
      </c>
      <c r="D14" s="58" t="n">
        <v>10.5</v>
      </c>
      <c r="E14" s="58" t="n">
        <v>0.12</v>
      </c>
      <c r="F14" s="58" t="inlineStr">
        <is>
          <t>kg</t>
        </is>
      </c>
      <c r="G14" s="56">
        <f>IF(C14&amp;F14="","",IFERROR(VLOOKUP(C14&amp;"→"&amp;F14,Conversiones!$A$5:$B$67,2,FALSE),"?"))</f>
        <v>1.0</v>
      </c>
      <c r="H14" s="59" t="n">
        <v>0.03</v>
      </c>
      <c r="I14" s="30">
        <f>IFERROR(IF(E14="","",E14/(1-H14)),"revisa merma")</f>
        <v>0.12371134020618557</v>
      </c>
      <c r="J14" s="31">
        <f>IF(G14="?","revisa unidades",IFERROR(I14*D14/G14,""))</f>
        <v>1.2989690721649485</v>
      </c>
      <c r="L14" s="32" t="n"/>
      <c r="M14" s="33" t="n"/>
    </row>
    <row r="15">
      <c r="A15" s="58" t="n"/>
      <c r="B15" s="58" t="n"/>
      <c r="C15" s="58" t="n"/>
      <c r="D15" s="58" t="n"/>
      <c r="E15" s="58" t="n"/>
      <c r="F15" s="58" t="n"/>
      <c r="G15" s="56">
        <f>IF(C15&amp;F15="","",IFERROR(VLOOKUP(C15&amp;"→"&amp;F15,Conversiones!$A$5:$B$67,2,FALSE),"?"))</f>
        <v/>
      </c>
      <c r="H15" s="59">
        <f>IFERROR(VLOOKUP(B15,Mermas!$A$5:$C$25,2,FALSE),"")</f>
        <v/>
      </c>
      <c r="I15" s="30">
        <f>IFERROR(IF(E15="","",E15/(1-H15)),"revisa merma")</f>
        <v/>
      </c>
      <c r="J15" s="31">
        <f>IF(G15="?","revisa unidades",IFERROR(I15*D15/G15,""))</f>
        <v/>
      </c>
      <c r="L15" s="34" t="n"/>
    </row>
    <row r="16">
      <c r="A16" s="58" t="n"/>
      <c r="B16" s="58" t="n"/>
      <c r="C16" s="58" t="n"/>
      <c r="D16" s="58" t="n"/>
      <c r="E16" s="58" t="n"/>
      <c r="F16" s="58" t="n"/>
      <c r="G16" s="56">
        <f>IF(C16&amp;F16="","",IFERROR(VLOOKUP(C16&amp;"→"&amp;F16,Conversiones!$A$5:$B$67,2,FALSE),"?"))</f>
        <v/>
      </c>
      <c r="H16" s="59">
        <f>IFERROR(VLOOKUP(B16,Mermas!$A$5:$C$25,2,FALSE),"")</f>
        <v/>
      </c>
      <c r="I16" s="30">
        <f>IFERROR(IF(E16="","",E16/(1-H16)),"revisa merma")</f>
        <v/>
      </c>
      <c r="J16" s="31">
        <f>IF(G16="?","revisa unidades",IFERROR(I16*D16/G16,""))</f>
        <v/>
      </c>
    </row>
    <row r="17">
      <c r="A17" s="58" t="n"/>
      <c r="B17" s="58" t="n"/>
      <c r="C17" s="58" t="n"/>
      <c r="D17" s="58" t="n"/>
      <c r="E17" s="58" t="n"/>
      <c r="F17" s="58" t="n"/>
      <c r="G17" s="56">
        <f>IF(C17&amp;F17="","",IFERROR(VLOOKUP(C17&amp;"→"&amp;F17,Conversiones!$A$5:$B$67,2,FALSE),"?"))</f>
        <v/>
      </c>
      <c r="H17" s="59">
        <f>IFERROR(VLOOKUP(B17,Mermas!$A$5:$C$25,2,FALSE),"")</f>
        <v/>
      </c>
      <c r="I17" s="30">
        <f>IFERROR(IF(E17="","",E17/(1-H17)),"revisa merma")</f>
        <v/>
      </c>
      <c r="J17" s="31">
        <f>IF(G17="?","revisa unidades",IFERROR(I17*D17/G17,""))</f>
        <v/>
      </c>
    </row>
    <row r="18">
      <c r="A18" s="58" t="n"/>
      <c r="B18" s="58" t="n"/>
      <c r="C18" s="58" t="n"/>
      <c r="D18" s="58" t="n"/>
      <c r="E18" s="58" t="n"/>
      <c r="F18" s="58" t="n"/>
      <c r="G18" s="56">
        <f>IF(C18&amp;F18="","",IFERROR(VLOOKUP(C18&amp;"→"&amp;F18,Conversiones!$A$5:$B$67,2,FALSE),"?"))</f>
        <v/>
      </c>
      <c r="H18" s="59">
        <f>IFERROR(VLOOKUP(B18,Mermas!$A$5:$C$25,2,FALSE),"")</f>
        <v/>
      </c>
      <c r="I18" s="30">
        <f>IFERROR(IF(E18="","",E18/(1-H18)),"revisa merma")</f>
        <v/>
      </c>
      <c r="J18" s="31">
        <f>IF(G18="?","revisa unidades",IFERROR(I18*D18/G18,""))</f>
        <v/>
      </c>
    </row>
    <row r="19">
      <c r="A19" s="58" t="n"/>
      <c r="B19" s="58" t="n"/>
      <c r="C19" s="58" t="n"/>
      <c r="D19" s="58" t="n"/>
      <c r="E19" s="58" t="n"/>
      <c r="F19" s="58" t="n"/>
      <c r="G19" s="56">
        <f>IF(C19&amp;F19="","",IFERROR(VLOOKUP(C19&amp;"→"&amp;F19,Conversiones!$A$5:$B$67,2,FALSE),"?"))</f>
        <v/>
      </c>
      <c r="H19" s="59">
        <f>IFERROR(VLOOKUP(B19,Mermas!$A$5:$C$25,2,FALSE),"")</f>
        <v/>
      </c>
      <c r="I19" s="30">
        <f>IFERROR(IF(E19="","",E19/(1-H19)),"revisa merma")</f>
        <v/>
      </c>
      <c r="J19" s="31">
        <f>IF(G19="?","revisa unidades",IFERROR(I19*D19/G19,""))</f>
        <v/>
      </c>
    </row>
    <row r="20">
      <c r="A20" s="58" t="n"/>
      <c r="B20" s="58" t="n"/>
      <c r="C20" s="58" t="n"/>
      <c r="D20" s="58" t="n"/>
      <c r="E20" s="58" t="n"/>
      <c r="F20" s="58" t="n"/>
      <c r="G20" s="56">
        <f>IF(C20&amp;F20="","",IFERROR(VLOOKUP(C20&amp;"→"&amp;F20,Conversiones!$A$5:$B$67,2,FALSE),"?"))</f>
        <v/>
      </c>
      <c r="H20" s="59">
        <f>IFERROR(VLOOKUP(B20,Mermas!$A$5:$C$25,2,FALSE),"")</f>
        <v/>
      </c>
      <c r="I20" s="30">
        <f>IFERROR(IF(E20="","",E20/(1-H20)),"revisa merma")</f>
        <v/>
      </c>
      <c r="J20" s="31">
        <f>IF(G20="?","revisa unidades",IFERROR(I20*D20/G20,""))</f>
        <v/>
      </c>
    </row>
    <row r="21">
      <c r="A21" s="58" t="n"/>
      <c r="B21" s="58" t="n"/>
      <c r="C21" s="58" t="n"/>
      <c r="D21" s="58" t="n"/>
      <c r="E21" s="58" t="n"/>
      <c r="F21" s="58" t="n"/>
      <c r="G21" s="56">
        <f>IF(C21&amp;F21="","",IFERROR(VLOOKUP(C21&amp;"→"&amp;F21,Conversiones!$A$5:$B$67,2,FALSE),"?"))</f>
        <v/>
      </c>
      <c r="H21" s="59">
        <f>IFERROR(VLOOKUP(B21,Mermas!$A$5:$C$25,2,FALSE),"")</f>
        <v/>
      </c>
      <c r="I21" s="30">
        <f>IFERROR(IF(E21="","",E21/(1-H21)),"revisa merma")</f>
        <v/>
      </c>
      <c r="J21" s="31">
        <f>IF(G21="?","revisa unidades",IFERROR(I21*D21/G21,""))</f>
        <v/>
      </c>
    </row>
    <row r="22"/>
    <row r="23">
      <c r="A23" s="35" t="inlineStr">
        <is>
          <t>COSTE TOTAL INGREDIENTES</t>
        </is>
      </c>
      <c r="B23" s="49" t="n"/>
      <c r="C23" s="49" t="n"/>
      <c r="D23" s="49" t="n"/>
      <c r="E23" s="49" t="n"/>
      <c r="F23" s="49" t="n"/>
      <c r="G23" s="49" t="n"/>
      <c r="H23" s="49" t="n"/>
      <c r="I23" s="50" t="n"/>
      <c r="J23" s="36">
        <f>SUM(J5:J21)</f>
        <v>12.277041585923573</v>
      </c>
    </row>
    <row r="24">
      <c r="A24" s="37" t="inlineStr">
        <is>
          <t>Coste elaboración (%)</t>
        </is>
      </c>
      <c r="B24" s="49" t="n"/>
      <c r="C24" s="49" t="n"/>
      <c r="D24" s="49" t="n"/>
      <c r="E24" s="49" t="n"/>
      <c r="F24" s="49" t="n"/>
      <c r="G24" s="49" t="n"/>
      <c r="H24" s="50" t="n"/>
      <c r="I24" s="60" t="n">
        <v>0.1</v>
      </c>
      <c r="J24" s="38">
        <f>J23*I24</f>
        <v>1.2277041585923574</v>
      </c>
    </row>
    <row r="25">
      <c r="A25" s="39" t="inlineStr">
        <is>
          <t>COSTE TOTAL DEL PLATO</t>
        </is>
      </c>
      <c r="B25" s="49" t="n"/>
      <c r="C25" s="49" t="n"/>
      <c r="D25" s="49" t="n"/>
      <c r="E25" s="49" t="n"/>
      <c r="F25" s="49" t="n"/>
      <c r="G25" s="49" t="n"/>
      <c r="H25" s="49" t="n"/>
      <c r="I25" s="50" t="n"/>
      <c r="J25" s="40">
        <f>J23+J24</f>
        <v>13.504745744515931</v>
      </c>
    </row>
    <row r="26">
      <c r="A26" s="37" t="inlineStr">
        <is>
          <t>Nº de raciones</t>
        </is>
      </c>
      <c r="B26" s="49" t="n"/>
      <c r="C26" s="49" t="n"/>
      <c r="D26" s="49" t="n"/>
      <c r="E26" s="49" t="n"/>
      <c r="F26" s="49" t="n"/>
      <c r="G26" s="49" t="n"/>
      <c r="H26" s="50" t="n"/>
      <c r="I26" s="61" t="n">
        <v>12</v>
      </c>
      <c r="J26" s="38" t="n"/>
    </row>
    <row r="27">
      <c r="A27" s="39" t="inlineStr">
        <is>
          <t>COSTE POR RACIÓN</t>
        </is>
      </c>
      <c r="B27" s="49" t="n"/>
      <c r="C27" s="49" t="n"/>
      <c r="D27" s="49" t="n"/>
      <c r="E27" s="49" t="n"/>
      <c r="F27" s="49" t="n"/>
      <c r="G27" s="49" t="n"/>
      <c r="H27" s="49" t="n"/>
      <c r="I27" s="50" t="n"/>
      <c r="J27" s="40">
        <f>IFERROR(J25/I26,"")</f>
        <v>1.125395478709661</v>
      </c>
    </row>
    <row r="28"/>
    <row r="29">
      <c r="A29" s="41" t="inlineStr">
        <is>
          <t>Food Cost objetivo (%)</t>
        </is>
      </c>
      <c r="B29" s="49" t="n"/>
      <c r="C29" s="49" t="n"/>
      <c r="D29" s="49" t="n"/>
      <c r="E29" s="49" t="n"/>
      <c r="F29" s="49" t="n"/>
      <c r="G29" s="49" t="n"/>
      <c r="H29" s="50" t="n"/>
      <c r="I29" s="62" t="n">
        <v>0.25</v>
      </c>
    </row>
    <row r="30">
      <c r="A30" s="43" t="inlineStr">
        <is>
          <t>PVP SUGERIDO (sin IVA)</t>
        </is>
      </c>
      <c r="B30" s="49" t="n"/>
      <c r="C30" s="49" t="n"/>
      <c r="D30" s="49" t="n"/>
      <c r="E30" s="49" t="n"/>
      <c r="F30" s="49" t="n"/>
      <c r="G30" s="49" t="n"/>
      <c r="H30" s="49" t="n"/>
      <c r="I30" s="50" t="n"/>
      <c r="J30" s="44">
        <f>IFERROR(J27/I29,"")</f>
        <v>4.501581914838644</v>
      </c>
    </row>
    <row r="31">
      <c r="A31" s="37" t="inlineStr">
        <is>
          <t>Tipo de IVA (%)</t>
        </is>
      </c>
      <c r="B31" s="49" t="n"/>
      <c r="C31" s="49" t="n"/>
      <c r="D31" s="49" t="n"/>
      <c r="E31" s="49" t="n"/>
      <c r="F31" s="49" t="n"/>
      <c r="G31" s="49" t="n"/>
      <c r="H31" s="50" t="n"/>
      <c r="I31" s="60" t="n">
        <v>0.1</v>
      </c>
      <c r="J31" s="38" t="n"/>
    </row>
    <row r="32">
      <c r="A32" s="39" t="inlineStr">
        <is>
          <t>PVP CON IVA</t>
        </is>
      </c>
      <c r="B32" s="49" t="n"/>
      <c r="C32" s="49" t="n"/>
      <c r="D32" s="49" t="n"/>
      <c r="E32" s="49" t="n"/>
      <c r="F32" s="49" t="n"/>
      <c r="G32" s="49" t="n"/>
      <c r="H32" s="49" t="n"/>
      <c r="I32" s="50" t="n"/>
      <c r="J32" s="40">
        <f>IFERROR(J30*(1+I31),"")</f>
        <v>4.951740106322508</v>
      </c>
    </row>
    <row r="33">
      <c r="A33" s="43" t="inlineStr">
        <is>
          <t>Margen bruto (€)</t>
        </is>
      </c>
      <c r="B33" s="49" t="n"/>
      <c r="C33" s="49" t="n"/>
      <c r="D33" s="49" t="n"/>
      <c r="E33" s="49" t="n"/>
      <c r="F33" s="49" t="n"/>
      <c r="G33" s="49" t="n"/>
      <c r="H33" s="49" t="n"/>
      <c r="I33" s="50" t="n"/>
      <c r="J33" s="44">
        <f>IFERROR(J30-J27,"")</f>
        <v>3.376186436128983</v>
      </c>
    </row>
    <row r="34">
      <c r="A34" s="37" t="inlineStr">
        <is>
          <t>Margen bruto (%)</t>
        </is>
      </c>
      <c r="B34" s="49" t="n"/>
      <c r="C34" s="49" t="n"/>
      <c r="D34" s="49" t="n"/>
      <c r="E34" s="49" t="n"/>
      <c r="F34" s="49" t="n"/>
      <c r="G34" s="49" t="n"/>
      <c r="H34" s="49" t="n"/>
      <c r="I34" s="50" t="n"/>
      <c r="J34" s="47">
        <f>IFERROR((J30-J27)/J30,"")</f>
        <v>0.75</v>
      </c>
    </row>
    <row r="35"/>
    <row r="36">
      <c r="A36" s="37" t="inlineStr">
        <is>
          <t>PVP actual en carta (sin IVA)</t>
        </is>
      </c>
      <c r="B36" s="49" t="n"/>
      <c r="C36" s="49" t="n"/>
      <c r="D36" s="49" t="n"/>
      <c r="E36" s="49" t="n"/>
      <c r="F36" s="49" t="n"/>
      <c r="G36" s="49" t="n"/>
      <c r="H36" s="50" t="n"/>
      <c r="I36" s="63" t="n"/>
      <c r="J36" s="38" t="n"/>
    </row>
    <row r="37">
      <c r="A37" s="39" t="inlineStr">
        <is>
          <t>FOOD COST REAL (%)</t>
        </is>
      </c>
      <c r="B37" s="49" t="n"/>
      <c r="C37" s="49" t="n"/>
      <c r="D37" s="49" t="n"/>
      <c r="E37" s="49" t="n"/>
      <c r="F37" s="49" t="n"/>
      <c r="G37" s="49" t="n"/>
      <c r="H37" s="49" t="n"/>
      <c r="I37" s="50" t="n"/>
      <c r="J37" s="64">
        <f>IFERROR(J27/I36,"")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L15:M15"/>
    <mergeCell ref="A37:I37"/>
    <mergeCell ref="A23:I23"/>
    <mergeCell ref="A25:I25"/>
    <mergeCell ref="A34:I34"/>
    <mergeCell ref="A30:I30"/>
    <mergeCell ref="A31:H31"/>
    <mergeCell ref="A36:H36"/>
    <mergeCell ref="L8:M9"/>
    <mergeCell ref="A32:I32"/>
    <mergeCell ref="A2:J2"/>
    <mergeCell ref="A26:H26"/>
    <mergeCell ref="A29:H29"/>
    <mergeCell ref="A33:I33"/>
    <mergeCell ref="A24:H24"/>
    <mergeCell ref="L3:M3"/>
    <mergeCell ref="A27:I27"/>
    <mergeCell ref="A1:J1"/>
  </mergeCells>
  <conditionalFormatting sqref="G5:G21">
    <cfRule type="cellIs" priority="1" operator="equal" dxfId="0">
      <formula>"?"</formula>
    </cfRule>
  </conditionalFormatting>
  <conditionalFormatting sqref="J37">
    <cfRule type="expression" priority="2" dxfId="0" stopIfTrue="0">
      <formula>AND(ISNUMBER($J$37),$J$37&gt;$I$29)</formula>
    </cfRule>
  </conditionalFormatting>
  <dataValidations count="2">
    <dataValidation sqref="B5:B21" showDropDown="0" showInputMessage="0" showErrorMessage="1" allowBlank="1" errorTitle="Valor no válido" error="Elige una categoría de la lista (hoja «Mermas»)." type="list">
      <formula1>Mermas!$A$5:$A$25</formula1>
    </dataValidation>
    <dataValidation sqref="C5:C21 F5:F21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6" customWidth="1" min="3" max="3"/>
  </cols>
  <sheetData>
    <row r="1">
      <c r="A1" s="65" t="inlineStr">
        <is>
          <t>Tabla de conversión Ud. Compra → Ud. Uso</t>
        </is>
      </c>
    </row>
    <row r="2">
      <c r="A2" t="inlineStr">
        <is>
          <t>La usa la columna «Factor» de cada escandallo. Puedes añadir parejas al final, hasta la fila 67: la clave se escribe «compra→uso».</t>
        </is>
      </c>
    </row>
    <row r="3"/>
    <row r="4">
      <c r="A4" s="66" t="inlineStr">
        <is>
          <t>Conversión (compra→uso)</t>
        </is>
      </c>
      <c r="B4" s="66" t="inlineStr">
        <is>
          <t>Factor</t>
        </is>
      </c>
      <c r="C4" s="66" t="inlineStr">
        <is>
          <t>Qué significa</t>
        </is>
      </c>
    </row>
    <row r="5">
      <c r="A5" t="inlineStr">
        <is>
          <t>kg→kg</t>
        </is>
      </c>
      <c r="B5" s="67" t="n">
        <v>1</v>
      </c>
      <c r="C5" t="inlineStr">
        <is>
          <t>misma unidad</t>
        </is>
      </c>
    </row>
    <row r="6">
      <c r="A6" t="inlineStr">
        <is>
          <t>kg→g</t>
        </is>
      </c>
      <c r="B6" s="67" t="n">
        <v>1000</v>
      </c>
      <c r="C6" t="inlineStr">
        <is>
          <t>1 kg = 1.000 g</t>
        </is>
      </c>
    </row>
    <row r="7">
      <c r="A7" t="inlineStr">
        <is>
          <t>g→g</t>
        </is>
      </c>
      <c r="B7" s="67" t="n">
        <v>1</v>
      </c>
      <c r="C7" t="inlineStr">
        <is>
          <t>misma unidad</t>
        </is>
      </c>
    </row>
    <row r="8">
      <c r="A8" t="inlineStr">
        <is>
          <t>g→kg</t>
        </is>
      </c>
      <c r="B8" s="67" t="n">
        <v>0.001</v>
      </c>
      <c r="C8" t="inlineStr">
        <is>
          <t>1 g = 0,001 kg</t>
        </is>
      </c>
    </row>
    <row r="9">
      <c r="A9" t="inlineStr">
        <is>
          <t>L→L</t>
        </is>
      </c>
      <c r="B9" s="67" t="n">
        <v>1</v>
      </c>
      <c r="C9" t="inlineStr">
        <is>
          <t>misma unidad</t>
        </is>
      </c>
    </row>
    <row r="10">
      <c r="A10" t="inlineStr">
        <is>
          <t>L→ml</t>
        </is>
      </c>
      <c r="B10" s="67" t="n">
        <v>1000</v>
      </c>
      <c r="C10" t="inlineStr">
        <is>
          <t>1 L = 1.000 ml</t>
        </is>
      </c>
    </row>
    <row r="11">
      <c r="A11" t="inlineStr">
        <is>
          <t>L→cl</t>
        </is>
      </c>
      <c r="B11" s="67" t="n">
        <v>100</v>
      </c>
      <c r="C11" t="inlineStr">
        <is>
          <t>1 L = 100 cl</t>
        </is>
      </c>
    </row>
    <row r="12">
      <c r="A12" t="inlineStr">
        <is>
          <t>ml→ml</t>
        </is>
      </c>
      <c r="B12" s="67" t="n">
        <v>1</v>
      </c>
      <c r="C12" t="inlineStr">
        <is>
          <t>misma unidad</t>
        </is>
      </c>
    </row>
    <row r="13">
      <c r="A13" t="inlineStr">
        <is>
          <t>ml→L</t>
        </is>
      </c>
      <c r="B13" s="67" t="n">
        <v>0.001</v>
      </c>
      <c r="C13" t="inlineStr">
        <is>
          <t>1 ml = 0,001 L</t>
        </is>
      </c>
    </row>
    <row r="14">
      <c r="A14" t="inlineStr">
        <is>
          <t>ml→cl</t>
        </is>
      </c>
      <c r="B14" s="67" t="n">
        <v>0.1</v>
      </c>
      <c r="C14" t="inlineStr">
        <is>
          <t>1 ml = 0,1 cl</t>
        </is>
      </c>
    </row>
    <row r="15">
      <c r="A15" t="inlineStr">
        <is>
          <t>cl→cl</t>
        </is>
      </c>
      <c r="B15" s="67" t="n">
        <v>1</v>
      </c>
      <c r="C15" t="inlineStr">
        <is>
          <t>misma unidad</t>
        </is>
      </c>
    </row>
    <row r="16">
      <c r="A16" t="inlineStr">
        <is>
          <t>cl→ml</t>
        </is>
      </c>
      <c r="B16" s="67" t="n">
        <v>10</v>
      </c>
      <c r="C16" t="inlineStr">
        <is>
          <t>1 cl = 10 ml</t>
        </is>
      </c>
    </row>
    <row r="17">
      <c r="A17" t="inlineStr">
        <is>
          <t>cl→L</t>
        </is>
      </c>
      <c r="B17" s="67" t="n">
        <v>0.01</v>
      </c>
      <c r="C17" t="inlineStr">
        <is>
          <t>1 cl = 0,01 L</t>
        </is>
      </c>
    </row>
    <row r="18">
      <c r="A18" t="inlineStr">
        <is>
          <t>ud→ud</t>
        </is>
      </c>
      <c r="B18" s="67" t="n">
        <v>1</v>
      </c>
      <c r="C18" t="inlineStr">
        <is>
          <t>misma unidad</t>
        </is>
      </c>
    </row>
    <row r="19">
      <c r="A19" t="inlineStr">
        <is>
          <t>docena→ud</t>
        </is>
      </c>
      <c r="B19" s="67" t="n">
        <v>12</v>
      </c>
      <c r="C19" t="inlineStr">
        <is>
          <t>1 docena = 12 ud</t>
        </is>
      </c>
    </row>
    <row r="20">
      <c r="A20" t="inlineStr">
        <is>
          <t>docena→docena</t>
        </is>
      </c>
      <c r="B20" s="67" t="n">
        <v>1</v>
      </c>
      <c r="C20" t="inlineStr">
        <is>
          <t>misma unidad</t>
        </is>
      </c>
    </row>
    <row r="21">
      <c r="A21" t="inlineStr">
        <is>
          <t>ud→docena</t>
        </is>
      </c>
      <c r="B21" s="67" t="n">
        <v>0.0833333333333333</v>
      </c>
      <c r="C21" t="inlineStr">
        <is>
          <t>1 ud = 1/12 docena</t>
        </is>
      </c>
    </row>
    <row r="22">
      <c r="A22" t="inlineStr">
        <is>
          <t>manojo→manojo</t>
        </is>
      </c>
      <c r="B22" s="67" t="n">
        <v>1</v>
      </c>
      <c r="C22" t="inlineStr">
        <is>
          <t>misma unidad</t>
        </is>
      </c>
    </row>
    <row r="23">
      <c r="A23" t="inlineStr">
        <is>
          <t>manojo→ud</t>
        </is>
      </c>
      <c r="B23" s="67" t="n">
        <v>1</v>
      </c>
      <c r="C23" t="inlineStr">
        <is>
          <t>el manojo se compra y se usa como unidad</t>
        </is>
      </c>
    </row>
    <row r="24">
      <c r="A24" t="inlineStr">
        <is>
          <t>sobre→sobre</t>
        </is>
      </c>
      <c r="B24" s="67" t="n">
        <v>1</v>
      </c>
      <c r="C24" t="inlineStr">
        <is>
          <t>misma unidad</t>
        </is>
      </c>
    </row>
    <row r="25">
      <c r="A25" t="inlineStr">
        <is>
          <t>sobre→ud</t>
        </is>
      </c>
      <c r="B25" s="67" t="n">
        <v>1</v>
      </c>
      <c r="C25" t="inlineStr">
        <is>
          <t>el sobre se compra y se usa como unidad</t>
        </is>
      </c>
    </row>
    <row r="26">
      <c r="A26" t="inlineStr">
        <is>
          <t>lata→lata</t>
        </is>
      </c>
      <c r="B26" s="67" t="n">
        <v>1</v>
      </c>
      <c r="C26" t="inlineStr">
        <is>
          <t>misma unidad</t>
        </is>
      </c>
    </row>
    <row r="27">
      <c r="A27" t="inlineStr">
        <is>
          <t>lata→ud</t>
        </is>
      </c>
      <c r="B27" s="67" t="n">
        <v>1</v>
      </c>
      <c r="C27" t="inlineStr">
        <is>
          <t>la lata se compra y se usa como unidad</t>
        </is>
      </c>
    </row>
    <row r="28">
      <c r="A28" t="inlineStr">
        <is>
          <t>botella→botella</t>
        </is>
      </c>
      <c r="B28" s="67" t="n">
        <v>1</v>
      </c>
      <c r="C28" t="inlineStr">
        <is>
          <t>misma unidad</t>
        </is>
      </c>
    </row>
    <row r="29">
      <c r="A29" t="inlineStr">
        <is>
          <t>botella→ud</t>
        </is>
      </c>
      <c r="B29" s="67" t="n">
        <v>1</v>
      </c>
      <c r="C29" t="inlineStr">
        <is>
          <t>la botella se compra y se usa como unidad</t>
        </is>
      </c>
    </row>
    <row r="30">
      <c r="A30" t="inlineStr">
        <is>
          <t>botella→cl</t>
        </is>
      </c>
      <c r="B30" s="67" t="n">
        <v>70</v>
      </c>
      <c r="C30" t="inlineStr">
        <is>
          <t>botella de 70 cl (destilados). Vino: cambia el 70 por 75</t>
        </is>
      </c>
    </row>
    <row r="31">
      <c r="A31" t="inlineStr">
        <is>
          <t>botella→ml</t>
        </is>
      </c>
      <c r="B31" s="67" t="n">
        <v>700</v>
      </c>
      <c r="C31" t="inlineStr">
        <is>
          <t>botella de 70 cl = 700 ml</t>
        </is>
      </c>
    </row>
    <row r="32">
      <c r="A32" t="inlineStr">
        <is>
          <t>botella→L</t>
        </is>
      </c>
      <c r="B32" s="67" t="n">
        <v>0.7</v>
      </c>
      <c r="C32" t="inlineStr">
        <is>
          <t>botella de 70 cl = 0,7 L</t>
        </is>
      </c>
    </row>
    <row r="33">
      <c r="A33" t="inlineStr">
        <is>
          <t>lata→cl</t>
        </is>
      </c>
      <c r="B33" s="67" t="n">
        <v>33</v>
      </c>
      <c r="C33" t="inlineStr">
        <is>
          <t>lata de 33 cl</t>
        </is>
      </c>
    </row>
    <row r="34">
      <c r="A34" t="inlineStr">
        <is>
          <t>lata→ml</t>
        </is>
      </c>
      <c r="B34" s="67" t="n">
        <v>330</v>
      </c>
      <c r="C34" t="inlineStr">
        <is>
          <t>lata de 33 cl = 330 ml</t>
        </is>
      </c>
    </row>
    <row r="35">
      <c r="A35" t="inlineStr">
        <is>
          <t>lata→L</t>
        </is>
      </c>
      <c r="B35" s="67" t="n">
        <v>0.33</v>
      </c>
      <c r="C35" t="inlineStr">
        <is>
          <t>lata de 33 cl = 0,33 L</t>
        </is>
      </c>
    </row>
    <row r="36">
      <c r="A36" t="inlineStr">
        <is>
          <t>manojo→g</t>
        </is>
      </c>
      <c r="B36" s="67" t="n">
        <v>30</v>
      </c>
      <c r="C36" t="inlineStr">
        <is>
          <t>manojo de hierbas ≈ 30 g</t>
        </is>
      </c>
    </row>
    <row r="37">
      <c r="A37" t="inlineStr">
        <is>
          <t>sobre→g</t>
        </is>
      </c>
      <c r="B37" s="67" t="n">
        <v>10</v>
      </c>
      <c r="C37" t="inlineStr">
        <is>
          <t>sobre ≈ 10 g</t>
        </is>
      </c>
    </row>
    <row r="38"/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</cols>
  <sheetData>
    <row r="1">
      <c r="A1" s="65" t="inlineStr">
        <is>
          <t>Mermas de referencia por categoría</t>
        </is>
      </c>
    </row>
    <row r="2">
      <c r="A2" t="inlineStr">
        <is>
          <t>La «típica» es la que se precarga en las filas vacías del escandallo al elegir categoría. Ajústala a tu proveedor.</t>
        </is>
      </c>
    </row>
    <row r="3">
      <c r="A3" t="inlineStr">
        <is>
          <t>Mide tu merma real con la plantilla 12 (Test de Rendimiento) y llévala a «Merma (%)» de la ficha.</t>
        </is>
      </c>
    </row>
    <row r="4">
      <c r="A4" s="66" t="inlineStr">
        <is>
          <t>Categoría</t>
        </is>
      </c>
      <c r="B4" s="66" t="inlineStr">
        <is>
          <t>Merma típica</t>
        </is>
      </c>
      <c r="C4" s="66" t="inlineStr">
        <is>
          <t>Mínima</t>
        </is>
      </c>
      <c r="D4" s="66" t="inlineStr">
        <is>
          <t>Máxima</t>
        </is>
      </c>
    </row>
    <row r="5">
      <c r="A5" t="inlineStr">
        <is>
          <t>Carne roja</t>
        </is>
      </c>
      <c r="B5" s="68" t="n">
        <v>0.2</v>
      </c>
      <c r="C5" s="68" t="n">
        <v>0.15</v>
      </c>
      <c r="D5" s="68" t="n">
        <v>0.25</v>
      </c>
    </row>
    <row r="6">
      <c r="A6" t="inlineStr">
        <is>
          <t>Aves</t>
        </is>
      </c>
      <c r="B6" s="68" t="n">
        <v>0.25</v>
      </c>
      <c r="C6" s="68" t="n">
        <v>0.2</v>
      </c>
      <c r="D6" s="68" t="n">
        <v>0.3</v>
      </c>
    </row>
    <row r="7">
      <c r="A7" t="inlineStr">
        <is>
          <t>Pescado</t>
        </is>
      </c>
      <c r="B7" s="68" t="n">
        <v>0.35</v>
      </c>
      <c r="C7" s="68" t="n">
        <v>0.3</v>
      </c>
      <c r="D7" s="68" t="n">
        <v>0.45</v>
      </c>
    </row>
    <row r="8">
      <c r="A8" t="inlineStr">
        <is>
          <t>Marisco</t>
        </is>
      </c>
      <c r="B8" s="68" t="n">
        <v>0.45</v>
      </c>
      <c r="C8" s="68" t="n">
        <v>0.35</v>
      </c>
      <c r="D8" s="68" t="n">
        <v>0.55</v>
      </c>
    </row>
    <row r="9">
      <c r="A9" t="inlineStr">
        <is>
          <t>Verdura hoja</t>
        </is>
      </c>
      <c r="B9" s="68" t="n">
        <v>0.25</v>
      </c>
      <c r="C9" s="68" t="n">
        <v>0.2</v>
      </c>
      <c r="D9" s="68" t="n">
        <v>0.35</v>
      </c>
    </row>
    <row r="10">
      <c r="A10" t="inlineStr">
        <is>
          <t>Verdura raíz</t>
        </is>
      </c>
      <c r="B10" s="68" t="n">
        <v>0.12</v>
      </c>
      <c r="C10" s="68" t="n">
        <v>0.08</v>
      </c>
      <c r="D10" s="68" t="n">
        <v>0.18</v>
      </c>
    </row>
    <row r="11">
      <c r="A11" t="inlineStr">
        <is>
          <t>Verdura fruto</t>
        </is>
      </c>
      <c r="B11" s="68" t="n">
        <v>0.1</v>
      </c>
      <c r="C11" s="68" t="n">
        <v>0.06</v>
      </c>
      <c r="D11" s="68" t="n">
        <v>0.15</v>
      </c>
    </row>
    <row r="12">
      <c r="A12" t="inlineStr">
        <is>
          <t>Fruta</t>
        </is>
      </c>
      <c r="B12" s="68" t="n">
        <v>0.15</v>
      </c>
      <c r="C12" s="68" t="n">
        <v>0.1</v>
      </c>
      <c r="D12" s="68" t="n">
        <v>0.25</v>
      </c>
    </row>
    <row r="13">
      <c r="A13" t="inlineStr">
        <is>
          <t>Lácteos</t>
        </is>
      </c>
      <c r="B13" s="68" t="n">
        <v>0.03</v>
      </c>
      <c r="C13" s="68" t="n">
        <v>0.01</v>
      </c>
      <c r="D13" s="68" t="n">
        <v>0.05</v>
      </c>
    </row>
    <row r="14">
      <c r="A14" t="inlineStr">
        <is>
          <t>Secos/granos</t>
        </is>
      </c>
      <c r="B14" s="68" t="n">
        <v>0.02</v>
      </c>
      <c r="C14" s="68" t="n">
        <v>0.01</v>
      </c>
      <c r="D14" s="68" t="n">
        <v>0.04</v>
      </c>
    </row>
    <row r="15">
      <c r="A15" t="inlineStr">
        <is>
          <t>Congelados</t>
        </is>
      </c>
      <c r="B15" s="68" t="n">
        <v>0.07000000000000001</v>
      </c>
      <c r="C15" s="68" t="n">
        <v>0.03</v>
      </c>
      <c r="D15" s="68" t="n">
        <v>0.1</v>
      </c>
    </row>
    <row r="16">
      <c r="A16" t="inlineStr">
        <is>
          <t>Pan/bollería</t>
        </is>
      </c>
      <c r="B16" s="68" t="n">
        <v>0.05</v>
      </c>
      <c r="C16" s="68" t="n">
        <v>0.02</v>
      </c>
      <c r="D16" s="68" t="n">
        <v>0.1</v>
      </c>
    </row>
    <row r="17">
      <c r="A17" t="inlineStr">
        <is>
          <t>Huevos</t>
        </is>
      </c>
      <c r="B17" s="68" t="n">
        <v>0.11</v>
      </c>
      <c r="C17" s="68" t="n">
        <v>0.1</v>
      </c>
      <c r="D17" s="68" t="n">
        <v>0.13</v>
      </c>
    </row>
    <row r="18">
      <c r="A18" t="inlineStr">
        <is>
          <t>Aceites/grasas</t>
        </is>
      </c>
      <c r="B18" s="68" t="n">
        <v>0.03</v>
      </c>
      <c r="C18" s="68" t="n">
        <v>0.01</v>
      </c>
      <c r="D18" s="68" t="n">
        <v>0.05</v>
      </c>
    </row>
    <row r="19">
      <c r="A19" t="inlineStr">
        <is>
          <t>Especias/hierbas</t>
        </is>
      </c>
      <c r="B19" s="68" t="n">
        <v>0.2</v>
      </c>
      <c r="C19" s="68" t="n">
        <v>0.1</v>
      </c>
      <c r="D19" s="68" t="n">
        <v>0.3</v>
      </c>
    </row>
    <row r="20">
      <c r="A20" t="inlineStr">
        <is>
          <t>Chocolate/cacao</t>
        </is>
      </c>
      <c r="B20" s="68" t="n">
        <v>0.05</v>
      </c>
      <c r="C20" s="68" t="n">
        <v>0.02</v>
      </c>
      <c r="D20" s="68" t="n">
        <v>0.08</v>
      </c>
    </row>
    <row r="21">
      <c r="A21" t="inlineStr">
        <is>
          <t>Bebidas/licores</t>
        </is>
      </c>
      <c r="B21" s="68" t="n">
        <v>0.02</v>
      </c>
      <c r="C21" s="68" t="n">
        <v>0.01</v>
      </c>
      <c r="D21" s="68" t="n">
        <v>0.04</v>
      </c>
    </row>
    <row r="22">
      <c r="A22" t="inlineStr">
        <is>
          <t>Setas/hongos</t>
        </is>
      </c>
      <c r="B22" s="68" t="n">
        <v>0.2</v>
      </c>
      <c r="C22" s="68" t="n">
        <v>0.12</v>
      </c>
      <c r="D22" s="68" t="n">
        <v>0.3</v>
      </c>
    </row>
    <row r="23">
      <c r="A23" t="inlineStr">
        <is>
          <t>Conservas/encurtidos</t>
        </is>
      </c>
      <c r="B23" s="68" t="n">
        <v>0.08</v>
      </c>
      <c r="C23" s="68" t="n">
        <v>0.04</v>
      </c>
      <c r="D23" s="68" t="n">
        <v>0.15</v>
      </c>
    </row>
    <row r="24">
      <c r="A24" t="inlineStr">
        <is>
          <t>Salsas/condimentos</t>
        </is>
      </c>
      <c r="B24" s="68" t="n">
        <v>0.05</v>
      </c>
      <c r="C24" s="68" t="n">
        <v>0.02</v>
      </c>
      <c r="D24" s="68" t="n">
        <v>0.08</v>
      </c>
    </row>
    <row r="25">
      <c r="A25" t="inlineStr">
        <is>
          <t>Pasta/arroz</t>
        </is>
      </c>
      <c r="B25" s="68" t="n">
        <v>0.02</v>
      </c>
      <c r="C25" s="68" t="n">
        <v>0.01</v>
      </c>
      <c r="D25" s="68" t="n">
        <v>0.04</v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Escandallo — Cafetería y Brunch · Kit de Escandallos Pro</dc:title>
  <dc:description xmlns:dc="http://purl.org/dc/elements/1.1/">aichef.pro/kit-escandallos</dc:description>
  <dc:subject xmlns:dc="http://purl.org/dc/elements/1.1/">Kit de Escandallos Pro · v2.1</dc:subject>
  <dcterms:created xmlns:dcterms="http://purl.org/dc/terms/" xmlns:xsi="http://www.w3.org/2001/XMLSchema-instance" xsi:type="dcterms:W3CDTF">2026-03-18T21:50:24Z</dcterms:created>
  <dcterms:modified xmlns:dcterms="http://purl.org/dc/terms/" xmlns:xsi="http://www.w3.org/2001/XMLSchema-instance" xsi:type="dcterms:W3CDTF">2026-09-24T15:25:02Z</dcterms:modified>
  <cp:lastModifiedBy>AI Chef Pro</cp:lastModifiedBy>
  <cp:category>AI Chef Pro · Productos digitales</cp:category>
  <cp:keywords>kit escandallos, AI Chef Pro</cp:keywords>
</cp:coreProperties>
</file>