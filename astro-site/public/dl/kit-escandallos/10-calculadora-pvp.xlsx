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Calculadora PVP" sheetId="2" state="visible" r:id="rId2"/>
  </sheets>
  <definedNames>
    <definedName name="_xlnm.Print_Titles" localSheetId="1">'Calculadora PVP'!$6:$6</definedName>
    <definedName name="_xlnm.Print_Area" localSheetId="1">'Calculadora PVP'!$A$1:$J$21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 €"/>
  </numFmts>
  <fonts count="18">
    <font>
      <name val="Calibri"/>
      <family val="2"/>
      <color theme="1"/>
      <sz val="11"/>
      <scheme val="minor"/>
    </font>
    <font>
      <name val="Calibri"/>
      <b val="1"/>
      <color rgb="00FFD700"/>
      <sz val="18"/>
    </font>
    <font>
      <name val="Calibri"/>
      <color rgb="00888888"/>
      <sz val="11"/>
    </font>
    <font>
      <name val="Calibri"/>
      <i val="1"/>
      <color rgb="00888888"/>
      <sz val="10"/>
    </font>
    <font>
      <name val="Calibri"/>
      <b val="1"/>
      <color rgb="001A1A1A"/>
      <sz val="12"/>
    </font>
    <font>
      <name val="Calibri"/>
      <color rgb="00333333"/>
      <sz val="11"/>
    </font>
    <font>
      <name val="Calibri"/>
      <i val="1"/>
      <color rgb="00888888"/>
      <sz val="11"/>
    </font>
    <font>
      <name val="Calibri"/>
      <color rgb="00AAAAAA"/>
      <sz val="9"/>
    </font>
    <font>
      <name val="Calibri"/>
      <b val="1"/>
      <color rgb="001A1A1A"/>
      <sz val="13"/>
    </font>
    <font>
      <name val="Calibri"/>
      <b val="1"/>
      <sz val="16"/>
    </font>
    <font>
      <name val="Calibri"/>
      <b val="1"/>
      <color rgb="00FFFFFF"/>
      <sz val="11"/>
    </font>
    <font>
      <name val="Calibri"/>
      <b val="1"/>
      <color rgb="00333333"/>
      <sz val="11"/>
    </font>
    <font/>
    <font>
      <b val="1"/>
      <sz val="13"/>
    </font>
    <font>
      <b val="1"/>
      <sz val="11"/>
    </font>
    <font>
      <sz val="11"/>
    </font>
    <font>
      <i val="1"/>
      <color rgb="00606060"/>
      <sz val="9"/>
    </font>
    <font>
      <b val="1"/>
      <color rgb="00FFFFFF"/>
      <sz val="10"/>
    </font>
  </fonts>
  <fills count="12">
    <fill>
      <patternFill/>
    </fill>
    <fill>
      <patternFill patternType="gray125"/>
    </fill>
    <fill>
      <patternFill patternType="solid">
        <fgColor rgb="00E8F5E9"/>
        <bgColor rgb="00E8F5E9"/>
      </patternFill>
    </fill>
    <fill>
      <patternFill patternType="solid">
        <fgColor rgb="002D2D2D"/>
        <bgColor rgb="002D2D2D"/>
      </patternFill>
    </fill>
    <fill>
      <patternFill patternType="solid">
        <fgColor rgb="00FFFFFF"/>
        <bgColor rgb="00FFFFFF"/>
      </patternFill>
    </fill>
    <fill>
      <patternFill patternType="solid">
        <fgColor rgb="00FFF8DC"/>
        <bgColor rgb="00FFF8DC"/>
      </patternFill>
    </fill>
    <fill>
      <patternFill patternType="solid">
        <fgColor rgb="00F5F5F5"/>
        <bgColor rgb="00F5F5F5"/>
      </patternFill>
    </fill>
    <fill>
      <patternFill patternType="solid">
        <fgColor rgb="00E8F5E9"/>
      </patternFill>
    </fill>
    <fill>
      <patternFill patternType="solid">
        <fgColor rgb="002D2D2D"/>
      </patternFill>
    </fill>
    <fill>
      <patternFill patternType="solid">
        <fgColor rgb="00FFFFFF"/>
      </patternFill>
    </fill>
    <fill>
      <patternFill patternType="solid">
        <fgColor rgb="00FFF8DC"/>
      </patternFill>
    </fill>
    <fill>
      <patternFill patternType="solid">
        <fgColor rgb="00F5F5F5"/>
      </patternFill>
    </fill>
  </fills>
  <borders count="6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  <border>
      <left/>
      <right/>
      <top style="thin">
        <color rgb="00E0E0E0"/>
      </top>
      <bottom/>
      <diagonal/>
    </border>
    <border>
      <left/>
      <right style="thin">
        <color rgb="00E0E0E0"/>
      </right>
      <top style="thin">
        <color rgb="00E0E0E0"/>
      </top>
      <bottom/>
      <diagonal/>
    </border>
    <border>
      <left/>
      <right/>
      <top style="thin">
        <color rgb="00E0E0E0"/>
      </top>
      <bottom style="thin">
        <color rgb="00E0E0E0"/>
      </bottom>
      <diagonal/>
    </border>
    <border>
      <left/>
      <right style="thin">
        <color rgb="00E0E0E0"/>
      </right>
      <top style="thin">
        <color rgb="00E0E0E0"/>
      </top>
      <bottom style="thin">
        <color rgb="00E0E0E0"/>
      </bottom>
      <diagonal/>
    </border>
  </borders>
  <cellStyleXfs count="1">
    <xf numFmtId="0" fontId="0" fillId="0" borderId="0"/>
  </cellStyleXfs>
  <cellXfs count="48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7" fillId="0" borderId="0" pivotButton="0" quotePrefix="0" xfId="0"/>
    <xf numFmtId="0" fontId="1" fillId="0" borderId="0" pivotButton="0" quotePrefix="0" xfId="0"/>
    <xf numFmtId="0" fontId="8" fillId="0" borderId="0" pivotButton="0" quotePrefix="0" xfId="0"/>
    <xf numFmtId="164" fontId="9" fillId="2" borderId="1" pivotButton="0" quotePrefix="0" xfId="0"/>
    <xf numFmtId="0" fontId="10" fillId="3" borderId="1" applyAlignment="1" pivotButton="0" quotePrefix="0" xfId="0">
      <alignment horizontal="center" vertical="center" wrapText="1"/>
    </xf>
    <xf numFmtId="0" fontId="5" fillId="4" borderId="1" pivotButton="0" quotePrefix="0" xfId="0"/>
    <xf numFmtId="9" fontId="5" fillId="4" borderId="1" applyAlignment="1" pivotButton="0" quotePrefix="0" xfId="0">
      <alignment horizontal="center" vertical="center" wrapText="1"/>
    </xf>
    <xf numFmtId="164" fontId="11" fillId="4" borderId="1" applyAlignment="1" pivotButton="0" quotePrefix="0" xfId="0">
      <alignment horizontal="right" vertical="center"/>
    </xf>
    <xf numFmtId="164" fontId="11" fillId="5" borderId="1" applyAlignment="1" pivotButton="0" quotePrefix="0" xfId="0">
      <alignment horizontal="right" vertical="center"/>
    </xf>
    <xf numFmtId="0" fontId="5" fillId="6" borderId="1" pivotButton="0" quotePrefix="0" xfId="0"/>
    <xf numFmtId="9" fontId="5" fillId="6" borderId="1" applyAlignment="1" pivotButton="0" quotePrefix="0" xfId="0">
      <alignment horizontal="center" vertical="center" wrapText="1"/>
    </xf>
    <xf numFmtId="164" fontId="11" fillId="6" borderId="1" applyAlignment="1" pivotButton="0" quotePrefix="0" xfId="0">
      <alignment horizontal="right" vertical="center"/>
    </xf>
    <xf numFmtId="0" fontId="12" fillId="0" borderId="0" pivotButton="0" quotePrefix="0" xfId="0"/>
    <xf numFmtId="0" fontId="13" fillId="0" borderId="0" pivotButton="0" quotePrefix="0" xfId="0"/>
    <xf numFmtId="0" fontId="14" fillId="0" borderId="0" pivotButton="0" quotePrefix="0" xfId="0"/>
    <xf numFmtId="164" fontId="15" fillId="7" borderId="1" applyAlignment="1" applyProtection="1" pivotButton="0" quotePrefix="0" xfId="0">
      <alignment horizontal="center" vertical="center"/>
      <protection locked="0" hidden="0"/>
    </xf>
    <xf numFmtId="9" fontId="15" fillId="7" borderId="0" applyAlignment="1" applyProtection="1" pivotButton="0" quotePrefix="0" xfId="0">
      <alignment horizontal="center" vertical="center"/>
      <protection locked="0" hidden="0"/>
    </xf>
    <xf numFmtId="0" fontId="16" fillId="0" borderId="1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12" fillId="0" borderId="1" pivotButton="0" quotePrefix="0" xfId="0"/>
    <xf numFmtId="0" fontId="17" fillId="8" borderId="1" applyAlignment="1" pivotButton="0" quotePrefix="0" xfId="0">
      <alignment horizontal="center" vertical="center" wrapText="1"/>
    </xf>
    <xf numFmtId="0" fontId="17" fillId="8" borderId="0" applyAlignment="1" pivotButton="0" quotePrefix="0" xfId="0">
      <alignment horizontal="center" vertical="center" wrapText="1"/>
    </xf>
    <xf numFmtId="0" fontId="15" fillId="9" borderId="1" pivotButton="0" quotePrefix="0" xfId="0"/>
    <xf numFmtId="9" fontId="15" fillId="7" borderId="1" applyAlignment="1" applyProtection="1" pivotButton="0" quotePrefix="0" xfId="0">
      <alignment horizontal="center" vertical="center"/>
      <protection locked="0" hidden="0"/>
    </xf>
    <xf numFmtId="2" fontId="15" fillId="9" borderId="1" applyAlignment="1" pivotButton="0" quotePrefix="0" xfId="0">
      <alignment horizontal="center" vertical="center"/>
    </xf>
    <xf numFmtId="164" fontId="14" fillId="9" borderId="1" pivotButton="0" quotePrefix="0" xfId="0"/>
    <xf numFmtId="164" fontId="15" fillId="10" borderId="0" pivotButton="0" quotePrefix="0" xfId="0"/>
    <xf numFmtId="164" fontId="15" fillId="9" borderId="0" pivotButton="0" quotePrefix="0" xfId="0"/>
    <xf numFmtId="0" fontId="15" fillId="11" borderId="1" pivotButton="0" quotePrefix="0" xfId="0"/>
    <xf numFmtId="2" fontId="15" fillId="11" borderId="1" applyAlignment="1" pivotButton="0" quotePrefix="0" xfId="0">
      <alignment horizontal="center" vertical="center"/>
    </xf>
    <xf numFmtId="164" fontId="14" fillId="11" borderId="1" pivotButton="0" quotePrefix="0" xfId="0"/>
    <xf numFmtId="164" fontId="15" fillId="11" borderId="0" pivotButton="0" quotePrefix="0" xfId="0"/>
    <xf numFmtId="0" fontId="15" fillId="11" borderId="0" pivotButton="0" quotePrefix="0" xfId="0"/>
    <xf numFmtId="2" fontId="15" fillId="11" borderId="0" applyAlignment="1" pivotButton="0" quotePrefix="0" xfId="0">
      <alignment horizontal="center" vertical="center"/>
    </xf>
    <xf numFmtId="164" fontId="14" fillId="11" borderId="0" pivotButton="0" quotePrefix="0" xfId="0"/>
    <xf numFmtId="0" fontId="15" fillId="9" borderId="0" pivotButton="0" quotePrefix="0" xfId="0"/>
    <xf numFmtId="2" fontId="15" fillId="9" borderId="0" applyAlignment="1" pivotButton="0" quotePrefix="0" xfId="0">
      <alignment horizontal="center" vertical="center"/>
    </xf>
    <xf numFmtId="164" fontId="14" fillId="9" borderId="0" pivotButton="0" quotePrefix="0" xfId="0"/>
    <xf numFmtId="0" fontId="16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D700"/>
    <outlinePr summaryBelow="1" summaryRight="1"/>
    <pageSetUpPr fitToPage="1"/>
  </sheetPr>
  <dimension ref="A1:B37"/>
  <sheetViews>
    <sheetView workbookViewId="0">
      <selection activeCell="A1" sqref="A1"/>
    </sheetView>
  </sheetViews>
  <sheetFormatPr baseColWidth="8" defaultRowHeight="15"/>
  <cols>
    <col width="3" customWidth="1" min="1" max="1"/>
    <col width="80" customWidth="1" min="2" max="2"/>
  </cols>
  <sheetData>
    <row r="1"/>
    <row r="2">
      <c r="B2" s="1" t="inlineStr">
        <is>
          <t>📋 Calculadora de PVP por Tipo de Establecimiento</t>
        </is>
      </c>
    </row>
    <row r="3">
      <c r="B3" s="2" t="inlineStr">
        <is>
          <t>Kit de Escandallos Pro — AI Chef Pro</t>
        </is>
      </c>
    </row>
    <row r="4">
      <c r="B4" s="3" t="inlineStr">
        <is>
          <t>www.aichef.pro</t>
        </is>
      </c>
    </row>
    <row r="5"/>
    <row r="6">
      <c r="B6" s="6" t="inlineStr">
        <is>
          <t>▸ Escribe en la celda verde (C4) el coste de UNA ración. Sale de la plantilla de escandallo: es la fila «COSTE POR RACIÓN» en 01-04 y 06-08, y «COSTE POR UNIDAD» en 05-pastelería. NO el «COSTE TOTAL DE LA TANDA»: en pastelería difieren por 12, 20 o 30.</t>
        </is>
      </c>
    </row>
    <row r="7">
      <c r="B7" s="6" t="inlineStr">
        <is>
          <t>▸ La tabla calcula el PVP para cada tipo de establecimiento. Sólo se escriben las celdas VERDES.</t>
        </is>
      </c>
    </row>
    <row r="8">
      <c r="B8" s="6" t="n"/>
    </row>
    <row r="9">
      <c r="B9" s="4" t="inlineStr">
        <is>
          <t>Qué es cada columna</t>
        </is>
      </c>
    </row>
    <row r="10">
      <c r="B10" s="6" t="n"/>
    </row>
    <row r="11">
      <c r="B11" s="6" t="inlineStr">
        <is>
          <t>▸ Food Cost mín. / máx.: la horquilla de food cost objetivo de ese tipo de negocio. Editable.</t>
        </is>
      </c>
    </row>
    <row r="12">
      <c r="B12" s="6" t="inlineStr">
        <is>
          <t>▸ Multiplicador: 1 ÷ media de la horquilla. Es el número por el que multiplicas el coste para sacar el PVP — el atajo que se usa en cocina.</t>
        </is>
      </c>
    </row>
    <row r="13">
      <c r="B13" s="6" t="inlineStr">
        <is>
          <t>▸ Comisión plataforma (%): lo que se queda el intermediario. Se descuenta ANTES de calcular el precio.</t>
        </is>
      </c>
    </row>
    <row r="14">
      <c r="B14" s="6" t="inlineStr">
        <is>
          <t>▸ PVP sin IVA: coste × multiplicador ÷ (1 − comisión).</t>
        </is>
      </c>
    </row>
    <row r="15">
      <c r="B15" s="6" t="inlineStr">
        <is>
          <t>▸ PVP con IVA: el anterior por el tipo de IVA de C5.</t>
        </is>
      </c>
    </row>
    <row r="16">
      <c r="B16" s="6" t="inlineStr">
        <is>
          <t>▸ Ingreso neto tras comisión: lo que te ingresa la plataforma.</t>
        </is>
      </c>
    </row>
    <row r="17">
      <c r="B17" s="6" t="inlineStr">
        <is>
          <t>▸ Margen neto: ingreso neto − coste del plato. Es el dinero que te queda de verdad.</t>
        </is>
      </c>
    </row>
    <row r="18"/>
    <row r="19">
      <c r="B19" s="4" t="inlineStr">
        <is>
          <t>Delivery</t>
        </is>
      </c>
    </row>
    <row r="20"/>
    <row r="21">
      <c r="B21" s="6" t="inlineStr">
        <is>
          <t>▸ Es la fila que más se equivoca todo el mundo. Aplicar el PVP de «Casual Dining» a una carta de Glovo o Uber Eats significa regalar la comisión: con un 30 % de comisión, un plato de 18 € deja 12,60 €.</t>
        </is>
      </c>
    </row>
    <row r="22">
      <c r="B22" s="6" t="inlineStr">
        <is>
          <t>▸ Su food cost objetivo (28-32 %) se mide sobre el ingreso NETO, ya descontada la comisión. Un 30 % sobre neto equivale a un ~21 % sobre el PVP bruto: por eso el precio de la carta de delivery sale alto.</t>
        </is>
      </c>
    </row>
    <row r="23">
      <c r="B23" s="6" t="inlineStr">
        <is>
          <t>▸ Si vendes por tu propia web o con reparto propio, pon la comisión a 0 % y usa el food cost de tu tipo de local.</t>
        </is>
      </c>
    </row>
    <row r="24"/>
    <row r="25">
      <c r="B25" s="4" t="inlineStr">
        <is>
          <t>Tipo de IVA</t>
        </is>
      </c>
    </row>
    <row r="26"/>
    <row r="27">
      <c r="B27" s="6" t="inlineStr">
        <is>
          <t>▸ C5 es editable: 10 % en hostelería en España. Cámbialo si te aplica otro tipo (IGIC en Canarias, o el IVA/ITBIS/IVU de tu país en Latinoamérica).</t>
        </is>
      </c>
    </row>
    <row r="28"/>
    <row r="29">
      <c r="B29" s="4" t="inlineStr">
        <is>
          <t>Protección de la hoja</t>
        </is>
      </c>
    </row>
    <row r="30"/>
    <row r="31">
      <c r="B31" s="6" t="inlineStr">
        <is>
          <t>▸ La hoja está protegida SIN contraseña: sólo se escriben las celdas verdes. Revisar → Desproteger hoja para tocar el resto.</t>
        </is>
      </c>
    </row>
    <row r="32"/>
    <row r="33">
      <c r="B33" s="6" t="inlineStr">
        <is>
          <t>— Kit de Escandallos Pro · AI Chef Pro · aichef.pro</t>
        </is>
      </c>
    </row>
    <row r="34"/>
    <row r="35">
      <c r="B35" s="6" t="inlineStr">
        <is>
          <t>© 2026 AI Chef Pro · Todos los derechos reservados</t>
        </is>
      </c>
    </row>
    <row r="36"/>
    <row r="37">
      <c r="B37" s="6" t="inlineStr">
        <is>
          <t>Versión 2.1 · septiembre 2026 · aichef.pro/kit-escandallos · info@aichef.pro</t>
        </is>
      </c>
    </row>
  </sheetData>
  <mergeCells count="1">
    <mergeCell ref="B2"/>
  </mergeCells>
  <pageMargins left="0.59" right="0.59" top="0.59" bottom="0.59" header="0.3" footer="0.3"/>
  <pageSetup orientation="portrait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FFD700"/>
    <outlinePr summaryBelow="1" summaryRight="1"/>
    <pageSetUpPr fitToPage="1"/>
  </sheetPr>
  <dimension ref="A1:J21"/>
  <sheetViews>
    <sheetView workbookViewId="0">
      <pane xSplit="1" ySplit="8" topLeftCell="B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28" customWidth="1" min="2" max="2"/>
    <col width="13" customWidth="1" min="3" max="3"/>
    <col width="13" customWidth="1" min="4" max="4"/>
    <col width="13" customWidth="1" min="5" max="5"/>
    <col width="17" customWidth="1" min="6" max="6"/>
    <col width="16" customWidth="1" min="7" max="7"/>
    <col width="16" customWidth="1" min="8" max="8"/>
    <col width="20" customWidth="1" min="9" max="9"/>
    <col width="15" customWidth="1" min="10" max="10"/>
  </cols>
  <sheetData>
    <row r="1">
      <c r="A1" s="20" t="n"/>
      <c r="B1" s="20" t="n"/>
      <c r="C1" s="20" t="n"/>
      <c r="D1" s="20" t="n"/>
      <c r="E1" s="20" t="n"/>
      <c r="F1" s="20" t="n"/>
      <c r="G1" s="20" t="n"/>
      <c r="H1" s="20" t="n"/>
      <c r="I1" s="20" t="n"/>
      <c r="J1" s="20" t="n"/>
    </row>
    <row r="2">
      <c r="A2" s="20" t="n"/>
      <c r="B2" s="21" t="inlineStr">
        <is>
          <t>Calculadora de PVP Sugerido</t>
        </is>
      </c>
    </row>
    <row r="3">
      <c r="A3" s="20" t="n"/>
      <c r="B3" s="20" t="n"/>
      <c r="C3" s="20" t="n"/>
      <c r="D3" s="20" t="n"/>
      <c r="E3" s="20" t="n"/>
      <c r="F3" s="20" t="n"/>
      <c r="G3" s="20" t="n"/>
      <c r="H3" s="20" t="n"/>
      <c r="I3" s="20" t="n"/>
      <c r="J3" s="20" t="n"/>
    </row>
    <row r="4">
      <c r="A4" s="20" t="n"/>
      <c r="B4" s="22" t="inlineStr">
        <is>
          <t>COSTE POR RACIÓN / POR UNIDAD (€):</t>
        </is>
      </c>
      <c r="C4" s="23" t="n">
        <v>5.5</v>
      </c>
      <c r="D4" s="20" t="n"/>
      <c r="E4" s="20" t="n"/>
      <c r="F4" s="20" t="n"/>
      <c r="G4" s="20" t="n"/>
      <c r="H4" s="20" t="n"/>
      <c r="I4" s="20" t="n"/>
      <c r="J4" s="20" t="n"/>
    </row>
    <row r="5">
      <c r="A5" s="20" t="n"/>
      <c r="B5" s="22" t="inlineStr">
        <is>
          <t>Tipo de IVA (%):</t>
        </is>
      </c>
      <c r="C5" s="24" t="n">
        <v>0.1</v>
      </c>
      <c r="D5" s="20" t="n"/>
      <c r="E5" s="20" t="n"/>
      <c r="F5" s="20" t="n"/>
      <c r="G5" s="20" t="n"/>
      <c r="H5" s="20" t="n"/>
      <c r="I5" s="20" t="n"/>
      <c r="J5" s="20" t="n"/>
    </row>
    <row r="6" ht="26" customHeight="1">
      <c r="A6" s="20" t="n"/>
      <c r="B6" s="25" t="inlineStr">
        <is>
          <t>El IVA es una celda: 10 % en hostelería en España; cámbialo si te aplica otro tipo (IGIC en Canarias, o el IVA/ITBIS/IVU de tu país). El «Multiplicador» es 1 ÷ media del rango de food cost: es el número por el que multiplicas el coste para sacar el PVP.</t>
        </is>
      </c>
      <c r="C6" s="26" t="n"/>
      <c r="D6" s="26" t="n"/>
      <c r="E6" s="26" t="n"/>
      <c r="F6" s="26" t="n"/>
      <c r="G6" s="26" t="n"/>
      <c r="H6" s="26" t="n"/>
      <c r="I6" s="26" t="n"/>
      <c r="J6" s="27" t="n"/>
    </row>
    <row r="7">
      <c r="A7" s="20" t="n"/>
      <c r="B7" s="28" t="n"/>
      <c r="C7" s="28" t="n"/>
      <c r="D7" s="28" t="n"/>
      <c r="E7" s="28" t="n"/>
      <c r="F7" s="28" t="n"/>
      <c r="G7" s="28" t="n"/>
      <c r="H7" s="20" t="n"/>
      <c r="I7" s="20" t="n"/>
      <c r="J7" s="20" t="n"/>
    </row>
    <row r="8" ht="30" customHeight="1">
      <c r="A8" s="20" t="n"/>
      <c r="B8" s="29" t="inlineStr">
        <is>
          <t>Tipo de establecimiento</t>
        </is>
      </c>
      <c r="C8" s="29" t="inlineStr">
        <is>
          <t>Food Cost mín.</t>
        </is>
      </c>
      <c r="D8" s="29" t="inlineStr">
        <is>
          <t>Food Cost máx.</t>
        </is>
      </c>
      <c r="E8" s="29" t="inlineStr">
        <is>
          <t>Multiplicador</t>
        </is>
      </c>
      <c r="F8" s="29" t="inlineStr">
        <is>
          <t>Comisión plataforma (%)</t>
        </is>
      </c>
      <c r="G8" s="29" t="inlineStr">
        <is>
          <t>PVP sin IVA (€)</t>
        </is>
      </c>
      <c r="H8" s="30" t="inlineStr">
        <is>
          <t>PVP con IVA (€)</t>
        </is>
      </c>
      <c r="I8" s="30" t="inlineStr">
        <is>
          <t>Ingreso neto tras comisión (€)</t>
        </is>
      </c>
      <c r="J8" s="30" t="inlineStr">
        <is>
          <t>Margen neto (€)</t>
        </is>
      </c>
    </row>
    <row r="9">
      <c r="A9" s="20" t="n"/>
      <c r="B9" s="31" t="inlineStr">
        <is>
          <t>Fine Dining</t>
        </is>
      </c>
      <c r="C9" s="32" t="n">
        <v>0.25</v>
      </c>
      <c r="D9" s="32" t="n">
        <v>0.28</v>
      </c>
      <c r="E9" s="33">
        <f>IFERROR(1/AVERAGE(C9,D9),"")</f>
        <v>3.773584905660377</v>
      </c>
      <c r="F9" s="32" t="n">
        <v>0</v>
      </c>
      <c r="G9" s="34">
        <f>IFERROR($C$4*E9/(1-F9),"")</f>
        <v>20.754716981132074</v>
      </c>
      <c r="H9" s="35">
        <f>IFERROR(G9*(1+$C$5),"")</f>
        <v>22.830188679245282</v>
      </c>
      <c r="I9" s="36">
        <f>IFERROR(G9*(1-F9),"")</f>
        <v>20.754716981132074</v>
      </c>
      <c r="J9" s="36">
        <f>IFERROR(I9-$C$4,"")</f>
        <v>15.254716981132074</v>
      </c>
    </row>
    <row r="10">
      <c r="A10" s="20" t="n"/>
      <c r="B10" s="37" t="inlineStr">
        <is>
          <t>Casual Dining</t>
        </is>
      </c>
      <c r="C10" s="32" t="n">
        <v>0.28</v>
      </c>
      <c r="D10" s="32" t="n">
        <v>0.32</v>
      </c>
      <c r="E10" s="38">
        <f>IFERROR(1/AVERAGE(C10,D10),"")</f>
        <v>3.333333333333333</v>
      </c>
      <c r="F10" s="32" t="n">
        <v>0</v>
      </c>
      <c r="G10" s="39">
        <f>IFERROR($C$4*E10/(1-F10),"")</f>
        <v>18.333333333333332</v>
      </c>
      <c r="H10" s="35">
        <f>IFERROR(G10*(1+$C$5),"")</f>
        <v>20.166666666666668</v>
      </c>
      <c r="I10" s="40">
        <f>IFERROR(G10*(1-F10),"")</f>
        <v>18.333333333333332</v>
      </c>
      <c r="J10" s="40">
        <f>IFERROR(I10-$C$4,"")</f>
        <v>12.833333333333332</v>
      </c>
    </row>
    <row r="11">
      <c r="A11" s="20" t="n"/>
      <c r="B11" s="31" t="inlineStr">
        <is>
          <t>Fast Casual</t>
        </is>
      </c>
      <c r="C11" s="32" t="n">
        <v>0.3</v>
      </c>
      <c r="D11" s="32" t="n">
        <v>0.35</v>
      </c>
      <c r="E11" s="33">
        <f>IFERROR(1/AVERAGE(C11,D11),"")</f>
        <v>3.0769230769230775</v>
      </c>
      <c r="F11" s="32" t="n">
        <v>0</v>
      </c>
      <c r="G11" s="34">
        <f>IFERROR($C$4*E11/(1-F11),"")</f>
        <v>16.923076923076927</v>
      </c>
      <c r="H11" s="35">
        <f>IFERROR(G11*(1+$C$5),"")</f>
        <v>18.61538461538462</v>
      </c>
      <c r="I11" s="36">
        <f>IFERROR(G11*(1-F11),"")</f>
        <v>16.923076923076927</v>
      </c>
      <c r="J11" s="36">
        <f>IFERROR(I11-$C$4,"")</f>
        <v>11.423076923076927</v>
      </c>
    </row>
    <row r="12">
      <c r="A12" s="20" t="n"/>
      <c r="B12" s="37" t="inlineStr">
        <is>
          <t>Cafetería</t>
        </is>
      </c>
      <c r="C12" s="32" t="n">
        <v>0.25</v>
      </c>
      <c r="D12" s="32" t="n">
        <v>0.3</v>
      </c>
      <c r="E12" s="38">
        <f>IFERROR(1/AVERAGE(C12,D12),"")</f>
        <v>3.6363636363636362</v>
      </c>
      <c r="F12" s="32" t="n">
        <v>0</v>
      </c>
      <c r="G12" s="39">
        <f>IFERROR($C$4*E12/(1-F12),"")</f>
        <v>20.0</v>
      </c>
      <c r="H12" s="35">
        <f>IFERROR(G12*(1+$C$5),"")</f>
        <v>22.0</v>
      </c>
      <c r="I12" s="40">
        <f>IFERROR(G12*(1-F12),"")</f>
        <v>20.0</v>
      </c>
      <c r="J12" s="40">
        <f>IFERROR(I12-$C$4,"")</f>
        <v>14.5</v>
      </c>
    </row>
    <row r="13">
      <c r="A13" s="20" t="n"/>
      <c r="B13" s="31" t="inlineStr">
        <is>
          <t>Catering</t>
        </is>
      </c>
      <c r="C13" s="32" t="n">
        <v>0.3</v>
      </c>
      <c r="D13" s="32" t="n">
        <v>0.4</v>
      </c>
      <c r="E13" s="33">
        <f>IFERROR(1/AVERAGE(C13,D13),"")</f>
        <v>2.857142857142857</v>
      </c>
      <c r="F13" s="32" t="n">
        <v>0</v>
      </c>
      <c r="G13" s="34">
        <f>IFERROR($C$4*E13/(1-F13),"")</f>
        <v>15.714285714285715</v>
      </c>
      <c r="H13" s="35">
        <f>IFERROR(G13*(1+$C$5),"")</f>
        <v>17.28571428571429</v>
      </c>
      <c r="I13" s="36">
        <f>IFERROR(G13*(1-F13),"")</f>
        <v>15.714285714285715</v>
      </c>
      <c r="J13" s="36">
        <f>IFERROR(I13-$C$4,"")</f>
        <v>10.214285714285715</v>
      </c>
    </row>
    <row r="14">
      <c r="A14" s="20" t="n"/>
      <c r="B14" s="37" t="inlineStr">
        <is>
          <t>Food Truck</t>
        </is>
      </c>
      <c r="C14" s="32" t="n">
        <v>0.28</v>
      </c>
      <c r="D14" s="32" t="n">
        <v>0.35</v>
      </c>
      <c r="E14" s="38">
        <f>IFERROR(1/AVERAGE(C14,D14),"")</f>
        <v>3.1746031746031744</v>
      </c>
      <c r="F14" s="32" t="n">
        <v>0</v>
      </c>
      <c r="G14" s="39">
        <f>IFERROR($C$4*E14/(1-F14),"")</f>
        <v>17.46031746031746</v>
      </c>
      <c r="H14" s="35">
        <f>IFERROR(G14*(1+$C$5),"")</f>
        <v>19.206349206349206</v>
      </c>
      <c r="I14" s="40">
        <f>IFERROR(G14*(1-F14),"")</f>
        <v>17.46031746031746</v>
      </c>
      <c r="J14" s="40">
        <f>IFERROR(I14-$C$4,"")</f>
        <v>11.960317460317459</v>
      </c>
    </row>
    <row r="15">
      <c r="A15" s="20" t="n"/>
      <c r="B15" s="31" t="inlineStr">
        <is>
          <t>Hotel F&amp;B</t>
        </is>
      </c>
      <c r="C15" s="32" t="n">
        <v>0.3</v>
      </c>
      <c r="D15" s="32" t="n">
        <v>0.35</v>
      </c>
      <c r="E15" s="33">
        <f>IFERROR(1/AVERAGE(C15,D15),"")</f>
        <v>3.0769230769230775</v>
      </c>
      <c r="F15" s="32" t="n">
        <v>0</v>
      </c>
      <c r="G15" s="34">
        <f>IFERROR($C$4*E15/(1-F15),"")</f>
        <v>16.923076923076927</v>
      </c>
      <c r="H15" s="35">
        <f>IFERROR(G15*(1+$C$5),"")</f>
        <v>18.61538461538462</v>
      </c>
      <c r="I15" s="36">
        <f>IFERROR(G15*(1-F15),"")</f>
        <v>16.923076923076927</v>
      </c>
      <c r="J15" s="36">
        <f>IFERROR(I15-$C$4,"")</f>
        <v>11.423076923076927</v>
      </c>
    </row>
    <row r="16">
      <c r="A16" s="20" t="n"/>
      <c r="B16" s="41" t="inlineStr">
        <is>
          <t>Pastelería</t>
        </is>
      </c>
      <c r="C16" s="24" t="n">
        <v>0.2</v>
      </c>
      <c r="D16" s="24" t="n">
        <v>0.3</v>
      </c>
      <c r="E16" s="42">
        <f>IFERROR(1/AVERAGE(C16,D16),"")</f>
        <v>4.0</v>
      </c>
      <c r="F16" s="24" t="n">
        <v>0</v>
      </c>
      <c r="G16" s="43">
        <f>IFERROR($C$4*E16/(1-F16),"")</f>
        <v>22.0</v>
      </c>
      <c r="H16" s="35">
        <f>IFERROR(G16*(1+$C$5),"")</f>
        <v>24.200000000000003</v>
      </c>
      <c r="I16" s="40">
        <f>IFERROR(G16*(1-F16),"")</f>
        <v>22.0</v>
      </c>
      <c r="J16" s="40">
        <f>IFERROR(I16-$C$4,"")</f>
        <v>16.5</v>
      </c>
    </row>
    <row r="17">
      <c r="A17" s="20" t="n"/>
      <c r="B17" s="44" t="inlineStr">
        <is>
          <t>Bar/Cócteles</t>
        </is>
      </c>
      <c r="C17" s="24" t="n">
        <v>0.2</v>
      </c>
      <c r="D17" s="24" t="n">
        <v>0.25</v>
      </c>
      <c r="E17" s="45">
        <f>IFERROR(1/AVERAGE(C17,D17),"")</f>
        <v>4.444444444444445</v>
      </c>
      <c r="F17" s="24" t="n">
        <v>0</v>
      </c>
      <c r="G17" s="46">
        <f>IFERROR($C$4*E17/(1-F17),"")</f>
        <v>24.444444444444446</v>
      </c>
      <c r="H17" s="35">
        <f>IFERROR(G17*(1+$C$5),"")</f>
        <v>26.888888888888893</v>
      </c>
      <c r="I17" s="36">
        <f>IFERROR(G17*(1-F17),"")</f>
        <v>24.444444444444446</v>
      </c>
      <c r="J17" s="36">
        <f>IFERROR(I17-$C$4,"")</f>
        <v>18.944444444444446</v>
      </c>
    </row>
    <row r="18">
      <c r="A18" s="20" t="n"/>
      <c r="B18" s="41" t="inlineStr">
        <is>
          <t>Delivery</t>
        </is>
      </c>
      <c r="C18" s="24" t="n">
        <v>0.28</v>
      </c>
      <c r="D18" s="24" t="n">
        <v>0.32</v>
      </c>
      <c r="E18" s="42">
        <f>IFERROR(1/AVERAGE(C18,D18),"")</f>
        <v>3.333333333333333</v>
      </c>
      <c r="F18" s="24" t="n">
        <v>0.3</v>
      </c>
      <c r="G18" s="43">
        <f>IFERROR($C$4*E18/(1-F18),"")</f>
        <v>26.19047619047619</v>
      </c>
      <c r="H18" s="35">
        <f>IFERROR(G18*(1+$C$5),"")</f>
        <v>28.80952380952381</v>
      </c>
      <c r="I18" s="40">
        <f>IFERROR(G18*(1-F18),"")</f>
        <v>18.333333333333332</v>
      </c>
      <c r="J18" s="40">
        <f>IFERROR(I18-$C$4,"")</f>
        <v>12.833333333333332</v>
      </c>
    </row>
    <row r="19">
      <c r="A19" s="20" t="n"/>
      <c r="B19" s="20" t="n"/>
      <c r="C19" s="20" t="n"/>
      <c r="D19" s="20" t="n"/>
      <c r="E19" s="20" t="n"/>
      <c r="F19" s="20" t="n"/>
      <c r="G19" s="20" t="n"/>
      <c r="H19" s="20" t="n"/>
      <c r="I19" s="20" t="n"/>
      <c r="J19" s="20" t="n"/>
    </row>
    <row r="20" ht="26" customHeight="1">
      <c r="A20" s="20" t="n"/>
      <c r="B20" s="47" t="inlineStr">
        <is>
          <t>Delivery: la comisión de la plataforma (25-35 %) se descuenta ANTES de calcular el precio, así que el PVP de la carta de delivery sale muy por encima del de sala — es la única forma de que te quede el mismo dinero en el bolsillo. Su food cost objetivo (28-32 %) se mide sobre el INGRESO NETO, no sobre el precio de la carta: un 30 % sobre neto equivale a un ~21 % sobre el PVP bruto, y por eso el precio de delivery sube. Si vendes por tu propia web, pon la comisión a 0 %.</t>
        </is>
      </c>
    </row>
    <row r="21" ht="26" customHeight="1">
      <c r="B21" s="47" t="inlineStr">
        <is>
          <t>La comisión funciona en TODAS las filas: si trabajas una carta de sala también en plataforma, copia el food cost de tu fila y pon la comisión que te cobren.</t>
        </is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1"/>
  <mergeCells count="4">
    <mergeCell ref="B21:J21"/>
    <mergeCell ref="B20:J20"/>
    <mergeCell ref="B6:J6"/>
    <mergeCell ref="B2:J2"/>
  </mergeCells>
  <pageMargins left="0.59" right="0.59" top="0.59" bottom="0.59" header="0.3" footer="0.3"/>
  <pageSetup orientation="landscape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AI Chef Pro</dc:creator>
  <dc:title xmlns:dc="http://purl.org/dc/elements/1.1/">Calculadora de PVP por Tipo de Establecimiento · Kit de Escandallos Pro</dc:title>
  <dc:description xmlns:dc="http://purl.org/dc/elements/1.1/">aichef.pro/kit-escandallos</dc:description>
  <dc:subject xmlns:dc="http://purl.org/dc/elements/1.1/">Kit de Escandallos Pro · v2.1</dc:subject>
  <dcterms:created xmlns:dcterms="http://purl.org/dc/terms/" xmlns:xsi="http://www.w3.org/2001/XMLSchema-instance" xsi:type="dcterms:W3CDTF">2026-03-18T21:50:24Z</dcterms:created>
  <dcterms:modified xmlns:dcterms="http://purl.org/dc/terms/" xmlns:xsi="http://www.w3.org/2001/XMLSchema-instance" xsi:type="dcterms:W3CDTF">2026-09-24T15:25:03Z</dcterms:modified>
  <cp:lastModifiedBy>AI Chef Pro</cp:lastModifiedBy>
  <cp:category>AI Chef Pro · Productos digitales</cp:category>
  <cp:keywords>kit escandallos, AI Chef Pro</cp:keywords>
</cp:coreProperties>
</file>