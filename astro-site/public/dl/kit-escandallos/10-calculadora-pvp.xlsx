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Calculadora PVP" sheetId="2" state="visible" r:id="rId2"/>
  </sheets>
  <definedNames>
    <definedName name="_xlnm.Print_Titles" localSheetId="1">'Calculadora PVP'!$6:$6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€"/>
  </numFmts>
  <fonts count="12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color rgb="00888888"/>
      <sz val="11"/>
    </font>
    <font>
      <name val="Calibri"/>
      <i val="1"/>
      <color rgb="00888888"/>
      <sz val="10"/>
    </font>
    <font>
      <name val="Calibri"/>
      <b val="1"/>
      <color rgb="001A1A1A"/>
      <sz val="12"/>
    </font>
    <font>
      <name val="Calibri"/>
      <color rgb="00333333"/>
      <sz val="11"/>
    </font>
    <font>
      <name val="Calibri"/>
      <i val="1"/>
      <color rgb="00888888"/>
      <sz val="11"/>
    </font>
    <font>
      <name val="Calibri"/>
      <color rgb="00AAAAAA"/>
      <sz val="9"/>
    </font>
    <font>
      <name val="Calibri"/>
      <b val="1"/>
      <color rgb="001A1A1A"/>
      <sz val="13"/>
    </font>
    <font>
      <name val="Calibri"/>
      <b val="1"/>
      <sz val="16"/>
    </font>
    <font>
      <name val="Calibri"/>
      <b val="1"/>
      <color rgb="00FFFFFF"/>
      <sz val="11"/>
    </font>
    <font>
      <name val="Calibri"/>
      <b val="1"/>
      <color rgb="00333333"/>
      <sz val="11"/>
    </font>
  </fonts>
  <fills count="7">
    <fill>
      <patternFill/>
    </fill>
    <fill>
      <patternFill patternType="gray125"/>
    </fill>
    <fill>
      <patternFill patternType="solid">
        <fgColor rgb="00E8F5E9"/>
        <bgColor rgb="00E8F5E9"/>
      </patternFill>
    </fill>
    <fill>
      <patternFill patternType="solid">
        <fgColor rgb="002D2D2D"/>
        <bgColor rgb="002D2D2D"/>
      </patternFill>
    </fill>
    <fill>
      <patternFill patternType="solid">
        <fgColor rgb="00FFFFFF"/>
        <bgColor rgb="00FFFFFF"/>
      </patternFill>
    </fill>
    <fill>
      <patternFill patternType="solid">
        <fgColor rgb="00FFF8DC"/>
        <bgColor rgb="00FFF8DC"/>
      </patternFill>
    </fill>
    <fill>
      <patternFill patternType="solid">
        <fgColor rgb="00F5F5F5"/>
        <bgColor rgb="00F5F5F5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7" fillId="0" borderId="0" pivotButton="0" quotePrefix="0" xfId="0"/>
    <xf numFmtId="0" fontId="1" fillId="0" borderId="0" pivotButton="0" quotePrefix="0" xfId="0"/>
    <xf numFmtId="0" fontId="8" fillId="0" borderId="0" pivotButton="0" quotePrefix="0" xfId="0"/>
    <xf numFmtId="164" fontId="9" fillId="2" borderId="1" pivotButton="0" quotePrefix="0" xfId="0"/>
    <xf numFmtId="0" fontId="10" fillId="3" borderId="1" applyAlignment="1" pivotButton="0" quotePrefix="0" xfId="0">
      <alignment horizontal="center" vertical="center" wrapText="1"/>
    </xf>
    <xf numFmtId="0" fontId="5" fillId="4" borderId="1" pivotButton="0" quotePrefix="0" xfId="0"/>
    <xf numFmtId="9" fontId="5" fillId="4" borderId="1" applyAlignment="1" pivotButton="0" quotePrefix="0" xfId="0">
      <alignment horizontal="center" vertical="center" wrapText="1"/>
    </xf>
    <xf numFmtId="164" fontId="11" fillId="4" borderId="1" applyAlignment="1" pivotButton="0" quotePrefix="0" xfId="0">
      <alignment horizontal="right" vertical="center"/>
    </xf>
    <xf numFmtId="164" fontId="11" fillId="5" borderId="1" applyAlignment="1" pivotButton="0" quotePrefix="0" xfId="0">
      <alignment horizontal="right" vertical="center"/>
    </xf>
    <xf numFmtId="0" fontId="5" fillId="6" borderId="1" pivotButton="0" quotePrefix="0" xfId="0"/>
    <xf numFmtId="9" fontId="5" fillId="6" borderId="1" applyAlignment="1" pivotButton="0" quotePrefix="0" xfId="0">
      <alignment horizontal="center" vertical="center" wrapText="1"/>
    </xf>
    <xf numFmtId="164" fontId="11" fillId="6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17"/>
  <sheetViews>
    <sheetView workbookViewId="0">
      <selection activeCell="A1" sqref="A1"/>
    </sheetView>
  </sheetViews>
  <sheetFormatPr baseColWidth="8" defaultRowHeight="15"/>
  <cols>
    <col width="3" customWidth="1" min="1" max="1"/>
    <col width="80" customWidth="1" min="2" max="2"/>
  </cols>
  <sheetData>
    <row r="1"/>
    <row r="2">
      <c r="B2" s="1" t="inlineStr">
        <is>
          <t>📋 Calculadora de PVP por Tipo de Establecimiento</t>
        </is>
      </c>
    </row>
    <row r="3">
      <c r="B3" s="2" t="inlineStr">
        <is>
          <t>Kit de Escandallos Pro — AI Chef Pro</t>
        </is>
      </c>
    </row>
    <row r="4">
      <c r="B4" s="3" t="inlineStr">
        <is>
          <t>www.aichef.pro</t>
        </is>
      </c>
    </row>
    <row r="5"/>
    <row r="6">
      <c r="B6" s="4" t="inlineStr">
        <is>
          <t>Cómo usar esta plantilla</t>
        </is>
      </c>
    </row>
    <row r="7">
      <c r="B7" s="5" t="inlineStr"/>
    </row>
    <row r="8">
      <c r="B8" s="6" t="inlineStr">
        <is>
          <t>▸ Introduce el coste total de tu plato en la celda verde</t>
        </is>
      </c>
    </row>
    <row r="9">
      <c r="B9" s="6" t="inlineStr">
        <is>
          <t>▸ La tabla calcula automáticamente el PVP para cada tipo de establecimiento</t>
        </is>
      </c>
    </row>
    <row r="10">
      <c r="B10" s="6" t="inlineStr">
        <is>
          <t>▸ Cada tipo tiene su food cost objetivo y multiplicador</t>
        </is>
      </c>
    </row>
    <row r="11">
      <c r="B11" s="6" t="inlineStr">
        <is>
          <t>▸ Los PVP incluyen versión sin IVA y con IVA (10%)</t>
        </is>
      </c>
    </row>
    <row r="12">
      <c r="B12" s="5" t="inlineStr"/>
    </row>
    <row r="13">
      <c r="B13" s="7" t="inlineStr">
        <is>
          <t>— Kit de Escandallos Pro · AI Chef Pro · aichef.pro</t>
        </is>
      </c>
    </row>
    <row r="14"/>
    <row r="15">
      <c r="B15" s="8" t="inlineStr">
        <is>
          <t>© 2026 AI Chef Pro · Todos los derechos reservados</t>
        </is>
      </c>
    </row>
    <row r="16"/>
    <row r="17">
      <c r="B17" s="8" t="inlineStr">
        <is>
          <t>Versión 1.1 · agosto 2026 · aichef.pro/kit-escandallos · info@aichef.pro</t>
        </is>
      </c>
    </row>
  </sheetData>
  <mergeCells count="1">
    <mergeCell ref="B2"/>
  </mergeCell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G15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5" customWidth="1" min="1" max="1"/>
    <col width="25" customWidth="1" min="2" max="2"/>
    <col width="16" customWidth="1" min="3" max="3"/>
    <col width="14" customWidth="1" min="4" max="4"/>
    <col width="16" customWidth="1" min="5" max="5"/>
    <col width="16" customWidth="1" min="6" max="6"/>
    <col width="14" customWidth="1" min="7" max="7"/>
  </cols>
  <sheetData>
    <row r="1"/>
    <row r="2">
      <c r="B2" s="9" t="inlineStr">
        <is>
          <t>Calculadora de PVP Sugerido</t>
        </is>
      </c>
    </row>
    <row r="3"/>
    <row r="4">
      <c r="B4" s="10" t="inlineStr">
        <is>
          <t>COSTE TOTAL DEL PLATO (€):</t>
        </is>
      </c>
      <c r="C4" s="11" t="n">
        <v>5.5</v>
      </c>
    </row>
    <row r="5"/>
    <row r="6">
      <c r="B6" s="12" t="inlineStr">
        <is>
          <t>Tipo Establecimiento</t>
        </is>
      </c>
      <c r="C6" s="12" t="inlineStr">
        <is>
          <t>Food Cost Min</t>
        </is>
      </c>
      <c r="D6" s="12" t="inlineStr">
        <is>
          <t>Food Cost Max</t>
        </is>
      </c>
      <c r="E6" s="12" t="inlineStr">
        <is>
          <t>PVP sin IVA (€)</t>
        </is>
      </c>
      <c r="F6" s="12" t="inlineStr">
        <is>
          <t>PVP con IVA (€)</t>
        </is>
      </c>
      <c r="G6" s="12" t="inlineStr">
        <is>
          <t>Margen (€)</t>
        </is>
      </c>
    </row>
    <row r="7">
      <c r="B7" s="13" t="inlineStr">
        <is>
          <t>Fine Dining</t>
        </is>
      </c>
      <c r="C7" s="14" t="n">
        <v>0.25</v>
      </c>
      <c r="D7" s="14" t="n">
        <v>0.28</v>
      </c>
      <c r="E7" s="15">
        <f>$C$4/AVERAGE(C7,D7)</f>
        <v>20.754716981132074</v>
      </c>
      <c r="F7" s="16">
        <f>E7*1.10</f>
        <v>22.830188679245282</v>
      </c>
      <c r="G7" s="15">
        <f>E7-$C$4</f>
        <v>15.254716981132074</v>
      </c>
    </row>
    <row r="8">
      <c r="B8" s="17" t="inlineStr">
        <is>
          <t>Casual Dining</t>
        </is>
      </c>
      <c r="C8" s="18" t="n">
        <v>0.28</v>
      </c>
      <c r="D8" s="18" t="n">
        <v>0.32</v>
      </c>
      <c r="E8" s="19">
        <f>$C$4/AVERAGE(C8,D8)</f>
        <v>18.333333333333332</v>
      </c>
      <c r="F8" s="19">
        <f>E8*1.10</f>
        <v>20.166666666666668</v>
      </c>
      <c r="G8" s="19">
        <f>E8-$C$4</f>
        <v>12.833333333333332</v>
      </c>
    </row>
    <row r="9">
      <c r="B9" s="13" t="inlineStr">
        <is>
          <t>Fast Casual</t>
        </is>
      </c>
      <c r="C9" s="14" t="n">
        <v>0.3</v>
      </c>
      <c r="D9" s="14" t="n">
        <v>0.35</v>
      </c>
      <c r="E9" s="15">
        <f>$C$4/AVERAGE(C9,D9)</f>
        <v>16.923076923076927</v>
      </c>
      <c r="F9" s="15">
        <f>E9*1.10</f>
        <v>18.61538461538462</v>
      </c>
      <c r="G9" s="15">
        <f>E9-$C$4</f>
        <v>11.423076923076927</v>
      </c>
    </row>
    <row r="10">
      <c r="B10" s="17" t="inlineStr">
        <is>
          <t>Cafetería</t>
        </is>
      </c>
      <c r="C10" s="18" t="n">
        <v>0.25</v>
      </c>
      <c r="D10" s="18" t="n">
        <v>0.3</v>
      </c>
      <c r="E10" s="19">
        <f>$C$4/AVERAGE(C10,D10)</f>
        <v>20.0</v>
      </c>
      <c r="F10" s="19">
        <f>E10*1.10</f>
        <v>22.0</v>
      </c>
      <c r="G10" s="19">
        <f>E10-$C$4</f>
        <v>14.5</v>
      </c>
    </row>
    <row r="11">
      <c r="B11" s="13" t="inlineStr">
        <is>
          <t>Catering</t>
        </is>
      </c>
      <c r="C11" s="14" t="n">
        <v>0.3</v>
      </c>
      <c r="D11" s="14" t="n">
        <v>0.4</v>
      </c>
      <c r="E11" s="15">
        <f>$C$4/AVERAGE(C11,D11)</f>
        <v>15.714285714285715</v>
      </c>
      <c r="F11" s="15">
        <f>E11*1.10</f>
        <v>17.28571428571429</v>
      </c>
      <c r="G11" s="15">
        <f>E11-$C$4</f>
        <v>10.214285714285715</v>
      </c>
    </row>
    <row r="12">
      <c r="B12" s="17" t="inlineStr">
        <is>
          <t>Food Truck</t>
        </is>
      </c>
      <c r="C12" s="18" t="n">
        <v>0.28</v>
      </c>
      <c r="D12" s="18" t="n">
        <v>0.35</v>
      </c>
      <c r="E12" s="19">
        <f>$C$4/AVERAGE(C12,D12)</f>
        <v>17.46031746031746</v>
      </c>
      <c r="F12" s="19">
        <f>E12*1.10</f>
        <v>19.206349206349206</v>
      </c>
      <c r="G12" s="19">
        <f>E12-$C$4</f>
        <v>11.960317460317459</v>
      </c>
    </row>
    <row r="13">
      <c r="B13" s="13" t="inlineStr">
        <is>
          <t>Hotel F&amp;B</t>
        </is>
      </c>
      <c r="C13" s="14" t="n">
        <v>0.3</v>
      </c>
      <c r="D13" s="14" t="n">
        <v>0.35</v>
      </c>
      <c r="E13" s="15">
        <f>$C$4/AVERAGE(C13,D13)</f>
        <v>16.923076923076927</v>
      </c>
      <c r="F13" s="15">
        <f>E13*1.10</f>
        <v>18.61538461538462</v>
      </c>
      <c r="G13" s="15">
        <f>E13-$C$4</f>
        <v>11.423076923076927</v>
      </c>
    </row>
    <row r="14">
      <c r="B14" s="17" t="inlineStr">
        <is>
          <t>Pastelería</t>
        </is>
      </c>
      <c r="C14" s="18" t="n">
        <v>0.2</v>
      </c>
      <c r="D14" s="18" t="n">
        <v>0.3</v>
      </c>
      <c r="E14" s="19">
        <f>$C$4/AVERAGE(C14,D14)</f>
        <v>22.0</v>
      </c>
      <c r="F14" s="19">
        <f>E14*1.10</f>
        <v>24.200000000000003</v>
      </c>
      <c r="G14" s="19">
        <f>E14-$C$4</f>
        <v>16.5</v>
      </c>
    </row>
    <row r="15">
      <c r="B15" s="13" t="inlineStr">
        <is>
          <t>Bar/Cocktails</t>
        </is>
      </c>
      <c r="C15" s="14" t="n">
        <v>0.18</v>
      </c>
      <c r="D15" s="14" t="n">
        <v>0.25</v>
      </c>
      <c r="E15" s="15">
        <f>$C$4/AVERAGE(C15,D15)</f>
        <v>25.58139534883721</v>
      </c>
      <c r="F15" s="15">
        <f>E15*1.10</f>
        <v>28.13953488372093</v>
      </c>
      <c r="G15" s="15">
        <f>E15-$C$4</f>
        <v>20.08139534883721</v>
      </c>
    </row>
  </sheetData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Calculadora de PVP por Tipo de Establecimiento · Kit de Escandallos Pro</dc:title>
  <dc:description xmlns:dc="http://purl.org/dc/elements/1.1/">aichef.pro/kit-escandallos</dc:description>
  <dc:subject xmlns:dc="http://purl.org/dc/elements/1.1/">Kit de Escandallos Pro · v1.1</dc:subject>
  <dcterms:created xmlns:dcterms="http://purl.org/dc/terms/" xmlns:xsi="http://www.w3.org/2001/XMLSchema-instance" xsi:type="dcterms:W3CDTF">2026-03-18T21:50:24Z</dcterms:created>
  <dcterms:modified xmlns:dcterms="http://purl.org/dc/terms/" xmlns:xsi="http://www.w3.org/2001/XMLSchema-instance" xsi:type="dcterms:W3CDTF">2026-08-22T09:11:25Z</dcterms:modified>
  <cp:lastModifiedBy>AI Chef Pro</cp:lastModifiedBy>
  <cp:category>AI Chef Pro · Productos digitales</cp:category>
  <cp:keywords>kit escandallos, AI Chef Pro</cp:keywords>
</cp:coreProperties>
</file>