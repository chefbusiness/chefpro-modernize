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Inventario" sheetId="2" state="visible" r:id="rId2"/>
    <sheet xmlns:r="http://schemas.openxmlformats.org/officeDocument/2006/relationships" name="Ventas del periodo" sheetId="3" state="visible" r:id="rId3"/>
    <sheet xmlns:r="http://schemas.openxmlformats.org/officeDocument/2006/relationships" name="Checklist Mermas" sheetId="4" state="visible" r:id="rId4"/>
  </sheets>
  <definedNames>
    <definedName name="_xlnm.Print_Titles" localSheetId="1">'Inventario'!$4:$4</definedName>
    <definedName name="_xlnm.Print_Area" localSheetId="1">'Inventario'!$A$1:$J$23</definedName>
    <definedName name="_xlnm.Print_Area" localSheetId="2">'Ventas del periodo'!$A$1:$Q$17</definedName>
    <definedName name="_xlnm.Print_Area" localSheetId="3">'Checklist Mermas'!$A$1:$F$94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+0.00;-0.00"/>
    <numFmt numFmtId="165" formatCode="DD/MM/YYYY"/>
    <numFmt numFmtId="166" formatCode="#,##0.00 €"/>
    <numFmt numFmtId="167" formatCode="0.000"/>
    <numFmt numFmtId="168" formatCode="dd/mm/yyyy"/>
  </numFmts>
  <fonts count="19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color rgb="00888888"/>
      <sz val="11"/>
    </font>
    <font>
      <name val="Calibri"/>
      <i val="1"/>
      <color rgb="00888888"/>
      <sz val="10"/>
    </font>
    <font>
      <name val="Calibri"/>
      <b val="1"/>
      <color rgb="001A1A1A"/>
      <sz val="12"/>
    </font>
    <font>
      <name val="Calibri"/>
      <color rgb="00333333"/>
      <sz val="11"/>
    </font>
    <font>
      <name val="Calibri"/>
      <i val="1"/>
      <color rgb="00888888"/>
      <sz val="11"/>
    </font>
    <font>
      <name val="Calibri"/>
      <color rgb="00AAAAAA"/>
      <sz val="9"/>
    </font>
    <font>
      <name val="Calibri"/>
      <b val="1"/>
      <color rgb="00FFFFFF"/>
      <sz val="11"/>
    </font>
    <font>
      <name val="Calibri"/>
      <b val="1"/>
      <color rgb="00333333"/>
      <sz val="11"/>
    </font>
    <font>
      <name val="Calibri"/>
      <b val="1"/>
      <sz val="14"/>
    </font>
    <font/>
    <font>
      <b val="1"/>
      <sz val="13"/>
    </font>
    <font>
      <i val="1"/>
      <color rgb="00606060"/>
      <sz val="9"/>
    </font>
    <font>
      <b val="1"/>
      <sz val="9"/>
    </font>
    <font>
      <color rgb="00808080"/>
      <sz val="9"/>
    </font>
    <font>
      <sz val="11"/>
    </font>
    <font>
      <b val="1"/>
      <color rgb="00FFFFFF"/>
      <sz val="10"/>
    </font>
    <font>
      <b val="1"/>
      <sz val="11"/>
    </font>
  </fonts>
  <fills count="12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  <fill>
      <patternFill patternType="solid">
        <fgColor rgb="00FFD700"/>
        <bgColor rgb="00FFD700"/>
      </patternFill>
    </fill>
    <fill>
      <patternFill patternType="solid">
        <fgColor rgb="002D2D2D"/>
      </patternFill>
    </fill>
    <fill>
      <patternFill patternType="solid">
        <fgColor rgb="00E8F5E9"/>
      </patternFill>
    </fill>
    <fill>
      <patternFill patternType="solid">
        <fgColor rgb="00FFD700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0" borderId="0" pivotButton="0" quotePrefix="0" xfId="0"/>
    <xf numFmtId="0" fontId="0" fillId="2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5" fillId="4" borderId="1" applyAlignment="1" pivotButton="0" quotePrefix="0" xfId="0">
      <alignment horizontal="center" vertical="center" wrapText="1"/>
    </xf>
    <xf numFmtId="2" fontId="0" fillId="2" borderId="1" pivotButton="0" quotePrefix="0" xfId="0"/>
    <xf numFmtId="2" fontId="9" fillId="4" borderId="1" pivotButton="0" quotePrefix="0" xfId="0"/>
    <xf numFmtId="164" fontId="9" fillId="4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horizontal="center" vertical="center" wrapText="1"/>
    </xf>
    <xf numFmtId="2" fontId="9" fillId="5" borderId="1" pivotButton="0" quotePrefix="0" xfId="0"/>
    <xf numFmtId="164" fontId="9" fillId="5" borderId="1" pivotButton="0" quotePrefix="0" xfId="0"/>
    <xf numFmtId="165" fontId="0" fillId="2" borderId="1" pivotButton="0" quotePrefix="0" xfId="0"/>
    <xf numFmtId="166" fontId="0" fillId="2" borderId="1" pivotButton="0" quotePrefix="0" xfId="0"/>
    <xf numFmtId="0" fontId="4" fillId="6" borderId="1" pivotButton="0" quotePrefix="0" xfId="0"/>
    <xf numFmtId="0" fontId="0" fillId="0" borderId="4" pivotButton="0" quotePrefix="0" xfId="0"/>
    <xf numFmtId="0" fontId="0" fillId="0" borderId="5" pivotButton="0" quotePrefix="0" xfId="0"/>
    <xf numFmtId="166" fontId="10" fillId="6" borderId="1" pivotButton="0" quotePrefix="0" xfId="0"/>
    <xf numFmtId="0" fontId="12" fillId="0" borderId="0" pivotButton="0" quotePrefix="0" xfId="0"/>
    <xf numFmtId="0" fontId="18" fillId="0" borderId="0" pivotButton="0" quotePrefix="0" xfId="0"/>
    <xf numFmtId="0" fontId="16" fillId="8" borderId="1" applyAlignment="1" applyProtection="1" pivotButton="0" quotePrefix="0" xfId="0">
      <alignment horizontal="center" vertical="center"/>
      <protection locked="0" hidden="0"/>
    </xf>
    <xf numFmtId="0" fontId="11" fillId="0" borderId="0" pivotButton="0" quotePrefix="0" xfId="0"/>
    <xf numFmtId="0" fontId="13" fillId="0" borderId="0" applyAlignment="1" pivotButton="0" quotePrefix="0" xfId="0">
      <alignment vertical="top" wrapText="1"/>
    </xf>
    <xf numFmtId="0" fontId="17" fillId="7" borderId="1" applyAlignment="1" pivotButton="0" quotePrefix="0" xfId="0">
      <alignment horizontal="center" vertical="center" wrapText="1"/>
    </xf>
    <xf numFmtId="0" fontId="17" fillId="7" borderId="0" applyAlignment="1" pivotButton="0" quotePrefix="0" xfId="0">
      <alignment horizontal="center" vertical="center" wrapText="1"/>
    </xf>
    <xf numFmtId="0" fontId="16" fillId="8" borderId="1" applyProtection="1" pivotButton="0" quotePrefix="0" xfId="0">
      <protection locked="0" hidden="0"/>
    </xf>
    <xf numFmtId="2" fontId="16" fillId="8" borderId="1" applyAlignment="1" applyProtection="1" pivotButton="0" quotePrefix="0" xfId="0">
      <alignment horizontal="center" vertical="center"/>
      <protection locked="0" hidden="0"/>
    </xf>
    <xf numFmtId="2" fontId="16" fillId="10" borderId="1" applyAlignment="1" pivotButton="0" quotePrefix="0" xfId="0">
      <alignment horizontal="center" vertical="center"/>
    </xf>
    <xf numFmtId="164" fontId="16" fillId="10" borderId="1" applyAlignment="1" pivotButton="0" quotePrefix="0" xfId="0">
      <alignment horizontal="center" vertical="center"/>
    </xf>
    <xf numFmtId="166" fontId="16" fillId="8" borderId="0" applyAlignment="1" applyProtection="1" pivotButton="0" quotePrefix="0" xfId="0">
      <alignment horizontal="center" vertical="center"/>
      <protection locked="0" hidden="0"/>
    </xf>
    <xf numFmtId="166" fontId="18" fillId="10" borderId="0" pivotButton="0" quotePrefix="0" xfId="0"/>
    <xf numFmtId="2" fontId="16" fillId="11" borderId="1" applyAlignment="1" pivotButton="0" quotePrefix="0" xfId="0">
      <alignment horizontal="center" vertical="center"/>
    </xf>
    <xf numFmtId="164" fontId="16" fillId="11" borderId="1" applyAlignment="1" pivotButton="0" quotePrefix="0" xfId="0">
      <alignment horizontal="center" vertical="center"/>
    </xf>
    <xf numFmtId="166" fontId="18" fillId="11" borderId="0" pivotButton="0" quotePrefix="0" xfId="0"/>
    <xf numFmtId="0" fontId="18" fillId="9" borderId="0" pivotButton="0" quotePrefix="0" xfId="0"/>
    <xf numFmtId="166" fontId="18" fillId="9" borderId="0" pivotButton="0" quotePrefix="0" xfId="0"/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center" vertical="center"/>
    </xf>
    <xf numFmtId="0" fontId="16" fillId="8" borderId="0" applyProtection="1" pivotButton="0" quotePrefix="0" xfId="0">
      <protection locked="0" hidden="0"/>
    </xf>
    <xf numFmtId="1" fontId="16" fillId="8" borderId="0" applyAlignment="1" applyProtection="1" pivotButton="0" quotePrefix="0" xfId="0">
      <alignment horizontal="center" vertical="center"/>
      <protection locked="0" hidden="0"/>
    </xf>
    <xf numFmtId="167" fontId="16" fillId="8" borderId="0" applyAlignment="1" applyProtection="1" pivotButton="0" quotePrefix="0" xfId="0">
      <alignment horizontal="center" vertical="center"/>
      <protection locked="0" hidden="0"/>
    </xf>
    <xf numFmtId="1" fontId="18" fillId="9" borderId="0" applyAlignment="1" pivotButton="0" quotePrefix="0" xfId="0">
      <alignment horizontal="center" vertical="center"/>
    </xf>
    <xf numFmtId="2" fontId="18" fillId="9" borderId="0" applyAlignment="1" pivotButton="0" quotePrefix="0" xfId="0">
      <alignment horizontal="center" vertical="center"/>
    </xf>
    <xf numFmtId="168" fontId="16" fillId="8" borderId="1" applyAlignment="1" applyProtection="1" pivotButton="0" quotePrefix="0" xfId="0">
      <alignment horizontal="center" vertical="center"/>
      <protection locked="0" hidden="0"/>
    </xf>
    <xf numFmtId="166" fontId="16" fillId="8" borderId="1" applyProtection="1" pivotButton="0" quotePrefix="0" xfId="0">
      <protection locked="0" hidden="0"/>
    </xf>
    <xf numFmtId="2" fontId="16" fillId="8" borderId="0" applyAlignment="1" applyProtection="1" pivotButton="0" quotePrefix="0" xfId="0">
      <alignment horizontal="center" vertical="center"/>
      <protection locked="0" hidden="0"/>
    </xf>
    <xf numFmtId="168" fontId="16" fillId="8" borderId="0" applyAlignment="1" applyProtection="1" pivotButton="0" quotePrefix="0" xfId="0">
      <alignment horizontal="center" vertical="center"/>
      <protection locked="0" hidden="0"/>
    </xf>
    <xf numFmtId="166" fontId="16" fillId="8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40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📋 BONUS: Checklist Mermas + Inventario</t>
        </is>
      </c>
    </row>
    <row r="3">
      <c r="B3" s="2" t="inlineStr">
        <is>
          <t>Kit de Escandallos Pro — AI Chef Pro</t>
        </is>
      </c>
    </row>
    <row r="4">
      <c r="B4" s="3" t="inlineStr">
        <is>
          <t>www.aichef.pro</t>
        </is>
      </c>
    </row>
    <row r="5"/>
    <row r="6">
      <c r="B6" s="6" t="inlineStr">
        <is>
          <t>▸ Pestaña 'Ventas del periodo': lo que has vendido y cuánto lleva cada ración de cada producto.</t>
        </is>
      </c>
    </row>
    <row r="7">
      <c r="B7" s="6" t="inlineStr">
        <is>
          <t>▸ Pestaña 'Inventario': el stock real. Compara lo que gastaste con lo que deberías haber gastado y lo valora en euros.</t>
        </is>
      </c>
    </row>
    <row r="8">
      <c r="B8" s="6" t="inlineStr">
        <is>
          <t>▸ Pestaña 'Checklist Mermas': el registro de incidencias del mes.</t>
        </is>
      </c>
    </row>
    <row r="9">
      <c r="B9" s="6" t="inlineStr">
        <is>
          <t>▸ Sólo se escriben las celdas VERDES.</t>
        </is>
      </c>
    </row>
    <row r="10">
      <c r="B10" s="6" t="n"/>
    </row>
    <row r="11">
      <c r="B11" s="4" t="inlineStr">
        <is>
          <t>Cómo se calcula el consumo teórico</t>
        </is>
      </c>
    </row>
    <row r="12">
      <c r="B12" s="7" t="n"/>
    </row>
    <row r="13">
      <c r="B13" s="6" t="inlineStr">
        <is>
          <t>▸ Consumo teórico = Σ (raciones vendidas del plato × cantidad de ese producto por ración).</t>
        </is>
      </c>
    </row>
    <row r="14">
      <c r="B14" s="6" t="inlineStr">
        <is>
          <t>▸ Se rellena en 'Ventas del periodo': una fila por plato, las raciones vendidas en la columna B y la cantidad por ración debajo de cada producto.</t>
        </is>
      </c>
    </row>
    <row r="15">
      <c r="B15" s="6" t="inlineStr">
        <is>
          <t>▸ La cantidad es la BRUTA del escandallo (columna «Cant. Bruta», con la merma de despiece ya dentro): si pones la neta, todo el despiece te saldrá como pérdida oculta.</t>
        </is>
      </c>
    </row>
    <row r="16">
      <c r="B16" s="6" t="inlineStr">
        <is>
          <t>▸ La fila de TOTALES es la que lee la columna 'Consumo teórico' del inventario. No hay que copiar nada a mano.</t>
        </is>
      </c>
    </row>
    <row r="17"/>
    <row r="18">
      <c r="B18" s="4" t="inlineStr">
        <is>
          <t>Cómo se lee la diferencia</t>
        </is>
      </c>
    </row>
    <row r="19"/>
    <row r="20">
      <c r="B20" s="6" t="inlineStr">
        <is>
          <t>▸ Consumo real = stock inicial + compras − stock final.</t>
        </is>
      </c>
    </row>
    <row r="21">
      <c r="B21" s="6" t="inlineStr">
        <is>
          <t>▸ Diferencia = consumo real − consumo teórico. En positivo, has gastado de más.</t>
        </is>
      </c>
    </row>
    <row r="22">
      <c r="B22" s="6" t="inlineStr">
        <is>
          <t>▸ «Valor de la diferencia (€)» = diferencia × precio unitario. Es la columna que manda: prioriza por euros, no por kilos.</t>
        </is>
      </c>
    </row>
    <row r="23">
      <c r="B23" s="6" t="inlineStr">
        <is>
          <t>▸ Causas habituales de un desvío positivo: porcionado sin control, roturas y caídas, robo, o un escandallo desactualizado.</t>
        </is>
      </c>
    </row>
    <row r="24">
      <c r="B24" s="6" t="inlineStr">
        <is>
          <t>▸ Los productos sin ventas declaradas quedan en blanco a propósito: sin teórico no hay comparación posible.</t>
        </is>
      </c>
    </row>
    <row r="25"/>
    <row r="26">
      <c r="B26" s="4" t="inlineStr">
        <is>
          <t>Registro de incidencias</t>
        </is>
      </c>
    </row>
    <row r="27"/>
    <row r="28">
      <c r="B28" s="6" t="inlineStr">
        <is>
          <t>▸ 90 líneas al mes (unas tres al día). Fecha, producto, cantidad, motivo (desplegable), acción correctiva y coste estimado.</t>
        </is>
      </c>
    </row>
    <row r="29">
      <c r="B29" s="6" t="inlineStr">
        <is>
          <t>▸ El total del periodo se suma solo al pie de la tabla.</t>
        </is>
      </c>
    </row>
    <row r="30">
      <c r="B30" s="6" t="inlineStr">
        <is>
          <t>▸ Cruza este total con la pestaña «Mermas Semanal» de 09-control-mermas: si no cuadran, es que hay mermas que no se están anotando.</t>
        </is>
      </c>
    </row>
    <row r="31"/>
    <row r="32">
      <c r="B32" s="4" t="inlineStr">
        <is>
          <t>Protección de las hojas</t>
        </is>
      </c>
    </row>
    <row r="33"/>
    <row r="34">
      <c r="B34" s="6" t="inlineStr">
        <is>
          <t>▸ Las hojas están protegidas SIN contraseña: sólo se escriben las celdas verdes. Revisar → Desproteger hoja para tocar el resto.</t>
        </is>
      </c>
    </row>
    <row r="35"/>
    <row r="36">
      <c r="B36" s="6" t="inlineStr">
        <is>
          <t>— Kit de Escandallos Pro · AI Chef Pro · aichef.pro</t>
        </is>
      </c>
    </row>
    <row r="37"/>
    <row r="38">
      <c r="B38" s="6" t="inlineStr">
        <is>
          <t>© 2026 AI Chef Pro · Todos los derechos reservados</t>
        </is>
      </c>
    </row>
    <row r="39"/>
    <row r="40">
      <c r="B40" s="6" t="inlineStr">
        <is>
          <t>Versión 2.1 · septiembre 2026 · aichef.pro/kit-escandallos · info@aichef.pro</t>
        </is>
      </c>
    </row>
  </sheetData>
  <mergeCells count="1">
    <mergeCell ref="B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J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3" customWidth="1" min="3" max="3"/>
    <col width="12" customWidth="1" min="4" max="4"/>
    <col width="13" customWidth="1" min="5" max="5"/>
    <col width="14" customWidth="1" min="6" max="6"/>
    <col width="15" customWidth="1" min="7" max="7"/>
    <col width="15" customWidth="1" min="8" max="8"/>
    <col width="17" customWidth="1" min="9" max="9"/>
    <col width="21" customWidth="1" min="10" max="10"/>
  </cols>
  <sheetData>
    <row r="1">
      <c r="A1" s="27" t="inlineStr">
        <is>
          <t>Control de Inventario — Semanal/Mensual</t>
        </is>
      </c>
    </row>
    <row r="2">
      <c r="A2" s="28" t="inlineStr">
        <is>
          <t>Periodo:</t>
        </is>
      </c>
      <c r="B2" s="29" t="n"/>
      <c r="C2" s="30" t="n"/>
      <c r="D2" s="30" t="n"/>
      <c r="E2" s="30" t="n"/>
      <c r="F2" s="30" t="n"/>
      <c r="G2" s="30" t="n"/>
      <c r="H2" s="30" t="n"/>
      <c r="I2" s="30" t="n"/>
      <c r="J2" s="30" t="n"/>
    </row>
    <row r="3" ht="30" customHeight="1">
      <c r="A3" s="31" t="inlineStr">
        <is>
          <t>Consumo real = stock inicial + compras − stock final. Consumo teórico = lo que DEBERÍAS haber gastado según lo que vendiste (pestaña «Ventas del periodo»). La diferencia, valorada en euros, es la pérdida oculta: roturas, robos, porcionado descontrolado o escandallos desactualizados.</t>
        </is>
      </c>
    </row>
    <row r="4" ht="30" customHeight="1">
      <c r="A4" s="32" t="inlineStr">
        <is>
          <t>Producto</t>
        </is>
      </c>
      <c r="B4" s="32" t="inlineStr">
        <is>
          <t>Ud.</t>
        </is>
      </c>
      <c r="C4" s="32" t="inlineStr">
        <is>
          <t>Stock inicial</t>
        </is>
      </c>
      <c r="D4" s="32" t="inlineStr">
        <is>
          <t>Compras</t>
        </is>
      </c>
      <c r="E4" s="32" t="inlineStr">
        <is>
          <t>Stock final</t>
        </is>
      </c>
      <c r="F4" s="32" t="inlineStr">
        <is>
          <t>Consumo real</t>
        </is>
      </c>
      <c r="G4" s="32" t="inlineStr">
        <is>
          <t>Consumo teórico</t>
        </is>
      </c>
      <c r="H4" s="32" t="inlineStr">
        <is>
          <t>Diferencia (ud.)</t>
        </is>
      </c>
      <c r="I4" s="33" t="inlineStr">
        <is>
          <t>Precio unitario (€)</t>
        </is>
      </c>
      <c r="J4" s="33" t="inlineStr">
        <is>
          <t>Valor de la diferencia (€)</t>
        </is>
      </c>
    </row>
    <row r="5">
      <c r="A5" s="34" t="inlineStr">
        <is>
          <t>Solomillo ternera</t>
        </is>
      </c>
      <c r="B5" s="29" t="inlineStr">
        <is>
          <t>kg</t>
        </is>
      </c>
      <c r="C5" s="35" t="n">
        <v>8</v>
      </c>
      <c r="D5" s="35" t="n">
        <v>28</v>
      </c>
      <c r="E5" s="35" t="n">
        <v>8.5</v>
      </c>
      <c r="F5" s="36">
        <f>IFERROR(IF(SUM(C5:E5)=0,"",C5+D5-E5),"")</f>
        <v>27.5</v>
      </c>
      <c r="G5" s="36">
        <f>IFERROR(IF('Ventas del periodo'!C15=0,"",'Ventas del periodo'!C15),"")</f>
        <v>26.4</v>
      </c>
      <c r="H5" s="37">
        <f>IFERROR(IF(F5="","",IF(G5="","",F5-G5)),"")</f>
        <v>1.1000000000000014</v>
      </c>
      <c r="I5" s="38" t="n">
        <v>26</v>
      </c>
      <c r="J5" s="39">
        <f>IFERROR(IF(H5="","",H5*I5),"")</f>
        <v>28.600000000000037</v>
      </c>
    </row>
    <row r="6">
      <c r="A6" s="34" t="inlineStr">
        <is>
          <t>Contramuslo pollo</t>
        </is>
      </c>
      <c r="B6" s="29" t="inlineStr">
        <is>
          <t>kg</t>
        </is>
      </c>
      <c r="C6" s="35" t="n"/>
      <c r="D6" s="35" t="n"/>
      <c r="E6" s="35" t="n"/>
      <c r="F6" s="40">
        <f>IFERROR(IF(SUM(C6:E6)=0,"",C6+D6-E6),"")</f>
        <v/>
      </c>
      <c r="G6" s="40">
        <f>IFERROR(IF('Ventas del periodo'!D15=0,"",'Ventas del periodo'!D15),"")</f>
        <v/>
      </c>
      <c r="H6" s="41">
        <f>IFERROR(IF(F6="","",IF(G6="","",F6-G6)),"")</f>
        <v/>
      </c>
      <c r="I6" s="38" t="n">
        <v>4.2</v>
      </c>
      <c r="J6" s="42">
        <f>IFERROR(IF(H6="","",H6*I6),"")</f>
        <v/>
      </c>
    </row>
    <row r="7">
      <c r="A7" s="34" t="inlineStr">
        <is>
          <t>Lubina</t>
        </is>
      </c>
      <c r="B7" s="29" t="inlineStr">
        <is>
          <t>kg</t>
        </is>
      </c>
      <c r="C7" s="35" t="n">
        <v>6</v>
      </c>
      <c r="D7" s="35" t="n">
        <v>27</v>
      </c>
      <c r="E7" s="35" t="n">
        <v>5</v>
      </c>
      <c r="F7" s="36">
        <f>IFERROR(IF(SUM(C7:E7)=0,"",C7+D7-E7),"")</f>
        <v>28.0</v>
      </c>
      <c r="G7" s="36">
        <f>IFERROR(IF('Ventas del periodo'!E15=0,"",'Ventas del periodo'!E15),"")</f>
        <v>27.200000000000003</v>
      </c>
      <c r="H7" s="37">
        <f>IFERROR(IF(F7="","",IF(G7="","",F7-G7)),"")</f>
        <v>0.7999999999999972</v>
      </c>
      <c r="I7" s="38" t="n">
        <v>14</v>
      </c>
      <c r="J7" s="39">
        <f>IFERROR(IF(H7="","",H7*I7),"")</f>
        <v>11.19999999999996</v>
      </c>
    </row>
    <row r="8">
      <c r="A8" s="34" t="inlineStr">
        <is>
          <t>Langostino</t>
        </is>
      </c>
      <c r="B8" s="29" t="inlineStr">
        <is>
          <t>kg</t>
        </is>
      </c>
      <c r="C8" s="35" t="n"/>
      <c r="D8" s="35" t="n"/>
      <c r="E8" s="35" t="n"/>
      <c r="F8" s="40">
        <f>IFERROR(IF(SUM(C8:E8)=0,"",C8+D8-E8),"")</f>
        <v/>
      </c>
      <c r="G8" s="40">
        <f>IFERROR(IF('Ventas del periodo'!F15=0,"",'Ventas del periodo'!F15),"")</f>
        <v/>
      </c>
      <c r="H8" s="41">
        <f>IFERROR(IF(F8="","",IF(G8="","",F8-G8)),"")</f>
        <v/>
      </c>
      <c r="I8" s="38" t="n">
        <v>18</v>
      </c>
      <c r="J8" s="42">
        <f>IFERROR(IF(H8="","",H8*I8),"")</f>
        <v/>
      </c>
    </row>
    <row r="9">
      <c r="A9" s="34" t="inlineStr">
        <is>
          <t>Patata</t>
        </is>
      </c>
      <c r="B9" s="29" t="inlineStr">
        <is>
          <t>kg</t>
        </is>
      </c>
      <c r="C9" s="35" t="n">
        <v>25</v>
      </c>
      <c r="D9" s="35" t="n">
        <v>30</v>
      </c>
      <c r="E9" s="35" t="n">
        <v>22</v>
      </c>
      <c r="F9" s="36">
        <f>IFERROR(IF(SUM(C9:E9)=0,"",C9+D9-E9),"")</f>
        <v>33.0</v>
      </c>
      <c r="G9" s="36">
        <f>IFERROR(IF('Ventas del periodo'!G15=0,"",'Ventas del periodo'!G15),"")</f>
        <v>31.199999999999996</v>
      </c>
      <c r="H9" s="37">
        <f>IFERROR(IF(F9="","",IF(G9="","",F9-G9)),"")</f>
        <v>1.8000000000000043</v>
      </c>
      <c r="I9" s="38" t="n">
        <v>1.1</v>
      </c>
      <c r="J9" s="39">
        <f>IFERROR(IF(H9="","",H9*I9),"")</f>
        <v>1.9800000000000049</v>
      </c>
    </row>
    <row r="10">
      <c r="A10" s="34" t="inlineStr">
        <is>
          <t>Tomate</t>
        </is>
      </c>
      <c r="B10" s="29" t="inlineStr">
        <is>
          <t>kg</t>
        </is>
      </c>
      <c r="C10" s="35" t="n">
        <v>6</v>
      </c>
      <c r="D10" s="35" t="n">
        <v>12</v>
      </c>
      <c r="E10" s="35" t="n">
        <v>6.5</v>
      </c>
      <c r="F10" s="40">
        <f>IFERROR(IF(SUM(C10:E10)=0,"",C10+D10-E10),"")</f>
        <v>11.5</v>
      </c>
      <c r="G10" s="40">
        <f>IFERROR(IF('Ventas del periodo'!H15=0,"",'Ventas del periodo'!H15),"")</f>
        <v>10.500000000000002</v>
      </c>
      <c r="H10" s="41">
        <f>IFERROR(IF(F10="","",IF(G10="","",F10-G10)),"")</f>
        <v>0.9999999999999982</v>
      </c>
      <c r="I10" s="38" t="n">
        <v>2.4</v>
      </c>
      <c r="J10" s="42">
        <f>IFERROR(IF(H10="","",H10*I10),"")</f>
        <v>2.3999999999999955</v>
      </c>
    </row>
    <row r="11">
      <c r="A11" s="34" t="inlineStr">
        <is>
          <t>Lechuga</t>
        </is>
      </c>
      <c r="B11" s="29" t="inlineStr">
        <is>
          <t>kg</t>
        </is>
      </c>
      <c r="C11" s="35" t="n">
        <v>4</v>
      </c>
      <c r="D11" s="35" t="n">
        <v>18</v>
      </c>
      <c r="E11" s="35" t="n">
        <v>4.5</v>
      </c>
      <c r="F11" s="36">
        <f>IFERROR(IF(SUM(C11:E11)=0,"",C11+D11-E11),"")</f>
        <v>17.5</v>
      </c>
      <c r="G11" s="36">
        <f>IFERROR(IF('Ventas del periodo'!I15=0,"",'Ventas del periodo'!I15),"")</f>
        <v>16.5</v>
      </c>
      <c r="H11" s="37">
        <f>IFERROR(IF(F11="","",IF(G11="","",F11-G11)),"")</f>
        <v>1.0</v>
      </c>
      <c r="I11" s="38" t="n">
        <v>1.8</v>
      </c>
      <c r="J11" s="39">
        <f>IFERROR(IF(H11="","",H11*I11),"")</f>
        <v>1.8</v>
      </c>
    </row>
    <row r="12">
      <c r="A12" s="34" t="inlineStr">
        <is>
          <t>Mantequilla</t>
        </is>
      </c>
      <c r="B12" s="29" t="inlineStr">
        <is>
          <t>kg</t>
        </is>
      </c>
      <c r="C12" s="35" t="n">
        <v>3</v>
      </c>
      <c r="D12" s="35" t="n">
        <v>2</v>
      </c>
      <c r="E12" s="35" t="n">
        <v>2.5</v>
      </c>
      <c r="F12" s="40">
        <f>IFERROR(IF(SUM(C12:E12)=0,"",C12+D12-E12),"")</f>
        <v>2.5</v>
      </c>
      <c r="G12" s="40">
        <f>IFERROR(IF('Ventas del periodo'!J15=0,"",'Ventas del periodo'!J15),"")</f>
        <v>2.4</v>
      </c>
      <c r="H12" s="41">
        <f>IFERROR(IF(F12="","",IF(G12="","",F12-G12)),"")</f>
        <v>0.10000000000000009</v>
      </c>
      <c r="I12" s="38" t="n">
        <v>9</v>
      </c>
      <c r="J12" s="42">
        <f>IFERROR(IF(H12="","",H12*I12),"")</f>
        <v>0.9000000000000008</v>
      </c>
    </row>
    <row r="13">
      <c r="A13" s="34" t="inlineStr">
        <is>
          <t>Aceite oliva</t>
        </is>
      </c>
      <c r="B13" s="29" t="inlineStr">
        <is>
          <t>L</t>
        </is>
      </c>
      <c r="C13" s="35" t="n">
        <v>10</v>
      </c>
      <c r="D13" s="35" t="n">
        <v>5</v>
      </c>
      <c r="E13" s="35" t="n">
        <v>11.5</v>
      </c>
      <c r="F13" s="36">
        <f>IFERROR(IF(SUM(C13:E13)=0,"",C13+D13-E13),"")</f>
        <v>3.5</v>
      </c>
      <c r="G13" s="36">
        <f>IFERROR(IF('Ventas del periodo'!K15=0,"",'Ventas del periodo'!K15),"")</f>
        <v>3.1</v>
      </c>
      <c r="H13" s="37">
        <f>IFERROR(IF(F13="","",IF(G13="","",F13-G13)),"")</f>
        <v>0.3999999999999999</v>
      </c>
      <c r="I13" s="38" t="n">
        <v>8.5</v>
      </c>
      <c r="J13" s="39">
        <f>IFERROR(IF(H13="","",H13*I13),"")</f>
        <v>3.3999999999999995</v>
      </c>
    </row>
    <row r="14">
      <c r="A14" s="34" t="inlineStr">
        <is>
          <t>Vino blanco</t>
        </is>
      </c>
      <c r="B14" s="29" t="inlineStr">
        <is>
          <t>L</t>
        </is>
      </c>
      <c r="C14" s="35" t="n">
        <v>12</v>
      </c>
      <c r="D14" s="35" t="n">
        <v>6</v>
      </c>
      <c r="E14" s="35" t="n">
        <v>14</v>
      </c>
      <c r="F14" s="40">
        <f>IFERROR(IF(SUM(C14:E14)=0,"",C14+D14-E14),"")</f>
        <v>4.0</v>
      </c>
      <c r="G14" s="40">
        <f>IFERROR(IF('Ventas del periodo'!L15=0,"",'Ventas del periodo'!L15),"")</f>
        <v>3.5999999999999996</v>
      </c>
      <c r="H14" s="41">
        <f>IFERROR(IF(F14="","",IF(G14="","",F14-G14)),"")</f>
        <v>0.40000000000000036</v>
      </c>
      <c r="I14" s="38" t="n">
        <v>4.5</v>
      </c>
      <c r="J14" s="42">
        <f>IFERROR(IF(H14="","",H14*I14),"")</f>
        <v>1.8000000000000016</v>
      </c>
    </row>
    <row r="15">
      <c r="A15" s="34" t="inlineStr">
        <is>
          <t>Harina</t>
        </is>
      </c>
      <c r="B15" s="29" t="inlineStr">
        <is>
          <t>kg</t>
        </is>
      </c>
      <c r="C15" s="35" t="n"/>
      <c r="D15" s="35" t="n"/>
      <c r="E15" s="35" t="n"/>
      <c r="F15" s="36">
        <f>IFERROR(IF(SUM(C15:E15)=0,"",C15+D15-E15),"")</f>
        <v/>
      </c>
      <c r="G15" s="36">
        <f>IFERROR(IF('Ventas del periodo'!M15=0,"",'Ventas del periodo'!M15),"")</f>
        <v/>
      </c>
      <c r="H15" s="37">
        <f>IFERROR(IF(F15="","",IF(G15="","",F15-G15)),"")</f>
        <v/>
      </c>
      <c r="I15" s="38" t="n">
        <v>0.9</v>
      </c>
      <c r="J15" s="39">
        <f>IFERROR(IF(H15="","",H15*I15),"")</f>
        <v/>
      </c>
    </row>
    <row r="16">
      <c r="A16" s="34" t="inlineStr">
        <is>
          <t>Azúcar</t>
        </is>
      </c>
      <c r="B16" s="29" t="inlineStr">
        <is>
          <t>kg</t>
        </is>
      </c>
      <c r="C16" s="35" t="n"/>
      <c r="D16" s="35" t="n"/>
      <c r="E16" s="35" t="n"/>
      <c r="F16" s="40">
        <f>IFERROR(IF(SUM(C16:E16)=0,"",C16+D16-E16),"")</f>
        <v/>
      </c>
      <c r="G16" s="40">
        <f>IFERROR(IF('Ventas del periodo'!N15=0,"",'Ventas del periodo'!N15),"")</f>
        <v/>
      </c>
      <c r="H16" s="41">
        <f>IFERROR(IF(F16="","",IF(G16="","",F16-G16)),"")</f>
        <v/>
      </c>
      <c r="I16" s="38" t="n">
        <v>1.2</v>
      </c>
      <c r="J16" s="42">
        <f>IFERROR(IF(H16="","",H16*I16),"")</f>
        <v/>
      </c>
    </row>
    <row r="17">
      <c r="A17" s="34" t="inlineStr">
        <is>
          <t>Huevos</t>
        </is>
      </c>
      <c r="B17" s="29" t="inlineStr">
        <is>
          <t>docena</t>
        </is>
      </c>
      <c r="C17" s="35" t="n"/>
      <c r="D17" s="35" t="n"/>
      <c r="E17" s="35" t="n"/>
      <c r="F17" s="36">
        <f>IFERROR(IF(SUM(C17:E17)=0,"",C17+D17-E17),"")</f>
        <v/>
      </c>
      <c r="G17" s="36">
        <f>IFERROR(IF('Ventas del periodo'!O15=0,"",'Ventas del periodo'!O15),"")</f>
        <v/>
      </c>
      <c r="H17" s="37">
        <f>IFERROR(IF(F17="","",IF(G17="","",F17-G17)),"")</f>
        <v/>
      </c>
      <c r="I17" s="38" t="n">
        <v>3.6</v>
      </c>
      <c r="J17" s="39">
        <f>IFERROR(IF(H17="","",H17*I17),"")</f>
        <v/>
      </c>
    </row>
    <row r="18">
      <c r="A18" s="34" t="inlineStr">
        <is>
          <t>Nata</t>
        </is>
      </c>
      <c r="B18" s="29" t="inlineStr">
        <is>
          <t>L</t>
        </is>
      </c>
      <c r="C18" s="35" t="n"/>
      <c r="D18" s="35" t="n"/>
      <c r="E18" s="35" t="n"/>
      <c r="F18" s="40">
        <f>IFERROR(IF(SUM(C18:E18)=0,"",C18+D18-E18),"")</f>
        <v/>
      </c>
      <c r="G18" s="40">
        <f>IFERROR(IF('Ventas del periodo'!P15=0,"",'Ventas del periodo'!P15),"")</f>
        <v/>
      </c>
      <c r="H18" s="41">
        <f>IFERROR(IF(F18="","",IF(G18="","",F18-G18)),"")</f>
        <v/>
      </c>
      <c r="I18" s="38" t="n">
        <v>2.8</v>
      </c>
      <c r="J18" s="42">
        <f>IFERROR(IF(H18="","",H18*I18),"")</f>
        <v/>
      </c>
    </row>
    <row r="19">
      <c r="A19" s="34" t="inlineStr">
        <is>
          <t>Chocolate</t>
        </is>
      </c>
      <c r="B19" s="29" t="inlineStr">
        <is>
          <t>kg</t>
        </is>
      </c>
      <c r="C19" s="35" t="n"/>
      <c r="D19" s="35" t="n"/>
      <c r="E19" s="35" t="n"/>
      <c r="F19" s="36">
        <f>IFERROR(IF(SUM(C19:E19)=0,"",C19+D19-E19),"")</f>
        <v/>
      </c>
      <c r="G19" s="36">
        <f>IFERROR(IF('Ventas del periodo'!Q15=0,"",'Ventas del periodo'!Q15),"")</f>
        <v/>
      </c>
      <c r="H19" s="37">
        <f>IFERROR(IF(F19="","",IF(G19="","",F19-G19)),"")</f>
        <v/>
      </c>
      <c r="I19" s="38" t="n">
        <v>11</v>
      </c>
      <c r="J19" s="39">
        <f>IFERROR(IF(H19="","",H19*I19),"")</f>
        <v/>
      </c>
    </row>
    <row r="20">
      <c r="A20" s="43" t="inlineStr">
        <is>
          <t>TOTAL DESVÍO VALORADO</t>
        </is>
      </c>
      <c r="J20" s="44">
        <f>SUM(J5:J19)</f>
        <v>52.08</v>
      </c>
    </row>
    <row r="2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  <c r="J21" s="30" t="n"/>
    </row>
    <row r="22" ht="26" customHeight="1">
      <c r="A22" s="45" t="inlineStr">
        <is>
          <t>Un desvío POSITIVO significa que has gastado más de lo que vendiste justifica. Empieza siempre por el producto con más euros de desvío, no por el que más unidades se desvía.</t>
        </is>
      </c>
    </row>
    <row r="23" ht="26" customHeight="1">
      <c r="A23" s="45" t="inlineStr">
        <is>
          <t>Los productos sin ventas declaradas dejan el consumo teórico y la diferencia en blanco: sin ventas no hay teórico con el que comparar, y un cero ahí haría parecer pérdida todo el consumo.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5">
    <mergeCell ref="A22:J22"/>
    <mergeCell ref="A3:J3"/>
    <mergeCell ref="A23:J23"/>
    <mergeCell ref="A20:I20"/>
    <mergeCell ref="A1:J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27" t="inlineStr">
        <is>
          <t>Ventas del periodo — raciones vendidas por plato</t>
        </is>
      </c>
    </row>
    <row r="2" ht="30" customHeight="1">
      <c r="A2" s="31" t="inlineStr">
        <is>
          <t>Una fila por plato: cuántas raciones vendiste y cuánto lleva CADA ración de cada producto del inventario. La cantidad es la BRUTA del escandallo (columna «Cant. Bruta», ya con la merma dentro). La fila de TOTALES multiplica raciones × cantidad y es el «Consumo teórico» que aparece en la pestaña «Inventario».</t>
        </is>
      </c>
    </row>
    <row r="3">
      <c r="A3" s="30" t="n"/>
      <c r="B3" s="46" t="inlineStr">
        <is>
          <t>Unidad →</t>
        </is>
      </c>
      <c r="C3" s="47" t="str">
        <f>Inventario!B5</f>
        <v>kg</v>
      </c>
      <c r="D3" s="47" t="str">
        <f>Inventario!B6</f>
        <v>kg</v>
      </c>
      <c r="E3" s="47" t="str">
        <f>Inventario!B7</f>
        <v>kg</v>
      </c>
      <c r="F3" s="47" t="str">
        <f>Inventario!B8</f>
        <v>kg</v>
      </c>
      <c r="G3" s="47" t="str">
        <f>Inventario!B9</f>
        <v>kg</v>
      </c>
      <c r="H3" s="47" t="str">
        <f>Inventario!B10</f>
        <v>kg</v>
      </c>
      <c r="I3" s="47" t="str">
        <f>Inventario!B11</f>
        <v>kg</v>
      </c>
      <c r="J3" s="47" t="str">
        <f>Inventario!B12</f>
        <v>kg</v>
      </c>
      <c r="K3" s="47" t="str">
        <f>Inventario!B13</f>
        <v>L</v>
      </c>
      <c r="L3" s="47" t="str">
        <f>Inventario!B14</f>
        <v>L</v>
      </c>
      <c r="M3" s="47" t="str">
        <f>Inventario!B15</f>
        <v>kg</v>
      </c>
      <c r="N3" s="47" t="str">
        <f>Inventario!B16</f>
        <v>kg</v>
      </c>
      <c r="O3" s="47" t="str">
        <f>Inventario!B17</f>
        <v>docena</v>
      </c>
      <c r="P3" s="47" t="str">
        <f>Inventario!B18</f>
        <v>L</v>
      </c>
      <c r="Q3" s="47" t="str">
        <f>Inventario!B19</f>
        <v>kg</v>
      </c>
    </row>
    <row r="4" ht="30" customHeight="1">
      <c r="A4" s="33" t="inlineStr">
        <is>
          <t>Plato</t>
        </is>
      </c>
      <c r="B4" s="33" t="inlineStr">
        <is>
          <t>Raciones vendidas</t>
        </is>
      </c>
      <c r="C4" s="33" t="str">
        <f>Inventario!A5</f>
        <v>Solomillo ternera</v>
      </c>
      <c r="D4" s="33" t="str">
        <f>Inventario!A6</f>
        <v>Contramuslo pollo</v>
      </c>
      <c r="E4" s="33" t="str">
        <f>Inventario!A7</f>
        <v>Lubina</v>
      </c>
      <c r="F4" s="33" t="str">
        <f>Inventario!A8</f>
        <v>Langostino</v>
      </c>
      <c r="G4" s="33" t="str">
        <f>Inventario!A9</f>
        <v>Patata</v>
      </c>
      <c r="H4" s="33" t="str">
        <f>Inventario!A10</f>
        <v>Tomate</v>
      </c>
      <c r="I4" s="33" t="str">
        <f>Inventario!A11</f>
        <v>Lechuga</v>
      </c>
      <c r="J4" s="33" t="str">
        <f>Inventario!A12</f>
        <v>Mantequilla</v>
      </c>
      <c r="K4" s="33" t="str">
        <f>Inventario!A13</f>
        <v>Aceite oliva</v>
      </c>
      <c r="L4" s="33" t="str">
        <f>Inventario!A14</f>
        <v>Vino blanco</v>
      </c>
      <c r="M4" s="33" t="str">
        <f>Inventario!A15</f>
        <v>Harina</v>
      </c>
      <c r="N4" s="33" t="str">
        <f>Inventario!A16</f>
        <v>Azúcar</v>
      </c>
      <c r="O4" s="33" t="str">
        <f>Inventario!A17</f>
        <v>Huevos</v>
      </c>
      <c r="P4" s="33" t="str">
        <f>Inventario!A18</f>
        <v>Nata</v>
      </c>
      <c r="Q4" s="33" t="str">
        <f>Inventario!A19</f>
        <v>Chocolate</v>
      </c>
    </row>
    <row r="5">
      <c r="A5" s="48" t="inlineStr">
        <is>
          <t>Solomillo al Pedro Ximénez</t>
        </is>
      </c>
      <c r="B5" s="49" t="n">
        <v>120</v>
      </c>
      <c r="C5" s="50" t="n">
        <v>0.22</v>
      </c>
      <c r="D5" s="50" t="n"/>
      <c r="E5" s="50" t="n"/>
      <c r="F5" s="50" t="n"/>
      <c r="G5" s="50" t="n">
        <v>0.18</v>
      </c>
      <c r="H5" s="50" t="n"/>
      <c r="I5" s="50" t="n"/>
      <c r="J5" s="50" t="n">
        <v>0.02</v>
      </c>
      <c r="K5" s="50" t="n"/>
      <c r="L5" s="50" t="n">
        <v>0.03</v>
      </c>
      <c r="M5" s="50" t="n"/>
      <c r="N5" s="50" t="n"/>
      <c r="O5" s="50" t="n"/>
      <c r="P5" s="50" t="n"/>
      <c r="Q5" s="50" t="n"/>
    </row>
    <row r="6">
      <c r="A6" s="48" t="inlineStr">
        <is>
          <t>Lubina a la plancha</t>
        </is>
      </c>
      <c r="B6" s="49" t="n">
        <v>80</v>
      </c>
      <c r="C6" s="50" t="n"/>
      <c r="D6" s="50" t="n"/>
      <c r="E6" s="50" t="n">
        <v>0.34</v>
      </c>
      <c r="F6" s="50" t="n"/>
      <c r="G6" s="50" t="n">
        <v>0.12</v>
      </c>
      <c r="H6" s="50" t="n"/>
      <c r="I6" s="50" t="n"/>
      <c r="J6" s="50" t="n"/>
      <c r="K6" s="50" t="n">
        <v>0.02</v>
      </c>
      <c r="L6" s="50" t="n"/>
      <c r="M6" s="50" t="n"/>
      <c r="N6" s="50" t="n"/>
      <c r="O6" s="50" t="n"/>
      <c r="P6" s="50" t="n"/>
      <c r="Q6" s="50" t="n"/>
    </row>
    <row r="7">
      <c r="A7" s="48" t="inlineStr">
        <is>
          <t>Ensalada de la casa</t>
        </is>
      </c>
      <c r="B7" s="49" t="n">
        <v>150</v>
      </c>
      <c r="C7" s="50" t="n"/>
      <c r="D7" s="50" t="n"/>
      <c r="E7" s="50" t="n"/>
      <c r="F7" s="50" t="n"/>
      <c r="G7" s="50" t="n"/>
      <c r="H7" s="50" t="n">
        <v>0.07000000000000001</v>
      </c>
      <c r="I7" s="50" t="n">
        <v>0.11</v>
      </c>
      <c r="J7" s="50" t="n"/>
      <c r="K7" s="50" t="n">
        <v>0.01</v>
      </c>
      <c r="L7" s="50" t="n"/>
      <c r="M7" s="50" t="n"/>
      <c r="N7" s="50" t="n"/>
      <c r="O7" s="50" t="n"/>
      <c r="P7" s="50" t="n"/>
      <c r="Q7" s="50" t="n"/>
    </row>
    <row r="8">
      <c r="A8" s="48" t="n"/>
      <c r="B8" s="49" t="n"/>
      <c r="C8" s="50" t="n"/>
      <c r="D8" s="50" t="n"/>
      <c r="E8" s="50" t="n"/>
      <c r="F8" s="50" t="n"/>
      <c r="G8" s="50" t="n"/>
      <c r="H8" s="50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</row>
    <row r="9">
      <c r="A9" s="48" t="n"/>
      <c r="B9" s="49" t="n"/>
      <c r="C9" s="50" t="n"/>
      <c r="D9" s="50" t="n"/>
      <c r="E9" s="50" t="n"/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</row>
    <row r="10">
      <c r="A10" s="48" t="n"/>
      <c r="B10" s="49" t="n"/>
      <c r="C10" s="50" t="n"/>
      <c r="D10" s="50" t="n"/>
      <c r="E10" s="50" t="n"/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</row>
    <row r="11">
      <c r="A11" s="48" t="n"/>
      <c r="B11" s="49" t="n"/>
      <c r="C11" s="50" t="n"/>
      <c r="D11" s="50" t="n"/>
      <c r="E11" s="50" t="n"/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</row>
    <row r="12">
      <c r="A12" s="48" t="n"/>
      <c r="B12" s="49" t="n"/>
      <c r="C12" s="50" t="n"/>
      <c r="D12" s="50" t="n"/>
      <c r="E12" s="50" t="n"/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</row>
    <row r="13">
      <c r="A13" s="48" t="n"/>
      <c r="B13" s="49" t="n"/>
      <c r="C13" s="50" t="n"/>
      <c r="D13" s="50" t="n"/>
      <c r="E13" s="50" t="n"/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</row>
    <row r="14">
      <c r="A14" s="48" t="n"/>
      <c r="B14" s="49" t="n"/>
      <c r="C14" s="50" t="n"/>
      <c r="D14" s="50" t="n"/>
      <c r="E14" s="50" t="n"/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</row>
    <row r="15">
      <c r="A15" s="43" t="inlineStr">
        <is>
          <t>TOTALES (raciones · consumo teórico)</t>
        </is>
      </c>
      <c r="B15" s="51">
        <f>SUM(B5:B14)</f>
        <v>350.0</v>
      </c>
      <c r="C15" s="52">
        <f>IFERROR(SUMPRODUCT($B$5:$B$14,C5:C14),"")</f>
        <v>26.4</v>
      </c>
      <c r="D15" s="52">
        <f>IFERROR(SUMPRODUCT($B$5:$B$14,D5:D14),"")</f>
        <v>0.0</v>
      </c>
      <c r="E15" s="52">
        <f>IFERROR(SUMPRODUCT($B$5:$B$14,E5:E14),"")</f>
        <v>27.200000000000003</v>
      </c>
      <c r="F15" s="52">
        <f>IFERROR(SUMPRODUCT($B$5:$B$14,F5:F14),"")</f>
        <v>0.0</v>
      </c>
      <c r="G15" s="52">
        <f>IFERROR(SUMPRODUCT($B$5:$B$14,G5:G14),"")</f>
        <v>31.199999999999996</v>
      </c>
      <c r="H15" s="52">
        <f>IFERROR(SUMPRODUCT($B$5:$B$14,H5:H14),"")</f>
        <v>10.500000000000002</v>
      </c>
      <c r="I15" s="52">
        <f>IFERROR(SUMPRODUCT($B$5:$B$14,I5:I14),"")</f>
        <v>16.5</v>
      </c>
      <c r="J15" s="52">
        <f>IFERROR(SUMPRODUCT($B$5:$B$14,J5:J14),"")</f>
        <v>2.4</v>
      </c>
      <c r="K15" s="52">
        <f>IFERROR(SUMPRODUCT($B$5:$B$14,K5:K14),"")</f>
        <v>3.1</v>
      </c>
      <c r="L15" s="52">
        <f>IFERROR(SUMPRODUCT($B$5:$B$14,L5:L14),"")</f>
        <v>3.5999999999999996</v>
      </c>
      <c r="M15" s="52">
        <f>IFERROR(SUMPRODUCT($B$5:$B$14,M5:M14),"")</f>
        <v>0.0</v>
      </c>
      <c r="N15" s="52">
        <f>IFERROR(SUMPRODUCT($B$5:$B$14,N5:N14),"")</f>
        <v>0.0</v>
      </c>
      <c r="O15" s="52">
        <f>IFERROR(SUMPRODUCT($B$5:$B$14,O5:O14),"")</f>
        <v>0.0</v>
      </c>
      <c r="P15" s="52">
        <f>IFERROR(SUMPRODUCT($B$5:$B$14,P5:P14),"")</f>
        <v>0.0</v>
      </c>
      <c r="Q15" s="52">
        <f>IFERROR(SUMPRODUCT($B$5:$B$14,Q5:Q14),"")</f>
        <v>0.0</v>
      </c>
    </row>
    <row r="16">
      <c r="A16" s="30" t="n"/>
      <c r="B16" s="30" t="n"/>
      <c r="C16" s="30" t="n"/>
      <c r="D16" s="30" t="n"/>
      <c r="E16" s="30" t="n"/>
      <c r="F16" s="30" t="n"/>
      <c r="G16" s="30" t="n"/>
      <c r="H16" s="30" t="n"/>
      <c r="I16" s="30" t="n"/>
      <c r="J16" s="30" t="n"/>
      <c r="K16" s="30" t="n"/>
      <c r="L16" s="30" t="n"/>
      <c r="M16" s="30" t="n"/>
      <c r="N16" s="30" t="n"/>
      <c r="O16" s="30" t="n"/>
      <c r="P16" s="30" t="n"/>
      <c r="Q16" s="30" t="n"/>
    </row>
    <row r="17" ht="26" customHeight="1">
      <c r="A17" s="45" t="inlineStr">
        <is>
          <t>Los nombres y las unidades de la cabecera se leen de la pestaña «Inventario»: si cambias un producto allí, aquí cambia solo.</t>
        </is>
      </c>
    </row>
    <row r="18">
      <c r="A18" s="30" t="n"/>
      <c r="B18" s="30" t="n"/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  <c r="O18" s="30" t="n"/>
      <c r="P18" s="30" t="n"/>
      <c r="Q18" s="3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3">
    <mergeCell ref="A17:Q17"/>
    <mergeCell ref="A2:Q2"/>
    <mergeCell ref="A1:Q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4444"/>
    <outlinePr summaryBelow="1" summaryRight="1"/>
    <pageSetUpPr fitToPage="1"/>
  </sheetPr>
  <dimension ref="A1:F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20" customWidth="1" min="4" max="4"/>
    <col width="32" customWidth="1" min="5" max="5"/>
    <col width="16" customWidth="1" min="6" max="6"/>
  </cols>
  <sheetData>
    <row r="1">
      <c r="A1" s="27" t="inlineStr">
        <is>
          <t>Registro de incidencias (mes)</t>
        </is>
      </c>
    </row>
    <row r="2" ht="30" customHeight="1">
      <c r="A2" s="31" t="inlineStr">
        <is>
          <t>90 líneas: unas tres incidencias al día durante un mes. Anota cada merma en cuanto se produce — al final del turno ya no se acuerda nadie.</t>
        </is>
      </c>
    </row>
    <row r="3" ht="30" customHeight="1">
      <c r="A3" s="32" t="inlineStr">
        <is>
          <t>Fecha</t>
        </is>
      </c>
      <c r="B3" s="32" t="inlineStr">
        <is>
          <t>Producto</t>
        </is>
      </c>
      <c r="C3" s="32" t="inlineStr">
        <is>
          <t>Cantidad</t>
        </is>
      </c>
      <c r="D3" s="32" t="inlineStr">
        <is>
          <t>Motivo</t>
        </is>
      </c>
      <c r="E3" s="32" t="inlineStr">
        <is>
          <t>Acción correctiva</t>
        </is>
      </c>
      <c r="F3" s="32" t="inlineStr">
        <is>
          <t>Coste estimado (€)</t>
        </is>
      </c>
    </row>
    <row r="4">
      <c r="A4" s="53" t="n"/>
      <c r="B4" s="34" t="n"/>
      <c r="C4" s="35" t="n"/>
      <c r="D4" s="34" t="n"/>
      <c r="E4" s="34" t="n"/>
      <c r="F4" s="54" t="n"/>
    </row>
    <row r="5">
      <c r="A5" s="53" t="n"/>
      <c r="B5" s="34" t="n"/>
      <c r="C5" s="35" t="n"/>
      <c r="D5" s="34" t="n"/>
      <c r="E5" s="34" t="n"/>
      <c r="F5" s="54" t="n"/>
    </row>
    <row r="6">
      <c r="A6" s="53" t="n"/>
      <c r="B6" s="34" t="n"/>
      <c r="C6" s="35" t="n"/>
      <c r="D6" s="34" t="n"/>
      <c r="E6" s="34" t="n"/>
      <c r="F6" s="54" t="n"/>
    </row>
    <row r="7">
      <c r="A7" s="53" t="n"/>
      <c r="B7" s="34" t="n"/>
      <c r="C7" s="35" t="n"/>
      <c r="D7" s="34" t="n"/>
      <c r="E7" s="34" t="n"/>
      <c r="F7" s="54" t="n"/>
    </row>
    <row r="8">
      <c r="A8" s="53" t="n"/>
      <c r="B8" s="34" t="n"/>
      <c r="C8" s="35" t="n"/>
      <c r="D8" s="34" t="n"/>
      <c r="E8" s="34" t="n"/>
      <c r="F8" s="54" t="n"/>
    </row>
    <row r="9">
      <c r="A9" s="53" t="n"/>
      <c r="B9" s="34" t="n"/>
      <c r="C9" s="35" t="n"/>
      <c r="D9" s="34" t="n"/>
      <c r="E9" s="34" t="n"/>
      <c r="F9" s="54" t="n"/>
    </row>
    <row r="10">
      <c r="A10" s="53" t="n"/>
      <c r="B10" s="34" t="n"/>
      <c r="C10" s="35" t="n"/>
      <c r="D10" s="34" t="n"/>
      <c r="E10" s="34" t="n"/>
      <c r="F10" s="54" t="n"/>
    </row>
    <row r="11">
      <c r="A11" s="53" t="n"/>
      <c r="B11" s="34" t="n"/>
      <c r="C11" s="35" t="n"/>
      <c r="D11" s="34" t="n"/>
      <c r="E11" s="34" t="n"/>
      <c r="F11" s="54" t="n"/>
    </row>
    <row r="12">
      <c r="A12" s="53" t="n"/>
      <c r="B12" s="34" t="n"/>
      <c r="C12" s="35" t="n"/>
      <c r="D12" s="34" t="n"/>
      <c r="E12" s="34" t="n"/>
      <c r="F12" s="54" t="n"/>
    </row>
    <row r="13">
      <c r="A13" s="53" t="n"/>
      <c r="B13" s="34" t="n"/>
      <c r="C13" s="35" t="n"/>
      <c r="D13" s="34" t="n"/>
      <c r="E13" s="34" t="n"/>
      <c r="F13" s="54" t="n"/>
    </row>
    <row r="14">
      <c r="A14" s="53" t="n"/>
      <c r="B14" s="34" t="n"/>
      <c r="C14" s="35" t="n"/>
      <c r="D14" s="34" t="n"/>
      <c r="E14" s="34" t="n"/>
      <c r="F14" s="54" t="n"/>
    </row>
    <row r="15">
      <c r="A15" s="53" t="n"/>
      <c r="B15" s="34" t="n"/>
      <c r="C15" s="35" t="n"/>
      <c r="D15" s="34" t="n"/>
      <c r="E15" s="34" t="n"/>
      <c r="F15" s="54" t="n"/>
    </row>
    <row r="16">
      <c r="A16" s="53" t="n"/>
      <c r="B16" s="34" t="n"/>
      <c r="C16" s="35" t="n"/>
      <c r="D16" s="34" t="n"/>
      <c r="E16" s="34" t="n"/>
      <c r="F16" s="54" t="n"/>
    </row>
    <row r="17">
      <c r="A17" s="53" t="n"/>
      <c r="B17" s="34" t="n"/>
      <c r="C17" s="35" t="n"/>
      <c r="D17" s="34" t="n"/>
      <c r="E17" s="34" t="n"/>
      <c r="F17" s="54" t="n"/>
    </row>
    <row r="18">
      <c r="A18" s="53" t="n"/>
      <c r="B18" s="34" t="n"/>
      <c r="C18" s="35" t="n"/>
      <c r="D18" s="34" t="n"/>
      <c r="E18" s="34" t="n"/>
      <c r="F18" s="54" t="n"/>
    </row>
    <row r="19">
      <c r="A19" s="53" t="n"/>
      <c r="B19" s="34" t="n"/>
      <c r="C19" s="35" t="n"/>
      <c r="D19" s="34" t="n"/>
      <c r="E19" s="34" t="n"/>
      <c r="F19" s="54" t="n"/>
    </row>
    <row r="20">
      <c r="A20" s="53" t="n"/>
      <c r="B20" s="34" t="n"/>
      <c r="C20" s="35" t="n"/>
      <c r="D20" s="34" t="n"/>
      <c r="E20" s="34" t="n"/>
      <c r="F20" s="54" t="n"/>
    </row>
    <row r="21">
      <c r="A21" s="53" t="n"/>
      <c r="B21" s="34" t="n"/>
      <c r="C21" s="35" t="n"/>
      <c r="D21" s="34" t="n"/>
      <c r="E21" s="34" t="n"/>
      <c r="F21" s="54" t="n"/>
    </row>
    <row r="22">
      <c r="A22" s="53" t="n"/>
      <c r="B22" s="34" t="n"/>
      <c r="C22" s="35" t="n"/>
      <c r="D22" s="34" t="n"/>
      <c r="E22" s="34" t="n"/>
      <c r="F22" s="54" t="n"/>
    </row>
    <row r="23">
      <c r="A23" s="53" t="n"/>
      <c r="B23" s="34" t="n"/>
      <c r="C23" s="35" t="n"/>
      <c r="D23" s="34" t="n"/>
      <c r="E23" s="34" t="n"/>
      <c r="F23" s="54" t="n"/>
    </row>
    <row r="24">
      <c r="A24" s="53" t="n"/>
      <c r="B24" s="34" t="n"/>
      <c r="C24" s="35" t="n"/>
      <c r="D24" s="34" t="n"/>
      <c r="E24" s="34" t="n"/>
      <c r="F24" s="54" t="n"/>
    </row>
    <row r="25">
      <c r="A25" s="53" t="n"/>
      <c r="B25" s="34" t="n"/>
      <c r="C25" s="35" t="n"/>
      <c r="D25" s="34" t="n"/>
      <c r="E25" s="34" t="n"/>
      <c r="F25" s="54" t="n"/>
    </row>
    <row r="26">
      <c r="A26" s="53" t="n"/>
      <c r="B26" s="34" t="n"/>
      <c r="C26" s="35" t="n"/>
      <c r="D26" s="34" t="n"/>
      <c r="E26" s="34" t="n"/>
      <c r="F26" s="54" t="n"/>
    </row>
    <row r="27">
      <c r="A27" s="53" t="n"/>
      <c r="B27" s="34" t="n"/>
      <c r="C27" s="35" t="n"/>
      <c r="D27" s="34" t="n"/>
      <c r="E27" s="34" t="n"/>
      <c r="F27" s="54" t="n"/>
    </row>
    <row r="28">
      <c r="A28" s="53" t="n"/>
      <c r="B28" s="34" t="n"/>
      <c r="C28" s="35" t="n"/>
      <c r="D28" s="34" t="n"/>
      <c r="E28" s="34" t="n"/>
      <c r="F28" s="54" t="n"/>
    </row>
    <row r="29">
      <c r="A29" s="53" t="n"/>
      <c r="B29" s="34" t="n"/>
      <c r="C29" s="35" t="n"/>
      <c r="D29" s="34" t="n"/>
      <c r="E29" s="34" t="n"/>
      <c r="F29" s="54" t="n"/>
    </row>
    <row r="30">
      <c r="A30" s="53" t="n"/>
      <c r="B30" s="34" t="n"/>
      <c r="C30" s="35" t="n"/>
      <c r="D30" s="34" t="n"/>
      <c r="E30" s="34" t="n"/>
      <c r="F30" s="54" t="n"/>
    </row>
    <row r="31">
      <c r="A31" s="53" t="n"/>
      <c r="B31" s="34" t="n"/>
      <c r="C31" s="35" t="n"/>
      <c r="D31" s="34" t="n"/>
      <c r="E31" s="34" t="n"/>
      <c r="F31" s="54" t="n"/>
    </row>
    <row r="32">
      <c r="A32" s="53" t="n"/>
      <c r="B32" s="34" t="n"/>
      <c r="C32" s="35" t="n"/>
      <c r="D32" s="34" t="n"/>
      <c r="E32" s="34" t="n"/>
      <c r="F32" s="54" t="n"/>
    </row>
    <row r="33">
      <c r="A33" s="53" t="n"/>
      <c r="B33" s="34" t="n"/>
      <c r="C33" s="35" t="n"/>
      <c r="D33" s="34" t="n"/>
      <c r="E33" s="34" t="n"/>
      <c r="F33" s="54" t="n"/>
    </row>
    <row r="34">
      <c r="A34" s="53" t="n"/>
      <c r="B34" s="48" t="n"/>
      <c r="C34" s="55" t="n"/>
      <c r="D34" s="48" t="n"/>
      <c r="E34" s="48" t="n"/>
      <c r="F34" s="54" t="n"/>
    </row>
    <row r="35">
      <c r="A35" s="56" t="n"/>
      <c r="B35" s="48" t="n"/>
      <c r="C35" s="55" t="n"/>
      <c r="D35" s="48" t="n"/>
      <c r="E35" s="48" t="n"/>
      <c r="F35" s="57" t="n"/>
    </row>
    <row r="36">
      <c r="A36" s="56" t="n"/>
      <c r="B36" s="48" t="n"/>
      <c r="C36" s="55" t="n"/>
      <c r="D36" s="48" t="n"/>
      <c r="E36" s="48" t="n"/>
      <c r="F36" s="57" t="n"/>
    </row>
    <row r="37">
      <c r="A37" s="56" t="n"/>
      <c r="B37" s="48" t="n"/>
      <c r="C37" s="55" t="n"/>
      <c r="D37" s="48" t="n"/>
      <c r="E37" s="48" t="n"/>
      <c r="F37" s="57" t="n"/>
    </row>
    <row r="38">
      <c r="A38" s="56" t="n"/>
      <c r="B38" s="48" t="n"/>
      <c r="C38" s="55" t="n"/>
      <c r="D38" s="48" t="n"/>
      <c r="E38" s="48" t="n"/>
      <c r="F38" s="57" t="n"/>
    </row>
    <row r="39">
      <c r="A39" s="56" t="n"/>
      <c r="B39" s="48" t="n"/>
      <c r="C39" s="55" t="n"/>
      <c r="D39" s="48" t="n"/>
      <c r="E39" s="48" t="n"/>
      <c r="F39" s="57" t="n"/>
    </row>
    <row r="40">
      <c r="A40" s="56" t="n"/>
      <c r="B40" s="48" t="n"/>
      <c r="C40" s="55" t="n"/>
      <c r="D40" s="48" t="n"/>
      <c r="E40" s="48" t="n"/>
      <c r="F40" s="57" t="n"/>
    </row>
    <row r="41">
      <c r="A41" s="56" t="n"/>
      <c r="B41" s="48" t="n"/>
      <c r="C41" s="55" t="n"/>
      <c r="D41" s="48" t="n"/>
      <c r="E41" s="48" t="n"/>
      <c r="F41" s="57" t="n"/>
    </row>
    <row r="42">
      <c r="A42" s="56" t="n"/>
      <c r="B42" s="48" t="n"/>
      <c r="C42" s="55" t="n"/>
      <c r="D42" s="48" t="n"/>
      <c r="E42" s="48" t="n"/>
      <c r="F42" s="57" t="n"/>
    </row>
    <row r="43">
      <c r="A43" s="56" t="n"/>
      <c r="B43" s="48" t="n"/>
      <c r="C43" s="55" t="n"/>
      <c r="D43" s="48" t="n"/>
      <c r="E43" s="48" t="n"/>
      <c r="F43" s="57" t="n"/>
    </row>
    <row r="44">
      <c r="A44" s="56" t="n"/>
      <c r="B44" s="48" t="n"/>
      <c r="C44" s="55" t="n"/>
      <c r="D44" s="48" t="n"/>
      <c r="E44" s="48" t="n"/>
      <c r="F44" s="57" t="n"/>
    </row>
    <row r="45">
      <c r="A45" s="56" t="n"/>
      <c r="B45" s="48" t="n"/>
      <c r="C45" s="55" t="n"/>
      <c r="D45" s="48" t="n"/>
      <c r="E45" s="48" t="n"/>
      <c r="F45" s="57" t="n"/>
    </row>
    <row r="46">
      <c r="A46" s="56" t="n"/>
      <c r="B46" s="48" t="n"/>
      <c r="C46" s="55" t="n"/>
      <c r="D46" s="48" t="n"/>
      <c r="E46" s="48" t="n"/>
      <c r="F46" s="57" t="n"/>
    </row>
    <row r="47">
      <c r="A47" s="56" t="n"/>
      <c r="B47" s="48" t="n"/>
      <c r="C47" s="55" t="n"/>
      <c r="D47" s="48" t="n"/>
      <c r="E47" s="48" t="n"/>
      <c r="F47" s="57" t="n"/>
    </row>
    <row r="48">
      <c r="A48" s="56" t="n"/>
      <c r="B48" s="48" t="n"/>
      <c r="C48" s="55" t="n"/>
      <c r="D48" s="48" t="n"/>
      <c r="E48" s="48" t="n"/>
      <c r="F48" s="57" t="n"/>
    </row>
    <row r="49">
      <c r="A49" s="56" t="n"/>
      <c r="B49" s="48" t="n"/>
      <c r="C49" s="55" t="n"/>
      <c r="D49" s="48" t="n"/>
      <c r="E49" s="48" t="n"/>
      <c r="F49" s="57" t="n"/>
    </row>
    <row r="50">
      <c r="A50" s="56" t="n"/>
      <c r="B50" s="48" t="n"/>
      <c r="C50" s="55" t="n"/>
      <c r="D50" s="48" t="n"/>
      <c r="E50" s="48" t="n"/>
      <c r="F50" s="57" t="n"/>
    </row>
    <row r="51">
      <c r="A51" s="56" t="n"/>
      <c r="B51" s="48" t="n"/>
      <c r="C51" s="55" t="n"/>
      <c r="D51" s="48" t="n"/>
      <c r="E51" s="48" t="n"/>
      <c r="F51" s="57" t="n"/>
    </row>
    <row r="52">
      <c r="A52" s="56" t="n"/>
      <c r="B52" s="48" t="n"/>
      <c r="C52" s="55" t="n"/>
      <c r="D52" s="48" t="n"/>
      <c r="E52" s="48" t="n"/>
      <c r="F52" s="57" t="n"/>
    </row>
    <row r="53">
      <c r="A53" s="56" t="n"/>
      <c r="B53" s="48" t="n"/>
      <c r="C53" s="55" t="n"/>
      <c r="D53" s="48" t="n"/>
      <c r="E53" s="48" t="n"/>
      <c r="F53" s="57" t="n"/>
    </row>
    <row r="54">
      <c r="A54" s="56" t="n"/>
      <c r="B54" s="48" t="n"/>
      <c r="C54" s="55" t="n"/>
      <c r="D54" s="48" t="n"/>
      <c r="E54" s="48" t="n"/>
      <c r="F54" s="57" t="n"/>
    </row>
    <row r="55">
      <c r="A55" s="56" t="n"/>
      <c r="B55" s="48" t="n"/>
      <c r="C55" s="55" t="n"/>
      <c r="D55" s="48" t="n"/>
      <c r="E55" s="48" t="n"/>
      <c r="F55" s="57" t="n"/>
    </row>
    <row r="56">
      <c r="A56" s="56" t="n"/>
      <c r="B56" s="48" t="n"/>
      <c r="C56" s="55" t="n"/>
      <c r="D56" s="48" t="n"/>
      <c r="E56" s="48" t="n"/>
      <c r="F56" s="57" t="n"/>
    </row>
    <row r="57">
      <c r="A57" s="56" t="n"/>
      <c r="B57" s="48" t="n"/>
      <c r="C57" s="55" t="n"/>
      <c r="D57" s="48" t="n"/>
      <c r="E57" s="48" t="n"/>
      <c r="F57" s="57" t="n"/>
    </row>
    <row r="58">
      <c r="A58" s="56" t="n"/>
      <c r="B58" s="48" t="n"/>
      <c r="C58" s="55" t="n"/>
      <c r="D58" s="48" t="n"/>
      <c r="E58" s="48" t="n"/>
      <c r="F58" s="57" t="n"/>
    </row>
    <row r="59">
      <c r="A59" s="56" t="n"/>
      <c r="B59" s="48" t="n"/>
      <c r="C59" s="55" t="n"/>
      <c r="D59" s="48" t="n"/>
      <c r="E59" s="48" t="n"/>
      <c r="F59" s="57" t="n"/>
    </row>
    <row r="60">
      <c r="A60" s="56" t="n"/>
      <c r="B60" s="48" t="n"/>
      <c r="C60" s="55" t="n"/>
      <c r="D60" s="48" t="n"/>
      <c r="E60" s="48" t="n"/>
      <c r="F60" s="57" t="n"/>
    </row>
    <row r="61">
      <c r="A61" s="56" t="n"/>
      <c r="B61" s="48" t="n"/>
      <c r="C61" s="55" t="n"/>
      <c r="D61" s="48" t="n"/>
      <c r="E61" s="48" t="n"/>
      <c r="F61" s="57" t="n"/>
    </row>
    <row r="62">
      <c r="A62" s="56" t="n"/>
      <c r="B62" s="48" t="n"/>
      <c r="C62" s="55" t="n"/>
      <c r="D62" s="48" t="n"/>
      <c r="E62" s="48" t="n"/>
      <c r="F62" s="57" t="n"/>
    </row>
    <row r="63">
      <c r="A63" s="56" t="n"/>
      <c r="B63" s="48" t="n"/>
      <c r="C63" s="55" t="n"/>
      <c r="D63" s="48" t="n"/>
      <c r="E63" s="48" t="n"/>
      <c r="F63" s="57" t="n"/>
    </row>
    <row r="64">
      <c r="A64" s="56" t="n"/>
      <c r="B64" s="48" t="n"/>
      <c r="C64" s="55" t="n"/>
      <c r="D64" s="48" t="n"/>
      <c r="E64" s="48" t="n"/>
      <c r="F64" s="57" t="n"/>
    </row>
    <row r="65">
      <c r="A65" s="56" t="n"/>
      <c r="B65" s="48" t="n"/>
      <c r="C65" s="55" t="n"/>
      <c r="D65" s="48" t="n"/>
      <c r="E65" s="48" t="n"/>
      <c r="F65" s="57" t="n"/>
    </row>
    <row r="66">
      <c r="A66" s="56" t="n"/>
      <c r="B66" s="48" t="n"/>
      <c r="C66" s="55" t="n"/>
      <c r="D66" s="48" t="n"/>
      <c r="E66" s="48" t="n"/>
      <c r="F66" s="57" t="n"/>
    </row>
    <row r="67">
      <c r="A67" s="56" t="n"/>
      <c r="B67" s="48" t="n"/>
      <c r="C67" s="55" t="n"/>
      <c r="D67" s="48" t="n"/>
      <c r="E67" s="48" t="n"/>
      <c r="F67" s="57" t="n"/>
    </row>
    <row r="68">
      <c r="A68" s="56" t="n"/>
      <c r="B68" s="48" t="n"/>
      <c r="C68" s="55" t="n"/>
      <c r="D68" s="48" t="n"/>
      <c r="E68" s="48" t="n"/>
      <c r="F68" s="57" t="n"/>
    </row>
    <row r="69">
      <c r="A69" s="56" t="n"/>
      <c r="B69" s="48" t="n"/>
      <c r="C69" s="55" t="n"/>
      <c r="D69" s="48" t="n"/>
      <c r="E69" s="48" t="n"/>
      <c r="F69" s="57" t="n"/>
    </row>
    <row r="70">
      <c r="A70" s="56" t="n"/>
      <c r="B70" s="48" t="n"/>
      <c r="C70" s="55" t="n"/>
      <c r="D70" s="48" t="n"/>
      <c r="E70" s="48" t="n"/>
      <c r="F70" s="57" t="n"/>
    </row>
    <row r="71">
      <c r="A71" s="56" t="n"/>
      <c r="B71" s="48" t="n"/>
      <c r="C71" s="55" t="n"/>
      <c r="D71" s="48" t="n"/>
      <c r="E71" s="48" t="n"/>
      <c r="F71" s="57" t="n"/>
    </row>
    <row r="72">
      <c r="A72" s="56" t="n"/>
      <c r="B72" s="48" t="n"/>
      <c r="C72" s="55" t="n"/>
      <c r="D72" s="48" t="n"/>
      <c r="E72" s="48" t="n"/>
      <c r="F72" s="57" t="n"/>
    </row>
    <row r="73">
      <c r="A73" s="56" t="n"/>
      <c r="B73" s="48" t="n"/>
      <c r="C73" s="55" t="n"/>
      <c r="D73" s="48" t="n"/>
      <c r="E73" s="48" t="n"/>
      <c r="F73" s="57" t="n"/>
    </row>
    <row r="74">
      <c r="A74" s="56" t="n"/>
      <c r="B74" s="48" t="n"/>
      <c r="C74" s="55" t="n"/>
      <c r="D74" s="48" t="n"/>
      <c r="E74" s="48" t="n"/>
      <c r="F74" s="57" t="n"/>
    </row>
    <row r="75">
      <c r="A75" s="56" t="n"/>
      <c r="B75" s="48" t="n"/>
      <c r="C75" s="55" t="n"/>
      <c r="D75" s="48" t="n"/>
      <c r="E75" s="48" t="n"/>
      <c r="F75" s="57" t="n"/>
    </row>
    <row r="76">
      <c r="A76" s="56" t="n"/>
      <c r="B76" s="48" t="n"/>
      <c r="C76" s="55" t="n"/>
      <c r="D76" s="48" t="n"/>
      <c r="E76" s="48" t="n"/>
      <c r="F76" s="57" t="n"/>
    </row>
    <row r="77">
      <c r="A77" s="56" t="n"/>
      <c r="B77" s="48" t="n"/>
      <c r="C77" s="55" t="n"/>
      <c r="D77" s="48" t="n"/>
      <c r="E77" s="48" t="n"/>
      <c r="F77" s="57" t="n"/>
    </row>
    <row r="78">
      <c r="A78" s="56" t="n"/>
      <c r="B78" s="48" t="n"/>
      <c r="C78" s="55" t="n"/>
      <c r="D78" s="48" t="n"/>
      <c r="E78" s="48" t="n"/>
      <c r="F78" s="57" t="n"/>
    </row>
    <row r="79">
      <c r="A79" s="56" t="n"/>
      <c r="B79" s="48" t="n"/>
      <c r="C79" s="55" t="n"/>
      <c r="D79" s="48" t="n"/>
      <c r="E79" s="48" t="n"/>
      <c r="F79" s="57" t="n"/>
    </row>
    <row r="80">
      <c r="A80" s="56" t="n"/>
      <c r="B80" s="48" t="n"/>
      <c r="C80" s="55" t="n"/>
      <c r="D80" s="48" t="n"/>
      <c r="E80" s="48" t="n"/>
      <c r="F80" s="57" t="n"/>
    </row>
    <row r="81">
      <c r="A81" s="56" t="n"/>
      <c r="B81" s="48" t="n"/>
      <c r="C81" s="55" t="n"/>
      <c r="D81" s="48" t="n"/>
      <c r="E81" s="48" t="n"/>
      <c r="F81" s="57" t="n"/>
    </row>
    <row r="82">
      <c r="A82" s="56" t="n"/>
      <c r="B82" s="48" t="n"/>
      <c r="C82" s="55" t="n"/>
      <c r="D82" s="48" t="n"/>
      <c r="E82" s="48" t="n"/>
      <c r="F82" s="57" t="n"/>
    </row>
    <row r="83">
      <c r="A83" s="56" t="n"/>
      <c r="B83" s="48" t="n"/>
      <c r="C83" s="55" t="n"/>
      <c r="D83" s="48" t="n"/>
      <c r="E83" s="48" t="n"/>
      <c r="F83" s="57" t="n"/>
    </row>
    <row r="84">
      <c r="A84" s="56" t="n"/>
      <c r="B84" s="48" t="n"/>
      <c r="C84" s="55" t="n"/>
      <c r="D84" s="48" t="n"/>
      <c r="E84" s="48" t="n"/>
      <c r="F84" s="57" t="n"/>
    </row>
    <row r="85">
      <c r="A85" s="56" t="n"/>
      <c r="B85" s="48" t="n"/>
      <c r="C85" s="55" t="n"/>
      <c r="D85" s="48" t="n"/>
      <c r="E85" s="48" t="n"/>
      <c r="F85" s="57" t="n"/>
    </row>
    <row r="86">
      <c r="A86" s="56" t="n"/>
      <c r="B86" s="48" t="n"/>
      <c r="C86" s="55" t="n"/>
      <c r="D86" s="48" t="n"/>
      <c r="E86" s="48" t="n"/>
      <c r="F86" s="57" t="n"/>
    </row>
    <row r="87">
      <c r="A87" s="56" t="n"/>
      <c r="B87" s="48" t="n"/>
      <c r="C87" s="55" t="n"/>
      <c r="D87" s="48" t="n"/>
      <c r="E87" s="48" t="n"/>
      <c r="F87" s="57" t="n"/>
    </row>
    <row r="88">
      <c r="A88" s="56" t="n"/>
      <c r="B88" s="48" t="n"/>
      <c r="C88" s="55" t="n"/>
      <c r="D88" s="48" t="n"/>
      <c r="E88" s="48" t="n"/>
      <c r="F88" s="57" t="n"/>
    </row>
    <row r="89">
      <c r="A89" s="56" t="n"/>
      <c r="B89" s="48" t="n"/>
      <c r="C89" s="55" t="n"/>
      <c r="D89" s="48" t="n"/>
      <c r="E89" s="48" t="n"/>
      <c r="F89" s="57" t="n"/>
    </row>
    <row r="90">
      <c r="A90" s="56" t="n"/>
      <c r="B90" s="48" t="n"/>
      <c r="C90" s="55" t="n"/>
      <c r="D90" s="48" t="n"/>
      <c r="E90" s="48" t="n"/>
      <c r="F90" s="57" t="n"/>
    </row>
    <row r="91">
      <c r="A91" s="56" t="n"/>
      <c r="B91" s="48" t="n"/>
      <c r="C91" s="55" t="n"/>
      <c r="D91" s="48" t="n"/>
      <c r="E91" s="48" t="n"/>
      <c r="F91" s="57" t="n"/>
    </row>
    <row r="92">
      <c r="A92" s="56" t="n"/>
      <c r="B92" s="48" t="n"/>
      <c r="C92" s="55" t="n"/>
      <c r="D92" s="48" t="n"/>
      <c r="E92" s="48" t="n"/>
      <c r="F92" s="57" t="n"/>
    </row>
    <row r="93">
      <c r="A93" s="56" t="n"/>
      <c r="B93" s="48" t="n"/>
      <c r="C93" s="55" t="n"/>
      <c r="D93" s="48" t="n"/>
      <c r="E93" s="48" t="n"/>
      <c r="F93" s="57" t="n"/>
    </row>
    <row r="94">
      <c r="A94" s="43" t="inlineStr">
        <is>
          <t>TOTAL MERMAS DEL PERIODO</t>
        </is>
      </c>
      <c r="F94" s="44">
        <f>SUM(F4:F93)</f>
        <v>0.0</v>
      </c>
    </row>
    <row r="95">
      <c r="A95" s="30" t="n"/>
      <c r="B95" s="30" t="n"/>
      <c r="C95" s="30" t="n"/>
      <c r="D95" s="30" t="n"/>
      <c r="E95" s="30" t="n"/>
      <c r="F95" s="30" t="n"/>
    </row>
    <row r="96">
      <c r="A96" s="30" t="n"/>
      <c r="B96" s="30" t="n"/>
      <c r="C96" s="30" t="n"/>
      <c r="D96" s="30" t="n"/>
      <c r="E96" s="30" t="n"/>
      <c r="F96" s="3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3">
    <mergeCell ref="A1:F1"/>
    <mergeCell ref="A2:F2"/>
    <mergeCell ref="A94:E94"/>
  </mergeCells>
  <dataValidations count="1">
    <dataValidation sqref="D4:D93" showDropDown="0" showInputMessage="0" showErrorMessage="1" allowBlank="1" errorTitle="Valor no válido" error="Elige un motivo de la lista." type="list">
      <formula1>"Caducidad,Mal estado,Sobreproducción,Error de preparación,Almacenaje incorrecto,Porcionado excesivo,Otro"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Checklist Mermas + Inventario · Kit de Escandallos Pro</dc:title>
  <dc:description xmlns:dc="http://purl.org/dc/elements/1.1/">aichef.pro/kit-escandallos</dc:description>
  <dc:subject xmlns:dc="http://purl.org/dc/elements/1.1/">Kit de Escandallos Pro · v2.1</dc:subject>
  <dcterms:created xmlns:dcterms="http://purl.org/dc/terms/" xmlns:xsi="http://www.w3.org/2001/XMLSchema-instance" xsi:type="dcterms:W3CDTF">2026-03-18T21:50:24Z</dcterms:created>
  <dcterms:modified xmlns:dcterms="http://purl.org/dc/terms/" xmlns:xsi="http://www.w3.org/2001/XMLSchema-instance" xsi:type="dcterms:W3CDTF">2026-09-24T15:25:03Z</dcterms:modified>
  <cp:lastModifiedBy>AI Chef Pro</cp:lastModifiedBy>
  <cp:category>AI Chef Pro · Productos digitales</cp:category>
  <cp:keywords>kit escandallos, AI Chef Pro</cp:keywords>
</cp:coreProperties>
</file>