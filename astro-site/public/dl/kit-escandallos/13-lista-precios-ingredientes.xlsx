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sta de precios" sheetId="2" state="visible" r:id="rId2"/>
  </sheets>
  <definedNames>
    <definedName name="_xlnm._FilterDatabase" localSheetId="1" hidden="1">'Lista de precios'!$A$9:$M$154</definedName>
    <definedName name="_xlnm.Print_Titles" localSheetId="1">'Lista de precios'!$9:$9</definedName>
    <definedName name="_xlnm.Print_Area" localSheetId="1">'Lista de precios'!$A$1:$L$154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 €"/>
    <numFmt numFmtId="166" formatCode="#,##0.0000 €"/>
  </numFmts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b val="1"/>
      <color rgb="00FFFFFF"/>
    </font>
    <font>
      <b val="1"/>
      <color rgb="00FFD700"/>
      <sz val="16"/>
    </font>
    <font>
      <color rgb="00888888"/>
      <sz val="11"/>
    </font>
    <font>
      <b val="1"/>
      <sz val="11"/>
    </font>
    <font>
      <sz val="11"/>
    </font>
    <font>
      <i val="1"/>
      <color rgb="00606060"/>
      <sz val="9"/>
    </font>
    <font>
      <color rgb="00606060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 wrapText="1"/>
    </xf>
    <xf numFmtId="1" fontId="9" fillId="0" borderId="1" applyAlignment="1" pivotButton="0" quotePrefix="0" xfId="0">
      <alignment horizontal="center" vertical="center"/>
    </xf>
    <xf numFmtId="164" fontId="10" fillId="3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0" fillId="3" borderId="1" applyAlignment="1" applyProtection="1" pivotButton="0" quotePrefix="0" xfId="0">
      <alignment horizontal="left" vertical="center"/>
      <protection locked="0" hidden="0"/>
    </xf>
    <xf numFmtId="0" fontId="10" fillId="3" borderId="1" applyAlignment="1" applyProtection="1" pivotButton="0" quotePrefix="0" xfId="0">
      <alignment horizontal="center" vertical="center"/>
      <protection locked="0" hidden="0"/>
    </xf>
    <xf numFmtId="165" fontId="10" fillId="3" borderId="1" applyAlignment="1" applyProtection="1" pivotButton="0" quotePrefix="0" xfId="0">
      <alignment horizontal="center" vertical="center"/>
      <protection locked="0" hidden="0"/>
    </xf>
    <xf numFmtId="166" fontId="9" fillId="0" borderId="1" applyAlignment="1" pivotButton="0" quotePrefix="0" xfId="0">
      <alignment horizontal="center" vertical="center"/>
    </xf>
    <xf numFmtId="166" fontId="10" fillId="3" borderId="1" applyAlignment="1" applyProtection="1" pivotButton="0" quotePrefix="0" xfId="0">
      <alignment horizontal="center" vertical="center"/>
      <protection locked="0" hidden="0"/>
    </xf>
    <xf numFmtId="164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4" fontId="10" fillId="3" borderId="1" applyAlignment="1" applyProtection="1" pivotButton="0" quotePrefix="0" xfId="0">
      <alignment horizontal="center" vertical="center"/>
      <protection locked="0" hidden="0"/>
    </xf>
    <xf numFmtId="0" fontId="12" fillId="3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Lista de Precios de Ingredientes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Para Qué Sirve</t>
        </is>
      </c>
    </row>
    <row r="7"/>
    <row r="8">
      <c r="B8" s="5" t="inlineStr">
        <is>
          <t>▸ Un único sitio con el precio actual de cada ingrediente, pasado a la unidad que usan tus fichas (kg, L o ud). Cuando llega una factura, actualizas aquí el precio y ves de un vistazo qué ha subido más de la cuenta.</t>
        </is>
      </c>
    </row>
    <row r="9">
      <c r="B9" s="5" t="inlineStr">
        <is>
          <t>▸ Viene cargada con los 115 ingredientes de las recetas de ejemplo del kit (plantillas 01 a 08) y sus precios, más 30 filas vacías al final para lo que te falte. Escribe encima de los ejemplos o vacíalos seleccionando solo las columnas verdes y pulsando Supr: las blancas son fórmulas y la hoja no deja borrarlas.</t>
        </is>
      </c>
    </row>
    <row r="10">
      <c r="B10" s="5" t="inlineStr">
        <is>
          <t>▸ Las celdas VERDES son las editables; las blancas son fórmulas.</t>
        </is>
      </c>
    </row>
    <row r="11"/>
    <row r="12">
      <c r="B12" s="4" t="inlineStr">
        <is>
          <t>Qué Es Cada Columna</t>
        </is>
      </c>
    </row>
    <row r="13"/>
    <row r="14">
      <c r="B14" s="5" t="inlineStr">
        <is>
          <t>▸ Ingrediente, Categoría y Proveedor: texto libre. La categoría es la misma que usan las fichas.</t>
        </is>
      </c>
    </row>
    <row r="15">
      <c r="B15" s="5" t="inlineStr">
        <is>
          <t>▸ Formato de compra: tal como viene en la factura («Saco 25 kg», «Garrafa 5 L», «Estuche 30 huevos»).</t>
        </is>
      </c>
    </row>
    <row r="16">
      <c r="B16" s="5" t="inlineStr">
        <is>
          <t>▸ Contenido del formato: cuántas unidades base trae (25 en un saco de 25 kg; 0,7 en una botella de 70 cl si la unidad base es el litro).</t>
        </is>
      </c>
    </row>
    <row r="17">
      <c r="B17" s="5" t="inlineStr">
        <is>
          <t>▸ Unidad base: la unidad en la que quieres el precio (desplegable). Usa kg, L o ud siempre que puedas: son las que entienden todas las fichas.</t>
        </is>
      </c>
    </row>
    <row r="18">
      <c r="B18" s="5" t="inlineStr">
        <is>
          <t>▸ Precio del formato (€): lo que pagas por él, sin IVA, como en las fichas.</t>
        </is>
      </c>
    </row>
    <row r="19">
      <c r="B19" s="5" t="inlineStr">
        <is>
          <t>▸ Precio por unidad base (€): precio del formato ÷ contenido, con 4 decimales. Es el número que se lleva a las fichas.</t>
        </is>
      </c>
    </row>
    <row r="20">
      <c r="B20" s="5" t="inlineStr">
        <is>
          <t>▸ Precio anterior por unidad base (€): el que tienen ahora tus fichas. Actualízalo (copia el «Precio por unidad base» y pégalo aquí con Pegado especial → Valores) solo cuando lleves el precio nuevo a las fichas.</t>
        </is>
      </c>
    </row>
    <row r="21">
      <c r="B21" s="5" t="inlineStr">
        <is>
          <t>▸ Variación (%): cuánto se ha movido el precio actual respecto al que tienen tus fichas.</t>
        </is>
      </c>
    </row>
    <row r="22">
      <c r="B22" s="5" t="inlineStr">
        <is>
          <t>▸ Estado: ALERTA (en rojo) si la subida supera el umbral: tus fichas están desfasadas más de la cuenta y toca volver a escandallar. OK si no. Las bajadas nunca dan alerta.</t>
        </is>
      </c>
    </row>
    <row r="23">
      <c r="B23" s="5" t="inlineStr">
        <is>
          <t>▸ Fecha última factura: para saber de cuándo es cada precio.</t>
        </is>
      </c>
    </row>
    <row r="24">
      <c r="B24" s="5" t="inlineStr">
        <is>
          <t>▸ Notas: en los ejemplos dice en qué fichas del kit se usa cada ingrediente. Apunta lo mismo con tus fichas: es la lista de sitios a los que llevar un precio nuevo.</t>
        </is>
      </c>
    </row>
    <row r="25"/>
    <row r="26">
      <c r="B26" s="4" t="inlineStr">
        <is>
          <t>Umbral de Alerta y Resumen</t>
        </is>
      </c>
    </row>
    <row r="27"/>
    <row r="28">
      <c r="B28" s="5" t="inlineStr">
        <is>
          <t>▸ La celda verde «Umbral de alerta (%)» viene al 5 %: si el precio actual supera en más de eso al que tienen tus fichas, el ingrediente pasa a ALERTA. Una subida exactamente igual al umbral no la dispara.</t>
        </is>
      </c>
    </row>
    <row r="29">
      <c r="B29" s="5" t="inlineStr">
        <is>
          <t>▸ Así, varias subidas pequeñas seguidas del mismo proveedor acaban saltando: la alerta compara siempre con el precio de tus fichas, no con la última factura.</t>
        </is>
      </c>
    </row>
    <row r="30">
      <c r="B30" s="5" t="inlineStr">
        <is>
          <t>▸ Arriba tienes el resumen: nº de ingredientes, nº de alertas y la mayor subida de la lista.</t>
        </is>
      </c>
    </row>
    <row r="31">
      <c r="B31" s="5" t="inlineStr">
        <is>
          <t>▸ En el ejemplo, dos filas llevan un precio anterior marcado «Ilustrativo» en Notas, para que veas una ALERTA y un OK. Bórralos cuando empieces con tus precios.</t>
        </is>
      </c>
    </row>
    <row r="32"/>
    <row r="33">
      <c r="B33" s="4" t="inlineStr">
        <is>
          <t>Cómo Llevar un Precio a la Ficha</t>
        </is>
      </c>
    </row>
    <row r="34"/>
    <row r="35">
      <c r="B35" s="5" t="inlineStr">
        <is>
          <t>▸ Las fichas NO leen esta lista por su cuenta: cada plantilla es un libro independiente, y enlazar libros entre sí se rompe en cuanto mueves un fichero o lo abres en Google Sheets.</t>
        </is>
      </c>
    </row>
    <row r="36">
      <c r="B36" s="5" t="inlineStr">
        <is>
          <t>▸ 1. Copia la celda «Precio por unidad base» del ingrediente.</t>
        </is>
      </c>
    </row>
    <row r="37">
      <c r="B37" s="5" t="inlineStr">
        <is>
          <t>▸ 2. En la ficha, sobre «Precio/Ud (€)», pega con Pegado especial → Valores: en Excel, Ctrl+Alt+V y luego V (o Inicio → Pegar → Pegar valores); en Google Sheets, Ctrl+Mayús+V. Un pegado normal arrastraría la fórmula: el precio y el coste de esa línea se quedarían en blanco sin avisar, y el coste del plato saldría más bajo. Comprueba que «Precio/Ud (€)» muestra el número.</t>
        </is>
      </c>
    </row>
    <row r="38">
      <c r="B38" s="5" t="inlineStr">
        <is>
          <t>▸ 3. En «Ud. Compra» de la ficha pon la unidad base de la lista. Ejemplo: los huevos camperos se compran por docena en la plantilla 03 (3,60 €/docena); en esta lista van por unidad (0,3000 €/ud). Si pegas 0,30, cambia «Ud. Compra» a «ud».</t>
        </is>
      </c>
    </row>
    <row r="39">
      <c r="B39" s="5" t="inlineStr">
        <is>
          <t>▸ 4. Copia también el precio nuevo a «Precio anterior» (Pegado especial → Valores): desde ese momento es el que tienen tus fichas.</t>
        </is>
      </c>
    </row>
    <row r="40">
      <c r="B40" s="5" t="inlineStr">
        <is>
          <t>▸ En la plantilla 04 (cócteles), el precio de los destilados, el vino y el espumoso viene de su pestaña «Formatos de Compra»: allí basta con actualizar el precio de la botella.</t>
        </is>
      </c>
    </row>
    <row r="41"/>
    <row r="42">
      <c r="B42" s="4" t="inlineStr">
        <is>
          <t>Filtrar y Ordenar</t>
        </is>
      </c>
    </row>
    <row r="43"/>
    <row r="44">
      <c r="B44" s="5" t="inlineStr">
        <is>
          <t>▸ La tabla lleva autofiltro y funciona con la hoja protegida: usa las flechas de la cabecera para filtrar por categoría, proveedor o estado. Para ver lo que más ha subido, filtra «Estado» por ALERTA.</t>
        </is>
      </c>
    </row>
    <row r="45">
      <c r="B45" s="5" t="inlineStr">
        <is>
          <t>▸ Para ordenar, primero Revisar → Desproteger hoja (no pide contraseña) y ordena siempre desde las flechas de la cabecera, nunca una columna suelta: así cada precio sigue en la fila de su ingrediente. Si ordenas «Variación (%)» de mayor a menor, quita antes (Vacías) en el filtro de esa columna, o las filas sin precio anterior se quedan arriba. Al terminar, Revisar → Proteger hoja.</t>
        </is>
      </c>
    </row>
    <row r="46"/>
    <row r="47">
      <c r="B47" s="4" t="inlineStr">
        <is>
          <t>Protección de la Hoja</t>
        </is>
      </c>
    </row>
    <row r="48"/>
    <row r="49">
      <c r="B49" s="5" t="inlineStr">
        <is>
          <t>▸ La hoja está protegida SIN contraseña para que no borres una fórmula sin querer: se escriben las celdas verdes, y las blancas («Precio por unidad base», «Variación» y «Estado») están bloqueadas. Revisar → Desproteger hoja para tocar el resto; no pide contraseña.</t>
        </is>
      </c>
    </row>
    <row r="50">
      <c r="B50" s="5" t="inlineStr">
        <is>
          <t>▸ ¿Te quedas sin filas? Revisar → Desproteger hoja, inserta filas DENTRO de la tabla (encima de la última) y copia en ellas las columnas blancas de la fila de arriba. Así el resumen, el filtro y la impresión las recogen.</t>
        </is>
      </c>
    </row>
    <row r="51">
      <c r="B51" s="5" t="inlineStr">
        <is>
          <t>▸ Si con la hoja desprotegida borras una fórmula, cópiala de cualquiera de las filas vacías del final.</t>
        </is>
      </c>
    </row>
    <row r="52"/>
    <row r="53">
      <c r="B53" s="5" t="inlineStr">
        <is>
          <t>— Kit de Escandallos Pro · AI Chef Pro · aichef.pro</t>
        </is>
      </c>
    </row>
    <row r="54"/>
    <row r="55">
      <c r="B55" s="5" t="inlineStr">
        <is>
          <t>© 2026 AI Chef Pro · Todos los derechos reservados</t>
        </is>
      </c>
    </row>
    <row r="56"/>
    <row r="57">
      <c r="B57" s="5" t="inlineStr">
        <is>
          <t>Versión 2.1 · septiembre 2026 · aichef.pro/kit-escandallos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155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26" customWidth="1" min="4" max="4"/>
    <col width="11" customWidth="1" min="5" max="5"/>
    <col width="9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12" customWidth="1" min="12" max="12"/>
    <col width="52" customWidth="1" min="13" max="13"/>
  </cols>
  <sheetData>
    <row r="1" ht="24" customHeight="1">
      <c r="A1" s="6" t="inlineStr">
        <is>
          <t>Lista de Precios de Ingredientes</t>
        </is>
      </c>
    </row>
    <row r="2" ht="30" customHeight="1">
      <c r="A2" s="7" t="inlineStr">
        <is>
          <t>Un precio por ingrediente, pasado a la unidad que usan tus fichas. Las celdas verdes son editables. Para llevar un precio a una ficha, copia «Precio por unidad base» y pégalo con Pegado especial → Valores (Excel: Ctrl+Alt+V y luego V).</t>
        </is>
      </c>
    </row>
    <row r="3"/>
    <row r="4">
      <c r="A4" s="8" t="inlineStr">
        <is>
          <t>Nº de ingredientes</t>
        </is>
      </c>
      <c r="B4" s="9">
        <f>COUNTIF(A10:A154,"?*")</f>
        <v>115.0</v>
      </c>
    </row>
    <row r="5" ht="18" customHeight="1">
      <c r="A5" s="8" t="inlineStr">
        <is>
          <t>Umbral de alerta (%)</t>
        </is>
      </c>
      <c r="B5" s="10" t="n">
        <v>0.05</v>
      </c>
      <c r="C5" s="11" t="inlineStr">
        <is>
          <t>Una subida mayor pone el ingrediente en ALERTA.</t>
        </is>
      </c>
    </row>
    <row r="6">
      <c r="A6" s="8" t="inlineStr">
        <is>
          <t>Nº de alertas</t>
        </is>
      </c>
      <c r="B6" s="9">
        <f>COUNTIF(K10:K154,"ALERTA")</f>
        <v>1.0</v>
      </c>
    </row>
    <row r="7">
      <c r="A7" s="8" t="inlineStr">
        <is>
          <t>Mayor subida (%)</t>
        </is>
      </c>
      <c r="B7" s="12">
        <f>IFERROR(MAX(J10:J154),"")</f>
        <v>0.102941</v>
      </c>
    </row>
    <row r="8"/>
    <row r="9" ht="44" customHeight="1">
      <c r="A9" s="13" t="inlineStr">
        <is>
          <t>Ingrediente</t>
        </is>
      </c>
      <c r="B9" s="13" t="inlineStr">
        <is>
          <t>Categoría</t>
        </is>
      </c>
      <c r="C9" s="13" t="inlineStr">
        <is>
          <t>Proveedor</t>
        </is>
      </c>
      <c r="D9" s="13" t="inlineStr">
        <is>
          <t>Formato de compra</t>
        </is>
      </c>
      <c r="E9" s="13" t="inlineStr">
        <is>
          <t>Contenido del formato</t>
        </is>
      </c>
      <c r="F9" s="13" t="inlineStr">
        <is>
          <t>Unidad base</t>
        </is>
      </c>
      <c r="G9" s="13" t="inlineStr">
        <is>
          <t>Precio del formato (€)</t>
        </is>
      </c>
      <c r="H9" s="13" t="inlineStr">
        <is>
          <t>Precio por unidad base (€)</t>
        </is>
      </c>
      <c r="I9" s="13" t="inlineStr">
        <is>
          <t>Precio anterior por unidad base (€)</t>
        </is>
      </c>
      <c r="J9" s="13" t="inlineStr">
        <is>
          <t>Variación (%)</t>
        </is>
      </c>
      <c r="K9" s="13" t="inlineStr">
        <is>
          <t>Estado</t>
        </is>
      </c>
      <c r="L9" s="13" t="inlineStr">
        <is>
          <t>Fecha última factura</t>
        </is>
      </c>
      <c r="M9" s="13" t="inlineStr">
        <is>
          <t>Notas</t>
        </is>
      </c>
    </row>
    <row r="10">
      <c r="A10" s="14" t="inlineStr">
        <is>
          <t>Carne picada (mezcla 80/20)</t>
        </is>
      </c>
      <c r="B10" s="14" t="inlineStr">
        <is>
          <t>Carne roja</t>
        </is>
      </c>
      <c r="C10" s="14" t="n"/>
      <c r="D10" s="14" t="inlineStr">
        <is>
          <t>Bandeja 5 kg</t>
        </is>
      </c>
      <c r="E10" s="15" t="n">
        <v>5</v>
      </c>
      <c r="F10" s="15" t="inlineStr">
        <is>
          <t>kg</t>
        </is>
      </c>
      <c r="G10" s="16" t="n">
        <v>47.5</v>
      </c>
      <c r="H10" s="17">
        <f>IF(OR(E10="",G10=""),"",IFERROR(ROUND(G10/E10,4),""))</f>
        <v>9.5</v>
      </c>
      <c r="I10" s="18" t="n"/>
      <c r="J10" s="19">
        <f>IF(OR(H10="",I10=""),"",IFERROR(ROUND(H10/I10-1,6),""))</f>
        <v/>
      </c>
      <c r="K10" s="20">
        <f>IF(J10="","",IF(J10&gt;$B$5,"ALERTA","OK"))</f>
        <v/>
      </c>
      <c r="L10" s="21" t="n"/>
      <c r="M10" s="22" t="inlineStr">
        <is>
          <t>Se usa en: 08 «Smash Burger».</t>
        </is>
      </c>
    </row>
    <row r="11">
      <c r="A11" s="14" t="inlineStr">
        <is>
          <t>Carrillera ibérica</t>
        </is>
      </c>
      <c r="B11" s="14" t="inlineStr">
        <is>
          <t>Carne roja</t>
        </is>
      </c>
      <c r="C11" s="14" t="n"/>
      <c r="D11" s="14" t="inlineStr">
        <is>
          <t>Al peso (precio por kg)</t>
        </is>
      </c>
      <c r="E11" s="15" t="n">
        <v>1</v>
      </c>
      <c r="F11" s="15" t="inlineStr">
        <is>
          <t>kg</t>
        </is>
      </c>
      <c r="G11" s="16" t="n">
        <v>18</v>
      </c>
      <c r="H11" s="17">
        <f>IF(OR(E11="",G11=""),"",IFERROR(ROUND(G11/E11,4),""))</f>
        <v>18.0</v>
      </c>
      <c r="I11" s="18" t="n"/>
      <c r="J11" s="19">
        <f>IF(OR(H11="",I11=""),"",IFERROR(ROUND(H11/I11-1,6),""))</f>
        <v/>
      </c>
      <c r="K11" s="20">
        <f>IF(J11="","",IF(J11&gt;$B$5,"ALERTA","OK"))</f>
        <v/>
      </c>
      <c r="L11" s="21" t="n"/>
      <c r="M11" s="22" t="inlineStr">
        <is>
          <t>Se usa en: 02 «4. Carne».</t>
        </is>
      </c>
    </row>
    <row r="12">
      <c r="A12" s="14" t="inlineStr">
        <is>
          <t>Jamón ibérico (loncheado)</t>
        </is>
      </c>
      <c r="B12" s="14" t="inlineStr">
        <is>
          <t>Carne roja</t>
        </is>
      </c>
      <c r="C12" s="14" t="n"/>
      <c r="D12" s="14" t="inlineStr">
        <is>
          <t>Sobre 100 g</t>
        </is>
      </c>
      <c r="E12" s="15" t="n">
        <v>0.1</v>
      </c>
      <c r="F12" s="15" t="inlineStr">
        <is>
          <t>kg</t>
        </is>
      </c>
      <c r="G12" s="16" t="n">
        <v>6.5</v>
      </c>
      <c r="H12" s="17">
        <f>IF(OR(E12="",G12=""),"",IFERROR(ROUND(G12/E12,4),""))</f>
        <v>65.0</v>
      </c>
      <c r="I12" s="18" t="n"/>
      <c r="J12" s="19">
        <f>IF(OR(H12="",I12=""),"",IFERROR(ROUND(H12/I12-1,6),""))</f>
        <v/>
      </c>
      <c r="K12" s="20">
        <f>IF(J12="","",IF(J12&gt;$B$5,"ALERTA","OK"))</f>
        <v/>
      </c>
      <c r="L12" s="21" t="n"/>
      <c r="M12" s="22" t="inlineStr">
        <is>
          <t>Se usa en: 06 «Cocktail (por persona)».</t>
        </is>
      </c>
    </row>
    <row r="13">
      <c r="A13" s="14" t="inlineStr">
        <is>
          <t>Pulled pork</t>
        </is>
      </c>
      <c r="B13" s="14" t="inlineStr">
        <is>
          <t>Carne roja</t>
        </is>
      </c>
      <c r="C13" s="14" t="n"/>
      <c r="D13" s="14" t="inlineStr">
        <is>
          <t>Al peso (precio por kg)</t>
        </is>
      </c>
      <c r="E13" s="15" t="n">
        <v>1</v>
      </c>
      <c r="F13" s="15" t="inlineStr">
        <is>
          <t>kg</t>
        </is>
      </c>
      <c r="G13" s="16" t="n">
        <v>14</v>
      </c>
      <c r="H13" s="17">
        <f>IF(OR(E13="",G13=""),"",IFERROR(ROUND(G13/E13,4),""))</f>
        <v>14.0</v>
      </c>
      <c r="I13" s="18" t="n"/>
      <c r="J13" s="19">
        <f>IF(OR(H13="",I13=""),"",IFERROR(ROUND(H13/I13-1,6),""))</f>
        <v/>
      </c>
      <c r="K13" s="20">
        <f>IF(J13="","",IF(J13&gt;$B$5,"ALERTA","OK"))</f>
        <v/>
      </c>
      <c r="L13" s="21" t="n"/>
      <c r="M13" s="22" t="inlineStr">
        <is>
          <t>Se usa en: 08 «Loaded Fries», «Pulled Pork Sándwich».</t>
        </is>
      </c>
    </row>
    <row r="14" ht="39" customHeight="1">
      <c r="A14" s="14" t="inlineStr">
        <is>
          <t>Solomillo de ternera</t>
        </is>
      </c>
      <c r="B14" s="14" t="inlineStr">
        <is>
          <t>Carne roja</t>
        </is>
      </c>
      <c r="C14" s="14" t="n"/>
      <c r="D14" s="14" t="inlineStr">
        <is>
          <t>Al peso (precio por kg)</t>
        </is>
      </c>
      <c r="E14" s="15" t="n">
        <v>1</v>
      </c>
      <c r="F14" s="15" t="inlineStr">
        <is>
          <t>kg</t>
        </is>
      </c>
      <c r="G14" s="16" t="n">
        <v>28.5</v>
      </c>
      <c r="H14" s="17">
        <f>IF(OR(E14="",G14=""),"",IFERROR(ROUND(G14/E14,4),""))</f>
        <v>28.5</v>
      </c>
      <c r="I14" s="18" t="n">
        <v>28</v>
      </c>
      <c r="J14" s="19">
        <f>IF(OR(H14="",I14=""),"",IFERROR(ROUND(H14/I14-1,6),""))</f>
        <v>0.017857</v>
      </c>
      <c r="K14" s="20" t="str">
        <f>IF(J14="","",IF(J14&gt;$B$5,"ALERTA","OK"))</f>
        <v>OK</v>
      </c>
      <c r="L14" s="21" t="n"/>
      <c r="M14" s="22" t="inlineStr">
        <is>
          <t>Se usa en: 01 «Escandallo». Ilustrativo: el precio anterior es de ejemplo, para que veas cómo funciona la alerta. Bórralo.</t>
        </is>
      </c>
    </row>
    <row r="15">
      <c r="A15" s="14" t="inlineStr">
        <is>
          <t>Contramuslo de pollo</t>
        </is>
      </c>
      <c r="B15" s="14" t="inlineStr">
        <is>
          <t>Aves</t>
        </is>
      </c>
      <c r="C15" s="14" t="n"/>
      <c r="D15" s="14" t="inlineStr">
        <is>
          <t>Caja 5 kg</t>
        </is>
      </c>
      <c r="E15" s="15" t="n">
        <v>5</v>
      </c>
      <c r="F15" s="15" t="inlineStr">
        <is>
          <t>kg</t>
        </is>
      </c>
      <c r="G15" s="16" t="n">
        <v>27.5</v>
      </c>
      <c r="H15" s="17">
        <f>IF(OR(E15="",G15=""),"",IFERROR(ROUND(G15/E15,4),""))</f>
        <v>5.5</v>
      </c>
      <c r="I15" s="18" t="n"/>
      <c r="J15" s="19">
        <f>IF(OR(H15="",I15=""),"",IFERROR(ROUND(H15/I15-1,6),""))</f>
        <v/>
      </c>
      <c r="K15" s="20">
        <f>IF(J15="","",IF(J15&gt;$B$5,"ALERTA","OK"))</f>
        <v/>
      </c>
      <c r="L15" s="21" t="n"/>
      <c r="M15" s="22" t="inlineStr">
        <is>
          <t>Se usa en: 03 «Segundo Plato».</t>
        </is>
      </c>
    </row>
    <row r="16">
      <c r="A16" s="14" t="inlineStr">
        <is>
          <t>Atún rojo (lomo)</t>
        </is>
      </c>
      <c r="B16" s="14" t="inlineStr">
        <is>
          <t>Pescado</t>
        </is>
      </c>
      <c r="C16" s="14" t="n"/>
      <c r="D16" s="14" t="inlineStr">
        <is>
          <t>Al peso (precio por kg)</t>
        </is>
      </c>
      <c r="E16" s="15" t="n">
        <v>1</v>
      </c>
      <c r="F16" s="15" t="inlineStr">
        <is>
          <t>kg</t>
        </is>
      </c>
      <c r="G16" s="16" t="n">
        <v>42</v>
      </c>
      <c r="H16" s="17">
        <f>IF(OR(E16="",G16=""),"",IFERROR(ROUND(G16/E16,4),""))</f>
        <v>42.0</v>
      </c>
      <c r="I16" s="18" t="n"/>
      <c r="J16" s="19">
        <f>IF(OR(H16="",I16=""),"",IFERROR(ROUND(H16/I16-1,6),""))</f>
        <v/>
      </c>
      <c r="K16" s="20">
        <f>IF(J16="","",IF(J16&gt;$B$5,"ALERTA","OK"))</f>
        <v/>
      </c>
      <c r="L16" s="21" t="n"/>
      <c r="M16" s="22" t="inlineStr">
        <is>
          <t>Se usa en: 02 «1. Aperitivo».</t>
        </is>
      </c>
    </row>
    <row r="17">
      <c r="A17" s="14" t="inlineStr">
        <is>
          <t>Lubina salvaje</t>
        </is>
      </c>
      <c r="B17" s="14" t="inlineStr">
        <is>
          <t>Pescado</t>
        </is>
      </c>
      <c r="C17" s="14" t="n"/>
      <c r="D17" s="14" t="inlineStr">
        <is>
          <t>Al peso (precio por kg)</t>
        </is>
      </c>
      <c r="E17" s="15" t="n">
        <v>1</v>
      </c>
      <c r="F17" s="15" t="inlineStr">
        <is>
          <t>kg</t>
        </is>
      </c>
      <c r="G17" s="16" t="n">
        <v>32</v>
      </c>
      <c r="H17" s="17">
        <f>IF(OR(E17="",G17=""),"",IFERROR(ROUND(G17/E17,4),""))</f>
        <v>32.0</v>
      </c>
      <c r="I17" s="18" t="n"/>
      <c r="J17" s="19">
        <f>IF(OR(H17="",I17=""),"",IFERROR(ROUND(H17/I17-1,6),""))</f>
        <v/>
      </c>
      <c r="K17" s="20">
        <f>IF(J17="","",IF(J17&gt;$B$5,"ALERTA","OK"))</f>
        <v/>
      </c>
      <c r="L17" s="21" t="n"/>
      <c r="M17" s="22" t="inlineStr">
        <is>
          <t>Se usa en: 02 «3. Pescado».</t>
        </is>
      </c>
    </row>
    <row r="18" ht="27" customHeight="1">
      <c r="A18" s="14" t="inlineStr">
        <is>
          <t>Salmón ahumado</t>
        </is>
      </c>
      <c r="B18" s="14" t="inlineStr">
        <is>
          <t>Pescado</t>
        </is>
      </c>
      <c r="C18" s="14" t="n"/>
      <c r="D18" s="14" t="inlineStr">
        <is>
          <t>Al peso (precio por kg)</t>
        </is>
      </c>
      <c r="E18" s="15" t="n">
        <v>1</v>
      </c>
      <c r="F18" s="15" t="inlineStr">
        <is>
          <t>kg</t>
        </is>
      </c>
      <c r="G18" s="16" t="n">
        <v>35</v>
      </c>
      <c r="H18" s="17">
        <f>IF(OR(E18="",G18=""),"",IFERROR(ROUND(G18/E18,4),""))</f>
        <v>35.0</v>
      </c>
      <c r="I18" s="18" t="n"/>
      <c r="J18" s="19">
        <f>IF(OR(H18="",I18=""),"",IFERROR(ROUND(H18/I18-1,6),""))</f>
        <v/>
      </c>
      <c r="K18" s="20">
        <f>IF(J18="","",IF(J18&gt;$B$5,"ALERTA","OK"))</f>
        <v/>
      </c>
      <c r="L18" s="21" t="n"/>
      <c r="M18" s="22" t="inlineStr">
        <is>
          <t>Se usa en: 06 «Cocktail (por persona)» · 07 «Eggs Benedict».</t>
        </is>
      </c>
    </row>
    <row r="19">
      <c r="A19" s="14" t="inlineStr">
        <is>
          <t>Langostino cocido</t>
        </is>
      </c>
      <c r="B19" s="14" t="inlineStr">
        <is>
          <t>Marisco</t>
        </is>
      </c>
      <c r="C19" s="14" t="n"/>
      <c r="D19" s="14" t="inlineStr">
        <is>
          <t>Caja 2 kg</t>
        </is>
      </c>
      <c r="E19" s="15" t="n">
        <v>2</v>
      </c>
      <c r="F19" s="15" t="inlineStr">
        <is>
          <t>kg</t>
        </is>
      </c>
      <c r="G19" s="16" t="n">
        <v>36</v>
      </c>
      <c r="H19" s="17">
        <f>IF(OR(E19="",G19=""),"",IFERROR(ROUND(G19/E19,4),""))</f>
        <v>18.0</v>
      </c>
      <c r="I19" s="18" t="n"/>
      <c r="J19" s="19">
        <f>IF(OR(H19="",I19=""),"",IFERROR(ROUND(H19/I19-1,6),""))</f>
        <v/>
      </c>
      <c r="K19" s="20">
        <f>IF(J19="","",IF(J19&gt;$B$5,"ALERTA","OK"))</f>
        <v/>
      </c>
      <c r="L19" s="21" t="n"/>
      <c r="M19" s="22" t="inlineStr">
        <is>
          <t>Se usa en: 06 «Cocktail (por persona)».</t>
        </is>
      </c>
    </row>
    <row r="20">
      <c r="A20" s="14" t="inlineStr">
        <is>
          <t>Vieira fresca (grande)</t>
        </is>
      </c>
      <c r="B20" s="14" t="inlineStr">
        <is>
          <t>Marisco</t>
        </is>
      </c>
      <c r="C20" s="14" t="n"/>
      <c r="D20" s="14" t="inlineStr">
        <is>
          <t>Al peso (precio por kg)</t>
        </is>
      </c>
      <c r="E20" s="15" t="n">
        <v>1</v>
      </c>
      <c r="F20" s="15" t="inlineStr">
        <is>
          <t>kg</t>
        </is>
      </c>
      <c r="G20" s="16" t="n">
        <v>48</v>
      </c>
      <c r="H20" s="17">
        <f>IF(OR(E20="",G20=""),"",IFERROR(ROUND(G20/E20,4),""))</f>
        <v>48.0</v>
      </c>
      <c r="I20" s="18" t="n"/>
      <c r="J20" s="19">
        <f>IF(OR(H20="",I20=""),"",IFERROR(ROUND(H20/I20-1,6),""))</f>
        <v/>
      </c>
      <c r="K20" s="20">
        <f>IF(J20="","",IF(J20&gt;$B$5,"ALERTA","OK"))</f>
        <v/>
      </c>
      <c r="L20" s="21" t="n"/>
      <c r="M20" s="22" t="inlineStr">
        <is>
          <t>Se usa en: 02 «2. Entrante».</t>
        </is>
      </c>
    </row>
    <row r="21">
      <c r="A21" s="14" t="inlineStr">
        <is>
          <t>Coleslaw (mix)</t>
        </is>
      </c>
      <c r="B21" s="14" t="inlineStr">
        <is>
          <t>Verdura hoja</t>
        </is>
      </c>
      <c r="C21" s="14" t="n"/>
      <c r="D21" s="14" t="inlineStr">
        <is>
          <t>Al peso (precio por kg)</t>
        </is>
      </c>
      <c r="E21" s="15" t="n">
        <v>1</v>
      </c>
      <c r="F21" s="15" t="inlineStr">
        <is>
          <t>kg</t>
        </is>
      </c>
      <c r="G21" s="16" t="n">
        <v>3</v>
      </c>
      <c r="H21" s="17">
        <f>IF(OR(E21="",G21=""),"",IFERROR(ROUND(G21/E21,4),""))</f>
        <v>3.0</v>
      </c>
      <c r="I21" s="18" t="n"/>
      <c r="J21" s="19">
        <f>IF(OR(H21="",I21=""),"",IFERROR(ROUND(H21/I21-1,6),""))</f>
        <v/>
      </c>
      <c r="K21" s="20">
        <f>IF(J21="","",IF(J21&gt;$B$5,"ALERTA","OK"))</f>
        <v/>
      </c>
      <c r="L21" s="21" t="n"/>
      <c r="M21" s="22" t="inlineStr">
        <is>
          <t>Se usa en: 08 «Pulled Pork Sándwich».</t>
        </is>
      </c>
    </row>
    <row r="22">
      <c r="A22" s="14" t="inlineStr">
        <is>
          <t>Coliflor</t>
        </is>
      </c>
      <c r="B22" s="14" t="inlineStr">
        <is>
          <t>Verdura hoja</t>
        </is>
      </c>
      <c r="C22" s="14" t="n"/>
      <c r="D22" s="14" t="inlineStr">
        <is>
          <t>Al peso (precio por kg)</t>
        </is>
      </c>
      <c r="E22" s="15" t="n">
        <v>1</v>
      </c>
      <c r="F22" s="15" t="inlineStr">
        <is>
          <t>kg</t>
        </is>
      </c>
      <c r="G22" s="16" t="n">
        <v>2.5</v>
      </c>
      <c r="H22" s="17">
        <f>IF(OR(E22="",G22=""),"",IFERROR(ROUND(G22/E22,4),""))</f>
        <v>2.5</v>
      </c>
      <c r="I22" s="18" t="n"/>
      <c r="J22" s="19">
        <f>IF(OR(H22="",I22=""),"",IFERROR(ROUND(H22/I22-1,6),""))</f>
        <v/>
      </c>
      <c r="K22" s="20">
        <f>IF(J22="","",IF(J22&gt;$B$5,"ALERTA","OK"))</f>
        <v/>
      </c>
      <c r="L22" s="21" t="n"/>
      <c r="M22" s="22" t="inlineStr">
        <is>
          <t>Se usa en: 02 «2. Entrante».</t>
        </is>
      </c>
    </row>
    <row r="23">
      <c r="A23" s="14" t="inlineStr">
        <is>
          <t>Espárrago verde</t>
        </is>
      </c>
      <c r="B23" s="14" t="inlineStr">
        <is>
          <t>Verdura hoja</t>
        </is>
      </c>
      <c r="C23" s="14" t="n"/>
      <c r="D23" s="14" t="inlineStr">
        <is>
          <t>Caja 5 kg</t>
        </is>
      </c>
      <c r="E23" s="15" t="n">
        <v>5</v>
      </c>
      <c r="F23" s="15" t="inlineStr">
        <is>
          <t>kg</t>
        </is>
      </c>
      <c r="G23" s="16" t="n">
        <v>32.5</v>
      </c>
      <c r="H23" s="17">
        <f>IF(OR(E23="",G23=""),"",IFERROR(ROUND(G23/E23,4),""))</f>
        <v>6.5</v>
      </c>
      <c r="I23" s="18" t="n"/>
      <c r="J23" s="19">
        <f>IF(OR(H23="",I23=""),"",IFERROR(ROUND(H23/I23-1,6),""))</f>
        <v/>
      </c>
      <c r="K23" s="20">
        <f>IF(J23="","",IF(J23&gt;$B$5,"ALERTA","OK"))</f>
        <v/>
      </c>
      <c r="L23" s="21" t="n"/>
      <c r="M23" s="22" t="inlineStr">
        <is>
          <t>Se usa en: 01 «Escandallo».</t>
        </is>
      </c>
    </row>
    <row r="24">
      <c r="A24" s="14" t="inlineStr">
        <is>
          <t>Lechuga</t>
        </is>
      </c>
      <c r="B24" s="14" t="inlineStr">
        <is>
          <t>Verdura hoja</t>
        </is>
      </c>
      <c r="C24" s="14" t="n"/>
      <c r="D24" s="14" t="inlineStr">
        <is>
          <t>Al peso (precio por kg)</t>
        </is>
      </c>
      <c r="E24" s="15" t="n">
        <v>1</v>
      </c>
      <c r="F24" s="15" t="inlineStr">
        <is>
          <t>kg</t>
        </is>
      </c>
      <c r="G24" s="16" t="n">
        <v>2.5</v>
      </c>
      <c r="H24" s="17">
        <f>IF(OR(E24="",G24=""),"",IFERROR(ROUND(G24/E24,4),""))</f>
        <v>2.5</v>
      </c>
      <c r="I24" s="18" t="n"/>
      <c r="J24" s="19">
        <f>IF(OR(H24="",I24=""),"",IFERROR(ROUND(H24/I24-1,6),""))</f>
        <v/>
      </c>
      <c r="K24" s="20">
        <f>IF(J24="","",IF(J24&gt;$B$5,"ALERTA","OK"))</f>
        <v/>
      </c>
      <c r="L24" s="21" t="n"/>
      <c r="M24" s="22" t="inlineStr">
        <is>
          <t>Se usa en: 08 «Smash Burger».</t>
        </is>
      </c>
    </row>
    <row r="25">
      <c r="A25" s="14" t="inlineStr">
        <is>
          <t>Lechuga variada</t>
        </is>
      </c>
      <c r="B25" s="14" t="inlineStr">
        <is>
          <t>Verdura hoja</t>
        </is>
      </c>
      <c r="C25" s="14" t="n"/>
      <c r="D25" s="14" t="inlineStr">
        <is>
          <t>Al peso (precio por kg)</t>
        </is>
      </c>
      <c r="E25" s="15" t="n">
        <v>1</v>
      </c>
      <c r="F25" s="15" t="inlineStr">
        <is>
          <t>kg</t>
        </is>
      </c>
      <c r="G25" s="16" t="n">
        <v>3.5</v>
      </c>
      <c r="H25" s="17">
        <f>IF(OR(E25="",G25=""),"",IFERROR(ROUND(G25/E25,4),""))</f>
        <v>3.5</v>
      </c>
      <c r="I25" s="18" t="n"/>
      <c r="J25" s="19">
        <f>IF(OR(H25="",I25=""),"",IFERROR(ROUND(H25/I25-1,6),""))</f>
        <v/>
      </c>
      <c r="K25" s="20">
        <f>IF(J25="","",IF(J25&gt;$B$5,"ALERTA","OK"))</f>
        <v/>
      </c>
      <c r="L25" s="21" t="n"/>
      <c r="M25" s="22" t="inlineStr">
        <is>
          <t>Se usa en: 03 «Primer Plato».</t>
        </is>
      </c>
    </row>
    <row r="26">
      <c r="A26" s="14" t="inlineStr">
        <is>
          <t>Microgreens</t>
        </is>
      </c>
      <c r="B26" s="14" t="inlineStr">
        <is>
          <t>Verdura hoja</t>
        </is>
      </c>
      <c r="C26" s="14" t="n"/>
      <c r="D26" s="14" t="inlineStr">
        <is>
          <t>Bandeja 50 g</t>
        </is>
      </c>
      <c r="E26" s="15" t="n">
        <v>0.05</v>
      </c>
      <c r="F26" s="15" t="inlineStr">
        <is>
          <t>kg</t>
        </is>
      </c>
      <c r="G26" s="16" t="n">
        <v>3.5</v>
      </c>
      <c r="H26" s="17">
        <f>IF(OR(E26="",G26=""),"",IFERROR(ROUND(G26/E26,4),""))</f>
        <v>70.0</v>
      </c>
      <c r="I26" s="18" t="n"/>
      <c r="J26" s="19">
        <f>IF(OR(H26="",I26=""),"",IFERROR(ROUND(H26/I26-1,6),""))</f>
        <v/>
      </c>
      <c r="K26" s="20">
        <f>IF(J26="","",IF(J26&gt;$B$5,"ALERTA","OK"))</f>
        <v/>
      </c>
      <c r="L26" s="21" t="n"/>
      <c r="M26" s="22" t="inlineStr">
        <is>
          <t>Se usa en: 01 «Escandallo».</t>
        </is>
      </c>
    </row>
    <row r="27">
      <c r="A27" s="14" t="inlineStr">
        <is>
          <t>Cebolla</t>
        </is>
      </c>
      <c r="B27" s="14" t="inlineStr">
        <is>
          <t>Verdura raíz</t>
        </is>
      </c>
      <c r="C27" s="14" t="n"/>
      <c r="D27" s="14" t="inlineStr">
        <is>
          <t>Saco 10 kg</t>
        </is>
      </c>
      <c r="E27" s="15" t="n">
        <v>10</v>
      </c>
      <c r="F27" s="15" t="inlineStr">
        <is>
          <t>kg</t>
        </is>
      </c>
      <c r="G27" s="16" t="n">
        <v>12</v>
      </c>
      <c r="H27" s="17">
        <f>IF(OR(E27="",G27=""),"",IFERROR(ROUND(G27/E27,4),""))</f>
        <v>1.2</v>
      </c>
      <c r="I27" s="18" t="n"/>
      <c r="J27" s="19">
        <f>IF(OR(H27="",I27=""),"",IFERROR(ROUND(H27/I27-1,6),""))</f>
        <v/>
      </c>
      <c r="K27" s="20">
        <f>IF(J27="","",IF(J27&gt;$B$5,"ALERTA","OK"))</f>
        <v/>
      </c>
      <c r="L27" s="21" t="n"/>
      <c r="M27" s="22" t="inlineStr">
        <is>
          <t>Se usa en: 08 «Smash Burger».</t>
        </is>
      </c>
    </row>
    <row r="28">
      <c r="A28" s="14" t="inlineStr">
        <is>
          <t>Cebolla morada</t>
        </is>
      </c>
      <c r="B28" s="14" t="inlineStr">
        <is>
          <t>Verdura raíz</t>
        </is>
      </c>
      <c r="C28" s="14" t="n"/>
      <c r="D28" s="14" t="inlineStr">
        <is>
          <t>Malla 5 kg</t>
        </is>
      </c>
      <c r="E28" s="15" t="n">
        <v>5</v>
      </c>
      <c r="F28" s="15" t="inlineStr">
        <is>
          <t>kg</t>
        </is>
      </c>
      <c r="G28" s="16" t="n">
        <v>9</v>
      </c>
      <c r="H28" s="17">
        <f>IF(OR(E28="",G28=""),"",IFERROR(ROUND(G28/E28,4),""))</f>
        <v>1.8</v>
      </c>
      <c r="I28" s="18" t="n"/>
      <c r="J28" s="19">
        <f>IF(OR(H28="",I28=""),"",IFERROR(ROUND(H28/I28-1,6),""))</f>
        <v/>
      </c>
      <c r="K28" s="20">
        <f>IF(J28="","",IF(J28&gt;$B$5,"ALERTA","OK"))</f>
        <v/>
      </c>
      <c r="L28" s="21" t="n"/>
      <c r="M28" s="22" t="inlineStr">
        <is>
          <t>Se usa en: 03 «Primer Plato».</t>
        </is>
      </c>
    </row>
    <row r="29">
      <c r="A29" s="14" t="inlineStr">
        <is>
          <t>Chalota</t>
        </is>
      </c>
      <c r="B29" s="14" t="inlineStr">
        <is>
          <t>Verdura raíz</t>
        </is>
      </c>
      <c r="C29" s="14" t="n"/>
      <c r="D29" s="14" t="inlineStr">
        <is>
          <t>Al peso (precio por kg)</t>
        </is>
      </c>
      <c r="E29" s="15" t="n">
        <v>1</v>
      </c>
      <c r="F29" s="15" t="inlineStr">
        <is>
          <t>kg</t>
        </is>
      </c>
      <c r="G29" s="16" t="n">
        <v>4.5</v>
      </c>
      <c r="H29" s="17">
        <f>IF(OR(E29="",G29=""),"",IFERROR(ROUND(G29/E29,4),""))</f>
        <v>4.5</v>
      </c>
      <c r="I29" s="18" t="n"/>
      <c r="J29" s="19">
        <f>IF(OR(H29="",I29=""),"",IFERROR(ROUND(H29/I29-1,6),""))</f>
        <v/>
      </c>
      <c r="K29" s="20">
        <f>IF(J29="","",IF(J29&gt;$B$5,"ALERTA","OK"))</f>
        <v/>
      </c>
      <c r="L29" s="21" t="n"/>
      <c r="M29" s="22" t="inlineStr">
        <is>
          <t>Se usa en: 02 «3. Pescado».</t>
        </is>
      </c>
    </row>
    <row r="30">
      <c r="A30" s="14" t="inlineStr">
        <is>
          <t>Hinojo fresco</t>
        </is>
      </c>
      <c r="B30" s="14" t="inlineStr">
        <is>
          <t>Verdura raíz</t>
        </is>
      </c>
      <c r="C30" s="14" t="n"/>
      <c r="D30" s="14" t="inlineStr">
        <is>
          <t>Al peso (precio por kg)</t>
        </is>
      </c>
      <c r="E30" s="15" t="n">
        <v>1</v>
      </c>
      <c r="F30" s="15" t="inlineStr">
        <is>
          <t>kg</t>
        </is>
      </c>
      <c r="G30" s="16" t="n">
        <v>5</v>
      </c>
      <c r="H30" s="17">
        <f>IF(OR(E30="",G30=""),"",IFERROR(ROUND(G30/E30,4),""))</f>
        <v>5.0</v>
      </c>
      <c r="I30" s="18" t="n"/>
      <c r="J30" s="19">
        <f>IF(OR(H30="",I30=""),"",IFERROR(ROUND(H30/I30-1,6),""))</f>
        <v/>
      </c>
      <c r="K30" s="20">
        <f>IF(J30="","",IF(J30&gt;$B$5,"ALERTA","OK"))</f>
        <v/>
      </c>
      <c r="L30" s="21" t="n"/>
      <c r="M30" s="22" t="inlineStr">
        <is>
          <t>Se usa en: 02 «3. Pescado».</t>
        </is>
      </c>
    </row>
    <row r="31">
      <c r="A31" s="14" t="inlineStr">
        <is>
          <t>Patata</t>
        </is>
      </c>
      <c r="B31" s="14" t="inlineStr">
        <is>
          <t>Verdura raíz</t>
        </is>
      </c>
      <c r="C31" s="14" t="n"/>
      <c r="D31" s="14" t="inlineStr">
        <is>
          <t>Saco 10 kg</t>
        </is>
      </c>
      <c r="E31" s="15" t="n">
        <v>10</v>
      </c>
      <c r="F31" s="15" t="inlineStr">
        <is>
          <t>kg</t>
        </is>
      </c>
      <c r="G31" s="16" t="n">
        <v>12</v>
      </c>
      <c r="H31" s="17">
        <f>IF(OR(E31="",G31=""),"",IFERROR(ROUND(G31/E31,4),""))</f>
        <v>1.2</v>
      </c>
      <c r="I31" s="18" t="n"/>
      <c r="J31" s="19">
        <f>IF(OR(H31="",I31=""),"",IFERROR(ROUND(H31/I31-1,6),""))</f>
        <v/>
      </c>
      <c r="K31" s="20">
        <f>IF(J31="","",IF(J31&gt;$B$5,"ALERTA","OK"))</f>
        <v/>
      </c>
      <c r="L31" s="21" t="n"/>
      <c r="M31" s="22" t="inlineStr">
        <is>
          <t>Se usa en: 03 «Segundo Plato».</t>
        </is>
      </c>
    </row>
    <row r="32">
      <c r="A32" s="14" t="inlineStr">
        <is>
          <t>Patata agria</t>
        </is>
      </c>
      <c r="B32" s="14" t="inlineStr">
        <is>
          <t>Verdura raíz</t>
        </is>
      </c>
      <c r="C32" s="14" t="n"/>
      <c r="D32" s="14" t="inlineStr">
        <is>
          <t>Saco 10 kg</t>
        </is>
      </c>
      <c r="E32" s="15" t="n">
        <v>10</v>
      </c>
      <c r="F32" s="15" t="inlineStr">
        <is>
          <t>kg</t>
        </is>
      </c>
      <c r="G32" s="16" t="n">
        <v>18</v>
      </c>
      <c r="H32" s="17">
        <f>IF(OR(E32="",G32=""),"",IFERROR(ROUND(G32/E32,4),""))</f>
        <v>1.8</v>
      </c>
      <c r="I32" s="18" t="n"/>
      <c r="J32" s="19">
        <f>IF(OR(H32="",I32=""),"",IFERROR(ROUND(H32/I32-1,6),""))</f>
        <v/>
      </c>
      <c r="K32" s="20">
        <f>IF(J32="","",IF(J32&gt;$B$5,"ALERTA","OK"))</f>
        <v/>
      </c>
      <c r="L32" s="21" t="n"/>
      <c r="M32" s="22" t="inlineStr">
        <is>
          <t>Se usa en: 01 «Escandallo».</t>
        </is>
      </c>
    </row>
    <row r="33">
      <c r="A33" s="14" t="inlineStr">
        <is>
          <t>Patata para freír</t>
        </is>
      </c>
      <c r="B33" s="14" t="inlineStr">
        <is>
          <t>Verdura raíz</t>
        </is>
      </c>
      <c r="C33" s="14" t="n"/>
      <c r="D33" s="14" t="inlineStr">
        <is>
          <t>Saco 25 kg</t>
        </is>
      </c>
      <c r="E33" s="15" t="n">
        <v>25</v>
      </c>
      <c r="F33" s="15" t="inlineStr">
        <is>
          <t>kg</t>
        </is>
      </c>
      <c r="G33" s="16" t="n">
        <v>37.5</v>
      </c>
      <c r="H33" s="17">
        <f>IF(OR(E33="",G33=""),"",IFERROR(ROUND(G33/E33,4),""))</f>
        <v>1.5</v>
      </c>
      <c r="I33" s="18" t="n"/>
      <c r="J33" s="19">
        <f>IF(OR(H33="",I33=""),"",IFERROR(ROUND(H33/I33-1,6),""))</f>
        <v/>
      </c>
      <c r="K33" s="20">
        <f>IF(J33="","",IF(J33&gt;$B$5,"ALERTA","OK"))</f>
        <v/>
      </c>
      <c r="L33" s="21" t="n"/>
      <c r="M33" s="22" t="inlineStr">
        <is>
          <t>Se usa en: 08 «Loaded Fries».</t>
        </is>
      </c>
    </row>
    <row r="34">
      <c r="A34" s="14" t="inlineStr">
        <is>
          <t>Puré de boniato</t>
        </is>
      </c>
      <c r="B34" s="14" t="inlineStr">
        <is>
          <t>Verdura raíz</t>
        </is>
      </c>
      <c r="C34" s="14" t="n"/>
      <c r="D34" s="14" t="inlineStr">
        <is>
          <t>Al peso (precio por kg)</t>
        </is>
      </c>
      <c r="E34" s="15" t="n">
        <v>1</v>
      </c>
      <c r="F34" s="15" t="inlineStr">
        <is>
          <t>kg</t>
        </is>
      </c>
      <c r="G34" s="16" t="n">
        <v>2.5</v>
      </c>
      <c r="H34" s="17">
        <f>IF(OR(E34="",G34=""),"",IFERROR(ROUND(G34/E34,4),""))</f>
        <v>2.5</v>
      </c>
      <c r="I34" s="18" t="n"/>
      <c r="J34" s="19">
        <f>IF(OR(H34="",I34=""),"",IFERROR(ROUND(H34/I34-1,6),""))</f>
        <v/>
      </c>
      <c r="K34" s="20">
        <f>IF(J34="","",IF(J34&gt;$B$5,"ALERTA","OK"))</f>
        <v/>
      </c>
      <c r="L34" s="21" t="n"/>
      <c r="M34" s="22" t="inlineStr">
        <is>
          <t>Se usa en: 02 «4. Carne».</t>
        </is>
      </c>
    </row>
    <row r="35" ht="27" customHeight="1">
      <c r="A35" s="14" t="inlineStr">
        <is>
          <t>Zanahoria</t>
        </is>
      </c>
      <c r="B35" s="14" t="inlineStr">
        <is>
          <t>Verdura raíz</t>
        </is>
      </c>
      <c r="C35" s="14" t="n"/>
      <c r="D35" s="14" t="inlineStr">
        <is>
          <t>Saco 10 kg</t>
        </is>
      </c>
      <c r="E35" s="15" t="n">
        <v>10</v>
      </c>
      <c r="F35" s="15" t="inlineStr">
        <is>
          <t>kg</t>
        </is>
      </c>
      <c r="G35" s="16" t="n">
        <v>12</v>
      </c>
      <c r="H35" s="17">
        <f>IF(OR(E35="",G35=""),"",IFERROR(ROUND(G35/E35,4),""))</f>
        <v>1.2</v>
      </c>
      <c r="I35" s="18" t="n"/>
      <c r="J35" s="19">
        <f>IF(OR(H35="",I35=""),"",IFERROR(ROUND(H35/I35-1,6),""))</f>
        <v/>
      </c>
      <c r="K35" s="20">
        <f>IF(J35="","",IF(J35&gt;$B$5,"ALERTA","OK"))</f>
        <v/>
      </c>
      <c r="L35" s="21" t="n"/>
      <c r="M35" s="22" t="inlineStr">
        <is>
          <t>Se usa en: 02 «4. Carne» · 07 «Carrot Cake». La plantilla 07 lo usa a 1,40 €/kg (otro proveedor).</t>
        </is>
      </c>
    </row>
    <row r="36">
      <c r="A36" s="14" t="inlineStr">
        <is>
          <t>Pepino</t>
        </is>
      </c>
      <c r="B36" s="14" t="inlineStr">
        <is>
          <t>Verdura fruto</t>
        </is>
      </c>
      <c r="C36" s="14" t="n"/>
      <c r="D36" s="14" t="inlineStr">
        <is>
          <t>Al peso (precio por kg)</t>
        </is>
      </c>
      <c r="E36" s="15" t="n">
        <v>1</v>
      </c>
      <c r="F36" s="15" t="inlineStr">
        <is>
          <t>kg</t>
        </is>
      </c>
      <c r="G36" s="16" t="n">
        <v>1.5</v>
      </c>
      <c r="H36" s="17">
        <f>IF(OR(E36="",G36=""),"",IFERROR(ROUND(G36/E36,4),""))</f>
        <v>1.5</v>
      </c>
      <c r="I36" s="18" t="n"/>
      <c r="J36" s="19">
        <f>IF(OR(H36="",I36=""),"",IFERROR(ROUND(H36/I36-1,6),""))</f>
        <v/>
      </c>
      <c r="K36" s="20">
        <f>IF(J36="","",IF(J36&gt;$B$5,"ALERTA","OK"))</f>
        <v/>
      </c>
      <c r="L36" s="21" t="n"/>
      <c r="M36" s="22" t="inlineStr">
        <is>
          <t>Se usa en: 03 «Primer Plato» · 04 «Gin Tonic Premium».</t>
        </is>
      </c>
    </row>
    <row r="37">
      <c r="A37" s="14" t="inlineStr">
        <is>
          <t>Pimiento rojo</t>
        </is>
      </c>
      <c r="B37" s="14" t="inlineStr">
        <is>
          <t>Verdura fruto</t>
        </is>
      </c>
      <c r="C37" s="14" t="n"/>
      <c r="D37" s="14" t="inlineStr">
        <is>
          <t>Al peso (precio por kg)</t>
        </is>
      </c>
      <c r="E37" s="15" t="n">
        <v>1</v>
      </c>
      <c r="F37" s="15" t="inlineStr">
        <is>
          <t>kg</t>
        </is>
      </c>
      <c r="G37" s="16" t="n">
        <v>3</v>
      </c>
      <c r="H37" s="17">
        <f>IF(OR(E37="",G37=""),"",IFERROR(ROUND(G37/E37,4),""))</f>
        <v>3.0</v>
      </c>
      <c r="I37" s="18" t="n"/>
      <c r="J37" s="19">
        <f>IF(OR(H37="",I37=""),"",IFERROR(ROUND(H37/I37-1,6),""))</f>
        <v/>
      </c>
      <c r="K37" s="20">
        <f>IF(J37="","",IF(J37&gt;$B$5,"ALERTA","OK"))</f>
        <v/>
      </c>
      <c r="L37" s="21" t="n"/>
      <c r="M37" s="22" t="inlineStr">
        <is>
          <t>Se usa en: 03 «Segundo Plato».</t>
        </is>
      </c>
    </row>
    <row r="38">
      <c r="A38" s="14" t="inlineStr">
        <is>
          <t>Tomate</t>
        </is>
      </c>
      <c r="B38" s="14" t="inlineStr">
        <is>
          <t>Verdura fruto</t>
        </is>
      </c>
      <c r="C38" s="14" t="n"/>
      <c r="D38" s="14" t="inlineStr">
        <is>
          <t>Caja 6 kg</t>
        </is>
      </c>
      <c r="E38" s="15" t="n">
        <v>6</v>
      </c>
      <c r="F38" s="15" t="inlineStr">
        <is>
          <t>kg</t>
        </is>
      </c>
      <c r="G38" s="16" t="n">
        <v>15</v>
      </c>
      <c r="H38" s="17">
        <f>IF(OR(E38="",G38=""),"",IFERROR(ROUND(G38/E38,4),""))</f>
        <v>2.5</v>
      </c>
      <c r="I38" s="18" t="n"/>
      <c r="J38" s="19">
        <f>IF(OR(H38="",I38=""),"",IFERROR(ROUND(H38/I38-1,6),""))</f>
        <v/>
      </c>
      <c r="K38" s="20">
        <f>IF(J38="","",IF(J38&gt;$B$5,"ALERTA","OK"))</f>
        <v/>
      </c>
      <c r="L38" s="21" t="n"/>
      <c r="M38" s="22" t="inlineStr">
        <is>
          <t>Se usa en: 08 «Smash Burger».</t>
        </is>
      </c>
    </row>
    <row r="39">
      <c r="A39" s="14" t="inlineStr">
        <is>
          <t>Tomate cherry</t>
        </is>
      </c>
      <c r="B39" s="14" t="inlineStr">
        <is>
          <t>Verdura fruto</t>
        </is>
      </c>
      <c r="C39" s="14" t="n"/>
      <c r="D39" s="14" t="inlineStr">
        <is>
          <t>Caja 12 tarrinas de 250 g</t>
        </is>
      </c>
      <c r="E39" s="15" t="n">
        <v>3</v>
      </c>
      <c r="F39" s="15" t="inlineStr">
        <is>
          <t>kg</t>
        </is>
      </c>
      <c r="G39" s="16" t="n">
        <v>12</v>
      </c>
      <c r="H39" s="17">
        <f>IF(OR(E39="",G39=""),"",IFERROR(ROUND(G39/E39,4),""))</f>
        <v>4.0</v>
      </c>
      <c r="I39" s="18" t="n"/>
      <c r="J39" s="19">
        <f>IF(OR(H39="",I39=""),"",IFERROR(ROUND(H39/I39-1,6),""))</f>
        <v/>
      </c>
      <c r="K39" s="20">
        <f>IF(J39="","",IF(J39&gt;$B$5,"ALERTA","OK"))</f>
        <v/>
      </c>
      <c r="L39" s="21" t="n"/>
      <c r="M39" s="22" t="inlineStr">
        <is>
          <t>Se usa en: 07 «Tostada Aguacate».</t>
        </is>
      </c>
    </row>
    <row r="40">
      <c r="A40" s="14" t="inlineStr">
        <is>
          <t>Tomate pera</t>
        </is>
      </c>
      <c r="B40" s="14" t="inlineStr">
        <is>
          <t>Verdura fruto</t>
        </is>
      </c>
      <c r="C40" s="14" t="n"/>
      <c r="D40" s="14" t="inlineStr">
        <is>
          <t>Caja 6 kg</t>
        </is>
      </c>
      <c r="E40" s="15" t="n">
        <v>6</v>
      </c>
      <c r="F40" s="15" t="inlineStr">
        <is>
          <t>kg</t>
        </is>
      </c>
      <c r="G40" s="16" t="n">
        <v>16.8</v>
      </c>
      <c r="H40" s="17">
        <f>IF(OR(E40="",G40=""),"",IFERROR(ROUND(G40/E40,4),""))</f>
        <v>2.8</v>
      </c>
      <c r="I40" s="18" t="n"/>
      <c r="J40" s="19">
        <f>IF(OR(H40="",I40=""),"",IFERROR(ROUND(H40/I40-1,6),""))</f>
        <v/>
      </c>
      <c r="K40" s="20">
        <f>IF(J40="","",IF(J40&gt;$B$5,"ALERTA","OK"))</f>
        <v/>
      </c>
      <c r="L40" s="21" t="n"/>
      <c r="M40" s="22" t="inlineStr">
        <is>
          <t>Se usa en: 03 «Primer Plato».</t>
        </is>
      </c>
    </row>
    <row r="41">
      <c r="A41" s="14" t="inlineStr">
        <is>
          <t>Aguacate Hass</t>
        </is>
      </c>
      <c r="B41" s="14" t="inlineStr">
        <is>
          <t>Fruta</t>
        </is>
      </c>
      <c r="C41" s="14" t="n"/>
      <c r="D41" s="14" t="inlineStr">
        <is>
          <t>Caja 20 piezas</t>
        </is>
      </c>
      <c r="E41" s="15" t="n">
        <v>20</v>
      </c>
      <c r="F41" s="15" t="inlineStr">
        <is>
          <t>ud</t>
        </is>
      </c>
      <c r="G41" s="16" t="n">
        <v>30</v>
      </c>
      <c r="H41" s="17">
        <f>IF(OR(E41="",G41=""),"",IFERROR(ROUND(G41/E41,4),""))</f>
        <v>1.5</v>
      </c>
      <c r="I41" s="18" t="n"/>
      <c r="J41" s="19">
        <f>IF(OR(H41="",I41=""),"",IFERROR(ROUND(H41/I41-1,6),""))</f>
        <v/>
      </c>
      <c r="K41" s="20">
        <f>IF(J41="","",IF(J41&gt;$B$5,"ALERTA","OK"))</f>
        <v/>
      </c>
      <c r="L41" s="21" t="n"/>
      <c r="M41" s="22" t="inlineStr">
        <is>
          <t>Se usa en: 02 «1. Aperitivo» · 07 «Tostada Aguacate».</t>
        </is>
      </c>
    </row>
    <row r="42">
      <c r="A42" s="14" t="inlineStr">
        <is>
          <t>Arándanos</t>
        </is>
      </c>
      <c r="B42" s="14" t="inlineStr">
        <is>
          <t>Fruta</t>
        </is>
      </c>
      <c r="C42" s="14" t="n"/>
      <c r="D42" s="14" t="inlineStr">
        <is>
          <t>Caja 12 tarrinas de 125 g</t>
        </is>
      </c>
      <c r="E42" s="15" t="n">
        <v>1.5</v>
      </c>
      <c r="F42" s="15" t="inlineStr">
        <is>
          <t>kg</t>
        </is>
      </c>
      <c r="G42" s="16" t="n">
        <v>18</v>
      </c>
      <c r="H42" s="17">
        <f>IF(OR(E42="",G42=""),"",IFERROR(ROUND(G42/E42,4),""))</f>
        <v>12.0</v>
      </c>
      <c r="I42" s="18" t="n"/>
      <c r="J42" s="19">
        <f>IF(OR(H42="",I42=""),"",IFERROR(ROUND(H42/I42-1,6),""))</f>
        <v/>
      </c>
      <c r="K42" s="20">
        <f>IF(J42="","",IF(J42&gt;$B$5,"ALERTA","OK"))</f>
        <v/>
      </c>
      <c r="L42" s="21" t="n"/>
      <c r="M42" s="22" t="inlineStr">
        <is>
          <t>Se usa en: 07 «Açaí Bowl».</t>
        </is>
      </c>
    </row>
    <row r="43">
      <c r="A43" s="14" t="inlineStr">
        <is>
          <t>Fruta de la pasión</t>
        </is>
      </c>
      <c r="B43" s="14" t="inlineStr">
        <is>
          <t>Fruta</t>
        </is>
      </c>
      <c r="C43" s="14" t="n"/>
      <c r="D43" s="14" t="inlineStr">
        <is>
          <t>Al peso (precio por kg)</t>
        </is>
      </c>
      <c r="E43" s="15" t="n">
        <v>1</v>
      </c>
      <c r="F43" s="15" t="inlineStr">
        <is>
          <t>kg</t>
        </is>
      </c>
      <c r="G43" s="16" t="n">
        <v>14</v>
      </c>
      <c r="H43" s="17">
        <f>IF(OR(E43="",G43=""),"",IFERROR(ROUND(G43/E43,4),""))</f>
        <v>14.0</v>
      </c>
      <c r="I43" s="18" t="n"/>
      <c r="J43" s="19">
        <f>IF(OR(H43="",I43=""),"",IFERROR(ROUND(H43/I43-1,6),""))</f>
        <v/>
      </c>
      <c r="K43" s="20">
        <f>IF(J43="","",IF(J43&gt;$B$5,"ALERTA","OK"))</f>
        <v/>
      </c>
      <c r="L43" s="21" t="n"/>
      <c r="M43" s="22" t="inlineStr">
        <is>
          <t>Se usa en: 02 «5. Postre».</t>
        </is>
      </c>
    </row>
    <row r="44">
      <c r="A44" s="14" t="inlineStr">
        <is>
          <t>Fruta variada</t>
        </is>
      </c>
      <c r="B44" s="14" t="inlineStr">
        <is>
          <t>Fruta</t>
        </is>
      </c>
      <c r="C44" s="14" t="n"/>
      <c r="D44" s="14" t="inlineStr">
        <is>
          <t>Al peso (precio por kg)</t>
        </is>
      </c>
      <c r="E44" s="15" t="n">
        <v>1</v>
      </c>
      <c r="F44" s="15" t="inlineStr">
        <is>
          <t>kg</t>
        </is>
      </c>
      <c r="G44" s="16" t="n">
        <v>3.5</v>
      </c>
      <c r="H44" s="17">
        <f>IF(OR(E44="",G44=""),"",IFERROR(ROUND(G44/E44,4),""))</f>
        <v>3.5</v>
      </c>
      <c r="I44" s="18" t="n"/>
      <c r="J44" s="19">
        <f>IF(OR(H44="",I44=""),"",IFERROR(ROUND(H44/I44-1,6),""))</f>
        <v/>
      </c>
      <c r="K44" s="20">
        <f>IF(J44="","",IF(J44&gt;$B$5,"ALERTA","OK"))</f>
        <v/>
      </c>
      <c r="L44" s="21" t="n"/>
      <c r="M44" s="22" t="inlineStr">
        <is>
          <t>Se usa en: 06 «Cocktail (por persona)».</t>
        </is>
      </c>
    </row>
    <row r="45">
      <c r="A45" s="14" t="inlineStr">
        <is>
          <t>Lima</t>
        </is>
      </c>
      <c r="B45" s="14" t="inlineStr">
        <is>
          <t>Fruta</t>
        </is>
      </c>
      <c r="C45" s="14" t="n"/>
      <c r="D45" s="14" t="inlineStr">
        <is>
          <t>Caja 4 kg</t>
        </is>
      </c>
      <c r="E45" s="15" t="n">
        <v>4</v>
      </c>
      <c r="F45" s="15" t="inlineStr">
        <is>
          <t>kg</t>
        </is>
      </c>
      <c r="G45" s="16" t="n">
        <v>18</v>
      </c>
      <c r="H45" s="17">
        <f>IF(OR(E45="",G45=""),"",IFERROR(ROUND(G45/E45,4),""))</f>
        <v>4.5</v>
      </c>
      <c r="I45" s="18" t="n"/>
      <c r="J45" s="19">
        <f>IF(OR(H45="",I45=""),"",IFERROR(ROUND(H45/I45-1,6),""))</f>
        <v/>
      </c>
      <c r="K45" s="20">
        <f>IF(J45="","",IF(J45&gt;$B$5,"ALERTA","OK"))</f>
        <v/>
      </c>
      <c r="L45" s="21" t="n"/>
      <c r="M45" s="22" t="inlineStr">
        <is>
          <t>Se usa en: 04 «Mojito Clásico», «Margarita».</t>
        </is>
      </c>
    </row>
    <row r="46">
      <c r="A46" s="14" t="inlineStr">
        <is>
          <t>Limón</t>
        </is>
      </c>
      <c r="B46" s="14" t="inlineStr">
        <is>
          <t>Fruta</t>
        </is>
      </c>
      <c r="C46" s="14" t="n"/>
      <c r="D46" s="14" t="inlineStr">
        <is>
          <t>Caja 5 kg</t>
        </is>
      </c>
      <c r="E46" s="15" t="n">
        <v>5</v>
      </c>
      <c r="F46" s="15" t="inlineStr">
        <is>
          <t>kg</t>
        </is>
      </c>
      <c r="G46" s="16" t="n">
        <v>12.5</v>
      </c>
      <c r="H46" s="17">
        <f>IF(OR(E46="",G46=""),"",IFERROR(ROUND(G46/E46,4),""))</f>
        <v>2.5</v>
      </c>
      <c r="I46" s="18" t="n"/>
      <c r="J46" s="19">
        <f>IF(OR(H46="",I46=""),"",IFERROR(ROUND(H46/I46-1,6),""))</f>
        <v/>
      </c>
      <c r="K46" s="20">
        <f>IF(J46="","",IF(J46&gt;$B$5,"ALERTA","OK"))</f>
        <v/>
      </c>
      <c r="L46" s="21" t="n"/>
      <c r="M46" s="22" t="inlineStr">
        <is>
          <t>Se usa en: 04 «Gin Tonic Premium» · 07 «Eggs Benedict».</t>
        </is>
      </c>
    </row>
    <row r="47">
      <c r="A47" s="14" t="inlineStr">
        <is>
          <t>Naranja</t>
        </is>
      </c>
      <c r="B47" s="14" t="inlineStr">
        <is>
          <t>Fruta</t>
        </is>
      </c>
      <c r="C47" s="14" t="n"/>
      <c r="D47" s="14" t="inlineStr">
        <is>
          <t>Caja 10 kg</t>
        </is>
      </c>
      <c r="E47" s="15" t="n">
        <v>10</v>
      </c>
      <c r="F47" s="15" t="inlineStr">
        <is>
          <t>kg</t>
        </is>
      </c>
      <c r="G47" s="16" t="n">
        <v>20</v>
      </c>
      <c r="H47" s="17">
        <f>IF(OR(E47="",G47=""),"",IFERROR(ROUND(G47/E47,4),""))</f>
        <v>2.0</v>
      </c>
      <c r="I47" s="18" t="n"/>
      <c r="J47" s="19">
        <f>IF(OR(H47="",I47=""),"",IFERROR(ROUND(H47/I47-1,6),""))</f>
        <v/>
      </c>
      <c r="K47" s="20">
        <f>IF(J47="","",IF(J47&gt;$B$5,"ALERTA","OK"))</f>
        <v/>
      </c>
      <c r="L47" s="21" t="n"/>
      <c r="M47" s="22" t="inlineStr">
        <is>
          <t>Se usa en: 04 «Aperol Spritz».</t>
        </is>
      </c>
    </row>
    <row r="48">
      <c r="A48" s="14" t="inlineStr">
        <is>
          <t>Plátano</t>
        </is>
      </c>
      <c r="B48" s="14" t="inlineStr">
        <is>
          <t>Fruta</t>
        </is>
      </c>
      <c r="C48" s="14" t="n"/>
      <c r="D48" s="14" t="inlineStr">
        <is>
          <t>Al peso (precio por kg)</t>
        </is>
      </c>
      <c r="E48" s="15" t="n">
        <v>1</v>
      </c>
      <c r="F48" s="15" t="inlineStr">
        <is>
          <t>kg</t>
        </is>
      </c>
      <c r="G48" s="16" t="n">
        <v>1.5</v>
      </c>
      <c r="H48" s="17">
        <f>IF(OR(E48="",G48=""),"",IFERROR(ROUND(G48/E48,4),""))</f>
        <v>1.5</v>
      </c>
      <c r="I48" s="18" t="n"/>
      <c r="J48" s="19">
        <f>IF(OR(H48="",I48=""),"",IFERROR(ROUND(H48/I48-1,6),""))</f>
        <v/>
      </c>
      <c r="K48" s="20">
        <f>IF(J48="","",IF(J48&gt;$B$5,"ALERTA","OK"))</f>
        <v/>
      </c>
      <c r="L48" s="21" t="n"/>
      <c r="M48" s="22" t="inlineStr">
        <is>
          <t>Se usa en: 07 «Açaí Bowl».</t>
        </is>
      </c>
    </row>
    <row r="49">
      <c r="A49" s="14" t="inlineStr">
        <is>
          <t>Leche entera</t>
        </is>
      </c>
      <c r="B49" s="14" t="inlineStr">
        <is>
          <t>Lácteos</t>
        </is>
      </c>
      <c r="C49" s="14" t="n"/>
      <c r="D49" s="14" t="inlineStr">
        <is>
          <t>Caja 6 briks de 1 L</t>
        </is>
      </c>
      <c r="E49" s="15" t="n">
        <v>6</v>
      </c>
      <c r="F49" s="15" t="inlineStr">
        <is>
          <t>L</t>
        </is>
      </c>
      <c r="G49" s="16" t="n">
        <v>6.6</v>
      </c>
      <c r="H49" s="17">
        <f>IF(OR(E49="",G49=""),"",IFERROR(ROUND(G49/E49,4),""))</f>
        <v>1.1</v>
      </c>
      <c r="I49" s="18" t="n"/>
      <c r="J49" s="19">
        <f>IF(OR(H49="",I49=""),"",IFERROR(ROUND(H49/I49-1,6),""))</f>
        <v/>
      </c>
      <c r="K49" s="20">
        <f>IF(J49="","",IF(J49&gt;$B$5,"ALERTA","OK"))</f>
        <v/>
      </c>
      <c r="L49" s="21" t="n"/>
      <c r="M49" s="22" t="inlineStr">
        <is>
          <t>Se usa en: 03 «Postre» · 05 «Croissants».</t>
        </is>
      </c>
    </row>
    <row r="50" ht="39" customHeight="1">
      <c r="A50" s="14" t="inlineStr">
        <is>
          <t>Mantequilla</t>
        </is>
      </c>
      <c r="B50" s="14" t="inlineStr">
        <is>
          <t>Lácteos</t>
        </is>
      </c>
      <c r="C50" s="14" t="n"/>
      <c r="D50" s="14" t="inlineStr">
        <is>
          <t>Al peso (precio por kg)</t>
        </is>
      </c>
      <c r="E50" s="15" t="n">
        <v>1</v>
      </c>
      <c r="F50" s="15" t="inlineStr">
        <is>
          <t>kg</t>
        </is>
      </c>
      <c r="G50" s="16" t="n">
        <v>9</v>
      </c>
      <c r="H50" s="17">
        <f>IF(OR(E50="",G50=""),"",IFERROR(ROUND(G50/E50,4),""))</f>
        <v>9.0</v>
      </c>
      <c r="I50" s="18" t="n"/>
      <c r="J50" s="19">
        <f>IF(OR(H50="",I50=""),"",IFERROR(ROUND(H50/I50-1,6),""))</f>
        <v/>
      </c>
      <c r="K50" s="20">
        <f>IF(J50="","",IF(J50&gt;$B$5,"ALERTA","OK"))</f>
        <v/>
      </c>
      <c r="L50" s="21" t="n"/>
      <c r="M50" s="22" t="inlineStr">
        <is>
          <t>Se usa en: 01 «Escandallo» · 02 «2. Entrante», «3. Pescado» · 05 «Tarta Chocolate» · 07 «Eggs Benedict», «Carrot Cake». La plantilla 07 lo usa a 10,50 €/kg (otro proveedor).</t>
        </is>
      </c>
    </row>
    <row r="51">
      <c r="A51" s="14" t="inlineStr">
        <is>
          <t>Mantequilla seca (82% MG)</t>
        </is>
      </c>
      <c r="B51" s="14" t="inlineStr">
        <is>
          <t>Lácteos</t>
        </is>
      </c>
      <c r="C51" s="14" t="n"/>
      <c r="D51" s="14" t="inlineStr">
        <is>
          <t>Placa 2 kg</t>
        </is>
      </c>
      <c r="E51" s="15" t="n">
        <v>2</v>
      </c>
      <c r="F51" s="15" t="inlineStr">
        <is>
          <t>kg</t>
        </is>
      </c>
      <c r="G51" s="16" t="n">
        <v>24</v>
      </c>
      <c r="H51" s="17">
        <f>IF(OR(E51="",G51=""),"",IFERROR(ROUND(G51/E51,4),""))</f>
        <v>12.0</v>
      </c>
      <c r="I51" s="18" t="n"/>
      <c r="J51" s="19">
        <f>IF(OR(H51="",I51=""),"",IFERROR(ROUND(H51/I51-1,6),""))</f>
        <v/>
      </c>
      <c r="K51" s="20">
        <f>IF(J51="","",IF(J51&gt;$B$5,"ALERTA","OK"))</f>
        <v/>
      </c>
      <c r="L51" s="21" t="n"/>
      <c r="M51" s="22" t="inlineStr">
        <is>
          <t>Se usa en: 05 «Croissants».</t>
        </is>
      </c>
    </row>
    <row r="52" ht="27" customHeight="1">
      <c r="A52" s="14" t="inlineStr">
        <is>
          <t>Nata 35% MG</t>
        </is>
      </c>
      <c r="B52" s="14" t="inlineStr">
        <is>
          <t>Lácteos</t>
        </is>
      </c>
      <c r="C52" s="14" t="n"/>
      <c r="D52" s="14" t="inlineStr">
        <is>
          <t>Brik 1 L</t>
        </is>
      </c>
      <c r="E52" s="15" t="n">
        <v>1</v>
      </c>
      <c r="F52" s="15" t="inlineStr">
        <is>
          <t>L</t>
        </is>
      </c>
      <c r="G52" s="16" t="n">
        <v>3.8</v>
      </c>
      <c r="H52" s="17">
        <f>IF(OR(E52="",G52=""),"",IFERROR(ROUND(G52/E52,4),""))</f>
        <v>3.8</v>
      </c>
      <c r="I52" s="18" t="n"/>
      <c r="J52" s="19">
        <f>IF(OR(H52="",I52=""),"",IFERROR(ROUND(H52/I52-1,6),""))</f>
        <v/>
      </c>
      <c r="K52" s="20">
        <f>IF(J52="","",IF(J52&gt;$B$5,"ALERTA","OK"))</f>
        <v/>
      </c>
      <c r="L52" s="21" t="n"/>
      <c r="M52" s="22" t="inlineStr">
        <is>
          <t>Se usa en: 02 «2. Entrante», «5. Postre» · 05 «Tarta Chocolate».</t>
        </is>
      </c>
    </row>
    <row r="53">
      <c r="A53" s="14" t="inlineStr">
        <is>
          <t>Queso americano</t>
        </is>
      </c>
      <c r="B53" s="14" t="inlineStr">
        <is>
          <t>Lácteos</t>
        </is>
      </c>
      <c r="C53" s="14" t="n"/>
      <c r="D53" s="14" t="inlineStr">
        <is>
          <t>Paquete 84 lonchas</t>
        </is>
      </c>
      <c r="E53" s="15" t="n">
        <v>84</v>
      </c>
      <c r="F53" s="15" t="inlineStr">
        <is>
          <t>ud</t>
        </is>
      </c>
      <c r="G53" s="16" t="n">
        <v>12.6</v>
      </c>
      <c r="H53" s="17">
        <f>IF(OR(E53="",G53=""),"",IFERROR(ROUND(G53/E53,4),""))</f>
        <v>0.15</v>
      </c>
      <c r="I53" s="18" t="n"/>
      <c r="J53" s="19">
        <f>IF(OR(H53="",I53=""),"",IFERROR(ROUND(H53/I53-1,6),""))</f>
        <v/>
      </c>
      <c r="K53" s="20">
        <f>IF(J53="","",IF(J53&gt;$B$5,"ALERTA","OK"))</f>
        <v/>
      </c>
      <c r="L53" s="21" t="n"/>
      <c r="M53" s="22" t="inlineStr">
        <is>
          <t>Se usa en: 08 «Smash Burger».</t>
        </is>
      </c>
    </row>
    <row r="54">
      <c r="A54" s="14" t="inlineStr">
        <is>
          <t>Queso cheddar rallado</t>
        </is>
      </c>
      <c r="B54" s="14" t="inlineStr">
        <is>
          <t>Lácteos</t>
        </is>
      </c>
      <c r="C54" s="14" t="n"/>
      <c r="D54" s="14" t="inlineStr">
        <is>
          <t>Bolsa 2 kg</t>
        </is>
      </c>
      <c r="E54" s="15" t="n">
        <v>2</v>
      </c>
      <c r="F54" s="15" t="inlineStr">
        <is>
          <t>kg</t>
        </is>
      </c>
      <c r="G54" s="16" t="n">
        <v>20</v>
      </c>
      <c r="H54" s="17">
        <f>IF(OR(E54="",G54=""),"",IFERROR(ROUND(G54/E54,4),""))</f>
        <v>10.0</v>
      </c>
      <c r="I54" s="18" t="n"/>
      <c r="J54" s="19">
        <f>IF(OR(H54="",I54=""),"",IFERROR(ROUND(H54/I54-1,6),""))</f>
        <v/>
      </c>
      <c r="K54" s="20">
        <f>IF(J54="","",IF(J54&gt;$B$5,"ALERTA","OK"))</f>
        <v/>
      </c>
      <c r="L54" s="21" t="n"/>
      <c r="M54" s="22" t="inlineStr">
        <is>
          <t>Se usa en: 08 «Loaded Fries».</t>
        </is>
      </c>
    </row>
    <row r="55">
      <c r="A55" s="14" t="inlineStr">
        <is>
          <t>Queso crema (frosting)</t>
        </is>
      </c>
      <c r="B55" s="14" t="inlineStr">
        <is>
          <t>Lácteos</t>
        </is>
      </c>
      <c r="C55" s="14" t="n"/>
      <c r="D55" s="14" t="inlineStr">
        <is>
          <t>Al peso (precio por kg)</t>
        </is>
      </c>
      <c r="E55" s="15" t="n">
        <v>1</v>
      </c>
      <c r="F55" s="15" t="inlineStr">
        <is>
          <t>kg</t>
        </is>
      </c>
      <c r="G55" s="16" t="n">
        <v>7.9</v>
      </c>
      <c r="H55" s="17">
        <f>IF(OR(E55="",G55=""),"",IFERROR(ROUND(G55/E55,4),""))</f>
        <v>7.9</v>
      </c>
      <c r="I55" s="18" t="n"/>
      <c r="J55" s="19">
        <f>IF(OR(H55="",I55=""),"",IFERROR(ROUND(H55/I55-1,6),""))</f>
        <v/>
      </c>
      <c r="K55" s="20">
        <f>IF(J55="","",IF(J55&gt;$B$5,"ALERTA","OK"))</f>
        <v/>
      </c>
      <c r="L55" s="21" t="n"/>
      <c r="M55" s="22" t="inlineStr">
        <is>
          <t>Se usa en: 07 «Carrot Cake».</t>
        </is>
      </c>
    </row>
    <row r="56">
      <c r="A56" s="14" t="inlineStr">
        <is>
          <t>Queso feta</t>
        </is>
      </c>
      <c r="B56" s="14" t="inlineStr">
        <is>
          <t>Lácteos</t>
        </is>
      </c>
      <c r="C56" s="14" t="n"/>
      <c r="D56" s="14" t="inlineStr">
        <is>
          <t>Tarrina 2 kg</t>
        </is>
      </c>
      <c r="E56" s="15" t="n">
        <v>2</v>
      </c>
      <c r="F56" s="15" t="inlineStr">
        <is>
          <t>kg</t>
        </is>
      </c>
      <c r="G56" s="16" t="n">
        <v>24</v>
      </c>
      <c r="H56" s="17">
        <f>IF(OR(E56="",G56=""),"",IFERROR(ROUND(G56/E56,4),""))</f>
        <v>12.0</v>
      </c>
      <c r="I56" s="18" t="n"/>
      <c r="J56" s="19">
        <f>IF(OR(H56="",I56=""),"",IFERROR(ROUND(H56/I56-1,6),""))</f>
        <v/>
      </c>
      <c r="K56" s="20">
        <f>IF(J56="","",IF(J56&gt;$B$5,"ALERTA","OK"))</f>
        <v/>
      </c>
      <c r="L56" s="21" t="n"/>
      <c r="M56" s="22" t="inlineStr">
        <is>
          <t>Se usa en: 03 «Primer Plato».</t>
        </is>
      </c>
    </row>
    <row r="57">
      <c r="A57" s="14" t="inlineStr">
        <is>
          <t>Queso manchego curado</t>
        </is>
      </c>
      <c r="B57" s="14" t="inlineStr">
        <is>
          <t>Lácteos</t>
        </is>
      </c>
      <c r="C57" s="14" t="n"/>
      <c r="D57" s="14" t="inlineStr">
        <is>
          <t>Al peso (precio por kg)</t>
        </is>
      </c>
      <c r="E57" s="15" t="n">
        <v>1</v>
      </c>
      <c r="F57" s="15" t="inlineStr">
        <is>
          <t>kg</t>
        </is>
      </c>
      <c r="G57" s="16" t="n">
        <v>16</v>
      </c>
      <c r="H57" s="17">
        <f>IF(OR(E57="",G57=""),"",IFERROR(ROUND(G57/E57,4),""))</f>
        <v>16.0</v>
      </c>
      <c r="I57" s="18" t="n"/>
      <c r="J57" s="19">
        <f>IF(OR(H57="",I57=""),"",IFERROR(ROUND(H57/I57-1,6),""))</f>
        <v/>
      </c>
      <c r="K57" s="20">
        <f>IF(J57="","",IF(J57&gt;$B$5,"ALERTA","OK"))</f>
        <v/>
      </c>
      <c r="L57" s="21" t="n"/>
      <c r="M57" s="22" t="inlineStr">
        <is>
          <t>Se usa en: 06 «Cocktail (por persona)».</t>
        </is>
      </c>
    </row>
    <row r="58" ht="27" customHeight="1">
      <c r="A58" s="14" t="inlineStr">
        <is>
          <t>Azúcar</t>
        </is>
      </c>
      <c r="B58" s="14" t="inlineStr">
        <is>
          <t>Secos/granos</t>
        </is>
      </c>
      <c r="C58" s="14" t="n"/>
      <c r="D58" s="14" t="inlineStr">
        <is>
          <t>Fardo 10 paquetes de 1 kg</t>
        </is>
      </c>
      <c r="E58" s="15" t="n">
        <v>10</v>
      </c>
      <c r="F58" s="15" t="inlineStr">
        <is>
          <t>kg</t>
        </is>
      </c>
      <c r="G58" s="16" t="n">
        <v>12</v>
      </c>
      <c r="H58" s="17">
        <f>IF(OR(E58="",G58=""),"",IFERROR(ROUND(G58/E58,4),""))</f>
        <v>1.2</v>
      </c>
      <c r="I58" s="18" t="n"/>
      <c r="J58" s="19">
        <f>IF(OR(H58="",I58=""),"",IFERROR(ROUND(H58/I58-1,6),""))</f>
        <v/>
      </c>
      <c r="K58" s="20">
        <f>IF(J58="","",IF(J58&gt;$B$5,"ALERTA","OK"))</f>
        <v/>
      </c>
      <c r="L58" s="21" t="n"/>
      <c r="M58" s="22" t="inlineStr">
        <is>
          <t>Se usa en: 02 «5. Postre» · 03 «Postre» · 04 «Mojito Clásico» · 05 «Tarta Chocolate», «Croissants», «Macarons».</t>
        </is>
      </c>
    </row>
    <row r="59" ht="27" customHeight="1">
      <c r="A59" s="14" t="inlineStr">
        <is>
          <t>Azúcar glas</t>
        </is>
      </c>
      <c r="B59" s="14" t="inlineStr">
        <is>
          <t>Secos/granos</t>
        </is>
      </c>
      <c r="C59" s="14" t="n"/>
      <c r="D59" s="14" t="inlineStr">
        <is>
          <t>Al peso (precio por kg)</t>
        </is>
      </c>
      <c r="E59" s="15" t="n">
        <v>1</v>
      </c>
      <c r="F59" s="15" t="inlineStr">
        <is>
          <t>kg</t>
        </is>
      </c>
      <c r="G59" s="16" t="n">
        <v>2.5</v>
      </c>
      <c r="H59" s="17">
        <f>IF(OR(E59="",G59=""),"",IFERROR(ROUND(G59/E59,4),""))</f>
        <v>2.5</v>
      </c>
      <c r="I59" s="18" t="n"/>
      <c r="J59" s="19">
        <f>IF(OR(H59="",I59=""),"",IFERROR(ROUND(H59/I59-1,6),""))</f>
        <v/>
      </c>
      <c r="K59" s="20">
        <f>IF(J59="","",IF(J59&gt;$B$5,"ALERTA","OK"))</f>
        <v/>
      </c>
      <c r="L59" s="21" t="n"/>
      <c r="M59" s="22" t="inlineStr">
        <is>
          <t>Se usa en: 05 «Macarons» · 07 «Carrot Cake». La plantilla 07 lo usa a 2,80 €/kg (otro proveedor).</t>
        </is>
      </c>
    </row>
    <row r="60">
      <c r="A60" s="14" t="inlineStr">
        <is>
          <t>Azúcar moreno</t>
        </is>
      </c>
      <c r="B60" s="14" t="inlineStr">
        <is>
          <t>Secos/granos</t>
        </is>
      </c>
      <c r="C60" s="14" t="n"/>
      <c r="D60" s="14" t="inlineStr">
        <is>
          <t>Al peso (precio por kg)</t>
        </is>
      </c>
      <c r="E60" s="15" t="n">
        <v>1</v>
      </c>
      <c r="F60" s="15" t="inlineStr">
        <is>
          <t>kg</t>
        </is>
      </c>
      <c r="G60" s="16" t="n">
        <v>2.2</v>
      </c>
      <c r="H60" s="17">
        <f>IF(OR(E60="",G60=""),"",IFERROR(ROUND(G60/E60,4),""))</f>
        <v>2.2</v>
      </c>
      <c r="I60" s="18" t="n"/>
      <c r="J60" s="19">
        <f>IF(OR(H60="",I60=""),"",IFERROR(ROUND(H60/I60-1,6),""))</f>
        <v/>
      </c>
      <c r="K60" s="20">
        <f>IF(J60="","",IF(J60&gt;$B$5,"ALERTA","OK"))</f>
        <v/>
      </c>
      <c r="L60" s="21" t="n"/>
      <c r="M60" s="22" t="inlineStr">
        <is>
          <t>Se usa en: 07 «Carrot Cake».</t>
        </is>
      </c>
    </row>
    <row r="61">
      <c r="A61" s="14" t="inlineStr">
        <is>
          <t>Coco rallado</t>
        </is>
      </c>
      <c r="B61" s="14" t="inlineStr">
        <is>
          <t>Secos/granos</t>
        </is>
      </c>
      <c r="C61" s="14" t="n"/>
      <c r="D61" s="14" t="inlineStr">
        <is>
          <t>Al peso (precio por kg)</t>
        </is>
      </c>
      <c r="E61" s="15" t="n">
        <v>1</v>
      </c>
      <c r="F61" s="15" t="inlineStr">
        <is>
          <t>kg</t>
        </is>
      </c>
      <c r="G61" s="16" t="n">
        <v>7</v>
      </c>
      <c r="H61" s="17">
        <f>IF(OR(E61="",G61=""),"",IFERROR(ROUND(G61/E61,4),""))</f>
        <v>7.0</v>
      </c>
      <c r="I61" s="18" t="n"/>
      <c r="J61" s="19">
        <f>IF(OR(H61="",I61=""),"",IFERROR(ROUND(H61/I61-1,6),""))</f>
        <v/>
      </c>
      <c r="K61" s="20">
        <f>IF(J61="","",IF(J61&gt;$B$5,"ALERTA","OK"))</f>
        <v/>
      </c>
      <c r="L61" s="21" t="n"/>
      <c r="M61" s="22" t="inlineStr">
        <is>
          <t>Se usa en: 07 «Açaí Bowl».</t>
        </is>
      </c>
    </row>
    <row r="62">
      <c r="A62" s="14" t="inlineStr">
        <is>
          <t>Colorante rojo</t>
        </is>
      </c>
      <c r="B62" s="14" t="inlineStr">
        <is>
          <t>Secos/granos</t>
        </is>
      </c>
      <c r="C62" s="14" t="n"/>
      <c r="D62" s="14" t="inlineStr">
        <is>
          <t>Bote 50 g</t>
        </is>
      </c>
      <c r="E62" s="15" t="n">
        <v>1</v>
      </c>
      <c r="F62" s="15" t="inlineStr">
        <is>
          <t>ud</t>
        </is>
      </c>
      <c r="G62" s="16" t="n">
        <v>4</v>
      </c>
      <c r="H62" s="17">
        <f>IF(OR(E62="",G62=""),"",IFERROR(ROUND(G62/E62,4),""))</f>
        <v>4.0</v>
      </c>
      <c r="I62" s="18" t="n"/>
      <c r="J62" s="19">
        <f>IF(OR(H62="",I62=""),"",IFERROR(ROUND(H62/I62-1,6),""))</f>
        <v/>
      </c>
      <c r="K62" s="20">
        <f>IF(J62="","",IF(J62&gt;$B$5,"ALERTA","OK"))</f>
        <v/>
      </c>
      <c r="L62" s="21" t="n"/>
      <c r="M62" s="22" t="inlineStr">
        <is>
          <t>Se usa en: 05 «Macarons».</t>
        </is>
      </c>
    </row>
    <row r="63">
      <c r="A63" s="14" t="inlineStr">
        <is>
          <t>Flor de sal</t>
        </is>
      </c>
      <c r="B63" s="14" t="inlineStr">
        <is>
          <t>Secos/granos</t>
        </is>
      </c>
      <c r="C63" s="14" t="n"/>
      <c r="D63" s="14" t="inlineStr">
        <is>
          <t>Bote 250 g</t>
        </is>
      </c>
      <c r="E63" s="15" t="n">
        <v>0.25</v>
      </c>
      <c r="F63" s="15" t="inlineStr">
        <is>
          <t>kg</t>
        </is>
      </c>
      <c r="G63" s="16" t="n">
        <v>3.75</v>
      </c>
      <c r="H63" s="17">
        <f>IF(OR(E63="",G63=""),"",IFERROR(ROUND(G63/E63,4),""))</f>
        <v>15.0</v>
      </c>
      <c r="I63" s="18" t="n"/>
      <c r="J63" s="19">
        <f>IF(OR(H63="",I63=""),"",IFERROR(ROUND(H63/I63-1,6),""))</f>
        <v/>
      </c>
      <c r="K63" s="20">
        <f>IF(J63="","",IF(J63&gt;$B$5,"ALERTA","OK"))</f>
        <v/>
      </c>
      <c r="L63" s="21" t="n"/>
      <c r="M63" s="22" t="inlineStr">
        <is>
          <t>Se usa en: 01 «Escandallo».</t>
        </is>
      </c>
    </row>
    <row r="64">
      <c r="A64" s="14" t="inlineStr">
        <is>
          <t>Granola artesanal</t>
        </is>
      </c>
      <c r="B64" s="14" t="inlineStr">
        <is>
          <t>Secos/granos</t>
        </is>
      </c>
      <c r="C64" s="14" t="n"/>
      <c r="D64" s="14" t="inlineStr">
        <is>
          <t>Al peso (precio por kg)</t>
        </is>
      </c>
      <c r="E64" s="15" t="n">
        <v>1</v>
      </c>
      <c r="F64" s="15" t="inlineStr">
        <is>
          <t>kg</t>
        </is>
      </c>
      <c r="G64" s="16" t="n">
        <v>8</v>
      </c>
      <c r="H64" s="17">
        <f>IF(OR(E64="",G64=""),"",IFERROR(ROUND(G64/E64,4),""))</f>
        <v>8.0</v>
      </c>
      <c r="I64" s="18" t="n"/>
      <c r="J64" s="19">
        <f>IF(OR(H64="",I64=""),"",IFERROR(ROUND(H64/I64-1,6),""))</f>
        <v/>
      </c>
      <c r="K64" s="20">
        <f>IF(J64="","",IF(J64&gt;$B$5,"ALERTA","OK"))</f>
        <v/>
      </c>
      <c r="L64" s="21" t="n"/>
      <c r="M64" s="22" t="inlineStr">
        <is>
          <t>Se usa en: 07 «Açaí Bowl».</t>
        </is>
      </c>
    </row>
    <row r="65">
      <c r="A65" s="14" t="inlineStr">
        <is>
          <t>Harina de almendra</t>
        </is>
      </c>
      <c r="B65" s="14" t="inlineStr">
        <is>
          <t>Secos/granos</t>
        </is>
      </c>
      <c r="C65" s="14" t="n"/>
      <c r="D65" s="14" t="inlineStr">
        <is>
          <t>Al peso (precio por kg)</t>
        </is>
      </c>
      <c r="E65" s="15" t="n">
        <v>1</v>
      </c>
      <c r="F65" s="15" t="inlineStr">
        <is>
          <t>kg</t>
        </is>
      </c>
      <c r="G65" s="16" t="n">
        <v>14</v>
      </c>
      <c r="H65" s="17">
        <f>IF(OR(E65="",G65=""),"",IFERROR(ROUND(G65/E65,4),""))</f>
        <v>14.0</v>
      </c>
      <c r="I65" s="18" t="n"/>
      <c r="J65" s="19">
        <f>IF(OR(H65="",I65=""),"",IFERROR(ROUND(H65/I65-1,6),""))</f>
        <v/>
      </c>
      <c r="K65" s="20">
        <f>IF(J65="","",IF(J65&gt;$B$5,"ALERTA","OK"))</f>
        <v/>
      </c>
      <c r="L65" s="21" t="n"/>
      <c r="M65" s="22" t="inlineStr">
        <is>
          <t>Se usa en: 05 «Macarons».</t>
        </is>
      </c>
    </row>
    <row r="66">
      <c r="A66" s="14" t="inlineStr">
        <is>
          <t>Harina de fuerza</t>
        </is>
      </c>
      <c r="B66" s="14" t="inlineStr">
        <is>
          <t>Secos/granos</t>
        </is>
      </c>
      <c r="C66" s="14" t="n"/>
      <c r="D66" s="14" t="inlineStr">
        <is>
          <t>Saco 25 kg</t>
        </is>
      </c>
      <c r="E66" s="15" t="n">
        <v>25</v>
      </c>
      <c r="F66" s="15" t="inlineStr">
        <is>
          <t>kg</t>
        </is>
      </c>
      <c r="G66" s="16" t="n">
        <v>27.5</v>
      </c>
      <c r="H66" s="17">
        <f>IF(OR(E66="",G66=""),"",IFERROR(ROUND(G66/E66,4),""))</f>
        <v>1.1</v>
      </c>
      <c r="I66" s="18" t="n"/>
      <c r="J66" s="19">
        <f>IF(OR(H66="",I66=""),"",IFERROR(ROUND(H66/I66-1,6),""))</f>
        <v/>
      </c>
      <c r="K66" s="20">
        <f>IF(J66="","",IF(J66&gt;$B$5,"ALERTA","OK"))</f>
        <v/>
      </c>
      <c r="L66" s="21" t="n"/>
      <c r="M66" s="22" t="inlineStr">
        <is>
          <t>Se usa en: 05 «Croissants».</t>
        </is>
      </c>
    </row>
    <row r="67" ht="27" customHeight="1">
      <c r="A67" s="14" t="inlineStr">
        <is>
          <t>Harina floja</t>
        </is>
      </c>
      <c r="B67" s="14" t="inlineStr">
        <is>
          <t>Secos/granos</t>
        </is>
      </c>
      <c r="C67" s="14" t="n"/>
      <c r="D67" s="14" t="inlineStr">
        <is>
          <t>Saco 25 kg</t>
        </is>
      </c>
      <c r="E67" s="15" t="n">
        <v>25</v>
      </c>
      <c r="F67" s="15" t="inlineStr">
        <is>
          <t>kg</t>
        </is>
      </c>
      <c r="G67" s="16" t="n">
        <v>22.5</v>
      </c>
      <c r="H67" s="17">
        <f>IF(OR(E67="",G67=""),"",IFERROR(ROUND(G67/E67,4),""))</f>
        <v>0.9</v>
      </c>
      <c r="I67" s="18" t="n"/>
      <c r="J67" s="19">
        <f>IF(OR(H67="",I67=""),"",IFERROR(ROUND(H67/I67-1,6),""))</f>
        <v/>
      </c>
      <c r="K67" s="20">
        <f>IF(J67="","",IF(J67&gt;$B$5,"ALERTA","OK"))</f>
        <v/>
      </c>
      <c r="L67" s="21" t="n"/>
      <c r="M67" s="22" t="inlineStr">
        <is>
          <t>Se usa en: 05 «Tarta Chocolate» · 07 «Carrot Cake». La plantilla 07 lo usa a 1,20 €/kg (otro proveedor).</t>
        </is>
      </c>
    </row>
    <row r="68">
      <c r="A68" s="14" t="inlineStr">
        <is>
          <t>Levadura fresca</t>
        </is>
      </c>
      <c r="B68" s="14" t="inlineStr">
        <is>
          <t>Secos/granos</t>
        </is>
      </c>
      <c r="C68" s="14" t="n"/>
      <c r="D68" s="14" t="inlineStr">
        <is>
          <t>Paquete 500 g</t>
        </is>
      </c>
      <c r="E68" s="15" t="n">
        <v>0.5</v>
      </c>
      <c r="F68" s="15" t="inlineStr">
        <is>
          <t>kg</t>
        </is>
      </c>
      <c r="G68" s="16" t="n">
        <v>2.5</v>
      </c>
      <c r="H68" s="17">
        <f>IF(OR(E68="",G68=""),"",IFERROR(ROUND(G68/E68,4),""))</f>
        <v>5.0</v>
      </c>
      <c r="I68" s="18" t="n"/>
      <c r="J68" s="19">
        <f>IF(OR(H68="",I68=""),"",IFERROR(ROUND(H68/I68-1,6),""))</f>
        <v/>
      </c>
      <c r="K68" s="20">
        <f>IF(J68="","",IF(J68&gt;$B$5,"ALERTA","OK"))</f>
        <v/>
      </c>
      <c r="L68" s="21" t="n"/>
      <c r="M68" s="22" t="inlineStr">
        <is>
          <t>Se usa en: 05 «Croissants».</t>
        </is>
      </c>
    </row>
    <row r="69">
      <c r="A69" s="14" t="inlineStr">
        <is>
          <t>Miel</t>
        </is>
      </c>
      <c r="B69" s="14" t="inlineStr">
        <is>
          <t>Secos/granos</t>
        </is>
      </c>
      <c r="C69" s="14" t="n"/>
      <c r="D69" s="14" t="inlineStr">
        <is>
          <t>Al peso (precio por kg)</t>
        </is>
      </c>
      <c r="E69" s="15" t="n">
        <v>1</v>
      </c>
      <c r="F69" s="15" t="inlineStr">
        <is>
          <t>kg</t>
        </is>
      </c>
      <c r="G69" s="16" t="n">
        <v>10</v>
      </c>
      <c r="H69" s="17">
        <f>IF(OR(E69="",G69=""),"",IFERROR(ROUND(G69/E69,4),""))</f>
        <v>10.0</v>
      </c>
      <c r="I69" s="18" t="n"/>
      <c r="J69" s="19">
        <f>IF(OR(H69="",I69=""),"",IFERROR(ROUND(H69/I69-1,6),""))</f>
        <v/>
      </c>
      <c r="K69" s="20">
        <f>IF(J69="","",IF(J69&gt;$B$5,"ALERTA","OK"))</f>
        <v/>
      </c>
      <c r="L69" s="21" t="n"/>
      <c r="M69" s="22" t="inlineStr">
        <is>
          <t>Se usa en: 07 «Açaí Bowl».</t>
        </is>
      </c>
    </row>
    <row r="70">
      <c r="A70" s="14" t="inlineStr">
        <is>
          <t>Nueces peladas</t>
        </is>
      </c>
      <c r="B70" s="14" t="inlineStr">
        <is>
          <t>Secos/granos</t>
        </is>
      </c>
      <c r="C70" s="14" t="n"/>
      <c r="D70" s="14" t="inlineStr">
        <is>
          <t>Al peso (precio por kg)</t>
        </is>
      </c>
      <c r="E70" s="15" t="n">
        <v>1</v>
      </c>
      <c r="F70" s="15" t="inlineStr">
        <is>
          <t>kg</t>
        </is>
      </c>
      <c r="G70" s="16" t="n">
        <v>16</v>
      </c>
      <c r="H70" s="17">
        <f>IF(OR(E70="",G70=""),"",IFERROR(ROUND(G70/E70,4),""))</f>
        <v>16.0</v>
      </c>
      <c r="I70" s="18" t="n"/>
      <c r="J70" s="19">
        <f>IF(OR(H70="",I70=""),"",IFERROR(ROUND(H70/I70-1,6),""))</f>
        <v/>
      </c>
      <c r="K70" s="20">
        <f>IF(J70="","",IF(J70&gt;$B$5,"ALERTA","OK"))</f>
        <v/>
      </c>
      <c r="L70" s="21" t="n"/>
      <c r="M70" s="22" t="inlineStr">
        <is>
          <t>Se usa en: 07 «Carrot Cake».</t>
        </is>
      </c>
    </row>
    <row r="71" ht="27" customHeight="1">
      <c r="A71" s="14" t="inlineStr">
        <is>
          <t>Sal</t>
        </is>
      </c>
      <c r="B71" s="14" t="inlineStr">
        <is>
          <t>Secos/granos</t>
        </is>
      </c>
      <c r="C71" s="14" t="n"/>
      <c r="D71" s="14" t="inlineStr">
        <is>
          <t>Al peso (precio por kg)</t>
        </is>
      </c>
      <c r="E71" s="15" t="n">
        <v>1</v>
      </c>
      <c r="F71" s="15" t="inlineStr">
        <is>
          <t>kg</t>
        </is>
      </c>
      <c r="G71" s="16" t="n">
        <v>0.6</v>
      </c>
      <c r="H71" s="17">
        <f>IF(OR(E71="",G71=""),"",IFERROR(ROUND(G71/E71,4),""))</f>
        <v>0.6</v>
      </c>
      <c r="I71" s="18" t="n"/>
      <c r="J71" s="19">
        <f>IF(OR(H71="",I71=""),"",IFERROR(ROUND(H71/I71-1,6),""))</f>
        <v/>
      </c>
      <c r="K71" s="20">
        <f>IF(J71="","",IF(J71&gt;$B$5,"ALERTA","OK"))</f>
        <v/>
      </c>
      <c r="L71" s="21" t="n"/>
      <c r="M71" s="22" t="inlineStr">
        <is>
          <t>Se usa en: 04 «Margarita» · 05 «Tarta Chocolate», «Croissants». La plantilla 04 lo usa a 0,80 €/kg (otro proveedor).</t>
        </is>
      </c>
    </row>
    <row r="72">
      <c r="A72" s="14" t="inlineStr">
        <is>
          <t>Sal en escamas</t>
        </is>
      </c>
      <c r="B72" s="14" t="inlineStr">
        <is>
          <t>Secos/granos</t>
        </is>
      </c>
      <c r="C72" s="14" t="n"/>
      <c r="D72" s="14" t="inlineStr">
        <is>
          <t>Caja 250 g</t>
        </is>
      </c>
      <c r="E72" s="15" t="n">
        <v>0.25</v>
      </c>
      <c r="F72" s="15" t="inlineStr">
        <is>
          <t>kg</t>
        </is>
      </c>
      <c r="G72" s="16" t="n">
        <v>3.75</v>
      </c>
      <c r="H72" s="17">
        <f>IF(OR(E72="",G72=""),"",IFERROR(ROUND(G72/E72,4),""))</f>
        <v>15.0</v>
      </c>
      <c r="I72" s="18" t="n"/>
      <c r="J72" s="19">
        <f>IF(OR(H72="",I72=""),"",IFERROR(ROUND(H72/I72-1,6),""))</f>
        <v/>
      </c>
      <c r="K72" s="20">
        <f>IF(J72="","",IF(J72&gt;$B$5,"ALERTA","OK"))</f>
        <v/>
      </c>
      <c r="L72" s="21" t="n"/>
      <c r="M72" s="22" t="inlineStr">
        <is>
          <t>Se usa en: 07 «Tostada Aguacate».</t>
        </is>
      </c>
    </row>
    <row r="73">
      <c r="A73" s="14" t="inlineStr">
        <is>
          <t>Semillas mix</t>
        </is>
      </c>
      <c r="B73" s="14" t="inlineStr">
        <is>
          <t>Secos/granos</t>
        </is>
      </c>
      <c r="C73" s="14" t="n"/>
      <c r="D73" s="14" t="inlineStr">
        <is>
          <t>Al peso (precio por kg)</t>
        </is>
      </c>
      <c r="E73" s="15" t="n">
        <v>1</v>
      </c>
      <c r="F73" s="15" t="inlineStr">
        <is>
          <t>kg</t>
        </is>
      </c>
      <c r="G73" s="16" t="n">
        <v>10</v>
      </c>
      <c r="H73" s="17">
        <f>IF(OR(E73="",G73=""),"",IFERROR(ROUND(G73/E73,4),""))</f>
        <v>10.0</v>
      </c>
      <c r="I73" s="18" t="n"/>
      <c r="J73" s="19">
        <f>IF(OR(H73="",I73=""),"",IFERROR(ROUND(H73/I73-1,6),""))</f>
        <v/>
      </c>
      <c r="K73" s="20">
        <f>IF(J73="","",IF(J73&gt;$B$5,"ALERTA","OK"))</f>
        <v/>
      </c>
      <c r="L73" s="21" t="n"/>
      <c r="M73" s="22" t="inlineStr">
        <is>
          <t>Se usa en: 07 «Tostada Aguacate».</t>
        </is>
      </c>
    </row>
    <row r="74">
      <c r="A74" s="14" t="inlineStr">
        <is>
          <t>Sésamo tostado</t>
        </is>
      </c>
      <c r="B74" s="14" t="inlineStr">
        <is>
          <t>Secos/granos</t>
        </is>
      </c>
      <c r="C74" s="14" t="n"/>
      <c r="D74" s="14" t="inlineStr">
        <is>
          <t>Al peso (precio por kg)</t>
        </is>
      </c>
      <c r="E74" s="15" t="n">
        <v>1</v>
      </c>
      <c r="F74" s="15" t="inlineStr">
        <is>
          <t>kg</t>
        </is>
      </c>
      <c r="G74" s="16" t="n">
        <v>12</v>
      </c>
      <c r="H74" s="17">
        <f>IF(OR(E74="",G74=""),"",IFERROR(ROUND(G74/E74,4),""))</f>
        <v>12.0</v>
      </c>
      <c r="I74" s="18" t="n"/>
      <c r="J74" s="19">
        <f>IF(OR(H74="",I74=""),"",IFERROR(ROUND(H74/I74-1,6),""))</f>
        <v/>
      </c>
      <c r="K74" s="20">
        <f>IF(J74="","",IF(J74&gt;$B$5,"ALERTA","OK"))</f>
        <v/>
      </c>
      <c r="L74" s="21" t="n"/>
      <c r="M74" s="22" t="inlineStr">
        <is>
          <t>Se usa en: 02 «1. Aperitivo».</t>
        </is>
      </c>
    </row>
    <row r="75">
      <c r="A75" s="14" t="inlineStr">
        <is>
          <t>Açaí congelado</t>
        </is>
      </c>
      <c r="B75" s="14" t="inlineStr">
        <is>
          <t>Congelados</t>
        </is>
      </c>
      <c r="C75" s="14" t="n"/>
      <c r="D75" s="14" t="inlineStr">
        <is>
          <t>Al peso (precio por kg)</t>
        </is>
      </c>
      <c r="E75" s="15" t="n">
        <v>1</v>
      </c>
      <c r="F75" s="15" t="inlineStr">
        <is>
          <t>kg</t>
        </is>
      </c>
      <c r="G75" s="16" t="n">
        <v>22</v>
      </c>
      <c r="H75" s="17">
        <f>IF(OR(E75="",G75=""),"",IFERROR(ROUND(G75/E75,4),""))</f>
        <v>22.0</v>
      </c>
      <c r="I75" s="18" t="n"/>
      <c r="J75" s="19">
        <f>IF(OR(H75="",I75=""),"",IFERROR(ROUND(H75/I75-1,6),""))</f>
        <v/>
      </c>
      <c r="K75" s="20">
        <f>IF(J75="","",IF(J75&gt;$B$5,"ALERTA","OK"))</f>
        <v/>
      </c>
      <c r="L75" s="21" t="n"/>
      <c r="M75" s="22" t="inlineStr">
        <is>
          <t>Se usa en: 07 «Açaí Bowl».</t>
        </is>
      </c>
    </row>
    <row r="76">
      <c r="A76" s="14" t="inlineStr">
        <is>
          <t>Croquetas</t>
        </is>
      </c>
      <c r="B76" s="14" t="inlineStr">
        <is>
          <t>Congelados</t>
        </is>
      </c>
      <c r="C76" s="14" t="n"/>
      <c r="D76" s="14" t="inlineStr">
        <is>
          <t>Caja 60 ud</t>
        </is>
      </c>
      <c r="E76" s="15" t="n">
        <v>60</v>
      </c>
      <c r="F76" s="15" t="inlineStr">
        <is>
          <t>ud</t>
        </is>
      </c>
      <c r="G76" s="16" t="n">
        <v>21</v>
      </c>
      <c r="H76" s="17">
        <f>IF(OR(E76="",G76=""),"",IFERROR(ROUND(G76/E76,4),""))</f>
        <v>0.35</v>
      </c>
      <c r="I76" s="18" t="n"/>
      <c r="J76" s="19">
        <f>IF(OR(H76="",I76=""),"",IFERROR(ROUND(H76/I76-1,6),""))</f>
        <v/>
      </c>
      <c r="K76" s="20">
        <f>IF(J76="","",IF(J76&gt;$B$5,"ALERTA","OK"))</f>
        <v/>
      </c>
      <c r="L76" s="21" t="n"/>
      <c r="M76" s="22" t="inlineStr">
        <is>
          <t>Se usa en: 06 «Cocktail (por persona)».</t>
        </is>
      </c>
    </row>
    <row r="77">
      <c r="A77" s="14" t="inlineStr">
        <is>
          <t>Frambuesa congelada</t>
        </is>
      </c>
      <c r="B77" s="14" t="inlineStr">
        <is>
          <t>Congelados</t>
        </is>
      </c>
      <c r="C77" s="14" t="n"/>
      <c r="D77" s="14" t="inlineStr">
        <is>
          <t>Al peso (precio por kg)</t>
        </is>
      </c>
      <c r="E77" s="15" t="n">
        <v>1</v>
      </c>
      <c r="F77" s="15" t="inlineStr">
        <is>
          <t>kg</t>
        </is>
      </c>
      <c r="G77" s="16" t="n">
        <v>9</v>
      </c>
      <c r="H77" s="17">
        <f>IF(OR(E77="",G77=""),"",IFERROR(ROUND(G77/E77,4),""))</f>
        <v>9.0</v>
      </c>
      <c r="I77" s="18" t="n"/>
      <c r="J77" s="19">
        <f>IF(OR(H77="",I77=""),"",IFERROR(ROUND(H77/I77-1,6),""))</f>
        <v/>
      </c>
      <c r="K77" s="20">
        <f>IF(J77="","",IF(J77&gt;$B$5,"ALERTA","OK"))</f>
        <v/>
      </c>
      <c r="L77" s="21" t="n"/>
      <c r="M77" s="22" t="inlineStr">
        <is>
          <t>Se usa en: 05 «Macarons».</t>
        </is>
      </c>
    </row>
    <row r="78" ht="27" customHeight="1">
      <c r="A78" s="14" t="inlineStr">
        <is>
          <t>Hielo</t>
        </is>
      </c>
      <c r="B78" s="14" t="inlineStr">
        <is>
          <t>Congelados</t>
        </is>
      </c>
      <c r="C78" s="14" t="n"/>
      <c r="D78" s="14" t="inlineStr">
        <is>
          <t>Saco 10 kg</t>
        </is>
      </c>
      <c r="E78" s="15" t="n">
        <v>10</v>
      </c>
      <c r="F78" s="15" t="inlineStr">
        <is>
          <t>kg</t>
        </is>
      </c>
      <c r="G78" s="16" t="n">
        <v>5</v>
      </c>
      <c r="H78" s="17">
        <f>IF(OR(E78="",G78=""),"",IFERROR(ROUND(G78/E78,4),""))</f>
        <v>0.5</v>
      </c>
      <c r="I78" s="18" t="n"/>
      <c r="J78" s="19">
        <f>IF(OR(H78="",I78=""),"",IFERROR(ROUND(H78/I78-1,6),""))</f>
        <v/>
      </c>
      <c r="K78" s="20">
        <f>IF(J78="","",IF(J78&gt;$B$5,"ALERTA","OK"))</f>
        <v/>
      </c>
      <c r="L78" s="21" t="n"/>
      <c r="M78" s="22" t="inlineStr">
        <is>
          <t>Se usa en: 04 «Gin Tonic Premium», «Mojito Clásico», «Margarita», «Aperol Spritz».</t>
        </is>
      </c>
    </row>
    <row r="79">
      <c r="A79" s="14" t="inlineStr">
        <is>
          <t>Mini quiche</t>
        </is>
      </c>
      <c r="B79" s="14" t="inlineStr">
        <is>
          <t>Congelados</t>
        </is>
      </c>
      <c r="C79" s="14" t="n"/>
      <c r="D79" s="14" t="inlineStr">
        <is>
          <t>Caja 40 ud</t>
        </is>
      </c>
      <c r="E79" s="15" t="n">
        <v>40</v>
      </c>
      <c r="F79" s="15" t="inlineStr">
        <is>
          <t>ud</t>
        </is>
      </c>
      <c r="G79" s="16" t="n">
        <v>18</v>
      </c>
      <c r="H79" s="17">
        <f>IF(OR(E79="",G79=""),"",IFERROR(ROUND(G79/E79,4),""))</f>
        <v>0.45</v>
      </c>
      <c r="I79" s="18" t="n"/>
      <c r="J79" s="19">
        <f>IF(OR(H79="",I79=""),"",IFERROR(ROUND(H79/I79-1,6),""))</f>
        <v/>
      </c>
      <c r="K79" s="20">
        <f>IF(J79="","",IF(J79&gt;$B$5,"ALERTA","OK"))</f>
        <v/>
      </c>
      <c r="L79" s="21" t="n"/>
      <c r="M79" s="22" t="inlineStr">
        <is>
          <t>Se usa en: 06 «Cocktail (por persona)».</t>
        </is>
      </c>
    </row>
    <row r="80">
      <c r="A80" s="14" t="inlineStr">
        <is>
          <t>English muffin</t>
        </is>
      </c>
      <c r="B80" s="14" t="inlineStr">
        <is>
          <t>Pan/bollería</t>
        </is>
      </c>
      <c r="C80" s="14" t="n"/>
      <c r="D80" s="14" t="inlineStr">
        <is>
          <t>Bolsa 6 ud</t>
        </is>
      </c>
      <c r="E80" s="15" t="n">
        <v>6</v>
      </c>
      <c r="F80" s="15" t="inlineStr">
        <is>
          <t>ud</t>
        </is>
      </c>
      <c r="G80" s="16" t="n">
        <v>2.4</v>
      </c>
      <c r="H80" s="17">
        <f>IF(OR(E80="",G80=""),"",IFERROR(ROUND(G80/E80,4),""))</f>
        <v>0.4</v>
      </c>
      <c r="I80" s="18" t="n"/>
      <c r="J80" s="19">
        <f>IF(OR(H80="",I80=""),"",IFERROR(ROUND(H80/I80-1,6),""))</f>
        <v/>
      </c>
      <c r="K80" s="20">
        <f>IF(J80="","",IF(J80&gt;$B$5,"ALERTA","OK"))</f>
        <v/>
      </c>
      <c r="L80" s="21" t="n"/>
      <c r="M80" s="22" t="inlineStr">
        <is>
          <t>Se usa en: 07 «Eggs Benedict».</t>
        </is>
      </c>
    </row>
    <row r="81">
      <c r="A81" s="14" t="inlineStr">
        <is>
          <t>Pan brioche</t>
        </is>
      </c>
      <c r="B81" s="14" t="inlineStr">
        <is>
          <t>Pan/bollería</t>
        </is>
      </c>
      <c r="C81" s="14" t="n"/>
      <c r="D81" s="14" t="inlineStr">
        <is>
          <t>Bolsa 6 ud</t>
        </is>
      </c>
      <c r="E81" s="15" t="n">
        <v>6</v>
      </c>
      <c r="F81" s="15" t="inlineStr">
        <is>
          <t>ud</t>
        </is>
      </c>
      <c r="G81" s="16" t="n">
        <v>2.4</v>
      </c>
      <c r="H81" s="17">
        <f>IF(OR(E81="",G81=""),"",IFERROR(ROUND(G81/E81,4),""))</f>
        <v>0.4</v>
      </c>
      <c r="I81" s="18" t="n"/>
      <c r="J81" s="19">
        <f>IF(OR(H81="",I81=""),"",IFERROR(ROUND(H81/I81-1,6),""))</f>
        <v/>
      </c>
      <c r="K81" s="20">
        <f>IF(J81="","",IF(J81&gt;$B$5,"ALERTA","OK"))</f>
        <v/>
      </c>
      <c r="L81" s="21" t="n"/>
      <c r="M81" s="22" t="inlineStr">
        <is>
          <t>Se usa en: 08 «Smash Burger».</t>
        </is>
      </c>
    </row>
    <row r="82">
      <c r="A82" s="14" t="inlineStr">
        <is>
          <t>Pan brioche grande</t>
        </is>
      </c>
      <c r="B82" s="14" t="inlineStr">
        <is>
          <t>Pan/bollería</t>
        </is>
      </c>
      <c r="C82" s="14" t="n"/>
      <c r="D82" s="14" t="inlineStr">
        <is>
          <t>Bolsa 6 ud</t>
        </is>
      </c>
      <c r="E82" s="15" t="n">
        <v>6</v>
      </c>
      <c r="F82" s="15" t="inlineStr">
        <is>
          <t>ud</t>
        </is>
      </c>
      <c r="G82" s="16" t="n">
        <v>3</v>
      </c>
      <c r="H82" s="17">
        <f>IF(OR(E82="",G82=""),"",IFERROR(ROUND(G82/E82,4),""))</f>
        <v>0.5</v>
      </c>
      <c r="I82" s="18" t="n"/>
      <c r="J82" s="19">
        <f>IF(OR(H82="",I82=""),"",IFERROR(ROUND(H82/I82-1,6),""))</f>
        <v/>
      </c>
      <c r="K82" s="20">
        <f>IF(J82="","",IF(J82&gt;$B$5,"ALERTA","OK"))</f>
        <v/>
      </c>
      <c r="L82" s="21" t="n"/>
      <c r="M82" s="22" t="inlineStr">
        <is>
          <t>Se usa en: 08 «Pulled Pork Sándwich».</t>
        </is>
      </c>
    </row>
    <row r="83">
      <c r="A83" s="14" t="inlineStr">
        <is>
          <t>Pan de masa madre (rebanada gruesa)</t>
        </is>
      </c>
      <c r="B83" s="14" t="inlineStr">
        <is>
          <t>Pan/bollería</t>
        </is>
      </c>
      <c r="C83" s="14" t="n"/>
      <c r="D83" s="14" t="inlineStr">
        <is>
          <t>Por rebanada</t>
        </is>
      </c>
      <c r="E83" s="15" t="n">
        <v>1</v>
      </c>
      <c r="F83" s="15" t="inlineStr">
        <is>
          <t>ud</t>
        </is>
      </c>
      <c r="G83" s="16" t="n">
        <v>0.6</v>
      </c>
      <c r="H83" s="17">
        <f>IF(OR(E83="",G83=""),"",IFERROR(ROUND(G83/E83,4),""))</f>
        <v>0.6</v>
      </c>
      <c r="I83" s="18" t="n"/>
      <c r="J83" s="19">
        <f>IF(OR(H83="",I83=""),"",IFERROR(ROUND(H83/I83-1,6),""))</f>
        <v/>
      </c>
      <c r="K83" s="20">
        <f>IF(J83="","",IF(J83&gt;$B$5,"ALERTA","OK"))</f>
        <v/>
      </c>
      <c r="L83" s="21" t="n"/>
      <c r="M83" s="22" t="inlineStr">
        <is>
          <t>Se usa en: 07 «Tostada Aguacate».</t>
        </is>
      </c>
    </row>
    <row r="84">
      <c r="A84" s="14" t="inlineStr">
        <is>
          <t>Pan mini</t>
        </is>
      </c>
      <c r="B84" s="14" t="inlineStr">
        <is>
          <t>Pan/bollería</t>
        </is>
      </c>
      <c r="C84" s="14" t="n"/>
      <c r="D84" s="14" t="inlineStr">
        <is>
          <t>Caja 100 ud</t>
        </is>
      </c>
      <c r="E84" s="15" t="n">
        <v>100</v>
      </c>
      <c r="F84" s="15" t="inlineStr">
        <is>
          <t>ud</t>
        </is>
      </c>
      <c r="G84" s="16" t="n">
        <v>15</v>
      </c>
      <c r="H84" s="17">
        <f>IF(OR(E84="",G84=""),"",IFERROR(ROUND(G84/E84,4),""))</f>
        <v>0.15</v>
      </c>
      <c r="I84" s="18" t="n"/>
      <c r="J84" s="19">
        <f>IF(OR(H84="",I84=""),"",IFERROR(ROUND(H84/I84-1,6),""))</f>
        <v/>
      </c>
      <c r="K84" s="20">
        <f>IF(J84="","",IF(J84&gt;$B$5,"ALERTA","OK"))</f>
        <v/>
      </c>
      <c r="L84" s="21" t="n"/>
      <c r="M84" s="22" t="inlineStr">
        <is>
          <t>Se usa en: 06 «Cocktail (por persona)».</t>
        </is>
      </c>
    </row>
    <row r="85">
      <c r="A85" s="14" t="inlineStr">
        <is>
          <t>Claras de huevo</t>
        </is>
      </c>
      <c r="B85" s="14" t="inlineStr">
        <is>
          <t>Huevos</t>
        </is>
      </c>
      <c r="C85" s="14" t="n"/>
      <c r="D85" s="14" t="inlineStr">
        <is>
          <t>Brik 1 kg (pasteurizadas)</t>
        </is>
      </c>
      <c r="E85" s="15" t="n">
        <v>1</v>
      </c>
      <c r="F85" s="15" t="inlineStr">
        <is>
          <t>kg</t>
        </is>
      </c>
      <c r="G85" s="16" t="n">
        <v>6</v>
      </c>
      <c r="H85" s="17">
        <f>IF(OR(E85="",G85=""),"",IFERROR(ROUND(G85/E85,4),""))</f>
        <v>6.0</v>
      </c>
      <c r="I85" s="18" t="n"/>
      <c r="J85" s="19">
        <f>IF(OR(H85="",I85=""),"",IFERROR(ROUND(H85/I85-1,6),""))</f>
        <v/>
      </c>
      <c r="K85" s="20">
        <f>IF(J85="","",IF(J85&gt;$B$5,"ALERTA","OK"))</f>
        <v/>
      </c>
      <c r="L85" s="21" t="n"/>
      <c r="M85" s="22" t="inlineStr">
        <is>
          <t>Se usa en: 05 «Macarons».</t>
        </is>
      </c>
    </row>
    <row r="86" ht="39" customHeight="1">
      <c r="A86" s="14" t="inlineStr">
        <is>
          <t>Huevo campero</t>
        </is>
      </c>
      <c r="B86" s="14" t="inlineStr">
        <is>
          <t>Huevos</t>
        </is>
      </c>
      <c r="C86" s="14" t="n"/>
      <c r="D86" s="14" t="inlineStr">
        <is>
          <t>Estuche 30 huevos</t>
        </is>
      </c>
      <c r="E86" s="15" t="n">
        <v>30</v>
      </c>
      <c r="F86" s="15" t="inlineStr">
        <is>
          <t>ud</t>
        </is>
      </c>
      <c r="G86" s="16" t="n">
        <v>9</v>
      </c>
      <c r="H86" s="17">
        <f>IF(OR(E86="",G86=""),"",IFERROR(ROUND(G86/E86,4),""))</f>
        <v>0.3</v>
      </c>
      <c r="I86" s="18" t="n"/>
      <c r="J86" s="19">
        <f>IF(OR(H86="",I86=""),"",IFERROR(ROUND(H86/I86-1,6),""))</f>
        <v/>
      </c>
      <c r="K86" s="20">
        <f>IF(J86="","",IF(J86&gt;$B$5,"ALERTA","OK"))</f>
        <v/>
      </c>
      <c r="L86" s="21" t="n"/>
      <c r="M86" s="22" t="inlineStr">
        <is>
          <t>Se usa en: 03 «Postre» · 07 «Tostada Aguacate», «Eggs Benedict», «Carrot Cake». La plantilla 07 lo usa a 4,20 €/docena (otro proveedor).</t>
        </is>
      </c>
    </row>
    <row r="87">
      <c r="A87" s="14" t="inlineStr">
        <is>
          <t>Huevos</t>
        </is>
      </c>
      <c r="B87" s="14" t="inlineStr">
        <is>
          <t>Huevos</t>
        </is>
      </c>
      <c r="C87" s="14" t="n"/>
      <c r="D87" s="14" t="inlineStr">
        <is>
          <t>Estuche 30 huevos</t>
        </is>
      </c>
      <c r="E87" s="15" t="n">
        <v>30</v>
      </c>
      <c r="F87" s="15" t="inlineStr">
        <is>
          <t>ud</t>
        </is>
      </c>
      <c r="G87" s="16" t="n">
        <v>9</v>
      </c>
      <c r="H87" s="17">
        <f>IF(OR(E87="",G87=""),"",IFERROR(ROUND(G87/E87,4),""))</f>
        <v>0.3</v>
      </c>
      <c r="I87" s="18" t="n"/>
      <c r="J87" s="19">
        <f>IF(OR(H87="",I87=""),"",IFERROR(ROUND(H87/I87-1,6),""))</f>
        <v/>
      </c>
      <c r="K87" s="20">
        <f>IF(J87="","",IF(J87&gt;$B$5,"ALERTA","OK"))</f>
        <v/>
      </c>
      <c r="L87" s="21" t="n"/>
      <c r="M87" s="22" t="inlineStr">
        <is>
          <t>Se usa en: 05 «Tarta Chocolate», «Croissants».</t>
        </is>
      </c>
    </row>
    <row r="88">
      <c r="A88" s="14" t="inlineStr">
        <is>
          <t>Aceite de girasol</t>
        </is>
      </c>
      <c r="B88" s="14" t="inlineStr">
        <is>
          <t>Aceites/grasas</t>
        </is>
      </c>
      <c r="C88" s="14" t="n"/>
      <c r="D88" s="14" t="inlineStr">
        <is>
          <t>Garrafa 5 L</t>
        </is>
      </c>
      <c r="E88" s="15" t="n">
        <v>5</v>
      </c>
      <c r="F88" s="15" t="inlineStr">
        <is>
          <t>L</t>
        </is>
      </c>
      <c r="G88" s="16" t="n">
        <v>12</v>
      </c>
      <c r="H88" s="17">
        <f>IF(OR(E88="",G88=""),"",IFERROR(ROUND(G88/E88,4),""))</f>
        <v>2.4</v>
      </c>
      <c r="I88" s="18" t="n"/>
      <c r="J88" s="19">
        <f>IF(OR(H88="",I88=""),"",IFERROR(ROUND(H88/I88-1,6),""))</f>
        <v/>
      </c>
      <c r="K88" s="20">
        <f>IF(J88="","",IF(J88&gt;$B$5,"ALERTA","OK"))</f>
        <v/>
      </c>
      <c r="L88" s="21" t="n"/>
      <c r="M88" s="22" t="inlineStr">
        <is>
          <t>Se usa en: 07 «Carrot Cake».</t>
        </is>
      </c>
    </row>
    <row r="89">
      <c r="A89" s="14" t="inlineStr">
        <is>
          <t>Aceite de girasol (fritura)</t>
        </is>
      </c>
      <c r="B89" s="14" t="inlineStr">
        <is>
          <t>Aceites/grasas</t>
        </is>
      </c>
      <c r="C89" s="14" t="n"/>
      <c r="D89" s="14" t="inlineStr">
        <is>
          <t>Bidón 25 L</t>
        </is>
      </c>
      <c r="E89" s="15" t="n">
        <v>25</v>
      </c>
      <c r="F89" s="15" t="inlineStr">
        <is>
          <t>L</t>
        </is>
      </c>
      <c r="G89" s="16" t="n">
        <v>50</v>
      </c>
      <c r="H89" s="17">
        <f>IF(OR(E89="",G89=""),"",IFERROR(ROUND(G89/E89,4),""))</f>
        <v>2.0</v>
      </c>
      <c r="I89" s="18" t="n"/>
      <c r="J89" s="19">
        <f>IF(OR(H89="",I89=""),"",IFERROR(ROUND(H89/I89-1,6),""))</f>
        <v/>
      </c>
      <c r="K89" s="20">
        <f>IF(J89="","",IF(J89&gt;$B$5,"ALERTA","OK"))</f>
        <v/>
      </c>
      <c r="L89" s="21" t="n"/>
      <c r="M89" s="22" t="inlineStr">
        <is>
          <t>Se usa en: 08 «Loaded Fries».</t>
        </is>
      </c>
    </row>
    <row r="90" ht="51" customHeight="1">
      <c r="A90" s="14" t="inlineStr">
        <is>
          <t>Aceite de oliva virgen extra (AOVE)</t>
        </is>
      </c>
      <c r="B90" s="14" t="inlineStr">
        <is>
          <t>Aceites/grasas</t>
        </is>
      </c>
      <c r="C90" s="14" t="n"/>
      <c r="D90" s="14" t="inlineStr">
        <is>
          <t>Garrafa 5 L</t>
        </is>
      </c>
      <c r="E90" s="15" t="n">
        <v>5</v>
      </c>
      <c r="F90" s="15" t="inlineStr">
        <is>
          <t>L</t>
        </is>
      </c>
      <c r="G90" s="16" t="n">
        <v>37.5</v>
      </c>
      <c r="H90" s="17">
        <f>IF(OR(E90="",G90=""),"",IFERROR(ROUND(G90/E90,4),""))</f>
        <v>7.5</v>
      </c>
      <c r="I90" s="18" t="n">
        <v>6.8</v>
      </c>
      <c r="J90" s="19">
        <f>IF(OR(H90="",I90=""),"",IFERROR(ROUND(H90/I90-1,6),""))</f>
        <v>0.102941</v>
      </c>
      <c r="K90" s="20" t="str">
        <f>IF(J90="","",IF(J90&gt;$B$5,"ALERTA","OK"))</f>
        <v>ALERTA</v>
      </c>
      <c r="L90" s="21" t="n"/>
      <c r="M90" s="22" t="inlineStr">
        <is>
          <t>Se usa en: 01 «Escandallo» · 03 «Primer Plato», «Segundo Plato» · 07 «Tostada Aguacate». Ilustrativo: el precio anterior es de ejemplo, para que veas cómo funciona la alerta. Bórralo.</t>
        </is>
      </c>
    </row>
    <row r="91">
      <c r="A91" s="14" t="inlineStr">
        <is>
          <t>Aceite de sésamo</t>
        </is>
      </c>
      <c r="B91" s="14" t="inlineStr">
        <is>
          <t>Aceites/grasas</t>
        </is>
      </c>
      <c r="C91" s="14" t="n"/>
      <c r="D91" s="14" t="inlineStr">
        <is>
          <t>Botella 500 ml</t>
        </is>
      </c>
      <c r="E91" s="15" t="n">
        <v>0.5</v>
      </c>
      <c r="F91" s="15" t="inlineStr">
        <is>
          <t>L</t>
        </is>
      </c>
      <c r="G91" s="16" t="n">
        <v>7</v>
      </c>
      <c r="H91" s="17">
        <f>IF(OR(E91="",G91=""),"",IFERROR(ROUND(G91/E91,4),""))</f>
        <v>14.0</v>
      </c>
      <c r="I91" s="18" t="n"/>
      <c r="J91" s="19">
        <f>IF(OR(H91="",I91=""),"",IFERROR(ROUND(H91/I91-1,6),""))</f>
        <v/>
      </c>
      <c r="K91" s="20">
        <f>IF(J91="","",IF(J91&gt;$B$5,"ALERTA","OK"))</f>
        <v/>
      </c>
      <c r="L91" s="21" t="n"/>
      <c r="M91" s="22" t="inlineStr">
        <is>
          <t>Se usa en: 02 «1. Aperitivo».</t>
        </is>
      </c>
    </row>
    <row r="92">
      <c r="A92" s="14" t="inlineStr">
        <is>
          <t>Ajo</t>
        </is>
      </c>
      <c r="B92" s="14" t="inlineStr">
        <is>
          <t>Especias/hierbas</t>
        </is>
      </c>
      <c r="C92" s="14" t="n"/>
      <c r="D92" s="14" t="inlineStr">
        <is>
          <t>Malla 1 kg</t>
        </is>
      </c>
      <c r="E92" s="15" t="n">
        <v>1</v>
      </c>
      <c r="F92" s="15" t="inlineStr">
        <is>
          <t>kg</t>
        </is>
      </c>
      <c r="G92" s="16" t="n">
        <v>6</v>
      </c>
      <c r="H92" s="17">
        <f>IF(OR(E92="",G92=""),"",IFERROR(ROUND(G92/E92,4),""))</f>
        <v>6.0</v>
      </c>
      <c r="I92" s="18" t="n"/>
      <c r="J92" s="19">
        <f>IF(OR(H92="",I92=""),"",IFERROR(ROUND(H92/I92-1,6),""))</f>
        <v/>
      </c>
      <c r="K92" s="20">
        <f>IF(J92="","",IF(J92&gt;$B$5,"ALERTA","OK"))</f>
        <v/>
      </c>
      <c r="L92" s="21" t="n"/>
      <c r="M92" s="22" t="inlineStr">
        <is>
          <t>Se usa en: 03 «Segundo Plato».</t>
        </is>
      </c>
    </row>
    <row r="93">
      <c r="A93" s="14" t="inlineStr">
        <is>
          <t>Canela molida</t>
        </is>
      </c>
      <c r="B93" s="14" t="inlineStr">
        <is>
          <t>Especias/hierbas</t>
        </is>
      </c>
      <c r="C93" s="14" t="n"/>
      <c r="D93" s="14" t="inlineStr">
        <is>
          <t>Bote 500 g</t>
        </is>
      </c>
      <c r="E93" s="15" t="n">
        <v>0.5</v>
      </c>
      <c r="F93" s="15" t="inlineStr">
        <is>
          <t>kg</t>
        </is>
      </c>
      <c r="G93" s="16" t="n">
        <v>16</v>
      </c>
      <c r="H93" s="17">
        <f>IF(OR(E93="",G93=""),"",IFERROR(ROUND(G93/E93,4),""))</f>
        <v>32.0</v>
      </c>
      <c r="I93" s="18" t="n"/>
      <c r="J93" s="19">
        <f>IF(OR(H93="",I93=""),"",IFERROR(ROUND(H93/I93-1,6),""))</f>
        <v/>
      </c>
      <c r="K93" s="20">
        <f>IF(J93="","",IF(J93&gt;$B$5,"ALERTA","OK"))</f>
        <v/>
      </c>
      <c r="L93" s="21" t="n"/>
      <c r="M93" s="22" t="inlineStr">
        <is>
          <t>Se usa en: 07 «Carrot Cake».</t>
        </is>
      </c>
    </row>
    <row r="94">
      <c r="A94" s="14" t="inlineStr">
        <is>
          <t>Cebollino</t>
        </is>
      </c>
      <c r="B94" s="14" t="inlineStr">
        <is>
          <t>Especias/hierbas</t>
        </is>
      </c>
      <c r="C94" s="14" t="n"/>
      <c r="D94" s="14" t="inlineStr">
        <is>
          <t>Manojo</t>
        </is>
      </c>
      <c r="E94" s="15" t="n">
        <v>1</v>
      </c>
      <c r="F94" s="15" t="inlineStr">
        <is>
          <t>manojo</t>
        </is>
      </c>
      <c r="G94" s="16" t="n">
        <v>1.5</v>
      </c>
      <c r="H94" s="17">
        <f>IF(OR(E94="",G94=""),"",IFERROR(ROUND(G94/E94,4),""))</f>
        <v>1.5</v>
      </c>
      <c r="I94" s="18" t="n"/>
      <c r="J94" s="19">
        <f>IF(OR(H94="",I94=""),"",IFERROR(ROUND(H94/I94-1,6),""))</f>
        <v/>
      </c>
      <c r="K94" s="20">
        <f>IF(J94="","",IF(J94&gt;$B$5,"ALERTA","OK"))</f>
        <v/>
      </c>
      <c r="L94" s="21" t="n"/>
      <c r="M94" s="22" t="inlineStr">
        <is>
          <t>Se usa en: 07 «Eggs Benedict» · 08 «Loaded Fries».</t>
        </is>
      </c>
    </row>
    <row r="95">
      <c r="A95" s="14" t="inlineStr">
        <is>
          <t>Enebro (bayas)</t>
        </is>
      </c>
      <c r="B95" s="14" t="inlineStr">
        <is>
          <t>Especias/hierbas</t>
        </is>
      </c>
      <c r="C95" s="14" t="n"/>
      <c r="D95" s="14" t="inlineStr">
        <is>
          <t>Bote 250 g</t>
        </is>
      </c>
      <c r="E95" s="15" t="n">
        <v>0.25</v>
      </c>
      <c r="F95" s="15" t="inlineStr">
        <is>
          <t>kg</t>
        </is>
      </c>
      <c r="G95" s="16" t="n">
        <v>7.5</v>
      </c>
      <c r="H95" s="17">
        <f>IF(OR(E95="",G95=""),"",IFERROR(ROUND(G95/E95,4),""))</f>
        <v>30.0</v>
      </c>
      <c r="I95" s="18" t="n"/>
      <c r="J95" s="19">
        <f>IF(OR(H95="",I95=""),"",IFERROR(ROUND(H95/I95-1,6),""))</f>
        <v/>
      </c>
      <c r="K95" s="20">
        <f>IF(J95="","",IF(J95&gt;$B$5,"ALERTA","OK"))</f>
        <v/>
      </c>
      <c r="L95" s="21" t="n"/>
      <c r="M95" s="22" t="inlineStr">
        <is>
          <t>Se usa en: 04 «Gin Tonic Premium».</t>
        </is>
      </c>
    </row>
    <row r="96">
      <c r="A96" s="14" t="inlineStr">
        <is>
          <t>Hierbabuena</t>
        </is>
      </c>
      <c r="B96" s="14" t="inlineStr">
        <is>
          <t>Especias/hierbas</t>
        </is>
      </c>
      <c r="C96" s="14" t="n"/>
      <c r="D96" s="14" t="inlineStr">
        <is>
          <t>Manojo</t>
        </is>
      </c>
      <c r="E96" s="15" t="n">
        <v>1</v>
      </c>
      <c r="F96" s="15" t="inlineStr">
        <is>
          <t>manojo</t>
        </is>
      </c>
      <c r="G96" s="16" t="n">
        <v>1.2</v>
      </c>
      <c r="H96" s="17">
        <f>IF(OR(E96="",G96=""),"",IFERROR(ROUND(G96/E96,4),""))</f>
        <v>1.2</v>
      </c>
      <c r="I96" s="18" t="n"/>
      <c r="J96" s="19">
        <f>IF(OR(H96="",I96=""),"",IFERROR(ROUND(H96/I96-1,6),""))</f>
        <v/>
      </c>
      <c r="K96" s="20">
        <f>IF(J96="","",IF(J96&gt;$B$5,"ALERTA","OK"))</f>
        <v/>
      </c>
      <c r="L96" s="21" t="n"/>
      <c r="M96" s="22" t="inlineStr">
        <is>
          <t>Se usa en: 04 «Mojito Clásico».</t>
        </is>
      </c>
    </row>
    <row r="97">
      <c r="A97" s="14" t="inlineStr">
        <is>
          <t>Pimienta negra</t>
        </is>
      </c>
      <c r="B97" s="14" t="inlineStr">
        <is>
          <t>Especias/hierbas</t>
        </is>
      </c>
      <c r="C97" s="14" t="n"/>
      <c r="D97" s="14" t="inlineStr">
        <is>
          <t>Bote 500 g</t>
        </is>
      </c>
      <c r="E97" s="15" t="n">
        <v>0.5</v>
      </c>
      <c r="F97" s="15" t="inlineStr">
        <is>
          <t>kg</t>
        </is>
      </c>
      <c r="G97" s="16" t="n">
        <v>12.5</v>
      </c>
      <c r="H97" s="17">
        <f>IF(OR(E97="",G97=""),"",IFERROR(ROUND(G97/E97,4),""))</f>
        <v>25.0</v>
      </c>
      <c r="I97" s="18" t="n"/>
      <c r="J97" s="19">
        <f>IF(OR(H97="",I97=""),"",IFERROR(ROUND(H97/I97-1,6),""))</f>
        <v/>
      </c>
      <c r="K97" s="20">
        <f>IF(J97="","",IF(J97&gt;$B$5,"ALERTA","OK"))</f>
        <v/>
      </c>
      <c r="L97" s="21" t="n"/>
      <c r="M97" s="22" t="inlineStr">
        <is>
          <t>Se usa en: 01 «Escandallo».</t>
        </is>
      </c>
    </row>
    <row r="98">
      <c r="A98" s="14" t="inlineStr">
        <is>
          <t>Romero fresco</t>
        </is>
      </c>
      <c r="B98" s="14" t="inlineStr">
        <is>
          <t>Especias/hierbas</t>
        </is>
      </c>
      <c r="C98" s="14" t="n"/>
      <c r="D98" s="14" t="inlineStr">
        <is>
          <t>Manojo</t>
        </is>
      </c>
      <c r="E98" s="15" t="n">
        <v>1</v>
      </c>
      <c r="F98" s="15" t="inlineStr">
        <is>
          <t>manojo</t>
        </is>
      </c>
      <c r="G98" s="16" t="n">
        <v>1</v>
      </c>
      <c r="H98" s="17">
        <f>IF(OR(E98="",G98=""),"",IFERROR(ROUND(G98/E98,4),""))</f>
        <v>1.0</v>
      </c>
      <c r="I98" s="18" t="n"/>
      <c r="J98" s="19">
        <f>IF(OR(H98="",I98=""),"",IFERROR(ROUND(H98/I98-1,6),""))</f>
        <v/>
      </c>
      <c r="K98" s="20">
        <f>IF(J98="","",IF(J98&gt;$B$5,"ALERTA","OK"))</f>
        <v/>
      </c>
      <c r="L98" s="21" t="n"/>
      <c r="M98" s="22" t="inlineStr">
        <is>
          <t>Se usa en: 02 «4. Carne» · 03 «Segundo Plato».</t>
        </is>
      </c>
    </row>
    <row r="99">
      <c r="A99" s="14" t="inlineStr">
        <is>
          <t>Vainilla (extracto)</t>
        </is>
      </c>
      <c r="B99" s="14" t="inlineStr">
        <is>
          <t>Especias/hierbas</t>
        </is>
      </c>
      <c r="C99" s="14" t="n"/>
      <c r="D99" s="14" t="inlineStr">
        <is>
          <t>Botella 100 ml</t>
        </is>
      </c>
      <c r="E99" s="15" t="n">
        <v>0.1</v>
      </c>
      <c r="F99" s="15" t="inlineStr">
        <is>
          <t>L</t>
        </is>
      </c>
      <c r="G99" s="16" t="n">
        <v>3.5</v>
      </c>
      <c r="H99" s="17">
        <f>IF(OR(E99="",G99=""),"",IFERROR(ROUND(G99/E99,4),""))</f>
        <v>35.0</v>
      </c>
      <c r="I99" s="18" t="n"/>
      <c r="J99" s="19">
        <f>IF(OR(H99="",I99=""),"",IFERROR(ROUND(H99/I99-1,6),""))</f>
        <v/>
      </c>
      <c r="K99" s="20">
        <f>IF(J99="","",IF(J99&gt;$B$5,"ALERTA","OK"))</f>
        <v/>
      </c>
      <c r="L99" s="21" t="n"/>
      <c r="M99" s="22" t="inlineStr">
        <is>
          <t>Se usa en: 03 «Postre».</t>
        </is>
      </c>
    </row>
    <row r="100">
      <c r="A100" s="14" t="inlineStr">
        <is>
          <t>Cacao en polvo</t>
        </is>
      </c>
      <c r="B100" s="14" t="inlineStr">
        <is>
          <t>Chocolate/cacao</t>
        </is>
      </c>
      <c r="C100" s="14" t="n"/>
      <c r="D100" s="14" t="inlineStr">
        <is>
          <t>Al peso (precio por kg)</t>
        </is>
      </c>
      <c r="E100" s="15" t="n">
        <v>1</v>
      </c>
      <c r="F100" s="15" t="inlineStr">
        <is>
          <t>kg</t>
        </is>
      </c>
      <c r="G100" s="16" t="n">
        <v>12</v>
      </c>
      <c r="H100" s="17">
        <f>IF(OR(E100="",G100=""),"",IFERROR(ROUND(G100/E100,4),""))</f>
        <v>12.0</v>
      </c>
      <c r="I100" s="18" t="n"/>
      <c r="J100" s="19">
        <f>IF(OR(H100="",I100=""),"",IFERROR(ROUND(H100/I100-1,6),""))</f>
        <v/>
      </c>
      <c r="K100" s="20">
        <f>IF(J100="","",IF(J100&gt;$B$5,"ALERTA","OK"))</f>
        <v/>
      </c>
      <c r="L100" s="21" t="n"/>
      <c r="M100" s="22" t="inlineStr">
        <is>
          <t>Se usa en: 05 «Tarta Chocolate».</t>
        </is>
      </c>
    </row>
    <row r="101">
      <c r="A101" s="14" t="inlineStr">
        <is>
          <t>Chocolate blanco</t>
        </is>
      </c>
      <c r="B101" s="14" t="inlineStr">
        <is>
          <t>Chocolate/cacao</t>
        </is>
      </c>
      <c r="C101" s="14" t="n"/>
      <c r="D101" s="14" t="inlineStr">
        <is>
          <t>Saco 5 kg (gotas)</t>
        </is>
      </c>
      <c r="E101" s="15" t="n">
        <v>5</v>
      </c>
      <c r="F101" s="15" t="inlineStr">
        <is>
          <t>kg</t>
        </is>
      </c>
      <c r="G101" s="16" t="n">
        <v>75</v>
      </c>
      <c r="H101" s="17">
        <f>IF(OR(E101="",G101=""),"",IFERROR(ROUND(G101/E101,4),""))</f>
        <v>15.0</v>
      </c>
      <c r="I101" s="18" t="n"/>
      <c r="J101" s="19">
        <f>IF(OR(H101="",I101=""),"",IFERROR(ROUND(H101/I101-1,6),""))</f>
        <v/>
      </c>
      <c r="K101" s="20">
        <f>IF(J101="","",IF(J101&gt;$B$5,"ALERTA","OK"))</f>
        <v/>
      </c>
      <c r="L101" s="21" t="n"/>
      <c r="M101" s="22" t="inlineStr">
        <is>
          <t>Se usa en: 05 «Macarons».</t>
        </is>
      </c>
    </row>
    <row r="102">
      <c r="A102" s="14" t="inlineStr">
        <is>
          <t>Chocolate negro 70%</t>
        </is>
      </c>
      <c r="B102" s="14" t="inlineStr">
        <is>
          <t>Chocolate/cacao</t>
        </is>
      </c>
      <c r="C102" s="14" t="n"/>
      <c r="D102" s="14" t="inlineStr">
        <is>
          <t>Saco 5 kg (gotas)</t>
        </is>
      </c>
      <c r="E102" s="15" t="n">
        <v>5</v>
      </c>
      <c r="F102" s="15" t="inlineStr">
        <is>
          <t>kg</t>
        </is>
      </c>
      <c r="G102" s="16" t="n">
        <v>90</v>
      </c>
      <c r="H102" s="17">
        <f>IF(OR(E102="",G102=""),"",IFERROR(ROUND(G102/E102,4),""))</f>
        <v>18.0</v>
      </c>
      <c r="I102" s="18" t="n"/>
      <c r="J102" s="19">
        <f>IF(OR(H102="",I102=""),"",IFERROR(ROUND(H102/I102-1,6),""))</f>
        <v/>
      </c>
      <c r="K102" s="20">
        <f>IF(J102="","",IF(J102&gt;$B$5,"ALERTA","OK"))</f>
        <v/>
      </c>
      <c r="L102" s="21" t="n"/>
      <c r="M102" s="22" t="inlineStr">
        <is>
          <t>Se usa en: 02 «5. Postre» · 05 «Tarta Chocolate».</t>
        </is>
      </c>
    </row>
    <row r="103">
      <c r="A103" s="14" t="inlineStr">
        <is>
          <t>Manteca de cacao</t>
        </is>
      </c>
      <c r="B103" s="14" t="inlineStr">
        <is>
          <t>Chocolate/cacao</t>
        </is>
      </c>
      <c r="C103" s="14" t="n"/>
      <c r="D103" s="14" t="inlineStr">
        <is>
          <t>Al peso (precio por kg)</t>
        </is>
      </c>
      <c r="E103" s="15" t="n">
        <v>1</v>
      </c>
      <c r="F103" s="15" t="inlineStr">
        <is>
          <t>kg</t>
        </is>
      </c>
      <c r="G103" s="16" t="n">
        <v>22</v>
      </c>
      <c r="H103" s="17">
        <f>IF(OR(E103="",G103=""),"",IFERROR(ROUND(G103/E103,4),""))</f>
        <v>22.0</v>
      </c>
      <c r="I103" s="18" t="n"/>
      <c r="J103" s="19">
        <f>IF(OR(H103="",I103=""),"",IFERROR(ROUND(H103/I103-1,6),""))</f>
        <v/>
      </c>
      <c r="K103" s="20">
        <f>IF(J103="","",IF(J103&gt;$B$5,"ALERTA","OK"))</f>
        <v/>
      </c>
      <c r="L103" s="21" t="n"/>
      <c r="M103" s="22" t="inlineStr">
        <is>
          <t>Se usa en: 02 «5. Postre».</t>
        </is>
      </c>
    </row>
    <row r="104">
      <c r="A104" s="14" t="inlineStr">
        <is>
          <t>Aperol</t>
        </is>
      </c>
      <c r="B104" s="14" t="inlineStr">
        <is>
          <t>Bebidas/licores</t>
        </is>
      </c>
      <c r="C104" s="14" t="n"/>
      <c r="D104" s="14" t="inlineStr">
        <is>
          <t>Botella 70 cl</t>
        </is>
      </c>
      <c r="E104" s="15" t="n">
        <v>0.7</v>
      </c>
      <c r="F104" s="15" t="inlineStr">
        <is>
          <t>L</t>
        </is>
      </c>
      <c r="G104" s="16" t="n">
        <v>9.800000000000001</v>
      </c>
      <c r="H104" s="17">
        <f>IF(OR(E104="",G104=""),"",IFERROR(ROUND(G104/E104,4),""))</f>
        <v>14.0</v>
      </c>
      <c r="I104" s="18" t="n"/>
      <c r="J104" s="19">
        <f>IF(OR(H104="",I104=""),"",IFERROR(ROUND(H104/I104-1,6),""))</f>
        <v/>
      </c>
      <c r="K104" s="20">
        <f>IF(J104="","",IF(J104&gt;$B$5,"ALERTA","OK"))</f>
        <v/>
      </c>
      <c r="L104" s="21" t="n"/>
      <c r="M104" s="22" t="inlineStr">
        <is>
          <t>Se usa en: 04 «Aperol Spritz».</t>
        </is>
      </c>
    </row>
    <row r="105">
      <c r="A105" s="14" t="inlineStr">
        <is>
          <t>Café</t>
        </is>
      </c>
      <c r="B105" s="14" t="inlineStr">
        <is>
          <t>Bebidas/licores</t>
        </is>
      </c>
      <c r="C105" s="14" t="n"/>
      <c r="D105" s="14" t="inlineStr">
        <is>
          <t>Por servicio (dosis)</t>
        </is>
      </c>
      <c r="E105" s="15" t="n">
        <v>1</v>
      </c>
      <c r="F105" s="15" t="inlineStr">
        <is>
          <t>ud</t>
        </is>
      </c>
      <c r="G105" s="16" t="n">
        <v>0.2</v>
      </c>
      <c r="H105" s="17">
        <f>IF(OR(E105="",G105=""),"",IFERROR(ROUND(G105/E105,4),""))</f>
        <v>0.2</v>
      </c>
      <c r="I105" s="18" t="n"/>
      <c r="J105" s="19">
        <f>IF(OR(H105="",I105=""),"",IFERROR(ROUND(H105/I105-1,6),""))</f>
        <v/>
      </c>
      <c r="K105" s="20">
        <f>IF(J105="","",IF(J105&gt;$B$5,"ALERTA","OK"))</f>
        <v/>
      </c>
      <c r="L105" s="21" t="n"/>
      <c r="M105" s="22" t="inlineStr">
        <is>
          <t>Se usa en: 06 «Cocktail (por persona)».</t>
        </is>
      </c>
    </row>
    <row r="106">
      <c r="A106" s="14" t="inlineStr">
        <is>
          <t>Ginebra premium</t>
        </is>
      </c>
      <c r="B106" s="14" t="inlineStr">
        <is>
          <t>Bebidas/licores</t>
        </is>
      </c>
      <c r="C106" s="14" t="n"/>
      <c r="D106" s="14" t="inlineStr">
        <is>
          <t>Botella 70 cl</t>
        </is>
      </c>
      <c r="E106" s="15" t="n">
        <v>0.7</v>
      </c>
      <c r="F106" s="15" t="inlineStr">
        <is>
          <t>L</t>
        </is>
      </c>
      <c r="G106" s="16" t="n">
        <v>19.6</v>
      </c>
      <c r="H106" s="17">
        <f>IF(OR(E106="",G106=""),"",IFERROR(ROUND(G106/E106,4),""))</f>
        <v>28.0</v>
      </c>
      <c r="I106" s="18" t="n"/>
      <c r="J106" s="19">
        <f>IF(OR(H106="",I106=""),"",IFERROR(ROUND(H106/I106-1,6),""))</f>
        <v/>
      </c>
      <c r="K106" s="20">
        <f>IF(J106="","",IF(J106&gt;$B$5,"ALERTA","OK"))</f>
        <v/>
      </c>
      <c r="L106" s="21" t="n"/>
      <c r="M106" s="22" t="inlineStr">
        <is>
          <t>Se usa en: 04 «Gin Tonic Premium».</t>
        </is>
      </c>
    </row>
    <row r="107">
      <c r="A107" s="14" t="inlineStr">
        <is>
          <t>Leche de avena</t>
        </is>
      </c>
      <c r="B107" s="14" t="inlineStr">
        <is>
          <t>Bebidas/licores</t>
        </is>
      </c>
      <c r="C107" s="14" t="n"/>
      <c r="D107" s="14" t="inlineStr">
        <is>
          <t>Brik 1 L</t>
        </is>
      </c>
      <c r="E107" s="15" t="n">
        <v>1</v>
      </c>
      <c r="F107" s="15" t="inlineStr">
        <is>
          <t>L</t>
        </is>
      </c>
      <c r="G107" s="16" t="n">
        <v>2.5</v>
      </c>
      <c r="H107" s="17">
        <f>IF(OR(E107="",G107=""),"",IFERROR(ROUND(G107/E107,4),""))</f>
        <v>2.5</v>
      </c>
      <c r="I107" s="18" t="n"/>
      <c r="J107" s="19">
        <f>IF(OR(H107="",I107=""),"",IFERROR(ROUND(H107/I107-1,6),""))</f>
        <v/>
      </c>
      <c r="K107" s="20">
        <f>IF(J107="","",IF(J107&gt;$B$5,"ALERTA","OK"))</f>
        <v/>
      </c>
      <c r="L107" s="21" t="n"/>
      <c r="M107" s="22" t="inlineStr">
        <is>
          <t>Se usa en: 07 «Açaí Bowl».</t>
        </is>
      </c>
    </row>
    <row r="108">
      <c r="A108" s="14" t="inlineStr">
        <is>
          <t>Prosecco</t>
        </is>
      </c>
      <c r="B108" s="14" t="inlineStr">
        <is>
          <t>Bebidas/licores</t>
        </is>
      </c>
      <c r="C108" s="14" t="n"/>
      <c r="D108" s="14" t="inlineStr">
        <is>
          <t>Botella 75 cl</t>
        </is>
      </c>
      <c r="E108" s="15" t="n">
        <v>0.75</v>
      </c>
      <c r="F108" s="15" t="inlineStr">
        <is>
          <t>L</t>
        </is>
      </c>
      <c r="G108" s="16" t="n">
        <v>6</v>
      </c>
      <c r="H108" s="17">
        <f>IF(OR(E108="",G108=""),"",IFERROR(ROUND(G108/E108,4),""))</f>
        <v>8.0</v>
      </c>
      <c r="I108" s="18" t="n"/>
      <c r="J108" s="19">
        <f>IF(OR(H108="",I108=""),"",IFERROR(ROUND(H108/I108-1,6),""))</f>
        <v/>
      </c>
      <c r="K108" s="20">
        <f>IF(J108="","",IF(J108&gt;$B$5,"ALERTA","OK"))</f>
        <v/>
      </c>
      <c r="L108" s="21" t="n"/>
      <c r="M108" s="22" t="inlineStr">
        <is>
          <t>Se usa en: 04 «Aperol Spritz».</t>
        </is>
      </c>
    </row>
    <row r="109">
      <c r="A109" s="14" t="inlineStr">
        <is>
          <t>Ron blanco</t>
        </is>
      </c>
      <c r="B109" s="14" t="inlineStr">
        <is>
          <t>Bebidas/licores</t>
        </is>
      </c>
      <c r="C109" s="14" t="n"/>
      <c r="D109" s="14" t="inlineStr">
        <is>
          <t>Botella 70 cl</t>
        </is>
      </c>
      <c r="E109" s="15" t="n">
        <v>0.7</v>
      </c>
      <c r="F109" s="15" t="inlineStr">
        <is>
          <t>L</t>
        </is>
      </c>
      <c r="G109" s="16" t="n">
        <v>10.5</v>
      </c>
      <c r="H109" s="17">
        <f>IF(OR(E109="",G109=""),"",IFERROR(ROUND(G109/E109,4),""))</f>
        <v>15.0</v>
      </c>
      <c r="I109" s="18" t="n"/>
      <c r="J109" s="19">
        <f>IF(OR(H109="",I109=""),"",IFERROR(ROUND(H109/I109-1,6),""))</f>
        <v/>
      </c>
      <c r="K109" s="20">
        <f>IF(J109="","",IF(J109&gt;$B$5,"ALERTA","OK"))</f>
        <v/>
      </c>
      <c r="L109" s="21" t="n"/>
      <c r="M109" s="22" t="inlineStr">
        <is>
          <t>Se usa en: 04 «Mojito Clásico».</t>
        </is>
      </c>
    </row>
    <row r="110">
      <c r="A110" s="14" t="inlineStr">
        <is>
          <t>Soda / agua con gas</t>
        </is>
      </c>
      <c r="B110" s="14" t="inlineStr">
        <is>
          <t>Bebidas/licores</t>
        </is>
      </c>
      <c r="C110" s="14" t="n"/>
      <c r="D110" s="14" t="inlineStr">
        <is>
          <t>Pack 6 botellas de 1 L</t>
        </is>
      </c>
      <c r="E110" s="15" t="n">
        <v>6</v>
      </c>
      <c r="F110" s="15" t="inlineStr">
        <is>
          <t>L</t>
        </is>
      </c>
      <c r="G110" s="16" t="n">
        <v>4.8</v>
      </c>
      <c r="H110" s="17">
        <f>IF(OR(E110="",G110=""),"",IFERROR(ROUND(G110/E110,4),""))</f>
        <v>0.8</v>
      </c>
      <c r="I110" s="18" t="n"/>
      <c r="J110" s="19">
        <f>IF(OR(H110="",I110=""),"",IFERROR(ROUND(H110/I110-1,6),""))</f>
        <v/>
      </c>
      <c r="K110" s="20">
        <f>IF(J110="","",IF(J110&gt;$B$5,"ALERTA","OK"))</f>
        <v/>
      </c>
      <c r="L110" s="21" t="n"/>
      <c r="M110" s="22" t="inlineStr">
        <is>
          <t>Se usa en: 04 «Mojito Clásico», «Aperol Spritz».</t>
        </is>
      </c>
    </row>
    <row r="111">
      <c r="A111" s="14" t="inlineStr">
        <is>
          <t>Tequila reposado</t>
        </is>
      </c>
      <c r="B111" s="14" t="inlineStr">
        <is>
          <t>Bebidas/licores</t>
        </is>
      </c>
      <c r="C111" s="14" t="n"/>
      <c r="D111" s="14" t="inlineStr">
        <is>
          <t>Botella 70 cl</t>
        </is>
      </c>
      <c r="E111" s="15" t="n">
        <v>0.7</v>
      </c>
      <c r="F111" s="15" t="inlineStr">
        <is>
          <t>L</t>
        </is>
      </c>
      <c r="G111" s="16" t="n">
        <v>15.4</v>
      </c>
      <c r="H111" s="17">
        <f>IF(OR(E111="",G111=""),"",IFERROR(ROUND(G111/E111,4),""))</f>
        <v>22.0</v>
      </c>
      <c r="I111" s="18" t="n"/>
      <c r="J111" s="19">
        <f>IF(OR(H111="",I111=""),"",IFERROR(ROUND(H111/I111-1,6),""))</f>
        <v/>
      </c>
      <c r="K111" s="20">
        <f>IF(J111="","",IF(J111&gt;$B$5,"ALERTA","OK"))</f>
        <v/>
      </c>
      <c r="L111" s="21" t="n"/>
      <c r="M111" s="22" t="inlineStr">
        <is>
          <t>Se usa en: 04 «Margarita».</t>
        </is>
      </c>
    </row>
    <row r="112">
      <c r="A112" s="14" t="inlineStr">
        <is>
          <t>Tónica premium</t>
        </is>
      </c>
      <c r="B112" s="14" t="inlineStr">
        <is>
          <t>Bebidas/licores</t>
        </is>
      </c>
      <c r="C112" s="14" t="n"/>
      <c r="D112" s="14" t="inlineStr">
        <is>
          <t>Caja 24 botellines de 20 cl</t>
        </is>
      </c>
      <c r="E112" s="15" t="n">
        <v>24</v>
      </c>
      <c r="F112" s="15" t="inlineStr">
        <is>
          <t>ud</t>
        </is>
      </c>
      <c r="G112" s="16" t="n">
        <v>36</v>
      </c>
      <c r="H112" s="17">
        <f>IF(OR(E112="",G112=""),"",IFERROR(ROUND(G112/E112,4),""))</f>
        <v>1.5</v>
      </c>
      <c r="I112" s="18" t="n"/>
      <c r="J112" s="19">
        <f>IF(OR(H112="",I112=""),"",IFERROR(ROUND(H112/I112-1,6),""))</f>
        <v/>
      </c>
      <c r="K112" s="20">
        <f>IF(J112="","",IF(J112&gt;$B$5,"ALERTA","OK"))</f>
        <v/>
      </c>
      <c r="L112" s="21" t="n"/>
      <c r="M112" s="22" t="inlineStr">
        <is>
          <t>Se usa en: 04 «Gin Tonic Premium».</t>
        </is>
      </c>
    </row>
    <row r="113">
      <c r="A113" s="14" t="inlineStr">
        <is>
          <t>Triple Sec / Cointreau</t>
        </is>
      </c>
      <c r="B113" s="14" t="inlineStr">
        <is>
          <t>Bebidas/licores</t>
        </is>
      </c>
      <c r="C113" s="14" t="n"/>
      <c r="D113" s="14" t="inlineStr">
        <is>
          <t>Botella 70 cl</t>
        </is>
      </c>
      <c r="E113" s="15" t="n">
        <v>0.7</v>
      </c>
      <c r="F113" s="15" t="inlineStr">
        <is>
          <t>L</t>
        </is>
      </c>
      <c r="G113" s="16" t="n">
        <v>12.6</v>
      </c>
      <c r="H113" s="17">
        <f>IF(OR(E113="",G113=""),"",IFERROR(ROUND(G113/E113,4),""))</f>
        <v>18.0</v>
      </c>
      <c r="I113" s="18" t="n"/>
      <c r="J113" s="19">
        <f>IF(OR(H113="",I113=""),"",IFERROR(ROUND(H113/I113-1,6),""))</f>
        <v/>
      </c>
      <c r="K113" s="20">
        <f>IF(J113="","",IF(J113&gt;$B$5,"ALERTA","OK"))</f>
        <v/>
      </c>
      <c r="L113" s="21" t="n"/>
      <c r="M113" s="22" t="inlineStr">
        <is>
          <t>Se usa en: 04 «Margarita».</t>
        </is>
      </c>
    </row>
    <row r="114">
      <c r="A114" s="14" t="inlineStr">
        <is>
          <t>Vino blanco seco</t>
        </is>
      </c>
      <c r="B114" s="14" t="inlineStr">
        <is>
          <t>Bebidas/licores</t>
        </is>
      </c>
      <c r="C114" s="14" t="n"/>
      <c r="D114" s="14" t="inlineStr">
        <is>
          <t>Botella 75 cl</t>
        </is>
      </c>
      <c r="E114" s="15" t="n">
        <v>0.75</v>
      </c>
      <c r="F114" s="15" t="inlineStr">
        <is>
          <t>L</t>
        </is>
      </c>
      <c r="G114" s="16" t="n">
        <v>3.75</v>
      </c>
      <c r="H114" s="17">
        <f>IF(OR(E114="",G114=""),"",IFERROR(ROUND(G114/E114,4),""))</f>
        <v>5.0</v>
      </c>
      <c r="I114" s="18" t="n"/>
      <c r="J114" s="19">
        <f>IF(OR(H114="",I114=""),"",IFERROR(ROUND(H114/I114-1,6),""))</f>
        <v/>
      </c>
      <c r="K114" s="20">
        <f>IF(J114="","",IF(J114&gt;$B$5,"ALERTA","OK"))</f>
        <v/>
      </c>
      <c r="L114" s="21" t="n"/>
      <c r="M114" s="22" t="inlineStr">
        <is>
          <t>Se usa en: 02 «3. Pescado».</t>
        </is>
      </c>
    </row>
    <row r="115">
      <c r="A115" s="14" t="inlineStr">
        <is>
          <t>Vino Pedro Ximénez</t>
        </is>
      </c>
      <c r="B115" s="14" t="inlineStr">
        <is>
          <t>Bebidas/licores</t>
        </is>
      </c>
      <c r="C115" s="14" t="n"/>
      <c r="D115" s="14" t="inlineStr">
        <is>
          <t>Por litro</t>
        </is>
      </c>
      <c r="E115" s="15" t="n">
        <v>1</v>
      </c>
      <c r="F115" s="15" t="inlineStr">
        <is>
          <t>L</t>
        </is>
      </c>
      <c r="G115" s="16" t="n">
        <v>8.5</v>
      </c>
      <c r="H115" s="17">
        <f>IF(OR(E115="",G115=""),"",IFERROR(ROUND(G115/E115,4),""))</f>
        <v>8.5</v>
      </c>
      <c r="I115" s="18" t="n"/>
      <c r="J115" s="19">
        <f>IF(OR(H115="",I115=""),"",IFERROR(ROUND(H115/I115-1,6),""))</f>
        <v/>
      </c>
      <c r="K115" s="20">
        <f>IF(J115="","",IF(J115&gt;$B$5,"ALERTA","OK"))</f>
        <v/>
      </c>
      <c r="L115" s="21" t="n"/>
      <c r="M115" s="22" t="inlineStr">
        <is>
          <t>Se usa en: 01 «Escandallo».</t>
        </is>
      </c>
    </row>
    <row r="116">
      <c r="A116" s="14" t="inlineStr">
        <is>
          <t>Vino tinto reserva</t>
        </is>
      </c>
      <c r="B116" s="14" t="inlineStr">
        <is>
          <t>Bebidas/licores</t>
        </is>
      </c>
      <c r="C116" s="14" t="n"/>
      <c r="D116" s="14" t="inlineStr">
        <is>
          <t>Botella 75 cl</t>
        </is>
      </c>
      <c r="E116" s="15" t="n">
        <v>0.75</v>
      </c>
      <c r="F116" s="15" t="inlineStr">
        <is>
          <t>L</t>
        </is>
      </c>
      <c r="G116" s="16" t="n">
        <v>4.5</v>
      </c>
      <c r="H116" s="17">
        <f>IF(OR(E116="",G116=""),"",IFERROR(ROUND(G116/E116,4),""))</f>
        <v>6.0</v>
      </c>
      <c r="I116" s="18" t="n"/>
      <c r="J116" s="19">
        <f>IF(OR(H116="",I116=""),"",IFERROR(ROUND(H116/I116-1,6),""))</f>
        <v/>
      </c>
      <c r="K116" s="20">
        <f>IF(J116="","",IF(J116&gt;$B$5,"ALERTA","OK"))</f>
        <v/>
      </c>
      <c r="L116" s="21" t="n"/>
      <c r="M116" s="22" t="inlineStr">
        <is>
          <t>Se usa en: 02 «4. Carne».</t>
        </is>
      </c>
    </row>
    <row r="117">
      <c r="A117" s="14" t="inlineStr">
        <is>
          <t>Trufa negra</t>
        </is>
      </c>
      <c r="B117" s="14" t="inlineStr">
        <is>
          <t>Setas/hongos</t>
        </is>
      </c>
      <c r="C117" s="14" t="n"/>
      <c r="D117" s="14" t="inlineStr">
        <is>
          <t>Al peso (precio por kg)</t>
        </is>
      </c>
      <c r="E117" s="15" t="n">
        <v>1</v>
      </c>
      <c r="F117" s="15" t="inlineStr">
        <is>
          <t>kg</t>
        </is>
      </c>
      <c r="G117" s="16" t="n">
        <v>800</v>
      </c>
      <c r="H117" s="17">
        <f>IF(OR(E117="",G117=""),"",IFERROR(ROUND(G117/E117,4),""))</f>
        <v>800.0</v>
      </c>
      <c r="I117" s="18" t="n"/>
      <c r="J117" s="19">
        <f>IF(OR(H117="",I117=""),"",IFERROR(ROUND(H117/I117-1,6),""))</f>
        <v/>
      </c>
      <c r="K117" s="20">
        <f>IF(J117="","",IF(J117&gt;$B$5,"ALERTA","OK"))</f>
        <v/>
      </c>
      <c r="L117" s="21" t="n"/>
      <c r="M117" s="22" t="inlineStr">
        <is>
          <t>Se usa en: 02 «2. Entrante».</t>
        </is>
      </c>
    </row>
    <row r="118">
      <c r="A118" s="14" t="inlineStr">
        <is>
          <t>Aceitunas negras</t>
        </is>
      </c>
      <c r="B118" s="14" t="inlineStr">
        <is>
          <t>Conservas/encurtidos</t>
        </is>
      </c>
      <c r="C118" s="14" t="n"/>
      <c r="D118" s="14" t="inlineStr">
        <is>
          <t>Al peso (precio por kg)</t>
        </is>
      </c>
      <c r="E118" s="15" t="n">
        <v>1</v>
      </c>
      <c r="F118" s="15" t="inlineStr">
        <is>
          <t>kg</t>
        </is>
      </c>
      <c r="G118" s="16" t="n">
        <v>5</v>
      </c>
      <c r="H118" s="17">
        <f>IF(OR(E118="",G118=""),"",IFERROR(ROUND(G118/E118,4),""))</f>
        <v>5.0</v>
      </c>
      <c r="I118" s="18" t="n"/>
      <c r="J118" s="19">
        <f>IF(OR(H118="",I118=""),"",IFERROR(ROUND(H118/I118-1,6),""))</f>
        <v/>
      </c>
      <c r="K118" s="20">
        <f>IF(J118="","",IF(J118&gt;$B$5,"ALERTA","OK"))</f>
        <v/>
      </c>
      <c r="L118" s="21" t="n"/>
      <c r="M118" s="22" t="inlineStr">
        <is>
          <t>Se usa en: 03 «Primer Plato».</t>
        </is>
      </c>
    </row>
    <row r="119">
      <c r="A119" s="14" t="inlineStr">
        <is>
          <t>Pepinillos</t>
        </is>
      </c>
      <c r="B119" s="14" t="inlineStr">
        <is>
          <t>Conservas/encurtidos</t>
        </is>
      </c>
      <c r="C119" s="14" t="n"/>
      <c r="D119" s="14" t="inlineStr">
        <is>
          <t>Al peso (precio por kg)</t>
        </is>
      </c>
      <c r="E119" s="15" t="n">
        <v>1</v>
      </c>
      <c r="F119" s="15" t="inlineStr">
        <is>
          <t>kg</t>
        </is>
      </c>
      <c r="G119" s="16" t="n">
        <v>4</v>
      </c>
      <c r="H119" s="17">
        <f>IF(OR(E119="",G119=""),"",IFERROR(ROUND(G119/E119,4),""))</f>
        <v>4.0</v>
      </c>
      <c r="I119" s="18" t="n"/>
      <c r="J119" s="19">
        <f>IF(OR(H119="",I119=""),"",IFERROR(ROUND(H119/I119-1,6),""))</f>
        <v/>
      </c>
      <c r="K119" s="20">
        <f>IF(J119="","",IF(J119&gt;$B$5,"ALERTA","OK"))</f>
        <v/>
      </c>
      <c r="L119" s="21" t="n"/>
      <c r="M119" s="22" t="inlineStr">
        <is>
          <t>Se usa en: 08 «Smash Burger», «Pulled Pork Sándwich».</t>
        </is>
      </c>
    </row>
    <row r="120">
      <c r="A120" s="14" t="inlineStr">
        <is>
          <t>Caramelo líquido</t>
        </is>
      </c>
      <c r="B120" s="14" t="inlineStr">
        <is>
          <t>Salsas/condimentos</t>
        </is>
      </c>
      <c r="C120" s="14" t="n"/>
      <c r="D120" s="14" t="inlineStr">
        <is>
          <t>Al peso (precio por kg)</t>
        </is>
      </c>
      <c r="E120" s="15" t="n">
        <v>1</v>
      </c>
      <c r="F120" s="15" t="inlineStr">
        <is>
          <t>kg</t>
        </is>
      </c>
      <c r="G120" s="16" t="n">
        <v>4</v>
      </c>
      <c r="H120" s="17">
        <f>IF(OR(E120="",G120=""),"",IFERROR(ROUND(G120/E120,4),""))</f>
        <v>4.0</v>
      </c>
      <c r="I120" s="18" t="n"/>
      <c r="J120" s="19">
        <f>IF(OR(H120="",I120=""),"",IFERROR(ROUND(H120/I120-1,6),""))</f>
        <v/>
      </c>
      <c r="K120" s="20">
        <f>IF(J120="","",IF(J120&gt;$B$5,"ALERTA","OK"))</f>
        <v/>
      </c>
      <c r="L120" s="21" t="n"/>
      <c r="M120" s="22" t="inlineStr">
        <is>
          <t>Se usa en: 03 «Postre».</t>
        </is>
      </c>
    </row>
    <row r="121">
      <c r="A121" s="14" t="inlineStr">
        <is>
          <t>Fondo oscuro de ternera</t>
        </is>
      </c>
      <c r="B121" s="14" t="inlineStr">
        <is>
          <t>Salsas/condimentos</t>
        </is>
      </c>
      <c r="C121" s="14" t="n"/>
      <c r="D121" s="14" t="inlineStr">
        <is>
          <t>Por litro</t>
        </is>
      </c>
      <c r="E121" s="15" t="n">
        <v>1</v>
      </c>
      <c r="F121" s="15" t="inlineStr">
        <is>
          <t>L</t>
        </is>
      </c>
      <c r="G121" s="16" t="n">
        <v>12</v>
      </c>
      <c r="H121" s="17">
        <f>IF(OR(E121="",G121=""),"",IFERROR(ROUND(G121/E121,4),""))</f>
        <v>12.0</v>
      </c>
      <c r="I121" s="18" t="n"/>
      <c r="J121" s="19">
        <f>IF(OR(H121="",I121=""),"",IFERROR(ROUND(H121/I121-1,6),""))</f>
        <v/>
      </c>
      <c r="K121" s="20">
        <f>IF(J121="","",IF(J121&gt;$B$5,"ALERTA","OK"))</f>
        <v/>
      </c>
      <c r="L121" s="21" t="n"/>
      <c r="M121" s="22" t="inlineStr">
        <is>
          <t>Se usa en: 01 «Escandallo».</t>
        </is>
      </c>
    </row>
    <row r="122">
      <c r="A122" s="14" t="inlineStr">
        <is>
          <t>Salsa BBQ</t>
        </is>
      </c>
      <c r="B122" s="14" t="inlineStr">
        <is>
          <t>Salsas/condimentos</t>
        </is>
      </c>
      <c r="C122" s="14" t="n"/>
      <c r="D122" s="14" t="inlineStr">
        <is>
          <t>Botella 2 L</t>
        </is>
      </c>
      <c r="E122" s="15" t="n">
        <v>2</v>
      </c>
      <c r="F122" s="15" t="inlineStr">
        <is>
          <t>L</t>
        </is>
      </c>
      <c r="G122" s="16" t="n">
        <v>8</v>
      </c>
      <c r="H122" s="17">
        <f>IF(OR(E122="",G122=""),"",IFERROR(ROUND(G122/E122,4),""))</f>
        <v>4.0</v>
      </c>
      <c r="I122" s="18" t="n"/>
      <c r="J122" s="19">
        <f>IF(OR(H122="",I122=""),"",IFERROR(ROUND(H122/I122-1,6),""))</f>
        <v/>
      </c>
      <c r="K122" s="20">
        <f>IF(J122="","",IF(J122&gt;$B$5,"ALERTA","OK"))</f>
        <v/>
      </c>
      <c r="L122" s="21" t="n"/>
      <c r="M122" s="22" t="inlineStr">
        <is>
          <t>Se usa en: 08 «Loaded Fries», «Pulled Pork Sándwich».</t>
        </is>
      </c>
    </row>
    <row r="123">
      <c r="A123" s="14" t="inlineStr">
        <is>
          <t>Salsa de soja</t>
        </is>
      </c>
      <c r="B123" s="14" t="inlineStr">
        <is>
          <t>Salsas/condimentos</t>
        </is>
      </c>
      <c r="C123" s="14" t="n"/>
      <c r="D123" s="14" t="inlineStr">
        <is>
          <t>Por litro</t>
        </is>
      </c>
      <c r="E123" s="15" t="n">
        <v>1</v>
      </c>
      <c r="F123" s="15" t="inlineStr">
        <is>
          <t>L</t>
        </is>
      </c>
      <c r="G123" s="16" t="n">
        <v>6</v>
      </c>
      <c r="H123" s="17">
        <f>IF(OR(E123="",G123=""),"",IFERROR(ROUND(G123/E123,4),""))</f>
        <v>6.0</v>
      </c>
      <c r="I123" s="18" t="n"/>
      <c r="J123" s="19">
        <f>IF(OR(H123="",I123=""),"",IFERROR(ROUND(H123/I123-1,6),""))</f>
        <v/>
      </c>
      <c r="K123" s="20">
        <f>IF(J123="","",IF(J123&gt;$B$5,"ALERTA","OK"))</f>
        <v/>
      </c>
      <c r="L123" s="21" t="n"/>
      <c r="M123" s="22" t="inlineStr">
        <is>
          <t>Se usa en: 02 «1. Aperitivo».</t>
        </is>
      </c>
    </row>
    <row r="124">
      <c r="A124" s="14" t="inlineStr">
        <is>
          <t>Salsa especial</t>
        </is>
      </c>
      <c r="B124" s="14" t="inlineStr">
        <is>
          <t>Salsas/condimentos</t>
        </is>
      </c>
      <c r="C124" s="14" t="n"/>
      <c r="D124" s="14" t="inlineStr">
        <is>
          <t>Por litro</t>
        </is>
      </c>
      <c r="E124" s="15" t="n">
        <v>1</v>
      </c>
      <c r="F124" s="15" t="inlineStr">
        <is>
          <t>L</t>
        </is>
      </c>
      <c r="G124" s="16" t="n">
        <v>5</v>
      </c>
      <c r="H124" s="17">
        <f>IF(OR(E124="",G124=""),"",IFERROR(ROUND(G124/E124,4),""))</f>
        <v>5.0</v>
      </c>
      <c r="I124" s="18" t="n"/>
      <c r="J124" s="19">
        <f>IF(OR(H124="",I124=""),"",IFERROR(ROUND(H124/I124-1,6),""))</f>
        <v/>
      </c>
      <c r="K124" s="20">
        <f>IF(J124="","",IF(J124&gt;$B$5,"ALERTA","OK"))</f>
        <v/>
      </c>
      <c r="L124" s="21" t="n"/>
      <c r="M124" s="22" t="inlineStr">
        <is>
          <t>Se usa en: 08 «Smash Burger».</t>
        </is>
      </c>
    </row>
    <row r="125">
      <c r="A125" s="14" t="n"/>
      <c r="B125" s="14" t="n"/>
      <c r="C125" s="14" t="n"/>
      <c r="D125" s="14" t="n"/>
      <c r="E125" s="15" t="n"/>
      <c r="F125" s="15" t="n"/>
      <c r="G125" s="16" t="n"/>
      <c r="H125" s="17">
        <f>IF(OR(E125="",G125=""),"",IFERROR(ROUND(G125/E125,4),""))</f>
        <v/>
      </c>
      <c r="I125" s="18" t="n"/>
      <c r="J125" s="19">
        <f>IF(OR(H125="",I125=""),"",IFERROR(ROUND(H125/I125-1,6),""))</f>
        <v/>
      </c>
      <c r="K125" s="20">
        <f>IF(J125="","",IF(J125&gt;$B$5,"ALERTA","OK"))</f>
        <v/>
      </c>
      <c r="L125" s="21" t="n"/>
      <c r="M125" s="22" t="n"/>
    </row>
    <row r="126">
      <c r="A126" s="14" t="n"/>
      <c r="B126" s="14" t="n"/>
      <c r="C126" s="14" t="n"/>
      <c r="D126" s="14" t="n"/>
      <c r="E126" s="15" t="n"/>
      <c r="F126" s="15" t="n"/>
      <c r="G126" s="16" t="n"/>
      <c r="H126" s="17">
        <f>IF(OR(E126="",G126=""),"",IFERROR(ROUND(G126/E126,4),""))</f>
        <v/>
      </c>
      <c r="I126" s="18" t="n"/>
      <c r="J126" s="19">
        <f>IF(OR(H126="",I126=""),"",IFERROR(ROUND(H126/I126-1,6),""))</f>
        <v/>
      </c>
      <c r="K126" s="20">
        <f>IF(J126="","",IF(J126&gt;$B$5,"ALERTA","OK"))</f>
        <v/>
      </c>
      <c r="L126" s="21" t="n"/>
      <c r="M126" s="22" t="n"/>
    </row>
    <row r="127">
      <c r="A127" s="14" t="n"/>
      <c r="B127" s="14" t="n"/>
      <c r="C127" s="14" t="n"/>
      <c r="D127" s="14" t="n"/>
      <c r="E127" s="15" t="n"/>
      <c r="F127" s="15" t="n"/>
      <c r="G127" s="16" t="n"/>
      <c r="H127" s="17">
        <f>IF(OR(E127="",G127=""),"",IFERROR(ROUND(G127/E127,4),""))</f>
        <v/>
      </c>
      <c r="I127" s="18" t="n"/>
      <c r="J127" s="19">
        <f>IF(OR(H127="",I127=""),"",IFERROR(ROUND(H127/I127-1,6),""))</f>
        <v/>
      </c>
      <c r="K127" s="20">
        <f>IF(J127="","",IF(J127&gt;$B$5,"ALERTA","OK"))</f>
        <v/>
      </c>
      <c r="L127" s="21" t="n"/>
      <c r="M127" s="22" t="n"/>
    </row>
    <row r="128">
      <c r="A128" s="14" t="n"/>
      <c r="B128" s="14" t="n"/>
      <c r="C128" s="14" t="n"/>
      <c r="D128" s="14" t="n"/>
      <c r="E128" s="15" t="n"/>
      <c r="F128" s="15" t="n"/>
      <c r="G128" s="16" t="n"/>
      <c r="H128" s="17">
        <f>IF(OR(E128="",G128=""),"",IFERROR(ROUND(G128/E128,4),""))</f>
        <v/>
      </c>
      <c r="I128" s="18" t="n"/>
      <c r="J128" s="19">
        <f>IF(OR(H128="",I128=""),"",IFERROR(ROUND(H128/I128-1,6),""))</f>
        <v/>
      </c>
      <c r="K128" s="20">
        <f>IF(J128="","",IF(J128&gt;$B$5,"ALERTA","OK"))</f>
        <v/>
      </c>
      <c r="L128" s="21" t="n"/>
      <c r="M128" s="22" t="n"/>
    </row>
    <row r="129">
      <c r="A129" s="14" t="n"/>
      <c r="B129" s="14" t="n"/>
      <c r="C129" s="14" t="n"/>
      <c r="D129" s="14" t="n"/>
      <c r="E129" s="15" t="n"/>
      <c r="F129" s="15" t="n"/>
      <c r="G129" s="16" t="n"/>
      <c r="H129" s="17">
        <f>IF(OR(E129="",G129=""),"",IFERROR(ROUND(G129/E129,4),""))</f>
        <v/>
      </c>
      <c r="I129" s="18" t="n"/>
      <c r="J129" s="19">
        <f>IF(OR(H129="",I129=""),"",IFERROR(ROUND(H129/I129-1,6),""))</f>
        <v/>
      </c>
      <c r="K129" s="20">
        <f>IF(J129="","",IF(J129&gt;$B$5,"ALERTA","OK"))</f>
        <v/>
      </c>
      <c r="L129" s="21" t="n"/>
      <c r="M129" s="22" t="n"/>
    </row>
    <row r="130">
      <c r="A130" s="14" t="n"/>
      <c r="B130" s="14" t="n"/>
      <c r="C130" s="14" t="n"/>
      <c r="D130" s="14" t="n"/>
      <c r="E130" s="15" t="n"/>
      <c r="F130" s="15" t="n"/>
      <c r="G130" s="16" t="n"/>
      <c r="H130" s="17">
        <f>IF(OR(E130="",G130=""),"",IFERROR(ROUND(G130/E130,4),""))</f>
        <v/>
      </c>
      <c r="I130" s="18" t="n"/>
      <c r="J130" s="19">
        <f>IF(OR(H130="",I130=""),"",IFERROR(ROUND(H130/I130-1,6),""))</f>
        <v/>
      </c>
      <c r="K130" s="20">
        <f>IF(J130="","",IF(J130&gt;$B$5,"ALERTA","OK"))</f>
        <v/>
      </c>
      <c r="L130" s="21" t="n"/>
      <c r="M130" s="22" t="n"/>
    </row>
    <row r="131">
      <c r="A131" s="14" t="n"/>
      <c r="B131" s="14" t="n"/>
      <c r="C131" s="14" t="n"/>
      <c r="D131" s="14" t="n"/>
      <c r="E131" s="15" t="n"/>
      <c r="F131" s="15" t="n"/>
      <c r="G131" s="16" t="n"/>
      <c r="H131" s="17">
        <f>IF(OR(E131="",G131=""),"",IFERROR(ROUND(G131/E131,4),""))</f>
        <v/>
      </c>
      <c r="I131" s="18" t="n"/>
      <c r="J131" s="19">
        <f>IF(OR(H131="",I131=""),"",IFERROR(ROUND(H131/I131-1,6),""))</f>
        <v/>
      </c>
      <c r="K131" s="20">
        <f>IF(J131="","",IF(J131&gt;$B$5,"ALERTA","OK"))</f>
        <v/>
      </c>
      <c r="L131" s="21" t="n"/>
      <c r="M131" s="22" t="n"/>
    </row>
    <row r="132">
      <c r="A132" s="14" t="n"/>
      <c r="B132" s="14" t="n"/>
      <c r="C132" s="14" t="n"/>
      <c r="D132" s="14" t="n"/>
      <c r="E132" s="15" t="n"/>
      <c r="F132" s="15" t="n"/>
      <c r="G132" s="16" t="n"/>
      <c r="H132" s="17">
        <f>IF(OR(E132="",G132=""),"",IFERROR(ROUND(G132/E132,4),""))</f>
        <v/>
      </c>
      <c r="I132" s="18" t="n"/>
      <c r="J132" s="19">
        <f>IF(OR(H132="",I132=""),"",IFERROR(ROUND(H132/I132-1,6),""))</f>
        <v/>
      </c>
      <c r="K132" s="20">
        <f>IF(J132="","",IF(J132&gt;$B$5,"ALERTA","OK"))</f>
        <v/>
      </c>
      <c r="L132" s="21" t="n"/>
      <c r="M132" s="22" t="n"/>
    </row>
    <row r="133">
      <c r="A133" s="14" t="n"/>
      <c r="B133" s="14" t="n"/>
      <c r="C133" s="14" t="n"/>
      <c r="D133" s="14" t="n"/>
      <c r="E133" s="15" t="n"/>
      <c r="F133" s="15" t="n"/>
      <c r="G133" s="16" t="n"/>
      <c r="H133" s="17">
        <f>IF(OR(E133="",G133=""),"",IFERROR(ROUND(G133/E133,4),""))</f>
        <v/>
      </c>
      <c r="I133" s="18" t="n"/>
      <c r="J133" s="19">
        <f>IF(OR(H133="",I133=""),"",IFERROR(ROUND(H133/I133-1,6),""))</f>
        <v/>
      </c>
      <c r="K133" s="20">
        <f>IF(J133="","",IF(J133&gt;$B$5,"ALERTA","OK"))</f>
        <v/>
      </c>
      <c r="L133" s="21" t="n"/>
      <c r="M133" s="22" t="n"/>
    </row>
    <row r="134">
      <c r="A134" s="14" t="n"/>
      <c r="B134" s="14" t="n"/>
      <c r="C134" s="14" t="n"/>
      <c r="D134" s="14" t="n"/>
      <c r="E134" s="15" t="n"/>
      <c r="F134" s="15" t="n"/>
      <c r="G134" s="16" t="n"/>
      <c r="H134" s="17">
        <f>IF(OR(E134="",G134=""),"",IFERROR(ROUND(G134/E134,4),""))</f>
        <v/>
      </c>
      <c r="I134" s="18" t="n"/>
      <c r="J134" s="19">
        <f>IF(OR(H134="",I134=""),"",IFERROR(ROUND(H134/I134-1,6),""))</f>
        <v/>
      </c>
      <c r="K134" s="20">
        <f>IF(J134="","",IF(J134&gt;$B$5,"ALERTA","OK"))</f>
        <v/>
      </c>
      <c r="L134" s="21" t="n"/>
      <c r="M134" s="22" t="n"/>
    </row>
    <row r="135">
      <c r="A135" s="14" t="n"/>
      <c r="B135" s="14" t="n"/>
      <c r="C135" s="14" t="n"/>
      <c r="D135" s="14" t="n"/>
      <c r="E135" s="15" t="n"/>
      <c r="F135" s="15" t="n"/>
      <c r="G135" s="16" t="n"/>
      <c r="H135" s="17">
        <f>IF(OR(E135="",G135=""),"",IFERROR(ROUND(G135/E135,4),""))</f>
        <v/>
      </c>
      <c r="I135" s="18" t="n"/>
      <c r="J135" s="19">
        <f>IF(OR(H135="",I135=""),"",IFERROR(ROUND(H135/I135-1,6),""))</f>
        <v/>
      </c>
      <c r="K135" s="20">
        <f>IF(J135="","",IF(J135&gt;$B$5,"ALERTA","OK"))</f>
        <v/>
      </c>
      <c r="L135" s="21" t="n"/>
      <c r="M135" s="22" t="n"/>
    </row>
    <row r="136">
      <c r="A136" s="14" t="n"/>
      <c r="B136" s="14" t="n"/>
      <c r="C136" s="14" t="n"/>
      <c r="D136" s="14" t="n"/>
      <c r="E136" s="15" t="n"/>
      <c r="F136" s="15" t="n"/>
      <c r="G136" s="16" t="n"/>
      <c r="H136" s="17">
        <f>IF(OR(E136="",G136=""),"",IFERROR(ROUND(G136/E136,4),""))</f>
        <v/>
      </c>
      <c r="I136" s="18" t="n"/>
      <c r="J136" s="19">
        <f>IF(OR(H136="",I136=""),"",IFERROR(ROUND(H136/I136-1,6),""))</f>
        <v/>
      </c>
      <c r="K136" s="20">
        <f>IF(J136="","",IF(J136&gt;$B$5,"ALERTA","OK"))</f>
        <v/>
      </c>
      <c r="L136" s="21" t="n"/>
      <c r="M136" s="22" t="n"/>
    </row>
    <row r="137">
      <c r="A137" s="14" t="n"/>
      <c r="B137" s="14" t="n"/>
      <c r="C137" s="14" t="n"/>
      <c r="D137" s="14" t="n"/>
      <c r="E137" s="15" t="n"/>
      <c r="F137" s="15" t="n"/>
      <c r="G137" s="16" t="n"/>
      <c r="H137" s="17">
        <f>IF(OR(E137="",G137=""),"",IFERROR(ROUND(G137/E137,4),""))</f>
        <v/>
      </c>
      <c r="I137" s="18" t="n"/>
      <c r="J137" s="19">
        <f>IF(OR(H137="",I137=""),"",IFERROR(ROUND(H137/I137-1,6),""))</f>
        <v/>
      </c>
      <c r="K137" s="20">
        <f>IF(J137="","",IF(J137&gt;$B$5,"ALERTA","OK"))</f>
        <v/>
      </c>
      <c r="L137" s="21" t="n"/>
      <c r="M137" s="22" t="n"/>
    </row>
    <row r="138">
      <c r="A138" s="14" t="n"/>
      <c r="B138" s="14" t="n"/>
      <c r="C138" s="14" t="n"/>
      <c r="D138" s="14" t="n"/>
      <c r="E138" s="15" t="n"/>
      <c r="F138" s="15" t="n"/>
      <c r="G138" s="16" t="n"/>
      <c r="H138" s="17">
        <f>IF(OR(E138="",G138=""),"",IFERROR(ROUND(G138/E138,4),""))</f>
        <v/>
      </c>
      <c r="I138" s="18" t="n"/>
      <c r="J138" s="19">
        <f>IF(OR(H138="",I138=""),"",IFERROR(ROUND(H138/I138-1,6),""))</f>
        <v/>
      </c>
      <c r="K138" s="20">
        <f>IF(J138="","",IF(J138&gt;$B$5,"ALERTA","OK"))</f>
        <v/>
      </c>
      <c r="L138" s="21" t="n"/>
      <c r="M138" s="22" t="n"/>
    </row>
    <row r="139">
      <c r="A139" s="14" t="n"/>
      <c r="B139" s="14" t="n"/>
      <c r="C139" s="14" t="n"/>
      <c r="D139" s="14" t="n"/>
      <c r="E139" s="15" t="n"/>
      <c r="F139" s="15" t="n"/>
      <c r="G139" s="16" t="n"/>
      <c r="H139" s="17">
        <f>IF(OR(E139="",G139=""),"",IFERROR(ROUND(G139/E139,4),""))</f>
        <v/>
      </c>
      <c r="I139" s="18" t="n"/>
      <c r="J139" s="19">
        <f>IF(OR(H139="",I139=""),"",IFERROR(ROUND(H139/I139-1,6),""))</f>
        <v/>
      </c>
      <c r="K139" s="20">
        <f>IF(J139="","",IF(J139&gt;$B$5,"ALERTA","OK"))</f>
        <v/>
      </c>
      <c r="L139" s="21" t="n"/>
      <c r="M139" s="22" t="n"/>
    </row>
    <row r="140">
      <c r="A140" s="14" t="n"/>
      <c r="B140" s="14" t="n"/>
      <c r="C140" s="14" t="n"/>
      <c r="D140" s="14" t="n"/>
      <c r="E140" s="15" t="n"/>
      <c r="F140" s="15" t="n"/>
      <c r="G140" s="16" t="n"/>
      <c r="H140" s="17">
        <f>IF(OR(E140="",G140=""),"",IFERROR(ROUND(G140/E140,4),""))</f>
        <v/>
      </c>
      <c r="I140" s="18" t="n"/>
      <c r="J140" s="19">
        <f>IF(OR(H140="",I140=""),"",IFERROR(ROUND(H140/I140-1,6),""))</f>
        <v/>
      </c>
      <c r="K140" s="20">
        <f>IF(J140="","",IF(J140&gt;$B$5,"ALERTA","OK"))</f>
        <v/>
      </c>
      <c r="L140" s="21" t="n"/>
      <c r="M140" s="22" t="n"/>
    </row>
    <row r="141">
      <c r="A141" s="14" t="n"/>
      <c r="B141" s="14" t="n"/>
      <c r="C141" s="14" t="n"/>
      <c r="D141" s="14" t="n"/>
      <c r="E141" s="15" t="n"/>
      <c r="F141" s="15" t="n"/>
      <c r="G141" s="16" t="n"/>
      <c r="H141" s="17">
        <f>IF(OR(E141="",G141=""),"",IFERROR(ROUND(G141/E141,4),""))</f>
        <v/>
      </c>
      <c r="I141" s="18" t="n"/>
      <c r="J141" s="19">
        <f>IF(OR(H141="",I141=""),"",IFERROR(ROUND(H141/I141-1,6),""))</f>
        <v/>
      </c>
      <c r="K141" s="20">
        <f>IF(J141="","",IF(J141&gt;$B$5,"ALERTA","OK"))</f>
        <v/>
      </c>
      <c r="L141" s="21" t="n"/>
      <c r="M141" s="22" t="n"/>
    </row>
    <row r="142">
      <c r="A142" s="14" t="n"/>
      <c r="B142" s="14" t="n"/>
      <c r="C142" s="14" t="n"/>
      <c r="D142" s="14" t="n"/>
      <c r="E142" s="15" t="n"/>
      <c r="F142" s="15" t="n"/>
      <c r="G142" s="16" t="n"/>
      <c r="H142" s="17">
        <f>IF(OR(E142="",G142=""),"",IFERROR(ROUND(G142/E142,4),""))</f>
        <v/>
      </c>
      <c r="I142" s="18" t="n"/>
      <c r="J142" s="19">
        <f>IF(OR(H142="",I142=""),"",IFERROR(ROUND(H142/I142-1,6),""))</f>
        <v/>
      </c>
      <c r="K142" s="20">
        <f>IF(J142="","",IF(J142&gt;$B$5,"ALERTA","OK"))</f>
        <v/>
      </c>
      <c r="L142" s="21" t="n"/>
      <c r="M142" s="22" t="n"/>
    </row>
    <row r="143">
      <c r="A143" s="14" t="n"/>
      <c r="B143" s="14" t="n"/>
      <c r="C143" s="14" t="n"/>
      <c r="D143" s="14" t="n"/>
      <c r="E143" s="15" t="n"/>
      <c r="F143" s="15" t="n"/>
      <c r="G143" s="16" t="n"/>
      <c r="H143" s="17">
        <f>IF(OR(E143="",G143=""),"",IFERROR(ROUND(G143/E143,4),""))</f>
        <v/>
      </c>
      <c r="I143" s="18" t="n"/>
      <c r="J143" s="19">
        <f>IF(OR(H143="",I143=""),"",IFERROR(ROUND(H143/I143-1,6),""))</f>
        <v/>
      </c>
      <c r="K143" s="20">
        <f>IF(J143="","",IF(J143&gt;$B$5,"ALERTA","OK"))</f>
        <v/>
      </c>
      <c r="L143" s="21" t="n"/>
      <c r="M143" s="22" t="n"/>
    </row>
    <row r="144">
      <c r="A144" s="14" t="n"/>
      <c r="B144" s="14" t="n"/>
      <c r="C144" s="14" t="n"/>
      <c r="D144" s="14" t="n"/>
      <c r="E144" s="15" t="n"/>
      <c r="F144" s="15" t="n"/>
      <c r="G144" s="16" t="n"/>
      <c r="H144" s="17">
        <f>IF(OR(E144="",G144=""),"",IFERROR(ROUND(G144/E144,4),""))</f>
        <v/>
      </c>
      <c r="I144" s="18" t="n"/>
      <c r="J144" s="19">
        <f>IF(OR(H144="",I144=""),"",IFERROR(ROUND(H144/I144-1,6),""))</f>
        <v/>
      </c>
      <c r="K144" s="20">
        <f>IF(J144="","",IF(J144&gt;$B$5,"ALERTA","OK"))</f>
        <v/>
      </c>
      <c r="L144" s="21" t="n"/>
      <c r="M144" s="22" t="n"/>
    </row>
    <row r="145">
      <c r="A145" s="14" t="n"/>
      <c r="B145" s="14" t="n"/>
      <c r="C145" s="14" t="n"/>
      <c r="D145" s="14" t="n"/>
      <c r="E145" s="15" t="n"/>
      <c r="F145" s="15" t="n"/>
      <c r="G145" s="16" t="n"/>
      <c r="H145" s="17">
        <f>IF(OR(E145="",G145=""),"",IFERROR(ROUND(G145/E145,4),""))</f>
        <v/>
      </c>
      <c r="I145" s="18" t="n"/>
      <c r="J145" s="19">
        <f>IF(OR(H145="",I145=""),"",IFERROR(ROUND(H145/I145-1,6),""))</f>
        <v/>
      </c>
      <c r="K145" s="20">
        <f>IF(J145="","",IF(J145&gt;$B$5,"ALERTA","OK"))</f>
        <v/>
      </c>
      <c r="L145" s="21" t="n"/>
      <c r="M145" s="22" t="n"/>
    </row>
    <row r="146">
      <c r="A146" s="14" t="n"/>
      <c r="B146" s="14" t="n"/>
      <c r="C146" s="14" t="n"/>
      <c r="D146" s="14" t="n"/>
      <c r="E146" s="15" t="n"/>
      <c r="F146" s="15" t="n"/>
      <c r="G146" s="16" t="n"/>
      <c r="H146" s="17">
        <f>IF(OR(E146="",G146=""),"",IFERROR(ROUND(G146/E146,4),""))</f>
        <v/>
      </c>
      <c r="I146" s="18" t="n"/>
      <c r="J146" s="19">
        <f>IF(OR(H146="",I146=""),"",IFERROR(ROUND(H146/I146-1,6),""))</f>
        <v/>
      </c>
      <c r="K146" s="20">
        <f>IF(J146="","",IF(J146&gt;$B$5,"ALERTA","OK"))</f>
        <v/>
      </c>
      <c r="L146" s="21" t="n"/>
      <c r="M146" s="22" t="n"/>
    </row>
    <row r="147">
      <c r="A147" s="14" t="n"/>
      <c r="B147" s="14" t="n"/>
      <c r="C147" s="14" t="n"/>
      <c r="D147" s="14" t="n"/>
      <c r="E147" s="15" t="n"/>
      <c r="F147" s="15" t="n"/>
      <c r="G147" s="16" t="n"/>
      <c r="H147" s="17">
        <f>IF(OR(E147="",G147=""),"",IFERROR(ROUND(G147/E147,4),""))</f>
        <v/>
      </c>
      <c r="I147" s="18" t="n"/>
      <c r="J147" s="19">
        <f>IF(OR(H147="",I147=""),"",IFERROR(ROUND(H147/I147-1,6),""))</f>
        <v/>
      </c>
      <c r="K147" s="20">
        <f>IF(J147="","",IF(J147&gt;$B$5,"ALERTA","OK"))</f>
        <v/>
      </c>
      <c r="L147" s="21" t="n"/>
      <c r="M147" s="22" t="n"/>
    </row>
    <row r="148">
      <c r="A148" s="14" t="n"/>
      <c r="B148" s="14" t="n"/>
      <c r="C148" s="14" t="n"/>
      <c r="D148" s="14" t="n"/>
      <c r="E148" s="15" t="n"/>
      <c r="F148" s="15" t="n"/>
      <c r="G148" s="16" t="n"/>
      <c r="H148" s="17">
        <f>IF(OR(E148="",G148=""),"",IFERROR(ROUND(G148/E148,4),""))</f>
        <v/>
      </c>
      <c r="I148" s="18" t="n"/>
      <c r="J148" s="19">
        <f>IF(OR(H148="",I148=""),"",IFERROR(ROUND(H148/I148-1,6),""))</f>
        <v/>
      </c>
      <c r="K148" s="20">
        <f>IF(J148="","",IF(J148&gt;$B$5,"ALERTA","OK"))</f>
        <v/>
      </c>
      <c r="L148" s="21" t="n"/>
      <c r="M148" s="22" t="n"/>
    </row>
    <row r="149">
      <c r="A149" s="14" t="n"/>
      <c r="B149" s="14" t="n"/>
      <c r="C149" s="14" t="n"/>
      <c r="D149" s="14" t="n"/>
      <c r="E149" s="15" t="n"/>
      <c r="F149" s="15" t="n"/>
      <c r="G149" s="16" t="n"/>
      <c r="H149" s="17">
        <f>IF(OR(E149="",G149=""),"",IFERROR(ROUND(G149/E149,4),""))</f>
        <v/>
      </c>
      <c r="I149" s="18" t="n"/>
      <c r="J149" s="19">
        <f>IF(OR(H149="",I149=""),"",IFERROR(ROUND(H149/I149-1,6),""))</f>
        <v/>
      </c>
      <c r="K149" s="20">
        <f>IF(J149="","",IF(J149&gt;$B$5,"ALERTA","OK"))</f>
        <v/>
      </c>
      <c r="L149" s="21" t="n"/>
      <c r="M149" s="22" t="n"/>
    </row>
    <row r="150">
      <c r="A150" s="14" t="n"/>
      <c r="B150" s="14" t="n"/>
      <c r="C150" s="14" t="n"/>
      <c r="D150" s="14" t="n"/>
      <c r="E150" s="15" t="n"/>
      <c r="F150" s="15" t="n"/>
      <c r="G150" s="16" t="n"/>
      <c r="H150" s="17">
        <f>IF(OR(E150="",G150=""),"",IFERROR(ROUND(G150/E150,4),""))</f>
        <v/>
      </c>
      <c r="I150" s="18" t="n"/>
      <c r="J150" s="19">
        <f>IF(OR(H150="",I150=""),"",IFERROR(ROUND(H150/I150-1,6),""))</f>
        <v/>
      </c>
      <c r="K150" s="20">
        <f>IF(J150="","",IF(J150&gt;$B$5,"ALERTA","OK"))</f>
        <v/>
      </c>
      <c r="L150" s="21" t="n"/>
      <c r="M150" s="22" t="n"/>
    </row>
    <row r="151">
      <c r="A151" s="14" t="n"/>
      <c r="B151" s="14" t="n"/>
      <c r="C151" s="14" t="n"/>
      <c r="D151" s="14" t="n"/>
      <c r="E151" s="15" t="n"/>
      <c r="F151" s="15" t="n"/>
      <c r="G151" s="16" t="n"/>
      <c r="H151" s="17">
        <f>IF(OR(E151="",G151=""),"",IFERROR(ROUND(G151/E151,4),""))</f>
        <v/>
      </c>
      <c r="I151" s="18" t="n"/>
      <c r="J151" s="19">
        <f>IF(OR(H151="",I151=""),"",IFERROR(ROUND(H151/I151-1,6),""))</f>
        <v/>
      </c>
      <c r="K151" s="20">
        <f>IF(J151="","",IF(J151&gt;$B$5,"ALERTA","OK"))</f>
        <v/>
      </c>
      <c r="L151" s="21" t="n"/>
      <c r="M151" s="22" t="n"/>
    </row>
    <row r="152">
      <c r="A152" s="14" t="n"/>
      <c r="B152" s="14" t="n"/>
      <c r="C152" s="14" t="n"/>
      <c r="D152" s="14" t="n"/>
      <c r="E152" s="15" t="n"/>
      <c r="F152" s="15" t="n"/>
      <c r="G152" s="16" t="n"/>
      <c r="H152" s="17">
        <f>IF(OR(E152="",G152=""),"",IFERROR(ROUND(G152/E152,4),""))</f>
        <v/>
      </c>
      <c r="I152" s="18" t="n"/>
      <c r="J152" s="19">
        <f>IF(OR(H152="",I152=""),"",IFERROR(ROUND(H152/I152-1,6),""))</f>
        <v/>
      </c>
      <c r="K152" s="20">
        <f>IF(J152="","",IF(J152&gt;$B$5,"ALERTA","OK"))</f>
        <v/>
      </c>
      <c r="L152" s="21" t="n"/>
      <c r="M152" s="22" t="n"/>
    </row>
    <row r="153">
      <c r="A153" s="14" t="n"/>
      <c r="B153" s="14" t="n"/>
      <c r="C153" s="14" t="n"/>
      <c r="D153" s="14" t="n"/>
      <c r="E153" s="15" t="n"/>
      <c r="F153" s="15" t="n"/>
      <c r="G153" s="16" t="n"/>
      <c r="H153" s="17">
        <f>IF(OR(E153="",G153=""),"",IFERROR(ROUND(G153/E153,4),""))</f>
        <v/>
      </c>
      <c r="I153" s="18" t="n"/>
      <c r="J153" s="19">
        <f>IF(OR(H153="",I153=""),"",IFERROR(ROUND(H153/I153-1,6),""))</f>
        <v/>
      </c>
      <c r="K153" s="20">
        <f>IF(J153="","",IF(J153&gt;$B$5,"ALERTA","OK"))</f>
        <v/>
      </c>
      <c r="L153" s="21" t="n"/>
      <c r="M153" s="22" t="n"/>
    </row>
    <row r="154">
      <c r="A154" s="14" t="n"/>
      <c r="B154" s="14" t="n"/>
      <c r="C154" s="14" t="n"/>
      <c r="D154" s="14" t="n"/>
      <c r="E154" s="15" t="n"/>
      <c r="F154" s="15" t="n"/>
      <c r="G154" s="16" t="n"/>
      <c r="H154" s="17">
        <f>IF(OR(E154="",G154=""),"",IFERROR(ROUND(G154/E154,4),""))</f>
        <v/>
      </c>
      <c r="I154" s="18" t="n"/>
      <c r="J154" s="19">
        <f>IF(OR(H154="",I154=""),"",IFERROR(ROUND(H154/I154-1,6),""))</f>
        <v/>
      </c>
      <c r="K154" s="20">
        <f>IF(J154="","",IF(J154&gt;$B$5,"ALERTA","OK"))</f>
        <v/>
      </c>
      <c r="L154" s="21" t="n"/>
      <c r="M154" s="22" t="n"/>
    </row>
    <row r="155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autoFilter ref="A9:M154"/>
  <mergeCells count="3">
    <mergeCell ref="A1:L1"/>
    <mergeCell ref="C5:F5"/>
    <mergeCell ref="A2:L2"/>
  </mergeCells>
  <conditionalFormatting sqref="K10:K154">
    <cfRule type="cellIs" priority="1" operator="equal" dxfId="0">
      <formula>"ALERTA"</formula>
    </cfRule>
    <cfRule type="cellIs" priority="2" operator="equal" dxfId="1">
      <formula>"OK"</formula>
    </cfRule>
  </conditionalFormatting>
  <dataValidations count="1">
    <dataValidation sqref="F10:F154" showDropDown="0" showInputMessage="0" showErrorMessage="1" allowBlank="1" errorTitle="Valor no válido" error="Elige una unidad de la lista." type="list">
      <formula1>"kg,g,L,ml,cl,ud,docena,manojo,sobre,lata,botella"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Lista de Precios de Ingredientes · Kit de Escandallos Pro</dc:title>
  <dc:description xmlns:dc="http://purl.org/dc/elements/1.1/">aichef.pro/kit-escandallos</dc:description>
  <dc:subject xmlns:dc="http://purl.org/dc/elements/1.1/">Kit de Escandallos Pro · v2.1</dc:subject>
  <dcterms:created xmlns:dcterms="http://purl.org/dc/terms/" xmlns:xsi="http://www.w3.org/2001/XMLSchema-instance" xsi:type="dcterms:W3CDTF">2026-09-24T15:25:00Z</dcterms:created>
  <dcterms:modified xmlns:dcterms="http://purl.org/dc/terms/" xmlns:xsi="http://www.w3.org/2001/XMLSchema-instance" xsi:type="dcterms:W3CDTF">2026-09-24T15:25:00Z</dcterms:modified>
  <cp:lastModifiedBy>AI Chef Pro</cp:lastModifiedBy>
  <cp:category>AI Chef Pro · Productos digitales</cp:category>
  <cp:keywords>kit escandallos, AI Chef Pro</cp:keywords>
</cp:coreProperties>
</file>