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ta Chocolate" sheetId="2" state="visible" r:id="rId2"/>
    <sheet xmlns:r="http://schemas.openxmlformats.org/officeDocument/2006/relationships" name="Croissants" sheetId="3" state="visible" r:id="rId3"/>
    <sheet xmlns:r="http://schemas.openxmlformats.org/officeDocument/2006/relationships" name="Macarons" sheetId="4" state="visible" r:id="rId4"/>
    <sheet xmlns:r="http://schemas.openxmlformats.org/officeDocument/2006/relationships" name="Conversiones" sheetId="5" state="visible" r:id="rId5"/>
    <sheet xmlns:r="http://schemas.openxmlformats.org/officeDocument/2006/relationships" name="Mermas" sheetId="6" state="visible" r:id="rId6"/>
  </sheets>
  <definedNames>
    <definedName name="_xlnm.Print_Titles" localSheetId="1">'Tarta Chocolate'!$4:$4</definedName>
    <definedName name="_xlnm.Print_Area" localSheetId="1">'Tarta Chocolate'!$A$1:$J$38</definedName>
    <definedName name="_xlnm.Print_Titles" localSheetId="2">'Croissants'!$4:$4</definedName>
    <definedName name="_xlnm.Print_Area" localSheetId="2">'Croissants'!$A$1:$J$37</definedName>
    <definedName name="_xlnm.Print_Titles" localSheetId="3">'Macarons'!$4:$4</definedName>
    <definedName name="_xlnm.Print_Area" localSheetId="3">'Macarons'!$A$1:$J$37</definedName>
    <definedName name="_xlnm.Print_Area" localSheetId="4">'Conversiones'!$A$1:$J$67</definedName>
    <definedName name="_xlnm.Print_Area" localSheetId="5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Pastelería y Repostería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Una pestaña por elaboración: tarta de chocolate (12 raciones), croissants (20 unidades) y macarons (30 unidades).</t>
        </is>
      </c>
    </row>
    <row r="9">
      <c r="B9" s="6" t="inlineStr">
        <is>
          <t>▸ El escandallo es de la TANDA COMPLETA. «Rendimiento (uds por tanda)» reparte el coste: «COSTE POR UNIDAD» y «PVP POR UNIDAD» son los que van a la vitrina, no el total de la tanda.</t>
        </is>
      </c>
    </row>
    <row r="10">
      <c r="B10" s="6" t="inlineStr">
        <is>
          <t>▸ Mermas propias de obrador ya cargadas: 12 % en el chocolate de cobertura (pérdida de temperado) y 8 % en las harinas (evaporación de horneado).</t>
        </is>
      </c>
    </row>
    <row r="11">
      <c r="B11" s="6" t="inlineStr">
        <is>
          <t>▸ El colorante se escandalla por bote: 2 g de un bote de 50 g = 0,04 botes, no 0,1 «unidades».</t>
        </is>
      </c>
    </row>
    <row r="12">
      <c r="B12" s="6" t="inlineStr">
        <is>
          <t>▸ Food cost objetivo de referencia en pastelería: 20-30 %.</t>
        </is>
      </c>
    </row>
    <row r="13">
      <c r="B13" s="6" t="inlineStr">
        <is>
          <t>▸ Las celdas VERDES son las editables; el resto son fórmulas.</t>
        </is>
      </c>
    </row>
    <row r="14"/>
    <row r="15">
      <c r="B15" s="4" t="inlineStr">
        <is>
          <t>Columnas de la hoja de escandallo</t>
        </is>
      </c>
    </row>
    <row r="16"/>
    <row r="17">
      <c r="B17" s="6" t="inlineStr">
        <is>
          <t>▸ Ingrediente: el producto tal como lo compras.</t>
        </is>
      </c>
    </row>
    <row r="18">
      <c r="B18" s="6" t="inlineStr">
        <is>
          <t>▸ Categoría: familia del ingrediente (desplegable). Es la que precarga la merma en las filas vacías.</t>
        </is>
      </c>
    </row>
    <row r="19">
      <c r="B19" s="6" t="inlineStr">
        <is>
          <t>▸ Ud. Compra: la unidad en la que COMPRAS (kg, L, docena, manojo…).</t>
        </is>
      </c>
    </row>
    <row r="20">
      <c r="B20" s="6" t="inlineStr">
        <is>
          <t>▸ Precio/Ud (€): lo que pagas por esa unidad de compra.</t>
        </is>
      </c>
    </row>
    <row r="21">
      <c r="B21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2">
      <c r="B22" s="6" t="inlineStr">
        <is>
          <t>▸ Cantidad: la que usas en la elaboración, EN LA UNIDAD DE USO.</t>
        </is>
      </c>
    </row>
    <row r="23">
      <c r="B23" s="6" t="inlineStr">
        <is>
          <t>▸ Ud. Uso: la unidad en la que mides al cocinar (g, ml, cl, ud…).</t>
        </is>
      </c>
    </row>
    <row r="24">
      <c r="B24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5">
      <c r="B25" s="6" t="inlineStr">
        <is>
          <t>▸ Merma (%): desperdicio. En las filas de ejemplo está escrita a mano; en las vacías la trae la hoja «Mermas» en cuanto eliges categoría, y puedes escribir encima.</t>
        </is>
      </c>
    </row>
    <row r="26">
      <c r="B26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7">
      <c r="B27" s="6" t="inlineStr">
        <is>
          <t>▸ Cant. Bruta: lo que hay que comprar contando la merma (automático).</t>
        </is>
      </c>
    </row>
    <row r="28">
      <c r="B28" s="6" t="inlineStr">
        <is>
          <t>▸ Coste (€): Cant. Bruta × Precio/Ud ÷ Factor (automático).</t>
        </is>
      </c>
    </row>
    <row r="29"/>
    <row r="30">
      <c r="B30" s="4" t="inlineStr">
        <is>
          <t>Bloque de resultado</t>
        </is>
      </c>
    </row>
    <row r="31"/>
    <row r="32">
      <c r="B32" s="6" t="inlineStr">
        <is>
          <t>▸ Coste elaboración (%): recargo sobre la materia prima para cubrir energía del horno, envasado y pérdidas de obrador que no se escandallan línea a línea. Viene al 10 %; ponlo a 0 % si prefieres imputar esos costes aparte.</t>
        </is>
      </c>
    </row>
    <row r="33">
      <c r="B33" s="6" t="inlineStr">
        <is>
          <t>▸ COSTE TOTAL DE LA TANDA: lo que cuesta la receta completa, no una pieza. Todo el escandallo está en cantidades de TANDA.</t>
        </is>
      </c>
    </row>
    <row r="34">
      <c r="B34" s="6" t="inlineStr">
        <is>
          <t>▸ Rendimiento (uds por tanda): cuántas piezas salen de la receta completa (12 tartas, 20 croissants, 30 macarons…). Es la celda verde que reparte el coste.</t>
        </is>
      </c>
    </row>
    <row r="35">
      <c r="B35" s="6" t="inlineStr">
        <is>
          <t>▸ COSTE POR UNIDAD: coste de la tanda ÷ rendimiento. Es lo que te cuesta la pieza que pones en la vitrina.</t>
        </is>
      </c>
    </row>
    <row r="36">
      <c r="B36" s="6" t="inlineStr">
        <is>
          <t>▸ Food Cost objetivo (%): el que quieres conseguir. PVP POR UNIDAD (sin IVA) = coste por unidad ÷ food cost objetivo.</t>
        </is>
      </c>
    </row>
    <row r="37">
      <c r="B37" s="6" t="inlineStr">
        <is>
          <t>▸ Tipo de IVA (%): editable. 10 % en hostelería en España; cámbialo si te aplica otro tipo (IGIC en Canarias, o el IVA/ITBIS/IVU de tu país en Latinoamérica).</t>
        </is>
      </c>
    </row>
    <row r="38">
      <c r="B38" s="6" t="inlineStr">
        <is>
          <t>▸ PVP actual en carta (sin IVA): lo que cobras HOY por PIEZA. Déjalo vacío si todavía no lo tienes.</t>
        </is>
      </c>
    </row>
    <row r="39">
      <c r="B39" s="6" t="inlineStr">
        <is>
          <t>▸ FOOD COST REAL (%): coste por unidad ÷ PVP actual. Se pone en rojo en cuanto supera tu objetivo.</t>
        </is>
      </c>
    </row>
    <row r="40"/>
    <row r="41">
      <c r="B41" s="4" t="inlineStr">
        <is>
          <t>Hojas auxiliares</t>
        </is>
      </c>
    </row>
    <row r="42"/>
    <row r="43">
      <c r="B43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4">
      <c r="B44" s="6" t="inlineStr">
        <is>
          <t>▸ «Mermas»: merma mínima, típica y máxima por categoría. La típica es la que se precarga en las filas vacías.</t>
        </is>
      </c>
    </row>
    <row r="45"/>
    <row r="46">
      <c r="B46" s="4" t="inlineStr">
        <is>
          <t>Protección de la hoja</t>
        </is>
      </c>
    </row>
    <row r="47"/>
    <row r="48">
      <c r="B48" s="6" t="inlineStr">
        <is>
          <t>▸ Las hojas están protegidas SIN contraseña para que no borres una fórmula sin querer: sólo se escriben las celdas verdes.</t>
        </is>
      </c>
    </row>
    <row r="49">
      <c r="B49" s="6" t="inlineStr">
        <is>
          <t>▸ Para tocar cualquier otra cosa —insertar filas, pegar la foto de la elaboración, cambiar una fórmula—: Revisar → Desproteger hoja. No pide contraseña.</t>
        </is>
      </c>
    </row>
    <row r="50">
      <c r="B50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51">
      <c r="B51" s="6" t="inlineStr">
        <is>
          <t>▸ La foto de la elaboración NO se puede arrastrar con la hoja protegida: primero Revisar → Desproteger hoja, y después Insertar → Imagen.</t>
        </is>
      </c>
    </row>
    <row r="52"/>
    <row r="53">
      <c r="B53" s="4" t="inlineStr">
        <is>
          <t>Referencia de mermas estándar</t>
        </is>
      </c>
    </row>
    <row r="54"/>
    <row r="55">
      <c r="B55" s="6" t="inlineStr">
        <is>
          <t>▸ Carne roja 20 % | Aves 25 % | Pescado 35 % | Marisco 45 %</t>
        </is>
      </c>
    </row>
    <row r="56">
      <c r="B56" s="6" t="inlineStr">
        <is>
          <t>▸ Verdura hoja 25 % | Verdura raíz 12 % | Verdura fruto 10 % | Fruta 15 %</t>
        </is>
      </c>
    </row>
    <row r="57">
      <c r="B57" s="6" t="inlineStr">
        <is>
          <t>▸ Lácteos 3 % | Secos/granos 2 % | Congelados 7 % | Pan/bollería 5 %</t>
        </is>
      </c>
    </row>
    <row r="58">
      <c r="B58" s="6" t="inlineStr">
        <is>
          <t>▸ Huevos 11 % | Aceites/grasas 3 % | Especias/hierbas 20 % | Chocolate/cacao 5 %</t>
        </is>
      </c>
    </row>
    <row r="59">
      <c r="B59" s="6" t="inlineStr">
        <is>
          <t>▸ Bebidas/licores 2 % | Setas/hongos 20 % | Conservas/encurtidos 8 % | Salsas/condimentos 5 %</t>
        </is>
      </c>
    </row>
    <row r="60">
      <c r="B60" s="6" t="inlineStr">
        <is>
          <t>▸ Pasta/arroz 2 %</t>
        </is>
      </c>
    </row>
    <row r="61">
      <c r="B61" s="6" t="inlineStr">
        <is>
          <t>▸ Son las 21 categorías del desplegable. La tabla completa, con mínimo y máximo, está en la hoja «Mermas».</t>
        </is>
      </c>
    </row>
    <row r="62"/>
    <row r="63">
      <c r="B63" s="6" t="inlineStr">
        <is>
          <t>— Kit de Escandallos Pro · AI Chef Pro · aichef.pro</t>
        </is>
      </c>
    </row>
    <row r="64"/>
    <row r="65">
      <c r="B65" s="6" t="inlineStr">
        <is>
          <t>© 2026 AI Chef Pro · Todos los derechos reservados</t>
        </is>
      </c>
    </row>
    <row r="66"/>
    <row r="67">
      <c r="B67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Tarta de Chocolate 70% — 12 raciones</t>
        </is>
      </c>
    </row>
    <row r="2" ht="30" customHeight="1">
      <c r="A2" s="51" t="inlineStr">
        <is>
          <t>El escandallo es de la TANDA COMPLETA: el «Rendimiento» reparte el coste entre las unidades que salen. Las celdas verdes son las editables.</t>
        </is>
      </c>
    </row>
    <row r="3">
      <c r="L3" s="10" t="inlineStr">
        <is>
          <t>📷 Foto de la Elaboración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Chocolate negro 70%</t>
        </is>
      </c>
      <c r="B5" s="53" t="inlineStr">
        <is>
          <t>Chocolate/cacao</t>
        </is>
      </c>
      <c r="C5" s="53" t="inlineStr">
        <is>
          <t>kg</t>
        </is>
      </c>
      <c r="D5" s="54" t="n">
        <v>18</v>
      </c>
      <c r="E5" s="55" t="n">
        <v>0.4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0.12</v>
      </c>
      <c r="I5" s="20">
        <f>IFERROR(IF(E5="","",E5/(1-H5)),"revisa merma")</f>
        <v>0.4545454545454546</v>
      </c>
      <c r="J5" s="21">
        <f>IF(G5="?","revisa unidades",IFERROR(I5*D5/G5,""))</f>
        <v>8.181818181818183</v>
      </c>
      <c r="L5" s="22" t="n"/>
      <c r="M5" s="23" t="n"/>
    </row>
    <row r="6" ht="28" customHeight="1">
      <c r="A6" s="52" t="inlineStr">
        <is>
          <t>Mantequilla</t>
        </is>
      </c>
      <c r="B6" s="53" t="inlineStr">
        <is>
          <t>Lácteos</t>
        </is>
      </c>
      <c r="C6" s="53" t="inlineStr">
        <is>
          <t>kg</t>
        </is>
      </c>
      <c r="D6" s="54" t="n">
        <v>9</v>
      </c>
      <c r="E6" s="55" t="n">
        <v>0.25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0.03</v>
      </c>
      <c r="I6" s="20">
        <f>IFERROR(IF(E6="","",E6/(1-H6)),"revisa merma")</f>
        <v>0.2577319587628866</v>
      </c>
      <c r="J6" s="21">
        <f>IF(G6="?","revisa unidades",IFERROR(I6*D6/G6,""))</f>
        <v>2.3195876288659796</v>
      </c>
      <c r="L6" s="22" t="n"/>
      <c r="M6" s="23" t="n"/>
    </row>
    <row r="7" ht="28" customHeight="1">
      <c r="A7" s="52" t="inlineStr">
        <is>
          <t>Huevos (unidades)</t>
        </is>
      </c>
      <c r="B7" s="53" t="inlineStr">
        <is>
          <t>Huevos</t>
        </is>
      </c>
      <c r="C7" s="53" t="inlineStr">
        <is>
          <t>docena</t>
        </is>
      </c>
      <c r="D7" s="54" t="n">
        <v>3.6</v>
      </c>
      <c r="E7" s="55" t="n">
        <v>6</v>
      </c>
      <c r="F7" s="53" t="inlineStr">
        <is>
          <t>ud</t>
        </is>
      </c>
      <c r="G7" s="56">
        <f>IF(C7&amp;F7="","",IFERROR(VLOOKUP(C7&amp;"→"&amp;F7,Conversiones!$A$5:$B$67,2,FALSE),"?"))</f>
        <v>12.0</v>
      </c>
      <c r="H7" s="57" t="n">
        <v>0</v>
      </c>
      <c r="I7" s="20">
        <f>IFERROR(IF(E7="","",E7/(1-H7)),"revisa merma")</f>
        <v>6.0</v>
      </c>
      <c r="J7" s="21">
        <f>IF(G7="?","revisa unidades",IFERROR(I7*D7/G7,""))</f>
        <v>1.8</v>
      </c>
      <c r="L7" s="22" t="n"/>
      <c r="M7" s="23" t="n"/>
    </row>
    <row r="8" ht="28" customHeight="1">
      <c r="A8" s="52" t="inlineStr">
        <is>
          <t>Azúcar</t>
        </is>
      </c>
      <c r="B8" s="53" t="inlineStr">
        <is>
          <t>Secos/granos</t>
        </is>
      </c>
      <c r="C8" s="53" t="inlineStr">
        <is>
          <t>kg</t>
        </is>
      </c>
      <c r="D8" s="54" t="n">
        <v>1.2</v>
      </c>
      <c r="E8" s="55" t="n">
        <v>0.2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0.02</v>
      </c>
      <c r="I8" s="20">
        <f>IFERROR(IF(E8="","",E8/(1-H8)),"revisa merma")</f>
        <v>0.20408163265306123</v>
      </c>
      <c r="J8" s="21">
        <f>IF(G8="?","revisa unidades",IFERROR(I8*D8/G8,""))</f>
        <v>0.24489795918367346</v>
      </c>
      <c r="L8" s="24" t="inlineStr">
        <is>
          <t>Foto de la elaboración terminada:
Revisar → Desproteger hoja,
luego Insertar → Imagen</t>
        </is>
      </c>
      <c r="M8" s="25" t="n"/>
    </row>
    <row r="9" ht="28" customHeight="1">
      <c r="A9" s="52" t="inlineStr">
        <is>
          <t>Harina floja</t>
        </is>
      </c>
      <c r="B9" s="53" t="inlineStr">
        <is>
          <t>Secos/granos</t>
        </is>
      </c>
      <c r="C9" s="53" t="inlineStr">
        <is>
          <t>kg</t>
        </is>
      </c>
      <c r="D9" s="54" t="n">
        <v>0.9</v>
      </c>
      <c r="E9" s="55" t="n">
        <v>0.12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0.08</v>
      </c>
      <c r="I9" s="20">
        <f>IFERROR(IF(E9="","",E9/(1-H9)),"revisa merma")</f>
        <v>0.13043478260869565</v>
      </c>
      <c r="J9" s="21">
        <f>IF(G9="?","revisa unidades",IFERROR(I9*D9/G9,""))</f>
        <v>0.11739130434782609</v>
      </c>
      <c r="L9" s="26" t="n"/>
      <c r="M9" s="27" t="n"/>
    </row>
    <row r="10" ht="28" customHeight="1">
      <c r="A10" s="52" t="inlineStr">
        <is>
          <t>Nata 35% MG</t>
        </is>
      </c>
      <c r="B10" s="53" t="inlineStr">
        <is>
          <t>Lácteos</t>
        </is>
      </c>
      <c r="C10" s="53" t="inlineStr">
        <is>
          <t>L</t>
        </is>
      </c>
      <c r="D10" s="54" t="n">
        <v>3.8</v>
      </c>
      <c r="E10" s="55" t="n">
        <v>0.2</v>
      </c>
      <c r="F10" s="53" t="inlineStr">
        <is>
          <t>L</t>
        </is>
      </c>
      <c r="G10" s="56">
        <f>IF(C10&amp;F10="","",IFERROR(VLOOKUP(C10&amp;"→"&amp;F10,Conversiones!$A$5:$B$67,2,FALSE),"?"))</f>
        <v>1.0</v>
      </c>
      <c r="H10" s="57" t="n">
        <v>0.03</v>
      </c>
      <c r="I10" s="20">
        <f>IFERROR(IF(E10="","",E10/(1-H10)),"revisa merma")</f>
        <v>0.2061855670103093</v>
      </c>
      <c r="J10" s="21">
        <f>IF(G10="?","revisa unidades",IFERROR(I10*D10/G10,""))</f>
        <v>0.7835051546391752</v>
      </c>
      <c r="L10" s="22" t="n"/>
      <c r="M10" s="23" t="n"/>
    </row>
    <row r="11" ht="28" customHeight="1">
      <c r="A11" s="52" t="inlineStr">
        <is>
          <t>Cacao en polvo</t>
        </is>
      </c>
      <c r="B11" s="53" t="inlineStr">
        <is>
          <t>Chocolate/cacao</t>
        </is>
      </c>
      <c r="C11" s="53" t="inlineStr">
        <is>
          <t>kg</t>
        </is>
      </c>
      <c r="D11" s="54" t="n">
        <v>12</v>
      </c>
      <c r="E11" s="55" t="n">
        <v>0.03</v>
      </c>
      <c r="F11" s="53" t="inlineStr">
        <is>
          <t>kg</t>
        </is>
      </c>
      <c r="G11" s="56">
        <f>IF(C11&amp;F11="","",IFERROR(VLOOKUP(C11&amp;"→"&amp;F11,Conversiones!$A$5:$B$67,2,FALSE),"?"))</f>
        <v>1.0</v>
      </c>
      <c r="H11" s="57" t="n">
        <v>0.05</v>
      </c>
      <c r="I11" s="20">
        <f>IFERROR(IF(E11="","",E11/(1-H11)),"revisa merma")</f>
        <v>0.031578947368421054</v>
      </c>
      <c r="J11" s="21">
        <f>IF(G11="?","revisa unidades",IFERROR(I11*D11/G11,""))</f>
        <v>0.37894736842105264</v>
      </c>
      <c r="L11" s="22" t="n"/>
      <c r="M11" s="23" t="n"/>
    </row>
    <row r="12" ht="28" customHeight="1">
      <c r="A12" s="52" t="inlineStr">
        <is>
          <t>Sal</t>
        </is>
      </c>
      <c r="B12" s="53" t="inlineStr">
        <is>
          <t>Secos/granos</t>
        </is>
      </c>
      <c r="C12" s="53" t="inlineStr">
        <is>
          <t>kg</t>
        </is>
      </c>
      <c r="D12" s="54" t="n">
        <v>0.6</v>
      </c>
      <c r="E12" s="55" t="n">
        <v>0.003</v>
      </c>
      <c r="F12" s="53" t="inlineStr">
        <is>
          <t>kg</t>
        </is>
      </c>
      <c r="G12" s="56">
        <f>IF(C12&amp;F12="","",IFERROR(VLOOKUP(C12&amp;"→"&amp;F12,Conversiones!$A$5:$B$67,2,FALSE),"?"))</f>
        <v>1.0</v>
      </c>
      <c r="H12" s="57" t="n">
        <v>0.02</v>
      </c>
      <c r="I12" s="20">
        <f>IFERROR(IF(E12="","",E12/(1-H12)),"revisa merma")</f>
        <v>0.0030612244897959186</v>
      </c>
      <c r="J12" s="21">
        <f>IF(G12="?","revisa unidades",IFERROR(I12*D12/G12,""))</f>
        <v>0.0018367346938775511</v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IF(C22&amp;F22="","",IFERROR(VLOOKUP(C22&amp;"→"&amp;F22,Conversiones!$A$5:$B$67,2,FALSE),"?"))</f>
        <v/>
      </c>
      <c r="H22" s="59">
        <f>IFERROR(VLOOKUP(B22,Mermas!$A$5:$C$25,2,FALSE),"")</f>
        <v/>
      </c>
      <c r="I22" s="30">
        <f>IFERROR(IF(E22="","",E22/(1-H22)),"revisa merma")</f>
        <v/>
      </c>
      <c r="J22" s="31">
        <f>IF(G22="?","revisa unidades",IFERROR(I22*D22/G22,""))</f>
        <v/>
      </c>
    </row>
    <row r="23"/>
    <row r="24">
      <c r="A24" s="35" t="inlineStr">
        <is>
          <t>COSTE TOTAL INGREDIENTES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36">
        <f>SUM(J5:J22)</f>
        <v>13.82798433196977</v>
      </c>
    </row>
    <row r="25">
      <c r="A25" s="37" t="inlineStr">
        <is>
          <t>Coste elaboración (%)</t>
        </is>
      </c>
      <c r="B25" s="49" t="n"/>
      <c r="C25" s="49" t="n"/>
      <c r="D25" s="49" t="n"/>
      <c r="E25" s="49" t="n"/>
      <c r="F25" s="49" t="n"/>
      <c r="G25" s="49" t="n"/>
      <c r="H25" s="50" t="n"/>
      <c r="I25" s="60" t="n">
        <v>0.1</v>
      </c>
      <c r="J25" s="38">
        <f>J24*I25</f>
        <v>1.3827984331969772</v>
      </c>
    </row>
    <row r="26">
      <c r="A26" s="39" t="inlineStr">
        <is>
          <t>COSTE TOTAL DE LA TANDA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J24+J25</f>
        <v>15.210782765166748</v>
      </c>
    </row>
    <row r="27">
      <c r="A27" s="37" t="inlineStr">
        <is>
          <t>Rendimiento (uds por tanda)</t>
        </is>
      </c>
      <c r="B27" s="49" t="n"/>
      <c r="C27" s="49" t="n"/>
      <c r="D27" s="49" t="n"/>
      <c r="E27" s="49" t="n"/>
      <c r="F27" s="49" t="n"/>
      <c r="G27" s="49" t="n"/>
      <c r="H27" s="50" t="n"/>
      <c r="I27" s="61" t="n">
        <v>12</v>
      </c>
      <c r="J27" s="38" t="n"/>
    </row>
    <row r="28">
      <c r="A28" s="39" t="inlineStr">
        <is>
          <t>COSTE POR UNIDAD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IFERROR(J26/I27,"")</f>
        <v>1.2675652304305622</v>
      </c>
    </row>
    <row r="29"/>
    <row r="30">
      <c r="A30" s="41" t="inlineStr">
        <is>
          <t>Food Cost objetivo (%)</t>
        </is>
      </c>
      <c r="B30" s="49" t="n"/>
      <c r="C30" s="49" t="n"/>
      <c r="D30" s="49" t="n"/>
      <c r="E30" s="49" t="n"/>
      <c r="F30" s="49" t="n"/>
      <c r="G30" s="49" t="n"/>
      <c r="H30" s="50" t="n"/>
      <c r="I30" s="62" t="n">
        <v>0.25</v>
      </c>
    </row>
    <row r="31">
      <c r="A31" s="43" t="inlineStr">
        <is>
          <t>PVP POR UNIDAD (sin IVA)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IFERROR(J28/I30,"")</f>
        <v>5.070260921722249</v>
      </c>
    </row>
    <row r="32">
      <c r="A32" s="37" t="inlineStr">
        <is>
          <t>Tipo de IVA (%)</t>
        </is>
      </c>
      <c r="B32" s="49" t="n"/>
      <c r="C32" s="49" t="n"/>
      <c r="D32" s="49" t="n"/>
      <c r="E32" s="49" t="n"/>
      <c r="F32" s="49" t="n"/>
      <c r="G32" s="49" t="n"/>
      <c r="H32" s="50" t="n"/>
      <c r="I32" s="60" t="n">
        <v>0.1</v>
      </c>
      <c r="J32" s="38" t="n"/>
    </row>
    <row r="33">
      <c r="A33" s="39" t="inlineStr">
        <is>
          <t>PVP POR UNIDAD (con IVA)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0">
        <f>IFERROR(J31*(1+I32),"")</f>
        <v>5.577287013894474</v>
      </c>
    </row>
    <row r="34">
      <c r="A34" s="43" t="inlineStr">
        <is>
          <t>Margen bruto (€)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4">
        <f>IFERROR(J31-J28,"")</f>
        <v>3.802695691291687</v>
      </c>
    </row>
    <row r="35">
      <c r="A35" s="37" t="inlineStr">
        <is>
          <t>Margen bruto (%)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7">
        <f>IFERROR((J31-J28)/J31,"")</f>
        <v>0.75</v>
      </c>
    </row>
    <row r="36"/>
    <row r="37">
      <c r="A37" s="37" t="inlineStr">
        <is>
          <t>PVP actual en carta (sin IVA)</t>
        </is>
      </c>
      <c r="B37" s="49" t="n"/>
      <c r="C37" s="49" t="n"/>
      <c r="D37" s="49" t="n"/>
      <c r="E37" s="49" t="n"/>
      <c r="F37" s="49" t="n"/>
      <c r="G37" s="49" t="n"/>
      <c r="H37" s="50" t="n"/>
      <c r="I37" s="63" t="n"/>
      <c r="J37" s="38" t="n"/>
    </row>
    <row r="38">
      <c r="A38" s="39" t="inlineStr">
        <is>
          <t>FOOD COST REAL (%)</t>
        </is>
      </c>
      <c r="B38" s="49" t="n"/>
      <c r="C38" s="49" t="n"/>
      <c r="D38" s="49" t="n"/>
      <c r="E38" s="49" t="n"/>
      <c r="F38" s="49" t="n"/>
      <c r="G38" s="49" t="n"/>
      <c r="H38" s="49" t="n"/>
      <c r="I38" s="50" t="n"/>
      <c r="J38" s="64">
        <f>IFERROR(J28/I37,"")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0:H30"/>
    <mergeCell ref="A32:H32"/>
    <mergeCell ref="A34:I34"/>
    <mergeCell ref="L8:M9"/>
    <mergeCell ref="A2:J2"/>
    <mergeCell ref="A38:I38"/>
    <mergeCell ref="A27:H27"/>
    <mergeCell ref="A33:I33"/>
    <mergeCell ref="A31:I31"/>
    <mergeCell ref="A28:I28"/>
    <mergeCell ref="L3:M3"/>
    <mergeCell ref="A37:H37"/>
    <mergeCell ref="A26:I26"/>
    <mergeCell ref="A25:H25"/>
    <mergeCell ref="A35:I35"/>
    <mergeCell ref="A1:J1"/>
    <mergeCell ref="A24:I24"/>
  </mergeCells>
  <conditionalFormatting sqref="G5:G22">
    <cfRule type="cellIs" priority="1" operator="equal" dxfId="0">
      <formula>"?"</formula>
    </cfRule>
  </conditionalFormatting>
  <conditionalFormatting sqref="J38">
    <cfRule type="expression" priority="2" dxfId="0" stopIfTrue="0">
      <formula>AND(ISNUMBER($J$38),$J$38&gt;$I$30)</formula>
    </cfRule>
  </conditionalFormatting>
  <dataValidations count="2">
    <dataValidation sqref="B5:B22" showDropDown="0" showInputMessage="0" showErrorMessage="1" allowBlank="1" errorTitle="Valor no válido" error="Elige una categoría de la lista (hoja «Mermas»)." type="list">
      <formula1>Mermas!$A$5:$A$25</formula1>
    </dataValidation>
    <dataValidation sqref="C5:C22 F5:F22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Croissants de Mantequilla — 20 unidades</t>
        </is>
      </c>
    </row>
    <row r="2" ht="30" customHeight="1">
      <c r="A2" s="51" t="inlineStr">
        <is>
          <t>El escandallo es de la TANDA COMPLETA: el «Rendimiento» reparte el coste entre las unidades que salen. Las celdas verdes son las editables.</t>
        </is>
      </c>
    </row>
    <row r="3">
      <c r="L3" s="10" t="inlineStr">
        <is>
          <t>📷 Foto de la Elaboración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Harina de fuerza</t>
        </is>
      </c>
      <c r="B5" s="53" t="inlineStr">
        <is>
          <t>Secos/granos</t>
        </is>
      </c>
      <c r="C5" s="53" t="inlineStr">
        <is>
          <t>kg</t>
        </is>
      </c>
      <c r="D5" s="54" t="n">
        <v>1.1</v>
      </c>
      <c r="E5" s="55" t="n">
        <v>0.5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0.08</v>
      </c>
      <c r="I5" s="20">
        <f>IFERROR(IF(E5="","",E5/(1-H5)),"revisa merma")</f>
        <v>0.5434782608695652</v>
      </c>
      <c r="J5" s="21">
        <f>IF(G5="?","revisa unidades",IFERROR(I5*D5/G5,""))</f>
        <v>0.5978260869565217</v>
      </c>
      <c r="L5" s="22" t="n"/>
      <c r="M5" s="23" t="n"/>
    </row>
    <row r="6" ht="28" customHeight="1">
      <c r="A6" s="52" t="inlineStr">
        <is>
          <t>Mantequilla seca (82% MG)</t>
        </is>
      </c>
      <c r="B6" s="53" t="inlineStr">
        <is>
          <t>Lácteos</t>
        </is>
      </c>
      <c r="C6" s="53" t="inlineStr">
        <is>
          <t>kg</t>
        </is>
      </c>
      <c r="D6" s="54" t="n">
        <v>12</v>
      </c>
      <c r="E6" s="55" t="n">
        <v>0.28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0.03</v>
      </c>
      <c r="I6" s="20">
        <f>IFERROR(IF(E6="","",E6/(1-H6)),"revisa merma")</f>
        <v>0.288659793814433</v>
      </c>
      <c r="J6" s="21">
        <f>IF(G6="?","revisa unidades",IFERROR(I6*D6/G6,""))</f>
        <v>3.463917525773196</v>
      </c>
      <c r="L6" s="22" t="n"/>
      <c r="M6" s="23" t="n"/>
    </row>
    <row r="7" ht="28" customHeight="1">
      <c r="A7" s="52" t="inlineStr">
        <is>
          <t>Leche entera</t>
        </is>
      </c>
      <c r="B7" s="53" t="inlineStr">
        <is>
          <t>Lácteos</t>
        </is>
      </c>
      <c r="C7" s="53" t="inlineStr">
        <is>
          <t>L</t>
        </is>
      </c>
      <c r="D7" s="54" t="n">
        <v>1.1</v>
      </c>
      <c r="E7" s="55" t="n">
        <v>0.15</v>
      </c>
      <c r="F7" s="53" t="inlineStr">
        <is>
          <t>L</t>
        </is>
      </c>
      <c r="G7" s="56">
        <f>IF(C7&amp;F7="","",IFERROR(VLOOKUP(C7&amp;"→"&amp;F7,Conversiones!$A$5:$B$67,2,FALSE),"?"))</f>
        <v>1.0</v>
      </c>
      <c r="H7" s="57" t="n">
        <v>0.03</v>
      </c>
      <c r="I7" s="20">
        <f>IFERROR(IF(E7="","",E7/(1-H7)),"revisa merma")</f>
        <v>0.15463917525773196</v>
      </c>
      <c r="J7" s="21">
        <f>IF(G7="?","revisa unidades",IFERROR(I7*D7/G7,""))</f>
        <v>0.17010309278350516</v>
      </c>
      <c r="L7" s="22" t="n"/>
      <c r="M7" s="23" t="n"/>
    </row>
    <row r="8" ht="28" customHeight="1">
      <c r="A8" s="52" t="inlineStr">
        <is>
          <t>Azúcar</t>
        </is>
      </c>
      <c r="B8" s="53" t="inlineStr">
        <is>
          <t>Secos/granos</t>
        </is>
      </c>
      <c r="C8" s="53" t="inlineStr">
        <is>
          <t>kg</t>
        </is>
      </c>
      <c r="D8" s="54" t="n">
        <v>1.2</v>
      </c>
      <c r="E8" s="55" t="n">
        <v>0.06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0.02</v>
      </c>
      <c r="I8" s="20">
        <f>IFERROR(IF(E8="","",E8/(1-H8)),"revisa merma")</f>
        <v>0.061224489795918366</v>
      </c>
      <c r="J8" s="21">
        <f>IF(G8="?","revisa unidades",IFERROR(I8*D8/G8,""))</f>
        <v>0.07346938775510203</v>
      </c>
      <c r="L8" s="24" t="inlineStr">
        <is>
          <t>Foto de la elaboración terminada:
Revisar → Desproteger hoja,
luego Insertar → Imagen</t>
        </is>
      </c>
      <c r="M8" s="25" t="n"/>
    </row>
    <row r="9" ht="28" customHeight="1">
      <c r="A9" s="52" t="inlineStr">
        <is>
          <t>Levadura fresca</t>
        </is>
      </c>
      <c r="B9" s="53" t="inlineStr">
        <is>
          <t>Secos/granos</t>
        </is>
      </c>
      <c r="C9" s="53" t="inlineStr">
        <is>
          <t>kg</t>
        </is>
      </c>
      <c r="D9" s="54" t="n">
        <v>5</v>
      </c>
      <c r="E9" s="55" t="n">
        <v>0.02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0.05</v>
      </c>
      <c r="I9" s="20">
        <f>IFERROR(IF(E9="","",E9/(1-H9)),"revisa merma")</f>
        <v>0.02105263157894737</v>
      </c>
      <c r="J9" s="21">
        <f>IF(G9="?","revisa unidades",IFERROR(I9*D9/G9,""))</f>
        <v>0.10526315789473686</v>
      </c>
      <c r="L9" s="26" t="n"/>
      <c r="M9" s="27" t="n"/>
    </row>
    <row r="10" ht="28" customHeight="1">
      <c r="A10" s="52" t="inlineStr">
        <is>
          <t>Sal</t>
        </is>
      </c>
      <c r="B10" s="53" t="inlineStr">
        <is>
          <t>Secos/granos</t>
        </is>
      </c>
      <c r="C10" s="53" t="inlineStr">
        <is>
          <t>kg</t>
        </is>
      </c>
      <c r="D10" s="54" t="n">
        <v>0.6</v>
      </c>
      <c r="E10" s="55" t="n">
        <v>0.01</v>
      </c>
      <c r="F10" s="53" t="inlineStr">
        <is>
          <t>kg</t>
        </is>
      </c>
      <c r="G10" s="56">
        <f>IF(C10&amp;F10="","",IFERROR(VLOOKUP(C10&amp;"→"&amp;F10,Conversiones!$A$5:$B$67,2,FALSE),"?"))</f>
        <v>1.0</v>
      </c>
      <c r="H10" s="57" t="n">
        <v>0.02</v>
      </c>
      <c r="I10" s="20">
        <f>IFERROR(IF(E10="","",E10/(1-H10)),"revisa merma")</f>
        <v>0.010204081632653062</v>
      </c>
      <c r="J10" s="21">
        <f>IF(G10="?","revisa unidades",IFERROR(I10*D10/G10,""))</f>
        <v>0.006122448979591837</v>
      </c>
      <c r="L10" s="22" t="n"/>
      <c r="M10" s="23" t="n"/>
    </row>
    <row r="11" ht="28" customHeight="1">
      <c r="A11" s="52" t="inlineStr">
        <is>
          <t>Huevo (para pintar)</t>
        </is>
      </c>
      <c r="B11" s="53" t="inlineStr">
        <is>
          <t>Huevos</t>
        </is>
      </c>
      <c r="C11" s="53" t="inlineStr">
        <is>
          <t>docena</t>
        </is>
      </c>
      <c r="D11" s="54" t="n">
        <v>3.6</v>
      </c>
      <c r="E11" s="55" t="n">
        <v>1</v>
      </c>
      <c r="F11" s="53" t="inlineStr">
        <is>
          <t>ud</t>
        </is>
      </c>
      <c r="G11" s="56">
        <f>IF(C11&amp;F11="","",IFERROR(VLOOKUP(C11&amp;"→"&amp;F11,Conversiones!$A$5:$B$67,2,FALSE),"?"))</f>
        <v>12.0</v>
      </c>
      <c r="H11" s="57" t="n">
        <v>0</v>
      </c>
      <c r="I11" s="20">
        <f>IFERROR(IF(E11="","",E11/(1-H11)),"revisa merma")</f>
        <v>1.0</v>
      </c>
      <c r="J11" s="21">
        <f>IF(G11="?","revisa unidades",IFERROR(I11*D11/G11,""))</f>
        <v>0.3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4.716701700142654</v>
      </c>
    </row>
    <row r="24">
      <c r="A24" s="37" t="inlineStr">
        <is>
          <t>Coste elaboración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0.47167017001426537</v>
      </c>
    </row>
    <row r="25">
      <c r="A25" s="39" t="inlineStr">
        <is>
          <t>COSTE TOTAL DE LA TANDA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5.188371870156919</v>
      </c>
    </row>
    <row r="26">
      <c r="A26" s="37" t="inlineStr">
        <is>
          <t>Rendimiento (uds por tanda)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20</v>
      </c>
      <c r="J26" s="38" t="n"/>
    </row>
    <row r="27">
      <c r="A27" s="39" t="inlineStr">
        <is>
          <t>COSTE POR UNIDAD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0.25941859350784596</v>
      </c>
    </row>
    <row r="28"/>
    <row r="29">
      <c r="A29" s="41" t="inlineStr">
        <is>
          <t>Food Cost objetivo (%)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PVP POR UNIDAD (sin IVA)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1.0376743740313839</v>
      </c>
    </row>
    <row r="31">
      <c r="A31" s="37" t="inlineStr">
        <is>
          <t>Tipo de IVA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0.1</v>
      </c>
      <c r="J31" s="38" t="n"/>
    </row>
    <row r="32">
      <c r="A32" s="39" t="inlineStr">
        <is>
          <t>PVP POR UNIDAD (con IVA)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1.1414418114345224</v>
      </c>
    </row>
    <row r="33">
      <c r="A33" s="43" t="inlineStr">
        <is>
          <t>Margen bruto (€)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0.7782557805235379</v>
      </c>
    </row>
    <row r="34">
      <c r="A34" s="37" t="inlineStr">
        <is>
          <t>Margen bruto (%)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PVP actual en carta (sin IVA)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/>
      <c r="J36" s="38" t="n"/>
    </row>
    <row r="37">
      <c r="A37" s="39" t="inlineStr">
        <is>
          <t>FOOD COST REAL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Macarons de Frambuesa — 30 unidades</t>
        </is>
      </c>
    </row>
    <row r="2" ht="30" customHeight="1">
      <c r="A2" s="51" t="inlineStr">
        <is>
          <t>El escandallo es de la TANDA COMPLETA: el «Rendimiento» reparte el coste entre las unidades que salen. Las celdas verdes son las editables.</t>
        </is>
      </c>
    </row>
    <row r="3">
      <c r="L3" s="10" t="inlineStr">
        <is>
          <t>📷 Foto de la Elaboración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Harina de almendra</t>
        </is>
      </c>
      <c r="B5" s="53" t="inlineStr">
        <is>
          <t>Secos/granos</t>
        </is>
      </c>
      <c r="C5" s="53" t="inlineStr">
        <is>
          <t>kg</t>
        </is>
      </c>
      <c r="D5" s="54" t="n">
        <v>14</v>
      </c>
      <c r="E5" s="55" t="n">
        <v>0.15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0.02</v>
      </c>
      <c r="I5" s="20">
        <f>IFERROR(IF(E5="","",E5/(1-H5)),"revisa merma")</f>
        <v>0.15306122448979592</v>
      </c>
      <c r="J5" s="21">
        <f>IF(G5="?","revisa unidades",IFERROR(I5*D5/G5,""))</f>
        <v>2.142857142857143</v>
      </c>
      <c r="L5" s="22" t="n"/>
      <c r="M5" s="23" t="n"/>
    </row>
    <row r="6" ht="28" customHeight="1">
      <c r="A6" s="52" t="inlineStr">
        <is>
          <t>Azúcar glas</t>
        </is>
      </c>
      <c r="B6" s="53" t="inlineStr">
        <is>
          <t>Secos/granos</t>
        </is>
      </c>
      <c r="C6" s="53" t="inlineStr">
        <is>
          <t>kg</t>
        </is>
      </c>
      <c r="D6" s="54" t="n">
        <v>2.5</v>
      </c>
      <c r="E6" s="55" t="n">
        <v>0.15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0.02</v>
      </c>
      <c r="I6" s="20">
        <f>IFERROR(IF(E6="","",E6/(1-H6)),"revisa merma")</f>
        <v>0.15306122448979592</v>
      </c>
      <c r="J6" s="21">
        <f>IF(G6="?","revisa unidades",IFERROR(I6*D6/G6,""))</f>
        <v>0.38265306122448983</v>
      </c>
      <c r="L6" s="22" t="n"/>
      <c r="M6" s="23" t="n"/>
    </row>
    <row r="7" ht="28" customHeight="1">
      <c r="A7" s="52" t="inlineStr">
        <is>
          <t>Claras de huevo</t>
        </is>
      </c>
      <c r="B7" s="53" t="inlineStr">
        <is>
          <t>Huevos</t>
        </is>
      </c>
      <c r="C7" s="53" t="inlineStr">
        <is>
          <t>kg</t>
        </is>
      </c>
      <c r="D7" s="54" t="n">
        <v>6</v>
      </c>
      <c r="E7" s="55" t="n">
        <v>0.11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0.05</v>
      </c>
      <c r="I7" s="20">
        <f>IFERROR(IF(E7="","",E7/(1-H7)),"revisa merma")</f>
        <v>0.11578947368421053</v>
      </c>
      <c r="J7" s="21">
        <f>IF(G7="?","revisa unidades",IFERROR(I7*D7/G7,""))</f>
        <v>0.6947368421052631</v>
      </c>
      <c r="L7" s="22" t="n"/>
      <c r="M7" s="23" t="n"/>
    </row>
    <row r="8" ht="28" customHeight="1">
      <c r="A8" s="52" t="inlineStr">
        <is>
          <t>Azúcar</t>
        </is>
      </c>
      <c r="B8" s="53" t="inlineStr">
        <is>
          <t>Secos/granos</t>
        </is>
      </c>
      <c r="C8" s="53" t="inlineStr">
        <is>
          <t>kg</t>
        </is>
      </c>
      <c r="D8" s="54" t="n">
        <v>1.2</v>
      </c>
      <c r="E8" s="55" t="n">
        <v>0.15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0.02</v>
      </c>
      <c r="I8" s="20">
        <f>IFERROR(IF(E8="","",E8/(1-H8)),"revisa merma")</f>
        <v>0.15306122448979592</v>
      </c>
      <c r="J8" s="21">
        <f>IF(G8="?","revisa unidades",IFERROR(I8*D8/G8,""))</f>
        <v>0.1836734693877551</v>
      </c>
      <c r="L8" s="24" t="inlineStr">
        <is>
          <t>Foto de la elaboración terminada:
Revisar → Desproteger hoja,
luego Insertar → Imagen</t>
        </is>
      </c>
      <c r="M8" s="25" t="n"/>
    </row>
    <row r="9" ht="28" customHeight="1">
      <c r="A9" s="52" t="inlineStr">
        <is>
          <t>Frambuesa congelada</t>
        </is>
      </c>
      <c r="B9" s="53" t="inlineStr">
        <is>
          <t>Congelados</t>
        </is>
      </c>
      <c r="C9" s="53" t="inlineStr">
        <is>
          <t>kg</t>
        </is>
      </c>
      <c r="D9" s="54" t="n">
        <v>9</v>
      </c>
      <c r="E9" s="55" t="n">
        <v>0.1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0.07000000000000001</v>
      </c>
      <c r="I9" s="20">
        <f>IFERROR(IF(E9="","",E9/(1-H9)),"revisa merma")</f>
        <v>0.10752688172043012</v>
      </c>
      <c r="J9" s="21">
        <f>IF(G9="?","revisa unidades",IFERROR(I9*D9/G9,""))</f>
        <v>0.9677419354838711</v>
      </c>
      <c r="L9" s="26" t="n"/>
      <c r="M9" s="27" t="n"/>
    </row>
    <row r="10" ht="28" customHeight="1">
      <c r="A10" s="52" t="inlineStr">
        <is>
          <t>Chocolate blanco</t>
        </is>
      </c>
      <c r="B10" s="53" t="inlineStr">
        <is>
          <t>Chocolate/cacao</t>
        </is>
      </c>
      <c r="C10" s="53" t="inlineStr">
        <is>
          <t>kg</t>
        </is>
      </c>
      <c r="D10" s="54" t="n">
        <v>15</v>
      </c>
      <c r="E10" s="55" t="n">
        <v>0.08</v>
      </c>
      <c r="F10" s="53" t="inlineStr">
        <is>
          <t>kg</t>
        </is>
      </c>
      <c r="G10" s="56">
        <f>IF(C10&amp;F10="","",IFERROR(VLOOKUP(C10&amp;"→"&amp;F10,Conversiones!$A$5:$B$67,2,FALSE),"?"))</f>
        <v>1.0</v>
      </c>
      <c r="H10" s="57" t="n">
        <v>0.12</v>
      </c>
      <c r="I10" s="20">
        <f>IFERROR(IF(E10="","",E10/(1-H10)),"revisa merma")</f>
        <v>0.09090909090909091</v>
      </c>
      <c r="J10" s="21">
        <f>IF(G10="?","revisa unidades",IFERROR(I10*D10/G10,""))</f>
        <v>1.3636363636363638</v>
      </c>
      <c r="L10" s="22" t="n"/>
      <c r="M10" s="23" t="n"/>
    </row>
    <row r="11" ht="28" customHeight="1">
      <c r="A11" s="52" t="inlineStr">
        <is>
          <t>Colorante rojo (bote 50 g · 2 g/tanda)</t>
        </is>
      </c>
      <c r="B11" s="53" t="inlineStr">
        <is>
          <t>Secos/granos</t>
        </is>
      </c>
      <c r="C11" s="53" t="inlineStr">
        <is>
          <t>ud</t>
        </is>
      </c>
      <c r="D11" s="54" t="n">
        <v>4</v>
      </c>
      <c r="E11" s="55" t="n">
        <v>0.04</v>
      </c>
      <c r="F11" s="53" t="inlineStr">
        <is>
          <t>ud</t>
        </is>
      </c>
      <c r="G11" s="56">
        <f>IF(C11&amp;F11="","",IFERROR(VLOOKUP(C11&amp;"→"&amp;F11,Conversiones!$A$5:$B$67,2,FALSE),"?"))</f>
        <v>1.0</v>
      </c>
      <c r="H11" s="57" t="n">
        <v>0</v>
      </c>
      <c r="I11" s="20">
        <f>IFERROR(IF(E11="","",E11/(1-H11)),"revisa merma")</f>
        <v>0.04</v>
      </c>
      <c r="J11" s="21">
        <f>IF(G11="?","revisa unidades",IFERROR(I11*D11/G11,""))</f>
        <v>0.16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5.895298814694886</v>
      </c>
    </row>
    <row r="24">
      <c r="A24" s="37" t="inlineStr">
        <is>
          <t>Coste elaboración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0.5895298814694886</v>
      </c>
    </row>
    <row r="25">
      <c r="A25" s="39" t="inlineStr">
        <is>
          <t>COSTE TOTAL DE LA TANDA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6.484828696164374</v>
      </c>
    </row>
    <row r="26">
      <c r="A26" s="37" t="inlineStr">
        <is>
          <t>Rendimiento (uds por tanda)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30</v>
      </c>
      <c r="J26" s="38" t="n"/>
    </row>
    <row r="27">
      <c r="A27" s="39" t="inlineStr">
        <is>
          <t>COSTE POR UNIDAD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0.21616095653881248</v>
      </c>
    </row>
    <row r="28"/>
    <row r="29">
      <c r="A29" s="41" t="inlineStr">
        <is>
          <t>Food Cost objetivo (%)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PVP POR UNIDAD (sin IVA)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0.8646438261552499</v>
      </c>
    </row>
    <row r="31">
      <c r="A31" s="37" t="inlineStr">
        <is>
          <t>Tipo de IVA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0.1</v>
      </c>
      <c r="J31" s="38" t="n"/>
    </row>
    <row r="32">
      <c r="A32" s="39" t="inlineStr">
        <is>
          <t>PVP POR UNIDAD (con IVA)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0.951108208770775</v>
      </c>
    </row>
    <row r="33">
      <c r="A33" s="43" t="inlineStr">
        <is>
          <t>Margen bruto (€)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0.6484828696164374</v>
      </c>
    </row>
    <row r="34">
      <c r="A34" s="37" t="inlineStr">
        <is>
          <t>Margen bruto (%)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PVP actual en carta (sin IVA)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/>
      <c r="J36" s="38" t="n"/>
    </row>
    <row r="37">
      <c r="A37" s="39" t="inlineStr">
        <is>
          <t>FOOD COST REAL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65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66" t="inlineStr">
        <is>
          <t>Conversión (compra→uso)</t>
        </is>
      </c>
      <c r="B4" s="66" t="inlineStr">
        <is>
          <t>Factor</t>
        </is>
      </c>
      <c r="C4" s="66" t="inlineStr">
        <is>
          <t>Qué significa</t>
        </is>
      </c>
    </row>
    <row r="5">
      <c r="A5" t="inlineStr">
        <is>
          <t>kg→kg</t>
        </is>
      </c>
      <c r="B5" s="67" t="n">
        <v>1</v>
      </c>
      <c r="C5" t="inlineStr">
        <is>
          <t>misma unidad</t>
        </is>
      </c>
    </row>
    <row r="6">
      <c r="A6" t="inlineStr">
        <is>
          <t>kg→g</t>
        </is>
      </c>
      <c r="B6" s="67" t="n">
        <v>1000</v>
      </c>
      <c r="C6" t="inlineStr">
        <is>
          <t>1 kg = 1.000 g</t>
        </is>
      </c>
    </row>
    <row r="7">
      <c r="A7" t="inlineStr">
        <is>
          <t>g→g</t>
        </is>
      </c>
      <c r="B7" s="67" t="n">
        <v>1</v>
      </c>
      <c r="C7" t="inlineStr">
        <is>
          <t>misma unidad</t>
        </is>
      </c>
    </row>
    <row r="8">
      <c r="A8" t="inlineStr">
        <is>
          <t>g→kg</t>
        </is>
      </c>
      <c r="B8" s="67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67" t="n">
        <v>1</v>
      </c>
      <c r="C9" t="inlineStr">
        <is>
          <t>misma unidad</t>
        </is>
      </c>
    </row>
    <row r="10">
      <c r="A10" t="inlineStr">
        <is>
          <t>L→ml</t>
        </is>
      </c>
      <c r="B10" s="67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67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67" t="n">
        <v>1</v>
      </c>
      <c r="C12" t="inlineStr">
        <is>
          <t>misma unidad</t>
        </is>
      </c>
    </row>
    <row r="13">
      <c r="A13" t="inlineStr">
        <is>
          <t>ml→L</t>
        </is>
      </c>
      <c r="B13" s="67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67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67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67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67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67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67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67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67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67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67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67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67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67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67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67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67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67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67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67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67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67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67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67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67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65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66" t="inlineStr">
        <is>
          <t>Categoría</t>
        </is>
      </c>
      <c r="B4" s="66" t="inlineStr">
        <is>
          <t>Merma típica</t>
        </is>
      </c>
      <c r="C4" s="66" t="inlineStr">
        <is>
          <t>Mínima</t>
        </is>
      </c>
      <c r="D4" s="66" t="inlineStr">
        <is>
          <t>Máxima</t>
        </is>
      </c>
    </row>
    <row r="5">
      <c r="A5" t="inlineStr">
        <is>
          <t>Carne roja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Aves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Pescado</t>
        </is>
      </c>
      <c r="B7" s="68" t="n">
        <v>0.35</v>
      </c>
      <c r="C7" s="68" t="n">
        <v>0.3</v>
      </c>
      <c r="D7" s="68" t="n">
        <v>0.45</v>
      </c>
    </row>
    <row r="8">
      <c r="A8" t="inlineStr">
        <is>
          <t>Marisco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Verdura hoja</t>
        </is>
      </c>
      <c r="B9" s="68" t="n">
        <v>0.25</v>
      </c>
      <c r="C9" s="68" t="n">
        <v>0.2</v>
      </c>
      <c r="D9" s="68" t="n">
        <v>0.35</v>
      </c>
    </row>
    <row r="10">
      <c r="A10" t="inlineStr">
        <is>
          <t>Verdura raíz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Verdura fruto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Fruta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Lácteos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Secos/granos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Congelados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Pan/bollería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Huevos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Aceites/grasas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Especias/hierbas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Chocolate/cacao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Bebidas/licores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Setas/hongos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Conservas/encurtidos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Salsas/condimentos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Pasta/arroz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Pastelería y Repostería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2026-09-24T15:25:02Z</dcterms:modified>
  <cp:lastModifiedBy>AI Chef Pro</cp:lastModifiedBy>
  <cp:category>AI Chef Pro · Productos digitales</cp:category>
  <cp:keywords>kit escandallos, AI Chef Pro</cp:keywords>
</cp:coreProperties>
</file>