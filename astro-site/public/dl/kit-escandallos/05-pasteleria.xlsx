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arta Chocolate" sheetId="2" state="visible" r:id="rId2"/>
    <sheet xmlns:r="http://schemas.openxmlformats.org/officeDocument/2006/relationships" name="Croissants" sheetId="3" state="visible" r:id="rId3"/>
    <sheet xmlns:r="http://schemas.openxmlformats.org/officeDocument/2006/relationships" name="Macarons" sheetId="4" state="visible" r:id="rId4"/>
  </sheets>
  <definedNames>
    <definedName name="_xlnm.Print_Titles" localSheetId="1">'Tarta Chocolate'!$4:$4</definedName>
    <definedName name="_xlnm.Print_Area" localSheetId="1">'Tarta Chocolate'!$A$1:$I$27</definedName>
    <definedName name="_xlnm.Print_Titles" localSheetId="2">'Croissants'!$4:$4</definedName>
    <definedName name="_xlnm.Print_Area" localSheetId="2">'Croissants'!$A$1:$I$26</definedName>
    <definedName name="_xlnm.Print_Titles" localSheetId="3">'Macarons'!$4:$4</definedName>
    <definedName name="_xlnm.Print_Area" localSheetId="3">'Macarons'!$A$1:$I$26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Pastelería y Repostería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Incluye campo de 'Rendimiento' (unidades por receta)</t>
        </is>
      </c>
    </row>
    <row r="9">
      <c r="B9" s="6" t="inlineStr">
        <is>
          <t>▸ El coste se calcula por unidad producida</t>
        </is>
      </c>
    </row>
    <row r="10">
      <c r="B10" s="6" t="inlineStr">
        <is>
          <t>▸ Mermas de pastelería son generalmente más bajas</t>
        </is>
      </c>
    </row>
    <row r="11">
      <c r="B11" s="6" t="inlineStr">
        <is>
          <t>▸ Food cost objetivo en pastelería: 20-30%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4"/>
    <row r="15">
      <c r="B15" s="8" t="inlineStr">
        <is>
          <t>© 2026 AI Chef Pro · Todos los derechos reservados</t>
        </is>
      </c>
    </row>
    <row r="16"/>
    <row r="17">
      <c r="B17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Tarta de Chocolate 70% — 12 raciones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Chocolate negro 70%</t>
        </is>
      </c>
      <c r="B5" s="16" t="inlineStr">
        <is>
          <t>Chocolate/cacao</t>
        </is>
      </c>
      <c r="C5" s="16" t="inlineStr">
        <is>
          <t>kg</t>
        </is>
      </c>
      <c r="D5" s="17" t="n">
        <v>18</v>
      </c>
      <c r="E5" s="18" t="n">
        <v>0.4</v>
      </c>
      <c r="F5" s="16" t="inlineStr">
        <is>
          <t>kg</t>
        </is>
      </c>
      <c r="G5" s="19" t="n">
        <v>0.05</v>
      </c>
      <c r="H5" s="20">
        <f>E5/(1-G5)</f>
        <v>0.4210526315789474</v>
      </c>
      <c r="I5" s="21">
        <f>H5*D5</f>
        <v>7.578947368421053</v>
      </c>
      <c r="K5" s="22" t="n"/>
      <c r="L5" s="23" t="n"/>
    </row>
    <row r="6">
      <c r="A6" s="15" t="inlineStr">
        <is>
          <t>Mantequilla</t>
        </is>
      </c>
      <c r="B6" s="16" t="inlineStr">
        <is>
          <t>Lácteos</t>
        </is>
      </c>
      <c r="C6" s="16" t="inlineStr">
        <is>
          <t>kg</t>
        </is>
      </c>
      <c r="D6" s="17" t="n">
        <v>9</v>
      </c>
      <c r="E6" s="18" t="n">
        <v>0.25</v>
      </c>
      <c r="F6" s="16" t="inlineStr">
        <is>
          <t>kg</t>
        </is>
      </c>
      <c r="G6" s="19" t="n">
        <v>0.03</v>
      </c>
      <c r="H6" s="20">
        <f>E6/(1-G6)</f>
        <v>0.2577319587628866</v>
      </c>
      <c r="I6" s="21">
        <f>H6*D6</f>
        <v>2.3195876288659796</v>
      </c>
      <c r="K6" s="22" t="n"/>
      <c r="L6" s="23" t="n"/>
    </row>
    <row r="7">
      <c r="A7" s="15" t="inlineStr">
        <is>
          <t>Huevos</t>
        </is>
      </c>
      <c r="B7" s="16" t="inlineStr">
        <is>
          <t>Huevos</t>
        </is>
      </c>
      <c r="C7" s="16" t="inlineStr">
        <is>
          <t>docena</t>
        </is>
      </c>
      <c r="D7" s="17" t="n">
        <v>3.6</v>
      </c>
      <c r="E7" s="18" t="n">
        <v>0.5</v>
      </c>
      <c r="F7" s="16" t="inlineStr">
        <is>
          <t>ud</t>
        </is>
      </c>
      <c r="G7" s="19" t="n">
        <v>0.11</v>
      </c>
      <c r="H7" s="20">
        <f>E7/(1-G7)</f>
        <v>0.5617977528089888</v>
      </c>
      <c r="I7" s="21">
        <f>H7*D7</f>
        <v>2.0224719101123596</v>
      </c>
      <c r="K7" s="22" t="n"/>
      <c r="L7" s="23" t="n"/>
    </row>
    <row r="8">
      <c r="A8" s="15" t="inlineStr">
        <is>
          <t>Azúcar</t>
        </is>
      </c>
      <c r="B8" s="16" t="inlineStr">
        <is>
          <t>Secos/granos</t>
        </is>
      </c>
      <c r="C8" s="16" t="inlineStr">
        <is>
          <t>kg</t>
        </is>
      </c>
      <c r="D8" s="17" t="n">
        <v>1.2</v>
      </c>
      <c r="E8" s="18" t="n">
        <v>0.2</v>
      </c>
      <c r="F8" s="16" t="inlineStr">
        <is>
          <t>kg</t>
        </is>
      </c>
      <c r="G8" s="19" t="n">
        <v>0.02</v>
      </c>
      <c r="H8" s="20">
        <f>E8/(1-G8)</f>
        <v>0.20408163265306123</v>
      </c>
      <c r="I8" s="21">
        <f>H8*D8</f>
        <v>0.24489795918367346</v>
      </c>
      <c r="K8" s="24" t="inlineStr">
        <is>
          <t>Arrastra aquí la foto
del plato terminado</t>
        </is>
      </c>
      <c r="L8" s="25" t="n"/>
    </row>
    <row r="9">
      <c r="A9" s="15" t="inlineStr">
        <is>
          <t>Harina floja</t>
        </is>
      </c>
      <c r="B9" s="16" t="inlineStr">
        <is>
          <t>Secos/granos</t>
        </is>
      </c>
      <c r="C9" s="16" t="inlineStr">
        <is>
          <t>kg</t>
        </is>
      </c>
      <c r="D9" s="17" t="n">
        <v>0.9</v>
      </c>
      <c r="E9" s="18" t="n">
        <v>0.12</v>
      </c>
      <c r="F9" s="16" t="inlineStr">
        <is>
          <t>kg</t>
        </is>
      </c>
      <c r="G9" s="19" t="n">
        <v>0.02</v>
      </c>
      <c r="H9" s="20">
        <f>E9/(1-G9)</f>
        <v>0.12244897959183673</v>
      </c>
      <c r="I9" s="21">
        <f>H9*D9</f>
        <v>0.11020408163265306</v>
      </c>
      <c r="K9" s="26" t="n"/>
      <c r="L9" s="27" t="n"/>
    </row>
    <row r="10">
      <c r="A10" s="15" t="inlineStr">
        <is>
          <t>Nata 35% MG</t>
        </is>
      </c>
      <c r="B10" s="16" t="inlineStr">
        <is>
          <t>Lácteos</t>
        </is>
      </c>
      <c r="C10" s="16" t="inlineStr">
        <is>
          <t>L</t>
        </is>
      </c>
      <c r="D10" s="17" t="n">
        <v>3.8</v>
      </c>
      <c r="E10" s="18" t="n">
        <v>0.2</v>
      </c>
      <c r="F10" s="16" t="inlineStr">
        <is>
          <t>L</t>
        </is>
      </c>
      <c r="G10" s="19" t="n">
        <v>0.03</v>
      </c>
      <c r="H10" s="20">
        <f>E10/(1-G10)</f>
        <v>0.2061855670103093</v>
      </c>
      <c r="I10" s="21">
        <f>H10*D10</f>
        <v>0.7835051546391752</v>
      </c>
      <c r="K10" s="22" t="n"/>
      <c r="L10" s="23" t="n"/>
    </row>
    <row r="11">
      <c r="A11" s="15" t="inlineStr">
        <is>
          <t>Cacao en polvo</t>
        </is>
      </c>
      <c r="B11" s="16" t="inlineStr">
        <is>
          <t>Chocolate/cacao</t>
        </is>
      </c>
      <c r="C11" s="16" t="inlineStr">
        <is>
          <t>kg</t>
        </is>
      </c>
      <c r="D11" s="17" t="n">
        <v>12</v>
      </c>
      <c r="E11" s="18" t="n">
        <v>0.03</v>
      </c>
      <c r="F11" s="16" t="inlineStr">
        <is>
          <t>kg</t>
        </is>
      </c>
      <c r="G11" s="19" t="n">
        <v>0.05</v>
      </c>
      <c r="H11" s="20">
        <f>E11/(1-G11)</f>
        <v>0.031578947368421054</v>
      </c>
      <c r="I11" s="21">
        <f>H11*D11</f>
        <v>0.37894736842105264</v>
      </c>
      <c r="K11" s="22" t="n"/>
      <c r="L11" s="23" t="n"/>
    </row>
    <row r="12">
      <c r="A12" s="15" t="inlineStr">
        <is>
          <t>Sal</t>
        </is>
      </c>
      <c r="B12" s="16" t="inlineStr">
        <is>
          <t>Secos/granos</t>
        </is>
      </c>
      <c r="C12" s="16" t="inlineStr">
        <is>
          <t>kg</t>
        </is>
      </c>
      <c r="D12" s="17" t="n">
        <v>0.6</v>
      </c>
      <c r="E12" s="18" t="n">
        <v>0.003</v>
      </c>
      <c r="F12" s="16" t="inlineStr">
        <is>
          <t>kg</t>
        </is>
      </c>
      <c r="G12" s="19" t="n">
        <v>0.02</v>
      </c>
      <c r="H12" s="20">
        <f>E12/(1-G12)</f>
        <v>0.0030612244897959186</v>
      </c>
      <c r="I12" s="21">
        <f>H12*D12</f>
        <v>0.0018367346938775511</v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>
      <c r="A16" s="28" t="n"/>
      <c r="B16" s="28" t="n"/>
      <c r="C16" s="28" t="n"/>
      <c r="D16" s="28" t="n"/>
      <c r="E16" s="28" t="n"/>
      <c r="F16" s="28" t="n"/>
      <c r="G16" s="29" t="n"/>
      <c r="H16" s="30">
        <f>IF(E16="","",E16/(1-G16))</f>
        <v/>
      </c>
      <c r="I16" s="31">
        <f>IF(H16="","",H16*D16)</f>
        <v/>
      </c>
    </row>
    <row r="17">
      <c r="A17" s="28" t="n"/>
      <c r="B17" s="28" t="n"/>
      <c r="C17" s="28" t="n"/>
      <c r="D17" s="28" t="n"/>
      <c r="E17" s="28" t="n"/>
      <c r="F17" s="28" t="n"/>
      <c r="G17" s="29" t="n"/>
      <c r="H17" s="30">
        <f>IF(E17="","",E17/(1-G17))</f>
        <v/>
      </c>
      <c r="I17" s="31">
        <f>IF(H17="","",H17*D17)</f>
        <v/>
      </c>
    </row>
    <row r="18"/>
    <row r="19">
      <c r="A19" s="35" t="inlineStr">
        <is>
          <t>COSTE TOTAL INGREDIENTES</t>
        </is>
      </c>
      <c r="B19" s="49" t="n"/>
      <c r="C19" s="49" t="n"/>
      <c r="D19" s="49" t="n"/>
      <c r="E19" s="49" t="n"/>
      <c r="F19" s="49" t="n"/>
      <c r="G19" s="49" t="n"/>
      <c r="H19" s="50" t="n"/>
      <c r="I19" s="36">
        <f>SUM(I5:I17)</f>
        <v>13.440398205969826</v>
      </c>
    </row>
    <row r="20">
      <c r="A20" s="37" t="inlineStr">
        <is>
          <t>Coste elaboración (%)</t>
        </is>
      </c>
      <c r="B20" s="49" t="n"/>
      <c r="C20" s="49" t="n"/>
      <c r="D20" s="49" t="n"/>
      <c r="E20" s="49" t="n"/>
      <c r="F20" s="49" t="n"/>
      <c r="G20" s="50" t="n"/>
      <c r="H20" s="19" t="n">
        <v>0.1</v>
      </c>
      <c r="I20" s="38">
        <f>I19*H20</f>
        <v>1.3440398205969828</v>
      </c>
    </row>
    <row r="21">
      <c r="A21" s="39" t="inlineStr">
        <is>
          <t>COSTE TOTAL DEL PLATO</t>
        </is>
      </c>
      <c r="B21" s="49" t="n"/>
      <c r="C21" s="49" t="n"/>
      <c r="D21" s="49" t="n"/>
      <c r="E21" s="49" t="n"/>
      <c r="F21" s="49" t="n"/>
      <c r="G21" s="49" t="n"/>
      <c r="H21" s="50" t="n"/>
      <c r="I21" s="40">
        <f>I19+I20</f>
        <v>14.784438026566809</v>
      </c>
    </row>
    <row r="22"/>
    <row r="23">
      <c r="A23" s="41" t="inlineStr">
        <is>
          <t>Food Cost objetivo (%)</t>
        </is>
      </c>
      <c r="B23" s="49" t="n"/>
      <c r="C23" s="49" t="n"/>
      <c r="D23" s="49" t="n"/>
      <c r="E23" s="49" t="n"/>
      <c r="F23" s="49" t="n"/>
      <c r="G23" s="50" t="n"/>
      <c r="H23" s="42" t="n">
        <v>0.25</v>
      </c>
    </row>
    <row r="24">
      <c r="A24" s="43" t="inlineStr">
        <is>
          <t>PVP SUGERIDO (sin IVA)</t>
        </is>
      </c>
      <c r="B24" s="49" t="n"/>
      <c r="C24" s="49" t="n"/>
      <c r="D24" s="49" t="n"/>
      <c r="E24" s="49" t="n"/>
      <c r="F24" s="49" t="n"/>
      <c r="G24" s="49" t="n"/>
      <c r="H24" s="50" t="n"/>
      <c r="I24" s="44">
        <f>I21/H23</f>
        <v>59.137752106267236</v>
      </c>
    </row>
    <row r="25">
      <c r="A25" s="45" t="inlineStr">
        <is>
          <t>PVP CON IVA (10% hostelería)</t>
        </is>
      </c>
      <c r="B25" s="49" t="n"/>
      <c r="C25" s="49" t="n"/>
      <c r="D25" s="49" t="n"/>
      <c r="E25" s="49" t="n"/>
      <c r="F25" s="49" t="n"/>
      <c r="G25" s="49" t="n"/>
      <c r="H25" s="50" t="n"/>
      <c r="I25" s="46">
        <f>I24*1.10</f>
        <v>65.05152731689397</v>
      </c>
    </row>
    <row r="26">
      <c r="A26" s="37" t="inlineStr">
        <is>
          <t>Margen bruto (€)</t>
        </is>
      </c>
      <c r="B26" s="49" t="n"/>
      <c r="C26" s="49" t="n"/>
      <c r="D26" s="49" t="n"/>
      <c r="E26" s="49" t="n"/>
      <c r="F26" s="49" t="n"/>
      <c r="G26" s="49" t="n"/>
      <c r="H26" s="50" t="n"/>
      <c r="I26" s="38">
        <f>I24-I21</f>
        <v>44.353314079700425</v>
      </c>
    </row>
    <row r="27">
      <c r="A27" s="37" t="inlineStr">
        <is>
          <t>Margen bruto (%)</t>
        </is>
      </c>
      <c r="B27" s="49" t="n"/>
      <c r="C27" s="49" t="n"/>
      <c r="D27" s="49" t="n"/>
      <c r="E27" s="49" t="n"/>
      <c r="F27" s="49" t="n"/>
      <c r="G27" s="49" t="n"/>
      <c r="H27" s="50" t="n"/>
      <c r="I27" s="47">
        <f>I26/I24</f>
        <v>0.75</v>
      </c>
    </row>
  </sheetData>
  <mergeCells count="13">
    <mergeCell ref="A20:G20"/>
    <mergeCell ref="K15:L15"/>
    <mergeCell ref="K8:L9"/>
    <mergeCell ref="A2:I2"/>
    <mergeCell ref="A26:H26"/>
    <mergeCell ref="A23:G23"/>
    <mergeCell ref="A19:H19"/>
    <mergeCell ref="A1:I1"/>
    <mergeCell ref="A21:H21"/>
    <mergeCell ref="A24:H24"/>
    <mergeCell ref="A27:H27"/>
    <mergeCell ref="K3:L3"/>
    <mergeCell ref="A25:H25"/>
  </mergeCells>
  <dataValidations count="2">
    <dataValidation sqref="B5 B6 B7 B8 B9 B10 B11 B12 B13 B14 B15 B16 B17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C17 F5 F6 F7 F8 F9 F10 F11 F12 F13 F14 F15 F16 F17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Croissants de Mantequilla — 20 unidades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Harina de fuerza</t>
        </is>
      </c>
      <c r="B5" s="16" t="inlineStr">
        <is>
          <t>Secos/granos</t>
        </is>
      </c>
      <c r="C5" s="16" t="inlineStr">
        <is>
          <t>kg</t>
        </is>
      </c>
      <c r="D5" s="17" t="n">
        <v>1.1</v>
      </c>
      <c r="E5" s="18" t="n">
        <v>0.5</v>
      </c>
      <c r="F5" s="16" t="inlineStr">
        <is>
          <t>kg</t>
        </is>
      </c>
      <c r="G5" s="19" t="n">
        <v>0.02</v>
      </c>
      <c r="H5" s="20">
        <f>E5/(1-G5)</f>
        <v>0.5102040816326531</v>
      </c>
      <c r="I5" s="21">
        <f>H5*D5</f>
        <v>0.5612244897959184</v>
      </c>
      <c r="K5" s="22" t="n"/>
      <c r="L5" s="23" t="n"/>
    </row>
    <row r="6">
      <c r="A6" s="15" t="inlineStr">
        <is>
          <t>Mantequilla seca (82% MG)</t>
        </is>
      </c>
      <c r="B6" s="16" t="inlineStr">
        <is>
          <t>Lácteos</t>
        </is>
      </c>
      <c r="C6" s="16" t="inlineStr">
        <is>
          <t>kg</t>
        </is>
      </c>
      <c r="D6" s="17" t="n">
        <v>12</v>
      </c>
      <c r="E6" s="18" t="n">
        <v>0.28</v>
      </c>
      <c r="F6" s="16" t="inlineStr">
        <is>
          <t>kg</t>
        </is>
      </c>
      <c r="G6" s="19" t="n">
        <v>0.03</v>
      </c>
      <c r="H6" s="20">
        <f>E6/(1-G6)</f>
        <v>0.288659793814433</v>
      </c>
      <c r="I6" s="21">
        <f>H6*D6</f>
        <v>3.463917525773196</v>
      </c>
      <c r="K6" s="22" t="n"/>
      <c r="L6" s="23" t="n"/>
    </row>
    <row r="7">
      <c r="A7" s="15" t="inlineStr">
        <is>
          <t>Leche entera</t>
        </is>
      </c>
      <c r="B7" s="16" t="inlineStr">
        <is>
          <t>Lácteos</t>
        </is>
      </c>
      <c r="C7" s="16" t="inlineStr">
        <is>
          <t>L</t>
        </is>
      </c>
      <c r="D7" s="17" t="n">
        <v>1.1</v>
      </c>
      <c r="E7" s="18" t="n">
        <v>0.15</v>
      </c>
      <c r="F7" s="16" t="inlineStr">
        <is>
          <t>L</t>
        </is>
      </c>
      <c r="G7" s="19" t="n">
        <v>0.03</v>
      </c>
      <c r="H7" s="20">
        <f>E7/(1-G7)</f>
        <v>0.15463917525773196</v>
      </c>
      <c r="I7" s="21">
        <f>H7*D7</f>
        <v>0.17010309278350516</v>
      </c>
      <c r="K7" s="22" t="n"/>
      <c r="L7" s="23" t="n"/>
    </row>
    <row r="8">
      <c r="A8" s="15" t="inlineStr">
        <is>
          <t>Azúcar</t>
        </is>
      </c>
      <c r="B8" s="16" t="inlineStr">
        <is>
          <t>Secos/granos</t>
        </is>
      </c>
      <c r="C8" s="16" t="inlineStr">
        <is>
          <t>kg</t>
        </is>
      </c>
      <c r="D8" s="17" t="n">
        <v>1.2</v>
      </c>
      <c r="E8" s="18" t="n">
        <v>0.06</v>
      </c>
      <c r="F8" s="16" t="inlineStr">
        <is>
          <t>kg</t>
        </is>
      </c>
      <c r="G8" s="19" t="n">
        <v>0.02</v>
      </c>
      <c r="H8" s="20">
        <f>E8/(1-G8)</f>
        <v>0.061224489795918366</v>
      </c>
      <c r="I8" s="21">
        <f>H8*D8</f>
        <v>0.07346938775510203</v>
      </c>
      <c r="K8" s="24" t="inlineStr">
        <is>
          <t>Arrastra aquí la foto
del plato terminado</t>
        </is>
      </c>
      <c r="L8" s="25" t="n"/>
    </row>
    <row r="9">
      <c r="A9" s="15" t="inlineStr">
        <is>
          <t>Levadura fresca</t>
        </is>
      </c>
      <c r="B9" s="16" t="inlineStr">
        <is>
          <t>Lácteos</t>
        </is>
      </c>
      <c r="C9" s="16" t="inlineStr">
        <is>
          <t>kg</t>
        </is>
      </c>
      <c r="D9" s="17" t="n">
        <v>5</v>
      </c>
      <c r="E9" s="18" t="n">
        <v>0.02</v>
      </c>
      <c r="F9" s="16" t="inlineStr">
        <is>
          <t>kg</t>
        </is>
      </c>
      <c r="G9" s="19" t="n">
        <v>0.05</v>
      </c>
      <c r="H9" s="20">
        <f>E9/(1-G9)</f>
        <v>0.02105263157894737</v>
      </c>
      <c r="I9" s="21">
        <f>H9*D9</f>
        <v>0.10526315789473686</v>
      </c>
      <c r="K9" s="26" t="n"/>
      <c r="L9" s="27" t="n"/>
    </row>
    <row r="10">
      <c r="A10" s="15" t="inlineStr">
        <is>
          <t>Sal</t>
        </is>
      </c>
      <c r="B10" s="16" t="inlineStr">
        <is>
          <t>Secos/granos</t>
        </is>
      </c>
      <c r="C10" s="16" t="inlineStr">
        <is>
          <t>kg</t>
        </is>
      </c>
      <c r="D10" s="17" t="n">
        <v>0.6</v>
      </c>
      <c r="E10" s="18" t="n">
        <v>0.01</v>
      </c>
      <c r="F10" s="16" t="inlineStr">
        <is>
          <t>kg</t>
        </is>
      </c>
      <c r="G10" s="19" t="n">
        <v>0.02</v>
      </c>
      <c r="H10" s="20">
        <f>E10/(1-G10)</f>
        <v>0.010204081632653062</v>
      </c>
      <c r="I10" s="21">
        <f>H10*D10</f>
        <v>0.006122448979591837</v>
      </c>
      <c r="K10" s="22" t="n"/>
      <c r="L10" s="23" t="n"/>
    </row>
    <row r="11">
      <c r="A11" s="15" t="inlineStr">
        <is>
          <t>Huevo (para pintar)</t>
        </is>
      </c>
      <c r="B11" s="16" t="inlineStr">
        <is>
          <t>Huevos</t>
        </is>
      </c>
      <c r="C11" s="16" t="inlineStr">
        <is>
          <t>docena</t>
        </is>
      </c>
      <c r="D11" s="17" t="n">
        <v>3.6</v>
      </c>
      <c r="E11" s="18" t="n">
        <v>0.083</v>
      </c>
      <c r="F11" s="16" t="inlineStr">
        <is>
          <t>ud</t>
        </is>
      </c>
      <c r="G11" s="19" t="n">
        <v>0.11</v>
      </c>
      <c r="H11" s="20">
        <f>E11/(1-G11)</f>
        <v>0.09325842696629214</v>
      </c>
      <c r="I11" s="21">
        <f>H11*D11</f>
        <v>0.3357303370786517</v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>
      <c r="A16" s="28" t="n"/>
      <c r="B16" s="28" t="n"/>
      <c r="C16" s="28" t="n"/>
      <c r="D16" s="28" t="n"/>
      <c r="E16" s="28" t="n"/>
      <c r="F16" s="28" t="n"/>
      <c r="G16" s="29" t="n"/>
      <c r="H16" s="30">
        <f>IF(E16="","",E16/(1-G16))</f>
        <v/>
      </c>
      <c r="I16" s="31">
        <f>IF(H16="","",H16*D16)</f>
        <v/>
      </c>
    </row>
    <row r="17"/>
    <row r="18">
      <c r="A18" s="35" t="inlineStr">
        <is>
          <t>COSTE TOTAL INGREDIENTES</t>
        </is>
      </c>
      <c r="B18" s="49" t="n"/>
      <c r="C18" s="49" t="n"/>
      <c r="D18" s="49" t="n"/>
      <c r="E18" s="49" t="n"/>
      <c r="F18" s="49" t="n"/>
      <c r="G18" s="49" t="n"/>
      <c r="H18" s="50" t="n"/>
      <c r="I18" s="36">
        <f>SUM(I5:I16)</f>
        <v>4.715830440060703</v>
      </c>
    </row>
    <row r="19">
      <c r="A19" s="37" t="inlineStr">
        <is>
          <t>Coste elaboración (%)</t>
        </is>
      </c>
      <c r="B19" s="49" t="n"/>
      <c r="C19" s="49" t="n"/>
      <c r="D19" s="49" t="n"/>
      <c r="E19" s="49" t="n"/>
      <c r="F19" s="49" t="n"/>
      <c r="G19" s="50" t="n"/>
      <c r="H19" s="19" t="n">
        <v>0.1</v>
      </c>
      <c r="I19" s="38">
        <f>I18*H19</f>
        <v>0.4715830440060703</v>
      </c>
    </row>
    <row r="20">
      <c r="A20" s="39" t="inlineStr">
        <is>
          <t>COSTE TOTAL DEL PLATO</t>
        </is>
      </c>
      <c r="B20" s="49" t="n"/>
      <c r="C20" s="49" t="n"/>
      <c r="D20" s="49" t="n"/>
      <c r="E20" s="49" t="n"/>
      <c r="F20" s="49" t="n"/>
      <c r="G20" s="49" t="n"/>
      <c r="H20" s="50" t="n"/>
      <c r="I20" s="40">
        <f>I18+I19</f>
        <v>5.187413484066774</v>
      </c>
    </row>
    <row r="21"/>
    <row r="22">
      <c r="A22" s="41" t="inlineStr">
        <is>
          <t>Food Cost objetivo (%)</t>
        </is>
      </c>
      <c r="B22" s="49" t="n"/>
      <c r="C22" s="49" t="n"/>
      <c r="D22" s="49" t="n"/>
      <c r="E22" s="49" t="n"/>
      <c r="F22" s="49" t="n"/>
      <c r="G22" s="50" t="n"/>
      <c r="H22" s="42" t="n">
        <v>0.25</v>
      </c>
    </row>
    <row r="23">
      <c r="A23" s="43" t="inlineStr">
        <is>
          <t>PVP SUGERIDO (sin IVA)</t>
        </is>
      </c>
      <c r="B23" s="49" t="n"/>
      <c r="C23" s="49" t="n"/>
      <c r="D23" s="49" t="n"/>
      <c r="E23" s="49" t="n"/>
      <c r="F23" s="49" t="n"/>
      <c r="G23" s="49" t="n"/>
      <c r="H23" s="50" t="n"/>
      <c r="I23" s="44">
        <f>I20/H22</f>
        <v>20.749653936267094</v>
      </c>
    </row>
    <row r="24">
      <c r="A24" s="45" t="inlineStr">
        <is>
          <t>PVP CON IVA (10% hostelería)</t>
        </is>
      </c>
      <c r="B24" s="49" t="n"/>
      <c r="C24" s="49" t="n"/>
      <c r="D24" s="49" t="n"/>
      <c r="E24" s="49" t="n"/>
      <c r="F24" s="49" t="n"/>
      <c r="G24" s="49" t="n"/>
      <c r="H24" s="50" t="n"/>
      <c r="I24" s="46">
        <f>I23*1.10</f>
        <v>22.824619329893807</v>
      </c>
    </row>
    <row r="25">
      <c r="A25" s="37" t="inlineStr">
        <is>
          <t>Margen bruto (€)</t>
        </is>
      </c>
      <c r="B25" s="49" t="n"/>
      <c r="C25" s="49" t="n"/>
      <c r="D25" s="49" t="n"/>
      <c r="E25" s="49" t="n"/>
      <c r="F25" s="49" t="n"/>
      <c r="G25" s="49" t="n"/>
      <c r="H25" s="50" t="n"/>
      <c r="I25" s="38">
        <f>I23-I20</f>
        <v>15.56224045220032</v>
      </c>
    </row>
    <row r="26">
      <c r="A26" s="37" t="inlineStr">
        <is>
          <t>Margen bruto (%)</t>
        </is>
      </c>
      <c r="B26" s="49" t="n"/>
      <c r="C26" s="49" t="n"/>
      <c r="D26" s="49" t="n"/>
      <c r="E26" s="49" t="n"/>
      <c r="F26" s="49" t="n"/>
      <c r="G26" s="49" t="n"/>
      <c r="H26" s="50" t="n"/>
      <c r="I26" s="47">
        <f>I25/I23</f>
        <v>0.75</v>
      </c>
    </row>
  </sheetData>
  <mergeCells count="13">
    <mergeCell ref="K15:L15"/>
    <mergeCell ref="A18:H18"/>
    <mergeCell ref="K8:L9"/>
    <mergeCell ref="A2:I2"/>
    <mergeCell ref="A20:H20"/>
    <mergeCell ref="A26:H26"/>
    <mergeCell ref="A1:I1"/>
    <mergeCell ref="A24:H24"/>
    <mergeCell ref="K3:L3"/>
    <mergeCell ref="A19:G19"/>
    <mergeCell ref="A25:H25"/>
    <mergeCell ref="A22:G22"/>
    <mergeCell ref="A23:H23"/>
  </mergeCells>
  <dataValidations count="2">
    <dataValidation sqref="B5 B6 B7 B8 B9 B10 B11 B12 B13 B14 B15 B16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F5 F6 F7 F8 F9 F10 F11 F12 F13 F14 F15 F16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Macarons de Frambuesa — 30 unidades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Harina de almendra</t>
        </is>
      </c>
      <c r="B5" s="16" t="inlineStr">
        <is>
          <t>Secos/granos</t>
        </is>
      </c>
      <c r="C5" s="16" t="inlineStr">
        <is>
          <t>kg</t>
        </is>
      </c>
      <c r="D5" s="17" t="n">
        <v>14</v>
      </c>
      <c r="E5" s="18" t="n">
        <v>0.15</v>
      </c>
      <c r="F5" s="16" t="inlineStr">
        <is>
          <t>kg</t>
        </is>
      </c>
      <c r="G5" s="19" t="n">
        <v>0.02</v>
      </c>
      <c r="H5" s="20">
        <f>E5/(1-G5)</f>
        <v>0.15306122448979592</v>
      </c>
      <c r="I5" s="21">
        <f>H5*D5</f>
        <v>2.142857142857143</v>
      </c>
      <c r="K5" s="22" t="n"/>
      <c r="L5" s="23" t="n"/>
    </row>
    <row r="6">
      <c r="A6" s="15" t="inlineStr">
        <is>
          <t>Azúcar glas</t>
        </is>
      </c>
      <c r="B6" s="16" t="inlineStr">
        <is>
          <t>Secos/granos</t>
        </is>
      </c>
      <c r="C6" s="16" t="inlineStr">
        <is>
          <t>kg</t>
        </is>
      </c>
      <c r="D6" s="17" t="n">
        <v>2.5</v>
      </c>
      <c r="E6" s="18" t="n">
        <v>0.15</v>
      </c>
      <c r="F6" s="16" t="inlineStr">
        <is>
          <t>kg</t>
        </is>
      </c>
      <c r="G6" s="19" t="n">
        <v>0.02</v>
      </c>
      <c r="H6" s="20">
        <f>E6/(1-G6)</f>
        <v>0.15306122448979592</v>
      </c>
      <c r="I6" s="21">
        <f>H6*D6</f>
        <v>0.38265306122448983</v>
      </c>
      <c r="K6" s="22" t="n"/>
      <c r="L6" s="23" t="n"/>
    </row>
    <row r="7">
      <c r="A7" s="15" t="inlineStr">
        <is>
          <t>Claras de huevo</t>
        </is>
      </c>
      <c r="B7" s="16" t="inlineStr">
        <is>
          <t>Huevos</t>
        </is>
      </c>
      <c r="C7" s="16" t="inlineStr">
        <is>
          <t>kg</t>
        </is>
      </c>
      <c r="D7" s="17" t="n">
        <v>6</v>
      </c>
      <c r="E7" s="18" t="n">
        <v>0.11</v>
      </c>
      <c r="F7" s="16" t="inlineStr">
        <is>
          <t>kg</t>
        </is>
      </c>
      <c r="G7" s="19" t="n">
        <v>0.05</v>
      </c>
      <c r="H7" s="20">
        <f>E7/(1-G7)</f>
        <v>0.11578947368421053</v>
      </c>
      <c r="I7" s="21">
        <f>H7*D7</f>
        <v>0.6947368421052631</v>
      </c>
      <c r="K7" s="22" t="n"/>
      <c r="L7" s="23" t="n"/>
    </row>
    <row r="8">
      <c r="A8" s="15" t="inlineStr">
        <is>
          <t>Azúcar</t>
        </is>
      </c>
      <c r="B8" s="16" t="inlineStr">
        <is>
          <t>Secos/granos</t>
        </is>
      </c>
      <c r="C8" s="16" t="inlineStr">
        <is>
          <t>kg</t>
        </is>
      </c>
      <c r="D8" s="17" t="n">
        <v>1.2</v>
      </c>
      <c r="E8" s="18" t="n">
        <v>0.15</v>
      </c>
      <c r="F8" s="16" t="inlineStr">
        <is>
          <t>kg</t>
        </is>
      </c>
      <c r="G8" s="19" t="n">
        <v>0.02</v>
      </c>
      <c r="H8" s="20">
        <f>E8/(1-G8)</f>
        <v>0.15306122448979592</v>
      </c>
      <c r="I8" s="21">
        <f>H8*D8</f>
        <v>0.1836734693877551</v>
      </c>
      <c r="K8" s="24" t="inlineStr">
        <is>
          <t>Arrastra aquí la foto
del plato terminado</t>
        </is>
      </c>
      <c r="L8" s="25" t="n"/>
    </row>
    <row r="9">
      <c r="A9" s="15" t="inlineStr">
        <is>
          <t>Frambuesa congelada</t>
        </is>
      </c>
      <c r="B9" s="16" t="inlineStr">
        <is>
          <t>Congelados</t>
        </is>
      </c>
      <c r="C9" s="16" t="inlineStr">
        <is>
          <t>kg</t>
        </is>
      </c>
      <c r="D9" s="17" t="n">
        <v>9</v>
      </c>
      <c r="E9" s="18" t="n">
        <v>0.1</v>
      </c>
      <c r="F9" s="16" t="inlineStr">
        <is>
          <t>kg</t>
        </is>
      </c>
      <c r="G9" s="19" t="n">
        <v>0.07000000000000001</v>
      </c>
      <c r="H9" s="20">
        <f>E9/(1-G9)</f>
        <v>0.10752688172043012</v>
      </c>
      <c r="I9" s="21">
        <f>H9*D9</f>
        <v>0.9677419354838711</v>
      </c>
      <c r="K9" s="26" t="n"/>
      <c r="L9" s="27" t="n"/>
    </row>
    <row r="10">
      <c r="A10" s="15" t="inlineStr">
        <is>
          <t>Chocolate blanco</t>
        </is>
      </c>
      <c r="B10" s="16" t="inlineStr">
        <is>
          <t>Chocolate/cacao</t>
        </is>
      </c>
      <c r="C10" s="16" t="inlineStr">
        <is>
          <t>kg</t>
        </is>
      </c>
      <c r="D10" s="17" t="n">
        <v>15</v>
      </c>
      <c r="E10" s="18" t="n">
        <v>0.08</v>
      </c>
      <c r="F10" s="16" t="inlineStr">
        <is>
          <t>kg</t>
        </is>
      </c>
      <c r="G10" s="19" t="n">
        <v>0.05</v>
      </c>
      <c r="H10" s="20">
        <f>E10/(1-G10)</f>
        <v>0.08421052631578949</v>
      </c>
      <c r="I10" s="21">
        <f>H10*D10</f>
        <v>1.2631578947368423</v>
      </c>
      <c r="K10" s="22" t="n"/>
      <c r="L10" s="23" t="n"/>
    </row>
    <row r="11">
      <c r="A11" s="15" t="inlineStr">
        <is>
          <t>Colorante rojo</t>
        </is>
      </c>
      <c r="B11" s="16" t="inlineStr">
        <is>
          <t>Especias/hierbas</t>
        </is>
      </c>
      <c r="C11" s="16" t="inlineStr">
        <is>
          <t>ud</t>
        </is>
      </c>
      <c r="D11" s="17" t="n">
        <v>4</v>
      </c>
      <c r="E11" s="18" t="n">
        <v>0.1</v>
      </c>
      <c r="F11" s="16" t="inlineStr">
        <is>
          <t>ud</t>
        </is>
      </c>
      <c r="G11" s="19" t="n">
        <v>0</v>
      </c>
      <c r="H11" s="20">
        <f>E11/(1-G11)</f>
        <v>0.1</v>
      </c>
      <c r="I11" s="21">
        <f>H11*D11</f>
        <v>0.4</v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>
      <c r="A16" s="28" t="n"/>
      <c r="B16" s="28" t="n"/>
      <c r="C16" s="28" t="n"/>
      <c r="D16" s="28" t="n"/>
      <c r="E16" s="28" t="n"/>
      <c r="F16" s="28" t="n"/>
      <c r="G16" s="29" t="n"/>
      <c r="H16" s="30">
        <f>IF(E16="","",E16/(1-G16))</f>
        <v/>
      </c>
      <c r="I16" s="31">
        <f>IF(H16="","",H16*D16)</f>
        <v/>
      </c>
    </row>
    <row r="17"/>
    <row r="18">
      <c r="A18" s="35" t="inlineStr">
        <is>
          <t>COSTE TOTAL INGREDIENTES</t>
        </is>
      </c>
      <c r="B18" s="49" t="n"/>
      <c r="C18" s="49" t="n"/>
      <c r="D18" s="49" t="n"/>
      <c r="E18" s="49" t="n"/>
      <c r="F18" s="49" t="n"/>
      <c r="G18" s="49" t="n"/>
      <c r="H18" s="50" t="n"/>
      <c r="I18" s="36">
        <f>SUM(I5:I16)</f>
        <v>6.034820345795365</v>
      </c>
    </row>
    <row r="19">
      <c r="A19" s="37" t="inlineStr">
        <is>
          <t>Coste elaboración (%)</t>
        </is>
      </c>
      <c r="B19" s="49" t="n"/>
      <c r="C19" s="49" t="n"/>
      <c r="D19" s="49" t="n"/>
      <c r="E19" s="49" t="n"/>
      <c r="F19" s="49" t="n"/>
      <c r="G19" s="50" t="n"/>
      <c r="H19" s="19" t="n">
        <v>0.1</v>
      </c>
      <c r="I19" s="38">
        <f>I18*H19</f>
        <v>0.6034820345795365</v>
      </c>
    </row>
    <row r="20">
      <c r="A20" s="39" t="inlineStr">
        <is>
          <t>COSTE TOTAL DEL PLATO</t>
        </is>
      </c>
      <c r="B20" s="49" t="n"/>
      <c r="C20" s="49" t="n"/>
      <c r="D20" s="49" t="n"/>
      <c r="E20" s="49" t="n"/>
      <c r="F20" s="49" t="n"/>
      <c r="G20" s="49" t="n"/>
      <c r="H20" s="50" t="n"/>
      <c r="I20" s="40">
        <f>I18+I19</f>
        <v>6.638302380374901</v>
      </c>
    </row>
    <row r="21"/>
    <row r="22">
      <c r="A22" s="41" t="inlineStr">
        <is>
          <t>Food Cost objetivo (%)</t>
        </is>
      </c>
      <c r="B22" s="49" t="n"/>
      <c r="C22" s="49" t="n"/>
      <c r="D22" s="49" t="n"/>
      <c r="E22" s="49" t="n"/>
      <c r="F22" s="49" t="n"/>
      <c r="G22" s="50" t="n"/>
      <c r="H22" s="42" t="n">
        <v>0.25</v>
      </c>
    </row>
    <row r="23">
      <c r="A23" s="43" t="inlineStr">
        <is>
          <t>PVP SUGERIDO (sin IVA)</t>
        </is>
      </c>
      <c r="B23" s="49" t="n"/>
      <c r="C23" s="49" t="n"/>
      <c r="D23" s="49" t="n"/>
      <c r="E23" s="49" t="n"/>
      <c r="F23" s="49" t="n"/>
      <c r="G23" s="49" t="n"/>
      <c r="H23" s="50" t="n"/>
      <c r="I23" s="44">
        <f>I20/H22</f>
        <v>26.553209521499603</v>
      </c>
    </row>
    <row r="24">
      <c r="A24" s="45" t="inlineStr">
        <is>
          <t>PVP CON IVA (10% hostelería)</t>
        </is>
      </c>
      <c r="B24" s="49" t="n"/>
      <c r="C24" s="49" t="n"/>
      <c r="D24" s="49" t="n"/>
      <c r="E24" s="49" t="n"/>
      <c r="F24" s="49" t="n"/>
      <c r="G24" s="49" t="n"/>
      <c r="H24" s="50" t="n"/>
      <c r="I24" s="46">
        <f>I23*1.10</f>
        <v>29.208530473649567</v>
      </c>
    </row>
    <row r="25">
      <c r="A25" s="37" t="inlineStr">
        <is>
          <t>Margen bruto (€)</t>
        </is>
      </c>
      <c r="B25" s="49" t="n"/>
      <c r="C25" s="49" t="n"/>
      <c r="D25" s="49" t="n"/>
      <c r="E25" s="49" t="n"/>
      <c r="F25" s="49" t="n"/>
      <c r="G25" s="49" t="n"/>
      <c r="H25" s="50" t="n"/>
      <c r="I25" s="38">
        <f>I23-I20</f>
        <v>19.9149071411247</v>
      </c>
    </row>
    <row r="26">
      <c r="A26" s="37" t="inlineStr">
        <is>
          <t>Margen bruto (%)</t>
        </is>
      </c>
      <c r="B26" s="49" t="n"/>
      <c r="C26" s="49" t="n"/>
      <c r="D26" s="49" t="n"/>
      <c r="E26" s="49" t="n"/>
      <c r="F26" s="49" t="n"/>
      <c r="G26" s="49" t="n"/>
      <c r="H26" s="50" t="n"/>
      <c r="I26" s="47">
        <f>I25/I23</f>
        <v>0.7499999999999999</v>
      </c>
    </row>
  </sheetData>
  <mergeCells count="13">
    <mergeCell ref="K15:L15"/>
    <mergeCell ref="A18:H18"/>
    <mergeCell ref="K8:L9"/>
    <mergeCell ref="A2:I2"/>
    <mergeCell ref="A20:H20"/>
    <mergeCell ref="A26:H26"/>
    <mergeCell ref="A1:I1"/>
    <mergeCell ref="A24:H24"/>
    <mergeCell ref="K3:L3"/>
    <mergeCell ref="A19:G19"/>
    <mergeCell ref="A25:H25"/>
    <mergeCell ref="A22:G22"/>
    <mergeCell ref="A23:H23"/>
  </mergeCells>
  <dataValidations count="2">
    <dataValidation sqref="B5 B6 B7 B8 B9 B10 B11 B12 B13 B14 B15 B16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F5 F6 F7 F8 F9 F10 F11 F12 F13 F14 F15 F16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Pastelería y Repostería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2026-03-18T21:50:23Z</dcterms:created>
  <dcterms:modified xmlns:dcterms="http://purl.org/dc/terms/" xmlns:xsi="http://www.w3.org/2001/XMLSchema-instance" xsi:type="dcterms:W3CDTF">2026-08-22T09:11:24Z</dcterms:modified>
  <cp:lastModifiedBy>AI Chef Pro</cp:lastModifiedBy>
  <cp:category>AI Chef Pro · Productos digitales</cp:category>
  <cp:keywords>kit escandallos, AI Chef Pro</cp:keywords>
</cp:coreProperties>
</file>