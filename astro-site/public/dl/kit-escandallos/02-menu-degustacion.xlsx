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1. Aperitivo" sheetId="2" state="visible" r:id="rId2"/>
    <sheet xmlns:r="http://schemas.openxmlformats.org/officeDocument/2006/relationships" name="2. Entrante" sheetId="3" state="visible" r:id="rId3"/>
    <sheet xmlns:r="http://schemas.openxmlformats.org/officeDocument/2006/relationships" name="3. Pescado" sheetId="4" state="visible" r:id="rId4"/>
    <sheet xmlns:r="http://schemas.openxmlformats.org/officeDocument/2006/relationships" name="4. Carne" sheetId="5" state="visible" r:id="rId5"/>
    <sheet xmlns:r="http://schemas.openxmlformats.org/officeDocument/2006/relationships" name="5. Postre" sheetId="6" state="visible" r:id="rId6"/>
    <sheet xmlns:r="http://schemas.openxmlformats.org/officeDocument/2006/relationships" name="Resumen" sheetId="7" state="visible" r:id="rId7"/>
  </sheets>
  <definedNames>
    <definedName name="_xlnm.Print_Titles" localSheetId="1">'1. Aperitivo'!$4:$4</definedName>
    <definedName name="_xlnm.Print_Area" localSheetId="1">'1. Aperitivo'!$A$1:$I$24</definedName>
    <definedName name="_xlnm.Print_Titles" localSheetId="2">'2. Entrante'!$4:$4</definedName>
    <definedName name="_xlnm.Print_Area" localSheetId="2">'2. Entrante'!$A$1:$I$24</definedName>
    <definedName name="_xlnm.Print_Titles" localSheetId="3">'3. Pescado'!$4:$4</definedName>
    <definedName name="_xlnm.Print_Area" localSheetId="3">'3. Pescado'!$A$1:$I$24</definedName>
    <definedName name="_xlnm.Print_Titles" localSheetId="4">'4. Carne'!$4:$4</definedName>
    <definedName name="_xlnm.Print_Area" localSheetId="4">'4. Carne'!$A$1:$I$24</definedName>
    <definedName name="_xlnm.Print_Titles" localSheetId="5">'5. Postre'!$4:$4</definedName>
    <definedName name="_xlnm.Print_Area" localSheetId="5">'5. Postre'!$A$1:$I$24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€"/>
    <numFmt numFmtId="165" formatCode="0.000"/>
    <numFmt numFmtId="166" formatCode="0.0%"/>
  </numFmts>
  <fonts count="18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color rgb="00888888"/>
      <sz val="11"/>
    </font>
    <font>
      <name val="Calibri"/>
      <i val="1"/>
      <color rgb="00888888"/>
      <sz val="10"/>
    </font>
    <font>
      <name val="Calibri"/>
      <b val="1"/>
      <color rgb="001A1A1A"/>
      <sz val="12"/>
    </font>
    <font>
      <name val="Calibri"/>
      <color rgb="00333333"/>
      <sz val="11"/>
    </font>
    <font>
      <name val="Calibri"/>
      <i val="1"/>
      <color rgb="00888888"/>
      <sz val="11"/>
    </font>
    <font>
      <name val="Calibri"/>
      <color rgb="00AAAAAA"/>
      <sz val="9"/>
    </font>
    <font>
      <name val="Calibri"/>
      <b val="1"/>
      <color rgb="00FFD700"/>
      <sz val="12"/>
    </font>
    <font>
      <name val="Calibri"/>
      <i val="1"/>
      <color rgb="00AAAAAA"/>
      <sz val="11"/>
    </font>
    <font>
      <name val="Calibri"/>
      <i val="1"/>
      <color rgb="00BBBBBB"/>
      <sz val="9"/>
    </font>
    <font>
      <name val="Calibri"/>
      <b val="1"/>
      <color rgb="00FFD700"/>
      <sz val="16"/>
    </font>
    <font>
      <name val="Calibri"/>
      <b val="1"/>
      <color rgb="00FFFFFF"/>
      <sz val="11"/>
    </font>
    <font>
      <name val="Calibri"/>
      <b val="1"/>
      <color rgb="00333333"/>
      <sz val="11"/>
    </font>
    <font>
      <name val="Calibri"/>
      <b val="1"/>
      <color rgb="001A1A1A"/>
      <sz val="13"/>
    </font>
    <font>
      <name val="Calibri"/>
      <b val="1"/>
      <sz val="13"/>
    </font>
    <font>
      <name val="Calibri"/>
      <b val="1"/>
      <sz val="11"/>
    </font>
    <font>
      <name val="Calibri"/>
      <b val="1"/>
      <sz val="14"/>
    </font>
  </fonts>
  <fills count="7">
    <fill>
      <patternFill/>
    </fill>
    <fill>
      <patternFill patternType="gray125"/>
    </fill>
    <fill>
      <patternFill patternType="solid">
        <fgColor rgb="00FAFAFA"/>
        <bgColor rgb="00FAFAFA"/>
      </patternFill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FFF8DC"/>
        <bgColor rgb="00FFF8DC"/>
      </patternFill>
    </fill>
    <fill>
      <patternFill patternType="solid">
        <fgColor rgb="00FFD700"/>
        <bgColor rgb="00FFD700"/>
      </patternFill>
    </fill>
  </fills>
  <borders count="20">
    <border>
      <left/>
      <right/>
      <top/>
      <bottom/>
      <diagonal/>
    </border>
    <border>
      <left style="medium">
        <color rgb="00FFD700"/>
      </left>
      <right style="medium">
        <color rgb="00FFD700"/>
      </right>
      <top style="medium">
        <color rgb="00FFD700"/>
      </top>
      <bottom style="medium">
        <color rgb="00FFD700"/>
      </bottom>
    </border>
    <border>
      <left style="medium">
        <color rgb="00FFD700"/>
      </left>
      <right style="thin">
        <color rgb="00E0E0E0"/>
      </right>
      <top style="medium">
        <color rgb="00FFD70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medium">
        <color rgb="00FFD70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medium">
        <color rgb="00FFD70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medium">
        <color rgb="00FFD700"/>
      </bottom>
    </border>
    <border>
      <left/>
      <right/>
      <top style="thin">
        <color rgb="00E0E0E0"/>
      </top>
      <bottom/>
      <diagonal/>
    </border>
    <border>
      <left style="medium">
        <color rgb="00FFD700"/>
      </left>
      <right/>
      <top/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/>
      <bottom/>
      <diagonal/>
    </border>
    <border>
      <left style="medium">
        <color rgb="00FFD700"/>
      </left>
      <right/>
      <top/>
      <bottom style="thin">
        <color rgb="00E0E0E0"/>
      </bottom>
      <diagonal/>
    </border>
    <border>
      <left/>
      <right style="thin">
        <color rgb="00E0E0E0"/>
      </right>
      <top/>
      <bottom style="thin">
        <color rgb="00E0E0E0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medium">
        <color rgb="00FFD700"/>
      </top>
      <bottom/>
      <diagonal/>
    </border>
    <border>
      <left/>
      <right style="medium">
        <color rgb="00FFD700"/>
      </right>
      <top style="medium">
        <color rgb="00FFD700"/>
      </top>
      <bottom/>
      <diagonal/>
    </border>
    <border>
      <left/>
      <right style="medium">
        <color rgb="00FFD700"/>
      </right>
      <top style="medium">
        <color rgb="00FFD700"/>
      </top>
      <bottom style="medium">
        <color rgb="00FFD700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2" fillId="3" borderId="14" applyAlignment="1" pivotButton="0" quotePrefix="0" xfId="0">
      <alignment horizontal="center" vertical="center" wrapText="1"/>
    </xf>
    <xf numFmtId="0" fontId="0" fillId="2" borderId="2" pivotButton="0" quotePrefix="0" xfId="0"/>
    <xf numFmtId="0" fontId="0" fillId="2" borderId="3" pivotButton="0" quotePrefix="0" xfId="0"/>
    <xf numFmtId="0" fontId="5" fillId="4" borderId="14" applyAlignment="1" pivotButton="0" quotePrefix="0" xfId="0">
      <alignment horizontal="left" vertical="center" wrapText="1"/>
    </xf>
    <xf numFmtId="0" fontId="5" fillId="4" borderId="14" applyAlignment="1" pivotButton="0" quotePrefix="0" xfId="0">
      <alignment horizontal="center" vertical="center" wrapText="1"/>
    </xf>
    <xf numFmtId="164" fontId="5" fillId="4" borderId="14" applyAlignment="1" pivotButton="0" quotePrefix="0" xfId="0">
      <alignment horizontal="right" vertical="center"/>
    </xf>
    <xf numFmtId="165" fontId="5" fillId="4" borderId="14" applyAlignment="1" pivotButton="0" quotePrefix="0" xfId="0">
      <alignment horizontal="right" vertical="center"/>
    </xf>
    <xf numFmtId="9" fontId="5" fillId="4" borderId="14" applyAlignment="1" pivotButton="0" quotePrefix="0" xfId="0">
      <alignment horizontal="center" vertical="center" wrapText="1"/>
    </xf>
    <xf numFmtId="165" fontId="13" fillId="0" borderId="14" applyAlignment="1" pivotButton="0" quotePrefix="0" xfId="0">
      <alignment horizontal="right" vertical="center"/>
    </xf>
    <xf numFmtId="164" fontId="13" fillId="0" borderId="14" applyAlignment="1" pivotButton="0" quotePrefix="0" xfId="0">
      <alignment horizontal="right" vertical="center"/>
    </xf>
    <xf numFmtId="0" fontId="0" fillId="2" borderId="4" pivotButton="0" quotePrefix="0" xfId="0"/>
    <xf numFmtId="0" fontId="0" fillId="2" borderId="5" pivotButton="0" quotePrefix="0" xfId="0"/>
    <xf numFmtId="0" fontId="9" fillId="2" borderId="4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4" borderId="14" pivotButton="0" quotePrefix="0" xfId="0"/>
    <xf numFmtId="9" fontId="0" fillId="4" borderId="14" pivotButton="0" quotePrefix="0" xfId="0"/>
    <xf numFmtId="165" fontId="0" fillId="0" borderId="14" pivotButton="0" quotePrefix="0" xfId="0"/>
    <xf numFmtId="164" fontId="0" fillId="0" borderId="14" pivotButton="0" quotePrefix="0" xfId="0"/>
    <xf numFmtId="0" fontId="0" fillId="2" borderId="6" pivotButton="0" quotePrefix="0" xfId="0"/>
    <xf numFmtId="0" fontId="0" fillId="2" borderId="7" pivotButton="0" quotePrefix="0" xfId="0"/>
    <xf numFmtId="0" fontId="10" fillId="0" borderId="0" applyAlignment="1" pivotButton="0" quotePrefix="0" xfId="0">
      <alignment horizontal="center" vertical="center" wrapText="1"/>
    </xf>
    <xf numFmtId="0" fontId="4" fillId="5" borderId="14" applyAlignment="1" pivotButton="0" quotePrefix="0" xfId="0">
      <alignment horizontal="right" vertical="center"/>
    </xf>
    <xf numFmtId="164" fontId="4" fillId="5" borderId="14" pivotButton="0" quotePrefix="0" xfId="0"/>
    <xf numFmtId="0" fontId="5" fillId="0" borderId="14" applyAlignment="1" pivotButton="0" quotePrefix="0" xfId="0">
      <alignment horizontal="right" vertical="center"/>
    </xf>
    <xf numFmtId="164" fontId="13" fillId="0" borderId="14" pivotButton="0" quotePrefix="0" xfId="0"/>
    <xf numFmtId="0" fontId="14" fillId="6" borderId="14" applyAlignment="1" pivotButton="0" quotePrefix="0" xfId="0">
      <alignment horizontal="right" vertical="center"/>
    </xf>
    <xf numFmtId="164" fontId="15" fillId="6" borderId="14" pivotButton="0" quotePrefix="0" xfId="0"/>
    <xf numFmtId="0" fontId="13" fillId="0" borderId="14" applyAlignment="1" pivotButton="0" quotePrefix="0" xfId="0">
      <alignment horizontal="right" vertical="center"/>
    </xf>
    <xf numFmtId="9" fontId="16" fillId="4" borderId="14" applyAlignment="1" pivotButton="0" quotePrefix="0" xfId="0">
      <alignment horizontal="center" vertical="center" wrapText="1"/>
    </xf>
    <xf numFmtId="0" fontId="4" fillId="0" borderId="14" applyAlignment="1" pivotButton="0" quotePrefix="0" xfId="0">
      <alignment horizontal="right" vertical="center"/>
    </xf>
    <xf numFmtId="164" fontId="4" fillId="0" borderId="14" pivotButton="0" quotePrefix="0" xfId="0"/>
    <xf numFmtId="0" fontId="4" fillId="6" borderId="14" applyAlignment="1" pivotButton="0" quotePrefix="0" xfId="0">
      <alignment horizontal="right" vertical="center"/>
    </xf>
    <xf numFmtId="164" fontId="17" fillId="6" borderId="14" pivotButton="0" quotePrefix="0" xfId="0"/>
    <xf numFmtId="166" fontId="13" fillId="0" borderId="14" pivotButton="0" quotePrefix="0" xfId="0"/>
    <xf numFmtId="0" fontId="1" fillId="0" borderId="0" pivotButton="0" quotePrefix="0" xfId="0"/>
    <xf numFmtId="0" fontId="12" fillId="3" borderId="14" pivotButton="0" quotePrefix="0" xfId="0"/>
    <xf numFmtId="0" fontId="12" fillId="3" borderId="14" applyAlignment="1" pivotButton="0" quotePrefix="0" xfId="0">
      <alignment horizontal="right" vertical="center"/>
    </xf>
    <xf numFmtId="0" fontId="5" fillId="0" borderId="14" pivotButton="0" quotePrefix="0" xfId="0"/>
    <xf numFmtId="0" fontId="4" fillId="6" borderId="14" pivotButton="0" quotePrefix="0" xfId="0"/>
    <xf numFmtId="0" fontId="16" fillId="0" borderId="14" pivotButton="0" quotePrefix="0" xfId="0"/>
    <xf numFmtId="9" fontId="5" fillId="4" borderId="14" pivotButton="0" quotePrefix="0" xfId="0"/>
    <xf numFmtId="0" fontId="4" fillId="0" borderId="14" pivotButton="0" quotePrefix="0" xfId="0"/>
    <xf numFmtId="0" fontId="17" fillId="6" borderId="14" pivotButton="0" quotePrefix="0" xfId="0"/>
    <xf numFmtId="0" fontId="0" fillId="0" borderId="19" pivotButton="0" quotePrefix="0" xfId="0"/>
    <xf numFmtId="0" fontId="0" fillId="0" borderId="15" pivotButton="0" quotePrefix="0" xfId="0"/>
    <xf numFmtId="0" fontId="0" fillId="0" borderId="1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7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📋 Escandallo — Menú Degustación</t>
        </is>
      </c>
    </row>
    <row r="3">
      <c r="B3" s="2" t="inlineStr">
        <is>
          <t>Kit de Escandallos Pro — AI Chef Pro</t>
        </is>
      </c>
    </row>
    <row r="4">
      <c r="B4" s="3" t="inlineStr">
        <is>
          <t>www.aichef.pro</t>
        </is>
      </c>
    </row>
    <row r="5"/>
    <row r="6">
      <c r="B6" s="4" t="inlineStr">
        <is>
          <t>Cómo usar esta plantilla</t>
        </is>
      </c>
    </row>
    <row r="7">
      <c r="B7" s="5" t="inlineStr"/>
    </row>
    <row r="8">
      <c r="B8" s="6" t="inlineStr">
        <is>
          <t>▸ Cada pestaña es un pase del menú degustación</t>
        </is>
      </c>
    </row>
    <row r="9">
      <c r="B9" s="6" t="inlineStr">
        <is>
          <t>▸ La pestaña 'Resumen' suma automáticamente todos los pases</t>
        </is>
      </c>
    </row>
    <row r="10">
      <c r="B10" s="6" t="inlineStr">
        <is>
          <t>▸ Introduce ingredientes y cantidades en cada pestaña de pase</t>
        </is>
      </c>
    </row>
    <row r="11">
      <c r="B11" s="6" t="inlineStr">
        <is>
          <t>▸ El PVP se calcula sobre el coste total de todos los pases</t>
        </is>
      </c>
    </row>
    <row r="12">
      <c r="B12" s="5" t="inlineStr"/>
    </row>
    <row r="13">
      <c r="B13" s="7" t="inlineStr">
        <is>
          <t>— Kit de Escandallos Pro · AI Chef Pro · aichef.pro</t>
        </is>
      </c>
    </row>
    <row r="14"/>
    <row r="15">
      <c r="B15" s="8" t="inlineStr">
        <is>
          <t>© 2026 AI Chef Pro · Todos los derechos reservados</t>
        </is>
      </c>
    </row>
    <row r="16"/>
    <row r="17">
      <c r="B17" s="8" t="inlineStr">
        <is>
          <t>Versión 1.1 · agosto 2026 · aichef.pro/kit-escandallos · info@aichef.pro</t>
        </is>
      </c>
    </row>
  </sheetData>
  <mergeCells count="1">
    <mergeCell ref="B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L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0" customWidth="1" min="7" max="7"/>
    <col width="14" customWidth="1" min="8" max="8"/>
    <col width="14" customWidth="1" min="9" max="9"/>
    <col width="3" customWidth="1" min="10" max="10"/>
    <col width="20" customWidth="1" min="11" max="11"/>
    <col width="20" customWidth="1" min="12" max="12"/>
  </cols>
  <sheetData>
    <row r="1">
      <c r="A1" s="9" t="inlineStr">
        <is>
          <t>Aperitivo — Tartar de Atún con Aguacate</t>
        </is>
      </c>
    </row>
    <row r="2">
      <c r="A2" s="2" t="inlineStr">
        <is>
          <t>Introduce tus ingredientes y cantidades. Las celdas verdes son editables.</t>
        </is>
      </c>
    </row>
    <row r="3">
      <c r="K3" s="10" t="inlineStr">
        <is>
          <t>📷 Foto del Plato</t>
        </is>
      </c>
      <c r="L3" s="57" t="n"/>
    </row>
    <row r="4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Merma (%)</t>
        </is>
      </c>
      <c r="H4" s="12" t="inlineStr">
        <is>
          <t>Cant. Bruta</t>
        </is>
      </c>
      <c r="I4" s="12" t="inlineStr">
        <is>
          <t>Coste (€)</t>
        </is>
      </c>
      <c r="K4" s="13" t="n"/>
      <c r="L4" s="14" t="n"/>
    </row>
    <row r="5">
      <c r="A5" s="15" t="inlineStr">
        <is>
          <t>Atún rojo (lomo)</t>
        </is>
      </c>
      <c r="B5" s="16" t="inlineStr">
        <is>
          <t>Pescado</t>
        </is>
      </c>
      <c r="C5" s="16" t="inlineStr">
        <is>
          <t>kg</t>
        </is>
      </c>
      <c r="D5" s="17" t="n">
        <v>42</v>
      </c>
      <c r="E5" s="18" t="n">
        <v>0.08</v>
      </c>
      <c r="F5" s="16" t="inlineStr">
        <is>
          <t>kg</t>
        </is>
      </c>
      <c r="G5" s="19" t="n">
        <v>0.35</v>
      </c>
      <c r="H5" s="20">
        <f>E5/(1-G5)</f>
        <v>0.12307692307692307</v>
      </c>
      <c r="I5" s="21">
        <f>H5*D5</f>
        <v>5.169230769230769</v>
      </c>
      <c r="K5" s="22" t="n"/>
      <c r="L5" s="23" t="n"/>
    </row>
    <row r="6">
      <c r="A6" s="15" t="inlineStr">
        <is>
          <t>Aguacate Hass</t>
        </is>
      </c>
      <c r="B6" s="16" t="inlineStr">
        <is>
          <t>Fruta</t>
        </is>
      </c>
      <c r="C6" s="16" t="inlineStr">
        <is>
          <t>ud</t>
        </is>
      </c>
      <c r="D6" s="17" t="n">
        <v>1.5</v>
      </c>
      <c r="E6" s="18" t="n">
        <v>0.5</v>
      </c>
      <c r="F6" s="16" t="inlineStr">
        <is>
          <t>ud</t>
        </is>
      </c>
      <c r="G6" s="19" t="n">
        <v>0.3</v>
      </c>
      <c r="H6" s="20">
        <f>E6/(1-G6)</f>
        <v>0.7142857142857143</v>
      </c>
      <c r="I6" s="21">
        <f>H6*D6</f>
        <v>1.0714285714285714</v>
      </c>
      <c r="K6" s="22" t="n"/>
      <c r="L6" s="23" t="n"/>
    </row>
    <row r="7">
      <c r="A7" s="15" t="inlineStr">
        <is>
          <t>Sésamo tostado</t>
        </is>
      </c>
      <c r="B7" s="16" t="inlineStr">
        <is>
          <t>Secos/granos</t>
        </is>
      </c>
      <c r="C7" s="16" t="inlineStr">
        <is>
          <t>kg</t>
        </is>
      </c>
      <c r="D7" s="17" t="n">
        <v>12</v>
      </c>
      <c r="E7" s="18" t="n">
        <v>0.005</v>
      </c>
      <c r="F7" s="16" t="inlineStr">
        <is>
          <t>kg</t>
        </is>
      </c>
      <c r="G7" s="19" t="n">
        <v>0.02</v>
      </c>
      <c r="H7" s="20">
        <f>E7/(1-G7)</f>
        <v>0.005102040816326531</v>
      </c>
      <c r="I7" s="21">
        <f>H7*D7</f>
        <v>0.06122448979591837</v>
      </c>
      <c r="K7" s="22" t="n"/>
      <c r="L7" s="23" t="n"/>
    </row>
    <row r="8">
      <c r="A8" s="15" t="inlineStr">
        <is>
          <t>Salsa de soja</t>
        </is>
      </c>
      <c r="B8" s="16" t="inlineStr">
        <is>
          <t>Bebidas/licores</t>
        </is>
      </c>
      <c r="C8" s="16" t="inlineStr">
        <is>
          <t>L</t>
        </is>
      </c>
      <c r="D8" s="17" t="n">
        <v>6</v>
      </c>
      <c r="E8" s="18" t="n">
        <v>0.015</v>
      </c>
      <c r="F8" s="16" t="inlineStr">
        <is>
          <t>L</t>
        </is>
      </c>
      <c r="G8" s="19" t="n">
        <v>0.02</v>
      </c>
      <c r="H8" s="20">
        <f>E8/(1-G8)</f>
        <v>0.015306122448979591</v>
      </c>
      <c r="I8" s="21">
        <f>H8*D8</f>
        <v>0.09183673469387754</v>
      </c>
      <c r="K8" s="24" t="inlineStr">
        <is>
          <t>Arrastra aquí la foto
del plato terminado</t>
        </is>
      </c>
      <c r="L8" s="25" t="n"/>
    </row>
    <row r="9">
      <c r="A9" s="15" t="inlineStr">
        <is>
          <t>Aceite de sésamo</t>
        </is>
      </c>
      <c r="B9" s="16" t="inlineStr">
        <is>
          <t>Aceites/grasas</t>
        </is>
      </c>
      <c r="C9" s="16" t="inlineStr">
        <is>
          <t>L</t>
        </is>
      </c>
      <c r="D9" s="17" t="n">
        <v>14</v>
      </c>
      <c r="E9" s="18" t="n">
        <v>0.01</v>
      </c>
      <c r="F9" s="16" t="inlineStr">
        <is>
          <t>L</t>
        </is>
      </c>
      <c r="G9" s="19" t="n">
        <v>0.03</v>
      </c>
      <c r="H9" s="20">
        <f>E9/(1-G9)</f>
        <v>0.010309278350515464</v>
      </c>
      <c r="I9" s="21">
        <f>H9*D9</f>
        <v>0.14432989690721648</v>
      </c>
      <c r="K9" s="26" t="n"/>
      <c r="L9" s="27" t="n"/>
    </row>
    <row r="10">
      <c r="A10" s="28" t="n"/>
      <c r="B10" s="28" t="n"/>
      <c r="C10" s="28" t="n"/>
      <c r="D10" s="28" t="n"/>
      <c r="E10" s="28" t="n"/>
      <c r="F10" s="28" t="n"/>
      <c r="G10" s="29" t="n"/>
      <c r="H10" s="30">
        <f>IF(E10="","",E10/(1-G10))</f>
        <v/>
      </c>
      <c r="I10" s="31">
        <f>IF(H10="","",H10*D10)</f>
        <v/>
      </c>
      <c r="K10" s="22" t="n"/>
      <c r="L10" s="23" t="n"/>
    </row>
    <row r="11">
      <c r="A11" s="28" t="n"/>
      <c r="B11" s="28" t="n"/>
      <c r="C11" s="28" t="n"/>
      <c r="D11" s="28" t="n"/>
      <c r="E11" s="28" t="n"/>
      <c r="F11" s="28" t="n"/>
      <c r="G11" s="29" t="n"/>
      <c r="H11" s="30">
        <f>IF(E11="","",E11/(1-G11))</f>
        <v/>
      </c>
      <c r="I11" s="31">
        <f>IF(H11="","",H11*D11)</f>
        <v/>
      </c>
      <c r="K11" s="22" t="n"/>
      <c r="L11" s="23" t="n"/>
    </row>
    <row r="12">
      <c r="A12" s="28" t="n"/>
      <c r="B12" s="28" t="n"/>
      <c r="C12" s="28" t="n"/>
      <c r="D12" s="28" t="n"/>
      <c r="E12" s="28" t="n"/>
      <c r="F12" s="28" t="n"/>
      <c r="G12" s="29" t="n"/>
      <c r="H12" s="30">
        <f>IF(E12="","",E12/(1-G12))</f>
        <v/>
      </c>
      <c r="I12" s="31">
        <f>IF(H12="","",H12*D12)</f>
        <v/>
      </c>
      <c r="K12" s="22" t="n"/>
      <c r="L12" s="23" t="n"/>
    </row>
    <row r="13">
      <c r="A13" s="28" t="n"/>
      <c r="B13" s="28" t="n"/>
      <c r="C13" s="28" t="n"/>
      <c r="D13" s="28" t="n"/>
      <c r="E13" s="28" t="n"/>
      <c r="F13" s="28" t="n"/>
      <c r="G13" s="29" t="n"/>
      <c r="H13" s="30">
        <f>IF(E13="","",E13/(1-G13))</f>
        <v/>
      </c>
      <c r="I13" s="31">
        <f>IF(H13="","",H13*D13)</f>
        <v/>
      </c>
      <c r="K13" s="22" t="n"/>
      <c r="L13" s="23" t="n"/>
    </row>
    <row r="14">
      <c r="A14" s="28" t="n"/>
      <c r="B14" s="28" t="n"/>
      <c r="C14" s="28" t="n"/>
      <c r="D14" s="28" t="n"/>
      <c r="E14" s="28" t="n"/>
      <c r="F14" s="28" t="n"/>
      <c r="G14" s="29" t="n"/>
      <c r="H14" s="30">
        <f>IF(E14="","",E14/(1-G14))</f>
        <v/>
      </c>
      <c r="I14" s="31">
        <f>IF(H14="","",H14*D14)</f>
        <v/>
      </c>
      <c r="K14" s="32" t="n"/>
      <c r="L14" s="33" t="n"/>
    </row>
    <row r="15">
      <c r="K15" s="34" t="inlineStr">
        <is>
          <t>Insertar → Imagen → Desde archivo</t>
        </is>
      </c>
    </row>
    <row r="16">
      <c r="A16" s="35" t="inlineStr">
        <is>
          <t>COSTE TOTAL INGREDIENTES</t>
        </is>
      </c>
      <c r="B16" s="58" t="n"/>
      <c r="C16" s="58" t="n"/>
      <c r="D16" s="58" t="n"/>
      <c r="E16" s="58" t="n"/>
      <c r="F16" s="58" t="n"/>
      <c r="G16" s="58" t="n"/>
      <c r="H16" s="59" t="n"/>
      <c r="I16" s="36">
        <f>SUM(I5:I14)</f>
        <v>6.538050462056353</v>
      </c>
    </row>
    <row r="17">
      <c r="A17" s="37" t="inlineStr">
        <is>
          <t>Coste elaboración (%)</t>
        </is>
      </c>
      <c r="B17" s="58" t="n"/>
      <c r="C17" s="58" t="n"/>
      <c r="D17" s="58" t="n"/>
      <c r="E17" s="58" t="n"/>
      <c r="F17" s="58" t="n"/>
      <c r="G17" s="59" t="n"/>
      <c r="H17" s="19" t="n">
        <v>0.1</v>
      </c>
      <c r="I17" s="38">
        <f>I16*H17</f>
        <v>0.6538050462056354</v>
      </c>
    </row>
    <row r="18">
      <c r="A18" s="39" t="inlineStr">
        <is>
          <t>COSTE TOTAL DEL PLATO</t>
        </is>
      </c>
      <c r="B18" s="58" t="n"/>
      <c r="C18" s="58" t="n"/>
      <c r="D18" s="58" t="n"/>
      <c r="E18" s="58" t="n"/>
      <c r="F18" s="58" t="n"/>
      <c r="G18" s="58" t="n"/>
      <c r="H18" s="59" t="n"/>
      <c r="I18" s="40">
        <f>I16+I17</f>
        <v>7.191855508261988</v>
      </c>
    </row>
    <row r="19"/>
    <row r="20">
      <c r="A20" s="41" t="inlineStr">
        <is>
          <t>Food Cost objetivo (%)</t>
        </is>
      </c>
      <c r="B20" s="58" t="n"/>
      <c r="C20" s="58" t="n"/>
      <c r="D20" s="58" t="n"/>
      <c r="E20" s="58" t="n"/>
      <c r="F20" s="58" t="n"/>
      <c r="G20" s="59" t="n"/>
      <c r="H20" s="42" t="n">
        <v>0.3</v>
      </c>
    </row>
    <row r="21">
      <c r="A21" s="43" t="inlineStr">
        <is>
          <t>PVP SUGERIDO (sin IVA)</t>
        </is>
      </c>
      <c r="B21" s="58" t="n"/>
      <c r="C21" s="58" t="n"/>
      <c r="D21" s="58" t="n"/>
      <c r="E21" s="58" t="n"/>
      <c r="F21" s="58" t="n"/>
      <c r="G21" s="58" t="n"/>
      <c r="H21" s="59" t="n"/>
      <c r="I21" s="44">
        <f>I18/H20</f>
        <v>23.97285169420663</v>
      </c>
    </row>
    <row r="22">
      <c r="A22" s="45" t="inlineStr">
        <is>
          <t>PVP CON IVA (10% hostelería)</t>
        </is>
      </c>
      <c r="B22" s="58" t="n"/>
      <c r="C22" s="58" t="n"/>
      <c r="D22" s="58" t="n"/>
      <c r="E22" s="58" t="n"/>
      <c r="F22" s="58" t="n"/>
      <c r="G22" s="58" t="n"/>
      <c r="H22" s="59" t="n"/>
      <c r="I22" s="46">
        <f>I21*1.10</f>
        <v>26.370136863627295</v>
      </c>
    </row>
    <row r="23">
      <c r="A23" s="37" t="inlineStr">
        <is>
          <t>Margen bruto (€)</t>
        </is>
      </c>
      <c r="B23" s="58" t="n"/>
      <c r="C23" s="58" t="n"/>
      <c r="D23" s="58" t="n"/>
      <c r="E23" s="58" t="n"/>
      <c r="F23" s="58" t="n"/>
      <c r="G23" s="58" t="n"/>
      <c r="H23" s="59" t="n"/>
      <c r="I23" s="38">
        <f>I21-I18</f>
        <v>16.78099618594464</v>
      </c>
    </row>
    <row r="24">
      <c r="A24" s="37" t="inlineStr">
        <is>
          <t>Margen bruto (%)</t>
        </is>
      </c>
      <c r="B24" s="58" t="n"/>
      <c r="C24" s="58" t="n"/>
      <c r="D24" s="58" t="n"/>
      <c r="E24" s="58" t="n"/>
      <c r="F24" s="58" t="n"/>
      <c r="G24" s="58" t="n"/>
      <c r="H24" s="59" t="n"/>
      <c r="I24" s="47">
        <f>I23/I21</f>
        <v>0.7000000000000001</v>
      </c>
    </row>
  </sheetData>
  <mergeCells count="13">
    <mergeCell ref="A20:G20"/>
    <mergeCell ref="K15:L15"/>
    <mergeCell ref="A17:G17"/>
    <mergeCell ref="A18:H18"/>
    <mergeCell ref="K8:L9"/>
    <mergeCell ref="A16:H16"/>
    <mergeCell ref="A2:I2"/>
    <mergeCell ref="A22:H22"/>
    <mergeCell ref="A21:H21"/>
    <mergeCell ref="A1:I1"/>
    <mergeCell ref="A24:H24"/>
    <mergeCell ref="K3:L3"/>
    <mergeCell ref="A23:H23"/>
  </mergeCells>
  <dataValidations count="2">
    <dataValidation sqref="B5 B6 B7 B8 B9 B10 B11 B12 B13 B14" showDropDown="0" showInputMessage="0" showErrorMessage="0" allowBlank="1" errorTitle="Categoría inválida" error="Selecciona una categoría válida" type="list">
      <formula1>"Carne roja,Aves,Pescado,Marisco,Verdura hoja,Verdura raíz,Fruta,Lácteos,Secos/granos,Congelados,Pan/bollería,Huevos,Aceites/grasas,Especias/hierbas,Chocolate/cacao,Bebidas/licores"</formula1>
    </dataValidation>
    <dataValidation sqref="C5 C6 C7 C8 C9 C10 C11 C12 C13 C14 F5 F6 F7 F8 F9 F10 F11 F12 F13 F14" showDropDown="0" showInputMessage="0" showErrorMessage="0" allowBlank="1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L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0" customWidth="1" min="7" max="7"/>
    <col width="14" customWidth="1" min="8" max="8"/>
    <col width="14" customWidth="1" min="9" max="9"/>
    <col width="3" customWidth="1" min="10" max="10"/>
    <col width="20" customWidth="1" min="11" max="11"/>
    <col width="20" customWidth="1" min="12" max="12"/>
  </cols>
  <sheetData>
    <row r="1">
      <c r="A1" s="9" t="inlineStr">
        <is>
          <t>Entrante — Vieira con Coliflor y Trufa</t>
        </is>
      </c>
    </row>
    <row r="2">
      <c r="A2" s="2" t="inlineStr">
        <is>
          <t>Introduce tus ingredientes y cantidades. Las celdas verdes son editables.</t>
        </is>
      </c>
    </row>
    <row r="3">
      <c r="K3" s="10" t="inlineStr">
        <is>
          <t>📷 Foto del Plato</t>
        </is>
      </c>
      <c r="L3" s="57" t="n"/>
    </row>
    <row r="4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Merma (%)</t>
        </is>
      </c>
      <c r="H4" s="12" t="inlineStr">
        <is>
          <t>Cant. Bruta</t>
        </is>
      </c>
      <c r="I4" s="12" t="inlineStr">
        <is>
          <t>Coste (€)</t>
        </is>
      </c>
      <c r="K4" s="13" t="n"/>
      <c r="L4" s="14" t="n"/>
    </row>
    <row r="5">
      <c r="A5" s="15" t="inlineStr">
        <is>
          <t>Vieira fresca (grande)</t>
        </is>
      </c>
      <c r="B5" s="16" t="inlineStr">
        <is>
          <t>Marisco</t>
        </is>
      </c>
      <c r="C5" s="16" t="inlineStr">
        <is>
          <t>kg</t>
        </is>
      </c>
      <c r="D5" s="17" t="n">
        <v>48</v>
      </c>
      <c r="E5" s="18" t="n">
        <v>0.06</v>
      </c>
      <c r="F5" s="16" t="inlineStr">
        <is>
          <t>kg</t>
        </is>
      </c>
      <c r="G5" s="19" t="n">
        <v>0.45</v>
      </c>
      <c r="H5" s="20">
        <f>E5/(1-G5)</f>
        <v>0.10909090909090907</v>
      </c>
      <c r="I5" s="21">
        <f>H5*D5</f>
        <v>5.236363636363635</v>
      </c>
      <c r="K5" s="22" t="n"/>
      <c r="L5" s="23" t="n"/>
    </row>
    <row r="6">
      <c r="A6" s="15" t="inlineStr">
        <is>
          <t>Coliflor</t>
        </is>
      </c>
      <c r="B6" s="16" t="inlineStr">
        <is>
          <t>Verdura raíz</t>
        </is>
      </c>
      <c r="C6" s="16" t="inlineStr">
        <is>
          <t>kg</t>
        </is>
      </c>
      <c r="D6" s="17" t="n">
        <v>2.5</v>
      </c>
      <c r="E6" s="18" t="n">
        <v>0.1</v>
      </c>
      <c r="F6" s="16" t="inlineStr">
        <is>
          <t>kg</t>
        </is>
      </c>
      <c r="G6" s="19" t="n">
        <v>0.3</v>
      </c>
      <c r="H6" s="20">
        <f>E6/(1-G6)</f>
        <v>0.14285714285714288</v>
      </c>
      <c r="I6" s="21">
        <f>H6*D6</f>
        <v>0.3571428571428572</v>
      </c>
      <c r="K6" s="22" t="n"/>
      <c r="L6" s="23" t="n"/>
    </row>
    <row r="7">
      <c r="A7" s="15" t="inlineStr">
        <is>
          <t>Trufa negra</t>
        </is>
      </c>
      <c r="B7" s="16" t="inlineStr">
        <is>
          <t>Verdura raíz</t>
        </is>
      </c>
      <c r="C7" s="16" t="inlineStr">
        <is>
          <t>kg</t>
        </is>
      </c>
      <c r="D7" s="17" t="n">
        <v>800</v>
      </c>
      <c r="E7" s="18" t="n">
        <v>0.005</v>
      </c>
      <c r="F7" s="16" t="inlineStr">
        <is>
          <t>kg</t>
        </is>
      </c>
      <c r="G7" s="19" t="n">
        <v>0.1</v>
      </c>
      <c r="H7" s="20">
        <f>E7/(1-G7)</f>
        <v>0.005555555555555556</v>
      </c>
      <c r="I7" s="21">
        <f>H7*D7</f>
        <v>4.444444444444445</v>
      </c>
      <c r="K7" s="22" t="n"/>
      <c r="L7" s="23" t="n"/>
    </row>
    <row r="8">
      <c r="A8" s="15" t="inlineStr">
        <is>
          <t>Nata 35% MG</t>
        </is>
      </c>
      <c r="B8" s="16" t="inlineStr">
        <is>
          <t>Lácteos</t>
        </is>
      </c>
      <c r="C8" s="16" t="inlineStr">
        <is>
          <t>L</t>
        </is>
      </c>
      <c r="D8" s="17" t="n">
        <v>3.8</v>
      </c>
      <c r="E8" s="18" t="n">
        <v>0.05</v>
      </c>
      <c r="F8" s="16" t="inlineStr">
        <is>
          <t>L</t>
        </is>
      </c>
      <c r="G8" s="19" t="n">
        <v>0.03</v>
      </c>
      <c r="H8" s="20">
        <f>E8/(1-G8)</f>
        <v>0.051546391752577324</v>
      </c>
      <c r="I8" s="21">
        <f>H8*D8</f>
        <v>0.1958762886597938</v>
      </c>
      <c r="K8" s="24" t="inlineStr">
        <is>
          <t>Arrastra aquí la foto
del plato terminado</t>
        </is>
      </c>
      <c r="L8" s="25" t="n"/>
    </row>
    <row r="9">
      <c r="A9" s="15" t="inlineStr">
        <is>
          <t>Mantequilla</t>
        </is>
      </c>
      <c r="B9" s="16" t="inlineStr">
        <is>
          <t>Lácteos</t>
        </is>
      </c>
      <c r="C9" s="16" t="inlineStr">
        <is>
          <t>kg</t>
        </is>
      </c>
      <c r="D9" s="17" t="n">
        <v>9</v>
      </c>
      <c r="E9" s="18" t="n">
        <v>0.02</v>
      </c>
      <c r="F9" s="16" t="inlineStr">
        <is>
          <t>kg</t>
        </is>
      </c>
      <c r="G9" s="19" t="n">
        <v>0.03</v>
      </c>
      <c r="H9" s="20">
        <f>E9/(1-G9)</f>
        <v>0.020618556701030927</v>
      </c>
      <c r="I9" s="21">
        <f>H9*D9</f>
        <v>0.18556701030927836</v>
      </c>
      <c r="K9" s="26" t="n"/>
      <c r="L9" s="27" t="n"/>
    </row>
    <row r="10">
      <c r="A10" s="28" t="n"/>
      <c r="B10" s="28" t="n"/>
      <c r="C10" s="28" t="n"/>
      <c r="D10" s="28" t="n"/>
      <c r="E10" s="28" t="n"/>
      <c r="F10" s="28" t="n"/>
      <c r="G10" s="29" t="n"/>
      <c r="H10" s="30">
        <f>IF(E10="","",E10/(1-G10))</f>
        <v/>
      </c>
      <c r="I10" s="31">
        <f>IF(H10="","",H10*D10)</f>
        <v/>
      </c>
      <c r="K10" s="22" t="n"/>
      <c r="L10" s="23" t="n"/>
    </row>
    <row r="11">
      <c r="A11" s="28" t="n"/>
      <c r="B11" s="28" t="n"/>
      <c r="C11" s="28" t="n"/>
      <c r="D11" s="28" t="n"/>
      <c r="E11" s="28" t="n"/>
      <c r="F11" s="28" t="n"/>
      <c r="G11" s="29" t="n"/>
      <c r="H11" s="30">
        <f>IF(E11="","",E11/(1-G11))</f>
        <v/>
      </c>
      <c r="I11" s="31">
        <f>IF(H11="","",H11*D11)</f>
        <v/>
      </c>
      <c r="K11" s="22" t="n"/>
      <c r="L11" s="23" t="n"/>
    </row>
    <row r="12">
      <c r="A12" s="28" t="n"/>
      <c r="B12" s="28" t="n"/>
      <c r="C12" s="28" t="n"/>
      <c r="D12" s="28" t="n"/>
      <c r="E12" s="28" t="n"/>
      <c r="F12" s="28" t="n"/>
      <c r="G12" s="29" t="n"/>
      <c r="H12" s="30">
        <f>IF(E12="","",E12/(1-G12))</f>
        <v/>
      </c>
      <c r="I12" s="31">
        <f>IF(H12="","",H12*D12)</f>
        <v/>
      </c>
      <c r="K12" s="22" t="n"/>
      <c r="L12" s="23" t="n"/>
    </row>
    <row r="13">
      <c r="A13" s="28" t="n"/>
      <c r="B13" s="28" t="n"/>
      <c r="C13" s="28" t="n"/>
      <c r="D13" s="28" t="n"/>
      <c r="E13" s="28" t="n"/>
      <c r="F13" s="28" t="n"/>
      <c r="G13" s="29" t="n"/>
      <c r="H13" s="30">
        <f>IF(E13="","",E13/(1-G13))</f>
        <v/>
      </c>
      <c r="I13" s="31">
        <f>IF(H13="","",H13*D13)</f>
        <v/>
      </c>
      <c r="K13" s="22" t="n"/>
      <c r="L13" s="23" t="n"/>
    </row>
    <row r="14">
      <c r="A14" s="28" t="n"/>
      <c r="B14" s="28" t="n"/>
      <c r="C14" s="28" t="n"/>
      <c r="D14" s="28" t="n"/>
      <c r="E14" s="28" t="n"/>
      <c r="F14" s="28" t="n"/>
      <c r="G14" s="29" t="n"/>
      <c r="H14" s="30">
        <f>IF(E14="","",E14/(1-G14))</f>
        <v/>
      </c>
      <c r="I14" s="31">
        <f>IF(H14="","",H14*D14)</f>
        <v/>
      </c>
      <c r="K14" s="32" t="n"/>
      <c r="L14" s="33" t="n"/>
    </row>
    <row r="15">
      <c r="K15" s="34" t="inlineStr">
        <is>
          <t>Insertar → Imagen → Desde archivo</t>
        </is>
      </c>
    </row>
    <row r="16">
      <c r="A16" s="35" t="inlineStr">
        <is>
          <t>COSTE TOTAL INGREDIENTES</t>
        </is>
      </c>
      <c r="B16" s="58" t="n"/>
      <c r="C16" s="58" t="n"/>
      <c r="D16" s="58" t="n"/>
      <c r="E16" s="58" t="n"/>
      <c r="F16" s="58" t="n"/>
      <c r="G16" s="58" t="n"/>
      <c r="H16" s="59" t="n"/>
      <c r="I16" s="36">
        <f>SUM(I5:I14)</f>
        <v>10.419394236920008</v>
      </c>
    </row>
    <row r="17">
      <c r="A17" s="37" t="inlineStr">
        <is>
          <t>Coste elaboración (%)</t>
        </is>
      </c>
      <c r="B17" s="58" t="n"/>
      <c r="C17" s="58" t="n"/>
      <c r="D17" s="58" t="n"/>
      <c r="E17" s="58" t="n"/>
      <c r="F17" s="58" t="n"/>
      <c r="G17" s="59" t="n"/>
      <c r="H17" s="19" t="n">
        <v>0.1</v>
      </c>
      <c r="I17" s="38">
        <f>I16*H17</f>
        <v>1.0419394236920008</v>
      </c>
    </row>
    <row r="18">
      <c r="A18" s="39" t="inlineStr">
        <is>
          <t>COSTE TOTAL DEL PLATO</t>
        </is>
      </c>
      <c r="B18" s="58" t="n"/>
      <c r="C18" s="58" t="n"/>
      <c r="D18" s="58" t="n"/>
      <c r="E18" s="58" t="n"/>
      <c r="F18" s="58" t="n"/>
      <c r="G18" s="58" t="n"/>
      <c r="H18" s="59" t="n"/>
      <c r="I18" s="40">
        <f>I16+I17</f>
        <v>11.46133366061201</v>
      </c>
    </row>
    <row r="19"/>
    <row r="20">
      <c r="A20" s="41" t="inlineStr">
        <is>
          <t>Food Cost objetivo (%)</t>
        </is>
      </c>
      <c r="B20" s="58" t="n"/>
      <c r="C20" s="58" t="n"/>
      <c r="D20" s="58" t="n"/>
      <c r="E20" s="58" t="n"/>
      <c r="F20" s="58" t="n"/>
      <c r="G20" s="59" t="n"/>
      <c r="H20" s="42" t="n">
        <v>0.3</v>
      </c>
    </row>
    <row r="21">
      <c r="A21" s="43" t="inlineStr">
        <is>
          <t>PVP SUGERIDO (sin IVA)</t>
        </is>
      </c>
      <c r="B21" s="58" t="n"/>
      <c r="C21" s="58" t="n"/>
      <c r="D21" s="58" t="n"/>
      <c r="E21" s="58" t="n"/>
      <c r="F21" s="58" t="n"/>
      <c r="G21" s="58" t="n"/>
      <c r="H21" s="59" t="n"/>
      <c r="I21" s="44">
        <f>I18/H20</f>
        <v>38.20444553537337</v>
      </c>
    </row>
    <row r="22">
      <c r="A22" s="45" t="inlineStr">
        <is>
          <t>PVP CON IVA (10% hostelería)</t>
        </is>
      </c>
      <c r="B22" s="58" t="n"/>
      <c r="C22" s="58" t="n"/>
      <c r="D22" s="58" t="n"/>
      <c r="E22" s="58" t="n"/>
      <c r="F22" s="58" t="n"/>
      <c r="G22" s="58" t="n"/>
      <c r="H22" s="59" t="n"/>
      <c r="I22" s="46">
        <f>I21*1.10</f>
        <v>42.02489008891071</v>
      </c>
    </row>
    <row r="23">
      <c r="A23" s="37" t="inlineStr">
        <is>
          <t>Margen bruto (€)</t>
        </is>
      </c>
      <c r="B23" s="58" t="n"/>
      <c r="C23" s="58" t="n"/>
      <c r="D23" s="58" t="n"/>
      <c r="E23" s="58" t="n"/>
      <c r="F23" s="58" t="n"/>
      <c r="G23" s="58" t="n"/>
      <c r="H23" s="59" t="n"/>
      <c r="I23" s="38">
        <f>I21-I18</f>
        <v>26.743111874761357</v>
      </c>
    </row>
    <row r="24">
      <c r="A24" s="37" t="inlineStr">
        <is>
          <t>Margen bruto (%)</t>
        </is>
      </c>
      <c r="B24" s="58" t="n"/>
      <c r="C24" s="58" t="n"/>
      <c r="D24" s="58" t="n"/>
      <c r="E24" s="58" t="n"/>
      <c r="F24" s="58" t="n"/>
      <c r="G24" s="58" t="n"/>
      <c r="H24" s="59" t="n"/>
      <c r="I24" s="47">
        <f>I23/I21</f>
        <v>0.7000000000000001</v>
      </c>
    </row>
  </sheetData>
  <mergeCells count="13">
    <mergeCell ref="A20:G20"/>
    <mergeCell ref="K15:L15"/>
    <mergeCell ref="A17:G17"/>
    <mergeCell ref="A18:H18"/>
    <mergeCell ref="K8:L9"/>
    <mergeCell ref="A16:H16"/>
    <mergeCell ref="A2:I2"/>
    <mergeCell ref="A22:H22"/>
    <mergeCell ref="A21:H21"/>
    <mergeCell ref="A1:I1"/>
    <mergeCell ref="A24:H24"/>
    <mergeCell ref="K3:L3"/>
    <mergeCell ref="A23:H23"/>
  </mergeCells>
  <dataValidations count="2">
    <dataValidation sqref="B5 B6 B7 B8 B9 B10 B11 B12 B13 B14" showDropDown="0" showInputMessage="0" showErrorMessage="0" allowBlank="1" errorTitle="Categoría inválida" error="Selecciona una categoría válida" type="list">
      <formula1>"Carne roja,Aves,Pescado,Marisco,Verdura hoja,Verdura raíz,Fruta,Lácteos,Secos/granos,Congelados,Pan/bollería,Huevos,Aceites/grasas,Especias/hierbas,Chocolate/cacao,Bebidas/licores"</formula1>
    </dataValidation>
    <dataValidation sqref="C5 C6 C7 C8 C9 C10 C11 C12 C13 C14 F5 F6 F7 F8 F9 F10 F11 F12 F13 F14" showDropDown="0" showInputMessage="0" showErrorMessage="0" allowBlank="1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L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0" customWidth="1" min="7" max="7"/>
    <col width="14" customWidth="1" min="8" max="8"/>
    <col width="14" customWidth="1" min="9" max="9"/>
    <col width="3" customWidth="1" min="10" max="10"/>
    <col width="20" customWidth="1" min="11" max="11"/>
    <col width="20" customWidth="1" min="12" max="12"/>
  </cols>
  <sheetData>
    <row r="1">
      <c r="A1" s="9" t="inlineStr">
        <is>
          <t>Pescado — Lubina con Beurre Blanc</t>
        </is>
      </c>
    </row>
    <row r="2">
      <c r="A2" s="2" t="inlineStr">
        <is>
          <t>Introduce tus ingredientes y cantidades. Las celdas verdes son editables.</t>
        </is>
      </c>
    </row>
    <row r="3">
      <c r="K3" s="10" t="inlineStr">
        <is>
          <t>📷 Foto del Plato</t>
        </is>
      </c>
      <c r="L3" s="57" t="n"/>
    </row>
    <row r="4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Merma (%)</t>
        </is>
      </c>
      <c r="H4" s="12" t="inlineStr">
        <is>
          <t>Cant. Bruta</t>
        </is>
      </c>
      <c r="I4" s="12" t="inlineStr">
        <is>
          <t>Coste (€)</t>
        </is>
      </c>
      <c r="K4" s="13" t="n"/>
      <c r="L4" s="14" t="n"/>
    </row>
    <row r="5">
      <c r="A5" s="15" t="inlineStr">
        <is>
          <t>Lubina salvaje</t>
        </is>
      </c>
      <c r="B5" s="16" t="inlineStr">
        <is>
          <t>Pescado</t>
        </is>
      </c>
      <c r="C5" s="16" t="inlineStr">
        <is>
          <t>kg</t>
        </is>
      </c>
      <c r="D5" s="17" t="n">
        <v>32</v>
      </c>
      <c r="E5" s="18" t="n">
        <v>0.16</v>
      </c>
      <c r="F5" s="16" t="inlineStr">
        <is>
          <t>kg</t>
        </is>
      </c>
      <c r="G5" s="19" t="n">
        <v>0.4</v>
      </c>
      <c r="H5" s="20">
        <f>E5/(1-G5)</f>
        <v>0.26666666666666666</v>
      </c>
      <c r="I5" s="21">
        <f>H5*D5</f>
        <v>8.533333333333333</v>
      </c>
      <c r="K5" s="22" t="n"/>
      <c r="L5" s="23" t="n"/>
    </row>
    <row r="6">
      <c r="A6" s="15" t="inlineStr">
        <is>
          <t>Chalota</t>
        </is>
      </c>
      <c r="B6" s="16" t="inlineStr">
        <is>
          <t>Verdura raíz</t>
        </is>
      </c>
      <c r="C6" s="16" t="inlineStr">
        <is>
          <t>kg</t>
        </is>
      </c>
      <c r="D6" s="17" t="n">
        <v>4.5</v>
      </c>
      <c r="E6" s="18" t="n">
        <v>0.03</v>
      </c>
      <c r="F6" s="16" t="inlineStr">
        <is>
          <t>kg</t>
        </is>
      </c>
      <c r="G6" s="19" t="n">
        <v>0.15</v>
      </c>
      <c r="H6" s="20">
        <f>E6/(1-G6)</f>
        <v>0.03529411764705882</v>
      </c>
      <c r="I6" s="21">
        <f>H6*D6</f>
        <v>0.1588235294117647</v>
      </c>
      <c r="K6" s="22" t="n"/>
      <c r="L6" s="23" t="n"/>
    </row>
    <row r="7">
      <c r="A7" s="15" t="inlineStr">
        <is>
          <t>Vino blanco seco</t>
        </is>
      </c>
      <c r="B7" s="16" t="inlineStr">
        <is>
          <t>Bebidas/licores</t>
        </is>
      </c>
      <c r="C7" s="16" t="inlineStr">
        <is>
          <t>L</t>
        </is>
      </c>
      <c r="D7" s="17" t="n">
        <v>5</v>
      </c>
      <c r="E7" s="18" t="n">
        <v>0.04</v>
      </c>
      <c r="F7" s="16" t="inlineStr">
        <is>
          <t>L</t>
        </is>
      </c>
      <c r="G7" s="19" t="n">
        <v>0.02</v>
      </c>
      <c r="H7" s="20">
        <f>E7/(1-G7)</f>
        <v>0.04081632653061225</v>
      </c>
      <c r="I7" s="21">
        <f>H7*D7</f>
        <v>0.20408163265306123</v>
      </c>
      <c r="K7" s="22" t="n"/>
      <c r="L7" s="23" t="n"/>
    </row>
    <row r="8">
      <c r="A8" s="15" t="inlineStr">
        <is>
          <t>Mantequilla</t>
        </is>
      </c>
      <c r="B8" s="16" t="inlineStr">
        <is>
          <t>Lácteos</t>
        </is>
      </c>
      <c r="C8" s="16" t="inlineStr">
        <is>
          <t>kg</t>
        </is>
      </c>
      <c r="D8" s="17" t="n">
        <v>9</v>
      </c>
      <c r="E8" s="18" t="n">
        <v>0.04</v>
      </c>
      <c r="F8" s="16" t="inlineStr">
        <is>
          <t>kg</t>
        </is>
      </c>
      <c r="G8" s="19" t="n">
        <v>0.03</v>
      </c>
      <c r="H8" s="20">
        <f>E8/(1-G8)</f>
        <v>0.041237113402061855</v>
      </c>
      <c r="I8" s="21">
        <f>H8*D8</f>
        <v>0.3711340206185567</v>
      </c>
      <c r="K8" s="24" t="inlineStr">
        <is>
          <t>Arrastra aquí la foto
del plato terminado</t>
        </is>
      </c>
      <c r="L8" s="25" t="n"/>
    </row>
    <row r="9">
      <c r="A9" s="15" t="inlineStr">
        <is>
          <t>Hinojo fresco</t>
        </is>
      </c>
      <c r="B9" s="16" t="inlineStr">
        <is>
          <t>Verdura hoja</t>
        </is>
      </c>
      <c r="C9" s="16" t="inlineStr">
        <is>
          <t>kg</t>
        </is>
      </c>
      <c r="D9" s="17" t="n">
        <v>5</v>
      </c>
      <c r="E9" s="18" t="n">
        <v>0.06</v>
      </c>
      <c r="F9" s="16" t="inlineStr">
        <is>
          <t>kg</t>
        </is>
      </c>
      <c r="G9" s="19" t="n">
        <v>0.25</v>
      </c>
      <c r="H9" s="20">
        <f>E9/(1-G9)</f>
        <v>0.08</v>
      </c>
      <c r="I9" s="21">
        <f>H9*D9</f>
        <v>0.4</v>
      </c>
      <c r="K9" s="26" t="n"/>
      <c r="L9" s="27" t="n"/>
    </row>
    <row r="10">
      <c r="A10" s="28" t="n"/>
      <c r="B10" s="28" t="n"/>
      <c r="C10" s="28" t="n"/>
      <c r="D10" s="28" t="n"/>
      <c r="E10" s="28" t="n"/>
      <c r="F10" s="28" t="n"/>
      <c r="G10" s="29" t="n"/>
      <c r="H10" s="30">
        <f>IF(E10="","",E10/(1-G10))</f>
        <v/>
      </c>
      <c r="I10" s="31">
        <f>IF(H10="","",H10*D10)</f>
        <v/>
      </c>
      <c r="K10" s="22" t="n"/>
      <c r="L10" s="23" t="n"/>
    </row>
    <row r="11">
      <c r="A11" s="28" t="n"/>
      <c r="B11" s="28" t="n"/>
      <c r="C11" s="28" t="n"/>
      <c r="D11" s="28" t="n"/>
      <c r="E11" s="28" t="n"/>
      <c r="F11" s="28" t="n"/>
      <c r="G11" s="29" t="n"/>
      <c r="H11" s="30">
        <f>IF(E11="","",E11/(1-G11))</f>
        <v/>
      </c>
      <c r="I11" s="31">
        <f>IF(H11="","",H11*D11)</f>
        <v/>
      </c>
      <c r="K11" s="22" t="n"/>
      <c r="L11" s="23" t="n"/>
    </row>
    <row r="12">
      <c r="A12" s="28" t="n"/>
      <c r="B12" s="28" t="n"/>
      <c r="C12" s="28" t="n"/>
      <c r="D12" s="28" t="n"/>
      <c r="E12" s="28" t="n"/>
      <c r="F12" s="28" t="n"/>
      <c r="G12" s="29" t="n"/>
      <c r="H12" s="30">
        <f>IF(E12="","",E12/(1-G12))</f>
        <v/>
      </c>
      <c r="I12" s="31">
        <f>IF(H12="","",H12*D12)</f>
        <v/>
      </c>
      <c r="K12" s="22" t="n"/>
      <c r="L12" s="23" t="n"/>
    </row>
    <row r="13">
      <c r="A13" s="28" t="n"/>
      <c r="B13" s="28" t="n"/>
      <c r="C13" s="28" t="n"/>
      <c r="D13" s="28" t="n"/>
      <c r="E13" s="28" t="n"/>
      <c r="F13" s="28" t="n"/>
      <c r="G13" s="29" t="n"/>
      <c r="H13" s="30">
        <f>IF(E13="","",E13/(1-G13))</f>
        <v/>
      </c>
      <c r="I13" s="31">
        <f>IF(H13="","",H13*D13)</f>
        <v/>
      </c>
      <c r="K13" s="22" t="n"/>
      <c r="L13" s="23" t="n"/>
    </row>
    <row r="14">
      <c r="A14" s="28" t="n"/>
      <c r="B14" s="28" t="n"/>
      <c r="C14" s="28" t="n"/>
      <c r="D14" s="28" t="n"/>
      <c r="E14" s="28" t="n"/>
      <c r="F14" s="28" t="n"/>
      <c r="G14" s="29" t="n"/>
      <c r="H14" s="30">
        <f>IF(E14="","",E14/(1-G14))</f>
        <v/>
      </c>
      <c r="I14" s="31">
        <f>IF(H14="","",H14*D14)</f>
        <v/>
      </c>
      <c r="K14" s="32" t="n"/>
      <c r="L14" s="33" t="n"/>
    </row>
    <row r="15">
      <c r="K15" s="34" t="inlineStr">
        <is>
          <t>Insertar → Imagen → Desde archivo</t>
        </is>
      </c>
    </row>
    <row r="16">
      <c r="A16" s="35" t="inlineStr">
        <is>
          <t>COSTE TOTAL INGREDIENTES</t>
        </is>
      </c>
      <c r="B16" s="58" t="n"/>
      <c r="C16" s="58" t="n"/>
      <c r="D16" s="58" t="n"/>
      <c r="E16" s="58" t="n"/>
      <c r="F16" s="58" t="n"/>
      <c r="G16" s="58" t="n"/>
      <c r="H16" s="59" t="n"/>
      <c r="I16" s="36">
        <f>SUM(I5:I14)</f>
        <v>9.667372516016716</v>
      </c>
    </row>
    <row r="17">
      <c r="A17" s="37" t="inlineStr">
        <is>
          <t>Coste elaboración (%)</t>
        </is>
      </c>
      <c r="B17" s="58" t="n"/>
      <c r="C17" s="58" t="n"/>
      <c r="D17" s="58" t="n"/>
      <c r="E17" s="58" t="n"/>
      <c r="F17" s="58" t="n"/>
      <c r="G17" s="59" t="n"/>
      <c r="H17" s="19" t="n">
        <v>0.1</v>
      </c>
      <c r="I17" s="38">
        <f>I16*H17</f>
        <v>0.9667372516016717</v>
      </c>
    </row>
    <row r="18">
      <c r="A18" s="39" t="inlineStr">
        <is>
          <t>COSTE TOTAL DEL PLATO</t>
        </is>
      </c>
      <c r="B18" s="58" t="n"/>
      <c r="C18" s="58" t="n"/>
      <c r="D18" s="58" t="n"/>
      <c r="E18" s="58" t="n"/>
      <c r="F18" s="58" t="n"/>
      <c r="G18" s="58" t="n"/>
      <c r="H18" s="59" t="n"/>
      <c r="I18" s="40">
        <f>I16+I17</f>
        <v>10.634109767618387</v>
      </c>
    </row>
    <row r="19"/>
    <row r="20">
      <c r="A20" s="41" t="inlineStr">
        <is>
          <t>Food Cost objetivo (%)</t>
        </is>
      </c>
      <c r="B20" s="58" t="n"/>
      <c r="C20" s="58" t="n"/>
      <c r="D20" s="58" t="n"/>
      <c r="E20" s="58" t="n"/>
      <c r="F20" s="58" t="n"/>
      <c r="G20" s="59" t="n"/>
      <c r="H20" s="42" t="n">
        <v>0.3</v>
      </c>
    </row>
    <row r="21">
      <c r="A21" s="43" t="inlineStr">
        <is>
          <t>PVP SUGERIDO (sin IVA)</t>
        </is>
      </c>
      <c r="B21" s="58" t="n"/>
      <c r="C21" s="58" t="n"/>
      <c r="D21" s="58" t="n"/>
      <c r="E21" s="58" t="n"/>
      <c r="F21" s="58" t="n"/>
      <c r="G21" s="58" t="n"/>
      <c r="H21" s="59" t="n"/>
      <c r="I21" s="44">
        <f>I18/H20</f>
        <v>35.44703255872796</v>
      </c>
    </row>
    <row r="22">
      <c r="A22" s="45" t="inlineStr">
        <is>
          <t>PVP CON IVA (10% hostelería)</t>
        </is>
      </c>
      <c r="B22" s="58" t="n"/>
      <c r="C22" s="58" t="n"/>
      <c r="D22" s="58" t="n"/>
      <c r="E22" s="58" t="n"/>
      <c r="F22" s="58" t="n"/>
      <c r="G22" s="58" t="n"/>
      <c r="H22" s="59" t="n"/>
      <c r="I22" s="46">
        <f>I21*1.10</f>
        <v>38.99173581460076</v>
      </c>
    </row>
    <row r="23">
      <c r="A23" s="37" t="inlineStr">
        <is>
          <t>Margen bruto (€)</t>
        </is>
      </c>
      <c r="B23" s="58" t="n"/>
      <c r="C23" s="58" t="n"/>
      <c r="D23" s="58" t="n"/>
      <c r="E23" s="58" t="n"/>
      <c r="F23" s="58" t="n"/>
      <c r="G23" s="58" t="n"/>
      <c r="H23" s="59" t="n"/>
      <c r="I23" s="38">
        <f>I21-I18</f>
        <v>24.812922791109575</v>
      </c>
    </row>
    <row r="24">
      <c r="A24" s="37" t="inlineStr">
        <is>
          <t>Margen bruto (%)</t>
        </is>
      </c>
      <c r="B24" s="58" t="n"/>
      <c r="C24" s="58" t="n"/>
      <c r="D24" s="58" t="n"/>
      <c r="E24" s="58" t="n"/>
      <c r="F24" s="58" t="n"/>
      <c r="G24" s="58" t="n"/>
      <c r="H24" s="59" t="n"/>
      <c r="I24" s="47">
        <f>I23/I21</f>
        <v>0.7000000000000001</v>
      </c>
    </row>
  </sheetData>
  <mergeCells count="13">
    <mergeCell ref="A20:G20"/>
    <mergeCell ref="K15:L15"/>
    <mergeCell ref="A17:G17"/>
    <mergeCell ref="A18:H18"/>
    <mergeCell ref="K8:L9"/>
    <mergeCell ref="A16:H16"/>
    <mergeCell ref="A2:I2"/>
    <mergeCell ref="A22:H22"/>
    <mergeCell ref="A21:H21"/>
    <mergeCell ref="A1:I1"/>
    <mergeCell ref="A24:H24"/>
    <mergeCell ref="K3:L3"/>
    <mergeCell ref="A23:H23"/>
  </mergeCells>
  <dataValidations count="2">
    <dataValidation sqref="B5 B6 B7 B8 B9 B10 B11 B12 B13 B14" showDropDown="0" showInputMessage="0" showErrorMessage="0" allowBlank="1" errorTitle="Categoría inválida" error="Selecciona una categoría válida" type="list">
      <formula1>"Carne roja,Aves,Pescado,Marisco,Verdura hoja,Verdura raíz,Fruta,Lácteos,Secos/granos,Congelados,Pan/bollería,Huevos,Aceites/grasas,Especias/hierbas,Chocolate/cacao,Bebidas/licores"</formula1>
    </dataValidation>
    <dataValidation sqref="C5 C6 C7 C8 C9 C10 C11 C12 C13 C14 F5 F6 F7 F8 F9 F10 F11 F12 F13 F14" showDropDown="0" showInputMessage="0" showErrorMessage="0" allowBlank="1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L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0" customWidth="1" min="7" max="7"/>
    <col width="14" customWidth="1" min="8" max="8"/>
    <col width="14" customWidth="1" min="9" max="9"/>
    <col width="3" customWidth="1" min="10" max="10"/>
    <col width="20" customWidth="1" min="11" max="11"/>
    <col width="20" customWidth="1" min="12" max="12"/>
  </cols>
  <sheetData>
    <row r="1">
      <c r="A1" s="9" t="inlineStr">
        <is>
          <t>Carne — Carrillera Ibérica al Vino Tinto</t>
        </is>
      </c>
    </row>
    <row r="2">
      <c r="A2" s="2" t="inlineStr">
        <is>
          <t>Introduce tus ingredientes y cantidades. Las celdas verdes son editables.</t>
        </is>
      </c>
    </row>
    <row r="3">
      <c r="K3" s="10" t="inlineStr">
        <is>
          <t>📷 Foto del Plato</t>
        </is>
      </c>
      <c r="L3" s="57" t="n"/>
    </row>
    <row r="4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Merma (%)</t>
        </is>
      </c>
      <c r="H4" s="12" t="inlineStr">
        <is>
          <t>Cant. Bruta</t>
        </is>
      </c>
      <c r="I4" s="12" t="inlineStr">
        <is>
          <t>Coste (€)</t>
        </is>
      </c>
      <c r="K4" s="13" t="n"/>
      <c r="L4" s="14" t="n"/>
    </row>
    <row r="5">
      <c r="A5" s="15" t="inlineStr">
        <is>
          <t>Carrillera ibérica</t>
        </is>
      </c>
      <c r="B5" s="16" t="inlineStr">
        <is>
          <t>Carne roja</t>
        </is>
      </c>
      <c r="C5" s="16" t="inlineStr">
        <is>
          <t>kg</t>
        </is>
      </c>
      <c r="D5" s="17" t="n">
        <v>18</v>
      </c>
      <c r="E5" s="18" t="n">
        <v>0.2</v>
      </c>
      <c r="F5" s="16" t="inlineStr">
        <is>
          <t>kg</t>
        </is>
      </c>
      <c r="G5" s="19" t="n">
        <v>0.15</v>
      </c>
      <c r="H5" s="20">
        <f>E5/(1-G5)</f>
        <v>0.23529411764705885</v>
      </c>
      <c r="I5" s="21">
        <f>H5*D5</f>
        <v>4.235294117647059</v>
      </c>
      <c r="K5" s="22" t="n"/>
      <c r="L5" s="23" t="n"/>
    </row>
    <row r="6">
      <c r="A6" s="15" t="inlineStr">
        <is>
          <t>Vino tinto reserva</t>
        </is>
      </c>
      <c r="B6" s="16" t="inlineStr">
        <is>
          <t>Bebidas/licores</t>
        </is>
      </c>
      <c r="C6" s="16" t="inlineStr">
        <is>
          <t>L</t>
        </is>
      </c>
      <c r="D6" s="17" t="n">
        <v>6</v>
      </c>
      <c r="E6" s="18" t="n">
        <v>0.1</v>
      </c>
      <c r="F6" s="16" t="inlineStr">
        <is>
          <t>L</t>
        </is>
      </c>
      <c r="G6" s="19" t="n">
        <v>0.02</v>
      </c>
      <c r="H6" s="20">
        <f>E6/(1-G6)</f>
        <v>0.10204081632653061</v>
      </c>
      <c r="I6" s="21">
        <f>H6*D6</f>
        <v>0.6122448979591837</v>
      </c>
      <c r="K6" s="22" t="n"/>
      <c r="L6" s="23" t="n"/>
    </row>
    <row r="7">
      <c r="A7" s="15" t="inlineStr">
        <is>
          <t>Zanahoria</t>
        </is>
      </c>
      <c r="B7" s="16" t="inlineStr">
        <is>
          <t>Verdura raíz</t>
        </is>
      </c>
      <c r="C7" s="16" t="inlineStr">
        <is>
          <t>kg</t>
        </is>
      </c>
      <c r="D7" s="17" t="n">
        <v>1.2</v>
      </c>
      <c r="E7" s="18" t="n">
        <v>0.05</v>
      </c>
      <c r="F7" s="16" t="inlineStr">
        <is>
          <t>kg</t>
        </is>
      </c>
      <c r="G7" s="19" t="n">
        <v>0.12</v>
      </c>
      <c r="H7" s="20">
        <f>E7/(1-G7)</f>
        <v>0.05681818181818182</v>
      </c>
      <c r="I7" s="21">
        <f>H7*D7</f>
        <v>0.06818181818181819</v>
      </c>
      <c r="K7" s="22" t="n"/>
      <c r="L7" s="23" t="n"/>
    </row>
    <row r="8">
      <c r="A8" s="15" t="inlineStr">
        <is>
          <t>Puré de boniato</t>
        </is>
      </c>
      <c r="B8" s="16" t="inlineStr">
        <is>
          <t>Verdura raíz</t>
        </is>
      </c>
      <c r="C8" s="16" t="inlineStr">
        <is>
          <t>kg</t>
        </is>
      </c>
      <c r="D8" s="17" t="n">
        <v>2.5</v>
      </c>
      <c r="E8" s="18" t="n">
        <v>0.1</v>
      </c>
      <c r="F8" s="16" t="inlineStr">
        <is>
          <t>kg</t>
        </is>
      </c>
      <c r="G8" s="19" t="n">
        <v>0.15</v>
      </c>
      <c r="H8" s="20">
        <f>E8/(1-G8)</f>
        <v>0.11764705882352942</v>
      </c>
      <c r="I8" s="21">
        <f>H8*D8</f>
        <v>0.29411764705882354</v>
      </c>
      <c r="K8" s="24" t="inlineStr">
        <is>
          <t>Arrastra aquí la foto
del plato terminado</t>
        </is>
      </c>
      <c r="L8" s="25" t="n"/>
    </row>
    <row r="9">
      <c r="A9" s="15" t="inlineStr">
        <is>
          <t>Romero fresco</t>
        </is>
      </c>
      <c r="B9" s="16" t="inlineStr">
        <is>
          <t>Especias/hierbas</t>
        </is>
      </c>
      <c r="C9" s="16" t="inlineStr">
        <is>
          <t>manojo</t>
        </is>
      </c>
      <c r="D9" s="17" t="n">
        <v>1</v>
      </c>
      <c r="E9" s="18" t="n">
        <v>0.5</v>
      </c>
      <c r="F9" s="16" t="inlineStr">
        <is>
          <t>ud</t>
        </is>
      </c>
      <c r="G9" s="19" t="n">
        <v>0.2</v>
      </c>
      <c r="H9" s="20">
        <f>E9/(1-G9)</f>
        <v>0.625</v>
      </c>
      <c r="I9" s="21">
        <f>H9*D9</f>
        <v>0.625</v>
      </c>
      <c r="K9" s="26" t="n"/>
      <c r="L9" s="27" t="n"/>
    </row>
    <row r="10">
      <c r="A10" s="28" t="n"/>
      <c r="B10" s="28" t="n"/>
      <c r="C10" s="28" t="n"/>
      <c r="D10" s="28" t="n"/>
      <c r="E10" s="28" t="n"/>
      <c r="F10" s="28" t="n"/>
      <c r="G10" s="29" t="n"/>
      <c r="H10" s="30">
        <f>IF(E10="","",E10/(1-G10))</f>
        <v/>
      </c>
      <c r="I10" s="31">
        <f>IF(H10="","",H10*D10)</f>
        <v/>
      </c>
      <c r="K10" s="22" t="n"/>
      <c r="L10" s="23" t="n"/>
    </row>
    <row r="11">
      <c r="A11" s="28" t="n"/>
      <c r="B11" s="28" t="n"/>
      <c r="C11" s="28" t="n"/>
      <c r="D11" s="28" t="n"/>
      <c r="E11" s="28" t="n"/>
      <c r="F11" s="28" t="n"/>
      <c r="G11" s="29" t="n"/>
      <c r="H11" s="30">
        <f>IF(E11="","",E11/(1-G11))</f>
        <v/>
      </c>
      <c r="I11" s="31">
        <f>IF(H11="","",H11*D11)</f>
        <v/>
      </c>
      <c r="K11" s="22" t="n"/>
      <c r="L11" s="23" t="n"/>
    </row>
    <row r="12">
      <c r="A12" s="28" t="n"/>
      <c r="B12" s="28" t="n"/>
      <c r="C12" s="28" t="n"/>
      <c r="D12" s="28" t="n"/>
      <c r="E12" s="28" t="n"/>
      <c r="F12" s="28" t="n"/>
      <c r="G12" s="29" t="n"/>
      <c r="H12" s="30">
        <f>IF(E12="","",E12/(1-G12))</f>
        <v/>
      </c>
      <c r="I12" s="31">
        <f>IF(H12="","",H12*D12)</f>
        <v/>
      </c>
      <c r="K12" s="22" t="n"/>
      <c r="L12" s="23" t="n"/>
    </row>
    <row r="13">
      <c r="A13" s="28" t="n"/>
      <c r="B13" s="28" t="n"/>
      <c r="C13" s="28" t="n"/>
      <c r="D13" s="28" t="n"/>
      <c r="E13" s="28" t="n"/>
      <c r="F13" s="28" t="n"/>
      <c r="G13" s="29" t="n"/>
      <c r="H13" s="30">
        <f>IF(E13="","",E13/(1-G13))</f>
        <v/>
      </c>
      <c r="I13" s="31">
        <f>IF(H13="","",H13*D13)</f>
        <v/>
      </c>
      <c r="K13" s="22" t="n"/>
      <c r="L13" s="23" t="n"/>
    </row>
    <row r="14">
      <c r="A14" s="28" t="n"/>
      <c r="B14" s="28" t="n"/>
      <c r="C14" s="28" t="n"/>
      <c r="D14" s="28" t="n"/>
      <c r="E14" s="28" t="n"/>
      <c r="F14" s="28" t="n"/>
      <c r="G14" s="29" t="n"/>
      <c r="H14" s="30">
        <f>IF(E14="","",E14/(1-G14))</f>
        <v/>
      </c>
      <c r="I14" s="31">
        <f>IF(H14="","",H14*D14)</f>
        <v/>
      </c>
      <c r="K14" s="32" t="n"/>
      <c r="L14" s="33" t="n"/>
    </row>
    <row r="15">
      <c r="K15" s="34" t="inlineStr">
        <is>
          <t>Insertar → Imagen → Desde archivo</t>
        </is>
      </c>
    </row>
    <row r="16">
      <c r="A16" s="35" t="inlineStr">
        <is>
          <t>COSTE TOTAL INGREDIENTES</t>
        </is>
      </c>
      <c r="B16" s="58" t="n"/>
      <c r="C16" s="58" t="n"/>
      <c r="D16" s="58" t="n"/>
      <c r="E16" s="58" t="n"/>
      <c r="F16" s="58" t="n"/>
      <c r="G16" s="58" t="n"/>
      <c r="H16" s="59" t="n"/>
      <c r="I16" s="36">
        <f>SUM(I5:I14)</f>
        <v>5.8348384808468845</v>
      </c>
    </row>
    <row r="17">
      <c r="A17" s="37" t="inlineStr">
        <is>
          <t>Coste elaboración (%)</t>
        </is>
      </c>
      <c r="B17" s="58" t="n"/>
      <c r="C17" s="58" t="n"/>
      <c r="D17" s="58" t="n"/>
      <c r="E17" s="58" t="n"/>
      <c r="F17" s="58" t="n"/>
      <c r="G17" s="59" t="n"/>
      <c r="H17" s="19" t="n">
        <v>0.1</v>
      </c>
      <c r="I17" s="38">
        <f>I16*H17</f>
        <v>0.5834838480846885</v>
      </c>
    </row>
    <row r="18">
      <c r="A18" s="39" t="inlineStr">
        <is>
          <t>COSTE TOTAL DEL PLATO</t>
        </is>
      </c>
      <c r="B18" s="58" t="n"/>
      <c r="C18" s="58" t="n"/>
      <c r="D18" s="58" t="n"/>
      <c r="E18" s="58" t="n"/>
      <c r="F18" s="58" t="n"/>
      <c r="G18" s="58" t="n"/>
      <c r="H18" s="59" t="n"/>
      <c r="I18" s="40">
        <f>I16+I17</f>
        <v>6.418322328931573</v>
      </c>
    </row>
    <row r="19"/>
    <row r="20">
      <c r="A20" s="41" t="inlineStr">
        <is>
          <t>Food Cost objetivo (%)</t>
        </is>
      </c>
      <c r="B20" s="58" t="n"/>
      <c r="C20" s="58" t="n"/>
      <c r="D20" s="58" t="n"/>
      <c r="E20" s="58" t="n"/>
      <c r="F20" s="58" t="n"/>
      <c r="G20" s="59" t="n"/>
      <c r="H20" s="42" t="n">
        <v>0.3</v>
      </c>
    </row>
    <row r="21">
      <c r="A21" s="43" t="inlineStr">
        <is>
          <t>PVP SUGERIDO (sin IVA)</t>
        </is>
      </c>
      <c r="B21" s="58" t="n"/>
      <c r="C21" s="58" t="n"/>
      <c r="D21" s="58" t="n"/>
      <c r="E21" s="58" t="n"/>
      <c r="F21" s="58" t="n"/>
      <c r="G21" s="58" t="n"/>
      <c r="H21" s="59" t="n"/>
      <c r="I21" s="44">
        <f>I18/H20</f>
        <v>21.394407763105246</v>
      </c>
    </row>
    <row r="22">
      <c r="A22" s="45" t="inlineStr">
        <is>
          <t>PVP CON IVA (10% hostelería)</t>
        </is>
      </c>
      <c r="B22" s="58" t="n"/>
      <c r="C22" s="58" t="n"/>
      <c r="D22" s="58" t="n"/>
      <c r="E22" s="58" t="n"/>
      <c r="F22" s="58" t="n"/>
      <c r="G22" s="58" t="n"/>
      <c r="H22" s="59" t="n"/>
      <c r="I22" s="46">
        <f>I21*1.10</f>
        <v>23.53384853941577</v>
      </c>
    </row>
    <row r="23">
      <c r="A23" s="37" t="inlineStr">
        <is>
          <t>Margen bruto (€)</t>
        </is>
      </c>
      <c r="B23" s="58" t="n"/>
      <c r="C23" s="58" t="n"/>
      <c r="D23" s="58" t="n"/>
      <c r="E23" s="58" t="n"/>
      <c r="F23" s="58" t="n"/>
      <c r="G23" s="58" t="n"/>
      <c r="H23" s="59" t="n"/>
      <c r="I23" s="38">
        <f>I21-I18</f>
        <v>14.976085434173672</v>
      </c>
    </row>
    <row r="24">
      <c r="A24" s="37" t="inlineStr">
        <is>
          <t>Margen bruto (%)</t>
        </is>
      </c>
      <c r="B24" s="58" t="n"/>
      <c r="C24" s="58" t="n"/>
      <c r="D24" s="58" t="n"/>
      <c r="E24" s="58" t="n"/>
      <c r="F24" s="58" t="n"/>
      <c r="G24" s="58" t="n"/>
      <c r="H24" s="59" t="n"/>
      <c r="I24" s="47">
        <f>I23/I21</f>
        <v>0.7000000000000001</v>
      </c>
    </row>
  </sheetData>
  <mergeCells count="13">
    <mergeCell ref="A20:G20"/>
    <mergeCell ref="K15:L15"/>
    <mergeCell ref="A17:G17"/>
    <mergeCell ref="A18:H18"/>
    <mergeCell ref="K8:L9"/>
    <mergeCell ref="A16:H16"/>
    <mergeCell ref="A2:I2"/>
    <mergeCell ref="A22:H22"/>
    <mergeCell ref="A21:H21"/>
    <mergeCell ref="A1:I1"/>
    <mergeCell ref="A24:H24"/>
    <mergeCell ref="K3:L3"/>
    <mergeCell ref="A23:H23"/>
  </mergeCells>
  <dataValidations count="2">
    <dataValidation sqref="B5 B6 B7 B8 B9 B10 B11 B12 B13 B14" showDropDown="0" showInputMessage="0" showErrorMessage="0" allowBlank="1" errorTitle="Categoría inválida" error="Selecciona una categoría válida" type="list">
      <formula1>"Carne roja,Aves,Pescado,Marisco,Verdura hoja,Verdura raíz,Fruta,Lácteos,Secos/granos,Congelados,Pan/bollería,Huevos,Aceites/grasas,Especias/hierbas,Chocolate/cacao,Bebidas/licores"</formula1>
    </dataValidation>
    <dataValidation sqref="C5 C6 C7 C8 C9 C10 C11 C12 C13 C14 F5 F6 F7 F8 F9 F10 F11 F12 F13 F14" showDropDown="0" showInputMessage="0" showErrorMessage="0" allowBlank="1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L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0" customWidth="1" min="7" max="7"/>
    <col width="14" customWidth="1" min="8" max="8"/>
    <col width="14" customWidth="1" min="9" max="9"/>
    <col width="3" customWidth="1" min="10" max="10"/>
    <col width="20" customWidth="1" min="11" max="11"/>
    <col width="20" customWidth="1" min="12" max="12"/>
  </cols>
  <sheetData>
    <row r="1">
      <c r="A1" s="9" t="inlineStr">
        <is>
          <t>Postre — Esfera de Chocolate con Fruta de la Pasión</t>
        </is>
      </c>
    </row>
    <row r="2">
      <c r="A2" s="2" t="inlineStr">
        <is>
          <t>Introduce tus ingredientes y cantidades. Las celdas verdes son editables.</t>
        </is>
      </c>
    </row>
    <row r="3">
      <c r="K3" s="10" t="inlineStr">
        <is>
          <t>📷 Foto del Plato</t>
        </is>
      </c>
      <c r="L3" s="57" t="n"/>
    </row>
    <row r="4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Merma (%)</t>
        </is>
      </c>
      <c r="H4" s="12" t="inlineStr">
        <is>
          <t>Cant. Bruta</t>
        </is>
      </c>
      <c r="I4" s="12" t="inlineStr">
        <is>
          <t>Coste (€)</t>
        </is>
      </c>
      <c r="K4" s="13" t="n"/>
      <c r="L4" s="14" t="n"/>
    </row>
    <row r="5">
      <c r="A5" s="15" t="inlineStr">
        <is>
          <t>Chocolate negro 70%</t>
        </is>
      </c>
      <c r="B5" s="16" t="inlineStr">
        <is>
          <t>Chocolate/cacao</t>
        </is>
      </c>
      <c r="C5" s="16" t="inlineStr">
        <is>
          <t>kg</t>
        </is>
      </c>
      <c r="D5" s="17" t="n">
        <v>18</v>
      </c>
      <c r="E5" s="18" t="n">
        <v>0.06</v>
      </c>
      <c r="F5" s="16" t="inlineStr">
        <is>
          <t>kg</t>
        </is>
      </c>
      <c r="G5" s="19" t="n">
        <v>0.05</v>
      </c>
      <c r="H5" s="20">
        <f>E5/(1-G5)</f>
        <v>0.06315789473684211</v>
      </c>
      <c r="I5" s="21">
        <f>H5*D5</f>
        <v>1.1368421052631579</v>
      </c>
      <c r="K5" s="22" t="n"/>
      <c r="L5" s="23" t="n"/>
    </row>
    <row r="6">
      <c r="A6" s="15" t="inlineStr">
        <is>
          <t>Fruta de la pasión</t>
        </is>
      </c>
      <c r="B6" s="16" t="inlineStr">
        <is>
          <t>Fruta</t>
        </is>
      </c>
      <c r="C6" s="16" t="inlineStr">
        <is>
          <t>kg</t>
        </is>
      </c>
      <c r="D6" s="17" t="n">
        <v>14</v>
      </c>
      <c r="E6" s="18" t="n">
        <v>0.04</v>
      </c>
      <c r="F6" s="16" t="inlineStr">
        <is>
          <t>kg</t>
        </is>
      </c>
      <c r="G6" s="19" t="n">
        <v>0.5</v>
      </c>
      <c r="H6" s="20">
        <f>E6/(1-G6)</f>
        <v>0.08</v>
      </c>
      <c r="I6" s="21">
        <f>H6*D6</f>
        <v>1.12</v>
      </c>
      <c r="K6" s="22" t="n"/>
      <c r="L6" s="23" t="n"/>
    </row>
    <row r="7">
      <c r="A7" s="15" t="inlineStr">
        <is>
          <t>Nata 35% MG</t>
        </is>
      </c>
      <c r="B7" s="16" t="inlineStr">
        <is>
          <t>Lácteos</t>
        </is>
      </c>
      <c r="C7" s="16" t="inlineStr">
        <is>
          <t>L</t>
        </is>
      </c>
      <c r="D7" s="17" t="n">
        <v>3.8</v>
      </c>
      <c r="E7" s="18" t="n">
        <v>0.06</v>
      </c>
      <c r="F7" s="16" t="inlineStr">
        <is>
          <t>L</t>
        </is>
      </c>
      <c r="G7" s="19" t="n">
        <v>0.03</v>
      </c>
      <c r="H7" s="20">
        <f>E7/(1-G7)</f>
        <v>0.061855670103092786</v>
      </c>
      <c r="I7" s="21">
        <f>H7*D7</f>
        <v>0.23505154639175257</v>
      </c>
      <c r="K7" s="22" t="n"/>
      <c r="L7" s="23" t="n"/>
    </row>
    <row r="8">
      <c r="A8" s="15" t="inlineStr">
        <is>
          <t>Azúcar</t>
        </is>
      </c>
      <c r="B8" s="16" t="inlineStr">
        <is>
          <t>Secos/granos</t>
        </is>
      </c>
      <c r="C8" s="16" t="inlineStr">
        <is>
          <t>kg</t>
        </is>
      </c>
      <c r="D8" s="17" t="n">
        <v>1.2</v>
      </c>
      <c r="E8" s="18" t="n">
        <v>0.025</v>
      </c>
      <c r="F8" s="16" t="inlineStr">
        <is>
          <t>kg</t>
        </is>
      </c>
      <c r="G8" s="19" t="n">
        <v>0.02</v>
      </c>
      <c r="H8" s="20">
        <f>E8/(1-G8)</f>
        <v>0.025510204081632654</v>
      </c>
      <c r="I8" s="21">
        <f>H8*D8</f>
        <v>0.030612244897959183</v>
      </c>
      <c r="K8" s="24" t="inlineStr">
        <is>
          <t>Arrastra aquí la foto
del plato terminado</t>
        </is>
      </c>
      <c r="L8" s="25" t="n"/>
    </row>
    <row r="9">
      <c r="A9" s="15" t="inlineStr">
        <is>
          <t>Manteca de cacao</t>
        </is>
      </c>
      <c r="B9" s="16" t="inlineStr">
        <is>
          <t>Chocolate/cacao</t>
        </is>
      </c>
      <c r="C9" s="16" t="inlineStr">
        <is>
          <t>kg</t>
        </is>
      </c>
      <c r="D9" s="17" t="n">
        <v>22</v>
      </c>
      <c r="E9" s="18" t="n">
        <v>0.015</v>
      </c>
      <c r="F9" s="16" t="inlineStr">
        <is>
          <t>kg</t>
        </is>
      </c>
      <c r="G9" s="19" t="n">
        <v>0.05</v>
      </c>
      <c r="H9" s="20">
        <f>E9/(1-G9)</f>
        <v>0.015789473684210527</v>
      </c>
      <c r="I9" s="21">
        <f>H9*D9</f>
        <v>0.3473684210526316</v>
      </c>
      <c r="K9" s="26" t="n"/>
      <c r="L9" s="27" t="n"/>
    </row>
    <row r="10">
      <c r="A10" s="28" t="n"/>
      <c r="B10" s="28" t="n"/>
      <c r="C10" s="28" t="n"/>
      <c r="D10" s="28" t="n"/>
      <c r="E10" s="28" t="n"/>
      <c r="F10" s="28" t="n"/>
      <c r="G10" s="29" t="n"/>
      <c r="H10" s="30">
        <f>IF(E10="","",E10/(1-G10))</f>
        <v/>
      </c>
      <c r="I10" s="31">
        <f>IF(H10="","",H10*D10)</f>
        <v/>
      </c>
      <c r="K10" s="22" t="n"/>
      <c r="L10" s="23" t="n"/>
    </row>
    <row r="11">
      <c r="A11" s="28" t="n"/>
      <c r="B11" s="28" t="n"/>
      <c r="C11" s="28" t="n"/>
      <c r="D11" s="28" t="n"/>
      <c r="E11" s="28" t="n"/>
      <c r="F11" s="28" t="n"/>
      <c r="G11" s="29" t="n"/>
      <c r="H11" s="30">
        <f>IF(E11="","",E11/(1-G11))</f>
        <v/>
      </c>
      <c r="I11" s="31">
        <f>IF(H11="","",H11*D11)</f>
        <v/>
      </c>
      <c r="K11" s="22" t="n"/>
      <c r="L11" s="23" t="n"/>
    </row>
    <row r="12">
      <c r="A12" s="28" t="n"/>
      <c r="B12" s="28" t="n"/>
      <c r="C12" s="28" t="n"/>
      <c r="D12" s="28" t="n"/>
      <c r="E12" s="28" t="n"/>
      <c r="F12" s="28" t="n"/>
      <c r="G12" s="29" t="n"/>
      <c r="H12" s="30">
        <f>IF(E12="","",E12/(1-G12))</f>
        <v/>
      </c>
      <c r="I12" s="31">
        <f>IF(H12="","",H12*D12)</f>
        <v/>
      </c>
      <c r="K12" s="22" t="n"/>
      <c r="L12" s="23" t="n"/>
    </row>
    <row r="13">
      <c r="A13" s="28" t="n"/>
      <c r="B13" s="28" t="n"/>
      <c r="C13" s="28" t="n"/>
      <c r="D13" s="28" t="n"/>
      <c r="E13" s="28" t="n"/>
      <c r="F13" s="28" t="n"/>
      <c r="G13" s="29" t="n"/>
      <c r="H13" s="30">
        <f>IF(E13="","",E13/(1-G13))</f>
        <v/>
      </c>
      <c r="I13" s="31">
        <f>IF(H13="","",H13*D13)</f>
        <v/>
      </c>
      <c r="K13" s="22" t="n"/>
      <c r="L13" s="23" t="n"/>
    </row>
    <row r="14">
      <c r="A14" s="28" t="n"/>
      <c r="B14" s="28" t="n"/>
      <c r="C14" s="28" t="n"/>
      <c r="D14" s="28" t="n"/>
      <c r="E14" s="28" t="n"/>
      <c r="F14" s="28" t="n"/>
      <c r="G14" s="29" t="n"/>
      <c r="H14" s="30">
        <f>IF(E14="","",E14/(1-G14))</f>
        <v/>
      </c>
      <c r="I14" s="31">
        <f>IF(H14="","",H14*D14)</f>
        <v/>
      </c>
      <c r="K14" s="32" t="n"/>
      <c r="L14" s="33" t="n"/>
    </row>
    <row r="15">
      <c r="K15" s="34" t="inlineStr">
        <is>
          <t>Insertar → Imagen → Desde archivo</t>
        </is>
      </c>
    </row>
    <row r="16">
      <c r="A16" s="35" t="inlineStr">
        <is>
          <t>COSTE TOTAL INGREDIENTES</t>
        </is>
      </c>
      <c r="B16" s="58" t="n"/>
      <c r="C16" s="58" t="n"/>
      <c r="D16" s="58" t="n"/>
      <c r="E16" s="58" t="n"/>
      <c r="F16" s="58" t="n"/>
      <c r="G16" s="58" t="n"/>
      <c r="H16" s="59" t="n"/>
      <c r="I16" s="36">
        <f>SUM(I5:I14)</f>
        <v>2.8698743176055017</v>
      </c>
    </row>
    <row r="17">
      <c r="A17" s="37" t="inlineStr">
        <is>
          <t>Coste elaboración (%)</t>
        </is>
      </c>
      <c r="B17" s="58" t="n"/>
      <c r="C17" s="58" t="n"/>
      <c r="D17" s="58" t="n"/>
      <c r="E17" s="58" t="n"/>
      <c r="F17" s="58" t="n"/>
      <c r="G17" s="59" t="n"/>
      <c r="H17" s="19" t="n">
        <v>0.1</v>
      </c>
      <c r="I17" s="38">
        <f>I16*H17</f>
        <v>0.2869874317605502</v>
      </c>
    </row>
    <row r="18">
      <c r="A18" s="39" t="inlineStr">
        <is>
          <t>COSTE TOTAL DEL PLATO</t>
        </is>
      </c>
      <c r="B18" s="58" t="n"/>
      <c r="C18" s="58" t="n"/>
      <c r="D18" s="58" t="n"/>
      <c r="E18" s="58" t="n"/>
      <c r="F18" s="58" t="n"/>
      <c r="G18" s="58" t="n"/>
      <c r="H18" s="59" t="n"/>
      <c r="I18" s="40">
        <f>I16+I17</f>
        <v>3.156861749366052</v>
      </c>
    </row>
    <row r="19"/>
    <row r="20">
      <c r="A20" s="41" t="inlineStr">
        <is>
          <t>Food Cost objetivo (%)</t>
        </is>
      </c>
      <c r="B20" s="58" t="n"/>
      <c r="C20" s="58" t="n"/>
      <c r="D20" s="58" t="n"/>
      <c r="E20" s="58" t="n"/>
      <c r="F20" s="58" t="n"/>
      <c r="G20" s="59" t="n"/>
      <c r="H20" s="42" t="n">
        <v>0.3</v>
      </c>
    </row>
    <row r="21">
      <c r="A21" s="43" t="inlineStr">
        <is>
          <t>PVP SUGERIDO (sin IVA)</t>
        </is>
      </c>
      <c r="B21" s="58" t="n"/>
      <c r="C21" s="58" t="n"/>
      <c r="D21" s="58" t="n"/>
      <c r="E21" s="58" t="n"/>
      <c r="F21" s="58" t="n"/>
      <c r="G21" s="58" t="n"/>
      <c r="H21" s="59" t="n"/>
      <c r="I21" s="44">
        <f>I18/H20</f>
        <v>10.52287249788684</v>
      </c>
    </row>
    <row r="22">
      <c r="A22" s="45" t="inlineStr">
        <is>
          <t>PVP CON IVA (10% hostelería)</t>
        </is>
      </c>
      <c r="B22" s="58" t="n"/>
      <c r="C22" s="58" t="n"/>
      <c r="D22" s="58" t="n"/>
      <c r="E22" s="58" t="n"/>
      <c r="F22" s="58" t="n"/>
      <c r="G22" s="58" t="n"/>
      <c r="H22" s="59" t="n"/>
      <c r="I22" s="46">
        <f>I21*1.10</f>
        <v>11.575159747675526</v>
      </c>
    </row>
    <row r="23">
      <c r="A23" s="37" t="inlineStr">
        <is>
          <t>Margen bruto (€)</t>
        </is>
      </c>
      <c r="B23" s="58" t="n"/>
      <c r="C23" s="58" t="n"/>
      <c r="D23" s="58" t="n"/>
      <c r="E23" s="58" t="n"/>
      <c r="F23" s="58" t="n"/>
      <c r="G23" s="58" t="n"/>
      <c r="H23" s="59" t="n"/>
      <c r="I23" s="38">
        <f>I21-I18</f>
        <v>7.366010748520789</v>
      </c>
    </row>
    <row r="24">
      <c r="A24" s="37" t="inlineStr">
        <is>
          <t>Margen bruto (%)</t>
        </is>
      </c>
      <c r="B24" s="58" t="n"/>
      <c r="C24" s="58" t="n"/>
      <c r="D24" s="58" t="n"/>
      <c r="E24" s="58" t="n"/>
      <c r="F24" s="58" t="n"/>
      <c r="G24" s="58" t="n"/>
      <c r="H24" s="59" t="n"/>
      <c r="I24" s="47">
        <f>I23/I21</f>
        <v>0.7000000000000001</v>
      </c>
    </row>
  </sheetData>
  <mergeCells count="13">
    <mergeCell ref="A20:G20"/>
    <mergeCell ref="K15:L15"/>
    <mergeCell ref="A17:G17"/>
    <mergeCell ref="A18:H18"/>
    <mergeCell ref="K8:L9"/>
    <mergeCell ref="A16:H16"/>
    <mergeCell ref="A2:I2"/>
    <mergeCell ref="A22:H22"/>
    <mergeCell ref="A21:H21"/>
    <mergeCell ref="A1:I1"/>
    <mergeCell ref="A24:H24"/>
    <mergeCell ref="K3:L3"/>
    <mergeCell ref="A23:H23"/>
  </mergeCells>
  <dataValidations count="2">
    <dataValidation sqref="B5 B6 B7 B8 B9 B10 B11 B12 B13 B14" showDropDown="0" showInputMessage="0" showErrorMessage="0" allowBlank="1" errorTitle="Categoría inválida" error="Selecciona una categoría válida" type="list">
      <formula1>"Carne roja,Aves,Pescado,Marisco,Verdura hoja,Verdura raíz,Fruta,Lácteos,Secos/granos,Congelados,Pan/bollería,Huevos,Aceites/grasas,Especias/hierbas,Chocolate/cacao,Bebidas/licores"</formula1>
    </dataValidation>
    <dataValidation sqref="C5 C6 C7 C8 C9 C10 C11 C12 C13 C14 F5 F6 F7 F8 F9 F10 F11 F12 F13 F14" showDropDown="0" showInputMessage="0" showErrorMessage="0" allowBlank="1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FF4444"/>
    <outlinePr summaryBelow="1" summaryRight="1"/>
    <pageSetUpPr fitToPage="1"/>
  </sheetPr>
  <dimension ref="A1:C14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8" customWidth="1" min="3" max="3"/>
  </cols>
  <sheetData>
    <row r="1"/>
    <row r="2">
      <c r="B2" s="48" t="inlineStr">
        <is>
          <t>Resumen — Menú Degustación</t>
        </is>
      </c>
    </row>
    <row r="3"/>
    <row r="4">
      <c r="B4" s="49" t="inlineStr">
        <is>
          <t>Pase</t>
        </is>
      </c>
      <c r="C4" s="50" t="inlineStr">
        <is>
          <t>Coste (€)</t>
        </is>
      </c>
    </row>
    <row r="5">
      <c r="B5" s="51" t="inlineStr">
        <is>
          <t>1. Aperitivo</t>
        </is>
      </c>
      <c r="C5" s="21">
        <f>'1. Aperitivo'!I18</f>
        <v>7.191855508261988</v>
      </c>
    </row>
    <row r="6">
      <c r="B6" s="51" t="inlineStr">
        <is>
          <t>2. Entrante</t>
        </is>
      </c>
      <c r="C6" s="21">
        <f>'2. Entrante'!I18</f>
        <v>11.46133366061201</v>
      </c>
    </row>
    <row r="7">
      <c r="B7" s="51" t="inlineStr">
        <is>
          <t>3. Pescado</t>
        </is>
      </c>
      <c r="C7" s="21">
        <f>'3. Pescado'!I18</f>
        <v>10.634109767618387</v>
      </c>
    </row>
    <row r="8">
      <c r="B8" s="51" t="inlineStr">
        <is>
          <t>4. Carne</t>
        </is>
      </c>
      <c r="C8" s="21">
        <f>'4. Carne'!I18</f>
        <v>6.418322328931573</v>
      </c>
    </row>
    <row r="9">
      <c r="B9" s="51" t="inlineStr">
        <is>
          <t>5. Postre</t>
        </is>
      </c>
      <c r="C9" s="21">
        <f>'5. Postre'!I18</f>
        <v>3.156861749366052</v>
      </c>
    </row>
    <row r="10">
      <c r="B10" s="52" t="inlineStr">
        <is>
          <t>COSTE TOTAL MENÚ</t>
        </is>
      </c>
      <c r="C10" s="46">
        <f>SUM(C5:C9)</f>
        <v>38.86248301479001</v>
      </c>
    </row>
    <row r="11"/>
    <row r="12">
      <c r="B12" s="53" t="inlineStr">
        <is>
          <t>Food Cost objetivo (%)</t>
        </is>
      </c>
      <c r="C12" s="54" t="n">
        <v>0.25</v>
      </c>
    </row>
    <row r="13">
      <c r="B13" s="55" t="inlineStr">
        <is>
          <t>PVP SUGERIDO (sin IVA)</t>
        </is>
      </c>
      <c r="C13" s="44">
        <f>C10/C12</f>
        <v>155.44993205916003</v>
      </c>
    </row>
    <row r="14">
      <c r="B14" s="56" t="inlineStr">
        <is>
          <t>PVP CON IVA (10%)</t>
        </is>
      </c>
      <c r="C14" s="46">
        <f>C13*1.10</f>
        <v>170.99492526507606</v>
      </c>
    </row>
  </sheetData>
  <mergeCells count="1">
    <mergeCell ref="B2:C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Escandallo — Menú Degustación · Kit de Escandallos Pro</dc:title>
  <dc:description xmlns:dc="http://purl.org/dc/elements/1.1/">aichef.pro/kit-escandallos</dc:description>
  <dc:subject xmlns:dc="http://purl.org/dc/elements/1.1/">Kit de Escandallos Pro · v1.1</dc:subject>
  <dcterms:created xmlns:dcterms="http://purl.org/dc/terms/" xmlns:xsi="http://www.w3.org/2001/XMLSchema-instance" xsi:type="dcterms:W3CDTF">2026-03-18T21:50:23Z</dcterms:created>
  <dcterms:modified xmlns:dcterms="http://purl.org/dc/terms/" xmlns:xsi="http://www.w3.org/2001/XMLSchema-instance" xsi:type="dcterms:W3CDTF">2026-08-22T09:11:23Z</dcterms:modified>
  <cp:lastModifiedBy>AI Chef Pro</cp:lastModifiedBy>
  <cp:category>AI Chef Pro · Productos digitales</cp:category>
  <cp:keywords>kit escandallos, AI Chef Pro</cp:keywords>
</cp:coreProperties>
</file>