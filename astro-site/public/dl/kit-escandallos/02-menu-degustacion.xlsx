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1. Aperitivo" sheetId="2" state="visible" r:id="rId2"/>
    <sheet xmlns:r="http://schemas.openxmlformats.org/officeDocument/2006/relationships" name="2. Entrante" sheetId="3" state="visible" r:id="rId3"/>
    <sheet xmlns:r="http://schemas.openxmlformats.org/officeDocument/2006/relationships" name="3. Pescado" sheetId="4" state="visible" r:id="rId4"/>
    <sheet xmlns:r="http://schemas.openxmlformats.org/officeDocument/2006/relationships" name="4. Carne" sheetId="5" state="visible" r:id="rId5"/>
    <sheet xmlns:r="http://schemas.openxmlformats.org/officeDocument/2006/relationships" name="5. Postre" sheetId="6" state="visible" r:id="rId6"/>
    <sheet xmlns:r="http://schemas.openxmlformats.org/officeDocument/2006/relationships" name="6. Pase" sheetId="7" state="visible" r:id="rId7"/>
    <sheet xmlns:r="http://schemas.openxmlformats.org/officeDocument/2006/relationships" name="7. Pase" sheetId="8" state="visible" r:id="rId8"/>
    <sheet xmlns:r="http://schemas.openxmlformats.org/officeDocument/2006/relationships" name="8. Pase" sheetId="9" state="visible" r:id="rId9"/>
    <sheet xmlns:r="http://schemas.openxmlformats.org/officeDocument/2006/relationships" name="9. Pase" sheetId="10" state="visible" r:id="rId10"/>
    <sheet xmlns:r="http://schemas.openxmlformats.org/officeDocument/2006/relationships" name="Resumen" sheetId="11" state="visible" r:id="rId11"/>
    <sheet xmlns:r="http://schemas.openxmlformats.org/officeDocument/2006/relationships" name="Conversiones" sheetId="12" state="visible" r:id="rId12"/>
    <sheet xmlns:r="http://schemas.openxmlformats.org/officeDocument/2006/relationships" name="Mermas" sheetId="13" state="visible" r:id="rId13"/>
  </sheets>
  <definedNames>
    <definedName name="_xlnm.Print_Titles" localSheetId="1">'1. Aperitivo'!$4:$4</definedName>
    <definedName name="_xlnm.Print_Area" localSheetId="1">'1. Aperitivo'!$A$1:$J$35</definedName>
    <definedName name="_xlnm.Print_Titles" localSheetId="2">'2. Entrante'!$4:$4</definedName>
    <definedName name="_xlnm.Print_Area" localSheetId="2">'2. Entrante'!$A$1:$J$35</definedName>
    <definedName name="_xlnm.Print_Titles" localSheetId="3">'3. Pescado'!$4:$4</definedName>
    <definedName name="_xlnm.Print_Area" localSheetId="3">'3. Pescado'!$A$1:$J$35</definedName>
    <definedName name="_xlnm.Print_Titles" localSheetId="4">'4. Carne'!$4:$4</definedName>
    <definedName name="_xlnm.Print_Area" localSheetId="4">'4. Carne'!$A$1:$J$35</definedName>
    <definedName name="_xlnm.Print_Titles" localSheetId="5">'5. Postre'!$4:$4</definedName>
    <definedName name="_xlnm.Print_Area" localSheetId="5">'5. Postre'!$A$1:$J$35</definedName>
    <definedName name="_xlnm.Print_Titles" localSheetId="6">'6. Pase'!$4:$4</definedName>
    <definedName name="_xlnm.Print_Area" localSheetId="6">'6. Pase'!$A$1:$J$35</definedName>
    <definedName name="_xlnm.Print_Titles" localSheetId="7">'7. Pase'!$4:$4</definedName>
    <definedName name="_xlnm.Print_Area" localSheetId="7">'7. Pase'!$A$1:$J$35</definedName>
    <definedName name="_xlnm.Print_Titles" localSheetId="8">'8. Pase'!$4:$4</definedName>
    <definedName name="_xlnm.Print_Area" localSheetId="8">'8. Pase'!$A$1:$J$35</definedName>
    <definedName name="_xlnm.Print_Titles" localSheetId="9">'9. Pase'!$4:$4</definedName>
    <definedName name="_xlnm.Print_Area" localSheetId="9">'9. Pase'!$A$1:$J$35</definedName>
    <definedName name="_xlnm.Print_Area" localSheetId="10">'Resumen'!$A$1:$J$21</definedName>
    <definedName name="_xlnm.Print_Area" localSheetId="11">'Conversiones'!$A$1:$J$67</definedName>
    <definedName name="_xlnm.Print_Area" localSheetId="12">'Mermas'!$A$1:$J$25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€"/>
    <numFmt numFmtId="165" formatCode="0.000"/>
    <numFmt numFmtId="166" formatCode="0.0%"/>
    <numFmt numFmtId="167" formatCode="0.###"/>
  </numFmts>
  <fonts count="2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  <font>
      <b val="1"/>
      <sz val="12"/>
    </font>
    <font>
      <b val="1"/>
      <color rgb="00FFFFFF"/>
    </font>
    <font>
      <color rgb="00595959"/>
      <sz val="9"/>
    </font>
    <font>
      <i val="1"/>
      <sz val="9"/>
    </font>
  </fonts>
  <fills count="10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  <fill>
      <patternFill patternType="solid">
        <fgColor rgb="002D2D2D"/>
      </patternFill>
    </fill>
    <fill>
      <patternFill patternType="solid">
        <fgColor rgb="00F2F2F2"/>
      </patternFill>
    </fill>
    <fill>
      <patternFill patternType="solid">
        <fgColor rgb="00E8F5E9"/>
      </patternFill>
    </fill>
  </fills>
  <borders count="20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 style="medium">
        <color rgb="00FFD700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0" fillId="2" borderId="6" pivotButton="0" quotePrefix="0" xfId="0"/>
    <xf numFmtId="0" fontId="0" fillId="2" borderId="7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  <xf numFmtId="0" fontId="1" fillId="0" borderId="0" pivotButton="0" quotePrefix="0" xfId="0"/>
    <xf numFmtId="0" fontId="12" fillId="3" borderId="14" pivotButton="0" quotePrefix="0" xfId="0"/>
    <xf numFmtId="0" fontId="12" fillId="3" borderId="14" applyAlignment="1" pivotButton="0" quotePrefix="0" xfId="0">
      <alignment horizontal="right" vertical="center"/>
    </xf>
    <xf numFmtId="0" fontId="5" fillId="0" borderId="14" pivotButton="0" quotePrefix="0" xfId="0"/>
    <xf numFmtId="0" fontId="4" fillId="6" borderId="14" pivotButton="0" quotePrefix="0" xfId="0"/>
    <xf numFmtId="0" fontId="16" fillId="0" borderId="14" pivotButton="0" quotePrefix="0" xfId="0"/>
    <xf numFmtId="9" fontId="5" fillId="4" borderId="14" pivotButton="0" quotePrefix="0" xfId="0"/>
    <xf numFmtId="0" fontId="4" fillId="0" borderId="14" pivotButton="0" quotePrefix="0" xfId="0"/>
    <xf numFmtId="0" fontId="17" fillId="6" borderId="14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2" fillId="0" borderId="0" applyAlignment="1" pivotButton="0" quotePrefix="0" xfId="0">
      <alignment vertical="top" wrapText="1"/>
    </xf>
    <xf numFmtId="0" fontId="5" fillId="4" borderId="14" applyAlignment="1" applyProtection="1" pivotButton="0" quotePrefix="0" xfId="0">
      <alignment horizontal="left" vertical="center" wrapText="1"/>
      <protection locked="0" hidden="0"/>
    </xf>
    <xf numFmtId="0" fontId="5" fillId="4" borderId="14" applyAlignment="1" applyProtection="1" pivotButton="0" quotePrefix="0" xfId="0">
      <alignment horizontal="center" vertical="center" wrapText="1"/>
      <protection locked="0" hidden="0"/>
    </xf>
    <xf numFmtId="164" fontId="5" fillId="4" borderId="14" applyAlignment="1" applyProtection="1" pivotButton="0" quotePrefix="0" xfId="0">
      <alignment horizontal="right" vertical="center"/>
      <protection locked="0" hidden="0"/>
    </xf>
    <xf numFmtId="165" fontId="5" fillId="4" borderId="14" applyAlignment="1" applyProtection="1" pivotButton="0" quotePrefix="0" xfId="0">
      <alignment horizontal="right" vertical="center"/>
      <protection locked="0" hidden="0"/>
    </xf>
    <xf numFmtId="167" fontId="20" fillId="8" borderId="14" applyAlignment="1" pivotButton="0" quotePrefix="0" xfId="0">
      <alignment horizontal="center" vertical="center"/>
    </xf>
    <xf numFmtId="9" fontId="5" fillId="4" borderId="14" applyAlignment="1" applyProtection="1" pivotButton="0" quotePrefix="0" xfId="0">
      <alignment horizontal="center" vertical="center" wrapText="1"/>
      <protection locked="0" hidden="0"/>
    </xf>
    <xf numFmtId="0" fontId="0" fillId="4" borderId="14" applyProtection="1" pivotButton="0" quotePrefix="0" xfId="0">
      <protection locked="0" hidden="0"/>
    </xf>
    <xf numFmtId="9" fontId="0" fillId="4" borderId="14" applyProtection="1" pivotButton="0" quotePrefix="0" xfId="0">
      <protection locked="0" hidden="0"/>
    </xf>
    <xf numFmtId="9" fontId="5" fillId="9" borderId="14" applyAlignment="1" applyProtection="1" pivotButton="0" quotePrefix="0" xfId="0">
      <alignment horizontal="center" vertical="center"/>
      <protection locked="0" hidden="0"/>
    </xf>
    <xf numFmtId="1" fontId="5" fillId="9" borderId="14" applyAlignment="1" applyProtection="1" pivotButton="0" quotePrefix="0" xfId="0">
      <alignment horizontal="center" vertical="center"/>
      <protection locked="0" hidden="0"/>
    </xf>
    <xf numFmtId="9" fontId="16" fillId="0" borderId="14" applyAlignment="1" pivotButton="0" quotePrefix="0" xfId="0">
      <alignment horizontal="center" vertical="center"/>
    </xf>
    <xf numFmtId="164" fontId="5" fillId="9" borderId="14" applyAlignment="1" applyProtection="1" pivotButton="0" quotePrefix="0" xfId="0">
      <alignment horizontal="center" vertical="center"/>
      <protection locked="0" hidden="0"/>
    </xf>
    <xf numFmtId="166" fontId="15" fillId="6" borderId="14" pivotButton="0" quotePrefix="0" xfId="0"/>
    <xf numFmtId="9" fontId="5" fillId="9" borderId="14" applyProtection="1" pivotButton="0" quotePrefix="0" xfId="0">
      <protection locked="0" hidden="0"/>
    </xf>
    <xf numFmtId="0" fontId="21" fillId="0" borderId="0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6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Escandallo — Menú Degustación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5"/>
    <row r="6">
      <c r="B6" s="4" t="inlineStr">
        <is>
          <t>Cómo usar esta plantilla</t>
        </is>
      </c>
    </row>
    <row r="7">
      <c r="B7" s="5" t="n"/>
    </row>
    <row r="8">
      <c r="B8" s="6" t="inlineStr">
        <is>
          <t>▸ Cada pestaña numerada es un pase del menú: hay NUEVE ('1. Aperitivo'…'9. Pase'), los cinco primeros con ejemplo y los cuatro últimos vacíos.</t>
        </is>
      </c>
    </row>
    <row r="9">
      <c r="B9" s="6" t="inlineStr">
        <is>
          <t>▸ La pestaña 'Resumen' suma sólo los pases que tengan ingredientes: los que dejes vacíos no ensucian el total.</t>
        </is>
      </c>
    </row>
    <row r="10">
      <c r="B10" s="6" t="inlineStr">
        <is>
          <t>▸ El Food Cost objetivo se edita UNA sola vez, en el Resumen; cada pase lo lee de allí, así que no hay dos precios para lo mismo.</t>
        </is>
      </c>
    </row>
    <row r="11">
      <c r="B11" s="6" t="inlineStr">
        <is>
          <t>▸ Las celdas VERDES son las editables; el resto son fórmulas.</t>
        </is>
      </c>
    </row>
    <row r="12">
      <c r="B12" s="5" t="n"/>
    </row>
    <row r="13">
      <c r="B13" s="4" t="inlineStr">
        <is>
          <t>Columnas de la hoja de escandallo</t>
        </is>
      </c>
    </row>
    <row r="14"/>
    <row r="15">
      <c r="B15" s="6" t="inlineStr">
        <is>
          <t>▸ Ingrediente: el producto tal como lo compras.</t>
        </is>
      </c>
    </row>
    <row r="16">
      <c r="B16" s="6" t="inlineStr">
        <is>
          <t>▸ Categoría: familia del ingrediente (desplegable). Es la que precarga la merma en las filas vacías.</t>
        </is>
      </c>
    </row>
    <row r="17">
      <c r="B17" s="6" t="inlineStr">
        <is>
          <t>▸ Ud. Compra: la unidad en la que COMPRAS (kg, L, docena, manojo…).</t>
        </is>
      </c>
    </row>
    <row r="18">
      <c r="B18" s="6" t="inlineStr">
        <is>
          <t>▸ Precio/Ud (€): lo que pagas por esa unidad de compra.</t>
        </is>
      </c>
    </row>
    <row r="19">
      <c r="B19" s="6" t="inlineStr">
        <is>
          <t>▸ ¿Llevas tus precios en la plantilla 13 (Lista de Precios de Ingredientes)? Lleva su «Precio por unidad base» a «Precio/Ud (€)» con Pegado especial → Valores (en Excel, Ctrl+Alt+V y luego V) y pon esa misma unidad en «Ud. Compra». Un pegado normal arrastraría la fórmula: el precio y el coste de esa línea se quedarían en blanco sin avisar, y el coste del plato saldría más bajo.</t>
        </is>
      </c>
    </row>
    <row r="20">
      <c r="B20" s="6" t="inlineStr">
        <is>
          <t>▸ Cantidad: la que usas en el plato, EN LA UNIDAD DE USO.</t>
        </is>
      </c>
    </row>
    <row r="21">
      <c r="B21" s="6" t="inlineStr">
        <is>
          <t>▸ Ud. Uso: la unidad en la que mides al cocinar (g, ml, cl, ud…).</t>
        </is>
      </c>
    </row>
    <row r="22">
      <c r="B22" s="6" t="inlineStr">
        <is>
          <t>▸ Factor: conversión automática Ud. Compra → Ud. Uso, de la hoja «Conversiones». Si la pareja NO está en la tabla, el Factor se pone en rojo con un «?» y el Coste dice «revisa unidades»: añade la equivalencia en «Conversiones» antes de fiarte del número. Nunca da un coste plausible y falso.</t>
        </is>
      </c>
    </row>
    <row r="23">
      <c r="B23" s="6" t="inlineStr">
        <is>
          <t>▸ Merma (%): desperdicio. En las filas de ejemplo está escrita a mano; en las vacías la trae la hoja «Mermas» en cuanto eliges categoría, y puedes escribir encima.</t>
        </is>
      </c>
    </row>
    <row r="24">
      <c r="B24" s="6" t="inlineStr">
        <is>
          <t>▸ Ojo con la merma cuando mides en PIEZAS: la del 11 % de los huevos es la CÁSCARA, y sólo tiene sentido sobre el peso. Si compras y mides en unidades, déjala en 0 %: seis huevos son seis huevos, no 6,74. La misma regla vale para cualquier ingrediente que cuentes por unidad.</t>
        </is>
      </c>
    </row>
    <row r="25">
      <c r="B25" s="6" t="inlineStr">
        <is>
          <t>▸ Cant. Bruta: lo que hay que comprar contando la merma (automático).</t>
        </is>
      </c>
    </row>
    <row r="26">
      <c r="B26" s="6" t="inlineStr">
        <is>
          <t>▸ Coste (€): Cant. Bruta × Precio/Ud ÷ Factor (automático).</t>
        </is>
      </c>
    </row>
    <row r="27"/>
    <row r="28">
      <c r="B28" s="4" t="inlineStr">
        <is>
          <t>Bloque de resultado</t>
        </is>
      </c>
    </row>
    <row r="29"/>
    <row r="30">
      <c r="B30" s="6" t="inlineStr">
        <is>
          <t>▸ Coste elaboración (%): recargo sobre la materia prima para cubrir energía, envasado y pérdidas de preparación que no se escandallan línea a línea. Viene al 10 %; ponlo a 0 % si prefieres imputar esos costes aparte.</t>
        </is>
      </c>
    </row>
    <row r="31">
      <c r="B31" s="6" t="inlineStr">
        <is>
          <t>▸ COSTE TOTAL DEL PLATO: materia prima + coste de elaboración.</t>
        </is>
      </c>
    </row>
    <row r="32">
      <c r="B32" s="6" t="inlineStr">
        <is>
          <t>▸ Nº de raciones: cuántas raciones salen de lo escandallado. Déjalo en 1 si es un plato individual.</t>
        </is>
      </c>
    </row>
    <row r="33">
      <c r="B33" s="6" t="inlineStr">
        <is>
          <t>▸ COSTE POR RACIÓN: coste total ÷ raciones. Es la base del PVP.</t>
        </is>
      </c>
    </row>
    <row r="34">
      <c r="B34" s="6" t="inlineStr">
        <is>
          <t>▸ Food Cost objetivo (%): el que quieres conseguir. PVP sin IVA = coste por ración ÷ food cost objetivo.</t>
        </is>
      </c>
    </row>
    <row r="35">
      <c r="B35" s="6" t="inlineStr">
        <is>
          <t>▸ Tipo de IVA (%): editable. 10 % en hostelería en España; cámbialo si te aplica otro tipo (IGIC en Canarias, o el IVA/ITBIS/IVU de tu país en Latinoamérica).</t>
        </is>
      </c>
    </row>
    <row r="36">
      <c r="B36" s="6" t="inlineStr">
        <is>
          <t>▸ PVP actual en carta (sin IVA): lo que cobras HOY. Déjalo vacío si todavía no lo tienes.</t>
        </is>
      </c>
    </row>
    <row r="37">
      <c r="B37" s="6" t="inlineStr">
        <is>
          <t>▸ FOOD COST REAL (%): coste por ración ÷ PVP actual. Se pone en rojo en cuanto supera tu objetivo.</t>
        </is>
      </c>
    </row>
    <row r="38"/>
    <row r="39">
      <c r="B39" s="4" t="inlineStr">
        <is>
          <t>Hojas auxiliares</t>
        </is>
      </c>
    </row>
    <row r="40"/>
    <row r="41">
      <c r="B41" s="6" t="inlineStr">
        <is>
          <t>▸ «Conversiones»: equivalencias Ud. Compra → Ud. Uso. Va SIN protección: añade las parejas que te falten y corrige el tamaño de los formatos (la botella viene a 70 cl y la lata a 33 cl; si tu vino es de 75 cl, cambia el 70 por 75 en «botella→cl»).</t>
        </is>
      </c>
    </row>
    <row r="42">
      <c r="B42" s="6" t="inlineStr">
        <is>
          <t>▸ «Mermas»: merma mínima, típica y máxima por categoría. La típica es la que se precarga en las filas vacías.</t>
        </is>
      </c>
    </row>
    <row r="43"/>
    <row r="44">
      <c r="B44" s="4" t="inlineStr">
        <is>
          <t>Protección de la hoja</t>
        </is>
      </c>
    </row>
    <row r="45"/>
    <row r="46">
      <c r="B46" s="6" t="inlineStr">
        <is>
          <t>▸ Las hojas están protegidas SIN contraseña para que no borres una fórmula sin querer: sólo se escriben las celdas verdes.</t>
        </is>
      </c>
    </row>
    <row r="47">
      <c r="B47" s="6" t="inlineStr">
        <is>
          <t>▸ Para tocar cualquier otra cosa —insertar filas, pegar la foto del plato, cambiar una fórmula—: Revisar → Desproteger hoja. No pide contraseña.</t>
        </is>
      </c>
    </row>
    <row r="48">
      <c r="B48" s="6" t="inlineStr">
        <is>
          <t>▸ Si te quedas sin filas: desprotege la hoja e inserta filas DENTRO del bloque de ingredientes (clic derecho sobre una fila del bloque → Insertar), nunca debajo de la última. Así el «COSTE TOTAL INGREDIENTES» las recoge solo; lo que escribas por debajo del bloque NO suma.</t>
        </is>
      </c>
    </row>
    <row r="49">
      <c r="B49" s="6" t="inlineStr">
        <is>
          <t>▸ La foto del plato NO se puede arrastrar con la hoja protegida: primero Revisar → Desproteger hoja, y después Insertar → Imagen.</t>
        </is>
      </c>
    </row>
    <row r="50"/>
    <row r="51">
      <c r="B51" s="4" t="inlineStr">
        <is>
          <t>Referencia de mermas estándar</t>
        </is>
      </c>
    </row>
    <row r="52"/>
    <row r="53">
      <c r="B53" s="6" t="inlineStr">
        <is>
          <t>▸ Carne roja 20 % | Aves 25 % | Pescado 35 % | Marisco 45 %</t>
        </is>
      </c>
    </row>
    <row r="54">
      <c r="B54" s="6" t="inlineStr">
        <is>
          <t>▸ Verdura hoja 25 % | Verdura raíz 12 % | Verdura fruto 10 % | Fruta 15 %</t>
        </is>
      </c>
    </row>
    <row r="55">
      <c r="B55" s="6" t="inlineStr">
        <is>
          <t>▸ Lácteos 3 % | Secos/granos 2 % | Congelados 7 % | Pan/bollería 5 %</t>
        </is>
      </c>
    </row>
    <row r="56">
      <c r="B56" s="6" t="inlineStr">
        <is>
          <t>▸ Huevos 11 % | Aceites/grasas 3 % | Especias/hierbas 20 % | Chocolate/cacao 5 %</t>
        </is>
      </c>
    </row>
    <row r="57">
      <c r="B57" s="6" t="inlineStr">
        <is>
          <t>▸ Bebidas/licores 2 % | Setas/hongos 20 % | Conservas/encurtidos 8 % | Salsas/condimentos 5 %</t>
        </is>
      </c>
    </row>
    <row r="58">
      <c r="B58" s="6" t="inlineStr">
        <is>
          <t>▸ Pasta/arroz 2 %</t>
        </is>
      </c>
    </row>
    <row r="59">
      <c r="B59" s="6" t="inlineStr">
        <is>
          <t>▸ Son las 21 categorías del desplegable. La tabla completa, con mínimo y máximo, está en la hoja «Mermas».</t>
        </is>
      </c>
    </row>
    <row r="60"/>
    <row r="61">
      <c r="B61" s="6" t="inlineStr">
        <is>
          <t>— Kit de Escandallos Pro · AI Chef Pro · aichef.pro</t>
        </is>
      </c>
    </row>
    <row r="62"/>
    <row r="63">
      <c r="B63" s="6" t="inlineStr">
        <is>
          <t>© 2026 AI Chef Pro · Todos los derechos reservados</t>
        </is>
      </c>
    </row>
    <row r="64"/>
    <row r="65">
      <c r="B65" s="6" t="inlineStr">
        <is>
          <t>Versión 2.1 · septiembre 2026 · aichef.pro/kit-escandallos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Aperitivo — Tartar de Atún con Aguacate</t>
        </is>
      </c>
    </row>
    <row r="2" ht="17" customHeight="1">
      <c r="A2" s="60" t="inlineStr">
        <is>
          <t>Introduce tus ingredientes y cantidades. Las celdas verdes son editables.</t>
        </is>
      </c>
    </row>
    <row r="3">
      <c r="L3" s="10" t="inlineStr">
        <is>
          <t>📷 Foto del Plato</t>
        </is>
      </c>
      <c r="M3" s="57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61" t="inlineStr">
        <is>
          <t>Atún rojo (lomo)</t>
        </is>
      </c>
      <c r="B5" s="62" t="inlineStr">
        <is>
          <t>Pescado</t>
        </is>
      </c>
      <c r="C5" s="62" t="inlineStr">
        <is>
          <t>kg</t>
        </is>
      </c>
      <c r="D5" s="63" t="n">
        <v>42</v>
      </c>
      <c r="E5" s="64" t="n">
        <v>0.08</v>
      </c>
      <c r="F5" s="62" t="inlineStr">
        <is>
          <t>kg</t>
        </is>
      </c>
      <c r="G5" s="65">
        <f>IF(C5&amp;F5="","",IFERROR(VLOOKUP(C5&amp;"→"&amp;F5,Conversiones!$A$5:$B$67,2,FALSE),"?"))</f>
        <v>1.0</v>
      </c>
      <c r="H5" s="66" t="n">
        <v>0.35</v>
      </c>
      <c r="I5" s="20">
        <f>IFERROR(IF(E5="","",E5/(1-H5)),"revisa merma")</f>
        <v>0.12307692307692307</v>
      </c>
      <c r="J5" s="21">
        <f>IF(G5="?","revisa unidades",IFERROR(I5*D5/G5,""))</f>
        <v>5.169230769230769</v>
      </c>
      <c r="L5" s="22" t="n"/>
      <c r="M5" s="23" t="n"/>
    </row>
    <row r="6" ht="28" customHeight="1">
      <c r="A6" s="61" t="inlineStr">
        <is>
          <t>Aguacate Hass</t>
        </is>
      </c>
      <c r="B6" s="62" t="inlineStr">
        <is>
          <t>Fruta</t>
        </is>
      </c>
      <c r="C6" s="62" t="inlineStr">
        <is>
          <t>ud</t>
        </is>
      </c>
      <c r="D6" s="63" t="n">
        <v>1.5</v>
      </c>
      <c r="E6" s="64" t="n">
        <v>0.5</v>
      </c>
      <c r="F6" s="62" t="inlineStr">
        <is>
          <t>ud</t>
        </is>
      </c>
      <c r="G6" s="65">
        <f>IF(C6&amp;F6="","",IFERROR(VLOOKUP(C6&amp;"→"&amp;F6,Conversiones!$A$5:$B$67,2,FALSE),"?"))</f>
        <v>1.0</v>
      </c>
      <c r="H6" s="66" t="n">
        <v>0.3</v>
      </c>
      <c r="I6" s="20">
        <f>IFERROR(IF(E6="","",E6/(1-H6)),"revisa merma")</f>
        <v>0.7142857142857143</v>
      </c>
      <c r="J6" s="21">
        <f>IF(G6="?","revisa unidades",IFERROR(I6*D6/G6,""))</f>
        <v>1.0714285714285714</v>
      </c>
      <c r="L6" s="22" t="n"/>
      <c r="M6" s="23" t="n"/>
    </row>
    <row r="7" ht="28" customHeight="1">
      <c r="A7" s="61" t="inlineStr">
        <is>
          <t>Sésamo tostado</t>
        </is>
      </c>
      <c r="B7" s="62" t="inlineStr">
        <is>
          <t>Secos/granos</t>
        </is>
      </c>
      <c r="C7" s="62" t="inlineStr">
        <is>
          <t>kg</t>
        </is>
      </c>
      <c r="D7" s="63" t="n">
        <v>12</v>
      </c>
      <c r="E7" s="64" t="n">
        <v>0.005</v>
      </c>
      <c r="F7" s="62" t="inlineStr">
        <is>
          <t>kg</t>
        </is>
      </c>
      <c r="G7" s="65">
        <f>IF(C7&amp;F7="","",IFERROR(VLOOKUP(C7&amp;"→"&amp;F7,Conversiones!$A$5:$B$67,2,FALSE),"?"))</f>
        <v>1.0</v>
      </c>
      <c r="H7" s="66" t="n">
        <v>0.02</v>
      </c>
      <c r="I7" s="20">
        <f>IFERROR(IF(E7="","",E7/(1-H7)),"revisa merma")</f>
        <v>0.005102040816326531</v>
      </c>
      <c r="J7" s="21">
        <f>IF(G7="?","revisa unidades",IFERROR(I7*D7/G7,""))</f>
        <v>0.06122448979591837</v>
      </c>
      <c r="L7" s="22" t="n"/>
      <c r="M7" s="23" t="n"/>
    </row>
    <row r="8" ht="28" customHeight="1">
      <c r="A8" s="61" t="inlineStr">
        <is>
          <t>Salsa de soja</t>
        </is>
      </c>
      <c r="B8" s="62" t="inlineStr">
        <is>
          <t>Salsas/condimentos</t>
        </is>
      </c>
      <c r="C8" s="62" t="inlineStr">
        <is>
          <t>L</t>
        </is>
      </c>
      <c r="D8" s="63" t="n">
        <v>6</v>
      </c>
      <c r="E8" s="64" t="n">
        <v>0.015</v>
      </c>
      <c r="F8" s="62" t="inlineStr">
        <is>
          <t>L</t>
        </is>
      </c>
      <c r="G8" s="65">
        <f>IF(C8&amp;F8="","",IFERROR(VLOOKUP(C8&amp;"→"&amp;F8,Conversiones!$A$5:$B$67,2,FALSE),"?"))</f>
        <v>1.0</v>
      </c>
      <c r="H8" s="66" t="n">
        <v>0.02</v>
      </c>
      <c r="I8" s="20">
        <f>IFERROR(IF(E8="","",E8/(1-H8)),"revisa merma")</f>
        <v>0.015306122448979591</v>
      </c>
      <c r="J8" s="21">
        <f>IF(G8="?","revisa unidades",IFERROR(I8*D8/G8,""))</f>
        <v>0.09183673469387754</v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61" t="inlineStr">
        <is>
          <t>Aceite de sésamo</t>
        </is>
      </c>
      <c r="B9" s="62" t="inlineStr">
        <is>
          <t>Aceites/grasas</t>
        </is>
      </c>
      <c r="C9" s="62" t="inlineStr">
        <is>
          <t>L</t>
        </is>
      </c>
      <c r="D9" s="63" t="n">
        <v>14</v>
      </c>
      <c r="E9" s="64" t="n">
        <v>0.01</v>
      </c>
      <c r="F9" s="62" t="inlineStr">
        <is>
          <t>L</t>
        </is>
      </c>
      <c r="G9" s="65">
        <f>IF(C9&amp;F9="","",IFERROR(VLOOKUP(C9&amp;"→"&amp;F9,Conversiones!$A$5:$B$67,2,FALSE),"?"))</f>
        <v>1.0</v>
      </c>
      <c r="H9" s="66" t="n">
        <v>0.03</v>
      </c>
      <c r="I9" s="20">
        <f>IFERROR(IF(E9="","",E9/(1-H9)),"revisa merma")</f>
        <v>0.010309278350515464</v>
      </c>
      <c r="J9" s="21">
        <f>IF(G9="?","revisa unidades",IFERROR(I9*D9/G9,""))</f>
        <v>0.14432989690721648</v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IF(C10&amp;F10="","",IFERROR(VLOOKUP(C10&amp;"→"&amp;F10,Conversiones!$A$5:$B$67,2,FALSE),"?"))</f>
        <v/>
      </c>
      <c r="H10" s="68">
        <f>IFERROR(VLOOKUP(B10,Mermas!$A$5:$C$25,2,FALSE),"")</f>
        <v/>
      </c>
      <c r="I10" s="30">
        <f>IFERROR(IF(E10="","",E10/(1-H10)),"revisa merma")</f>
        <v/>
      </c>
      <c r="J10" s="31">
        <f>IF(G10="?","revisa unidades",IFERROR(I10*D10/G10,""))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IF(C11&amp;F11="","",IFERROR(VLOOKUP(C11&amp;"→"&amp;F11,Conversiones!$A$5:$B$67,2,FALSE),"?"))</f>
        <v/>
      </c>
      <c r="H11" s="68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IF(C12&amp;F12="","",IFERROR(VLOOKUP(C12&amp;"→"&amp;F12,Conversiones!$A$5:$B$67,2,FALSE),"?"))</f>
        <v/>
      </c>
      <c r="H12" s="68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IF(C13&amp;F13="","",IFERROR(VLOOKUP(C13&amp;"→"&amp;F13,Conversiones!$A$5:$B$67,2,FALSE),"?"))</f>
        <v/>
      </c>
      <c r="H13" s="68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IF(C14&amp;F14="","",IFERROR(VLOOKUP(C14&amp;"→"&amp;F14,Conversiones!$A$5:$B$67,2,FALSE),"?"))</f>
        <v/>
      </c>
      <c r="H14" s="68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IF(C15&amp;F15="","",IFERROR(VLOOKUP(C15&amp;"→"&amp;F15,Conversiones!$A$5:$B$67,2,FALSE),"?"))</f>
        <v/>
      </c>
      <c r="H15" s="68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IF(C16&amp;F16="","",IFERROR(VLOOKUP(C16&amp;"→"&amp;F16,Conversiones!$A$5:$B$67,2,FALSE),"?"))</f>
        <v/>
      </c>
      <c r="H16" s="68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IF(C17&amp;F17="","",IFERROR(VLOOKUP(C17&amp;"→"&amp;F17,Conversiones!$A$5:$B$67,2,FALSE),"?"))</f>
        <v/>
      </c>
      <c r="H17" s="68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IF(C18&amp;F18="","",IFERROR(VLOOKUP(C18&amp;"→"&amp;F18,Conversiones!$A$5:$B$67,2,FALSE),"?"))</f>
        <v/>
      </c>
      <c r="H18" s="68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IF(C19&amp;F19="","",IFERROR(VLOOKUP(C19&amp;"→"&amp;F19,Conversiones!$A$5:$B$67,2,FALSE),"?"))</f>
        <v/>
      </c>
      <c r="H19" s="68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2" t="n"/>
      <c r="M19" s="33" t="n"/>
    </row>
    <row r="20">
      <c r="L20" s="34" t="n"/>
    </row>
    <row r="21">
      <c r="A21" s="35" t="inlineStr">
        <is>
          <t>COSTE TOTAL INGREDIENTES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6.538050462056353</v>
      </c>
    </row>
    <row r="22">
      <c r="A22" s="37" t="inlineStr">
        <is>
          <t>Coste elaboración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0.6538050462056354</v>
      </c>
    </row>
    <row r="23">
      <c r="A23" s="39" t="inlineStr">
        <is>
          <t>COSTE TOTAL DEL PLATO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7.191855508261988</v>
      </c>
    </row>
    <row r="24">
      <c r="A24" s="37" t="inlineStr">
        <is>
          <t>Nº de raciones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COSTE POR RACIÓN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7.191855508261988</v>
      </c>
    </row>
    <row r="26"/>
    <row r="27">
      <c r="A27" s="41" t="inlineStr">
        <is>
          <t>Food Cost objetivo (%) — se edita en el Resumen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Resumen!$C$16</f>
        <v>0.25</v>
      </c>
    </row>
    <row r="28">
      <c r="A28" s="43" t="inlineStr">
        <is>
          <t>PVP SUGERIDO (sin IVA)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28.767422033047954</v>
      </c>
    </row>
    <row r="29">
      <c r="A29" s="37" t="inlineStr">
        <is>
          <t>Tipo de IVA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0.1</v>
      </c>
      <c r="J29" s="38" t="n"/>
    </row>
    <row r="30">
      <c r="A30" s="39" t="inlineStr">
        <is>
          <t>PVP CON IVA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31.64416423635275</v>
      </c>
    </row>
    <row r="31">
      <c r="A31" s="43" t="inlineStr">
        <is>
          <t>Margen bruto (€)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21.575566524785966</v>
      </c>
    </row>
    <row r="32">
      <c r="A32" s="37" t="inlineStr">
        <is>
          <t>Margen bruto (%)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>0.75</v>
      </c>
    </row>
    <row r="33"/>
    <row r="34">
      <c r="A34" s="37" t="inlineStr">
        <is>
          <t>PVP actual en carta (sin IVA)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FOOD COST REAL (%)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Valor no válido" error="Elige una categoría de la lista (hoja «Mermas»)." type="list">
      <formula1>Mermas!$A$5:$A$25</formula1>
    </dataValidation>
    <dataValidation sqref="C5:C19 F5:F19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Entrante — Vieira con Coliflor y Trufa</t>
        </is>
      </c>
    </row>
    <row r="2" ht="17" customHeight="1">
      <c r="A2" s="60" t="inlineStr">
        <is>
          <t>Introduce tus ingredientes y cantidades. Las celdas verdes son editables.</t>
        </is>
      </c>
    </row>
    <row r="3">
      <c r="L3" s="10" t="inlineStr">
        <is>
          <t>📷 Foto del Plato</t>
        </is>
      </c>
      <c r="M3" s="57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61" t="inlineStr">
        <is>
          <t>Vieira fresca (grande)</t>
        </is>
      </c>
      <c r="B5" s="62" t="inlineStr">
        <is>
          <t>Marisco</t>
        </is>
      </c>
      <c r="C5" s="62" t="inlineStr">
        <is>
          <t>kg</t>
        </is>
      </c>
      <c r="D5" s="63" t="n">
        <v>48</v>
      </c>
      <c r="E5" s="64" t="n">
        <v>0.06</v>
      </c>
      <c r="F5" s="62" t="inlineStr">
        <is>
          <t>kg</t>
        </is>
      </c>
      <c r="G5" s="65">
        <f>IF(C5&amp;F5="","",IFERROR(VLOOKUP(C5&amp;"→"&amp;F5,Conversiones!$A$5:$B$67,2,FALSE),"?"))</f>
        <v>1.0</v>
      </c>
      <c r="H5" s="66" t="n">
        <v>0.45</v>
      </c>
      <c r="I5" s="20">
        <f>IFERROR(IF(E5="","",E5/(1-H5)),"revisa merma")</f>
        <v>0.10909090909090907</v>
      </c>
      <c r="J5" s="21">
        <f>IF(G5="?","revisa unidades",IFERROR(I5*D5/G5,""))</f>
        <v>5.236363636363635</v>
      </c>
      <c r="L5" s="22" t="n"/>
      <c r="M5" s="23" t="n"/>
    </row>
    <row r="6" ht="28" customHeight="1">
      <c r="A6" s="61" t="inlineStr">
        <is>
          <t>Coliflor</t>
        </is>
      </c>
      <c r="B6" s="62" t="inlineStr">
        <is>
          <t>Verdura hoja</t>
        </is>
      </c>
      <c r="C6" s="62" t="inlineStr">
        <is>
          <t>kg</t>
        </is>
      </c>
      <c r="D6" s="63" t="n">
        <v>2.5</v>
      </c>
      <c r="E6" s="64" t="n">
        <v>0.1</v>
      </c>
      <c r="F6" s="62" t="inlineStr">
        <is>
          <t>kg</t>
        </is>
      </c>
      <c r="G6" s="65">
        <f>IF(C6&amp;F6="","",IFERROR(VLOOKUP(C6&amp;"→"&amp;F6,Conversiones!$A$5:$B$67,2,FALSE),"?"))</f>
        <v>1.0</v>
      </c>
      <c r="H6" s="66" t="n">
        <v>0.3</v>
      </c>
      <c r="I6" s="20">
        <f>IFERROR(IF(E6="","",E6/(1-H6)),"revisa merma")</f>
        <v>0.14285714285714288</v>
      </c>
      <c r="J6" s="21">
        <f>IF(G6="?","revisa unidades",IFERROR(I6*D6/G6,""))</f>
        <v>0.3571428571428572</v>
      </c>
      <c r="L6" s="22" t="n"/>
      <c r="M6" s="23" t="n"/>
    </row>
    <row r="7" ht="28" customHeight="1">
      <c r="A7" s="61" t="inlineStr">
        <is>
          <t>Trufa negra</t>
        </is>
      </c>
      <c r="B7" s="62" t="inlineStr">
        <is>
          <t>Setas/hongos</t>
        </is>
      </c>
      <c r="C7" s="62" t="inlineStr">
        <is>
          <t>kg</t>
        </is>
      </c>
      <c r="D7" s="63" t="n">
        <v>800</v>
      </c>
      <c r="E7" s="64" t="n">
        <v>0.005</v>
      </c>
      <c r="F7" s="62" t="inlineStr">
        <is>
          <t>kg</t>
        </is>
      </c>
      <c r="G7" s="65">
        <f>IF(C7&amp;F7="","",IFERROR(VLOOKUP(C7&amp;"→"&amp;F7,Conversiones!$A$5:$B$67,2,FALSE),"?"))</f>
        <v>1.0</v>
      </c>
      <c r="H7" s="66" t="n">
        <v>0.1</v>
      </c>
      <c r="I7" s="20">
        <f>IFERROR(IF(E7="","",E7/(1-H7)),"revisa merma")</f>
        <v>0.005555555555555556</v>
      </c>
      <c r="J7" s="21">
        <f>IF(G7="?","revisa unidades",IFERROR(I7*D7/G7,""))</f>
        <v>4.444444444444445</v>
      </c>
      <c r="L7" s="22" t="n"/>
      <c r="M7" s="23" t="n"/>
    </row>
    <row r="8" ht="28" customHeight="1">
      <c r="A8" s="61" t="inlineStr">
        <is>
          <t>Nata 35% MG</t>
        </is>
      </c>
      <c r="B8" s="62" t="inlineStr">
        <is>
          <t>Lácteos</t>
        </is>
      </c>
      <c r="C8" s="62" t="inlineStr">
        <is>
          <t>L</t>
        </is>
      </c>
      <c r="D8" s="63" t="n">
        <v>3.8</v>
      </c>
      <c r="E8" s="64" t="n">
        <v>0.05</v>
      </c>
      <c r="F8" s="62" t="inlineStr">
        <is>
          <t>L</t>
        </is>
      </c>
      <c r="G8" s="65">
        <f>IF(C8&amp;F8="","",IFERROR(VLOOKUP(C8&amp;"→"&amp;F8,Conversiones!$A$5:$B$67,2,FALSE),"?"))</f>
        <v>1.0</v>
      </c>
      <c r="H8" s="66" t="n">
        <v>0.03</v>
      </c>
      <c r="I8" s="20">
        <f>IFERROR(IF(E8="","",E8/(1-H8)),"revisa merma")</f>
        <v>0.051546391752577324</v>
      </c>
      <c r="J8" s="21">
        <f>IF(G8="?","revisa unidades",IFERROR(I8*D8/G8,""))</f>
        <v>0.1958762886597938</v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61" t="inlineStr">
        <is>
          <t>Mantequilla</t>
        </is>
      </c>
      <c r="B9" s="62" t="inlineStr">
        <is>
          <t>Lácteos</t>
        </is>
      </c>
      <c r="C9" s="62" t="inlineStr">
        <is>
          <t>kg</t>
        </is>
      </c>
      <c r="D9" s="63" t="n">
        <v>9</v>
      </c>
      <c r="E9" s="64" t="n">
        <v>0.02</v>
      </c>
      <c r="F9" s="62" t="inlineStr">
        <is>
          <t>kg</t>
        </is>
      </c>
      <c r="G9" s="65">
        <f>IF(C9&amp;F9="","",IFERROR(VLOOKUP(C9&amp;"→"&amp;F9,Conversiones!$A$5:$B$67,2,FALSE),"?"))</f>
        <v>1.0</v>
      </c>
      <c r="H9" s="66" t="n">
        <v>0.03</v>
      </c>
      <c r="I9" s="20">
        <f>IFERROR(IF(E9="","",E9/(1-H9)),"revisa merma")</f>
        <v>0.020618556701030927</v>
      </c>
      <c r="J9" s="21">
        <f>IF(G9="?","revisa unidades",IFERROR(I9*D9/G9,""))</f>
        <v>0.18556701030927836</v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IF(C10&amp;F10="","",IFERROR(VLOOKUP(C10&amp;"→"&amp;F10,Conversiones!$A$5:$B$67,2,FALSE),"?"))</f>
        <v/>
      </c>
      <c r="H10" s="68">
        <f>IFERROR(VLOOKUP(B10,Mermas!$A$5:$C$25,2,FALSE),"")</f>
        <v/>
      </c>
      <c r="I10" s="30">
        <f>IFERROR(IF(E10="","",E10/(1-H10)),"revisa merma")</f>
        <v/>
      </c>
      <c r="J10" s="31">
        <f>IF(G10="?","revisa unidades",IFERROR(I10*D10/G10,""))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IF(C11&amp;F11="","",IFERROR(VLOOKUP(C11&amp;"→"&amp;F11,Conversiones!$A$5:$B$67,2,FALSE),"?"))</f>
        <v/>
      </c>
      <c r="H11" s="68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IF(C12&amp;F12="","",IFERROR(VLOOKUP(C12&amp;"→"&amp;F12,Conversiones!$A$5:$B$67,2,FALSE),"?"))</f>
        <v/>
      </c>
      <c r="H12" s="68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IF(C13&amp;F13="","",IFERROR(VLOOKUP(C13&amp;"→"&amp;F13,Conversiones!$A$5:$B$67,2,FALSE),"?"))</f>
        <v/>
      </c>
      <c r="H13" s="68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IF(C14&amp;F14="","",IFERROR(VLOOKUP(C14&amp;"→"&amp;F14,Conversiones!$A$5:$B$67,2,FALSE),"?"))</f>
        <v/>
      </c>
      <c r="H14" s="68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IF(C15&amp;F15="","",IFERROR(VLOOKUP(C15&amp;"→"&amp;F15,Conversiones!$A$5:$B$67,2,FALSE),"?"))</f>
        <v/>
      </c>
      <c r="H15" s="68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IF(C16&amp;F16="","",IFERROR(VLOOKUP(C16&amp;"→"&amp;F16,Conversiones!$A$5:$B$67,2,FALSE),"?"))</f>
        <v/>
      </c>
      <c r="H16" s="68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IF(C17&amp;F17="","",IFERROR(VLOOKUP(C17&amp;"→"&amp;F17,Conversiones!$A$5:$B$67,2,FALSE),"?"))</f>
        <v/>
      </c>
      <c r="H17" s="68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IF(C18&amp;F18="","",IFERROR(VLOOKUP(C18&amp;"→"&amp;F18,Conversiones!$A$5:$B$67,2,FALSE),"?"))</f>
        <v/>
      </c>
      <c r="H18" s="68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IF(C19&amp;F19="","",IFERROR(VLOOKUP(C19&amp;"→"&amp;F19,Conversiones!$A$5:$B$67,2,FALSE),"?"))</f>
        <v/>
      </c>
      <c r="H19" s="68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2" t="n"/>
      <c r="M19" s="33" t="n"/>
    </row>
    <row r="20">
      <c r="L20" s="34" t="n"/>
    </row>
    <row r="21">
      <c r="A21" s="35" t="inlineStr">
        <is>
          <t>COSTE TOTAL INGREDIENTES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10.419394236920008</v>
      </c>
    </row>
    <row r="22">
      <c r="A22" s="37" t="inlineStr">
        <is>
          <t>Coste elaboración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1.0419394236920008</v>
      </c>
    </row>
    <row r="23">
      <c r="A23" s="39" t="inlineStr">
        <is>
          <t>COSTE TOTAL DEL PLATO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11.46133366061201</v>
      </c>
    </row>
    <row r="24">
      <c r="A24" s="37" t="inlineStr">
        <is>
          <t>Nº de raciones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COSTE POR RACIÓN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11.46133366061201</v>
      </c>
    </row>
    <row r="26"/>
    <row r="27">
      <c r="A27" s="41" t="inlineStr">
        <is>
          <t>Food Cost objetivo (%) — se edita en el Resumen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Resumen!$C$16</f>
        <v>0.25</v>
      </c>
    </row>
    <row r="28">
      <c r="A28" s="43" t="inlineStr">
        <is>
          <t>PVP SUGERIDO (sin IVA)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45.84533464244804</v>
      </c>
    </row>
    <row r="29">
      <c r="A29" s="37" t="inlineStr">
        <is>
          <t>Tipo de IVA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0.1</v>
      </c>
      <c r="J29" s="38" t="n"/>
    </row>
    <row r="30">
      <c r="A30" s="39" t="inlineStr">
        <is>
          <t>PVP CON IVA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50.429868106692844</v>
      </c>
    </row>
    <row r="31">
      <c r="A31" s="43" t="inlineStr">
        <is>
          <t>Margen bruto (€)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34.384000981836024</v>
      </c>
    </row>
    <row r="32">
      <c r="A32" s="37" t="inlineStr">
        <is>
          <t>Margen bruto (%)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>0.7499999999999999</v>
      </c>
    </row>
    <row r="33"/>
    <row r="34">
      <c r="A34" s="37" t="inlineStr">
        <is>
          <t>PVP actual en carta (sin IVA)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FOOD COST REAL (%)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Valor no válido" error="Elige una categoría de la lista (hoja «Mermas»)." type="list">
      <formula1>Mermas!$A$5:$A$25</formula1>
    </dataValidation>
    <dataValidation sqref="C5:C19 F5:F19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Pescado — Lubina con Beurre Blanc</t>
        </is>
      </c>
    </row>
    <row r="2" ht="17" customHeight="1">
      <c r="A2" s="60" t="inlineStr">
        <is>
          <t>Introduce tus ingredientes y cantidades. Las celdas verdes son editables.</t>
        </is>
      </c>
    </row>
    <row r="3">
      <c r="L3" s="10" t="inlineStr">
        <is>
          <t>📷 Foto del Plato</t>
        </is>
      </c>
      <c r="M3" s="57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61" t="inlineStr">
        <is>
          <t>Lubina salvaje</t>
        </is>
      </c>
      <c r="B5" s="62" t="inlineStr">
        <is>
          <t>Pescado</t>
        </is>
      </c>
      <c r="C5" s="62" t="inlineStr">
        <is>
          <t>kg</t>
        </is>
      </c>
      <c r="D5" s="63" t="n">
        <v>32</v>
      </c>
      <c r="E5" s="64" t="n">
        <v>0.16</v>
      </c>
      <c r="F5" s="62" t="inlineStr">
        <is>
          <t>kg</t>
        </is>
      </c>
      <c r="G5" s="65">
        <f>IF(C5&amp;F5="","",IFERROR(VLOOKUP(C5&amp;"→"&amp;F5,Conversiones!$A$5:$B$67,2,FALSE),"?"))</f>
        <v>1.0</v>
      </c>
      <c r="H5" s="66" t="n">
        <v>0.4</v>
      </c>
      <c r="I5" s="20">
        <f>IFERROR(IF(E5="","",E5/(1-H5)),"revisa merma")</f>
        <v>0.26666666666666666</v>
      </c>
      <c r="J5" s="21">
        <f>IF(G5="?","revisa unidades",IFERROR(I5*D5/G5,""))</f>
        <v>8.533333333333333</v>
      </c>
      <c r="L5" s="22" t="n"/>
      <c r="M5" s="23" t="n"/>
    </row>
    <row r="6" ht="28" customHeight="1">
      <c r="A6" s="61" t="inlineStr">
        <is>
          <t>Chalota</t>
        </is>
      </c>
      <c r="B6" s="62" t="inlineStr">
        <is>
          <t>Verdura raíz</t>
        </is>
      </c>
      <c r="C6" s="62" t="inlineStr">
        <is>
          <t>kg</t>
        </is>
      </c>
      <c r="D6" s="63" t="n">
        <v>4.5</v>
      </c>
      <c r="E6" s="64" t="n">
        <v>0.03</v>
      </c>
      <c r="F6" s="62" t="inlineStr">
        <is>
          <t>kg</t>
        </is>
      </c>
      <c r="G6" s="65">
        <f>IF(C6&amp;F6="","",IFERROR(VLOOKUP(C6&amp;"→"&amp;F6,Conversiones!$A$5:$B$67,2,FALSE),"?"))</f>
        <v>1.0</v>
      </c>
      <c r="H6" s="66" t="n">
        <v>0.15</v>
      </c>
      <c r="I6" s="20">
        <f>IFERROR(IF(E6="","",E6/(1-H6)),"revisa merma")</f>
        <v>0.03529411764705882</v>
      </c>
      <c r="J6" s="21">
        <f>IF(G6="?","revisa unidades",IFERROR(I6*D6/G6,""))</f>
        <v>0.1588235294117647</v>
      </c>
      <c r="L6" s="22" t="n"/>
      <c r="M6" s="23" t="n"/>
    </row>
    <row r="7" ht="28" customHeight="1">
      <c r="A7" s="61" t="inlineStr">
        <is>
          <t>Vino blanco seco</t>
        </is>
      </c>
      <c r="B7" s="62" t="inlineStr">
        <is>
          <t>Bebidas/licores</t>
        </is>
      </c>
      <c r="C7" s="62" t="inlineStr">
        <is>
          <t>L</t>
        </is>
      </c>
      <c r="D7" s="63" t="n">
        <v>5</v>
      </c>
      <c r="E7" s="64" t="n">
        <v>0.04</v>
      </c>
      <c r="F7" s="62" t="inlineStr">
        <is>
          <t>L</t>
        </is>
      </c>
      <c r="G7" s="65">
        <f>IF(C7&amp;F7="","",IFERROR(VLOOKUP(C7&amp;"→"&amp;F7,Conversiones!$A$5:$B$67,2,FALSE),"?"))</f>
        <v>1.0</v>
      </c>
      <c r="H7" s="66" t="n">
        <v>0.02</v>
      </c>
      <c r="I7" s="20">
        <f>IFERROR(IF(E7="","",E7/(1-H7)),"revisa merma")</f>
        <v>0.04081632653061225</v>
      </c>
      <c r="J7" s="21">
        <f>IF(G7="?","revisa unidades",IFERROR(I7*D7/G7,""))</f>
        <v>0.20408163265306123</v>
      </c>
      <c r="L7" s="22" t="n"/>
      <c r="M7" s="23" t="n"/>
    </row>
    <row r="8" ht="28" customHeight="1">
      <c r="A8" s="61" t="inlineStr">
        <is>
          <t>Mantequilla</t>
        </is>
      </c>
      <c r="B8" s="62" t="inlineStr">
        <is>
          <t>Lácteos</t>
        </is>
      </c>
      <c r="C8" s="62" t="inlineStr">
        <is>
          <t>kg</t>
        </is>
      </c>
      <c r="D8" s="63" t="n">
        <v>9</v>
      </c>
      <c r="E8" s="64" t="n">
        <v>0.04</v>
      </c>
      <c r="F8" s="62" t="inlineStr">
        <is>
          <t>kg</t>
        </is>
      </c>
      <c r="G8" s="65">
        <f>IF(C8&amp;F8="","",IFERROR(VLOOKUP(C8&amp;"→"&amp;F8,Conversiones!$A$5:$B$67,2,FALSE),"?"))</f>
        <v>1.0</v>
      </c>
      <c r="H8" s="66" t="n">
        <v>0.03</v>
      </c>
      <c r="I8" s="20">
        <f>IFERROR(IF(E8="","",E8/(1-H8)),"revisa merma")</f>
        <v>0.041237113402061855</v>
      </c>
      <c r="J8" s="21">
        <f>IF(G8="?","revisa unidades",IFERROR(I8*D8/G8,""))</f>
        <v>0.3711340206185567</v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61" t="inlineStr">
        <is>
          <t>Hinojo fresco</t>
        </is>
      </c>
      <c r="B9" s="62" t="inlineStr">
        <is>
          <t>Verdura raíz</t>
        </is>
      </c>
      <c r="C9" s="62" t="inlineStr">
        <is>
          <t>kg</t>
        </is>
      </c>
      <c r="D9" s="63" t="n">
        <v>5</v>
      </c>
      <c r="E9" s="64" t="n">
        <v>0.06</v>
      </c>
      <c r="F9" s="62" t="inlineStr">
        <is>
          <t>kg</t>
        </is>
      </c>
      <c r="G9" s="65">
        <f>IF(C9&amp;F9="","",IFERROR(VLOOKUP(C9&amp;"→"&amp;F9,Conversiones!$A$5:$B$67,2,FALSE),"?"))</f>
        <v>1.0</v>
      </c>
      <c r="H9" s="66" t="n">
        <v>0.25</v>
      </c>
      <c r="I9" s="20">
        <f>IFERROR(IF(E9="","",E9/(1-H9)),"revisa merma")</f>
        <v>0.08</v>
      </c>
      <c r="J9" s="21">
        <f>IF(G9="?","revisa unidades",IFERROR(I9*D9/G9,""))</f>
        <v>0.4</v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IF(C10&amp;F10="","",IFERROR(VLOOKUP(C10&amp;"→"&amp;F10,Conversiones!$A$5:$B$67,2,FALSE),"?"))</f>
        <v/>
      </c>
      <c r="H10" s="68">
        <f>IFERROR(VLOOKUP(B10,Mermas!$A$5:$C$25,2,FALSE),"")</f>
        <v/>
      </c>
      <c r="I10" s="30">
        <f>IFERROR(IF(E10="","",E10/(1-H10)),"revisa merma")</f>
        <v/>
      </c>
      <c r="J10" s="31">
        <f>IF(G10="?","revisa unidades",IFERROR(I10*D10/G10,""))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IF(C11&amp;F11="","",IFERROR(VLOOKUP(C11&amp;"→"&amp;F11,Conversiones!$A$5:$B$67,2,FALSE),"?"))</f>
        <v/>
      </c>
      <c r="H11" s="68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IF(C12&amp;F12="","",IFERROR(VLOOKUP(C12&amp;"→"&amp;F12,Conversiones!$A$5:$B$67,2,FALSE),"?"))</f>
        <v/>
      </c>
      <c r="H12" s="68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IF(C13&amp;F13="","",IFERROR(VLOOKUP(C13&amp;"→"&amp;F13,Conversiones!$A$5:$B$67,2,FALSE),"?"))</f>
        <v/>
      </c>
      <c r="H13" s="68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IF(C14&amp;F14="","",IFERROR(VLOOKUP(C14&amp;"→"&amp;F14,Conversiones!$A$5:$B$67,2,FALSE),"?"))</f>
        <v/>
      </c>
      <c r="H14" s="68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IF(C15&amp;F15="","",IFERROR(VLOOKUP(C15&amp;"→"&amp;F15,Conversiones!$A$5:$B$67,2,FALSE),"?"))</f>
        <v/>
      </c>
      <c r="H15" s="68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IF(C16&amp;F16="","",IFERROR(VLOOKUP(C16&amp;"→"&amp;F16,Conversiones!$A$5:$B$67,2,FALSE),"?"))</f>
        <v/>
      </c>
      <c r="H16" s="68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IF(C17&amp;F17="","",IFERROR(VLOOKUP(C17&amp;"→"&amp;F17,Conversiones!$A$5:$B$67,2,FALSE),"?"))</f>
        <v/>
      </c>
      <c r="H17" s="68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IF(C18&amp;F18="","",IFERROR(VLOOKUP(C18&amp;"→"&amp;F18,Conversiones!$A$5:$B$67,2,FALSE),"?"))</f>
        <v/>
      </c>
      <c r="H18" s="68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IF(C19&amp;F19="","",IFERROR(VLOOKUP(C19&amp;"→"&amp;F19,Conversiones!$A$5:$B$67,2,FALSE),"?"))</f>
        <v/>
      </c>
      <c r="H19" s="68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2" t="n"/>
      <c r="M19" s="33" t="n"/>
    </row>
    <row r="20">
      <c r="L20" s="34" t="n"/>
    </row>
    <row r="21">
      <c r="A21" s="35" t="inlineStr">
        <is>
          <t>COSTE TOTAL INGREDIENTES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9.667372516016716</v>
      </c>
    </row>
    <row r="22">
      <c r="A22" s="37" t="inlineStr">
        <is>
          <t>Coste elaboración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0.9667372516016717</v>
      </c>
    </row>
    <row r="23">
      <c r="A23" s="39" t="inlineStr">
        <is>
          <t>COSTE TOTAL DEL PLATO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10.634109767618387</v>
      </c>
    </row>
    <row r="24">
      <c r="A24" s="37" t="inlineStr">
        <is>
          <t>Nº de raciones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COSTE POR RACIÓN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10.634109767618387</v>
      </c>
    </row>
    <row r="26"/>
    <row r="27">
      <c r="A27" s="41" t="inlineStr">
        <is>
          <t>Food Cost objetivo (%) — se edita en el Resumen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Resumen!$C$16</f>
        <v>0.25</v>
      </c>
    </row>
    <row r="28">
      <c r="A28" s="43" t="inlineStr">
        <is>
          <t>PVP SUGERIDO (sin IVA)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42.53643907047355</v>
      </c>
    </row>
    <row r="29">
      <c r="A29" s="37" t="inlineStr">
        <is>
          <t>Tipo de IVA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0.1</v>
      </c>
      <c r="J29" s="38" t="n"/>
    </row>
    <row r="30">
      <c r="A30" s="39" t="inlineStr">
        <is>
          <t>PVP CON IVA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46.79008297752091</v>
      </c>
    </row>
    <row r="31">
      <c r="A31" s="43" t="inlineStr">
        <is>
          <t>Margen bruto (€)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31.90232930285516</v>
      </c>
    </row>
    <row r="32">
      <c r="A32" s="37" t="inlineStr">
        <is>
          <t>Margen bruto (%)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>0.75</v>
      </c>
    </row>
    <row r="33"/>
    <row r="34">
      <c r="A34" s="37" t="inlineStr">
        <is>
          <t>PVP actual en carta (sin IVA)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FOOD COST REAL (%)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Valor no válido" error="Elige una categoría de la lista (hoja «Mermas»)." type="list">
      <formula1>Mermas!$A$5:$A$25</formula1>
    </dataValidation>
    <dataValidation sqref="C5:C19 F5:F19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Carne — Carrillera Ibérica al Vino Tinto</t>
        </is>
      </c>
    </row>
    <row r="2" ht="17" customHeight="1">
      <c r="A2" s="60" t="inlineStr">
        <is>
          <t>Introduce tus ingredientes y cantidades. Las celdas verdes son editables.</t>
        </is>
      </c>
    </row>
    <row r="3">
      <c r="L3" s="10" t="inlineStr">
        <is>
          <t>📷 Foto del Plato</t>
        </is>
      </c>
      <c r="M3" s="57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61" t="inlineStr">
        <is>
          <t>Carrillera ibérica</t>
        </is>
      </c>
      <c r="B5" s="62" t="inlineStr">
        <is>
          <t>Carne roja</t>
        </is>
      </c>
      <c r="C5" s="62" t="inlineStr">
        <is>
          <t>kg</t>
        </is>
      </c>
      <c r="D5" s="63" t="n">
        <v>18</v>
      </c>
      <c r="E5" s="64" t="n">
        <v>0.2</v>
      </c>
      <c r="F5" s="62" t="inlineStr">
        <is>
          <t>kg</t>
        </is>
      </c>
      <c r="G5" s="65">
        <f>IF(C5&amp;F5="","",IFERROR(VLOOKUP(C5&amp;"→"&amp;F5,Conversiones!$A$5:$B$67,2,FALSE),"?"))</f>
        <v>1.0</v>
      </c>
      <c r="H5" s="66" t="n">
        <v>0.15</v>
      </c>
      <c r="I5" s="20">
        <f>IFERROR(IF(E5="","",E5/(1-H5)),"revisa merma")</f>
        <v>0.23529411764705885</v>
      </c>
      <c r="J5" s="21">
        <f>IF(G5="?","revisa unidades",IFERROR(I5*D5/G5,""))</f>
        <v>4.235294117647059</v>
      </c>
      <c r="L5" s="22" t="n"/>
      <c r="M5" s="23" t="n"/>
    </row>
    <row r="6" ht="28" customHeight="1">
      <c r="A6" s="61" t="inlineStr">
        <is>
          <t>Vino tinto reserva</t>
        </is>
      </c>
      <c r="B6" s="62" t="inlineStr">
        <is>
          <t>Bebidas/licores</t>
        </is>
      </c>
      <c r="C6" s="62" t="inlineStr">
        <is>
          <t>L</t>
        </is>
      </c>
      <c r="D6" s="63" t="n">
        <v>6</v>
      </c>
      <c r="E6" s="64" t="n">
        <v>0.1</v>
      </c>
      <c r="F6" s="62" t="inlineStr">
        <is>
          <t>L</t>
        </is>
      </c>
      <c r="G6" s="65">
        <f>IF(C6&amp;F6="","",IFERROR(VLOOKUP(C6&amp;"→"&amp;F6,Conversiones!$A$5:$B$67,2,FALSE),"?"))</f>
        <v>1.0</v>
      </c>
      <c r="H6" s="66" t="n">
        <v>0.02</v>
      </c>
      <c r="I6" s="20">
        <f>IFERROR(IF(E6="","",E6/(1-H6)),"revisa merma")</f>
        <v>0.10204081632653061</v>
      </c>
      <c r="J6" s="21">
        <f>IF(G6="?","revisa unidades",IFERROR(I6*D6/G6,""))</f>
        <v>0.6122448979591837</v>
      </c>
      <c r="L6" s="22" t="n"/>
      <c r="M6" s="23" t="n"/>
    </row>
    <row r="7" ht="28" customHeight="1">
      <c r="A7" s="61" t="inlineStr">
        <is>
          <t>Zanahoria</t>
        </is>
      </c>
      <c r="B7" s="62" t="inlineStr">
        <is>
          <t>Verdura raíz</t>
        </is>
      </c>
      <c r="C7" s="62" t="inlineStr">
        <is>
          <t>kg</t>
        </is>
      </c>
      <c r="D7" s="63" t="n">
        <v>1.2</v>
      </c>
      <c r="E7" s="64" t="n">
        <v>0.05</v>
      </c>
      <c r="F7" s="62" t="inlineStr">
        <is>
          <t>kg</t>
        </is>
      </c>
      <c r="G7" s="65">
        <f>IF(C7&amp;F7="","",IFERROR(VLOOKUP(C7&amp;"→"&amp;F7,Conversiones!$A$5:$B$67,2,FALSE),"?"))</f>
        <v>1.0</v>
      </c>
      <c r="H7" s="66" t="n">
        <v>0.12</v>
      </c>
      <c r="I7" s="20">
        <f>IFERROR(IF(E7="","",E7/(1-H7)),"revisa merma")</f>
        <v>0.05681818181818182</v>
      </c>
      <c r="J7" s="21">
        <f>IF(G7="?","revisa unidades",IFERROR(I7*D7/G7,""))</f>
        <v>0.06818181818181819</v>
      </c>
      <c r="L7" s="22" t="n"/>
      <c r="M7" s="23" t="n"/>
    </row>
    <row r="8" ht="28" customHeight="1">
      <c r="A8" s="61" t="inlineStr">
        <is>
          <t>Puré de boniato</t>
        </is>
      </c>
      <c r="B8" s="62" t="inlineStr">
        <is>
          <t>Verdura raíz</t>
        </is>
      </c>
      <c r="C8" s="62" t="inlineStr">
        <is>
          <t>kg</t>
        </is>
      </c>
      <c r="D8" s="63" t="n">
        <v>2.5</v>
      </c>
      <c r="E8" s="64" t="n">
        <v>0.1</v>
      </c>
      <c r="F8" s="62" t="inlineStr">
        <is>
          <t>kg</t>
        </is>
      </c>
      <c r="G8" s="65">
        <f>IF(C8&amp;F8="","",IFERROR(VLOOKUP(C8&amp;"→"&amp;F8,Conversiones!$A$5:$B$67,2,FALSE),"?"))</f>
        <v>1.0</v>
      </c>
      <c r="H8" s="66" t="n">
        <v>0.15</v>
      </c>
      <c r="I8" s="20">
        <f>IFERROR(IF(E8="","",E8/(1-H8)),"revisa merma")</f>
        <v>0.11764705882352942</v>
      </c>
      <c r="J8" s="21">
        <f>IF(G8="?","revisa unidades",IFERROR(I8*D8/G8,""))</f>
        <v>0.29411764705882354</v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61" t="inlineStr">
        <is>
          <t>Romero fresco (1 rama ≈ 1/12 manojo)</t>
        </is>
      </c>
      <c r="B9" s="62" t="inlineStr">
        <is>
          <t>Especias/hierbas</t>
        </is>
      </c>
      <c r="C9" s="62" t="inlineStr">
        <is>
          <t>manojo</t>
        </is>
      </c>
      <c r="D9" s="63" t="n">
        <v>1</v>
      </c>
      <c r="E9" s="64" t="n">
        <v>0.083</v>
      </c>
      <c r="F9" s="62" t="inlineStr">
        <is>
          <t>manojo</t>
        </is>
      </c>
      <c r="G9" s="65">
        <f>IF(C9&amp;F9="","",IFERROR(VLOOKUP(C9&amp;"→"&amp;F9,Conversiones!$A$5:$B$67,2,FALSE),"?"))</f>
        <v>1.0</v>
      </c>
      <c r="H9" s="66" t="n">
        <v>0.2</v>
      </c>
      <c r="I9" s="20">
        <f>IFERROR(IF(E9="","",E9/(1-H9)),"revisa merma")</f>
        <v>0.10375</v>
      </c>
      <c r="J9" s="21">
        <f>IF(G9="?","revisa unidades",IFERROR(I9*D9/G9,""))</f>
        <v>0.10375</v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IF(C10&amp;F10="","",IFERROR(VLOOKUP(C10&amp;"→"&amp;F10,Conversiones!$A$5:$B$67,2,FALSE),"?"))</f>
        <v/>
      </c>
      <c r="H10" s="68">
        <f>IFERROR(VLOOKUP(B10,Mermas!$A$5:$C$25,2,FALSE),"")</f>
        <v/>
      </c>
      <c r="I10" s="30">
        <f>IFERROR(IF(E10="","",E10/(1-H10)),"revisa merma")</f>
        <v/>
      </c>
      <c r="J10" s="31">
        <f>IF(G10="?","revisa unidades",IFERROR(I10*D10/G10,""))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IF(C11&amp;F11="","",IFERROR(VLOOKUP(C11&amp;"→"&amp;F11,Conversiones!$A$5:$B$67,2,FALSE),"?"))</f>
        <v/>
      </c>
      <c r="H11" s="68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IF(C12&amp;F12="","",IFERROR(VLOOKUP(C12&amp;"→"&amp;F12,Conversiones!$A$5:$B$67,2,FALSE),"?"))</f>
        <v/>
      </c>
      <c r="H12" s="68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IF(C13&amp;F13="","",IFERROR(VLOOKUP(C13&amp;"→"&amp;F13,Conversiones!$A$5:$B$67,2,FALSE),"?"))</f>
        <v/>
      </c>
      <c r="H13" s="68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IF(C14&amp;F14="","",IFERROR(VLOOKUP(C14&amp;"→"&amp;F14,Conversiones!$A$5:$B$67,2,FALSE),"?"))</f>
        <v/>
      </c>
      <c r="H14" s="68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IF(C15&amp;F15="","",IFERROR(VLOOKUP(C15&amp;"→"&amp;F15,Conversiones!$A$5:$B$67,2,FALSE),"?"))</f>
        <v/>
      </c>
      <c r="H15" s="68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IF(C16&amp;F16="","",IFERROR(VLOOKUP(C16&amp;"→"&amp;F16,Conversiones!$A$5:$B$67,2,FALSE),"?"))</f>
        <v/>
      </c>
      <c r="H16" s="68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IF(C17&amp;F17="","",IFERROR(VLOOKUP(C17&amp;"→"&amp;F17,Conversiones!$A$5:$B$67,2,FALSE),"?"))</f>
        <v/>
      </c>
      <c r="H17" s="68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IF(C18&amp;F18="","",IFERROR(VLOOKUP(C18&amp;"→"&amp;F18,Conversiones!$A$5:$B$67,2,FALSE),"?"))</f>
        <v/>
      </c>
      <c r="H18" s="68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IF(C19&amp;F19="","",IFERROR(VLOOKUP(C19&amp;"→"&amp;F19,Conversiones!$A$5:$B$67,2,FALSE),"?"))</f>
        <v/>
      </c>
      <c r="H19" s="68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2" t="n"/>
      <c r="M19" s="33" t="n"/>
    </row>
    <row r="20">
      <c r="L20" s="34" t="n"/>
    </row>
    <row r="21">
      <c r="A21" s="35" t="inlineStr">
        <is>
          <t>COSTE TOTAL INGREDIENTES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5.313588480846884</v>
      </c>
    </row>
    <row r="22">
      <c r="A22" s="37" t="inlineStr">
        <is>
          <t>Coste elaboración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0.5313588480846885</v>
      </c>
    </row>
    <row r="23">
      <c r="A23" s="39" t="inlineStr">
        <is>
          <t>COSTE TOTAL DEL PLATO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5.844947328931573</v>
      </c>
    </row>
    <row r="24">
      <c r="A24" s="37" t="inlineStr">
        <is>
          <t>Nº de raciones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COSTE POR RACIÓN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5.844947328931573</v>
      </c>
    </row>
    <row r="26"/>
    <row r="27">
      <c r="A27" s="41" t="inlineStr">
        <is>
          <t>Food Cost objetivo (%) — se edita en el Resumen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Resumen!$C$16</f>
        <v>0.25</v>
      </c>
    </row>
    <row r="28">
      <c r="A28" s="43" t="inlineStr">
        <is>
          <t>PVP SUGERIDO (sin IVA)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23.379789315726292</v>
      </c>
    </row>
    <row r="29">
      <c r="A29" s="37" t="inlineStr">
        <is>
          <t>Tipo de IVA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0.1</v>
      </c>
      <c r="J29" s="38" t="n"/>
    </row>
    <row r="30">
      <c r="A30" s="39" t="inlineStr">
        <is>
          <t>PVP CON IVA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25.717768247298924</v>
      </c>
    </row>
    <row r="31">
      <c r="A31" s="43" t="inlineStr">
        <is>
          <t>Margen bruto (€)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17.534841986794717</v>
      </c>
    </row>
    <row r="32">
      <c r="A32" s="37" t="inlineStr">
        <is>
          <t>Margen bruto (%)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>0.7499999999999999</v>
      </c>
    </row>
    <row r="33"/>
    <row r="34">
      <c r="A34" s="37" t="inlineStr">
        <is>
          <t>PVP actual en carta (sin IVA)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FOOD COST REAL (%)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Valor no válido" error="Elige una categoría de la lista (hoja «Mermas»)." type="list">
      <formula1>Mermas!$A$5:$A$25</formula1>
    </dataValidation>
    <dataValidation sqref="C5:C19 F5:F19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Postre — Esfera de Chocolate con Fruta de la Pasión</t>
        </is>
      </c>
    </row>
    <row r="2" ht="17" customHeight="1">
      <c r="A2" s="60" t="inlineStr">
        <is>
          <t>Introduce tus ingredientes y cantidades. Las celdas verdes son editables.</t>
        </is>
      </c>
    </row>
    <row r="3">
      <c r="L3" s="10" t="inlineStr">
        <is>
          <t>📷 Foto del Plato</t>
        </is>
      </c>
      <c r="M3" s="57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61" t="inlineStr">
        <is>
          <t>Chocolate negro 70%</t>
        </is>
      </c>
      <c r="B5" s="62" t="inlineStr">
        <is>
          <t>Chocolate/cacao</t>
        </is>
      </c>
      <c r="C5" s="62" t="inlineStr">
        <is>
          <t>kg</t>
        </is>
      </c>
      <c r="D5" s="63" t="n">
        <v>18</v>
      </c>
      <c r="E5" s="64" t="n">
        <v>0.06</v>
      </c>
      <c r="F5" s="62" t="inlineStr">
        <is>
          <t>kg</t>
        </is>
      </c>
      <c r="G5" s="65">
        <f>IF(C5&amp;F5="","",IFERROR(VLOOKUP(C5&amp;"→"&amp;F5,Conversiones!$A$5:$B$67,2,FALSE),"?"))</f>
        <v>1.0</v>
      </c>
      <c r="H5" s="66" t="n">
        <v>0.05</v>
      </c>
      <c r="I5" s="20">
        <f>IFERROR(IF(E5="","",E5/(1-H5)),"revisa merma")</f>
        <v>0.06315789473684211</v>
      </c>
      <c r="J5" s="21">
        <f>IF(G5="?","revisa unidades",IFERROR(I5*D5/G5,""))</f>
        <v>1.1368421052631579</v>
      </c>
      <c r="L5" s="22" t="n"/>
      <c r="M5" s="23" t="n"/>
    </row>
    <row r="6" ht="28" customHeight="1">
      <c r="A6" s="61" t="inlineStr">
        <is>
          <t>Fruta de la pasión</t>
        </is>
      </c>
      <c r="B6" s="62" t="inlineStr">
        <is>
          <t>Fruta</t>
        </is>
      </c>
      <c r="C6" s="62" t="inlineStr">
        <is>
          <t>kg</t>
        </is>
      </c>
      <c r="D6" s="63" t="n">
        <v>14</v>
      </c>
      <c r="E6" s="64" t="n">
        <v>0.04</v>
      </c>
      <c r="F6" s="62" t="inlineStr">
        <is>
          <t>kg</t>
        </is>
      </c>
      <c r="G6" s="65">
        <f>IF(C6&amp;F6="","",IFERROR(VLOOKUP(C6&amp;"→"&amp;F6,Conversiones!$A$5:$B$67,2,FALSE),"?"))</f>
        <v>1.0</v>
      </c>
      <c r="H6" s="66" t="n">
        <v>0.5</v>
      </c>
      <c r="I6" s="20">
        <f>IFERROR(IF(E6="","",E6/(1-H6)),"revisa merma")</f>
        <v>0.08</v>
      </c>
      <c r="J6" s="21">
        <f>IF(G6="?","revisa unidades",IFERROR(I6*D6/G6,""))</f>
        <v>1.12</v>
      </c>
      <c r="L6" s="22" t="n"/>
      <c r="M6" s="23" t="n"/>
    </row>
    <row r="7" ht="28" customHeight="1">
      <c r="A7" s="61" t="inlineStr">
        <is>
          <t>Nata 35% MG</t>
        </is>
      </c>
      <c r="B7" s="62" t="inlineStr">
        <is>
          <t>Lácteos</t>
        </is>
      </c>
      <c r="C7" s="62" t="inlineStr">
        <is>
          <t>L</t>
        </is>
      </c>
      <c r="D7" s="63" t="n">
        <v>3.8</v>
      </c>
      <c r="E7" s="64" t="n">
        <v>0.06</v>
      </c>
      <c r="F7" s="62" t="inlineStr">
        <is>
          <t>L</t>
        </is>
      </c>
      <c r="G7" s="65">
        <f>IF(C7&amp;F7="","",IFERROR(VLOOKUP(C7&amp;"→"&amp;F7,Conversiones!$A$5:$B$67,2,FALSE),"?"))</f>
        <v>1.0</v>
      </c>
      <c r="H7" s="66" t="n">
        <v>0.03</v>
      </c>
      <c r="I7" s="20">
        <f>IFERROR(IF(E7="","",E7/(1-H7)),"revisa merma")</f>
        <v>0.061855670103092786</v>
      </c>
      <c r="J7" s="21">
        <f>IF(G7="?","revisa unidades",IFERROR(I7*D7/G7,""))</f>
        <v>0.23505154639175257</v>
      </c>
      <c r="L7" s="22" t="n"/>
      <c r="M7" s="23" t="n"/>
    </row>
    <row r="8" ht="28" customHeight="1">
      <c r="A8" s="61" t="inlineStr">
        <is>
          <t>Azúcar</t>
        </is>
      </c>
      <c r="B8" s="62" t="inlineStr">
        <is>
          <t>Secos/granos</t>
        </is>
      </c>
      <c r="C8" s="62" t="inlineStr">
        <is>
          <t>kg</t>
        </is>
      </c>
      <c r="D8" s="63" t="n">
        <v>1.2</v>
      </c>
      <c r="E8" s="64" t="n">
        <v>0.025</v>
      </c>
      <c r="F8" s="62" t="inlineStr">
        <is>
          <t>kg</t>
        </is>
      </c>
      <c r="G8" s="65">
        <f>IF(C8&amp;F8="","",IFERROR(VLOOKUP(C8&amp;"→"&amp;F8,Conversiones!$A$5:$B$67,2,FALSE),"?"))</f>
        <v>1.0</v>
      </c>
      <c r="H8" s="66" t="n">
        <v>0.02</v>
      </c>
      <c r="I8" s="20">
        <f>IFERROR(IF(E8="","",E8/(1-H8)),"revisa merma")</f>
        <v>0.025510204081632654</v>
      </c>
      <c r="J8" s="21">
        <f>IF(G8="?","revisa unidades",IFERROR(I8*D8/G8,""))</f>
        <v>0.030612244897959183</v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61" t="inlineStr">
        <is>
          <t>Manteca de cacao</t>
        </is>
      </c>
      <c r="B9" s="62" t="inlineStr">
        <is>
          <t>Chocolate/cacao</t>
        </is>
      </c>
      <c r="C9" s="62" t="inlineStr">
        <is>
          <t>kg</t>
        </is>
      </c>
      <c r="D9" s="63" t="n">
        <v>22</v>
      </c>
      <c r="E9" s="64" t="n">
        <v>0.015</v>
      </c>
      <c r="F9" s="62" t="inlineStr">
        <is>
          <t>kg</t>
        </is>
      </c>
      <c r="G9" s="65">
        <f>IF(C9&amp;F9="","",IFERROR(VLOOKUP(C9&amp;"→"&amp;F9,Conversiones!$A$5:$B$67,2,FALSE),"?"))</f>
        <v>1.0</v>
      </c>
      <c r="H9" s="66" t="n">
        <v>0.05</v>
      </c>
      <c r="I9" s="20">
        <f>IFERROR(IF(E9="","",E9/(1-H9)),"revisa merma")</f>
        <v>0.015789473684210527</v>
      </c>
      <c r="J9" s="21">
        <f>IF(G9="?","revisa unidades",IFERROR(I9*D9/G9,""))</f>
        <v>0.3473684210526316</v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IF(C10&amp;F10="","",IFERROR(VLOOKUP(C10&amp;"→"&amp;F10,Conversiones!$A$5:$B$67,2,FALSE),"?"))</f>
        <v/>
      </c>
      <c r="H10" s="68">
        <f>IFERROR(VLOOKUP(B10,Mermas!$A$5:$C$25,2,FALSE),"")</f>
        <v/>
      </c>
      <c r="I10" s="30">
        <f>IFERROR(IF(E10="","",E10/(1-H10)),"revisa merma")</f>
        <v/>
      </c>
      <c r="J10" s="31">
        <f>IF(G10="?","revisa unidades",IFERROR(I10*D10/G10,""))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IF(C11&amp;F11="","",IFERROR(VLOOKUP(C11&amp;"→"&amp;F11,Conversiones!$A$5:$B$67,2,FALSE),"?"))</f>
        <v/>
      </c>
      <c r="H11" s="68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IF(C12&amp;F12="","",IFERROR(VLOOKUP(C12&amp;"→"&amp;F12,Conversiones!$A$5:$B$67,2,FALSE),"?"))</f>
        <v/>
      </c>
      <c r="H12" s="68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IF(C13&amp;F13="","",IFERROR(VLOOKUP(C13&amp;"→"&amp;F13,Conversiones!$A$5:$B$67,2,FALSE),"?"))</f>
        <v/>
      </c>
      <c r="H13" s="68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IF(C14&amp;F14="","",IFERROR(VLOOKUP(C14&amp;"→"&amp;F14,Conversiones!$A$5:$B$67,2,FALSE),"?"))</f>
        <v/>
      </c>
      <c r="H14" s="68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IF(C15&amp;F15="","",IFERROR(VLOOKUP(C15&amp;"→"&amp;F15,Conversiones!$A$5:$B$67,2,FALSE),"?"))</f>
        <v/>
      </c>
      <c r="H15" s="68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IF(C16&amp;F16="","",IFERROR(VLOOKUP(C16&amp;"→"&amp;F16,Conversiones!$A$5:$B$67,2,FALSE),"?"))</f>
        <v/>
      </c>
      <c r="H16" s="68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IF(C17&amp;F17="","",IFERROR(VLOOKUP(C17&amp;"→"&amp;F17,Conversiones!$A$5:$B$67,2,FALSE),"?"))</f>
        <v/>
      </c>
      <c r="H17" s="68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IF(C18&amp;F18="","",IFERROR(VLOOKUP(C18&amp;"→"&amp;F18,Conversiones!$A$5:$B$67,2,FALSE),"?"))</f>
        <v/>
      </c>
      <c r="H18" s="68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IF(C19&amp;F19="","",IFERROR(VLOOKUP(C19&amp;"→"&amp;F19,Conversiones!$A$5:$B$67,2,FALSE),"?"))</f>
        <v/>
      </c>
      <c r="H19" s="68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2" t="n"/>
      <c r="M19" s="33" t="n"/>
    </row>
    <row r="20">
      <c r="L20" s="34" t="n"/>
    </row>
    <row r="21">
      <c r="A21" s="35" t="inlineStr">
        <is>
          <t>COSTE TOTAL INGREDIENTES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2.8698743176055017</v>
      </c>
    </row>
    <row r="22">
      <c r="A22" s="37" t="inlineStr">
        <is>
          <t>Coste elaboración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0.2869874317605502</v>
      </c>
    </row>
    <row r="23">
      <c r="A23" s="39" t="inlineStr">
        <is>
          <t>COSTE TOTAL DEL PLATO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3.156861749366052</v>
      </c>
    </row>
    <row r="24">
      <c r="A24" s="37" t="inlineStr">
        <is>
          <t>Nº de raciones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COSTE POR RACIÓN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3.156861749366052</v>
      </c>
    </row>
    <row r="26"/>
    <row r="27">
      <c r="A27" s="41" t="inlineStr">
        <is>
          <t>Food Cost objetivo (%) — se edita en el Resumen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Resumen!$C$16</f>
        <v>0.25</v>
      </c>
    </row>
    <row r="28">
      <c r="A28" s="43" t="inlineStr">
        <is>
          <t>PVP SUGERIDO (sin IVA)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12.627446997464208</v>
      </c>
    </row>
    <row r="29">
      <c r="A29" s="37" t="inlineStr">
        <is>
          <t>Tipo de IVA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0.1</v>
      </c>
      <c r="J29" s="38" t="n"/>
    </row>
    <row r="30">
      <c r="A30" s="39" t="inlineStr">
        <is>
          <t>PVP CON IVA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13.89019169721063</v>
      </c>
    </row>
    <row r="31">
      <c r="A31" s="43" t="inlineStr">
        <is>
          <t>Margen bruto (€)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9.470585248098157</v>
      </c>
    </row>
    <row r="32">
      <c r="A32" s="37" t="inlineStr">
        <is>
          <t>Margen bruto (%)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>0.7500000000000001</v>
      </c>
    </row>
    <row r="33"/>
    <row r="34">
      <c r="A34" s="37" t="inlineStr">
        <is>
          <t>PVP actual en carta (sin IVA)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FOOD COST REAL (%)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Valor no válido" error="Elige una categoría de la lista (hoja «Mermas»)." type="list">
      <formula1>Mermas!$A$5:$A$25</formula1>
    </dataValidation>
    <dataValidation sqref="C5:C19 F5:F19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6. Pase — escribe aquí el nombre del pase</t>
        </is>
      </c>
    </row>
    <row r="2" ht="17" customHeight="1">
      <c r="A2" s="60" t="inlineStr">
        <is>
          <t>Pase libre: rellena los ingredientes y el Resumen lo suma solo. Si lo dejas vacío, no cuenta.</t>
        </is>
      </c>
    </row>
    <row r="3">
      <c r="L3" s="10" t="inlineStr">
        <is>
          <t>📷 Foto del Plato</t>
        </is>
      </c>
      <c r="M3" s="57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61" t="n"/>
      <c r="B5" s="62" t="n"/>
      <c r="C5" s="62" t="n"/>
      <c r="D5" s="63" t="n"/>
      <c r="E5" s="64" t="n"/>
      <c r="F5" s="62" t="n"/>
      <c r="G5" s="65">
        <f>IF(C5&amp;F5="","",IFERROR(VLOOKUP(C5&amp;"→"&amp;F5,Conversiones!$A$5:$B$67,2,FALSE),"?"))</f>
        <v/>
      </c>
      <c r="H5" s="66">
        <f>IFERROR(VLOOKUP(B5,Mermas!$A$5:$C$25,2,FALSE),"")</f>
        <v/>
      </c>
      <c r="I5" s="20">
        <f>IFERROR(IF(E5="","",E5/(1-H5)),"revisa merma")</f>
        <v/>
      </c>
      <c r="J5" s="21">
        <f>IF(G5="?","revisa unidades",IFERROR(I5*D5/G5,""))</f>
        <v/>
      </c>
      <c r="L5" s="22" t="n"/>
      <c r="M5" s="23" t="n"/>
    </row>
    <row r="6" ht="28" customHeight="1">
      <c r="A6" s="61" t="n"/>
      <c r="B6" s="62" t="n"/>
      <c r="C6" s="62" t="n"/>
      <c r="D6" s="63" t="n"/>
      <c r="E6" s="64" t="n"/>
      <c r="F6" s="62" t="n"/>
      <c r="G6" s="65">
        <f>IF(C6&amp;F6="","",IFERROR(VLOOKUP(C6&amp;"→"&amp;F6,Conversiones!$A$5:$B$67,2,FALSE),"?"))</f>
        <v/>
      </c>
      <c r="H6" s="66">
        <f>IFERROR(VLOOKUP(B6,Mermas!$A$5:$C$25,2,FALSE),"")</f>
        <v/>
      </c>
      <c r="I6" s="20">
        <f>IFERROR(IF(E6="","",E6/(1-H6)),"revisa merma")</f>
        <v/>
      </c>
      <c r="J6" s="21">
        <f>IF(G6="?","revisa unidades",IFERROR(I6*D6/G6,""))</f>
        <v/>
      </c>
      <c r="L6" s="22" t="n"/>
      <c r="M6" s="23" t="n"/>
    </row>
    <row r="7" ht="28" customHeight="1">
      <c r="A7" s="61" t="n"/>
      <c r="B7" s="62" t="n"/>
      <c r="C7" s="62" t="n"/>
      <c r="D7" s="63" t="n"/>
      <c r="E7" s="64" t="n"/>
      <c r="F7" s="62" t="n"/>
      <c r="G7" s="65">
        <f>IF(C7&amp;F7="","",IFERROR(VLOOKUP(C7&amp;"→"&amp;F7,Conversiones!$A$5:$B$67,2,FALSE),"?"))</f>
        <v/>
      </c>
      <c r="H7" s="66">
        <f>IFERROR(VLOOKUP(B7,Mermas!$A$5:$C$25,2,FALSE),"")</f>
        <v/>
      </c>
      <c r="I7" s="20">
        <f>IFERROR(IF(E7="","",E7/(1-H7)),"revisa merma")</f>
        <v/>
      </c>
      <c r="J7" s="21">
        <f>IF(G7="?","revisa unidades",IFERROR(I7*D7/G7,""))</f>
        <v/>
      </c>
      <c r="L7" s="22" t="n"/>
      <c r="M7" s="23" t="n"/>
    </row>
    <row r="8" ht="28" customHeight="1">
      <c r="A8" s="61" t="n"/>
      <c r="B8" s="62" t="n"/>
      <c r="C8" s="62" t="n"/>
      <c r="D8" s="63" t="n"/>
      <c r="E8" s="64" t="n"/>
      <c r="F8" s="62" t="n"/>
      <c r="G8" s="65">
        <f>IF(C8&amp;F8="","",IFERROR(VLOOKUP(C8&amp;"→"&amp;F8,Conversiones!$A$5:$B$67,2,FALSE),"?"))</f>
        <v/>
      </c>
      <c r="H8" s="66">
        <f>IFERROR(VLOOKUP(B8,Mermas!$A$5:$C$25,2,FALSE),"")</f>
        <v/>
      </c>
      <c r="I8" s="20">
        <f>IFERROR(IF(E8="","",E8/(1-H8)),"revisa merma")</f>
        <v/>
      </c>
      <c r="J8" s="21">
        <f>IF(G8="?","revisa unidades",IFERROR(I8*D8/G8,""))</f>
        <v/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61" t="n"/>
      <c r="B9" s="62" t="n"/>
      <c r="C9" s="62" t="n"/>
      <c r="D9" s="63" t="n"/>
      <c r="E9" s="64" t="n"/>
      <c r="F9" s="62" t="n"/>
      <c r="G9" s="65">
        <f>IF(C9&amp;F9="","",IFERROR(VLOOKUP(C9&amp;"→"&amp;F9,Conversiones!$A$5:$B$67,2,FALSE),"?"))</f>
        <v/>
      </c>
      <c r="H9" s="66">
        <f>IFERROR(VLOOKUP(B9,Mermas!$A$5:$C$25,2,FALSE),"")</f>
        <v/>
      </c>
      <c r="I9" s="20">
        <f>IFERROR(IF(E9="","",E9/(1-H9)),"revisa merma")</f>
        <v/>
      </c>
      <c r="J9" s="21">
        <f>IF(G9="?","revisa unidades",IFERROR(I9*D9/G9,""))</f>
        <v/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IF(C10&amp;F10="","",IFERROR(VLOOKUP(C10&amp;"→"&amp;F10,Conversiones!$A$5:$B$67,2,FALSE),"?"))</f>
        <v/>
      </c>
      <c r="H10" s="68">
        <f>IFERROR(VLOOKUP(B10,Mermas!$A$5:$C$25,2,FALSE),"")</f>
        <v/>
      </c>
      <c r="I10" s="30">
        <f>IFERROR(IF(E10="","",E10/(1-H10)),"revisa merma")</f>
        <v/>
      </c>
      <c r="J10" s="31">
        <f>IF(G10="?","revisa unidades",IFERROR(I10*D10/G10,""))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IF(C11&amp;F11="","",IFERROR(VLOOKUP(C11&amp;"→"&amp;F11,Conversiones!$A$5:$B$67,2,FALSE),"?"))</f>
        <v/>
      </c>
      <c r="H11" s="68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IF(C12&amp;F12="","",IFERROR(VLOOKUP(C12&amp;"→"&amp;F12,Conversiones!$A$5:$B$67,2,FALSE),"?"))</f>
        <v/>
      </c>
      <c r="H12" s="68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IF(C13&amp;F13="","",IFERROR(VLOOKUP(C13&amp;"→"&amp;F13,Conversiones!$A$5:$B$67,2,FALSE),"?"))</f>
        <v/>
      </c>
      <c r="H13" s="68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IF(C14&amp;F14="","",IFERROR(VLOOKUP(C14&amp;"→"&amp;F14,Conversiones!$A$5:$B$67,2,FALSE),"?"))</f>
        <v/>
      </c>
      <c r="H14" s="68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IF(C15&amp;F15="","",IFERROR(VLOOKUP(C15&amp;"→"&amp;F15,Conversiones!$A$5:$B$67,2,FALSE),"?"))</f>
        <v/>
      </c>
      <c r="H15" s="68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IF(C16&amp;F16="","",IFERROR(VLOOKUP(C16&amp;"→"&amp;F16,Conversiones!$A$5:$B$67,2,FALSE),"?"))</f>
        <v/>
      </c>
      <c r="H16" s="68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IF(C17&amp;F17="","",IFERROR(VLOOKUP(C17&amp;"→"&amp;F17,Conversiones!$A$5:$B$67,2,FALSE),"?"))</f>
        <v/>
      </c>
      <c r="H17" s="68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IF(C18&amp;F18="","",IFERROR(VLOOKUP(C18&amp;"→"&amp;F18,Conversiones!$A$5:$B$67,2,FALSE),"?"))</f>
        <v/>
      </c>
      <c r="H18" s="68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IF(C19&amp;F19="","",IFERROR(VLOOKUP(C19&amp;"→"&amp;F19,Conversiones!$A$5:$B$67,2,FALSE),"?"))</f>
        <v/>
      </c>
      <c r="H19" s="68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2" t="n"/>
      <c r="M19" s="33" t="n"/>
    </row>
    <row r="20">
      <c r="L20" s="34" t="n"/>
    </row>
    <row r="21">
      <c r="A21" s="35" t="inlineStr">
        <is>
          <t>COSTE TOTAL INGREDIENTES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0.0</v>
      </c>
    </row>
    <row r="22">
      <c r="A22" s="37" t="inlineStr">
        <is>
          <t>Coste elaboración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0.0</v>
      </c>
    </row>
    <row r="23">
      <c r="A23" s="39" t="inlineStr">
        <is>
          <t>COSTE TOTAL DEL PLATO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0.0</v>
      </c>
    </row>
    <row r="24">
      <c r="A24" s="37" t="inlineStr">
        <is>
          <t>Nº de raciones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COSTE POR RACIÓN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0.0</v>
      </c>
    </row>
    <row r="26"/>
    <row r="27">
      <c r="A27" s="41" t="inlineStr">
        <is>
          <t>Food Cost objetivo (%) — se edita en el Resumen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Resumen!$C$16</f>
        <v>0.25</v>
      </c>
    </row>
    <row r="28">
      <c r="A28" s="43" t="inlineStr">
        <is>
          <t>PVP SUGERIDO (sin IVA)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0.0</v>
      </c>
    </row>
    <row r="29">
      <c r="A29" s="37" t="inlineStr">
        <is>
          <t>Tipo de IVA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0.1</v>
      </c>
      <c r="J29" s="38" t="n"/>
    </row>
    <row r="30">
      <c r="A30" s="39" t="inlineStr">
        <is>
          <t>PVP CON IVA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0.0</v>
      </c>
    </row>
    <row r="31">
      <c r="A31" s="43" t="inlineStr">
        <is>
          <t>Margen bruto (€)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0.0</v>
      </c>
    </row>
    <row r="32">
      <c r="A32" s="37" t="inlineStr">
        <is>
          <t>Margen bruto (%)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/>
      </c>
    </row>
    <row r="33"/>
    <row r="34">
      <c r="A34" s="37" t="inlineStr">
        <is>
          <t>PVP actual en carta (sin IVA)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FOOD COST REAL (%)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Valor no válido" error="Elige una categoría de la lista (hoja «Mermas»)." type="list">
      <formula1>Mermas!$A$5:$A$25</formula1>
    </dataValidation>
    <dataValidation sqref="C5:C19 F5:F19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7. Pase — escribe aquí el nombre del pase</t>
        </is>
      </c>
    </row>
    <row r="2" ht="17" customHeight="1">
      <c r="A2" s="60" t="inlineStr">
        <is>
          <t>Pase libre: rellena los ingredientes y el Resumen lo suma solo. Si lo dejas vacío, no cuenta.</t>
        </is>
      </c>
    </row>
    <row r="3">
      <c r="L3" s="10" t="inlineStr">
        <is>
          <t>📷 Foto del Plato</t>
        </is>
      </c>
      <c r="M3" s="57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61" t="n"/>
      <c r="B5" s="62" t="n"/>
      <c r="C5" s="62" t="n"/>
      <c r="D5" s="63" t="n"/>
      <c r="E5" s="64" t="n"/>
      <c r="F5" s="62" t="n"/>
      <c r="G5" s="65">
        <f>IF(C5&amp;F5="","",IFERROR(VLOOKUP(C5&amp;"→"&amp;F5,Conversiones!$A$5:$B$67,2,FALSE),"?"))</f>
        <v/>
      </c>
      <c r="H5" s="66">
        <f>IFERROR(VLOOKUP(B5,Mermas!$A$5:$C$25,2,FALSE),"")</f>
        <v/>
      </c>
      <c r="I5" s="20">
        <f>IFERROR(IF(E5="","",E5/(1-H5)),"revisa merma")</f>
        <v/>
      </c>
      <c r="J5" s="21">
        <f>IF(G5="?","revisa unidades",IFERROR(I5*D5/G5,""))</f>
        <v/>
      </c>
      <c r="L5" s="22" t="n"/>
      <c r="M5" s="23" t="n"/>
    </row>
    <row r="6" ht="28" customHeight="1">
      <c r="A6" s="61" t="n"/>
      <c r="B6" s="62" t="n"/>
      <c r="C6" s="62" t="n"/>
      <c r="D6" s="63" t="n"/>
      <c r="E6" s="64" t="n"/>
      <c r="F6" s="62" t="n"/>
      <c r="G6" s="65">
        <f>IF(C6&amp;F6="","",IFERROR(VLOOKUP(C6&amp;"→"&amp;F6,Conversiones!$A$5:$B$67,2,FALSE),"?"))</f>
        <v/>
      </c>
      <c r="H6" s="66">
        <f>IFERROR(VLOOKUP(B6,Mermas!$A$5:$C$25,2,FALSE),"")</f>
        <v/>
      </c>
      <c r="I6" s="20">
        <f>IFERROR(IF(E6="","",E6/(1-H6)),"revisa merma")</f>
        <v/>
      </c>
      <c r="J6" s="21">
        <f>IF(G6="?","revisa unidades",IFERROR(I6*D6/G6,""))</f>
        <v/>
      </c>
      <c r="L6" s="22" t="n"/>
      <c r="M6" s="23" t="n"/>
    </row>
    <row r="7" ht="28" customHeight="1">
      <c r="A7" s="61" t="n"/>
      <c r="B7" s="62" t="n"/>
      <c r="C7" s="62" t="n"/>
      <c r="D7" s="63" t="n"/>
      <c r="E7" s="64" t="n"/>
      <c r="F7" s="62" t="n"/>
      <c r="G7" s="65">
        <f>IF(C7&amp;F7="","",IFERROR(VLOOKUP(C7&amp;"→"&amp;F7,Conversiones!$A$5:$B$67,2,FALSE),"?"))</f>
        <v/>
      </c>
      <c r="H7" s="66">
        <f>IFERROR(VLOOKUP(B7,Mermas!$A$5:$C$25,2,FALSE),"")</f>
        <v/>
      </c>
      <c r="I7" s="20">
        <f>IFERROR(IF(E7="","",E7/(1-H7)),"revisa merma")</f>
        <v/>
      </c>
      <c r="J7" s="21">
        <f>IF(G7="?","revisa unidades",IFERROR(I7*D7/G7,""))</f>
        <v/>
      </c>
      <c r="L7" s="22" t="n"/>
      <c r="M7" s="23" t="n"/>
    </row>
    <row r="8" ht="28" customHeight="1">
      <c r="A8" s="61" t="n"/>
      <c r="B8" s="62" t="n"/>
      <c r="C8" s="62" t="n"/>
      <c r="D8" s="63" t="n"/>
      <c r="E8" s="64" t="n"/>
      <c r="F8" s="62" t="n"/>
      <c r="G8" s="65">
        <f>IF(C8&amp;F8="","",IFERROR(VLOOKUP(C8&amp;"→"&amp;F8,Conversiones!$A$5:$B$67,2,FALSE),"?"))</f>
        <v/>
      </c>
      <c r="H8" s="66">
        <f>IFERROR(VLOOKUP(B8,Mermas!$A$5:$C$25,2,FALSE),"")</f>
        <v/>
      </c>
      <c r="I8" s="20">
        <f>IFERROR(IF(E8="","",E8/(1-H8)),"revisa merma")</f>
        <v/>
      </c>
      <c r="J8" s="21">
        <f>IF(G8="?","revisa unidades",IFERROR(I8*D8/G8,""))</f>
        <v/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61" t="n"/>
      <c r="B9" s="62" t="n"/>
      <c r="C9" s="62" t="n"/>
      <c r="D9" s="63" t="n"/>
      <c r="E9" s="64" t="n"/>
      <c r="F9" s="62" t="n"/>
      <c r="G9" s="65">
        <f>IF(C9&amp;F9="","",IFERROR(VLOOKUP(C9&amp;"→"&amp;F9,Conversiones!$A$5:$B$67,2,FALSE),"?"))</f>
        <v/>
      </c>
      <c r="H9" s="66">
        <f>IFERROR(VLOOKUP(B9,Mermas!$A$5:$C$25,2,FALSE),"")</f>
        <v/>
      </c>
      <c r="I9" s="20">
        <f>IFERROR(IF(E9="","",E9/(1-H9)),"revisa merma")</f>
        <v/>
      </c>
      <c r="J9" s="21">
        <f>IF(G9="?","revisa unidades",IFERROR(I9*D9/G9,""))</f>
        <v/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IF(C10&amp;F10="","",IFERROR(VLOOKUP(C10&amp;"→"&amp;F10,Conversiones!$A$5:$B$67,2,FALSE),"?"))</f>
        <v/>
      </c>
      <c r="H10" s="68">
        <f>IFERROR(VLOOKUP(B10,Mermas!$A$5:$C$25,2,FALSE),"")</f>
        <v/>
      </c>
      <c r="I10" s="30">
        <f>IFERROR(IF(E10="","",E10/(1-H10)),"revisa merma")</f>
        <v/>
      </c>
      <c r="J10" s="31">
        <f>IF(G10="?","revisa unidades",IFERROR(I10*D10/G10,""))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IF(C11&amp;F11="","",IFERROR(VLOOKUP(C11&amp;"→"&amp;F11,Conversiones!$A$5:$B$67,2,FALSE),"?"))</f>
        <v/>
      </c>
      <c r="H11" s="68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IF(C12&amp;F12="","",IFERROR(VLOOKUP(C12&amp;"→"&amp;F12,Conversiones!$A$5:$B$67,2,FALSE),"?"))</f>
        <v/>
      </c>
      <c r="H12" s="68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IF(C13&amp;F13="","",IFERROR(VLOOKUP(C13&amp;"→"&amp;F13,Conversiones!$A$5:$B$67,2,FALSE),"?"))</f>
        <v/>
      </c>
      <c r="H13" s="68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IF(C14&amp;F14="","",IFERROR(VLOOKUP(C14&amp;"→"&amp;F14,Conversiones!$A$5:$B$67,2,FALSE),"?"))</f>
        <v/>
      </c>
      <c r="H14" s="68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IF(C15&amp;F15="","",IFERROR(VLOOKUP(C15&amp;"→"&amp;F15,Conversiones!$A$5:$B$67,2,FALSE),"?"))</f>
        <v/>
      </c>
      <c r="H15" s="68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IF(C16&amp;F16="","",IFERROR(VLOOKUP(C16&amp;"→"&amp;F16,Conversiones!$A$5:$B$67,2,FALSE),"?"))</f>
        <v/>
      </c>
      <c r="H16" s="68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IF(C17&amp;F17="","",IFERROR(VLOOKUP(C17&amp;"→"&amp;F17,Conversiones!$A$5:$B$67,2,FALSE),"?"))</f>
        <v/>
      </c>
      <c r="H17" s="68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IF(C18&amp;F18="","",IFERROR(VLOOKUP(C18&amp;"→"&amp;F18,Conversiones!$A$5:$B$67,2,FALSE),"?"))</f>
        <v/>
      </c>
      <c r="H18" s="68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IF(C19&amp;F19="","",IFERROR(VLOOKUP(C19&amp;"→"&amp;F19,Conversiones!$A$5:$B$67,2,FALSE),"?"))</f>
        <v/>
      </c>
      <c r="H19" s="68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2" t="n"/>
      <c r="M19" s="33" t="n"/>
    </row>
    <row r="20">
      <c r="L20" s="34" t="n"/>
    </row>
    <row r="21">
      <c r="A21" s="35" t="inlineStr">
        <is>
          <t>COSTE TOTAL INGREDIENTES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0.0</v>
      </c>
    </row>
    <row r="22">
      <c r="A22" s="37" t="inlineStr">
        <is>
          <t>Coste elaboración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0.0</v>
      </c>
    </row>
    <row r="23">
      <c r="A23" s="39" t="inlineStr">
        <is>
          <t>COSTE TOTAL DEL PLATO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0.0</v>
      </c>
    </row>
    <row r="24">
      <c r="A24" s="37" t="inlineStr">
        <is>
          <t>Nº de raciones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COSTE POR RACIÓN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0.0</v>
      </c>
    </row>
    <row r="26"/>
    <row r="27">
      <c r="A27" s="41" t="inlineStr">
        <is>
          <t>Food Cost objetivo (%) — se edita en el Resumen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Resumen!$C$16</f>
        <v>0.25</v>
      </c>
    </row>
    <row r="28">
      <c r="A28" s="43" t="inlineStr">
        <is>
          <t>PVP SUGERIDO (sin IVA)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0.0</v>
      </c>
    </row>
    <row r="29">
      <c r="A29" s="37" t="inlineStr">
        <is>
          <t>Tipo de IVA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0.1</v>
      </c>
      <c r="J29" s="38" t="n"/>
    </row>
    <row r="30">
      <c r="A30" s="39" t="inlineStr">
        <is>
          <t>PVP CON IVA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0.0</v>
      </c>
    </row>
    <row r="31">
      <c r="A31" s="43" t="inlineStr">
        <is>
          <t>Margen bruto (€)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0.0</v>
      </c>
    </row>
    <row r="32">
      <c r="A32" s="37" t="inlineStr">
        <is>
          <t>Margen bruto (%)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/>
      </c>
    </row>
    <row r="33"/>
    <row r="34">
      <c r="A34" s="37" t="inlineStr">
        <is>
          <t>PVP actual en carta (sin IVA)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FOOD COST REAL (%)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Valor no válido" error="Elige una categoría de la lista (hoja «Mermas»)." type="list">
      <formula1>Mermas!$A$5:$A$25</formula1>
    </dataValidation>
    <dataValidation sqref="C5:C19 F5:F19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8. Pase — escribe aquí el nombre del pase</t>
        </is>
      </c>
    </row>
    <row r="2" ht="17" customHeight="1">
      <c r="A2" s="60" t="inlineStr">
        <is>
          <t>Pase libre: rellena los ingredientes y el Resumen lo suma solo. Si lo dejas vacío, no cuenta.</t>
        </is>
      </c>
    </row>
    <row r="3">
      <c r="L3" s="10" t="inlineStr">
        <is>
          <t>📷 Foto del Plato</t>
        </is>
      </c>
      <c r="M3" s="57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61" t="n"/>
      <c r="B5" s="62" t="n"/>
      <c r="C5" s="62" t="n"/>
      <c r="D5" s="63" t="n"/>
      <c r="E5" s="64" t="n"/>
      <c r="F5" s="62" t="n"/>
      <c r="G5" s="65">
        <f>IF(C5&amp;F5="","",IFERROR(VLOOKUP(C5&amp;"→"&amp;F5,Conversiones!$A$5:$B$67,2,FALSE),"?"))</f>
        <v/>
      </c>
      <c r="H5" s="66">
        <f>IFERROR(VLOOKUP(B5,Mermas!$A$5:$C$25,2,FALSE),"")</f>
        <v/>
      </c>
      <c r="I5" s="20">
        <f>IFERROR(IF(E5="","",E5/(1-H5)),"revisa merma")</f>
        <v/>
      </c>
      <c r="J5" s="21">
        <f>IF(G5="?","revisa unidades",IFERROR(I5*D5/G5,""))</f>
        <v/>
      </c>
      <c r="L5" s="22" t="n"/>
      <c r="M5" s="23" t="n"/>
    </row>
    <row r="6" ht="28" customHeight="1">
      <c r="A6" s="61" t="n"/>
      <c r="B6" s="62" t="n"/>
      <c r="C6" s="62" t="n"/>
      <c r="D6" s="63" t="n"/>
      <c r="E6" s="64" t="n"/>
      <c r="F6" s="62" t="n"/>
      <c r="G6" s="65">
        <f>IF(C6&amp;F6="","",IFERROR(VLOOKUP(C6&amp;"→"&amp;F6,Conversiones!$A$5:$B$67,2,FALSE),"?"))</f>
        <v/>
      </c>
      <c r="H6" s="66">
        <f>IFERROR(VLOOKUP(B6,Mermas!$A$5:$C$25,2,FALSE),"")</f>
        <v/>
      </c>
      <c r="I6" s="20">
        <f>IFERROR(IF(E6="","",E6/(1-H6)),"revisa merma")</f>
        <v/>
      </c>
      <c r="J6" s="21">
        <f>IF(G6="?","revisa unidades",IFERROR(I6*D6/G6,""))</f>
        <v/>
      </c>
      <c r="L6" s="22" t="n"/>
      <c r="M6" s="23" t="n"/>
    </row>
    <row r="7" ht="28" customHeight="1">
      <c r="A7" s="61" t="n"/>
      <c r="B7" s="62" t="n"/>
      <c r="C7" s="62" t="n"/>
      <c r="D7" s="63" t="n"/>
      <c r="E7" s="64" t="n"/>
      <c r="F7" s="62" t="n"/>
      <c r="G7" s="65">
        <f>IF(C7&amp;F7="","",IFERROR(VLOOKUP(C7&amp;"→"&amp;F7,Conversiones!$A$5:$B$67,2,FALSE),"?"))</f>
        <v/>
      </c>
      <c r="H7" s="66">
        <f>IFERROR(VLOOKUP(B7,Mermas!$A$5:$C$25,2,FALSE),"")</f>
        <v/>
      </c>
      <c r="I7" s="20">
        <f>IFERROR(IF(E7="","",E7/(1-H7)),"revisa merma")</f>
        <v/>
      </c>
      <c r="J7" s="21">
        <f>IF(G7="?","revisa unidades",IFERROR(I7*D7/G7,""))</f>
        <v/>
      </c>
      <c r="L7" s="22" t="n"/>
      <c r="M7" s="23" t="n"/>
    </row>
    <row r="8" ht="28" customHeight="1">
      <c r="A8" s="61" t="n"/>
      <c r="B8" s="62" t="n"/>
      <c r="C8" s="62" t="n"/>
      <c r="D8" s="63" t="n"/>
      <c r="E8" s="64" t="n"/>
      <c r="F8" s="62" t="n"/>
      <c r="G8" s="65">
        <f>IF(C8&amp;F8="","",IFERROR(VLOOKUP(C8&amp;"→"&amp;F8,Conversiones!$A$5:$B$67,2,FALSE),"?"))</f>
        <v/>
      </c>
      <c r="H8" s="66">
        <f>IFERROR(VLOOKUP(B8,Mermas!$A$5:$C$25,2,FALSE),"")</f>
        <v/>
      </c>
      <c r="I8" s="20">
        <f>IFERROR(IF(E8="","",E8/(1-H8)),"revisa merma")</f>
        <v/>
      </c>
      <c r="J8" s="21">
        <f>IF(G8="?","revisa unidades",IFERROR(I8*D8/G8,""))</f>
        <v/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61" t="n"/>
      <c r="B9" s="62" t="n"/>
      <c r="C9" s="62" t="n"/>
      <c r="D9" s="63" t="n"/>
      <c r="E9" s="64" t="n"/>
      <c r="F9" s="62" t="n"/>
      <c r="G9" s="65">
        <f>IF(C9&amp;F9="","",IFERROR(VLOOKUP(C9&amp;"→"&amp;F9,Conversiones!$A$5:$B$67,2,FALSE),"?"))</f>
        <v/>
      </c>
      <c r="H9" s="66">
        <f>IFERROR(VLOOKUP(B9,Mermas!$A$5:$C$25,2,FALSE),"")</f>
        <v/>
      </c>
      <c r="I9" s="20">
        <f>IFERROR(IF(E9="","",E9/(1-H9)),"revisa merma")</f>
        <v/>
      </c>
      <c r="J9" s="21">
        <f>IF(G9="?","revisa unidades",IFERROR(I9*D9/G9,""))</f>
        <v/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IF(C10&amp;F10="","",IFERROR(VLOOKUP(C10&amp;"→"&amp;F10,Conversiones!$A$5:$B$67,2,FALSE),"?"))</f>
        <v/>
      </c>
      <c r="H10" s="68">
        <f>IFERROR(VLOOKUP(B10,Mermas!$A$5:$C$25,2,FALSE),"")</f>
        <v/>
      </c>
      <c r="I10" s="30">
        <f>IFERROR(IF(E10="","",E10/(1-H10)),"revisa merma")</f>
        <v/>
      </c>
      <c r="J10" s="31">
        <f>IF(G10="?","revisa unidades",IFERROR(I10*D10/G10,""))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IF(C11&amp;F11="","",IFERROR(VLOOKUP(C11&amp;"→"&amp;F11,Conversiones!$A$5:$B$67,2,FALSE),"?"))</f>
        <v/>
      </c>
      <c r="H11" s="68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IF(C12&amp;F12="","",IFERROR(VLOOKUP(C12&amp;"→"&amp;F12,Conversiones!$A$5:$B$67,2,FALSE),"?"))</f>
        <v/>
      </c>
      <c r="H12" s="68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IF(C13&amp;F13="","",IFERROR(VLOOKUP(C13&amp;"→"&amp;F13,Conversiones!$A$5:$B$67,2,FALSE),"?"))</f>
        <v/>
      </c>
      <c r="H13" s="68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IF(C14&amp;F14="","",IFERROR(VLOOKUP(C14&amp;"→"&amp;F14,Conversiones!$A$5:$B$67,2,FALSE),"?"))</f>
        <v/>
      </c>
      <c r="H14" s="68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IF(C15&amp;F15="","",IFERROR(VLOOKUP(C15&amp;"→"&amp;F15,Conversiones!$A$5:$B$67,2,FALSE),"?"))</f>
        <v/>
      </c>
      <c r="H15" s="68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IF(C16&amp;F16="","",IFERROR(VLOOKUP(C16&amp;"→"&amp;F16,Conversiones!$A$5:$B$67,2,FALSE),"?"))</f>
        <v/>
      </c>
      <c r="H16" s="68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IF(C17&amp;F17="","",IFERROR(VLOOKUP(C17&amp;"→"&amp;F17,Conversiones!$A$5:$B$67,2,FALSE),"?"))</f>
        <v/>
      </c>
      <c r="H17" s="68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IF(C18&amp;F18="","",IFERROR(VLOOKUP(C18&amp;"→"&amp;F18,Conversiones!$A$5:$B$67,2,FALSE),"?"))</f>
        <v/>
      </c>
      <c r="H18" s="68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IF(C19&amp;F19="","",IFERROR(VLOOKUP(C19&amp;"→"&amp;F19,Conversiones!$A$5:$B$67,2,FALSE),"?"))</f>
        <v/>
      </c>
      <c r="H19" s="68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2" t="n"/>
      <c r="M19" s="33" t="n"/>
    </row>
    <row r="20">
      <c r="L20" s="34" t="n"/>
    </row>
    <row r="21">
      <c r="A21" s="35" t="inlineStr">
        <is>
          <t>COSTE TOTAL INGREDIENTES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0.0</v>
      </c>
    </row>
    <row r="22">
      <c r="A22" s="37" t="inlineStr">
        <is>
          <t>Coste elaboración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0.0</v>
      </c>
    </row>
    <row r="23">
      <c r="A23" s="39" t="inlineStr">
        <is>
          <t>COSTE TOTAL DEL PLATO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0.0</v>
      </c>
    </row>
    <row r="24">
      <c r="A24" s="37" t="inlineStr">
        <is>
          <t>Nº de raciones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COSTE POR RACIÓN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0.0</v>
      </c>
    </row>
    <row r="26"/>
    <row r="27">
      <c r="A27" s="41" t="inlineStr">
        <is>
          <t>Food Cost objetivo (%) — se edita en el Resumen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Resumen!$C$16</f>
        <v>0.25</v>
      </c>
    </row>
    <row r="28">
      <c r="A28" s="43" t="inlineStr">
        <is>
          <t>PVP SUGERIDO (sin IVA)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0.0</v>
      </c>
    </row>
    <row r="29">
      <c r="A29" s="37" t="inlineStr">
        <is>
          <t>Tipo de IVA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0.1</v>
      </c>
      <c r="J29" s="38" t="n"/>
    </row>
    <row r="30">
      <c r="A30" s="39" t="inlineStr">
        <is>
          <t>PVP CON IVA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0.0</v>
      </c>
    </row>
    <row r="31">
      <c r="A31" s="43" t="inlineStr">
        <is>
          <t>Margen bruto (€)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0.0</v>
      </c>
    </row>
    <row r="32">
      <c r="A32" s="37" t="inlineStr">
        <is>
          <t>Margen bruto (%)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/>
      </c>
    </row>
    <row r="33"/>
    <row r="34">
      <c r="A34" s="37" t="inlineStr">
        <is>
          <t>PVP actual en carta (sin IVA)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FOOD COST REAL (%)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Valor no válido" error="Elige una categoría de la lista (hoja «Mermas»)." type="list">
      <formula1>Mermas!$A$5:$A$25</formula1>
    </dataValidation>
    <dataValidation sqref="C5:C19 F5:F19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9. Pase — escribe aquí el nombre del pase</t>
        </is>
      </c>
    </row>
    <row r="2" ht="17" customHeight="1">
      <c r="A2" s="60" t="inlineStr">
        <is>
          <t>Pase libre: rellena los ingredientes y el Resumen lo suma solo. Si lo dejas vacío, no cuenta.</t>
        </is>
      </c>
    </row>
    <row r="3">
      <c r="L3" s="10" t="inlineStr">
        <is>
          <t>📷 Foto del Plato</t>
        </is>
      </c>
      <c r="M3" s="57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61" t="n"/>
      <c r="B5" s="62" t="n"/>
      <c r="C5" s="62" t="n"/>
      <c r="D5" s="63" t="n"/>
      <c r="E5" s="64" t="n"/>
      <c r="F5" s="62" t="n"/>
      <c r="G5" s="65">
        <f>IF(C5&amp;F5="","",IFERROR(VLOOKUP(C5&amp;"→"&amp;F5,Conversiones!$A$5:$B$67,2,FALSE),"?"))</f>
        <v/>
      </c>
      <c r="H5" s="66">
        <f>IFERROR(VLOOKUP(B5,Mermas!$A$5:$C$25,2,FALSE),"")</f>
        <v/>
      </c>
      <c r="I5" s="20">
        <f>IFERROR(IF(E5="","",E5/(1-H5)),"revisa merma")</f>
        <v/>
      </c>
      <c r="J5" s="21">
        <f>IF(G5="?","revisa unidades",IFERROR(I5*D5/G5,""))</f>
        <v/>
      </c>
      <c r="L5" s="22" t="n"/>
      <c r="M5" s="23" t="n"/>
    </row>
    <row r="6" ht="28" customHeight="1">
      <c r="A6" s="61" t="n"/>
      <c r="B6" s="62" t="n"/>
      <c r="C6" s="62" t="n"/>
      <c r="D6" s="63" t="n"/>
      <c r="E6" s="64" t="n"/>
      <c r="F6" s="62" t="n"/>
      <c r="G6" s="65">
        <f>IF(C6&amp;F6="","",IFERROR(VLOOKUP(C6&amp;"→"&amp;F6,Conversiones!$A$5:$B$67,2,FALSE),"?"))</f>
        <v/>
      </c>
      <c r="H6" s="66">
        <f>IFERROR(VLOOKUP(B6,Mermas!$A$5:$C$25,2,FALSE),"")</f>
        <v/>
      </c>
      <c r="I6" s="20">
        <f>IFERROR(IF(E6="","",E6/(1-H6)),"revisa merma")</f>
        <v/>
      </c>
      <c r="J6" s="21">
        <f>IF(G6="?","revisa unidades",IFERROR(I6*D6/G6,""))</f>
        <v/>
      </c>
      <c r="L6" s="22" t="n"/>
      <c r="M6" s="23" t="n"/>
    </row>
    <row r="7" ht="28" customHeight="1">
      <c r="A7" s="61" t="n"/>
      <c r="B7" s="62" t="n"/>
      <c r="C7" s="62" t="n"/>
      <c r="D7" s="63" t="n"/>
      <c r="E7" s="64" t="n"/>
      <c r="F7" s="62" t="n"/>
      <c r="G7" s="65">
        <f>IF(C7&amp;F7="","",IFERROR(VLOOKUP(C7&amp;"→"&amp;F7,Conversiones!$A$5:$B$67,2,FALSE),"?"))</f>
        <v/>
      </c>
      <c r="H7" s="66">
        <f>IFERROR(VLOOKUP(B7,Mermas!$A$5:$C$25,2,FALSE),"")</f>
        <v/>
      </c>
      <c r="I7" s="20">
        <f>IFERROR(IF(E7="","",E7/(1-H7)),"revisa merma")</f>
        <v/>
      </c>
      <c r="J7" s="21">
        <f>IF(G7="?","revisa unidades",IFERROR(I7*D7/G7,""))</f>
        <v/>
      </c>
      <c r="L7" s="22" t="n"/>
      <c r="M7" s="23" t="n"/>
    </row>
    <row r="8" ht="28" customHeight="1">
      <c r="A8" s="61" t="n"/>
      <c r="B8" s="62" t="n"/>
      <c r="C8" s="62" t="n"/>
      <c r="D8" s="63" t="n"/>
      <c r="E8" s="64" t="n"/>
      <c r="F8" s="62" t="n"/>
      <c r="G8" s="65">
        <f>IF(C8&amp;F8="","",IFERROR(VLOOKUP(C8&amp;"→"&amp;F8,Conversiones!$A$5:$B$67,2,FALSE),"?"))</f>
        <v/>
      </c>
      <c r="H8" s="66">
        <f>IFERROR(VLOOKUP(B8,Mermas!$A$5:$C$25,2,FALSE),"")</f>
        <v/>
      </c>
      <c r="I8" s="20">
        <f>IFERROR(IF(E8="","",E8/(1-H8)),"revisa merma")</f>
        <v/>
      </c>
      <c r="J8" s="21">
        <f>IF(G8="?","revisa unidades",IFERROR(I8*D8/G8,""))</f>
        <v/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61" t="n"/>
      <c r="B9" s="62" t="n"/>
      <c r="C9" s="62" t="n"/>
      <c r="D9" s="63" t="n"/>
      <c r="E9" s="64" t="n"/>
      <c r="F9" s="62" t="n"/>
      <c r="G9" s="65">
        <f>IF(C9&amp;F9="","",IFERROR(VLOOKUP(C9&amp;"→"&amp;F9,Conversiones!$A$5:$B$67,2,FALSE),"?"))</f>
        <v/>
      </c>
      <c r="H9" s="66">
        <f>IFERROR(VLOOKUP(B9,Mermas!$A$5:$C$25,2,FALSE),"")</f>
        <v/>
      </c>
      <c r="I9" s="20">
        <f>IFERROR(IF(E9="","",E9/(1-H9)),"revisa merma")</f>
        <v/>
      </c>
      <c r="J9" s="21">
        <f>IF(G9="?","revisa unidades",IFERROR(I9*D9/G9,""))</f>
        <v/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5">
        <f>IF(C10&amp;F10="","",IFERROR(VLOOKUP(C10&amp;"→"&amp;F10,Conversiones!$A$5:$B$67,2,FALSE),"?"))</f>
        <v/>
      </c>
      <c r="H10" s="68">
        <f>IFERROR(VLOOKUP(B10,Mermas!$A$5:$C$25,2,FALSE),"")</f>
        <v/>
      </c>
      <c r="I10" s="30">
        <f>IFERROR(IF(E10="","",E10/(1-H10)),"revisa merma")</f>
        <v/>
      </c>
      <c r="J10" s="31">
        <f>IF(G10="?","revisa unidades",IFERROR(I10*D10/G10,""))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5">
        <f>IF(C11&amp;F11="","",IFERROR(VLOOKUP(C11&amp;"→"&amp;F11,Conversiones!$A$5:$B$67,2,FALSE),"?"))</f>
        <v/>
      </c>
      <c r="H11" s="68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5">
        <f>IF(C12&amp;F12="","",IFERROR(VLOOKUP(C12&amp;"→"&amp;F12,Conversiones!$A$5:$B$67,2,FALSE),"?"))</f>
        <v/>
      </c>
      <c r="H12" s="68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5">
        <f>IF(C13&amp;F13="","",IFERROR(VLOOKUP(C13&amp;"→"&amp;F13,Conversiones!$A$5:$B$67,2,FALSE),"?"))</f>
        <v/>
      </c>
      <c r="H13" s="68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5">
        <f>IF(C14&amp;F14="","",IFERROR(VLOOKUP(C14&amp;"→"&amp;F14,Conversiones!$A$5:$B$67,2,FALSE),"?"))</f>
        <v/>
      </c>
      <c r="H14" s="68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5">
        <f>IF(C15&amp;F15="","",IFERROR(VLOOKUP(C15&amp;"→"&amp;F15,Conversiones!$A$5:$B$67,2,FALSE),"?"))</f>
        <v/>
      </c>
      <c r="H15" s="68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5">
        <f>IF(C16&amp;F16="","",IFERROR(VLOOKUP(C16&amp;"→"&amp;F16,Conversiones!$A$5:$B$67,2,FALSE),"?"))</f>
        <v/>
      </c>
      <c r="H16" s="68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5">
        <f>IF(C17&amp;F17="","",IFERROR(VLOOKUP(C17&amp;"→"&amp;F17,Conversiones!$A$5:$B$67,2,FALSE),"?"))</f>
        <v/>
      </c>
      <c r="H17" s="68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5">
        <f>IF(C18&amp;F18="","",IFERROR(VLOOKUP(C18&amp;"→"&amp;F18,Conversiones!$A$5:$B$67,2,FALSE),"?"))</f>
        <v/>
      </c>
      <c r="H18" s="68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5">
        <f>IF(C19&amp;F19="","",IFERROR(VLOOKUP(C19&amp;"→"&amp;F19,Conversiones!$A$5:$B$67,2,FALSE),"?"))</f>
        <v/>
      </c>
      <c r="H19" s="68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2" t="n"/>
      <c r="M19" s="33" t="n"/>
    </row>
    <row r="20">
      <c r="L20" s="34" t="n"/>
    </row>
    <row r="21">
      <c r="A21" s="35" t="inlineStr">
        <is>
          <t>COSTE TOTAL INGREDIENTES</t>
        </is>
      </c>
      <c r="B21" s="58" t="n"/>
      <c r="C21" s="58" t="n"/>
      <c r="D21" s="58" t="n"/>
      <c r="E21" s="58" t="n"/>
      <c r="F21" s="58" t="n"/>
      <c r="G21" s="58" t="n"/>
      <c r="H21" s="58" t="n"/>
      <c r="I21" s="59" t="n"/>
      <c r="J21" s="36">
        <f>SUM(J5:J19)</f>
        <v>0.0</v>
      </c>
    </row>
    <row r="22">
      <c r="A22" s="37" t="inlineStr">
        <is>
          <t>Coste elaboración (%)</t>
        </is>
      </c>
      <c r="B22" s="58" t="n"/>
      <c r="C22" s="58" t="n"/>
      <c r="D22" s="58" t="n"/>
      <c r="E22" s="58" t="n"/>
      <c r="F22" s="58" t="n"/>
      <c r="G22" s="58" t="n"/>
      <c r="H22" s="59" t="n"/>
      <c r="I22" s="69" t="n">
        <v>0.1</v>
      </c>
      <c r="J22" s="38">
        <f>J21*I22</f>
        <v>0.0</v>
      </c>
    </row>
    <row r="23">
      <c r="A23" s="39" t="inlineStr">
        <is>
          <t>COSTE TOTAL DEL PLATO</t>
        </is>
      </c>
      <c r="B23" s="58" t="n"/>
      <c r="C23" s="58" t="n"/>
      <c r="D23" s="58" t="n"/>
      <c r="E23" s="58" t="n"/>
      <c r="F23" s="58" t="n"/>
      <c r="G23" s="58" t="n"/>
      <c r="H23" s="58" t="n"/>
      <c r="I23" s="59" t="n"/>
      <c r="J23" s="40">
        <f>J21+J22</f>
        <v>0.0</v>
      </c>
    </row>
    <row r="24">
      <c r="A24" s="37" t="inlineStr">
        <is>
          <t>Nº de raciones</t>
        </is>
      </c>
      <c r="B24" s="58" t="n"/>
      <c r="C24" s="58" t="n"/>
      <c r="D24" s="58" t="n"/>
      <c r="E24" s="58" t="n"/>
      <c r="F24" s="58" t="n"/>
      <c r="G24" s="58" t="n"/>
      <c r="H24" s="59" t="n"/>
      <c r="I24" s="70" t="n">
        <v>1</v>
      </c>
      <c r="J24" s="38" t="n"/>
    </row>
    <row r="25">
      <c r="A25" s="39" t="inlineStr">
        <is>
          <t>COSTE POR RACIÓN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  <c r="J25" s="40">
        <f>IFERROR(J23/I24,"")</f>
        <v>0.0</v>
      </c>
    </row>
    <row r="26"/>
    <row r="27">
      <c r="A27" s="41" t="inlineStr">
        <is>
          <t>Food Cost objetivo (%) — se edita en el Resumen</t>
        </is>
      </c>
      <c r="B27" s="58" t="n"/>
      <c r="C27" s="58" t="n"/>
      <c r="D27" s="58" t="n"/>
      <c r="E27" s="58" t="n"/>
      <c r="F27" s="58" t="n"/>
      <c r="G27" s="58" t="n"/>
      <c r="H27" s="59" t="n"/>
      <c r="I27" s="71">
        <f>Resumen!$C$16</f>
        <v>0.25</v>
      </c>
    </row>
    <row r="28">
      <c r="A28" s="43" t="inlineStr">
        <is>
          <t>PVP SUGERIDO (sin IVA)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  <c r="J28" s="44">
        <f>IFERROR(J25/I27,"")</f>
        <v>0.0</v>
      </c>
    </row>
    <row r="29">
      <c r="A29" s="37" t="inlineStr">
        <is>
          <t>Tipo de IVA (%)</t>
        </is>
      </c>
      <c r="B29" s="58" t="n"/>
      <c r="C29" s="58" t="n"/>
      <c r="D29" s="58" t="n"/>
      <c r="E29" s="58" t="n"/>
      <c r="F29" s="58" t="n"/>
      <c r="G29" s="58" t="n"/>
      <c r="H29" s="59" t="n"/>
      <c r="I29" s="69" t="n">
        <v>0.1</v>
      </c>
      <c r="J29" s="38" t="n"/>
    </row>
    <row r="30">
      <c r="A30" s="39" t="inlineStr">
        <is>
          <t>PVP CON IVA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  <c r="J30" s="40">
        <f>IFERROR(J28*(1+I29),"")</f>
        <v>0.0</v>
      </c>
    </row>
    <row r="31">
      <c r="A31" s="43" t="inlineStr">
        <is>
          <t>Margen bruto (€)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  <c r="J31" s="44">
        <f>IFERROR(J28-J25,"")</f>
        <v>0.0</v>
      </c>
    </row>
    <row r="32">
      <c r="A32" s="37" t="inlineStr">
        <is>
          <t>Margen bruto (%)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  <c r="J32" s="47">
        <f>IFERROR((J28-J25)/J28,"")</f>
        <v/>
      </c>
    </row>
    <row r="33"/>
    <row r="34">
      <c r="A34" s="37" t="inlineStr">
        <is>
          <t>PVP actual en carta (sin IVA)</t>
        </is>
      </c>
      <c r="B34" s="58" t="n"/>
      <c r="C34" s="58" t="n"/>
      <c r="D34" s="58" t="n"/>
      <c r="E34" s="58" t="n"/>
      <c r="F34" s="58" t="n"/>
      <c r="G34" s="58" t="n"/>
      <c r="H34" s="59" t="n"/>
      <c r="I34" s="72" t="n"/>
      <c r="J34" s="38" t="n"/>
    </row>
    <row r="35">
      <c r="A35" s="39" t="inlineStr">
        <is>
          <t>FOOD COST REAL (%)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Valor no válido" error="Elige una categoría de la lista (hoja «Mermas»)." type="list">
      <formula1>Mermas!$A$5:$A$25</formula1>
    </dataValidation>
    <dataValidation sqref="C5:C19 F5:F19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FF4444"/>
    <outlinePr summaryBelow="1" summaryRight="1"/>
    <pageSetUpPr fitToPage="1"/>
  </sheetPr>
  <dimension ref="A1:C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</cols>
  <sheetData>
    <row r="1"/>
    <row r="2">
      <c r="B2" s="48" t="inlineStr">
        <is>
          <t>Resumen — Menú Degustación</t>
        </is>
      </c>
    </row>
    <row r="3"/>
    <row r="4">
      <c r="B4" s="49" t="inlineStr">
        <is>
          <t>Pase</t>
        </is>
      </c>
      <c r="C4" s="50" t="inlineStr">
        <is>
          <t>Coste (€)</t>
        </is>
      </c>
    </row>
    <row r="5">
      <c r="B5" s="51" t="inlineStr">
        <is>
          <t>1. Aperitivo</t>
        </is>
      </c>
      <c r="C5" s="21">
        <f>IF('1. Aperitivo'!$J$21=0,"",'1. Aperitivo'!$J$25)</f>
        <v>7.191855508261988</v>
      </c>
    </row>
    <row r="6">
      <c r="B6" s="51" t="inlineStr">
        <is>
          <t>2. Entrante</t>
        </is>
      </c>
      <c r="C6" s="21">
        <f>IF('2. Entrante'!$J$21=0,"",'2. Entrante'!$J$25)</f>
        <v>11.46133366061201</v>
      </c>
    </row>
    <row r="7">
      <c r="B7" s="51" t="inlineStr">
        <is>
          <t>3. Pescado</t>
        </is>
      </c>
      <c r="C7" s="21">
        <f>IF('3. Pescado'!$J$21=0,"",'3. Pescado'!$J$25)</f>
        <v>10.634109767618387</v>
      </c>
    </row>
    <row r="8">
      <c r="B8" s="51" t="inlineStr">
        <is>
          <t>4. Carne</t>
        </is>
      </c>
      <c r="C8" s="21">
        <f>IF('4. Carne'!$J$21=0,"",'4. Carne'!$J$25)</f>
        <v>5.844947328931573</v>
      </c>
    </row>
    <row r="9">
      <c r="B9" s="51" t="inlineStr">
        <is>
          <t>5. Postre</t>
        </is>
      </c>
      <c r="C9" s="21">
        <f>IF('5. Postre'!$J$21=0,"",'5. Postre'!$J$25)</f>
        <v>3.156861749366052</v>
      </c>
    </row>
    <row r="10">
      <c r="B10" s="51" t="inlineStr">
        <is>
          <t>6. Pase</t>
        </is>
      </c>
      <c r="C10" s="21">
        <f>IF('6. Pase'!$J$21=0,"",'6. Pase'!$J$25)</f>
        <v/>
      </c>
    </row>
    <row r="11">
      <c r="B11" s="51" t="inlineStr">
        <is>
          <t>7. Pase</t>
        </is>
      </c>
      <c r="C11" s="21">
        <f>IF('7. Pase'!$J$21=0,"",'7. Pase'!$J$25)</f>
        <v/>
      </c>
    </row>
    <row r="12">
      <c r="B12" s="51" t="inlineStr">
        <is>
          <t>8. Pase</t>
        </is>
      </c>
      <c r="C12" s="21">
        <f>IF('8. Pase'!$J$21=0,"",'8. Pase'!$J$25)</f>
        <v/>
      </c>
    </row>
    <row r="13">
      <c r="B13" s="51" t="inlineStr">
        <is>
          <t>9. Pase</t>
        </is>
      </c>
      <c r="C13" s="21">
        <f>IF('9. Pase'!$J$21=0,"",'9. Pase'!$J$25)</f>
        <v/>
      </c>
    </row>
    <row r="14">
      <c r="B14" s="52" t="inlineStr">
        <is>
          <t>COSTE TOTAL MENÚ</t>
        </is>
      </c>
      <c r="C14" s="46">
        <f>SUM(C5:C13)</f>
        <v>38.28910801479001</v>
      </c>
    </row>
    <row r="15"/>
    <row r="16">
      <c r="B16" s="53" t="inlineStr">
        <is>
          <t>Food Cost objetivo (%) — el único food cost del libro: los pases lo leen de aquí</t>
        </is>
      </c>
      <c r="C16" s="74" t="n">
        <v>0.25</v>
      </c>
    </row>
    <row r="17">
      <c r="B17" s="55" t="inlineStr">
        <is>
          <t>PVP SUGERIDO (sin IVA)</t>
        </is>
      </c>
      <c r="C17" s="44">
        <f>IFERROR(C14/C16,"")</f>
        <v>153.15643205916004</v>
      </c>
    </row>
    <row r="18">
      <c r="B18" s="53" t="inlineStr">
        <is>
          <t>Tipo de IVA (%)</t>
        </is>
      </c>
      <c r="C18" s="74" t="n">
        <v>0.1</v>
      </c>
    </row>
    <row r="19">
      <c r="B19" s="55" t="inlineStr">
        <is>
          <t>PVP CON IVA</t>
        </is>
      </c>
      <c r="C19" s="44">
        <f>IFERROR(C17*(1+C18),"")</f>
        <v>168.47207526507606</v>
      </c>
    </row>
    <row r="20"/>
    <row r="21">
      <c r="B21" s="75" t="inlineStr">
        <is>
          <t>Los pases sin ingredientes no suman: el menú puede tener de 5 a 9 pases sin tocar una sola fórmula.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C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6" customWidth="1" min="3" max="3"/>
  </cols>
  <sheetData>
    <row r="1">
      <c r="A1" s="76" t="inlineStr">
        <is>
          <t>Tabla de conversión Ud. Compra → Ud. Uso</t>
        </is>
      </c>
    </row>
    <row r="2">
      <c r="A2" t="inlineStr">
        <is>
          <t>La usa la columna «Factor» de cada escandallo. Puedes añadir parejas al final, hasta la fila 67: la clave se escribe «compra→uso».</t>
        </is>
      </c>
    </row>
    <row r="3"/>
    <row r="4">
      <c r="A4" s="77" t="inlineStr">
        <is>
          <t>Conversión (compra→uso)</t>
        </is>
      </c>
      <c r="B4" s="77" t="inlineStr">
        <is>
          <t>Factor</t>
        </is>
      </c>
      <c r="C4" s="77" t="inlineStr">
        <is>
          <t>Qué significa</t>
        </is>
      </c>
    </row>
    <row r="5">
      <c r="A5" t="inlineStr">
        <is>
          <t>kg→kg</t>
        </is>
      </c>
      <c r="B5" s="78" t="n">
        <v>1</v>
      </c>
      <c r="C5" t="inlineStr">
        <is>
          <t>misma unidad</t>
        </is>
      </c>
    </row>
    <row r="6">
      <c r="A6" t="inlineStr">
        <is>
          <t>kg→g</t>
        </is>
      </c>
      <c r="B6" s="78" t="n">
        <v>1000</v>
      </c>
      <c r="C6" t="inlineStr">
        <is>
          <t>1 kg = 1.000 g</t>
        </is>
      </c>
    </row>
    <row r="7">
      <c r="A7" t="inlineStr">
        <is>
          <t>g→g</t>
        </is>
      </c>
      <c r="B7" s="78" t="n">
        <v>1</v>
      </c>
      <c r="C7" t="inlineStr">
        <is>
          <t>misma unidad</t>
        </is>
      </c>
    </row>
    <row r="8">
      <c r="A8" t="inlineStr">
        <is>
          <t>g→kg</t>
        </is>
      </c>
      <c r="B8" s="78" t="n">
        <v>0.001</v>
      </c>
      <c r="C8" t="inlineStr">
        <is>
          <t>1 g = 0,001 kg</t>
        </is>
      </c>
    </row>
    <row r="9">
      <c r="A9" t="inlineStr">
        <is>
          <t>L→L</t>
        </is>
      </c>
      <c r="B9" s="78" t="n">
        <v>1</v>
      </c>
      <c r="C9" t="inlineStr">
        <is>
          <t>misma unidad</t>
        </is>
      </c>
    </row>
    <row r="10">
      <c r="A10" t="inlineStr">
        <is>
          <t>L→ml</t>
        </is>
      </c>
      <c r="B10" s="78" t="n">
        <v>1000</v>
      </c>
      <c r="C10" t="inlineStr">
        <is>
          <t>1 L = 1.000 ml</t>
        </is>
      </c>
    </row>
    <row r="11">
      <c r="A11" t="inlineStr">
        <is>
          <t>L→cl</t>
        </is>
      </c>
      <c r="B11" s="78" t="n">
        <v>100</v>
      </c>
      <c r="C11" t="inlineStr">
        <is>
          <t>1 L = 100 cl</t>
        </is>
      </c>
    </row>
    <row r="12">
      <c r="A12" t="inlineStr">
        <is>
          <t>ml→ml</t>
        </is>
      </c>
      <c r="B12" s="78" t="n">
        <v>1</v>
      </c>
      <c r="C12" t="inlineStr">
        <is>
          <t>misma unidad</t>
        </is>
      </c>
    </row>
    <row r="13">
      <c r="A13" t="inlineStr">
        <is>
          <t>ml→L</t>
        </is>
      </c>
      <c r="B13" s="78" t="n">
        <v>0.001</v>
      </c>
      <c r="C13" t="inlineStr">
        <is>
          <t>1 ml = 0,001 L</t>
        </is>
      </c>
    </row>
    <row r="14">
      <c r="A14" t="inlineStr">
        <is>
          <t>ml→cl</t>
        </is>
      </c>
      <c r="B14" s="78" t="n">
        <v>0.1</v>
      </c>
      <c r="C14" t="inlineStr">
        <is>
          <t>1 ml = 0,1 cl</t>
        </is>
      </c>
    </row>
    <row r="15">
      <c r="A15" t="inlineStr">
        <is>
          <t>cl→cl</t>
        </is>
      </c>
      <c r="B15" s="78" t="n">
        <v>1</v>
      </c>
      <c r="C15" t="inlineStr">
        <is>
          <t>misma unidad</t>
        </is>
      </c>
    </row>
    <row r="16">
      <c r="A16" t="inlineStr">
        <is>
          <t>cl→ml</t>
        </is>
      </c>
      <c r="B16" s="78" t="n">
        <v>10</v>
      </c>
      <c r="C16" t="inlineStr">
        <is>
          <t>1 cl = 10 ml</t>
        </is>
      </c>
    </row>
    <row r="17">
      <c r="A17" t="inlineStr">
        <is>
          <t>cl→L</t>
        </is>
      </c>
      <c r="B17" s="78" t="n">
        <v>0.01</v>
      </c>
      <c r="C17" t="inlineStr">
        <is>
          <t>1 cl = 0,01 L</t>
        </is>
      </c>
    </row>
    <row r="18">
      <c r="A18" t="inlineStr">
        <is>
          <t>ud→ud</t>
        </is>
      </c>
      <c r="B18" s="78" t="n">
        <v>1</v>
      </c>
      <c r="C18" t="inlineStr">
        <is>
          <t>misma unidad</t>
        </is>
      </c>
    </row>
    <row r="19">
      <c r="A19" t="inlineStr">
        <is>
          <t>docena→ud</t>
        </is>
      </c>
      <c r="B19" s="78" t="n">
        <v>12</v>
      </c>
      <c r="C19" t="inlineStr">
        <is>
          <t>1 docena = 12 ud</t>
        </is>
      </c>
    </row>
    <row r="20">
      <c r="A20" t="inlineStr">
        <is>
          <t>docena→docena</t>
        </is>
      </c>
      <c r="B20" s="78" t="n">
        <v>1</v>
      </c>
      <c r="C20" t="inlineStr">
        <is>
          <t>misma unidad</t>
        </is>
      </c>
    </row>
    <row r="21">
      <c r="A21" t="inlineStr">
        <is>
          <t>ud→docena</t>
        </is>
      </c>
      <c r="B21" s="78" t="n">
        <v>0.0833333333333333</v>
      </c>
      <c r="C21" t="inlineStr">
        <is>
          <t>1 ud = 1/12 docena</t>
        </is>
      </c>
    </row>
    <row r="22">
      <c r="A22" t="inlineStr">
        <is>
          <t>manojo→manojo</t>
        </is>
      </c>
      <c r="B22" s="78" t="n">
        <v>1</v>
      </c>
      <c r="C22" t="inlineStr">
        <is>
          <t>misma unidad</t>
        </is>
      </c>
    </row>
    <row r="23">
      <c r="A23" t="inlineStr">
        <is>
          <t>manojo→ud</t>
        </is>
      </c>
      <c r="B23" s="78" t="n">
        <v>1</v>
      </c>
      <c r="C23" t="inlineStr">
        <is>
          <t>el manojo se compra y se usa como unidad</t>
        </is>
      </c>
    </row>
    <row r="24">
      <c r="A24" t="inlineStr">
        <is>
          <t>sobre→sobre</t>
        </is>
      </c>
      <c r="B24" s="78" t="n">
        <v>1</v>
      </c>
      <c r="C24" t="inlineStr">
        <is>
          <t>misma unidad</t>
        </is>
      </c>
    </row>
    <row r="25">
      <c r="A25" t="inlineStr">
        <is>
          <t>sobre→ud</t>
        </is>
      </c>
      <c r="B25" s="78" t="n">
        <v>1</v>
      </c>
      <c r="C25" t="inlineStr">
        <is>
          <t>el sobre se compra y se usa como unidad</t>
        </is>
      </c>
    </row>
    <row r="26">
      <c r="A26" t="inlineStr">
        <is>
          <t>lata→lata</t>
        </is>
      </c>
      <c r="B26" s="78" t="n">
        <v>1</v>
      </c>
      <c r="C26" t="inlineStr">
        <is>
          <t>misma unidad</t>
        </is>
      </c>
    </row>
    <row r="27">
      <c r="A27" t="inlineStr">
        <is>
          <t>lata→ud</t>
        </is>
      </c>
      <c r="B27" s="78" t="n">
        <v>1</v>
      </c>
      <c r="C27" t="inlineStr">
        <is>
          <t>la lata se compra y se usa como unidad</t>
        </is>
      </c>
    </row>
    <row r="28">
      <c r="A28" t="inlineStr">
        <is>
          <t>botella→botella</t>
        </is>
      </c>
      <c r="B28" s="78" t="n">
        <v>1</v>
      </c>
      <c r="C28" t="inlineStr">
        <is>
          <t>misma unidad</t>
        </is>
      </c>
    </row>
    <row r="29">
      <c r="A29" t="inlineStr">
        <is>
          <t>botella→ud</t>
        </is>
      </c>
      <c r="B29" s="78" t="n">
        <v>1</v>
      </c>
      <c r="C29" t="inlineStr">
        <is>
          <t>la botella se compra y se usa como unidad</t>
        </is>
      </c>
    </row>
    <row r="30">
      <c r="A30" t="inlineStr">
        <is>
          <t>botella→cl</t>
        </is>
      </c>
      <c r="B30" s="78" t="n">
        <v>70</v>
      </c>
      <c r="C30" t="inlineStr">
        <is>
          <t>botella de 70 cl (destilados). Vino: cambia el 70 por 75</t>
        </is>
      </c>
    </row>
    <row r="31">
      <c r="A31" t="inlineStr">
        <is>
          <t>botella→ml</t>
        </is>
      </c>
      <c r="B31" s="78" t="n">
        <v>700</v>
      </c>
      <c r="C31" t="inlineStr">
        <is>
          <t>botella de 70 cl = 700 ml</t>
        </is>
      </c>
    </row>
    <row r="32">
      <c r="A32" t="inlineStr">
        <is>
          <t>botella→L</t>
        </is>
      </c>
      <c r="B32" s="78" t="n">
        <v>0.7</v>
      </c>
      <c r="C32" t="inlineStr">
        <is>
          <t>botella de 70 cl = 0,7 L</t>
        </is>
      </c>
    </row>
    <row r="33">
      <c r="A33" t="inlineStr">
        <is>
          <t>lata→cl</t>
        </is>
      </c>
      <c r="B33" s="78" t="n">
        <v>33</v>
      </c>
      <c r="C33" t="inlineStr">
        <is>
          <t>lata de 33 cl</t>
        </is>
      </c>
    </row>
    <row r="34">
      <c r="A34" t="inlineStr">
        <is>
          <t>lata→ml</t>
        </is>
      </c>
      <c r="B34" s="78" t="n">
        <v>330</v>
      </c>
      <c r="C34" t="inlineStr">
        <is>
          <t>lata de 33 cl = 330 ml</t>
        </is>
      </c>
    </row>
    <row r="35">
      <c r="A35" t="inlineStr">
        <is>
          <t>lata→L</t>
        </is>
      </c>
      <c r="B35" s="78" t="n">
        <v>0.33</v>
      </c>
      <c r="C35" t="inlineStr">
        <is>
          <t>lata de 33 cl = 0,33 L</t>
        </is>
      </c>
    </row>
    <row r="36">
      <c r="A36" t="inlineStr">
        <is>
          <t>manojo→g</t>
        </is>
      </c>
      <c r="B36" s="78" t="n">
        <v>30</v>
      </c>
      <c r="C36" t="inlineStr">
        <is>
          <t>manojo de hierbas ≈ 30 g</t>
        </is>
      </c>
    </row>
    <row r="37">
      <c r="A37" t="inlineStr">
        <is>
          <t>sobre→g</t>
        </is>
      </c>
      <c r="B37" s="78" t="n">
        <v>10</v>
      </c>
      <c r="C37" t="inlineStr">
        <is>
          <t>sobre ≈ 10 g</t>
        </is>
      </c>
    </row>
    <row r="38"/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</cols>
  <sheetData>
    <row r="1">
      <c r="A1" s="76" t="inlineStr">
        <is>
          <t>Mermas de referencia por categoría</t>
        </is>
      </c>
    </row>
    <row r="2">
      <c r="A2" t="inlineStr">
        <is>
          <t>La «típica» es la que se precarga en las filas vacías del escandallo al elegir categoría. Ajústala a tu proveedor.</t>
        </is>
      </c>
    </row>
    <row r="3">
      <c r="A3" t="inlineStr">
        <is>
          <t>Mide tu merma real con la plantilla 12 (Test de Rendimiento) y llévala a «Merma (%)» de la ficha.</t>
        </is>
      </c>
    </row>
    <row r="4">
      <c r="A4" s="77" t="inlineStr">
        <is>
          <t>Categoría</t>
        </is>
      </c>
      <c r="B4" s="77" t="inlineStr">
        <is>
          <t>Merma típica</t>
        </is>
      </c>
      <c r="C4" s="77" t="inlineStr">
        <is>
          <t>Mínima</t>
        </is>
      </c>
      <c r="D4" s="77" t="inlineStr">
        <is>
          <t>Máxima</t>
        </is>
      </c>
    </row>
    <row r="5">
      <c r="A5" t="inlineStr">
        <is>
          <t>Carne roja</t>
        </is>
      </c>
      <c r="B5" s="79" t="n">
        <v>0.2</v>
      </c>
      <c r="C5" s="79" t="n">
        <v>0.15</v>
      </c>
      <c r="D5" s="79" t="n">
        <v>0.25</v>
      </c>
    </row>
    <row r="6">
      <c r="A6" t="inlineStr">
        <is>
          <t>Aves</t>
        </is>
      </c>
      <c r="B6" s="79" t="n">
        <v>0.25</v>
      </c>
      <c r="C6" s="79" t="n">
        <v>0.2</v>
      </c>
      <c r="D6" s="79" t="n">
        <v>0.3</v>
      </c>
    </row>
    <row r="7">
      <c r="A7" t="inlineStr">
        <is>
          <t>Pescado</t>
        </is>
      </c>
      <c r="B7" s="79" t="n">
        <v>0.35</v>
      </c>
      <c r="C7" s="79" t="n">
        <v>0.3</v>
      </c>
      <c r="D7" s="79" t="n">
        <v>0.45</v>
      </c>
    </row>
    <row r="8">
      <c r="A8" t="inlineStr">
        <is>
          <t>Marisco</t>
        </is>
      </c>
      <c r="B8" s="79" t="n">
        <v>0.45</v>
      </c>
      <c r="C8" s="79" t="n">
        <v>0.35</v>
      </c>
      <c r="D8" s="79" t="n">
        <v>0.55</v>
      </c>
    </row>
    <row r="9">
      <c r="A9" t="inlineStr">
        <is>
          <t>Verdura hoja</t>
        </is>
      </c>
      <c r="B9" s="79" t="n">
        <v>0.25</v>
      </c>
      <c r="C9" s="79" t="n">
        <v>0.2</v>
      </c>
      <c r="D9" s="79" t="n">
        <v>0.35</v>
      </c>
    </row>
    <row r="10">
      <c r="A10" t="inlineStr">
        <is>
          <t>Verdura raíz</t>
        </is>
      </c>
      <c r="B10" s="79" t="n">
        <v>0.12</v>
      </c>
      <c r="C10" s="79" t="n">
        <v>0.08</v>
      </c>
      <c r="D10" s="79" t="n">
        <v>0.18</v>
      </c>
    </row>
    <row r="11">
      <c r="A11" t="inlineStr">
        <is>
          <t>Verdura fruto</t>
        </is>
      </c>
      <c r="B11" s="79" t="n">
        <v>0.1</v>
      </c>
      <c r="C11" s="79" t="n">
        <v>0.06</v>
      </c>
      <c r="D11" s="79" t="n">
        <v>0.15</v>
      </c>
    </row>
    <row r="12">
      <c r="A12" t="inlineStr">
        <is>
          <t>Fruta</t>
        </is>
      </c>
      <c r="B12" s="79" t="n">
        <v>0.15</v>
      </c>
      <c r="C12" s="79" t="n">
        <v>0.1</v>
      </c>
      <c r="D12" s="79" t="n">
        <v>0.25</v>
      </c>
    </row>
    <row r="13">
      <c r="A13" t="inlineStr">
        <is>
          <t>Lácteos</t>
        </is>
      </c>
      <c r="B13" s="79" t="n">
        <v>0.03</v>
      </c>
      <c r="C13" s="79" t="n">
        <v>0.01</v>
      </c>
      <c r="D13" s="79" t="n">
        <v>0.05</v>
      </c>
    </row>
    <row r="14">
      <c r="A14" t="inlineStr">
        <is>
          <t>Secos/granos</t>
        </is>
      </c>
      <c r="B14" s="79" t="n">
        <v>0.02</v>
      </c>
      <c r="C14" s="79" t="n">
        <v>0.01</v>
      </c>
      <c r="D14" s="79" t="n">
        <v>0.04</v>
      </c>
    </row>
    <row r="15">
      <c r="A15" t="inlineStr">
        <is>
          <t>Congelados</t>
        </is>
      </c>
      <c r="B15" s="79" t="n">
        <v>0.07000000000000001</v>
      </c>
      <c r="C15" s="79" t="n">
        <v>0.03</v>
      </c>
      <c r="D15" s="79" t="n">
        <v>0.1</v>
      </c>
    </row>
    <row r="16">
      <c r="A16" t="inlineStr">
        <is>
          <t>Pan/bollería</t>
        </is>
      </c>
      <c r="B16" s="79" t="n">
        <v>0.05</v>
      </c>
      <c r="C16" s="79" t="n">
        <v>0.02</v>
      </c>
      <c r="D16" s="79" t="n">
        <v>0.1</v>
      </c>
    </row>
    <row r="17">
      <c r="A17" t="inlineStr">
        <is>
          <t>Huevos</t>
        </is>
      </c>
      <c r="B17" s="79" t="n">
        <v>0.11</v>
      </c>
      <c r="C17" s="79" t="n">
        <v>0.1</v>
      </c>
      <c r="D17" s="79" t="n">
        <v>0.13</v>
      </c>
    </row>
    <row r="18">
      <c r="A18" t="inlineStr">
        <is>
          <t>Aceites/grasas</t>
        </is>
      </c>
      <c r="B18" s="79" t="n">
        <v>0.03</v>
      </c>
      <c r="C18" s="79" t="n">
        <v>0.01</v>
      </c>
      <c r="D18" s="79" t="n">
        <v>0.05</v>
      </c>
    </row>
    <row r="19">
      <c r="A19" t="inlineStr">
        <is>
          <t>Especias/hierbas</t>
        </is>
      </c>
      <c r="B19" s="79" t="n">
        <v>0.2</v>
      </c>
      <c r="C19" s="79" t="n">
        <v>0.1</v>
      </c>
      <c r="D19" s="79" t="n">
        <v>0.3</v>
      </c>
    </row>
    <row r="20">
      <c r="A20" t="inlineStr">
        <is>
          <t>Chocolate/cacao</t>
        </is>
      </c>
      <c r="B20" s="79" t="n">
        <v>0.05</v>
      </c>
      <c r="C20" s="79" t="n">
        <v>0.02</v>
      </c>
      <c r="D20" s="79" t="n">
        <v>0.08</v>
      </c>
    </row>
    <row r="21">
      <c r="A21" t="inlineStr">
        <is>
          <t>Bebidas/licores</t>
        </is>
      </c>
      <c r="B21" s="79" t="n">
        <v>0.02</v>
      </c>
      <c r="C21" s="79" t="n">
        <v>0.01</v>
      </c>
      <c r="D21" s="79" t="n">
        <v>0.04</v>
      </c>
    </row>
    <row r="22">
      <c r="A22" t="inlineStr">
        <is>
          <t>Setas/hongos</t>
        </is>
      </c>
      <c r="B22" s="79" t="n">
        <v>0.2</v>
      </c>
      <c r="C22" s="79" t="n">
        <v>0.12</v>
      </c>
      <c r="D22" s="79" t="n">
        <v>0.3</v>
      </c>
    </row>
    <row r="23">
      <c r="A23" t="inlineStr">
        <is>
          <t>Conservas/encurtidos</t>
        </is>
      </c>
      <c r="B23" s="79" t="n">
        <v>0.08</v>
      </c>
      <c r="C23" s="79" t="n">
        <v>0.04</v>
      </c>
      <c r="D23" s="79" t="n">
        <v>0.15</v>
      </c>
    </row>
    <row r="24">
      <c r="A24" t="inlineStr">
        <is>
          <t>Salsas/condimentos</t>
        </is>
      </c>
      <c r="B24" s="79" t="n">
        <v>0.05</v>
      </c>
      <c r="C24" s="79" t="n">
        <v>0.02</v>
      </c>
      <c r="D24" s="79" t="n">
        <v>0.08</v>
      </c>
    </row>
    <row r="25">
      <c r="A25" t="inlineStr">
        <is>
          <t>Pasta/arroz</t>
        </is>
      </c>
      <c r="B25" s="79" t="n">
        <v>0.02</v>
      </c>
      <c r="C25" s="79" t="n">
        <v>0.01</v>
      </c>
      <c r="D25" s="79" t="n">
        <v>0.04</v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Escandallo — Menú Degustación · Kit de Escandallos Pro</dc:title>
  <dc:description xmlns:dc="http://purl.org/dc/elements/1.1/">aichef.pro/kit-escandallos</dc:description>
  <dc:subject xmlns:dc="http://purl.org/dc/elements/1.1/">Kit de Escandallos Pro · v2.1</dc:subject>
  <dcterms:created xmlns:dcterms="http://purl.org/dc/terms/" xmlns:xsi="http://www.w3.org/2001/XMLSchema-instance" xsi:type="dcterms:W3CDTF">2026-03-18T21:50:23Z</dcterms:created>
  <dcterms:modified xmlns:dcterms="http://purl.org/dc/terms/" xmlns:xsi="http://www.w3.org/2001/XMLSchema-instance" xsi:type="dcterms:W3CDTF">2026-09-24T15:25:01Z</dcterms:modified>
  <cp:lastModifiedBy>AI Chef Pro</cp:lastModifiedBy>
  <cp:category>AI Chef Pro · Productos digitales</cp:category>
  <cp:keywords>kit escandallos, AI Chef Pro</cp:keywords>
</cp:coreProperties>
</file>