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ktail (por persona)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Checklist Evento" sheetId="4" state="visible" r:id="rId4"/>
    <sheet xmlns:r="http://schemas.openxmlformats.org/officeDocument/2006/relationships" name="Presupuesto Cliente" sheetId="5" state="visible" r:id="rId5"/>
    <sheet xmlns:r="http://schemas.openxmlformats.org/officeDocument/2006/relationships" name="Conversiones" sheetId="6" state="visible" r:id="rId6"/>
    <sheet xmlns:r="http://schemas.openxmlformats.org/officeDocument/2006/relationships" name="Mermas" sheetId="7" state="visible" r:id="rId7"/>
  </sheets>
  <definedNames>
    <definedName name="_xlnm.Print_Titles" localSheetId="1">'Cocktail (por persona)'!$4:$4</definedName>
    <definedName name="_xlnm.Print_Area" localSheetId="1">'Cocktail (por persona)'!$A$1:$J$42</definedName>
    <definedName name="_xlnm.Print_Titles" localSheetId="2">'Presupuesto'!$4:$4</definedName>
    <definedName name="_xlnm.Print_Area" localSheetId="2">'Presupuesto'!$A$1:$J$37</definedName>
    <definedName name="_xlnm.Print_Titles" localSheetId="3">'Checklist Evento'!$4:$4</definedName>
    <definedName name="_xlnm.Print_Area" localSheetId="3">'Checklist Evento'!$A$1:$J$45</definedName>
    <definedName name="_xlnm.Print_Area" localSheetId="4">'Presupuesto Cliente'!$A$1:$J$17</definedName>
    <definedName name="_xlnm.Print_Area" localSheetId="5">'Conversiones'!$A$1:$J$67</definedName>
    <definedName name="_xlnm.Print_Area" localSheetId="6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€"/>
    <numFmt numFmtId="165" formatCode="0.000"/>
    <numFmt numFmtId="166" formatCode="0.0%"/>
    <numFmt numFmtId="167" formatCode="0.###"/>
    <numFmt numFmtId="168" formatCode="0.0"/>
    <numFmt numFmtId="169" formatCode="dd/mm/yyyy"/>
  </numFmts>
  <fonts count="2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i val="1"/>
      <sz val="9"/>
    </font>
    <font>
      <b val="1"/>
      <sz val="10"/>
    </font>
    <font>
      <b val="1"/>
      <sz val="13"/>
    </font>
    <font>
      <b val="1"/>
    </font>
    <font>
      <sz val="9"/>
    </font>
  </fonts>
  <fills count="12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FFD700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0" fillId="0" borderId="14" pivotButton="0" quotePrefix="0" xfId="0"/>
    <xf numFmtId="1" fontId="0" fillId="4" borderId="14" pivotButton="0" quotePrefix="0" xfId="0"/>
    <xf numFmtId="164" fontId="0" fillId="4" borderId="14" pivotButton="0" quotePrefix="0" xfId="0"/>
    <xf numFmtId="0" fontId="4" fillId="6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21" fillId="0" borderId="0" pivotButton="0" quotePrefix="0" xfId="0"/>
    <xf numFmtId="1" fontId="0" fillId="9" borderId="14" applyProtection="1" pivotButton="0" quotePrefix="0" xfId="0">
      <protection locked="0" hidden="0"/>
    </xf>
    <xf numFmtId="0" fontId="22" fillId="10" borderId="14" pivotButton="0" quotePrefix="0" xfId="0"/>
    <xf numFmtId="1" fontId="0" fillId="0" borderId="14" pivotButton="0" quotePrefix="0" xfId="0"/>
    <xf numFmtId="168" fontId="0" fillId="9" borderId="14" applyProtection="1" pivotButton="0" quotePrefix="0" xfId="0">
      <protection locked="0" hidden="0"/>
    </xf>
    <xf numFmtId="164" fontId="0" fillId="9" borderId="14" applyProtection="1" pivotButton="0" quotePrefix="0" xfId="0">
      <protection locked="0" hidden="0"/>
    </xf>
    <xf numFmtId="164" fontId="15" fillId="0" borderId="14" pivotButton="0" quotePrefix="0" xfId="0"/>
    <xf numFmtId="0" fontId="22" fillId="10" borderId="0" pivotButton="0" quotePrefix="0" xfId="0"/>
    <xf numFmtId="9" fontId="0" fillId="9" borderId="14" applyProtection="1" pivotButton="0" quotePrefix="0" xfId="0">
      <protection locked="0" hidden="0"/>
    </xf>
    <xf numFmtId="9" fontId="0" fillId="0" borderId="14" pivotButton="0" quotePrefix="0" xfId="0"/>
    <xf numFmtId="0" fontId="21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center"/>
    </xf>
    <xf numFmtId="0" fontId="19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9" borderId="0" applyAlignment="1" applyProtection="1" pivotButton="0" quotePrefix="0" xfId="0">
      <alignment horizontal="center"/>
      <protection locked="0" hidden="0"/>
    </xf>
    <xf numFmtId="0" fontId="0" fillId="9" borderId="0" applyProtection="1" pivotButton="0" quotePrefix="0" xfId="0">
      <protection locked="0" hidden="0"/>
    </xf>
    <xf numFmtId="0" fontId="24" fillId="0" borderId="0" pivotButton="0" quotePrefix="0" xfId="0"/>
    <xf numFmtId="1" fontId="24" fillId="11" borderId="0" applyAlignment="1" pivotButton="0" quotePrefix="0" xfId="0">
      <alignment horizontal="center"/>
    </xf>
    <xf numFmtId="169" fontId="0" fillId="9" borderId="0" applyProtection="1" pivotButton="0" quotePrefix="0" xfId="0">
      <protection locked="0" hidden="0"/>
    </xf>
    <xf numFmtId="0" fontId="0" fillId="9" borderId="0" applyAlignment="1" applyProtection="1" pivotButton="0" quotePrefix="0" xfId="0">
      <alignment vertical="center" wrapText="1"/>
      <protection locked="0" hidden="0"/>
    </xf>
    <xf numFmtId="1" fontId="0" fillId="0" borderId="0" applyAlignment="1" pivotButton="0" quotePrefix="0" xfId="0">
      <alignment horizontal="center"/>
    </xf>
    <xf numFmtId="164" fontId="0" fillId="0" borderId="0" pivotButton="0" quotePrefix="0" xfId="0"/>
    <xf numFmtId="1" fontId="0" fillId="9" borderId="0" applyAlignment="1" applyProtection="1" pivotButton="0" quotePrefix="0" xfId="0">
      <alignment horizontal="center"/>
      <protection locked="0" hidden="0"/>
    </xf>
    <xf numFmtId="164" fontId="0" fillId="9" borderId="0" applyProtection="1" pivotButton="0" quotePrefix="0" xfId="0">
      <protection locked="0" hidden="0"/>
    </xf>
    <xf numFmtId="0" fontId="18" fillId="0" borderId="0" pivotButton="0" quotePrefix="0" xfId="0"/>
    <xf numFmtId="164" fontId="24" fillId="11" borderId="0" pivotButton="0" quotePrefix="0" xfId="0"/>
    <xf numFmtId="0" fontId="25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Catering por Persona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La pestaña «Cocktail (por persona)» se escandalla POR COMENSAL. El número de comensales se escribe UNA sola vez, en «Presupuesto»!C5: si lo metes también en el escandallo, facturas el evento por partida doble.</t>
        </is>
      </c>
    </row>
    <row r="9">
      <c r="B9" s="6" t="inlineStr">
        <is>
          <t>▸ «Presupuesto» es la hoja INTERNA: enseña tus costes y tu margen. El bloque de PVP de la hoja de escandallo es orientativo y sólo cubre la materia prima; el precio al cliente sale del Presupuesto.</t>
        </is>
      </c>
    </row>
    <row r="10">
      <c r="B10" s="6" t="inlineStr">
        <is>
          <t>▸ El personal ya no es una constante escondida: camareros = REDONDEAR.MÁS(comensales ÷ comensales por camarero) × horas × €/hora, más el jefe de sala. Todos los parámetros son celdas verdes.</t>
        </is>
      </c>
    </row>
    <row r="11">
      <c r="B11" s="6" t="inlineStr">
        <is>
          <t>▸ «Checklist Evento»: marca con ✓ en el desplegable de la última columna; el contador del final lleva la cuenta sobre el total.</t>
        </is>
      </c>
    </row>
    <row r="12">
      <c r="B12" s="6" t="inlineStr">
        <is>
          <t>▸ «Presupuesto Cliente» es la ÚNICA hoja que se le enseña al cliente: concepto, comensales y precio con IVA. Sin costes ni margen.</t>
        </is>
      </c>
    </row>
    <row r="13">
      <c r="B13" s="6" t="inlineStr">
        <is>
          <t>▸ Food cost objetivo de referencia en catering: 30-40 %.</t>
        </is>
      </c>
    </row>
    <row r="14">
      <c r="B14" s="6" t="inlineStr">
        <is>
          <t>▸ Las celdas VERDES son las editables; el resto son fórmulas.</t>
        </is>
      </c>
    </row>
    <row r="15">
      <c r="B15" s="8" t="n"/>
    </row>
    <row r="16">
      <c r="B16" s="4" t="inlineStr">
        <is>
          <t>Columnas de la hoja de escandallo</t>
        </is>
      </c>
    </row>
    <row r="17">
      <c r="B17" s="8" t="n"/>
    </row>
    <row r="18">
      <c r="B18" s="6" t="inlineStr">
        <is>
          <t>▸ Ingrediente: el producto tal como lo compras.</t>
        </is>
      </c>
    </row>
    <row r="19">
      <c r="B19" s="6" t="inlineStr">
        <is>
          <t>▸ Categoría: familia del ingrediente (desplegable). Es la que precarga la merma en las filas vacías.</t>
        </is>
      </c>
    </row>
    <row r="20">
      <c r="B20" s="6" t="inlineStr">
        <is>
          <t>▸ Ud. Compra: la unidad en la que COMPRAS (kg, L, docena, manojo…).</t>
        </is>
      </c>
    </row>
    <row r="21">
      <c r="B21" s="6" t="inlineStr">
        <is>
          <t>▸ Precio/Ud (€): lo que pagas por esa unidad de compra.</t>
        </is>
      </c>
    </row>
    <row r="22">
      <c r="B22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3">
      <c r="B23" s="6" t="inlineStr">
        <is>
          <t>▸ Cantidad: la que usas en el plato, EN LA UNIDAD DE USO.</t>
        </is>
      </c>
    </row>
    <row r="24">
      <c r="B24" s="6" t="inlineStr">
        <is>
          <t>▸ Ud. Uso: la unidad en la que mides al cocinar (g, ml, cl, ud…).</t>
        </is>
      </c>
    </row>
    <row r="25">
      <c r="B25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6">
      <c r="B26" s="6" t="inlineStr">
        <is>
          <t>▸ Merma (%): desperdicio. En las filas de ejemplo está escrita a mano; en las vacías la trae la hoja «Mermas» en cuanto eliges categoría, y puedes escribir encima.</t>
        </is>
      </c>
    </row>
    <row r="27">
      <c r="B27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8">
      <c r="B28" s="6" t="inlineStr">
        <is>
          <t>▸ Cant. Bruta: lo que hay que comprar contando la merma (automático).</t>
        </is>
      </c>
    </row>
    <row r="29">
      <c r="B29" s="6" t="inlineStr">
        <is>
          <t>▸ Coste (€): Cant. Bruta × Precio/Ud ÷ Factor (automático).</t>
        </is>
      </c>
    </row>
    <row r="30"/>
    <row r="31">
      <c r="B31" s="4" t="inlineStr">
        <is>
          <t>Bloque de resultado</t>
        </is>
      </c>
    </row>
    <row r="32"/>
    <row r="33">
      <c r="B33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4">
      <c r="B34" s="6" t="inlineStr">
        <is>
          <t>▸ COSTE TOTAL DEL PLATO: materia prima + coste de elaboración.</t>
        </is>
      </c>
    </row>
    <row r="35">
      <c r="B35" s="6" t="inlineStr">
        <is>
          <t>▸ Nº de raciones: cuántas raciones salen de lo escandallado. Déjalo en 1 si es un plato individual.</t>
        </is>
      </c>
    </row>
    <row r="36">
      <c r="B36" s="6" t="inlineStr">
        <is>
          <t>▸ COSTE POR RACIÓN: coste total ÷ raciones. Es la base del PVP.</t>
        </is>
      </c>
    </row>
    <row r="37">
      <c r="B37" s="6" t="inlineStr">
        <is>
          <t>▸ Food Cost objetivo (%): el que quieres conseguir. PVP sin IVA = coste por ración ÷ food cost objetivo.</t>
        </is>
      </c>
    </row>
    <row r="38">
      <c r="B38" s="6" t="inlineStr">
        <is>
          <t>▸ Tipo de IVA (%): editable. 10 % en hostelería en España; cámbialo si te aplica otro tipo (IGIC en Canarias, o el IVA/ITBIS/IVU de tu país en Latinoamérica).</t>
        </is>
      </c>
    </row>
    <row r="39">
      <c r="B39" s="6" t="inlineStr">
        <is>
          <t>▸ PVP actual en carta (sin IVA): lo que cobras HOY. Déjalo vacío si todavía no lo tienes.</t>
        </is>
      </c>
    </row>
    <row r="40">
      <c r="B40" s="6" t="inlineStr">
        <is>
          <t>▸ FOOD COST REAL (%): coste por ración ÷ PVP actual. Se pone en rojo en cuanto supera tu objetivo.</t>
        </is>
      </c>
    </row>
    <row r="41"/>
    <row r="42">
      <c r="B42" s="4" t="inlineStr">
        <is>
          <t>Hojas auxiliares</t>
        </is>
      </c>
    </row>
    <row r="43"/>
    <row r="44">
      <c r="B44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5">
      <c r="B45" s="6" t="inlineStr">
        <is>
          <t>▸ «Mermas»: merma mínima, típica y máxima por categoría. La típica es la que se precarga en las filas vacías.</t>
        </is>
      </c>
    </row>
    <row r="46"/>
    <row r="47">
      <c r="B47" s="4" t="inlineStr">
        <is>
          <t>Protección de la hoja</t>
        </is>
      </c>
    </row>
    <row r="48"/>
    <row r="49">
      <c r="B49" s="6" t="inlineStr">
        <is>
          <t>▸ Las hojas están protegidas SIN contraseña para que no borres una fórmula sin querer: sólo se escriben las celdas verdes.</t>
        </is>
      </c>
    </row>
    <row r="50">
      <c r="B50" s="6" t="inlineStr">
        <is>
          <t>▸ Para tocar cualquier otra cosa —insertar filas, pegar la foto del plato, cambiar una fórmula—: Revisar → Desproteger hoja. No pide contraseña.</t>
        </is>
      </c>
    </row>
    <row r="51">
      <c r="B51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52">
      <c r="B52" s="6" t="inlineStr">
        <is>
          <t>▸ La foto del plato NO se puede arrastrar con la hoja protegida: primero Revisar → Desproteger hoja, y después Insertar → Imagen.</t>
        </is>
      </c>
    </row>
    <row r="53"/>
    <row r="54">
      <c r="B54" s="4" t="inlineStr">
        <is>
          <t>Referencia de mermas estándar</t>
        </is>
      </c>
    </row>
    <row r="55"/>
    <row r="56">
      <c r="B56" s="6" t="inlineStr">
        <is>
          <t>▸ Carne roja 20 % | Aves 25 % | Pescado 35 % | Marisco 45 %</t>
        </is>
      </c>
    </row>
    <row r="57">
      <c r="B57" s="6" t="inlineStr">
        <is>
          <t>▸ Verdura hoja 25 % | Verdura raíz 12 % | Verdura fruto 10 % | Fruta 15 %</t>
        </is>
      </c>
    </row>
    <row r="58">
      <c r="B58" s="6" t="inlineStr">
        <is>
          <t>▸ Lácteos 3 % | Secos/granos 2 % | Congelados 7 % | Pan/bollería 5 %</t>
        </is>
      </c>
    </row>
    <row r="59">
      <c r="B59" s="6" t="inlineStr">
        <is>
          <t>▸ Huevos 11 % | Aceites/grasas 3 % | Especias/hierbas 20 % | Chocolate/cacao 5 %</t>
        </is>
      </c>
    </row>
    <row r="60">
      <c r="B60" s="6" t="inlineStr">
        <is>
          <t>▸ Bebidas/licores 2 % | Setas/hongos 20 % | Conservas/encurtidos 8 % | Salsas/condimentos 5 %</t>
        </is>
      </c>
    </row>
    <row r="61">
      <c r="B61" s="6" t="inlineStr">
        <is>
          <t>▸ Pasta/arroz 2 %</t>
        </is>
      </c>
    </row>
    <row r="62">
      <c r="B62" s="6" t="inlineStr">
        <is>
          <t>▸ Son las 21 categorías del desplegable. La tabla completa, con mínimo y máximo, está en la hoja «Mermas».</t>
        </is>
      </c>
    </row>
    <row r="63"/>
    <row r="64">
      <c r="B64" s="6" t="inlineStr">
        <is>
          <t>— Kit de Escandallos Pro · AI Chef Pro · aichef.pro</t>
        </is>
      </c>
    </row>
    <row r="65"/>
    <row r="66">
      <c r="B66" s="6" t="inlineStr">
        <is>
          <t>© 2026 AI Chef Pro · Todos los derechos reservados</t>
        </is>
      </c>
    </row>
    <row r="67"/>
    <row r="68">
      <c r="B68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Catering Cocktail — Coste por Persona</t>
        </is>
      </c>
    </row>
    <row r="2" ht="30" customHeight="1">
      <c r="A2" s="57" t="inlineStr">
        <is>
          <t>AVISO: todas las cantidades son POR COMENSAL. El número de comensales se escribe UNA sola vez, en «Presupuesto»!C5 — no lo multipliques aquí o facturarás el evento dos veces.</t>
        </is>
      </c>
    </row>
    <row r="3">
      <c r="L3" s="10" t="inlineStr">
        <is>
          <t>📷 Foto del Montaje</t>
        </is>
      </c>
      <c r="M3" s="54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8" t="inlineStr">
        <is>
          <t>Jamón ibérico (loncheado)</t>
        </is>
      </c>
      <c r="B5" s="59" t="inlineStr">
        <is>
          <t>Carne roja</t>
        </is>
      </c>
      <c r="C5" s="59" t="inlineStr">
        <is>
          <t>kg</t>
        </is>
      </c>
      <c r="D5" s="60" t="n">
        <v>65</v>
      </c>
      <c r="E5" s="61" t="n">
        <v>0.04</v>
      </c>
      <c r="F5" s="59" t="inlineStr">
        <is>
          <t>kg</t>
        </is>
      </c>
      <c r="G5" s="62">
        <f>IF(C5&amp;F5="","",IFERROR(VLOOKUP(C5&amp;"→"&amp;F5,Conversiones!$A$5:$B$67,2,FALSE),"?"))</f>
        <v>1.0</v>
      </c>
      <c r="H5" s="63" t="n">
        <v>0.05</v>
      </c>
      <c r="I5" s="20">
        <f>IFERROR(IF(E5="","",E5/(1-H5)),"revisa merma")</f>
        <v>0.04210526315789474</v>
      </c>
      <c r="J5" s="21">
        <f>IF(G5="?","revisa unidades",IFERROR(I5*D5/G5,""))</f>
        <v>2.7368421052631584</v>
      </c>
      <c r="L5" s="22" t="n"/>
      <c r="M5" s="23" t="n"/>
    </row>
    <row r="6" ht="28" customHeight="1">
      <c r="A6" s="58" t="inlineStr">
        <is>
          <t>Queso manchego curado</t>
        </is>
      </c>
      <c r="B6" s="59" t="inlineStr">
        <is>
          <t>Lácteos</t>
        </is>
      </c>
      <c r="C6" s="59" t="inlineStr">
        <is>
          <t>kg</t>
        </is>
      </c>
      <c r="D6" s="60" t="n">
        <v>16</v>
      </c>
      <c r="E6" s="61" t="n">
        <v>0.04</v>
      </c>
      <c r="F6" s="59" t="inlineStr">
        <is>
          <t>kg</t>
        </is>
      </c>
      <c r="G6" s="62">
        <f>IF(C6&amp;F6="","",IFERROR(VLOOKUP(C6&amp;"→"&amp;F6,Conversiones!$A$5:$B$67,2,FALSE),"?"))</f>
        <v>1.0</v>
      </c>
      <c r="H6" s="63" t="n">
        <v>0.1</v>
      </c>
      <c r="I6" s="20">
        <f>IFERROR(IF(E6="","",E6/(1-H6)),"revisa merma")</f>
        <v>0.044444444444444446</v>
      </c>
      <c r="J6" s="21">
        <f>IF(G6="?","revisa unidades",IFERROR(I6*D6/G6,""))</f>
        <v>0.7111111111111111</v>
      </c>
      <c r="L6" s="22" t="n"/>
      <c r="M6" s="23" t="n"/>
    </row>
    <row r="7" ht="28" customHeight="1">
      <c r="A7" s="58" t="inlineStr">
        <is>
          <t>Salmón ahumado</t>
        </is>
      </c>
      <c r="B7" s="59" t="inlineStr">
        <is>
          <t>Pescado</t>
        </is>
      </c>
      <c r="C7" s="59" t="inlineStr">
        <is>
          <t>kg</t>
        </is>
      </c>
      <c r="D7" s="60" t="n">
        <v>35</v>
      </c>
      <c r="E7" s="61" t="n">
        <v>0.03</v>
      </c>
      <c r="F7" s="59" t="inlineStr">
        <is>
          <t>kg</t>
        </is>
      </c>
      <c r="G7" s="62">
        <f>IF(C7&amp;F7="","",IFERROR(VLOOKUP(C7&amp;"→"&amp;F7,Conversiones!$A$5:$B$67,2,FALSE),"?"))</f>
        <v>1.0</v>
      </c>
      <c r="H7" s="63" t="n">
        <v>0.1</v>
      </c>
      <c r="I7" s="20">
        <f>IFERROR(IF(E7="","",E7/(1-H7)),"revisa merma")</f>
        <v>0.03333333333333333</v>
      </c>
      <c r="J7" s="21">
        <f>IF(G7="?","revisa unidades",IFERROR(I7*D7/G7,""))</f>
        <v>1.1666666666666667</v>
      </c>
      <c r="L7" s="22" t="n"/>
      <c r="M7" s="23" t="n"/>
    </row>
    <row r="8" ht="28" customHeight="1">
      <c r="A8" s="58" t="inlineStr">
        <is>
          <t>Langostino cocido</t>
        </is>
      </c>
      <c r="B8" s="59" t="inlineStr">
        <is>
          <t>Marisco</t>
        </is>
      </c>
      <c r="C8" s="59" t="inlineStr">
        <is>
          <t>kg</t>
        </is>
      </c>
      <c r="D8" s="60" t="n">
        <v>18</v>
      </c>
      <c r="E8" s="61" t="n">
        <v>0.05</v>
      </c>
      <c r="F8" s="59" t="inlineStr">
        <is>
          <t>kg</t>
        </is>
      </c>
      <c r="G8" s="62">
        <f>IF(C8&amp;F8="","",IFERROR(VLOOKUP(C8&amp;"→"&amp;F8,Conversiones!$A$5:$B$67,2,FALSE),"?"))</f>
        <v>1.0</v>
      </c>
      <c r="H8" s="63" t="n">
        <v>0.45</v>
      </c>
      <c r="I8" s="20">
        <f>IFERROR(IF(E8="","",E8/(1-H8)),"revisa merma")</f>
        <v>0.09090909090909091</v>
      </c>
      <c r="J8" s="21">
        <f>IF(G8="?","revisa unidades",IFERROR(I8*D8/G8,""))</f>
        <v>1.6363636363636365</v>
      </c>
      <c r="L8" s="24" t="inlineStr">
        <is>
          <t>Foto del montaje terminado:
Revisar → Desproteger hoja,
luego Insertar → Imagen</t>
        </is>
      </c>
      <c r="M8" s="25" t="n"/>
    </row>
    <row r="9" ht="28" customHeight="1">
      <c r="A9" s="58" t="inlineStr">
        <is>
          <t>Croquetas (ud)</t>
        </is>
      </c>
      <c r="B9" s="59" t="inlineStr">
        <is>
          <t>Congelados</t>
        </is>
      </c>
      <c r="C9" s="59" t="inlineStr">
        <is>
          <t>ud</t>
        </is>
      </c>
      <c r="D9" s="60" t="n">
        <v>0.35</v>
      </c>
      <c r="E9" s="61" t="n">
        <v>3</v>
      </c>
      <c r="F9" s="59" t="inlineStr">
        <is>
          <t>ud</t>
        </is>
      </c>
      <c r="G9" s="62">
        <f>IF(C9&amp;F9="","",IFERROR(VLOOKUP(C9&amp;"→"&amp;F9,Conversiones!$A$5:$B$67,2,FALSE),"?"))</f>
        <v>1.0</v>
      </c>
      <c r="H9" s="63" t="n">
        <v>0.05</v>
      </c>
      <c r="I9" s="20">
        <f>IFERROR(IF(E9="","",E9/(1-H9)),"revisa merma")</f>
        <v>3.1578947368421053</v>
      </c>
      <c r="J9" s="21">
        <f>IF(G9="?","revisa unidades",IFERROR(I9*D9/G9,""))</f>
        <v>1.1052631578947367</v>
      </c>
      <c r="L9" s="26" t="n"/>
      <c r="M9" s="27" t="n"/>
    </row>
    <row r="10" ht="28" customHeight="1">
      <c r="A10" s="58" t="inlineStr">
        <is>
          <t>Mini quiche (ud)</t>
        </is>
      </c>
      <c r="B10" s="59" t="inlineStr">
        <is>
          <t>Congelados</t>
        </is>
      </c>
      <c r="C10" s="59" t="inlineStr">
        <is>
          <t>ud</t>
        </is>
      </c>
      <c r="D10" s="60" t="n">
        <v>0.45</v>
      </c>
      <c r="E10" s="61" t="n">
        <v>2</v>
      </c>
      <c r="F10" s="59" t="inlineStr">
        <is>
          <t>ud</t>
        </is>
      </c>
      <c r="G10" s="62">
        <f>IF(C10&amp;F10="","",IFERROR(VLOOKUP(C10&amp;"→"&amp;F10,Conversiones!$A$5:$B$67,2,FALSE),"?"))</f>
        <v>1.0</v>
      </c>
      <c r="H10" s="63" t="n">
        <v>0.05</v>
      </c>
      <c r="I10" s="20">
        <f>IFERROR(IF(E10="","",E10/(1-H10)),"revisa merma")</f>
        <v>2.1052631578947367</v>
      </c>
      <c r="J10" s="21">
        <f>IF(G10="?","revisa unidades",IFERROR(I10*D10/G10,""))</f>
        <v>0.9473684210526315</v>
      </c>
      <c r="L10" s="22" t="n"/>
      <c r="M10" s="23" t="n"/>
    </row>
    <row r="11" ht="28" customHeight="1">
      <c r="A11" s="58" t="inlineStr">
        <is>
          <t>Pan mini (ud)</t>
        </is>
      </c>
      <c r="B11" s="59" t="inlineStr">
        <is>
          <t>Pan/bollería</t>
        </is>
      </c>
      <c r="C11" s="59" t="inlineStr">
        <is>
          <t>ud</t>
        </is>
      </c>
      <c r="D11" s="60" t="n">
        <v>0.15</v>
      </c>
      <c r="E11" s="61" t="n">
        <v>3</v>
      </c>
      <c r="F11" s="59" t="inlineStr">
        <is>
          <t>ud</t>
        </is>
      </c>
      <c r="G11" s="62">
        <f>IF(C11&amp;F11="","",IFERROR(VLOOKUP(C11&amp;"→"&amp;F11,Conversiones!$A$5:$B$67,2,FALSE),"?"))</f>
        <v>1.0</v>
      </c>
      <c r="H11" s="63" t="n">
        <v>0.1</v>
      </c>
      <c r="I11" s="20">
        <f>IFERROR(IF(E11="","",E11/(1-H11)),"revisa merma")</f>
        <v>3.333333333333333</v>
      </c>
      <c r="J11" s="21">
        <f>IF(G11="?","revisa unidades",IFERROR(I11*D11/G11,""))</f>
        <v>0.49999999999999994</v>
      </c>
      <c r="L11" s="22" t="n"/>
      <c r="M11" s="23" t="n"/>
    </row>
    <row r="12" ht="28" customHeight="1">
      <c r="A12" s="58" t="inlineStr">
        <is>
          <t>Fruta variada</t>
        </is>
      </c>
      <c r="B12" s="59" t="inlineStr">
        <is>
          <t>Fruta</t>
        </is>
      </c>
      <c r="C12" s="59" t="inlineStr">
        <is>
          <t>kg</t>
        </is>
      </c>
      <c r="D12" s="60" t="n">
        <v>3.5</v>
      </c>
      <c r="E12" s="61" t="n">
        <v>0.06</v>
      </c>
      <c r="F12" s="59" t="inlineStr">
        <is>
          <t>kg</t>
        </is>
      </c>
      <c r="G12" s="62">
        <f>IF(C12&amp;F12="","",IFERROR(VLOOKUP(C12&amp;"→"&amp;F12,Conversiones!$A$5:$B$67,2,FALSE),"?"))</f>
        <v>1.0</v>
      </c>
      <c r="H12" s="63" t="n">
        <v>0.15</v>
      </c>
      <c r="I12" s="20">
        <f>IFERROR(IF(E12="","",E12/(1-H12)),"revisa merma")</f>
        <v>0.07058823529411765</v>
      </c>
      <c r="J12" s="21">
        <f>IF(G12="?","revisa unidades",IFERROR(I12*D12/G12,""))</f>
        <v>0.24705882352941178</v>
      </c>
      <c r="L12" s="22" t="n"/>
      <c r="M12" s="23" t="n"/>
    </row>
    <row r="13" ht="28" customHeight="1">
      <c r="A13" s="58" t="inlineStr">
        <is>
          <t>Bebida (vino + agua)</t>
        </is>
      </c>
      <c r="B13" s="59" t="inlineStr">
        <is>
          <t>Bebidas/licores</t>
        </is>
      </c>
      <c r="C13" s="59" t="inlineStr">
        <is>
          <t>L</t>
        </is>
      </c>
      <c r="D13" s="60" t="n">
        <v>3</v>
      </c>
      <c r="E13" s="61" t="n">
        <v>0.35</v>
      </c>
      <c r="F13" s="59" t="inlineStr">
        <is>
          <t>L</t>
        </is>
      </c>
      <c r="G13" s="62">
        <f>IF(C13&amp;F13="","",IFERROR(VLOOKUP(C13&amp;"→"&amp;F13,Conversiones!$A$5:$B$67,2,FALSE),"?"))</f>
        <v>1.0</v>
      </c>
      <c r="H13" s="63" t="n">
        <v>0.05</v>
      </c>
      <c r="I13" s="20">
        <f>IFERROR(IF(E13="","",E13/(1-H13)),"revisa merma")</f>
        <v>0.3684210526315789</v>
      </c>
      <c r="J13" s="21">
        <f>IF(G13="?","revisa unidades",IFERROR(I13*D13/G13,""))</f>
        <v>1.1052631578947367</v>
      </c>
      <c r="L13" s="22" t="n"/>
      <c r="M13" s="23" t="n"/>
    </row>
    <row r="14" ht="28" customHeight="1">
      <c r="A14" s="58" t="inlineStr">
        <is>
          <t>Café</t>
        </is>
      </c>
      <c r="B14" s="59" t="inlineStr">
        <is>
          <t>Bebidas/licores</t>
        </is>
      </c>
      <c r="C14" s="59" t="inlineStr">
        <is>
          <t>ud</t>
        </is>
      </c>
      <c r="D14" s="60" t="n">
        <v>0.2</v>
      </c>
      <c r="E14" s="61" t="n">
        <v>1</v>
      </c>
      <c r="F14" s="59" t="inlineStr">
        <is>
          <t>ud</t>
        </is>
      </c>
      <c r="G14" s="62">
        <f>IF(C14&amp;F14="","",IFERROR(VLOOKUP(C14&amp;"→"&amp;F14,Conversiones!$A$5:$B$67,2,FALSE),"?"))</f>
        <v>1.0</v>
      </c>
      <c r="H14" s="63" t="n">
        <v>0</v>
      </c>
      <c r="I14" s="20">
        <f>IFERROR(IF(E14="","",E14/(1-H14)),"revisa merma")</f>
        <v>1.0</v>
      </c>
      <c r="J14" s="21">
        <f>IF(G14="?","revisa unidades",IFERROR(I14*D14/G14,""))</f>
        <v>0.2</v>
      </c>
      <c r="L14" s="28" t="n"/>
      <c r="M14" s="29" t="n"/>
    </row>
    <row r="15">
      <c r="A15" s="64" t="n"/>
      <c r="B15" s="64" t="n"/>
      <c r="C15" s="64" t="n"/>
      <c r="D15" s="64" t="n"/>
      <c r="E15" s="64" t="n"/>
      <c r="F15" s="64" t="n"/>
      <c r="G15" s="62">
        <f>IF(C15&amp;F15="","",IFERROR(VLOOKUP(C15&amp;"→"&amp;F15,Conversiones!$A$5:$B$67,2,FALSE),"?"))</f>
        <v/>
      </c>
      <c r="H15" s="65">
        <f>IFERROR(VLOOKUP(B15,Mermas!$A$5:$C$25,2,FALSE),"")</f>
        <v/>
      </c>
      <c r="I15" s="32">
        <f>IFERROR(IF(E15="","",E15/(1-H15)),"revisa merma")</f>
        <v/>
      </c>
      <c r="J15" s="33">
        <f>IF(G15="?","revisa unidades",IFERROR(I15*D15/G15,""))</f>
        <v/>
      </c>
      <c r="L15" s="34" t="n"/>
    </row>
    <row r="16">
      <c r="A16" s="64" t="n"/>
      <c r="B16" s="64" t="n"/>
      <c r="C16" s="64" t="n"/>
      <c r="D16" s="64" t="n"/>
      <c r="E16" s="64" t="n"/>
      <c r="F16" s="64" t="n"/>
      <c r="G16" s="62">
        <f>IF(C16&amp;F16="","",IFERROR(VLOOKUP(C16&amp;"→"&amp;F16,Conversiones!$A$5:$B$67,2,FALSE),"?"))</f>
        <v/>
      </c>
      <c r="H16" s="65">
        <f>IFERROR(VLOOKUP(B16,Mermas!$A$5:$C$25,2,FALSE),"")</f>
        <v/>
      </c>
      <c r="I16" s="32">
        <f>IFERROR(IF(E16="","",E16/(1-H16)),"revisa merma")</f>
        <v/>
      </c>
      <c r="J16" s="33">
        <f>IF(G16="?","revisa unidades",IFERROR(I16*D16/G16,""))</f>
        <v/>
      </c>
    </row>
    <row r="17">
      <c r="A17" s="64" t="n"/>
      <c r="B17" s="64" t="n"/>
      <c r="C17" s="64" t="n"/>
      <c r="D17" s="64" t="n"/>
      <c r="E17" s="64" t="n"/>
      <c r="F17" s="64" t="n"/>
      <c r="G17" s="62">
        <f>IF(C17&amp;F17="","",IFERROR(VLOOKUP(C17&amp;"→"&amp;F17,Conversiones!$A$5:$B$67,2,FALSE),"?"))</f>
        <v/>
      </c>
      <c r="H17" s="65">
        <f>IFERROR(VLOOKUP(B17,Mermas!$A$5:$C$25,2,FALSE),"")</f>
        <v/>
      </c>
      <c r="I17" s="32">
        <f>IFERROR(IF(E17="","",E17/(1-H17)),"revisa merma")</f>
        <v/>
      </c>
      <c r="J17" s="33">
        <f>IF(G17="?","revisa unidades",IFERROR(I17*D17/G17,""))</f>
        <v/>
      </c>
    </row>
    <row r="18">
      <c r="A18" s="64" t="n"/>
      <c r="B18" s="64" t="n"/>
      <c r="C18" s="64" t="n"/>
      <c r="D18" s="64" t="n"/>
      <c r="E18" s="64" t="n"/>
      <c r="F18" s="64" t="n"/>
      <c r="G18" s="62">
        <f>IF(C18&amp;F18="","",IFERROR(VLOOKUP(C18&amp;"→"&amp;F18,Conversiones!$A$5:$B$67,2,FALSE),"?"))</f>
        <v/>
      </c>
      <c r="H18" s="65">
        <f>IFERROR(VLOOKUP(B18,Mermas!$A$5:$C$25,2,FALSE),"")</f>
        <v/>
      </c>
      <c r="I18" s="32">
        <f>IFERROR(IF(E18="","",E18/(1-H18)),"revisa merma")</f>
        <v/>
      </c>
      <c r="J18" s="33">
        <f>IF(G18="?","revisa unidades",IFERROR(I18*D18/G18,""))</f>
        <v/>
      </c>
    </row>
    <row r="19">
      <c r="A19" s="64" t="n"/>
      <c r="B19" s="64" t="n"/>
      <c r="C19" s="64" t="n"/>
      <c r="D19" s="64" t="n"/>
      <c r="E19" s="64" t="n"/>
      <c r="F19" s="64" t="n"/>
      <c r="G19" s="62">
        <f>IF(C19&amp;F19="","",IFERROR(VLOOKUP(C19&amp;"→"&amp;F19,Conversiones!$A$5:$B$67,2,FALSE),"?"))</f>
        <v/>
      </c>
      <c r="H19" s="65">
        <f>IFERROR(VLOOKUP(B19,Mermas!$A$5:$C$25,2,FALSE),"")</f>
        <v/>
      </c>
      <c r="I19" s="32">
        <f>IFERROR(IF(E19="","",E19/(1-H19)),"revisa merma")</f>
        <v/>
      </c>
      <c r="J19" s="33">
        <f>IF(G19="?","revisa unidades",IFERROR(I19*D19/G19,""))</f>
        <v/>
      </c>
    </row>
    <row r="20">
      <c r="A20" s="64" t="n"/>
      <c r="B20" s="64" t="n"/>
      <c r="C20" s="64" t="n"/>
      <c r="D20" s="64" t="n"/>
      <c r="E20" s="64" t="n"/>
      <c r="F20" s="64" t="n"/>
      <c r="G20" s="62">
        <f>IF(C20&amp;F20="","",IFERROR(VLOOKUP(C20&amp;"→"&amp;F20,Conversiones!$A$5:$B$67,2,FALSE),"?"))</f>
        <v/>
      </c>
      <c r="H20" s="65">
        <f>IFERROR(VLOOKUP(B20,Mermas!$A$5:$C$25,2,FALSE),"")</f>
        <v/>
      </c>
      <c r="I20" s="32">
        <f>IFERROR(IF(E20="","",E20/(1-H20)),"revisa merma")</f>
        <v/>
      </c>
      <c r="J20" s="33">
        <f>IF(G20="?","revisa unidades",IFERROR(I20*D20/G20,""))</f>
        <v/>
      </c>
    </row>
    <row r="21">
      <c r="A21" s="64" t="n"/>
      <c r="B21" s="64" t="n"/>
      <c r="C21" s="64" t="n"/>
      <c r="D21" s="64" t="n"/>
      <c r="E21" s="64" t="n"/>
      <c r="F21" s="64" t="n"/>
      <c r="G21" s="62">
        <f>IF(C21&amp;F21="","",IFERROR(VLOOKUP(C21&amp;"→"&amp;F21,Conversiones!$A$5:$B$67,2,FALSE),"?"))</f>
        <v/>
      </c>
      <c r="H21" s="65">
        <f>IFERROR(VLOOKUP(B21,Mermas!$A$5:$C$25,2,FALSE),"")</f>
        <v/>
      </c>
      <c r="I21" s="32">
        <f>IFERROR(IF(E21="","",E21/(1-H21)),"revisa merma")</f>
        <v/>
      </c>
      <c r="J21" s="33">
        <f>IF(G21="?","revisa unidades",IFERROR(I21*D21/G21,""))</f>
        <v/>
      </c>
    </row>
    <row r="22">
      <c r="A22" s="64" t="n"/>
      <c r="B22" s="64" t="n"/>
      <c r="C22" s="64" t="n"/>
      <c r="D22" s="64" t="n"/>
      <c r="E22" s="64" t="n"/>
      <c r="F22" s="64" t="n"/>
      <c r="G22" s="62">
        <f>IF(C22&amp;F22="","",IFERROR(VLOOKUP(C22&amp;"→"&amp;F22,Conversiones!$A$5:$B$67,2,FALSE),"?"))</f>
        <v/>
      </c>
      <c r="H22" s="65">
        <f>IFERROR(VLOOKUP(B22,Mermas!$A$5:$C$25,2,FALSE),"")</f>
        <v/>
      </c>
      <c r="I22" s="32">
        <f>IFERROR(IF(E22="","",E22/(1-H22)),"revisa merma")</f>
        <v/>
      </c>
      <c r="J22" s="33">
        <f>IF(G22="?","revisa unidades",IFERROR(I22*D22/G22,""))</f>
        <v/>
      </c>
    </row>
    <row r="23">
      <c r="A23" s="64" t="n"/>
      <c r="B23" s="64" t="n"/>
      <c r="C23" s="64" t="n"/>
      <c r="D23" s="64" t="n"/>
      <c r="E23" s="64" t="n"/>
      <c r="F23" s="64" t="n"/>
      <c r="G23" s="62">
        <f>IF(C23&amp;F23="","",IFERROR(VLOOKUP(C23&amp;"→"&amp;F23,Conversiones!$A$5:$B$67,2,FALSE),"?"))</f>
        <v/>
      </c>
      <c r="H23" s="65">
        <f>IFERROR(VLOOKUP(B23,Mermas!$A$5:$C$25,2,FALSE),"")</f>
        <v/>
      </c>
      <c r="I23" s="32">
        <f>IFERROR(IF(E23="","",E23/(1-H23)),"revisa merma")</f>
        <v/>
      </c>
      <c r="J23" s="33">
        <f>IF(G23="?","revisa unidades",IFERROR(I23*D23/G23,""))</f>
        <v/>
      </c>
    </row>
    <row r="24">
      <c r="A24" s="64" t="n"/>
      <c r="B24" s="64" t="n"/>
      <c r="C24" s="64" t="n"/>
      <c r="D24" s="64" t="n"/>
      <c r="E24" s="64" t="n"/>
      <c r="F24" s="64" t="n"/>
      <c r="G24" s="62">
        <f>IF(C24&amp;F24="","",IFERROR(VLOOKUP(C24&amp;"→"&amp;F24,Conversiones!$A$5:$B$67,2,FALSE),"?"))</f>
        <v/>
      </c>
      <c r="H24" s="65">
        <f>IFERROR(VLOOKUP(B24,Mermas!$A$5:$C$25,2,FALSE),"")</f>
        <v/>
      </c>
      <c r="I24" s="32">
        <f>IFERROR(IF(E24="","",E24/(1-H24)),"revisa merma")</f>
        <v/>
      </c>
      <c r="J24" s="33">
        <f>IF(G24="?","revisa unidades",IFERROR(I24*D24/G24,""))</f>
        <v/>
      </c>
    </row>
    <row r="25"/>
    <row r="26">
      <c r="A26" s="35" t="inlineStr">
        <is>
          <t>COSTE TOTAL INGREDIENTES</t>
        </is>
      </c>
      <c r="B26" s="55" t="n"/>
      <c r="C26" s="55" t="n"/>
      <c r="D26" s="55" t="n"/>
      <c r="E26" s="55" t="n"/>
      <c r="F26" s="55" t="n"/>
      <c r="G26" s="55" t="n"/>
      <c r="H26" s="55" t="n"/>
      <c r="I26" s="56" t="n"/>
      <c r="J26" s="36">
        <f>SUM(J5:J24)</f>
        <v>10.35593707977609</v>
      </c>
    </row>
    <row r="27">
      <c r="A27" s="37" t="inlineStr">
        <is>
          <t>Coste elaboración (%)</t>
        </is>
      </c>
      <c r="B27" s="55" t="n"/>
      <c r="C27" s="55" t="n"/>
      <c r="D27" s="55" t="n"/>
      <c r="E27" s="55" t="n"/>
      <c r="F27" s="55" t="n"/>
      <c r="G27" s="55" t="n"/>
      <c r="H27" s="56" t="n"/>
      <c r="I27" s="66" t="n">
        <v>0.1</v>
      </c>
      <c r="J27" s="38">
        <f>J26*I27</f>
        <v>1.0355937079776092</v>
      </c>
    </row>
    <row r="28">
      <c r="A28" s="39" t="inlineStr">
        <is>
          <t>COSTE TOTAL POR PERSONA</t>
        </is>
      </c>
      <c r="B28" s="55" t="n"/>
      <c r="C28" s="55" t="n"/>
      <c r="D28" s="55" t="n"/>
      <c r="E28" s="55" t="n"/>
      <c r="F28" s="55" t="n"/>
      <c r="G28" s="55" t="n"/>
      <c r="H28" s="55" t="n"/>
      <c r="I28" s="56" t="n"/>
      <c r="J28" s="40">
        <f>J26+J27</f>
        <v>11.3915307877537</v>
      </c>
    </row>
    <row r="29">
      <c r="A29" s="37" t="inlineStr">
        <is>
          <t>Nº de raciones</t>
        </is>
      </c>
      <c r="B29" s="55" t="n"/>
      <c r="C29" s="55" t="n"/>
      <c r="D29" s="55" t="n"/>
      <c r="E29" s="55" t="n"/>
      <c r="F29" s="55" t="n"/>
      <c r="G29" s="55" t="n"/>
      <c r="H29" s="56" t="n"/>
      <c r="I29" s="67" t="n">
        <v>1</v>
      </c>
      <c r="J29" s="38" t="n"/>
    </row>
    <row r="30">
      <c r="A30" s="39" t="inlineStr">
        <is>
          <t>COSTE POR RACIÓN</t>
        </is>
      </c>
      <c r="B30" s="55" t="n"/>
      <c r="C30" s="55" t="n"/>
      <c r="D30" s="55" t="n"/>
      <c r="E30" s="55" t="n"/>
      <c r="F30" s="55" t="n"/>
      <c r="G30" s="55" t="n"/>
      <c r="H30" s="55" t="n"/>
      <c r="I30" s="56" t="n"/>
      <c r="J30" s="40">
        <f>IFERROR(J28/I29,"")</f>
        <v>11.3915307877537</v>
      </c>
    </row>
    <row r="31"/>
    <row r="32">
      <c r="A32" s="41" t="inlineStr">
        <is>
          <t>Food Cost objetivo (%)</t>
        </is>
      </c>
      <c r="B32" s="55" t="n"/>
      <c r="C32" s="55" t="n"/>
      <c r="D32" s="55" t="n"/>
      <c r="E32" s="55" t="n"/>
      <c r="F32" s="55" t="n"/>
      <c r="G32" s="55" t="n"/>
      <c r="H32" s="56" t="n"/>
      <c r="I32" s="68" t="n">
        <v>0.35</v>
      </c>
    </row>
    <row r="33">
      <c r="A33" s="43" t="inlineStr">
        <is>
          <t>PVP SUGERIDO (sin IVA)</t>
        </is>
      </c>
      <c r="B33" s="55" t="n"/>
      <c r="C33" s="55" t="n"/>
      <c r="D33" s="55" t="n"/>
      <c r="E33" s="55" t="n"/>
      <c r="F33" s="55" t="n"/>
      <c r="G33" s="55" t="n"/>
      <c r="H33" s="55" t="n"/>
      <c r="I33" s="56" t="n"/>
      <c r="J33" s="44">
        <f>IFERROR(J30/I32,"")</f>
        <v>32.54723082215343</v>
      </c>
    </row>
    <row r="34">
      <c r="A34" s="37" t="inlineStr">
        <is>
          <t>Tipo de IVA (%)</t>
        </is>
      </c>
      <c r="B34" s="55" t="n"/>
      <c r="C34" s="55" t="n"/>
      <c r="D34" s="55" t="n"/>
      <c r="E34" s="55" t="n"/>
      <c r="F34" s="55" t="n"/>
      <c r="G34" s="55" t="n"/>
      <c r="H34" s="56" t="n"/>
      <c r="I34" s="66" t="n">
        <v>0.1</v>
      </c>
      <c r="J34" s="38" t="n"/>
    </row>
    <row r="35">
      <c r="A35" s="39" t="inlineStr">
        <is>
          <t>PVP CON IVA</t>
        </is>
      </c>
      <c r="B35" s="55" t="n"/>
      <c r="C35" s="55" t="n"/>
      <c r="D35" s="55" t="n"/>
      <c r="E35" s="55" t="n"/>
      <c r="F35" s="55" t="n"/>
      <c r="G35" s="55" t="n"/>
      <c r="H35" s="55" t="n"/>
      <c r="I35" s="56" t="n"/>
      <c r="J35" s="40">
        <f>IFERROR(J33*(1+I34),"")</f>
        <v>35.80195390436878</v>
      </c>
    </row>
    <row r="36">
      <c r="A36" s="43" t="inlineStr">
        <is>
          <t>Margen bruto (€)</t>
        </is>
      </c>
      <c r="B36" s="55" t="n"/>
      <c r="C36" s="55" t="n"/>
      <c r="D36" s="55" t="n"/>
      <c r="E36" s="55" t="n"/>
      <c r="F36" s="55" t="n"/>
      <c r="G36" s="55" t="n"/>
      <c r="H36" s="55" t="n"/>
      <c r="I36" s="56" t="n"/>
      <c r="J36" s="44">
        <f>IFERROR(J33-J30,"")</f>
        <v>21.15570003439973</v>
      </c>
    </row>
    <row r="37">
      <c r="A37" s="37" t="inlineStr">
        <is>
          <t>Margen bruto (%)</t>
        </is>
      </c>
      <c r="B37" s="55" t="n"/>
      <c r="C37" s="55" t="n"/>
      <c r="D37" s="55" t="n"/>
      <c r="E37" s="55" t="n"/>
      <c r="F37" s="55" t="n"/>
      <c r="G37" s="55" t="n"/>
      <c r="H37" s="55" t="n"/>
      <c r="I37" s="56" t="n"/>
      <c r="J37" s="47">
        <f>IFERROR((J33-J30)/J33,"")</f>
        <v>0.65</v>
      </c>
    </row>
    <row r="38"/>
    <row r="39">
      <c r="A39" s="37" t="inlineStr">
        <is>
          <t>PVP actual en carta (sin IVA)</t>
        </is>
      </c>
      <c r="B39" s="55" t="n"/>
      <c r="C39" s="55" t="n"/>
      <c r="D39" s="55" t="n"/>
      <c r="E39" s="55" t="n"/>
      <c r="F39" s="55" t="n"/>
      <c r="G39" s="55" t="n"/>
      <c r="H39" s="56" t="n"/>
      <c r="I39" s="69" t="n"/>
      <c r="J39" s="38" t="n"/>
    </row>
    <row r="40">
      <c r="A40" s="39" t="inlineStr">
        <is>
          <t>FOOD COST REAL (%)</t>
        </is>
      </c>
      <c r="B40" s="55" t="n"/>
      <c r="C40" s="55" t="n"/>
      <c r="D40" s="55" t="n"/>
      <c r="E40" s="55" t="n"/>
      <c r="F40" s="55" t="n"/>
      <c r="G40" s="55" t="n"/>
      <c r="H40" s="55" t="n"/>
      <c r="I40" s="56" t="n"/>
      <c r="J40" s="70">
        <f>IFERROR(J30/I39,"")</f>
        <v/>
      </c>
    </row>
    <row r="41"/>
    <row r="42">
      <c r="A42" s="71" t="inlineStr">
        <is>
          <t>PVP orientativo: cubre sólo la materia prima. El precio que se le da al cliente sale de la hoja «Presupuesto», que suma personal, menaje, transporte y montaje.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4:H34"/>
    <mergeCell ref="A37:I37"/>
    <mergeCell ref="A32:H32"/>
    <mergeCell ref="L3:M3"/>
    <mergeCell ref="A30:I30"/>
    <mergeCell ref="L8:M9"/>
    <mergeCell ref="A2:J2"/>
    <mergeCell ref="A27:H27"/>
    <mergeCell ref="A33:I33"/>
    <mergeCell ref="A29:H29"/>
    <mergeCell ref="A36:I36"/>
    <mergeCell ref="A28:I28"/>
    <mergeCell ref="A26:I26"/>
    <mergeCell ref="A39:H39"/>
    <mergeCell ref="A35:I35"/>
    <mergeCell ref="A1:J1"/>
    <mergeCell ref="A40:I40"/>
  </mergeCells>
  <conditionalFormatting sqref="G5:G24">
    <cfRule type="cellIs" priority="1" operator="equal" dxfId="0">
      <formula>"?"</formula>
    </cfRule>
  </conditionalFormatting>
  <conditionalFormatting sqref="J40">
    <cfRule type="expression" priority="2" dxfId="0" stopIfTrue="0">
      <formula>AND(ISNUMBER($J$40),$J$40&gt;$I$32)</formula>
    </cfRule>
  </conditionalFormatting>
  <dataValidations count="2">
    <dataValidation sqref="B5:B24" showDropDown="0" showInputMessage="0" showErrorMessage="1" allowBlank="1" errorTitle="Valor no válido" error="Elige una categoría de la lista (hoja «Mermas»)." type="list">
      <formula1>Mermas!$A$5:$A$25</formula1>
    </dataValidation>
    <dataValidation sqref="C5:C24 F5:F24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2" max="2"/>
    <col width="18" customWidth="1" min="3" max="3"/>
  </cols>
  <sheetData>
    <row r="1"/>
    <row r="2">
      <c r="B2" s="48" t="inlineStr">
        <is>
          <t>Presupuesto de Catering — hoja INTERNA</t>
        </is>
      </c>
    </row>
    <row r="3">
      <c r="B3" s="71" t="inlineStr">
        <is>
          <t>Enseña tus costes y tu margen: NO se le manda al cliente. Para eso está «Presupuesto Cliente».</t>
        </is>
      </c>
    </row>
    <row r="4">
      <c r="B4" s="49" t="inlineStr">
        <is>
          <t>Concepto</t>
        </is>
      </c>
      <c r="C4" s="49" t="inlineStr">
        <is>
          <t>Importe (€)</t>
        </is>
      </c>
    </row>
    <row r="5">
      <c r="B5" s="50" t="inlineStr">
        <is>
          <t>Número de comensales</t>
        </is>
      </c>
      <c r="C5" s="72" t="n">
        <v>50</v>
      </c>
    </row>
    <row r="6">
      <c r="B6" s="50" t="inlineStr">
        <is>
          <t>Coste de alimentación por comensal (€) — enlazado al escandallo «Cocktail (por persona)»</t>
        </is>
      </c>
      <c r="C6" s="33">
        <f>'Cocktail (por persona)'!$J$30</f>
        <v>11.3915307877537</v>
      </c>
    </row>
    <row r="7">
      <c r="B7" s="50" t="inlineStr">
        <is>
          <t>Coste total de alimentación (€)</t>
        </is>
      </c>
      <c r="C7" s="33">
        <f>IFERROR(C5*C6,"")</f>
        <v>569.576539387685</v>
      </c>
    </row>
    <row r="8">
      <c r="B8" s="73" t="inlineStr">
        <is>
          <t>Personal de servicio</t>
        </is>
      </c>
      <c r="C8" s="56" t="n"/>
    </row>
    <row r="9">
      <c r="B9" s="50" t="inlineStr">
        <is>
          <t>Comensales por camarero</t>
        </is>
      </c>
      <c r="C9" s="72" t="n">
        <v>22</v>
      </c>
    </row>
    <row r="10">
      <c r="B10" s="50" t="inlineStr">
        <is>
          <t>Nº de camareros (calculado)</t>
        </is>
      </c>
      <c r="C10" s="74">
        <f>IFERROR(ROUNDUP(C5/C9,0),"")</f>
        <v>3.0</v>
      </c>
    </row>
    <row r="11">
      <c r="B11" s="50" t="inlineStr">
        <is>
          <t>Horas por camarero</t>
        </is>
      </c>
      <c r="C11" s="75" t="n">
        <v>5</v>
      </c>
    </row>
    <row r="12">
      <c r="B12" s="50" t="inlineStr">
        <is>
          <t>Coste por hora de camarero (€)</t>
        </is>
      </c>
      <c r="C12" s="76" t="n">
        <v>16</v>
      </c>
    </row>
    <row r="13">
      <c r="B13" s="50" t="inlineStr">
        <is>
          <t>Horas de jefe de sala</t>
        </is>
      </c>
      <c r="C13" s="75" t="n">
        <v>6</v>
      </c>
    </row>
    <row r="14">
      <c r="B14" s="50" t="inlineStr">
        <is>
          <t>Coste por hora de jefe de sala (€)</t>
        </is>
      </c>
      <c r="C14" s="76" t="n">
        <v>22</v>
      </c>
    </row>
    <row r="15">
      <c r="B15" s="53" t="inlineStr">
        <is>
          <t>COSTE DE PERSONAL (€)</t>
        </is>
      </c>
      <c r="C15" s="77">
        <f>IFERROR(C10*C11*C12+C13*C14,"")</f>
        <v>372.0</v>
      </c>
    </row>
    <row r="16">
      <c r="B16" s="73" t="inlineStr">
        <is>
          <t>Menaje, transporte y montaje</t>
        </is>
      </c>
      <c r="C16" s="56" t="n"/>
    </row>
    <row r="17">
      <c r="B17" s="50" t="inlineStr">
        <is>
          <t>Menaje y desechables por comensal (€)</t>
        </is>
      </c>
      <c r="C17" s="76" t="n">
        <v>1.2</v>
      </c>
    </row>
    <row r="18">
      <c r="B18" s="50" t="inlineStr">
        <is>
          <t>Coste de menaje (€)</t>
        </is>
      </c>
      <c r="C18" s="33">
        <f>IFERROR(C5*C17,"")</f>
        <v>60.0</v>
      </c>
    </row>
    <row r="19">
      <c r="B19" s="50" t="inlineStr">
        <is>
          <t>Transporte y logística (€)</t>
        </is>
      </c>
      <c r="C19" s="76" t="n">
        <v>150</v>
      </c>
    </row>
    <row r="20">
      <c r="B20" s="50" t="inlineStr">
        <is>
          <t>Montaje y desmontaje (€)</t>
        </is>
      </c>
      <c r="C20" s="76" t="n">
        <v>200</v>
      </c>
    </row>
    <row r="21">
      <c r="B21" s="53" t="inlineStr">
        <is>
          <t>COSTE TOTAL DEL EVENTO (€)</t>
        </is>
      </c>
      <c r="C21" s="77">
        <f>IFERROR(C7+C15+C18+C19+C20,"")</f>
        <v>1351.576539387685</v>
      </c>
    </row>
    <row r="22">
      <c r="B22" s="53" t="inlineStr">
        <is>
          <t>Coste por comensal (€)</t>
        </is>
      </c>
      <c r="C22" s="77">
        <f>IFERROR(C21/C5,"")</f>
        <v>27.0315307877537</v>
      </c>
    </row>
    <row r="23">
      <c r="B23" s="78" t="inlineStr">
        <is>
          <t>Precio de venta</t>
        </is>
      </c>
    </row>
    <row r="24">
      <c r="B24" s="50" t="inlineStr">
        <is>
          <t>Food Cost objetivo de la COMIDA (%)</t>
        </is>
      </c>
      <c r="C24" s="79" t="n">
        <v>0.35</v>
      </c>
    </row>
    <row r="25">
      <c r="B25" s="50" t="inlineStr">
        <is>
          <t>Margen sobre servicios (%)</t>
        </is>
      </c>
      <c r="C25" s="79" t="n">
        <v>0.2</v>
      </c>
    </row>
    <row r="26">
      <c r="B26" s="50" t="inlineStr">
        <is>
          <t>PVP de la alimentación (€)</t>
        </is>
      </c>
      <c r="C26" s="33">
        <f>IFERROR(C7/C24,"")</f>
        <v>1627.3615411076714</v>
      </c>
    </row>
    <row r="27">
      <c r="B27" s="50" t="inlineStr">
        <is>
          <t>PVP de los servicios (personal, menaje, transporte, montaje) (€)</t>
        </is>
      </c>
      <c r="C27" s="33">
        <f>IFERROR((C15+C18+C19+C20)*(1+C25),"")</f>
        <v>938.4</v>
      </c>
    </row>
    <row r="28">
      <c r="B28" s="50" t="inlineStr">
        <is>
          <t>Mínimo de facturación por evento (€)</t>
        </is>
      </c>
      <c r="C28" s="76" t="n">
        <v>600</v>
      </c>
    </row>
    <row r="29">
      <c r="B29" s="53" t="inlineStr">
        <is>
          <t>PVP DEL EVENTO (sin IVA)</t>
        </is>
      </c>
      <c r="C29" s="77">
        <f>IFERROR(MAX(C26+C27,C28),"")</f>
        <v>2565.7615411076713</v>
      </c>
    </row>
    <row r="30">
      <c r="B30" s="53" t="inlineStr">
        <is>
          <t>PVP POR PERSONA (sin IVA)</t>
        </is>
      </c>
      <c r="C30" s="77">
        <f>IFERROR(C29/C5,"")</f>
        <v>51.315230822153424</v>
      </c>
    </row>
    <row r="31">
      <c r="B31" s="50" t="inlineStr">
        <is>
          <t>Tipo de IVA (%)</t>
        </is>
      </c>
      <c r="C31" s="79" t="n">
        <v>0.1</v>
      </c>
    </row>
    <row r="32">
      <c r="B32" s="53" t="inlineStr">
        <is>
          <t>PVP POR PERSONA (con IVA)</t>
        </is>
      </c>
      <c r="C32" s="77">
        <f>IFERROR(C30*(1+C31),"")</f>
        <v>56.44675390436877</v>
      </c>
    </row>
    <row r="33">
      <c r="B33" s="53" t="inlineStr">
        <is>
          <t>PRESUPUESTO TOTAL (con IVA)</t>
        </is>
      </c>
      <c r="C33" s="77">
        <f>IFERROR(C29*(1+C31),"")</f>
        <v>2822.3376952184385</v>
      </c>
    </row>
    <row r="34">
      <c r="B34" s="50" t="inlineStr">
        <is>
          <t>Margen bruto del evento (€)</t>
        </is>
      </c>
      <c r="C34" s="33">
        <f>IFERROR(C29-C21,"")</f>
        <v>1214.1850017199863</v>
      </c>
    </row>
    <row r="35">
      <c r="B35" s="50" t="inlineStr">
        <is>
          <t>Food cost de la comida sobre lo facturado (%)</t>
        </is>
      </c>
      <c r="C35" s="80">
        <f>IFERROR(C7/C29,"")</f>
        <v>0.22199122181159192</v>
      </c>
    </row>
    <row r="36"/>
    <row r="37" ht="116" customHeight="1">
      <c r="B37" s="81" t="inlineStr">
        <is>
          <t>El food cost objetivo se aplica SÓLO a la comida (C7 ÷ C24). El personal, el menaje, el transporte y el montaje no llevan food cost: van a coste más el margen de servicios de C25. Aplicar el 35 % al coste total multiplicaba el presupuesto por 2,9 y perdías el evento. C35 te enseña qué food cost de comida te queda sobre el total facturado. Ojo con los eventos pequeños: el transporte, el montaje y el jefe de sala son fijos, así que con 10 comensales el precio por persona se dispara por encima de los 100 €. No es un error de la hoja: es lo que cuesta de verdad mover un catering para diez. Ajusta esas tres celdas verdes a la realidad de tu evento pequeño.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B23:C23"/>
    <mergeCell ref="B8:C8"/>
    <mergeCell ref="B37:C37"/>
    <mergeCell ref="B16:C16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82" t="inlineStr">
        <is>
          <t>Checklist de Evento — Catering</t>
        </is>
      </c>
    </row>
    <row r="2" ht="30" customHeight="1">
      <c r="A2" s="81" t="inlineStr">
        <is>
          <t>Marca con ✓ en la columna «✓ Completada» (es un desplegable: ✓ / — / N/A). El contador del final cuenta sólo los ✓. Las cuatro filas en blanco del final son para tus propias tareas y también cuentan.</t>
        </is>
      </c>
    </row>
    <row r="3"/>
    <row r="4">
      <c r="A4" s="83" t="inlineStr">
        <is>
          <t>#</t>
        </is>
      </c>
      <c r="B4" s="83" t="inlineStr">
        <is>
          <t>Tarea</t>
        </is>
      </c>
      <c r="C4" s="83" t="inlineStr">
        <is>
          <t>Bloque</t>
        </is>
      </c>
      <c r="D4" s="83" t="inlineStr">
        <is>
          <t>Responsable</t>
        </is>
      </c>
      <c r="E4" s="83" t="inlineStr">
        <is>
          <t>Cuándo</t>
        </is>
      </c>
      <c r="F4" s="83" t="inlineStr">
        <is>
          <t>✓ Completada</t>
        </is>
      </c>
    </row>
    <row r="5">
      <c r="A5" s="84" t="n">
        <v>1</v>
      </c>
      <c r="B5" s="85" t="inlineStr">
        <is>
          <t>Confirmar por escrito el nº definitivo de comensales</t>
        </is>
      </c>
      <c r="C5" t="inlineStr">
        <is>
          <t>Timings</t>
        </is>
      </c>
      <c r="D5" t="inlineStr">
        <is>
          <t>Comercial</t>
        </is>
      </c>
      <c r="E5" s="84" t="inlineStr">
        <is>
          <t>D-7</t>
        </is>
      </c>
      <c r="F5" s="86" t="n"/>
    </row>
    <row r="6">
      <c r="A6" s="84" t="n">
        <v>2</v>
      </c>
      <c r="B6" s="85" t="inlineStr">
        <is>
          <t>Cerrar menú definitivo y recoger alérgenos e intolerancias</t>
        </is>
      </c>
      <c r="C6" t="inlineStr">
        <is>
          <t>Timings</t>
        </is>
      </c>
      <c r="D6" t="inlineStr">
        <is>
          <t>Jefe de cocina</t>
        </is>
      </c>
      <c r="E6" s="84" t="inlineStr">
        <is>
          <t>D-7</t>
        </is>
      </c>
      <c r="F6" s="86" t="n"/>
    </row>
    <row r="7">
      <c r="A7" s="84" t="n">
        <v>3</v>
      </c>
      <c r="B7" s="85" t="inlineStr">
        <is>
          <t>Cursar pedido a proveedores con fecha y hora de entrega</t>
        </is>
      </c>
      <c r="C7" t="inlineStr">
        <is>
          <t>Timings</t>
        </is>
      </c>
      <c r="D7" t="inlineStr">
        <is>
          <t>Compras</t>
        </is>
      </c>
      <c r="E7" s="84" t="inlineStr">
        <is>
          <t>D-5</t>
        </is>
      </c>
      <c r="F7" s="86" t="n"/>
    </row>
    <row r="8">
      <c r="A8" s="84" t="n">
        <v>4</v>
      </c>
      <c r="B8" s="85" t="inlineStr">
        <is>
          <t>Confirmar hora de acceso al espacio y muelle de carga</t>
        </is>
      </c>
      <c r="C8" t="inlineStr">
        <is>
          <t>Timings</t>
        </is>
      </c>
      <c r="D8" t="inlineStr">
        <is>
          <t>Producción</t>
        </is>
      </c>
      <c r="E8" s="84" t="inlineStr">
        <is>
          <t>D-3</t>
        </is>
      </c>
      <c r="F8" s="86" t="n"/>
    </row>
    <row r="9">
      <c r="A9" s="84" t="n">
        <v>5</v>
      </c>
      <c r="B9" s="85" t="inlineStr">
        <is>
          <t>Producir las elaboraciones que aguantan 24 h</t>
        </is>
      </c>
      <c r="C9" t="inlineStr">
        <is>
          <t>Timings</t>
        </is>
      </c>
      <c r="D9" t="inlineStr">
        <is>
          <t>Jefe de cocina</t>
        </is>
      </c>
      <c r="E9" s="84" t="inlineStr">
        <is>
          <t>D-1</t>
        </is>
      </c>
      <c r="F9" s="86" t="n"/>
    </row>
    <row r="10">
      <c r="A10" s="84" t="n">
        <v>6</v>
      </c>
      <c r="B10" s="85" t="inlineStr">
        <is>
          <t>Cargar el vehículo siguiendo la hoja de ruta</t>
        </is>
      </c>
      <c r="C10" t="inlineStr">
        <is>
          <t>Timings</t>
        </is>
      </c>
      <c r="D10" t="inlineStr">
        <is>
          <t>Producción</t>
        </is>
      </c>
      <c r="E10" s="84" t="inlineStr">
        <is>
          <t>D · mañana</t>
        </is>
      </c>
      <c r="F10" s="86" t="n"/>
    </row>
    <row r="11">
      <c r="A11" s="84" t="n">
        <v>7</v>
      </c>
      <c r="B11" s="85" t="inlineStr">
        <is>
          <t>Montaje en el espacio (buffet, barras, office)</t>
        </is>
      </c>
      <c r="C11" t="inlineStr">
        <is>
          <t>Timings</t>
        </is>
      </c>
      <c r="D11" t="inlineStr">
        <is>
          <t>Jefe de sala</t>
        </is>
      </c>
      <c r="E11" s="84" t="inlineStr">
        <is>
          <t>D · H-3 h</t>
        </is>
      </c>
      <c r="F11" s="86" t="n"/>
    </row>
    <row r="12">
      <c r="A12" s="84" t="n">
        <v>8</v>
      </c>
      <c r="B12" s="85" t="inlineStr">
        <is>
          <t>Briefing con el equipo de sala y reparto de rangos</t>
        </is>
      </c>
      <c r="C12" t="inlineStr">
        <is>
          <t>Timings</t>
        </is>
      </c>
      <c r="D12" t="inlineStr">
        <is>
          <t>Jefe de sala</t>
        </is>
      </c>
      <c r="E12" s="84" t="inlineStr">
        <is>
          <t>D · H-1 h</t>
        </is>
      </c>
      <c r="F12" s="86" t="n"/>
    </row>
    <row r="13">
      <c r="A13" s="84" t="n">
        <v>9</v>
      </c>
      <c r="B13" s="85" t="inlineStr">
        <is>
          <t>Servicio</t>
        </is>
      </c>
      <c r="C13" t="inlineStr">
        <is>
          <t>Timings</t>
        </is>
      </c>
      <c r="D13" t="inlineStr">
        <is>
          <t>Todo el equipo</t>
        </is>
      </c>
      <c r="E13" s="84" t="inlineStr">
        <is>
          <t>D · hora H</t>
        </is>
      </c>
      <c r="F13" s="86" t="n"/>
    </row>
    <row r="14">
      <c r="A14" s="84" t="n">
        <v>10</v>
      </c>
      <c r="B14" s="85" t="inlineStr">
        <is>
          <t>Desmontaje, recuento de material y salida</t>
        </is>
      </c>
      <c r="C14" t="inlineStr">
        <is>
          <t>Timings</t>
        </is>
      </c>
      <c r="D14" t="inlineStr">
        <is>
          <t>Jefe de sala</t>
        </is>
      </c>
      <c r="E14" s="84" t="inlineStr">
        <is>
          <t>D · H+1 h</t>
        </is>
      </c>
      <c r="F14" s="86" t="n"/>
    </row>
    <row r="15">
      <c r="A15" s="84" t="n">
        <v>11</v>
      </c>
      <c r="B15" s="85" t="inlineStr">
        <is>
          <t>Nº de camareros según el Presupuesto (1 por cada 22 pax)</t>
        </is>
      </c>
      <c r="C15" t="inlineStr">
        <is>
          <t>Personal</t>
        </is>
      </c>
      <c r="D15" t="inlineStr">
        <is>
          <t>Jefe de sala</t>
        </is>
      </c>
      <c r="E15" s="84" t="inlineStr">
        <is>
          <t>D-3</t>
        </is>
      </c>
      <c r="F15" s="86" t="n"/>
    </row>
    <row r="16">
      <c r="A16" s="84" t="n">
        <v>12</v>
      </c>
      <c r="B16" s="85" t="inlineStr">
        <is>
          <t>Jefe de sala asignado, con el teléfono del cliente</t>
        </is>
      </c>
      <c r="C16" t="inlineStr">
        <is>
          <t>Personal</t>
        </is>
      </c>
      <c r="D16" t="inlineStr">
        <is>
          <t>Comercial</t>
        </is>
      </c>
      <c r="E16" s="84" t="inlineStr">
        <is>
          <t>D-3</t>
        </is>
      </c>
      <c r="F16" s="86" t="n"/>
    </row>
    <row r="17">
      <c r="A17" s="84" t="n">
        <v>13</v>
      </c>
      <c r="B17" s="85" t="inlineStr">
        <is>
          <t>Cocina in situ: cuántos cocineros y en qué horario</t>
        </is>
      </c>
      <c r="C17" t="inlineStr">
        <is>
          <t>Personal</t>
        </is>
      </c>
      <c r="D17" t="inlineStr">
        <is>
          <t>Jefe de cocina</t>
        </is>
      </c>
      <c r="E17" s="84" t="inlineStr">
        <is>
          <t>D-3</t>
        </is>
      </c>
      <c r="F17" s="86" t="n"/>
    </row>
    <row r="18">
      <c r="A18" s="84" t="n">
        <v>14</v>
      </c>
      <c r="B18" s="85" t="inlineStr">
        <is>
          <t>Uniformidad completa y una muda de repuesto</t>
        </is>
      </c>
      <c r="C18" t="inlineStr">
        <is>
          <t>Personal</t>
        </is>
      </c>
      <c r="D18" t="inlineStr">
        <is>
          <t>Jefe de sala</t>
        </is>
      </c>
      <c r="E18" s="84" t="inlineStr">
        <is>
          <t>D-1</t>
        </is>
      </c>
      <c r="F18" s="86" t="n"/>
    </row>
    <row r="19">
      <c r="A19" s="84" t="n">
        <v>15</v>
      </c>
      <c r="B19" s="85" t="inlineStr">
        <is>
          <t>Partes de horas firmados al terminar el servicio</t>
        </is>
      </c>
      <c r="C19" t="inlineStr">
        <is>
          <t>Personal</t>
        </is>
      </c>
      <c r="D19" t="inlineStr">
        <is>
          <t>Jefe de sala</t>
        </is>
      </c>
      <c r="E19" s="84" t="inlineStr">
        <is>
          <t>D · H+1 h</t>
        </is>
      </c>
      <c r="F19" s="86" t="n"/>
    </row>
    <row r="20">
      <c r="A20" s="84" t="n">
        <v>16</v>
      </c>
      <c r="B20" s="85" t="inlineStr">
        <is>
          <t>Vajilla, cristalería y cubertería contadas y embaladas</t>
        </is>
      </c>
      <c r="C20" t="inlineStr">
        <is>
          <t>Menaje</t>
        </is>
      </c>
      <c r="D20" t="inlineStr">
        <is>
          <t>Producción</t>
        </is>
      </c>
      <c r="E20" s="84" t="inlineStr">
        <is>
          <t>D-1</t>
        </is>
      </c>
      <c r="F20" s="86" t="n"/>
    </row>
    <row r="21">
      <c r="A21" s="84" t="n">
        <v>17</v>
      </c>
      <c r="B21" s="85" t="inlineStr">
        <is>
          <t>Mantelería, faldones y decoración del mobiliario</t>
        </is>
      </c>
      <c r="C21" t="inlineStr">
        <is>
          <t>Menaje</t>
        </is>
      </c>
      <c r="D21" t="inlineStr">
        <is>
          <t>Producción</t>
        </is>
      </c>
      <c r="E21" s="84" t="inlineStr">
        <is>
          <t>D-1</t>
        </is>
      </c>
      <c r="F21" s="86" t="n"/>
    </row>
    <row r="22">
      <c r="A22" s="84" t="n">
        <v>18</v>
      </c>
      <c r="B22" s="85" t="inlineStr">
        <is>
          <t>Bandejas, pinzas y utillaje de pase</t>
        </is>
      </c>
      <c r="C22" t="inlineStr">
        <is>
          <t>Menaje</t>
        </is>
      </c>
      <c r="D22" t="inlineStr">
        <is>
          <t>Producción</t>
        </is>
      </c>
      <c r="E22" s="84" t="inlineStr">
        <is>
          <t>D-1</t>
        </is>
      </c>
      <c r="F22" s="86" t="n"/>
    </row>
    <row r="23">
      <c r="A23" s="84" t="n">
        <v>19</v>
      </c>
      <c r="B23" s="85" t="inlineStr">
        <is>
          <t>Desechables: servilletas, palillos y bolsas de residuos</t>
        </is>
      </c>
      <c r="C23" t="inlineStr">
        <is>
          <t>Menaje</t>
        </is>
      </c>
      <c r="D23" t="inlineStr">
        <is>
          <t>Producción</t>
        </is>
      </c>
      <c r="E23" s="84" t="inlineStr">
        <is>
          <t>D-1</t>
        </is>
      </c>
      <c r="F23" s="86" t="n"/>
    </row>
    <row r="24">
      <c r="A24" s="84" t="n">
        <v>20</v>
      </c>
      <c r="B24" s="85" t="inlineStr">
        <is>
          <t>Menaje de repuesto: un 10 % sobre el nº de comensales</t>
        </is>
      </c>
      <c r="C24" t="inlineStr">
        <is>
          <t>Menaje</t>
        </is>
      </c>
      <c r="D24" t="inlineStr">
        <is>
          <t>Producción</t>
        </is>
      </c>
      <c r="E24" s="84" t="inlineStr">
        <is>
          <t>D-1</t>
        </is>
      </c>
      <c r="F24" s="86" t="n"/>
    </row>
    <row r="25">
      <c r="A25" s="84" t="n">
        <v>21</v>
      </c>
      <c r="B25" s="85" t="inlineStr">
        <is>
          <t>Vehículo isotermo reservado, revisado y con combustible</t>
        </is>
      </c>
      <c r="C25" t="inlineStr">
        <is>
          <t>Transporte</t>
        </is>
      </c>
      <c r="D25" t="inlineStr">
        <is>
          <t>Logística</t>
        </is>
      </c>
      <c r="E25" s="84" t="inlineStr">
        <is>
          <t>D-2</t>
        </is>
      </c>
      <c r="F25" s="86" t="n"/>
    </row>
    <row r="26">
      <c r="A26" s="84" t="n">
        <v>22</v>
      </c>
      <c r="B26" s="85" t="inlineStr">
        <is>
          <t>Cadena de frío: neveras, acumuladores y termómetro</t>
        </is>
      </c>
      <c r="C26" t="inlineStr">
        <is>
          <t>Transporte</t>
        </is>
      </c>
      <c r="D26" t="inlineStr">
        <is>
          <t>Logística</t>
        </is>
      </c>
      <c r="E26" s="84" t="inlineStr">
        <is>
          <t>D · mañana</t>
        </is>
      </c>
      <c r="F26" s="86" t="n"/>
    </row>
    <row r="27">
      <c r="A27" s="84" t="n">
        <v>23</v>
      </c>
      <c r="B27" s="85" t="inlineStr">
        <is>
          <t>Hoja de ruta con dirección, contacto y hora de llegada</t>
        </is>
      </c>
      <c r="C27" t="inlineStr">
        <is>
          <t>Transporte</t>
        </is>
      </c>
      <c r="D27" t="inlineStr">
        <is>
          <t>Logística</t>
        </is>
      </c>
      <c r="E27" s="84" t="inlineStr">
        <is>
          <t>D-1</t>
        </is>
      </c>
      <c r="F27" s="86" t="n"/>
    </row>
    <row r="28">
      <c r="A28" s="84" t="n">
        <v>24</v>
      </c>
      <c r="B28" s="85" t="inlineStr">
        <is>
          <t>Toma de corriente y potencia disponible verificadas</t>
        </is>
      </c>
      <c r="C28" t="inlineStr">
        <is>
          <t>Montaje</t>
        </is>
      </c>
      <c r="D28" t="inlineStr">
        <is>
          <t>Producción</t>
        </is>
      </c>
      <c r="E28" s="84" t="inlineStr">
        <is>
          <t>D-3</t>
        </is>
      </c>
      <c r="F28" s="86" t="n"/>
    </row>
    <row r="29">
      <c r="A29" s="84" t="n">
        <v>25</v>
      </c>
      <c r="B29" s="85" t="inlineStr">
        <is>
          <t>Punto de agua y evacuación localizados</t>
        </is>
      </c>
      <c r="C29" t="inlineStr">
        <is>
          <t>Montaje</t>
        </is>
      </c>
      <c r="D29" t="inlineStr">
        <is>
          <t>Producción</t>
        </is>
      </c>
      <c r="E29" s="84" t="inlineStr">
        <is>
          <t>D-3</t>
        </is>
      </c>
      <c r="F29" s="86" t="n"/>
    </row>
    <row r="30">
      <c r="A30" s="84" t="n">
        <v>26</v>
      </c>
      <c r="B30" s="85" t="inlineStr">
        <is>
          <t>Plano de sala: buffet, barras, office y circulación</t>
        </is>
      </c>
      <c r="C30" t="inlineStr">
        <is>
          <t>Montaje</t>
        </is>
      </c>
      <c r="D30" t="inlineStr">
        <is>
          <t>Jefe de sala</t>
        </is>
      </c>
      <c r="E30" s="84" t="inlineStr">
        <is>
          <t>D-3</t>
        </is>
      </c>
      <c r="F30" s="86" t="n"/>
    </row>
    <row r="31">
      <c r="A31" s="84" t="n">
        <v>27</v>
      </c>
      <c r="B31" s="85" t="inlineStr">
        <is>
          <t>Ficha de alérgenos de cada elaboración, impresa</t>
        </is>
      </c>
      <c r="C31" t="inlineStr">
        <is>
          <t>Alérgenos</t>
        </is>
      </c>
      <c r="D31" t="inlineStr">
        <is>
          <t>Jefe de cocina</t>
        </is>
      </c>
      <c r="E31" s="84" t="inlineStr">
        <is>
          <t>D-1</t>
        </is>
      </c>
      <c r="F31" s="86" t="n"/>
    </row>
    <row r="32">
      <c r="A32" s="84" t="n">
        <v>28</v>
      </c>
      <c r="B32" s="85" t="inlineStr">
        <is>
          <t>Comensales con alergia identificados y menú alternativo</t>
        </is>
      </c>
      <c r="C32" t="inlineStr">
        <is>
          <t>Alérgenos</t>
        </is>
      </c>
      <c r="D32" t="inlineStr">
        <is>
          <t>Jefe de cocina</t>
        </is>
      </c>
      <c r="E32" s="84" t="inlineStr">
        <is>
          <t>D-1</t>
        </is>
      </c>
      <c r="F32" s="86" t="n"/>
    </row>
    <row r="33">
      <c r="A33" s="84" t="n">
        <v>29</v>
      </c>
      <c r="B33" s="85" t="inlineStr">
        <is>
          <t>Etiquetado de alérgenos en las bandejas del buffet</t>
        </is>
      </c>
      <c r="C33" t="inlineStr">
        <is>
          <t>Alérgenos</t>
        </is>
      </c>
      <c r="D33" t="inlineStr">
        <is>
          <t>Jefe de sala</t>
        </is>
      </c>
      <c r="E33" s="84" t="inlineStr">
        <is>
          <t>D · H-3 h</t>
        </is>
      </c>
      <c r="F33" s="86" t="n"/>
    </row>
    <row r="34">
      <c r="A34" s="84" t="n">
        <v>30</v>
      </c>
      <c r="B34" s="85" t="inlineStr">
        <is>
          <t>Autorización del espacio y horario de música</t>
        </is>
      </c>
      <c r="C34" t="inlineStr">
        <is>
          <t>Permisos</t>
        </is>
      </c>
      <c r="D34" t="inlineStr">
        <is>
          <t>Comercial</t>
        </is>
      </c>
      <c r="E34" s="84" t="inlineStr">
        <is>
          <t>D-7</t>
        </is>
      </c>
      <c r="F34" s="86" t="n"/>
    </row>
    <row r="35">
      <c r="A35" s="84" t="n">
        <v>31</v>
      </c>
      <c r="B35" s="85" t="inlineStr">
        <is>
          <t>Seguro de responsabilidad civil en vigor</t>
        </is>
      </c>
      <c r="C35" t="inlineStr">
        <is>
          <t>Permisos</t>
        </is>
      </c>
      <c r="D35" t="inlineStr">
        <is>
          <t>Administración</t>
        </is>
      </c>
      <c r="E35" s="84" t="inlineStr">
        <is>
          <t>D-7</t>
        </is>
      </c>
      <c r="F35" s="86" t="n"/>
    </row>
    <row r="36">
      <c r="A36" s="84" t="n">
        <v>32</v>
      </c>
      <c r="B36" s="85" t="inlineStr">
        <is>
          <t>Registro sanitario y carnés de manipulador al día</t>
        </is>
      </c>
      <c r="C36" t="inlineStr">
        <is>
          <t>Permisos</t>
        </is>
      </c>
      <c r="D36" t="inlineStr">
        <is>
          <t>Administración</t>
        </is>
      </c>
      <c r="E36" s="84" t="inlineStr">
        <is>
          <t>D-7</t>
        </is>
      </c>
      <c r="F36" s="86" t="n"/>
    </row>
    <row r="37">
      <c r="B37" s="87" t="n"/>
      <c r="F37" s="86" t="n"/>
    </row>
    <row r="38">
      <c r="B38" s="87" t="n"/>
      <c r="F38" s="86" t="n"/>
    </row>
    <row r="39">
      <c r="B39" s="87" t="n"/>
      <c r="F39" s="86" t="n"/>
    </row>
    <row r="40">
      <c r="B40" s="87" t="n"/>
      <c r="F40" s="86" t="n"/>
    </row>
    <row r="41"/>
    <row r="42">
      <c r="A42" s="88" t="inlineStr">
        <is>
          <t>Tareas completadas:</t>
        </is>
      </c>
      <c r="D42" s="89">
        <f>COUNTIF(F5:F40,"✓")</f>
        <v>0.0</v>
      </c>
      <c r="E42" s="84" t="inlineStr">
        <is>
          <t>de</t>
        </is>
      </c>
      <c r="F42" s="89">
        <f>COUNTIF(B5:B40,"?*")</f>
        <v>32.0</v>
      </c>
    </row>
    <row r="43"/>
    <row r="44">
      <c r="A44" s="88" t="inlineStr">
        <is>
          <t>Responsable del evento:</t>
        </is>
      </c>
      <c r="B44" s="87" t="n"/>
      <c r="C44" s="87" t="n"/>
    </row>
    <row r="45">
      <c r="A45" s="88" t="inlineStr">
        <is>
          <t>Fecha del evento:</t>
        </is>
      </c>
      <c r="B45" s="90" t="n"/>
      <c r="C45" s="9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42:C42"/>
    <mergeCell ref="A1:F1"/>
    <mergeCell ref="A2:F2"/>
  </mergeCells>
  <conditionalFormatting sqref="A5:F40">
    <cfRule type="expression" priority="1" dxfId="1">
      <formula>$F5="✓"</formula>
    </cfRule>
  </conditionalFormatting>
  <dataValidations count="1">
    <dataValidation sqref="F5:F40" showDropDown="0" showInputMessage="0" showErrorMessage="1" allowBlank="1" errorTitle="Valor no válido" error="Elige ✓, — o N/A.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22" customWidth="1" min="4" max="4"/>
    <col width="18" customWidth="1" min="5" max="5"/>
  </cols>
  <sheetData>
    <row r="1"/>
    <row r="2">
      <c r="A2" s="82" t="inlineStr">
        <is>
          <t>Propuesta de Catering</t>
        </is>
      </c>
    </row>
    <row r="3">
      <c r="B3" s="88" t="inlineStr">
        <is>
          <t>Cliente:</t>
        </is>
      </c>
      <c r="C3" s="87" t="n"/>
      <c r="D3" s="102" t="n"/>
      <c r="E3" s="102" t="n"/>
    </row>
    <row r="4">
      <c r="B4" s="88" t="inlineStr">
        <is>
          <t>Evento y fecha:</t>
        </is>
      </c>
      <c r="C4" s="87" t="n"/>
      <c r="D4" s="102" t="n"/>
      <c r="E4" s="102" t="n"/>
    </row>
    <row r="5">
      <c r="B5" s="88" t="inlineStr">
        <is>
          <t>Lugar:</t>
        </is>
      </c>
      <c r="C5" s="87" t="n"/>
      <c r="D5" s="102" t="n"/>
      <c r="E5" s="102" t="n"/>
    </row>
    <row r="6"/>
    <row r="7">
      <c r="B7" s="83" t="inlineStr">
        <is>
          <t>Concepto</t>
        </is>
      </c>
      <c r="C7" s="83" t="inlineStr">
        <is>
          <t>Comensales</t>
        </is>
      </c>
      <c r="D7" s="83" t="inlineStr">
        <is>
          <t>Precio por persona (IVA incl.)</t>
        </is>
      </c>
      <c r="E7" s="83" t="inlineStr">
        <is>
          <t>Total (€)</t>
        </is>
      </c>
    </row>
    <row r="8">
      <c r="B8" s="91" t="inlineStr">
        <is>
          <t>Servicio de catering cocktail — menú acordado</t>
        </is>
      </c>
      <c r="C8" s="92">
        <f>IFERROR('Presupuesto'!C5,"")</f>
        <v>50.0</v>
      </c>
      <c r="D8" s="93">
        <f>IFERROR('Presupuesto'!C32,"")</f>
        <v>56.44675390436877</v>
      </c>
      <c r="E8" s="93">
        <f>IF(B8="","",IFERROR(C8*D8,0))</f>
        <v>2822.3376952184385</v>
      </c>
    </row>
    <row r="9">
      <c r="B9" s="87" t="n"/>
      <c r="C9" s="94" t="n"/>
      <c r="D9" s="95" t="n"/>
      <c r="E9" s="93">
        <f>IF(B9="","",IFERROR(C9*D9,0))</f>
        <v/>
      </c>
    </row>
    <row r="10">
      <c r="B10" s="87" t="n"/>
      <c r="C10" s="94" t="n"/>
      <c r="D10" s="95" t="n"/>
      <c r="E10" s="93">
        <f>IF(B10="","",IFERROR(C10*D10,0))</f>
        <v/>
      </c>
    </row>
    <row r="11">
      <c r="B11" s="87" t="n"/>
      <c r="C11" s="94" t="n"/>
      <c r="D11" s="95" t="n"/>
      <c r="E11" s="93">
        <f>IF(B11="","",IFERROR(C11*D11,0))</f>
        <v/>
      </c>
    </row>
    <row r="12"/>
    <row r="13">
      <c r="B13" s="96" t="inlineStr">
        <is>
          <t>TOTAL (IVA incluido)</t>
        </is>
      </c>
      <c r="E13" s="97">
        <f>IFERROR(SUM(E8:E11),"")</f>
        <v>2822.3376952184385</v>
      </c>
    </row>
    <row r="14"/>
    <row r="15">
      <c r="A15" s="81" t="inlineStr">
        <is>
          <t>Presupuesto válido 30 días desde su emisión. Precios con IVA incluido. El número definitivo de comensales se confirma 7 días antes del evento; a partir de esa fecha se factura el número confirmado.</t>
        </is>
      </c>
    </row>
    <row r="16"/>
    <row r="17">
      <c r="B17" s="98" t="inlineStr">
        <is>
          <t>— Kit de Escandallos Pro · AI Chef Pro · 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C4:E4"/>
    <mergeCell ref="A15:E15"/>
    <mergeCell ref="C5:E5"/>
    <mergeCell ref="C3:E3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96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99" t="inlineStr">
        <is>
          <t>Conversión (compra→uso)</t>
        </is>
      </c>
      <c r="B4" s="99" t="inlineStr">
        <is>
          <t>Factor</t>
        </is>
      </c>
      <c r="C4" s="99" t="inlineStr">
        <is>
          <t>Qué significa</t>
        </is>
      </c>
    </row>
    <row r="5">
      <c r="A5" t="inlineStr">
        <is>
          <t>kg→kg</t>
        </is>
      </c>
      <c r="B5" s="100" t="n">
        <v>1</v>
      </c>
      <c r="C5" t="inlineStr">
        <is>
          <t>misma unidad</t>
        </is>
      </c>
    </row>
    <row r="6">
      <c r="A6" t="inlineStr">
        <is>
          <t>kg→g</t>
        </is>
      </c>
      <c r="B6" s="100" t="n">
        <v>1000</v>
      </c>
      <c r="C6" t="inlineStr">
        <is>
          <t>1 kg = 1.000 g</t>
        </is>
      </c>
    </row>
    <row r="7">
      <c r="A7" t="inlineStr">
        <is>
          <t>g→g</t>
        </is>
      </c>
      <c r="B7" s="100" t="n">
        <v>1</v>
      </c>
      <c r="C7" t="inlineStr">
        <is>
          <t>misma unidad</t>
        </is>
      </c>
    </row>
    <row r="8">
      <c r="A8" t="inlineStr">
        <is>
          <t>g→kg</t>
        </is>
      </c>
      <c r="B8" s="100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100" t="n">
        <v>1</v>
      </c>
      <c r="C9" t="inlineStr">
        <is>
          <t>misma unidad</t>
        </is>
      </c>
    </row>
    <row r="10">
      <c r="A10" t="inlineStr">
        <is>
          <t>L→ml</t>
        </is>
      </c>
      <c r="B10" s="100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100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100" t="n">
        <v>1</v>
      </c>
      <c r="C12" t="inlineStr">
        <is>
          <t>misma unidad</t>
        </is>
      </c>
    </row>
    <row r="13">
      <c r="A13" t="inlineStr">
        <is>
          <t>ml→L</t>
        </is>
      </c>
      <c r="B13" s="100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100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100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100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100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100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100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100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100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100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100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100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100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100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100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100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100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100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100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100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100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100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100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100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100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96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99" t="inlineStr">
        <is>
          <t>Categoría</t>
        </is>
      </c>
      <c r="B4" s="99" t="inlineStr">
        <is>
          <t>Merma típica</t>
        </is>
      </c>
      <c r="C4" s="99" t="inlineStr">
        <is>
          <t>Mínima</t>
        </is>
      </c>
      <c r="D4" s="99" t="inlineStr">
        <is>
          <t>Máxima</t>
        </is>
      </c>
    </row>
    <row r="5">
      <c r="A5" t="inlineStr">
        <is>
          <t>Carne roja</t>
        </is>
      </c>
      <c r="B5" s="101" t="n">
        <v>0.2</v>
      </c>
      <c r="C5" s="101" t="n">
        <v>0.15</v>
      </c>
      <c r="D5" s="101" t="n">
        <v>0.25</v>
      </c>
    </row>
    <row r="6">
      <c r="A6" t="inlineStr">
        <is>
          <t>Aves</t>
        </is>
      </c>
      <c r="B6" s="101" t="n">
        <v>0.25</v>
      </c>
      <c r="C6" s="101" t="n">
        <v>0.2</v>
      </c>
      <c r="D6" s="101" t="n">
        <v>0.3</v>
      </c>
    </row>
    <row r="7">
      <c r="A7" t="inlineStr">
        <is>
          <t>Pescado</t>
        </is>
      </c>
      <c r="B7" s="101" t="n">
        <v>0.35</v>
      </c>
      <c r="C7" s="101" t="n">
        <v>0.3</v>
      </c>
      <c r="D7" s="101" t="n">
        <v>0.45</v>
      </c>
    </row>
    <row r="8">
      <c r="A8" t="inlineStr">
        <is>
          <t>Marisco</t>
        </is>
      </c>
      <c r="B8" s="101" t="n">
        <v>0.45</v>
      </c>
      <c r="C8" s="101" t="n">
        <v>0.35</v>
      </c>
      <c r="D8" s="101" t="n">
        <v>0.55</v>
      </c>
    </row>
    <row r="9">
      <c r="A9" t="inlineStr">
        <is>
          <t>Verdura hoja</t>
        </is>
      </c>
      <c r="B9" s="101" t="n">
        <v>0.25</v>
      </c>
      <c r="C9" s="101" t="n">
        <v>0.2</v>
      </c>
      <c r="D9" s="101" t="n">
        <v>0.35</v>
      </c>
    </row>
    <row r="10">
      <c r="A10" t="inlineStr">
        <is>
          <t>Verdura raíz</t>
        </is>
      </c>
      <c r="B10" s="101" t="n">
        <v>0.12</v>
      </c>
      <c r="C10" s="101" t="n">
        <v>0.08</v>
      </c>
      <c r="D10" s="101" t="n">
        <v>0.18</v>
      </c>
    </row>
    <row r="11">
      <c r="A11" t="inlineStr">
        <is>
          <t>Verdura fruto</t>
        </is>
      </c>
      <c r="B11" s="101" t="n">
        <v>0.1</v>
      </c>
      <c r="C11" s="101" t="n">
        <v>0.06</v>
      </c>
      <c r="D11" s="101" t="n">
        <v>0.15</v>
      </c>
    </row>
    <row r="12">
      <c r="A12" t="inlineStr">
        <is>
          <t>Fruta</t>
        </is>
      </c>
      <c r="B12" s="101" t="n">
        <v>0.15</v>
      </c>
      <c r="C12" s="101" t="n">
        <v>0.1</v>
      </c>
      <c r="D12" s="101" t="n">
        <v>0.25</v>
      </c>
    </row>
    <row r="13">
      <c r="A13" t="inlineStr">
        <is>
          <t>Lácteos</t>
        </is>
      </c>
      <c r="B13" s="101" t="n">
        <v>0.03</v>
      </c>
      <c r="C13" s="101" t="n">
        <v>0.01</v>
      </c>
      <c r="D13" s="101" t="n">
        <v>0.05</v>
      </c>
    </row>
    <row r="14">
      <c r="A14" t="inlineStr">
        <is>
          <t>Secos/granos</t>
        </is>
      </c>
      <c r="B14" s="101" t="n">
        <v>0.02</v>
      </c>
      <c r="C14" s="101" t="n">
        <v>0.01</v>
      </c>
      <c r="D14" s="101" t="n">
        <v>0.04</v>
      </c>
    </row>
    <row r="15">
      <c r="A15" t="inlineStr">
        <is>
          <t>Congelados</t>
        </is>
      </c>
      <c r="B15" s="101" t="n">
        <v>0.07000000000000001</v>
      </c>
      <c r="C15" s="101" t="n">
        <v>0.03</v>
      </c>
      <c r="D15" s="101" t="n">
        <v>0.1</v>
      </c>
    </row>
    <row r="16">
      <c r="A16" t="inlineStr">
        <is>
          <t>Pan/bollería</t>
        </is>
      </c>
      <c r="B16" s="101" t="n">
        <v>0.05</v>
      </c>
      <c r="C16" s="101" t="n">
        <v>0.02</v>
      </c>
      <c r="D16" s="101" t="n">
        <v>0.1</v>
      </c>
    </row>
    <row r="17">
      <c r="A17" t="inlineStr">
        <is>
          <t>Huevos</t>
        </is>
      </c>
      <c r="B17" s="101" t="n">
        <v>0.11</v>
      </c>
      <c r="C17" s="101" t="n">
        <v>0.1</v>
      </c>
      <c r="D17" s="101" t="n">
        <v>0.13</v>
      </c>
    </row>
    <row r="18">
      <c r="A18" t="inlineStr">
        <is>
          <t>Aceites/grasas</t>
        </is>
      </c>
      <c r="B18" s="101" t="n">
        <v>0.03</v>
      </c>
      <c r="C18" s="101" t="n">
        <v>0.01</v>
      </c>
      <c r="D18" s="101" t="n">
        <v>0.05</v>
      </c>
    </row>
    <row r="19">
      <c r="A19" t="inlineStr">
        <is>
          <t>Especias/hierbas</t>
        </is>
      </c>
      <c r="B19" s="101" t="n">
        <v>0.2</v>
      </c>
      <c r="C19" s="101" t="n">
        <v>0.1</v>
      </c>
      <c r="D19" s="101" t="n">
        <v>0.3</v>
      </c>
    </row>
    <row r="20">
      <c r="A20" t="inlineStr">
        <is>
          <t>Chocolate/cacao</t>
        </is>
      </c>
      <c r="B20" s="101" t="n">
        <v>0.05</v>
      </c>
      <c r="C20" s="101" t="n">
        <v>0.02</v>
      </c>
      <c r="D20" s="101" t="n">
        <v>0.08</v>
      </c>
    </row>
    <row r="21">
      <c r="A21" t="inlineStr">
        <is>
          <t>Bebidas/licores</t>
        </is>
      </c>
      <c r="B21" s="101" t="n">
        <v>0.02</v>
      </c>
      <c r="C21" s="101" t="n">
        <v>0.01</v>
      </c>
      <c r="D21" s="101" t="n">
        <v>0.04</v>
      </c>
    </row>
    <row r="22">
      <c r="A22" t="inlineStr">
        <is>
          <t>Setas/hongos</t>
        </is>
      </c>
      <c r="B22" s="101" t="n">
        <v>0.2</v>
      </c>
      <c r="C22" s="101" t="n">
        <v>0.12</v>
      </c>
      <c r="D22" s="101" t="n">
        <v>0.3</v>
      </c>
    </row>
    <row r="23">
      <c r="A23" t="inlineStr">
        <is>
          <t>Conservas/encurtidos</t>
        </is>
      </c>
      <c r="B23" s="101" t="n">
        <v>0.08</v>
      </c>
      <c r="C23" s="101" t="n">
        <v>0.04</v>
      </c>
      <c r="D23" s="101" t="n">
        <v>0.15</v>
      </c>
    </row>
    <row r="24">
      <c r="A24" t="inlineStr">
        <is>
          <t>Salsas/condimentos</t>
        </is>
      </c>
      <c r="B24" s="101" t="n">
        <v>0.05</v>
      </c>
      <c r="C24" s="101" t="n">
        <v>0.02</v>
      </c>
      <c r="D24" s="101" t="n">
        <v>0.08</v>
      </c>
    </row>
    <row r="25">
      <c r="A25" t="inlineStr">
        <is>
          <t>Pasta/arroz</t>
        </is>
      </c>
      <c r="B25" s="101" t="n">
        <v>0.02</v>
      </c>
      <c r="C25" s="101" t="n">
        <v>0.01</v>
      </c>
      <c r="D25" s="101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Catering por Persona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2026-09-24T15:25:02Z</dcterms:modified>
  <cp:lastModifiedBy>AI Chef Pro</cp:lastModifiedBy>
  <cp:category>AI Chef Pro · Productos digitales</cp:category>
  <cp:keywords>kit escandallos, AI Chef Pro</cp:keywords>
</cp:coreProperties>
</file>