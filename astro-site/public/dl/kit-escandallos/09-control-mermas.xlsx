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rmas Semanal" sheetId="2" state="visible" r:id="rId2"/>
    <sheet xmlns:r="http://schemas.openxmlformats.org/officeDocument/2006/relationships" name="Evolución" sheetId="3" state="visible" r:id="rId3"/>
  </sheets>
  <definedNames>
    <definedName name="_xlnm.Print_Titles" localSheetId="1">'Mermas Semanal'!$4:$4</definedName>
    <definedName name="_xlnm.Print_Area" localSheetId="1">'Mermas Semanal'!$A$1:$J$24</definedName>
    <definedName name="_xlnm.Print_Area" localSheetId="2">'Evolución'!$A$1:$E$36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.0%"/>
    <numFmt numFmtId="166" formatCode="+0.0%;-0.0%"/>
    <numFmt numFmtId="167" formatCode="dd/mm/yyyy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FFFF"/>
      <sz val="11"/>
    </font>
    <font>
      <name val="Calibri"/>
      <b val="1"/>
      <color rgb="00333333"/>
      <sz val="11"/>
    </font>
    <font/>
    <font>
      <b val="1"/>
      <sz val="13"/>
    </font>
    <font>
      <b val="1"/>
      <sz val="11"/>
    </font>
    <font>
      <sz val="11"/>
    </font>
    <font>
      <b val="1"/>
      <color rgb="00FFFFFF"/>
      <sz val="10"/>
    </font>
    <font>
      <i val="1"/>
      <color rgb="00606060"/>
      <sz val="9"/>
    </font>
  </fonts>
  <fills count="12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FD700"/>
        <bgColor rgb="00FFD700"/>
      </patternFill>
    </fill>
    <fill>
      <patternFill patternType="solid">
        <fgColor rgb="00E8F5E9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9" fontId="5" fillId="4" borderId="1" applyAlignment="1" pivotButton="0" quotePrefix="0" xfId="0">
      <alignment horizontal="center" vertical="center" wrapText="1"/>
    </xf>
    <xf numFmtId="164" fontId="0" fillId="2" borderId="1" pivotButton="0" quotePrefix="0" xfId="0"/>
    <xf numFmtId="165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5" borderId="1" pivotButton="0" quotePrefix="0" xfId="0"/>
    <xf numFmtId="9" fontId="5" fillId="5" borderId="1" applyAlignment="1" pivotButton="0" quotePrefix="0" xfId="0">
      <alignment horizontal="center" vertical="center" wrapText="1"/>
    </xf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11" fillId="0" borderId="0" pivotButton="0" quotePrefix="0" xfId="0"/>
    <xf numFmtId="0" fontId="12" fillId="0" borderId="0" pivotButton="0" quotePrefix="0" xfId="0"/>
    <xf numFmtId="167" fontId="13" fillId="7" borderId="1" applyAlignment="1" applyProtection="1" pivotButton="0" quotePrefix="0" xfId="0">
      <alignment horizontal="center" vertical="center"/>
      <protection locked="0" hidden="0"/>
    </xf>
    <xf numFmtId="0" fontId="10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3" fillId="9" borderId="1" pivotButton="0" quotePrefix="0" xfId="0"/>
    <xf numFmtId="165" fontId="13" fillId="9" borderId="1" applyAlignment="1" pivotButton="0" quotePrefix="0" xfId="0">
      <alignment horizontal="center" vertical="center"/>
    </xf>
    <xf numFmtId="165" fontId="13" fillId="7" borderId="1" applyAlignment="1" applyProtection="1" pivotButton="0" quotePrefix="0" xfId="0">
      <alignment horizontal="center" vertical="center"/>
      <protection locked="0" hidden="0"/>
    </xf>
    <xf numFmtId="164" fontId="13" fillId="7" borderId="1" applyProtection="1" pivotButton="0" quotePrefix="0" xfId="0">
      <protection locked="0" hidden="0"/>
    </xf>
    <xf numFmtId="166" fontId="13" fillId="9" borderId="1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7" borderId="0" applyProtection="1" pivotButton="0" quotePrefix="0" xfId="0">
      <protection locked="0" hidden="0"/>
    </xf>
    <xf numFmtId="0" fontId="13" fillId="10" borderId="1" pivotButton="0" quotePrefix="0" xfId="0"/>
    <xf numFmtId="165" fontId="13" fillId="10" borderId="1" applyAlignment="1" pivotButton="0" quotePrefix="0" xfId="0">
      <alignment horizontal="center" vertical="center"/>
    </xf>
    <xf numFmtId="166" fontId="13" fillId="10" borderId="1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2" fillId="11" borderId="1" pivotButton="0" quotePrefix="0" xfId="0"/>
    <xf numFmtId="0" fontId="12" fillId="11" borderId="0" pivotButton="0" quotePrefix="0" xfId="0"/>
    <xf numFmtId="164" fontId="12" fillId="11" borderId="1" pivotButton="0" quotePrefix="0" xfId="0"/>
    <xf numFmtId="164" fontId="12" fillId="11" borderId="0" pivotButton="0" quotePrefix="0" xfId="0"/>
    <xf numFmtId="165" fontId="12" fillId="11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top" wrapText="1"/>
    </xf>
    <xf numFmtId="165" fontId="13" fillId="7" borderId="0" applyAlignment="1" applyProtection="1" pivotButton="0" quotePrefix="0" xfId="0">
      <alignment horizontal="center" vertical="center"/>
      <protection locked="0" hidden="0"/>
    </xf>
    <xf numFmtId="0" fontId="13" fillId="9" borderId="0" pivotButton="0" quotePrefix="0" xfId="0"/>
    <xf numFmtId="164" fontId="13" fillId="9" borderId="0" pivotButton="0" quotePrefix="0" xfId="0"/>
    <xf numFmtId="165" fontId="13" fillId="9" borderId="0" applyAlignment="1" pivotButton="0" quotePrefix="0" xfId="0">
      <alignment horizontal="center" vertical="center"/>
    </xf>
    <xf numFmtId="0" fontId="13" fillId="10" borderId="0" pivotButton="0" quotePrefix="0" xfId="0"/>
    <xf numFmtId="164" fontId="13" fillId="7" borderId="0" applyProtection="1" pivotButton="0" quotePrefix="0" xfId="0">
      <protection locked="0" hidden="0"/>
    </xf>
    <xf numFmtId="165" fontId="13" fillId="1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Desperdicio semanal vs objetivo</a:t>
            </a:r>
          </a:p>
        </rich>
      </tx>
    </title>
    <plotArea>
      <lineChart>
        <grouping val="standard"/>
        <ser>
          <idx val="0"/>
          <order val="0"/>
          <tx>
            <strRef>
              <f>'Evolución'!D5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'Evolución'!$A$6:$A$17</f>
            </strRef>
          </cat>
          <val>
            <numRef>
              <f>'Evolución'!$D$6:$D$17</f>
            </numRef>
          </val>
        </ser>
        <ser>
          <idx val="1"/>
          <order val="1"/>
          <tx>
            <strRef>
              <f>'Evolución'!E5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'Evolución'!$A$6:$A$17</f>
            </strRef>
          </cat>
          <val>
            <numRef>
              <f>'Evolución'!$E$6:$E$17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Control de Mermas por Categoría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6" t="inlineStr">
        <is>
          <t>▸ Esta plantilla mide el DESPERDICIO: los euros que se tiran (caducidad, mal estado, sobreproducción, porcionado) sobre los euros que se compran.</t>
        </is>
      </c>
    </row>
    <row r="7">
      <c r="B7" s="6" t="inlineStr">
        <is>
          <t>▸ NO mide la merma de despiece y limpieza. Esa va en las plantillas de escandallo (hoja «Mermas») y ya está cobrada dentro del precio del plato: registrarla otra vez aquí sería contarla dos veces.</t>
        </is>
      </c>
    </row>
    <row r="8">
      <c r="B8" s="6" t="n"/>
    </row>
    <row r="9">
      <c r="B9" s="4" t="inlineStr">
        <is>
          <t>Cómo se rellena</t>
        </is>
      </c>
    </row>
    <row r="10">
      <c r="B10" s="6" t="n"/>
    </row>
    <row r="11">
      <c r="B11" s="6" t="inlineStr">
        <is>
          <t>▸ Pestaña 'Mermas Semanal': escribe la fecha del lunes y, por categoría, la COMPRA de la semana y los EUROS desperdiciados.</t>
        </is>
      </c>
    </row>
    <row r="12">
      <c r="B12" s="6" t="inlineStr">
        <is>
          <t>▸ El porcentaje, la diferencia en puntos y el estado salen solos.</t>
        </is>
      </c>
    </row>
    <row r="13">
      <c r="B13" s="6" t="inlineStr">
        <is>
          <t>▸ Sólo se escriben las celdas VERDES. El resto son fórmulas.</t>
        </is>
      </c>
    </row>
    <row r="14">
      <c r="B14" s="5" t="n"/>
    </row>
    <row r="15">
      <c r="B15" s="4" t="inlineStr">
        <is>
          <t>El semáforo</t>
        </is>
      </c>
    </row>
    <row r="16"/>
    <row r="17">
      <c r="B17" s="6" t="inlineStr">
        <is>
          <t>▸ Estado en VERDE («OK»): el desperdicio está en el objetivo o por debajo.</t>
        </is>
      </c>
    </row>
    <row r="18">
      <c r="B18" s="6" t="inlineStr">
        <is>
          <t>▸ Estado en ROJO («ALERTA»): te estás pasando. Empieza por ahí.</t>
        </is>
      </c>
    </row>
    <row r="19">
      <c r="B19" s="6" t="inlineStr">
        <is>
          <t>▸ La columna «Desperdicio real (%)» lleva además una escala de color: de un vistazo se ve qué categoría se sale de la fila.</t>
        </is>
      </c>
    </row>
    <row r="20"/>
    <row r="21">
      <c r="B21" s="4" t="inlineStr">
        <is>
          <t>Los objetivos (mín. / típico / máx.)</t>
        </is>
      </c>
    </row>
    <row r="22"/>
    <row r="23">
      <c r="B23" s="6" t="inlineStr">
        <is>
          <t>▸ Secos y congelados 2-3 % · carne y pescado 3-5 % · verdura y fruta 5-8 % · bebidas 1-2 % · pan y bollería 5-10 %.</t>
        </is>
      </c>
    </row>
    <row r="24">
      <c r="B24" s="6" t="inlineStr">
        <is>
          <t>▸ El «objetivo típico» es la celda verde y es el que dispara la alerta: bájalo cuando tu casa mejore.</t>
        </is>
      </c>
    </row>
    <row r="25">
      <c r="B25" s="6" t="inlineStr">
        <is>
          <t>▸ Mínimo y máximo son la horquilla del sector: sirven para saber si tu número es normal, bueno o malo.</t>
        </is>
      </c>
    </row>
    <row r="26"/>
    <row r="27">
      <c r="B27" s="4" t="inlineStr">
        <is>
          <t>Pestaña «Evolución»</t>
        </is>
      </c>
    </row>
    <row r="28"/>
    <row r="29">
      <c r="B29" s="6" t="inlineStr">
        <is>
          <t>▸ Doce semanas. La primera fila («Semana en curso») está ENLAZADA al TOTAL de «Mermas Semanal»: se mueve sola mientras rellenas la semana.</t>
        </is>
      </c>
    </row>
    <row r="30">
      <c r="B30" s="6" t="inlineStr">
        <is>
          <t>▸ Cada lunes, ANTES de vaciar el registro semanal, copia su total en la fila de la semana que cierras y pega VALORES, no fórmulas. La primera vez pegarás encima del enlace, y así debe ser: si lo dejas vivo, la semana 1 pasará a enseñar los datos de la semana 2 y perderás el histórico.</t>
        </is>
      </c>
    </row>
    <row r="31">
      <c r="B31" s="6" t="inlineStr">
        <is>
          <t>▸ El gráfico compara tu desperdicio con el objetivo global semana a semana: la tendencia es lo que decide, no la foto de un lunes.</t>
        </is>
      </c>
    </row>
    <row r="32">
      <c r="B32" s="6" t="inlineStr">
        <is>
          <t>▸ Las semanas todavía sin rellenar devuelven #N/A a propósito: es el único valor que el gráfico SALTA. Con una celda vacía o un texto, Excel dibujaría un cero y parecería que tu desperdicio se desplomó.</t>
        </is>
      </c>
    </row>
    <row r="33"/>
    <row r="34">
      <c r="B34" s="4" t="inlineStr">
        <is>
          <t>Protección de la hoja</t>
        </is>
      </c>
    </row>
    <row r="35"/>
    <row r="36">
      <c r="B36" s="6" t="inlineStr">
        <is>
          <t>▸ Las hojas están protegidas SIN contraseña para que no borres una fórmula sin querer: sólo se escriben las celdas verdes.</t>
        </is>
      </c>
    </row>
    <row r="37">
      <c r="B37" s="6" t="inlineStr">
        <is>
          <t>▸ Para tocar cualquier otra cosa: Revisar → Desproteger hoja. No pide contraseña.</t>
        </is>
      </c>
    </row>
    <row r="38"/>
    <row r="39">
      <c r="B39" s="6" t="inlineStr">
        <is>
          <t>— Kit de Escandallos Pro · AI Chef Pro · aichef.pro</t>
        </is>
      </c>
    </row>
    <row r="40"/>
    <row r="41">
      <c r="B41" s="6" t="inlineStr">
        <is>
          <t>© 2026 AI Chef Pro · Todos los derechos reservados</t>
        </is>
      </c>
    </row>
    <row r="42"/>
    <row r="43">
      <c r="B43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3" customWidth="1" min="4" max="4"/>
    <col width="16" customWidth="1" min="5" max="5"/>
    <col width="18" customWidth="1" min="6" max="6"/>
    <col width="18" customWidth="1" min="7" max="7"/>
    <col width="15" customWidth="1" min="8" max="8"/>
    <col width="11" customWidth="1" min="9" max="9"/>
    <col width="30" customWidth="1" min="10" max="10"/>
  </cols>
  <sheetData>
    <row r="1">
      <c r="A1" s="23" t="inlineStr">
        <is>
          <t>Control de Mermas — Desperdicio semanal sobre compra</t>
        </is>
      </c>
    </row>
    <row r="2">
      <c r="A2" s="24" t="inlineStr">
        <is>
          <t>Semana del:</t>
        </is>
      </c>
      <c r="B2" s="25" t="n"/>
      <c r="C2" s="26" t="n"/>
      <c r="D2" s="26" t="n"/>
      <c r="E2" s="26" t="n"/>
      <c r="F2" s="26" t="n"/>
      <c r="G2" s="26" t="n"/>
      <c r="H2" s="26" t="n"/>
      <c r="I2" s="26" t="n"/>
      <c r="J2" s="26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30" customHeight="1">
      <c r="A4" s="27" t="inlineStr">
        <is>
          <t>Categoría</t>
        </is>
      </c>
      <c r="B4" s="27" t="inlineStr">
        <is>
          <t>Objetivo mín.</t>
        </is>
      </c>
      <c r="C4" s="27" t="inlineStr">
        <is>
          <t>Objetivo típico</t>
        </is>
      </c>
      <c r="D4" s="27" t="inlineStr">
        <is>
          <t>Objetivo máx.</t>
        </is>
      </c>
      <c r="E4" s="27" t="inlineStr">
        <is>
          <t>Compra total (€)</t>
        </is>
      </c>
      <c r="F4" s="27" t="inlineStr">
        <is>
          <t>Desperdicio real (€)</t>
        </is>
      </c>
      <c r="G4" s="27" t="inlineStr">
        <is>
          <t>Desperdicio real (%)</t>
        </is>
      </c>
      <c r="H4" s="27" t="inlineStr">
        <is>
          <t>Diferencia (p.p.)</t>
        </is>
      </c>
      <c r="I4" s="28" t="inlineStr">
        <is>
          <t>Estado</t>
        </is>
      </c>
      <c r="J4" s="28" t="inlineStr">
        <is>
          <t>Notas</t>
        </is>
      </c>
    </row>
    <row r="5">
      <c r="A5" s="29" t="inlineStr">
        <is>
          <t>Carne roja</t>
        </is>
      </c>
      <c r="B5" s="30" t="n">
        <v>0.03</v>
      </c>
      <c r="C5" s="31" t="n">
        <v>0.04</v>
      </c>
      <c r="D5" s="30" t="n">
        <v>0.05</v>
      </c>
      <c r="E5" s="32" t="n">
        <v>1850</v>
      </c>
      <c r="F5" s="32" t="n">
        <v>74</v>
      </c>
      <c r="G5" s="30">
        <f>IFERROR(IF(E5=0,"",F5/E5),"")</f>
        <v>0.04</v>
      </c>
      <c r="H5" s="33">
        <f>IFERROR(IF(G5="","",G5-C5),"")</f>
        <v>0.0</v>
      </c>
      <c r="I5" s="34" t="str">
        <f>IFERROR(IF(G5="","",IF(G5&lt;=C5,"OK","ALERTA")),"")</f>
        <v>OK</v>
      </c>
      <c r="J5" s="35" t="n"/>
    </row>
    <row r="6">
      <c r="A6" s="36" t="inlineStr">
        <is>
          <t>Aves</t>
        </is>
      </c>
      <c r="B6" s="37" t="n">
        <v>0.03</v>
      </c>
      <c r="C6" s="31" t="n">
        <v>0.04</v>
      </c>
      <c r="D6" s="37" t="n">
        <v>0.05</v>
      </c>
      <c r="E6" s="32" t="n"/>
      <c r="F6" s="32" t="n"/>
      <c r="G6" s="37">
        <f>IFERROR(IF(E6=0,"",F6/E6),"")</f>
        <v/>
      </c>
      <c r="H6" s="38">
        <f>IFERROR(IF(G6="","",G6-C6),"")</f>
        <v/>
      </c>
      <c r="I6" s="39">
        <f>IFERROR(IF(G6="","",IF(G6&lt;=C6,"OK","ALERTA")),"")</f>
        <v/>
      </c>
      <c r="J6" s="35" t="n"/>
    </row>
    <row r="7">
      <c r="A7" s="29" t="inlineStr">
        <is>
          <t>Pescado</t>
        </is>
      </c>
      <c r="B7" s="30" t="n">
        <v>0.03</v>
      </c>
      <c r="C7" s="31" t="n">
        <v>0.04</v>
      </c>
      <c r="D7" s="30" t="n">
        <v>0.05</v>
      </c>
      <c r="E7" s="32" t="n">
        <v>1240</v>
      </c>
      <c r="F7" s="32" t="n">
        <v>87</v>
      </c>
      <c r="G7" s="30">
        <f>IFERROR(IF(E7=0,"",F7/E7),"")</f>
        <v>0.07016129032258064</v>
      </c>
      <c r="H7" s="33">
        <f>IFERROR(IF(G7="","",G7-C7),"")</f>
        <v>0.030161290322580643</v>
      </c>
      <c r="I7" s="34" t="str">
        <f>IFERROR(IF(G7="","",IF(G7&lt;=C7,"OK","ALERTA")),"")</f>
        <v>ALERTA</v>
      </c>
      <c r="J7" s="35" t="n"/>
    </row>
    <row r="8">
      <c r="A8" s="36" t="inlineStr">
        <is>
          <t>Marisco</t>
        </is>
      </c>
      <c r="B8" s="37" t="n">
        <v>0.03</v>
      </c>
      <c r="C8" s="31" t="n">
        <v>0.05</v>
      </c>
      <c r="D8" s="37" t="n">
        <v>0.06</v>
      </c>
      <c r="E8" s="32" t="n"/>
      <c r="F8" s="32" t="n"/>
      <c r="G8" s="37">
        <f>IFERROR(IF(E8=0,"",F8/E8),"")</f>
        <v/>
      </c>
      <c r="H8" s="38">
        <f>IFERROR(IF(G8="","",G8-C8),"")</f>
        <v/>
      </c>
      <c r="I8" s="39">
        <f>IFERROR(IF(G8="","",IF(G8&lt;=C8,"OK","ALERTA")),"")</f>
        <v/>
      </c>
      <c r="J8" s="35" t="n"/>
    </row>
    <row r="9">
      <c r="A9" s="29" t="inlineStr">
        <is>
          <t>Verdura hoja</t>
        </is>
      </c>
      <c r="B9" s="30" t="n">
        <v>0.05</v>
      </c>
      <c r="C9" s="31" t="n">
        <v>0.07000000000000001</v>
      </c>
      <c r="D9" s="30" t="n">
        <v>0.08</v>
      </c>
      <c r="E9" s="32" t="n">
        <v>620</v>
      </c>
      <c r="F9" s="32" t="n">
        <v>38</v>
      </c>
      <c r="G9" s="30">
        <f>IFERROR(IF(E9=0,"",F9/E9),"")</f>
        <v>0.06129032258064516</v>
      </c>
      <c r="H9" s="33">
        <f>IFERROR(IF(G9="","",G9-C9),"")</f>
        <v>-0.008709677419354848</v>
      </c>
      <c r="I9" s="34" t="str">
        <f>IFERROR(IF(G9="","",IF(G9&lt;=C9,"OK","ALERTA")),"")</f>
        <v>OK</v>
      </c>
      <c r="J9" s="35" t="n"/>
    </row>
    <row r="10">
      <c r="A10" s="36" t="inlineStr">
        <is>
          <t>Verdura raíz</t>
        </is>
      </c>
      <c r="B10" s="37" t="n">
        <v>0.05</v>
      </c>
      <c r="C10" s="31" t="n">
        <v>0.06</v>
      </c>
      <c r="D10" s="37" t="n">
        <v>0.08</v>
      </c>
      <c r="E10" s="32" t="n"/>
      <c r="F10" s="32" t="n"/>
      <c r="G10" s="37">
        <f>IFERROR(IF(E10=0,"",F10/E10),"")</f>
        <v/>
      </c>
      <c r="H10" s="38">
        <f>IFERROR(IF(G10="","",G10-C10),"")</f>
        <v/>
      </c>
      <c r="I10" s="39">
        <f>IFERROR(IF(G10="","",IF(G10&lt;=C10,"OK","ALERTA")),"")</f>
        <v/>
      </c>
      <c r="J10" s="35" t="n"/>
    </row>
    <row r="11">
      <c r="A11" s="29" t="inlineStr">
        <is>
          <t>Fruta</t>
        </is>
      </c>
      <c r="B11" s="30" t="n">
        <v>0.05</v>
      </c>
      <c r="C11" s="31" t="n">
        <v>0.06</v>
      </c>
      <c r="D11" s="30" t="n">
        <v>0.08</v>
      </c>
      <c r="E11" s="32" t="n"/>
      <c r="F11" s="32" t="n"/>
      <c r="G11" s="30">
        <f>IFERROR(IF(E11=0,"",F11/E11),"")</f>
        <v/>
      </c>
      <c r="H11" s="33">
        <f>IFERROR(IF(G11="","",G11-C11),"")</f>
        <v/>
      </c>
      <c r="I11" s="34">
        <f>IFERROR(IF(G11="","",IF(G11&lt;=C11,"OK","ALERTA")),"")</f>
        <v/>
      </c>
      <c r="J11" s="35" t="n"/>
    </row>
    <row r="12">
      <c r="A12" s="36" t="inlineStr">
        <is>
          <t>Lácteos</t>
        </is>
      </c>
      <c r="B12" s="37" t="n">
        <v>0.02</v>
      </c>
      <c r="C12" s="31" t="n">
        <v>0.03</v>
      </c>
      <c r="D12" s="37" t="n">
        <v>0.04</v>
      </c>
      <c r="E12" s="32" t="n">
        <v>480</v>
      </c>
      <c r="F12" s="32" t="n">
        <v>12</v>
      </c>
      <c r="G12" s="37">
        <f>IFERROR(IF(E12=0,"",F12/E12),"")</f>
        <v>0.025</v>
      </c>
      <c r="H12" s="38">
        <f>IFERROR(IF(G12="","",G12-C12),"")</f>
        <v>-0.0049999999999999975</v>
      </c>
      <c r="I12" s="39" t="str">
        <f>IFERROR(IF(G12="","",IF(G12&lt;=C12,"OK","ALERTA")),"")</f>
        <v>OK</v>
      </c>
      <c r="J12" s="35" t="n"/>
    </row>
    <row r="13">
      <c r="A13" s="29" t="inlineStr">
        <is>
          <t>Secos/granos</t>
        </is>
      </c>
      <c r="B13" s="30" t="n">
        <v>0.02</v>
      </c>
      <c r="C13" s="31" t="n">
        <v>0.025</v>
      </c>
      <c r="D13" s="30" t="n">
        <v>0.03</v>
      </c>
      <c r="E13" s="32" t="n"/>
      <c r="F13" s="32" t="n"/>
      <c r="G13" s="30">
        <f>IFERROR(IF(E13=0,"",F13/E13),"")</f>
        <v/>
      </c>
      <c r="H13" s="33">
        <f>IFERROR(IF(G13="","",G13-C13),"")</f>
        <v/>
      </c>
      <c r="I13" s="34">
        <f>IFERROR(IF(G13="","",IF(G13&lt;=C13,"OK","ALERTA")),"")</f>
        <v/>
      </c>
      <c r="J13" s="35" t="n"/>
    </row>
    <row r="14">
      <c r="A14" s="36" t="inlineStr">
        <is>
          <t>Congelados</t>
        </is>
      </c>
      <c r="B14" s="37" t="n">
        <v>0.02</v>
      </c>
      <c r="C14" s="31" t="n">
        <v>0.025</v>
      </c>
      <c r="D14" s="37" t="n">
        <v>0.03</v>
      </c>
      <c r="E14" s="32" t="n"/>
      <c r="F14" s="32" t="n"/>
      <c r="G14" s="37">
        <f>IFERROR(IF(E14=0,"",F14/E14),"")</f>
        <v/>
      </c>
      <c r="H14" s="38">
        <f>IFERROR(IF(G14="","",G14-C14),"")</f>
        <v/>
      </c>
      <c r="I14" s="39">
        <f>IFERROR(IF(G14="","",IF(G14&lt;=C14,"OK","ALERTA")),"")</f>
        <v/>
      </c>
      <c r="J14" s="35" t="n"/>
    </row>
    <row r="15">
      <c r="A15" s="29" t="inlineStr">
        <is>
          <t>Pan/bollería</t>
        </is>
      </c>
      <c r="B15" s="30" t="n">
        <v>0.05</v>
      </c>
      <c r="C15" s="31" t="n">
        <v>0.08</v>
      </c>
      <c r="D15" s="30" t="n">
        <v>0.1</v>
      </c>
      <c r="E15" s="32" t="n">
        <v>310</v>
      </c>
      <c r="F15" s="32" t="n">
        <v>34</v>
      </c>
      <c r="G15" s="30">
        <f>IFERROR(IF(E15=0,"",F15/E15),"")</f>
        <v>0.10967741935483871</v>
      </c>
      <c r="H15" s="33">
        <f>IFERROR(IF(G15="","",G15-C15),"")</f>
        <v>0.02967741935483871</v>
      </c>
      <c r="I15" s="34" t="str">
        <f>IFERROR(IF(G15="","",IF(G15&lt;=C15,"OK","ALERTA")),"")</f>
        <v>ALERTA</v>
      </c>
      <c r="J15" s="35" t="n"/>
    </row>
    <row r="16">
      <c r="A16" s="36" t="inlineStr">
        <is>
          <t>Huevos</t>
        </is>
      </c>
      <c r="B16" s="37" t="n">
        <v>0.01</v>
      </c>
      <c r="C16" s="31" t="n">
        <v>0.02</v>
      </c>
      <c r="D16" s="37" t="n">
        <v>0.03</v>
      </c>
      <c r="E16" s="32" t="n"/>
      <c r="F16" s="32" t="n"/>
      <c r="G16" s="37">
        <f>IFERROR(IF(E16=0,"",F16/E16),"")</f>
        <v/>
      </c>
      <c r="H16" s="38">
        <f>IFERROR(IF(G16="","",G16-C16),"")</f>
        <v/>
      </c>
      <c r="I16" s="39">
        <f>IFERROR(IF(G16="","",IF(G16&lt;=C16,"OK","ALERTA")),"")</f>
        <v/>
      </c>
      <c r="J16" s="35" t="n"/>
    </row>
    <row r="17">
      <c r="A17" s="29" t="inlineStr">
        <is>
          <t>Aceites/grasas</t>
        </is>
      </c>
      <c r="B17" s="30" t="n">
        <v>0.005</v>
      </c>
      <c r="C17" s="31" t="n">
        <v>0.01</v>
      </c>
      <c r="D17" s="30" t="n">
        <v>0.015</v>
      </c>
      <c r="E17" s="32" t="n"/>
      <c r="F17" s="32" t="n"/>
      <c r="G17" s="30">
        <f>IFERROR(IF(E17=0,"",F17/E17),"")</f>
        <v/>
      </c>
      <c r="H17" s="33">
        <f>IFERROR(IF(G17="","",G17-C17),"")</f>
        <v/>
      </c>
      <c r="I17" s="34">
        <f>IFERROR(IF(G17="","",IF(G17&lt;=C17,"OK","ALERTA")),"")</f>
        <v/>
      </c>
      <c r="J17" s="35" t="n"/>
    </row>
    <row r="18">
      <c r="A18" s="36" t="inlineStr">
        <is>
          <t>Especias/hierbas</t>
        </is>
      </c>
      <c r="B18" s="37" t="n">
        <v>0.03</v>
      </c>
      <c r="C18" s="31" t="n">
        <v>0.05</v>
      </c>
      <c r="D18" s="37" t="n">
        <v>0.08</v>
      </c>
      <c r="E18" s="32" t="n"/>
      <c r="F18" s="32" t="n"/>
      <c r="G18" s="37">
        <f>IFERROR(IF(E18=0,"",F18/E18),"")</f>
        <v/>
      </c>
      <c r="H18" s="38">
        <f>IFERROR(IF(G18="","",G18-C18),"")</f>
        <v/>
      </c>
      <c r="I18" s="39">
        <f>IFERROR(IF(G18="","",IF(G18&lt;=C18,"OK","ALERTA")),"")</f>
        <v/>
      </c>
      <c r="J18" s="35" t="n"/>
    </row>
    <row r="19">
      <c r="A19" s="29" t="inlineStr">
        <is>
          <t>Chocolate/cacao</t>
        </is>
      </c>
      <c r="B19" s="30" t="n">
        <v>0.01</v>
      </c>
      <c r="C19" s="31" t="n">
        <v>0.02</v>
      </c>
      <c r="D19" s="30" t="n">
        <v>0.03</v>
      </c>
      <c r="E19" s="32" t="n"/>
      <c r="F19" s="32" t="n"/>
      <c r="G19" s="30">
        <f>IFERROR(IF(E19=0,"",F19/E19),"")</f>
        <v/>
      </c>
      <c r="H19" s="33">
        <f>IFERROR(IF(G19="","",G19-C19),"")</f>
        <v/>
      </c>
      <c r="I19" s="34">
        <f>IFERROR(IF(G19="","",IF(G19&lt;=C19,"OK","ALERTA")),"")</f>
        <v/>
      </c>
      <c r="J19" s="35" t="n"/>
    </row>
    <row r="20">
      <c r="A20" s="36" t="inlineStr">
        <is>
          <t>Bebidas/licores</t>
        </is>
      </c>
      <c r="B20" s="37" t="n">
        <v>0.01</v>
      </c>
      <c r="C20" s="31" t="n">
        <v>0.015</v>
      </c>
      <c r="D20" s="37" t="n">
        <v>0.02</v>
      </c>
      <c r="E20" s="32" t="n"/>
      <c r="F20" s="32" t="n"/>
      <c r="G20" s="37">
        <f>IFERROR(IF(E20=0,"",F20/E20),"")</f>
        <v/>
      </c>
      <c r="H20" s="38">
        <f>IFERROR(IF(G20="","",G20-C20),"")</f>
        <v/>
      </c>
      <c r="I20" s="39">
        <f>IFERROR(IF(G20="","",IF(G20&lt;=C20,"OK","ALERTA")),"")</f>
        <v/>
      </c>
      <c r="J20" s="35" t="n"/>
    </row>
    <row r="21">
      <c r="A21" s="40" t="inlineStr">
        <is>
          <t>TOTAL</t>
        </is>
      </c>
      <c r="B21" s="41" t="n"/>
      <c r="C21" s="40" t="n"/>
      <c r="D21" s="40" t="n"/>
      <c r="E21" s="42">
        <f>SUM(E5:E20)</f>
        <v>4500.0</v>
      </c>
      <c r="F21" s="43">
        <f>SUM(F5:F20)</f>
        <v>245.0</v>
      </c>
      <c r="G21" s="44">
        <f>IFERROR(IF(E21=0,"",F21/E21),"")</f>
        <v>0.05444444444444444</v>
      </c>
      <c r="H21" s="41" t="n"/>
      <c r="I21" s="41" t="n"/>
      <c r="J21" s="41" t="n"/>
    </row>
    <row r="22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</row>
    <row r="23" ht="26" customHeight="1">
      <c r="A23" s="45" t="inlineStr">
        <is>
          <t>Aquí se registra el DESPERDICIO (caducidad, mal estado, sobreproducción, porcionado): euros tirados sobre euros comprados. La merma de despiece y limpieza NO va aquí — ya está cobrada dentro del coste del plato, en las plantillas de escandallo (hoja «Mermas»). Mezclarlas era el error de la v1.1: con un objetivo del 45 % un marisco podrido daba «OK».</t>
        </is>
      </c>
    </row>
    <row r="24" ht="26" customHeight="1">
      <c r="A24" s="45" t="inlineStr">
        <is>
          <t>Objetivos de referencia sobre la compra: secos y congelados 2-3 % · carne y pescado 3-5 % · verdura y fruta 5-8 % · bebidas 1-2 % · pan y bollería 5-10 % (sobreproducción). El «objetivo típico» es la celda verde: ajústalo a tu casa; mínimo y máximo son la horquilla del sector.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23:J23"/>
    <mergeCell ref="A24:J24"/>
    <mergeCell ref="A1:J1"/>
  </mergeCells>
  <conditionalFormatting sqref="I5:I20">
    <cfRule type="cellIs" priority="1" operator="equal" dxfId="0" stopIfTrue="0">
      <formula>"ALERTA"</formula>
    </cfRule>
    <cfRule type="cellIs" priority="2" operator="equal" dxfId="1" stopIfTrue="0">
      <formula>"OK"</formula>
    </cfRule>
  </conditionalFormatting>
  <conditionalFormatting sqref="G5:G20">
    <cfRule type="colorScale" priority="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14" customWidth="1" min="5" max="5"/>
  </cols>
  <sheetData>
    <row r="1">
      <c r="A1" s="23" t="inlineStr">
        <is>
          <t>Evolución del desperdicio — 12 semanas</t>
        </is>
      </c>
    </row>
    <row r="2" ht="69" customHeight="1">
      <c r="A2" s="46" t="inlineStr">
        <is>
          <t>La fila «Semana en curso» está ENLAZADA a «Mermas Semanal»: cambia sola según rellenas la semana. Cada lunes, ANTES de vaciar el registro semanal, copia su total (compra y desperdicio) en la fila de la semana que cierras y pega VALORES, no fórmulas — empezando por la Semana 1, cuyo enlace se sustituye al pegar encima. Si no lo haces, la semana 1 seguirá enseñando lo que haya en la hoja semanal y perderás el histórico, que es justo lo que esta pestaña existe para guardar.</t>
        </is>
      </c>
    </row>
    <row r="3">
      <c r="A3" s="24" t="inlineStr">
        <is>
          <t>Objetivo global de desperdicio (%)</t>
        </is>
      </c>
      <c r="B3" s="47" t="n">
        <v>0.04</v>
      </c>
      <c r="C3" s="26" t="n"/>
      <c r="D3" s="26" t="n"/>
      <c r="E3" s="26" t="n"/>
    </row>
    <row r="4">
      <c r="A4" s="26" t="n"/>
      <c r="B4" s="26" t="n"/>
      <c r="C4" s="26" t="n"/>
      <c r="D4" s="26" t="n"/>
      <c r="E4" s="26" t="n"/>
    </row>
    <row r="5" ht="30" customHeight="1">
      <c r="A5" s="28" t="inlineStr">
        <is>
          <t>Semana</t>
        </is>
      </c>
      <c r="B5" s="28" t="inlineStr">
        <is>
          <t>Compra total (€)</t>
        </is>
      </c>
      <c r="C5" s="28" t="inlineStr">
        <is>
          <t>Desperdicio (€)</t>
        </is>
      </c>
      <c r="D5" s="28" t="inlineStr">
        <is>
          <t>Desperdicio (%)</t>
        </is>
      </c>
      <c r="E5" s="28" t="inlineStr">
        <is>
          <t>Objetivo (%)</t>
        </is>
      </c>
    </row>
    <row r="6">
      <c r="A6" s="48" t="inlineStr">
        <is>
          <t>Semana en curso (enlazada a «Mermas Semanal» — pega encima el valor al cerrarla)</t>
        </is>
      </c>
      <c r="B6" s="49">
        <f>'Mermas Semanal'!E21</f>
        <v>4500.0</v>
      </c>
      <c r="C6" s="49">
        <f>'Mermas Semanal'!F21</f>
        <v>245.0</v>
      </c>
      <c r="D6" s="50">
        <f>IF(B6=0,NA(),C6/B6)</f>
        <v>0.05444444444444444</v>
      </c>
      <c r="E6" s="50">
        <f>IF(B6=0,NA(),$B$3)</f>
        <v>0.04</v>
      </c>
    </row>
    <row r="7">
      <c r="A7" s="51" t="inlineStr">
        <is>
          <t>Semana 2</t>
        </is>
      </c>
      <c r="B7" s="52" t="n">
        <v>4300</v>
      </c>
      <c r="C7" s="52" t="n">
        <v>205</v>
      </c>
      <c r="D7" s="53">
        <f>IF(B7=0,NA(),C7/B7)</f>
        <v>0.047674418604651166</v>
      </c>
      <c r="E7" s="53">
        <f>IF(B7=0,NA(),$B$3)</f>
        <v>0.04</v>
      </c>
    </row>
    <row r="8">
      <c r="A8" s="48" t="inlineStr">
        <is>
          <t>Semana 3</t>
        </is>
      </c>
      <c r="B8" s="52" t="n">
        <v>4150</v>
      </c>
      <c r="C8" s="52" t="n">
        <v>168</v>
      </c>
      <c r="D8" s="50">
        <f>IF(B8=0,NA(),C8/B8)</f>
        <v>0.04048192771084337</v>
      </c>
      <c r="E8" s="50">
        <f>IF(B8=0,NA(),$B$3)</f>
        <v>0.04</v>
      </c>
    </row>
    <row r="9">
      <c r="A9" s="51" t="inlineStr">
        <is>
          <t>Semana 4</t>
        </is>
      </c>
      <c r="B9" s="52" t="n">
        <v>4400</v>
      </c>
      <c r="C9" s="52" t="n">
        <v>154</v>
      </c>
      <c r="D9" s="53">
        <f>IF(B9=0,NA(),C9/B9)</f>
        <v>0.035</v>
      </c>
      <c r="E9" s="53">
        <f>IF(B9=0,NA(),$B$3)</f>
        <v>0.04</v>
      </c>
    </row>
    <row r="10">
      <c r="A10" s="48" t="inlineStr">
        <is>
          <t>Semana 5</t>
        </is>
      </c>
      <c r="B10" s="52" t="n"/>
      <c r="C10" s="52" t="n"/>
      <c r="D10" s="50" t="str">
        <f>IF(B10=0,NA(),C10/B10)</f>
        <v>#N/A</v>
      </c>
      <c r="E10" s="50" t="str">
        <f>IF(B10=0,NA(),$B$3)</f>
        <v>#N/A</v>
      </c>
    </row>
    <row r="11">
      <c r="A11" s="51" t="inlineStr">
        <is>
          <t>Semana 6</t>
        </is>
      </c>
      <c r="B11" s="52" t="n"/>
      <c r="C11" s="52" t="n"/>
      <c r="D11" s="53" t="str">
        <f>IF(B11=0,NA(),C11/B11)</f>
        <v>#N/A</v>
      </c>
      <c r="E11" s="53" t="str">
        <f>IF(B11=0,NA(),$B$3)</f>
        <v>#N/A</v>
      </c>
    </row>
    <row r="12">
      <c r="A12" s="48" t="inlineStr">
        <is>
          <t>Semana 7</t>
        </is>
      </c>
      <c r="B12" s="52" t="n"/>
      <c r="C12" s="52" t="n"/>
      <c r="D12" s="50" t="str">
        <f>IF(B12=0,NA(),C12/B12)</f>
        <v>#N/A</v>
      </c>
      <c r="E12" s="50" t="str">
        <f>IF(B12=0,NA(),$B$3)</f>
        <v>#N/A</v>
      </c>
    </row>
    <row r="13">
      <c r="A13" s="51" t="inlineStr">
        <is>
          <t>Semana 8</t>
        </is>
      </c>
      <c r="B13" s="52" t="n"/>
      <c r="C13" s="52" t="n"/>
      <c r="D13" s="53" t="str">
        <f>IF(B13=0,NA(),C13/B13)</f>
        <v>#N/A</v>
      </c>
      <c r="E13" s="53" t="str">
        <f>IF(B13=0,NA(),$B$3)</f>
        <v>#N/A</v>
      </c>
    </row>
    <row r="14">
      <c r="A14" s="48" t="inlineStr">
        <is>
          <t>Semana 9</t>
        </is>
      </c>
      <c r="B14" s="52" t="n"/>
      <c r="C14" s="52" t="n"/>
      <c r="D14" s="50" t="str">
        <f>IF(B14=0,NA(),C14/B14)</f>
        <v>#N/A</v>
      </c>
      <c r="E14" s="50" t="str">
        <f>IF(B14=0,NA(),$B$3)</f>
        <v>#N/A</v>
      </c>
    </row>
    <row r="15">
      <c r="A15" s="51" t="inlineStr">
        <is>
          <t>Semana 10</t>
        </is>
      </c>
      <c r="B15" s="52" t="n"/>
      <c r="C15" s="52" t="n"/>
      <c r="D15" s="53" t="str">
        <f>IF(B15=0,NA(),C15/B15)</f>
        <v>#N/A</v>
      </c>
      <c r="E15" s="53" t="str">
        <f>IF(B15=0,NA(),$B$3)</f>
        <v>#N/A</v>
      </c>
    </row>
    <row r="16">
      <c r="A16" s="48" t="inlineStr">
        <is>
          <t>Semana 11</t>
        </is>
      </c>
      <c r="B16" s="52" t="n"/>
      <c r="C16" s="52" t="n"/>
      <c r="D16" s="50" t="str">
        <f>IF(B16=0,NA(),C16/B16)</f>
        <v>#N/A</v>
      </c>
      <c r="E16" s="50" t="str">
        <f>IF(B16=0,NA(),$B$3)</f>
        <v>#N/A</v>
      </c>
    </row>
    <row r="17">
      <c r="A17" s="51" t="inlineStr">
        <is>
          <t>Semana 12</t>
        </is>
      </c>
      <c r="B17" s="52" t="n"/>
      <c r="C17" s="52" t="n"/>
      <c r="D17" s="53" t="str">
        <f>IF(B17=0,NA(),C17/B17)</f>
        <v>#N/A</v>
      </c>
      <c r="E17" s="53" t="str">
        <f>IF(B17=0,NA(),$B$3)</f>
        <v>#N/A</v>
      </c>
    </row>
    <row r="18">
      <c r="A18" s="26" t="n"/>
      <c r="B18" s="26" t="n"/>
      <c r="C18" s="26" t="n"/>
      <c r="D18" s="26" t="n"/>
      <c r="E18" s="2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E1"/>
    <mergeCell ref="A2:E2"/>
  </mergeCells>
  <conditionalFormatting sqref="D6:E17">
    <cfRule type="expression" priority="1" dxfId="2" stopIfTrue="1">
      <formula>ISNA(D6)</formula>
    </cfRule>
  </conditionalFormatting>
  <pageMargins left="0.59" right="0.59" top="0.59" bottom="0.59" header="0.3" footer="0.3"/>
  <pageSetup orientation="landscape" paperSize="9" fitToHeight="1" fitToWidth="1"/>
  <headerFooter>
    <oddHeader/>
    <oddFooter>&amp;C&amp;8 AI Chef Pro · aichef.pro ·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Control de Mermas por Categoría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2026-09-24T15:25:03Z</dcterms:modified>
  <cp:lastModifiedBy>AI Chef Pro</cp:lastModifiedBy>
  <cp:category>AI Chef Pro · Productos digitales</cp:category>
  <cp:keywords>kit escandallos, AI Chef Pro</cp:keywords>
</cp:coreProperties>
</file>