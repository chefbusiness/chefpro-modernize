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shboard" sheetId="2" state="visible" r:id="rId2"/>
  </sheets>
  <definedNames>
    <definedName name="_xlnm.Print_Titles" localSheetId="1">'Dashboard'!$6:$6</definedName>
    <definedName name="_xlnm.Print_Area" localSheetId="1">'Dashboard'!$A$1:$K$38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€"/>
    <numFmt numFmtId="165" formatCode="0.0%"/>
    <numFmt numFmtId="166" formatCode="+0.0%;-0.0%"/>
  </numFmts>
  <fonts count="16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color rgb="00888888"/>
      <sz val="11"/>
    </font>
    <font>
      <name val="Calibri"/>
      <i val="1"/>
      <color rgb="00888888"/>
      <sz val="10"/>
    </font>
    <font>
      <name val="Calibri"/>
      <b val="1"/>
      <color rgb="001A1A1A"/>
      <sz val="12"/>
    </font>
    <font>
      <name val="Calibri"/>
      <color rgb="00333333"/>
      <sz val="11"/>
    </font>
    <font>
      <name val="Calibri"/>
      <i val="1"/>
      <color rgb="00888888"/>
      <sz val="11"/>
    </font>
    <font>
      <name val="Calibri"/>
      <color rgb="00AAAAAA"/>
      <sz val="9"/>
    </font>
    <font>
      <name val="Calibri"/>
      <b val="1"/>
      <color rgb="00FFFFFF"/>
      <sz val="11"/>
    </font>
    <font>
      <name val="Calibri"/>
      <b val="1"/>
      <color rgb="00333333"/>
      <sz val="11"/>
    </font>
    <font/>
    <font>
      <b val="1"/>
      <sz val="13"/>
    </font>
    <font>
      <b val="1"/>
      <sz val="11"/>
    </font>
    <font>
      <sz val="11"/>
    </font>
    <font>
      <i val="1"/>
      <color rgb="00606060"/>
      <sz val="9"/>
    </font>
    <font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  <fill>
      <patternFill patternType="solid">
        <fgColor rgb="00FFD700"/>
        <bgColor rgb="00FFD700"/>
      </patternFill>
    </fill>
    <fill>
      <patternFill patternType="solid">
        <fgColor rgb="00E8F5E9"/>
      </patternFill>
    </fill>
    <fill>
      <patternFill patternType="solid">
        <fgColor rgb="002D2D2D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FD700"/>
      </patternFill>
    </fill>
  </fills>
  <borders count="4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 style="thin">
        <color rgb="00E0E0E0"/>
      </right>
      <top/>
      <bottom style="thin">
        <color rgb="00E0E0E0"/>
      </bottom>
      <diagonal/>
    </border>
    <border>
      <left/>
      <right style="thin">
        <color rgb="00E0E0E0"/>
      </right>
      <top/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0" borderId="0" pivotButton="0" quotePrefix="0" xfId="0"/>
    <xf numFmtId="0" fontId="0" fillId="2" borderId="1" pivotButton="0" quotePrefix="0" xfId="0"/>
    <xf numFmtId="9" fontId="0" fillId="2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5" fillId="4" borderId="1" pivotButton="0" quotePrefix="0" xfId="0"/>
    <xf numFmtId="164" fontId="0" fillId="2" borderId="1" pivotButton="0" quotePrefix="0" xfId="0"/>
    <xf numFmtId="165" fontId="9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166" fontId="9" fillId="4" borderId="1" applyAlignment="1" pivotButton="0" quotePrefix="0" xfId="0">
      <alignment horizontal="center" vertical="center" wrapText="1"/>
    </xf>
    <xf numFmtId="0" fontId="5" fillId="5" borderId="1" pivotButton="0" quotePrefix="0" xfId="0"/>
    <xf numFmtId="165" fontId="9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166" fontId="9" fillId="5" borderId="1" applyAlignment="1" pivotButton="0" quotePrefix="0" xfId="0">
      <alignment horizontal="center" vertical="center" wrapText="1"/>
    </xf>
    <xf numFmtId="0" fontId="4" fillId="6" borderId="1" pivotButton="0" quotePrefix="0" xfId="0"/>
    <xf numFmtId="164" fontId="4" fillId="6" borderId="1" pivotButton="0" quotePrefix="0" xfId="0"/>
    <xf numFmtId="165" fontId="4" fillId="6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2" pivotButton="0" quotePrefix="0" xfId="0"/>
    <xf numFmtId="0" fontId="0" fillId="0" borderId="2" pivotButton="0" quotePrefix="0" xfId="0"/>
    <xf numFmtId="1" fontId="13" fillId="7" borderId="0" applyAlignment="1" applyProtection="1" pivotButton="0" quotePrefix="0" xfId="0">
      <alignment horizontal="center" vertical="center"/>
      <protection locked="0" hidden="0"/>
    </xf>
    <xf numFmtId="9" fontId="13" fillId="7" borderId="0" applyAlignment="1" applyProtection="1" pivotButton="0" quotePrefix="0" xfId="0">
      <alignment horizontal="center" vertical="center"/>
      <protection locked="0" hidden="0"/>
    </xf>
    <xf numFmtId="0" fontId="14" fillId="0" borderId="0" applyAlignment="1" pivotButton="0" quotePrefix="0" xfId="0">
      <alignment vertical="center" wrapText="1"/>
    </xf>
    <xf numFmtId="0" fontId="15" fillId="8" borderId="1" applyAlignment="1" pivotButton="0" quotePrefix="0" xfId="0">
      <alignment horizontal="center" vertical="center" wrapText="1"/>
    </xf>
    <xf numFmtId="0" fontId="15" fillId="8" borderId="0" applyAlignment="1" pivotButton="0" quotePrefix="0" xfId="0">
      <alignment horizontal="center" vertical="center" wrapText="1"/>
    </xf>
    <xf numFmtId="0" fontId="13" fillId="9" borderId="1" pivotButton="0" quotePrefix="0" xfId="0"/>
    <xf numFmtId="164" fontId="13" fillId="7" borderId="1" applyProtection="1" pivotButton="0" quotePrefix="0" xfId="0">
      <protection locked="0" hidden="0"/>
    </xf>
    <xf numFmtId="164" fontId="13" fillId="9" borderId="1" pivotButton="0" quotePrefix="0" xfId="0"/>
    <xf numFmtId="165" fontId="12" fillId="9" borderId="0" applyAlignment="1" pivotButton="0" quotePrefix="0" xfId="0">
      <alignment horizontal="center" vertical="center"/>
    </xf>
    <xf numFmtId="165" fontId="13" fillId="9" borderId="0" applyAlignment="1" pivotButton="0" quotePrefix="0" xfId="0">
      <alignment horizontal="center" vertical="center"/>
    </xf>
    <xf numFmtId="166" fontId="13" fillId="9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13" fillId="10" borderId="1" pivotButton="0" quotePrefix="0" xfId="0"/>
    <xf numFmtId="164" fontId="13" fillId="10" borderId="1" pivotButton="0" quotePrefix="0" xfId="0"/>
    <xf numFmtId="165" fontId="12" fillId="10" borderId="0" applyAlignment="1" pivotButton="0" quotePrefix="0" xfId="0">
      <alignment horizontal="center" vertical="center"/>
    </xf>
    <xf numFmtId="165" fontId="13" fillId="10" borderId="0" applyAlignment="1" pivotButton="0" quotePrefix="0" xfId="0">
      <alignment horizontal="center" vertical="center"/>
    </xf>
    <xf numFmtId="166" fontId="13" fillId="10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center" vertical="center"/>
    </xf>
    <xf numFmtId="0" fontId="12" fillId="11" borderId="1" pivotButton="0" quotePrefix="0" xfId="0"/>
    <xf numFmtId="164" fontId="12" fillId="11" borderId="1" pivotButton="0" quotePrefix="0" xfId="0"/>
    <xf numFmtId="164" fontId="12" fillId="11" borderId="0" pivotButton="0" quotePrefix="0" xfId="0"/>
    <xf numFmtId="165" fontId="12" fillId="11" borderId="0" applyAlignment="1" pivotButton="0" quotePrefix="0" xfId="0">
      <alignment horizontal="center" vertical="center"/>
    </xf>
    <xf numFmtId="0" fontId="12" fillId="11" borderId="0" pivotButton="0" quotePrefix="0" xfId="0"/>
    <xf numFmtId="0" fontId="12" fillId="11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color rgb="00FFFFFF"/>
      </font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Food Cost mensual vs objetivo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'Dashboard'!H6</f>
            </strRef>
          </tx>
          <spPr>
            <a:ln xmlns:a="http://schemas.openxmlformats.org/drawingml/2006/main">
              <a:prstDash val="solid"/>
            </a:ln>
          </spPr>
          <cat>
            <strRef>
              <f>'Dashboard'!$B$7:$B$18</f>
            </strRef>
          </cat>
          <val>
            <numRef>
              <f>'Dashboard'!$H$7:$H$18</f>
            </numRef>
          </val>
        </ser>
        <ser>
          <idx val="1"/>
          <order val="1"/>
          <tx>
            <strRef>
              <f>'Dashboard'!I6</f>
            </strRef>
          </tx>
          <spPr>
            <a:ln xmlns:a="http://schemas.openxmlformats.org/drawingml/2006/main">
              <a:prstDash val="solid"/>
            </a:ln>
          </spPr>
          <cat>
            <strRef>
              <f>'Dashboard'!$B$7:$B$18</f>
            </strRef>
          </cat>
          <val>
            <numRef>
              <f>'Dashboard'!$I$7:$I$18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.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20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35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📋 Dashboard Food Cost Mensual</t>
        </is>
      </c>
    </row>
    <row r="3">
      <c r="B3" s="2" t="inlineStr">
        <is>
          <t>Kit de Escandallos Pro — AI Chef Pro</t>
        </is>
      </c>
    </row>
    <row r="4">
      <c r="B4" s="3" t="inlineStr">
        <is>
          <t>www.aichef.pro</t>
        </is>
      </c>
    </row>
    <row r="5"/>
    <row r="6">
      <c r="B6" s="6" t="inlineStr">
        <is>
          <t>▸ Registra, mes a mes, el stock inicial, las compras, el stock final y las ventas. Sólo se escriben las celdas VERDES.</t>
        </is>
      </c>
    </row>
    <row r="7">
      <c r="B7" s="6" t="inlineStr">
        <is>
          <t>▸ El food cost, la diferencia con tu objetivo, el estado y el gráfico salen solos.</t>
        </is>
      </c>
    </row>
    <row r="8">
      <c r="B8" s="6" t="n"/>
    </row>
    <row r="9">
      <c r="B9" s="4" t="inlineStr">
        <is>
          <t>La fórmula (y por qué importa)</t>
        </is>
      </c>
    </row>
    <row r="10">
      <c r="B10" s="6" t="n"/>
    </row>
    <row r="11">
      <c r="B11" s="6" t="inlineStr">
        <is>
          <t>▸ Consumo = stock inicial + compras − stock final.</t>
        </is>
      </c>
    </row>
    <row r="12">
      <c r="B12" s="6" t="inlineStr">
        <is>
          <t>▸ Food cost = consumo ÷ ventas.</t>
        </is>
      </c>
    </row>
    <row r="13">
      <c r="B13" s="6" t="inlineStr">
        <is>
          <t>▸ NO es compras ÷ ventas. Una compra fuerte el día 28, o un vaciado de cámara, te movería el indicador varios puntos sin que hubiera cambiado nada en la cocina — que es justo el error que este dashboard existe para evitar.</t>
        </is>
      </c>
    </row>
    <row r="14">
      <c r="B14" s="6" t="inlineStr">
        <is>
          <t>▸ El stock en euros lo sacas de la pestaña «Inventario» del BONUS: cantidad × precio unitario.</t>
        </is>
      </c>
    </row>
    <row r="15">
      <c r="B15" s="8" t="n"/>
    </row>
    <row r="16">
      <c r="B16" s="4" t="inlineStr">
        <is>
          <t>IVA: todo en NETO</t>
        </is>
      </c>
    </row>
    <row r="17">
      <c r="B17" s="8" t="n"/>
    </row>
    <row r="18">
      <c r="B18" s="6" t="inlineStr">
        <is>
          <t>▸ Compras y ventas van SIN IVA. Si tu TPV te da las ventas con IVA incluido, divídelas entre 1,10 (o entre 1 + tu tipo) antes de escribirlas.</t>
        </is>
      </c>
    </row>
    <row r="19">
      <c r="B19" s="6" t="inlineStr">
        <is>
          <t>▸ Con las ventas en bruto el food cost sale unos 3 puntos mejor de lo real y te crees que vas bien.</t>
        </is>
      </c>
    </row>
    <row r="20"/>
    <row r="21">
      <c r="B21" s="4" t="inlineStr">
        <is>
          <t>Alertas</t>
        </is>
      </c>
    </row>
    <row r="22"/>
    <row r="23">
      <c r="B23" s="6" t="inlineStr">
        <is>
          <t>▸ Columna «Estado»: VERDE («OK») si el food cost del mes está en el objetivo o por debajo; ROJO («ALERTA») si se pasa.</t>
        </is>
      </c>
    </row>
    <row r="24">
      <c r="B24" s="6" t="inlineStr">
        <is>
          <t>▸ La columna «Food Cost %» se pinta de rojo cuando supera el objetivo.</t>
        </is>
      </c>
    </row>
    <row r="25">
      <c r="B25" s="6" t="inlineStr">
        <is>
          <t>▸ El gráfico compara cada mes con el objetivo. Los meses sin datos no pintan barra: ni la real ni la del objetivo — sus celdas devuelven #N/A a propósito (es el único valor que el gráfico salta) y el formato condicional lo esconde de la tabla.</t>
        </is>
      </c>
    </row>
    <row r="26"/>
    <row r="27">
      <c r="B27" s="4" t="inlineStr">
        <is>
          <t>Protección de la hoja</t>
        </is>
      </c>
    </row>
    <row r="28"/>
    <row r="29">
      <c r="B29" s="6" t="inlineStr">
        <is>
          <t>▸ La hoja está protegida SIN contraseña: sólo se escriben las celdas verdes. Revisar → Desproteger hoja para tocar el resto.</t>
        </is>
      </c>
    </row>
    <row r="30"/>
    <row r="31">
      <c r="B31" s="6" t="inlineStr">
        <is>
          <t>— Kit de Escandallos Pro · AI Chef Pro · aichef.pro</t>
        </is>
      </c>
    </row>
    <row r="32"/>
    <row r="33">
      <c r="B33" s="6" t="inlineStr">
        <is>
          <t>© 2026 AI Chef Pro · Todos los derechos reservados</t>
        </is>
      </c>
    </row>
    <row r="34"/>
    <row r="35">
      <c r="B35" s="6" t="inlineStr">
        <is>
          <t>Versión 2.1 · septiembre 2026 · aichef.pro/kit-escandallos · info@aichef.pro</t>
        </is>
      </c>
    </row>
  </sheetData>
  <mergeCells count="1">
    <mergeCell ref="B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K20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5" customWidth="1" min="3" max="3"/>
    <col width="19" customWidth="1" min="4" max="4"/>
    <col width="15" customWidth="1" min="5" max="5"/>
    <col width="15" customWidth="1" min="6" max="6"/>
    <col width="19" customWidth="1" min="7" max="7"/>
    <col width="13" customWidth="1" min="8" max="8"/>
    <col width="12" customWidth="1" min="9" max="9"/>
    <col width="13" customWidth="1" min="10" max="10"/>
    <col width="11" customWidth="1" min="11" max="11"/>
  </cols>
  <sheetData>
    <row r="1">
      <c r="A1" s="25" t="n"/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</row>
    <row r="2">
      <c r="A2" s="25" t="n"/>
      <c r="B2" s="26" t="inlineStr">
        <is>
          <t>Dashboard Food Cost Mensual</t>
        </is>
      </c>
    </row>
    <row r="3">
      <c r="A3" s="25" t="n"/>
      <c r="B3" s="27" t="inlineStr">
        <is>
          <t>Año:</t>
        </is>
      </c>
      <c r="C3" s="28" t="n"/>
      <c r="D3" s="29" t="n">
        <v>2026</v>
      </c>
      <c r="E3" s="25" t="n"/>
      <c r="F3" s="25" t="n"/>
      <c r="G3" s="25" t="n"/>
      <c r="H3" s="25" t="n"/>
      <c r="I3" s="25" t="n"/>
      <c r="J3" s="25" t="n"/>
      <c r="K3" s="25" t="n"/>
    </row>
    <row r="4">
      <c r="A4" s="25" t="n"/>
      <c r="B4" s="27" t="inlineStr">
        <is>
          <t>Food Cost objetivo (%):</t>
        </is>
      </c>
      <c r="C4" s="28" t="n"/>
      <c r="D4" s="30" t="n">
        <v>0.3</v>
      </c>
      <c r="E4" s="25" t="n"/>
      <c r="F4" s="25" t="n"/>
      <c r="G4" s="25" t="n"/>
      <c r="H4" s="25" t="n"/>
      <c r="I4" s="25" t="n"/>
      <c r="J4" s="25" t="n"/>
      <c r="K4" s="25" t="n"/>
    </row>
    <row r="5" ht="26" customHeight="1">
      <c r="A5" s="25" t="n"/>
      <c r="B5" s="31" t="inlineStr">
        <is>
          <t>Food cost = (stock inicial + compras − stock final) ÷ ventas. NO es compras ÷ ventas: una compra fuerte a fin de mes te movería el indicador varios puntos sin que hubiera cambiado nada en la cocina. Todo SIN IVA: si tu TPV te da las ventas con IVA, divídelas entre 1,10 antes de escribirlas.</t>
        </is>
      </c>
    </row>
    <row r="6" ht="30" customHeight="1">
      <c r="A6" s="25" t="n"/>
      <c r="B6" s="32" t="inlineStr">
        <is>
          <t>Mes</t>
        </is>
      </c>
      <c r="C6" s="32" t="inlineStr">
        <is>
          <t>Stock inicial (€)</t>
        </is>
      </c>
      <c r="D6" s="32" t="inlineStr">
        <is>
          <t>Compras netas sin IVA (€)</t>
        </is>
      </c>
      <c r="E6" s="32" t="inlineStr">
        <is>
          <t>Stock final (€)</t>
        </is>
      </c>
      <c r="F6" s="32" t="inlineStr">
        <is>
          <t>Consumo (€)</t>
        </is>
      </c>
      <c r="G6" s="32" t="inlineStr">
        <is>
          <t>Ventas netas sin IVA (€)</t>
        </is>
      </c>
      <c r="H6" s="33" t="inlineStr">
        <is>
          <t>Food Cost %</t>
        </is>
      </c>
      <c r="I6" s="33" t="inlineStr">
        <is>
          <t>Objetivo %</t>
        </is>
      </c>
      <c r="J6" s="33" t="inlineStr">
        <is>
          <t>Diferencia</t>
        </is>
      </c>
      <c r="K6" s="33" t="inlineStr">
        <is>
          <t>Estado</t>
        </is>
      </c>
    </row>
    <row r="7">
      <c r="A7" s="25" t="n"/>
      <c r="B7" s="34" t="inlineStr">
        <is>
          <t>Enero</t>
        </is>
      </c>
      <c r="C7" s="35" t="n">
        <v>1000</v>
      </c>
      <c r="D7" s="35" t="n">
        <v>5000</v>
      </c>
      <c r="E7" s="35" t="n">
        <v>1200</v>
      </c>
      <c r="F7" s="36">
        <f>IFERROR(IF(G7=0,"",C7+D7-E7),"")</f>
        <v>4800.0</v>
      </c>
      <c r="G7" s="35" t="n">
        <v>16000</v>
      </c>
      <c r="H7" s="37">
        <f>IF(G7=0,NA(),F7/G7)</f>
        <v>0.3</v>
      </c>
      <c r="I7" s="38">
        <f>IF(G7=0,NA(),$D$4)</f>
        <v>0.3</v>
      </c>
      <c r="J7" s="39">
        <f>IFERROR(H7-I7,"")</f>
        <v>0.0</v>
      </c>
      <c r="K7" s="40" t="str">
        <f>IFERROR(IF(H7&lt;=$D$4,"OK","ALERTA"),"")</f>
        <v>OK</v>
      </c>
    </row>
    <row r="8">
      <c r="A8" s="25" t="n"/>
      <c r="B8" s="41" t="inlineStr">
        <is>
          <t>Febrero</t>
        </is>
      </c>
      <c r="C8" s="35" t="n">
        <v>1200</v>
      </c>
      <c r="D8" s="35" t="n">
        <v>5400</v>
      </c>
      <c r="E8" s="35" t="n">
        <v>1100</v>
      </c>
      <c r="F8" s="42">
        <f>IFERROR(IF(G8=0,"",C8+D8-E8),"")</f>
        <v>5500.0</v>
      </c>
      <c r="G8" s="35" t="n">
        <v>15000</v>
      </c>
      <c r="H8" s="43">
        <f>IF(G8=0,NA(),F8/G8)</f>
        <v>0.36666666666666664</v>
      </c>
      <c r="I8" s="44">
        <f>IF(G8=0,NA(),$D$4)</f>
        <v>0.3</v>
      </c>
      <c r="J8" s="45">
        <f>IFERROR(H8-I8,"")</f>
        <v>0.06666666666666665</v>
      </c>
      <c r="K8" s="46" t="str">
        <f>IFERROR(IF(H8&lt;=$D$4,"OK","ALERTA"),"")</f>
        <v>ALERTA</v>
      </c>
    </row>
    <row r="9">
      <c r="A9" s="25" t="n"/>
      <c r="B9" s="34" t="inlineStr">
        <is>
          <t>Marzo</t>
        </is>
      </c>
      <c r="C9" s="35" t="n">
        <v>1100</v>
      </c>
      <c r="D9" s="35" t="n">
        <v>5200</v>
      </c>
      <c r="E9" s="35" t="n">
        <v>1300</v>
      </c>
      <c r="F9" s="36">
        <f>IFERROR(IF(G9=0,"",C9+D9-E9),"")</f>
        <v>5000.0</v>
      </c>
      <c r="G9" s="35" t="n">
        <v>17000</v>
      </c>
      <c r="H9" s="37">
        <f>IF(G9=0,NA(),F9/G9)</f>
        <v>0.29411764705882354</v>
      </c>
      <c r="I9" s="38">
        <f>IF(G9=0,NA(),$D$4)</f>
        <v>0.3</v>
      </c>
      <c r="J9" s="39">
        <f>IFERROR(H9-I9,"")</f>
        <v>-0.00588235294117645</v>
      </c>
      <c r="K9" s="40" t="str">
        <f>IFERROR(IF(H9&lt;=$D$4,"OK","ALERTA"),"")</f>
        <v>OK</v>
      </c>
    </row>
    <row r="10">
      <c r="A10" s="25" t="n"/>
      <c r="B10" s="41" t="inlineStr">
        <is>
          <t>Abril</t>
        </is>
      </c>
      <c r="C10" s="35" t="n"/>
      <c r="D10" s="35" t="n"/>
      <c r="E10" s="35" t="n"/>
      <c r="F10" s="42">
        <f>IFERROR(IF(G10=0,"",C10+D10-E10),"")</f>
        <v/>
      </c>
      <c r="G10" s="35" t="n"/>
      <c r="H10" s="43" t="str">
        <f>IF(G10=0,NA(),F10/G10)</f>
        <v>#N/A</v>
      </c>
      <c r="I10" s="44" t="str">
        <f>IF(G10=0,NA(),$D$4)</f>
        <v>#N/A</v>
      </c>
      <c r="J10" s="45">
        <f>IFERROR(H10-I10,"")</f>
        <v/>
      </c>
      <c r="K10" s="46">
        <f>IFERROR(IF(H10&lt;=$D$4,"OK","ALERTA"),"")</f>
        <v/>
      </c>
    </row>
    <row r="11">
      <c r="A11" s="25" t="n"/>
      <c r="B11" s="34" t="inlineStr">
        <is>
          <t>Mayo</t>
        </is>
      </c>
      <c r="C11" s="35" t="n"/>
      <c r="D11" s="35" t="n"/>
      <c r="E11" s="35" t="n"/>
      <c r="F11" s="36">
        <f>IFERROR(IF(G11=0,"",C11+D11-E11),"")</f>
        <v/>
      </c>
      <c r="G11" s="35" t="n"/>
      <c r="H11" s="37" t="str">
        <f>IF(G11=0,NA(),F11/G11)</f>
        <v>#N/A</v>
      </c>
      <c r="I11" s="38" t="str">
        <f>IF(G11=0,NA(),$D$4)</f>
        <v>#N/A</v>
      </c>
      <c r="J11" s="39">
        <f>IFERROR(H11-I11,"")</f>
        <v/>
      </c>
      <c r="K11" s="40">
        <f>IFERROR(IF(H11&lt;=$D$4,"OK","ALERTA"),"")</f>
        <v/>
      </c>
    </row>
    <row r="12">
      <c r="A12" s="25" t="n"/>
      <c r="B12" s="41" t="inlineStr">
        <is>
          <t>Junio</t>
        </is>
      </c>
      <c r="C12" s="35" t="n"/>
      <c r="D12" s="35" t="n"/>
      <c r="E12" s="35" t="n"/>
      <c r="F12" s="42">
        <f>IFERROR(IF(G12=0,"",C12+D12-E12),"")</f>
        <v/>
      </c>
      <c r="G12" s="35" t="n"/>
      <c r="H12" s="43" t="str">
        <f>IF(G12=0,NA(),F12/G12)</f>
        <v>#N/A</v>
      </c>
      <c r="I12" s="44" t="str">
        <f>IF(G12=0,NA(),$D$4)</f>
        <v>#N/A</v>
      </c>
      <c r="J12" s="45">
        <f>IFERROR(H12-I12,"")</f>
        <v/>
      </c>
      <c r="K12" s="46">
        <f>IFERROR(IF(H12&lt;=$D$4,"OK","ALERTA"),"")</f>
        <v/>
      </c>
    </row>
    <row r="13">
      <c r="A13" s="25" t="n"/>
      <c r="B13" s="34" t="inlineStr">
        <is>
          <t>Julio</t>
        </is>
      </c>
      <c r="C13" s="35" t="n"/>
      <c r="D13" s="35" t="n"/>
      <c r="E13" s="35" t="n"/>
      <c r="F13" s="36">
        <f>IFERROR(IF(G13=0,"",C13+D13-E13),"")</f>
        <v/>
      </c>
      <c r="G13" s="35" t="n"/>
      <c r="H13" s="37" t="str">
        <f>IF(G13=0,NA(),F13/G13)</f>
        <v>#N/A</v>
      </c>
      <c r="I13" s="38" t="str">
        <f>IF(G13=0,NA(),$D$4)</f>
        <v>#N/A</v>
      </c>
      <c r="J13" s="39">
        <f>IFERROR(H13-I13,"")</f>
        <v/>
      </c>
      <c r="K13" s="40">
        <f>IFERROR(IF(H13&lt;=$D$4,"OK","ALERTA"),"")</f>
        <v/>
      </c>
    </row>
    <row r="14">
      <c r="A14" s="25" t="n"/>
      <c r="B14" s="41" t="inlineStr">
        <is>
          <t>Agosto</t>
        </is>
      </c>
      <c r="C14" s="35" t="n"/>
      <c r="D14" s="35" t="n"/>
      <c r="E14" s="35" t="n"/>
      <c r="F14" s="42">
        <f>IFERROR(IF(G14=0,"",C14+D14-E14),"")</f>
        <v/>
      </c>
      <c r="G14" s="35" t="n"/>
      <c r="H14" s="43" t="str">
        <f>IF(G14=0,NA(),F14/G14)</f>
        <v>#N/A</v>
      </c>
      <c r="I14" s="44" t="str">
        <f>IF(G14=0,NA(),$D$4)</f>
        <v>#N/A</v>
      </c>
      <c r="J14" s="45">
        <f>IFERROR(H14-I14,"")</f>
        <v/>
      </c>
      <c r="K14" s="46">
        <f>IFERROR(IF(H14&lt;=$D$4,"OK","ALERTA"),"")</f>
        <v/>
      </c>
    </row>
    <row r="15">
      <c r="A15" s="25" t="n"/>
      <c r="B15" s="34" t="inlineStr">
        <is>
          <t>Septiembre</t>
        </is>
      </c>
      <c r="C15" s="35" t="n"/>
      <c r="D15" s="35" t="n"/>
      <c r="E15" s="35" t="n"/>
      <c r="F15" s="36">
        <f>IFERROR(IF(G15=0,"",C15+D15-E15),"")</f>
        <v/>
      </c>
      <c r="G15" s="35" t="n"/>
      <c r="H15" s="37" t="str">
        <f>IF(G15=0,NA(),F15/G15)</f>
        <v>#N/A</v>
      </c>
      <c r="I15" s="38" t="str">
        <f>IF(G15=0,NA(),$D$4)</f>
        <v>#N/A</v>
      </c>
      <c r="J15" s="39">
        <f>IFERROR(H15-I15,"")</f>
        <v/>
      </c>
      <c r="K15" s="40">
        <f>IFERROR(IF(H15&lt;=$D$4,"OK","ALERTA"),"")</f>
        <v/>
      </c>
    </row>
    <row r="16">
      <c r="A16" s="25" t="n"/>
      <c r="B16" s="41" t="inlineStr">
        <is>
          <t>Octubre</t>
        </is>
      </c>
      <c r="C16" s="35" t="n"/>
      <c r="D16" s="35" t="n"/>
      <c r="E16" s="35" t="n"/>
      <c r="F16" s="42">
        <f>IFERROR(IF(G16=0,"",C16+D16-E16),"")</f>
        <v/>
      </c>
      <c r="G16" s="35" t="n"/>
      <c r="H16" s="43" t="str">
        <f>IF(G16=0,NA(),F16/G16)</f>
        <v>#N/A</v>
      </c>
      <c r="I16" s="44" t="str">
        <f>IF(G16=0,NA(),$D$4)</f>
        <v>#N/A</v>
      </c>
      <c r="J16" s="45">
        <f>IFERROR(H16-I16,"")</f>
        <v/>
      </c>
      <c r="K16" s="46">
        <f>IFERROR(IF(H16&lt;=$D$4,"OK","ALERTA"),"")</f>
        <v/>
      </c>
    </row>
    <row r="17">
      <c r="A17" s="25" t="n"/>
      <c r="B17" s="34" t="inlineStr">
        <is>
          <t>Noviembre</t>
        </is>
      </c>
      <c r="C17" s="35" t="n"/>
      <c r="D17" s="35" t="n"/>
      <c r="E17" s="35" t="n"/>
      <c r="F17" s="36">
        <f>IFERROR(IF(G17=0,"",C17+D17-E17),"")</f>
        <v/>
      </c>
      <c r="G17" s="35" t="n"/>
      <c r="H17" s="37" t="str">
        <f>IF(G17=0,NA(),F17/G17)</f>
        <v>#N/A</v>
      </c>
      <c r="I17" s="38" t="str">
        <f>IF(G17=0,NA(),$D$4)</f>
        <v>#N/A</v>
      </c>
      <c r="J17" s="39">
        <f>IFERROR(H17-I17,"")</f>
        <v/>
      </c>
      <c r="K17" s="40">
        <f>IFERROR(IF(H17&lt;=$D$4,"OK","ALERTA"),"")</f>
        <v/>
      </c>
    </row>
    <row r="18">
      <c r="A18" s="25" t="n"/>
      <c r="B18" s="41" t="inlineStr">
        <is>
          <t>Diciembre</t>
        </is>
      </c>
      <c r="C18" s="35" t="n"/>
      <c r="D18" s="35" t="n"/>
      <c r="E18" s="35" t="n"/>
      <c r="F18" s="42">
        <f>IFERROR(IF(G18=0,"",C18+D18-E18),"")</f>
        <v/>
      </c>
      <c r="G18" s="35" t="n"/>
      <c r="H18" s="43" t="str">
        <f>IF(G18=0,NA(),F18/G18)</f>
        <v>#N/A</v>
      </c>
      <c r="I18" s="44" t="str">
        <f>IF(G18=0,NA(),$D$4)</f>
        <v>#N/A</v>
      </c>
      <c r="J18" s="45">
        <f>IFERROR(H18-I18,"")</f>
        <v/>
      </c>
      <c r="K18" s="46">
        <f>IFERROR(IF(H18&lt;=$D$4,"OK","ALERTA"),"")</f>
        <v/>
      </c>
    </row>
    <row r="19">
      <c r="A19" s="25" t="n"/>
      <c r="B19" s="47" t="inlineStr">
        <is>
          <t>TOTAL ANUAL</t>
        </is>
      </c>
      <c r="C19" s="47" t="n"/>
      <c r="D19" s="48">
        <f>SUM(D7:D18)</f>
        <v>15600.0</v>
      </c>
      <c r="E19" s="47" t="n"/>
      <c r="F19" s="49">
        <f>SUM(F7:F18)</f>
        <v>15300.0</v>
      </c>
      <c r="G19" s="49">
        <f>SUM(G7:G18)</f>
        <v>48000.0</v>
      </c>
      <c r="H19" s="50">
        <f>IFERROR(IF(G19=0,"",F19/G19),"")</f>
        <v>0.31875</v>
      </c>
      <c r="I19" s="51" t="n"/>
      <c r="J19" s="51" t="n"/>
      <c r="K19" s="52" t="str">
        <f>IFERROR(IF(H19="","",IF(H19&lt;=$D$4,"OK","ALERTA")),"")</f>
        <v>ALERTA</v>
      </c>
    </row>
    <row r="20">
      <c r="A20" s="25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4">
    <mergeCell ref="B3:C3"/>
    <mergeCell ref="B5:K5"/>
    <mergeCell ref="B4:C4"/>
    <mergeCell ref="B2:K2"/>
  </mergeCells>
  <conditionalFormatting sqref="H7:I18">
    <cfRule type="expression" priority="1" dxfId="0" stopIfTrue="1">
      <formula>ISNA(H7)</formula>
    </cfRule>
  </conditionalFormatting>
  <conditionalFormatting sqref="K7:K19">
    <cfRule type="cellIs" priority="2" operator="equal" dxfId="1" stopIfTrue="0">
      <formula>"ALERTA"</formula>
    </cfRule>
    <cfRule type="cellIs" priority="3" operator="equal" dxfId="2" stopIfTrue="0">
      <formula>"OK"</formula>
    </cfRule>
  </conditionalFormatting>
  <conditionalFormatting sqref="H7:H19">
    <cfRule type="expression" priority="4" dxfId="1" stopIfTrue="0">
      <formula>AND(ISNUMBER(H7),H7&gt;$D$4)</formula>
    </cfRule>
  </conditionalFormatting>
  <pageMargins left="0.59" right="0.59" top="0.59" bottom="0.59" header="0.3" footer="0.3"/>
  <pageSetup orientation="landscape" paperSize="9" fitToHeight="1" fitToWidth="1"/>
  <headerFooter>
    <oddHeader/>
    <oddFooter>&amp;C&amp;8 AI Chef Pro · aichef.pro ·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Dashboard Food Cost Mensual · Kit de Escandallos Pro</dc:title>
  <dc:description xmlns:dc="http://purl.org/dc/elements/1.1/">aichef.pro/kit-escandallos</dc:description>
  <dc:subject xmlns:dc="http://purl.org/dc/elements/1.1/">Kit de Escandallos Pro · v2.1</dc:subject>
  <dcterms:created xmlns:dcterms="http://purl.org/dc/terms/" xmlns:xsi="http://www.w3.org/2001/XMLSchema-instance" xsi:type="dcterms:W3CDTF">2026-03-18T21:50:24Z</dcterms:created>
  <dcterms:modified xmlns:dcterms="http://purl.org/dc/terms/" xmlns:xsi="http://www.w3.org/2001/XMLSchema-instance" xsi:type="dcterms:W3CDTF">2026-09-24T15:25:03Z</dcterms:modified>
  <cp:lastModifiedBy>AI Chef Pro</cp:lastModifiedBy>
  <cp:category>AI Chef Pro · Productos digitales</cp:category>
  <cp:keywords>kit escandallos, AI Chef Pro</cp:keywords>
</cp:coreProperties>
</file>