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mash Burger" sheetId="2" state="visible" r:id="rId2"/>
    <sheet xmlns:r="http://schemas.openxmlformats.org/officeDocument/2006/relationships" name="Loaded Fries" sheetId="3" state="visible" r:id="rId3"/>
    <sheet xmlns:r="http://schemas.openxmlformats.org/officeDocument/2006/relationships" name="Pulled Pork Sándwich" sheetId="4" state="visible" r:id="rId4"/>
  </sheets>
  <definedNames>
    <definedName name="_xlnm.Print_Titles" localSheetId="1">'Smash Burger'!$4:$4</definedName>
    <definedName name="_xlnm.Print_Area" localSheetId="1">'Smash Burger'!$A$1:$I$27</definedName>
    <definedName name="_xlnm.Print_Titles" localSheetId="2">'Loaded Fries'!$4:$4</definedName>
    <definedName name="_xlnm.Print_Area" localSheetId="2">'Loaded Fries'!$A$1:$I$25</definedName>
    <definedName name="_xlnm.Print_Titles" localSheetId="3">'Pulled Pork Sándwich'!$4:$4</definedName>
    <definedName name="_xlnm.Print_Area" localSheetId="3">'Pulled Pork Sándwich'!$A$1:$I$24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Food Truck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Recetas simplificadas con foco en velocidad y margen</t>
        </is>
      </c>
    </row>
    <row r="9">
      <c r="B9" s="6" t="inlineStr">
        <is>
          <t>▸ Food cost objetivo en food truck: 28-35%</t>
        </is>
      </c>
    </row>
    <row r="10">
      <c r="B10" s="6" t="inlineStr">
        <is>
          <t>▸ Los platos de food truck deben tener márgenes altos</t>
        </is>
      </c>
    </row>
    <row r="11">
      <c r="B11" s="5" t="inlineStr"/>
    </row>
    <row r="12">
      <c r="B12" s="7" t="inlineStr">
        <is>
          <t>— Kit de Escandallos Pro · AI Chef Pro · aichef.pro</t>
        </is>
      </c>
    </row>
    <row r="13"/>
    <row r="14">
      <c r="B14" s="8" t="inlineStr">
        <is>
          <t>© 2026 AI Chef Pro · Todos los derechos reservados</t>
        </is>
      </c>
    </row>
    <row r="15"/>
    <row r="16">
      <c r="B16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Smash Burger Doble con Queso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Carne picada (blend 80/20)</t>
        </is>
      </c>
      <c r="B5" s="16" t="inlineStr">
        <is>
          <t>Carne roja</t>
        </is>
      </c>
      <c r="C5" s="16" t="inlineStr">
        <is>
          <t>kg</t>
        </is>
      </c>
      <c r="D5" s="17" t="n">
        <v>9.5</v>
      </c>
      <c r="E5" s="18" t="n">
        <v>0.18</v>
      </c>
      <c r="F5" s="16" t="inlineStr">
        <is>
          <t>kg</t>
        </is>
      </c>
      <c r="G5" s="19" t="n">
        <v>0.15</v>
      </c>
      <c r="H5" s="20">
        <f>E5/(1-G5)</f>
        <v>0.21176470588235294</v>
      </c>
      <c r="I5" s="21">
        <f>H5*D5</f>
        <v>2.011764705882353</v>
      </c>
      <c r="K5" s="22" t="n"/>
      <c r="L5" s="23" t="n"/>
    </row>
    <row r="6">
      <c r="A6" s="15" t="inlineStr">
        <is>
          <t>Pan brioche</t>
        </is>
      </c>
      <c r="B6" s="16" t="inlineStr">
        <is>
          <t>Pan/bollería</t>
        </is>
      </c>
      <c r="C6" s="16" t="inlineStr">
        <is>
          <t>ud</t>
        </is>
      </c>
      <c r="D6" s="17" t="n">
        <v>0.4</v>
      </c>
      <c r="E6" s="18" t="n">
        <v>1</v>
      </c>
      <c r="F6" s="16" t="inlineStr">
        <is>
          <t>ud</t>
        </is>
      </c>
      <c r="G6" s="19" t="n">
        <v>0</v>
      </c>
      <c r="H6" s="20">
        <f>E6/(1-G6)</f>
        <v>1.0</v>
      </c>
      <c r="I6" s="21">
        <f>H6*D6</f>
        <v>0.4</v>
      </c>
      <c r="K6" s="22" t="n"/>
      <c r="L6" s="23" t="n"/>
    </row>
    <row r="7">
      <c r="A7" s="15" t="inlineStr">
        <is>
          <t>Queso americano</t>
        </is>
      </c>
      <c r="B7" s="16" t="inlineStr">
        <is>
          <t>Lácteos</t>
        </is>
      </c>
      <c r="C7" s="16" t="inlineStr">
        <is>
          <t>ud</t>
        </is>
      </c>
      <c r="D7" s="17" t="n">
        <v>0.15</v>
      </c>
      <c r="E7" s="18" t="n">
        <v>2</v>
      </c>
      <c r="F7" s="16" t="inlineStr">
        <is>
          <t>ud</t>
        </is>
      </c>
      <c r="G7" s="19" t="n">
        <v>0</v>
      </c>
      <c r="H7" s="20">
        <f>E7/(1-G7)</f>
        <v>2.0</v>
      </c>
      <c r="I7" s="21">
        <f>H7*D7</f>
        <v>0.3</v>
      </c>
      <c r="K7" s="22" t="n"/>
      <c r="L7" s="23" t="n"/>
    </row>
    <row r="8">
      <c r="A8" s="15" t="inlineStr">
        <is>
          <t>Cebolla</t>
        </is>
      </c>
      <c r="B8" s="16" t="inlineStr">
        <is>
          <t>Verdura raíz</t>
        </is>
      </c>
      <c r="C8" s="16" t="inlineStr">
        <is>
          <t>kg</t>
        </is>
      </c>
      <c r="D8" s="17" t="n">
        <v>1.2</v>
      </c>
      <c r="E8" s="18" t="n">
        <v>0.04</v>
      </c>
      <c r="F8" s="16" t="inlineStr">
        <is>
          <t>kg</t>
        </is>
      </c>
      <c r="G8" s="19" t="n">
        <v>0.12</v>
      </c>
      <c r="H8" s="20">
        <f>E8/(1-G8)</f>
        <v>0.045454545454545456</v>
      </c>
      <c r="I8" s="21">
        <f>H8*D8</f>
        <v>0.05454545454545454</v>
      </c>
      <c r="K8" s="24" t="inlineStr">
        <is>
          <t>Arrastra aquí la foto
del plato terminado</t>
        </is>
      </c>
      <c r="L8" s="25" t="n"/>
    </row>
    <row r="9">
      <c r="A9" s="15" t="inlineStr">
        <is>
          <t>Lechuga</t>
        </is>
      </c>
      <c r="B9" s="16" t="inlineStr">
        <is>
          <t>Verdura hoja</t>
        </is>
      </c>
      <c r="C9" s="16" t="inlineStr">
        <is>
          <t>kg</t>
        </is>
      </c>
      <c r="D9" s="17" t="n">
        <v>2.5</v>
      </c>
      <c r="E9" s="18" t="n">
        <v>0.02</v>
      </c>
      <c r="F9" s="16" t="inlineStr">
        <is>
          <t>kg</t>
        </is>
      </c>
      <c r="G9" s="19" t="n">
        <v>0.25</v>
      </c>
      <c r="H9" s="20">
        <f>E9/(1-G9)</f>
        <v>0.02666666666666667</v>
      </c>
      <c r="I9" s="21">
        <f>H9*D9</f>
        <v>0.06666666666666667</v>
      </c>
      <c r="K9" s="26" t="n"/>
      <c r="L9" s="27" t="n"/>
    </row>
    <row r="10">
      <c r="A10" s="15" t="inlineStr">
        <is>
          <t>Tomate</t>
        </is>
      </c>
      <c r="B10" s="16" t="inlineStr">
        <is>
          <t>Verdura hoja</t>
        </is>
      </c>
      <c r="C10" s="16" t="inlineStr">
        <is>
          <t>kg</t>
        </is>
      </c>
      <c r="D10" s="17" t="n">
        <v>2.5</v>
      </c>
      <c r="E10" s="18" t="n">
        <v>0.03</v>
      </c>
      <c r="F10" s="16" t="inlineStr">
        <is>
          <t>kg</t>
        </is>
      </c>
      <c r="G10" s="19" t="n">
        <v>0.1</v>
      </c>
      <c r="H10" s="20">
        <f>E10/(1-G10)</f>
        <v>0.03333333333333333</v>
      </c>
      <c r="I10" s="21">
        <f>H10*D10</f>
        <v>0.08333333333333333</v>
      </c>
      <c r="K10" s="22" t="n"/>
      <c r="L10" s="23" t="n"/>
    </row>
    <row r="11">
      <c r="A11" s="15" t="inlineStr">
        <is>
          <t>Salsa especial</t>
        </is>
      </c>
      <c r="B11" s="16" t="inlineStr">
        <is>
          <t>Secos/granos</t>
        </is>
      </c>
      <c r="C11" s="16" t="inlineStr">
        <is>
          <t>L</t>
        </is>
      </c>
      <c r="D11" s="17" t="n">
        <v>5</v>
      </c>
      <c r="E11" s="18" t="n">
        <v>0.025</v>
      </c>
      <c r="F11" s="16" t="inlineStr">
        <is>
          <t>L</t>
        </is>
      </c>
      <c r="G11" s="19" t="n">
        <v>0.05</v>
      </c>
      <c r="H11" s="20">
        <f>E11/(1-G11)</f>
        <v>0.026315789473684213</v>
      </c>
      <c r="I11" s="21">
        <f>H11*D11</f>
        <v>0.13157894736842107</v>
      </c>
      <c r="K11" s="22" t="n"/>
      <c r="L11" s="23" t="n"/>
    </row>
    <row r="12">
      <c r="A12" s="15" t="inlineStr">
        <is>
          <t>Pepinillo</t>
        </is>
      </c>
      <c r="B12" s="16" t="inlineStr">
        <is>
          <t>Congelados</t>
        </is>
      </c>
      <c r="C12" s="16" t="inlineStr">
        <is>
          <t>kg</t>
        </is>
      </c>
      <c r="D12" s="17" t="n">
        <v>4</v>
      </c>
      <c r="E12" s="18" t="n">
        <v>0.02</v>
      </c>
      <c r="F12" s="16" t="inlineStr">
        <is>
          <t>kg</t>
        </is>
      </c>
      <c r="G12" s="19" t="n">
        <v>0.02</v>
      </c>
      <c r="H12" s="20">
        <f>E12/(1-G12)</f>
        <v>0.020408163265306124</v>
      </c>
      <c r="I12" s="21">
        <f>H12*D12</f>
        <v>0.0816326530612245</v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>
      <c r="A16" s="28" t="n"/>
      <c r="B16" s="28" t="n"/>
      <c r="C16" s="28" t="n"/>
      <c r="D16" s="28" t="n"/>
      <c r="E16" s="28" t="n"/>
      <c r="F16" s="28" t="n"/>
      <c r="G16" s="29" t="n"/>
      <c r="H16" s="30">
        <f>IF(E16="","",E16/(1-G16))</f>
        <v/>
      </c>
      <c r="I16" s="31">
        <f>IF(H16="","",H16*D16)</f>
        <v/>
      </c>
    </row>
    <row r="17">
      <c r="A17" s="28" t="n"/>
      <c r="B17" s="28" t="n"/>
      <c r="C17" s="28" t="n"/>
      <c r="D17" s="28" t="n"/>
      <c r="E17" s="28" t="n"/>
      <c r="F17" s="28" t="n"/>
      <c r="G17" s="29" t="n"/>
      <c r="H17" s="30">
        <f>IF(E17="","",E17/(1-G17))</f>
        <v/>
      </c>
      <c r="I17" s="31">
        <f>IF(H17="","",H17*D17)</f>
        <v/>
      </c>
    </row>
    <row r="18"/>
    <row r="19">
      <c r="A19" s="35" t="inlineStr">
        <is>
          <t>COSTE TOTAL INGREDIENTES</t>
        </is>
      </c>
      <c r="B19" s="49" t="n"/>
      <c r="C19" s="49" t="n"/>
      <c r="D19" s="49" t="n"/>
      <c r="E19" s="49" t="n"/>
      <c r="F19" s="49" t="n"/>
      <c r="G19" s="49" t="n"/>
      <c r="H19" s="50" t="n"/>
      <c r="I19" s="36">
        <f>SUM(I5:I17)</f>
        <v>3.1295217608574535</v>
      </c>
    </row>
    <row r="20">
      <c r="A20" s="37" t="inlineStr">
        <is>
          <t>Coste elaboración (%)</t>
        </is>
      </c>
      <c r="B20" s="49" t="n"/>
      <c r="C20" s="49" t="n"/>
      <c r="D20" s="49" t="n"/>
      <c r="E20" s="49" t="n"/>
      <c r="F20" s="49" t="n"/>
      <c r="G20" s="50" t="n"/>
      <c r="H20" s="19" t="n">
        <v>0.1</v>
      </c>
      <c r="I20" s="38">
        <f>I19*H20</f>
        <v>0.3129521760857454</v>
      </c>
    </row>
    <row r="21">
      <c r="A21" s="39" t="inlineStr">
        <is>
          <t>COSTE TOTAL DEL PLATO</t>
        </is>
      </c>
      <c r="B21" s="49" t="n"/>
      <c r="C21" s="49" t="n"/>
      <c r="D21" s="49" t="n"/>
      <c r="E21" s="49" t="n"/>
      <c r="F21" s="49" t="n"/>
      <c r="G21" s="49" t="n"/>
      <c r="H21" s="50" t="n"/>
      <c r="I21" s="40">
        <f>I19+I20</f>
        <v>3.4424739369431987</v>
      </c>
    </row>
    <row r="22"/>
    <row r="23">
      <c r="A23" s="41" t="inlineStr">
        <is>
          <t>Food Cost objetivo (%)</t>
        </is>
      </c>
      <c r="B23" s="49" t="n"/>
      <c r="C23" s="49" t="n"/>
      <c r="D23" s="49" t="n"/>
      <c r="E23" s="49" t="n"/>
      <c r="F23" s="49" t="n"/>
      <c r="G23" s="50" t="n"/>
      <c r="H23" s="42" t="n">
        <v>0.3</v>
      </c>
    </row>
    <row r="24">
      <c r="A24" s="43" t="inlineStr">
        <is>
          <t>PVP SUGERIDO (sin IVA)</t>
        </is>
      </c>
      <c r="B24" s="49" t="n"/>
      <c r="C24" s="49" t="n"/>
      <c r="D24" s="49" t="n"/>
      <c r="E24" s="49" t="n"/>
      <c r="F24" s="49" t="n"/>
      <c r="G24" s="49" t="n"/>
      <c r="H24" s="50" t="n"/>
      <c r="I24" s="44">
        <f>I21/H23</f>
        <v>11.474913123143995</v>
      </c>
    </row>
    <row r="25">
      <c r="A25" s="45" t="inlineStr">
        <is>
          <t>PVP CON IVA (10% hostelería)</t>
        </is>
      </c>
      <c r="B25" s="49" t="n"/>
      <c r="C25" s="49" t="n"/>
      <c r="D25" s="49" t="n"/>
      <c r="E25" s="49" t="n"/>
      <c r="F25" s="49" t="n"/>
      <c r="G25" s="49" t="n"/>
      <c r="H25" s="50" t="n"/>
      <c r="I25" s="46">
        <f>I24*1.10</f>
        <v>12.622404435458396</v>
      </c>
    </row>
    <row r="26">
      <c r="A26" s="37" t="inlineStr">
        <is>
          <t>Margen bruto (€)</t>
        </is>
      </c>
      <c r="B26" s="49" t="n"/>
      <c r="C26" s="49" t="n"/>
      <c r="D26" s="49" t="n"/>
      <c r="E26" s="49" t="n"/>
      <c r="F26" s="49" t="n"/>
      <c r="G26" s="49" t="n"/>
      <c r="H26" s="50" t="n"/>
      <c r="I26" s="38">
        <f>I24-I21</f>
        <v>8.032439186200797</v>
      </c>
    </row>
    <row r="27">
      <c r="A27" s="37" t="inlineStr">
        <is>
          <t>Margen bruto (%)</t>
        </is>
      </c>
      <c r="B27" s="49" t="n"/>
      <c r="C27" s="49" t="n"/>
      <c r="D27" s="49" t="n"/>
      <c r="E27" s="49" t="n"/>
      <c r="F27" s="49" t="n"/>
      <c r="G27" s="49" t="n"/>
      <c r="H27" s="50" t="n"/>
      <c r="I27" s="47">
        <f>I26/I24</f>
        <v>0.7000000000000001</v>
      </c>
    </row>
  </sheetData>
  <mergeCells count="13">
    <mergeCell ref="A20:G20"/>
    <mergeCell ref="K15:L15"/>
    <mergeCell ref="K8:L9"/>
    <mergeCell ref="A2:I2"/>
    <mergeCell ref="A26:H26"/>
    <mergeCell ref="A23:G23"/>
    <mergeCell ref="A19:H19"/>
    <mergeCell ref="A1:I1"/>
    <mergeCell ref="A21:H21"/>
    <mergeCell ref="A24:H24"/>
    <mergeCell ref="A27:H27"/>
    <mergeCell ref="K3:L3"/>
    <mergeCell ref="A25:H25"/>
  </mergeCells>
  <dataValidations count="2">
    <dataValidation sqref="B5 B6 B7 B8 B9 B10 B11 B12 B13 B14 B15 B16 B17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C16 C17 F5 F6 F7 F8 F9 F10 F11 F12 F13 F14 F15 F16 F17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Loaded Fries con Pulled Pork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Patata para freír</t>
        </is>
      </c>
      <c r="B5" s="16" t="inlineStr">
        <is>
          <t>Verdura raíz</t>
        </is>
      </c>
      <c r="C5" s="16" t="inlineStr">
        <is>
          <t>kg</t>
        </is>
      </c>
      <c r="D5" s="17" t="n">
        <v>1.5</v>
      </c>
      <c r="E5" s="18" t="n">
        <v>0.25</v>
      </c>
      <c r="F5" s="16" t="inlineStr">
        <is>
          <t>kg</t>
        </is>
      </c>
      <c r="G5" s="19" t="n">
        <v>0.12</v>
      </c>
      <c r="H5" s="20">
        <f>E5/(1-G5)</f>
        <v>0.2840909090909091</v>
      </c>
      <c r="I5" s="21">
        <f>H5*D5</f>
        <v>0.42613636363636365</v>
      </c>
      <c r="K5" s="22" t="n"/>
      <c r="L5" s="23" t="n"/>
    </row>
    <row r="6">
      <c r="A6" s="15" t="inlineStr">
        <is>
          <t>Pulled pork</t>
        </is>
      </c>
      <c r="B6" s="16" t="inlineStr">
        <is>
          <t>Carne roja</t>
        </is>
      </c>
      <c r="C6" s="16" t="inlineStr">
        <is>
          <t>kg</t>
        </is>
      </c>
      <c r="D6" s="17" t="n">
        <v>14</v>
      </c>
      <c r="E6" s="18" t="n">
        <v>0.1</v>
      </c>
      <c r="F6" s="16" t="inlineStr">
        <is>
          <t>kg</t>
        </is>
      </c>
      <c r="G6" s="19" t="n">
        <v>0.1</v>
      </c>
      <c r="H6" s="20">
        <f>E6/(1-G6)</f>
        <v>0.11111111111111112</v>
      </c>
      <c r="I6" s="21">
        <f>H6*D6</f>
        <v>1.5555555555555556</v>
      </c>
      <c r="K6" s="22" t="n"/>
      <c r="L6" s="23" t="n"/>
    </row>
    <row r="7">
      <c r="A7" s="15" t="inlineStr">
        <is>
          <t>Queso cheddar rallado</t>
        </is>
      </c>
      <c r="B7" s="16" t="inlineStr">
        <is>
          <t>Lácteos</t>
        </is>
      </c>
      <c r="C7" s="16" t="inlineStr">
        <is>
          <t>kg</t>
        </is>
      </c>
      <c r="D7" s="17" t="n">
        <v>10</v>
      </c>
      <c r="E7" s="18" t="n">
        <v>0.04</v>
      </c>
      <c r="F7" s="16" t="inlineStr">
        <is>
          <t>kg</t>
        </is>
      </c>
      <c r="G7" s="19" t="n">
        <v>0.03</v>
      </c>
      <c r="H7" s="20">
        <f>E7/(1-G7)</f>
        <v>0.041237113402061855</v>
      </c>
      <c r="I7" s="21">
        <f>H7*D7</f>
        <v>0.41237113402061853</v>
      </c>
      <c r="K7" s="22" t="n"/>
      <c r="L7" s="23" t="n"/>
    </row>
    <row r="8">
      <c r="A8" s="15" t="inlineStr">
        <is>
          <t>Salsa BBQ</t>
        </is>
      </c>
      <c r="B8" s="16" t="inlineStr">
        <is>
          <t>Secos/granos</t>
        </is>
      </c>
      <c r="C8" s="16" t="inlineStr">
        <is>
          <t>L</t>
        </is>
      </c>
      <c r="D8" s="17" t="n">
        <v>4</v>
      </c>
      <c r="E8" s="18" t="n">
        <v>0.03</v>
      </c>
      <c r="F8" s="16" t="inlineStr">
        <is>
          <t>L</t>
        </is>
      </c>
      <c r="G8" s="19" t="n">
        <v>0.05</v>
      </c>
      <c r="H8" s="20">
        <f>E8/(1-G8)</f>
        <v>0.031578947368421054</v>
      </c>
      <c r="I8" s="21">
        <f>H8*D8</f>
        <v>0.12631578947368421</v>
      </c>
      <c r="K8" s="24" t="inlineStr">
        <is>
          <t>Arrastra aquí la foto
del plato terminado</t>
        </is>
      </c>
      <c r="L8" s="25" t="n"/>
    </row>
    <row r="9">
      <c r="A9" s="15" t="inlineStr">
        <is>
          <t>Cebollino</t>
        </is>
      </c>
      <c r="B9" s="16" t="inlineStr">
        <is>
          <t>Especias/hierbas</t>
        </is>
      </c>
      <c r="C9" s="16" t="inlineStr">
        <is>
          <t>manojo</t>
        </is>
      </c>
      <c r="D9" s="17" t="n">
        <v>1.5</v>
      </c>
      <c r="E9" s="18" t="n">
        <v>0.125</v>
      </c>
      <c r="F9" s="16" t="inlineStr">
        <is>
          <t>ud</t>
        </is>
      </c>
      <c r="G9" s="19" t="n">
        <v>0.2</v>
      </c>
      <c r="H9" s="20">
        <f>E9/(1-G9)</f>
        <v>0.15625</v>
      </c>
      <c r="I9" s="21">
        <f>H9*D9</f>
        <v>0.234375</v>
      </c>
      <c r="K9" s="26" t="n"/>
      <c r="L9" s="27" t="n"/>
    </row>
    <row r="10">
      <c r="A10" s="15" t="inlineStr">
        <is>
          <t>Aceite de girasol (fritura)</t>
        </is>
      </c>
      <c r="B10" s="16" t="inlineStr">
        <is>
          <t>Aceites/grasas</t>
        </is>
      </c>
      <c r="C10" s="16" t="inlineStr">
        <is>
          <t>L</t>
        </is>
      </c>
      <c r="D10" s="17" t="n">
        <v>2</v>
      </c>
      <c r="E10" s="18" t="n">
        <v>0.1</v>
      </c>
      <c r="F10" s="16" t="inlineStr">
        <is>
          <t>L</t>
        </is>
      </c>
      <c r="G10" s="19" t="n">
        <v>0</v>
      </c>
      <c r="H10" s="20">
        <f>E10/(1-G10)</f>
        <v>0.1</v>
      </c>
      <c r="I10" s="21">
        <f>H10*D10</f>
        <v>0.2</v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/>
    <row r="17">
      <c r="A17" s="35" t="inlineStr">
        <is>
          <t>COSTE TOTAL INGREDIENTES</t>
        </is>
      </c>
      <c r="B17" s="49" t="n"/>
      <c r="C17" s="49" t="n"/>
      <c r="D17" s="49" t="n"/>
      <c r="E17" s="49" t="n"/>
      <c r="F17" s="49" t="n"/>
      <c r="G17" s="49" t="n"/>
      <c r="H17" s="50" t="n"/>
      <c r="I17" s="36">
        <f>SUM(I5:I15)</f>
        <v>2.954753842686222</v>
      </c>
    </row>
    <row r="18">
      <c r="A18" s="37" t="inlineStr">
        <is>
          <t>Coste elaboración (%)</t>
        </is>
      </c>
      <c r="B18" s="49" t="n"/>
      <c r="C18" s="49" t="n"/>
      <c r="D18" s="49" t="n"/>
      <c r="E18" s="49" t="n"/>
      <c r="F18" s="49" t="n"/>
      <c r="G18" s="50" t="n"/>
      <c r="H18" s="19" t="n">
        <v>0.1</v>
      </c>
      <c r="I18" s="38">
        <f>I17*H18</f>
        <v>0.2954753842686222</v>
      </c>
    </row>
    <row r="19">
      <c r="A19" s="39" t="inlineStr">
        <is>
          <t>COSTE TOTAL DEL PLATO</t>
        </is>
      </c>
      <c r="B19" s="49" t="n"/>
      <c r="C19" s="49" t="n"/>
      <c r="D19" s="49" t="n"/>
      <c r="E19" s="49" t="n"/>
      <c r="F19" s="49" t="n"/>
      <c r="G19" s="49" t="n"/>
      <c r="H19" s="50" t="n"/>
      <c r="I19" s="40">
        <f>I17+I18</f>
        <v>3.2502292269548443</v>
      </c>
    </row>
    <row r="20"/>
    <row r="21">
      <c r="A21" s="41" t="inlineStr">
        <is>
          <t>Food Cost objetivo (%)</t>
        </is>
      </c>
      <c r="B21" s="49" t="n"/>
      <c r="C21" s="49" t="n"/>
      <c r="D21" s="49" t="n"/>
      <c r="E21" s="49" t="n"/>
      <c r="F21" s="49" t="n"/>
      <c r="G21" s="50" t="n"/>
      <c r="H21" s="42" t="n">
        <v>0.3</v>
      </c>
    </row>
    <row r="22">
      <c r="A22" s="43" t="inlineStr">
        <is>
          <t>PVP SUGERIDO (sin IVA)</t>
        </is>
      </c>
      <c r="B22" s="49" t="n"/>
      <c r="C22" s="49" t="n"/>
      <c r="D22" s="49" t="n"/>
      <c r="E22" s="49" t="n"/>
      <c r="F22" s="49" t="n"/>
      <c r="G22" s="49" t="n"/>
      <c r="H22" s="50" t="n"/>
      <c r="I22" s="44">
        <f>I19/H21</f>
        <v>10.834097423182815</v>
      </c>
    </row>
    <row r="23">
      <c r="A23" s="45" t="inlineStr">
        <is>
          <t>PVP CON IVA (10% hostelería)</t>
        </is>
      </c>
      <c r="B23" s="49" t="n"/>
      <c r="C23" s="49" t="n"/>
      <c r="D23" s="49" t="n"/>
      <c r="E23" s="49" t="n"/>
      <c r="F23" s="49" t="n"/>
      <c r="G23" s="49" t="n"/>
      <c r="H23" s="50" t="n"/>
      <c r="I23" s="46">
        <f>I22*1.10</f>
        <v>11.917507165501098</v>
      </c>
    </row>
    <row r="24">
      <c r="A24" s="37" t="inlineStr">
        <is>
          <t>Margen bruto (€)</t>
        </is>
      </c>
      <c r="B24" s="49" t="n"/>
      <c r="C24" s="49" t="n"/>
      <c r="D24" s="49" t="n"/>
      <c r="E24" s="49" t="n"/>
      <c r="F24" s="49" t="n"/>
      <c r="G24" s="49" t="n"/>
      <c r="H24" s="50" t="n"/>
      <c r="I24" s="38">
        <f>I22-I19</f>
        <v>7.583868196227971</v>
      </c>
    </row>
    <row r="25">
      <c r="A25" s="37" t="inlineStr">
        <is>
          <t>Margen bruto (%)</t>
        </is>
      </c>
      <c r="B25" s="49" t="n"/>
      <c r="C25" s="49" t="n"/>
      <c r="D25" s="49" t="n"/>
      <c r="E25" s="49" t="n"/>
      <c r="F25" s="49" t="n"/>
      <c r="G25" s="49" t="n"/>
      <c r="H25" s="50" t="n"/>
      <c r="I25" s="47">
        <f>I24/I22</f>
        <v>0.7000000000000001</v>
      </c>
    </row>
  </sheetData>
  <mergeCells count="13">
    <mergeCell ref="K15:L15"/>
    <mergeCell ref="K8:L9"/>
    <mergeCell ref="A2:I2"/>
    <mergeCell ref="A17:H17"/>
    <mergeCell ref="A18:G18"/>
    <mergeCell ref="A22:H22"/>
    <mergeCell ref="A19:H19"/>
    <mergeCell ref="A1:I1"/>
    <mergeCell ref="A24:H24"/>
    <mergeCell ref="K3:L3"/>
    <mergeCell ref="A21:G21"/>
    <mergeCell ref="A25:H25"/>
    <mergeCell ref="A23:H23"/>
  </mergeCells>
  <dataValidations count="2">
    <dataValidation sqref="B5 B6 B7 B8 B9 B10 B11 B12 B13 B14 B15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F5 F6 F7 F8 F9 F10 F11 F12 F13 F14 F15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Pulled Pork Sándwich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Pulled pork</t>
        </is>
      </c>
      <c r="B5" s="16" t="inlineStr">
        <is>
          <t>Carne roja</t>
        </is>
      </c>
      <c r="C5" s="16" t="inlineStr">
        <is>
          <t>kg</t>
        </is>
      </c>
      <c r="D5" s="17" t="n">
        <v>14</v>
      </c>
      <c r="E5" s="18" t="n">
        <v>0.15</v>
      </c>
      <c r="F5" s="16" t="inlineStr">
        <is>
          <t>kg</t>
        </is>
      </c>
      <c r="G5" s="19" t="n">
        <v>0.1</v>
      </c>
      <c r="H5" s="20">
        <f>E5/(1-G5)</f>
        <v>0.16666666666666666</v>
      </c>
      <c r="I5" s="21">
        <f>H5*D5</f>
        <v>2.333333333333333</v>
      </c>
      <c r="K5" s="22" t="n"/>
      <c r="L5" s="23" t="n"/>
    </row>
    <row r="6">
      <c r="A6" s="15" t="inlineStr">
        <is>
          <t>Pan brioche grande</t>
        </is>
      </c>
      <c r="B6" s="16" t="inlineStr">
        <is>
          <t>Pan/bollería</t>
        </is>
      </c>
      <c r="C6" s="16" t="inlineStr">
        <is>
          <t>ud</t>
        </is>
      </c>
      <c r="D6" s="17" t="n">
        <v>0.5</v>
      </c>
      <c r="E6" s="18" t="n">
        <v>1</v>
      </c>
      <c r="F6" s="16" t="inlineStr">
        <is>
          <t>ud</t>
        </is>
      </c>
      <c r="G6" s="19" t="n">
        <v>0</v>
      </c>
      <c r="H6" s="20">
        <f>E6/(1-G6)</f>
        <v>1.0</v>
      </c>
      <c r="I6" s="21">
        <f>H6*D6</f>
        <v>0.5</v>
      </c>
      <c r="K6" s="22" t="n"/>
      <c r="L6" s="23" t="n"/>
    </row>
    <row r="7">
      <c r="A7" s="15" t="inlineStr">
        <is>
          <t>Coleslaw (mix)</t>
        </is>
      </c>
      <c r="B7" s="16" t="inlineStr">
        <is>
          <t>Verdura hoja</t>
        </is>
      </c>
      <c r="C7" s="16" t="inlineStr">
        <is>
          <t>kg</t>
        </is>
      </c>
      <c r="D7" s="17" t="n">
        <v>3</v>
      </c>
      <c r="E7" s="18" t="n">
        <v>0.06</v>
      </c>
      <c r="F7" s="16" t="inlineStr">
        <is>
          <t>kg</t>
        </is>
      </c>
      <c r="G7" s="19" t="n">
        <v>0.1</v>
      </c>
      <c r="H7" s="20">
        <f>E7/(1-G7)</f>
        <v>0.06666666666666667</v>
      </c>
      <c r="I7" s="21">
        <f>H7*D7</f>
        <v>0.2</v>
      </c>
      <c r="K7" s="22" t="n"/>
      <c r="L7" s="23" t="n"/>
    </row>
    <row r="8">
      <c r="A8" s="15" t="inlineStr">
        <is>
          <t>Salsa BBQ</t>
        </is>
      </c>
      <c r="B8" s="16" t="inlineStr">
        <is>
          <t>Secos/granos</t>
        </is>
      </c>
      <c r="C8" s="16" t="inlineStr">
        <is>
          <t>L</t>
        </is>
      </c>
      <c r="D8" s="17" t="n">
        <v>4</v>
      </c>
      <c r="E8" s="18" t="n">
        <v>0.03</v>
      </c>
      <c r="F8" s="16" t="inlineStr">
        <is>
          <t>L</t>
        </is>
      </c>
      <c r="G8" s="19" t="n">
        <v>0.05</v>
      </c>
      <c r="H8" s="20">
        <f>E8/(1-G8)</f>
        <v>0.031578947368421054</v>
      </c>
      <c r="I8" s="21">
        <f>H8*D8</f>
        <v>0.12631578947368421</v>
      </c>
      <c r="K8" s="24" t="inlineStr">
        <is>
          <t>Arrastra aquí la foto
del plato terminado</t>
        </is>
      </c>
      <c r="L8" s="25" t="n"/>
    </row>
    <row r="9">
      <c r="A9" s="15" t="inlineStr">
        <is>
          <t>Pepinillos</t>
        </is>
      </c>
      <c r="B9" s="16" t="inlineStr">
        <is>
          <t>Congelados</t>
        </is>
      </c>
      <c r="C9" s="16" t="inlineStr">
        <is>
          <t>kg</t>
        </is>
      </c>
      <c r="D9" s="17" t="n">
        <v>4</v>
      </c>
      <c r="E9" s="18" t="n">
        <v>0.02</v>
      </c>
      <c r="F9" s="16" t="inlineStr">
        <is>
          <t>kg</t>
        </is>
      </c>
      <c r="G9" s="19" t="n">
        <v>0.02</v>
      </c>
      <c r="H9" s="20">
        <f>E9/(1-G9)</f>
        <v>0.020408163265306124</v>
      </c>
      <c r="I9" s="21">
        <f>H9*D9</f>
        <v>0.0816326530612245</v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B16" s="49" t="n"/>
      <c r="C16" s="49" t="n"/>
      <c r="D16" s="49" t="n"/>
      <c r="E16" s="49" t="n"/>
      <c r="F16" s="49" t="n"/>
      <c r="G16" s="49" t="n"/>
      <c r="H16" s="50" t="n"/>
      <c r="I16" s="36">
        <f>SUM(I5:I14)</f>
        <v>3.241281775868242</v>
      </c>
    </row>
    <row r="17">
      <c r="A17" s="37" t="inlineStr">
        <is>
          <t>Coste elaboración (%)</t>
        </is>
      </c>
      <c r="B17" s="49" t="n"/>
      <c r="C17" s="49" t="n"/>
      <c r="D17" s="49" t="n"/>
      <c r="E17" s="49" t="n"/>
      <c r="F17" s="49" t="n"/>
      <c r="G17" s="50" t="n"/>
      <c r="H17" s="19" t="n">
        <v>0.1</v>
      </c>
      <c r="I17" s="38">
        <f>I16*H17</f>
        <v>0.3241281775868242</v>
      </c>
    </row>
    <row r="18">
      <c r="A18" s="39" t="inlineStr">
        <is>
          <t>COSTE TOTAL DEL PLATO</t>
        </is>
      </c>
      <c r="B18" s="49" t="n"/>
      <c r="C18" s="49" t="n"/>
      <c r="D18" s="49" t="n"/>
      <c r="E18" s="49" t="n"/>
      <c r="F18" s="49" t="n"/>
      <c r="G18" s="49" t="n"/>
      <c r="H18" s="50" t="n"/>
      <c r="I18" s="40">
        <f>I16+I17</f>
        <v>3.5654099534550663</v>
      </c>
    </row>
    <row r="19"/>
    <row r="20">
      <c r="A20" s="41" t="inlineStr">
        <is>
          <t>Food Cost objetivo (%)</t>
        </is>
      </c>
      <c r="B20" s="49" t="n"/>
      <c r="C20" s="49" t="n"/>
      <c r="D20" s="49" t="n"/>
      <c r="E20" s="49" t="n"/>
      <c r="F20" s="49" t="n"/>
      <c r="G20" s="50" t="n"/>
      <c r="H20" s="42" t="n">
        <v>0.3</v>
      </c>
    </row>
    <row r="21">
      <c r="A21" s="43" t="inlineStr">
        <is>
          <t>PVP SUGERIDO (sin IVA)</t>
        </is>
      </c>
      <c r="B21" s="49" t="n"/>
      <c r="C21" s="49" t="n"/>
      <c r="D21" s="49" t="n"/>
      <c r="E21" s="49" t="n"/>
      <c r="F21" s="49" t="n"/>
      <c r="G21" s="49" t="n"/>
      <c r="H21" s="50" t="n"/>
      <c r="I21" s="44">
        <f>I18/H20</f>
        <v>11.884699844850221</v>
      </c>
    </row>
    <row r="22">
      <c r="A22" s="45" t="inlineStr">
        <is>
          <t>PVP CON IVA (10% hostelería)</t>
        </is>
      </c>
      <c r="B22" s="49" t="n"/>
      <c r="C22" s="49" t="n"/>
      <c r="D22" s="49" t="n"/>
      <c r="E22" s="49" t="n"/>
      <c r="F22" s="49" t="n"/>
      <c r="G22" s="49" t="n"/>
      <c r="H22" s="50" t="n"/>
      <c r="I22" s="46">
        <f>I21*1.10</f>
        <v>13.073169829335244</v>
      </c>
    </row>
    <row r="23">
      <c r="A23" s="37" t="inlineStr">
        <is>
          <t>Margen bruto (€)</t>
        </is>
      </c>
      <c r="B23" s="49" t="n"/>
      <c r="C23" s="49" t="n"/>
      <c r="D23" s="49" t="n"/>
      <c r="E23" s="49" t="n"/>
      <c r="F23" s="49" t="n"/>
      <c r="G23" s="49" t="n"/>
      <c r="H23" s="50" t="n"/>
      <c r="I23" s="38">
        <f>I21-I18</f>
        <v>8.319289891395155</v>
      </c>
    </row>
    <row r="24">
      <c r="A24" s="37" t="inlineStr">
        <is>
          <t>Margen bruto (%)</t>
        </is>
      </c>
      <c r="B24" s="49" t="n"/>
      <c r="C24" s="49" t="n"/>
      <c r="D24" s="49" t="n"/>
      <c r="E24" s="49" t="n"/>
      <c r="F24" s="49" t="n"/>
      <c r="G24" s="49" t="n"/>
      <c r="H24" s="50" t="n"/>
      <c r="I24" s="47">
        <f>I23/I21</f>
        <v>0.7</v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sqref="B5 B6 B7 B8 B9 B10 B11 B12 B13 B14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F5 F6 F7 F8 F9 F10 F11 F12 F13 F14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Food Truck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2026-08-22T09:11:24Z</dcterms:modified>
  <cp:lastModifiedBy>AI Chef Pro</cp:lastModifiedBy>
  <cp:category>AI Chef Pro · Productos digitales</cp:category>
  <cp:keywords>kit escandallos, AI Chef Pro</cp:keywords>
</cp:coreProperties>
</file>