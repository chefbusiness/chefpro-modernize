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est de despiece" sheetId="2" state="visible" r:id="rId2"/>
    <sheet xmlns:r="http://schemas.openxmlformats.org/officeDocument/2006/relationships" name="Test de cocción" sheetId="3" state="visible" r:id="rId3"/>
  </sheets>
  <definedNames>
    <definedName name="_xlnm.Print_Area" localSheetId="1">'Test de despiece'!$A$1:$F$39</definedName>
    <definedName name="_xlnm.Print_Area" localSheetId="2">'Test de cocción'!$A$1:$F$20</definedName>
  </definedNames>
  <calcPr calcId="124519" fullCalcOnLoad="1"/>
</workbook>
</file>

<file path=xl/styles.xml><?xml version="1.0" encoding="utf-8"?>
<styleSheet xmlns="http://schemas.openxmlformats.org/spreadsheetml/2006/main">
  <numFmts count="3">
    <numFmt numFmtId="164" formatCode="0.000"/>
    <numFmt numFmtId="165" formatCode="#,##0.00 €"/>
    <numFmt numFmtId="166" formatCode="0.0%"/>
  </numFmts>
  <fonts count="14">
    <font>
      <name val="Calibri"/>
      <family val="2"/>
      <color theme="1"/>
      <sz val="11"/>
      <scheme val="minor"/>
    </font>
    <font>
      <name val="Calibri"/>
      <b val="1"/>
      <color rgb="00FFD700"/>
      <sz val="18"/>
    </font>
    <font>
      <name val="Calibri"/>
      <color rgb="00888888"/>
      <sz val="11"/>
    </font>
    <font>
      <name val="Calibri"/>
      <color rgb="00888888"/>
      <sz val="10"/>
    </font>
    <font>
      <name val="Calibri"/>
      <b val="1"/>
      <color rgb="001A1A1A"/>
      <sz val="12"/>
    </font>
    <font>
      <name val="Calibri"/>
      <color rgb="00333333"/>
      <sz val="11"/>
    </font>
    <font>
      <b val="1"/>
      <color rgb="00FFFFFF"/>
    </font>
    <font>
      <b val="1"/>
      <color rgb="00FFD700"/>
      <sz val="16"/>
    </font>
    <font>
      <color rgb="00888888"/>
      <sz val="11"/>
    </font>
    <font>
      <b val="1"/>
      <sz val="11"/>
    </font>
    <font>
      <sz val="11"/>
    </font>
    <font>
      <i val="1"/>
      <color rgb="00606060"/>
      <sz val="9"/>
    </font>
    <font>
      <i val="1"/>
    </font>
    <font>
      <b val="1"/>
      <sz val="12"/>
    </font>
  </fonts>
  <fills count="6">
    <fill>
      <patternFill/>
    </fill>
    <fill>
      <patternFill patternType="gray125"/>
    </fill>
    <fill>
      <patternFill patternType="solid">
        <fgColor rgb="002D2D2D"/>
      </patternFill>
    </fill>
    <fill>
      <patternFill patternType="solid">
        <fgColor rgb="00E8F5E9"/>
      </patternFill>
    </fill>
    <fill>
      <patternFill patternType="solid">
        <fgColor rgb="00FFF8DC"/>
      </patternFill>
    </fill>
    <fill>
      <patternFill patternType="solid">
        <fgColor rgb="00FFD70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left" vertical="center" wrapText="1"/>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center"/>
    </xf>
    <xf numFmtId="0" fontId="8" fillId="0" borderId="0" applyAlignment="1" pivotButton="0" quotePrefix="0" xfId="0">
      <alignment vertical="top" wrapText="1"/>
    </xf>
    <xf numFmtId="0" fontId="6" fillId="2" borderId="0" applyAlignment="1" pivotButton="0" quotePrefix="0" xfId="0">
      <alignment vertical="center"/>
    </xf>
    <xf numFmtId="0" fontId="9" fillId="0" borderId="0" applyAlignment="1" pivotButton="0" quotePrefix="0" xfId="0">
      <alignment vertical="center" wrapText="1"/>
    </xf>
    <xf numFmtId="0" fontId="10" fillId="3" borderId="1" applyAlignment="1" applyProtection="1" pivotButton="0" quotePrefix="0" xfId="0">
      <alignment horizontal="left" vertical="center"/>
      <protection locked="0" hidden="0"/>
    </xf>
    <xf numFmtId="0" fontId="0" fillId="0" borderId="4" pivotButton="0" quotePrefix="0" xfId="0"/>
    <xf numFmtId="0" fontId="0" fillId="0" borderId="5" pivotButton="0" quotePrefix="0" xfId="0"/>
    <xf numFmtId="14" fontId="10" fillId="3" borderId="1" applyAlignment="1" applyProtection="1" pivotButton="0" quotePrefix="0" xfId="0">
      <alignment horizontal="center" vertical="center"/>
      <protection locked="0" hidden="0"/>
    </xf>
    <xf numFmtId="164" fontId="10" fillId="3" borderId="1" applyAlignment="1" applyProtection="1" pivotButton="0" quotePrefix="0" xfId="0">
      <alignment horizontal="center" vertical="center"/>
      <protection locked="0" hidden="0"/>
    </xf>
    <xf numFmtId="0" fontId="11" fillId="0" borderId="0" applyAlignment="1" pivotButton="0" quotePrefix="0" xfId="0">
      <alignment vertical="center" wrapText="1"/>
    </xf>
    <xf numFmtId="165" fontId="10" fillId="3" borderId="1" applyAlignment="1" applyProtection="1" pivotButton="0" quotePrefix="0" xfId="0">
      <alignment horizontal="center" vertical="center"/>
      <protection locked="0" hidden="0"/>
    </xf>
    <xf numFmtId="165" fontId="9" fillId="0" borderId="1" applyAlignment="1" pivotButton="0" quotePrefix="0" xfId="0">
      <alignment horizontal="center" vertical="center"/>
    </xf>
    <xf numFmtId="3" fontId="10" fillId="3" borderId="1" applyAlignment="1" applyProtection="1" pivotButton="0" quotePrefix="0" xfId="0">
      <alignment horizontal="center" vertical="center"/>
      <protection locked="0" hidden="0"/>
    </xf>
    <xf numFmtId="0" fontId="6" fillId="2" borderId="0" applyAlignment="1" pivotButton="0" quotePrefix="0" xfId="0">
      <alignment horizontal="center" vertical="center" wrapText="1"/>
    </xf>
    <xf numFmtId="0" fontId="10" fillId="3" borderId="1" applyAlignment="1" applyProtection="1" pivotButton="0" quotePrefix="0" xfId="0">
      <alignment horizontal="center" vertical="center"/>
      <protection locked="0" hidden="0"/>
    </xf>
    <xf numFmtId="165" fontId="10" fillId="0" borderId="1" applyAlignment="1" pivotButton="0" quotePrefix="0" xfId="0">
      <alignment horizontal="center" vertical="center"/>
    </xf>
    <xf numFmtId="166" fontId="10" fillId="0" borderId="1" applyAlignment="1" pivotButton="0" quotePrefix="0" xfId="0">
      <alignment horizontal="center" vertical="center"/>
    </xf>
    <xf numFmtId="0" fontId="12" fillId="0" borderId="1" pivotButton="0" quotePrefix="0" xfId="0"/>
    <xf numFmtId="0" fontId="0" fillId="0" borderId="1" applyAlignment="1" pivotButton="0" quotePrefix="0" xfId="0">
      <alignment horizontal="center"/>
    </xf>
    <xf numFmtId="164" fontId="10" fillId="0" borderId="1" applyAlignment="1" pivotButton="0" quotePrefix="0" xfId="0">
      <alignment horizontal="center" vertical="center"/>
    </xf>
    <xf numFmtId="0" fontId="0" fillId="0" borderId="1" pivotButton="0" quotePrefix="0" xfId="0"/>
    <xf numFmtId="0" fontId="10" fillId="0" borderId="0" applyAlignment="1" pivotButton="0" quotePrefix="0" xfId="0">
      <alignment vertical="center" wrapText="1"/>
    </xf>
    <xf numFmtId="0" fontId="9" fillId="4" borderId="0" applyAlignment="1" pivotButton="0" quotePrefix="0" xfId="0">
      <alignment vertical="center" wrapText="1"/>
    </xf>
    <xf numFmtId="0" fontId="0" fillId="4" borderId="0" pivotButton="0" quotePrefix="0" xfId="0"/>
    <xf numFmtId="165" fontId="9" fillId="4" borderId="1" applyAlignment="1" pivotButton="0" quotePrefix="0" xfId="0">
      <alignment horizontal="center" vertical="center"/>
    </xf>
    <xf numFmtId="0" fontId="13" fillId="5" borderId="0" applyAlignment="1" pivotButton="0" quotePrefix="0" xfId="0">
      <alignment vertical="center" wrapText="1"/>
    </xf>
    <xf numFmtId="0" fontId="0" fillId="5" borderId="0" pivotButton="0" quotePrefix="0" xfId="0"/>
    <xf numFmtId="166" fontId="13" fillId="5" borderId="1" applyAlignment="1" pivotButton="0" quotePrefix="0" xfId="0">
      <alignment horizontal="center" vertical="center"/>
    </xf>
    <xf numFmtId="165" fontId="13" fillId="5" borderId="1" applyAlignment="1" pivotButton="0" quotePrefix="0" xfId="0">
      <alignment horizontal="center" vertical="center"/>
    </xf>
    <xf numFmtId="3" fontId="9" fillId="0" borderId="1" applyAlignment="1" pivotButton="0" quotePrefix="0" xfId="0">
      <alignment horizontal="center" vertical="center"/>
    </xf>
    <xf numFmtId="0" fontId="11" fillId="0" borderId="0" applyAlignment="1" pivotButton="0" quotePrefix="0" xfId="0">
      <alignment vertical="top" wrapText="1"/>
    </xf>
    <xf numFmtId="166" fontId="10" fillId="3" borderId="1" applyAlignment="1" applyProtection="1" pivotButton="0" quotePrefix="0" xfId="0">
      <alignment horizontal="center" vertical="center"/>
      <protection locked="0" hidden="0"/>
    </xf>
    <xf numFmtId="166" fontId="9" fillId="4" borderId="1" applyAlignment="1" pivotButton="0" quotePrefix="0" xfId="0">
      <alignment horizontal="center" vertical="center"/>
    </xf>
  </cellXfs>
  <cellStyles count="1">
    <cellStyle name="Normal" xfId="0" builtinId="0" hidden="0"/>
  </cellStyles>
  <dxfs count="1">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56"/>
  <sheetViews>
    <sheetView workbookViewId="0">
      <selection activeCell="A1" sqref="A1"/>
    </sheetView>
  </sheetViews>
  <sheetFormatPr baseColWidth="8" defaultRowHeight="15"/>
  <cols>
    <col width="3" customWidth="1" min="1" max="1"/>
    <col width="80" customWidth="1" min="2" max="2"/>
  </cols>
  <sheetData>
    <row r="1"/>
    <row r="2">
      <c r="B2" s="1" t="inlineStr">
        <is>
          <t>📋 Test de Rendimiento — Despiece y Cocción</t>
        </is>
      </c>
    </row>
    <row r="3">
      <c r="B3" s="2" t="inlineStr">
        <is>
          <t>Kit de Escandallos Pro — AI Chef Pro</t>
        </is>
      </c>
    </row>
    <row r="4">
      <c r="B4" s="3" t="inlineStr">
        <is>
          <t>www.aichef.pro</t>
        </is>
      </c>
    </row>
    <row r="5"/>
    <row r="6">
      <c r="B6" s="4" t="inlineStr">
        <is>
          <t>Para Qué Sirve</t>
        </is>
      </c>
    </row>
    <row r="7"/>
    <row r="8">
      <c r="B8" s="5" t="inlineStr">
        <is>
          <t>▸ La merma de la hoja «Mermas» de cada ficha es un punto de partida. La tuya depende del proveedor, de la pieza y de cómo la limpias, y la única forma de conocerla es pesar. Esta plantilla convierte ese pesaje en la cifra que necesita tu escandallo.</t>
        </is>
      </c>
    </row>
    <row r="9">
      <c r="B9" s="5" t="inlineStr">
        <is>
          <t>▸ Pestaña «Test de despiece»: una pieza que compras entera (un solomillo, un lomo, un pescado) y lo que sale de ella al limpiarla.</t>
        </is>
      </c>
    </row>
    <row r="10">
      <c r="B10" s="5" t="inlineStr">
        <is>
          <t>▸ Pestaña «Test de cocción»: lo que pierde una elaboración al cocinarla, para cuando racionas en peso cocinado.</t>
        </is>
      </c>
    </row>
    <row r="11">
      <c r="B11" s="5" t="inlineStr">
        <is>
          <t>▸ Las celdas VERDES son las editables; el resto son fórmulas.</t>
        </is>
      </c>
    </row>
    <row r="12"/>
    <row r="13">
      <c r="B13" s="4" t="inlineStr">
        <is>
          <t>Test de Despiece, Paso a Paso</t>
        </is>
      </c>
    </row>
    <row r="14"/>
    <row r="15">
      <c r="B15" s="5" t="inlineStr">
        <is>
          <t>▸ 1. Pesa la pieza tal como llega (peso bruto) y escribe el precio por kg de la factura.</t>
        </is>
      </c>
    </row>
    <row r="16">
      <c r="B16" s="5" t="inlineStr">
        <is>
          <t>▸ 2. Límpiala y pesa por separado cada parte. Márcala como «Útil» (lo que vas a servir), «Subproducto» (lo que aprovechas en otra elaboración) o «Desecho» (lo que tiras).</t>
        </is>
      </c>
    </row>
    <row r="17">
      <c r="B17" s="5" t="inlineStr">
        <is>
          <t>▸ 3. A cada subproducto ponle su valor de mercado por kg: lo que te costaría comprar esa carne para el uso que le das (el cordón para una picada o un fondo, las puntas para un salteado). Ese valor se descuenta del coste de la pieza. Si no lo vas a aprovechar, márcalo como «Desecho».</t>
        </is>
      </c>
    </row>
    <row r="18">
      <c r="B18" s="5" t="inlineStr">
        <is>
          <t>▸ 4. La fila «Pérdida de corte» calcula sola lo que no has pesado: el goteo y los recortes que se quedan en la tabla. Si sale negativa (en rojo), has pesado algo dos veces.</t>
        </is>
      </c>
    </row>
    <row r="19">
      <c r="B19" s="5" t="inlineStr">
        <is>
          <t>▸ 5. Lleva a la ficha la MERMA % PARA TU ESCANDALLO: escríbela en la columna «Merma (%)» de ese ingrediente y deja el precio por kg de compra de siempre. La ficha dará el mismo coste por ración que este test.</t>
        </is>
      </c>
    </row>
    <row r="20"/>
    <row r="21">
      <c r="B21" s="4" t="inlineStr">
        <is>
          <t>Cómo Leer el Resultado</t>
        </is>
      </c>
    </row>
    <row r="22"/>
    <row r="23">
      <c r="B23" s="5" t="inlineStr">
        <is>
          <t>▸ Peso útil: la suma de las partes marcadas «Útil».</t>
        </is>
      </c>
    </row>
    <row r="24">
      <c r="B24" s="5" t="inlineStr">
        <is>
          <t>▸ Coste neto útil: lo que pagaste por la pieza menos lo que valen los subproductos.</t>
        </is>
      </c>
    </row>
    <row r="25">
      <c r="B25" s="5" t="inlineStr">
        <is>
          <t>▸ Rendimiento bruto (%): peso útil ÷ peso bruto. Es informativo: no tiene en cuenta el valor de los subproductos, así que no lo lleves a la ficha.</t>
        </is>
      </c>
    </row>
    <row r="26">
      <c r="B26" s="5" t="inlineStr">
        <is>
          <t>▸ COSTE POR KG ÚTIL: lo que te cuesta de verdad cada kilo que sirves.</t>
        </is>
      </c>
    </row>
    <row r="27">
      <c r="B27" s="5" t="inlineStr">
        <is>
          <t>▸ Factor de coste: coste por kg útil ÷ precio por kg de compra. Si el proveedor sube el precio de la pieza, multiplica el precio nuevo por este factor y tendrás el nuevo coste por kg útil sin repetir el test, mientras no cambien la pieza ni la forma de limpiarla.</t>
        </is>
      </c>
    </row>
    <row r="28">
      <c r="B28" s="5" t="inlineStr">
        <is>
          <t>▸ MERMA % PARA TU ESCANDALLO: 1 − precio de compra ÷ coste por kg útil. Ya descuenta lo que valen los subproductos y es la única cifra que va a la ficha.</t>
        </is>
      </c>
    </row>
    <row r="29">
      <c r="B29" s="5" t="inlineStr">
        <is>
          <t>▸ COSTE POR PORCIÓN: porción estándar × coste por kg útil. La celda verde «Gramos por kilo» vale 1.000 porque la pieza se pesa en kg y la porción en g; si pesas y racionas en la misma unidad, ponla a 1.</t>
        </is>
      </c>
    </row>
    <row r="30">
      <c r="B30" s="5" t="inlineStr">
        <is>
          <t>▸ RACIONES POR PIEZA: peso útil × gramos por kilo ÷ porción estándar, redondeado hacia abajo, porque una ración incompleta no se sirve. En el ejemplo, los 2,100 kg útiles dan 10 raciones de 200 g (sobran 100 g): es la cifra para saber cuántas piezas pedir.</t>
        </is>
      </c>
    </row>
    <row r="31"/>
    <row r="32">
      <c r="B32" s="4" t="inlineStr">
        <is>
          <t>Test de Cocción</t>
        </is>
      </c>
    </row>
    <row r="33"/>
    <row r="34">
      <c r="B34" s="5" t="inlineStr">
        <is>
          <t>▸ Pesa en crudo lo que vas a cocinar, ya limpio, y escribe el precio por kg de la factura, el mismo de la ficha. Si viene de una pieza que despiezas, escribe también su merma de despiece (la MERMA % PARA TU ESCANDALLO del test de despiece); si la compras lista, déjala en 0 %.</t>
        </is>
      </c>
    </row>
    <row r="35">
      <c r="B35" s="5" t="inlineStr">
        <is>
          <t>▸ Cocínalo como en servicio y pésalo recién hecho, antes de racionar. PÉRDIDA POR COCCIÓN = 1 − peso cocinado ÷ peso crudo.</t>
        </is>
      </c>
    </row>
    <row r="36">
      <c r="B36" s="5" t="inlineStr">
        <is>
          <t>▸ Si en la ficha escribes la cantidad en peso CRUDO, usa como merma la del despiece, sin más. Si la escribes en peso COCINADO (la porción que sale al plato), usa la MERMA COMBINADA PARA LA FICHA: 1 − (1 − merma de despiece) × (1 − pérdida por cocción). Con cualquiera de las dos, la ficha da el mismo coste por porción que este test.</t>
        </is>
      </c>
    </row>
    <row r="37">
      <c r="B37" s="5" t="inlineStr">
        <is>
          <t>▸ Raciones de la tanda: peso cocinado × 1.000 ÷ porción cocinada. En el ejemplo, 1,332 × 1.000 ÷ 133 = 10 hamburguesas.</t>
        </is>
      </c>
    </row>
    <row r="38">
      <c r="B38" s="5" t="inlineStr">
        <is>
          <t>▸ Duplica la pestaña para otro test: clic derecho sobre la pestaña → Mover o copiar → Crear una copia.</t>
        </is>
      </c>
    </row>
    <row r="39"/>
    <row r="40">
      <c r="B40" s="4" t="inlineStr">
        <is>
          <t>Los Ejemplos Cargados</t>
        </is>
      </c>
    </row>
    <row r="41"/>
    <row r="42">
      <c r="B42" s="5" t="inlineStr">
        <is>
          <t>▸ Despiece: el solomillo de ternera entero, con cordón, que compra la plantilla 01, a 28,50 €/kg. Es un ejemplo orientativo, no un test pesado: una pieza de 2,8 kg (las enteras pesan entre 2,5 y 3,2 kg) con una merma de limpieza del 25 %, la referencia habitual para el solomillo entero con cordón. El reparto entre el cordón que se aprovecha y lo que se tira, y el valor del cordón, son estimaciones: pon los tuyos.</t>
        </is>
      </c>
    </row>
    <row r="43">
      <c r="B43" s="5" t="inlineStr">
        <is>
          <t>▸ Con ese despiece, la merma del solomillo para la ficha es del 23,5 % (el 25 % de limpieza menos lo que vale el cordón) y no del 20 % genérico de «Carne roja»: es la que lleva ahora la plantilla 01 en la fila del solomillo.</t>
        </is>
      </c>
    </row>
    <row r="44">
      <c r="B44" s="5" t="inlineStr">
        <is>
          <t>▸ Cocción: la smash burger de la plantilla 08, 10 hamburguesas de 180 g de mezcla 80/20. El peso cocinado aplica el rendimiento de referencia del USDA para picada de vacuno con un 20 % de grasa (0,74 kg cocinados por kg crudo). No es una medida: pesa la tuya, porque la plancha, el grosor y el punto lo cambian.</t>
        </is>
      </c>
    </row>
    <row r="45">
      <c r="B45" s="5" t="inlineStr">
        <is>
          <t>▸ La picada se compra lista, así que su merma de despiece es 0 %, y la ficha 08 lleva también un 0 % en esa fila: con los 180 g en crudo cuesta lo mismo en la ficha que aquí.</t>
        </is>
      </c>
    </row>
    <row r="46">
      <c r="B46" s="5" t="inlineStr">
        <is>
          <t>▸ Son datos de ejemplo: escribe encima de las celdas verdes o vacíalas con Supr.</t>
        </is>
      </c>
    </row>
    <row r="47"/>
    <row r="48">
      <c r="B48" s="4" t="inlineStr">
        <is>
          <t>Protección de la Hoja</t>
        </is>
      </c>
    </row>
    <row r="49"/>
    <row r="50">
      <c r="B50" s="5" t="inlineStr">
        <is>
          <t>▸ Las hojas están protegidas SIN contraseña para que no borres una fórmula sin querer: se escriben únicamente las celdas verdes. Revisar → Desproteger hoja para tocar el resto; no pide contraseña.</t>
        </is>
      </c>
    </row>
    <row r="51"/>
    <row r="52">
      <c r="B52" s="5" t="inlineStr">
        <is>
          <t>— Kit de Escandallos Pro · AI Chef Pro · aichef.pro</t>
        </is>
      </c>
    </row>
    <row r="53"/>
    <row r="54">
      <c r="B54" s="5" t="inlineStr">
        <is>
          <t>© 2026 AI Chef Pro · Todos los derechos reservados</t>
        </is>
      </c>
    </row>
    <row r="55"/>
    <row r="56">
      <c r="B56" s="5" t="inlineStr">
        <is>
          <t>Versión 2.1 · septiembre 2026 · aichef.pro/kit-escandallos · info@aichef.pro</t>
        </is>
      </c>
    </row>
  </sheetData>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F39"/>
  <sheetViews>
    <sheetView workbookViewId="0">
      <selection activeCell="A1" sqref="A1"/>
    </sheetView>
  </sheetViews>
  <sheetFormatPr baseColWidth="8" defaultRowHeight="15"/>
  <cols>
    <col width="44" customWidth="1" min="1" max="1"/>
    <col width="15" customWidth="1" min="2" max="2"/>
    <col width="13" customWidth="1" min="3" max="3"/>
    <col width="17" customWidth="1" min="4" max="4"/>
    <col width="13" customWidth="1" min="5" max="5"/>
    <col width="12" customWidth="1" min="6" max="6"/>
  </cols>
  <sheetData>
    <row r="1" ht="24" customHeight="1">
      <c r="A1" s="6" t="inlineStr">
        <is>
          <t>Test de Despiece — Solomillo de Ternera Entero</t>
        </is>
      </c>
    </row>
    <row r="2" ht="30" customHeight="1">
      <c r="A2" s="7" t="inlineStr">
        <is>
          <t>Pesa la pieza tal como llega y cada parte que sale al limpiarla. Las celdas verdes son editables; el resto son fórmulas.</t>
        </is>
      </c>
    </row>
    <row r="3"/>
    <row r="4" ht="20" customHeight="1">
      <c r="A4" s="8" t="inlineStr">
        <is>
          <t>DATOS DE LA COMPRA</t>
        </is>
      </c>
    </row>
    <row r="5">
      <c r="A5" s="9" t="inlineStr">
        <is>
          <t>Producto</t>
        </is>
      </c>
      <c r="C5" s="10" t="inlineStr">
        <is>
          <t>Solomillo de ternera entero, con cordón (sin limpiar)</t>
        </is>
      </c>
      <c r="D5" s="11" t="n"/>
      <c r="E5" s="11" t="n"/>
      <c r="F5" s="12" t="n"/>
    </row>
    <row r="6">
      <c r="A6" s="9" t="inlineStr">
        <is>
          <t>Proveedor</t>
        </is>
      </c>
      <c r="C6" s="10" t="n"/>
      <c r="D6" s="11" t="n"/>
      <c r="E6" s="11" t="n"/>
      <c r="F6" s="12" t="n"/>
    </row>
    <row r="7">
      <c r="A7" s="9" t="inlineStr">
        <is>
          <t>Fecha del test</t>
        </is>
      </c>
      <c r="C7" s="13" t="n"/>
    </row>
    <row r="8" ht="18" customHeight="1">
      <c r="A8" s="9" t="inlineStr">
        <is>
          <t>Peso bruto de compra (kg)</t>
        </is>
      </c>
      <c r="C8" s="14" t="n">
        <v>2.8</v>
      </c>
      <c r="D8" s="15" t="inlineStr">
        <is>
          <t>La pieza entera, tal como llega.</t>
        </is>
      </c>
    </row>
    <row r="9" ht="30" customHeight="1">
      <c r="A9" s="9" t="inlineStr">
        <is>
          <t>Precio por kg de compra (€/kg)</t>
        </is>
      </c>
      <c r="C9" s="16" t="n">
        <v>28.5</v>
      </c>
      <c r="D9" s="15" t="inlineStr">
        <is>
          <t>El de la factura: el mismo que pones en la ficha.</t>
        </is>
      </c>
    </row>
    <row r="10" ht="18" customHeight="1">
      <c r="A10" s="9" t="inlineStr">
        <is>
          <t>Coste bruto de compra (€)</t>
        </is>
      </c>
      <c r="C10" s="17">
        <f>IFERROR(C8*C9,"")</f>
        <v>79.8</v>
      </c>
      <c r="D10" s="15" t="inlineStr">
        <is>
          <t>Peso × precio.</t>
        </is>
      </c>
    </row>
    <row r="11" ht="30" customHeight="1">
      <c r="A11" s="9" t="inlineStr">
        <is>
          <t>Gramos por kilo (para la porción)</t>
        </is>
      </c>
      <c r="C11" s="18" t="n">
        <v>1000</v>
      </c>
      <c r="D11" s="15" t="inlineStr">
        <is>
          <t>Déjalo en 1.000 si pesas la pieza en kg y la porción en g.</t>
        </is>
      </c>
    </row>
    <row r="12"/>
    <row r="13" ht="30" customHeight="1">
      <c r="A13" s="19" t="inlineStr">
        <is>
          <t>Pieza</t>
        </is>
      </c>
      <c r="B13" s="19" t="inlineStr">
        <is>
          <t>Tipo</t>
        </is>
      </c>
      <c r="C13" s="19" t="inlineStr">
        <is>
          <t>Peso (kg)</t>
        </is>
      </c>
      <c r="D13" s="19" t="inlineStr">
        <is>
          <t>Valor de mercado (€/kg)</t>
        </is>
      </c>
      <c r="E13" s="19" t="inlineStr">
        <is>
          <t>Valor (€)</t>
        </is>
      </c>
      <c r="F13" s="19" t="inlineStr">
        <is>
          <t>% del peso bruto</t>
        </is>
      </c>
    </row>
    <row r="14">
      <c r="A14" s="10" t="inlineStr">
        <is>
          <t>Centro, cabeza y punta limpios</t>
        </is>
      </c>
      <c r="B14" s="20" t="inlineStr">
        <is>
          <t>Útil</t>
        </is>
      </c>
      <c r="C14" s="14" t="n">
        <v>2.1</v>
      </c>
      <c r="D14" s="16" t="n"/>
      <c r="E14" s="21">
        <f>IF(B14="Subproducto",IFERROR(C14*D14,""),"")</f>
        <v/>
      </c>
      <c r="F14" s="22">
        <f>IF(C14="","",IFERROR(C14/$C$8,""))</f>
        <v>0.7500000000000001</v>
      </c>
    </row>
    <row r="15">
      <c r="A15" s="10" t="inlineStr">
        <is>
          <t>Cordón limpio (para fondo o picada)</t>
        </is>
      </c>
      <c r="B15" s="20" t="inlineStr">
        <is>
          <t>Subproducto</t>
        </is>
      </c>
      <c r="C15" s="14" t="n">
        <v>0.16</v>
      </c>
      <c r="D15" s="16" t="n">
        <v>9.5</v>
      </c>
      <c r="E15" s="21">
        <f>IF(B15="Subproducto",IFERROR(C15*D15,""),"")</f>
        <v>1.52</v>
      </c>
      <c r="F15" s="22">
        <f>IF(C15="","",IFERROR(C15/$C$8,""))</f>
        <v>0.05714285714285715</v>
      </c>
    </row>
    <row r="16">
      <c r="A16" s="10" t="inlineStr">
        <is>
          <t>Grasa, telilla y nervios</t>
        </is>
      </c>
      <c r="B16" s="20" t="inlineStr">
        <is>
          <t>Desecho</t>
        </is>
      </c>
      <c r="C16" s="14" t="n">
        <v>0.54</v>
      </c>
      <c r="D16" s="16" t="n"/>
      <c r="E16" s="21">
        <f>IF(B16="Subproducto",IFERROR(C16*D16,""),"")</f>
        <v/>
      </c>
      <c r="F16" s="22">
        <f>IF(C16="","",IFERROR(C16/$C$8,""))</f>
        <v>0.1928571428571429</v>
      </c>
    </row>
    <row r="17">
      <c r="A17" s="10" t="n"/>
      <c r="B17" s="20" t="n"/>
      <c r="C17" s="14" t="n"/>
      <c r="D17" s="16" t="n"/>
      <c r="E17" s="21">
        <f>IF(B17="Subproducto",IFERROR(C17*D17,""),"")</f>
        <v/>
      </c>
      <c r="F17" s="22">
        <f>IF(C17="","",IFERROR(C17/$C$8,""))</f>
        <v/>
      </c>
    </row>
    <row r="18">
      <c r="A18" s="10" t="n"/>
      <c r="B18" s="20" t="n"/>
      <c r="C18" s="14" t="n"/>
      <c r="D18" s="16" t="n"/>
      <c r="E18" s="21">
        <f>IF(B18="Subproducto",IFERROR(C18*D18,""),"")</f>
        <v/>
      </c>
      <c r="F18" s="22">
        <f>IF(C18="","",IFERROR(C18/$C$8,""))</f>
        <v/>
      </c>
    </row>
    <row r="19">
      <c r="A19" s="10" t="n"/>
      <c r="B19" s="20" t="n"/>
      <c r="C19" s="14" t="n"/>
      <c r="D19" s="16" t="n"/>
      <c r="E19" s="21">
        <f>IF(B19="Subproducto",IFERROR(C19*D19,""),"")</f>
        <v/>
      </c>
      <c r="F19" s="22">
        <f>IF(C19="","",IFERROR(C19/$C$8,""))</f>
        <v/>
      </c>
    </row>
    <row r="20">
      <c r="A20" s="10" t="n"/>
      <c r="B20" s="20" t="n"/>
      <c r="C20" s="14" t="n"/>
      <c r="D20" s="16" t="n"/>
      <c r="E20" s="21">
        <f>IF(B20="Subproducto",IFERROR(C20*D20,""),"")</f>
        <v/>
      </c>
      <c r="F20" s="22">
        <f>IF(C20="","",IFERROR(C20/$C$8,""))</f>
        <v/>
      </c>
    </row>
    <row r="21">
      <c r="A21" s="10" t="n"/>
      <c r="B21" s="20" t="n"/>
      <c r="C21" s="14" t="n"/>
      <c r="D21" s="16" t="n"/>
      <c r="E21" s="21">
        <f>IF(B21="Subproducto",IFERROR(C21*D21,""),"")</f>
        <v/>
      </c>
      <c r="F21" s="22">
        <f>IF(C21="","",IFERROR(C21/$C$8,""))</f>
        <v/>
      </c>
    </row>
    <row r="22">
      <c r="A22" s="10" t="n"/>
      <c r="B22" s="20" t="n"/>
      <c r="C22" s="14" t="n"/>
      <c r="D22" s="16" t="n"/>
      <c r="E22" s="21">
        <f>IF(B22="Subproducto",IFERROR(C22*D22,""),"")</f>
        <v/>
      </c>
      <c r="F22" s="22">
        <f>IF(C22="","",IFERROR(C22/$C$8,""))</f>
        <v/>
      </c>
    </row>
    <row r="23">
      <c r="A23" s="10" t="n"/>
      <c r="B23" s="20" t="n"/>
      <c r="C23" s="14" t="n"/>
      <c r="D23" s="16" t="n"/>
      <c r="E23" s="21">
        <f>IF(B23="Subproducto",IFERROR(C23*D23,""),"")</f>
        <v/>
      </c>
      <c r="F23" s="22">
        <f>IF(C23="","",IFERROR(C23/$C$8,""))</f>
        <v/>
      </c>
    </row>
    <row r="24">
      <c r="A24" s="10" t="n"/>
      <c r="B24" s="20" t="n"/>
      <c r="C24" s="14" t="n"/>
      <c r="D24" s="16" t="n"/>
      <c r="E24" s="21">
        <f>IF(B24="Subproducto",IFERROR(C24*D24,""),"")</f>
        <v/>
      </c>
      <c r="F24" s="22">
        <f>IF(C24="","",IFERROR(C24/$C$8,""))</f>
        <v/>
      </c>
    </row>
    <row r="25">
      <c r="A25" s="10" t="n"/>
      <c r="B25" s="20" t="n"/>
      <c r="C25" s="14" t="n"/>
      <c r="D25" s="16" t="n"/>
      <c r="E25" s="21">
        <f>IF(B25="Subproducto",IFERROR(C25*D25,""),"")</f>
        <v/>
      </c>
      <c r="F25" s="22">
        <f>IF(C25="","",IFERROR(C25/$C$8,""))</f>
        <v/>
      </c>
    </row>
    <row r="26">
      <c r="A26" s="23" t="inlineStr">
        <is>
          <t>Pérdida de corte (goteo y recortes que se pierden)</t>
        </is>
      </c>
      <c r="B26" s="24" t="inlineStr">
        <is>
          <t>Desecho</t>
        </is>
      </c>
      <c r="C26" s="25">
        <f>IFERROR(ROUND($C$8-SUM(C14:C25),6)+0,"")</f>
        <v>0.0</v>
      </c>
      <c r="D26" s="26" t="n"/>
      <c r="E26" s="26" t="n"/>
      <c r="F26" s="22">
        <f>IF(C26="","",IFERROR(C26/$C$8,""))</f>
        <v>0.0</v>
      </c>
    </row>
    <row r="27"/>
    <row r="28" ht="20" customHeight="1">
      <c r="A28" s="8" t="inlineStr">
        <is>
          <t>RESULTADO</t>
        </is>
      </c>
    </row>
    <row r="29" ht="18" customHeight="1">
      <c r="A29" s="27" t="inlineStr">
        <is>
          <t>Peso útil (kg)</t>
        </is>
      </c>
      <c r="C29" s="25">
        <f>SUMIF(B14:B25,"Útil",C14:C25)</f>
        <v>2.1</v>
      </c>
      <c r="D29" s="15" t="inlineStr">
        <is>
          <t>Suma de las partes «Útil».</t>
        </is>
      </c>
    </row>
    <row r="30" ht="18" customHeight="1">
      <c r="A30" s="27" t="inlineStr">
        <is>
          <t>Valor de los subproductos (€)</t>
        </is>
      </c>
      <c r="C30" s="21">
        <f>SUM(E14:E25)</f>
        <v>1.52</v>
      </c>
      <c r="D30" s="15" t="inlineStr">
        <is>
          <t>Lo que valen las partes que aprovechas.</t>
        </is>
      </c>
    </row>
    <row r="31" ht="30" customHeight="1">
      <c r="A31" s="27" t="inlineStr">
        <is>
          <t>Coste neto útil (€)</t>
        </is>
      </c>
      <c r="C31" s="21">
        <f>IFERROR(C10-C30,"")</f>
        <v>78.28</v>
      </c>
      <c r="D31" s="15" t="inlineStr">
        <is>
          <t>Coste bruto de compra − valor de los subproductos.</t>
        </is>
      </c>
    </row>
    <row r="32" ht="30" customHeight="1">
      <c r="A32" s="27" t="inlineStr">
        <is>
          <t>Rendimiento bruto (%) · informativo</t>
        </is>
      </c>
      <c r="C32" s="22">
        <f>IFERROR(C29/C8,"")</f>
        <v>0.7500000000000001</v>
      </c>
      <c r="D32" s="15" t="inlineStr">
        <is>
          <t>Peso útil ÷ peso bruto. No va a la ficha.</t>
        </is>
      </c>
    </row>
    <row r="33" ht="18" customHeight="1">
      <c r="A33" s="28" t="inlineStr">
        <is>
          <t>COSTE POR KG ÚTIL (€/kg)</t>
        </is>
      </c>
      <c r="B33" s="29" t="n"/>
      <c r="C33" s="30">
        <f>IFERROR(C31/C29,"")</f>
        <v>37.27619047619047</v>
      </c>
      <c r="D33" s="15" t="inlineStr">
        <is>
          <t>Lo que te cuesta cada kilo que sirves.</t>
        </is>
      </c>
    </row>
    <row r="34" ht="30" customHeight="1">
      <c r="A34" s="27" t="inlineStr">
        <is>
          <t>Factor de coste</t>
        </is>
      </c>
      <c r="C34" s="25">
        <f>IFERROR(C33/C9,"")</f>
        <v>1.3079365079365077</v>
      </c>
      <c r="D34" s="15" t="inlineStr">
        <is>
          <t>Precio nuevo × factor = nuevo coste por kg útil.</t>
        </is>
      </c>
    </row>
    <row r="35" ht="30" customHeight="1">
      <c r="A35" s="31" t="inlineStr">
        <is>
          <t>MERMA % PARA TU ESCANDALLO</t>
        </is>
      </c>
      <c r="B35" s="32" t="n"/>
      <c r="C35" s="33">
        <f>IFERROR(1-C9/C33,"")</f>
        <v>0.2354368932038834</v>
      </c>
      <c r="D35" s="15" t="inlineStr">
        <is>
          <t>La ÚNICA cifra que va a la ficha, a «Merma (%)».</t>
        </is>
      </c>
    </row>
    <row r="36" ht="30" customHeight="1">
      <c r="A36" s="9" t="inlineStr">
        <is>
          <t>Porción estándar (g)</t>
        </is>
      </c>
      <c r="C36" s="18" t="n">
        <v>200</v>
      </c>
      <c r="D36" s="15" t="inlineStr">
        <is>
          <t>En crudo y ya limpia: la ficha 01 usa 200 g.</t>
        </is>
      </c>
    </row>
    <row r="37" ht="30" customHeight="1">
      <c r="A37" s="31" t="inlineStr">
        <is>
          <t>COSTE POR PORCIÓN (€)</t>
        </is>
      </c>
      <c r="B37" s="32" t="n"/>
      <c r="C37" s="34">
        <f>IFERROR(C36/C11*C33,"")</f>
        <v>7.455238095238094</v>
      </c>
      <c r="D37" s="15" t="inlineStr">
        <is>
          <t>Porción × coste por kg útil. La ficha dará lo mismo.</t>
        </is>
      </c>
    </row>
    <row r="38" ht="30" customHeight="1">
      <c r="A38" s="9" t="inlineStr">
        <is>
          <t>Raciones por pieza</t>
        </is>
      </c>
      <c r="C38" s="35">
        <f>IFERROR(ROUNDDOWN(ROUND(C29*C11/C36,6),0),"")</f>
        <v>10.0</v>
      </c>
      <c r="D38" s="15" t="inlineStr">
        <is>
          <t>Peso útil ÷ porción, redondeado hacia abajo.</t>
        </is>
      </c>
    </row>
    <row r="39" ht="52" customHeight="1">
      <c r="A39" s="36" t="inlineStr">
        <is>
          <t>Ejemplo orientativo, no un test pesado: pieza entera de 2,8 kg con la merma de limpieza del 25 % que se da como referencia para el solomillo entero con cordón. El reparto entre el cordón que se aprovecha y lo que se tira, y el valor del cordón, son estimaciones: pesa el tuyo. Duplica la pestaña para otro test (clic derecho sobre la pestaña → Mover o copiar → Crear una copia).</t>
        </is>
      </c>
    </row>
  </sheetData>
  <sheetProtection selectLockedCells="0" selectUnlockedCells="0" sheet="1" objects="0" insertRows="1" insertHyperlinks="1" autoFilter="1" scenarios="0" formatColumns="0" deleteColumns="1" insertColumns="1" pivotTables="1" deleteRows="1" formatCells="1" formatRows="0" sort="1"/>
  <mergeCells count="38">
    <mergeCell ref="D8:F8"/>
    <mergeCell ref="D37:F37"/>
    <mergeCell ref="A2:F2"/>
    <mergeCell ref="A9:B9"/>
    <mergeCell ref="A39:F39"/>
    <mergeCell ref="D10:F10"/>
    <mergeCell ref="A5:B5"/>
    <mergeCell ref="C6:F6"/>
    <mergeCell ref="A35:B35"/>
    <mergeCell ref="A4:F4"/>
    <mergeCell ref="A7:B7"/>
    <mergeCell ref="A34:B34"/>
    <mergeCell ref="D31:F31"/>
    <mergeCell ref="D33:F33"/>
    <mergeCell ref="D38:F38"/>
    <mergeCell ref="A31:B31"/>
    <mergeCell ref="A28:F28"/>
    <mergeCell ref="D29:F29"/>
    <mergeCell ref="D35:F35"/>
    <mergeCell ref="D36:F36"/>
    <mergeCell ref="A8:B8"/>
    <mergeCell ref="A29:B29"/>
    <mergeCell ref="A37:B37"/>
    <mergeCell ref="A36:B36"/>
    <mergeCell ref="C5:F5"/>
    <mergeCell ref="A6:B6"/>
    <mergeCell ref="A1:F1"/>
    <mergeCell ref="A38:B38"/>
    <mergeCell ref="D11:F11"/>
    <mergeCell ref="A30:B30"/>
    <mergeCell ref="A11:B11"/>
    <mergeCell ref="D32:F32"/>
    <mergeCell ref="A33:B33"/>
    <mergeCell ref="A10:B10"/>
    <mergeCell ref="D34:F34"/>
    <mergeCell ref="D9:F9"/>
    <mergeCell ref="A32:B32"/>
    <mergeCell ref="D30:F30"/>
  </mergeCells>
  <conditionalFormatting sqref="C26">
    <cfRule type="cellIs" priority="1" operator="lessThan" dxfId="0">
      <formula>0</formula>
    </cfRule>
  </conditionalFormatting>
  <dataValidations count="1">
    <dataValidation sqref="B14:B25" showDropDown="0" showInputMessage="0" showErrorMessage="1" allowBlank="1" errorTitle="Valor no válido" error="Elige Útil, Subproducto o Desecho." type="list">
      <formula1>"Útil,Subproducto,Desecho"</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tabColor rgb="00FFD700"/>
    <outlinePr summaryBelow="1" summaryRight="1"/>
    <pageSetUpPr fitToPage="1"/>
  </sheetPr>
  <dimension ref="A1:F20"/>
  <sheetViews>
    <sheetView workbookViewId="0">
      <selection activeCell="A1" sqref="A1"/>
    </sheetView>
  </sheetViews>
  <sheetFormatPr baseColWidth="8" defaultRowHeight="15"/>
  <cols>
    <col width="44" customWidth="1" min="1" max="1"/>
    <col width="15" customWidth="1" min="2" max="2"/>
    <col width="13" customWidth="1" min="3" max="3"/>
    <col width="17" customWidth="1" min="4" max="4"/>
    <col width="13" customWidth="1" min="5" max="5"/>
    <col width="12" customWidth="1" min="6" max="6"/>
  </cols>
  <sheetData>
    <row r="1" ht="24" customHeight="1">
      <c r="A1" s="6" t="inlineStr">
        <is>
          <t>Test de Cocción — Smash Burger (Plantilla 08)</t>
        </is>
      </c>
    </row>
    <row r="2" ht="30" customHeight="1">
      <c r="A2" s="7" t="inlineStr">
        <is>
          <t>Pesa en crudo lo que vas a cocinar, cocínalo como en servicio y pésalo antes de racionar. Las celdas verdes son editables.</t>
        </is>
      </c>
    </row>
    <row r="3"/>
    <row r="4" ht="20" customHeight="1">
      <c r="A4" s="8" t="inlineStr">
        <is>
          <t>DATOS DEL TEST</t>
        </is>
      </c>
    </row>
    <row r="5">
      <c r="A5" s="9" t="inlineStr">
        <is>
          <t>Elaboración</t>
        </is>
      </c>
      <c r="C5" s="10" t="inlineStr">
        <is>
          <t>Mezcla de vacuno picada 80/20, en bolas de 90 g</t>
        </is>
      </c>
      <c r="D5" s="11" t="n"/>
      <c r="E5" s="11" t="n"/>
      <c r="F5" s="12" t="n"/>
    </row>
    <row r="6">
      <c r="A6" s="9" t="inlineStr">
        <is>
          <t>Fecha del test</t>
        </is>
      </c>
      <c r="C6" s="13" t="n"/>
    </row>
    <row r="7" ht="18" customHeight="1">
      <c r="A7" s="9" t="inlineStr">
        <is>
          <t>Peso crudo útil (kg)</t>
        </is>
      </c>
      <c r="C7" s="14" t="n">
        <v>1.8</v>
      </c>
      <c r="D7" s="15" t="inlineStr">
        <is>
          <t>Ya limpio: lo que entra en la plancha.</t>
        </is>
      </c>
    </row>
    <row r="8" ht="30" customHeight="1">
      <c r="A8" s="9" t="inlineStr">
        <is>
          <t>Precio de compra por kg (€/kg)</t>
        </is>
      </c>
      <c r="C8" s="16" t="n">
        <v>9.5</v>
      </c>
      <c r="D8" s="15" t="inlineStr">
        <is>
          <t>El de la factura: el mismo que pones en la ficha.</t>
        </is>
      </c>
    </row>
    <row r="9" ht="18" customHeight="1">
      <c r="A9" s="9" t="inlineStr">
        <is>
          <t>Peso cocinado (kg)</t>
        </is>
      </c>
      <c r="C9" s="14" t="n">
        <v>1.332</v>
      </c>
      <c r="D9" s="15" t="inlineStr">
        <is>
          <t>Recién hecho, antes de racionar.</t>
        </is>
      </c>
    </row>
    <row r="10" ht="30" customHeight="1">
      <c r="A10" s="9" t="inlineStr">
        <is>
          <t>Merma de despiece de esta pieza (%)</t>
        </is>
      </c>
      <c r="C10" s="37" t="n">
        <v>0</v>
      </c>
      <c r="D10" s="15" t="inlineStr">
        <is>
          <t>La MERMA % del test de despiece; 0 % si la compras lista, como esta picada.</t>
        </is>
      </c>
    </row>
    <row r="11" ht="30" customHeight="1">
      <c r="A11" s="9" t="inlineStr">
        <is>
          <t>Gramos por kilo (para la porción)</t>
        </is>
      </c>
      <c r="C11" s="18" t="n">
        <v>1000</v>
      </c>
      <c r="D11" s="15" t="inlineStr">
        <is>
          <t>Déjalo en 1.000 si pesas en kg y racionas en g.</t>
        </is>
      </c>
    </row>
    <row r="12" ht="30" customHeight="1">
      <c r="A12" s="9" t="inlineStr">
        <is>
          <t>Porción cocinada (g)</t>
        </is>
      </c>
      <c r="C12" s="18" t="n">
        <v>133</v>
      </c>
      <c r="D12" s="15" t="inlineStr">
        <is>
          <t>La que sirves: 180 g crudos de la ficha 08 × 0,74.</t>
        </is>
      </c>
    </row>
    <row r="13"/>
    <row r="14" ht="20" customHeight="1">
      <c r="A14" s="8" t="inlineStr">
        <is>
          <t>RESULTADO</t>
        </is>
      </c>
    </row>
    <row r="15" ht="18" customHeight="1">
      <c r="A15" s="28" t="inlineStr">
        <is>
          <t>PÉRDIDA POR COCCIÓN (%)</t>
        </is>
      </c>
      <c r="B15" s="29" t="n"/>
      <c r="C15" s="38">
        <f>IFERROR(1-C9/C7,"")</f>
        <v>0.26</v>
      </c>
      <c r="D15" s="15" t="inlineStr">
        <is>
          <t>1 − peso cocinado ÷ peso crudo.</t>
        </is>
      </c>
    </row>
    <row r="16" ht="30" customHeight="1">
      <c r="A16" s="27" t="inlineStr">
        <is>
          <t>Coste por kg cocinado (€/kg)</t>
        </is>
      </c>
      <c r="C16" s="21">
        <f>IFERROR(C8/((1-C10)*(1-C15)),"")</f>
        <v>12.837837837837839</v>
      </c>
      <c r="D16" s="15" t="inlineStr">
        <is>
          <t>Precio ÷ ((1 − merma de despiece) × (1 − pérdida por cocción)).</t>
        </is>
      </c>
    </row>
    <row r="17" ht="18" customHeight="1">
      <c r="A17" s="31" t="inlineStr">
        <is>
          <t>COSTE POR PORCIÓN COCINADA (€)</t>
        </is>
      </c>
      <c r="B17" s="32" t="n"/>
      <c r="C17" s="34">
        <f>IFERROR(C12/C11*C16,"")</f>
        <v>1.7074324324324326</v>
      </c>
      <c r="D17" s="15" t="inlineStr">
        <is>
          <t>Porción × coste por kg cocinado.</t>
        </is>
      </c>
    </row>
    <row r="18" ht="30" customHeight="1">
      <c r="A18" s="31" t="inlineStr">
        <is>
          <t>MERMA COMBINADA PARA LA FICHA (%)</t>
        </is>
      </c>
      <c r="B18" s="32" t="n"/>
      <c r="C18" s="33">
        <f>IFERROR(1-(1-C10)*(1-C15),"")</f>
        <v>0.26</v>
      </c>
      <c r="D18" s="15" t="inlineStr">
        <is>
          <t>Si en la ficha escribes el peso COCINADO.</t>
        </is>
      </c>
    </row>
    <row r="19"/>
    <row r="20" ht="40" customHeight="1">
      <c r="A20" s="36" t="inlineStr">
        <is>
          <t>Ejemplo: 10 hamburguesas de la plantilla 08 (180 g de mezcla 80/20 cada una). El peso cocinado aplica el rendimiento de referencia del USDA para picada de vacuno con un 20 % de grasa: 0,74 kg cocinados por kg crudo. No es una medida: pesa el tuyo, porque la plancha, el grosor y el punto lo cambian.</t>
        </is>
      </c>
    </row>
  </sheetData>
  <sheetProtection selectLockedCells="0" selectUnlockedCells="0" sheet="1" objects="0" insertRows="1" insertHyperlinks="1" autoFilter="1" scenarios="0" formatColumns="0" deleteColumns="1" insertColumns="1" pivotTables="1" deleteRows="1" formatCells="1" formatRows="0" sort="1"/>
  <mergeCells count="28">
    <mergeCell ref="D8:F8"/>
    <mergeCell ref="A2:F2"/>
    <mergeCell ref="A14:F14"/>
    <mergeCell ref="A9:B9"/>
    <mergeCell ref="D10:F10"/>
    <mergeCell ref="A5:B5"/>
    <mergeCell ref="A20:F20"/>
    <mergeCell ref="D7:F7"/>
    <mergeCell ref="A4:F4"/>
    <mergeCell ref="A7:B7"/>
    <mergeCell ref="D12:F12"/>
    <mergeCell ref="A16:B16"/>
    <mergeCell ref="A8:B8"/>
    <mergeCell ref="C5:F5"/>
    <mergeCell ref="A6:B6"/>
    <mergeCell ref="A1:F1"/>
    <mergeCell ref="D11:F11"/>
    <mergeCell ref="A18:B18"/>
    <mergeCell ref="D15:F15"/>
    <mergeCell ref="D17:F17"/>
    <mergeCell ref="A11:B11"/>
    <mergeCell ref="D16:F16"/>
    <mergeCell ref="A12:B12"/>
    <mergeCell ref="A15:B15"/>
    <mergeCell ref="A17:B17"/>
    <mergeCell ref="A10:B10"/>
    <mergeCell ref="D9:F9"/>
    <mergeCell ref="D18:F18"/>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Test de Rendimiento: Despiece y Cocción · Kit de Escandallos Pro</dc:title>
  <dc:description xmlns:dc="http://purl.org/dc/elements/1.1/">aichef.pro/kit-escandallos</dc:description>
  <dc:subject xmlns:dc="http://purl.org/dc/elements/1.1/">Kit de Escandallos Pro · v2.1</dc:subject>
  <dcterms:created xmlns:dcterms="http://purl.org/dc/terms/" xmlns:xsi="http://www.w3.org/2001/XMLSchema-instance" xsi:type="dcterms:W3CDTF">2026-09-24T15:24:55Z</dcterms:created>
  <dcterms:modified xmlns:dcterms="http://purl.org/dc/terms/" xmlns:xsi="http://www.w3.org/2001/XMLSchema-instance" xsi:type="dcterms:W3CDTF">2026-09-24T15:24:55Z</dcterms:modified>
  <cp:lastModifiedBy>AI Chef Pro</cp:lastModifiedBy>
  <cp:category>AI Chef Pro · Productos digitales</cp:category>
  <cp:keywords>kit escandallos, AI Chef Pro</cp:keywords>
</cp:coreProperties>
</file>