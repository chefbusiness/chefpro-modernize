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Gin Tonic Premium" sheetId="2" state="visible" r:id="rId2"/>
    <sheet xmlns:r="http://schemas.openxmlformats.org/officeDocument/2006/relationships" name="Mojito Clásico" sheetId="3" state="visible" r:id="rId3"/>
    <sheet xmlns:r="http://schemas.openxmlformats.org/officeDocument/2006/relationships" name="Margarita" sheetId="4" state="visible" r:id="rId4"/>
    <sheet xmlns:r="http://schemas.openxmlformats.org/officeDocument/2006/relationships" name="Aperol Spritz" sheetId="5" state="visible" r:id="rId5"/>
  </sheets>
  <definedNames>
    <definedName name="_xlnm.Print_Titles" localSheetId="1">'Gin Tonic Premium'!$4:$4</definedName>
    <definedName name="_xlnm.Print_Area" localSheetId="1">'Gin Tonic Premium'!$A$1:$I$25</definedName>
    <definedName name="_xlnm.Print_Titles" localSheetId="2">'Mojito Clásico'!$4:$4</definedName>
    <definedName name="_xlnm.Print_Area" localSheetId="2">'Mojito Clásico'!$A$1:$I$25</definedName>
    <definedName name="_xlnm.Print_Titles" localSheetId="3">'Margarita'!$4:$4</definedName>
    <definedName name="_xlnm.Print_Area" localSheetId="3">'Margarita'!$A$1:$I$24</definedName>
    <definedName name="_xlnm.Print_Titles" localSheetId="4">'Aperol Spritz'!$4:$4</definedName>
    <definedName name="_xlnm.Print_Area" localSheetId="4">'Aperol Spritz'!$A$1:$I$24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Cocktails y Bebidas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Cada pestaña es un cocktail diferente</t>
        </is>
      </c>
    </row>
    <row r="9">
      <c r="B9" s="6" t="inlineStr">
        <is>
          <t>▸ Las cantidades están en cl/ml (medidas de bar)</t>
        </is>
      </c>
    </row>
    <row r="10">
      <c r="B10" s="6" t="inlineStr">
        <is>
          <t>▸ La merma en bebidas es mínima (2-5%)</t>
        </is>
      </c>
    </row>
    <row r="11">
      <c r="B11" s="6" t="inlineStr">
        <is>
          <t>▸ El food cost objetivo en bar suele ser 18-25%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4"/>
    <row r="15">
      <c r="B15" s="8" t="inlineStr">
        <is>
          <t>© 2026 AI Chef Pro · Todos los derechos reservados</t>
        </is>
      </c>
    </row>
    <row r="16"/>
    <row r="17">
      <c r="B17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Gin Tonic Premium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Ginebra premium</t>
        </is>
      </c>
      <c r="B5" s="16" t="inlineStr">
        <is>
          <t>Bebidas/licores</t>
        </is>
      </c>
      <c r="C5" s="16" t="inlineStr">
        <is>
          <t>L</t>
        </is>
      </c>
      <c r="D5" s="17" t="n">
        <v>28</v>
      </c>
      <c r="E5" s="18" t="n">
        <v>0.05</v>
      </c>
      <c r="F5" s="16" t="inlineStr">
        <is>
          <t>cl</t>
        </is>
      </c>
      <c r="G5" s="19" t="n">
        <v>0.02</v>
      </c>
      <c r="H5" s="20">
        <f>E5/(1-G5)</f>
        <v>0.05102040816326531</v>
      </c>
      <c r="I5" s="21">
        <f>H5*D5</f>
        <v>1.4285714285714286</v>
      </c>
      <c r="K5" s="22" t="n"/>
      <c r="L5" s="23" t="n"/>
    </row>
    <row r="6">
      <c r="A6" s="15" t="inlineStr">
        <is>
          <t>Tónica premium</t>
        </is>
      </c>
      <c r="B6" s="16" t="inlineStr">
        <is>
          <t>Bebidas/licores</t>
        </is>
      </c>
      <c r="C6" s="16" t="inlineStr">
        <is>
          <t>ud</t>
        </is>
      </c>
      <c r="D6" s="17" t="n">
        <v>1.5</v>
      </c>
      <c r="E6" s="18" t="n">
        <v>1</v>
      </c>
      <c r="F6" s="16" t="inlineStr">
        <is>
          <t>ud</t>
        </is>
      </c>
      <c r="G6" s="19" t="n">
        <v>0</v>
      </c>
      <c r="H6" s="20">
        <f>E6/(1-G6)</f>
        <v>1.0</v>
      </c>
      <c r="I6" s="21">
        <f>H6*D6</f>
        <v>1.5</v>
      </c>
      <c r="K6" s="22" t="n"/>
      <c r="L6" s="23" t="n"/>
    </row>
    <row r="7">
      <c r="A7" s="15" t="inlineStr">
        <is>
          <t>Limón</t>
        </is>
      </c>
      <c r="B7" s="16" t="inlineStr">
        <is>
          <t>Fruta</t>
        </is>
      </c>
      <c r="C7" s="16" t="inlineStr">
        <is>
          <t>kg</t>
        </is>
      </c>
      <c r="D7" s="17" t="n">
        <v>2.5</v>
      </c>
      <c r="E7" s="18" t="n">
        <v>0.02</v>
      </c>
      <c r="F7" s="16" t="inlineStr">
        <is>
          <t>kg</t>
        </is>
      </c>
      <c r="G7" s="19" t="n">
        <v>0.2</v>
      </c>
      <c r="H7" s="20">
        <f>E7/(1-G7)</f>
        <v>0.024999999999999998</v>
      </c>
      <c r="I7" s="21">
        <f>H7*D7</f>
        <v>0.06249999999999999</v>
      </c>
      <c r="K7" s="22" t="n"/>
      <c r="L7" s="23" t="n"/>
    </row>
    <row r="8">
      <c r="A8" s="15" t="inlineStr">
        <is>
          <t>Pepino</t>
        </is>
      </c>
      <c r="B8" s="16" t="inlineStr">
        <is>
          <t>Verdura raíz</t>
        </is>
      </c>
      <c r="C8" s="16" t="inlineStr">
        <is>
          <t>kg</t>
        </is>
      </c>
      <c r="D8" s="17" t="n">
        <v>1.5</v>
      </c>
      <c r="E8" s="18" t="n">
        <v>0.01</v>
      </c>
      <c r="F8" s="16" t="inlineStr">
        <is>
          <t>kg</t>
        </is>
      </c>
      <c r="G8" s="19" t="n">
        <v>0.12</v>
      </c>
      <c r="H8" s="20">
        <f>E8/(1-G8)</f>
        <v>0.011363636363636364</v>
      </c>
      <c r="I8" s="21">
        <f>H8*D8</f>
        <v>0.017045454545454544</v>
      </c>
      <c r="K8" s="24" t="inlineStr">
        <is>
          <t>Arrastra aquí la foto
del plato terminado</t>
        </is>
      </c>
      <c r="L8" s="25" t="n"/>
    </row>
    <row r="9">
      <c r="A9" s="15" t="inlineStr">
        <is>
          <t>Enebro (bayas)</t>
        </is>
      </c>
      <c r="B9" s="16" t="inlineStr">
        <is>
          <t>Especias/hierbas</t>
        </is>
      </c>
      <c r="C9" s="16" t="inlineStr">
        <is>
          <t>kg</t>
        </is>
      </c>
      <c r="D9" s="17" t="n">
        <v>30</v>
      </c>
      <c r="E9" s="18" t="n">
        <v>0.002</v>
      </c>
      <c r="F9" s="16" t="inlineStr">
        <is>
          <t>kg</t>
        </is>
      </c>
      <c r="G9" s="19" t="n">
        <v>0.05</v>
      </c>
      <c r="H9" s="20">
        <f>E9/(1-G9)</f>
        <v>0.002105263157894737</v>
      </c>
      <c r="I9" s="21">
        <f>H9*D9</f>
        <v>0.06315789473684211</v>
      </c>
      <c r="K9" s="26" t="n"/>
      <c r="L9" s="27" t="n"/>
    </row>
    <row r="10">
      <c r="A10" s="15" t="inlineStr">
        <is>
          <t>Hielo</t>
        </is>
      </c>
      <c r="B10" s="16" t="inlineStr">
        <is>
          <t>Congelados</t>
        </is>
      </c>
      <c r="C10" s="16" t="inlineStr">
        <is>
          <t>kg</t>
        </is>
      </c>
      <c r="D10" s="17" t="n">
        <v>0.5</v>
      </c>
      <c r="E10" s="18" t="n">
        <v>0.15</v>
      </c>
      <c r="F10" s="16" t="inlineStr">
        <is>
          <t>kg</t>
        </is>
      </c>
      <c r="G10" s="19" t="n">
        <v>0</v>
      </c>
      <c r="H10" s="20">
        <f>E10/(1-G10)</f>
        <v>0.15</v>
      </c>
      <c r="I10" s="21">
        <f>H10*D10</f>
        <v>0.075</v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B17" s="49" t="n"/>
      <c r="C17" s="49" t="n"/>
      <c r="D17" s="49" t="n"/>
      <c r="E17" s="49" t="n"/>
      <c r="F17" s="49" t="n"/>
      <c r="G17" s="49" t="n"/>
      <c r="H17" s="50" t="n"/>
      <c r="I17" s="36">
        <f>SUM(I5:I15)</f>
        <v>3.146274777853726</v>
      </c>
    </row>
    <row r="18">
      <c r="A18" s="37" t="inlineStr">
        <is>
          <t>Coste elaboración (%)</t>
        </is>
      </c>
      <c r="B18" s="49" t="n"/>
      <c r="C18" s="49" t="n"/>
      <c r="D18" s="49" t="n"/>
      <c r="E18" s="49" t="n"/>
      <c r="F18" s="49" t="n"/>
      <c r="G18" s="50" t="n"/>
      <c r="H18" s="19" t="n">
        <v>0.1</v>
      </c>
      <c r="I18" s="38">
        <f>I17*H18</f>
        <v>0.3146274777853726</v>
      </c>
    </row>
    <row r="19">
      <c r="A19" s="39" t="inlineStr">
        <is>
          <t>COSTE TOTAL DEL PLATO</t>
        </is>
      </c>
      <c r="B19" s="49" t="n"/>
      <c r="C19" s="49" t="n"/>
      <c r="D19" s="49" t="n"/>
      <c r="E19" s="49" t="n"/>
      <c r="F19" s="49" t="n"/>
      <c r="G19" s="49" t="n"/>
      <c r="H19" s="50" t="n"/>
      <c r="I19" s="40">
        <f>I17+I18</f>
        <v>3.4609022556390983</v>
      </c>
    </row>
    <row r="20"/>
    <row r="21">
      <c r="A21" s="41" t="inlineStr">
        <is>
          <t>Food Cost objetivo (%)</t>
        </is>
      </c>
      <c r="B21" s="49" t="n"/>
      <c r="C21" s="49" t="n"/>
      <c r="D21" s="49" t="n"/>
      <c r="E21" s="49" t="n"/>
      <c r="F21" s="49" t="n"/>
      <c r="G21" s="50" t="n"/>
      <c r="H21" s="42" t="n">
        <v>0.2</v>
      </c>
    </row>
    <row r="22">
      <c r="A22" s="43" t="inlineStr">
        <is>
          <t>PVP SUGERIDO (sin IVA)</t>
        </is>
      </c>
      <c r="B22" s="49" t="n"/>
      <c r="C22" s="49" t="n"/>
      <c r="D22" s="49" t="n"/>
      <c r="E22" s="49" t="n"/>
      <c r="F22" s="49" t="n"/>
      <c r="G22" s="49" t="n"/>
      <c r="H22" s="50" t="n"/>
      <c r="I22" s="44">
        <f>I19/H21</f>
        <v>17.30451127819549</v>
      </c>
    </row>
    <row r="23">
      <c r="A23" s="45" t="inlineStr">
        <is>
          <t>PVP CON IVA (10% hostelería)</t>
        </is>
      </c>
      <c r="B23" s="49" t="n"/>
      <c r="C23" s="49" t="n"/>
      <c r="D23" s="49" t="n"/>
      <c r="E23" s="49" t="n"/>
      <c r="F23" s="49" t="n"/>
      <c r="G23" s="49" t="n"/>
      <c r="H23" s="50" t="n"/>
      <c r="I23" s="46">
        <f>I22*1.10</f>
        <v>19.03496240601504</v>
      </c>
    </row>
    <row r="24">
      <c r="A24" s="37" t="inlineStr">
        <is>
          <t>Margen bruto (€)</t>
        </is>
      </c>
      <c r="B24" s="49" t="n"/>
      <c r="C24" s="49" t="n"/>
      <c r="D24" s="49" t="n"/>
      <c r="E24" s="49" t="n"/>
      <c r="F24" s="49" t="n"/>
      <c r="G24" s="49" t="n"/>
      <c r="H24" s="50" t="n"/>
      <c r="I24" s="38">
        <f>I22-I19</f>
        <v>13.843609022556393</v>
      </c>
    </row>
    <row r="25">
      <c r="A25" s="37" t="inlineStr">
        <is>
          <t>Margen bruto (%)</t>
        </is>
      </c>
      <c r="B25" s="49" t="n"/>
      <c r="C25" s="49" t="n"/>
      <c r="D25" s="49" t="n"/>
      <c r="E25" s="49" t="n"/>
      <c r="F25" s="49" t="n"/>
      <c r="G25" s="49" t="n"/>
      <c r="H25" s="50" t="n"/>
      <c r="I25" s="47">
        <f>I24/I22</f>
        <v>0.8</v>
      </c>
    </row>
  </sheetData>
  <mergeCells count="13">
    <mergeCell ref="K15:L15"/>
    <mergeCell ref="K8:L9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5:H25"/>
    <mergeCell ref="A23:H23"/>
  </mergeCells>
  <dataValidations count="2">
    <dataValidation sqref="B5 B6 B7 B8 B9 B10 B11 B12 B13 B14 B15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F5 F6 F7 F8 F9 F10 F11 F12 F13 F14 F15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Mojito Clásico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Ron blanco</t>
        </is>
      </c>
      <c r="B5" s="16" t="inlineStr">
        <is>
          <t>Bebidas/licores</t>
        </is>
      </c>
      <c r="C5" s="16" t="inlineStr">
        <is>
          <t>L</t>
        </is>
      </c>
      <c r="D5" s="17" t="n">
        <v>15</v>
      </c>
      <c r="E5" s="18" t="n">
        <v>0.06</v>
      </c>
      <c r="F5" s="16" t="inlineStr">
        <is>
          <t>cl</t>
        </is>
      </c>
      <c r="G5" s="19" t="n">
        <v>0.02</v>
      </c>
      <c r="H5" s="20">
        <f>E5/(1-G5)</f>
        <v>0.061224489795918366</v>
      </c>
      <c r="I5" s="21">
        <f>H5*D5</f>
        <v>0.9183673469387755</v>
      </c>
      <c r="K5" s="22" t="n"/>
      <c r="L5" s="23" t="n"/>
    </row>
    <row r="6">
      <c r="A6" s="15" t="inlineStr">
        <is>
          <t>Lima</t>
        </is>
      </c>
      <c r="B6" s="16" t="inlineStr">
        <is>
          <t>Fruta</t>
        </is>
      </c>
      <c r="C6" s="16" t="inlineStr">
        <is>
          <t>kg</t>
        </is>
      </c>
      <c r="D6" s="17" t="n">
        <v>4.5</v>
      </c>
      <c r="E6" s="18" t="n">
        <v>0.03</v>
      </c>
      <c r="F6" s="16" t="inlineStr">
        <is>
          <t>kg</t>
        </is>
      </c>
      <c r="G6" s="19" t="n">
        <v>0.2</v>
      </c>
      <c r="H6" s="20">
        <f>E6/(1-G6)</f>
        <v>0.0375</v>
      </c>
      <c r="I6" s="21">
        <f>H6*D6</f>
        <v>0.16874999999999998</v>
      </c>
      <c r="K6" s="22" t="n"/>
      <c r="L6" s="23" t="n"/>
    </row>
    <row r="7">
      <c r="A7" s="15" t="inlineStr">
        <is>
          <t>Hierbabuena</t>
        </is>
      </c>
      <c r="B7" s="16" t="inlineStr">
        <is>
          <t>Especias/hierbas</t>
        </is>
      </c>
      <c r="C7" s="16" t="inlineStr">
        <is>
          <t>manojo</t>
        </is>
      </c>
      <c r="D7" s="17" t="n">
        <v>1.2</v>
      </c>
      <c r="E7" s="18" t="n">
        <v>0.5</v>
      </c>
      <c r="F7" s="16" t="inlineStr">
        <is>
          <t>ud</t>
        </is>
      </c>
      <c r="G7" s="19" t="n">
        <v>0.2</v>
      </c>
      <c r="H7" s="20">
        <f>E7/(1-G7)</f>
        <v>0.625</v>
      </c>
      <c r="I7" s="21">
        <f>H7*D7</f>
        <v>0.75</v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0.015</v>
      </c>
      <c r="F8" s="16" t="inlineStr">
        <is>
          <t>kg</t>
        </is>
      </c>
      <c r="G8" s="19" t="n">
        <v>0.02</v>
      </c>
      <c r="H8" s="20">
        <f>E8/(1-G8)</f>
        <v>0.015306122448979591</v>
      </c>
      <c r="I8" s="21">
        <f>H8*D8</f>
        <v>0.01836734693877551</v>
      </c>
      <c r="K8" s="24" t="inlineStr">
        <is>
          <t>Arrastra aquí la foto
del plato terminado</t>
        </is>
      </c>
      <c r="L8" s="25" t="n"/>
    </row>
    <row r="9">
      <c r="A9" s="15" t="inlineStr">
        <is>
          <t>Soda/agua con gas</t>
        </is>
      </c>
      <c r="B9" s="16" t="inlineStr">
        <is>
          <t>Bebidas/licores</t>
        </is>
      </c>
      <c r="C9" s="16" t="inlineStr">
        <is>
          <t>L</t>
        </is>
      </c>
      <c r="D9" s="17" t="n">
        <v>0.8</v>
      </c>
      <c r="E9" s="18" t="n">
        <v>0.06</v>
      </c>
      <c r="F9" s="16" t="inlineStr">
        <is>
          <t>L</t>
        </is>
      </c>
      <c r="G9" s="19" t="n">
        <v>0</v>
      </c>
      <c r="H9" s="20">
        <f>E9/(1-G9)</f>
        <v>0.06</v>
      </c>
      <c r="I9" s="21">
        <f>H9*D9</f>
        <v>0.048</v>
      </c>
      <c r="K9" s="26" t="n"/>
      <c r="L9" s="27" t="n"/>
    </row>
    <row r="10">
      <c r="A10" s="15" t="inlineStr">
        <is>
          <t>Hielo</t>
        </is>
      </c>
      <c r="B10" s="16" t="inlineStr">
        <is>
          <t>Congelados</t>
        </is>
      </c>
      <c r="C10" s="16" t="inlineStr">
        <is>
          <t>kg</t>
        </is>
      </c>
      <c r="D10" s="17" t="n">
        <v>0.5</v>
      </c>
      <c r="E10" s="18" t="n">
        <v>0.15</v>
      </c>
      <c r="F10" s="16" t="inlineStr">
        <is>
          <t>kg</t>
        </is>
      </c>
      <c r="G10" s="19" t="n">
        <v>0</v>
      </c>
      <c r="H10" s="20">
        <f>E10/(1-G10)</f>
        <v>0.15</v>
      </c>
      <c r="I10" s="21">
        <f>H10*D10</f>
        <v>0.075</v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B17" s="49" t="n"/>
      <c r="C17" s="49" t="n"/>
      <c r="D17" s="49" t="n"/>
      <c r="E17" s="49" t="n"/>
      <c r="F17" s="49" t="n"/>
      <c r="G17" s="49" t="n"/>
      <c r="H17" s="50" t="n"/>
      <c r="I17" s="36">
        <f>SUM(I5:I15)</f>
        <v>1.978484693877551</v>
      </c>
    </row>
    <row r="18">
      <c r="A18" s="37" t="inlineStr">
        <is>
          <t>Coste elaboración (%)</t>
        </is>
      </c>
      <c r="B18" s="49" t="n"/>
      <c r="C18" s="49" t="n"/>
      <c r="D18" s="49" t="n"/>
      <c r="E18" s="49" t="n"/>
      <c r="F18" s="49" t="n"/>
      <c r="G18" s="50" t="n"/>
      <c r="H18" s="19" t="n">
        <v>0.1</v>
      </c>
      <c r="I18" s="38">
        <f>I17*H18</f>
        <v>0.19784846938775513</v>
      </c>
    </row>
    <row r="19">
      <c r="A19" s="39" t="inlineStr">
        <is>
          <t>COSTE TOTAL DEL PLATO</t>
        </is>
      </c>
      <c r="B19" s="49" t="n"/>
      <c r="C19" s="49" t="n"/>
      <c r="D19" s="49" t="n"/>
      <c r="E19" s="49" t="n"/>
      <c r="F19" s="49" t="n"/>
      <c r="G19" s="49" t="n"/>
      <c r="H19" s="50" t="n"/>
      <c r="I19" s="40">
        <f>I17+I18</f>
        <v>2.1763331632653062</v>
      </c>
    </row>
    <row r="20"/>
    <row r="21">
      <c r="A21" s="41" t="inlineStr">
        <is>
          <t>Food Cost objetivo (%)</t>
        </is>
      </c>
      <c r="B21" s="49" t="n"/>
      <c r="C21" s="49" t="n"/>
      <c r="D21" s="49" t="n"/>
      <c r="E21" s="49" t="n"/>
      <c r="F21" s="49" t="n"/>
      <c r="G21" s="50" t="n"/>
      <c r="H21" s="42" t="n">
        <v>0.2</v>
      </c>
    </row>
    <row r="22">
      <c r="A22" s="43" t="inlineStr">
        <is>
          <t>PVP SUGERIDO (sin IVA)</t>
        </is>
      </c>
      <c r="B22" s="49" t="n"/>
      <c r="C22" s="49" t="n"/>
      <c r="D22" s="49" t="n"/>
      <c r="E22" s="49" t="n"/>
      <c r="F22" s="49" t="n"/>
      <c r="G22" s="49" t="n"/>
      <c r="H22" s="50" t="n"/>
      <c r="I22" s="44">
        <f>I19/H21</f>
        <v>10.88166581632653</v>
      </c>
    </row>
    <row r="23">
      <c r="A23" s="45" t="inlineStr">
        <is>
          <t>PVP CON IVA (10% hostelería)</t>
        </is>
      </c>
      <c r="B23" s="49" t="n"/>
      <c r="C23" s="49" t="n"/>
      <c r="D23" s="49" t="n"/>
      <c r="E23" s="49" t="n"/>
      <c r="F23" s="49" t="n"/>
      <c r="G23" s="49" t="n"/>
      <c r="H23" s="50" t="n"/>
      <c r="I23" s="46">
        <f>I22*1.10</f>
        <v>11.969832397959184</v>
      </c>
    </row>
    <row r="24">
      <c r="A24" s="37" t="inlineStr">
        <is>
          <t>Margen bruto (€)</t>
        </is>
      </c>
      <c r="B24" s="49" t="n"/>
      <c r="C24" s="49" t="n"/>
      <c r="D24" s="49" t="n"/>
      <c r="E24" s="49" t="n"/>
      <c r="F24" s="49" t="n"/>
      <c r="G24" s="49" t="n"/>
      <c r="H24" s="50" t="n"/>
      <c r="I24" s="38">
        <f>I22-I19</f>
        <v>8.705332653061223</v>
      </c>
    </row>
    <row r="25">
      <c r="A25" s="37" t="inlineStr">
        <is>
          <t>Margen bruto (%)</t>
        </is>
      </c>
      <c r="B25" s="49" t="n"/>
      <c r="C25" s="49" t="n"/>
      <c r="D25" s="49" t="n"/>
      <c r="E25" s="49" t="n"/>
      <c r="F25" s="49" t="n"/>
      <c r="G25" s="49" t="n"/>
      <c r="H25" s="50" t="n"/>
      <c r="I25" s="47">
        <f>I24/I22</f>
        <v>0.7999999999999999</v>
      </c>
    </row>
  </sheetData>
  <mergeCells count="13">
    <mergeCell ref="K15:L15"/>
    <mergeCell ref="K8:L9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5:H25"/>
    <mergeCell ref="A23:H23"/>
  </mergeCells>
  <dataValidations count="2">
    <dataValidation sqref="B5 B6 B7 B8 B9 B10 B11 B12 B13 B14 B15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F5 F6 F7 F8 F9 F10 F11 F12 F13 F14 F15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Margarita Clásica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Tequila reposado</t>
        </is>
      </c>
      <c r="B5" s="16" t="inlineStr">
        <is>
          <t>Bebidas/licores</t>
        </is>
      </c>
      <c r="C5" s="16" t="inlineStr">
        <is>
          <t>L</t>
        </is>
      </c>
      <c r="D5" s="17" t="n">
        <v>22</v>
      </c>
      <c r="E5" s="18" t="n">
        <v>0.05</v>
      </c>
      <c r="F5" s="16" t="inlineStr">
        <is>
          <t>cl</t>
        </is>
      </c>
      <c r="G5" s="19" t="n">
        <v>0.02</v>
      </c>
      <c r="H5" s="20">
        <f>E5/(1-G5)</f>
        <v>0.05102040816326531</v>
      </c>
      <c r="I5" s="21">
        <f>H5*D5</f>
        <v>1.1224489795918369</v>
      </c>
      <c r="K5" s="22" t="n"/>
      <c r="L5" s="23" t="n"/>
    </row>
    <row r="6">
      <c r="A6" s="15" t="inlineStr">
        <is>
          <t>Triple Sec / Cointreau</t>
        </is>
      </c>
      <c r="B6" s="16" t="inlineStr">
        <is>
          <t>Bebidas/licores</t>
        </is>
      </c>
      <c r="C6" s="16" t="inlineStr">
        <is>
          <t>L</t>
        </is>
      </c>
      <c r="D6" s="17" t="n">
        <v>18</v>
      </c>
      <c r="E6" s="18" t="n">
        <v>0.025</v>
      </c>
      <c r="F6" s="16" t="inlineStr">
        <is>
          <t>cl</t>
        </is>
      </c>
      <c r="G6" s="19" t="n">
        <v>0.02</v>
      </c>
      <c r="H6" s="20">
        <f>E6/(1-G6)</f>
        <v>0.025510204081632654</v>
      </c>
      <c r="I6" s="21">
        <f>H6*D6</f>
        <v>0.45918367346938777</v>
      </c>
      <c r="K6" s="22" t="n"/>
      <c r="L6" s="23" t="n"/>
    </row>
    <row r="7">
      <c r="A7" s="15" t="inlineStr">
        <is>
          <t>Lima (zumo)</t>
        </is>
      </c>
      <c r="B7" s="16" t="inlineStr">
        <is>
          <t>Fruta</t>
        </is>
      </c>
      <c r="C7" s="16" t="inlineStr">
        <is>
          <t>kg</t>
        </is>
      </c>
      <c r="D7" s="17" t="n">
        <v>4.5</v>
      </c>
      <c r="E7" s="18" t="n">
        <v>0.03</v>
      </c>
      <c r="F7" s="16" t="inlineStr">
        <is>
          <t>kg</t>
        </is>
      </c>
      <c r="G7" s="19" t="n">
        <v>0.5</v>
      </c>
      <c r="H7" s="20">
        <f>E7/(1-G7)</f>
        <v>0.06</v>
      </c>
      <c r="I7" s="21">
        <f>H7*D7</f>
        <v>0.27</v>
      </c>
      <c r="K7" s="22" t="n"/>
      <c r="L7" s="23" t="n"/>
    </row>
    <row r="8">
      <c r="A8" s="15" t="inlineStr">
        <is>
          <t>Sal (para borde)</t>
        </is>
      </c>
      <c r="B8" s="16" t="inlineStr">
        <is>
          <t>Secos/granos</t>
        </is>
      </c>
      <c r="C8" s="16" t="inlineStr">
        <is>
          <t>kg</t>
        </is>
      </c>
      <c r="D8" s="17" t="n">
        <v>0.8</v>
      </c>
      <c r="E8" s="18" t="n">
        <v>0.005</v>
      </c>
      <c r="F8" s="16" t="inlineStr">
        <is>
          <t>kg</t>
        </is>
      </c>
      <c r="G8" s="19" t="n">
        <v>0.5</v>
      </c>
      <c r="H8" s="20">
        <f>E8/(1-G8)</f>
        <v>0.01</v>
      </c>
      <c r="I8" s="21">
        <f>H8*D8</f>
        <v>0.008</v>
      </c>
      <c r="K8" s="24" t="inlineStr">
        <is>
          <t>Arrastra aquí la foto
del plato terminado</t>
        </is>
      </c>
      <c r="L8" s="25" t="n"/>
    </row>
    <row r="9">
      <c r="A9" s="15" t="inlineStr">
        <is>
          <t>Hielo</t>
        </is>
      </c>
      <c r="B9" s="16" t="inlineStr">
        <is>
          <t>Congelados</t>
        </is>
      </c>
      <c r="C9" s="16" t="inlineStr">
        <is>
          <t>kg</t>
        </is>
      </c>
      <c r="D9" s="17" t="n">
        <v>0.5</v>
      </c>
      <c r="E9" s="18" t="n">
        <v>0.1</v>
      </c>
      <c r="F9" s="16" t="inlineStr">
        <is>
          <t>kg</t>
        </is>
      </c>
      <c r="G9" s="19" t="n">
        <v>0</v>
      </c>
      <c r="H9" s="20">
        <f>E9/(1-G9)</f>
        <v>0.1</v>
      </c>
      <c r="I9" s="21">
        <f>H9*D9</f>
        <v>0.05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49" t="n"/>
      <c r="C16" s="49" t="n"/>
      <c r="D16" s="49" t="n"/>
      <c r="E16" s="49" t="n"/>
      <c r="F16" s="49" t="n"/>
      <c r="G16" s="49" t="n"/>
      <c r="H16" s="50" t="n"/>
      <c r="I16" s="36">
        <f>SUM(I5:I14)</f>
        <v>1.9096326530612246</v>
      </c>
    </row>
    <row r="17">
      <c r="A17" s="37" t="inlineStr">
        <is>
          <t>Coste elaboración (%)</t>
        </is>
      </c>
      <c r="B17" s="49" t="n"/>
      <c r="C17" s="49" t="n"/>
      <c r="D17" s="49" t="n"/>
      <c r="E17" s="49" t="n"/>
      <c r="F17" s="49" t="n"/>
      <c r="G17" s="50" t="n"/>
      <c r="H17" s="19" t="n">
        <v>0.1</v>
      </c>
      <c r="I17" s="38">
        <f>I16*H17</f>
        <v>0.19096326530612248</v>
      </c>
    </row>
    <row r="18">
      <c r="A18" s="39" t="inlineStr">
        <is>
          <t>COSTE TOTAL DEL PLATO</t>
        </is>
      </c>
      <c r="B18" s="49" t="n"/>
      <c r="C18" s="49" t="n"/>
      <c r="D18" s="49" t="n"/>
      <c r="E18" s="49" t="n"/>
      <c r="F18" s="49" t="n"/>
      <c r="G18" s="49" t="n"/>
      <c r="H18" s="50" t="n"/>
      <c r="I18" s="40">
        <f>I16+I17</f>
        <v>2.1005959183673473</v>
      </c>
    </row>
    <row r="19"/>
    <row r="20">
      <c r="A20" s="41" t="inlineStr">
        <is>
          <t>Food Cost objetivo (%)</t>
        </is>
      </c>
      <c r="B20" s="49" t="n"/>
      <c r="C20" s="49" t="n"/>
      <c r="D20" s="49" t="n"/>
      <c r="E20" s="49" t="n"/>
      <c r="F20" s="49" t="n"/>
      <c r="G20" s="50" t="n"/>
      <c r="H20" s="42" t="n">
        <v>0.2</v>
      </c>
    </row>
    <row r="21">
      <c r="A21" s="43" t="inlineStr">
        <is>
          <t>PVP SUGERIDO (sin IVA)</t>
        </is>
      </c>
      <c r="B21" s="49" t="n"/>
      <c r="C21" s="49" t="n"/>
      <c r="D21" s="49" t="n"/>
      <c r="E21" s="49" t="n"/>
      <c r="F21" s="49" t="n"/>
      <c r="G21" s="49" t="n"/>
      <c r="H21" s="50" t="n"/>
      <c r="I21" s="44">
        <f>I18/H20</f>
        <v>10.502979591836736</v>
      </c>
    </row>
    <row r="22">
      <c r="A22" s="45" t="inlineStr">
        <is>
          <t>PVP CON IVA (10% hostelería)</t>
        </is>
      </c>
      <c r="B22" s="49" t="n"/>
      <c r="C22" s="49" t="n"/>
      <c r="D22" s="49" t="n"/>
      <c r="E22" s="49" t="n"/>
      <c r="F22" s="49" t="n"/>
      <c r="G22" s="49" t="n"/>
      <c r="H22" s="50" t="n"/>
      <c r="I22" s="46">
        <f>I21*1.10</f>
        <v>11.553277551020411</v>
      </c>
    </row>
    <row r="23">
      <c r="A23" s="37" t="inlineStr">
        <is>
          <t>Margen bruto (€)</t>
        </is>
      </c>
      <c r="B23" s="49" t="n"/>
      <c r="C23" s="49" t="n"/>
      <c r="D23" s="49" t="n"/>
      <c r="E23" s="49" t="n"/>
      <c r="F23" s="49" t="n"/>
      <c r="G23" s="49" t="n"/>
      <c r="H23" s="50" t="n"/>
      <c r="I23" s="38">
        <f>I21-I18</f>
        <v>8.402383673469389</v>
      </c>
    </row>
    <row r="24">
      <c r="A24" s="37" t="inlineStr">
        <is>
          <t>Margen bruto (%)</t>
        </is>
      </c>
      <c r="B24" s="49" t="n"/>
      <c r="C24" s="49" t="n"/>
      <c r="D24" s="49" t="n"/>
      <c r="E24" s="49" t="n"/>
      <c r="F24" s="49" t="n"/>
      <c r="G24" s="49" t="n"/>
      <c r="H24" s="50" t="n"/>
      <c r="I24" s="47">
        <f>I23/I21</f>
        <v>0.8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Aperol Spritz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Aperol</t>
        </is>
      </c>
      <c r="B5" s="16" t="inlineStr">
        <is>
          <t>Bebidas/licores</t>
        </is>
      </c>
      <c r="C5" s="16" t="inlineStr">
        <is>
          <t>L</t>
        </is>
      </c>
      <c r="D5" s="17" t="n">
        <v>14</v>
      </c>
      <c r="E5" s="18" t="n">
        <v>0.06</v>
      </c>
      <c r="F5" s="16" t="inlineStr">
        <is>
          <t>cl</t>
        </is>
      </c>
      <c r="G5" s="19" t="n">
        <v>0.02</v>
      </c>
      <c r="H5" s="20">
        <f>E5/(1-G5)</f>
        <v>0.061224489795918366</v>
      </c>
      <c r="I5" s="21">
        <f>H5*D5</f>
        <v>0.8571428571428571</v>
      </c>
      <c r="K5" s="22" t="n"/>
      <c r="L5" s="23" t="n"/>
    </row>
    <row r="6">
      <c r="A6" s="15" t="inlineStr">
        <is>
          <t>Prosecco</t>
        </is>
      </c>
      <c r="B6" s="16" t="inlineStr">
        <is>
          <t>Bebidas/licores</t>
        </is>
      </c>
      <c r="C6" s="16" t="inlineStr">
        <is>
          <t>L</t>
        </is>
      </c>
      <c r="D6" s="17" t="n">
        <v>8</v>
      </c>
      <c r="E6" s="18" t="n">
        <v>0.09</v>
      </c>
      <c r="F6" s="16" t="inlineStr">
        <is>
          <t>cl</t>
        </is>
      </c>
      <c r="G6" s="19" t="n">
        <v>0.05</v>
      </c>
      <c r="H6" s="20">
        <f>E6/(1-G6)</f>
        <v>0.09473684210526316</v>
      </c>
      <c r="I6" s="21">
        <f>H6*D6</f>
        <v>0.7578947368421053</v>
      </c>
      <c r="K6" s="22" t="n"/>
      <c r="L6" s="23" t="n"/>
    </row>
    <row r="7">
      <c r="A7" s="15" t="inlineStr">
        <is>
          <t>Soda</t>
        </is>
      </c>
      <c r="B7" s="16" t="inlineStr">
        <is>
          <t>Bebidas/licores</t>
        </is>
      </c>
      <c r="C7" s="16" t="inlineStr">
        <is>
          <t>L</t>
        </is>
      </c>
      <c r="D7" s="17" t="n">
        <v>0.8</v>
      </c>
      <c r="E7" s="18" t="n">
        <v>0.03</v>
      </c>
      <c r="F7" s="16" t="inlineStr">
        <is>
          <t>cl</t>
        </is>
      </c>
      <c r="G7" s="19" t="n">
        <v>0</v>
      </c>
      <c r="H7" s="20">
        <f>E7/(1-G7)</f>
        <v>0.03</v>
      </c>
      <c r="I7" s="21">
        <f>H7*D7</f>
        <v>0.024</v>
      </c>
      <c r="K7" s="22" t="n"/>
      <c r="L7" s="23" t="n"/>
    </row>
    <row r="8">
      <c r="A8" s="15" t="inlineStr">
        <is>
          <t>Naranja (rodaja)</t>
        </is>
      </c>
      <c r="B8" s="16" t="inlineStr">
        <is>
          <t>Fruta</t>
        </is>
      </c>
      <c r="C8" s="16" t="inlineStr">
        <is>
          <t>kg</t>
        </is>
      </c>
      <c r="D8" s="17" t="n">
        <v>2</v>
      </c>
      <c r="E8" s="18" t="n">
        <v>0.02</v>
      </c>
      <c r="F8" s="16" t="inlineStr">
        <is>
          <t>kg</t>
        </is>
      </c>
      <c r="G8" s="19" t="n">
        <v>0.25</v>
      </c>
      <c r="H8" s="20">
        <f>E8/(1-G8)</f>
        <v>0.02666666666666667</v>
      </c>
      <c r="I8" s="21">
        <f>H8*D8</f>
        <v>0.05333333333333334</v>
      </c>
      <c r="K8" s="24" t="inlineStr">
        <is>
          <t>Arrastra aquí la foto
del plato terminado</t>
        </is>
      </c>
      <c r="L8" s="25" t="n"/>
    </row>
    <row r="9">
      <c r="A9" s="15" t="inlineStr">
        <is>
          <t>Hielo</t>
        </is>
      </c>
      <c r="B9" s="16" t="inlineStr">
        <is>
          <t>Congelados</t>
        </is>
      </c>
      <c r="C9" s="16" t="inlineStr">
        <is>
          <t>kg</t>
        </is>
      </c>
      <c r="D9" s="17" t="n">
        <v>0.5</v>
      </c>
      <c r="E9" s="18" t="n">
        <v>0.15</v>
      </c>
      <c r="F9" s="16" t="inlineStr">
        <is>
          <t>kg</t>
        </is>
      </c>
      <c r="G9" s="19" t="n">
        <v>0</v>
      </c>
      <c r="H9" s="20">
        <f>E9/(1-G9)</f>
        <v>0.15</v>
      </c>
      <c r="I9" s="21">
        <f>H9*D9</f>
        <v>0.075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49" t="n"/>
      <c r="C16" s="49" t="n"/>
      <c r="D16" s="49" t="n"/>
      <c r="E16" s="49" t="n"/>
      <c r="F16" s="49" t="n"/>
      <c r="G16" s="49" t="n"/>
      <c r="H16" s="50" t="n"/>
      <c r="I16" s="36">
        <f>SUM(I5:I14)</f>
        <v>1.7673709273182956</v>
      </c>
    </row>
    <row r="17">
      <c r="A17" s="37" t="inlineStr">
        <is>
          <t>Coste elaboración (%)</t>
        </is>
      </c>
      <c r="B17" s="49" t="n"/>
      <c r="C17" s="49" t="n"/>
      <c r="D17" s="49" t="n"/>
      <c r="E17" s="49" t="n"/>
      <c r="F17" s="49" t="n"/>
      <c r="G17" s="50" t="n"/>
      <c r="H17" s="19" t="n">
        <v>0.1</v>
      </c>
      <c r="I17" s="38">
        <f>I16*H17</f>
        <v>0.17673709273182958</v>
      </c>
    </row>
    <row r="18">
      <c r="A18" s="39" t="inlineStr">
        <is>
          <t>COSTE TOTAL DEL PLATO</t>
        </is>
      </c>
      <c r="B18" s="49" t="n"/>
      <c r="C18" s="49" t="n"/>
      <c r="D18" s="49" t="n"/>
      <c r="E18" s="49" t="n"/>
      <c r="F18" s="49" t="n"/>
      <c r="G18" s="49" t="n"/>
      <c r="H18" s="50" t="n"/>
      <c r="I18" s="40">
        <f>I16+I17</f>
        <v>1.944108020050125</v>
      </c>
    </row>
    <row r="19"/>
    <row r="20">
      <c r="A20" s="41" t="inlineStr">
        <is>
          <t>Food Cost objetivo (%)</t>
        </is>
      </c>
      <c r="B20" s="49" t="n"/>
      <c r="C20" s="49" t="n"/>
      <c r="D20" s="49" t="n"/>
      <c r="E20" s="49" t="n"/>
      <c r="F20" s="49" t="n"/>
      <c r="G20" s="50" t="n"/>
      <c r="H20" s="42" t="n">
        <v>0.2</v>
      </c>
    </row>
    <row r="21">
      <c r="A21" s="43" t="inlineStr">
        <is>
          <t>PVP SUGERIDO (sin IVA)</t>
        </is>
      </c>
      <c r="B21" s="49" t="n"/>
      <c r="C21" s="49" t="n"/>
      <c r="D21" s="49" t="n"/>
      <c r="E21" s="49" t="n"/>
      <c r="F21" s="49" t="n"/>
      <c r="G21" s="49" t="n"/>
      <c r="H21" s="50" t="n"/>
      <c r="I21" s="44">
        <f>I18/H20</f>
        <v>9.720540100250625</v>
      </c>
    </row>
    <row r="22">
      <c r="A22" s="45" t="inlineStr">
        <is>
          <t>PVP CON IVA (10% hostelería)</t>
        </is>
      </c>
      <c r="B22" s="49" t="n"/>
      <c r="C22" s="49" t="n"/>
      <c r="D22" s="49" t="n"/>
      <c r="E22" s="49" t="n"/>
      <c r="F22" s="49" t="n"/>
      <c r="G22" s="49" t="n"/>
      <c r="H22" s="50" t="n"/>
      <c r="I22" s="46">
        <f>I21*1.10</f>
        <v>10.692594110275689</v>
      </c>
    </row>
    <row r="23">
      <c r="A23" s="37" t="inlineStr">
        <is>
          <t>Margen bruto (€)</t>
        </is>
      </c>
      <c r="B23" s="49" t="n"/>
      <c r="C23" s="49" t="n"/>
      <c r="D23" s="49" t="n"/>
      <c r="E23" s="49" t="n"/>
      <c r="F23" s="49" t="n"/>
      <c r="G23" s="49" t="n"/>
      <c r="H23" s="50" t="n"/>
      <c r="I23" s="38">
        <f>I21-I18</f>
        <v>7.7764320802005</v>
      </c>
    </row>
    <row r="24">
      <c r="A24" s="37" t="inlineStr">
        <is>
          <t>Margen bruto (%)</t>
        </is>
      </c>
      <c r="B24" s="49" t="n"/>
      <c r="C24" s="49" t="n"/>
      <c r="D24" s="49" t="n"/>
      <c r="E24" s="49" t="n"/>
      <c r="F24" s="49" t="n"/>
      <c r="G24" s="49" t="n"/>
      <c r="H24" s="50" t="n"/>
      <c r="I24" s="47">
        <f>I23/I21</f>
        <v>0.8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Cocktails y Bebidas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