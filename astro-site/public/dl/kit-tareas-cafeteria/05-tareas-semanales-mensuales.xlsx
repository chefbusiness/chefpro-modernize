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 Diario" sheetId="2" state="visible" r:id="rId2"/>
    <sheet xmlns:r="http://schemas.openxmlformats.org/officeDocument/2006/relationships" name="Inventario Semanal" sheetId="3" state="visible" r:id="rId3"/>
    <sheet xmlns:r="http://schemas.openxmlformats.org/officeDocument/2006/relationships" name="Limpieza Semanal" sheetId="4" state="visible" r:id="rId4"/>
    <sheet xmlns:r="http://schemas.openxmlformats.org/officeDocument/2006/relationships" name="FIFO Semanal" sheetId="5" state="visible" r:id="rId5"/>
    <sheet xmlns:r="http://schemas.openxmlformats.org/officeDocument/2006/relationships" name="Mantenimiento Mensual" sheetId="6" state="visible" r:id="rId6"/>
    <sheet xmlns:r="http://schemas.openxmlformats.org/officeDocument/2006/relationships" name="Trimestral y Anual" sheetId="7" state="visible" r:id="rId7"/>
  </sheets>
  <definedNames>
    <definedName name="_xlnm.Print_Area" localSheetId="0">'Instrucciones'!$A$1:$B$39</definedName>
    <definedName name="_xlnm.Print_Titles" localSheetId="1">'Inventario Diario'!$4:$4</definedName>
    <definedName name="_xlnm.Print_Area" localSheetId="1">'Inventario Diario'!$A$1:$F$48</definedName>
    <definedName name="_xlnm.Print_Titles" localSheetId="2">'Inventario Semanal'!$4:$4</definedName>
    <definedName name="_xlnm.Print_Area" localSheetId="2">'Inventario Semanal'!$A$1:$F$58</definedName>
    <definedName name="_xlnm.Print_Titles" localSheetId="3">'Limpieza Semanal'!$4:$4</definedName>
    <definedName name="_xlnm.Print_Area" localSheetId="3">'Limpieza Semanal'!$A$1:$G$35</definedName>
    <definedName name="_xlnm.Print_Titles" localSheetId="4">'FIFO Semanal'!$4:$4</definedName>
    <definedName name="_xlnm.Print_Area" localSheetId="4">'FIFO Semanal'!$A$1:$G$45</definedName>
    <definedName name="_xlnm.Print_Titles" localSheetId="5">'Mantenimiento Mensual'!$4:$4</definedName>
    <definedName name="_xlnm.Print_Area" localSheetId="5">'Mantenimiento Mensual'!$A$1:$G$34</definedName>
    <definedName name="_xlnm.Print_Titles" localSheetId="6">'Trimestral y Anual'!$4:$4</definedName>
    <definedName name="_xlnm.Print_Area" localSheetId="6">'Trimestral y Anual'!$A$1:$G$34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8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9"/>
    </font>
    <font>
      <name val="Calibri"/>
      <i val="1"/>
      <color rgb="00888888"/>
      <sz val="8"/>
    </font>
    <font>
      <color rgb="00999999"/>
      <sz val="9"/>
    </font>
    <font>
      <sz val="9"/>
    </font>
    <font>
      <b val="1"/>
      <sz val="10"/>
    </font>
    <font>
      <b val="1"/>
      <color rgb="00228B22"/>
      <sz val="10"/>
    </font>
    <font>
      <name val="Calibri"/>
      <color rgb="00666666"/>
      <sz val="9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pivotButton="0" quotePrefix="0" xfId="0"/>
    <xf numFmtId="0" fontId="4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164" fontId="10" fillId="4" borderId="1" pivotButton="0" quotePrefix="0" xfId="0"/>
    <xf numFmtId="0" fontId="9" fillId="5" borderId="1" applyAlignment="1" pivotButton="0" quotePrefix="0" xfId="0">
      <alignment horizontal="center"/>
    </xf>
    <xf numFmtId="164" fontId="10" fillId="5" borderId="1" pivotButton="0" quotePrefix="0" xfId="0"/>
    <xf numFmtId="0" fontId="11" fillId="0" borderId="0" pivotButton="0" quotePrefix="0" xfId="0"/>
    <xf numFmtId="164" fontId="1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12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3" fillId="3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4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4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4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31" t="inlineStr">
        <is>
          <t>Tareas Semanales, Mensuales e Inventarios — Cafetería / Brunch</t>
        </is>
      </c>
    </row>
    <row r="3"/>
    <row r="4" ht="18" customHeight="1">
      <c r="B4" s="32" t="inlineStr">
        <is>
          <t>Trimestral, anual y vida útil en congelación</t>
        </is>
      </c>
    </row>
    <row r="5"/>
    <row r="6" ht="48" customHeight="1">
      <c r="B6" s="33" t="inlineStr">
        <is>
          <t>▸ La hoja «Trimestral y Anual» recoge el mantenimiento que se CONTRATA y que se pide en una inspección: DDD, conductos de extracción, extintores y BIE, instalación de gas, legionela, filtro de agua del espresso, seguro y facturación.</t>
        </is>
      </c>
    </row>
    <row r="7" ht="32" customHeight="1">
      <c r="B7" s="33" t="inlineStr">
        <is>
          <t>▸ Anota el número de parte en la columna verde y firma cuando la empresa haya venido; la última tarea de la hoja es apuntar la fecha de la próxima revisión.</t>
        </is>
      </c>
    </row>
    <row r="8" ht="32" customHeight="1">
      <c r="B8" s="33" t="inlineStr">
        <is>
          <t>▸ Al pie de «FIFO Semanal» tienes una tabla editable de vida útil en congelación por familia: una regla única para todo el congelador o tira producto bueno o valida producto pasado.</t>
        </is>
      </c>
    </row>
    <row r="9"/>
    <row r="10" ht="18" customHeight="1">
      <c r="B10" s="32" t="inlineStr">
        <is>
          <t>Cómo cuenta el contador</t>
        </is>
      </c>
    </row>
    <row r="11"/>
    <row r="12" ht="32" customHeight="1">
      <c r="B12" s="33" t="inlineStr">
        <is>
          <t>▸ Marca con ✓ en la columna «✓ Completada» (desplegable): es la que cuenta el total de tareas completadas.</t>
        </is>
      </c>
    </row>
    <row r="13" ht="32" customHeight="1">
      <c r="B13" s="33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14" ht="32" customHeight="1">
      <c r="B14" s="33" t="inlineStr">
        <is>
          <t>▸ El denominador cuenta las tareas escritas en la columna «Tarea», no un número fijo: si añades o borras tareas, el total se ajusta solo.</t>
        </is>
      </c>
    </row>
    <row r="15"/>
    <row r="16" ht="18" customHeight="1">
      <c r="B16" s="32" t="inlineStr">
        <is>
          <t>Filas libres</t>
        </is>
      </c>
    </row>
    <row r="17"/>
    <row r="18" ht="32" customHeight="1">
      <c r="B18" s="33" t="inlineStr">
        <is>
          <t>▸ Al final de cada tabla hay 5 filas verdes libres DENTRO del rango que cuenta el contador: escribe ahí tus tareas propias.</t>
        </is>
      </c>
    </row>
    <row r="19" ht="32" customHeight="1">
      <c r="B19" s="33" t="inlineStr">
        <is>
          <t>▸ Si necesitas más, inserta filas DENTRO de la tabla (clic derecho → Insertar), nunca por debajo de la última: lo que se escriba fuera del rango no lo cuenta nadie.</t>
        </is>
      </c>
    </row>
    <row r="20"/>
    <row r="21" ht="18" customHeight="1">
      <c r="B21" s="32" t="inlineStr">
        <is>
          <t>Protección de la hoja</t>
        </is>
      </c>
    </row>
    <row r="22"/>
    <row r="23" ht="32" customHeight="1">
      <c r="B23" s="33" t="inlineStr">
        <is>
          <t>▸ Las hojas con fórmulas van protegidas SIN contraseña: las celdas de entrada (las verdes) están desbloqueadas y los cálculos no se pisan por accidente.</t>
        </is>
      </c>
    </row>
    <row r="24" ht="32" customHeight="1">
      <c r="B24" s="33" t="inlineStr">
        <is>
          <t>▸ Puedes insertar y borrar filas con la protección puesta. Para cambiar la estructura: Revisar → Desproteger hoja.</t>
        </is>
      </c>
    </row>
    <row r="25"/>
    <row r="26" ht="18" customHeight="1">
      <c r="B26" s="32" t="inlineStr">
        <is>
          <t>Se conecta con</t>
        </is>
      </c>
    </row>
    <row r="27"/>
    <row r="28" ht="16" customHeight="1">
      <c r="B28" s="33" t="inlineStr">
        <is>
          <t>▸ 08-apertura-cierre-negocio.xlsx — checklist del LOCAL completo: es el MARCO del día.</t>
        </is>
      </c>
    </row>
    <row r="29" ht="16" customHeight="1">
      <c r="B29" s="33" t="inlineStr">
        <is>
          <t>▸ 01-apertura-cierre.xlsx — el mismo día con el DETALLE por área (cocina, sala, barra café).</t>
        </is>
      </c>
    </row>
    <row r="30" ht="16" customHeight="1">
      <c r="B30" s="33" t="inlineStr">
        <is>
          <t>▸ 09-apertura-cierre-caja.xlsx — la CAJA: fondo, recuento por denominaciones, Z del TPV y descuadre.</t>
        </is>
      </c>
    </row>
    <row r="31" ht="48" customHeight="1">
      <c r="B31" s="33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32" ht="32" customHeight="1">
      <c r="B32" s="33" t="inlineStr">
        <is>
          <t>▸ Estás en 05-tareas-semanales-mensuales.xlsx: lo que NO es diario (semanal, mensual, trimestral y anual). El día a día está en 08-apertura-cierre-negocio.xlsx y 01-apertura-cierre.xlsx.</t>
        </is>
      </c>
    </row>
    <row r="33"/>
    <row r="34" ht="18" customHeight="1">
      <c r="B34" s="32" t="inlineStr">
        <is>
          <t>— Kit de Tareas Recurrentes · Cafetería / Brunch · AI Chef Pro · aichef.pro</t>
        </is>
      </c>
    </row>
    <row r="35"/>
    <row r="36" ht="35" customHeight="1">
      <c r="B36" s="32" t="inlineStr">
        <is>
          <t>Diseñado por John Guerrero — chef y consultor gastronómico desde 2010, en cocina desde los 17 años · johnguerrero.es</t>
        </is>
      </c>
    </row>
    <row r="37" ht="18" customHeight="1">
      <c r="B37" s="32" t="inlineStr">
        <is>
          <t>Contacto: info@aichef.pro</t>
        </is>
      </c>
    </row>
    <row r="38"/>
    <row r="39" ht="18" customHeight="1">
      <c r="B39" s="32" t="inlineStr">
        <is>
          <t>Versión 2.0 · agosto 2026 · aichef.pro/kit-tareas-cafeteria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</cols>
  <sheetData>
    <row r="1" ht="30" customHeight="1">
      <c r="A1" s="1" t="inlineStr">
        <is>
          <t>Inventario Diario de Partida — Stock Inmediato</t>
        </is>
      </c>
    </row>
    <row r="2">
      <c r="A2" s="4" t="inlineStr">
        <is>
          <t>Fecha: ___/___/______    Turno: ☐ Mañana  ☐ Tarde    Responsable: ________________</t>
        </is>
      </c>
    </row>
    <row r="3"/>
    <row r="4">
      <c r="A4" s="5" t="inlineStr">
        <is>
          <t>Producto</t>
        </is>
      </c>
      <c r="B4" s="5" t="inlineStr">
        <is>
          <t>Stock</t>
        </is>
      </c>
      <c r="C4" s="5" t="inlineStr">
        <is>
          <t>Unidad</t>
        </is>
      </c>
      <c r="D4" s="5" t="inlineStr">
        <is>
          <t>Mínimo</t>
        </is>
      </c>
      <c r="E4" s="5" t="inlineStr">
        <is>
          <t>Estado</t>
        </is>
      </c>
      <c r="F4" s="5" t="inlineStr">
        <is>
          <t>Notas / Pedido</t>
        </is>
      </c>
    </row>
    <row r="5">
      <c r="A5" s="6" t="inlineStr">
        <is>
          <t xml:space="preserve">  CAFÉ</t>
        </is>
      </c>
    </row>
    <row r="6">
      <c r="A6" s="7" t="inlineStr">
        <is>
          <t>Café en grano — blend principal</t>
        </is>
      </c>
      <c r="B6" s="7" t="n"/>
      <c r="C6" s="8" t="inlineStr">
        <is>
          <t>kg</t>
        </is>
      </c>
      <c r="D6" s="8" t="n">
        <v>2</v>
      </c>
      <c r="E6" s="9">
        <f>IF(B6="","",IF(B6&lt;D6,"⚠️ PEDIR","OK"))</f>
        <v/>
      </c>
      <c r="F6" s="10" t="n"/>
    </row>
    <row r="7">
      <c r="A7" s="11" t="inlineStr">
        <is>
          <t>Café en grano — origen/especialidad</t>
        </is>
      </c>
      <c r="B7" s="11" t="n"/>
      <c r="C7" s="12" t="inlineStr">
        <is>
          <t>kg</t>
        </is>
      </c>
      <c r="D7" s="12" t="n">
        <v>1</v>
      </c>
      <c r="E7" s="13">
        <f>IF(B7="","",IF(B7&lt;D7,"⚠️ PEDIR","OK"))</f>
        <v/>
      </c>
      <c r="F7" s="14" t="n"/>
    </row>
    <row r="8">
      <c r="A8" s="7" t="inlineStr">
        <is>
          <t>Café descafeinado en grano</t>
        </is>
      </c>
      <c r="B8" s="7" t="n"/>
      <c r="C8" s="8" t="inlineStr">
        <is>
          <t>kg</t>
        </is>
      </c>
      <c r="D8" s="8" t="n">
        <v>0.5</v>
      </c>
      <c r="E8" s="9">
        <f>IF(B8="","",IF(B8&lt;D8,"⚠️ PEDIR","OK"))</f>
        <v/>
      </c>
      <c r="F8" s="10" t="n"/>
    </row>
    <row r="9">
      <c r="A9" s="6" t="inlineStr">
        <is>
          <t xml:space="preserve">  LECHES</t>
        </is>
      </c>
    </row>
    <row r="10">
      <c r="A10" s="7" t="inlineStr">
        <is>
          <t>Leche entera</t>
        </is>
      </c>
      <c r="B10" s="7" t="n"/>
      <c r="C10" s="8" t="inlineStr">
        <is>
          <t>L</t>
        </is>
      </c>
      <c r="D10" s="8" t="n">
        <v>5</v>
      </c>
      <c r="E10" s="9">
        <f>IF(B10="","",IF(B10&lt;D10,"⚠️ PEDIR","OK"))</f>
        <v/>
      </c>
      <c r="F10" s="10" t="n"/>
    </row>
    <row r="11">
      <c r="A11" s="11" t="inlineStr">
        <is>
          <t>Leche desnatada</t>
        </is>
      </c>
      <c r="B11" s="11" t="n"/>
      <c r="C11" s="12" t="inlineStr">
        <is>
          <t>L</t>
        </is>
      </c>
      <c r="D11" s="12" t="n">
        <v>3</v>
      </c>
      <c r="E11" s="13">
        <f>IF(B11="","",IF(B11&lt;D11,"⚠️ PEDIR","OK"))</f>
        <v/>
      </c>
      <c r="F11" s="14" t="n"/>
    </row>
    <row r="12">
      <c r="A12" s="7" t="inlineStr">
        <is>
          <t>Leche de avena</t>
        </is>
      </c>
      <c r="B12" s="7" t="n"/>
      <c r="C12" s="8" t="inlineStr">
        <is>
          <t>L</t>
        </is>
      </c>
      <c r="D12" s="8" t="n">
        <v>3</v>
      </c>
      <c r="E12" s="9">
        <f>IF(B12="","",IF(B12&lt;D12,"⚠️ PEDIR","OK"))</f>
        <v/>
      </c>
      <c r="F12" s="10" t="n"/>
    </row>
    <row r="13">
      <c r="A13" s="11" t="inlineStr">
        <is>
          <t>Leche de soja</t>
        </is>
      </c>
      <c r="B13" s="11" t="n"/>
      <c r="C13" s="12" t="inlineStr">
        <is>
          <t>L</t>
        </is>
      </c>
      <c r="D13" s="12" t="n">
        <v>2</v>
      </c>
      <c r="E13" s="13">
        <f>IF(B13="","",IF(B13&lt;D13,"⚠️ PEDIR","OK"))</f>
        <v/>
      </c>
      <c r="F13" s="14" t="n"/>
    </row>
    <row r="14">
      <c r="A14" s="7" t="inlineStr">
        <is>
          <t>Leche de almendra</t>
        </is>
      </c>
      <c r="B14" s="7" t="n"/>
      <c r="C14" s="8" t="inlineStr">
        <is>
          <t>L</t>
        </is>
      </c>
      <c r="D14" s="8" t="n">
        <v>2</v>
      </c>
      <c r="E14" s="9">
        <f>IF(B14="","",IF(B14&lt;D14,"⚠️ PEDIR","OK"))</f>
        <v/>
      </c>
      <c r="F14" s="10" t="n"/>
    </row>
    <row r="15">
      <c r="A15" s="11" t="inlineStr">
        <is>
          <t>Nata para montar</t>
        </is>
      </c>
      <c r="B15" s="11" t="n"/>
      <c r="C15" s="12" t="inlineStr">
        <is>
          <t>L</t>
        </is>
      </c>
      <c r="D15" s="12" t="n">
        <v>1</v>
      </c>
      <c r="E15" s="13">
        <f>IF(B15="","",IF(B15&lt;D15,"⚠️ PEDIR","OK"))</f>
        <v/>
      </c>
      <c r="F15" s="14" t="n"/>
    </row>
    <row r="16">
      <c r="A16" s="6" t="inlineStr">
        <is>
          <t xml:space="preserve">  BEBIDAS</t>
        </is>
      </c>
    </row>
    <row r="17">
      <c r="A17" s="11" t="inlineStr">
        <is>
          <t>Cacao en polvo</t>
        </is>
      </c>
      <c r="B17" s="11" t="n"/>
      <c r="C17" s="12" t="inlineStr">
        <is>
          <t>kg</t>
        </is>
      </c>
      <c r="D17" s="12" t="n">
        <v>0.5</v>
      </c>
      <c r="E17" s="13">
        <f>IF(B17="","",IF(B17&lt;D17,"⚠️ PEDIR","OK"))</f>
        <v/>
      </c>
      <c r="F17" s="14" t="n"/>
    </row>
    <row r="18">
      <c r="A18" s="7" t="inlineStr">
        <is>
          <t>Matcha en polvo</t>
        </is>
      </c>
      <c r="B18" s="7" t="n"/>
      <c r="C18" s="8" t="inlineStr">
        <is>
          <t>g</t>
        </is>
      </c>
      <c r="D18" s="8" t="n">
        <v>100</v>
      </c>
      <c r="E18" s="9">
        <f>IF(B18="","",IF(B18&lt;D18,"⚠️ PEDIR","OK"))</f>
        <v/>
      </c>
      <c r="F18" s="10" t="n"/>
    </row>
    <row r="19">
      <c r="A19" s="11" t="inlineStr">
        <is>
          <t>Sirope de vainilla</t>
        </is>
      </c>
      <c r="B19" s="11" t="n"/>
      <c r="C19" s="12" t="inlineStr">
        <is>
          <t>L</t>
        </is>
      </c>
      <c r="D19" s="12" t="n">
        <v>0.5</v>
      </c>
      <c r="E19" s="13">
        <f>IF(B19="","",IF(B19&lt;D19,"⚠️ PEDIR","OK"))</f>
        <v/>
      </c>
      <c r="F19" s="14" t="n"/>
    </row>
    <row r="20">
      <c r="A20" s="7" t="inlineStr">
        <is>
          <t>Sirope de caramelo</t>
        </is>
      </c>
      <c r="B20" s="7" t="n"/>
      <c r="C20" s="8" t="inlineStr">
        <is>
          <t>L</t>
        </is>
      </c>
      <c r="D20" s="8" t="n">
        <v>0.5</v>
      </c>
      <c r="E20" s="9">
        <f>IF(B20="","",IF(B20&lt;D20,"⚠️ PEDIR","OK"))</f>
        <v/>
      </c>
      <c r="F20" s="10" t="n"/>
    </row>
    <row r="21">
      <c r="A21" s="11" t="inlineStr">
        <is>
          <t>Té / Infusiones (variedades)</t>
        </is>
      </c>
      <c r="B21" s="11" t="n"/>
      <c r="C21" s="12" t="inlineStr">
        <is>
          <t>uds</t>
        </is>
      </c>
      <c r="D21" s="12" t="n">
        <v>20</v>
      </c>
      <c r="E21" s="13">
        <f>IF(B21="","",IF(B21&lt;D21,"⚠️ PEDIR","OK"))</f>
        <v/>
      </c>
      <c r="F21" s="14" t="n"/>
    </row>
    <row r="22">
      <c r="A22" s="7" t="inlineStr">
        <is>
          <t>Zumo de naranja natural</t>
        </is>
      </c>
      <c r="B22" s="7" t="n"/>
      <c r="C22" s="8" t="inlineStr">
        <is>
          <t>L</t>
        </is>
      </c>
      <c r="D22" s="8" t="n">
        <v>3</v>
      </c>
      <c r="E22" s="9">
        <f>IF(B22="","",IF(B22&lt;D22,"⚠️ PEDIR","OK"))</f>
        <v/>
      </c>
      <c r="F22" s="10" t="n"/>
    </row>
    <row r="23">
      <c r="A23" s="6" t="inlineStr">
        <is>
          <t xml:space="preserve">  PANADERÍA Y BOLLERÍA</t>
        </is>
      </c>
    </row>
    <row r="24">
      <c r="A24" s="7" t="inlineStr">
        <is>
          <t>Pan sourdough</t>
        </is>
      </c>
      <c r="B24" s="7" t="n"/>
      <c r="C24" s="8" t="inlineStr">
        <is>
          <t>uds</t>
        </is>
      </c>
      <c r="D24" s="8" t="n">
        <v>10</v>
      </c>
      <c r="E24" s="9">
        <f>IF(B24="","",IF(B24&lt;D24,"⚠️ PEDIR","OK"))</f>
        <v/>
      </c>
      <c r="F24" s="10" t="n"/>
    </row>
    <row r="25">
      <c r="A25" s="11" t="inlineStr">
        <is>
          <t>Pan brioche</t>
        </is>
      </c>
      <c r="B25" s="11" t="n"/>
      <c r="C25" s="12" t="inlineStr">
        <is>
          <t>uds</t>
        </is>
      </c>
      <c r="D25" s="12" t="n">
        <v>8</v>
      </c>
      <c r="E25" s="13">
        <f>IF(B25="","",IF(B25&lt;D25,"⚠️ PEDIR","OK"))</f>
        <v/>
      </c>
      <c r="F25" s="14" t="n"/>
    </row>
    <row r="26">
      <c r="A26" s="7" t="inlineStr">
        <is>
          <t>Pan integral/centeno</t>
        </is>
      </c>
      <c r="B26" s="7" t="n"/>
      <c r="C26" s="8" t="inlineStr">
        <is>
          <t>uds</t>
        </is>
      </c>
      <c r="D26" s="8" t="n">
        <v>6</v>
      </c>
      <c r="E26" s="9">
        <f>IF(B26="","",IF(B26&lt;D26,"⚠️ PEDIR","OK"))</f>
        <v/>
      </c>
      <c r="F26" s="10" t="n"/>
    </row>
    <row r="27">
      <c r="A27" s="11" t="inlineStr">
        <is>
          <t>Croissants</t>
        </is>
      </c>
      <c r="B27" s="11" t="n"/>
      <c r="C27" s="12" t="inlineStr">
        <is>
          <t>uds</t>
        </is>
      </c>
      <c r="D27" s="12" t="n">
        <v>12</v>
      </c>
      <c r="E27" s="13">
        <f>IF(B27="","",IF(B27&lt;D27,"⚠️ PEDIR","OK"))</f>
        <v/>
      </c>
      <c r="F27" s="14" t="n"/>
    </row>
    <row r="28">
      <c r="A28" s="7" t="inlineStr">
        <is>
          <t>Muffins / Magdalenas</t>
        </is>
      </c>
      <c r="B28" s="7" t="n"/>
      <c r="C28" s="8" t="inlineStr">
        <is>
          <t>uds</t>
        </is>
      </c>
      <c r="D28" s="8" t="n">
        <v>10</v>
      </c>
      <c r="E28" s="9">
        <f>IF(B28="","",IF(B28&lt;D28,"⚠️ PEDIR","OK"))</f>
        <v/>
      </c>
      <c r="F28" s="10" t="n"/>
    </row>
    <row r="29">
      <c r="A29" s="11" t="inlineStr">
        <is>
          <t>Cookies / Brownies</t>
        </is>
      </c>
      <c r="B29" s="11" t="n"/>
      <c r="C29" s="12" t="inlineStr">
        <is>
          <t>uds</t>
        </is>
      </c>
      <c r="D29" s="12" t="n">
        <v>8</v>
      </c>
      <c r="E29" s="13">
        <f>IF(B29="","",IF(B29&lt;D29,"⚠️ PEDIR","OK"))</f>
        <v/>
      </c>
      <c r="F29" s="14" t="n"/>
    </row>
    <row r="30">
      <c r="A30" s="6" t="inlineStr">
        <is>
          <t xml:space="preserve">  FRESCOS BRUNCH</t>
        </is>
      </c>
    </row>
    <row r="31">
      <c r="A31" s="11" t="inlineStr">
        <is>
          <t>Huevos</t>
        </is>
      </c>
      <c r="B31" s="11" t="n"/>
      <c r="C31" s="12" t="inlineStr">
        <is>
          <t>uds</t>
        </is>
      </c>
      <c r="D31" s="12" t="n">
        <v>30</v>
      </c>
      <c r="E31" s="13">
        <f>IF(B31="","",IF(B31&lt;D31,"⚠️ PEDIR","OK"))</f>
        <v/>
      </c>
      <c r="F31" s="14" t="n"/>
    </row>
    <row r="32">
      <c r="A32" s="7" t="inlineStr">
        <is>
          <t>Aguacate</t>
        </is>
      </c>
      <c r="B32" s="7" t="n"/>
      <c r="C32" s="8" t="inlineStr">
        <is>
          <t>uds</t>
        </is>
      </c>
      <c r="D32" s="8" t="n">
        <v>6</v>
      </c>
      <c r="E32" s="9">
        <f>IF(B32="","",IF(B32&lt;D32,"⚠️ PEDIR","OK"))</f>
        <v/>
      </c>
      <c r="F32" s="10" t="n"/>
    </row>
    <row r="33">
      <c r="A33" s="11" t="inlineStr">
        <is>
          <t>Salmón ahumado</t>
        </is>
      </c>
      <c r="B33" s="11" t="n"/>
      <c r="C33" s="12" t="inlineStr">
        <is>
          <t>g</t>
        </is>
      </c>
      <c r="D33" s="12" t="n">
        <v>300</v>
      </c>
      <c r="E33" s="13">
        <f>IF(B33="","",IF(B33&lt;D33,"⚠️ PEDIR","OK"))</f>
        <v/>
      </c>
      <c r="F33" s="14" t="n"/>
    </row>
    <row r="34">
      <c r="A34" s="7" t="inlineStr">
        <is>
          <t>Bacon</t>
        </is>
      </c>
      <c r="B34" s="7" t="n"/>
      <c r="C34" s="8" t="inlineStr">
        <is>
          <t>g</t>
        </is>
      </c>
      <c r="D34" s="8" t="n">
        <v>500</v>
      </c>
      <c r="E34" s="9">
        <f>IF(B34="","",IF(B34&lt;D34,"⚠️ PEDIR","OK"))</f>
        <v/>
      </c>
      <c r="F34" s="10" t="n"/>
    </row>
    <row r="35">
      <c r="A35" s="11" t="inlineStr">
        <is>
          <t>Mantequilla</t>
        </is>
      </c>
      <c r="B35" s="11" t="n"/>
      <c r="C35" s="12" t="inlineStr">
        <is>
          <t>g</t>
        </is>
      </c>
      <c r="D35" s="12" t="n">
        <v>250</v>
      </c>
      <c r="E35" s="13">
        <f>IF(B35="","",IF(B35&lt;D35,"⚠️ PEDIR","OK"))</f>
        <v/>
      </c>
      <c r="F35" s="14" t="n"/>
    </row>
    <row r="36">
      <c r="A36" s="7" t="inlineStr">
        <is>
          <t>Queso crema</t>
        </is>
      </c>
      <c r="B36" s="7" t="n"/>
      <c r="C36" s="8" t="inlineStr">
        <is>
          <t>g</t>
        </is>
      </c>
      <c r="D36" s="8" t="n">
        <v>250</v>
      </c>
      <c r="E36" s="9">
        <f>IF(B36="","",IF(B36&lt;D36,"⚠️ PEDIR","OK"))</f>
        <v/>
      </c>
      <c r="F36" s="10" t="n"/>
    </row>
    <row r="37">
      <c r="A37" s="11" t="inlineStr">
        <is>
          <t>Fruta fresca (plátano, fresa, arándanos)</t>
        </is>
      </c>
      <c r="B37" s="11" t="n"/>
      <c r="C37" s="12" t="inlineStr">
        <is>
          <t>kg</t>
        </is>
      </c>
      <c r="D37" s="12" t="n">
        <v>2</v>
      </c>
      <c r="E37" s="13">
        <f>IF(B37="","",IF(B37&lt;D37,"⚠️ PEDIR","OK"))</f>
        <v/>
      </c>
      <c r="F37" s="14" t="n"/>
    </row>
    <row r="38">
      <c r="A38" s="7" t="inlineStr">
        <is>
          <t>Granola</t>
        </is>
      </c>
      <c r="B38" s="7" t="n"/>
      <c r="C38" s="8" t="inlineStr">
        <is>
          <t>kg</t>
        </is>
      </c>
      <c r="D38" s="8" t="n">
        <v>0.5</v>
      </c>
      <c r="E38" s="9">
        <f>IF(B38="","",IF(B38&lt;D38,"⚠️ PEDIR","OK"))</f>
        <v/>
      </c>
      <c r="F38" s="10" t="n"/>
    </row>
    <row r="39">
      <c r="A39" s="6" t="inlineStr">
        <is>
          <t xml:space="preserve">  PACKAGING (TAKE-AWAY)</t>
        </is>
      </c>
    </row>
    <row r="40">
      <c r="A40" s="7" t="inlineStr">
        <is>
          <t>Vasos take-away (medianos)</t>
        </is>
      </c>
      <c r="B40" s="7" t="n"/>
      <c r="C40" s="8" t="inlineStr">
        <is>
          <t>uds</t>
        </is>
      </c>
      <c r="D40" s="8" t="n">
        <v>50</v>
      </c>
      <c r="E40" s="9">
        <f>IF(B40="","",IF(B40&lt;D40,"⚠️ PEDIR","OK"))</f>
        <v/>
      </c>
      <c r="F40" s="10" t="n"/>
    </row>
    <row r="41">
      <c r="A41" s="11" t="inlineStr">
        <is>
          <t>Vasos take-away (grandes)</t>
        </is>
      </c>
      <c r="B41" s="11" t="n"/>
      <c r="C41" s="12" t="inlineStr">
        <is>
          <t>uds</t>
        </is>
      </c>
      <c r="D41" s="12" t="n">
        <v>30</v>
      </c>
      <c r="E41" s="13">
        <f>IF(B41="","",IF(B41&lt;D41,"⚠️ PEDIR","OK"))</f>
        <v/>
      </c>
      <c r="F41" s="14" t="n"/>
    </row>
    <row r="42">
      <c r="A42" s="7" t="inlineStr">
        <is>
          <t>Tapas para vasos</t>
        </is>
      </c>
      <c r="B42" s="7" t="n"/>
      <c r="C42" s="8" t="inlineStr">
        <is>
          <t>uds</t>
        </is>
      </c>
      <c r="D42" s="8" t="n">
        <v>80</v>
      </c>
      <c r="E42" s="9">
        <f>IF(B42="","",IF(B42&lt;D42,"⚠️ PEDIR","OK"))</f>
        <v/>
      </c>
      <c r="F42" s="10" t="n"/>
    </row>
    <row r="43">
      <c r="A43" s="11" t="inlineStr">
        <is>
          <t>Bolsas para bollería</t>
        </is>
      </c>
      <c r="B43" s="11" t="n"/>
      <c r="C43" s="12" t="inlineStr">
        <is>
          <t>uds</t>
        </is>
      </c>
      <c r="D43" s="12" t="n">
        <v>30</v>
      </c>
      <c r="E43" s="13">
        <f>IF(B43="","",IF(B43&lt;D43,"⚠️ PEDIR","OK"))</f>
        <v/>
      </c>
      <c r="F43" s="14" t="n"/>
    </row>
    <row r="44">
      <c r="A44" s="7" t="inlineStr">
        <is>
          <t>Servilletas</t>
        </is>
      </c>
      <c r="B44" s="7" t="n"/>
      <c r="C44" s="8" t="inlineStr">
        <is>
          <t>uds</t>
        </is>
      </c>
      <c r="D44" s="8" t="n">
        <v>100</v>
      </c>
      <c r="E44" s="9">
        <f>IF(B44="","",IF(B44&lt;D44,"⚠️ PEDIR","OK"))</f>
        <v/>
      </c>
      <c r="F44" s="10" t="n"/>
    </row>
    <row r="45"/>
    <row r="46">
      <c r="A46" s="4" t="inlineStr">
        <is>
          <t>Firma responsable: _________________________    Hora: _________</t>
        </is>
      </c>
    </row>
    <row r="47"/>
    <row r="48">
      <c r="A48" s="15" t="inlineStr">
        <is>
          <t>— Kit de Tareas Recurrentes: Cafetería / Brunch · AI Chef Pro · aichef.pro —</t>
        </is>
      </c>
    </row>
  </sheetData>
  <mergeCells count="10">
    <mergeCell ref="A16:F16"/>
    <mergeCell ref="A2:F2"/>
    <mergeCell ref="A46:F46"/>
    <mergeCell ref="A5:F5"/>
    <mergeCell ref="A23:F23"/>
    <mergeCell ref="A9:F9"/>
    <mergeCell ref="A1:F1"/>
    <mergeCell ref="A48:F48"/>
    <mergeCell ref="A30:F30"/>
    <mergeCell ref="A39:F39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F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12" customWidth="1" min="5" max="5"/>
    <col width="20" customWidth="1" min="6" max="6"/>
  </cols>
  <sheetData>
    <row r="1" ht="30" customHeight="1">
      <c r="A1" s="1" t="inlineStr">
        <is>
          <t>Inventario Semanal de Almacén — Conteo por Rubros</t>
        </is>
      </c>
    </row>
    <row r="2">
      <c r="A2" s="4" t="inlineStr">
        <is>
          <t>Semana del ___/___/______ al ___/___/______    Responsable: ________________</t>
        </is>
      </c>
    </row>
    <row r="3"/>
    <row r="4">
      <c r="A4" s="5" t="inlineStr">
        <is>
          <t>Producto / Rubro</t>
        </is>
      </c>
      <c r="B4" s="5" t="inlineStr">
        <is>
          <t>Stock</t>
        </is>
      </c>
      <c r="C4" s="5" t="inlineStr">
        <is>
          <t>Unidad</t>
        </is>
      </c>
      <c r="D4" s="5" t="inlineStr">
        <is>
          <t>Coste unit.</t>
        </is>
      </c>
      <c r="E4" s="5" t="inlineStr">
        <is>
          <t>Valor total</t>
        </is>
      </c>
      <c r="F4" s="5" t="inlineStr">
        <is>
          <t>Pedido necesario</t>
        </is>
      </c>
    </row>
    <row r="5">
      <c r="A5" s="6" t="inlineStr">
        <is>
          <t xml:space="preserve">  CAFÉ Y TÉ</t>
        </is>
      </c>
    </row>
    <row r="6">
      <c r="A6" s="7" t="inlineStr">
        <is>
          <t>Café blend principal (bolsas 1kg)</t>
        </is>
      </c>
      <c r="B6" s="10" t="n"/>
      <c r="C6" s="8" t="inlineStr">
        <is>
          <t>kg</t>
        </is>
      </c>
      <c r="D6" s="16" t="n"/>
      <c r="E6" s="17">
        <f>IF(B6="","",B6*D6)</f>
        <v/>
      </c>
      <c r="F6" s="10" t="n"/>
    </row>
    <row r="7">
      <c r="A7" s="11" t="inlineStr">
        <is>
          <t>Café origen/especialidad</t>
        </is>
      </c>
      <c r="B7" s="14" t="n"/>
      <c r="C7" s="12" t="inlineStr">
        <is>
          <t>kg</t>
        </is>
      </c>
      <c r="D7" s="18" t="n"/>
      <c r="E7" s="19">
        <f>IF(B7="","",B7*D7)</f>
        <v/>
      </c>
      <c r="F7" s="14" t="n"/>
    </row>
    <row r="8">
      <c r="A8" s="7" t="inlineStr">
        <is>
          <t>Café descafeinado</t>
        </is>
      </c>
      <c r="B8" s="10" t="n"/>
      <c r="C8" s="8" t="inlineStr">
        <is>
          <t>kg</t>
        </is>
      </c>
      <c r="D8" s="16" t="n"/>
      <c r="E8" s="17">
        <f>IF(B8="","",B8*D8)</f>
        <v/>
      </c>
      <c r="F8" s="10" t="n"/>
    </row>
    <row r="9">
      <c r="A9" s="11" t="inlineStr">
        <is>
          <t>Té surtido (cajas)</t>
        </is>
      </c>
      <c r="B9" s="14" t="n"/>
      <c r="C9" s="12" t="inlineStr">
        <is>
          <t>uds</t>
        </is>
      </c>
      <c r="D9" s="18" t="n"/>
      <c r="E9" s="19">
        <f>IF(B9="","",B9*D9)</f>
        <v/>
      </c>
      <c r="F9" s="14" t="n"/>
    </row>
    <row r="10">
      <c r="A10" s="7" t="inlineStr">
        <is>
          <t>Matcha</t>
        </is>
      </c>
      <c r="B10" s="10" t="n"/>
      <c r="C10" s="8" t="inlineStr">
        <is>
          <t>g</t>
        </is>
      </c>
      <c r="D10" s="16" t="n"/>
      <c r="E10" s="17">
        <f>IF(B10="","",B10*D10)</f>
        <v/>
      </c>
      <c r="F10" s="10" t="n"/>
    </row>
    <row r="11">
      <c r="A11" s="6" t="inlineStr">
        <is>
          <t xml:space="preserve">  LÁCTEOS Y LECHES</t>
        </is>
      </c>
    </row>
    <row r="12">
      <c r="A12" s="7" t="inlineStr">
        <is>
          <t>Leche entera (briks/botellas)</t>
        </is>
      </c>
      <c r="B12" s="10" t="n"/>
      <c r="C12" s="8" t="inlineStr">
        <is>
          <t>L</t>
        </is>
      </c>
      <c r="D12" s="16" t="n"/>
      <c r="E12" s="17">
        <f>IF(B12="","",B12*D12)</f>
        <v/>
      </c>
      <c r="F12" s="10" t="n"/>
    </row>
    <row r="13">
      <c r="A13" s="11" t="inlineStr">
        <is>
          <t>Leche desnatada</t>
        </is>
      </c>
      <c r="B13" s="14" t="n"/>
      <c r="C13" s="12" t="inlineStr">
        <is>
          <t>L</t>
        </is>
      </c>
      <c r="D13" s="18" t="n"/>
      <c r="E13" s="19">
        <f>IF(B13="","",B13*D13)</f>
        <v/>
      </c>
      <c r="F13" s="14" t="n"/>
    </row>
    <row r="14">
      <c r="A14" s="7" t="inlineStr">
        <is>
          <t>Leche de avena</t>
        </is>
      </c>
      <c r="B14" s="10" t="n"/>
      <c r="C14" s="8" t="inlineStr">
        <is>
          <t>L</t>
        </is>
      </c>
      <c r="D14" s="16" t="n"/>
      <c r="E14" s="17">
        <f>IF(B14="","",B14*D14)</f>
        <v/>
      </c>
      <c r="F14" s="10" t="n"/>
    </row>
    <row r="15">
      <c r="A15" s="11" t="inlineStr">
        <is>
          <t>Leche de soja</t>
        </is>
      </c>
      <c r="B15" s="14" t="n"/>
      <c r="C15" s="12" t="inlineStr">
        <is>
          <t>L</t>
        </is>
      </c>
      <c r="D15" s="18" t="n"/>
      <c r="E15" s="19">
        <f>IF(B15="","",B15*D15)</f>
        <v/>
      </c>
      <c r="F15" s="14" t="n"/>
    </row>
    <row r="16">
      <c r="A16" s="7" t="inlineStr">
        <is>
          <t>Leche de almendra</t>
        </is>
      </c>
      <c r="B16" s="10" t="n"/>
      <c r="C16" s="8" t="inlineStr">
        <is>
          <t>L</t>
        </is>
      </c>
      <c r="D16" s="16" t="n"/>
      <c r="E16" s="17">
        <f>IF(B16="","",B16*D16)</f>
        <v/>
      </c>
      <c r="F16" s="10" t="n"/>
    </row>
    <row r="17">
      <c r="A17" s="11" t="inlineStr">
        <is>
          <t>Nata para montar</t>
        </is>
      </c>
      <c r="B17" s="14" t="n"/>
      <c r="C17" s="12" t="inlineStr">
        <is>
          <t>L</t>
        </is>
      </c>
      <c r="D17" s="18" t="n"/>
      <c r="E17" s="19">
        <f>IF(B17="","",B17*D17)</f>
        <v/>
      </c>
      <c r="F17" s="14" t="n"/>
    </row>
    <row r="18">
      <c r="A18" s="7" t="inlineStr">
        <is>
          <t>Mantequilla</t>
        </is>
      </c>
      <c r="B18" s="10" t="n"/>
      <c r="C18" s="8" t="inlineStr">
        <is>
          <t>kg</t>
        </is>
      </c>
      <c r="D18" s="16" t="n"/>
      <c r="E18" s="17">
        <f>IF(B18="","",B18*D18)</f>
        <v/>
      </c>
      <c r="F18" s="10" t="n"/>
    </row>
    <row r="19">
      <c r="A19" s="11" t="inlineStr">
        <is>
          <t>Queso crema</t>
        </is>
      </c>
      <c r="B19" s="14" t="n"/>
      <c r="C19" s="12" t="inlineStr">
        <is>
          <t>kg</t>
        </is>
      </c>
      <c r="D19" s="18" t="n"/>
      <c r="E19" s="19">
        <f>IF(B19="","",B19*D19)</f>
        <v/>
      </c>
      <c r="F19" s="14" t="n"/>
    </row>
    <row r="20">
      <c r="A20" s="6" t="inlineStr">
        <is>
          <t xml:space="preserve">  PANADERÍA / BOLLERÍA</t>
        </is>
      </c>
    </row>
    <row r="21">
      <c r="A21" s="11" t="inlineStr">
        <is>
          <t>Pan sourdough (hogazas)</t>
        </is>
      </c>
      <c r="B21" s="14" t="n"/>
      <c r="C21" s="12" t="inlineStr">
        <is>
          <t>uds</t>
        </is>
      </c>
      <c r="D21" s="18" t="n"/>
      <c r="E21" s="19">
        <f>IF(B21="","",B21*D21)</f>
        <v/>
      </c>
      <c r="F21" s="14" t="n"/>
    </row>
    <row r="22">
      <c r="A22" s="7" t="inlineStr">
        <is>
          <t>Pan brioche (piezas)</t>
        </is>
      </c>
      <c r="B22" s="10" t="n"/>
      <c r="C22" s="8" t="inlineStr">
        <is>
          <t>uds</t>
        </is>
      </c>
      <c r="D22" s="16" t="n"/>
      <c r="E22" s="17">
        <f>IF(B22="","",B22*D22)</f>
        <v/>
      </c>
      <c r="F22" s="10" t="n"/>
    </row>
    <row r="23">
      <c r="A23" s="11" t="inlineStr">
        <is>
          <t>Croissants (congelados o frescos)</t>
        </is>
      </c>
      <c r="B23" s="14" t="n"/>
      <c r="C23" s="12" t="inlineStr">
        <is>
          <t>uds</t>
        </is>
      </c>
      <c r="D23" s="18" t="n"/>
      <c r="E23" s="19">
        <f>IF(B23="","",B23*D23)</f>
        <v/>
      </c>
      <c r="F23" s="14" t="n"/>
    </row>
    <row r="24">
      <c r="A24" s="7" t="inlineStr">
        <is>
          <t>Masa de muffins / bollería</t>
        </is>
      </c>
      <c r="B24" s="10" t="n"/>
      <c r="C24" s="8" t="inlineStr">
        <is>
          <t>kg</t>
        </is>
      </c>
      <c r="D24" s="16" t="n"/>
      <c r="E24" s="17">
        <f>IF(B24="","",B24*D24)</f>
        <v/>
      </c>
      <c r="F24" s="10" t="n"/>
    </row>
    <row r="25">
      <c r="A25" s="11" t="inlineStr">
        <is>
          <t>Harina, azúcar, levadura (producción propia)</t>
        </is>
      </c>
      <c r="B25" s="14" t="n"/>
      <c r="C25" s="12" t="inlineStr">
        <is>
          <t>kg</t>
        </is>
      </c>
      <c r="D25" s="18" t="n"/>
      <c r="E25" s="19">
        <f>IF(B25="","",B25*D25)</f>
        <v/>
      </c>
      <c r="F25" s="14" t="n"/>
    </row>
    <row r="26">
      <c r="A26" s="6" t="inlineStr">
        <is>
          <t xml:space="preserve">  FRESCOS</t>
        </is>
      </c>
    </row>
    <row r="27">
      <c r="A27" s="11" t="inlineStr">
        <is>
          <t>Huevos (docenas)</t>
        </is>
      </c>
      <c r="B27" s="14" t="n"/>
      <c r="C27" s="12" t="inlineStr">
        <is>
          <t>doc</t>
        </is>
      </c>
      <c r="D27" s="18" t="n"/>
      <c r="E27" s="19">
        <f>IF(B27="","",B27*D27)</f>
        <v/>
      </c>
      <c r="F27" s="14" t="n"/>
    </row>
    <row r="28">
      <c r="A28" s="7" t="inlineStr">
        <is>
          <t>Aguacate</t>
        </is>
      </c>
      <c r="B28" s="10" t="n"/>
      <c r="C28" s="8" t="inlineStr">
        <is>
          <t>uds</t>
        </is>
      </c>
      <c r="D28" s="16" t="n"/>
      <c r="E28" s="17">
        <f>IF(B28="","",B28*D28)</f>
        <v/>
      </c>
      <c r="F28" s="10" t="n"/>
    </row>
    <row r="29">
      <c r="A29" s="11" t="inlineStr">
        <is>
          <t>Salmón ahumado</t>
        </is>
      </c>
      <c r="B29" s="14" t="n"/>
      <c r="C29" s="12" t="inlineStr">
        <is>
          <t>kg</t>
        </is>
      </c>
      <c r="D29" s="18" t="n"/>
      <c r="E29" s="19">
        <f>IF(B29="","",B29*D29)</f>
        <v/>
      </c>
      <c r="F29" s="14" t="n"/>
    </row>
    <row r="30">
      <c r="A30" s="7" t="inlineStr">
        <is>
          <t>Bacon</t>
        </is>
      </c>
      <c r="B30" s="10" t="n"/>
      <c r="C30" s="8" t="inlineStr">
        <is>
          <t>kg</t>
        </is>
      </c>
      <c r="D30" s="16" t="n"/>
      <c r="E30" s="17">
        <f>IF(B30="","",B30*D30)</f>
        <v/>
      </c>
      <c r="F30" s="10" t="n"/>
    </row>
    <row r="31">
      <c r="A31" s="11" t="inlineStr">
        <is>
          <t>Fruta fresca variada</t>
        </is>
      </c>
      <c r="B31" s="14" t="n"/>
      <c r="C31" s="12" t="inlineStr">
        <is>
          <t>kg</t>
        </is>
      </c>
      <c r="D31" s="18" t="n"/>
      <c r="E31" s="19">
        <f>IF(B31="","",B31*D31)</f>
        <v/>
      </c>
      <c r="F31" s="14" t="n"/>
    </row>
    <row r="32">
      <c r="A32" s="7" t="inlineStr">
        <is>
          <t>Granola</t>
        </is>
      </c>
      <c r="B32" s="10" t="n"/>
      <c r="C32" s="8" t="inlineStr">
        <is>
          <t>kg</t>
        </is>
      </c>
      <c r="D32" s="16" t="n"/>
      <c r="E32" s="17">
        <f>IF(B32="","",B32*D32)</f>
        <v/>
      </c>
      <c r="F32" s="10" t="n"/>
    </row>
    <row r="33">
      <c r="A33" s="11" t="inlineStr">
        <is>
          <t>Yogur natural</t>
        </is>
      </c>
      <c r="B33" s="14" t="n"/>
      <c r="C33" s="12" t="inlineStr">
        <is>
          <t>L</t>
        </is>
      </c>
      <c r="D33" s="18" t="n"/>
      <c r="E33" s="19">
        <f>IF(B33="","",B33*D33)</f>
        <v/>
      </c>
      <c r="F33" s="14" t="n"/>
    </row>
    <row r="34">
      <c r="A34" s="6" t="inlineStr">
        <is>
          <t xml:space="preserve">  SECOS Y SIROPES</t>
        </is>
      </c>
    </row>
    <row r="35">
      <c r="A35" s="11" t="inlineStr">
        <is>
          <t>Cacao en polvo</t>
        </is>
      </c>
      <c r="B35" s="14" t="n"/>
      <c r="C35" s="12" t="inlineStr">
        <is>
          <t>kg</t>
        </is>
      </c>
      <c r="D35" s="18" t="n"/>
      <c r="E35" s="19">
        <f>IF(B35="","",B35*D35)</f>
        <v/>
      </c>
      <c r="F35" s="14" t="n"/>
    </row>
    <row r="36">
      <c r="A36" s="7" t="inlineStr">
        <is>
          <t>Siropes (vainilla, caramelo, avellana)</t>
        </is>
      </c>
      <c r="B36" s="10" t="n"/>
      <c r="C36" s="8" t="inlineStr">
        <is>
          <t>L</t>
        </is>
      </c>
      <c r="D36" s="16" t="n"/>
      <c r="E36" s="17">
        <f>IF(B36="","",B36*D36)</f>
        <v/>
      </c>
      <c r="F36" s="10" t="n"/>
    </row>
    <row r="37">
      <c r="A37" s="11" t="inlineStr">
        <is>
          <t>Azúcar blanco</t>
        </is>
      </c>
      <c r="B37" s="14" t="n"/>
      <c r="C37" s="12" t="inlineStr">
        <is>
          <t>kg</t>
        </is>
      </c>
      <c r="D37" s="18" t="n"/>
      <c r="E37" s="19">
        <f>IF(B37="","",B37*D37)</f>
        <v/>
      </c>
      <c r="F37" s="14" t="n"/>
    </row>
    <row r="38">
      <c r="A38" s="7" t="inlineStr">
        <is>
          <t>Azúcar moreno</t>
        </is>
      </c>
      <c r="B38" s="10" t="n"/>
      <c r="C38" s="8" t="inlineStr">
        <is>
          <t>kg</t>
        </is>
      </c>
      <c r="D38" s="16" t="n"/>
      <c r="E38" s="17">
        <f>IF(B38="","",B38*D38)</f>
        <v/>
      </c>
      <c r="F38" s="10" t="n"/>
    </row>
    <row r="39">
      <c r="A39" s="11" t="inlineStr">
        <is>
          <t>Sacarina/estevia</t>
        </is>
      </c>
      <c r="B39" s="14" t="n"/>
      <c r="C39" s="12" t="inlineStr">
        <is>
          <t>uds</t>
        </is>
      </c>
      <c r="D39" s="18" t="n"/>
      <c r="E39" s="19">
        <f>IF(B39="","",B39*D39)</f>
        <v/>
      </c>
      <c r="F39" s="14" t="n"/>
    </row>
    <row r="40">
      <c r="A40" s="7" t="inlineStr">
        <is>
          <t>Miel</t>
        </is>
      </c>
      <c r="B40" s="10" t="n"/>
      <c r="C40" s="8" t="inlineStr">
        <is>
          <t>kg</t>
        </is>
      </c>
      <c r="D40" s="16" t="n"/>
      <c r="E40" s="17">
        <f>IF(B40="","",B40*D40)</f>
        <v/>
      </c>
      <c r="F40" s="10" t="n"/>
    </row>
    <row r="41">
      <c r="A41" s="6" t="inlineStr">
        <is>
          <t xml:space="preserve">  PACKAGING Y DESECHABLES</t>
        </is>
      </c>
    </row>
    <row r="42">
      <c r="A42" s="7" t="inlineStr">
        <is>
          <t>Vasos take-away medianos</t>
        </is>
      </c>
      <c r="B42" s="10" t="n"/>
      <c r="C42" s="8" t="inlineStr">
        <is>
          <t>uds</t>
        </is>
      </c>
      <c r="D42" s="16" t="n"/>
      <c r="E42" s="17">
        <f>IF(B42="","",B42*D42)</f>
        <v/>
      </c>
      <c r="F42" s="10" t="n"/>
    </row>
    <row r="43">
      <c r="A43" s="11" t="inlineStr">
        <is>
          <t>Vasos take-away grandes</t>
        </is>
      </c>
      <c r="B43" s="14" t="n"/>
      <c r="C43" s="12" t="inlineStr">
        <is>
          <t>uds</t>
        </is>
      </c>
      <c r="D43" s="18" t="n"/>
      <c r="E43" s="19">
        <f>IF(B43="","",B43*D43)</f>
        <v/>
      </c>
      <c r="F43" s="14" t="n"/>
    </row>
    <row r="44">
      <c r="A44" s="7" t="inlineStr">
        <is>
          <t>Tapas para vasos</t>
        </is>
      </c>
      <c r="B44" s="10" t="n"/>
      <c r="C44" s="8" t="inlineStr">
        <is>
          <t>uds</t>
        </is>
      </c>
      <c r="D44" s="16" t="n"/>
      <c r="E44" s="17">
        <f>IF(B44="","",B44*D44)</f>
        <v/>
      </c>
      <c r="F44" s="10" t="n"/>
    </row>
    <row r="45">
      <c r="A45" s="11" t="inlineStr">
        <is>
          <t>Bolsas papel bollería</t>
        </is>
      </c>
      <c r="B45" s="14" t="n"/>
      <c r="C45" s="12" t="inlineStr">
        <is>
          <t>uds</t>
        </is>
      </c>
      <c r="D45" s="18" t="n"/>
      <c r="E45" s="19">
        <f>IF(B45="","",B45*D45)</f>
        <v/>
      </c>
      <c r="F45" s="14" t="n"/>
    </row>
    <row r="46">
      <c r="A46" s="7" t="inlineStr">
        <is>
          <t>Servilletas</t>
        </is>
      </c>
      <c r="B46" s="10" t="n"/>
      <c r="C46" s="8" t="inlineStr">
        <is>
          <t>uds</t>
        </is>
      </c>
      <c r="D46" s="16" t="n"/>
      <c r="E46" s="17">
        <f>IF(B46="","",B46*D46)</f>
        <v/>
      </c>
      <c r="F46" s="10" t="n"/>
    </row>
    <row r="47">
      <c r="A47" s="11" t="inlineStr">
        <is>
          <t>Pajitas de papel</t>
        </is>
      </c>
      <c r="B47" s="14" t="n"/>
      <c r="C47" s="12" t="inlineStr">
        <is>
          <t>uds</t>
        </is>
      </c>
      <c r="D47" s="18" t="n"/>
      <c r="E47" s="19">
        <f>IF(B47="","",B47*D47)</f>
        <v/>
      </c>
      <c r="F47" s="14" t="n"/>
    </row>
    <row r="48">
      <c r="A48" s="6" t="inlineStr">
        <is>
          <t xml:space="preserve">  LIMPIEZA</t>
        </is>
      </c>
    </row>
    <row r="49">
      <c r="A49" s="11" t="inlineStr">
        <is>
          <t>Detergente lavavajillas</t>
        </is>
      </c>
      <c r="B49" s="14" t="n"/>
      <c r="C49" s="12" t="inlineStr">
        <is>
          <t>L</t>
        </is>
      </c>
      <c r="D49" s="18" t="n"/>
      <c r="E49" s="19">
        <f>IF(B49="","",B49*D49)</f>
        <v/>
      </c>
      <c r="F49" s="14" t="n"/>
    </row>
    <row r="50">
      <c r="A50" s="7" t="inlineStr">
        <is>
          <t>Desinfectante superficies</t>
        </is>
      </c>
      <c r="B50" s="10" t="n"/>
      <c r="C50" s="8" t="inlineStr">
        <is>
          <t>L</t>
        </is>
      </c>
      <c r="D50" s="16" t="n"/>
      <c r="E50" s="17">
        <f>IF(B50="","",B50*D50)</f>
        <v/>
      </c>
      <c r="F50" s="10" t="n"/>
    </row>
    <row r="51">
      <c r="A51" s="11" t="inlineStr">
        <is>
          <t>Pastillas backflush espresso</t>
        </is>
      </c>
      <c r="B51" s="14" t="n"/>
      <c r="C51" s="12" t="inlineStr">
        <is>
          <t>uds</t>
        </is>
      </c>
      <c r="D51" s="18" t="n"/>
      <c r="E51" s="19">
        <f>IF(B51="","",B51*D51)</f>
        <v/>
      </c>
      <c r="F51" s="14" t="n"/>
    </row>
    <row r="52">
      <c r="A52" s="7" t="inlineStr">
        <is>
          <t>Descalcificador máquina</t>
        </is>
      </c>
      <c r="B52" s="10" t="n"/>
      <c r="C52" s="8" t="inlineStr">
        <is>
          <t>L</t>
        </is>
      </c>
      <c r="D52" s="16" t="n"/>
      <c r="E52" s="17">
        <f>IF(B52="","",B52*D52)</f>
        <v/>
      </c>
      <c r="F52" s="10" t="n"/>
    </row>
    <row r="53">
      <c r="A53" s="11" t="inlineStr">
        <is>
          <t>Jabón de manos</t>
        </is>
      </c>
      <c r="B53" s="14" t="n"/>
      <c r="C53" s="12" t="inlineStr">
        <is>
          <t>L</t>
        </is>
      </c>
      <c r="D53" s="18" t="n"/>
      <c r="E53" s="19">
        <f>IF(B53="","",B53*D53)</f>
        <v/>
      </c>
      <c r="F53" s="14" t="n"/>
    </row>
    <row r="54">
      <c r="A54" s="7" t="inlineStr">
        <is>
          <t>Papel higiénico y secamanos</t>
        </is>
      </c>
      <c r="B54" s="10" t="n"/>
      <c r="C54" s="8" t="inlineStr">
        <is>
          <t>uds</t>
        </is>
      </c>
      <c r="D54" s="16" t="n"/>
      <c r="E54" s="17">
        <f>IF(B54="","",B54*D54)</f>
        <v/>
      </c>
      <c r="F54" s="10" t="n"/>
    </row>
    <row r="55"/>
    <row r="56">
      <c r="D56" s="20" t="inlineStr">
        <is>
          <t>TOTAL:</t>
        </is>
      </c>
      <c r="E56" s="21">
        <f>SUM(E5:E54)</f>
        <v>0.0</v>
      </c>
    </row>
    <row r="57"/>
    <row r="58">
      <c r="A58" s="15" t="inlineStr">
        <is>
          <t>— Kit de Tareas Recurrentes: Cafetería / Brunch · AI Chef Pro · aichef.pro —</t>
        </is>
      </c>
    </row>
  </sheetData>
  <mergeCells count="10">
    <mergeCell ref="A41:F41"/>
    <mergeCell ref="A2:F2"/>
    <mergeCell ref="A11:F11"/>
    <mergeCell ref="A1:F1"/>
    <mergeCell ref="A5:F5"/>
    <mergeCell ref="A58:F58"/>
    <mergeCell ref="A34:F34"/>
    <mergeCell ref="A48:F48"/>
    <mergeCell ref="A26:F26"/>
    <mergeCell ref="A20:F20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22" t="inlineStr">
        <is>
          <t>Limpieza Profunda Semanal</t>
        </is>
      </c>
    </row>
    <row r="2">
      <c r="A2" s="23" t="inlineStr">
        <is>
          <t>Semana del ___/___/______ al ___/___/______    Responsable: _________________________</t>
        </is>
      </c>
    </row>
    <row r="3"/>
    <row r="4">
      <c r="A4" s="24" t="inlineStr">
        <is>
          <t>Nº</t>
        </is>
      </c>
      <c r="B4" s="24" t="inlineStr">
        <is>
          <t>Tarea</t>
        </is>
      </c>
      <c r="C4" s="24" t="inlineStr">
        <is>
          <t>Zona</t>
        </is>
      </c>
      <c r="D4" s="24" t="inlineStr">
        <is>
          <t>Responsable</t>
        </is>
      </c>
      <c r="E4" s="24" t="inlineStr">
        <is>
          <t>Día</t>
        </is>
      </c>
      <c r="F4" s="24" t="inlineStr">
        <is>
          <t>✓ Completada</t>
        </is>
      </c>
      <c r="G4" s="24" t="inlineStr">
        <is>
          <t>Firma</t>
        </is>
      </c>
    </row>
    <row r="5">
      <c r="A5" s="34" t="inlineStr">
        <is>
          <t xml:space="preserve">  COCINA</t>
        </is>
      </c>
      <c r="B5" s="35" t="n"/>
      <c r="C5" s="35" t="n"/>
      <c r="D5" s="35" t="n"/>
      <c r="E5" s="35" t="n"/>
      <c r="F5" s="35" t="n"/>
      <c r="G5" s="35" t="n"/>
    </row>
    <row r="6">
      <c r="A6" s="36" t="n">
        <v>1</v>
      </c>
      <c r="B6" s="37" t="inlineStr">
        <is>
          <t>Limpiar interior de cámaras frigoríficas</t>
        </is>
      </c>
      <c r="C6" s="38" t="inlineStr">
        <is>
          <t>Cocina</t>
        </is>
      </c>
      <c r="D6" s="38" t="inlineStr">
        <is>
          <t>Auxiliar</t>
        </is>
      </c>
      <c r="E6" s="38" t="inlineStr">
        <is>
          <t>Lunes</t>
        </is>
      </c>
      <c r="F6" s="39" t="n"/>
      <c r="G6" s="39" t="n"/>
    </row>
    <row r="7">
      <c r="A7" s="40" t="n">
        <v>2</v>
      </c>
      <c r="B7" s="41" t="inlineStr">
        <is>
          <t>Desmontar y limpiar campana extractora</t>
        </is>
      </c>
      <c r="C7" s="38" t="inlineStr">
        <is>
          <t>Cocina</t>
        </is>
      </c>
      <c r="D7" s="38" t="inlineStr">
        <is>
          <t>Auxiliar</t>
        </is>
      </c>
      <c r="E7" s="38" t="inlineStr">
        <is>
          <t>Lunes</t>
        </is>
      </c>
      <c r="F7" s="39" t="n"/>
      <c r="G7" s="39" t="n"/>
    </row>
    <row r="8">
      <c r="A8" s="36" t="n">
        <v>3</v>
      </c>
      <c r="B8" s="37" t="inlineStr">
        <is>
          <t>Limpiar interior de horno a fondo</t>
        </is>
      </c>
      <c r="C8" s="38" t="inlineStr">
        <is>
          <t>Cocina</t>
        </is>
      </c>
      <c r="D8" s="38" t="inlineStr">
        <is>
          <t>Auxiliar</t>
        </is>
      </c>
      <c r="E8" s="38" t="inlineStr">
        <is>
          <t>Lunes</t>
        </is>
      </c>
      <c r="F8" s="39" t="n"/>
      <c r="G8" s="39" t="n"/>
    </row>
    <row r="9">
      <c r="A9" s="40" t="n">
        <v>4</v>
      </c>
      <c r="B9" s="41" t="inlineStr">
        <is>
          <t>Limpiar detrás y debajo de equipos</t>
        </is>
      </c>
      <c r="C9" s="38" t="inlineStr">
        <is>
          <t>Cocina</t>
        </is>
      </c>
      <c r="D9" s="38" t="inlineStr">
        <is>
          <t>Auxiliar</t>
        </is>
      </c>
      <c r="E9" s="38" t="inlineStr">
        <is>
          <t>Lunes</t>
        </is>
      </c>
      <c r="F9" s="39" t="n"/>
      <c r="G9" s="39" t="n"/>
    </row>
    <row r="10">
      <c r="A10" s="36" t="n">
        <v>5</v>
      </c>
      <c r="B10" s="37" t="inlineStr">
        <is>
          <t>Desinfectar tablas de corte (sumergir en lejía)</t>
        </is>
      </c>
      <c r="C10" s="38" t="inlineStr">
        <is>
          <t>Cocina</t>
        </is>
      </c>
      <c r="D10" s="38" t="inlineStr">
        <is>
          <t>Auxiliar</t>
        </is>
      </c>
      <c r="E10" s="38" t="inlineStr">
        <is>
          <t>Lunes</t>
        </is>
      </c>
      <c r="F10" s="39" t="n"/>
      <c r="G10" s="39" t="n"/>
    </row>
    <row r="11">
      <c r="A11" s="40" t="n">
        <v>6</v>
      </c>
      <c r="B11" s="41" t="inlineStr">
        <is>
          <t>Limpiar estanterías de almacén</t>
        </is>
      </c>
      <c r="C11" s="38" t="inlineStr">
        <is>
          <t>Almacén</t>
        </is>
      </c>
      <c r="D11" s="38" t="inlineStr">
        <is>
          <t>Auxiliar</t>
        </is>
      </c>
      <c r="E11" s="38" t="inlineStr">
        <is>
          <t>Lunes</t>
        </is>
      </c>
      <c r="F11" s="39" t="n"/>
      <c r="G11" s="39" t="n"/>
    </row>
    <row r="12">
      <c r="A12" s="34" t="inlineStr">
        <is>
          <t xml:space="preserve">  BARRA</t>
        </is>
      </c>
      <c r="B12" s="35" t="n"/>
      <c r="C12" s="35" t="n"/>
      <c r="D12" s="35" t="n"/>
      <c r="E12" s="35" t="n"/>
      <c r="F12" s="35" t="n"/>
      <c r="G12" s="35" t="n"/>
    </row>
    <row r="13">
      <c r="A13" s="40" t="n">
        <v>7</v>
      </c>
      <c r="B13" s="41" t="inlineStr">
        <is>
          <t>Limpiar interior de vitrina a fondo</t>
        </is>
      </c>
      <c r="C13" s="38" t="inlineStr">
        <is>
          <t>Barra</t>
        </is>
      </c>
      <c r="D13" s="38" t="inlineStr">
        <is>
          <t>Barista</t>
        </is>
      </c>
      <c r="E13" s="38" t="inlineStr">
        <is>
          <t>Lunes</t>
        </is>
      </c>
      <c r="F13" s="39" t="n"/>
      <c r="G13" s="39" t="n"/>
    </row>
    <row r="14">
      <c r="A14" s="36" t="n">
        <v>8</v>
      </c>
      <c r="B14" s="37" t="inlineStr">
        <is>
          <t>Limpiar grupo de espresso con cepillo especial</t>
        </is>
      </c>
      <c r="C14" s="38" t="inlineStr">
        <is>
          <t>Barra</t>
        </is>
      </c>
      <c r="D14" s="38" t="inlineStr">
        <is>
          <t>Barista</t>
        </is>
      </c>
      <c r="E14" s="38" t="inlineStr">
        <is>
          <t>Lunes</t>
        </is>
      </c>
      <c r="F14" s="39" t="n"/>
      <c r="G14" s="39" t="n"/>
    </row>
    <row r="15">
      <c r="A15" s="40" t="n">
        <v>9</v>
      </c>
      <c r="B15" s="41" t="inlineStr">
        <is>
          <t>Limpiar molinillo interior (sin agua)</t>
        </is>
      </c>
      <c r="C15" s="38" t="inlineStr">
        <is>
          <t>Barra</t>
        </is>
      </c>
      <c r="D15" s="38" t="inlineStr">
        <is>
          <t>Barista</t>
        </is>
      </c>
      <c r="E15" s="38" t="inlineStr">
        <is>
          <t>Lunes</t>
        </is>
      </c>
      <c r="F15" s="39" t="n"/>
      <c r="G15" s="39" t="n"/>
    </row>
    <row r="16">
      <c r="A16" s="36" t="n">
        <v>10</v>
      </c>
      <c r="B16" s="37" t="inlineStr">
        <is>
          <t>Limpiar nevera de barra interior</t>
        </is>
      </c>
      <c r="C16" s="38" t="inlineStr">
        <is>
          <t>Barra</t>
        </is>
      </c>
      <c r="D16" s="38" t="inlineStr">
        <is>
          <t>Barista</t>
        </is>
      </c>
      <c r="E16" s="38" t="inlineStr">
        <is>
          <t>Lunes</t>
        </is>
      </c>
      <c r="F16" s="39" t="n"/>
      <c r="G16" s="39" t="n"/>
    </row>
    <row r="17">
      <c r="A17" s="40" t="n">
        <v>11</v>
      </c>
      <c r="B17" s="41" t="inlineStr">
        <is>
          <t>Desinfectar superficie de barra completa</t>
        </is>
      </c>
      <c r="C17" s="38" t="inlineStr">
        <is>
          <t>Barra</t>
        </is>
      </c>
      <c r="D17" s="38" t="inlineStr">
        <is>
          <t>Auxiliar</t>
        </is>
      </c>
      <c r="E17" s="38" t="inlineStr">
        <is>
          <t>Lunes</t>
        </is>
      </c>
      <c r="F17" s="39" t="n"/>
      <c r="G17" s="39" t="n"/>
    </row>
    <row r="18">
      <c r="A18" s="34" t="inlineStr">
        <is>
          <t xml:space="preserve">  SALA Y BAÑOS</t>
        </is>
      </c>
      <c r="B18" s="35" t="n"/>
      <c r="C18" s="35" t="n"/>
      <c r="D18" s="35" t="n"/>
      <c r="E18" s="35" t="n"/>
      <c r="F18" s="35" t="n"/>
      <c r="G18" s="35" t="n"/>
    </row>
    <row r="19">
      <c r="A19" s="40" t="n">
        <v>12</v>
      </c>
      <c r="B19" s="41" t="inlineStr">
        <is>
          <t>Limpiar cristales interiores y exteriores</t>
        </is>
      </c>
      <c r="C19" s="38" t="inlineStr">
        <is>
          <t>Sala</t>
        </is>
      </c>
      <c r="D19" s="38" t="inlineStr">
        <is>
          <t>Auxiliar</t>
        </is>
      </c>
      <c r="E19" s="38" t="inlineStr">
        <is>
          <t>Lunes</t>
        </is>
      </c>
      <c r="F19" s="39" t="n"/>
      <c r="G19" s="39" t="n"/>
    </row>
    <row r="20">
      <c r="A20" s="36" t="n">
        <v>13</v>
      </c>
      <c r="B20" s="37" t="inlineStr">
        <is>
          <t>Limpiar sillas y bancos a fondo</t>
        </is>
      </c>
      <c r="C20" s="38" t="inlineStr">
        <is>
          <t>Sala</t>
        </is>
      </c>
      <c r="D20" s="38" t="inlineStr">
        <is>
          <t>Auxiliar</t>
        </is>
      </c>
      <c r="E20" s="38" t="inlineStr">
        <is>
          <t>Lunes</t>
        </is>
      </c>
      <c r="F20" s="39" t="n"/>
      <c r="G20" s="39" t="n"/>
    </row>
    <row r="21">
      <c r="A21" s="40" t="n">
        <v>14</v>
      </c>
      <c r="B21" s="41" t="inlineStr">
        <is>
          <t>Fregar suelos con producto desengrasante</t>
        </is>
      </c>
      <c r="C21" s="38" t="inlineStr">
        <is>
          <t>General</t>
        </is>
      </c>
      <c r="D21" s="38" t="inlineStr">
        <is>
          <t>Auxiliar</t>
        </is>
      </c>
      <c r="E21" s="38" t="inlineStr">
        <is>
          <t>Lunes</t>
        </is>
      </c>
      <c r="F21" s="39" t="n"/>
      <c r="G21" s="39" t="n"/>
    </row>
    <row r="22">
      <c r="A22" s="36" t="n">
        <v>15</v>
      </c>
      <c r="B22" s="37" t="inlineStr">
        <is>
          <t>Limpieza profunda de baños: azulejos, espejos, suelo</t>
        </is>
      </c>
      <c r="C22" s="38" t="inlineStr">
        <is>
          <t>Baños</t>
        </is>
      </c>
      <c r="D22" s="38" t="inlineStr">
        <is>
          <t>Auxiliar</t>
        </is>
      </c>
      <c r="E22" s="38" t="inlineStr">
        <is>
          <t>Lunes</t>
        </is>
      </c>
      <c r="F22" s="39" t="n"/>
      <c r="G22" s="39" t="n"/>
    </row>
    <row r="23">
      <c r="A23" s="40" t="n">
        <v>16</v>
      </c>
      <c r="B23" s="41" t="inlineStr">
        <is>
          <t>Limpiar terraza a fondo (si aplica)</t>
        </is>
      </c>
      <c r="C23" s="38" t="inlineStr">
        <is>
          <t>Terraza</t>
        </is>
      </c>
      <c r="D23" s="38" t="inlineStr">
        <is>
          <t>Auxiliar</t>
        </is>
      </c>
      <c r="E23" s="38" t="inlineStr">
        <is>
          <t>Lunes</t>
        </is>
      </c>
      <c r="F23" s="39" t="n"/>
      <c r="G23" s="39" t="n"/>
    </row>
    <row r="24">
      <c r="A24" s="36" t="n">
        <v>17</v>
      </c>
      <c r="B24" s="37" t="inlineStr">
        <is>
          <t>Revisar y reponer productos de limpieza</t>
        </is>
      </c>
      <c r="C24" s="38" t="inlineStr">
        <is>
          <t>Almacén</t>
        </is>
      </c>
      <c r="D24" s="38" t="inlineStr">
        <is>
          <t>Manager</t>
        </is>
      </c>
      <c r="E24" s="38" t="inlineStr">
        <is>
          <t>Lunes</t>
        </is>
      </c>
      <c r="F24" s="39" t="n"/>
      <c r="G24" s="39" t="n"/>
    </row>
    <row r="25">
      <c r="A25" s="42" t="n"/>
      <c r="B25" s="43" t="n"/>
      <c r="C25" s="38" t="n"/>
      <c r="D25" s="38" t="n"/>
      <c r="E25" s="38" t="n"/>
      <c r="F25" s="39" t="n"/>
      <c r="G25" s="39" t="n"/>
    </row>
    <row r="26">
      <c r="A26" s="42" t="n"/>
      <c r="B26" s="43" t="n"/>
      <c r="C26" s="38" t="n"/>
      <c r="D26" s="38" t="n"/>
      <c r="E26" s="38" t="n"/>
      <c r="F26" s="39" t="n"/>
      <c r="G26" s="39" t="n"/>
    </row>
    <row r="27">
      <c r="A27" s="42" t="n"/>
      <c r="B27" s="43" t="n"/>
      <c r="C27" s="38" t="n"/>
      <c r="D27" s="38" t="n"/>
      <c r="E27" s="38" t="n"/>
      <c r="F27" s="39" t="n"/>
      <c r="G27" s="39" t="n"/>
    </row>
    <row r="28">
      <c r="A28" s="42" t="n"/>
      <c r="B28" s="43" t="n"/>
      <c r="C28" s="38" t="n"/>
      <c r="D28" s="38" t="n"/>
      <c r="E28" s="38" t="n"/>
      <c r="F28" s="39" t="n"/>
      <c r="G28" s="39" t="n"/>
    </row>
    <row r="29">
      <c r="A29" s="42" t="n"/>
      <c r="B29" s="43" t="n"/>
      <c r="C29" s="38" t="n"/>
      <c r="D29" s="38" t="n"/>
      <c r="E29" s="38" t="n"/>
      <c r="F29" s="39" t="n"/>
      <c r="G29" s="39" t="n"/>
    </row>
    <row r="30"/>
    <row r="31">
      <c r="A31" s="20" t="inlineStr">
        <is>
          <t>Tareas completadas:</t>
        </is>
      </c>
      <c r="D31" s="28">
        <f>COUNTIFS(B5:B29,"?*",F5:F29,"✓")</f>
        <v>0.0</v>
      </c>
      <c r="E31" s="20" t="inlineStr">
        <is>
          <t>de</t>
        </is>
      </c>
      <c r="F31">
        <f>COUNTIF(B5:B29,"?*")-COUNTIF(F5:F29,"N/A")</f>
        <v>17.0</v>
      </c>
    </row>
    <row r="32"/>
    <row r="33">
      <c r="A33" s="4" t="inlineStr">
        <is>
          <t>Firma encargado/a: _________________________    Hora: _________</t>
        </is>
      </c>
    </row>
    <row r="34"/>
    <row r="35">
      <c r="A35" s="15" t="inlineStr">
        <is>
          <t>— Kit de Tareas Recurrentes · Cafetería / Brunch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8:G18"/>
    <mergeCell ref="A31:C31"/>
    <mergeCell ref="A35:G35"/>
    <mergeCell ref="A12:G12"/>
    <mergeCell ref="A2:G2"/>
    <mergeCell ref="A33:G33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1 F13 F14 F15 F16 F17 F19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22" t="inlineStr">
        <is>
          <t>Revisión FIFO Semanal — Control de Caducidades</t>
        </is>
      </c>
    </row>
    <row r="2">
      <c r="A2" s="23" t="inlineStr">
        <is>
          <t>Semana del ___/___/______ al ___/___/______    Responsable: _________________________</t>
        </is>
      </c>
    </row>
    <row r="3"/>
    <row r="4">
      <c r="A4" s="24" t="inlineStr">
        <is>
          <t>Nº</t>
        </is>
      </c>
      <c r="B4" s="24" t="inlineStr">
        <is>
          <t>Tarea</t>
        </is>
      </c>
      <c r="C4" s="24" t="inlineStr">
        <is>
          <t>Zona</t>
        </is>
      </c>
      <c r="D4" s="24" t="inlineStr">
        <is>
          <t>Responsable</t>
        </is>
      </c>
      <c r="E4" s="24" t="inlineStr">
        <is>
          <t>Día</t>
        </is>
      </c>
      <c r="F4" s="24" t="inlineStr">
        <is>
          <t>✓ Completada</t>
        </is>
      </c>
      <c r="G4" s="24" t="inlineStr">
        <is>
          <t>Firma</t>
        </is>
      </c>
    </row>
    <row r="5">
      <c r="A5" s="34" t="inlineStr">
        <is>
          <t xml:space="preserve">  CÁMARAS FRIGORÍFICAS</t>
        </is>
      </c>
      <c r="B5" s="35" t="n"/>
      <c r="C5" s="35" t="n"/>
      <c r="D5" s="35" t="n"/>
      <c r="E5" s="35" t="n"/>
      <c r="F5" s="35" t="n"/>
      <c r="G5" s="35" t="n"/>
    </row>
    <row r="6">
      <c r="A6" s="36" t="n">
        <v>1</v>
      </c>
      <c r="B6" s="37" t="inlineStr">
        <is>
          <t>Verificar etiquetado y fechas de todos los productos abiertos</t>
        </is>
      </c>
      <c r="C6" s="38" t="inlineStr">
        <is>
          <t>Cámara</t>
        </is>
      </c>
      <c r="D6" s="38" t="inlineStr">
        <is>
          <t>Cocinero</t>
        </is>
      </c>
      <c r="E6" s="38" t="inlineStr">
        <is>
          <t>Lunes</t>
        </is>
      </c>
      <c r="F6" s="39" t="n"/>
      <c r="G6" s="39" t="n"/>
    </row>
    <row r="7">
      <c r="A7" s="40" t="n">
        <v>2</v>
      </c>
      <c r="B7" s="41" t="inlineStr">
        <is>
          <t>Rotar: producto más antiguo delante</t>
        </is>
      </c>
      <c r="C7" s="38" t="inlineStr">
        <is>
          <t>Cámara</t>
        </is>
      </c>
      <c r="D7" s="38" t="inlineStr">
        <is>
          <t>Cocinero</t>
        </is>
      </c>
      <c r="E7" s="38" t="inlineStr">
        <is>
          <t>Lunes</t>
        </is>
      </c>
      <c r="F7" s="39" t="n"/>
      <c r="G7" s="39" t="n"/>
    </row>
    <row r="8">
      <c r="A8" s="36" t="n">
        <v>3</v>
      </c>
      <c r="B8" s="37" t="inlineStr">
        <is>
          <t>Desechar producto caducado o en mal estado</t>
        </is>
      </c>
      <c r="C8" s="38" t="inlineStr">
        <is>
          <t>Cámara</t>
        </is>
      </c>
      <c r="D8" s="38" t="inlineStr">
        <is>
          <t>Cocinero</t>
        </is>
      </c>
      <c r="E8" s="38" t="inlineStr">
        <is>
          <t>Lunes</t>
        </is>
      </c>
      <c r="F8" s="39" t="n"/>
      <c r="G8" s="39" t="n"/>
    </row>
    <row r="9">
      <c r="A9" s="40" t="n">
        <v>4</v>
      </c>
      <c r="B9" s="41" t="inlineStr">
        <is>
          <t>Verificar temperaturas de todas las cámaras (refrigeración 0-4 °C) — anota la lectura: ____ °C</t>
        </is>
      </c>
      <c r="C9" s="38" t="inlineStr">
        <is>
          <t>Cámara</t>
        </is>
      </c>
      <c r="D9" s="38" t="inlineStr">
        <is>
          <t>Cocinero</t>
        </is>
      </c>
      <c r="E9" s="38" t="inlineStr">
        <is>
          <t>Lunes</t>
        </is>
      </c>
      <c r="F9" s="39" t="n"/>
      <c r="G9" s="39" t="n"/>
    </row>
    <row r="10">
      <c r="A10" s="34" t="inlineStr">
        <is>
          <t xml:space="preserve">  BARRA Y VITRINA</t>
        </is>
      </c>
      <c r="B10" s="35" t="n"/>
      <c r="C10" s="35" t="n"/>
      <c r="D10" s="35" t="n"/>
      <c r="E10" s="35" t="n"/>
      <c r="F10" s="35" t="n"/>
      <c r="G10" s="35" t="n"/>
    </row>
    <row r="11">
      <c r="A11" s="40" t="n">
        <v>5</v>
      </c>
      <c r="B11" s="41" t="inlineStr">
        <is>
          <t>Revisar caducidad de leches abiertas</t>
        </is>
      </c>
      <c r="C11" s="38" t="inlineStr">
        <is>
          <t>Barra</t>
        </is>
      </c>
      <c r="D11" s="38" t="inlineStr">
        <is>
          <t>Barista</t>
        </is>
      </c>
      <c r="E11" s="38" t="inlineStr">
        <is>
          <t>Lunes</t>
        </is>
      </c>
      <c r="F11" s="39" t="n"/>
      <c r="G11" s="39" t="n"/>
    </row>
    <row r="12">
      <c r="A12" s="36" t="n">
        <v>6</v>
      </c>
      <c r="B12" s="37" t="inlineStr">
        <is>
          <t>Revisar caducidad de siropes abiertos</t>
        </is>
      </c>
      <c r="C12" s="38" t="inlineStr">
        <is>
          <t>Barra</t>
        </is>
      </c>
      <c r="D12" s="38" t="inlineStr">
        <is>
          <t>Barista</t>
        </is>
      </c>
      <c r="E12" s="38" t="inlineStr">
        <is>
          <t>Lunes</t>
        </is>
      </c>
      <c r="F12" s="39" t="n"/>
      <c r="G12" s="39" t="n"/>
    </row>
    <row r="13">
      <c r="A13" s="40" t="n">
        <v>7</v>
      </c>
      <c r="B13" s="41" t="inlineStr">
        <is>
          <t>Verificar estado de bollería (frescura)</t>
        </is>
      </c>
      <c r="C13" s="38" t="inlineStr">
        <is>
          <t>Barra</t>
        </is>
      </c>
      <c r="D13" s="38" t="inlineStr">
        <is>
          <t>Pastelero/a</t>
        </is>
      </c>
      <c r="E13" s="38" t="inlineStr">
        <is>
          <t>Lunes</t>
        </is>
      </c>
      <c r="F13" s="39" t="n"/>
      <c r="G13" s="39" t="n"/>
    </row>
    <row r="14">
      <c r="A14" s="36" t="n">
        <v>8</v>
      </c>
      <c r="B14" s="37" t="inlineStr">
        <is>
          <t>Revisar caducidad de zumos</t>
        </is>
      </c>
      <c r="C14" s="38" t="inlineStr">
        <is>
          <t>Barra</t>
        </is>
      </c>
      <c r="D14" s="38" t="inlineStr">
        <is>
          <t>Barista</t>
        </is>
      </c>
      <c r="E14" s="38" t="inlineStr">
        <is>
          <t>Lunes</t>
        </is>
      </c>
      <c r="F14" s="39" t="n"/>
      <c r="G14" s="39" t="n"/>
    </row>
    <row r="15">
      <c r="A15" s="34" t="inlineStr">
        <is>
          <t xml:space="preserve">  ALMACÉN SECO</t>
        </is>
      </c>
      <c r="B15" s="35" t="n"/>
      <c r="C15" s="35" t="n"/>
      <c r="D15" s="35" t="n"/>
      <c r="E15" s="35" t="n"/>
      <c r="F15" s="35" t="n"/>
      <c r="G15" s="35" t="n"/>
    </row>
    <row r="16">
      <c r="A16" s="36" t="n">
        <v>9</v>
      </c>
      <c r="B16" s="37" t="inlineStr">
        <is>
          <t>Revisar caducidad de café en grano (frescura)</t>
        </is>
      </c>
      <c r="C16" s="38" t="inlineStr">
        <is>
          <t>Almacén</t>
        </is>
      </c>
      <c r="D16" s="38" t="inlineStr">
        <is>
          <t>Barista</t>
        </is>
      </c>
      <c r="E16" s="38" t="inlineStr">
        <is>
          <t>Lunes</t>
        </is>
      </c>
      <c r="F16" s="39" t="n"/>
      <c r="G16" s="39" t="n"/>
    </row>
    <row r="17">
      <c r="A17" s="40" t="n">
        <v>10</v>
      </c>
      <c r="B17" s="41" t="inlineStr">
        <is>
          <t>Revisar caducidad de tés e infusiones</t>
        </is>
      </c>
      <c r="C17" s="38" t="inlineStr">
        <is>
          <t>Almacén</t>
        </is>
      </c>
      <c r="D17" s="38" t="inlineStr">
        <is>
          <t>Barista</t>
        </is>
      </c>
      <c r="E17" s="38" t="inlineStr">
        <is>
          <t>Lunes</t>
        </is>
      </c>
      <c r="F17" s="39" t="n"/>
      <c r="G17" s="39" t="n"/>
    </row>
    <row r="18">
      <c r="A18" s="36" t="n">
        <v>11</v>
      </c>
      <c r="B18" s="37" t="inlineStr">
        <is>
          <t>Revisar stock de packaging: vasos, tapas, bolsas</t>
        </is>
      </c>
      <c r="C18" s="38" t="inlineStr">
        <is>
          <t>Almacén</t>
        </is>
      </c>
      <c r="D18" s="38" t="inlineStr">
        <is>
          <t>Manager</t>
        </is>
      </c>
      <c r="E18" s="38" t="inlineStr">
        <is>
          <t>Lunes</t>
        </is>
      </c>
      <c r="F18" s="39" t="n"/>
      <c r="G18" s="39" t="n"/>
    </row>
    <row r="19">
      <c r="A19" s="40" t="n">
        <v>12</v>
      </c>
      <c r="B19" s="41" t="inlineStr">
        <is>
          <t>Verificar que no hay plagas ni humedad</t>
        </is>
      </c>
      <c r="C19" s="38" t="inlineStr">
        <is>
          <t>Almacén</t>
        </is>
      </c>
      <c r="D19" s="38" t="inlineStr">
        <is>
          <t>Manager</t>
        </is>
      </c>
      <c r="E19" s="38" t="inlineStr">
        <is>
          <t>Lunes</t>
        </is>
      </c>
      <c r="F19" s="39" t="n"/>
      <c r="G19" s="39" t="n"/>
    </row>
    <row r="20">
      <c r="A20" s="34" t="inlineStr">
        <is>
          <t xml:space="preserve">  FRESCOS</t>
        </is>
      </c>
      <c r="B20" s="35" t="n"/>
      <c r="C20" s="35" t="n"/>
      <c r="D20" s="35" t="n"/>
      <c r="E20" s="35" t="n"/>
      <c r="F20" s="35" t="n"/>
      <c r="G20" s="35" t="n"/>
    </row>
    <row r="21">
      <c r="A21" s="40" t="n">
        <v>13</v>
      </c>
      <c r="B21" s="41" t="inlineStr">
        <is>
          <t>Revisar fruta fresca: desechar lo pasado</t>
        </is>
      </c>
      <c r="C21" s="38" t="inlineStr">
        <is>
          <t>Cámara</t>
        </is>
      </c>
      <c r="D21" s="38" t="inlineStr">
        <is>
          <t>Cocinero</t>
        </is>
      </c>
      <c r="E21" s="38" t="inlineStr">
        <is>
          <t>Lunes</t>
        </is>
      </c>
      <c r="F21" s="39" t="n"/>
      <c r="G21" s="39" t="n"/>
    </row>
    <row r="22">
      <c r="A22" s="36" t="n">
        <v>14</v>
      </c>
      <c r="B22" s="37" t="inlineStr">
        <is>
          <t>Revisar huevos: fecha de caducidad</t>
        </is>
      </c>
      <c r="C22" s="38" t="inlineStr">
        <is>
          <t>Cámara</t>
        </is>
      </c>
      <c r="D22" s="38" t="inlineStr">
        <is>
          <t>Cocinero</t>
        </is>
      </c>
      <c r="E22" s="38" t="inlineStr">
        <is>
          <t>Lunes</t>
        </is>
      </c>
      <c r="F22" s="39" t="n"/>
      <c r="G22" s="39" t="n"/>
    </row>
    <row r="23">
      <c r="A23" s="40" t="n">
        <v>15</v>
      </c>
      <c r="B23" s="41" t="inlineStr">
        <is>
          <t>Revisar el pan y la bollería: congelar EN EL DÍA lo que no se usará y etiquetar con la fecha (vida útil por familia en la tabla del pie de esta hoja)</t>
        </is>
      </c>
      <c r="C23" s="38" t="inlineStr">
        <is>
          <t>Cocina</t>
        </is>
      </c>
      <c r="D23" s="38" t="inlineStr">
        <is>
          <t>Cocinero</t>
        </is>
      </c>
      <c r="E23" s="38" t="inlineStr">
        <is>
          <t>Lunes</t>
        </is>
      </c>
      <c r="F23" s="39" t="n"/>
      <c r="G23" s="39" t="n"/>
    </row>
    <row r="24">
      <c r="A24" s="42" t="n"/>
      <c r="B24" s="43" t="n"/>
      <c r="C24" s="38" t="n"/>
      <c r="D24" s="38" t="n"/>
      <c r="E24" s="38" t="n"/>
      <c r="F24" s="39" t="n"/>
      <c r="G24" s="39" t="n"/>
    </row>
    <row r="25">
      <c r="A25" s="42" t="n"/>
      <c r="B25" s="43" t="n"/>
      <c r="C25" s="38" t="n"/>
      <c r="D25" s="38" t="n"/>
      <c r="E25" s="38" t="n"/>
      <c r="F25" s="39" t="n"/>
      <c r="G25" s="39" t="n"/>
    </row>
    <row r="26">
      <c r="A26" s="42" t="n"/>
      <c r="B26" s="43" t="n"/>
      <c r="C26" s="38" t="n"/>
      <c r="D26" s="38" t="n"/>
      <c r="E26" s="38" t="n"/>
      <c r="F26" s="39" t="n"/>
      <c r="G26" s="39" t="n"/>
    </row>
    <row r="27">
      <c r="A27" s="42" t="n"/>
      <c r="B27" s="43" t="n"/>
      <c r="C27" s="38" t="n"/>
      <c r="D27" s="38" t="n"/>
      <c r="E27" s="38" t="n"/>
      <c r="F27" s="39" t="n"/>
      <c r="G27" s="39" t="n"/>
    </row>
    <row r="28">
      <c r="A28" s="42" t="n"/>
      <c r="B28" s="43" t="n"/>
      <c r="C28" s="38" t="n"/>
      <c r="D28" s="38" t="n"/>
      <c r="E28" s="38" t="n"/>
      <c r="F28" s="39" t="n"/>
      <c r="G28" s="39" t="n"/>
    </row>
    <row r="29"/>
    <row r="30">
      <c r="A30" s="20" t="inlineStr">
        <is>
          <t>Tareas completadas:</t>
        </is>
      </c>
      <c r="D30" s="28">
        <f>COUNTIFS(B5:B28,"?*",F5:F28,"✓")</f>
        <v>0.0</v>
      </c>
      <c r="E30" s="20" t="inlineStr">
        <is>
          <t>de</t>
        </is>
      </c>
      <c r="F30">
        <f>COUNTIF(B5:B28,"?*")-COUNTIF(F5:F28,"N/A")</f>
        <v>15.0</v>
      </c>
    </row>
    <row r="31"/>
    <row r="32">
      <c r="A32" s="4" t="inlineStr">
        <is>
          <t>Firma encargado/a: _________________________    Hora: _________</t>
        </is>
      </c>
    </row>
    <row r="33"/>
    <row r="34">
      <c r="A34" s="25" t="inlineStr">
        <is>
          <t>VIDA ÚTIL ORIENTATIVA EN CONGELACIÓN A −18 °C — ajústala a tu producto y a tu proveedor</t>
        </is>
      </c>
    </row>
    <row r="35">
      <c r="A35" s="24" t="n"/>
      <c r="B35" s="24" t="inlineStr">
        <is>
          <t>Familia</t>
        </is>
      </c>
      <c r="C35" s="24" t="inlineStr">
        <is>
          <t>Vida útil</t>
        </is>
      </c>
      <c r="D35" s="24" t="inlineStr">
        <is>
          <t>Notas</t>
        </is>
      </c>
      <c r="E35" s="44" t="n"/>
      <c r="F35" s="44" t="n"/>
      <c r="G35" s="45" t="n"/>
    </row>
    <row r="36">
      <c r="A36" s="30" t="n"/>
      <c r="B36" s="43" t="inlineStr">
        <is>
          <t>Croissants y masas de bollería crudas</t>
        </is>
      </c>
      <c r="C36" s="38" t="inlineStr">
        <is>
          <t>1-2 meses</t>
        </is>
      </c>
      <c r="D36" s="38" t="inlineStr">
        <is>
          <t>La levadura pierde fuerza: después sube mal aunque sea seguro comerlo</t>
        </is>
      </c>
      <c r="E36" s="46" t="n"/>
      <c r="F36" s="46" t="n"/>
      <c r="G36" s="47" t="n"/>
    </row>
    <row r="37">
      <c r="A37" s="30" t="n"/>
      <c r="B37" s="43" t="inlineStr">
        <is>
          <t>Pan y bollería ya horneada</t>
        </is>
      </c>
      <c r="C37" s="38" t="inlineStr">
        <is>
          <t>1-3 meses</t>
        </is>
      </c>
      <c r="D37" s="38" t="inlineStr">
        <is>
          <t>Pierde textura antes que seguridad; descongela y regenera en horno</t>
        </is>
      </c>
      <c r="E37" s="46" t="n"/>
      <c r="F37" s="46" t="n"/>
      <c r="G37" s="47" t="n"/>
    </row>
    <row r="38">
      <c r="A38" s="30" t="n"/>
      <c r="B38" s="43" t="inlineStr">
        <is>
          <t>Tartas y bizcochos sin nata montada</t>
        </is>
      </c>
      <c r="C38" s="38" t="inlineStr">
        <is>
          <t>2-3 meses</t>
        </is>
      </c>
      <c r="D38" s="38" t="inlineStr">
        <is>
          <t>La nata montada y las cremas de huevo NO aguantan la congelación</t>
        </is>
      </c>
      <c r="E38" s="46" t="n"/>
      <c r="F38" s="46" t="n"/>
      <c r="G38" s="47" t="n"/>
    </row>
    <row r="39">
      <c r="A39" s="30" t="n"/>
      <c r="B39" s="43" t="inlineStr">
        <is>
          <t>Salmón ahumado y pescado azul</t>
        </is>
      </c>
      <c r="C39" s="38" t="inlineStr">
        <is>
          <t>2-3 meses</t>
        </is>
      </c>
      <c r="D39" s="38" t="inlineStr">
        <is>
          <t>La grasa se enrancia aunque esté congelado: es el que antes se estropea</t>
        </is>
      </c>
      <c r="E39" s="46" t="n"/>
      <c r="F39" s="46" t="n"/>
      <c r="G39" s="47" t="n"/>
    </row>
    <row r="40">
      <c r="A40" s="30" t="n"/>
      <c r="B40" s="43" t="inlineStr">
        <is>
          <t>Bacon, jamón y embutido loncheado</t>
        </is>
      </c>
      <c r="C40" s="38" t="inlineStr">
        <is>
          <t>1-2 meses</t>
        </is>
      </c>
      <c r="D40" s="38" t="inlineStr">
        <is>
          <t>La sal acelera el enranciamiento de la grasa</t>
        </is>
      </c>
      <c r="E40" s="46" t="n"/>
      <c r="F40" s="46" t="n"/>
      <c r="G40" s="47" t="n"/>
    </row>
    <row r="41">
      <c r="A41" s="30" t="n"/>
      <c r="B41" s="43" t="inlineStr">
        <is>
          <t>Fruta troceada y pulpas para bowls</t>
        </is>
      </c>
      <c r="C41" s="38" t="inlineStr">
        <is>
          <t>8-12 meses</t>
        </is>
      </c>
      <c r="D41" s="38" t="inlineStr">
        <is>
          <t>Congélala el mismo día del corte y en porciones de un solo uso</t>
        </is>
      </c>
      <c r="E41" s="46" t="n"/>
      <c r="F41" s="46" t="n"/>
      <c r="G41" s="47" t="n"/>
    </row>
    <row r="42">
      <c r="A42" s="30" t="n"/>
      <c r="B42" s="43" t="inlineStr">
        <is>
          <t>Caldos, cremas y salsas propias</t>
        </is>
      </c>
      <c r="C42" s="38" t="inlineStr">
        <is>
          <t>3 meses</t>
        </is>
      </c>
      <c r="D42" s="38" t="inlineStr">
        <is>
          <t>Etiquetar con fecha de producción Y de congelación: la vida útil de esta tabla se cuenta desde la de congelación</t>
        </is>
      </c>
      <c r="E42" s="46" t="n"/>
      <c r="F42" s="46" t="n"/>
      <c r="G42" s="47" t="n"/>
    </row>
    <row r="43">
      <c r="A43" s="30" t="n"/>
      <c r="B43" s="43" t="inlineStr">
        <is>
          <t>Café en grano</t>
        </is>
      </c>
      <c r="C43" s="38" t="inlineStr">
        <is>
          <t>No congelar</t>
        </is>
      </c>
      <c r="D43" s="38" t="inlineStr">
        <is>
          <t>Para uso diario no se congela: la condensación de abrir y cerrar la bolsa arruina el grano</t>
        </is>
      </c>
      <c r="E43" s="46" t="n"/>
      <c r="F43" s="46" t="n"/>
      <c r="G43" s="47" t="n"/>
    </row>
    <row r="44"/>
    <row r="45">
      <c r="A45" s="15" t="inlineStr">
        <is>
          <t>— Kit de Tareas Recurrentes · Cafetería / Brunch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9">
    <mergeCell ref="A32:G32"/>
    <mergeCell ref="D39:G39"/>
    <mergeCell ref="A20:G20"/>
    <mergeCell ref="D42:G42"/>
    <mergeCell ref="D38:G38"/>
    <mergeCell ref="A10:G10"/>
    <mergeCell ref="D35:G35"/>
    <mergeCell ref="A34:G34"/>
    <mergeCell ref="A15:G15"/>
    <mergeCell ref="A45:G45"/>
    <mergeCell ref="D40:G40"/>
    <mergeCell ref="A1:G1"/>
    <mergeCell ref="D36:G36"/>
    <mergeCell ref="A30:C30"/>
    <mergeCell ref="D41:G41"/>
    <mergeCell ref="A2:G2"/>
    <mergeCell ref="D43:G43"/>
    <mergeCell ref="D37:G37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1 F12 F13 F14 F16 F17 F18 F19 F21 F22 F23 F24 F25 F26 F27 F2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22" t="inlineStr">
        <is>
          <t>Mantenimiento Mensual de Equipos</t>
        </is>
      </c>
    </row>
    <row r="2">
      <c r="A2" s="23" t="inlineStr">
        <is>
          <t>Mes: ________________   Año: ______    Responsable: _________________________</t>
        </is>
      </c>
    </row>
    <row r="3"/>
    <row r="4">
      <c r="A4" s="24" t="inlineStr">
        <is>
          <t>Nº</t>
        </is>
      </c>
      <c r="B4" s="24" t="inlineStr">
        <is>
          <t>Tarea</t>
        </is>
      </c>
      <c r="C4" s="24" t="inlineStr">
        <is>
          <t>Zona</t>
        </is>
      </c>
      <c r="D4" s="24" t="inlineStr">
        <is>
          <t>Responsable</t>
        </is>
      </c>
      <c r="E4" s="24" t="inlineStr">
        <is>
          <t>Cadencia</t>
        </is>
      </c>
      <c r="F4" s="24" t="inlineStr">
        <is>
          <t>✓ Completada</t>
        </is>
      </c>
      <c r="G4" s="24" t="inlineStr">
        <is>
          <t>Firma</t>
        </is>
      </c>
    </row>
    <row r="5">
      <c r="A5" s="34" t="inlineStr">
        <is>
          <t xml:space="preserve">  MÁQUINA DE ESPRESSO</t>
        </is>
      </c>
      <c r="B5" s="35" t="n"/>
      <c r="C5" s="35" t="n"/>
      <c r="D5" s="35" t="n"/>
      <c r="E5" s="35" t="n"/>
      <c r="F5" s="35" t="n"/>
      <c r="G5" s="35" t="n"/>
    </row>
    <row r="6">
      <c r="A6" s="36" t="n">
        <v>1</v>
      </c>
      <c r="B6" s="37" t="inlineStr">
        <is>
          <t>Descalcificar máquina de espresso completa</t>
        </is>
      </c>
      <c r="C6" s="38" t="inlineStr">
        <is>
          <t>Barra</t>
        </is>
      </c>
      <c r="D6" s="38" t="inlineStr">
        <is>
          <t>Técnico/Barista</t>
        </is>
      </c>
      <c r="E6" s="38" t="inlineStr">
        <is>
          <t>Mensual</t>
        </is>
      </c>
      <c r="F6" s="39" t="n"/>
      <c r="G6" s="39" t="n"/>
    </row>
    <row r="7">
      <c r="A7" s="40" t="n">
        <v>2</v>
      </c>
      <c r="B7" s="41" t="inlineStr">
        <is>
          <t>Cambiar juntas de grupo si están desgastadas</t>
        </is>
      </c>
      <c r="C7" s="38" t="inlineStr">
        <is>
          <t>Barra</t>
        </is>
      </c>
      <c r="D7" s="38" t="inlineStr">
        <is>
          <t>Técnico</t>
        </is>
      </c>
      <c r="E7" s="38" t="inlineStr">
        <is>
          <t>Mensual</t>
        </is>
      </c>
      <c r="F7" s="39" t="n"/>
      <c r="G7" s="39" t="n"/>
    </row>
    <row r="8">
      <c r="A8" s="36" t="n">
        <v>3</v>
      </c>
      <c r="B8" s="37" t="inlineStr">
        <is>
          <t>Verificar presión de caldera</t>
        </is>
      </c>
      <c r="C8" s="38" t="inlineStr">
        <is>
          <t>Barra</t>
        </is>
      </c>
      <c r="D8" s="38" t="inlineStr">
        <is>
          <t>Técnico</t>
        </is>
      </c>
      <c r="E8" s="38" t="inlineStr">
        <is>
          <t>Mensual</t>
        </is>
      </c>
      <c r="F8" s="39" t="n"/>
      <c r="G8" s="39" t="n"/>
    </row>
    <row r="9">
      <c r="A9" s="40" t="n">
        <v>4</v>
      </c>
      <c r="B9" s="41" t="inlineStr">
        <is>
          <t>Limpiar filtro de agua</t>
        </is>
      </c>
      <c r="C9" s="38" t="inlineStr">
        <is>
          <t>Barra</t>
        </is>
      </c>
      <c r="D9" s="38" t="inlineStr">
        <is>
          <t>Técnico</t>
        </is>
      </c>
      <c r="E9" s="38" t="inlineStr">
        <is>
          <t>Mensual</t>
        </is>
      </c>
      <c r="F9" s="39" t="n"/>
      <c r="G9" s="39" t="n"/>
    </row>
    <row r="10">
      <c r="A10" s="34" t="inlineStr">
        <is>
          <t xml:space="preserve">  MOLINILLO</t>
        </is>
      </c>
      <c r="B10" s="35" t="n"/>
      <c r="C10" s="35" t="n"/>
      <c r="D10" s="35" t="n"/>
      <c r="E10" s="35" t="n"/>
      <c r="F10" s="35" t="n"/>
      <c r="G10" s="35" t="n"/>
    </row>
    <row r="11">
      <c r="A11" s="40" t="n">
        <v>5</v>
      </c>
      <c r="B11" s="41" t="inlineStr">
        <is>
          <t>Limpiar muelas del molinillo a fondo</t>
        </is>
      </c>
      <c r="C11" s="38" t="inlineStr">
        <is>
          <t>Barra</t>
        </is>
      </c>
      <c r="D11" s="38" t="inlineStr">
        <is>
          <t>Barista</t>
        </is>
      </c>
      <c r="E11" s="38" t="inlineStr">
        <is>
          <t>Mensual</t>
        </is>
      </c>
      <c r="F11" s="39" t="n"/>
      <c r="G11" s="39" t="n"/>
    </row>
    <row r="12">
      <c r="A12" s="36" t="n">
        <v>6</v>
      </c>
      <c r="B12" s="37" t="inlineStr">
        <is>
          <t>Verificar desgaste de muelas (cambiar si aplica)</t>
        </is>
      </c>
      <c r="C12" s="38" t="inlineStr">
        <is>
          <t>Barra</t>
        </is>
      </c>
      <c r="D12" s="38" t="inlineStr">
        <is>
          <t>Técnico</t>
        </is>
      </c>
      <c r="E12" s="38" t="inlineStr">
        <is>
          <t>Mensual</t>
        </is>
      </c>
      <c r="F12" s="39" t="n"/>
      <c r="G12" s="39" t="n"/>
    </row>
    <row r="13">
      <c r="A13" s="40" t="n">
        <v>7</v>
      </c>
      <c r="B13" s="41" t="inlineStr">
        <is>
          <t>Calibrar dosificación</t>
        </is>
      </c>
      <c r="C13" s="38" t="inlineStr">
        <is>
          <t>Barra</t>
        </is>
      </c>
      <c r="D13" s="38" t="inlineStr">
        <is>
          <t>Barista</t>
        </is>
      </c>
      <c r="E13" s="38" t="inlineStr">
        <is>
          <t>Mensual</t>
        </is>
      </c>
      <c r="F13" s="39" t="n"/>
      <c r="G13" s="39" t="n"/>
    </row>
    <row r="14">
      <c r="A14" s="34" t="inlineStr">
        <is>
          <t xml:space="preserve">  COCINA Y GENERAL</t>
        </is>
      </c>
      <c r="B14" s="35" t="n"/>
      <c r="C14" s="35" t="n"/>
      <c r="D14" s="35" t="n"/>
      <c r="E14" s="35" t="n"/>
      <c r="F14" s="35" t="n"/>
      <c r="G14" s="35" t="n"/>
    </row>
    <row r="15">
      <c r="A15" s="40" t="n">
        <v>8</v>
      </c>
      <c r="B15" s="41" t="inlineStr">
        <is>
          <t>Revisión horno: resistencias, puerta, juntas</t>
        </is>
      </c>
      <c r="C15" s="38" t="inlineStr">
        <is>
          <t>Cocina</t>
        </is>
      </c>
      <c r="D15" s="38" t="inlineStr">
        <is>
          <t>Técnico</t>
        </is>
      </c>
      <c r="E15" s="38" t="inlineStr">
        <is>
          <t>Mensual</t>
        </is>
      </c>
      <c r="F15" s="39" t="n"/>
      <c r="G15" s="39" t="n"/>
    </row>
    <row r="16">
      <c r="A16" s="36" t="n">
        <v>9</v>
      </c>
      <c r="B16" s="37" t="inlineStr">
        <is>
          <t>Lavavajillas: limpiar filtros, verificar abrillantador y sal</t>
        </is>
      </c>
      <c r="C16" s="38" t="inlineStr">
        <is>
          <t>Cocina</t>
        </is>
      </c>
      <c r="D16" s="38" t="inlineStr">
        <is>
          <t>Manager</t>
        </is>
      </c>
      <c r="E16" s="38" t="inlineStr">
        <is>
          <t>Mensual</t>
        </is>
      </c>
      <c r="F16" s="39" t="n"/>
      <c r="G16" s="39" t="n"/>
    </row>
    <row r="17">
      <c r="A17" s="40" t="n">
        <v>10</v>
      </c>
      <c r="B17" s="41" t="inlineStr">
        <is>
          <t>Revisar campana extractora y filtros</t>
        </is>
      </c>
      <c r="C17" s="38" t="inlineStr">
        <is>
          <t>Cocina</t>
        </is>
      </c>
      <c r="D17" s="38" t="inlineStr">
        <is>
          <t>Técnico</t>
        </is>
      </c>
      <c r="E17" s="38" t="inlineStr">
        <is>
          <t>Mensual</t>
        </is>
      </c>
      <c r="F17" s="39" t="n"/>
      <c r="G17" s="39" t="n"/>
    </row>
    <row r="18">
      <c r="A18" s="36" t="n">
        <v>11</v>
      </c>
      <c r="B18" s="37" t="inlineStr">
        <is>
          <t>Revisar climatización: filtros, temperatura</t>
        </is>
      </c>
      <c r="C18" s="38" t="inlineStr">
        <is>
          <t>General</t>
        </is>
      </c>
      <c r="D18" s="38" t="inlineStr">
        <is>
          <t>Técnico</t>
        </is>
      </c>
      <c r="E18" s="38" t="inlineStr">
        <is>
          <t>Mensual</t>
        </is>
      </c>
      <c r="F18" s="39" t="n"/>
      <c r="G18" s="39" t="n"/>
    </row>
    <row r="19">
      <c r="A19" s="40" t="n">
        <v>12</v>
      </c>
      <c r="B19" s="41" t="inlineStr">
        <is>
          <t>Verificar estado de instalación eléctrica</t>
        </is>
      </c>
      <c r="C19" s="38" t="inlineStr">
        <is>
          <t>General</t>
        </is>
      </c>
      <c r="D19" s="38" t="inlineStr">
        <is>
          <t>Técnico</t>
        </is>
      </c>
      <c r="E19" s="38" t="inlineStr">
        <is>
          <t>Mensual</t>
        </is>
      </c>
      <c r="F19" s="39" t="n"/>
      <c r="G19" s="39" t="n"/>
    </row>
    <row r="20">
      <c r="A20" s="34" t="inlineStr">
        <is>
          <t xml:space="preserve">  SEGURIDAD Y CUMPLIMIENTO</t>
        </is>
      </c>
      <c r="B20" s="35" t="n"/>
      <c r="C20" s="35" t="n"/>
      <c r="D20" s="35" t="n"/>
      <c r="E20" s="35" t="n"/>
      <c r="F20" s="35" t="n"/>
      <c r="G20" s="35" t="n"/>
    </row>
    <row r="21">
      <c r="A21" s="40" t="n">
        <v>13</v>
      </c>
      <c r="B21" s="41" t="inlineStr">
        <is>
          <t>Verificar extintor: presión, caducidad, accesibilidad</t>
        </is>
      </c>
      <c r="C21" s="38" t="inlineStr">
        <is>
          <t>General</t>
        </is>
      </c>
      <c r="D21" s="38" t="inlineStr">
        <is>
          <t>Manager</t>
        </is>
      </c>
      <c r="E21" s="38" t="inlineStr">
        <is>
          <t>Mensual</t>
        </is>
      </c>
      <c r="F21" s="39" t="n"/>
      <c r="G21" s="39" t="n"/>
    </row>
    <row r="22">
      <c r="A22" s="36" t="n">
        <v>14</v>
      </c>
      <c r="B22" s="37" t="inlineStr">
        <is>
          <t>Verificar botiquín: stock completo, caducidades</t>
        </is>
      </c>
      <c r="C22" s="38" t="inlineStr">
        <is>
          <t>General</t>
        </is>
      </c>
      <c r="D22" s="38" t="inlineStr">
        <is>
          <t>Manager</t>
        </is>
      </c>
      <c r="E22" s="38" t="inlineStr">
        <is>
          <t>Mensual</t>
        </is>
      </c>
      <c r="F22" s="39" t="n"/>
      <c r="G22" s="39" t="n"/>
    </row>
    <row r="23">
      <c r="A23" s="40" t="n">
        <v>15</v>
      </c>
      <c r="B23" s="41" t="inlineStr">
        <is>
          <t>Revisar salidas de emergencia: despejadas y señalizadas</t>
        </is>
      </c>
      <c r="C23" s="38" t="inlineStr">
        <is>
          <t>General</t>
        </is>
      </c>
      <c r="D23" s="38" t="inlineStr">
        <is>
          <t>Manager</t>
        </is>
      </c>
      <c r="E23" s="38" t="inlineStr">
        <is>
          <t>Mensual</t>
        </is>
      </c>
      <c r="F23" s="39" t="n"/>
      <c r="G23" s="39" t="n"/>
    </row>
    <row r="24">
      <c r="A24" s="42" t="n"/>
      <c r="B24" s="43" t="n"/>
      <c r="C24" s="38" t="n"/>
      <c r="D24" s="38" t="n"/>
      <c r="E24" s="38" t="n"/>
      <c r="F24" s="39" t="n"/>
      <c r="G24" s="39" t="n"/>
    </row>
    <row r="25">
      <c r="A25" s="42" t="n"/>
      <c r="B25" s="43" t="n"/>
      <c r="C25" s="38" t="n"/>
      <c r="D25" s="38" t="n"/>
      <c r="E25" s="38" t="n"/>
      <c r="F25" s="39" t="n"/>
      <c r="G25" s="39" t="n"/>
    </row>
    <row r="26">
      <c r="A26" s="42" t="n"/>
      <c r="B26" s="43" t="n"/>
      <c r="C26" s="38" t="n"/>
      <c r="D26" s="38" t="n"/>
      <c r="E26" s="38" t="n"/>
      <c r="F26" s="39" t="n"/>
      <c r="G26" s="39" t="n"/>
    </row>
    <row r="27">
      <c r="A27" s="42" t="n"/>
      <c r="B27" s="43" t="n"/>
      <c r="C27" s="38" t="n"/>
      <c r="D27" s="38" t="n"/>
      <c r="E27" s="38" t="n"/>
      <c r="F27" s="39" t="n"/>
      <c r="G27" s="39" t="n"/>
    </row>
    <row r="28">
      <c r="A28" s="42" t="n"/>
      <c r="B28" s="43" t="n"/>
      <c r="C28" s="38" t="n"/>
      <c r="D28" s="38" t="n"/>
      <c r="E28" s="38" t="n"/>
      <c r="F28" s="39" t="n"/>
      <c r="G28" s="39" t="n"/>
    </row>
    <row r="29"/>
    <row r="30">
      <c r="A30" s="20" t="inlineStr">
        <is>
          <t>Tareas completadas:</t>
        </is>
      </c>
      <c r="D30" s="28">
        <f>COUNTIFS(B5:B28,"?*",F5:F28,"✓")</f>
        <v>0.0</v>
      </c>
      <c r="E30" s="20" t="inlineStr">
        <is>
          <t>de</t>
        </is>
      </c>
      <c r="F30">
        <f>COUNTIF(B5:B28,"?*")-COUNTIF(F5:F28,"N/A")</f>
        <v>15.0</v>
      </c>
    </row>
    <row r="31"/>
    <row r="32">
      <c r="A32" s="4" t="inlineStr">
        <is>
          <t>Firma encargado/a: _________________________    Hora: _________</t>
        </is>
      </c>
    </row>
    <row r="33"/>
    <row r="34">
      <c r="A34" s="15" t="inlineStr">
        <is>
          <t>— Kit de Tareas Recurrentes · Cafetería / Brunch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2:G32"/>
    <mergeCell ref="A14:G14"/>
    <mergeCell ref="A1:G1"/>
    <mergeCell ref="A34:G34"/>
    <mergeCell ref="A20:G20"/>
    <mergeCell ref="A2:G2"/>
    <mergeCell ref="A30:C30"/>
    <mergeCell ref="A10:G10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1 F12 F13 F15 F16 F17 F18 F19 F21 F22 F23 F24 F25 F26 F27 F2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22" t="inlineStr">
        <is>
          <t>Mantenimiento Trimestral y Anual — Revisiones Contratadas</t>
        </is>
      </c>
    </row>
    <row r="2">
      <c r="A2" s="23" t="inlineStr">
        <is>
          <t>Mes: ________________   Año: ______    Responsable: _________________________</t>
        </is>
      </c>
    </row>
    <row r="3"/>
    <row r="4">
      <c r="A4" s="24" t="inlineStr">
        <is>
          <t>Nº</t>
        </is>
      </c>
      <c r="B4" s="24" t="inlineStr">
        <is>
          <t>Tarea</t>
        </is>
      </c>
      <c r="C4" s="24" t="inlineStr">
        <is>
          <t>Nº de parte</t>
        </is>
      </c>
      <c r="D4" s="24" t="inlineStr">
        <is>
          <t>Responsable</t>
        </is>
      </c>
      <c r="E4" s="24" t="inlineStr">
        <is>
          <t>Cadencia</t>
        </is>
      </c>
      <c r="F4" s="24" t="inlineStr">
        <is>
          <t>✓ Completada</t>
        </is>
      </c>
      <c r="G4" s="24" t="inlineStr">
        <is>
          <t>Firma</t>
        </is>
      </c>
    </row>
    <row r="5">
      <c r="A5" s="34" t="inlineStr">
        <is>
          <t xml:space="preserve">  CONTRATADO — EMPRESA AUTORIZADA</t>
        </is>
      </c>
      <c r="B5" s="35" t="n"/>
      <c r="C5" s="35" t="n"/>
      <c r="D5" s="35" t="n"/>
      <c r="E5" s="35" t="n"/>
      <c r="F5" s="35" t="n"/>
      <c r="G5" s="35" t="n"/>
    </row>
    <row r="6">
      <c r="A6" s="36" t="n">
        <v>1</v>
      </c>
      <c r="B6" s="37" t="inlineStr">
        <is>
          <t>Control de plagas (DDD): visita de la empresa autorizada, parte firmado y certificado en vigor</t>
        </is>
      </c>
      <c r="C6" s="38" t="n"/>
      <c r="D6" s="38" t="inlineStr">
        <is>
          <t>Empresa DDD</t>
        </is>
      </c>
      <c r="E6" s="38" t="inlineStr">
        <is>
          <t>Trimestral</t>
        </is>
      </c>
      <c r="F6" s="39" t="n"/>
      <c r="G6" s="39" t="n"/>
    </row>
    <row r="7">
      <c r="A7" s="40" t="n">
        <v>2</v>
      </c>
      <c r="B7" s="41" t="inlineStr">
        <is>
          <t>Limpieza de campana y conductos de extracción por empresa homologada</t>
        </is>
      </c>
      <c r="C7" s="38" t="n"/>
      <c r="D7" s="38" t="inlineStr">
        <is>
          <t>Empresa externa</t>
        </is>
      </c>
      <c r="E7" s="38" t="inlineStr">
        <is>
          <t>Anual</t>
        </is>
      </c>
      <c r="F7" s="39" t="n"/>
      <c r="G7" s="39" t="n"/>
    </row>
    <row r="8">
      <c r="A8" s="36" t="n">
        <v>3</v>
      </c>
      <c r="B8" s="37" t="inlineStr">
        <is>
          <t>Revisión de extintores y BIE por empresa mantenedora (etiqueta y acta de revisión)</t>
        </is>
      </c>
      <c r="C8" s="38" t="n"/>
      <c r="D8" s="38" t="inlineStr">
        <is>
          <t>Mantenedor</t>
        </is>
      </c>
      <c r="E8" s="38" t="inlineStr">
        <is>
          <t>Anual</t>
        </is>
      </c>
      <c r="F8" s="39" t="n"/>
      <c r="G8" s="39" t="n"/>
    </row>
    <row r="9">
      <c r="A9" s="40" t="n">
        <v>4</v>
      </c>
      <c r="B9" s="41" t="inlineStr">
        <is>
          <t>Prevención de legionela si hay torre de refrigeración o agua caliente sanitaria de riesgo</t>
        </is>
      </c>
      <c r="C9" s="38" t="n"/>
      <c r="D9" s="38" t="inlineStr">
        <is>
          <t>Empresa autorizada</t>
        </is>
      </c>
      <c r="E9" s="38" t="inlineStr">
        <is>
          <t>Anual</t>
        </is>
      </c>
      <c r="F9" s="39" t="n"/>
      <c r="G9" s="39" t="n"/>
    </row>
    <row r="10">
      <c r="A10" s="34" t="inlineStr">
        <is>
          <t xml:space="preserve">  GAS, FRÍO Y RESIDUOS</t>
        </is>
      </c>
      <c r="B10" s="35" t="n"/>
      <c r="C10" s="35" t="n"/>
      <c r="D10" s="35" t="n"/>
      <c r="E10" s="35" t="n"/>
      <c r="F10" s="35" t="n"/>
      <c r="G10" s="35" t="n"/>
    </row>
    <row r="11">
      <c r="A11" s="40" t="n">
        <v>5</v>
      </c>
      <c r="B11" s="41" t="inlineStr">
        <is>
          <t>Revisión periódica de la instalación de gas por empresa habilitada, si el local tiene gas</t>
        </is>
      </c>
      <c r="C11" s="38" t="n"/>
      <c r="D11" s="38" t="inlineStr">
        <is>
          <t>Instalador gas</t>
        </is>
      </c>
      <c r="E11" s="38" t="inlineStr">
        <is>
          <t>Cada 5 años</t>
        </is>
      </c>
      <c r="F11" s="39" t="n"/>
      <c r="G11" s="39" t="n"/>
    </row>
    <row r="12">
      <c r="A12" s="36" t="n">
        <v>6</v>
      </c>
      <c r="B12" s="37" t="inlineStr">
        <is>
          <t>Revisión de cámaras y vitrinas refrigeradas por frigorista: estanqueidad y gas refrigerante</t>
        </is>
      </c>
      <c r="C12" s="38" t="n"/>
      <c r="D12" s="38" t="inlineStr">
        <is>
          <t>Frigorista</t>
        </is>
      </c>
      <c r="E12" s="38" t="inlineStr">
        <is>
          <t>Anual</t>
        </is>
      </c>
      <c r="F12" s="39" t="n"/>
      <c r="G12" s="39" t="n"/>
    </row>
    <row r="13">
      <c r="A13" s="40" t="n">
        <v>7</v>
      </c>
      <c r="B13" s="41" t="inlineStr">
        <is>
          <t>Retirada del aceite usado por gestor autorizado y archivo del documento de entrega, si hay freidora</t>
        </is>
      </c>
      <c r="C13" s="38" t="n"/>
      <c r="D13" s="38" t="inlineStr">
        <is>
          <t>Gestor autorizado</t>
        </is>
      </c>
      <c r="E13" s="38" t="inlineStr">
        <is>
          <t>Trimestral</t>
        </is>
      </c>
      <c r="F13" s="39" t="n"/>
      <c r="G13" s="39" t="n"/>
    </row>
    <row r="14">
      <c r="A14" s="34" t="inlineStr">
        <is>
          <t xml:space="preserve">  AGUA Y EQUIPOS DE CAFÉ</t>
        </is>
      </c>
      <c r="B14" s="35" t="n"/>
      <c r="C14" s="35" t="n"/>
      <c r="D14" s="35" t="n"/>
      <c r="E14" s="35" t="n"/>
      <c r="F14" s="35" t="n"/>
      <c r="G14" s="35" t="n"/>
    </row>
    <row r="15">
      <c r="A15" s="40" t="n">
        <v>8</v>
      </c>
      <c r="B15" s="41" t="inlineStr">
        <is>
          <t>Cambiar el filtro descalcificador de agua de la máquina de espresso y anotar la fecha del cambio</t>
        </is>
      </c>
      <c r="C15" s="38" t="n"/>
      <c r="D15" s="38" t="inlineStr">
        <is>
          <t>Técnico SAT</t>
        </is>
      </c>
      <c r="E15" s="38" t="inlineStr">
        <is>
          <t>Trimestral</t>
        </is>
      </c>
      <c r="F15" s="39" t="n"/>
      <c r="G15" s="39" t="n"/>
    </row>
    <row r="16">
      <c r="A16" s="36" t="n">
        <v>9</v>
      </c>
      <c r="B16" s="37" t="inlineStr">
        <is>
          <t>Medir la dureza del agua (GH/KH) y ajustar el filtro: el agua es casi todo lo que hay en la taza</t>
        </is>
      </c>
      <c r="C16" s="38" t="n"/>
      <c r="D16" s="38" t="inlineStr">
        <is>
          <t>Barista</t>
        </is>
      </c>
      <c r="E16" s="38" t="inlineStr">
        <is>
          <t>Trimestral</t>
        </is>
      </c>
      <c r="F16" s="39" t="n"/>
      <c r="G16" s="39" t="n"/>
    </row>
    <row r="17">
      <c r="A17" s="40" t="n">
        <v>10</v>
      </c>
      <c r="B17" s="41" t="inlineStr">
        <is>
          <t>Revisión técnica completa de la máquina de espresso por el SAT: juntas, presión y válvula de seguridad</t>
        </is>
      </c>
      <c r="C17" s="38" t="n"/>
      <c r="D17" s="38" t="inlineStr">
        <is>
          <t>Técnico SAT</t>
        </is>
      </c>
      <c r="E17" s="38" t="inlineStr">
        <is>
          <t>Anual</t>
        </is>
      </c>
      <c r="F17" s="39" t="n"/>
      <c r="G17" s="39" t="n"/>
    </row>
    <row r="18">
      <c r="A18" s="36" t="n">
        <v>11</v>
      </c>
      <c r="B18" s="37" t="inlineStr">
        <is>
          <t>Revisar el desgaste de las muelas del molinillo por kilos molidos (orientativo: planas 400-600 kg, cónicas 800-1.200 kg) y cambiarlas si toca</t>
        </is>
      </c>
      <c r="C18" s="38" t="n"/>
      <c r="D18" s="38" t="inlineStr">
        <is>
          <t>Técnico SAT</t>
        </is>
      </c>
      <c r="E18" s="38" t="inlineStr">
        <is>
          <t>Anual</t>
        </is>
      </c>
      <c r="F18" s="39" t="n"/>
      <c r="G18" s="39" t="n"/>
    </row>
    <row r="19">
      <c r="A19" s="40" t="n">
        <v>12</v>
      </c>
      <c r="B19" s="41" t="inlineStr">
        <is>
          <t>Calibrar los termómetros y las sondas contra un patrón conocido (agua con hielo, 0 °C)</t>
        </is>
      </c>
      <c r="C19" s="38" t="n"/>
      <c r="D19" s="38" t="inlineStr">
        <is>
          <t>Manager</t>
        </is>
      </c>
      <c r="E19" s="38" t="inlineStr">
        <is>
          <t>Anual</t>
        </is>
      </c>
      <c r="F19" s="39" t="n"/>
      <c r="G19" s="39" t="n"/>
    </row>
    <row r="20">
      <c r="A20" s="34" t="inlineStr">
        <is>
          <t xml:space="preserve">  ADMINISTRACIÓN Y SEGUROS</t>
        </is>
      </c>
      <c r="B20" s="35" t="n"/>
      <c r="C20" s="35" t="n"/>
      <c r="D20" s="35" t="n"/>
      <c r="E20" s="35" t="n"/>
      <c r="F20" s="35" t="n"/>
      <c r="G20" s="35" t="n"/>
    </row>
    <row r="21">
      <c r="A21" s="40" t="n">
        <v>13</v>
      </c>
      <c r="B21" s="41" t="inlineStr">
        <is>
          <t>Revisar la póliza del local (continente, contenido y responsabilidad civil) y su fecha de vencimiento</t>
        </is>
      </c>
      <c r="C21" s="38" t="n"/>
      <c r="D21" s="38" t="inlineStr">
        <is>
          <t>Manager</t>
        </is>
      </c>
      <c r="E21" s="38" t="inlineStr">
        <is>
          <t>Anual</t>
        </is>
      </c>
      <c r="F21" s="39" t="n"/>
      <c r="G21" s="39" t="n"/>
    </row>
    <row r="22">
      <c r="A22" s="36" t="n">
        <v>14</v>
      </c>
      <c r="B22" s="37" t="inlineStr">
        <is>
          <t>Revisión del TPV y del software de facturación (requisitos antifraude / Verifactu)</t>
        </is>
      </c>
      <c r="C22" s="38" t="n"/>
      <c r="D22" s="38" t="inlineStr">
        <is>
          <t>Manager</t>
        </is>
      </c>
      <c r="E22" s="38" t="inlineStr">
        <is>
          <t>Anual</t>
        </is>
      </c>
      <c r="F22" s="39" t="n"/>
      <c r="G22" s="39" t="n"/>
    </row>
    <row r="23">
      <c r="A23" s="40" t="n">
        <v>15</v>
      </c>
      <c r="B23" s="41" t="inlineStr">
        <is>
          <t>Anotar la fecha de la próxima revisión de cada contrato y archivar el parte firmado</t>
        </is>
      </c>
      <c r="C23" s="38" t="n"/>
      <c r="D23" s="38" t="inlineStr">
        <is>
          <t>Manager</t>
        </is>
      </c>
      <c r="E23" s="38" t="inlineStr">
        <is>
          <t>Trimestral</t>
        </is>
      </c>
      <c r="F23" s="39" t="n"/>
      <c r="G23" s="39" t="n"/>
    </row>
    <row r="24">
      <c r="A24" s="42" t="n"/>
      <c r="B24" s="43" t="n"/>
      <c r="C24" s="38" t="n"/>
      <c r="D24" s="38" t="n"/>
      <c r="E24" s="38" t="n"/>
      <c r="F24" s="39" t="n"/>
      <c r="G24" s="39" t="n"/>
    </row>
    <row r="25">
      <c r="A25" s="42" t="n"/>
      <c r="B25" s="43" t="n"/>
      <c r="C25" s="38" t="n"/>
      <c r="D25" s="38" t="n"/>
      <c r="E25" s="38" t="n"/>
      <c r="F25" s="39" t="n"/>
      <c r="G25" s="39" t="n"/>
    </row>
    <row r="26">
      <c r="A26" s="42" t="n"/>
      <c r="B26" s="43" t="n"/>
      <c r="C26" s="38" t="n"/>
      <c r="D26" s="38" t="n"/>
      <c r="E26" s="38" t="n"/>
      <c r="F26" s="39" t="n"/>
      <c r="G26" s="39" t="n"/>
    </row>
    <row r="27">
      <c r="A27" s="42" t="n"/>
      <c r="B27" s="43" t="n"/>
      <c r="C27" s="38" t="n"/>
      <c r="D27" s="38" t="n"/>
      <c r="E27" s="38" t="n"/>
      <c r="F27" s="39" t="n"/>
      <c r="G27" s="39" t="n"/>
    </row>
    <row r="28">
      <c r="A28" s="42" t="n"/>
      <c r="B28" s="43" t="n"/>
      <c r="C28" s="38" t="n"/>
      <c r="D28" s="38" t="n"/>
      <c r="E28" s="38" t="n"/>
      <c r="F28" s="39" t="n"/>
      <c r="G28" s="39" t="n"/>
    </row>
    <row r="29"/>
    <row r="30">
      <c r="A30" s="20" t="inlineStr">
        <is>
          <t>Tareas completadas:</t>
        </is>
      </c>
      <c r="D30" s="28">
        <f>COUNTIFS(B5:B28,"?*",F5:F28,"✓")</f>
        <v>0.0</v>
      </c>
      <c r="E30" s="20" t="inlineStr">
        <is>
          <t>de</t>
        </is>
      </c>
      <c r="F30">
        <f>COUNTIF(B5:B28,"?*")-COUNTIF(F5:F28,"N/A")</f>
        <v>15.0</v>
      </c>
    </row>
    <row r="31"/>
    <row r="32">
      <c r="A32" s="4" t="inlineStr">
        <is>
          <t>Firma encargado/a: _________________________    Hora: _________</t>
        </is>
      </c>
    </row>
    <row r="33"/>
    <row r="34">
      <c r="A34" s="15" t="inlineStr">
        <is>
          <t>— Kit de Tareas Recurrentes · Cafetería / Brunch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2:G32"/>
    <mergeCell ref="A14:G14"/>
    <mergeCell ref="A1:G1"/>
    <mergeCell ref="A34:G34"/>
    <mergeCell ref="A20:G20"/>
    <mergeCell ref="A2:G2"/>
    <mergeCell ref="A30:C30"/>
    <mergeCell ref="A10:G10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1 F12 F13 F15 F16 F17 F18 F19 F21 F22 F23 F24 F25 F26 F27 F2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Semanales, Mensuales e Inventarios — Cafetería / Brunch · Kit de Tareas Recurrentes — Checklists Operativos para Cafetería / Brunch</dc:title>
  <dc:description xmlns:dc="http://purl.org/dc/elements/1.1/">aichef.pro/kit-tareas-cafeteria</dc:description>
  <dc:subject xmlns:dc="http://purl.org/dc/elements/1.1/">Kit de Tareas Recurrentes — Checklists Operativos para Cafetería / Brunch · v2.0</dc:subject>
  <dcterms:created xmlns:dcterms="http://purl.org/dc/terms/" xmlns:xsi="http://www.w3.org/2001/XMLSchema-instance" xsi:type="dcterms:W3CDTF">2026-03-19T12:34:13Z</dcterms:created>
  <dcterms:modified xmlns:dcterms="http://purl.org/dc/terms/" xmlns:xsi="http://www.w3.org/2001/XMLSchema-instance" xsi:type="dcterms:W3CDTF">2026-10-18T12:12:55Z</dcterms:modified>
  <cp:lastModifiedBy>AI Chef Pro</cp:lastModifiedBy>
  <cp:category>AI Chef Pro · Productos digitales</cp:category>
  <cp:keywords>kit tareas cafeteria, AI Chef Pro</cp:keywords>
</cp:coreProperties>
</file>