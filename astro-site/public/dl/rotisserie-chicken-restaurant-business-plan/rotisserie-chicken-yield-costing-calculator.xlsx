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cken Yield" sheetId="1" state="visible" r:id="rId1"/>
    <sheet xmlns:r="http://schemas.openxmlformats.org/officeDocument/2006/relationships" name="Rotisserie" sheetId="2" state="visible" r:id="rId2"/>
    <sheet xmlns:r="http://schemas.openxmlformats.org/officeDocument/2006/relationships" name="Costing"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quot;-&quot;"/>
    <numFmt numFmtId="168" formatCode="#,##0.0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4"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4" fontId="2" fillId="2" borderId="0" applyAlignment="1" pivotButton="0" quotePrefix="0" xfId="0">
      <alignment vertical="top"/>
    </xf>
    <xf numFmtId="3"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3" fontId="2" fillId="2" borderId="0" applyAlignment="1" pivotButton="0" quotePrefix="0" xfId="0">
      <alignment vertical="top"/>
    </xf>
    <xf numFmtId="0" fontId="3" fillId="0" borderId="0" applyAlignment="1" pivotButton="0" quotePrefix="0" xfId="0">
      <alignment vertical="top"/>
    </xf>
    <xf numFmtId="166" fontId="3" fillId="0" borderId="0" applyAlignment="1" pivotButton="0" quotePrefix="0" xfId="0">
      <alignment vertical="top"/>
    </xf>
    <xf numFmtId="166" fontId="2" fillId="0" borderId="0" applyAlignment="1" pivotButton="0" quotePrefix="0" xfId="0">
      <alignment vertical="top"/>
    </xf>
    <xf numFmtId="164" fontId="2" fillId="0" borderId="0" applyAlignment="1" pivotButton="0" quotePrefix="0" xfId="0">
      <alignment vertical="top"/>
    </xf>
    <xf numFmtId="164" fontId="3" fillId="0" borderId="0" applyAlignment="1" pivotButton="0" quotePrefix="0" xfId="0">
      <alignment vertical="top"/>
    </xf>
    <xf numFmtId="9" fontId="2" fillId="0" borderId="0" applyAlignment="1" pivotButton="0" quotePrefix="0" xfId="0">
      <alignment vertical="top"/>
    </xf>
    <xf numFmtId="4" fontId="3" fillId="0" borderId="0" applyAlignment="1" pivotButton="0" quotePrefix="0" xfId="0">
      <alignment vertical="top"/>
    </xf>
    <xf numFmtId="165" fontId="2" fillId="0" borderId="0" applyAlignment="1" pivotButton="0" quotePrefix="0" xfId="0">
      <alignment vertical="top"/>
    </xf>
    <xf numFmtId="3" fontId="3" fillId="0" borderId="0" applyAlignment="1" pivotButton="0" quotePrefix="0" xfId="0">
      <alignment vertical="top"/>
    </xf>
    <xf numFmtId="4" fontId="2" fillId="0" borderId="0" applyAlignment="1" pivotButton="0" quotePrefix="0" xfId="0">
      <alignment vertical="top"/>
    </xf>
    <xf numFmtId="3" fontId="2" fillId="0" borderId="0" applyAlignment="1" pivotButton="0" quotePrefix="0" xfId="0">
      <alignment vertical="top"/>
    </xf>
    <xf numFmtId="165" fontId="3" fillId="0" borderId="0" applyAlignment="1" pivotButton="0" quotePrefix="0" xfId="0">
      <alignment vertical="top"/>
    </xf>
    <xf numFmtId="0" fontId="3" fillId="0" borderId="0" applyAlignment="1" pivotButton="0" quotePrefix="0" xfId="0">
      <alignment vertical="top" wrapText="1"/>
    </xf>
    <xf numFmtId="0" fontId="3" fillId="3" borderId="0" applyAlignment="1" applyProtection="1" pivotButton="0" quotePrefix="0" xfId="0">
      <alignment vertical="top" wrapText="1"/>
      <protection locked="0" hidden="0"/>
    </xf>
    <xf numFmtId="4" fontId="3"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167" fontId="2" fillId="3" borderId="0" applyAlignment="1" applyProtection="1" pivotButton="0" quotePrefix="0" xfId="0">
      <alignment vertical="top"/>
      <protection locked="0" hidden="0"/>
    </xf>
    <xf numFmtId="0" fontId="4" fillId="0" borderId="0" applyAlignment="1" pivotButton="0" quotePrefix="0" xfId="0">
      <alignment vertical="top"/>
    </xf>
    <xf numFmtId="168"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5"/>
  <cols>
    <col width="60"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CHICKEN YIELD: HOW MUCH A COOKED BIRD WEIGHS, WHAT IT COSTS AND HOW MANY BIRDS YOU NEED</t>
        </is>
      </c>
    </row>
    <row r="2" ht="32" customHeight="1">
      <c r="A2" s="2" t="inlineStr">
        <is>
          <t>Type only in the GREEN cells: everything else is calculated. Amounts before sales tax. Every default value is a kit estimate, editable: replace it with your supplier's numbers and, above all, with what you measure on your own birds.</t>
        </is>
      </c>
    </row>
    <row r="3" ht="36" customHeight="1">
      <c r="A3" s="3" t="inlineStr">
        <is>
          <t>FIXED NOTICE. The cooked yield (72 %) is a kit estimate; the kit works with a range of 70 to 75 % and no manufacturer figure is published. Weigh 5 raw and cooked birds from the same load, and adjust the yield until it matches what you measure.</t>
        </is>
      </c>
    </row>
    <row r="5">
      <c r="A5" s="4" t="inlineStr">
        <is>
          <t>A. THE BIRD</t>
        </is>
      </c>
      <c r="B5" s="4" t="inlineStr">
        <is>
          <t>Value</t>
        </is>
      </c>
      <c r="C5" s="4" t="inlineStr">
        <is>
          <t>Notes</t>
        </is>
      </c>
    </row>
    <row r="6" ht="30" customHeight="1">
      <c r="A6" s="5" t="inlineStr">
        <is>
          <t>Average whole chicken weight (lb, WOG)</t>
        </is>
      </c>
      <c r="B6" s="6" t="n">
        <v>3</v>
      </c>
      <c r="C6" s="2" t="inlineStr">
        <is>
          <t>Broiler/fryer of 2.5 to 4.5 lb WOG (without giblets). Weigh your birds at receiving. Kit estimate, editable.</t>
        </is>
      </c>
    </row>
    <row r="7" ht="30" customHeight="1">
      <c r="A7" s="5" t="inlineStr">
        <is>
          <t>Whole chicken price ($/lb, before tax)</t>
        </is>
      </c>
      <c r="B7" s="6" t="n">
        <v>1.75</v>
      </c>
      <c r="C7" s="2" t="inlineStr">
        <is>
          <t>Delivered price of fresh whole chickens. The USDA wholesale composite ran about $1.17/lb in August 2026 and a distributor adds freight and margin. Type your supplier's price. Kit estimate, editable.</t>
        </is>
      </c>
    </row>
    <row r="8" ht="30" customHeight="1">
      <c r="A8" s="5" t="inlineStr">
        <is>
          <t>Marinade per bird ($, before tax)</t>
        </is>
      </c>
      <c r="B8" s="6" t="n">
        <v>0.45</v>
      </c>
      <c r="C8" s="2" t="inlineStr">
        <is>
          <t>Soy sauce, beer, garlic, cumin, aji panca, huacatay and vinegar, marinated 24 to 48 hours. Kit estimate, editable.</t>
        </is>
      </c>
    </row>
    <row r="9" ht="30" customHeight="1">
      <c r="A9" s="5" t="inlineStr">
        <is>
          <t>Display and holding waste (% of the bird cost)</t>
        </is>
      </c>
      <c r="B9" s="7" t="n">
        <v>0.05</v>
      </c>
      <c r="C9" s="2" t="inlineStr">
        <is>
          <t>Birds that pass their hot-holding window. Kit target: 5 % or less of the birds you load. Kit estimate, editable.</t>
        </is>
      </c>
    </row>
    <row r="10" ht="30" customHeight="1">
      <c r="A10" s="5" t="inlineStr">
        <is>
          <t>Cooked yield (cooked weight ÷ raw weight)</t>
        </is>
      </c>
      <c r="B10" s="7" t="n">
        <v>0.72</v>
      </c>
      <c r="C10" s="2" t="inlineStr">
        <is>
          <t>What is left of the bird after roasting, bone-in. No manufacturer figure is published. Measure it with 5 birds from the same load (see the "Instructions" sheet). Kit estimate, editable.</t>
        </is>
      </c>
    </row>
    <row r="11" ht="16" customHeight="1">
      <c r="A11" s="5" t="inlineStr">
        <is>
          <t>Benchmark: kit range for a rotisserie bird (midpoint of 70 to 75 %)</t>
        </is>
      </c>
      <c r="B11" s="8" t="n">
        <v>0.725</v>
      </c>
      <c r="C11" s="2" t="inlineStr">
        <is>
          <t>Fixed benchmark: the kit works with a cooked yield of 70 to 75 %. Not editable.</t>
        </is>
      </c>
    </row>
    <row r="12" ht="16" customHeight="1">
      <c r="A12" s="5" t="inlineStr">
        <is>
          <t>Guests who share one bird</t>
        </is>
      </c>
      <c r="B12" s="9" t="n">
        <v>3</v>
      </c>
      <c r="C12" s="2" t="inlineStr">
        <is>
          <t>Whole number greater than 0. For a main plate with two sides it is usually 3. Kit estimate, editable.</t>
        </is>
      </c>
    </row>
    <row r="13" ht="16" customHeight="1">
      <c r="A13" s="5" t="inlineStr">
        <is>
          <t>Guests you want to serve (pre-order or party)</t>
        </is>
      </c>
      <c r="B13" s="9" t="n">
        <v>40</v>
      </c>
      <c r="C13" s="2" t="inlineStr">
        <is>
          <t>Whole number greater than 0. It tells you how many birds to order.</t>
        </is>
      </c>
    </row>
    <row r="14" ht="16" customHeight="1">
      <c r="A14" s="5" t="inlineStr">
        <is>
          <t>Birds left unsold at close</t>
        </is>
      </c>
      <c r="B14" s="10" t="n">
        <v>2</v>
      </c>
      <c r="C14" s="2" t="inlineStr">
        <is>
          <t>Whole birds that stay unsold when you close. Count them; default 2. Kit estimate, editable.</t>
        </is>
      </c>
    </row>
    <row r="15" ht="30" customHeight="1">
      <c r="A15" s="5" t="inlineStr">
        <is>
          <t>Share of the leftover you reuse (%)</t>
        </is>
      </c>
      <c r="B15" s="7" t="n">
        <v>0.5</v>
      </c>
      <c r="C15" s="2" t="inlineStr">
        <is>
          <t>Next-day sandwich or bowl meat, after correct cooling (135 to 70 °F within 2 hours and to 41 °F within 6 hours in total). The part you throw away costs money. Kit estimate, editable.</t>
        </is>
      </c>
    </row>
    <row r="16" ht="16" customHeight="1">
      <c r="A16" s="5" t="inlineStr">
        <is>
          <t>Ounces per lb (constant: 16 oz per lb)</t>
        </is>
      </c>
      <c r="B16" s="11" t="n">
        <v>16</v>
      </c>
      <c r="C16" s="2" t="inlineStr">
        <is>
          <t>Constant: 1 lb = 16 oz. Not editable. It converts the cooked pounds to ounces.</t>
        </is>
      </c>
    </row>
    <row r="17" ht="16" customHeight="1">
      <c r="A17" s="5" t="inlineStr">
        <is>
          <t>Halves per bird (constant)</t>
        </is>
      </c>
      <c r="B17" s="11" t="n">
        <v>2</v>
      </c>
      <c r="C17" s="2" t="inlineStr">
        <is>
          <t>Constant: a bird is cut into 2 halves. Not editable.</t>
        </is>
      </c>
    </row>
    <row r="18" ht="16" customHeight="1">
      <c r="A18" s="5" t="inlineStr">
        <is>
          <t>Quarters per bird (constant)</t>
        </is>
      </c>
      <c r="B18" s="11" t="n">
        <v>4</v>
      </c>
      <c r="C18" s="2" t="inlineStr">
        <is>
          <t>Constant: a bird is cut into 4 quarters. Not editable.</t>
        </is>
      </c>
    </row>
    <row r="20">
      <c r="A20" s="4" t="inlineStr">
        <is>
          <t>RESULTS</t>
        </is>
      </c>
      <c r="B20" s="4" t="inlineStr">
        <is>
          <t>Value</t>
        </is>
      </c>
      <c r="C20" s="4" t="inlineStr">
        <is>
          <t>Notes</t>
        </is>
      </c>
    </row>
    <row r="21" ht="16" customHeight="1">
      <c r="A21" s="12" t="inlineStr">
        <is>
          <t>COOKED WEIGHT OF ONE BIRD (lb)</t>
        </is>
      </c>
      <c r="B21" s="13">
        <f>$B$6*$B$10</f>
        <v>2.16</v>
      </c>
      <c r="C21" s="2" t="inlineStr">
        <is>
          <t>Raw weight × cooked yield.</t>
        </is>
      </c>
    </row>
    <row r="22" ht="16" customHeight="1">
      <c r="A22" s="5" t="inlineStr">
        <is>
          <t>Cooking loss (lb)</t>
        </is>
      </c>
      <c r="B22" s="14">
        <f>$B$6-$B$21</f>
        <v>0.8399999999999999</v>
      </c>
      <c r="C22" s="2" t="inlineStr">
        <is>
          <t>Water, fat and skin that leave the rotisserie.</t>
        </is>
      </c>
    </row>
    <row r="23" ht="16" customHeight="1">
      <c r="A23" s="5" t="inlineStr">
        <is>
          <t>Cooking loss (%)</t>
        </is>
      </c>
      <c r="B23" s="15">
        <f>$B$22/$B$6</f>
        <v>0.27999999999999997</v>
      </c>
      <c r="C23" s="2" t="inlineStr">
        <is>
          <t>Loss ÷ raw weight.</t>
        </is>
      </c>
    </row>
    <row r="24" ht="16" customHeight="1">
      <c r="A24" s="12" t="inlineStr">
        <is>
          <t>COOKED YIELD (%)</t>
        </is>
      </c>
      <c r="B24" s="16">
        <f>$B$21/$B$6</f>
        <v>0.7200000000000001</v>
      </c>
      <c r="C24" s="2" t="inlineStr">
        <is>
          <t>Cooked weight ÷ raw weight.</t>
        </is>
      </c>
    </row>
    <row r="25" ht="16" customHeight="1">
      <c r="A25" s="5" t="inlineStr">
        <is>
          <t>Your cooked yield against the kit benchmark (%)</t>
        </is>
      </c>
      <c r="B25" s="17">
        <f>$B$24/$B$11</f>
        <v>0.9931034482758622</v>
      </c>
      <c r="C25" s="2" t="inlineStr">
        <is>
          <t>Below 100 %: you lose more than the kit midpoint; weigh again.</t>
        </is>
      </c>
    </row>
    <row r="26" ht="16" customHeight="1">
      <c r="A26" s="12" t="inlineStr">
        <is>
          <t>COST PER WHOLE BIRD ($)</t>
        </is>
      </c>
      <c r="B26" s="13">
        <f>($B$6*$B$7+$B$8)*(1+$B$9)</f>
        <v>5.985</v>
      </c>
      <c r="C26" s="2" t="inlineStr">
        <is>
          <t>Weight × price per lb + marinade, plus the holding waste. It feeds the costing.</t>
        </is>
      </c>
    </row>
    <row r="27" ht="16" customHeight="1">
      <c r="A27" s="12" t="inlineStr">
        <is>
          <t>COST PER COOKED LB ($)</t>
        </is>
      </c>
      <c r="B27" s="18">
        <f>$B$26/$B$21</f>
        <v>2.7708333333333335</v>
      </c>
      <c r="C27" s="2" t="inlineStr">
        <is>
          <t>Bird cost ÷ cooked pounds.</t>
        </is>
      </c>
    </row>
    <row r="28" ht="16" customHeight="1">
      <c r="A28" s="5" t="inlineStr">
        <is>
          <t>Cooked ounces of a whole bird (oz)</t>
        </is>
      </c>
      <c r="B28" s="19">
        <f>$B$21*$B$16</f>
        <v>34.56</v>
      </c>
      <c r="C28" s="2" t="inlineStr">
        <is>
          <t>Cooked weight × 16.</t>
        </is>
      </c>
    </row>
    <row r="29" ht="16" customHeight="1">
      <c r="A29" s="5" t="inlineStr">
        <is>
          <t>Cooked ounces of a half chicken (oz)</t>
        </is>
      </c>
      <c r="B29" s="19">
        <f>$B$28/$B$17</f>
        <v>17.28</v>
      </c>
      <c r="C29" s="2" t="inlineStr">
        <is>
          <t>Whole cooked bird ÷ 2.</t>
        </is>
      </c>
    </row>
    <row r="30" ht="16" customHeight="1">
      <c r="A30" s="5" t="inlineStr">
        <is>
          <t>Cooked ounces of a quarter chicken (oz)</t>
        </is>
      </c>
      <c r="B30" s="19">
        <f>$B$28/$B$18</f>
        <v>8.64</v>
      </c>
      <c r="C30" s="2" t="inlineStr">
        <is>
          <t>Whole cooked bird ÷ 4.</t>
        </is>
      </c>
    </row>
    <row r="31" ht="16" customHeight="1">
      <c r="A31" s="5" t="inlineStr">
        <is>
          <t>Cost of a half chicken ($)</t>
        </is>
      </c>
      <c r="B31" s="14">
        <f>$B$26/$B$17</f>
        <v>2.9925</v>
      </c>
      <c r="C31" s="2" t="inlineStr">
        <is>
          <t>Bird cost ÷ 2.</t>
        </is>
      </c>
    </row>
    <row r="32" ht="16" customHeight="1">
      <c r="A32" s="5" t="inlineStr">
        <is>
          <t>Cost of a quarter chicken ($)</t>
        </is>
      </c>
      <c r="B32" s="14">
        <f>$B$26/$B$18</f>
        <v>1.49625</v>
      </c>
      <c r="C32" s="2" t="inlineStr">
        <is>
          <t>Bird cost ÷ 4.</t>
        </is>
      </c>
    </row>
    <row r="33" ht="16" customHeight="1">
      <c r="A33" s="12" t="inlineStr">
        <is>
          <t>BIRDS FOR THE GUESTS (birds)</t>
        </is>
      </c>
      <c r="B33" s="20">
        <f>ROUNDUP($B$13/$B$12,0)</f>
        <v>14.0</v>
      </c>
      <c r="C33" s="2" t="inlineStr">
        <is>
          <t>Guests ÷ guests per bird, rounded up.</t>
        </is>
      </c>
    </row>
    <row r="34" ht="16" customHeight="1">
      <c r="A34" s="5" t="inlineStr">
        <is>
          <t>Raw pounds you have to buy (lb)</t>
        </is>
      </c>
      <c r="B34" s="21">
        <f>$B$33*$B$6</f>
        <v>42.0</v>
      </c>
      <c r="C34" s="2" t="inlineStr">
        <is>
          <t>Birds × raw weight.</t>
        </is>
      </c>
    </row>
    <row r="35" ht="16" customHeight="1">
      <c r="A35" s="5" t="inlineStr">
        <is>
          <t>Cost of the leftover you throw away ($)</t>
        </is>
      </c>
      <c r="B35" s="21">
        <f>$B$14*(1-$B$15)*$B$26</f>
        <v>5.985</v>
      </c>
      <c r="C35" s="2" t="inlineStr">
        <is>
          <t>Leftover birds × share you do not reuse × bird cost.</t>
        </is>
      </c>
    </row>
  </sheetData>
  <sheetProtection selectLockedCells="0" selectUnlockedCells="0" sheet="1" objects="0" insertRows="1" insertHyperlinks="1" autoFilter="1" scenarios="0" formatColumns="1" deleteColumns="1" insertColumns="1" pivotTables="1" deleteRows="1" formatCells="1" formatRows="1" sort="1"/>
  <mergeCells count="30">
    <mergeCell ref="C23:I23"/>
    <mergeCell ref="C17:I17"/>
    <mergeCell ref="C8:I8"/>
    <mergeCell ref="C32:I32"/>
    <mergeCell ref="C7:I7"/>
    <mergeCell ref="A3:I3"/>
    <mergeCell ref="C28:I28"/>
    <mergeCell ref="C13:I13"/>
    <mergeCell ref="A2:I2"/>
    <mergeCell ref="C18:I18"/>
    <mergeCell ref="C34:I34"/>
    <mergeCell ref="C6:I6"/>
    <mergeCell ref="C24:I24"/>
    <mergeCell ref="C30:I30"/>
    <mergeCell ref="C15:I15"/>
    <mergeCell ref="C33:I33"/>
    <mergeCell ref="C14:I14"/>
    <mergeCell ref="C26:I26"/>
    <mergeCell ref="C35:I35"/>
    <mergeCell ref="C29:I29"/>
    <mergeCell ref="C10:I10"/>
    <mergeCell ref="C16:I16"/>
    <mergeCell ref="C25:I25"/>
    <mergeCell ref="C31:I31"/>
    <mergeCell ref="C22:I22"/>
    <mergeCell ref="C9:I9"/>
    <mergeCell ref="C21:I21"/>
    <mergeCell ref="C12:I12"/>
    <mergeCell ref="C11:I11"/>
    <mergeCell ref="C27:I27"/>
  </mergeCells>
  <dataValidations count="5">
    <dataValidation sqref="B6 B7" showDropDown="0" showInputMessage="0" showErrorMessage="1" allowBlank="0" errorTitle="Invalid value" error="Type a number greater than 0." type="decimal" operator="greaterThan">
      <formula1>0</formula1>
    </dataValidation>
    <dataValidation sqref="B8 B14" showDropDown="0" showInputMessage="0" showErrorMessage="1" allowBlank="0" errorTitle="Invalid value" error="Type a number greater than or equal to 0." type="decimal" operator="greaterThanOrEqual">
      <formula1>0</formula1>
    </dataValidation>
    <dataValidation sqref="B10" showDropDown="0" showInputMessage="0" showErrorMessage="1" allowBlank="0" errorTitle="Invalid yield" error="Type a value between 0.3 and 1 (0.72 = 72 %)." type="decimal" operator="between">
      <formula1>0.3</formula1>
      <formula2>1</formula2>
    </dataValidation>
    <dataValidation sqref="B9 B15" showDropDown="0" showInputMessage="0" showErrorMessage="1" allowBlank="0" errorTitle="Invalid percentage" error="Type a percentage between 0 and 1 (0.5 = 50 %)." type="decimal" operator="between">
      <formula1>0</formula1>
      <formula2>1</formula2>
    </dataValidation>
    <dataValidation sqref="B12 B13" showDropDown="0" showInputMessage="0" showErrorMessage="1" allowBlank="0" errorTitle="Invalid number" error="Type a whole number of 1 or more." type="whole" operator="between">
      <formula1>1</formula1>
      <formula2>1000000</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6"/>
  <sheetViews>
    <sheetView showGridLines="0" workbookViewId="0">
      <selection activeCell="A1" sqref="A1"/>
    </sheetView>
  </sheetViews>
  <sheetFormatPr baseColWidth="8" defaultRowHeight="15"/>
  <cols>
    <col width="64"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ROTISSERIE LOADS: DO YOUR SPITS REACH THE SUNDAY PEAK?</t>
        </is>
      </c>
    </row>
    <row r="2" ht="32" customHeight="1">
      <c r="A2" s="2" t="inlineStr">
        <is>
          <t>Type only in the GREEN cells: everything else is calculated. Every default value is a kit estimate, editable. The capacity counts the full loads that fit between the first load and the deadline.</t>
        </is>
      </c>
    </row>
    <row r="3" ht="36" customHeight="1">
      <c r="A3" s="3" t="inlineStr">
        <is>
          <t>FIXED NOTICE. The cook time (80 minutes) has no published figure: no spec sheet gives the time of a 3 lb bird. Time your own unit and your own bird size before you trust the capacity.</t>
        </is>
      </c>
    </row>
    <row r="5">
      <c r="A5" s="4" t="inlineStr">
        <is>
          <t>A. THE ROTISSERIES AND THE SUNDAY</t>
        </is>
      </c>
      <c r="B5" s="4" t="inlineStr">
        <is>
          <t>Value</t>
        </is>
      </c>
      <c r="C5" s="4" t="inlineStr">
        <is>
          <t>Notes</t>
        </is>
      </c>
    </row>
    <row r="6" ht="16" customHeight="1">
      <c r="A6" s="5" t="inlineStr">
        <is>
          <t>Rotisseries</t>
        </is>
      </c>
      <c r="B6" s="9" t="n">
        <v>2</v>
      </c>
      <c r="C6" s="2" t="inlineStr">
        <is>
          <t>Whole number greater than 0. The kit case runs two gas rotisseries of 8 spits each.</t>
        </is>
      </c>
    </row>
    <row r="7" ht="16" customHeight="1">
      <c r="A7" s="5" t="inlineStr">
        <is>
          <t>Spits per rotisserie</t>
        </is>
      </c>
      <c r="B7" s="9" t="n">
        <v>8</v>
      </c>
      <c r="C7" s="2" t="inlineStr">
        <is>
          <t>Whole number greater than 0. Type your model (8-spit units are common).</t>
        </is>
      </c>
    </row>
    <row r="8" ht="16" customHeight="1">
      <c r="A8" s="5" t="inlineStr">
        <is>
          <t>Birds per spit</t>
        </is>
      </c>
      <c r="B8" s="9" t="n">
        <v>6</v>
      </c>
      <c r="C8" s="2" t="inlineStr">
        <is>
          <t>Spec sheets give about 6 chickens per spit on an 8-spit gas unit (48 birds). Whole number greater than 0.</t>
        </is>
      </c>
    </row>
    <row r="9" ht="30" customHeight="1">
      <c r="A9" s="5" t="inlineStr">
        <is>
          <t>Cook minutes of one load</t>
        </is>
      </c>
      <c r="B9" s="10" t="n">
        <v>80</v>
      </c>
      <c r="C9" s="2" t="inlineStr">
        <is>
          <t>NO PUBLISHED FIGURE: no spec sheet gives the time of a 3 lb bird. The kit works with 75 to 90 minutes. Time your own unit (see the "Instructions" sheet). Kit estimate, editable.</t>
        </is>
      </c>
    </row>
    <row r="10" ht="16" customHeight="1">
      <c r="A10" s="5" t="inlineStr">
        <is>
          <t>Load, unload and clean minutes between loads</t>
        </is>
      </c>
      <c r="B10" s="10" t="n">
        <v>15</v>
      </c>
      <c r="C10" s="2" t="inlineStr">
        <is>
          <t>Skewering the next load while the last one comes out. Kit estimate, editable.</t>
        </is>
      </c>
    </row>
    <row r="11" ht="16" customHeight="1">
      <c r="A11" s="5" t="inlineStr">
        <is>
          <t>First load: hour (24-hour clock)</t>
        </is>
      </c>
      <c r="B11" s="9" t="n">
        <v>9</v>
      </c>
      <c r="C11" s="2" t="inlineStr">
        <is>
          <t>Whole hour from 0 to 23. With 9 and 0 minutes, the first load goes on at 9:00 AM. Kit estimate, editable.</t>
        </is>
      </c>
    </row>
    <row r="12" ht="16" customHeight="1">
      <c r="A12" s="5" t="inlineStr">
        <is>
          <t>First load: minutes</t>
        </is>
      </c>
      <c r="B12" s="9" t="n">
        <v>0</v>
      </c>
      <c r="C12" s="2" t="inlineStr">
        <is>
          <t>Minutes from 0 to 59.</t>
        </is>
      </c>
    </row>
    <row r="13" ht="16" customHeight="1">
      <c r="A13" s="5" t="inlineStr">
        <is>
          <t>Deadline to have the birds cooked: hour (24-hour clock)</t>
        </is>
      </c>
      <c r="B13" s="9" t="n">
        <v>13</v>
      </c>
      <c r="C13" s="2" t="inlineStr">
        <is>
          <t>The Sunday lunch peak runs until about 1:30 PM. Whole hour from 0 to 23. Kit estimate, editable.</t>
        </is>
      </c>
    </row>
    <row r="14" ht="16" customHeight="1">
      <c r="A14" s="5" t="inlineStr">
        <is>
          <t>Deadline to have the birds cooked: minutes</t>
        </is>
      </c>
      <c r="B14" s="9" t="n">
        <v>30</v>
      </c>
      <c r="C14" s="2" t="inlineStr">
        <is>
          <t>Minutes from 0 to 59.</t>
        </is>
      </c>
    </row>
    <row r="15" ht="30" customHeight="1">
      <c r="A15" s="5" t="inlineStr">
        <is>
          <t>Birds you sell on a normal Sunday</t>
        </is>
      </c>
      <c r="B15" s="9" t="n">
        <v>68</v>
      </c>
      <c r="C15" s="2" t="inlineStr">
        <is>
          <t>About 1.6 to 1.8 times a weekday in the kit case (65 to 70 birds). Replace it with yours. Kit estimate, editable.</t>
        </is>
      </c>
    </row>
    <row r="16" ht="16" customHeight="1">
      <c r="A16" s="5" t="inlineStr">
        <is>
          <t>Share of the Sunday sold in the peak window (%)</t>
        </is>
      </c>
      <c r="B16" s="7" t="n">
        <v>0.7</v>
      </c>
      <c r="C16" s="2" t="inlineStr">
        <is>
          <t>Between about 11:30 AM and 1:30 PM. Kit estimate, editable.</t>
        </is>
      </c>
    </row>
    <row r="17" ht="30" customHeight="1">
      <c r="A17" s="5" t="inlineStr">
        <is>
          <t>Increase on a holiday or peak day (%)</t>
        </is>
      </c>
      <c r="B17" s="7" t="n">
        <v>1</v>
      </c>
      <c r="C17" s="2" t="inlineStr">
        <is>
          <t>Over a normal Sunday: Mother's Day or a Super Bowl Sunday reach 120 to 150 birds in the kit case. Kit estimate, editable.</t>
        </is>
      </c>
    </row>
    <row r="18" ht="30" customHeight="1">
      <c r="A18" s="5" t="inlineStr">
        <is>
          <t>Gas input per rotisserie (BTU/h)</t>
        </is>
      </c>
      <c r="B18" s="9" t="n">
        <v>177500</v>
      </c>
      <c r="C18" s="2" t="inlineStr">
        <is>
          <t>A gas 8-spit unit is rated about 177,500 BTU/h at full burn; the real average is lower. Type your unit's rating. Kit estimate, editable.</t>
        </is>
      </c>
    </row>
    <row r="19" ht="16" customHeight="1">
      <c r="A19" s="5" t="inlineStr">
        <is>
          <t>Gas price ($ per therm, before tax)</t>
        </is>
      </c>
      <c r="B19" s="6" t="n">
        <v>1.3</v>
      </c>
      <c r="C19" s="2" t="inlineStr">
        <is>
          <t>Check your gas bill: the price per therm is on it. Kit estimate, editable.</t>
        </is>
      </c>
    </row>
    <row r="20" ht="16" customHeight="1">
      <c r="A20" s="5" t="inlineStr">
        <is>
          <t>Minutes per hour (constant)</t>
        </is>
      </c>
      <c r="B20" s="11" t="n">
        <v>60</v>
      </c>
      <c r="C20" s="2" t="inlineStr">
        <is>
          <t>Constant: 1 hour = 60 minutes. Not editable.</t>
        </is>
      </c>
    </row>
    <row r="21" ht="16" customHeight="1">
      <c r="A21" s="5" t="inlineStr">
        <is>
          <t>BTU per therm (constant)</t>
        </is>
      </c>
      <c r="B21" s="11" t="n">
        <v>100000</v>
      </c>
      <c r="C21" s="2" t="inlineStr">
        <is>
          <t>Constant: 1 therm = 100,000 BTU. Not editable.</t>
        </is>
      </c>
    </row>
    <row r="23">
      <c r="A23" s="4" t="inlineStr">
        <is>
          <t>RESULTS</t>
        </is>
      </c>
      <c r="B23" s="4" t="inlineStr">
        <is>
          <t>Value</t>
        </is>
      </c>
      <c r="C23" s="4" t="inlineStr">
        <is>
          <t>Notes</t>
        </is>
      </c>
    </row>
    <row r="24" ht="16" customHeight="1">
      <c r="A24" s="12" t="inlineStr">
        <is>
          <t>BIRDS PER LOAD</t>
        </is>
      </c>
      <c r="B24" s="20">
        <f>$B$6*$B$7*$B$8</f>
        <v>96.0</v>
      </c>
      <c r="C24" s="2" t="inlineStr">
        <is>
          <t>Rotisseries × spits × birds per spit.</t>
        </is>
      </c>
    </row>
    <row r="25" ht="16" customHeight="1">
      <c r="A25" s="5" t="inlineStr">
        <is>
          <t>Birds per load, each rotisserie</t>
        </is>
      </c>
      <c r="B25" s="22">
        <f>$B$7*$B$8</f>
        <v>48.0</v>
      </c>
      <c r="C25" s="2" t="inlineStr">
        <is>
          <t>Spits × birds per spit.</t>
        </is>
      </c>
    </row>
    <row r="26" ht="16" customHeight="1">
      <c r="A26" s="5" t="inlineStr">
        <is>
          <t>Minutes of a full cycle</t>
        </is>
      </c>
      <c r="B26" s="19">
        <f>$B$9+$B$10</f>
        <v>95.0</v>
      </c>
      <c r="C26" s="2" t="inlineStr">
        <is>
          <t>Cook + load and unload.</t>
        </is>
      </c>
    </row>
    <row r="27" ht="16" customHeight="1">
      <c r="A27" s="5" t="inlineStr">
        <is>
          <t>Loads per hour</t>
        </is>
      </c>
      <c r="B27" s="21">
        <f>$B$20/$B$26</f>
        <v>0.631578947368421</v>
      </c>
      <c r="C27" s="2" t="inlineStr">
        <is>
          <t>60 minutes ÷ minutes of the cycle.</t>
        </is>
      </c>
    </row>
    <row r="28" ht="16" customHeight="1">
      <c r="A28" s="12" t="inlineStr">
        <is>
          <t>Capacity per hour (birds)</t>
        </is>
      </c>
      <c r="B28" s="23">
        <f>$B$24*$B$27</f>
        <v>60.63157894736842</v>
      </c>
      <c r="C28" s="2" t="inlineStr">
        <is>
          <t>Birds per load × loads per hour.</t>
        </is>
      </c>
    </row>
    <row r="29" ht="16" customHeight="1">
      <c r="A29" s="5" t="inlineStr">
        <is>
          <t>Minutes between the first load and the deadline</t>
        </is>
      </c>
      <c r="B29" s="22">
        <f>($B$13-$B$11)*$B$20+($B$14-$B$12)</f>
        <v>270.0</v>
      </c>
      <c r="C29" s="2" t="inlineStr">
        <is>
          <t>If it is negative, the deadline is before the first load.</t>
        </is>
      </c>
    </row>
    <row r="30" ht="16" customHeight="1">
      <c r="A30" s="12" t="inlineStr">
        <is>
          <t>LOADS BEFORE THE DEADLINE</t>
        </is>
      </c>
      <c r="B30" s="20">
        <f>INT(MAX(0,$B$29)/$B$26)</f>
        <v>2.0</v>
      </c>
      <c r="C30" s="2" t="inlineStr">
        <is>
          <t>Full cycles that fit in that time.</t>
        </is>
      </c>
    </row>
    <row r="31" ht="16" customHeight="1">
      <c r="A31" s="12" t="inlineStr">
        <is>
          <t>SUNDAY CAPACITY BEFORE THE DEADLINE (birds)</t>
        </is>
      </c>
      <c r="B31" s="20">
        <f>$B$24*$B$30</f>
        <v>192.0</v>
      </c>
      <c r="C31" s="2" t="inlineStr">
        <is>
          <t>Birds per load × loads.</t>
        </is>
      </c>
    </row>
    <row r="32" ht="16" customHeight="1">
      <c r="A32" s="5" t="inlineStr">
        <is>
          <t>Birds sold in the peak window of a normal Sunday</t>
        </is>
      </c>
      <c r="B32" s="19">
        <f>$B$15*$B$16</f>
        <v>47.599999999999994</v>
      </c>
      <c r="C32" s="2" t="inlineStr">
        <is>
          <t>Sunday birds × share sold in the peak window.</t>
        </is>
      </c>
    </row>
    <row r="33" ht="16" customHeight="1">
      <c r="A33" s="5" t="inlineStr">
        <is>
          <t>Loads a normal Sunday needs (all day)</t>
        </is>
      </c>
      <c r="B33" s="22">
        <f>ROUNDUP($B$15/$B$24,0)</f>
        <v>1.0</v>
      </c>
      <c r="C33" s="2" t="inlineStr">
        <is>
          <t>Sunday birds ÷ birds per load, rounded up.</t>
        </is>
      </c>
    </row>
    <row r="34" ht="16" customHeight="1">
      <c r="A34" s="5" t="inlineStr">
        <is>
          <t>Loads the peak window of a normal Sunday needs</t>
        </is>
      </c>
      <c r="B34" s="22">
        <f>ROUNDUP($B$32/$B$24,0)</f>
        <v>1.0</v>
      </c>
      <c r="C34" s="2" t="inlineStr">
        <is>
          <t>Peak birds ÷ birds per load, rounded up.</t>
        </is>
      </c>
    </row>
    <row r="35" ht="16" customHeight="1">
      <c r="A35" s="5" t="inlineStr">
        <is>
          <t>Surplus (+) or shortfall (−) at the peak (birds)</t>
        </is>
      </c>
      <c r="B35" s="19">
        <f>$B$31-$B$32</f>
        <v>144.4</v>
      </c>
      <c r="C35" s="2" t="inlineStr">
        <is>
          <t>Capacity before the deadline minus the peak birds.</t>
        </is>
      </c>
    </row>
    <row r="36" ht="32" customHeight="1">
      <c r="A36" s="12" t="inlineStr">
        <is>
          <t>Peak traffic light (normal Sunday)</t>
        </is>
      </c>
      <c r="B36" s="24" t="str">
        <f>IF($B$35&gt;=0,"Covered","Short at the peak")</f>
        <v>Covered</v>
      </c>
      <c r="C36" s="2" t="inlineStr">
        <is>
          <t>Covered if the capacity reaches the peak birds.</t>
        </is>
      </c>
    </row>
    <row r="37" ht="16" customHeight="1">
      <c r="A37" s="5" t="inlineStr">
        <is>
          <t>Birds on a holiday or peak day</t>
        </is>
      </c>
      <c r="B37" s="22">
        <f>ROUNDUP($B$15*(1+$B$17),0)</f>
        <v>136.0</v>
      </c>
      <c r="C37" s="2" t="inlineStr">
        <is>
          <t>Normal Sunday plus the increase, rounded up.</t>
        </is>
      </c>
    </row>
    <row r="38" ht="16" customHeight="1">
      <c r="A38" s="5" t="inlineStr">
        <is>
          <t>Loads a holiday or peak day needs</t>
        </is>
      </c>
      <c r="B38" s="22">
        <f>ROUNDUP($B$37/$B$24,0)</f>
        <v>2.0</v>
      </c>
      <c r="C38" s="2" t="inlineStr">
        <is>
          <t>Peak-day birds ÷ birds per load, rounded up.</t>
        </is>
      </c>
    </row>
    <row r="39" ht="16" customHeight="1">
      <c r="A39" s="5" t="inlineStr">
        <is>
          <t>Surplus (+) or shortfall (−) at the peak of a peak day (birds)</t>
        </is>
      </c>
      <c r="B39" s="19">
        <f>$B$31-$B$37*$B$16</f>
        <v>96.80000000000001</v>
      </c>
      <c r="C39" s="2" t="inlineStr">
        <is>
          <t>Capacity minus the peak-day peak.</t>
        </is>
      </c>
    </row>
    <row r="40" ht="32" customHeight="1">
      <c r="A40" s="12" t="inlineStr">
        <is>
          <t>Peak traffic light (holiday or peak day)</t>
        </is>
      </c>
      <c r="B40" s="24" t="str">
        <f>IF($B$39&gt;=0,"Covered","Short at the peak")</f>
        <v>Covered</v>
      </c>
      <c r="C40" s="2" t="inlineStr">
        <is>
          <t>Covered if the capacity reaches the peak of a peak day.</t>
        </is>
      </c>
    </row>
    <row r="41" ht="16" customHeight="1">
      <c r="A41" s="5" t="inlineStr">
        <is>
          <t>Latest first load (minutes since 00:00)</t>
        </is>
      </c>
      <c r="B41" s="22">
        <f>$B$13*$B$20+$B$14-$B$34*$B$26</f>
        <v>715.0</v>
      </c>
      <c r="C41" s="2" t="inlineStr">
        <is>
          <t>Deadline minus the peak loads times the cycle.</t>
        </is>
      </c>
    </row>
    <row r="42" ht="16" customHeight="1">
      <c r="A42" s="12" t="inlineStr">
        <is>
          <t>Latest first load: hour</t>
        </is>
      </c>
      <c r="B42" s="20">
        <f>INT($B$41/$B$20)</f>
        <v>11.0</v>
      </c>
      <c r="C42" s="2" t="inlineStr">
        <is>
          <t>If you load later, you miss the peak.</t>
        </is>
      </c>
    </row>
    <row r="43">
      <c r="A43" s="12" t="inlineStr">
        <is>
          <t>Latest first load: minutes</t>
        </is>
      </c>
      <c r="B43" s="20">
        <f>MOD($B$41,$B$20)</f>
        <v>55.0</v>
      </c>
    </row>
    <row r="44" ht="16" customHeight="1">
      <c r="A44" s="5" t="inlineStr">
        <is>
          <t>Hours of rotisserie burning on a normal Sunday</t>
        </is>
      </c>
      <c r="B44" s="21">
        <f>$B$33*$B$26/$B$20</f>
        <v>1.5833333333333333</v>
      </c>
      <c r="C44" s="2" t="inlineStr">
        <is>
          <t>Loads × cycle ÷ 60.</t>
        </is>
      </c>
    </row>
    <row r="45" ht="16" customHeight="1">
      <c r="A45" s="5" t="inlineStr">
        <is>
          <t>Gas of a normal Sunday ($)</t>
        </is>
      </c>
      <c r="B45" s="21">
        <f>$B$18*$B$6*$B$44/$B$21*$B$19</f>
        <v>7.307083333333333</v>
      </c>
      <c r="C45" s="2" t="inlineStr">
        <is>
          <t>BTU/h × rotisseries × hours ÷ BTU per therm × price per therm.</t>
        </is>
      </c>
    </row>
    <row r="46" ht="16" customHeight="1">
      <c r="A46" s="12" t="inlineStr">
        <is>
          <t>GAS PER COOKED BIRD ($)</t>
        </is>
      </c>
      <c r="B46" s="13">
        <f>$B$45/($B$33*$B$24)</f>
        <v>0.07611545138888888</v>
      </c>
      <c r="C46" s="2" t="inlineStr">
        <is>
          <t>Gas of the day ÷ birds that fit in the day's loads.</t>
        </is>
      </c>
    </row>
  </sheetData>
  <sheetProtection selectLockedCells="0" selectUnlockedCells="0" sheet="1" objects="0" insertRows="1" insertHyperlinks="1" autoFilter="1" scenarios="0" formatColumns="1" deleteColumns="1" insertColumns="1" pivotTables="1" deleteRows="1" formatCells="1" formatRows="1" sort="1"/>
  <mergeCells count="40">
    <mergeCell ref="C36:I36"/>
    <mergeCell ref="C17:I17"/>
    <mergeCell ref="C39:I39"/>
    <mergeCell ref="C8:I8"/>
    <mergeCell ref="C32:I32"/>
    <mergeCell ref="C7:I7"/>
    <mergeCell ref="A3:I3"/>
    <mergeCell ref="C38:I38"/>
    <mergeCell ref="C19:I19"/>
    <mergeCell ref="C37:I37"/>
    <mergeCell ref="C28:I28"/>
    <mergeCell ref="C13:I13"/>
    <mergeCell ref="A2:I2"/>
    <mergeCell ref="C18:I18"/>
    <mergeCell ref="C34:I34"/>
    <mergeCell ref="C6:I6"/>
    <mergeCell ref="C24:I24"/>
    <mergeCell ref="C30:I30"/>
    <mergeCell ref="C42:I42"/>
    <mergeCell ref="C15:I15"/>
    <mergeCell ref="C33:I33"/>
    <mergeCell ref="C14:I14"/>
    <mergeCell ref="C45:I45"/>
    <mergeCell ref="C26:I26"/>
    <mergeCell ref="C35:I35"/>
    <mergeCell ref="C20:I20"/>
    <mergeCell ref="C29:I29"/>
    <mergeCell ref="C10:I10"/>
    <mergeCell ref="C16:I16"/>
    <mergeCell ref="C25:I25"/>
    <mergeCell ref="C41:I41"/>
    <mergeCell ref="C31:I31"/>
    <mergeCell ref="C44:I44"/>
    <mergeCell ref="C40:I40"/>
    <mergeCell ref="C9:I9"/>
    <mergeCell ref="C21:I21"/>
    <mergeCell ref="C12:I12"/>
    <mergeCell ref="C46:I46"/>
    <mergeCell ref="C11:I11"/>
    <mergeCell ref="C27:I27"/>
  </mergeCells>
  <conditionalFormatting sqref="B36">
    <cfRule type="expression" priority="1" dxfId="0">
      <formula>$B$36="Covered"</formula>
    </cfRule>
    <cfRule type="expression" priority="2" dxfId="1">
      <formula>$B$36="Short at the peak"</formula>
    </cfRule>
  </conditionalFormatting>
  <conditionalFormatting sqref="B40">
    <cfRule type="expression" priority="3" dxfId="0">
      <formula>$B$40="Covered"</formula>
    </cfRule>
    <cfRule type="expression" priority="4" dxfId="1">
      <formula>$B$40="Short at the peak"</formula>
    </cfRule>
  </conditionalFormatting>
  <dataValidations count="8">
    <dataValidation sqref="B6 B7 B8 B15" showDropDown="0" showInputMessage="0" showErrorMessage="1" allowBlank="0" errorTitle="Invalid number" error="Type a whole number of 1 or more." type="whole" operator="between">
      <formula1>1</formula1>
      <formula2>1000000</formula2>
    </dataValidation>
    <dataValidation sqref="B9" showDropDown="0" showInputMessage="0" showErrorMessage="1" allowBlank="0" errorTitle="Invalid value" error="Type a number greater than 0." type="decimal" operator="greaterThan">
      <formula1>0</formula1>
    </dataValidation>
    <dataValidation sqref="B10 B19" showDropDown="0" showInputMessage="0" showErrorMessage="1" allowBlank="0" errorTitle="Invalid value" error="Type a number greater than or equal to 0." type="decimal" operator="greaterThanOrEqual">
      <formula1>0</formula1>
    </dataValidation>
    <dataValidation sqref="B18" showDropDown="0" showInputMessage="0" showErrorMessage="1" allowBlank="0" errorTitle="Invalid number" error="Type a whole number of 0 or more." type="whole" operator="between">
      <formula1>0</formula1>
      <formula2>100000000</formula2>
    </dataValidation>
    <dataValidation sqref="B11 B13" showDropDown="0" showInputMessage="0" showErrorMessage="1" allowBlank="0" errorTitle="Invalid hour" error="Type a whole hour from 0 to 23." type="whole" operator="between">
      <formula1>0</formula1>
      <formula2>23</formula2>
    </dataValidation>
    <dataValidation sqref="B12 B14" showDropDown="0" showInputMessage="0" showErrorMessage="1" allowBlank="0" errorTitle="Invalid minutes" error="Type whole minutes from 0 to 59." type="whole" operator="between">
      <formula1>0</formula1>
      <formula2>59</formula2>
    </dataValidation>
    <dataValidation sqref="B16" showDropDown="0" showInputMessage="0" showErrorMessage="1" allowBlank="0" errorTitle="Invalid percentage" error="Type a percentage between 0 and 1 (0.7 = 70 %)." type="decimal" operator="between">
      <formula1>0</formula1>
      <formula2>1</formula2>
    </dataValidation>
    <dataValidation sqref="B17" showDropDown="0" showInputMessage="0" showErrorMessage="1" allowBlank="0" errorTitle="Invalid percentage" error="Type a value between 0 and 3 (1 = +100 %)." type="decimal" operator="between">
      <formula1>0</formula1>
      <formula2>3</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48"/>
  <sheetViews>
    <sheetView showGridLines="0" workbookViewId="0">
      <selection activeCell="A1" sqref="A1"/>
    </sheetView>
  </sheetViews>
  <sheetFormatPr baseColWidth="8" defaultRowHeight="15"/>
  <cols>
    <col width="46" customWidth="1" min="1" max="1"/>
    <col width="14" customWidth="1" min="2" max="2"/>
    <col width="7"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6" customWidth="1" min="13" max="13"/>
  </cols>
  <sheetData>
    <row r="1">
      <c r="A1" s="1" t="inlineStr">
        <is>
          <t>PLATE COSTING: WHOLE, HALF, QUARTER, FAMILY MEAL, SANDWICH OR BOWL, SIDES AND A DRINK, IN OUNCES</t>
        </is>
      </c>
    </row>
    <row r="2" ht="32" customHeight="1">
      <c r="A2" s="2" t="inlineStr">
        <is>
          <t>Type only in the GREEN cells (prices, ounces, names, bird fractions and menu prices). Amounts before sales tax except the menu price. Prices are a kit estimate, editable: type your distributor's. The cost of the chicken comes from the "Chicken Yield" sheet.</t>
        </is>
      </c>
    </row>
    <row r="4">
      <c r="A4" s="4" t="inlineStr">
        <is>
          <t>GENERAL DATA</t>
        </is>
      </c>
      <c r="B4" s="4" t="inlineStr">
        <is>
          <t>Value</t>
        </is>
      </c>
      <c r="D4" s="4" t="inlineStr">
        <is>
          <t>Notes</t>
        </is>
      </c>
    </row>
    <row r="5" ht="16" customHeight="1">
      <c r="A5" s="5" t="inlineStr">
        <is>
          <t>Sales tax included in your menu prices (%)</t>
        </is>
      </c>
      <c r="B5" s="7" t="n">
        <v>0</v>
      </c>
      <c r="D5" s="2" t="inlineStr">
        <is>
          <t>Typically 0 %: a US menu is quoted before tax and the tax is added at the register. Rates vary by state and city; ask your accountant.</t>
        </is>
      </c>
    </row>
    <row r="6" ht="16" customHeight="1">
      <c r="A6" s="5" t="inlineStr">
        <is>
          <t>Target food cost (% of the price before tax)</t>
        </is>
      </c>
      <c r="B6" s="7" t="n">
        <v>0.3</v>
      </c>
      <c r="D6" s="2" t="inlineStr">
        <is>
          <t>Rotisserie chicken reference: food and beverage at 30 % or less. Kit estimate, editable.</t>
        </is>
      </c>
    </row>
    <row r="7" ht="16" customHeight="1">
      <c r="A7" s="5" t="inlineStr">
        <is>
          <t>Watch margin over the target (points)</t>
        </is>
      </c>
      <c r="B7" s="7" t="n">
        <v>0.05</v>
      </c>
      <c r="D7" s="2" t="inlineStr">
        <is>
          <t>Up to this margin above the target, the traffic light says "Watch the cost". The whole bird tends to land here.</t>
        </is>
      </c>
    </row>
    <row r="8" ht="30" customHeight="1">
      <c r="A8" s="5" t="inlineStr">
        <is>
          <t>Production waste on the sides (%)</t>
        </is>
      </c>
      <c r="B8" s="7" t="n">
        <v>0</v>
      </c>
      <c r="D8" s="2" t="inlineStr">
        <is>
          <t>Default 0: the bird already carries its holding waste on the "Chicken Yield" sheet. Type a percentage if you throw away fries, salad or rice. Kit estimate, editable.</t>
        </is>
      </c>
    </row>
    <row r="9" ht="16" customHeight="1">
      <c r="A9" s="5" t="inlineStr">
        <is>
          <t>Packaging per takeout order ($, before tax)</t>
        </is>
      </c>
      <c r="B9" s="6" t="n">
        <v>0.6</v>
      </c>
      <c r="D9" s="2" t="inlineStr">
        <is>
          <t>Thermal bag, tray and sauce cups of one order. Kit estimate, editable.</t>
        </is>
      </c>
    </row>
    <row r="10" ht="16" customHeight="1">
      <c r="A10" s="5" t="inlineStr">
        <is>
          <t>Delivery marketplace commission (%)</t>
        </is>
      </c>
      <c r="B10" s="7" t="n">
        <v>0.25</v>
      </c>
      <c r="D10" s="2" t="inlineStr">
        <is>
          <t>Over the price before tax. Check your contract with each marketplace. Kit estimate, editable.</t>
        </is>
      </c>
    </row>
    <row r="11" ht="16" customHeight="1">
      <c r="A11" s="5" t="inlineStr">
        <is>
          <t>Menu markup on the marketplace (%)</t>
        </is>
      </c>
      <c r="B11" s="7" t="n">
        <v>0.15</v>
      </c>
      <c r="D11" s="2" t="inlineStr">
        <is>
          <t>How much you raise the price on the marketplace to offset the commission. Kit estimate, editable.</t>
        </is>
      </c>
    </row>
    <row r="13" ht="62" customHeight="1">
      <c r="A13" s="3" t="inlineStr">
        <is>
          <t>INGREDIENT (in ounces)</t>
        </is>
      </c>
      <c r="B13" s="3" t="inlineStr">
        <is>
          <t>$/lb before tax</t>
        </is>
      </c>
      <c r="C13" s="3" t="inlineStr">
        <is>
          <t>Unit</t>
        </is>
      </c>
      <c r="D13" s="25" t="inlineStr">
        <is>
          <t>Whole chicken</t>
        </is>
      </c>
      <c r="E13" s="25" t="inlineStr">
        <is>
          <t>Half chicken + 2 sides</t>
        </is>
      </c>
      <c r="F13" s="25" t="inlineStr">
        <is>
          <t>Quarter chicken + 2 sides</t>
        </is>
      </c>
      <c r="G13" s="25" t="inlineStr">
        <is>
          <t>Family meal (whole chicken + 2 large sides)</t>
        </is>
      </c>
      <c r="H13" s="25" t="inlineStr">
        <is>
          <t>Chicken sandwich or bowl</t>
        </is>
      </c>
      <c r="I13" s="25" t="inlineStr">
        <is>
          <t>Salchipapas</t>
        </is>
      </c>
      <c r="J13" s="25" t="inlineStr">
        <is>
          <t>Large yuca fries (side)</t>
        </is>
      </c>
      <c r="K13" s="25" t="inlineStr">
        <is>
          <t>Maduros (side)</t>
        </is>
      </c>
      <c r="L13" s="25" t="inlineStr">
        <is>
          <t>Inca Kola or soda</t>
        </is>
      </c>
      <c r="M13" s="3" t="inlineStr">
        <is>
          <t>WHERE THE PRICE COMES FROM</t>
        </is>
      </c>
    </row>
    <row r="14">
      <c r="A14" s="12" t="inlineStr">
        <is>
          <t>Menu price ($)</t>
        </is>
      </c>
      <c r="D14" s="26" t="n">
        <v>19</v>
      </c>
      <c r="E14" s="26" t="n">
        <v>17.5</v>
      </c>
      <c r="F14" s="26" t="n">
        <v>13</v>
      </c>
      <c r="G14" s="26" t="n">
        <v>34</v>
      </c>
      <c r="H14" s="26" t="n">
        <v>13.5</v>
      </c>
      <c r="I14" s="26" t="n">
        <v>10.5</v>
      </c>
      <c r="J14" s="26" t="n">
        <v>8</v>
      </c>
      <c r="K14" s="26" t="n">
        <v>4.5</v>
      </c>
      <c r="L14" s="26" t="n">
        <v>3.25</v>
      </c>
    </row>
    <row r="15">
      <c r="A15" s="27" t="inlineStr">
        <is>
          <t>Yuca fries (frozen, with fry oil)</t>
        </is>
      </c>
      <c r="B15" s="6" t="n">
        <v>2.97</v>
      </c>
      <c r="C15" s="5" t="inlineStr">
        <is>
          <t>oz</t>
        </is>
      </c>
      <c r="D15" s="28" t="n">
        <v>0</v>
      </c>
      <c r="E15" s="28" t="n">
        <v>7.5</v>
      </c>
      <c r="F15" s="28" t="n">
        <v>7.5</v>
      </c>
      <c r="G15" s="28" t="n">
        <v>14.4</v>
      </c>
      <c r="H15" s="28" t="n">
        <v>0</v>
      </c>
      <c r="I15" s="28" t="n">
        <v>0</v>
      </c>
      <c r="J15" s="28" t="n">
        <v>12</v>
      </c>
      <c r="K15" s="28" t="n">
        <v>0</v>
      </c>
      <c r="L15" s="28" t="n">
        <v>0</v>
      </c>
      <c r="M15" s="29" t="inlineStr">
        <is>
          <t>Kit estimate (Oct 2026): frozen yuca about $2.75/lb plus fry oil. Replace with your distributor's price</t>
        </is>
      </c>
    </row>
    <row r="16">
      <c r="A16" s="27" t="inlineStr">
        <is>
          <t>French fries (frozen, with fry oil)</t>
        </is>
      </c>
      <c r="B16" s="6" t="n">
        <v>2.2</v>
      </c>
      <c r="C16" s="5" t="inlineStr">
        <is>
          <t>oz</t>
        </is>
      </c>
      <c r="D16" s="28" t="n">
        <v>0</v>
      </c>
      <c r="E16" s="28" t="n">
        <v>0</v>
      </c>
      <c r="F16" s="28" t="n">
        <v>0</v>
      </c>
      <c r="G16" s="28" t="n">
        <v>0</v>
      </c>
      <c r="H16" s="28" t="n">
        <v>0</v>
      </c>
      <c r="I16" s="28" t="n">
        <v>10</v>
      </c>
      <c r="J16" s="28" t="n">
        <v>0</v>
      </c>
      <c r="K16" s="28" t="n">
        <v>0</v>
      </c>
      <c r="L16" s="28" t="n">
        <v>0</v>
      </c>
      <c r="M16" s="29" t="inlineStr">
        <is>
          <t>Kit estimate (Oct 2026): replace with your distributor's price</t>
        </is>
      </c>
    </row>
    <row r="17">
      <c r="A17" s="27" t="inlineStr">
        <is>
          <t>Rice &amp; beans (cooked)</t>
        </is>
      </c>
      <c r="B17" s="6" t="n">
        <v>1.2</v>
      </c>
      <c r="C17" s="5" t="inlineStr">
        <is>
          <t>oz</t>
        </is>
      </c>
      <c r="D17" s="28" t="n">
        <v>0</v>
      </c>
      <c r="E17" s="28" t="n">
        <v>0</v>
      </c>
      <c r="F17" s="28" t="n">
        <v>0</v>
      </c>
      <c r="G17" s="28" t="n">
        <v>12</v>
      </c>
      <c r="H17" s="28" t="n">
        <v>6</v>
      </c>
      <c r="I17" s="28" t="n">
        <v>0</v>
      </c>
      <c r="J17" s="28" t="n">
        <v>0</v>
      </c>
      <c r="K17" s="28" t="n">
        <v>0</v>
      </c>
      <c r="L17" s="28" t="n">
        <v>0</v>
      </c>
      <c r="M17" s="29" t="inlineStr">
        <is>
          <t>Kit estimate (Oct 2026): replace with your distributor's price</t>
        </is>
      </c>
    </row>
    <row r="18">
      <c r="A18" s="27" t="inlineStr">
        <is>
          <t>House salad</t>
        </is>
      </c>
      <c r="B18" s="6" t="n">
        <v>2.4</v>
      </c>
      <c r="C18" s="5" t="inlineStr">
        <is>
          <t>oz</t>
        </is>
      </c>
      <c r="D18" s="28" t="n">
        <v>0</v>
      </c>
      <c r="E18" s="28" t="n">
        <v>4</v>
      </c>
      <c r="F18" s="28" t="n">
        <v>4</v>
      </c>
      <c r="G18" s="28" t="n">
        <v>0</v>
      </c>
      <c r="H18" s="28" t="n">
        <v>3</v>
      </c>
      <c r="I18" s="28" t="n">
        <v>0</v>
      </c>
      <c r="J18" s="28" t="n">
        <v>0</v>
      </c>
      <c r="K18" s="28" t="n">
        <v>0</v>
      </c>
      <c r="L18" s="28" t="n">
        <v>0</v>
      </c>
      <c r="M18" s="29" t="inlineStr">
        <is>
          <t>Kit estimate (Oct 2026): replace with your distributor's price</t>
        </is>
      </c>
    </row>
    <row r="19">
      <c r="A19" s="27" t="inlineStr">
        <is>
          <t>Maduros (fried sweet plantains)</t>
        </is>
      </c>
      <c r="B19" s="6" t="n">
        <v>3</v>
      </c>
      <c r="C19" s="5" t="inlineStr">
        <is>
          <t>oz</t>
        </is>
      </c>
      <c r="D19" s="28" t="n">
        <v>0</v>
      </c>
      <c r="E19" s="28" t="n">
        <v>0</v>
      </c>
      <c r="F19" s="28" t="n">
        <v>0</v>
      </c>
      <c r="G19" s="28" t="n">
        <v>0</v>
      </c>
      <c r="H19" s="28" t="n">
        <v>0</v>
      </c>
      <c r="I19" s="28" t="n">
        <v>0</v>
      </c>
      <c r="J19" s="28" t="n">
        <v>0</v>
      </c>
      <c r="K19" s="28" t="n">
        <v>5</v>
      </c>
      <c r="L19" s="28" t="n">
        <v>0</v>
      </c>
      <c r="M19" s="29" t="inlineStr">
        <is>
          <t>Kit estimate (Oct 2026): replace with your distributor's price</t>
        </is>
      </c>
    </row>
    <row r="20">
      <c r="A20" s="27" t="inlineStr">
        <is>
          <t>Aji verde (Peruvian green sauce)</t>
        </is>
      </c>
      <c r="B20" s="6" t="n">
        <v>2</v>
      </c>
      <c r="C20" s="5" t="inlineStr">
        <is>
          <t>oz</t>
        </is>
      </c>
      <c r="D20" s="28" t="n">
        <v>0</v>
      </c>
      <c r="E20" s="28" t="n">
        <v>2</v>
      </c>
      <c r="F20" s="28" t="n">
        <v>2</v>
      </c>
      <c r="G20" s="28" t="n">
        <v>4</v>
      </c>
      <c r="H20" s="28" t="n">
        <v>1</v>
      </c>
      <c r="I20" s="28" t="n">
        <v>2</v>
      </c>
      <c r="J20" s="28" t="n">
        <v>2</v>
      </c>
      <c r="K20" s="28" t="n">
        <v>0</v>
      </c>
      <c r="L20" s="28" t="n">
        <v>0</v>
      </c>
      <c r="M20" s="29" t="inlineStr">
        <is>
          <t>Kit estimate (Oct 2026): replace with your distributor's price</t>
        </is>
      </c>
    </row>
    <row r="21">
      <c r="A21" s="27" t="inlineStr">
        <is>
          <t>Sliced sausage (for salchipapas)</t>
        </is>
      </c>
      <c r="B21" s="6" t="n">
        <v>4.5</v>
      </c>
      <c r="C21" s="5" t="inlineStr">
        <is>
          <t>oz</t>
        </is>
      </c>
      <c r="D21" s="28" t="n">
        <v>0</v>
      </c>
      <c r="E21" s="28" t="n">
        <v>0</v>
      </c>
      <c r="F21" s="28" t="n">
        <v>0</v>
      </c>
      <c r="G21" s="28" t="n">
        <v>0</v>
      </c>
      <c r="H21" s="28" t="n">
        <v>0</v>
      </c>
      <c r="I21" s="28" t="n">
        <v>4</v>
      </c>
      <c r="J21" s="28" t="n">
        <v>0</v>
      </c>
      <c r="K21" s="28" t="n">
        <v>0</v>
      </c>
      <c r="L21" s="28" t="n">
        <v>0</v>
      </c>
      <c r="M21" s="29" t="inlineStr">
        <is>
          <t>Kit estimate (Oct 2026): replace with your distributor's price</t>
        </is>
      </c>
    </row>
    <row r="22">
      <c r="A22" s="4" t="inlineStr">
        <is>
          <t>INGREDIENT (in units)</t>
        </is>
      </c>
      <c r="B22" s="4" t="inlineStr">
        <is>
          <t>$/ea before tax</t>
        </is>
      </c>
      <c r="C22" s="4" t="inlineStr">
        <is>
          <t>Unit</t>
        </is>
      </c>
    </row>
    <row r="23">
      <c r="A23" s="5" t="inlineStr">
        <is>
          <t>Rotisserie chicken (fraction of a whole bird)</t>
        </is>
      </c>
      <c r="B23" s="14">
        <f>'Chicken Yield'!$B$26</f>
        <v>5.985</v>
      </c>
      <c r="C23" s="5" t="inlineStr">
        <is>
          <t>bird</t>
        </is>
      </c>
      <c r="D23" s="30" t="n">
        <v>1</v>
      </c>
      <c r="E23" s="30" t="n">
        <v>0.5</v>
      </c>
      <c r="F23" s="30" t="n">
        <v>0.25</v>
      </c>
      <c r="G23" s="30" t="n">
        <v>1</v>
      </c>
      <c r="H23" s="30" t="n">
        <v>0.25</v>
      </c>
      <c r="I23" s="30" t="n">
        <v>0</v>
      </c>
      <c r="J23" s="30" t="n">
        <v>0</v>
      </c>
      <c r="K23" s="30" t="n">
        <v>0</v>
      </c>
      <c r="L23" s="30" t="n">
        <v>0</v>
      </c>
      <c r="M23" s="29" t="inlineStr">
        <is>
          <t>linked from the Chicken Yield sheet (cost per whole bird)</t>
        </is>
      </c>
    </row>
    <row r="24">
      <c r="A24" s="27" t="inlineStr">
        <is>
          <t>Bread roll (ea)</t>
        </is>
      </c>
      <c r="B24" s="31" t="n">
        <v>0.4</v>
      </c>
      <c r="C24" s="5" t="inlineStr">
        <is>
          <t>ea</t>
        </is>
      </c>
      <c r="D24" s="30" t="n">
        <v>0</v>
      </c>
      <c r="E24" s="30" t="n">
        <v>0</v>
      </c>
      <c r="F24" s="30" t="n">
        <v>0</v>
      </c>
      <c r="G24" s="30" t="n">
        <v>0</v>
      </c>
      <c r="H24" s="30" t="n">
        <v>1</v>
      </c>
      <c r="I24" s="30" t="n">
        <v>0</v>
      </c>
      <c r="J24" s="30" t="n">
        <v>0</v>
      </c>
      <c r="K24" s="30" t="n">
        <v>0</v>
      </c>
      <c r="L24" s="30" t="n">
        <v>0</v>
      </c>
      <c r="M24" s="29" t="inlineStr">
        <is>
          <t>Kit estimate (Oct 2026): replace with your distributor's price</t>
        </is>
      </c>
    </row>
    <row r="25">
      <c r="A25" s="27" t="inlineStr">
        <is>
          <t>Inca Kola or soda, can or bottle (ea)</t>
        </is>
      </c>
      <c r="B25" s="31" t="n">
        <v>0.7</v>
      </c>
      <c r="C25" s="5" t="inlineStr">
        <is>
          <t>ea</t>
        </is>
      </c>
      <c r="D25" s="30" t="n">
        <v>0</v>
      </c>
      <c r="E25" s="30" t="n">
        <v>0</v>
      </c>
      <c r="F25" s="30" t="n">
        <v>0</v>
      </c>
      <c r="G25" s="30" t="n">
        <v>0</v>
      </c>
      <c r="H25" s="30" t="n">
        <v>0</v>
      </c>
      <c r="I25" s="30" t="n">
        <v>0</v>
      </c>
      <c r="J25" s="30" t="n">
        <v>0</v>
      </c>
      <c r="K25" s="30" t="n">
        <v>0</v>
      </c>
      <c r="L25" s="30" t="n">
        <v>1</v>
      </c>
      <c r="M25" s="29" t="inlineStr">
        <is>
          <t>Kit estimate (Oct 2026): replace with your distributor's price</t>
        </is>
      </c>
    </row>
    <row r="27" ht="62" customHeight="1">
      <c r="A27" s="4" t="inlineStr">
        <is>
          <t>RESULT PER ITEM (ounces and units in the columns above)</t>
        </is>
      </c>
      <c r="D27" s="3" t="str">
        <f>D13</f>
        <v>Whole chicken</v>
      </c>
      <c r="E27" s="3" t="str">
        <f>E13</f>
        <v>Half chicken + 2 sides</v>
      </c>
      <c r="F27" s="3" t="str">
        <f>F13</f>
        <v>Quarter chicken + 2 sides</v>
      </c>
      <c r="G27" s="3" t="str">
        <f>G13</f>
        <v>Family meal (whole chicken + 2 large sides)</v>
      </c>
      <c r="H27" s="3" t="str">
        <f>H13</f>
        <v>Chicken sandwich or bowl</v>
      </c>
      <c r="I27" s="3" t="str">
        <f>I13</f>
        <v>Salchipapas</v>
      </c>
      <c r="J27" s="3" t="str">
        <f>J13</f>
        <v>Large yuca fries (side)</v>
      </c>
      <c r="K27" s="3" t="str">
        <f>K13</f>
        <v>Maduros (side)</v>
      </c>
      <c r="L27" s="3" t="str">
        <f>L13</f>
        <v>Inca Kola or soda</v>
      </c>
    </row>
    <row r="28">
      <c r="A28" s="2" t="inlineStr">
        <is>
          <t>Weight served on the plate (oz)</t>
        </is>
      </c>
      <c r="D28" s="19">
        <f>SUM(D$15:D$21)+D$23*'Chicken Yield'!$B$28</f>
        <v>34.56</v>
      </c>
      <c r="E28" s="19">
        <f>SUM(E$15:E$21)+E$23*'Chicken Yield'!$B$28</f>
        <v>30.78</v>
      </c>
      <c r="F28" s="19">
        <f>SUM(F$15:F$21)+F$23*'Chicken Yield'!$B$28</f>
        <v>22.14</v>
      </c>
      <c r="G28" s="19">
        <f>SUM(G$15:G$21)+G$23*'Chicken Yield'!$B$28</f>
        <v>64.96000000000001</v>
      </c>
      <c r="H28" s="19">
        <f>SUM(H$15:H$21)+H$23*'Chicken Yield'!$B$28</f>
        <v>18.64</v>
      </c>
      <c r="I28" s="19">
        <f>SUM(I$15:I$21)+I$23*'Chicken Yield'!$B$28</f>
        <v>16.0</v>
      </c>
      <c r="J28" s="19">
        <f>SUM(J$15:J$21)+J$23*'Chicken Yield'!$B$28</f>
        <v>14.0</v>
      </c>
      <c r="K28" s="19">
        <f>SUM(K$15:K$21)+K$23*'Chicken Yield'!$B$28</f>
        <v>5.0</v>
      </c>
      <c r="L28" s="19">
        <f>SUM(L$15:L$21)+L$23*'Chicken Yield'!$B$28</f>
        <v>0.0</v>
      </c>
    </row>
    <row r="29">
      <c r="A29" s="2" t="inlineStr">
        <is>
          <t>Cost of the chicken ($)</t>
        </is>
      </c>
      <c r="D29" s="14">
        <f>D$23*$B$23</f>
        <v>5.985</v>
      </c>
      <c r="E29" s="14">
        <f>E$23*$B$23</f>
        <v>2.9925</v>
      </c>
      <c r="F29" s="14">
        <f>F$23*$B$23</f>
        <v>1.49625</v>
      </c>
      <c r="G29" s="14">
        <f>G$23*$B$23</f>
        <v>5.985</v>
      </c>
      <c r="H29" s="14">
        <f>H$23*$B$23</f>
        <v>1.49625</v>
      </c>
      <c r="I29" s="14">
        <f>I$23*$B$23</f>
        <v>0.0</v>
      </c>
      <c r="J29" s="14">
        <f>J$23*$B$23</f>
        <v>0.0</v>
      </c>
      <c r="K29" s="14">
        <f>K$23*$B$23</f>
        <v>0.0</v>
      </c>
      <c r="L29" s="14">
        <f>L$23*$B$23</f>
        <v>0.0</v>
      </c>
    </row>
    <row r="30">
      <c r="A30" s="2" t="inlineStr">
        <is>
          <t>Cost of sides, sauces, bread and drinks, before waste ($)</t>
        </is>
      </c>
      <c r="D30" s="14">
        <f>SUMPRODUCT(D$15:D$21,$B$15:$B$21)/'Chicken Yield'!$B$16+SUMPRODUCT(D$24:D$25,$B$24:$B$25)</f>
        <v>0.0</v>
      </c>
      <c r="E30" s="14">
        <f>SUMPRODUCT(E$15:E$21,$B$15:$B$21)/'Chicken Yield'!$B$16+SUMPRODUCT(E$24:E$25,$B$24:$B$25)</f>
        <v>2.2421875</v>
      </c>
      <c r="F30" s="14">
        <f>SUMPRODUCT(F$15:F$21,$B$15:$B$21)/'Chicken Yield'!$B$16+SUMPRODUCT(F$24:F$25,$B$24:$B$25)</f>
        <v>2.2421875</v>
      </c>
      <c r="G30" s="14">
        <f>SUMPRODUCT(G$15:G$21,$B$15:$B$21)/'Chicken Yield'!$B$16+SUMPRODUCT(G$24:G$25,$B$24:$B$25)</f>
        <v>4.073</v>
      </c>
      <c r="H30" s="14">
        <f>SUMPRODUCT(H$15:H$21,$B$15:$B$21)/'Chicken Yield'!$B$16+SUMPRODUCT(H$24:H$25,$B$24:$B$25)</f>
        <v>1.4249999999999998</v>
      </c>
      <c r="I30" s="14">
        <f>SUMPRODUCT(I$15:I$21,$B$15:$B$21)/'Chicken Yield'!$B$16+SUMPRODUCT(I$24:I$25,$B$24:$B$25)</f>
        <v>2.75</v>
      </c>
      <c r="J30" s="14">
        <f>SUMPRODUCT(J$15:J$21,$B$15:$B$21)/'Chicken Yield'!$B$16+SUMPRODUCT(J$24:J$25,$B$24:$B$25)</f>
        <v>2.4775</v>
      </c>
      <c r="K30" s="14">
        <f>SUMPRODUCT(K$15:K$21,$B$15:$B$21)/'Chicken Yield'!$B$16+SUMPRODUCT(K$24:K$25,$B$24:$B$25)</f>
        <v>0.9375</v>
      </c>
      <c r="L30" s="14">
        <f>SUMPRODUCT(L$15:L$21,$B$15:$B$21)/'Chicken Yield'!$B$16+SUMPRODUCT(L$24:L$25,$B$24:$B$25)</f>
        <v>0.7</v>
      </c>
    </row>
    <row r="31">
      <c r="A31" s="24" t="inlineStr">
        <is>
          <t>COST WITH WASTE ON THE SIDES ($)</t>
        </is>
      </c>
      <c r="D31" s="13">
        <f>D29+D30*(1+$B$8)</f>
        <v>5.985</v>
      </c>
      <c r="E31" s="13">
        <f>E29+E30*(1+$B$8)</f>
        <v>5.2346875</v>
      </c>
      <c r="F31" s="13">
        <f>F29+F30*(1+$B$8)</f>
        <v>3.7384375</v>
      </c>
      <c r="G31" s="13">
        <f>G29+G30*(1+$B$8)</f>
        <v>10.058</v>
      </c>
      <c r="H31" s="13">
        <f>H29+H30*(1+$B$8)</f>
        <v>2.9212499999999997</v>
      </c>
      <c r="I31" s="13">
        <f>I29+I30*(1+$B$8)</f>
        <v>2.75</v>
      </c>
      <c r="J31" s="13">
        <f>J29+J30*(1+$B$8)</f>
        <v>2.4775</v>
      </c>
      <c r="K31" s="13">
        <f>K29+K30*(1+$B$8)</f>
        <v>0.9375</v>
      </c>
      <c r="L31" s="13">
        <f>L29+L30*(1+$B$8)</f>
        <v>0.7</v>
      </c>
    </row>
    <row r="32">
      <c r="A32" s="2" t="inlineStr">
        <is>
          <t>Menu price before tax ($)</t>
        </is>
      </c>
      <c r="D32" s="21">
        <f>D14/(1+$B$5)</f>
        <v>19.0</v>
      </c>
      <c r="E32" s="21">
        <f>E14/(1+$B$5)</f>
        <v>17.5</v>
      </c>
      <c r="F32" s="21">
        <f>F14/(1+$B$5)</f>
        <v>13.0</v>
      </c>
      <c r="G32" s="21">
        <f>G14/(1+$B$5)</f>
        <v>34.0</v>
      </c>
      <c r="H32" s="21">
        <f>H14/(1+$B$5)</f>
        <v>13.5</v>
      </c>
      <c r="I32" s="21">
        <f>I14/(1+$B$5)</f>
        <v>10.5</v>
      </c>
      <c r="J32" s="21">
        <f>J14/(1+$B$5)</f>
        <v>8.0</v>
      </c>
      <c r="K32" s="21">
        <f>K14/(1+$B$5)</f>
        <v>4.5</v>
      </c>
      <c r="L32" s="21">
        <f>L14/(1+$B$5)</f>
        <v>3.25</v>
      </c>
    </row>
    <row r="33">
      <c r="A33" s="24" t="inlineStr">
        <is>
          <t>FOOD COST (%)</t>
        </is>
      </c>
      <c r="D33" s="16">
        <f>D31/D32</f>
        <v>0.315</v>
      </c>
      <c r="E33" s="16">
        <f>E31/E32</f>
        <v>0.299125</v>
      </c>
      <c r="F33" s="16">
        <f>F31/F32</f>
        <v>0.28757211538461536</v>
      </c>
      <c r="G33" s="16">
        <f>G31/G32</f>
        <v>0.2958235294117647</v>
      </c>
      <c r="H33" s="16">
        <f>H31/H32</f>
        <v>0.21638888888888885</v>
      </c>
      <c r="I33" s="16">
        <f>I31/I32</f>
        <v>0.2619047619047619</v>
      </c>
      <c r="J33" s="16">
        <f>J31/J32</f>
        <v>0.3096875</v>
      </c>
      <c r="K33" s="16">
        <f>K31/K32</f>
        <v>0.20833333333333334</v>
      </c>
      <c r="L33" s="16">
        <f>L31/L32</f>
        <v>0.21538461538461537</v>
      </c>
    </row>
    <row r="34" ht="32" customHeight="1">
      <c r="A34" s="2" t="inlineStr">
        <is>
          <t>Traffic light against the target</t>
        </is>
      </c>
      <c r="D34" s="2" t="str">
        <f>IF(D33&lt;=$B$6,"On target",IF(D33&lt;=$B$6+$B$7,"Watch the cost","Above target"))</f>
        <v>Watch the cost</v>
      </c>
      <c r="E34" s="2" t="str">
        <f>IF(E33&lt;=$B$6,"On target",IF(E33&lt;=$B$6+$B$7,"Watch the cost","Above target"))</f>
        <v>On target</v>
      </c>
      <c r="F34" s="2" t="str">
        <f>IF(F33&lt;=$B$6,"On target",IF(F33&lt;=$B$6+$B$7,"Watch the cost","Above target"))</f>
        <v>On target</v>
      </c>
      <c r="G34" s="2" t="str">
        <f>IF(G33&lt;=$B$6,"On target",IF(G33&lt;=$B$6+$B$7,"Watch the cost","Above target"))</f>
        <v>On target</v>
      </c>
      <c r="H34" s="2" t="str">
        <f>IF(H33&lt;=$B$6,"On target",IF(H33&lt;=$B$6+$B$7,"Watch the cost","Above target"))</f>
        <v>On target</v>
      </c>
      <c r="I34" s="2" t="str">
        <f>IF(I33&lt;=$B$6,"On target",IF(I33&lt;=$B$6+$B$7,"Watch the cost","Above target"))</f>
        <v>On target</v>
      </c>
      <c r="J34" s="2" t="str">
        <f>IF(J33&lt;=$B$6,"On target",IF(J33&lt;=$B$6+$B$7,"Watch the cost","Above target"))</f>
        <v>Watch the cost</v>
      </c>
      <c r="K34" s="2" t="str">
        <f>IF(K33&lt;=$B$6,"On target",IF(K33&lt;=$B$6+$B$7,"Watch the cost","Above target"))</f>
        <v>On target</v>
      </c>
      <c r="L34" s="2" t="str">
        <f>IF(L33&lt;=$B$6,"On target",IF(L33&lt;=$B$6+$B$7,"Watch the cost","Above target"))</f>
        <v>On target</v>
      </c>
    </row>
    <row r="35">
      <c r="A35" s="2" t="inlineStr">
        <is>
          <t>Gross margin ($, price before tax − cost)</t>
        </is>
      </c>
      <c r="D35" s="21">
        <f>D32-D31</f>
        <v>13.015</v>
      </c>
      <c r="E35" s="21">
        <f>E32-E31</f>
        <v>12.2653125</v>
      </c>
      <c r="F35" s="21">
        <f>F32-F31</f>
        <v>9.2615625</v>
      </c>
      <c r="G35" s="21">
        <f>G32-G31</f>
        <v>23.942</v>
      </c>
      <c r="H35" s="21">
        <f>H32-H31</f>
        <v>10.57875</v>
      </c>
      <c r="I35" s="21">
        <f>I32-I31</f>
        <v>7.75</v>
      </c>
      <c r="J35" s="21">
        <f>J32-J31</f>
        <v>5.5225</v>
      </c>
      <c r="K35" s="21">
        <f>K32-K31</f>
        <v>3.5625</v>
      </c>
      <c r="L35" s="21">
        <f>L32-L31</f>
        <v>2.55</v>
      </c>
    </row>
    <row r="36">
      <c r="A36" s="2" t="inlineStr">
        <is>
          <t>Menu price with tax needed to hit the target ($)</t>
        </is>
      </c>
      <c r="D36" s="21">
        <f>D31/$B$6*(1+$B$5)</f>
        <v>19.950000000000003</v>
      </c>
      <c r="E36" s="21">
        <f>E31/$B$6*(1+$B$5)</f>
        <v>17.448958333333334</v>
      </c>
      <c r="F36" s="21">
        <f>F31/$B$6*(1+$B$5)</f>
        <v>12.461458333333333</v>
      </c>
      <c r="G36" s="21">
        <f>G31/$B$6*(1+$B$5)</f>
        <v>33.52666666666667</v>
      </c>
      <c r="H36" s="21">
        <f>H31/$B$6*(1+$B$5)</f>
        <v>9.737499999999999</v>
      </c>
      <c r="I36" s="21">
        <f>I31/$B$6*(1+$B$5)</f>
        <v>9.166666666666668</v>
      </c>
      <c r="J36" s="21">
        <f>J31/$B$6*(1+$B$5)</f>
        <v>8.258333333333335</v>
      </c>
      <c r="K36" s="21">
        <f>K31/$B$6*(1+$B$5)</f>
        <v>3.125</v>
      </c>
      <c r="L36" s="21">
        <f>L31/$B$6*(1+$B$5)</f>
        <v>2.3333333333333335</v>
      </c>
    </row>
    <row r="38" ht="62" customHeight="1">
      <c r="A38" s="4" t="inlineStr">
        <is>
          <t>MARGIN BY CHANNEL (every item)</t>
        </is>
      </c>
      <c r="D38" s="3" t="str">
        <f>D13</f>
        <v>Whole chicken</v>
      </c>
      <c r="E38" s="3" t="str">
        <f>E13</f>
        <v>Half chicken + 2 sides</v>
      </c>
      <c r="F38" s="3" t="str">
        <f>F13</f>
        <v>Quarter chicken + 2 sides</v>
      </c>
      <c r="G38" s="3" t="str">
        <f>G13</f>
        <v>Family meal (whole chicken + 2 large sides)</v>
      </c>
      <c r="H38" s="3" t="str">
        <f>H13</f>
        <v>Chicken sandwich or bowl</v>
      </c>
      <c r="I38" s="3" t="str">
        <f>I13</f>
        <v>Salchipapas</v>
      </c>
      <c r="J38" s="3" t="str">
        <f>J13</f>
        <v>Large yuca fries (side)</v>
      </c>
      <c r="K38" s="3" t="str">
        <f>K13</f>
        <v>Maduros (side)</v>
      </c>
      <c r="L38" s="3" t="str">
        <f>L13</f>
        <v>Inca Kola or soda</v>
      </c>
    </row>
    <row r="39">
      <c r="A39" s="2" t="inlineStr">
        <is>
          <t>Dine-in: margin ($)</t>
        </is>
      </c>
      <c r="D39" s="21">
        <f>D35</f>
        <v>13.015</v>
      </c>
      <c r="E39" s="21">
        <f>E35</f>
        <v>12.2653125</v>
      </c>
      <c r="F39" s="21">
        <f>F35</f>
        <v>9.2615625</v>
      </c>
      <c r="G39" s="21">
        <f>G35</f>
        <v>23.942</v>
      </c>
      <c r="H39" s="21">
        <f>H35</f>
        <v>10.57875</v>
      </c>
      <c r="I39" s="21">
        <f>I35</f>
        <v>7.75</v>
      </c>
      <c r="J39" s="21">
        <f>J35</f>
        <v>5.5225</v>
      </c>
      <c r="K39" s="21">
        <f>K35</f>
        <v>3.5625</v>
      </c>
      <c r="L39" s="21">
        <f>L35</f>
        <v>2.55</v>
      </c>
    </row>
    <row r="40">
      <c r="A40" s="2" t="inlineStr">
        <is>
          <t>Dine-in: margin (%)</t>
        </is>
      </c>
      <c r="D40" s="15">
        <f>D39/D32</f>
        <v>0.685</v>
      </c>
      <c r="E40" s="15">
        <f>E39/E32</f>
        <v>0.700875</v>
      </c>
      <c r="F40" s="15">
        <f>F39/F32</f>
        <v>0.7124278846153846</v>
      </c>
      <c r="G40" s="15">
        <f>G39/G32</f>
        <v>0.7041764705882353</v>
      </c>
      <c r="H40" s="15">
        <f>H39/H32</f>
        <v>0.783611111111111</v>
      </c>
      <c r="I40" s="15">
        <f>I39/I32</f>
        <v>0.7380952380952381</v>
      </c>
      <c r="J40" s="15">
        <f>J39/J32</f>
        <v>0.6903125</v>
      </c>
      <c r="K40" s="15">
        <f>K39/K32</f>
        <v>0.7916666666666666</v>
      </c>
      <c r="L40" s="15">
        <f>L39/L32</f>
        <v>0.7846153846153846</v>
      </c>
    </row>
    <row r="41">
      <c r="A41" s="2" t="inlineStr">
        <is>
          <t>Pickup &amp; pre-orders: margin ($, after packaging)</t>
        </is>
      </c>
      <c r="D41" s="21">
        <f>D39-$B$9</f>
        <v>12.415000000000001</v>
      </c>
      <c r="E41" s="21">
        <f>E39-$B$9</f>
        <v>11.6653125</v>
      </c>
      <c r="F41" s="21">
        <f>F39-$B$9</f>
        <v>8.6615625</v>
      </c>
      <c r="G41" s="21">
        <f>G39-$B$9</f>
        <v>23.342</v>
      </c>
      <c r="H41" s="21">
        <f>H39-$B$9</f>
        <v>9.97875</v>
      </c>
      <c r="I41" s="21">
        <f>I39-$B$9</f>
        <v>7.15</v>
      </c>
      <c r="J41" s="21">
        <f>J39-$B$9</f>
        <v>4.9225</v>
      </c>
      <c r="K41" s="21">
        <f>K39-$B$9</f>
        <v>2.9625</v>
      </c>
      <c r="L41" s="21">
        <f>L39-$B$9</f>
        <v>1.9499999999999997</v>
      </c>
    </row>
    <row r="42">
      <c r="A42" s="2" t="inlineStr">
        <is>
          <t>Pickup &amp; pre-orders: margin (%)</t>
        </is>
      </c>
      <c r="D42" s="15">
        <f>D41/D32</f>
        <v>0.653421052631579</v>
      </c>
      <c r="E42" s="15">
        <f>E41/E32</f>
        <v>0.6665892857142858</v>
      </c>
      <c r="F42" s="15">
        <f>F41/F32</f>
        <v>0.6662740384615385</v>
      </c>
      <c r="G42" s="15">
        <f>G41/G32</f>
        <v>0.6865294117647058</v>
      </c>
      <c r="H42" s="15">
        <f>H41/H32</f>
        <v>0.7391666666666666</v>
      </c>
      <c r="I42" s="15">
        <f>I41/I32</f>
        <v>0.680952380952381</v>
      </c>
      <c r="J42" s="15">
        <f>J41/J32</f>
        <v>0.6153125</v>
      </c>
      <c r="K42" s="15">
        <f>K41/K32</f>
        <v>0.6583333333333333</v>
      </c>
      <c r="L42" s="15">
        <f>L41/L32</f>
        <v>0.5999999999999999</v>
      </c>
    </row>
    <row r="43">
      <c r="A43" s="24" t="inlineStr">
        <is>
          <t>Marketplace: price before tax with markup ($)</t>
        </is>
      </c>
      <c r="D43" s="18">
        <f>D32*(1+$B$11)</f>
        <v>21.849999999999998</v>
      </c>
      <c r="E43" s="18">
        <f>E32*(1+$B$11)</f>
        <v>20.125</v>
      </c>
      <c r="F43" s="18">
        <f>F32*(1+$B$11)</f>
        <v>14.95</v>
      </c>
      <c r="G43" s="18">
        <f>G32*(1+$B$11)</f>
        <v>39.099999999999994</v>
      </c>
      <c r="H43" s="18">
        <f>H32*(1+$B$11)</f>
        <v>15.524999999999999</v>
      </c>
      <c r="I43" s="18">
        <f>I32*(1+$B$11)</f>
        <v>12.075</v>
      </c>
      <c r="J43" s="18">
        <f>J32*(1+$B$11)</f>
        <v>9.2</v>
      </c>
      <c r="K43" s="18">
        <f>K32*(1+$B$11)</f>
        <v>5.175</v>
      </c>
      <c r="L43" s="18">
        <f>L32*(1+$B$11)</f>
        <v>3.7375</v>
      </c>
    </row>
    <row r="44">
      <c r="A44" s="24" t="inlineStr">
        <is>
          <t>Marketplace: margin ($, after packaging and commission)</t>
        </is>
      </c>
      <c r="D44" s="18">
        <f>D43*(1-$B$10)-D31-$B$9</f>
        <v>9.8025</v>
      </c>
      <c r="E44" s="18">
        <f>E43*(1-$B$10)-E31-$B$9</f>
        <v>9.2590625</v>
      </c>
      <c r="F44" s="18">
        <f>F43*(1-$B$10)-F31-$B$9</f>
        <v>6.874062499999999</v>
      </c>
      <c r="G44" s="18">
        <f>G43*(1-$B$10)-G31-$B$9</f>
        <v>18.666999999999994</v>
      </c>
      <c r="H44" s="18">
        <f>H43*(1-$B$10)-H31-$B$9</f>
        <v>8.1225</v>
      </c>
      <c r="I44" s="18">
        <f>I43*(1-$B$10)-I31-$B$9</f>
        <v>5.706249999999999</v>
      </c>
      <c r="J44" s="18">
        <f>J43*(1-$B$10)-J31-$B$9</f>
        <v>3.8224999999999993</v>
      </c>
      <c r="K44" s="18">
        <f>K43*(1-$B$10)-K31-$B$9</f>
        <v>2.3437499999999996</v>
      </c>
      <c r="L44" s="18">
        <f>L43*(1-$B$10)-L31-$B$9</f>
        <v>1.5031249999999994</v>
      </c>
    </row>
    <row r="45">
      <c r="A45" s="24" t="inlineStr">
        <is>
          <t>Marketplace: margin (%)</t>
        </is>
      </c>
      <c r="D45" s="16">
        <f>D44/D43</f>
        <v>0.4486270022883296</v>
      </c>
      <c r="E45" s="16">
        <f>E44/E43</f>
        <v>0.4600776397515528</v>
      </c>
      <c r="F45" s="16">
        <f>F44/F43</f>
        <v>0.45980351170568556</v>
      </c>
      <c r="G45" s="16">
        <f>G44/G43</f>
        <v>0.4774168797953963</v>
      </c>
      <c r="H45" s="16">
        <f>H44/H43</f>
        <v>0.5231884057971016</v>
      </c>
      <c r="I45" s="16">
        <f>I44/I43</f>
        <v>0.47256728778467905</v>
      </c>
      <c r="J45" s="16">
        <f>J44/J43</f>
        <v>0.4154891304347826</v>
      </c>
      <c r="K45" s="16">
        <f>K44/K43</f>
        <v>0.45289855072463764</v>
      </c>
      <c r="L45" s="16">
        <f>L44/L43</f>
        <v>0.4021739130434781</v>
      </c>
    </row>
    <row r="46" ht="32" customHeight="1">
      <c r="A46" s="24" t="inlineStr">
        <is>
          <t>Rank by pickup margin (1 = the one that earns the most)</t>
        </is>
      </c>
      <c r="D46" s="20">
        <f>1+COUNTIF($D$41:$L$41,"&gt;"&amp;D41)</f>
        <v>2.0</v>
      </c>
      <c r="E46" s="20">
        <f>1+COUNTIF($D$41:$L$41,"&gt;"&amp;E41)</f>
        <v>3.0</v>
      </c>
      <c r="F46" s="20">
        <f>1+COUNTIF($D$41:$L$41,"&gt;"&amp;F41)</f>
        <v>5.0</v>
      </c>
      <c r="G46" s="20">
        <f>1+COUNTIF($D$41:$L$41,"&gt;"&amp;G41)</f>
        <v>1.0</v>
      </c>
      <c r="H46" s="20">
        <f>1+COUNTIF($D$41:$L$41,"&gt;"&amp;H41)</f>
        <v>4.0</v>
      </c>
      <c r="I46" s="20">
        <f>1+COUNTIF($D$41:$L$41,"&gt;"&amp;I41)</f>
        <v>6.0</v>
      </c>
      <c r="J46" s="20">
        <f>1+COUNTIF($D$41:$L$41,"&gt;"&amp;J41)</f>
        <v>7.0</v>
      </c>
      <c r="K46" s="20">
        <f>1+COUNTIF($D$41:$L$41,"&gt;"&amp;K41)</f>
        <v>8.0</v>
      </c>
      <c r="L46" s="20">
        <f>1+COUNTIF($D$41:$L$41,"&gt;"&amp;L41)</f>
        <v>9.0</v>
      </c>
    </row>
    <row r="48" ht="48" customHeight="1">
      <c r="A48" s="32" t="inlineStr">
        <is>
          <t>The food cost in the table is the one of the plate served dine-in. On pickup and pre-orders the packaging of the order is deducted; on the marketplace, the price is also raised with the markup and the commission is deducted from that price. FIXED NOTICE: on the marketplace, push the whole chicken, the family meal and the sides that travel well; fries arrive soft. Beer, chicha morada and other drinks are not in this costing.</t>
        </is>
      </c>
    </row>
  </sheetData>
  <sheetProtection selectLockedCells="0" selectUnlockedCells="0" sheet="1" objects="0" insertRows="1" insertHyperlinks="1" autoFilter="1" scenarios="0" formatColumns="1" deleteColumns="1" insertColumns="1" pivotTables="1" deleteRows="1" formatCells="1" formatRows="1" sort="1"/>
  <mergeCells count="9">
    <mergeCell ref="D5:M5"/>
    <mergeCell ref="D9:M9"/>
    <mergeCell ref="A48:M48"/>
    <mergeCell ref="D7:M7"/>
    <mergeCell ref="D8:M8"/>
    <mergeCell ref="D6:M6"/>
    <mergeCell ref="D10:M10"/>
    <mergeCell ref="A2:M2"/>
    <mergeCell ref="D11:M11"/>
  </mergeCells>
  <conditionalFormatting sqref="D34:L34">
    <cfRule type="expression" priority="1" dxfId="0">
      <formula>D34="On target"</formula>
    </cfRule>
    <cfRule type="expression" priority="2" dxfId="2">
      <formula>D34="Watch the cost"</formula>
    </cfRule>
    <cfRule type="expression" priority="3" dxfId="1">
      <formula>D34="Above target"</formula>
    </cfRule>
  </conditionalFormatting>
  <dataValidations count="3">
    <dataValidation sqref="B5 B7 B8 B10 B11" showDropDown="0" showInputMessage="0" showErrorMessage="1" allowBlank="0" errorTitle="Invalid percentage" error="Type a percentage between 0 and 0.9 (0.1 = 10 %)." type="decimal" operator="between">
      <formula1>0</formula1>
      <formula2>0.9</formula2>
    </dataValidation>
    <dataValidation sqref="B6" showDropDown="0" showInputMessage="0" showErrorMessage="1" allowBlank="0" errorTitle="Invalid target" error="The target cannot be 0 (it is a divisor): type a value between 0.01 and 0.9." type="decimal" operator="between">
      <formula1>0.01</formula1>
      <formula2>0.9</formula2>
    </dataValidation>
    <dataValidation sqref="B9 B15 B16 B17 B18 B19 B20 B21 B24 B25 D14 D15 D16 D17 D18 D19 D20 D21 D23 D24 D25 E14 E15 E16 E17 E18 E19 E20 E21 E23 E24 E25 F14 F15 F16 F17 F18 F19 F20 F21 F23 F24 F25 G14 G15 G16 G17 G18 G19 G20 G21 G23 G24 G25 H14 H15 H16 H17 H18 H19 H20 H21 H23 H24 H25 I14 I15 I16 I17 I18 I19 I20 I21 I23 I24 I25 J14 J15 J16 J17 J18 J19 J20 J21 J23 J24 J25 K14 K15 K16 K17 K18 K19 K20 K21 K23 K24 K25 L14 L15 L16 L17 L18 L19 L20 L21 L23 L24 L25" showDropDown="0" showInputMessage="0" showErrorMessage="1" allowBlank="0" errorTitle="Invalid amount" error="Type a number greater than or equal to 0."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28"/>
  <sheetViews>
    <sheetView showGridLines="0" workbookViewId="0">
      <selection activeCell="A1" sqref="A1"/>
    </sheetView>
  </sheetViews>
  <sheetFormatPr baseColWidth="8" defaultRowHeight="15"/>
  <cols>
    <col width="110" customWidth="1" min="1" max="1"/>
  </cols>
  <sheetData>
    <row r="1">
      <c r="A1" s="33" t="inlineStr">
        <is>
          <t>INSTRUCTIONS: Rotisserie Chicken Yield &amp; Costing Calculator</t>
        </is>
      </c>
    </row>
    <row r="2" ht="90" customHeight="1">
      <c r="A2" s="2" t="inlineStr">
        <is>
          <t>Three tools in one workbook: the "Chicken Yield" sheet tells you how much a cooked bird weighs, what each cooked pound and each portion costs, and how many birds you need for a number of guests; the "Rotisserie" sheet compares the capacity of your rotisseries with the Sunday peak and with a holiday or peak day; the "Costing" sheet calculates the cost, food cost, margin and menu price of the whole chicken, the half, the quarter, the family meal, a sandwich or bowl, three sides and a drink, with the margin dine-in, on pickup and pre-orders and on a delivery marketplace. Type only in the GREEN cells; everything else is calculated. Chicken prices are in $/lb and portions in ounces (16 oz per lb, the gray constant).</t>
        </is>
      </c>
    </row>
    <row r="3" ht="45" customHeight="1">
      <c r="A3" s="2" t="inlineStr">
        <is>
          <t>Every default value is a kit estimate, editable: they are examples consistent with the kit's business plan case, not anyone's prices. Replace them with your supplier's numbers and with what you measure in your own kitchen before you set prices.</t>
        </is>
      </c>
    </row>
    <row r="4">
      <c r="A4" s="24" t="inlineStr">
        <is>
          <t>SHEET "Chicken Yield"</t>
        </is>
      </c>
    </row>
    <row r="6" ht="45" customHeight="1">
      <c r="A6" s="2" t="inlineStr">
        <is>
          <t>1. How to measure your cooked yield. Weigh 5 raw birds from the same load, cook the 5 together and weigh them again when they come out, drained. Divide the cooked weight by the raw weight and use the average: that is your real cooked yield. The kit works with a range of 70 to 75 %; no manufacturer figure is published.</t>
        </is>
      </c>
    </row>
    <row r="7" ht="45" customHeight="1">
      <c r="A7" s="2" t="inlineStr">
        <is>
          <t>2. The most useful results are the cost per whole bird and per cooked pound, which feed the costing, and the birds you have to order for a pre-order or a party. Look at the cost of the leftover you throw away too: the birds that stay unsold at close and are not reused are money lost.</t>
        </is>
      </c>
    </row>
    <row r="8" ht="75" customHeight="1">
      <c r="A8" s="2" t="inlineStr">
        <is>
          <t>3. Food safety. Probe the thickest part of the thigh: 165 °F is the Food Code cook temperature for poultry. In the heated display, hold at 135 °F or above, and check your county's rules for hot holding and for time as a public health control, which usually need a written procedure and a time mark on every load. Leftover you want to reuse is cooled from 135 to 70 °F within 2 hours and to 41 °F within 6 hours in total, and reheated to 165 °F for hot holding. Local rules vary: ask your health department.</t>
        </is>
      </c>
    </row>
    <row r="9">
      <c r="A9" s="24" t="inlineStr">
        <is>
          <t>SHEET "Rotisserie"</t>
        </is>
      </c>
    </row>
    <row r="11" ht="45" customHeight="1">
      <c r="A11" s="2" t="inlineStr">
        <is>
          <t>1. Type your rotisseries, the spits of each one and the birds per spit, and the cook minutes. The cook time has no published figure: time a load from the moment you light the unit until the thigh reaches 165 °F, with the bird size you buy. Add the minutes to load, unload and clean.</t>
        </is>
      </c>
    </row>
    <row r="12" ht="45" customHeight="1">
      <c r="A12" s="2" t="inlineStr">
        <is>
          <t>2. Type the time of the first load and the deadline by which you want the birds cooked (the Sunday lunch peak runs until about 1:30 PM). The sheet counts the full loads that fit, the capacity and whether you cover the peak of a normal Sunday and the one of a holiday or peak day.</t>
        </is>
      </c>
    </row>
    <row r="13" ht="45" customHeight="1">
      <c r="A13" s="2" t="inlineStr">
        <is>
          <t>3. The latest first load is the time you must load the first birds so you do not fall short at the peak. The gas per bird uses the BTU/h rating of your units, the hours they burn and the price per therm from your gas bill: it is an estimate, so check it against your bill.</t>
        </is>
      </c>
    </row>
    <row r="14">
      <c r="A14" s="24" t="inlineStr">
        <is>
          <t>SHEET "Costing"</t>
        </is>
      </c>
    </row>
    <row r="16" ht="30" customHeight="1">
      <c r="A16" s="2" t="inlineStr">
        <is>
          <t>1. Type the sales tax included in your menu prices (0 % by default), the target food cost, the watch margin, the waste on the sides, the packaging, the marketplace commission and the markup.</t>
        </is>
      </c>
    </row>
    <row r="17" ht="30" customHeight="1">
      <c r="A17" s="2" t="inlineStr">
        <is>
          <t>2. In the table, each row is an ingredient with its price per pound before tax. The ounces of each item go in its column. The chicken is measured in fractions of a whole bird (1, 0.5, 0.25) and takes its cost from the "Chicken Yield" sheet.</t>
        </is>
      </c>
    </row>
    <row r="18" ht="60" customHeight="1">
      <c r="A18" s="2" t="inlineStr">
        <is>
          <t>3. For each item you see the cost, the price before tax, the food cost with a traffic light, the margin and the menu price with tax you would need to hit your target. At the bottom, the margin dine-in, on pickup and pre-orders and on the marketplace, and the rank of each item by margin. The whole bird tends to land above the target; the family meal and the sandwich or bowl balance it.</t>
        </is>
      </c>
    </row>
    <row r="19">
      <c r="A19" s="24" t="inlineStr">
        <is>
          <t>PRICES AND SOURCES</t>
        </is>
      </c>
    </row>
    <row r="21" ht="60" customHeight="1">
      <c r="A21" s="2" t="inlineStr">
        <is>
          <t>Every default price is an example: "Kit estimate (Oct 2026): replace with your distributor's price". The sample menu prices (whole $19.00, half + 2 sides $17.50, quarter + 2 sides $13.00, family meal $34.00) come from the kit's business plan case. Sales tax is not part of the menu prices in this sample (0 %); rates vary by state and city, so ask your accountant.</t>
        </is>
      </c>
    </row>
    <row r="22" ht="45" customHeight="1">
      <c r="A22" s="2" t="inlineStr">
        <is>
          <t>Sources: the kit's US rotisserie chicken research (October 2026): USDA AMS wholesale prices for whole chickens, distributor spec sheets for the rotisserie capacity and the BTU rating, and menus from US Peruvian chicken restaurants. No figure in this calculator is published data about your business: replace them with your own.</t>
        </is>
      </c>
    </row>
    <row r="24">
      <c r="A24" s="2" t="inlineStr">
        <is>
          <t>To edit a cell that is not green: Review → Unprotect Sheet (there is no password).</t>
        </is>
      </c>
    </row>
    <row r="25">
      <c r="A25" s="2" t="inlineStr">
        <is>
          <t>More templates and kits in the catalog at aichef.pro/en/digital-products</t>
        </is>
      </c>
    </row>
    <row r="26">
      <c r="A26" s="2" t="inlineStr">
        <is>
          <t>Designed by John Guerrero — chef and restaurant consultant since 2010, in the kitchen since age 17 · johnguerrero.es</t>
        </is>
      </c>
    </row>
    <row r="27">
      <c r="A27" s="2" t="inlineStr">
        <is>
          <t>Version 2.2 · October 2026 · aichef.pro/en/digital-products/rotisserie-chicken-restaurant-business-plan · info@aichef.pro</t>
        </is>
      </c>
    </row>
    <row r="28">
      <c r="A28" s="3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Rotisserie Chicken Yield &amp; Costing Calculator (Chicken Cost, Rotisserie Loads and Plate Costing) · Rotisserie Chicken Restaurant Business Plan Kit</dc:title>
  <dc:description xmlns:dc="http://purl.org/dc/elements/1.1/">aichef.pro/en/digital-products/rotisserie-chicken-restaurant-business-plan</dc:description>
  <dc:subject xmlns:dc="http://purl.org/dc/elements/1.1/">Rotisserie Chicken Restaurant Business Plan Kit · v2.2</dc:subject>
  <dcterms:created xmlns:dcterms="http://purl.org/dc/terms/" xmlns:xsi="http://www.w3.org/2001/XMLSchema-instance" xsi:type="dcterms:W3CDTF">2026-10-29T13:34:35Z</dcterms:created>
  <dcterms:modified xmlns:dcterms="http://purl.org/dc/terms/" xmlns:xsi="http://www.w3.org/2001/XMLSchema-instance" xsi:type="dcterms:W3CDTF">2026-10-29T13:34:35Z</dcterms:modified>
  <cp:lastModifiedBy>AI Chef Pro</cp:lastModifiedBy>
  <cp:category>AI Chef Pro · Digital products</cp:category>
  <cp:keywords>rotisserie chicken restaurant business plan, chicken restaurant business plan, how to open a rotisserie chicken restaurant, Peruvian chicken restaurant, pollo a la brasa, AI Chef Pro</cp:keywords>
</cp:coreProperties>
</file>