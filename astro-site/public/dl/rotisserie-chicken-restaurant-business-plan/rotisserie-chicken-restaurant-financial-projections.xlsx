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Assumptions" sheetId="1" state="visible" r:id="rId1"/>
    <sheet xmlns:r="http://schemas.openxmlformats.org/officeDocument/2006/relationships" name="Startup Costs" sheetId="2" state="visible" r:id="rId2"/>
    <sheet xmlns:r="http://schemas.openxmlformats.org/officeDocument/2006/relationships" name="3-Year P&amp;L" sheetId="3" state="visible" r:id="rId3"/>
    <sheet xmlns:r="http://schemas.openxmlformats.org/officeDocument/2006/relationships" name="Break-Even" sheetId="4" state="visible" r:id="rId4"/>
    <sheet xmlns:r="http://schemas.openxmlformats.org/officeDocument/2006/relationships" name="Scenarios" sheetId="5" state="visible" r:id="rId5"/>
    <sheet xmlns:r="http://schemas.openxmlformats.org/officeDocument/2006/relationships" name="Staffing" sheetId="6" state="visible" r:id="rId6"/>
    <sheet xmlns:r="http://schemas.openxmlformats.org/officeDocument/2006/relationships" name="Instructions" sheetId="7" state="visible" r:id="rId7"/>
    <sheet xmlns:r="http://schemas.openxmlformats.org/officeDocument/2006/relationships" name="12-Month Cash Flow" sheetId="8" state="visible" r:id="rId8"/>
    <sheet xmlns:r="http://schemas.openxmlformats.org/officeDocument/2006/relationships" name="Financing" sheetId="9" state="visible" r:id="rId9"/>
  </sheets>
  <definedNames>
    <definedName name="_xlnm.Print_Titles" localSheetId="1">'Startup Costs'!$5:$5</definedName>
    <definedName name="_xlnm.Print_Titles" localSheetId="2">'3-Year P&amp;L'!$4:$4</definedName>
    <definedName name="_xlnm.Print_Titles" localSheetId="3">'Break-Even'!$4:$4</definedName>
    <definedName name="_xlnm.Print_Titles" localSheetId="4">'Scenarios'!$4:$4</definedName>
    <definedName name="_xlnm.Print_Titles" localSheetId="5">'Staffing'!$4:$4</definedName>
    <definedName name="_xlnm.Print_Titles" localSheetId="7">'12-Month Cash Flow'!$4:$4</definedName>
    <definedName name="_xlnm.Print_Titles" localSheetId="8">'Financing'!$4:$4</definedName>
  </definedNames>
  <calcPr calcId="124519" fullCalcOnLoad="1"/>
</workbook>
</file>

<file path=xl/styles.xml><?xml version="1.0" encoding="utf-8"?>
<styleSheet xmlns="http://schemas.openxmlformats.org/spreadsheetml/2006/main">
  <numFmts count="4">
    <numFmt numFmtId="164" formatCode="#,##0"/>
    <numFmt numFmtId="165" formatCode="#,##0.00"/>
    <numFmt numFmtId="166" formatCode="0.0%"/>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color theme="1"/>
      <sz val="11"/>
    </font>
    <font>
      <b val="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7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0" fillId="0" borderId="3" pivotButton="0" quotePrefix="0" xfId="0"/>
    <xf numFmtId="164" fontId="10" fillId="0" borderId="3" pivotButton="0" quotePrefix="0" xfId="0"/>
    <xf numFmtId="166" fontId="10" fillId="0" borderId="3" pivotButton="0" quotePrefix="0" xfId="0"/>
    <xf numFmtId="0" fontId="9" fillId="0" borderId="3" pivotButton="0" quotePrefix="0" xfId="0"/>
    <xf numFmtId="164" fontId="9" fillId="4" borderId="3" applyProtection="1" pivotButton="0" quotePrefix="0" xfId="0">
      <protection locked="0" hidden="0"/>
    </xf>
    <xf numFmtId="166" fontId="9" fillId="0" borderId="3" pivotButton="0" quotePrefix="0" xfId="0"/>
    <xf numFmtId="0" fontId="9" fillId="4" borderId="3" applyProtection="1" pivotButton="0" quotePrefix="0" xfId="0">
      <protection locked="0" hidden="0"/>
    </xf>
    <xf numFmtId="164" fontId="9" fillId="0" borderId="3" pivotButton="0" quotePrefix="0" xfId="0"/>
    <xf numFmtId="0" fontId="11" fillId="0" borderId="0" pivotButton="0" quotePrefix="0" xfId="0"/>
    <xf numFmtId="164" fontId="0" fillId="0" borderId="0" pivotButton="0" quotePrefix="0" xfId="0"/>
    <xf numFmtId="164" fontId="12" fillId="0" borderId="0" pivotButton="0" quotePrefix="0" xfId="0"/>
    <xf numFmtId="166"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0" fillId="0" borderId="3" applyAlignment="1" pivotButton="0" quotePrefix="0" xfId="0">
      <alignment horizontal="general" vertical="top" wrapText="1"/>
    </xf>
    <xf numFmtId="3" fontId="9" fillId="0" borderId="3" pivotButton="0" quotePrefix="0" xfId="0"/>
    <xf numFmtId="165" fontId="9" fillId="0" borderId="3" pivotButton="0" quotePrefix="0" xfId="0"/>
    <xf numFmtId="3" fontId="0" fillId="0" borderId="0" pivotButton="0" quotePrefix="0" xfId="0"/>
    <xf numFmtId="166" fontId="11" fillId="4" borderId="0" applyProtection="1" pivotButton="0" quotePrefix="0" xfId="0">
      <protection locked="0" hidden="0"/>
    </xf>
    <xf numFmtId="167" fontId="9" fillId="0" borderId="3" pivotButton="0" quotePrefix="0" xfId="0"/>
    <xf numFmtId="167" fontId="10" fillId="0" borderId="3" pivotButton="0" quotePrefix="0" xfId="0"/>
    <xf numFmtId="167" fontId="9" fillId="4" borderId="3" applyProtection="1" pivotButton="0" quotePrefix="0" xfId="0">
      <protection locked="0" hidden="0"/>
    </xf>
    <xf numFmtId="0" fontId="9" fillId="0" borderId="3" applyAlignment="1" pivotButton="0" quotePrefix="0" xfId="0">
      <alignment horizontal="general" vertical="top" wrapText="1"/>
    </xf>
    <xf numFmtId="165" fontId="10" fillId="0" borderId="3" pivotButton="0" quotePrefix="0" xfId="0"/>
    <xf numFmtId="167" fontId="0" fillId="0" borderId="0" pivotButton="0" quotePrefix="0" xfId="0"/>
    <xf numFmtId="3" fontId="9" fillId="4" borderId="3" applyProtection="1" pivotButton="0" quotePrefix="0" xfId="0">
      <protection locked="0" hidden="0"/>
    </xf>
    <xf numFmtId="165" fontId="9" fillId="4" borderId="3" applyProtection="1" pivotButton="0" quotePrefix="0" xfId="0">
      <protection locked="0" hidden="0"/>
    </xf>
    <xf numFmtId="9" fontId="9" fillId="4" borderId="3" applyProtection="1" pivotButton="0" quotePrefix="0" xfId="0">
      <protection locked="0" hidden="0"/>
    </xf>
    <xf numFmtId="3" fontId="10" fillId="0" borderId="3" pivotButton="0" quotePrefix="0" xfId="0"/>
    <xf numFmtId="4" fontId="10" fillId="0" borderId="3" pivotButton="0" quotePrefix="0" xfId="0"/>
    <xf numFmtId="164" fontId="11" fillId="4" borderId="0" applyProtection="1" pivotButton="0" quotePrefix="0" xfId="0">
      <protection locked="0" hidden="0"/>
    </xf>
    <xf numFmtId="3" fontId="11" fillId="4" borderId="0" applyProtection="1" pivotButton="0" quotePrefix="0" xfId="0">
      <protection locked="0" hidden="0"/>
    </xf>
    <xf numFmtId="167" fontId="11"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6" fontId="9" fillId="4" borderId="3" applyProtection="1" pivotButton="0" quotePrefix="0" xfId="0">
      <protection locked="0" hidden="0"/>
    </xf>
    <xf numFmtId="4" fontId="9" fillId="0" borderId="3" pivotButton="0" quotePrefix="0" xfId="0"/>
    <xf numFmtId="165" fontId="0" fillId="4" borderId="0" applyProtection="1" pivotButton="0" quotePrefix="0" xfId="0">
      <protection locked="0" hidden="0"/>
    </xf>
    <xf numFmtId="166" fontId="0" fillId="4" borderId="0" applyProtection="1" pivotButton="0" quotePrefix="0" xfId="0">
      <protection locked="0" hidden="0"/>
    </xf>
    <xf numFmtId="165" fontId="0" fillId="0" borderId="0" pivotButton="0" quotePrefix="0" xfId="0"/>
    <xf numFmtId="166" fontId="0" fillId="0" borderId="0" pivotButton="0" quotePrefix="0" xfId="0"/>
    <xf numFmtId="166" fontId="10" fillId="0" borderId="3" pivotButton="0" quotePrefix="0" xfId="0"/>
    <xf numFmtId="166" fontId="9" fillId="0" borderId="3" pivotButton="0" quotePrefix="0" xfId="0"/>
    <xf numFmtId="166" fontId="12" fillId="0" borderId="0" pivotButton="0" quotePrefix="0" xfId="0"/>
    <xf numFmtId="165" fontId="9" fillId="0" borderId="3" pivotButton="0" quotePrefix="0" xfId="0"/>
    <xf numFmtId="166" fontId="11" fillId="4" borderId="0" applyProtection="1" pivotButton="0" quotePrefix="0" xfId="0">
      <protection locked="0" hidden="0"/>
    </xf>
    <xf numFmtId="165" fontId="10" fillId="0" borderId="3" pivotButton="0" quotePrefix="0" xfId="0"/>
    <xf numFmtId="165" fontId="9" fillId="4" borderId="3" applyProtection="1" pivotButton="0" quotePrefix="0" xfId="0">
      <protection locked="0" hidden="0"/>
    </xf>
    <xf numFmtId="166" fontId="9" fillId="4" borderId="3" applyProtection="1" pivotButton="0" quotePrefix="0" xfId="0">
      <protection locked="0" hidden="0"/>
    </xf>
    <xf numFmtId="0" fontId="9" fillId="0" borderId="3" applyAlignment="1" pivotButton="0" quotePrefix="0" xfId="0">
      <alignment horizontal="left" vertical="top"/>
    </xf>
    <xf numFmtId="4" fontId="9" fillId="4" borderId="3" applyProtection="1" pivotButton="0" quotePrefix="0" xfId="0">
      <protection locked="0" hidden="0"/>
    </xf>
    <xf numFmtId="0" fontId="9" fillId="0" borderId="3" applyAlignment="1" pivotButton="0" quotePrefix="0" xfId="0">
      <alignment horizontal="left" vertical="top" wrapText="1"/>
    </xf>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ASSUMPTIONS — the RATES and DRIVERS of the model are typed here</t>
        </is>
      </c>
    </row>
    <row r="2" ht="59.75" customHeight="1">
      <c r="A2" s="17" t="inlineStr">
        <is>
          <t>Change the GREEN cells: the rest of the workbook recalculates on its own. Expense items are typed on their own tab (also in green) and are not repeated here. Amounts are in your currency.</t>
        </is>
      </c>
    </row>
    <row r="3">
      <c r="A3" s="16" t="inlineStr">
        <is>
          <t>BUSINESS ACTIVITY</t>
        </is>
      </c>
    </row>
    <row r="4">
      <c r="A4" t="inlineStr">
        <is>
          <t>Covers per day (year-1 average)</t>
        </is>
      </c>
      <c r="B4" s="18" t="n">
        <v>130</v>
      </c>
      <c r="C4" t="inlineStr">
        <is>
          <t>Equivalent covers per day, year-1 average: about 55 dine-in (40 seats, no patio), about 55 from take-out, pickup and pre-orders, and about 20 from delivery marketplaces. A family meal counts as 3.5 covers, and a Sunday runs about 1.6 to 1.8 times a weekday (roughly 65-70 birds on the rotisseries) (Kit estimate). Compare it with the foot traffic on your street on a Sunday at noon and a Tuesday at lunch, and with your own test pre-orders</t>
        </is>
      </c>
    </row>
    <row r="5">
      <c r="A5" t="inlineStr">
        <is>
          <t>Average check (excl. sales tax)</t>
        </is>
      </c>
      <c r="B5" s="25" t="n">
        <v>17.5</v>
      </c>
      <c r="C5" t="inlineStr">
        <is>
          <t>Per cover, EXCL. sales tax and tip: plates average $12.79 (a quarter chicken with 2 sides at $13.00 for 35% of covers, a half with 2 sides at $17.50 for 15%, a family meal at $34.00 counted as 3.5 covers for 30%, and a chicken sandwich or bowl at $13.50 for 20%), plus about $1.50 of extra sides, $0.36 of dessert, $0.30 of sauces and 0.65 drinks at $3.84 (Kit estimate). Family meals with a whole chicken run $31-34 in mid-size cities (menus read in October 2026). The "Menu price incl. sales tax (calculated)" row below shows the price with your local rate applied</t>
        </is>
      </c>
    </row>
    <row r="6">
      <c r="A6" t="inlineStr">
        <is>
          <t>Operating days per year</t>
        </is>
      </c>
      <c r="B6" s="18" t="n">
        <v>360</v>
      </c>
      <c r="C6" t="inlineStr">
        <is>
          <t>365 days minus Thanksgiving, Christmas Day, New Year's Day and 2 deep-clean days for the hood and the rotisseries, rounded to 360: the restaurant is open 7 days a week and holidays open like a Sunday. It is the SAME figure for the P&amp;L, break-even, scenarios and staffing hours</t>
        </is>
      </c>
    </row>
    <row r="7">
      <c r="A7" t="inlineStr">
        <is>
          <t>Volume growth in year 2</t>
        </is>
      </c>
      <c r="B7" s="64" t="n">
        <v>0.06</v>
      </c>
      <c r="C7" t="inlineStr">
        <is>
          <t>Repeat neighborhood regulars, Sunday family meals and pre-orders that become a habit in year 2. It applies to covers at the same average check; staffing does NOT rise with this percentage: it comes from the "Staffing" tab</t>
        </is>
      </c>
    </row>
    <row r="8">
      <c r="A8" t="inlineStr">
        <is>
          <t>Volume growth in year 3</t>
        </is>
      </c>
      <c r="B8" s="64" t="n">
        <v>0.04</v>
      </c>
      <c r="C8" t="inlineStr">
        <is>
          <t>On top of year 2. Conservative: the ceiling is set by the two rotisseries (48 birds per load each) before the Sunday lunch peak and by the counter at that peak</t>
        </is>
      </c>
    </row>
    <row r="9">
      <c r="A9" t="inlineStr">
        <is>
          <t>Menu price incl. sales tax (calculated)</t>
        </is>
      </c>
      <c r="B9" s="24">
        <f>IFERROR(IF($B$5="","",$B$5*(1+SUMPRODUCT('3-Year P&amp;L'!$E$10:$E$11,'3-Year P&amp;L'!$G$10:$G$11))),"")</f>
        <v>18.900000000000002</v>
      </c>
      <c r="C9" t="str">
        <f>IFERROR("Average check excl. sales tax plus the weighted sales tax of your sales lines ("&amp;TEXT(SUMPRODUCT('3-Year P&amp;L'!$E$10:$E$11,'3-Year P&amp;L'!$G$10:$G$11)*100,"0")&amp;"%), rounded. In the US, menu prices usually exclude sales tax and it is added at the register; the beverage share in column H of the beverage line of the P&amp;L only moves this average if your state taxes alcohol at another rate. "&amp;"In the UK, menu prices include VAT.","")</f>
        <v>Average check excl. sales tax plus the weighted sales tax of your sales lines (8%), rounded. In the US, menu prices usually exclude sales tax and it is added at the register; the beverage share in column H of the beverage line of the P&amp;L only moves this average if your state taxes alcohol at another rate. In the UK, menu prices include VAT.</v>
      </c>
    </row>
    <row r="10">
      <c r="A10" s="16" t="inlineStr">
        <is>
          <t>SALES MIX AND COST OF GOODS SOLD</t>
        </is>
      </c>
    </row>
    <row r="11">
      <c r="A11" t="inlineStr">
        <is>
          <t>FOOD share of total sales</t>
        </is>
      </c>
      <c r="B11" s="64" t="n">
        <v>0.86</v>
      </c>
      <c r="C11" t="inlineStr">
        <is>
          <t>Share of FOOD in total sales. It is an INPUT: change it here and the P&amp;L, the cash flow and the sales tax collected recalculate on their own</t>
        </is>
      </c>
    </row>
    <row r="12">
      <c r="A12" t="inlineStr">
        <is>
          <t>BEVERAGE share of total sales</t>
        </is>
      </c>
      <c r="B12" s="66">
        <f>IFERROR(IF(COUNT(B11)=0,"",1-B11),"")</f>
        <v>0.14</v>
      </c>
      <c r="C12" t="inlineStr">
        <is>
          <t>Calculated as the remainder: food + beverage = 100%</t>
        </is>
      </c>
    </row>
    <row r="13">
      <c r="A13" t="inlineStr">
        <is>
          <t>Cost of goods sold on FOOD sales</t>
        </is>
      </c>
      <c r="B13" s="64" t="n">
        <v>0.29</v>
      </c>
      <c r="C13" t="inlineStr">
        <is>
          <t>Cost of goods sold on food sales: the menu averages about 29% of menu price (family meal about 29.6%, quarter with 2 sides about 28.8%, half with 2 sides about 30.0%, chicken sandwich or bowl about 22%). A marinated bird costs about $5.99 (3.0 lb (1.4 kg) at $1.75 a lb plus marinade and 5% display shrink). Chicken prices are Kit estimates: enter your distributor's and cost every plate with the Rotisserie Chicken Yield &amp; Costing Calculator</t>
        </is>
      </c>
    </row>
    <row r="14">
      <c r="A14" t="inlineStr">
        <is>
          <t>Cost of goods sold on BEVERAGE sales</t>
        </is>
      </c>
      <c r="B14" s="64" t="n">
        <v>0.22</v>
      </c>
      <c r="C14" t="inlineStr">
        <is>
          <t>Weighted average of sodas (Peruvian golden soda among them), house-made chicha morada, beer and wine against their menu prices: about 22%. Soft drinks cost a small share of their price, while beer and wine run higher and pull the average up. If your beer distributor lends you the cooler, get the terms in writing</t>
        </is>
      </c>
    </row>
    <row r="15">
      <c r="A15" t="inlineStr">
        <is>
          <t>Disposables and packaging as % of sales</t>
        </is>
      </c>
      <c r="B15" s="64" t="n">
        <v>0.04</v>
      </c>
      <c r="C15" t="inlineStr">
        <is>
          <t>Family-meal boxes, vented clamshells, foil bags, sauce cups, heated-display bags, napkins and gloves for everything that leaves the restaurant, plus take-out containers for leftovers: about 4% of sales (no supplier posts a rate: Kit estimate). Some cities and states restrict foam and single-use plastics or require utensils only on request: check your local packaging ordinances</t>
        </is>
      </c>
    </row>
    <row r="16">
      <c r="A16" t="inlineStr">
        <is>
          <t>Delivery share of total sales</t>
        </is>
      </c>
      <c r="B16" s="64" t="n">
        <v>0.15</v>
      </c>
      <c r="C16" t="inlineStr">
        <is>
          <t>Sales through third-party delivery marketplaces (DoorDash, Uber Eats, Grubhub) as a share of total sales. Counter orders, direct pickup, pre-orders by phone or web and party trays pay no commission and do not go here. A whole rotisserie chicken travels well, but fries and yuca fries arrive soft: do not go above this share without testing it</t>
        </is>
      </c>
    </row>
    <row r="17">
      <c r="A17" t="inlineStr">
        <is>
          <t>Delivery platform fee</t>
        </is>
      </c>
      <c r="B17" s="64" t="n">
        <v>0.25</v>
      </c>
      <c r="C17" t="inlineStr">
        <is>
          <t>The example uses 25%, a Plus plan on DoorDash or Uber Eats (the Basic plan is about 15% with little visibility, Premier is 30%, and app pickup orders add 6-10%). Check your contract. If you deliver yourself, enter 0 and add the driver to the "Staffing" tab as a W-2 employee, with hired and non-owned auto insurance (check your state)</t>
        </is>
      </c>
    </row>
    <row r="18">
      <c r="A18" t="inlineStr">
        <is>
          <t>Card processing fee</t>
        </is>
      </c>
      <c r="B18" s="64" t="n">
        <v>0.03</v>
      </c>
      <c r="C18" t="inlineStr">
        <is>
          <t>Card and mobile wallet (contactless) processing fees on total sales. Ask your POS provider for its rate</t>
        </is>
      </c>
    </row>
    <row r="19">
      <c r="A19" s="16" t="inlineStr">
        <is>
          <t>LABOR</t>
        </is>
      </c>
    </row>
    <row r="20">
      <c r="A20" t="inlineStr">
        <is>
          <t>Employer payroll taxes</t>
        </is>
      </c>
      <c r="B20" s="64" t="n">
        <v>0.1</v>
      </c>
      <c r="C20" t="inlineStr">
        <is>
          <t>FICA (Social Security 6.2% + Medicare 1.45%) + federal and state unemployment taxes (FUTA / SUTA) + workers' comp. About 10% in total: adjust it to your state and your insurance carrier</t>
        </is>
      </c>
    </row>
    <row r="21">
      <c r="A21" t="inlineStr">
        <is>
          <t>Monthly pay periods per year (keep 12)</t>
        </is>
      </c>
      <c r="B21" s="18" t="n">
        <v>12</v>
      </c>
      <c r="C21" t="inlineStr">
        <is>
          <t>Annual gross pay = monthly gross pay × this number. Keep 12 in the US: it counts the monthly salaries the model pays in a year, not how often you run payroll (weekly or biweekly payroll pays the same annual amount)</t>
        </is>
      </c>
    </row>
    <row r="22">
      <c r="A22" t="inlineStr">
        <is>
          <t>Federal minimum wage, annual full-time</t>
        </is>
      </c>
      <c r="B22" s="18" t="n">
        <v>15080</v>
      </c>
      <c r="C22" t="inlineStr">
        <is>
          <t>US federal minimum wage: 7.25 per hour × 2,080 hours = 15,080 per year for a full-time job. Your state or city may set a higher floor: enter it in the state / local minimum wage cell below. Check the current rates at dol.gov</t>
        </is>
      </c>
    </row>
    <row r="23">
      <c r="A23" s="16" t="inlineStr">
        <is>
          <t>RENT AND FIXED COSTS</t>
        </is>
      </c>
    </row>
    <row r="24">
      <c r="A24" t="inlineStr">
        <is>
          <t>Monthly rent</t>
        </is>
      </c>
      <c r="B24" s="18" t="n">
        <v>3733</v>
      </c>
      <c r="C24" t="inlineStr">
        <is>
          <t>About 1,600 sq ft (149 sq m) with a Type I hood and exhaust route to the roof possible (that is the filter for the space): a kitchen with the two rotisseries in view of the street, a counter with a heated display, a dining room with 40 seats, restrooms (one ADA-accessible) and storage, in a residential or retail area of a mid-size city with easy parking for pickup, second-generation space with no key money: about $28 per sq ft a year (Kit estimate, editable). The weight of rent on sales is calculated by the workbook itself in the rent row of the "3-Year P&amp;L"</t>
        </is>
      </c>
    </row>
    <row r="25">
      <c r="A25" t="inlineStr">
        <is>
          <t>Security deposit (months of rent)</t>
        </is>
      </c>
      <c r="B25" s="18" t="n">
        <v>2</v>
      </c>
      <c r="C25" t="inlineStr">
        <is>
          <t>Security deposit, in months of rent. The example uses two; commercial leases commonly ask for one to three, and some landlords also want a personal guarantee: check it with your attorney</t>
        </is>
      </c>
    </row>
    <row r="26">
      <c r="A26" t="inlineStr">
        <is>
          <t>Monthly utilities (electricity, water, gas)</t>
        </is>
      </c>
      <c r="B26" s="18" t="n">
        <v>1800</v>
      </c>
      <c r="C26" t="inlineStr">
        <is>
          <t>Gas for the two rotisseries and the fryers, electricity for the walk-in, the hood and makeup air and HVAC, and water. Commercial gas rates are a Kit estimate: ask the landlord for the space's utility history and ask your utility for the rate</t>
        </is>
      </c>
    </row>
    <row r="27">
      <c r="A27" t="inlineStr">
        <is>
          <t>Insurance (per year)</t>
        </is>
      </c>
      <c r="B27" s="18" t="n">
        <v>6500</v>
      </c>
      <c r="C27" t="inlineStr">
        <is>
          <t>General liability, liquor liability (beer &amp; wine), property coverage with equipment breakdown for the refrigeration, and workers' comp. Tell the carrier you cook with gas rotisseries and fryers: it changes the premium and the terms. Rates vary by state, so get at least two quotes</t>
        </is>
      </c>
    </row>
    <row r="28">
      <c r="A28" t="inlineStr">
        <is>
          <t>Miscellaneous and contingency as % of sales</t>
        </is>
      </c>
      <c r="B28" s="64" t="n">
        <v>0.01</v>
      </c>
      <c r="C28" t="inlineStr">
        <is>
          <t>Cushion for operating costs you did not budget (small repairs, spare spits or smallwares that break, menu tests)</t>
        </is>
      </c>
    </row>
    <row r="29">
      <c r="A29" s="16" t="inlineStr">
        <is>
          <t>FINANCING</t>
        </is>
      </c>
    </row>
    <row r="30">
      <c r="A30" t="inlineStr">
        <is>
          <t>Owner's equity contributed</t>
        </is>
      </c>
      <c r="B30" s="18" t="n">
        <v>120000</v>
      </c>
      <c r="C30" t="inlineStr">
        <is>
          <t>Owner's cash. Lenders usually expect an owner equity injection (often around 10% for SBA start-ups; many want 20-30%) toward the cash need</t>
        </is>
      </c>
    </row>
    <row r="31">
      <c r="A31" t="inlineStr">
        <is>
          <t>Loan requested</t>
        </is>
      </c>
      <c r="B31" s="18" t="n">
        <v>216000</v>
      </c>
      <c r="C31" t="inlineStr">
        <is>
          <t>Principal requested. The "Financing" tab compares what you put in with the cash need on "Startup Costs" and tells you whether you have a surplus or a shortfall: adjust the loan with that figure. The example is an SBA 7(a) loan, which you apply for through your lender (SBA Microloans go up to $50,000)</t>
        </is>
      </c>
    </row>
    <row r="32">
      <c r="A32" t="inlineStr">
        <is>
          <t>Nominal annual interest rate (not APR)</t>
        </is>
      </c>
      <c r="B32" s="64" t="n">
        <v>0.1</v>
      </c>
      <c r="C32" t="inlineStr">
        <is>
          <t>Nominal annual rate, not APR. The example uses 10%. Ask two lenders for a quote before you set it; the rotisseries, the walk-in and the fryers can also be financed through equipment financing or a lease: compare</t>
        </is>
      </c>
    </row>
    <row r="33">
      <c r="A33" t="inlineStr">
        <is>
          <t>Loan term (years)</t>
        </is>
      </c>
      <c r="B33" s="18" t="n">
        <v>10</v>
      </c>
      <c r="C33" t="inlineStr">
        <is>
          <t>Total years, interest-only period included</t>
        </is>
      </c>
    </row>
    <row r="34">
      <c r="A34" t="inlineStr">
        <is>
          <t>Interest-only period (years)</t>
        </is>
      </c>
      <c r="B34" s="18" t="n">
        <v>0</v>
      </c>
      <c r="C34" t="inlineStr">
        <is>
          <t>Years you pay interest only before principal repayment starts. The example uses 0, because SBA 7(a) loans amortize from the start. A year of interest only can ease the build-out, the hood, the gas lines and the first months of trading: ask your lender, and check the cash slack of the first repayment year on the "Break-Even" tab</t>
        </is>
      </c>
    </row>
    <row r="35">
      <c r="A35" t="inlineStr">
        <is>
          <t>Working capital (months of fixed costs)</t>
        </is>
      </c>
      <c r="B35" s="18" t="n">
        <v>3</v>
      </c>
      <c r="C35" t="inlineStr">
        <is>
          <t>Three months of fixed costs: the cushion for the ramp-up, which with Month 1 in January falls on the slowest months of the year (January and February)</t>
        </is>
      </c>
    </row>
    <row r="36">
      <c r="A36" s="16" t="inlineStr">
        <is>
          <t>TAXES</t>
        </is>
      </c>
    </row>
    <row r="37">
      <c r="A37" t="inlineStr">
        <is>
          <t>Effective income tax rate (years 1-2)</t>
        </is>
      </c>
      <c r="B37" s="64" t="n">
        <v>0.25</v>
      </c>
      <c r="C37" t="inlineStr">
        <is>
          <t>Example: 21% federal rate for a C corporation plus state tax, rounded to 25%. If you operate as a sole proprietorship, LLC taxed as a pass-through or S corporation, the business itself pays 0% here and you pay tax on the profit personally: set this to 0 and budget for your personal tax separately. The model applies this rate to the first two years with positive taxable income</t>
        </is>
      </c>
    </row>
    <row r="38">
      <c r="A38" t="inlineStr">
        <is>
          <t>Effective income tax rate (from year 3)</t>
        </is>
      </c>
      <c r="B38" s="64" t="n">
        <v>0.25</v>
      </c>
      <c r="C38" t="inlineStr">
        <is>
          <t>From the third year with positive taxable income. Same example rate (21% federal C corporation + state). Confirm the rate that applies to you with your accountant and change it here</t>
        </is>
      </c>
    </row>
    <row r="39">
      <c r="A39" t="inlineStr">
        <is>
          <t>Sales tax rate on sales</t>
        </is>
      </c>
      <c r="B39" s="64" t="n">
        <v>0.08</v>
      </c>
      <c r="C39" t="inlineStr">
        <is>
          <t>Example rate: state + local sales tax combined. It varies widely by state and city: look up yours. UK: 20% VAT on hot food and dine-in</t>
        </is>
      </c>
    </row>
    <row r="40">
      <c r="A40" t="inlineStr">
        <is>
          <t>Sales tax rate on alcohol to go</t>
        </is>
      </c>
      <c r="B40" s="64" t="n">
        <v>0.08</v>
      </c>
      <c r="C40" t="inlineStr">
        <is>
          <t>One sales tax rate for the whole example (8%: state plus local, so look up yours). In this workbook it also applies to alcohol sold to go, and it equals the on-site rate, so the two rows give the same result. There is no input credit: the workbook does not recover sales tax on purchases, so that row is 0. Some states tax food to go differently, so check yours. Utilities, equipment and services use the rate in the cell below</t>
        </is>
      </c>
    </row>
    <row r="41">
      <c r="A41" t="inlineStr">
        <is>
          <t>Recoverable input tax on purchases and capex</t>
        </is>
      </c>
      <c r="B41" s="64" t="n">
        <v>0</v>
      </c>
      <c r="C41" t="inlineStr">
        <is>
          <t>In the US, the sales tax you pay on purchases is a cost, not a credit: leave this at 0%. UK: 20% if you are VAT-registered</t>
        </is>
      </c>
    </row>
    <row r="42">
      <c r="A42" t="inlineStr">
        <is>
          <t>Net operating losses carried forward</t>
        </is>
      </c>
      <c r="B42" s="18" t="n">
        <v>0</v>
      </c>
      <c r="C42" t="inlineStr">
        <is>
          <t>Net operating losses from earlier years still to be offset at the start. Federal rules let you offset up to 80% of taxable income in a year; the model offsets 100% as a simplification</t>
        </is>
      </c>
    </row>
    <row r="43">
      <c r="A43" s="16" t="inlineStr">
        <is>
          <t>DEPRECIATION</t>
        </is>
      </c>
    </row>
    <row r="44">
      <c r="A44" t="inlineStr">
        <is>
          <t>Useful life of build-out and fixtures (years)</t>
        </is>
      </c>
      <c r="B44" s="18" t="n">
        <v>10</v>
      </c>
      <c r="C44" t="inlineStr">
        <is>
          <t>Build-out, Type I hood and exhaust, electrical service, plumbing, gas lines, HVAC, grease interceptor, signage and facade. A 10-year straight-line life for the model; your tax depreciation schedule may differ (MACRS, Section 179), so confirm it with your CPA</t>
        </is>
      </c>
    </row>
    <row r="45">
      <c r="A45" t="inlineStr">
        <is>
          <t>Useful life of machinery, furniture and equipment (years)</t>
        </is>
      </c>
      <c r="B45" s="18" t="n">
        <v>7</v>
      </c>
      <c r="C45" t="inlineStr">
        <is>
          <t>Rotisseries, heated display, fryers, walk-in and refrigeration, dish machine, furniture and POS: a 7-year straight-line life for the model; your tax depreciation schedule may differ, so confirm it with your CPA</t>
        </is>
      </c>
    </row>
    <row r="47">
      <c r="A47" s="16" t="inlineStr">
        <is>
          <t>GROWTH AND COST INFLATION</t>
        </is>
      </c>
    </row>
    <row r="48">
      <c r="A48" t="inlineStr">
        <is>
          <t>Annual increase in fixed costs</t>
        </is>
      </c>
      <c r="B48" s="64" t="n">
        <v>0</v>
      </c>
      <c r="C48" t="inlineStr">
        <is>
          <t>SET TO ZERO: all three columns are in year-1 prices (real terms). Raise it if you want to project in nominal terms</t>
        </is>
      </c>
    </row>
    <row r="49">
      <c r="A49" s="16" t="inlineStr">
        <is>
          <t>RAMP-UP AND CAPACITY</t>
        </is>
      </c>
    </row>
    <row r="51">
      <c r="A51" t="inlineStr">
        <is>
          <t>Dining room seats</t>
        </is>
      </c>
      <c r="B51" s="18" t="n">
        <v>40</v>
      </c>
      <c r="C51" t="inlineStr">
        <is>
          <t>Dining room seats: 40, with no patio. Guests who pick up a pre-order or receive their food at home do not use a seat; dine-in covers average about 55 a day, so each seat turns a little more than once a day. The bottleneck of a rotisserie chicken restaurant is not the tables: it is the rotisseries on Sunday</t>
        </is>
      </c>
    </row>
    <row r="52">
      <c r="A52" t="inlineStr">
        <is>
          <t>Month-1 activity as a % of steady-state activity</t>
        </is>
      </c>
      <c r="B52" s="64" t="n">
        <v>0.75</v>
      </c>
      <c r="C52" t="inlineStr">
        <is>
          <t>A new rotisserie chicken restaurant draws the curious in the first month, but Sunday family meals and pre-orders take a quarter to become a habit: Month 1 (January) bills 75% of what it will bill at four months. At 100% the ramp is removed</t>
        </is>
      </c>
    </row>
    <row r="53">
      <c r="A53" t="inlineStr">
        <is>
          <t>Months to reach steady state</t>
        </is>
      </c>
      <c r="B53" s="18" t="n">
        <v>4</v>
      </c>
      <c r="C53" t="inlineStr">
        <is>
          <t>Four months to reach full pace: January through April, so you reach May, one of the peaks of the year, with a customer base</t>
        </is>
      </c>
    </row>
    <row r="54">
      <c r="A54" t="inlineStr">
        <is>
          <t>Months of rent BEFORE opening (build-out and permits)</t>
        </is>
      </c>
      <c r="B54" s="18" t="n">
        <v>2</v>
      </c>
      <c r="C54" t="inlineStr">
        <is>
          <t>Two months of rent before opening: the build-out, the hood and exhaust route, the gas lines and the permits. If the lender funds the loan when build-out starts, add the interest for those months, which this workbook does not count, and remember that your repayment schedule starts at closing</t>
        </is>
      </c>
    </row>
    <row r="55">
      <c r="A55" t="inlineStr">
        <is>
          <t>Contingency on the BUILD-OUT lines of the space block (%)</t>
        </is>
      </c>
      <c r="B55" s="64" t="n">
        <v>0.1</v>
      </c>
      <c r="C55" t="inlineStr">
        <is>
          <t>Cushion on the build-out and fixtures, which is where the surprises show up (the exhaust route to the roof, the electrical service, the gas lines, the grease interceptor). A lender will not finance a remodel without one</t>
        </is>
      </c>
    </row>
    <row r="57">
      <c r="A57" s="16" t="inlineStr">
        <is>
          <t>RECEIPTS, PAYMENTS AND SALES TAX BREAKDOWN</t>
        </is>
      </c>
    </row>
    <row r="58">
      <c r="A58" t="inlineStr">
        <is>
          <t>Average collection days</t>
        </is>
      </c>
      <c r="B58" s="18" t="n">
        <v>2</v>
      </c>
      <c r="C58" t="inlineStr">
        <is>
          <t>Weighted average: dine-in, counter, pickup and pre-orders (usually with a deposit) are paid at once, and the delivery marketplaces pay out what they sell every few days (15% of sales in this example)</t>
        </is>
      </c>
    </row>
    <row r="59">
      <c r="A59" t="inlineStr">
        <is>
          <t>Average days to pay suppliers</t>
        </is>
      </c>
      <c r="B59" s="18" t="n">
        <v>14</v>
      </c>
      <c r="C59" t="inlineStr">
        <is>
          <t>Payment terms with your chicken, produce, oil and beverage suppliers: what they finance for you. New accounts often start on COD, and terms are the first thing you lose if you pay late</t>
        </is>
      </c>
    </row>
    <row r="60">
      <c r="A60" t="inlineStr">
        <is>
          <t>Month of extra pay period 1 (only if pay periods &gt; 12)</t>
        </is>
      </c>
      <c r="B60" s="18" t="n">
        <v>7</v>
      </c>
      <c r="C60" t="inlineStr">
        <is>
          <t>Month of the 12-Month Cash Flow in which a summer extra payment falls. It only matters if you enter more than 12 pay periods; with 12 there are no extra payments. If you use it, July is Month 7, because Month 1 of the plan is January</t>
        </is>
      </c>
    </row>
    <row r="61">
      <c r="A61" t="inlineStr">
        <is>
          <t>Month of extra pay period 2 (only if pay periods &gt; 12)</t>
        </is>
      </c>
      <c r="B61" s="18" t="n">
        <v>12</v>
      </c>
      <c r="C61" t="inlineStr">
        <is>
          <t>Month of the 12-Month Cash Flow in which a holiday extra payment falls. It only matters if you enter more than 12 pay periods; with 12 there are no extra payments. If you use it, December is Month 12, because Month 1 of the plan is January</t>
        </is>
      </c>
    </row>
    <row r="62">
      <c r="A62" t="inlineStr">
        <is>
          <t>Alcohol share of beverage purchases (reference only: no input credit in the US)</t>
        </is>
      </c>
      <c r="B62" s="64" t="n">
        <v>0.17</v>
      </c>
      <c r="C62" t="inlineStr">
        <is>
          <t>Reference only: in the US the sales tax you pay on purchases is a cost, not a credit (B41 = 0%), so this share moves no figure in the workbook. The sales tax you COLLECT on beverages is set by the beverage line of the P&amp;L (column H)</t>
        </is>
      </c>
    </row>
    <row r="63">
      <c r="A63" t="inlineStr">
        <is>
          <t>Sales tax rate on alcohol served on site</t>
        </is>
      </c>
      <c r="B63" s="64" t="n">
        <v>0.08</v>
      </c>
      <c r="C63" t="inlineStr">
        <is>
          <t>NO EFFECT in this workbook: the sales tax collected on beverages is set by the beverage line of the P&amp;L. With the example, beer, wine, sodas, chicha morada and food all pay the same 8% (state + local); if your state taxes alcohol at another rate, type it in B40 and the alcohol share in column H of that line</t>
        </is>
      </c>
    </row>
    <row r="64">
      <c r="A64" s="16" t="inlineStr">
        <is>
          <t>CONTROL THRESHOLDS AND FLOORS</t>
        </is>
      </c>
    </row>
    <row r="65">
      <c r="A65" t="inlineStr">
        <is>
          <t>DSCR limit (minimum acceptable)</t>
        </is>
      </c>
      <c r="B65" s="25" t="n">
        <v>1.15</v>
      </c>
      <c r="C65" t="inlineStr">
        <is>
          <t>Below 1.0 the business does not generate enough to repay the loan. Lenders often write a minimum DSCR into the loan covenants: ask yours. Kit default: 1.15×</t>
        </is>
      </c>
    </row>
    <row r="66">
      <c r="A66" t="inlineStr">
        <is>
          <t>DSCR target (green)</t>
        </is>
      </c>
      <c r="B66" s="25" t="n">
        <v>1.25</v>
      </c>
      <c r="C66" t="inlineStr">
        <is>
          <t>What lenders commonly look for before approving a loan comfortably. Kit default: 1.25× (editable estimate)</t>
        </is>
      </c>
    </row>
    <row r="67">
      <c r="A67" t="inlineStr">
        <is>
          <t>Minimum cushion above break-even</t>
        </is>
      </c>
      <c r="B67" s="64" t="n">
        <v>0.15</v>
      </c>
      <c r="C67" t="inlineStr">
        <is>
          <t>How far planned sales must sit above cash break-even (fixed costs and the loan payment). The drop you can absorb is somewhat smaller: with a 15% cushion, about 13% of plan</t>
        </is>
      </c>
    </row>
    <row r="68">
      <c r="A68" t="inlineStr">
        <is>
          <t>State / local minimum wage, annual full-time</t>
        </is>
      </c>
      <c r="B68" s="18" t="n"/>
      <c r="C68" t="inlineStr">
        <is>
          <t>Your state or local minimum wage as an annual full-time figure (hourly rate × 2,080 hours), if it is higher than the federal $7.25 an hour. With 0, the traffic light compares only against the federal floor</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4 B5 B22 B24 B26 B27 B30 B31 B42 B65 B66 B68" showDropDown="0" showInputMessage="0" showErrorMessage="1" allowBlank="1" errorTitle="Invalid amount" error="Enter a number greater than or equal to 0." type="decimal" operator="greaterThanOrEqual">
      <formula1>0</formula1>
    </dataValidation>
    <dataValidation sqref="B7 B8 B11 B13 B14 B15 B16 B17 B18 B20 B28 B32 B37 B38 B39 B40 B41 B48 B52 B55 B62 B63 B67" showDropDown="0" showInputMessage="0" showErrorMessage="1" allowBlank="1" errorTitle="Invalid percentage" error="Enter a percentage between 0 and 1 (0.35 = 35%)." type="decimal" operator="between">
      <formula1>0</formula1>
      <formula2>1</formula2>
    </dataValidation>
    <dataValidation sqref="B6 B58 B59" showDropDown="0" showInputMessage="0" showErrorMessage="1" allowBlank="1" errorTitle="Days out of range" error="Days range from 1 to 365." type="whole" operator="between">
      <formula1>1</formula1>
      <formula2>365</formula2>
    </dataValidation>
    <dataValidation sqref="B34" showDropDown="0" showInputMessage="0" showErrorMessage="1" allowBlank="1" errorTitle="Invalid count" error="Whole years of interest-only period, from 0 to 15. If it equals or exceeds the loan term, the sheet ignores it." type="whole" operator="between">
      <formula1>0</formula1>
      <formula2>15</formula2>
    </dataValidation>
    <dataValidation sqref="B53 B54" showDropDown="0" showInputMessage="0" showErrorMessage="1" allowBlank="1" errorTitle="Invalid count" error="Whole number of months (0 to 24)." type="whole" operator="between">
      <formula1>0</formula1>
      <formula2>24</formula2>
    </dataValidation>
    <dataValidation sqref="B60 B61" showDropDown="0" showInputMessage="0" showErrorMessage="1" allowBlank="1" errorTitle="Invalid count" error="Month of the year, from 1 to 12." type="whole" operator="between">
      <formula1>1</formula1>
      <formula2>12</formula2>
    </dataValidation>
    <dataValidation sqref="B33" showDropDown="0" showInputMessage="0" showErrorMessage="1" allowBlank="1" errorTitle="Invalid count" error="Loan term in whole years: the amortization schedule in this workbook runs up to 15 years." type="whole" operator="between">
      <formula1>1</formula1>
      <formula2>15</formula2>
    </dataValidation>
    <dataValidation sqref="B44 B45" showDropDown="0" showInputMessage="0" showErrorMessage="1" allowBlank="1" errorTitle="Invalid count" error="Useful life in WHOLE YEARS (1 to 50). Depreciation here is straight-line book depreciation; tax rules such as MACRS or Section 179 are separate." type="whole" operator="between">
      <formula1>1</formula1>
      <formula2>50</formula2>
    </dataValidation>
    <dataValidation sqref="B25 B35 B51" showDropDown="0" showInputMessage="0" showErrorMessage="1" allowBlank="1" errorTitle="Invalid count" error="Enter a WHOLE number of 1 or more: this cell is a count and several formulas divide by it." type="whole" operator="between">
      <formula1>1</formula1>
      <formula2>100000</formula2>
    </dataValidation>
    <dataValidation sqref="B21" showDropDown="0" showInputMessage="0" showErrorMessage="1" allowBlank="1" errorTitle="Invalid count" error="Monthly pay periods per year, from 12 to 16. Keep 12 in the US: it is not your payroll frequency. Extra pay periods apply only if you enter more than 12." type="whole" operator="between">
      <formula1>12</formula1>
      <formula2>16</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7"/>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ht="15" customHeight="1">
      <c r="A1" s="39" t="inlineStr">
        <is>
          <t>ROTISSERIE CHICKEN RESTAURANT BUSINESS PLAN: PERUVIAN-STYLE COUNTER SERVICE</t>
        </is>
      </c>
    </row>
    <row r="2">
      <c r="A2" s="2" t="inlineStr">
        <is>
          <t>Estimated Startup Costs — counter-service rotisserie chicken restaurant with two gas rotisseries and 40 seats</t>
        </is>
      </c>
    </row>
    <row r="3">
      <c r="A3" s="3" t="inlineStr">
        <is>
          <t>US kit example (2026) — replace with your own quotes.</t>
        </is>
      </c>
    </row>
    <row r="5">
      <c r="A5" s="26" t="inlineStr">
        <is>
          <t>Item</t>
        </is>
      </c>
      <c r="B5" s="26" t="inlineStr">
        <is>
          <t>Amount</t>
        </is>
      </c>
      <c r="C5" s="26" t="inlineStr">
        <is>
          <t>% of startup costs</t>
        </is>
      </c>
      <c r="D5" s="26" t="inlineStr">
        <is>
          <t>Notes</t>
        </is>
      </c>
      <c r="E5" s="26" t="inlineStr">
        <is>
          <t>Taxable / recoverable tax?</t>
        </is>
      </c>
    </row>
    <row r="6">
      <c r="A6" s="26" t="inlineStr">
        <is>
          <t>STARTUP COSTS</t>
        </is>
      </c>
      <c r="B6" s="54">
        <f>IFERROR(IF(COUNT(B7:B27)=0,"",SUM(B7:B27)),"")</f>
        <v>237832.0</v>
      </c>
      <c r="C6" s="67">
        <f>IFERROR(B6/$B$30,"")</f>
        <v>0.7084483761646644</v>
      </c>
      <c r="D6" s="29" t="n"/>
      <c r="E6" s="29" t="n"/>
    </row>
    <row r="7">
      <c r="A7" s="29" t="inlineStr">
        <is>
          <t>Architect, MEP &amp; hood drawings, plan review &amp; permit fees</t>
        </is>
      </c>
      <c r="B7" s="51" t="n">
        <v>13000</v>
      </c>
      <c r="C7" s="68">
        <f>IFERROR(B7/$B$30,"")</f>
        <v>0.03872409469768844</v>
      </c>
      <c r="D7" s="29" t="inlineStr">
        <is>
          <t>Architect, MEP and hood drawings, plan review and permit fees for the build-out, the hood and the gas lines. The beer &amp; wine license varies widely by state in cost and timing: ask your state agency early and add your own quote; this line does not assume one</t>
        </is>
      </c>
      <c r="E7" s="32" t="inlineStr">
        <is>
          <t>Yes</t>
        </is>
      </c>
    </row>
    <row r="8">
      <c r="A8" s="29" t="inlineStr">
        <is>
          <t>Build-out (second-generation space, 1,600 sq ft), signage &amp; facade</t>
        </is>
      </c>
      <c r="B8" s="51" t="n">
        <v>53000</v>
      </c>
      <c r="C8" s="68">
        <f>IFERROR(B8/$B$30,"")</f>
        <v>0.15787515530596058</v>
      </c>
      <c r="D8" s="29" t="inlineStr">
        <is>
          <t>Kitchen with washable wall finish and slip-resistant floor (also around the rotisseries), restrooms (one ADA-accessible), the service counter, ceilings and acoustic treatment, plus signage and facade ($5,000), so the rotisseries can be seen from the street. Second-generation space of 1,600 sq ft (149 sq m). Kit estimate: get two bids</t>
        </is>
      </c>
      <c r="E8" s="32" t="inlineStr">
        <is>
          <t>Yes</t>
        </is>
      </c>
    </row>
    <row r="9">
      <c r="A9" s="29" t="inlineStr">
        <is>
          <t>Type I hood (about 14 ft), UL 300 fire suppression &amp; makeup air</t>
        </is>
      </c>
      <c r="B9" s="51" t="n">
        <v>26000</v>
      </c>
      <c r="C9" s="68">
        <f>IFERROR(B9/$B$30,"")</f>
        <v>0.07744818939537688</v>
      </c>
      <c r="D9" s="29" t="inlineStr">
        <is>
          <t>A Type I hood of about 14 ft (4.3 m) with UL 300 fire suppression and makeup air over the two rotisseries, the two fryers and the range. Hood packages run $5,000-$28,000 and the example budgets $26,000. A charcoal rotisserie is a solid-fuel appliance (NFPA 96: its own exhaust, a spark arrester and daily ash removal), so it is a variant, not the example. No manufacturer posts a price per foot: ask your mechanical contractor for a quote with your drawings, and ask the fire marshal in writing</t>
        </is>
      </c>
      <c r="E9" s="32" t="inlineStr">
        <is>
          <t>Yes</t>
        </is>
      </c>
    </row>
    <row r="10">
      <c r="A10" s="29" t="inlineStr">
        <is>
          <t>Electrical service, panel &amp; gas lines</t>
        </is>
      </c>
      <c r="B10" s="51" t="n">
        <v>11000</v>
      </c>
      <c r="C10" s="68">
        <f>IFERROR(B10/$B$30,"")</f>
        <v>0.032766541667274836</v>
      </c>
      <c r="D10" s="29" t="inlineStr">
        <is>
          <t>Electrical service and panel for the refrigeration, hood, makeup air, HVAC, dish machine and rotisserie motors, plus the gas lines. Two gas rotisseries of about 177,500 BTU together need a gas service and regulator sized for them, with a gas permit. Ask for the available electrical and gas capacity BEFORE you sign the lease: a new service from the utility can take weeks or months.</t>
        </is>
      </c>
      <c r="E10" s="32" t="inlineStr">
        <is>
          <t>Yes</t>
        </is>
      </c>
    </row>
    <row r="11">
      <c r="A11" s="29" t="inlineStr">
        <is>
          <t>Plumbing, grease interceptor &amp; HVAC</t>
        </is>
      </c>
      <c r="B11" s="51" t="n">
        <v>13000</v>
      </c>
      <c r="C11" s="68">
        <f>IFERROR(B11/$B$30,"")</f>
        <v>0.03872409469768844</v>
      </c>
      <c r="D11" s="29" t="inlineStr">
        <is>
          <t>Hot and cold water in the kitchen, drains with a grease interceptor ($3,500-$7,500) and HVAC for the dining room and kitchen, installed by licensed contractors with their permits and inspections</t>
        </is>
      </c>
      <c r="E11" s="32" t="inlineStr">
        <is>
          <t>Yes</t>
        </is>
      </c>
    </row>
    <row r="12">
      <c r="A12" s="29" t="inlineStr">
        <is>
          <t>Commercial gas rotisseries × 2 (8 spits, 48 birds per load each)</t>
        </is>
      </c>
      <c r="B12" s="51" t="n">
        <v>13000</v>
      </c>
      <c r="C12" s="68">
        <f>IFERROR(B12/$B$30,"")</f>
        <v>0.03872409469768844</v>
      </c>
      <c r="D12" s="29" t="inlineStr">
        <is>
          <t>Two gas commercial rotisseries with 8 spits and 48 birds per load each. WebstaurantStore lists the Pegasus CR-8G at $6,011 retail (Oct 2026); the example budgets $13,000 for the pair with freight and installation. An electric rotisserie (Alto-Shaam AR-7E at $11,912) and a listed charcoal rotisserie ($27,500 to $35,950) are variants. Size the rotisseries with your Sunday count</t>
        </is>
      </c>
      <c r="E12" s="32" t="inlineStr">
        <is>
          <t>Yes</t>
        </is>
      </c>
    </row>
    <row r="13">
      <c r="A13" s="29" t="inlineStr">
        <is>
          <t>Heated display merchandiser, steam table &amp; holding cabinet</t>
        </is>
      </c>
      <c r="B13" s="51" t="n">
        <v>5500</v>
      </c>
      <c r="C13" s="68">
        <f>IFERROR(B13/$B$30,"")</f>
        <v>0.016383270833637418</v>
      </c>
      <c r="D13" s="29" t="inlineStr">
        <is>
          <t>Heated display merchandiser that holds whole chickens at 135 °F (57 °C) or above (models run from an Avantco HDC-48 at $599 to an Alto-Shaam ED3-72 at $11,207), plus a steam table and a holding cabinet for the sides</t>
        </is>
      </c>
      <c r="E13" s="32" t="inlineStr">
        <is>
          <t>Yes</t>
        </is>
      </c>
    </row>
    <row r="14">
      <c r="A14" s="29" t="inlineStr">
        <is>
          <t>Fryers × 2 (50 lb) &amp; range with stock-pot burners</t>
        </is>
      </c>
      <c r="B14" s="51" t="n">
        <v>7000</v>
      </c>
      <c r="C14" s="68">
        <f>IFERROR(B14/$B$30,"")</f>
        <v>0.020851435606447623</v>
      </c>
      <c r="D14" s="29" t="inlineStr">
        <is>
          <t>Two 50 lb (23 kg) fryers for the yuca fries and fries (an Avantco FF50 lists at $799 and a Pitco 65C+S at $1,848) and a range with stock-pot burners for the rice &amp; beans, the sauces and the chicha morada. Kit estimate for the range: get a quote</t>
        </is>
      </c>
      <c r="E14" s="32" t="inlineStr">
        <is>
          <t>Yes</t>
        </is>
      </c>
    </row>
    <row r="15">
      <c r="A15" s="29" t="inlineStr">
        <is>
          <t>Walk-in cooler (6×8)</t>
        </is>
      </c>
      <c r="B15" s="51" t="n">
        <v>12800</v>
      </c>
      <c r="C15" s="68">
        <f>IFERROR(B15/$B$30,"")</f>
        <v>0.03812833939464708</v>
      </c>
      <c r="D15" s="29" t="inlineStr">
        <is>
          <t>A 6×8 ft (1.8×2.4 m) walk-in cooler for the raw chicken and the marinade: birds marinate 24-48 hours. A Norlake Kold Locker lists at $12,808 (WebstaurantStore, Oct 2026)</t>
        </is>
      </c>
      <c r="E15" s="32" t="inlineStr">
        <is>
          <t>Yes</t>
        </is>
      </c>
    </row>
    <row r="16">
      <c r="A16" s="29" t="inlineStr">
        <is>
          <t>Refrigerated prep table &amp; reach-in freezer</t>
        </is>
      </c>
      <c r="B16" s="51" t="n">
        <v>6500</v>
      </c>
      <c r="C16" s="68">
        <f>IFERROR(B16/$B$30,"")</f>
        <v>0.01936204734884422</v>
      </c>
      <c r="D16" s="29" t="inlineStr">
        <is>
          <t>Refrigerated prep table and a reach-in freezer for the frozen yuca. Raw and marinated chicken stays at 41 °F (5 °C) or below, on the bottom shelf and date-marked; the example buys birds WOG (without giblets). Kit estimate: get two quotes</t>
        </is>
      </c>
      <c r="E16" s="32" t="inlineStr">
        <is>
          <t>Yes</t>
        </is>
      </c>
    </row>
    <row r="17">
      <c r="A17" s="29" t="inlineStr">
        <is>
          <t>3-comp sink, dish machine, hand &amp; poultry prep sinks, shelving &amp; stainless</t>
        </is>
      </c>
      <c r="B17" s="51" t="n">
        <v>11500</v>
      </c>
      <c r="C17" s="68">
        <f>IFERROR(B17/$B$30,"")</f>
        <v>0.034255929924878234</v>
      </c>
      <c r="D17" s="29" t="inlineStr">
        <is>
          <t>3-compartment sink, dish machine, hand sinks and a separate prep sink and stainless table for the raw chicken, kept apart from where food is served, plus shelving. Check that your spits fit the dish machine. Kit estimate</t>
        </is>
      </c>
      <c r="E17" s="32" t="inlineStr">
        <is>
          <t>Yes</t>
        </is>
      </c>
    </row>
    <row r="18">
      <c r="A18" s="29" t="inlineStr">
        <is>
          <t>Smallwares &amp; sauce station (spare spits, hotel pans, probes, blender, marinating tubs)</t>
        </is>
      </c>
      <c r="B18" s="51" t="n">
        <v>7500</v>
      </c>
      <c r="C18" s="68">
        <f>IFERROR(B18/$B$30,"")</f>
        <v>0.022340823864051024</v>
      </c>
      <c r="D18" s="29" t="inlineStr">
        <is>
          <t>Spare spits, hotel pans, probes, scales, color-coded boards, a packing station, a sauce station (blender, squeeze bottles, portion cups), marinating tubs, the required public notices (health permit, beer &amp; wine license, labor law posters) and allergen signs (the 9 major allergens, including sesame). Food handler cards and the CFPM exam are budgeted in the P&amp;L</t>
        </is>
      </c>
      <c r="E18" s="32" t="inlineStr">
        <is>
          <t>Yes</t>
        </is>
      </c>
    </row>
    <row r="19">
      <c r="A19" s="29" t="inlineStr">
        <is>
          <t>Beverage cooler &amp; ice machine</t>
        </is>
      </c>
      <c r="B19" s="51" t="n">
        <v>3000</v>
      </c>
      <c r="C19" s="68">
        <f>IFERROR(B19/$B$30,"")</f>
        <v>0.00893632954562041</v>
      </c>
      <c r="D19" s="29" t="inlineStr">
        <is>
          <t>Beverage cooler and ice machine. Kit estimate. If your beverage distributor lends you the cooler, this line goes down</t>
        </is>
      </c>
      <c r="E19" s="32" t="inlineStr">
        <is>
          <t>Yes</t>
        </is>
      </c>
    </row>
    <row r="20">
      <c r="A20" s="29" t="inlineStr">
        <is>
          <t>Furniture (40 seats)</t>
        </is>
      </c>
      <c r="B20" s="51" t="n">
        <v>11000</v>
      </c>
      <c r="C20" s="68">
        <f>IFERROR(B20/$B$30,"")</f>
        <v>0.032766541667274836</v>
      </c>
      <c r="D20" s="29" t="inlineStr">
        <is>
          <t>Tables and chairs for 40 seats in the dining room (no patio)</t>
        </is>
      </c>
      <c r="E20" s="32" t="inlineStr">
        <is>
          <t>Yes</t>
        </is>
      </c>
    </row>
    <row r="21">
      <c r="A21" s="29" t="inlineStr">
        <is>
          <t>POS, online ordering, kiosk &amp; delivery tablets</t>
        </is>
      </c>
      <c r="B21" s="51" t="n">
        <v>4500</v>
      </c>
      <c r="C21" s="68">
        <f>IFERROR(B21/$B$30,"")</f>
        <v>0.013404494318430615</v>
      </c>
      <c r="D21" s="29" t="inlineStr">
        <is>
          <t>POS that reports sales tax, card terminal, receipt printer, online ordering for pre-orders and pickup, a counter kiosk and the tablets for the delivery marketplaces</t>
        </is>
      </c>
      <c r="E21" s="32" t="inlineStr">
        <is>
          <t>Yes</t>
        </is>
      </c>
    </row>
    <row r="22">
      <c r="A22" s="29" t="inlineStr">
        <is>
          <t>LLC, legal &amp; food safety plan</t>
        </is>
      </c>
      <c r="B22" s="51" t="n">
        <v>2500</v>
      </c>
      <c r="C22" s="68">
        <f>IFERROR(B22/$B$30,"")</f>
        <v>0.007446941288017008</v>
      </c>
      <c r="D22" s="29" t="inlineStr">
        <is>
          <t>LLC formation (or an S corp election with your CPA), business license, local fees, health permit and the written food safety plan. Government fees carry no sales tax; professional fees may, depending on your state: change the column next to it if your quote is mostly professional fees</t>
        </is>
      </c>
      <c r="E22" s="32" t="inlineStr">
        <is>
          <t>No</t>
        </is>
      </c>
    </row>
    <row r="23">
      <c r="A23" s="29" t="inlineStr">
        <is>
          <t>Branding, website, photos &amp; launch</t>
        </is>
      </c>
      <c r="B23" s="51" t="n">
        <v>5500</v>
      </c>
      <c r="C23" s="68">
        <f>IFERROR(B23/$B$30,"")</f>
        <v>0.016383270833637418</v>
      </c>
      <c r="D23" s="29" t="inlineStr">
        <is>
          <t>Brand identity, a website with the menu and pre-orders, a photo shoot, a Google Business Profile and the opening campaign</t>
        </is>
      </c>
      <c r="E23" s="32" t="inlineStr">
        <is>
          <t>Yes</t>
        </is>
      </c>
    </row>
    <row r="24">
      <c r="A24" s="29" t="inlineStr">
        <is>
          <t>Opening inventory</t>
        </is>
      </c>
      <c r="B24" s="51" t="n">
        <v>5000</v>
      </c>
      <c r="C24" s="68">
        <f>IFERROR(B24/$B$30,"")</f>
        <v>0.014893882576034016</v>
      </c>
      <c r="D24" s="29" t="inlineStr">
        <is>
          <t>Chicken, frozen yuca and fries, oil, marinade ingredients (soy sauce, aji panca, huacatay, cumin), packaging, sodas, beer and wine</t>
        </is>
      </c>
      <c r="E24" s="32" t="inlineStr">
        <is>
          <t>Yes</t>
        </is>
      </c>
    </row>
    <row r="25">
      <c r="A25" s="29" t="inlineStr">
        <is>
          <t>Security deposit</t>
        </is>
      </c>
      <c r="B25" s="41">
        <f>IFERROR(IF('0. Assumptions'!$B$24="","",'0. Assumptions'!$B$24*'0. Assumptions'!$B$25),"")</f>
        <v>7466.0</v>
      </c>
      <c r="C25" s="68">
        <f>IFERROR(B25/$B$30,"")</f>
        <v>0.022239545462533993</v>
      </c>
      <c r="D25" s="29" t="str">
        <f>IFERROR(""&amp;TEXT('0. Assumptions'!$B$25,"0")&amp;IF('0. Assumptions'!$B$25=1," month"," months")&amp;" of rent, from ""0. Assumptions"". Refundable when the lease ends: it is not depreciated and carries no tax","")</f>
        <v>2 months of rent, from "0. Assumptions". Refundable when the lease ends: it is not depreciated and carries no tax</v>
      </c>
      <c r="E25" s="29" t="inlineStr">
        <is>
          <t>No</t>
        </is>
      </c>
    </row>
    <row r="26">
      <c r="A26" s="29" t="inlineStr">
        <is>
          <t>Rent paid before opening</t>
        </is>
      </c>
      <c r="B26" s="41">
        <f>IFERROR(IF('0. Assumptions'!$B$24="","",'0. Assumptions'!$B$24*'0. Assumptions'!$B$54),"")</f>
        <v>7466.0</v>
      </c>
      <c r="C26" s="68">
        <f>IFERROR(B26/$B$30,"")</f>
        <v>0.022239545462533993</v>
      </c>
      <c r="D26" s="29" t="str">
        <f>IFERROR("Rent "&amp;IF('0. Assumptions'!$B$54=1,"for the month","for the "&amp;TEXT('0. Assumptions'!$B$54,"0")&amp;" months")&amp;" of build-out and permits before opening. It does not overlap the P&amp;L, which starts on opening day: its twelve months are twelve trading months","")</f>
        <v>Rent for the 2 months of build-out and permits before opening. It does not overlap the P&amp;L, which starts on opening day: its twelve months are twelve trading months</v>
      </c>
      <c r="E26" s="29" t="inlineStr">
        <is>
          <t>Yes</t>
        </is>
      </c>
    </row>
    <row r="27">
      <c r="A27" s="29" t="inlineStr">
        <is>
          <t>Build-out and setup contingency</t>
        </is>
      </c>
      <c r="B27" s="41">
        <f>IFERROR(IF(COUNT(B7,B8,B9,B10,B11)=0,"",ROUND((B7+B8+B9+B10+B11)*'0. Assumptions'!$B$55,0)),"")</f>
        <v>11600.0</v>
      </c>
      <c r="C27" s="68">
        <f>IFERROR(B27/$B$30,"")</f>
        <v>0.034553807576398914</v>
      </c>
      <c r="D27" s="29" t="str">
        <f>IFERROR("At "&amp;TEXT('0. Assumptions'!$B$55,"0%")&amp;" of the BUILD-OUT items of this block (architect, MEP &amp; hood drawings and permit fees; build-out, signage &amp; facade; Type I hood (about 14 ft), UL 300 fire suppression &amp; makeup air; "&amp;"electrical service, panel &amp; gas lines; plumbing, grease interceptor &amp; HVAC), not of the whole block: the rotisseries, the equipment and the other items are left out. No lender funds a build-out without a cushion: the percentage is in ""0. Assumptions""","")</f>
        <v>At 10% of the BUILD-OUT items of this block (architect, MEP &amp; hood drawings and permit fees; build-out, signage &amp; facade; Type I hood (about 14 ft), UL 300 fire suppression &amp; makeup air; electrical service, panel &amp; gas lines; plumbing, grease interceptor &amp; HVAC), not of the whole block: the rotisseries, the equipment and the other items are left out. No lender funds a build-out without a cushion: the percentage is in "0. Assumptions"</v>
      </c>
      <c r="E27" s="29" t="inlineStr">
        <is>
          <t>Yes</t>
        </is>
      </c>
    </row>
    <row r="28">
      <c r="A28" s="26" t="inlineStr">
        <is>
          <t>WORKING CAPITAL</t>
        </is>
      </c>
      <c r="B28" s="54">
        <f>IFERROR(IF(B29="","",B29),"")</f>
        <v>97876.3</v>
      </c>
      <c r="C28" s="67">
        <f>IFERROR(B28/$B$30,"")</f>
        <v>0.2915516238353356</v>
      </c>
      <c r="D28" s="29" t="n"/>
      <c r="E28" s="29" t="n"/>
    </row>
    <row r="29">
      <c r="A29" s="29" t="inlineStr">
        <is>
          <t>Operating cushion until break-even</t>
        </is>
      </c>
      <c r="B29" s="41">
        <f>IFERROR(IF('0. Assumptions'!$B$35*('3-Year P&amp;L'!$B$37-'3-Year P&amp;L'!$B$35)=0,"",'0. Assumptions'!$B$35*('3-Year P&amp;L'!$B$37-'3-Year P&amp;L'!$B$35)/12),"")</f>
        <v>97876.3</v>
      </c>
      <c r="C29" s="68">
        <f>IFERROR(B29/$B$30,"")</f>
        <v>0.2915516238353356</v>
      </c>
      <c r="D29" s="29" t="str">
        <f>IFERROR("Covers "&amp;TEXT('0. Assumptions'!$B$35,"0")&amp;IF('0. Assumptions'!$B$35=1," month"," months")&amp;" of year-1 CASH fixed costs (the P&amp;L fixed costs minus depreciation, which is not paid out), the minimum the Instructions of this workbook ask for","")</f>
        <v>Covers 3 months of year-1 CASH fixed costs (the P&amp;L fixed costs minus depreciation, which is not paid out), the minimum the Instructions of this workbook ask for</v>
      </c>
      <c r="E29" s="29" t="inlineStr">
        <is>
          <t>No</t>
        </is>
      </c>
    </row>
    <row r="30">
      <c r="A30" s="26" t="inlineStr">
        <is>
          <t>TOTAL STARTUP COSTS (sum of the blocks)</t>
        </is>
      </c>
      <c r="B30" s="54">
        <f>IFERROR(B6+B28,"")</f>
        <v>335708.3</v>
      </c>
      <c r="C30" s="29" t="n"/>
      <c r="D30" s="26" t="str">
        <f>IFERROR("The percentages in column C are read on this figure, which includes the working capital ("&amp;TEXT(C28,"0%")&amp;" of the total). To compare the breakdown with another plan, use the CAPEX row below.","")</f>
        <v>The percentages in column C are read on this figure, which includes the working capital (29% of the total). To compare the breakdown with another plan, use the CAPEX row below.</v>
      </c>
      <c r="E30" s="29" t="n"/>
    </row>
    <row r="31">
      <c r="A31" s="26" t="inlineStr">
        <is>
          <t>CAPEX (startup costs excluding working capital)</t>
        </is>
      </c>
      <c r="B31" s="54">
        <f>IFERROR(B30-B28,"")</f>
        <v>237832.0</v>
      </c>
      <c r="C31" s="29" t="n"/>
      <c r="D31" s="26" t="inlineStr">
        <is>
          <t>What you buy: build-out, equipment, launch and formation costs. The cash cushion is not an investment: it is working capital</t>
        </is>
      </c>
      <c r="E31" s="29" t="n"/>
    </row>
    <row r="32">
      <c r="A32" s="29" t="inlineStr">
        <is>
          <t>Recoverable input tax on capex</t>
        </is>
      </c>
      <c r="B32" s="41">
        <f>IFERROR(IF(B30="","",SUMIF($E$7:$E$27,"Yes",$B$7:$B$27)*'0. Assumptions'!$B$41),"")</f>
        <v>0.0</v>
      </c>
      <c r="C32" s="29" t="n"/>
      <c r="D32" s="29" t="str">
        <f>IFERROR("At "&amp;TEXT('0. Assumptions'!$B$41,"0%")&amp;" on the items marked ""Yes"" in the tax column. US: the sales tax you pay on equipment is part of its cost and is not recovered, so this rate is 0. UK (VAT-registered): 20%, reclaimed on your VAT return, but you pay it first, so the loan has to cover it","")</f>
        <v>At 0% on the items marked "Yes" in the tax column. US: the sales tax you pay on equipment is part of its cost and is not recovered, so this rate is 0. UK (VAT-registered): 20%, reclaimed on your VAT return, but you pay it first, so the loan has to cover it</v>
      </c>
      <c r="E32" s="29" t="n"/>
    </row>
    <row r="33">
      <c r="A33" s="26" t="inlineStr">
        <is>
          <t>TOTAL CASH NEEDED AT LAUNCH</t>
        </is>
      </c>
      <c r="B33" s="54">
        <f>IFERROR(B30+B32,"")</f>
        <v>335708.3</v>
      </c>
      <c r="C33" s="29" t="n"/>
      <c r="D33" s="26" t="inlineStr">
        <is>
          <t>This is the figure the Financing tab has to cover</t>
        </is>
      </c>
      <c r="E33" s="29" t="n"/>
    </row>
    <row r="34">
      <c r="A34" s="26" t="inlineStr">
        <is>
          <t>DEPRECIATION BASES (not added to startup costs)</t>
        </is>
      </c>
      <c r="B34" s="29" t="n"/>
      <c r="C34" s="29" t="n"/>
      <c r="D34" s="29" t="n"/>
      <c r="E34" s="29" t="n"/>
    </row>
    <row r="35">
      <c r="A35" s="29" t="inlineStr">
        <is>
          <t>Build-out, fixtures and setup</t>
        </is>
      </c>
      <c r="B35" s="41">
        <f>IFERROR(IF(B7="","",B7+B8+B9+B10+B11+B27),"")</f>
        <v>127600.0</v>
      </c>
      <c r="C35" s="29" t="n"/>
      <c r="D35" s="29" t="str">
        <f>IFERROR("Depreciated over "&amp;TEXT('0. Assumptions'!$B$44,"0")&amp;" years","")</f>
        <v>Depreciated over 10 years</v>
      </c>
      <c r="E35" s="29" t="n"/>
    </row>
    <row r="36">
      <c r="A36" s="29" t="inlineStr">
        <is>
          <t>Machinery, furniture and equipment</t>
        </is>
      </c>
      <c r="B36" s="41">
        <f>IFERROR(IF(B12="","",B12+B13+B14+B15+B16+B17+B18+B19+B20+B21),"")</f>
        <v>82300.0</v>
      </c>
      <c r="C36" s="29" t="n"/>
      <c r="D36" s="29" t="str">
        <f>IFERROR("Depreciated over "&amp;TEXT('0. Assumptions'!$B$45,"0")&amp;" years","")</f>
        <v>Depreciated over 7 years</v>
      </c>
      <c r="E36" s="29" t="n"/>
    </row>
    <row r="37">
      <c r="A37" s="26" t="inlineStr">
        <is>
          <t>Annual depreciation of fixed assets</t>
        </is>
      </c>
      <c r="B37" s="54">
        <f>IFERROR(B35/MAX(1,'0. Assumptions'!$B$44)+B36/MAX(1,'0. Assumptions'!$B$45),"")</f>
        <v>24517.142857142855</v>
      </c>
      <c r="C37" s="29" t="n"/>
      <c r="D37" s="26" t="str">
        <f>IFERROR("Not depreciated, because they are not fixed assets: LLC, legal and food safety plan; branding, website, photos and launch; opening inventory; security deposit; pre-opening rent and the working capital reserve. They add up to "&amp;TEXT(B30-B35-B36,"#,##0")&amp;" of the "&amp;TEXT(B30,"#,##0")&amp;" total investment.","")</f>
        <v>Not depreciated, because they are not fixed assets: LLC, legal and food safety plan; branding, website, photos and launch; opening inventory; security deposit; pre-opening rent and the working capital reserve. They add up to 125808 of the 335708 total investment.</v>
      </c>
      <c r="E37"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3">
    <cfRule type="expression" priority="1" dxfId="0" stopIfTrue="1">
      <formula>AND(ISNUMBER(B33),B33&gt;0)</formula>
    </cfRule>
  </conditionalFormatting>
  <dataValidations count="2">
    <dataValidation sqref="E7:E24" showDropDown="0" showInputMessage="0" showErrorMessage="1" allowBlank="1" errorTitle="Invalid entry" error="Enter &quot;Yes&quot; or &quot;No&quot;: the recoverable input tax on startup costs comes from this column." type="list">
      <formula1>"Yes,No"</formula1>
    </dataValidation>
    <dataValidation sqref="B7 B8 B9 B10 B11 B12 B13 B14 B15 B16 B17 B18 B19 B20 B21 B22 B23 B24" showDropDown="0" showInputMessage="0" showErrorMessage="1" allowBlank="1" errorTitle="Invalid amount" error="Enter a number greater than or equal to 0." type="decimal" operator="greaterThanOrEqual">
      <formula1>0</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39" t="inlineStr">
        <is>
          <t>PRO FORMA P&amp;L — 3 YEARS</t>
        </is>
      </c>
    </row>
    <row r="2">
      <c r="A2" s="3" t="inlineStr">
        <is>
          <t>Base case — rotisserie chicken restaurant: counter, pickup &amp; pre-orders, delivery and dine-in</t>
        </is>
      </c>
    </row>
    <row r="4" ht="45" customHeight="1">
      <c r="A4" s="40" t="inlineStr">
        <is>
          <t>Item</t>
        </is>
      </c>
      <c r="B4" s="40" t="inlineStr">
        <is>
          <t>Year 1</t>
        </is>
      </c>
      <c r="C4" s="40" t="inlineStr">
        <is>
          <t>Year 2</t>
        </is>
      </c>
      <c r="D4" s="40" t="inlineStr">
        <is>
          <t>Year 3</t>
        </is>
      </c>
      <c r="E4" s="40" t="inlineStr">
        <is>
          <t>% of sales (year 1)</t>
        </is>
      </c>
      <c r="F4" s="40" t="inlineStr">
        <is>
          <t>Notes</t>
        </is>
      </c>
      <c r="G4" s="40" t="inlineStr">
        <is>
          <t>Sales tax rate on the line (%)</t>
        </is>
      </c>
      <c r="H4" s="40" t="inlineStr">
        <is>
          <t>Beverage share taxed at the alcohol rate in B40 (%)</t>
        </is>
      </c>
    </row>
    <row r="5">
      <c r="A5" s="26" t="inlineStr">
        <is>
          <t>REVENUE</t>
        </is>
      </c>
      <c r="B5" s="29" t="n"/>
      <c r="C5" s="29" t="n"/>
      <c r="D5" s="29" t="n"/>
      <c r="E5" s="29" t="n"/>
      <c r="F5" s="29" t="n"/>
      <c r="G5" s="29" t="n"/>
      <c r="H5" s="29" t="n"/>
    </row>
    <row r="6">
      <c r="A6" s="29" t="inlineStr">
        <is>
          <t>Covers per day (average)</t>
        </is>
      </c>
      <c r="B6" s="41">
        <f>IFERROR(IF('0. Assumptions'!$B$4="","",'0. Assumptions'!$B$4),"")</f>
        <v>130.0</v>
      </c>
      <c r="C6" s="41">
        <f>IFERROR(B6*(1+'0. Assumptions'!$B$7),"")</f>
        <v>137.8</v>
      </c>
      <c r="D6" s="41">
        <f>IFERROR(C6*(1+'0. Assumptions'!$B$8),"")</f>
        <v>143.312</v>
      </c>
      <c r="E6" s="29" t="n"/>
      <c r="F6" s="29" t="inlineStr">
        <is>
          <t>Growth for years 2 and 3 is set in "0. Assumptions"</t>
        </is>
      </c>
      <c r="G6" s="29" t="n"/>
      <c r="H6" s="29" t="n"/>
    </row>
    <row r="7">
      <c r="A7" s="29" t="inlineStr">
        <is>
          <t>Average check (excl. sales tax)</t>
        </is>
      </c>
      <c r="B7" s="62">
        <f>IFERROR(IF('0. Assumptions'!$B$5="","",'0. Assumptions'!$B$5),"")</f>
        <v>17.5</v>
      </c>
      <c r="C7" s="62">
        <f>IFERROR(IF(B7="","",B7),"")</f>
        <v>17.5</v>
      </c>
      <c r="D7" s="62">
        <f>IFERROR(IF(C7="","",C7),"")</f>
        <v>17.5</v>
      </c>
      <c r="E7" s="29" t="n"/>
      <c r="F7" s="29" t="inlineStr">
        <is>
          <t>Held constant at year-1 prices: a price increase is a separate decision</t>
        </is>
      </c>
      <c r="G7" s="29" t="n"/>
      <c r="H7" s="29" t="n"/>
    </row>
    <row r="8">
      <c r="A8" s="29" t="inlineStr">
        <is>
          <t>Operating days per year</t>
        </is>
      </c>
      <c r="B8" s="41">
        <f>IFERROR(IF('0. Assumptions'!$B$6="","",'0. Assumptions'!$B$6),"")</f>
        <v>360.0</v>
      </c>
      <c r="C8" s="41">
        <f>IFERROR(IF(B8="","",B8),"")</f>
        <v>360.0</v>
      </c>
      <c r="D8" s="41">
        <f>IFERROR(IF(C8="","",C8),"")</f>
        <v>360.0</v>
      </c>
      <c r="E8" s="29" t="n"/>
      <c r="F8" s="29" t="n"/>
      <c r="G8" s="29" t="n"/>
      <c r="H8" s="29" t="n"/>
    </row>
    <row r="9">
      <c r="A9" s="26" t="inlineStr">
        <is>
          <t>TOTAL REVENUE (excl. sales tax)</t>
        </is>
      </c>
      <c r="B9" s="54">
        <f>IFERROR(IF(B6*B7*B8=0,"",B6*B7*B8),"")</f>
        <v>819000.0</v>
      </c>
      <c r="C9" s="54">
        <f>IFERROR(IF(C6*C7*C8=0,"",C6*C7*C8),"")</f>
        <v>868140.0</v>
      </c>
      <c r="D9" s="54">
        <f>IFERROR(IF(D6*D7*D8=0,"",D6*D7*D8),"")</f>
        <v>902865.6</v>
      </c>
      <c r="E9" s="67">
        <f>IFERROR(IF(B9="","",1),"")</f>
        <v>1.0</v>
      </c>
      <c r="F9" s="29" t="n"/>
      <c r="G9" s="29" t="n"/>
      <c r="H9" s="29" t="n"/>
    </row>
    <row r="10">
      <c r="A10" s="29" t="inlineStr">
        <is>
          <t>Food sales (rotisserie chicken plates, family meals &amp; sides: counter, pickup, pre-orders, delivery &amp; dine-in)</t>
        </is>
      </c>
      <c r="B10" s="41">
        <f>IFERROR(IF(B9="","",B9*$E$10),"")</f>
        <v>704340.0</v>
      </c>
      <c r="C10" s="41">
        <f>IFERROR(IF(C9="","",C9*$E$10),"")</f>
        <v>746600.4</v>
      </c>
      <c r="D10" s="41">
        <f>IFERROR(IF(D9="","",D9*$E$10),"")</f>
        <v>776464.416</v>
      </c>
      <c r="E10" s="68">
        <f>IFERROR(IF('0. Assumptions'!$B$11="","",'0. Assumptions'!$B$11),"")</f>
        <v>0.86</v>
      </c>
      <c r="F10" s="29" t="inlineStr">
        <is>
          <t>Rotisserie chicken (quarter, half and whole), family meals, sandwiches and bowls, and sides: about 42.5% dine-in, about 42.5% pickup and pre-orders, and 15% through delivery marketplaces. One sales tax rate in the example, whether guests eat in or take it to go; some states tax food to go differently, so check yours</t>
        </is>
      </c>
      <c r="G10" s="68">
        <f>IFERROR(IF(B9="","",'0. Assumptions'!$B$39),"")</f>
        <v>0.08</v>
      </c>
      <c r="H10" s="29" t="n"/>
    </row>
    <row r="11">
      <c r="A11" s="29" t="inlineStr">
        <is>
          <t>Beverage sales (sodas, chicha morada, beer &amp; wine)</t>
        </is>
      </c>
      <c r="B11" s="41">
        <f>IFERROR(IF(B9="","",B9*$E$11),"")</f>
        <v>114660.00000000001</v>
      </c>
      <c r="C11" s="41">
        <f>IFERROR(IF(C9="","",C9*$E$11),"")</f>
        <v>121539.6</v>
      </c>
      <c r="D11" s="41">
        <f>IFERROR(IF(D9="","",D9*$E$11),"")</f>
        <v>126401.18400000001</v>
      </c>
      <c r="E11" s="68">
        <f>IFERROR(IF('0. Assumptions'!$B$12="","",'0. Assumptions'!$B$12),"")</f>
        <v>0.14</v>
      </c>
      <c r="F11" s="29" t="inlineStr">
        <is>
          <t>Dine-in beverages and the drinks that go out with orders (sodas, chicha morada, beer &amp; wine) · Column H is the share of beverage sales taxed at the alcohol rate in "0. Assumptions" B40. With the example rates (B39 = B40 = 8%: state + local) it changes nothing. Some states tax alcohol differently: type your alcohol rate in B40 and the alcohol share of beverage sales here</t>
        </is>
      </c>
      <c r="G11" s="68">
        <f>IFERROR(IF(B9="","",H11*'0. Assumptions'!$B$40+(1-H11)*'0. Assumptions'!$B$39),"")</f>
        <v>0.08</v>
      </c>
      <c r="H11" s="74" t="n">
        <v>0.17</v>
      </c>
    </row>
    <row r="12">
      <c r="A12" s="26" t="inlineStr">
        <is>
          <t>VARIABLE COSTS</t>
        </is>
      </c>
      <c r="B12" s="29" t="n"/>
      <c r="C12" s="29" t="n"/>
      <c r="D12" s="29" t="n"/>
      <c r="E12" s="29" t="n"/>
      <c r="F12" s="29" t="n"/>
      <c r="G12" s="29" t="n"/>
      <c r="H12" s="29" t="n"/>
    </row>
    <row r="13">
      <c r="A13" s="29" t="inlineStr">
        <is>
          <t>Cost of goods sold — food</t>
        </is>
      </c>
      <c r="B13" s="41">
        <f>IFERROR(IF(B9="","",B9*'0. Assumptions'!$B$11*'0. Assumptions'!$B$13),"")</f>
        <v>204258.59999999998</v>
      </c>
      <c r="C13" s="41">
        <f>IFERROR(IF(C9="","",C9*'0. Assumptions'!$B$11*'0. Assumptions'!$B$13),"")</f>
        <v>216514.11599999998</v>
      </c>
      <c r="D13" s="41">
        <f>IFERROR(IF(D9="","",D9*'0. Assumptions'!$B$11*'0. Assumptions'!$B$13),"")</f>
        <v>225174.68063999998</v>
      </c>
      <c r="E13" s="68">
        <f>IFERROR(B13/$B$9,"")</f>
        <v>0.24939999999999998</v>
      </c>
      <c r="F13" s="29" t="str">
        <f>IFERROR("At "&amp;TEXT('0. Assumptions'!$B$13,"0%")&amp;" of FOOD sales, not of total sales: beverages have their own line · "&amp;"whole chickens, marinade, cooking oil, frozen yuca and fries, rice, beans, produce and sauce ingredients: check it against your distributor invoices and the Rotisserie Chicken Yield &amp; Costing Calculator","")</f>
        <v>At 29% of FOOD sales, not of total sales: beverages have their own line · whole chickens, marinade, cooking oil, frozen yuca and fries, rice, beans, produce and sauce ingredients: check it against your distributor invoices and the Rotisserie Chicken Yield &amp; Costing Calculator</v>
      </c>
      <c r="G13" s="74" t="n">
        <v>0</v>
      </c>
      <c r="H13" s="29" t="n"/>
    </row>
    <row r="14">
      <c r="A14" s="29" t="inlineStr">
        <is>
          <t>Cost of goods sold — beverage</t>
        </is>
      </c>
      <c r="B14" s="41">
        <f>IFERROR(IF(B9="","",B9*'0. Assumptions'!$B$12*'0. Assumptions'!$B$14),"")</f>
        <v>25225.200000000004</v>
      </c>
      <c r="C14" s="41">
        <f>IFERROR(IF(C9="","",C9*'0. Assumptions'!$B$12*'0. Assumptions'!$B$14),"")</f>
        <v>26738.712000000003</v>
      </c>
      <c r="D14" s="41">
        <f>IFERROR(IF(D9="","",D9*'0. Assumptions'!$B$12*'0. Assumptions'!$B$14),"")</f>
        <v>27808.26048</v>
      </c>
      <c r="E14" s="68">
        <f>IFERROR(B14/$B$9,"")</f>
        <v>0.030800000000000004</v>
      </c>
      <c r="F14" s="29" t="str">
        <f>IFERROR("At "&amp;TEXT('0. Assumptions'!$B$14,"0%")&amp;" of BEVERAGE sales","")</f>
        <v>At 22% of BEVERAGE sales</v>
      </c>
      <c r="G14" s="68">
        <f>IFERROR(IF(B9="","",'0. Assumptions'!$B$41),"")</f>
        <v>0.0</v>
      </c>
      <c r="H14" s="29" t="n"/>
    </row>
    <row r="15">
      <c r="A15" s="29" t="inlineStr">
        <is>
          <t>Disposables and packaging</t>
        </is>
      </c>
      <c r="B15" s="41">
        <f>IFERROR(IF(B9="","",B9*'0. Assumptions'!$B$15),"")</f>
        <v>32760.0</v>
      </c>
      <c r="C15" s="41">
        <f>IFERROR(IF(C9="","",C9*'0. Assumptions'!$B$15),"")</f>
        <v>34725.6</v>
      </c>
      <c r="D15" s="41">
        <f>IFERROR(IF(D9="","",D9*'0. Assumptions'!$B$15),"")</f>
        <v>36114.624</v>
      </c>
      <c r="E15" s="68">
        <f>IFERROR(B15/$B$9,"")</f>
        <v>0.04</v>
      </c>
      <c r="F15" s="29" t="n"/>
      <c r="G15" s="68">
        <f>IFERROR(IF(B9="","",'0. Assumptions'!$B$41),"")</f>
        <v>0.0</v>
      </c>
      <c r="H15" s="29" t="n"/>
    </row>
    <row r="16">
      <c r="A16" s="29" t="inlineStr">
        <is>
          <t>Delivery platform fees</t>
        </is>
      </c>
      <c r="B16" s="41">
        <f>IFERROR(IF(B9="","",B9*'0. Assumptions'!$B$16*'0. Assumptions'!$B$17),"")</f>
        <v>30712.5</v>
      </c>
      <c r="C16" s="41">
        <f>IFERROR(IF(C9="","",C9*'0. Assumptions'!$B$16*'0. Assumptions'!$B$17),"")</f>
        <v>32555.25</v>
      </c>
      <c r="D16" s="41">
        <f>IFERROR(IF(D9="","",D9*'0. Assumptions'!$B$16*'0. Assumptions'!$B$17),"")</f>
        <v>33857.46</v>
      </c>
      <c r="E16" s="68">
        <f>IFERROR(B16/$B$9,"")</f>
        <v>0.0375</v>
      </c>
      <c r="F16" s="29" t="inlineStr">
        <is>
          <t>Applied to the sales of THAT CHANNEL. With 0% delivery in Assumptions, this line is zero</t>
        </is>
      </c>
      <c r="G16" s="68">
        <f>IFERROR(IF(B9="","",'0. Assumptions'!$B$41),"")</f>
        <v>0.0</v>
      </c>
      <c r="H16" s="29" t="n"/>
    </row>
    <row r="17">
      <c r="A17" s="29" t="inlineStr">
        <is>
          <t>Card processing fees</t>
        </is>
      </c>
      <c r="B17" s="41">
        <f>IFERROR(IF(B9="","",B9*'0. Assumptions'!$B$18),"")</f>
        <v>24570.0</v>
      </c>
      <c r="C17" s="41">
        <f>IFERROR(IF(C9="","",C9*'0. Assumptions'!$B$18),"")</f>
        <v>26044.2</v>
      </c>
      <c r="D17" s="41">
        <f>IFERROR(IF(D9="","",D9*'0. Assumptions'!$B$18),"")</f>
        <v>27085.967999999997</v>
      </c>
      <c r="E17" s="68">
        <f>IFERROR(B17/$B$9,"")</f>
        <v>0.03</v>
      </c>
      <c r="F17" s="29" t="inlineStr">
        <is>
          <t>Card processing fees are not subject to sales tax: no tax is recovered or deducted for them</t>
        </is>
      </c>
      <c r="G17" s="68" t="n">
        <v>0</v>
      </c>
      <c r="H17" s="29" t="n"/>
    </row>
    <row r="18">
      <c r="A18" s="29" t="inlineStr">
        <is>
          <t>Miscellaneous and contingency</t>
        </is>
      </c>
      <c r="B18" s="41">
        <f>IFERROR(IF(B9="","",B9*'0. Assumptions'!$B$28),"")</f>
        <v>8190.0</v>
      </c>
      <c r="C18" s="41">
        <f>IFERROR(IF(C9="","",C9*'0. Assumptions'!$B$28),"")</f>
        <v>8681.4</v>
      </c>
      <c r="D18" s="41">
        <f>IFERROR(IF(D9="","",D9*'0. Assumptions'!$B$28),"")</f>
        <v>9028.656</v>
      </c>
      <c r="E18" s="68">
        <f>IFERROR(B18/$B$9,"")</f>
        <v>0.01</v>
      </c>
      <c r="F18" s="29" t="str">
        <f>IFERROR("At "&amp;TEXT('0. Assumptions'!$B$28,"0%")&amp;" of sales. It is a VARIABLE cost: it moves with revenue, so it cannot sit in fixed costs","")</f>
        <v>At 1% of sales. It is a VARIABLE cost: it moves with revenue, so it cannot sit in fixed costs</v>
      </c>
      <c r="G18" s="68">
        <f>IFERROR(IF(B9="","",'0. Assumptions'!$B$41),"")</f>
        <v>0.0</v>
      </c>
      <c r="H18" s="29" t="n"/>
    </row>
    <row r="19">
      <c r="A19" s="26" t="inlineStr">
        <is>
          <t>TOTAL VARIABLE COSTS</t>
        </is>
      </c>
      <c r="B19" s="54">
        <f>IFERROR(IF(B9="","",SUM(B13:B18)),"")</f>
        <v>325716.3</v>
      </c>
      <c r="C19" s="54">
        <f>IFERROR(IF(C9="","",SUM(C13:C18)),"")</f>
        <v>345259.278</v>
      </c>
      <c r="D19" s="54">
        <f>IFERROR(IF(D9="","",SUM(D13:D18)),"")</f>
        <v>359069.64911999996</v>
      </c>
      <c r="E19" s="67">
        <f>IFERROR(B19/$B$9,"")</f>
        <v>0.3977</v>
      </c>
      <c r="F19" s="29" t="n"/>
      <c r="G19" s="29" t="n"/>
      <c r="H19" s="29" t="n"/>
    </row>
    <row r="20">
      <c r="A20" s="26" t="inlineStr">
        <is>
          <t>GROSS MARGIN</t>
        </is>
      </c>
      <c r="B20" s="54">
        <f>IFERROR(IF(B9="","",B9-B19),"")</f>
        <v>493283.7</v>
      </c>
      <c r="C20" s="54">
        <f>IFERROR(IF(C9="","",C9-C19),"")</f>
        <v>522880.722</v>
      </c>
      <c r="D20" s="54">
        <f>IFERROR(IF(D9="","",D9-D19),"")</f>
        <v>543795.95088</v>
      </c>
      <c r="E20" s="67">
        <f>IFERROR(B20/$B$9,"")</f>
        <v>0.6023000000000001</v>
      </c>
      <c r="F20" s="29" t="n"/>
      <c r="G20" s="29" t="n"/>
      <c r="H20" s="29" t="n"/>
    </row>
    <row r="21">
      <c r="A21" s="26" t="inlineStr">
        <is>
          <t>FIXED COSTS</t>
        </is>
      </c>
      <c r="B21" s="29" t="n"/>
      <c r="C21" s="29" t="n"/>
      <c r="D21" s="29" t="n"/>
      <c r="E21" s="29" t="n"/>
      <c r="F21" s="29" t="n"/>
      <c r="G21" s="29" t="n"/>
      <c r="H21" s="29" t="n"/>
    </row>
    <row r="22">
      <c r="A22" s="29" t="inlineStr">
        <is>
          <t>Rent</t>
        </is>
      </c>
      <c r="B22" s="41">
        <f>IFERROR(IF(B9="","",'0. Assumptions'!$B$24*12),"")</f>
        <v>44796.0</v>
      </c>
      <c r="C22" s="41">
        <f>IFERROR(IF(C9="","",B22*(1+'0. Assumptions'!$B$48)),"")</f>
        <v>44796.0</v>
      </c>
      <c r="D22" s="41">
        <f>IFERROR(IF(D9="","",C22*(1+'0. Assumptions'!$B$48)),"")</f>
        <v>44796.0</v>
      </c>
      <c r="E22" s="68">
        <f>IFERROR(B22/$B$9,"")</f>
        <v>0.054695970695970694</v>
      </c>
      <c r="F22" s="29" t="inlineStr">
        <is>
          <t>The monthly amount is on the "0. Assumptions" tab; here it is multiplied by twelve. The two months of rent before opening are on "Startup Costs" and are NOT counted twice</t>
        </is>
      </c>
      <c r="G22" s="68">
        <f>IFERROR(IF(B9="","",'0. Assumptions'!$B$41),"")</f>
        <v>0.0</v>
      </c>
      <c r="H22" s="29" t="n"/>
    </row>
    <row r="23">
      <c r="A23" s="29" t="inlineStr">
        <is>
          <t>Labor (wages + employer payroll taxes)</t>
        </is>
      </c>
      <c r="B23" s="41">
        <f>IFERROR(IF(B9="","",Staffing!$G$12),"")</f>
        <v>271009.2</v>
      </c>
      <c r="C23" s="41">
        <f>IFERROR(IF(C9="","",Staffing!$B$16),"")</f>
        <v>276009.2</v>
      </c>
      <c r="D23" s="41">
        <f>IFERROR(IF(D9="","",Staffing!$B$17),"")</f>
        <v>281009.2</v>
      </c>
      <c r="E23" s="68">
        <f>IFERROR(B23/$B$9,"")</f>
        <v>0.33090256410256413</v>
      </c>
      <c r="F23" s="29" t="inlineStr">
        <is>
          <t>Comes from the Staffing tab: it is the SAME number, not a separate estimate. Years 2 and 3 add the new hires declared on that tab, not a percentage of volume</t>
        </is>
      </c>
      <c r="G23" s="68" t="n">
        <v>0</v>
      </c>
      <c r="H23" s="29" t="n"/>
    </row>
    <row r="24">
      <c r="A24" s="29" t="inlineStr">
        <is>
          <t>Utilities (electricity, water, gas)</t>
        </is>
      </c>
      <c r="B24" s="41">
        <f>IFERROR(IF(B9="","",'0. Assumptions'!$B$26*12),"")</f>
        <v>21600.0</v>
      </c>
      <c r="C24" s="41">
        <f>IFERROR(IF(C9="","",B24*(1+'0. Assumptions'!$B$48)),"")</f>
        <v>21600.0</v>
      </c>
      <c r="D24" s="41">
        <f>IFERROR(IF(D9="","",C24*(1+'0. Assumptions'!$B$48)),"")</f>
        <v>21600.0</v>
      </c>
      <c r="E24" s="68">
        <f>IFERROR(B24/$B$9,"")</f>
        <v>0.026373626373626374</v>
      </c>
      <c r="F24" s="29" t="inlineStr">
        <is>
          <t>Enter the monthly bills excl. sales tax. The workbook applies a single tax treatment to this whole line, the one in the column next to it; if one utility is taxed differently in your area, give it its own line</t>
        </is>
      </c>
      <c r="G24" s="68">
        <f>IFERROR(IF(B9="","",'0. Assumptions'!$B$41),"")</f>
        <v>0.0</v>
      </c>
      <c r="H24" s="29" t="n"/>
    </row>
    <row r="25">
      <c r="A25" s="29" t="inlineStr">
        <is>
          <t>Insurance (general + liquor liability + property + workers' comp)</t>
        </is>
      </c>
      <c r="B25" s="41">
        <f>IFERROR(IF(B9="","",'0. Assumptions'!$B$27),"")</f>
        <v>6500.0</v>
      </c>
      <c r="C25" s="41">
        <f>IFERROR(IF(C9="","",B25*(1+'0. Assumptions'!$B$48)),"")</f>
        <v>6500.0</v>
      </c>
      <c r="D25" s="41">
        <f>IFERROR(IF(D9="","",C25*(1+'0. Assumptions'!$B$48)),"")</f>
        <v>6500.0</v>
      </c>
      <c r="E25" s="68">
        <f>IFERROR(B25/$B$9,"")</f>
        <v>0.007936507936507936</v>
      </c>
      <c r="F25" s="29" t="inlineStr">
        <is>
          <t>Insurance premiums are not subject to sales tax: there is no recoverable tax on them</t>
        </is>
      </c>
      <c r="G25" s="68" t="n">
        <v>0</v>
      </c>
      <c r="H25" s="29" t="n"/>
    </row>
    <row r="26">
      <c r="A26" s="29" t="inlineStr">
        <is>
          <t>Accounting &amp; bookkeeping</t>
        </is>
      </c>
      <c r="B26" s="51" t="n">
        <v>4200</v>
      </c>
      <c r="C26" s="41">
        <f>IFERROR(IF(C9="","",B26*(1+'0. Assumptions'!$B$48)),"")</f>
        <v>4200.0</v>
      </c>
      <c r="D26" s="41">
        <f>IFERROR(IF(D9="","",C26*(1+'0. Assumptions'!$B$48)),"")</f>
        <v>4200.0</v>
      </c>
      <c r="E26" s="68">
        <f>IFERROR(B26/$B$9,"")</f>
        <v>0.005128205128205128</v>
      </c>
      <c r="F26" s="29" t="inlineStr">
        <is>
          <t>Bookkeeping, income tax and payroll filings for the LLC, payroll processing and the staff paperwork (offer letters, I-9, W-4)</t>
        </is>
      </c>
      <c r="G26" s="68">
        <f>IFERROR(IF(B9="","",'0. Assumptions'!$B$41),"")</f>
        <v>0.0</v>
      </c>
      <c r="H26" s="29" t="n"/>
    </row>
    <row r="27">
      <c r="A27" s="29" t="inlineStr">
        <is>
          <t>Maintenance (quarterly hood cleaning, rotisserie service, refrigeration)</t>
        </is>
      </c>
      <c r="B27" s="51" t="n">
        <v>3600</v>
      </c>
      <c r="C27" s="41">
        <f>IFERROR(IF(C9="","",B27*(1+'0. Assumptions'!$B$48)),"")</f>
        <v>3600.0</v>
      </c>
      <c r="D27" s="41">
        <f>IFERROR(IF(D9="","",C27*(1+'0. Assumptions'!$B$48)),"")</f>
        <v>3600.0</v>
      </c>
      <c r="E27" s="68">
        <f>IFERROR(B27/$B$9,"")</f>
        <v>0.004395604395604396</v>
      </c>
      <c r="F27" s="29" t="inlineStr">
        <is>
          <t>Hood and duct cleaning every quarter (NFPA 96, Table 11.4), annual service for the rotisseries and gas lines (burners, motors and spits), and the refrigeration technician. Ask your fire marshal what your jurisdiction requires</t>
        </is>
      </c>
      <c r="G27" s="68">
        <f>IFERROR(IF(B9="","",'0. Assumptions'!$B$41),"")</f>
        <v>0.0</v>
      </c>
      <c r="H27" s="29" t="n"/>
    </row>
    <row r="28">
      <c r="A28" s="29" t="inlineStr">
        <is>
          <t>Marketing and advertising</t>
        </is>
      </c>
      <c r="B28" s="51" t="n">
        <v>6400</v>
      </c>
      <c r="C28" s="41">
        <f>IFERROR(IF(C9="","",B28*(1+'0. Assumptions'!$B$48)),"")</f>
        <v>6400.0</v>
      </c>
      <c r="D28" s="41">
        <f>IFERROR(IF(D9="","",C28*(1+'0. Assumptions'!$B$48)),"")</f>
        <v>6400.0</v>
      </c>
      <c r="E28" s="68">
        <f>IFERROR(B28/$B$9,"")</f>
        <v>0.007814407814407814</v>
      </c>
      <c r="F28" s="29" t="inlineStr">
        <is>
          <t>Google Business Profile, Yelp, Instagram, photos, flyers and cards with the pre-order phone and website, and the big dates: Mother's Day, Super Bowl Sunday, Christmas Eve and New Year's Eve and, if you make Peruvian pollo a la brasa, Pollo a la Brasa Day (the third Sunday of July). The opening campaign is in "Startup Costs"</t>
        </is>
      </c>
      <c r="G28" s="68">
        <f>IFERROR(IF(B9="","",'0. Assumptions'!$B$41),"")</f>
        <v>0.0</v>
      </c>
      <c r="H28" s="29" t="n"/>
    </row>
    <row r="29">
      <c r="A29" s="29" t="inlineStr">
        <is>
          <t>Software, POS &amp; online ordering</t>
        </is>
      </c>
      <c r="B29" s="51" t="n">
        <v>3600</v>
      </c>
      <c r="C29" s="41">
        <f>IFERROR(IF(C9="","",B29*(1+'0. Assumptions'!$B$48)),"")</f>
        <v>3600.0</v>
      </c>
      <c r="D29" s="41">
        <f>IFERROR(IF(D9="","",C29*(1+'0. Assumptions'!$B$48)),"")</f>
        <v>3600.0</v>
      </c>
      <c r="E29" s="68">
        <f>IFERROR(B29/$B$9,"")</f>
        <v>0.004395604395604396</v>
      </c>
      <c r="F29" s="29" t="inlineStr">
        <is>
          <t>POS subscription, online ordering for pre-orders, the delivery marketplace tablets, phone and internet</t>
        </is>
      </c>
      <c r="G29" s="68">
        <f>IFERROR(IF(B9="","",'0. Assumptions'!$B$41),"")</f>
        <v>0.0</v>
      </c>
      <c r="H29" s="29" t="n"/>
    </row>
    <row r="30">
      <c r="A30" s="29" t="inlineStr">
        <is>
          <t>Cleaning, linens &amp; uniforms</t>
        </is>
      </c>
      <c r="B30" s="51" t="n">
        <v>2000</v>
      </c>
      <c r="C30" s="41">
        <f>IFERROR(IF(C9="","",B30*(1+'0. Assumptions'!$B$48)),"")</f>
        <v>2000.0</v>
      </c>
      <c r="D30" s="41">
        <f>IFERROR(IF(D9="","",C30*(1+'0. Assumptions'!$B$48)),"")</f>
        <v>2000.0</v>
      </c>
      <c r="E30" s="68">
        <f>IFERROR(B30/$B$9,"")</f>
        <v>0.002442002442002442</v>
      </c>
      <c r="F30" s="29" t="inlineStr">
        <is>
          <t>Cleaning supplies and degreasers, uniform and towel laundry, gloves and any lab tests or records your written food safety plan calls for</t>
        </is>
      </c>
      <c r="G30" s="68">
        <f>IFERROR(IF(B9="","",'0. Assumptions'!$B$41),"")</f>
        <v>0.0</v>
      </c>
      <c r="H30" s="29" t="n"/>
    </row>
    <row r="31">
      <c r="A31" s="29" t="inlineStr">
        <is>
          <t>Waste, grease &amp; used-oil hauling + permit renewals</t>
        </is>
      </c>
      <c r="B31" s="51" t="n">
        <v>3500</v>
      </c>
      <c r="C31" s="41">
        <f>IFERROR(IF(C9="","",B31*(1+'0. Assumptions'!$B$48)),"")</f>
        <v>3500.0</v>
      </c>
      <c r="D31" s="41">
        <f>IFERROR(IF(D9="","",C31*(1+'0. Assumptions'!$B$48)),"")</f>
        <v>3500.0</v>
      </c>
      <c r="E31" s="68">
        <f>IFERROR(B31/$B$9,"")</f>
        <v>0.004273504273504274</v>
      </c>
      <c r="F31" s="29" t="inlineStr">
        <is>
          <t>Licensed hauler for trash, cardboard, used cooking oil and the rotisserie drip-tray grease (check the pickup fee), plus annual permit renewals. Ask your city for its waste fees: this plan has not read any city fee schedule, so enter your own</t>
        </is>
      </c>
      <c r="G31" s="68">
        <f>IFERROR(IF(B9="","",'0. Assumptions'!$B$41),"")</f>
        <v>0.0</v>
      </c>
      <c r="H31" s="29" t="n"/>
    </row>
    <row r="32">
      <c r="A32" s="29" t="inlineStr">
        <is>
          <t>Pest control</t>
        </is>
      </c>
      <c r="B32" s="51" t="n">
        <v>900</v>
      </c>
      <c r="C32" s="41">
        <f>IFERROR(IF(C9="","",B32*(1+'0. Assumptions'!$B$48)),"")</f>
        <v>900.0</v>
      </c>
      <c r="D32" s="41">
        <f>IFERROR(IF(D9="","",C32*(1+'0. Assumptions'!$B$48)),"")</f>
        <v>900.0</v>
      </c>
      <c r="E32" s="68">
        <f>IFERROR(B32/$B$9,"")</f>
        <v>0.001098901098901099</v>
      </c>
      <c r="F32" s="29" t="inlineStr">
        <is>
          <t>Contract with a licensed pest control operator: it is part of the prerequisites of your written food safety plan.</t>
        </is>
      </c>
      <c r="G32" s="68">
        <f>IFERROR(IF(B9="","",'0. Assumptions'!$B$41),"")</f>
        <v>0.0</v>
      </c>
      <c r="H32" s="29" t="n"/>
    </row>
    <row r="33">
      <c r="A33" s="29" t="inlineStr">
        <is>
          <t>Music licensing (ASCAP/BMI/SESAC)</t>
        </is>
      </c>
      <c r="B33" s="51" t="n">
        <v>1000</v>
      </c>
      <c r="C33" s="41">
        <f>IFERROR(IF(C9="","",B33*(1+'0. Assumptions'!$B$48)),"")</f>
        <v>1000.0</v>
      </c>
      <c r="D33" s="41">
        <f>IFERROR(IF(D9="","",C33*(1+'0. Assumptions'!$B$48)),"")</f>
        <v>1000.0</v>
      </c>
      <c r="E33" s="68">
        <f>IFERROR(B33/$B$9,"")</f>
        <v>0.001221001221001221</v>
      </c>
      <c r="F33" s="29" t="inlineStr">
        <is>
          <t>ASCAP, BMI and SESAC are separate licenses; the fee depends on the square footage and the seating of your restaurant</t>
        </is>
      </c>
      <c r="G33" s="68">
        <f>IFERROR(IF(B9="","",'0. Assumptions'!$B$41),"")</f>
        <v>0.0</v>
      </c>
      <c r="H33" s="29" t="n"/>
    </row>
    <row r="34">
      <c r="A34" s="29" t="inlineStr">
        <is>
          <t>Food safety &amp; staff training (CFPM, allergens, OSHA)</t>
        </is>
      </c>
      <c r="B34" s="51" t="n">
        <v>800</v>
      </c>
      <c r="C34" s="41">
        <f>IFERROR(IF(C9="","",B34*(1+'0. Assumptions'!$B$48)),"")</f>
        <v>800.0</v>
      </c>
      <c r="D34" s="41">
        <f>IFERROR(IF(D9="","",C34*(1+'0. Assumptions'!$B$48)),"")</f>
        <v>800.0</v>
      </c>
      <c r="E34" s="68">
        <f>IFERROR(B34/$B$9,"")</f>
        <v>0.0009768009768009768</v>
      </c>
      <c r="F34" s="29" t="inlineStr">
        <is>
          <t>CFPM certification and food handler cards, allergen training and OSHA basics for every employee: burns from the rotisseries and the fryers, cuts when carving and spitting, gas and heat</t>
        </is>
      </c>
      <c r="G34" s="68">
        <f>IFERROR(IF(B9="","",'0. Assumptions'!$B$41),"")</f>
        <v>0.0</v>
      </c>
      <c r="H34" s="29" t="n"/>
    </row>
    <row r="35">
      <c r="A35" s="29" t="inlineStr">
        <is>
          <t>Depreciation of fixed assets</t>
        </is>
      </c>
      <c r="B35" s="41">
        <f>IFERROR(IF(B9="","",'Startup Costs'!$B$37),"")</f>
        <v>24517.142857142855</v>
      </c>
      <c r="C35" s="41">
        <f>IFERROR(IF(C9="","",B35),"")</f>
        <v>24517.142857142855</v>
      </c>
      <c r="D35" s="41">
        <f>IFERROR(IF(D9="","",B35),"")</f>
        <v>24517.142857142855</v>
      </c>
      <c r="E35" s="68">
        <f>IFERROR(B35/$B$9,"")</f>
        <v>0.02993546136403279</v>
      </c>
      <c r="F35" s="29" t="inlineStr">
        <is>
          <t>Comes from the depreciation bases on the Startup Costs tab: real fixed assets only. It does NOT rise with inflation: it is a charge on the HISTORICAL cost of the assets</t>
        </is>
      </c>
      <c r="G35" s="68" t="n">
        <v>0</v>
      </c>
      <c r="H35" s="29" t="n"/>
    </row>
    <row r="36">
      <c r="A36" s="29" t="inlineStr">
        <is>
          <t>Interest expense (loan interest)</t>
        </is>
      </c>
      <c r="B36" s="41">
        <f>IFERROR(IF(B9="","",Financing!$B$44),"")</f>
        <v>21600.0</v>
      </c>
      <c r="C36" s="41">
        <f>IFERROR(IF(C9="","",Financing!$B$46),"")</f>
        <v>20244.69947053775</v>
      </c>
      <c r="D36" s="41">
        <f>IFERROR(IF(D9="","",Financing!$B$48),"")</f>
        <v>18753.868888129276</v>
      </c>
      <c r="E36" s="68">
        <f>IFERROR(B36/$B$9,"")</f>
        <v>0.026373626373626374</v>
      </c>
      <c r="F36" s="29" t="inlineStr">
        <is>
          <t>Only INTEREST is an expense. Principal repaid appears on the cash flow tab</t>
        </is>
      </c>
      <c r="G36" s="68" t="n">
        <v>0</v>
      </c>
      <c r="H36" s="29" t="n"/>
    </row>
    <row r="37">
      <c r="A37" s="26" t="inlineStr">
        <is>
          <t>TOTAL FIXED COSTS</t>
        </is>
      </c>
      <c r="B37" s="54">
        <f>IFERROR(IF(B9="","",SUM(B22:B36)),"")</f>
        <v>416022.34285714285</v>
      </c>
      <c r="C37" s="54">
        <f>IFERROR(IF(C9="","",SUM(C22:C36)),"")</f>
        <v>419667.0423276806</v>
      </c>
      <c r="D37" s="54">
        <f>IFERROR(IF(D9="","",SUM(D22:D36)),"")</f>
        <v>423176.21174527216</v>
      </c>
      <c r="E37" s="67">
        <f>IFERROR(B37/$B$9,"")</f>
        <v>0.50796378859236</v>
      </c>
      <c r="F37" s="29" t="n"/>
      <c r="G37" s="29" t="n"/>
      <c r="H37" s="29" t="n"/>
    </row>
    <row r="38">
      <c r="A38" s="29" t="inlineStr">
        <is>
          <t>Recoverable input tax on variable costs</t>
        </is>
      </c>
      <c r="B38" s="41">
        <f>IFERROR(IF(B9="","",SUMPRODUCT(B13:B18,G13:G18)),"")</f>
        <v>0.0</v>
      </c>
      <c r="C38" s="41">
        <f>IFERROR(IF(C9="","",SUMPRODUCT(C13:C18,G13:G18)),"")</f>
        <v>0.0</v>
      </c>
      <c r="D38" s="41">
        <f>IFERROR(IF(D9="","",SUMPRODUCT(D13:D18,G13:G18)),"")</f>
        <v>0.0</v>
      </c>
      <c r="E38" s="29" t="n"/>
      <c r="F38" s="29" t="inlineStr">
        <is>
          <t>Each line at ITS OWN rate, read from the column next to it. It is what the cash flow tab overpays to suppliers and later deducts (zero wherever no tax is recoverable)</t>
        </is>
      </c>
      <c r="G38" s="29" t="n"/>
      <c r="H38" s="29" t="n"/>
    </row>
    <row r="39">
      <c r="A39" s="29" t="inlineStr">
        <is>
          <t>Recoverable input tax on fixed costs</t>
        </is>
      </c>
      <c r="B39" s="41">
        <f>IFERROR(IF(B9="","",SUMPRODUCT(B22:B36,G22:G36)),"")</f>
        <v>0.0</v>
      </c>
      <c r="C39" s="41">
        <f>IFERROR(IF(C9="","",SUMPRODUCT(C22:C36,G22:G36)),"")</f>
        <v>0.0</v>
      </c>
      <c r="D39" s="41">
        <f>IFERROR(IF(D9="","",SUMPRODUCT(D22:D36,G22:G36)),"")</f>
        <v>0.0</v>
      </c>
      <c r="E39" s="29" t="n"/>
      <c r="F39" s="29" t="n"/>
      <c r="G39" s="29" t="n"/>
      <c r="H39" s="29" t="n"/>
    </row>
    <row r="40">
      <c r="A40" s="26" t="inlineStr">
        <is>
          <t>PRE-TAX INCOME (EBT)</t>
        </is>
      </c>
      <c r="B40" s="54">
        <f>IFERROR(IF(B9="","",B20-B37),"")</f>
        <v>77261.35714285716</v>
      </c>
      <c r="C40" s="54">
        <f>IFERROR(IF(C9="","",C20-C37),"")</f>
        <v>103213.67967231938</v>
      </c>
      <c r="D40" s="54">
        <f>IFERROR(IF(D9="","",D20-D37),"")</f>
        <v>120619.73913472786</v>
      </c>
      <c r="E40" s="67">
        <f>IFERROR(B40/$B$9,"")</f>
        <v>0.09433621140764</v>
      </c>
      <c r="F40" s="29" t="n"/>
      <c r="G40" s="29" t="n"/>
      <c r="H40" s="29" t="n"/>
    </row>
    <row r="41">
      <c r="A41" s="29" t="inlineStr">
        <is>
          <t>Net operating losses carried forward (opening)</t>
        </is>
      </c>
      <c r="B41" s="41">
        <f>IFERROR(IF(B9="","",'0. Assumptions'!$B$42),"")</f>
        <v>0.0</v>
      </c>
      <c r="C41" s="41">
        <f>IFERROR(IF(C9="","",B46),"")</f>
        <v>0.0</v>
      </c>
      <c r="D41" s="41">
        <f>IFERROR(IF(D9="","",C46),"")</f>
        <v>0.0</v>
      </c>
      <c r="E41" s="29" t="n"/>
      <c r="F41" s="29" t="inlineStr">
        <is>
          <t>Federal rules let a year's losses offset the profits of later years (the federal limit is 80% of taxable income; this model offsets 100% as a simplification)</t>
        </is>
      </c>
      <c r="G41" s="29" t="n"/>
      <c r="H41" s="29" t="n"/>
    </row>
    <row r="42">
      <c r="A42" s="29" t="inlineStr">
        <is>
          <t>Taxable income (after loss offset)</t>
        </is>
      </c>
      <c r="B42" s="41">
        <f>IFERROR(IF(B9="","",MAX(0,B40-B41)),"")</f>
        <v>77261.35714285716</v>
      </c>
      <c r="C42" s="41">
        <f>IFERROR(IF(C9="","",MAX(0,C40-C41)),"")</f>
        <v>103213.67967231938</v>
      </c>
      <c r="D42" s="41">
        <f>IFERROR(IF(D9="","",MAX(0,D40-D41)),"")</f>
        <v>120619.73913472786</v>
      </c>
      <c r="E42" s="29" t="n"/>
      <c r="F42" s="29" t="n"/>
      <c r="G42" s="29" t="n"/>
      <c r="H42" s="29" t="n"/>
    </row>
    <row r="43">
      <c r="A43" s="29" t="inlineStr">
        <is>
          <t>Years with positive taxable income (cumulative)</t>
        </is>
      </c>
      <c r="B43" s="41">
        <f>IFERROR(IF(B9="","",IF(B42&gt;0,1,0)),"")</f>
        <v>1.0</v>
      </c>
      <c r="C43" s="41">
        <f>IFERROR(IF(C9="","",B43+IF(C42&gt;0,1,0)),"")</f>
        <v>2.0</v>
      </c>
      <c r="D43" s="41">
        <f>IFERROR(IF(D9="","",C43+IF(D42&gt;0,1,0)),"")</f>
        <v>3.0</v>
      </c>
      <c r="E43" s="29" t="n"/>
      <c r="F43" s="29" t="n"/>
      <c r="G43" s="29" t="n"/>
      <c r="H43" s="29" t="n"/>
    </row>
    <row r="44">
      <c r="A44" s="29" t="inlineStr">
        <is>
          <t>Effective income tax rate applied</t>
        </is>
      </c>
      <c r="B44" s="68">
        <f>IFERROR(IF(B9="","",IF(B42&lt;=0,"",IF(B43&lt;=2,'0. Assumptions'!$B$37,'0. Assumptions'!$B$38))),"")</f>
        <v>0.25</v>
      </c>
      <c r="C44" s="68">
        <f>IFERROR(IF(C9="","",IF(C42&lt;=0,"",IF(C43&lt;=2,'0. Assumptions'!$B$37,'0. Assumptions'!$B$38))),"")</f>
        <v>0.25</v>
      </c>
      <c r="D44" s="68">
        <f>IFERROR(IF(D9="","",IF(D42&lt;=0,"",IF(D43&lt;=2,'0. Assumptions'!$B$37,'0. Assumptions'!$B$38))),"")</f>
        <v>0.25</v>
      </c>
      <c r="E44" s="29" t="n"/>
      <c r="F44" s="29" t="inlineStr">
        <is>
          <t>The "years 1-2" rate applies to the first two years with positive taxable income, not to the first two calendar years of the business. The model approximates this by counting the first two profitable years</t>
        </is>
      </c>
      <c r="G44" s="29" t="n"/>
      <c r="H44" s="29" t="n"/>
    </row>
    <row r="45">
      <c r="A45" s="29" t="inlineStr">
        <is>
          <t>Income tax</t>
        </is>
      </c>
      <c r="B45" s="41">
        <f>IFERROR(IF(B9="","",IF(B44="",0,B42*B44)),"")</f>
        <v>19315.33928571429</v>
      </c>
      <c r="C45" s="41">
        <f>IFERROR(IF(C9="","",IF(C44="",0,C42*C44)),"")</f>
        <v>25803.419918079846</v>
      </c>
      <c r="D45" s="41">
        <f>IFERROR(IF(D9="","",IF(D44="",0,D42*D44)),"")</f>
        <v>30154.934783681965</v>
      </c>
      <c r="E45" s="29" t="n"/>
      <c r="F45" s="29" t="n"/>
      <c r="G45" s="29" t="n"/>
      <c r="H45" s="29" t="n"/>
    </row>
    <row r="46">
      <c r="A46" s="29" t="inlineStr">
        <is>
          <t>Net operating losses carried forward (closing)</t>
        </is>
      </c>
      <c r="B46" s="41">
        <f>IFERROR(IF(B9="","",MAX(0,B41-B40)),"")</f>
        <v>0.0</v>
      </c>
      <c r="C46" s="41">
        <f>IFERROR(IF(C9="","",MAX(0,C41-C40)),"")</f>
        <v>0.0</v>
      </c>
      <c r="D46" s="41">
        <f>IFERROR(IF(D9="","",MAX(0,D41-D40)),"")</f>
        <v>0.0</v>
      </c>
      <c r="E46" s="29" t="n"/>
      <c r="F46" s="29" t="n"/>
      <c r="G46" s="29" t="n"/>
      <c r="H46" s="29" t="n"/>
    </row>
    <row r="47">
      <c r="A47" s="26" t="inlineStr">
        <is>
          <t>NET INCOME</t>
        </is>
      </c>
      <c r="B47" s="54">
        <f>IFERROR(IF(B9="","",B40-B45),"")</f>
        <v>57946.01785714287</v>
      </c>
      <c r="C47" s="54">
        <f>IFERROR(IF(C9="","",C40-C45),"")</f>
        <v>77410.25975423954</v>
      </c>
      <c r="D47" s="54">
        <f>IFERROR(IF(D9="","",D40-D45),"")</f>
        <v>90464.8043510459</v>
      </c>
      <c r="E47" s="67">
        <f>IFERROR(B47/$B$9,"")</f>
        <v>0.07075215855573</v>
      </c>
      <c r="F47" s="29" t="n"/>
      <c r="G47" s="29" t="n"/>
      <c r="H47" s="29" t="n"/>
    </row>
    <row r="48">
      <c r="A48" s="26" t="inlineStr">
        <is>
          <t>KEY RATIOS</t>
        </is>
      </c>
      <c r="B48" s="29" t="n"/>
      <c r="C48" s="29" t="n"/>
      <c r="D48" s="29" t="n"/>
      <c r="E48" s="29" t="n"/>
      <c r="F48" s="29" t="n"/>
      <c r="G48" s="29" t="n"/>
      <c r="H48" s="29" t="n"/>
    </row>
    <row r="49">
      <c r="A49" s="26" t="inlineStr">
        <is>
          <t>Ratio</t>
        </is>
      </c>
      <c r="B49" s="26" t="inlineStr">
        <is>
          <t>Year 1</t>
        </is>
      </c>
      <c r="C49" s="26" t="inlineStr">
        <is>
          <t>Year 2</t>
        </is>
      </c>
      <c r="D49" s="26" t="inlineStr">
        <is>
          <t>Year 3</t>
        </is>
      </c>
      <c r="E49" s="26" t="inlineStr">
        <is>
          <t>Threshold</t>
        </is>
      </c>
      <c r="F49" s="26" t="inlineStr">
        <is>
          <t>Comment</t>
        </is>
      </c>
      <c r="G49" s="29" t="n"/>
      <c r="H49" s="29" t="n"/>
    </row>
    <row r="50">
      <c r="A50" s="29" t="inlineStr">
        <is>
          <t>Gross margin / Sales</t>
        </is>
      </c>
      <c r="B50" s="68">
        <f>IFERROR(IF(B9="","",B20/B9),"")</f>
        <v>0.6023000000000001</v>
      </c>
      <c r="C50" s="68">
        <f>IFERROR(IF(C9="","",C20/C9),"")</f>
        <v>0.6023000000000001</v>
      </c>
      <c r="D50" s="68">
        <f>IFERROR(IF(D9="","",D20/D9),"")</f>
        <v>0.6023000000000001</v>
      </c>
      <c r="E50" s="74" t="n">
        <v>0.6</v>
      </c>
      <c r="F50" s="29" t="inlineStr">
        <is>
          <t>Floor for the margin after ALL variable costs (cost of goods sold, packaging, delivery marketplaces, card fees and miscellaneous). A rotisserie chicken restaurant keeps less than other concepts because the bird is most of the plate: the margin is in what goes with it. Kit estimate</t>
        </is>
      </c>
      <c r="G50" s="29" t="n"/>
      <c r="H50" s="29" t="n"/>
    </row>
    <row r="51">
      <c r="A51" s="29" t="inlineStr">
        <is>
          <t>Cost of goods sold (food + beverage)</t>
        </is>
      </c>
      <c r="B51" s="41">
        <f>IFERROR(IF(B9="","",B13+B14),"")</f>
        <v>229483.8</v>
      </c>
      <c r="C51" s="41">
        <f>IFERROR(IF(C9="","",C13+C14),"")</f>
        <v>243252.82799999998</v>
      </c>
      <c r="D51" s="41">
        <f>IFERROR(IF(D9="","",D13+D14),"")</f>
        <v>252982.94111999997</v>
      </c>
      <c r="E51" s="29" t="n"/>
      <c r="F51" s="29" t="n"/>
      <c r="G51" s="29" t="n"/>
      <c r="H51" s="29" t="n"/>
    </row>
    <row r="52">
      <c r="A52" s="29" t="inlineStr">
        <is>
          <t>Cost of goods sold / Sales</t>
        </is>
      </c>
      <c r="B52" s="68">
        <f>IFERROR(IF(B9="","",B51/B9),"")</f>
        <v>0.2802</v>
      </c>
      <c r="C52" s="68">
        <f>IFERROR(IF(C9="","",C51/C9),"")</f>
        <v>0.28019999999999995</v>
      </c>
      <c r="D52" s="68">
        <f>IFERROR(IF(D9="","",D51/D9),"")</f>
        <v>0.2802</v>
      </c>
      <c r="E52" s="74" t="n">
        <v>0.3</v>
      </c>
      <c r="F52" s="29" t="inlineStr">
        <is>
          <t>Ceiling for cost of goods sold on sales: the family meal and the half chicken sit near 30% of their price, while sandwiches, bowls, sides and drinks pull the average down. If chicken prices rise, this is where you see it first. Kit estimate</t>
        </is>
      </c>
      <c r="G52" s="29" t="n"/>
      <c r="H52" s="29" t="n"/>
    </row>
    <row r="53">
      <c r="A53" s="29" t="inlineStr">
        <is>
          <t>Labor cost / Sales</t>
        </is>
      </c>
      <c r="B53" s="68">
        <f>IFERROR(IF(B9="","",B23/B9),"")</f>
        <v>0.33090256410256413</v>
      </c>
      <c r="C53" s="68">
        <f>IFERROR(IF(C9="","",C23/C9),"")</f>
        <v>0.31793167000714173</v>
      </c>
      <c r="D53" s="68">
        <f>IFERROR(IF(D9="","",D23/D9),"")</f>
        <v>0.31124145166235156</v>
      </c>
      <c r="E53" s="74" t="n">
        <v>0.36</v>
      </c>
      <c r="F53" s="29" t="inlineStr">
        <is>
          <t>Ceiling for labor on sales with an owner who is GM and head of rotisserie, a second rotisserie cook and weekend reinforcements. Kit estimate</t>
        </is>
      </c>
      <c r="G53" s="29" t="n"/>
      <c r="H53" s="29" t="n"/>
    </row>
    <row r="54">
      <c r="A54" s="29" t="inlineStr">
        <is>
          <t>Rent / Sales</t>
        </is>
      </c>
      <c r="B54" s="68">
        <f>IFERROR(IF(B9="","",B22/B9),"")</f>
        <v>0.054695970695970694</v>
      </c>
      <c r="C54" s="68">
        <f>IFERROR(IF(C9="","",C22/C9),"")</f>
        <v>0.051599972354689334</v>
      </c>
      <c r="D54" s="68">
        <f>IFERROR(IF(D9="","",D22/D9),"")</f>
        <v>0.04961535803335513</v>
      </c>
      <c r="E54" s="74" t="n">
        <v>0.1</v>
      </c>
      <c r="F54" s="29" t="inlineStr">
        <is>
          <t>Ceiling for rent on sales for a space with a Type I hood and exhaust to the roof: Kit estimate</t>
        </is>
      </c>
      <c r="G54" s="29" t="n"/>
      <c r="H54" s="29" t="n"/>
    </row>
    <row r="55">
      <c r="A55" s="29" t="inlineStr">
        <is>
          <t>Net income / Sales</t>
        </is>
      </c>
      <c r="B55" s="68">
        <f>IFERROR(IF(B9="","",B47/B9),"")</f>
        <v>0.07075215855573</v>
      </c>
      <c r="C55" s="68">
        <f>IFERROR(IF(C9="","",C47/C9),"")</f>
        <v>0.08916794497919638</v>
      </c>
      <c r="D55" s="68">
        <f>IFERROR(IF(D9="","",D47/D9),"")</f>
        <v>0.10019742069145829</v>
      </c>
      <c r="E55" s="74" t="n">
        <v>0.05</v>
      </c>
      <c r="F55" s="29" t="inlineStr">
        <is>
          <t>Floor for steady-state net income so the plan holds up: 5% of sales. A well-run restaurant earns more, but this is a realistic floor, not a hope. Kit estimate</t>
        </is>
      </c>
      <c r="G55" s="29" t="n"/>
      <c r="H55" s="29" t="n"/>
    </row>
    <row r="56">
      <c r="A56" s="29" t="inlineStr">
        <is>
          <t>Break-even reached</t>
        </is>
      </c>
      <c r="B56" s="29" t="str">
        <f>IFERROR(IF(B9="","",IF(B9&gt;='Break-Even'!$B$16,"Yes","No")),"")</f>
        <v>Yes</v>
      </c>
      <c r="C56" s="29" t="str">
        <f>IFERROR(IF(C9="","",IF(C9&gt;='Break-Even'!$C$16,"Yes","No")),"")</f>
        <v>Yes</v>
      </c>
      <c r="D56" s="29" t="str">
        <f>IFERROR(IF(D9="","",IF(D9&gt;='Break-Even'!$D$16,"Yes","No")),"")</f>
        <v>Yes</v>
      </c>
      <c r="E56" s="29" t="n"/>
      <c r="F56" s="29" t="inlineStr">
        <is>
          <t>Compares each year's sales with that same year's threshold, which the Break-Even tab calculates with that year's fixed costs</t>
        </is>
      </c>
      <c r="G56" s="29" t="n"/>
      <c r="H56" s="29" t="n"/>
    </row>
    <row r="57">
      <c r="A57" s="29" t="n"/>
      <c r="B57" s="29" t="n"/>
      <c r="C57" s="29" t="n"/>
      <c r="D57" s="29" t="n"/>
      <c r="E57" s="29" t="n"/>
      <c r="F57" s="29" t="n"/>
      <c r="G57" s="29" t="n"/>
      <c r="H57" s="29" t="n"/>
    </row>
    <row r="58" ht="165" customHeight="1">
      <c r="A58" s="48" t="inlineStr">
        <is>
          <t>All figures are EXCL. SALES TAX. Years 2 and 3 are in year-1 prices unless you raise cost inflation in the "0. Assumptions" tab. The "Sales tax rate on the line (%)" column shows, on SALES lines, the rate collected on each one and, on COST lines, the rate paid on that item. The cash flow tab reads it: insurance and card fees carry no sales tax, and wages, depreciation and interest carry none either.</t>
        </is>
      </c>
      <c r="B58" s="29" t="n"/>
      <c r="C58" s="29" t="n"/>
      <c r="D58" s="29" t="n"/>
      <c r="E58" s="29" t="n"/>
      <c r="F58" s="29" t="n"/>
      <c r="G58" s="29" t="n"/>
      <c r="H5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Yes">
      <formula>NOT(ISERROR(SEARCH("Yes",B56)))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nvalid amount" error="Enter a number greater than or equal to 0." type="decimal" operator="greaterThanOrEqual">
      <formula1>0</formula1>
    </dataValidation>
    <dataValidation sqref="E50 E52 E53 E54 E55 G13 H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9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BREAK-EVEN ANALYSIS</t>
        </is>
      </c>
    </row>
    <row r="2">
      <c r="A2" s="3" t="inlineStr">
        <is>
          <t>Monthly and daily break-even — neighborhood rotisserie chicken restaurant</t>
        </is>
      </c>
    </row>
    <row r="4">
      <c r="A4" s="26" t="inlineStr">
        <is>
          <t>Variable</t>
        </is>
      </c>
      <c r="B4" s="26" t="inlineStr">
        <is>
          <t>Year 1</t>
        </is>
      </c>
      <c r="C4" s="26" t="inlineStr">
        <is>
          <t>Year 2</t>
        </is>
      </c>
      <c r="D4" s="26" t="inlineStr">
        <is>
          <t>Year 3</t>
        </is>
      </c>
      <c r="E4" s="26" t="inlineStr">
        <is>
          <t>Notes</t>
        </is>
      </c>
      <c r="F4" s="29" t="n"/>
    </row>
    <row r="5">
      <c r="A5" s="26" t="inlineStr">
        <is>
          <t>BASE DATA BY YEAR</t>
        </is>
      </c>
      <c r="B5" s="29" t="n"/>
      <c r="C5" s="29" t="n"/>
      <c r="D5" s="29" t="n"/>
      <c r="E5" s="29" t="n"/>
      <c r="F5" s="29" t="n"/>
    </row>
    <row r="6">
      <c r="A6" s="29" t="inlineStr">
        <is>
          <t>Annual fixed costs</t>
        </is>
      </c>
      <c r="B6" s="62">
        <f>IFERROR(IF('3-Year P&amp;L'!$B$9="","",'3-Year P&amp;L'!$B$37),"")</f>
        <v>416022.34285714285</v>
      </c>
      <c r="C6" s="62">
        <f>IFERROR(IF('3-Year P&amp;L'!$C$9="","",'3-Year P&amp;L'!$C$37),"")</f>
        <v>419667.0423276806</v>
      </c>
      <c r="D6" s="62">
        <f>IFERROR(IF('3-Year P&amp;L'!$D$9="","",'3-Year P&amp;L'!$D$37),"")</f>
        <v>423176.21174527216</v>
      </c>
      <c r="E6" s="29" t="inlineStr">
        <is>
          <t>The SAME fixed costs as the P&amp;L. Each year has its own, which is why the threshold cannot be a single one for all three years</t>
        </is>
      </c>
      <c r="F6" s="29" t="n"/>
    </row>
    <row r="7">
      <c r="A7" s="29" t="inlineStr">
        <is>
          <t>Monthly fixed costs</t>
        </is>
      </c>
      <c r="B7" s="62">
        <f>IFERROR(IF('3-Year P&amp;L'!$B$9="","",B6/12),"")</f>
        <v>34668.52857142857</v>
      </c>
      <c r="C7" s="62">
        <f>IFERROR(IF('3-Year P&amp;L'!$C$9="","",C6/12),"")</f>
        <v>34972.25352730672</v>
      </c>
      <c r="D7" s="62">
        <f>IFERROR(IF('3-Year P&amp;L'!$D$9="","",D6/12),"")</f>
        <v>35264.684312106016</v>
      </c>
      <c r="E7" s="29" t="n"/>
      <c r="F7" s="29" t="n"/>
    </row>
    <row r="8">
      <c r="A8" s="29" t="inlineStr">
        <is>
          <t>Average check (excl. sales tax)</t>
        </is>
      </c>
      <c r="B8" s="62">
        <f>IFERROR(IF('3-Year P&amp;L'!$B$9="","",'3-Year P&amp;L'!$B$7),"")</f>
        <v>17.5</v>
      </c>
      <c r="C8" s="62">
        <f>IFERROR(IF('3-Year P&amp;L'!$C$9="","",'3-Year P&amp;L'!$C$7),"")</f>
        <v>17.5</v>
      </c>
      <c r="D8" s="62">
        <f>IFERROR(IF('3-Year P&amp;L'!$D$9="","",'3-Year P&amp;L'!$D$7),"")</f>
        <v>17.5</v>
      </c>
      <c r="E8" s="29" t="n"/>
      <c r="F8" s="29" t="n"/>
    </row>
    <row r="9">
      <c r="A9" s="29" t="inlineStr">
        <is>
          <t>Variable cost per cover</t>
        </is>
      </c>
      <c r="B9" s="62">
        <f>IFERROR(IF('3-Year P&amp;L'!$B$9="","",'3-Year P&amp;L'!$B$19/('3-Year P&amp;L'!$B$6*'3-Year P&amp;L'!$B$8)),"")</f>
        <v>6.95975</v>
      </c>
      <c r="C9" s="62">
        <f>IFERROR(IF('3-Year P&amp;L'!$C$9="","",'3-Year P&amp;L'!$C$19/('3-Year P&amp;L'!$C$6*'3-Year P&amp;L'!$C$8)),"")</f>
        <v>6.959749999999999</v>
      </c>
      <c r="D9" s="62">
        <f>IFERROR(IF('3-Year P&amp;L'!$D$9="","",'3-Year P&amp;L'!$D$19/('3-Year P&amp;L'!$D$6*'3-Year P&amp;L'!$D$8)),"")</f>
        <v>6.959749999999998</v>
      </c>
      <c r="E9" s="29" t="inlineStr">
        <is>
          <t>Comes from the P&amp;L total variable costs, not from a separate estimate. It includes miscellaneous and contingency, which is a percentage of sales</t>
        </is>
      </c>
      <c r="F9" s="29" t="n"/>
    </row>
    <row r="10">
      <c r="A10" s="29" t="inlineStr">
        <is>
          <t>Contribution margin per cover</t>
        </is>
      </c>
      <c r="B10" s="62">
        <f>IFERROR(IF('3-Year P&amp;L'!$B$9="","",B8-B9),"")</f>
        <v>10.54025</v>
      </c>
      <c r="C10" s="62">
        <f>IFERROR(IF('3-Year P&amp;L'!$C$9="","",C8-C9),"")</f>
        <v>10.54025</v>
      </c>
      <c r="D10" s="62">
        <f>IFERROR(IF('3-Year P&amp;L'!$D$9="","",D8-D9),"")</f>
        <v>10.540250000000002</v>
      </c>
      <c r="E10" s="29" t="inlineStr">
        <is>
          <t>Average check minus unit variable cost</t>
        </is>
      </c>
      <c r="F10" s="29" t="n"/>
    </row>
    <row r="11">
      <c r="A11" s="29" t="inlineStr">
        <is>
          <t>Operating days per year</t>
        </is>
      </c>
      <c r="B11" s="41">
        <f>IFERROR(IF('3-Year P&amp;L'!$B$9="","",'3-Year P&amp;L'!$B$8),"")</f>
        <v>360.0</v>
      </c>
      <c r="C11" s="41">
        <f>IFERROR(IF('3-Year P&amp;L'!$C$9="","",'3-Year P&amp;L'!$C$8),"")</f>
        <v>360.0</v>
      </c>
      <c r="D11" s="41">
        <f>IFERROR(IF('3-Year P&amp;L'!$D$9="","",'3-Year P&amp;L'!$D$8),"")</f>
        <v>360.0</v>
      </c>
      <c r="E11" s="29" t="inlineStr">
        <is>
          <t>The same calendar as the P&amp;L and the scenarios</t>
        </is>
      </c>
      <c r="F11" s="29" t="n"/>
    </row>
    <row r="12">
      <c r="A12" s="29" t="inlineStr">
        <is>
          <t>Principal repaid in the year</t>
        </is>
      </c>
      <c r="B12" s="62">
        <f>IFERROR(IF('3-Year P&amp;L'!$B$9="","",Financing!$B$45),"")</f>
        <v>13553.00529462249</v>
      </c>
      <c r="C12" s="62">
        <f>IFERROR(IF('3-Year P&amp;L'!$C$9="","",Financing!$B$47),"")</f>
        <v>14908.305824084739</v>
      </c>
      <c r="D12" s="62">
        <f>IFERROR(IF('3-Year P&amp;L'!$D$9="","",Financing!$B$49),"")</f>
        <v>16399.136406493213</v>
      </c>
      <c r="E12" s="29" t="inlineStr">
        <is>
          <t>Principal is NOT a P&amp;L expense, but it leaves the cash account. Without it, the published break-even threshold would sit below the real one</t>
        </is>
      </c>
      <c r="F12" s="29" t="n"/>
    </row>
    <row r="13">
      <c r="A13" s="26" t="inlineStr">
        <is>
          <t>ACCOUNTING BREAK-EVEN (includes depreciation)</t>
        </is>
      </c>
      <c r="B13" s="29" t="n"/>
      <c r="C13" s="29" t="n"/>
      <c r="D13" s="29" t="n"/>
      <c r="E13" s="29" t="n"/>
      <c r="F13" s="29" t="n"/>
    </row>
    <row r="14">
      <c r="A14" s="29" t="inlineStr">
        <is>
          <t>Covers needed per year</t>
        </is>
      </c>
      <c r="B14" s="41">
        <f>IFERROR(IF('3-Year P&amp;L'!$B$9="","",IF(B10&lt;=0,"",B6/B10)),"")</f>
        <v>39469.87432529047</v>
      </c>
      <c r="C14" s="41">
        <f>IFERROR(IF('3-Year P&amp;L'!$C$9="","",IF(C10&lt;=0,"",C6/C10)),"")</f>
        <v>39815.66303718418</v>
      </c>
      <c r="D14" s="41">
        <f>IFERROR(IF('3-Year P&amp;L'!$D$9="","",IF(D10&lt;=0,"",D6/D10)),"")</f>
        <v>40148.59341526739</v>
      </c>
      <c r="E14" s="29" t="n"/>
      <c r="F14" s="29" t="n"/>
    </row>
    <row r="15">
      <c r="A15" s="29" t="inlineStr">
        <is>
          <t>Covers needed per day</t>
        </is>
      </c>
      <c r="B15" s="45">
        <f>IFERROR(IF('3-Year P&amp;L'!$B$9="","",B14/B11),"")</f>
        <v>109.63853979247352</v>
      </c>
      <c r="C15" s="45">
        <f>IFERROR(IF('3-Year P&amp;L'!$C$9="","",C14/C11),"")</f>
        <v>110.59906399217829</v>
      </c>
      <c r="D15" s="45">
        <f>IFERROR(IF('3-Year P&amp;L'!$D$9="","",D14/D11),"")</f>
        <v>111.52387059796496</v>
      </c>
      <c r="E15" s="29" t="n"/>
      <c r="F15" s="29" t="n"/>
    </row>
    <row r="16">
      <c r="A16" s="26" t="inlineStr">
        <is>
          <t>Revenue needed per year</t>
        </is>
      </c>
      <c r="B16" s="54">
        <f>IFERROR(IF('3-Year P&amp;L'!$B$9="","",B14*B8),"")</f>
        <v>690722.8006925832</v>
      </c>
      <c r="C16" s="54">
        <f>IFERROR(IF('3-Year P&amp;L'!$C$9="","",C14*C8),"")</f>
        <v>696774.1031507232</v>
      </c>
      <c r="D16" s="54">
        <f>IFERROR(IF('3-Year P&amp;L'!$D$9="","",D14*D8),"")</f>
        <v>702600.3847671793</v>
      </c>
      <c r="E16" s="29" t="n"/>
      <c r="F16" s="29" t="n"/>
    </row>
    <row r="17">
      <c r="A17" s="26" t="inlineStr">
        <is>
          <t>CASH BREAK-EVEN (loan payments in, depreciation out)</t>
        </is>
      </c>
      <c r="B17" s="29" t="n"/>
      <c r="C17" s="29" t="n"/>
      <c r="D17" s="29" t="n"/>
      <c r="E17" s="29" t="n"/>
      <c r="F17" s="29" t="n"/>
    </row>
    <row r="18">
      <c r="A18" s="29" t="inlineStr">
        <is>
          <t>Cash fixed costs + principal repaid for the year</t>
        </is>
      </c>
      <c r="B18" s="62">
        <f>IFERROR(IF('3-Year P&amp;L'!$B$9="","",B6-'3-Year P&amp;L'!$B$35+B12),"")</f>
        <v>405058.2052946225</v>
      </c>
      <c r="C18" s="62">
        <f>IFERROR(IF('3-Year P&amp;L'!$C$9="","",C6-'3-Year P&amp;L'!$C$35+C12),"")</f>
        <v>410058.2052946225</v>
      </c>
      <c r="D18" s="62">
        <f>IFERROR(IF('3-Year P&amp;L'!$D$9="","",D6-'3-Year P&amp;L'!$D$35+D12),"")</f>
        <v>415058.2052946225</v>
      </c>
      <c r="E18" s="29" t="inlineStr">
        <is>
          <t>The P&amp;L fixed costs without depreciation (which is not paid in cash) and WITH principal repaid (which is). This is the threshold that decides whether cash holds up</t>
        </is>
      </c>
      <c r="F18" s="29" t="n"/>
    </row>
    <row r="19">
      <c r="A19" s="29" t="inlineStr">
        <is>
          <t>Covers needed per year (cash)</t>
        </is>
      </c>
      <c r="B19" s="41">
        <f>IFERROR(IF('3-Year P&amp;L'!$B$9="","",IF(B10&lt;=0,"",B18/B10)),"")</f>
        <v>38429.65824289011</v>
      </c>
      <c r="C19" s="41">
        <f>IFERROR(IF('3-Year P&amp;L'!$C$9="","",IF(C10&lt;=0,"",C18/C10)),"")</f>
        <v>38904.03029288893</v>
      </c>
      <c r="D19" s="41">
        <f>IFERROR(IF('3-Year P&amp;L'!$D$9="","",IF(D10&lt;=0,"",D18/D10)),"")</f>
        <v>39378.40234288773</v>
      </c>
      <c r="E19" s="29" t="n"/>
      <c r="F19" s="29" t="n"/>
    </row>
    <row r="20">
      <c r="A20" s="26" t="inlineStr">
        <is>
          <t>Covers needed per day (cash)</t>
        </is>
      </c>
      <c r="B20" s="46">
        <f>IFERROR(IF('3-Year P&amp;L'!$B$9="","",B19/B11),"")</f>
        <v>106.74905067469474</v>
      </c>
      <c r="C20" s="46">
        <f>IFERROR(IF('3-Year P&amp;L'!$C$9="","",C19/C11),"")</f>
        <v>108.06675081358036</v>
      </c>
      <c r="D20" s="46">
        <f>IFERROR(IF('3-Year P&amp;L'!$D$9="","",D19/D11),"")</f>
        <v>109.38445095246593</v>
      </c>
      <c r="E20" s="29" t="n"/>
      <c r="F20" s="29" t="n"/>
    </row>
    <row r="21">
      <c r="A21" s="29" t="inlineStr">
        <is>
          <t>Revenue needed per year (cash)</t>
        </is>
      </c>
      <c r="B21" s="41">
        <f>IFERROR(IF('3-Year P&amp;L'!$B$9="","",B19*B8),"")</f>
        <v>672519.019250577</v>
      </c>
      <c r="C21" s="41">
        <f>IFERROR(IF('3-Year P&amp;L'!$C$9="","",C19*C8),"")</f>
        <v>680820.5301255563</v>
      </c>
      <c r="D21" s="41">
        <f>IFERROR(IF('3-Year P&amp;L'!$D$9="","",D19*D8),"")</f>
        <v>689122.0410005354</v>
      </c>
      <c r="E21" s="29" t="n"/>
      <c r="F21" s="29" t="n"/>
    </row>
    <row r="22">
      <c r="A22" s="26" t="inlineStr">
        <is>
          <t>COMPARISON WITH THE PLAN</t>
        </is>
      </c>
      <c r="B22" s="29" t="n"/>
      <c r="C22" s="29" t="n"/>
      <c r="D22" s="29" t="n"/>
      <c r="E22" s="29" t="n"/>
      <c r="F22" s="29" t="n"/>
    </row>
    <row r="23">
      <c r="A23" s="29" t="inlineStr">
        <is>
          <t>Covers per day forecast in the plan</t>
        </is>
      </c>
      <c r="B23" s="41">
        <f>IFERROR(IF('3-Year P&amp;L'!$B$9="","",'3-Year P&amp;L'!$B$6),"")</f>
        <v>130.0</v>
      </c>
      <c r="C23" s="41">
        <f>IFERROR(IF('3-Year P&amp;L'!$C$9="","",'3-Year P&amp;L'!$C$6),"")</f>
        <v>137.8</v>
      </c>
      <c r="D23" s="41">
        <f>IFERROR(IF('3-Year P&amp;L'!$D$9="","",'3-Year P&amp;L'!$D$6),"")</f>
        <v>143.312</v>
      </c>
      <c r="E23" s="29" t="n"/>
      <c r="F23" s="29" t="n"/>
    </row>
    <row r="24">
      <c r="A24" s="29" t="inlineStr">
        <is>
          <t>Cushion above CASH break-even (%)</t>
        </is>
      </c>
      <c r="B24" s="68">
        <f>IFERROR(IF('3-Year P&amp;L'!$B$9="","",B23/B20-1),"")</f>
        <v>0.21780942479910026</v>
      </c>
      <c r="C24" s="68">
        <f>IFERROR(IF('3-Year P&amp;L'!$C$9="","",C23/C20-1),"")</f>
        <v>0.2751378103123574</v>
      </c>
      <c r="D24" s="68">
        <f>IFERROR(IF('3-Year P&amp;L'!$D$9="","",D23/D20-1),"")</f>
        <v>0.3101679329384541</v>
      </c>
      <c r="E24" s="29" t="inlineStr">
        <is>
          <t>How far planned sales sit above cash break-even. The drop you can absorb before you cannot pay the fixed costs and the loan payment is somewhat smaller: with a 25% cushion, 20%. The required minimum is set in the "0. Assumptions" tab</t>
        </is>
      </c>
      <c r="F24" s="29" t="n"/>
    </row>
    <row r="25">
      <c r="A25" s="26" t="inlineStr">
        <is>
          <t>INTERPRETATION</t>
        </is>
      </c>
      <c r="B25" s="29" t="n"/>
      <c r="C25" s="29" t="n"/>
      <c r="D25" s="29" t="n"/>
      <c r="E25" s="29" t="n"/>
      <c r="F25" s="29" t="n"/>
    </row>
    <row r="26" ht="46" customHeight="1">
      <c r="A26" s="29" t="str">
        <f>IFERROR("With the average check excl. sales tax above, you need "&amp;TEXT(ROUNDUP(B15,0),"0")&amp;" covers a day over your "&amp;TEXT(B11,"0")&amp;" opening days to avoid losing money (accounting break-even, depreciation included), and "&amp;TEXT(ROUNDUP(B20,0),"0")&amp;" for cash to hold (cash break-even: depreciation out, because it is not paid, and the year's loan payment in"&amp;IF(B12=0,"; no principal is repaid this year (interest-only period or no loan)","")&amp;"). The ""Revenue needed per year"" rows show the same figures in your currency.","")</f>
        <v>With the average check excl. sales tax above, you need 110 covers a day over your 360 opening days to avoid losing money (accounting break-even, depreciation included), and 107 for cash to hold (cash break-even: depreciation out, because it is not paid, and the year's loan payment in). The "Revenue needed per year" rows show the same figures in your currency.</v>
      </c>
      <c r="B26" s="29" t="n"/>
      <c r="C26" s="29" t="n"/>
      <c r="D26" s="29" t="n"/>
      <c r="E26" s="29" t="n"/>
      <c r="F26" s="29" t="n"/>
    </row>
    <row r="27">
      <c r="A27" s="29" t="n"/>
      <c r="B27" s="29" t="n"/>
      <c r="C27" s="29" t="n"/>
      <c r="D27" s="29" t="n"/>
      <c r="E27" s="29" t="n"/>
      <c r="F27" s="29" t="n"/>
    </row>
    <row r="28">
      <c r="A28" s="26" t="inlineStr">
        <is>
          <t>BREAK-EVEN SENSITIVITY</t>
        </is>
      </c>
      <c r="B28" s="29" t="n"/>
      <c r="C28" s="29" t="n"/>
      <c r="D28" s="29" t="n"/>
      <c r="E28" s="29" t="n"/>
      <c r="F28" s="29" t="n"/>
    </row>
    <row r="29" ht="60" customHeight="1">
      <c r="A29" s="48" t="inlineStr">
        <is>
          <t>Covers per day needed to cover costs for each average check (columns) and each variable cost per cover (rows). Green cells are below the covers per day the plan forecasts.</t>
        </is>
      </c>
      <c r="B29" s="29" t="n"/>
      <c r="C29" s="29" t="n"/>
      <c r="D29" s="29" t="n"/>
      <c r="E29" s="29" t="n"/>
      <c r="F29" s="29" t="n"/>
    </row>
    <row r="30">
      <c r="A30" s="29" t="n"/>
      <c r="B30" s="29" t="n"/>
      <c r="C30" s="29" t="n"/>
      <c r="D30" s="29" t="n"/>
      <c r="E30" s="29" t="n"/>
      <c r="F30" s="29" t="n"/>
    </row>
    <row r="31" ht="30" customHeight="1">
      <c r="A31" s="40" t="inlineStr">
        <is>
          <t>Covers per day needed: average check excl. sales tax (columns) × variable cost per cover (rows)</t>
        </is>
      </c>
      <c r="B31" s="55">
        <f>IFERROR($B$8-2,"")</f>
        <v>15.5</v>
      </c>
      <c r="C31" s="55">
        <f>IFERROR(IF($B$8="","",$B$8),"")</f>
        <v>17.5</v>
      </c>
      <c r="D31" s="55">
        <f>IFERROR($B$8+2,"")</f>
        <v>19.5</v>
      </c>
      <c r="E31" s="55">
        <f>IFERROR($B$8+4,"")</f>
        <v>21.5</v>
      </c>
      <c r="F31" s="29" t="n"/>
    </row>
    <row r="32">
      <c r="A32" s="62">
        <f>IFERROR($B$9*0.85,"")</f>
        <v>5.9157874999999995</v>
      </c>
      <c r="B32" s="45">
        <f>IFERROR(IF($B$31-$A32&lt;=0,"",$B$6/($B$31-$A32)/$B$11),"")</f>
        <v>120.57512487829534</v>
      </c>
      <c r="C32" s="45">
        <f>IFERROR(IF($C$31-$A32&lt;=0,"",$B$6/($C$31-$A32)/$B$11),"")</f>
        <v>99.75797828705396</v>
      </c>
      <c r="D32" s="45">
        <f>IFERROR(IF($D$31-$A32&lt;=0,"",$B$6/($D$31-$A32)/$B$11),"")</f>
        <v>85.07063762788009</v>
      </c>
      <c r="E32" s="45">
        <f>IFERROR(IF($E$31-$A32&lt;=0,"",$B$6/($E$31-$A32)/$B$11),"")</f>
        <v>74.15309686309905</v>
      </c>
      <c r="F32" s="29" t="n"/>
    </row>
    <row r="33">
      <c r="A33" s="62">
        <f>IFERROR($B$9*0.925,"")</f>
        <v>6.43776875</v>
      </c>
      <c r="B33" s="45">
        <f>IFERROR(IF($B$31-$A33&lt;=0,"",$B$6/($B$31-$A33)/$B$11),"")</f>
        <v>127.52020856316364</v>
      </c>
      <c r="C33" s="45">
        <f>IFERROR(IF($C$31-$A33&lt;=0,"",$B$6/($C$31-$A33)/$B$11),"")</f>
        <v>104.46514748528865</v>
      </c>
      <c r="D33" s="45">
        <f>IFERROR(IF($D$31-$A33&lt;=0,"",$B$6/($D$31-$A33)/$B$11),"")</f>
        <v>88.4701546718995</v>
      </c>
      <c r="E33" s="45">
        <f>IFERROR(IF($E$31-$A33&lt;=0,"",$B$6/($E$31-$A33)/$B$11),"")</f>
        <v>76.72287059379858</v>
      </c>
      <c r="F33" s="29" t="n"/>
    </row>
    <row r="34">
      <c r="A34" s="62">
        <f>IFERROR($B$9*1.0,"")</f>
        <v>6.95975</v>
      </c>
      <c r="B34" s="45">
        <f>IFERROR(IF($B$31-$A34&lt;=0,"",$B$6/($B$31-$A34)/$B$11),"")</f>
        <v>135.31426118059997</v>
      </c>
      <c r="C34" s="45">
        <f>IFERROR(IF($C$31-$A34&lt;=0,"",$B$6/($C$31-$A34)/$B$11),"")</f>
        <v>109.63853979247352</v>
      </c>
      <c r="D34" s="45">
        <f>IFERROR(IF($D$31-$A34&lt;=0,"",$B$6/($D$31-$A34)/$B$11),"")</f>
        <v>92.15267790096841</v>
      </c>
      <c r="E34" s="45">
        <f>IFERROR(IF($E$31-$A34&lt;=0,"",$B$6/($E$31-$A34)/$B$11),"")</f>
        <v>79.4771492269816</v>
      </c>
      <c r="F34" s="29" t="n"/>
    </row>
    <row r="35">
      <c r="A35" s="62">
        <f>IFERROR($B$9*1.075,"")</f>
        <v>7.481731249999999</v>
      </c>
      <c r="B35" s="45">
        <f>IFERROR(IF($B$31-$A35&lt;=0,"",$B$6/($B$31-$A35)/$B$11),"")</f>
        <v>144.12308380753876</v>
      </c>
      <c r="C35" s="45">
        <f>IFERROR(IF($C$31-$A35&lt;=0,"",$B$6/($C$31-$A35)/$B$11),"")</f>
        <v>115.35102999184554</v>
      </c>
      <c r="D35" s="45">
        <f>IFERROR(IF($D$31-$A35&lt;=0,"",$B$6/($D$31-$A35)/$B$11),"")</f>
        <v>96.15508215753778</v>
      </c>
      <c r="E35" s="45">
        <f>IFERROR(IF($E$31-$A35&lt;=0,"",$B$6/($E$31-$A35)/$B$11),"")</f>
        <v>82.43654331763464</v>
      </c>
      <c r="F35" s="29" t="n"/>
    </row>
    <row r="36">
      <c r="A36" s="62">
        <f>IFERROR($B$9*1.15,"")</f>
        <v>8.003712499999999</v>
      </c>
      <c r="B36" s="45">
        <f>IFERROR(IF($B$31-$A36&lt;=0,"",$B$6/($B$31-$A36)/$B$11),"")</f>
        <v>154.15865774193142</v>
      </c>
      <c r="C36" s="45">
        <f>IFERROR(IF($C$31-$A36&lt;=0,"",$B$6/($C$31-$A36)/$B$11),"")</f>
        <v>121.69151566310718</v>
      </c>
      <c r="D36" s="45">
        <f>IFERROR(IF($D$31-$A36&lt;=0,"",$B$6/($D$31-$A36)/$B$11),"")</f>
        <v>100.5209393943583</v>
      </c>
      <c r="E36" s="45">
        <f>IFERROR(IF($E$31-$A36&lt;=0,"",$B$6/($E$31-$A36)/$B$11),"")</f>
        <v>85.62485194892439</v>
      </c>
      <c r="F36" s="29" t="n"/>
    </row>
    <row r="37">
      <c r="A37" s="29" t="n"/>
      <c r="B37" s="29" t="n"/>
      <c r="C37" s="29" t="n"/>
      <c r="D37" s="29" t="n"/>
      <c r="E37" s="29" t="n"/>
      <c r="F37" s="29" t="n"/>
    </row>
    <row r="38">
      <c r="A38" s="29" t="n"/>
      <c r="B38" s="29" t="n"/>
      <c r="C38" s="29" t="n"/>
      <c r="D38" s="29" t="n"/>
      <c r="E38" s="29" t="n"/>
      <c r="F38" s="29" t="n"/>
    </row>
    <row r="39">
      <c r="A39" s="29" t="n"/>
      <c r="B39" s="29" t="n"/>
      <c r="C39" s="29" t="n"/>
      <c r="D39" s="29" t="n"/>
      <c r="E39" s="29" t="n"/>
      <c r="F39" s="29" t="n"/>
    </row>
    <row r="40">
      <c r="A40" s="29" t="n"/>
      <c r="B40" s="29" t="n"/>
      <c r="C40" s="29" t="n"/>
      <c r="D40" s="29" t="n"/>
      <c r="E40" s="29" t="n"/>
      <c r="F40" s="29" t="n"/>
    </row>
    <row r="41">
      <c r="A41" s="29" t="n"/>
      <c r="B41" s="29" t="n"/>
      <c r="C41" s="29" t="n"/>
      <c r="D41" s="29" t="n"/>
      <c r="E41" s="29" t="n"/>
      <c r="F41" s="29" t="n"/>
    </row>
    <row r="42">
      <c r="A42" s="29" t="n"/>
      <c r="B42" s="29" t="n"/>
      <c r="C42" s="29" t="n"/>
      <c r="D42" s="29" t="n"/>
      <c r="E42" s="29" t="n"/>
      <c r="F42" s="29" t="n"/>
    </row>
    <row r="43">
      <c r="A43" s="29" t="n"/>
      <c r="B43" s="29" t="n"/>
      <c r="C43" s="29" t="n"/>
      <c r="D43" s="29" t="n"/>
      <c r="E43" s="29" t="n"/>
      <c r="F43" s="29" t="n"/>
    </row>
    <row r="44">
      <c r="A44" s="29" t="n"/>
      <c r="B44" s="29" t="n"/>
      <c r="C44" s="29" t="n"/>
      <c r="D44" s="29" t="n"/>
      <c r="E44" s="29" t="n"/>
      <c r="F44" s="29" t="n"/>
    </row>
    <row r="45">
      <c r="A45" s="29" t="n"/>
      <c r="B45" s="29" t="n"/>
      <c r="C45" s="29" t="n"/>
      <c r="D45" s="29" t="n"/>
      <c r="E45" s="29" t="n"/>
      <c r="F45" s="29" t="n"/>
    </row>
    <row r="46">
      <c r="A46" s="29" t="n"/>
      <c r="B46" s="29" t="n"/>
      <c r="C46" s="29" t="n"/>
      <c r="D46" s="29" t="n"/>
      <c r="E46" s="29" t="n"/>
      <c r="F46" s="29" t="n"/>
    </row>
    <row r="47">
      <c r="A47" s="29" t="n"/>
      <c r="B47" s="29" t="n"/>
      <c r="C47" s="29" t="n"/>
      <c r="D47" s="29" t="n"/>
      <c r="E47" s="29" t="n"/>
      <c r="F47" s="29" t="n"/>
    </row>
    <row r="48">
      <c r="A48" s="29" t="n"/>
      <c r="B48" s="29" t="n"/>
      <c r="C48" s="29" t="n"/>
      <c r="D48" s="29" t="n"/>
      <c r="E48" s="29" t="n"/>
      <c r="F48" s="29" t="n"/>
    </row>
    <row r="49">
      <c r="A49" s="29" t="n"/>
      <c r="B49" s="29" t="n"/>
      <c r="C49" s="29" t="n"/>
      <c r="D49" s="29" t="n"/>
      <c r="E49" s="29" t="n"/>
      <c r="F49" s="29" t="n"/>
    </row>
    <row r="50">
      <c r="A50" s="29" t="n"/>
      <c r="B50" s="29" t="n"/>
      <c r="C50" s="29" t="n"/>
      <c r="D50" s="29" t="n"/>
      <c r="E50" s="29" t="n"/>
      <c r="F50" s="29" t="n"/>
    </row>
    <row r="51">
      <c r="A51" s="29" t="n"/>
      <c r="B51" s="29" t="n"/>
      <c r="C51" s="29" t="n"/>
      <c r="D51" s="29" t="n"/>
      <c r="E51" s="29" t="n"/>
      <c r="F51" s="29" t="n"/>
    </row>
    <row r="52">
      <c r="A52" s="29" t="n"/>
      <c r="B52" s="29" t="n"/>
      <c r="C52" s="29" t="n"/>
      <c r="D52" s="29" t="n"/>
      <c r="E52" s="29" t="n"/>
      <c r="F52" s="29" t="n"/>
    </row>
    <row r="53">
      <c r="A53" s="29" t="n"/>
      <c r="B53" s="29" t="n"/>
      <c r="C53" s="29" t="n"/>
      <c r="D53" s="29" t="n"/>
      <c r="E53" s="29" t="n"/>
      <c r="F53" s="29" t="n"/>
    </row>
    <row r="54">
      <c r="A54" s="29" t="n"/>
      <c r="B54" s="29" t="n"/>
      <c r="C54" s="29" t="n"/>
      <c r="D54" s="29" t="n"/>
      <c r="E54" s="29" t="n"/>
      <c r="F54" s="29" t="n"/>
    </row>
    <row r="55">
      <c r="A55" s="29" t="n"/>
      <c r="B55" s="29" t="n"/>
      <c r="C55" s="29" t="n"/>
      <c r="D55" s="29" t="n"/>
      <c r="E55" s="29" t="n"/>
      <c r="F55" s="29" t="n"/>
    </row>
    <row r="56">
      <c r="A56" s="29" t="n"/>
      <c r="B56" s="29" t="n"/>
      <c r="C56" s="29" t="n"/>
      <c r="D56" s="29" t="n"/>
      <c r="E56" s="29" t="n"/>
      <c r="F56" s="29" t="n"/>
    </row>
    <row r="57">
      <c r="A57" s="29" t="n"/>
      <c r="B57" s="29" t="n"/>
      <c r="C57" s="29" t="n"/>
      <c r="D57" s="29" t="n"/>
      <c r="E57" s="29" t="n"/>
      <c r="F57" s="29" t="n"/>
    </row>
    <row r="58">
      <c r="A58" s="29" t="n"/>
      <c r="B58" s="29" t="n"/>
      <c r="C58" s="29" t="n"/>
      <c r="D58" s="29" t="n"/>
      <c r="E58" s="29" t="n"/>
      <c r="F58" s="29" t="n"/>
    </row>
    <row r="59">
      <c r="A59" s="29" t="n"/>
      <c r="B59" s="29" t="n"/>
      <c r="C59" s="29" t="n"/>
      <c r="D59" s="29" t="n"/>
      <c r="E59" s="29" t="n"/>
      <c r="F59" s="29" t="n"/>
    </row>
    <row r="60">
      <c r="A60" s="29" t="n"/>
      <c r="B60" s="29" t="n"/>
      <c r="C60" s="29" t="n"/>
      <c r="D60" s="29" t="n"/>
      <c r="E60" s="29" t="n"/>
      <c r="F60" s="29" t="n"/>
    </row>
    <row r="61">
      <c r="A61" s="29" t="n"/>
      <c r="B61" s="29" t="n"/>
      <c r="C61" s="29" t="n"/>
      <c r="D61" s="29" t="n"/>
      <c r="E61" s="29" t="n"/>
      <c r="F61" s="29" t="n"/>
    </row>
    <row r="62">
      <c r="A62" s="29" t="n"/>
      <c r="B62" s="29" t="n"/>
      <c r="C62" s="29" t="n"/>
      <c r="D62" s="29" t="n"/>
      <c r="E62" s="29" t="n"/>
      <c r="F62" s="29" t="n"/>
    </row>
    <row r="63">
      <c r="A63" s="29" t="n"/>
      <c r="B63" s="29" t="n"/>
      <c r="C63" s="29" t="n"/>
      <c r="D63" s="29" t="n"/>
      <c r="E63" s="29" t="n"/>
      <c r="F63" s="29" t="n"/>
    </row>
    <row r="64">
      <c r="A64" s="29" t="n"/>
      <c r="B64" s="29" t="n"/>
      <c r="C64" s="29" t="n"/>
      <c r="D64" s="29" t="n"/>
      <c r="E64" s="29" t="n"/>
      <c r="F64" s="29" t="n"/>
    </row>
    <row r="65">
      <c r="A65" s="29" t="n"/>
      <c r="B65" s="29" t="n"/>
      <c r="C65" s="29" t="n"/>
      <c r="D65" s="29" t="n"/>
      <c r="E65" s="29" t="n"/>
      <c r="F65" s="29" t="n"/>
    </row>
    <row r="66">
      <c r="A66" s="29" t="n"/>
      <c r="B66" s="29" t="n"/>
      <c r="C66" s="29" t="n"/>
      <c r="D66" s="29" t="n"/>
      <c r="E66" s="29" t="n"/>
      <c r="F66" s="29" t="n"/>
    </row>
    <row r="67">
      <c r="A67" s="29" t="n"/>
      <c r="B67" s="29" t="n"/>
      <c r="C67" s="29" t="n"/>
      <c r="D67" s="29" t="n"/>
      <c r="E67" s="29" t="n"/>
      <c r="F67" s="29" t="n"/>
    </row>
    <row r="68">
      <c r="A68" s="29" t="n"/>
      <c r="B68" s="29" t="n"/>
      <c r="C68" s="29" t="n"/>
      <c r="D68" s="29" t="n"/>
      <c r="E68" s="29" t="n"/>
      <c r="F68" s="29" t="n"/>
    </row>
    <row r="69">
      <c r="A69" s="29" t="n"/>
      <c r="B69" s="29" t="n"/>
      <c r="C69" s="29" t="n"/>
      <c r="D69" s="29" t="n"/>
      <c r="E69" s="29" t="n"/>
      <c r="F69" s="29" t="n"/>
    </row>
    <row r="70">
      <c r="A70" s="29" t="n"/>
      <c r="B70" s="29" t="n"/>
      <c r="C70" s="29" t="n"/>
      <c r="D70" s="29" t="n"/>
      <c r="E70" s="29" t="n"/>
      <c r="F70" s="29" t="n"/>
    </row>
    <row r="71">
      <c r="A71" s="29" t="n"/>
      <c r="B71" s="29" t="n"/>
      <c r="C71" s="29" t="n"/>
      <c r="D71" s="29" t="n"/>
      <c r="E71" s="29" t="n"/>
      <c r="F71" s="29" t="n"/>
    </row>
    <row r="72">
      <c r="A72" s="29" t="n"/>
      <c r="B72" s="29" t="n"/>
      <c r="C72" s="29" t="n"/>
      <c r="D72" s="29" t="n"/>
      <c r="E72" s="29" t="n"/>
      <c r="F72" s="29" t="n"/>
    </row>
    <row r="73">
      <c r="A73" s="29" t="n"/>
      <c r="B73" s="29" t="n"/>
      <c r="C73" s="29" t="n"/>
      <c r="D73" s="29" t="n"/>
      <c r="E73" s="29" t="n"/>
      <c r="F73" s="29" t="n"/>
    </row>
    <row r="74">
      <c r="A74" s="29" t="n"/>
      <c r="B74" s="29" t="n"/>
      <c r="C74" s="29" t="n"/>
      <c r="D74" s="29" t="n"/>
      <c r="E74" s="29" t="n"/>
      <c r="F74" s="29" t="n"/>
    </row>
    <row r="75">
      <c r="A75" s="29" t="n"/>
      <c r="B75" s="29" t="n"/>
      <c r="C75" s="29" t="n"/>
      <c r="D75" s="29" t="n"/>
      <c r="E75" s="29" t="n"/>
      <c r="F75" s="29" t="n"/>
    </row>
    <row r="76">
      <c r="A76" s="29" t="n"/>
      <c r="B76" s="29" t="n"/>
      <c r="C76" s="29" t="n"/>
      <c r="D76" s="29" t="n"/>
      <c r="E76" s="29" t="n"/>
      <c r="F76" s="29" t="n"/>
    </row>
    <row r="77">
      <c r="A77" s="29" t="n"/>
      <c r="B77" s="29" t="n"/>
      <c r="C77" s="29" t="n"/>
      <c r="D77" s="29" t="n"/>
      <c r="E77" s="29" t="n"/>
      <c r="F77" s="29" t="n"/>
    </row>
    <row r="78">
      <c r="A78" s="29" t="n"/>
      <c r="B78" s="29" t="n"/>
      <c r="C78" s="29" t="n"/>
      <c r="D78" s="29" t="n"/>
      <c r="E78" s="29" t="n"/>
      <c r="F78" s="29" t="n"/>
    </row>
    <row r="79">
      <c r="A79" s="29" t="n"/>
      <c r="B79" s="29" t="n"/>
      <c r="C79" s="29" t="n"/>
      <c r="D79" s="29" t="n"/>
      <c r="E79" s="29" t="n"/>
      <c r="F79" s="29" t="n"/>
    </row>
    <row r="80">
      <c r="A80" s="29" t="n"/>
      <c r="B80" s="29" t="n"/>
      <c r="C80" s="29" t="n"/>
      <c r="D80" s="29" t="n"/>
      <c r="E80" s="29" t="n"/>
      <c r="F80" s="29" t="n"/>
    </row>
    <row r="81">
      <c r="A81" s="29" t="n"/>
      <c r="B81" s="29" t="n"/>
      <c r="C81" s="29" t="n"/>
      <c r="D81" s="29" t="n"/>
      <c r="E81" s="29" t="n"/>
      <c r="F81" s="29" t="n"/>
    </row>
    <row r="82">
      <c r="A82" s="29" t="n"/>
      <c r="B82" s="29" t="n"/>
      <c r="C82" s="29" t="n"/>
      <c r="D82" s="29" t="n"/>
      <c r="E82" s="29" t="n"/>
      <c r="F82" s="29" t="n"/>
    </row>
    <row r="83">
      <c r="A83" s="29" t="n"/>
      <c r="B83" s="29" t="n"/>
      <c r="C83" s="29" t="n"/>
      <c r="D83" s="29" t="n"/>
      <c r="E83" s="29" t="n"/>
      <c r="F83" s="29" t="n"/>
    </row>
    <row r="84">
      <c r="A84" s="29" t="n"/>
      <c r="B84" s="29" t="n"/>
      <c r="C84" s="29" t="n"/>
      <c r="D84" s="29" t="n"/>
      <c r="E84" s="29" t="n"/>
      <c r="F84" s="29" t="n"/>
    </row>
    <row r="85">
      <c r="A85" s="29" t="n"/>
      <c r="B85" s="29" t="n"/>
      <c r="C85" s="29" t="n"/>
      <c r="D85" s="29" t="n"/>
      <c r="E85" s="29" t="n"/>
      <c r="F85" s="29" t="n"/>
    </row>
    <row r="86">
      <c r="A86" s="29" t="n"/>
      <c r="B86" s="29" t="n"/>
      <c r="C86" s="29" t="n"/>
      <c r="D86" s="29" t="n"/>
      <c r="E86" s="29" t="n"/>
      <c r="F86" s="29" t="n"/>
    </row>
    <row r="87">
      <c r="A87" s="29" t="n"/>
      <c r="B87" s="29" t="n"/>
      <c r="C87" s="29" t="n"/>
      <c r="D87" s="29" t="n"/>
      <c r="E87" s="29" t="n"/>
      <c r="F87" s="29" t="n"/>
    </row>
    <row r="88">
      <c r="A88" s="29" t="n"/>
      <c r="B88" s="29" t="n"/>
      <c r="C88" s="29" t="n"/>
      <c r="D88" s="29" t="n"/>
      <c r="E88" s="29" t="n"/>
      <c r="F88" s="29" t="n"/>
    </row>
    <row r="89">
      <c r="A89" s="29" t="n"/>
      <c r="B89" s="29" t="n"/>
      <c r="C89" s="29" t="n"/>
      <c r="D89" s="29" t="n"/>
      <c r="E89" s="29" t="n"/>
      <c r="F89" s="29" t="n"/>
    </row>
    <row r="90">
      <c r="A90" s="29" t="n"/>
      <c r="B90" s="29" t="n"/>
      <c r="C90" s="29" t="n"/>
      <c r="D90" s="29" t="n"/>
      <c r="E90" s="29" t="n"/>
      <c r="F90" s="29" t="n"/>
    </row>
    <row r="91">
      <c r="A91" s="29" t="n"/>
      <c r="B91" s="29" t="n"/>
      <c r="C91" s="29" t="n"/>
      <c r="D91" s="29" t="n"/>
      <c r="E91" s="29" t="n"/>
      <c r="F91" s="29" t="n"/>
    </row>
    <row r="92">
      <c r="A92" s="29" t="n"/>
      <c r="B92" s="29" t="n"/>
      <c r="C92" s="29" t="n"/>
      <c r="D92" s="29" t="n"/>
      <c r="E92" s="29" t="n"/>
      <c r="F92" s="29" t="n"/>
    </row>
    <row r="93">
      <c r="A93" s="29" t="n"/>
      <c r="B93" s="29" t="n"/>
      <c r="C93" s="29" t="n"/>
      <c r="D93" s="29" t="n"/>
      <c r="E93" s="29" t="n"/>
      <c r="F93" s="29" t="n"/>
    </row>
    <row r="94">
      <c r="A94" s="29" t="n"/>
      <c r="B94" s="29" t="n"/>
      <c r="C94" s="29" t="n"/>
      <c r="D94" s="29" t="n"/>
      <c r="E94" s="29" t="n"/>
      <c r="F94" s="29" t="n"/>
    </row>
    <row r="95">
      <c r="A95" s="29" t="n"/>
      <c r="B95" s="29" t="n"/>
      <c r="C95" s="29" t="n"/>
      <c r="D95" s="29" t="n"/>
      <c r="E95" s="29" t="n"/>
      <c r="F95" s="29" t="n"/>
    </row>
    <row r="96">
      <c r="A96" s="29" t="n"/>
      <c r="B96" s="29" t="n"/>
      <c r="C96" s="29" t="n"/>
      <c r="D96" s="29" t="n"/>
      <c r="E96" s="29" t="n"/>
      <c r="F96" s="29" t="n"/>
    </row>
    <row r="97">
      <c r="A97" s="29" t="n"/>
      <c r="B97" s="29" t="n"/>
      <c r="C97" s="29" t="n"/>
      <c r="D97" s="29" t="n"/>
      <c r="E97" s="29" t="n"/>
      <c r="F97" s="29" t="n"/>
    </row>
    <row r="98">
      <c r="A98" s="29" t="n"/>
      <c r="B98" s="29" t="n"/>
      <c r="C98" s="29" t="n"/>
      <c r="D98" s="29" t="n"/>
      <c r="E98" s="29" t="n"/>
      <c r="F9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Assumptions'!$B$67)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SCENARIO ANALYSIS</t>
        </is>
      </c>
    </row>
    <row r="2">
      <c r="A2" s="3" t="inlineStr">
        <is>
          <t>Pessimistic / Base / Optimistic — Year 1</t>
        </is>
      </c>
    </row>
    <row r="4">
      <c r="A4" s="26" t="inlineStr">
        <is>
          <t>Metric</t>
        </is>
      </c>
      <c r="B4" s="26" t="inlineStr">
        <is>
          <t>Pessimistic</t>
        </is>
      </c>
      <c r="C4" s="26" t="inlineStr">
        <is>
          <t>Base</t>
        </is>
      </c>
      <c r="D4" s="26" t="inlineStr">
        <is>
          <t>Optimistic</t>
        </is>
      </c>
      <c r="E4" s="26" t="inlineStr">
        <is>
          <t>Notes</t>
        </is>
      </c>
      <c r="F4" s="29" t="n"/>
    </row>
    <row r="5">
      <c r="A5" s="29" t="inlineStr">
        <is>
          <t>Covers per day</t>
        </is>
      </c>
      <c r="B5" s="51" t="n">
        <v>110</v>
      </c>
      <c r="C5" s="41">
        <f>IFERROR(IF('3-Year P&amp;L'!$B$6="","",'3-Year P&amp;L'!$B$6),"")</f>
        <v>130.0</v>
      </c>
      <c r="D5" s="51" t="n">
        <v>150</v>
      </c>
      <c r="E5" s="29" t="n"/>
      <c r="F5" s="29" t="n"/>
    </row>
    <row r="6">
      <c r="A6" s="29" t="inlineStr">
        <is>
          <t>Average check (excl. sales tax)</t>
        </is>
      </c>
      <c r="B6" s="76" t="n">
        <v>16.5</v>
      </c>
      <c r="C6" s="62">
        <f>IFERROR(IF('3-Year P&amp;L'!$B$7="","",'3-Year P&amp;L'!$B$7),"")</f>
        <v>17.5</v>
      </c>
      <c r="D6" s="76" t="n">
        <v>18.5</v>
      </c>
      <c r="E6" s="29" t="n"/>
      <c r="F6" s="29" t="n"/>
    </row>
    <row r="7">
      <c r="A7" s="29" t="inlineStr">
        <is>
          <t>Operating days per year</t>
        </is>
      </c>
      <c r="B7" s="51" t="n">
        <v>355</v>
      </c>
      <c r="C7" s="41">
        <f>IFERROR(IF('3-Year P&amp;L'!$B$8="","",'3-Year P&amp;L'!$B$8),"")</f>
        <v>360.0</v>
      </c>
      <c r="D7" s="51" t="n">
        <v>362</v>
      </c>
      <c r="E7" s="29" t="n"/>
      <c r="F7" s="29" t="n"/>
    </row>
    <row r="8">
      <c r="A8" s="26" t="inlineStr">
        <is>
          <t>ANNUAL REVENUE (excl. sales tax)</t>
        </is>
      </c>
      <c r="B8" s="54">
        <f>IFERROR(IF(B5*B6*B7=0,"",B5*B6*B7),"")</f>
        <v>644325.0</v>
      </c>
      <c r="C8" s="54">
        <f>IFERROR(IF(C5*C6*C7=0,"",C5*C6*C7),"")</f>
        <v>819000.0</v>
      </c>
      <c r="D8" s="54">
        <f>IFERROR(IF(D5*D6*D7=0,"",D5*D6*D7),"")</f>
        <v>1004550.0</v>
      </c>
      <c r="E8" s="29" t="n"/>
      <c r="F8" s="29" t="n"/>
    </row>
    <row r="9">
      <c r="A9" s="29" t="inlineStr">
        <is>
          <t>Cost of goods sold — food</t>
        </is>
      </c>
      <c r="B9" s="41">
        <f>IFERROR(IF(B8="","",B8*'0. Assumptions'!$B$11*'0. Assumptions'!$B$13),"")</f>
        <v>160694.655</v>
      </c>
      <c r="C9" s="41">
        <f>IFERROR(IF(C8="","",C8*'0. Assumptions'!$B$11*'0. Assumptions'!$B$13),"")</f>
        <v>204258.59999999998</v>
      </c>
      <c r="D9" s="41">
        <f>IFERROR(IF(D8="","",D8*'0. Assumptions'!$B$11*'0. Assumptions'!$B$13),"")</f>
        <v>250534.77</v>
      </c>
      <c r="E9" s="29" t="n"/>
      <c r="F9" s="29" t="n"/>
    </row>
    <row r="10">
      <c r="A10" s="29" t="inlineStr">
        <is>
          <t>Cost of goods sold — beverage</t>
        </is>
      </c>
      <c r="B10" s="41">
        <f>IFERROR(IF(B8="","",B8*'0. Assumptions'!$B$12*'0. Assumptions'!$B$14),"")</f>
        <v>19845.210000000003</v>
      </c>
      <c r="C10" s="41">
        <f>IFERROR(IF(C8="","",C8*'0. Assumptions'!$B$12*'0. Assumptions'!$B$14),"")</f>
        <v>25225.200000000004</v>
      </c>
      <c r="D10" s="41">
        <f>IFERROR(IF(D8="","",D8*'0. Assumptions'!$B$12*'0. Assumptions'!$B$14),"")</f>
        <v>30940.14</v>
      </c>
      <c r="E10" s="29" t="n"/>
      <c r="F10" s="29" t="n"/>
    </row>
    <row r="11">
      <c r="A11" s="29" t="inlineStr">
        <is>
          <t>Disposables and packaging</t>
        </is>
      </c>
      <c r="B11" s="41">
        <f>IFERROR(IF(B8="","",B8*'0. Assumptions'!$B$15),"")</f>
        <v>25773.0</v>
      </c>
      <c r="C11" s="41">
        <f>IFERROR(IF(C8="","",C8*'0. Assumptions'!$B$15),"")</f>
        <v>32760.0</v>
      </c>
      <c r="D11" s="41">
        <f>IFERROR(IF(D8="","",D8*'0. Assumptions'!$B$15),"")</f>
        <v>40182.0</v>
      </c>
      <c r="E11" s="29" t="n"/>
      <c r="F11" s="29" t="n"/>
    </row>
    <row r="12">
      <c r="A12" s="29" t="inlineStr">
        <is>
          <t>Delivery platform fees</t>
        </is>
      </c>
      <c r="B12" s="41">
        <f>IFERROR(IF(B8="","",B8*'0. Assumptions'!$B$16*'0. Assumptions'!$B$17),"")</f>
        <v>24162.1875</v>
      </c>
      <c r="C12" s="41">
        <f>IFERROR(IF(C8="","",C8*'0. Assumptions'!$B$16*'0. Assumptions'!$B$17),"")</f>
        <v>30712.5</v>
      </c>
      <c r="D12" s="41">
        <f>IFERROR(IF(D8="","",D8*'0. Assumptions'!$B$16*'0. Assumptions'!$B$17),"")</f>
        <v>37670.625</v>
      </c>
      <c r="E12" s="29" t="n"/>
      <c r="F12" s="29" t="n"/>
    </row>
    <row r="13">
      <c r="A13" s="29" t="inlineStr">
        <is>
          <t>Card processing fees</t>
        </is>
      </c>
      <c r="B13" s="41">
        <f>IFERROR(IF(B8="","",B8*'0. Assumptions'!$B$18),"")</f>
        <v>19329.75</v>
      </c>
      <c r="C13" s="41">
        <f>IFERROR(IF(C8="","",C8*'0. Assumptions'!$B$18),"")</f>
        <v>24570.0</v>
      </c>
      <c r="D13" s="41">
        <f>IFERROR(IF(D8="","",D8*'0. Assumptions'!$B$18),"")</f>
        <v>30136.5</v>
      </c>
      <c r="E13" s="29" t="n"/>
      <c r="F13" s="29" t="n"/>
    </row>
    <row r="14">
      <c r="A14" s="29" t="inlineStr">
        <is>
          <t>Miscellaneous and contingency</t>
        </is>
      </c>
      <c r="B14" s="41">
        <f>IFERROR(IF(B8="","",B8*'0. Assumptions'!$B$28),"")</f>
        <v>6443.25</v>
      </c>
      <c r="C14" s="41">
        <f>IFERROR(IF(C8="","",C8*'0. Assumptions'!$B$28),"")</f>
        <v>8190.0</v>
      </c>
      <c r="D14" s="41">
        <f>IFERROR(IF(D8="","",D8*'0. Assumptions'!$B$28),"")</f>
        <v>10045.5</v>
      </c>
      <c r="E14" s="29" t="n"/>
      <c r="F14" s="29" t="n"/>
    </row>
    <row r="15">
      <c r="A15" s="29" t="inlineStr">
        <is>
          <t>TOTAL VARIABLE COSTS</t>
        </is>
      </c>
      <c r="B15" s="41">
        <f>IFERROR(IF(B8="","",SUM(B9:B14)),"")</f>
        <v>256248.0525</v>
      </c>
      <c r="C15" s="41">
        <f>IFERROR(IF(C8="","",SUM(C9:C14)),"")</f>
        <v>325716.3</v>
      </c>
      <c r="D15" s="41">
        <f>IFERROR(IF(D8="","",SUM(D9:D14)),"")</f>
        <v>399509.535</v>
      </c>
      <c r="E15" s="29" t="n"/>
      <c r="F15" s="29" t="n"/>
    </row>
    <row r="16">
      <c r="A16" s="29" t="inlineStr">
        <is>
          <t>GROSS MARGIN</t>
        </is>
      </c>
      <c r="B16" s="41">
        <f>IFERROR(IF(B8="","",B8-B15),"")</f>
        <v>388076.9475</v>
      </c>
      <c r="C16" s="41">
        <f>IFERROR(IF(C8="","",C8-C15),"")</f>
        <v>493283.7</v>
      </c>
      <c r="D16" s="41">
        <f>IFERROR(IF(D8="","",D8-D15),"")</f>
        <v>605040.4650000001</v>
      </c>
      <c r="E16" s="29" t="n"/>
      <c r="F16" s="29" t="n"/>
    </row>
    <row r="17">
      <c r="A17" s="29" t="inlineStr">
        <is>
          <t>FIXED COSTS (the P&amp;L's)</t>
        </is>
      </c>
      <c r="B17" s="41">
        <f>IFERROR(IF(B8="","",'3-Year P&amp;L'!$B$37),"")</f>
        <v>416022.34285714285</v>
      </c>
      <c r="C17" s="41">
        <f>IFERROR(IF(C8="","",'3-Year P&amp;L'!$B$37),"")</f>
        <v>416022.34285714285</v>
      </c>
      <c r="D17" s="41">
        <f>IFERROR(IF(D8="","",'3-Year P&amp;L'!$B$37),"")</f>
        <v>416022.34285714285</v>
      </c>
      <c r="E17" s="29" t="inlineStr">
        <is>
          <t>Fixed costs do not change with the scenario: that is why they are fixed</t>
        </is>
      </c>
      <c r="F17" s="29" t="n"/>
    </row>
    <row r="18">
      <c r="A18" s="26" t="inlineStr">
        <is>
          <t>PRE-TAX INCOME (EBT)</t>
        </is>
      </c>
      <c r="B18" s="54">
        <f>IFERROR(IF(B8="","",B16-B17),"")</f>
        <v>-27945.395357142843</v>
      </c>
      <c r="C18" s="54">
        <f>IFERROR(IF(C8="","",C16-C17),"")</f>
        <v>77261.35714285716</v>
      </c>
      <c r="D18" s="54">
        <f>IFERROR(IF(D8="","",D16-D17),"")</f>
        <v>189018.12214285723</v>
      </c>
      <c r="E18" s="29" t="n"/>
      <c r="F18" s="29" t="n"/>
    </row>
    <row r="19">
      <c r="A19" s="29" t="inlineStr">
        <is>
          <t>Income tax</t>
        </is>
      </c>
      <c r="B19" s="41">
        <f>IFERROR(IF(B8="","",MAX(0,B18-'0. Assumptions'!$B$42)*'0. Assumptions'!$B$37),"")</f>
        <v>0.0</v>
      </c>
      <c r="C19" s="41">
        <f>IFERROR(IF(C8="","",MAX(0,C18-'0. Assumptions'!$B$42)*'0. Assumptions'!$B$37),"")</f>
        <v>19315.33928571429</v>
      </c>
      <c r="D19" s="41">
        <f>IFERROR(IF(D8="","",MAX(0,D18-'0. Assumptions'!$B$42)*'0. Assumptions'!$B$37),"")</f>
        <v>47254.53053571431</v>
      </c>
      <c r="E19" s="29" t="inlineStr">
        <is>
          <t>At the "years 1-2" effective income tax rate, offsetting prior net operating losses</t>
        </is>
      </c>
      <c r="F19" s="29" t="n"/>
    </row>
    <row r="20">
      <c r="A20" s="26" t="inlineStr">
        <is>
          <t>NET INCOME</t>
        </is>
      </c>
      <c r="B20" s="54">
        <f>IFERROR(IF(B8="","",B18-B19),"")</f>
        <v>-27945.395357142843</v>
      </c>
      <c r="C20" s="54">
        <f>IFERROR(IF(C8="","",C18-C19),"")</f>
        <v>57946.01785714287</v>
      </c>
      <c r="D20" s="54">
        <f>IFERROR(IF(D8="","",D18-D19),"")</f>
        <v>141763.59160714294</v>
      </c>
      <c r="E20" s="29" t="n"/>
      <c r="F20" s="29" t="n"/>
    </row>
    <row r="21">
      <c r="A21" s="29" t="inlineStr">
        <is>
          <t>Covers per day to break even</t>
        </is>
      </c>
      <c r="B21" s="45">
        <f>IFERROR(IF(B8="","",IF(B6-B15/(B5*B7)&lt;=0,"",B17/(B6-B15/(B5*B7))/B7)),"")</f>
        <v>117.92109273454258</v>
      </c>
      <c r="C21" s="45">
        <f>IFERROR(IF(C8="","",IF(C6-C15/(C5*C7)&lt;=0,"",C17/(C6-C15/(C5*C7))/C7)),"")</f>
        <v>109.63853979247352</v>
      </c>
      <c r="D21" s="45">
        <f>IFERROR(IF(D8="","",IF(D6-D15/(D5*D7)&lt;=0,"",D17/(D6-D15/(D5*D7))/D7)),"")</f>
        <v>103.13913703039916</v>
      </c>
      <c r="E21" s="29" t="n"/>
      <c r="F21" s="29" t="n"/>
    </row>
    <row r="22">
      <c r="A22" s="26" t="inlineStr">
        <is>
          <t>WHAT EACH SCENARIO DEMANDS</t>
        </is>
      </c>
      <c r="B22" s="29" t="n"/>
      <c r="C22" s="29" t="n"/>
      <c r="D22" s="29" t="n"/>
      <c r="E22" s="29" t="n"/>
      <c r="F22" s="29" t="n"/>
    </row>
    <row r="23">
      <c r="A23" s="29" t="inlineStr">
        <is>
          <t>Labor cost / Sales</t>
        </is>
      </c>
      <c r="B23" s="68">
        <f>IFERROR(IF(B8="","",'3-Year P&amp;L'!$B$23/B8),"")</f>
        <v>0.42060947503201024</v>
      </c>
      <c r="C23" s="68">
        <f>IFERROR(IF(C8="","",'3-Year P&amp;L'!$B$23/C8),"")</f>
        <v>0.33090256410256413</v>
      </c>
      <c r="D23" s="68">
        <f>IFERROR(IF(D8="","",'3-Year P&amp;L'!$B$23/D8),"")</f>
        <v>0.26978169329550544</v>
      </c>
      <c r="E23" s="29" t="inlineStr">
        <is>
          <t>The SAME staffing in all three scenarios. If labor cost blows up in the pessimistic case, adjust it in the Staffing tab, not here</t>
        </is>
      </c>
      <c r="F23" s="29" t="n"/>
    </row>
    <row r="24">
      <c r="A24" s="29" t="inlineStr">
        <is>
          <t>Covers per year per full-time equivalent</t>
        </is>
      </c>
      <c r="B24" s="41">
        <f>IFERROR(IF(B8="","",B5*B7/Staffing!$C$12),"")</f>
        <v>5916.666666666667</v>
      </c>
      <c r="C24" s="41">
        <f>IFERROR(IF(C8="","",C5*C7/Staffing!$C$12),"")</f>
        <v>7090.909090909091</v>
      </c>
      <c r="D24" s="41">
        <f>IFERROR(IF(D8="","",D5*D7/Staffing!$C$12),"")</f>
        <v>8227.272727272728</v>
      </c>
      <c r="E24" s="29" t="inlineStr">
        <is>
          <t>Covers each full-time employee in the "Staffing" tab would have to serve. In the optimistic scenario it tells you whether you need to hire</t>
        </is>
      </c>
      <c r="F24" s="29" t="n"/>
    </row>
    <row r="25">
      <c r="A25" s="26" t="inlineStr">
        <is>
          <t>Year-1 closing cash balance (estimate, same method in all three scenarios)</t>
        </is>
      </c>
      <c r="B25" s="54">
        <f>IFERROR(IF(B8="","",'Startup Costs'!$B$29+B20+'3-Year P&amp;L'!$B$35-Financing!$B$45),"")</f>
        <v>80895.04220537753</v>
      </c>
      <c r="C25" s="54">
        <f>IFERROR(IF(C8="","",'Startup Costs'!$B$29+C20+'3-Year P&amp;L'!$B$35-Financing!$B$45),"")</f>
        <v>166786.45541966322</v>
      </c>
      <c r="D25" s="54">
        <f>IFERROR(IF(D8="","",'Startup Costs'!$B$29+D20+'3-Year P&amp;L'!$B$35-Financing!$B$45),"")</f>
        <v>250604.02916966326</v>
      </c>
      <c r="E25" s="26" t="inlineStr">
        <is>
          <t>ESTIMATED balance: working capital plus the year's result, adding back depreciation (which is not paid) and subtracting loan principal. It does not include the timing gap between receipts and payments or the sales tax settlement, so the three columns can be compared with each other. In red, the scenario runs out of cash</t>
        </is>
      </c>
      <c r="F25" s="29" t="n"/>
    </row>
    <row r="26">
      <c r="A26" s="29" t="inlineStr">
        <is>
          <t>Actual month-12 balance from the 12-Month Cash Flow tab (Base case only)</t>
        </is>
      </c>
      <c r="B26" s="29" t="n"/>
      <c r="C26" s="41">
        <f>IFERROR(IF(C8="","",'12-Month Cash Flow'!$M$22),"")</f>
        <v>212281.9973081887</v>
      </c>
      <c r="D26" s="29" t="n"/>
      <c r="E26" s="29" t="inlineStr">
        <is>
          <t>The ACTUAL base-case balance, with its timing of receipts and payments and its sales tax settlement. It exists only for the Base scenario, the only one with its own monthly cash flow: that is why it is not in the row above, where it would be compared against two estimates</t>
        </is>
      </c>
      <c r="F26" s="29" t="n"/>
    </row>
    <row r="27">
      <c r="A27" s="29" t="n"/>
      <c r="B27" s="29" t="n"/>
      <c r="C27" s="29" t="n"/>
      <c r="D27" s="29" t="n"/>
      <c r="E27" s="29" t="n"/>
      <c r="F27" s="29" t="n"/>
    </row>
    <row r="28" ht="150" customHeight="1">
      <c r="A28" s="48" t="inlineStr">
        <is>
          <t>The "Base" column reads its three inputs from the "0. Assumptions" tab, so it reproduces EXACTLY year 1 of the P&amp;L. The other two scenarios use the same cost rates: the only things that change are covers, average check and days. FIXED COSTS are the same in all three: miscellaneous and contingency, which is a percentage of sales, sits at the top with the variable costs and each scenario carries its own.</t>
        </is>
      </c>
      <c r="B28" s="29" t="n"/>
      <c r="C28" s="29" t="n"/>
      <c r="D28" s="29" t="n"/>
      <c r="E28" s="29" t="n"/>
      <c r="F28"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AND(ISNUMBER(B23),B23&gt;'3-Year P&amp;L'!$E$53)</formula>
    </cfRule>
    <cfRule type="expression" priority="2" dxfId="0" stopIfTrue="1">
      <formula>AND(ISNUMBER(B23),B23&lt;='3-Year P&amp;L'!$E$53)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2">
    <dataValidation sqref="B5 B6 D5 D6" showDropDown="0" showInputMessage="0" showErrorMessage="1" allowBlank="1" errorTitle="Invalid amount" error="Enter a number greater than or equal to 0." type="decimal" operator="greaterThanOrEqual">
      <formula1>0</formula1>
    </dataValidation>
    <dataValidation sqref="B7 D7" showDropDown="0" showInputMessage="0" showErrorMessage="1" allowBlank="1" errorTitle="Days out of range" error="Days range from 1 to 365." type="whole" operator="between">
      <formula1>1</formula1>
      <formula2>365</formula2>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30"/>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STAFFING STRUCTURE AND COSTS</t>
        </is>
      </c>
    </row>
    <row r="2">
      <c r="A2" s="3" t="str">
        <f>IFERROR("Payroll — "&amp;TEXT('0. Assumptions'!$B$21,"0")&amp;" pay periods + employer taxes "&amp;TEXT('0. Assumptions'!$B$20*100,"0")&amp;"%","")</f>
        <v>Payroll — 12 pay periods + employer taxes 10%</v>
      </c>
    </row>
    <row r="4" ht="45" customHeight="1">
      <c r="A4" s="40" t="inlineStr">
        <is>
          <t>Position</t>
        </is>
      </c>
      <c r="B4" s="40" t="inlineStr">
        <is>
          <t>People</t>
        </is>
      </c>
      <c r="C4" s="40" t="inlineStr">
        <is>
          <t>FTE</t>
        </is>
      </c>
      <c r="D4" s="40" t="inlineStr">
        <is>
          <t>Gross pay per month (total for the position)</t>
        </is>
      </c>
      <c r="E4" s="40" t="inlineStr">
        <is>
          <t>Employer payroll taxes (total for the position)</t>
        </is>
      </c>
      <c r="F4" s="40" t="inlineStr">
        <is>
          <t>Cost per month (total for the position)</t>
        </is>
      </c>
      <c r="G4" s="40" t="inlineStr">
        <is>
          <t>Cost per year</t>
        </is>
      </c>
      <c r="H4" s="40" t="inlineStr">
        <is>
          <t>Hours per week per person</t>
        </is>
      </c>
      <c r="I4" s="40" t="inlineStr">
        <is>
          <t>Hours per year for the position</t>
        </is>
      </c>
      <c r="J4" s="40" t="inlineStr">
        <is>
          <t>Notes</t>
        </is>
      </c>
    </row>
    <row r="5">
      <c r="A5" s="29" t="inlineStr">
        <is>
          <t>Owner / GM &amp; head of rotisserie</t>
        </is>
      </c>
      <c r="B5" s="51" t="n">
        <v>1</v>
      </c>
      <c r="C5" s="53" t="n">
        <v>1</v>
      </c>
      <c r="D5" s="76" t="n">
        <v>4500</v>
      </c>
      <c r="E5" s="62">
        <f>IFERROR(IF(D5="","",D5*'0. Assumptions'!$B$20),"")</f>
        <v>450.0</v>
      </c>
      <c r="F5" s="62">
        <f>IFERROR(IF(D5="","",D5+E5),"")</f>
        <v>4950.0</v>
      </c>
      <c r="G5" s="62">
        <f>IFERROR(IF(D5="","",F5*MAX(12,'0. Assumptions'!$B$21)),"")</f>
        <v>59400.0</v>
      </c>
      <c r="H5" s="45">
        <f>IFERROR(IF(D5="","",C5*$B$19),"")</f>
        <v>40.0</v>
      </c>
      <c r="I5" s="41">
        <f>IFERROR(IF(D5="","",H5*B5*$B$20),"")</f>
        <v>1840.0</v>
      </c>
      <c r="J5" s="29" t="inlineStr">
        <is>
          <t>Buys the chicken and sets the bird size, makes the marinades, runs the rotisseries and the Sunday loads, handles pre-orders and manages. The workbook imputes a monthly salary as if on payroll, which is the prudent side; confirm with your CPA how you will pay yourself (owner's draw or W-2 under an S corp). The example pays the owner below a manager: owner's draw in addition from net profit</t>
        </is>
      </c>
    </row>
    <row r="6">
      <c r="A6" s="29" t="inlineStr">
        <is>
          <t>Rotisserie cook (spitting, loads, carving)</t>
        </is>
      </c>
      <c r="B6" s="51" t="n">
        <v>1</v>
      </c>
      <c r="C6" s="53" t="n">
        <v>1</v>
      </c>
      <c r="D6" s="76" t="n">
        <v>3293</v>
      </c>
      <c r="E6" s="62">
        <f>IFERROR(IF(D6="","",D6*'0. Assumptions'!$B$20),"")</f>
        <v>329.3</v>
      </c>
      <c r="F6" s="62">
        <f>IFERROR(IF(D6="","",D6+E6),"")</f>
        <v>3622.3</v>
      </c>
      <c r="G6" s="62">
        <f>IFERROR(IF(D6="","",F6*MAX(12,'0. Assumptions'!$B$21)),"")</f>
        <v>43467.600000000006</v>
      </c>
      <c r="H6" s="45">
        <f>IFERROR(IF(D6="","",C6*$B$19),"")</f>
        <v>40.0</v>
      </c>
      <c r="I6" s="41">
        <f>IFERROR(IF(D6="","",H6*B6*$B$20),"")</f>
        <v>1840.0</v>
      </c>
      <c r="J6" s="29" t="inlineStr">
        <is>
          <t>Spits and loads the rotisseries, runs the fryers and the sides, and can probe and carve. It is an investment, not an expense: if only the owner can run the rotisseries, a sick day closes your biggest day</t>
        </is>
      </c>
    </row>
    <row r="7">
      <c r="A7" s="29" t="inlineStr">
        <is>
          <t>Counter lead / cashier</t>
        </is>
      </c>
      <c r="B7" s="51" t="n">
        <v>1</v>
      </c>
      <c r="C7" s="53" t="n">
        <v>1</v>
      </c>
      <c r="D7" s="76" t="n">
        <v>2773</v>
      </c>
      <c r="E7" s="62">
        <f>IFERROR(IF(D7="","",D7*'0. Assumptions'!$B$20),"")</f>
        <v>277.3</v>
      </c>
      <c r="F7" s="62">
        <f>IFERROR(IF(D7="","",D7+E7),"")</f>
        <v>3050.3</v>
      </c>
      <c r="G7" s="62">
        <f>IFERROR(IF(D7="","",F7*MAX(12,'0. Assumptions'!$B$21)),"")</f>
        <v>36603.600000000006</v>
      </c>
      <c r="H7" s="45">
        <f>IFERROR(IF(D7="","",C7*$B$19),"")</f>
        <v>40.0</v>
      </c>
      <c r="I7" s="41">
        <f>IFERROR(IF(D7="","",H7*B7*$B$20),"")</f>
        <v>1840.0</v>
      </c>
      <c r="J7" s="29" t="inlineStr">
        <is>
          <t>Counter, register, phone and pre-orders, the delivery marketplace tablets and allergen information, all year round</t>
        </is>
      </c>
    </row>
    <row r="8">
      <c r="A8" s="29" t="inlineStr">
        <is>
          <t>Counter, packing &amp; expo (part-time W-2)</t>
        </is>
      </c>
      <c r="B8" s="51" t="n">
        <v>4</v>
      </c>
      <c r="C8" s="53" t="n">
        <v>0.4</v>
      </c>
      <c r="D8" s="76" t="n">
        <v>4159</v>
      </c>
      <c r="E8" s="62">
        <f>IFERROR(IF(D8="","",D8*'0. Assumptions'!$B$20),"")</f>
        <v>415.90000000000003</v>
      </c>
      <c r="F8" s="62">
        <f>IFERROR(IF(D8="","",D8+E8),"")</f>
        <v>4574.9</v>
      </c>
      <c r="G8" s="62">
        <f>IFERROR(IF(D8="","",F8*MAX(12,'0. Assumptions'!$B$21)),"")</f>
        <v>54898.799999999996</v>
      </c>
      <c r="H8" s="45">
        <f>IFERROR(IF(D8="","",C8*$B$19),"")</f>
        <v>16.0</v>
      </c>
      <c r="I8" s="41">
        <f>IFERROR(IF(D8="","",H8*B8*$B$20),"")</f>
        <v>2944.0</v>
      </c>
      <c r="J8" s="29" t="inlineStr">
        <is>
          <t>About 16 hours a week each: the lunch and dinner rushes at the counter, packing family meals and expo. Part-time W-2 employees; tips are not modeled</t>
        </is>
      </c>
    </row>
    <row r="9">
      <c r="A9" s="29" t="inlineStr">
        <is>
          <t>Dish &amp; prep (part-time W-2)</t>
        </is>
      </c>
      <c r="B9" s="51" t="n">
        <v>1</v>
      </c>
      <c r="C9" s="53" t="n">
        <v>0.5</v>
      </c>
      <c r="D9" s="76" t="n">
        <v>1300</v>
      </c>
      <c r="E9" s="62">
        <f>IFERROR(IF(D9="","",D9*'0. Assumptions'!$B$20),"")</f>
        <v>130.0</v>
      </c>
      <c r="F9" s="62">
        <f>IFERROR(IF(D9="","",D9+E9),"")</f>
        <v>1430.0</v>
      </c>
      <c r="G9" s="62">
        <f>IFERROR(IF(D9="","",F9*MAX(12,'0. Assumptions'!$B$21)),"")</f>
        <v>17160.0</v>
      </c>
      <c r="H9" s="45">
        <f>IFERROR(IF(D9="","",C9*$B$19),"")</f>
        <v>20.0</v>
      </c>
      <c r="I9" s="41">
        <f>IFERROR(IF(D9="","",H9*B9*$B$20),"")</f>
        <v>920.0</v>
      </c>
      <c r="J9" s="29" t="inlineStr">
        <is>
          <t>Weekend help: dish, prep of the sides and sauces, and the spits through the dish machine, plus the dining room cleanup. Part-time W-2 employees</t>
        </is>
      </c>
    </row>
    <row r="10">
      <c r="A10" s="29" t="inlineStr">
        <is>
          <t>Fry &amp; line cook (part-time W-2, weekends &amp; peak days)</t>
        </is>
      </c>
      <c r="B10" s="51" t="n">
        <v>1</v>
      </c>
      <c r="C10" s="53" t="n">
        <v>0.5</v>
      </c>
      <c r="D10" s="76" t="n">
        <v>1473</v>
      </c>
      <c r="E10" s="62">
        <f>IFERROR(IF(D10="","",D10*'0. Assumptions'!$B$20),"")</f>
        <v>147.3</v>
      </c>
      <c r="F10" s="62">
        <f>IFERROR(IF(D10="","",D10+E10),"")</f>
        <v>1620.3</v>
      </c>
      <c r="G10" s="62">
        <f>IFERROR(IF(D10="","",F10*MAX(12,'0. Assumptions'!$B$21)),"")</f>
        <v>19443.6</v>
      </c>
      <c r="H10" s="45">
        <f>IFERROR(IF(D10="","",C10*$B$19),"")</f>
        <v>20.0</v>
      </c>
      <c r="I10" s="41">
        <f>IFERROR(IF(D10="","",H10*B10*$B$20),"")</f>
        <v>920.0</v>
      </c>
      <c r="J10" s="29" t="inlineStr">
        <is>
          <t>Weekend and peak-day help (Sunday, holidays and pre-order pickups): fries the yuca fries and fries and runs the line. This plan has NO delivery drivers of its own: if you add them, they are W-2 employees in most states, never independent contractors by default (check yours), and you need hired and non-owned auto insurance</t>
        </is>
      </c>
    </row>
    <row r="11">
      <c r="A11" s="29" t="inlineStr">
        <is>
          <t>Prep &amp; relief rotisserie cook (marinades, sides, sauces; days off)</t>
        </is>
      </c>
      <c r="B11" s="51" t="n">
        <v>1</v>
      </c>
      <c r="C11" s="53" t="n">
        <v>1</v>
      </c>
      <c r="D11" s="76" t="n">
        <v>3033</v>
      </c>
      <c r="E11" s="62">
        <f>IFERROR(IF(D11="","",D11*'0. Assumptions'!$B$20),"")</f>
        <v>303.3</v>
      </c>
      <c r="F11" s="62">
        <f>IFERROR(IF(D11="","",D11+E11),"")</f>
        <v>3336.3</v>
      </c>
      <c r="G11" s="62">
        <f>IFERROR(IF(D11="","",F11*MAX(12,'0. Assumptions'!$B$21)),"")</f>
        <v>40035.600000000006</v>
      </c>
      <c r="H11" s="45">
        <f>IFERROR(IF(D11="","",C11*$B$19),"")</f>
        <v>40.0</v>
      </c>
      <c r="I11" s="41">
        <f>IFERROR(IF(D11="","",H11*B11*$B$20),"")</f>
        <v>1840.0</v>
      </c>
      <c r="J11" s="29" t="inlineStr">
        <is>
          <t>Coverage for vacations and the team's days off through the year. Paid sick leave is required by some states and cities: check yours</t>
        </is>
      </c>
    </row>
    <row r="12">
      <c r="A12" s="26" t="inlineStr">
        <is>
          <t>TOTAL STAFF</t>
        </is>
      </c>
      <c r="B12" s="54">
        <f>IFERROR(IF(COUNT(D5:D11)=0,"",SUM(B5:B11)),"")</f>
        <v>10.0</v>
      </c>
      <c r="C12" s="55">
        <f>IFERROR(IF(COUNT(D5:D11)=0,"",SUMPRODUCT(B5:B11,C5:C11)),"")</f>
        <v>6.6</v>
      </c>
      <c r="D12" s="55">
        <f>IFERROR(IF(COUNT(D5:D11)=0,"",SUM(D5:D11)),"")</f>
        <v>20531.0</v>
      </c>
      <c r="E12" s="55">
        <f>IFERROR(IF(COUNT(D5:D11)=0,"",SUM(E5:E11)),"")</f>
        <v>2053.1</v>
      </c>
      <c r="F12" s="55">
        <f>IFERROR(IF(COUNT(D5:D11)=0,"",SUM(F5:F11)),"")</f>
        <v>22584.100000000002</v>
      </c>
      <c r="G12" s="55">
        <f>IFERROR(IF(COUNT(D5:D11)=0,"",SUM(G5:G11)),"")</f>
        <v>271009.2</v>
      </c>
      <c r="H12" s="29" t="n"/>
      <c r="I12" s="54">
        <f>IFERROR(IF(COUNT(D5:D11)=0,"",SUM(I5:I11)),"")</f>
        <v>12144.0</v>
      </c>
      <c r="J12" s="29" t="n"/>
    </row>
    <row r="13">
      <c r="A13" s="26" t="inlineStr">
        <is>
          <t>STAFF GROWTH (stepped cost)</t>
        </is>
      </c>
      <c r="B13" s="29" t="n"/>
      <c r="C13" s="29" t="n"/>
      <c r="D13" s="29" t="n"/>
      <c r="E13" s="29" t="n"/>
      <c r="F13" s="29" t="n"/>
      <c r="G13" s="29" t="n"/>
      <c r="H13" s="29" t="n"/>
      <c r="I13" s="29" t="n"/>
      <c r="J13" s="29" t="n"/>
    </row>
    <row r="14">
      <c r="A14" s="29" t="inlineStr">
        <is>
          <t>Annual cost of year-2 hires</t>
        </is>
      </c>
      <c r="B14" s="51" t="n">
        <v>5000</v>
      </c>
      <c r="C14" s="29" t="n"/>
      <c r="D14" s="29" t="n"/>
      <c r="E14" s="29" t="n"/>
      <c r="F14" s="29" t="n"/>
      <c r="G14" s="29" t="n"/>
      <c r="H14" s="29" t="n"/>
      <c r="I14" s="29" t="n"/>
      <c r="J14" s="29" t="inlineStr">
        <is>
          <t>FULL ANNUAL cost (gross pay + employer payroll taxes, over all pay periods) of whoever you hire that year. The P&amp;L adds it to the previous year's cost: staffing grows by people, not by a percentage</t>
        </is>
      </c>
    </row>
    <row r="15">
      <c r="A15" s="29" t="inlineStr">
        <is>
          <t>Annual cost of year-3 hires</t>
        </is>
      </c>
      <c r="B15" s="51" t="n">
        <v>5000</v>
      </c>
      <c r="C15" s="29" t="n"/>
      <c r="D15" s="29" t="n"/>
      <c r="E15" s="29" t="n"/>
      <c r="F15" s="29" t="n"/>
      <c r="G15" s="29" t="n"/>
      <c r="H15" s="29" t="n"/>
      <c r="I15" s="29" t="n"/>
      <c r="J15" s="29" t="inlineStr">
        <is>
          <t>FULL ANNUAL cost (gross pay + employer payroll taxes, over all pay periods) of whoever you hire that year. The P&amp;L adds it to the previous year's cost: staffing grows by people, not by a percentage</t>
        </is>
      </c>
    </row>
    <row r="16">
      <c r="A16" s="29" t="inlineStr">
        <is>
          <t>Labor cost, year 2</t>
        </is>
      </c>
      <c r="B16" s="41">
        <f>IFERROR(IF(G12="","",G12*(1+'0. Assumptions'!$B$48)+B14),"")</f>
        <v>276009.2</v>
      </c>
      <c r="C16" s="29" t="n"/>
      <c r="D16" s="29" t="n"/>
      <c r="E16" s="29" t="n"/>
      <c r="F16" s="29" t="n"/>
      <c r="G16" s="29" t="n"/>
      <c r="H16" s="29" t="n"/>
      <c r="I16" s="29" t="n"/>
      <c r="J16" s="29" t="n"/>
    </row>
    <row r="17">
      <c r="A17" s="29" t="inlineStr">
        <is>
          <t>Labor cost, year 3</t>
        </is>
      </c>
      <c r="B17" s="41">
        <f>IFERROR(IF(B16="","",B16*(1+'0. Assumptions'!$B$48)+B15),"")</f>
        <v>281009.2</v>
      </c>
      <c r="C17" s="29" t="n"/>
      <c r="D17" s="29" t="n"/>
      <c r="E17" s="29" t="n"/>
      <c r="F17" s="29" t="n"/>
      <c r="G17" s="29" t="n"/>
      <c r="H17" s="29" t="n"/>
      <c r="I17" s="29" t="n"/>
      <c r="J17" s="29" t="n"/>
    </row>
    <row r="18">
      <c r="A18" s="26" t="inlineStr">
        <is>
          <t>COVERAGE OF SERVICE HOURS</t>
        </is>
      </c>
      <c r="B18" s="29" t="n"/>
      <c r="C18" s="29" t="n"/>
      <c r="D18" s="29" t="n"/>
      <c r="E18" s="29" t="n"/>
      <c r="F18" s="29" t="n"/>
      <c r="G18" s="29" t="n"/>
      <c r="H18" s="29" t="n"/>
      <c r="I18" s="29" t="n"/>
      <c r="J18" s="29" t="n"/>
    </row>
    <row r="19">
      <c r="A19" s="29" t="inlineStr">
        <is>
          <t>Full-time week (hours per week)</t>
        </is>
      </c>
      <c r="B19" s="51" t="n">
        <v>40</v>
      </c>
      <c r="C19" s="29" t="n"/>
      <c r="D19" s="29" t="n"/>
      <c r="E19" s="29" t="n"/>
      <c r="F19" s="29" t="n"/>
      <c r="G19" s="29" t="n"/>
      <c r="H19" s="29" t="n"/>
      <c r="I19" s="29" t="n"/>
      <c r="J19" s="29" t="inlineStr">
        <is>
          <t>40 hours a week is the FLSA overtime threshold for non-exempt employees; some states add daily overtime rules. Change it if your own full-time week is different</t>
        </is>
      </c>
    </row>
    <row r="20">
      <c r="A20" s="29" t="inlineStr">
        <is>
          <t>Weeks worked per year per person</t>
        </is>
      </c>
      <c r="B20" s="51" t="n">
        <v>46</v>
      </c>
      <c r="C20" s="29" t="n"/>
      <c r="D20" s="29" t="n"/>
      <c r="E20" s="29" t="n"/>
      <c r="F20" s="29" t="n"/>
      <c r="G20" s="29" t="n"/>
      <c r="H20" s="29" t="n"/>
      <c r="I20" s="29" t="n"/>
      <c r="J20" s="29" t="inlineStr">
        <is>
          <t>46 weeks: 52 minus about six weeks for vacation, holidays and average absences. There is no federal vacation requirement in the US: adjust it to your own policy</t>
        </is>
      </c>
    </row>
    <row r="21">
      <c r="A21" s="29" t="inlineStr">
        <is>
          <t>Service hours per day to cover</t>
        </is>
      </c>
      <c r="B21" s="47" t="n">
        <v>10.5</v>
      </c>
      <c r="C21" s="29" t="n"/>
      <c r="D21" s="29" t="n"/>
      <c r="E21" s="29" t="n"/>
      <c r="F21" s="29" t="n"/>
      <c r="G21" s="29" t="n"/>
      <c r="H21" s="29" t="n"/>
      <c r="I21" s="29" t="n"/>
      <c r="J21" s="29" t="inlineStr">
        <is>
          <t>Hours the restaurant is open to the public each day, 7 days a week, on average, adding the preparation for each service. Any slow stretch between services is not counted</t>
        </is>
      </c>
    </row>
    <row r="22">
      <c r="A22" s="29" t="inlineStr">
        <is>
          <t>People needed at the same time in each shift</t>
        </is>
      </c>
      <c r="B22" s="47" t="n">
        <v>2.75</v>
      </c>
      <c r="C22" s="29" t="n"/>
      <c r="D22" s="29" t="n"/>
      <c r="E22" s="29" t="n"/>
      <c r="F22" s="29" t="n"/>
      <c r="G22" s="29" t="n"/>
      <c r="H22" s="29" t="n"/>
      <c r="I22" s="29" t="n"/>
      <c r="J22" s="29" t="inlineStr">
        <is>
          <t>Average number of people on at once between the rotisseries, the fryers, the counter and the packing station. On a Sunday more are needed: the weekend help and the extra counter staff come in (the annual schedule does not see this: put it on the shift schedule)</t>
        </is>
      </c>
    </row>
    <row r="23">
      <c r="A23" s="29" t="inlineStr">
        <is>
          <t>Production hours per day BEFORE opening</t>
        </is>
      </c>
      <c r="B23" s="47" t="n">
        <v>3</v>
      </c>
      <c r="C23" s="29" t="n"/>
      <c r="D23" s="29" t="n"/>
      <c r="E23" s="29" t="n"/>
      <c r="F23" s="29" t="n"/>
      <c r="G23" s="29" t="n"/>
      <c r="H23" s="29" t="n"/>
      <c r="I23" s="29" t="n"/>
      <c r="J23" s="29" t="inlineStr">
        <is>
          <t>Hours of production before opening each day: spitting the marinated birds and loading the first batch, lighting the rotisseries, and prepping the sides, sauces and fry station</t>
        </is>
      </c>
    </row>
    <row r="24">
      <c r="A24" s="29" t="inlineStr">
        <is>
          <t>People on the production shift</t>
        </is>
      </c>
      <c r="B24" s="47" t="n">
        <v>1.5</v>
      </c>
      <c r="C24" s="29" t="n"/>
      <c r="D24" s="29" t="n"/>
      <c r="E24" s="29" t="n"/>
      <c r="F24" s="29" t="n"/>
      <c r="G24" s="29" t="n"/>
      <c r="H24" s="29" t="n"/>
      <c r="I24" s="29" t="n"/>
      <c r="J24" s="29" t="inlineStr">
        <is>
          <t>The owner with the rotisserie cook. Closing, cleaning the rotisseries and the hood, and purchasing are outside this schedule: they are the margin between the hours hired and the hours needed</t>
        </is>
      </c>
    </row>
    <row r="25">
      <c r="A25" s="29" t="inlineStr">
        <is>
          <t>Service hours to cover per year</t>
        </is>
      </c>
      <c r="B25" s="41">
        <f>IFERROR(IF(OR(B21="",B22="",'0. Assumptions'!$B$6=""),"",B21*B22*'0. Assumptions'!$B$6+B23*B24*'0. Assumptions'!$B$6),"")</f>
        <v>12015.0</v>
      </c>
      <c r="C25" s="29" t="n"/>
      <c r="D25" s="29" t="n"/>
      <c r="E25" s="29" t="n"/>
      <c r="F25" s="29" t="n"/>
      <c r="G25" s="29" t="n"/>
      <c r="H25" s="29" t="n"/>
      <c r="I25" s="29" t="n"/>
      <c r="J25" s="29" t="n"/>
    </row>
    <row r="26">
      <c r="A26" s="29" t="inlineStr">
        <is>
          <t>Hours hired per year</t>
        </is>
      </c>
      <c r="B26" s="41">
        <f>IFERROR(IF(I12="","",I12),"")</f>
        <v>12144.0</v>
      </c>
      <c r="C26" s="29" t="n"/>
      <c r="D26" s="29" t="n"/>
      <c r="E26" s="29" t="n"/>
      <c r="F26" s="29" t="n"/>
      <c r="G26" s="29" t="n"/>
      <c r="H26" s="29" t="n"/>
      <c r="I26" s="29" t="n"/>
      <c r="J26" s="29" t="n"/>
    </row>
    <row r="27">
      <c r="A27" s="26" t="inlineStr">
        <is>
          <t>Coverage (hired / needed)</t>
        </is>
      </c>
      <c r="B27" s="67">
        <f>IFERROR(B26/B25,"")</f>
        <v>1.010736579275905</v>
      </c>
      <c r="C27" s="29" t="n"/>
      <c r="D27" s="29" t="n"/>
      <c r="E27" s="29" t="n"/>
      <c r="F27" s="29" t="n"/>
      <c r="G27" s="29" t="n"/>
      <c r="H27" s="29" t="n"/>
      <c r="I27" s="29" t="n"/>
      <c r="J27" s="26" t="inlineStr">
        <is>
          <t>Below 100% the staff cannot cover the hours the plan declares: either hire more or cut the hours</t>
        </is>
      </c>
    </row>
    <row r="28">
      <c r="A28" s="29" t="n"/>
      <c r="B28" s="29" t="n"/>
      <c r="C28" s="29" t="n"/>
      <c r="D28" s="29" t="n"/>
      <c r="E28" s="29" t="n"/>
      <c r="F28" s="29" t="n"/>
      <c r="G28" s="29" t="n"/>
      <c r="H28" s="29" t="n"/>
      <c r="I28" s="29" t="n"/>
      <c r="J28" s="29" t="n"/>
    </row>
    <row r="29" ht="269.25" customHeight="1">
      <c r="A29" s="48" t="inlineStr">
        <is>
          <t>The gross pay, employer payroll taxes, monthly cost and annual cost columns are TOTALS for the row: for a position with several people they include all of them. "FTE" is the share of a full-time week and is used to compare pay with the legal floor pro rata. The payroll tax rate and the number of pay periods are in the "0. Assumptions" tab. Tips are not modeled: this is counter service, every position is budgeted at a base wage of at least $15/h, and counter tips (tip jar or screen) belong to the staff, never to the owner or managers. Federal rules allow a $2.13/h cash wage with a tip credit of up to $5.12 where the state permits it; CA, OR, WA, AK, MN, MT and NV do not (DOL)</t>
        </is>
      </c>
      <c r="B29" s="29" t="n"/>
      <c r="C29" s="29" t="n"/>
      <c r="D29" s="29" t="n"/>
      <c r="E29" s="29" t="n"/>
      <c r="F29" s="29" t="n"/>
      <c r="G29" s="29" t="n"/>
      <c r="H29" s="29" t="n"/>
      <c r="I29" s="29" t="n"/>
      <c r="J29" s="29" t="n"/>
    </row>
    <row r="30" ht="150" customHeight="1">
      <c r="A30" s="48" t="inlineStr">
        <is>
          <t>The pay floor is the HIGHER of the federal minimum wage and your state / local minimum wage, both in the "0. Assumptions" tab; part-time positions get it in proportion. There is no single national table above the federal floor: the state / local cell is delivered empty so you can enter the rate for your state and city.</t>
        </is>
      </c>
      <c r="B30" s="29" t="n"/>
      <c r="C30" s="29" t="n"/>
      <c r="D30" s="29" t="n"/>
      <c r="E30" s="29" t="n"/>
      <c r="F30" s="29" t="n"/>
      <c r="G30" s="29" t="n"/>
      <c r="H30" s="29" t="n"/>
      <c r="I30" s="29" t="n"/>
      <c r="J30" s="29" t="n"/>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7">
    <cfRule type="expression" priority="1" dxfId="1" stopIfTrue="1">
      <formula>AND(ISNUMBER(B27),B27&lt;0.9)</formula>
    </cfRule>
    <cfRule type="expression" priority="2" dxfId="2" stopIfTrue="1">
      <formula>AND(ISNUMBER(B27),B27&gt;=0.9)</formula>
    </cfRule>
    <cfRule type="expression" priority="3" dxfId="0" stopIfTrue="1">
      <formula>AND(ISNUMBER(B27),B27&gt;=1)</formula>
    </cfRule>
  </conditionalFormatting>
  <conditionalFormatting sqref="D5:D11">
    <cfRule type="expression" priority="4" dxfId="1" stopIfTrue="1">
      <formula>AND(ISNUMBER(D5),IFERROR(D5/B5,0)*'0. Assumptions'!$B$21&lt;MAX('0. Assumptions'!$B$22,'0. Assumptions'!$B$68)*C5)</formula>
    </cfRule>
  </conditionalFormatting>
  <dataValidations count="3">
    <dataValidation sqref="B5 B6 B7 B8 B9 B10 B11 B14 B15 B19 B20 B21 B23 D5 D6 D7 D8 D9 D10 D11" showDropDown="0" showInputMessage="0" showErrorMessage="1" allowBlank="1" errorTitle="Invalid amount" error="Enter a number greater than or equal to 0." type="decimal" operator="greaterThanOrEqual">
      <formula1>0</formula1>
    </dataValidation>
    <dataValidation sqref="B22 B24" showDropDown="0" showInputMessage="0" showErrorMessage="1" allowBlank="1" errorTitle="Invalid value" error="Enter a number greater than or equal to 0; this cell accepts decimals (1.7 people is an average presence, not a person and a half)." type="decimal" operator="greaterThanOrEqual">
      <formula1>0</formula1>
    </dataValidation>
    <dataValidation sqref="C5 C6 C7 C8 C9 C10 C11"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4"/>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6" t="inlineStr">
        <is>
          <t>HOW TO USE THIS WORKBOOK — Rotisserie Chicken Restaurant Financial Projections</t>
        </is>
      </c>
      <c r="B1" s="29" t="n"/>
      <c r="C1" s="29" t="n"/>
      <c r="D1" s="29" t="n"/>
      <c r="E1" s="29" t="n"/>
    </row>
    <row r="2">
      <c r="A2" s="29" t="n"/>
      <c r="B2" s="29" t="n"/>
      <c r="C2" s="29" t="n"/>
      <c r="D2" s="29" t="n"/>
      <c r="E2" s="29" t="n"/>
    </row>
    <row r="3">
      <c r="A3" s="40" t="inlineStr">
        <is>
          <t>HOW TO USE THIS WORKBOOK</t>
        </is>
      </c>
      <c r="B3" s="29" t="n"/>
      <c r="C3" s="29" t="n"/>
      <c r="D3" s="29" t="n"/>
      <c r="E3" s="29" t="n"/>
    </row>
    <row r="4" ht="30" customHeight="1">
      <c r="A4" s="48" t="inlineStr">
        <is>
          <t>This financial plan is a MODEL: you type only in the GREEN cells and everything else recalculates on its own.</t>
        </is>
      </c>
      <c r="B4" s="29" t="n"/>
      <c r="C4" s="29" t="n"/>
      <c r="D4" s="29" t="n"/>
      <c r="E4" s="29" t="n"/>
    </row>
    <row r="5" ht="45" customHeight="1">
      <c r="A5" s="48" t="inlineStr">
        <is>
          <t>1. "0. Assumptions" is the control sheet: covers per day, average check excl. sales tax, operating days, food and beverage mix, cost of goods sold, rent, financing and taxes.</t>
        </is>
      </c>
      <c r="B5" s="29" t="n"/>
      <c r="C5" s="29" t="n"/>
      <c r="D5" s="29" t="n"/>
      <c r="E5" s="29" t="n"/>
    </row>
    <row r="6" ht="45" customHeight="1">
      <c r="A6" s="48" t="inlineStr">
        <is>
          <t>2. Startup cost items, fixed costs and staffing are typed in their own tab, also in green. No number is typed twice.</t>
        </is>
      </c>
      <c r="B6" s="29" t="n"/>
      <c r="C6" s="29" t="n"/>
      <c r="D6" s="29" t="n"/>
      <c r="E6" s="29" t="n"/>
    </row>
    <row r="7" ht="104.75" customHeight="1">
      <c r="A7" s="48" t="inlineStr">
        <is>
          <t>3. Only "Break-Even" is derived entirely from the rest. The other three tabs also have green cells you can edit: the pessimistic and optimistic scenarios in "Scenarios", seasonality and the launch ramp-up in "12-Month Cash Flow", and the other funding sources in "Financing" (rows 8-11 count as sources but are not amortized: Your bank or SBA 7(a) loan goes in "Loan requested" on "0. Assumptions"). Everything else is calculated.</t>
        </is>
      </c>
      <c r="B7" s="29" t="n"/>
      <c r="C7" s="29" t="n"/>
      <c r="D7" s="29" t="n"/>
      <c r="E7" s="29" t="n"/>
    </row>
    <row r="8" ht="225" customHeight="1">
      <c r="A8" s="48" t="inlineStr">
        <is>
          <t>4. All figures are EXCL. SALES TAX. To turn a menu price into a price excl. sales tax, divide it by 1 plus your sales tax rate (a rate of 8% means dividing by 1.08). The example uses ONE rate for everything: dine-in, take-out, delivery and beverages; some states tax food to go or alcohol differently, so check yours. The P&amp;L is excl. sales tax; the "12-Month Cash Flow" tab shows what you actually collect, sales tax included, and the sales tax you remit as a quarterly filer.</t>
        </is>
      </c>
      <c r="B8" s="29" t="n"/>
      <c r="C8" s="29" t="n"/>
      <c r="D8" s="29" t="n"/>
      <c r="E8" s="29" t="n"/>
    </row>
    <row r="9" ht="30" customHeight="1">
      <c r="A9" s="48" t="inlineStr">
        <is>
          <t>5. If you change the staffing, the P&amp;L reads it on its own: labor cost comes from the "Staffing" tab, not from a separate estimate.</t>
        </is>
      </c>
      <c r="B9" s="29" t="n"/>
      <c r="C9" s="29" t="n"/>
      <c r="D9" s="29" t="n"/>
      <c r="E9" s="29" t="n"/>
    </row>
    <row r="10" ht="105" customHeight="1">
      <c r="A10" s="48" t="inlineStr">
        <is>
          <t>6. The "12-Month Cash Flow" tab answers the question that decides a bank deal: in which month the cash runs out. Its Month 1 is JANUARY, in calendar order: the ramp-up falls on January and February, the slowest months, and that is why working capital counts. May, July and December are the peaks. If you open in another month, rotate the seasonality row. The minimum balance of the year can never show in red.</t>
        </is>
      </c>
      <c r="B10" s="29" t="n"/>
      <c r="C10" s="29" t="n"/>
      <c r="D10" s="29" t="n"/>
      <c r="E10" s="29" t="n"/>
    </row>
    <row r="11" ht="45" customHeight="1">
      <c r="A11" s="48" t="inlineStr">
        <is>
          <t>7. The "Financing" tab matches what you need with what you put in and builds the amortization schedule of the loan. If the difference is red, the plan is not funded.</t>
        </is>
      </c>
      <c r="B11" s="29" t="n"/>
      <c r="C11" s="29" t="n"/>
      <c r="D11" s="29" t="n"/>
      <c r="E11" s="29" t="n"/>
    </row>
    <row r="12" ht="165" customHeight="1">
      <c r="A12" s="48" t="inlineStr">
        <is>
          <t>8. The Word business plan in this pack quotes the figures in this Excel: if you change a green cell, the Excel rules. The Rotisserie Chicken Yield &amp; Costing Calculator is separate and is used to measure the cooked yield of a bird, how many birds fit on your rotisseries before the Sunday peak, and to COST each bird and each plate: do not copy the food cost of one bird into the "0. Assumptions" tab. The "Cost of goods sold on FOOD sales" cell is the weighted average of the WHOLE menu (quarter, half, whole, family meals, sandwiches and bowls, and sides, each by what it sells) plus waste, and that is why it differs from the food cost of the whole bird. With the costing of your own menu, check that this average holds.</t>
        </is>
      </c>
      <c r="B12" s="29" t="n"/>
      <c r="C12" s="29" t="n"/>
      <c r="D12" s="29" t="n"/>
      <c r="E12" s="29" t="n"/>
    </row>
    <row r="13">
      <c r="A13" s="29" t="n"/>
      <c r="B13" s="29" t="n"/>
      <c r="C13" s="29" t="n"/>
      <c r="D13" s="29" t="n"/>
      <c r="E13" s="29" t="n"/>
    </row>
    <row r="14">
      <c r="A14" s="26" t="inlineStr">
        <is>
          <t>RATIOS AUDITED BY THIS WORKBOOK</t>
        </is>
      </c>
      <c r="B14" s="29" t="n"/>
      <c r="C14" s="29" t="n"/>
      <c r="D14" s="29" t="n"/>
      <c r="E14" s="29" t="n"/>
    </row>
    <row r="15" ht="30" customHeight="1">
      <c r="A15" s="48" t="inlineStr">
        <is>
          <t>Thresholds live in the "Threshold" column of the KEY RATIOS block of the P&amp;L: change them there and the traffic light changes with them.</t>
        </is>
      </c>
      <c r="B15" s="29" t="n"/>
      <c r="C15" s="29" t="n"/>
      <c r="D15" s="29" t="n"/>
      <c r="E15" s="29" t="n"/>
    </row>
    <row r="16">
      <c r="A16" s="29" t="n"/>
      <c r="B16" s="29" t="n"/>
      <c r="C16" s="29" t="n"/>
      <c r="D16" s="29" t="n"/>
      <c r="E16" s="29" t="n"/>
    </row>
    <row r="17">
      <c r="A17" s="26" t="inlineStr">
        <is>
          <t>Ratio</t>
        </is>
      </c>
      <c r="B17" s="26" t="inlineStr">
        <is>
          <t>Year 1 value</t>
        </is>
      </c>
      <c r="C17" s="26" t="inlineStr">
        <is>
          <t>Threshold</t>
        </is>
      </c>
      <c r="D17" s="26" t="inlineStr">
        <is>
          <t>Status</t>
        </is>
      </c>
      <c r="E17" s="29" t="n"/>
    </row>
    <row r="18">
      <c r="A18" s="29" t="inlineStr">
        <is>
          <t>Cost of goods sold / Sales</t>
        </is>
      </c>
      <c r="B18" s="68">
        <f>IFERROR(IF('3-Year P&amp;L'!$B$52="","",'3-Year P&amp;L'!$B$52),"")</f>
        <v>0.2802</v>
      </c>
      <c r="C18" s="68">
        <f>IFERROR(IF('3-Year P&amp;L'!$E$52="","",'3-Year P&amp;L'!$E$52),"")</f>
        <v>0.3</v>
      </c>
      <c r="D18" s="29" t="str">
        <f>IFERROR(IF(OR(B18="",C18=""),"",IF(B18&lt;=C18,"OK","REVIEW")),"")</f>
        <v>OK</v>
      </c>
      <c r="E18" s="29" t="n"/>
    </row>
    <row r="19">
      <c r="A19" s="29" t="inlineStr">
        <is>
          <t>Labor cost / Sales</t>
        </is>
      </c>
      <c r="B19" s="68">
        <f>IFERROR(IF('3-Year P&amp;L'!$B$53="","",'3-Year P&amp;L'!$B$53),"")</f>
        <v>0.33090256410256413</v>
      </c>
      <c r="C19" s="68">
        <f>IFERROR(IF('3-Year P&amp;L'!$E$53="","",'3-Year P&amp;L'!$E$53),"")</f>
        <v>0.36</v>
      </c>
      <c r="D19" s="29" t="str">
        <f>IFERROR(IF(OR(B19="",C19=""),"",IF(B19&lt;=C19,"OK","REVIEW")),"")</f>
        <v>OK</v>
      </c>
      <c r="E19" s="29" t="n"/>
    </row>
    <row r="20">
      <c r="A20" s="29" t="inlineStr">
        <is>
          <t>Rent / Sales</t>
        </is>
      </c>
      <c r="B20" s="68">
        <f>IFERROR(IF('3-Year P&amp;L'!$B$54="","",'3-Year P&amp;L'!$B$54),"")</f>
        <v>0.054695970695970694</v>
      </c>
      <c r="C20" s="68">
        <f>IFERROR(IF('3-Year P&amp;L'!$E$54="","",'3-Year P&amp;L'!$E$54),"")</f>
        <v>0.1</v>
      </c>
      <c r="D20" s="29" t="str">
        <f>IFERROR(IF(OR(B20="",C20=""),"",IF(B20&lt;=C20,"OK","REVIEW")),"")</f>
        <v>OK</v>
      </c>
      <c r="E20" s="29" t="n"/>
    </row>
    <row r="21">
      <c r="A21" s="29" t="inlineStr">
        <is>
          <t>Net income / Sales</t>
        </is>
      </c>
      <c r="B21" s="68">
        <f>IFERROR(IF('3-Year P&amp;L'!$B$55="","",'3-Year P&amp;L'!$B$55),"")</f>
        <v>0.07075215855573</v>
      </c>
      <c r="C21" s="68">
        <f>IFERROR(IF('3-Year P&amp;L'!$E$55="","",'3-Year P&amp;L'!$E$55),"")</f>
        <v>0.05</v>
      </c>
      <c r="D21" s="29" t="str">
        <f>IFERROR(IF(OR(B21="",C21=""),"",IF(B21&gt;=C21,"OK","REVIEW")),"")</f>
        <v>OK</v>
      </c>
      <c r="E21" s="29" t="n"/>
    </row>
    <row r="22">
      <c r="A22" s="29" t="inlineStr">
        <is>
          <t>Gross margin / Sales</t>
        </is>
      </c>
      <c r="B22" s="68">
        <f>IFERROR(IF('3-Year P&amp;L'!$B$50="","",'3-Year P&amp;L'!$B$50),"")</f>
        <v>0.6023000000000001</v>
      </c>
      <c r="C22" s="68">
        <f>IFERROR(IF('3-Year P&amp;L'!$E$50="","",'3-Year P&amp;L'!$E$50),"")</f>
        <v>0.6</v>
      </c>
      <c r="D22" s="29" t="str">
        <f>IFERROR(IF(OR(B22="",C22=""),"",IF(B22&gt;=C22,"OK","REVIEW")),"")</f>
        <v>OK</v>
      </c>
      <c r="E22" s="29" t="n"/>
    </row>
    <row r="23">
      <c r="A23" s="29" t="n"/>
      <c r="B23" s="29" t="n"/>
      <c r="C23" s="29" t="n"/>
      <c r="D23" s="29" t="n"/>
      <c r="E23" s="29" t="n"/>
    </row>
    <row r="24">
      <c r="A24" s="26" t="inlineStr">
        <is>
          <t>THIS PLAN'S KEY FIGURES</t>
        </is>
      </c>
      <c r="B24" s="29" t="n"/>
      <c r="C24" s="29" t="n"/>
      <c r="D24" s="29" t="n"/>
      <c r="E24" s="29" t="n"/>
    </row>
    <row r="25">
      <c r="A25" s="29" t="inlineStr">
        <is>
          <t>Total startup costs (sum of the blocks)</t>
        </is>
      </c>
      <c r="B25" s="41">
        <f>IFERROR(IF('Startup Costs'!$B$30="","",'Startup Costs'!$B$30),"")</f>
        <v>335708.3</v>
      </c>
      <c r="C25" s="29" t="n"/>
      <c r="D25" s="29" t="n"/>
      <c r="E25" s="29" t="n"/>
    </row>
    <row r="26">
      <c r="A26" s="29" t="inlineStr">
        <is>
          <t>Total cash needed at launch</t>
        </is>
      </c>
      <c r="B26" s="41">
        <f>IFERROR(IF('Startup Costs'!$B$33="","",'Startup Costs'!$B$33),"")</f>
        <v>335708.3</v>
      </c>
      <c r="C26" s="29" t="n"/>
      <c r="D26" s="29" t="n"/>
      <c r="E26" s="29" t="n"/>
    </row>
    <row r="27">
      <c r="A27" s="29" t="inlineStr">
        <is>
          <t>Working capital funded</t>
        </is>
      </c>
      <c r="B27" s="41">
        <f>IFERROR(IF('Startup Costs'!$B$29="","",'Startup Costs'!$B$29),"")</f>
        <v>97876.3</v>
      </c>
      <c r="C27" s="29" t="n"/>
      <c r="D27" s="29" t="n"/>
      <c r="E27" s="29" t="n"/>
    </row>
    <row r="28">
      <c r="A28" s="29" t="inlineStr">
        <is>
          <t>Forecast year-1 revenue</t>
        </is>
      </c>
      <c r="B28" s="41">
        <f>IFERROR(IF('3-Year P&amp;L'!$B$9="","",'3-Year P&amp;L'!$B$9),"")</f>
        <v>819000.0</v>
      </c>
      <c r="C28" s="29" t="n"/>
      <c r="D28" s="29" t="n"/>
      <c r="E28" s="29" t="n"/>
    </row>
    <row r="29">
      <c r="A29" s="29" t="inlineStr">
        <is>
          <t>Year-1 net income</t>
        </is>
      </c>
      <c r="B29" s="41">
        <f>IFERROR(IF('3-Year P&amp;L'!$B$47="","",'3-Year P&amp;L'!$B$47),"")</f>
        <v>57946.01785714287</v>
      </c>
      <c r="C29" s="29" t="n"/>
      <c r="D29" s="29" t="n"/>
      <c r="E29" s="29" t="n"/>
    </row>
    <row r="30">
      <c r="A30" s="29" t="inlineStr">
        <is>
          <t>Covers per day for the ACCOUNTING break-even (depreciation included)</t>
        </is>
      </c>
      <c r="B30" s="45">
        <f>IFERROR(IF('Break-Even'!$B$15="","",'Break-Even'!$B$15),"")</f>
        <v>109.63853979247352</v>
      </c>
      <c r="C30" s="29" t="n"/>
      <c r="D30" s="29" t="n"/>
      <c r="E30" s="29" t="n"/>
    </row>
    <row r="31">
      <c r="A31" s="29" t="inlineStr">
        <is>
          <t>Project payback (years), before debt</t>
        </is>
      </c>
      <c r="B31" s="29">
        <f>IFERROR(IF('12-Month Cash Flow'!$B$31="","",'12-Month Cash Flow'!$B$31),"")</f>
        <v>2.8</v>
      </c>
      <c r="C31" s="29" t="n"/>
      <c r="D31" s="29" t="n"/>
      <c r="E31" s="29" t="n"/>
    </row>
    <row r="32">
      <c r="A32" s="29" t="n"/>
      <c r="B32" s="29" t="n"/>
      <c r="C32" s="29" t="n"/>
      <c r="D32" s="29" t="n"/>
      <c r="E32" s="29" t="n"/>
    </row>
    <row r="33">
      <c r="A33" s="26" t="inlineStr">
        <is>
          <t>US ROTISSERIE CHICKEN BENCHMARKS (sourced) AND KIT ESTIMATES</t>
        </is>
      </c>
      <c r="B33" s="29" t="n"/>
      <c r="C33" s="29" t="n"/>
      <c r="D33" s="29" t="n"/>
      <c r="E33" s="29" t="n"/>
    </row>
    <row r="34">
      <c r="A34" s="26" t="inlineStr">
        <is>
          <t>Benchmark</t>
        </is>
      </c>
      <c r="B34" s="26" t="inlineStr">
        <is>
          <t>Value</t>
        </is>
      </c>
      <c r="C34" s="26" t="inlineStr">
        <is>
          <t>Source</t>
        </is>
      </c>
      <c r="D34" s="26" t="inlineStr">
        <is>
          <t>Note</t>
        </is>
      </c>
      <c r="E34" s="29" t="n"/>
    </row>
    <row r="35" ht="60" customHeight="1">
      <c r="A35" s="29" t="inlineStr">
        <is>
          <t>Month 1 of the plan</t>
        </is>
      </c>
      <c r="B35" s="29" t="inlineStr">
        <is>
          <t>January</t>
        </is>
      </c>
      <c r="C35" s="29" t="inlineStr">
        <is>
          <t>Plan decision</t>
        </is>
      </c>
      <c r="D35" s="48" t="inlineStr">
        <is>
          <t>In calendar order: the ramp-up falls on the slowest months (January and February) and working capital covers it; May, July and December are the peaks. If you open in another month, rotate the seasonality row of the "12-Month Cash Flow" tab</t>
        </is>
      </c>
      <c r="E35" s="29" t="n"/>
    </row>
    <row r="36" ht="45" customHeight="1">
      <c r="A36" s="29" t="inlineStr">
        <is>
          <t>Consumer demand (US searches)</t>
        </is>
      </c>
      <c r="B36" s="29" t="inlineStr">
        <is>
          <t>"pollo a la brasa" and "peruvian chicken" about 40,500 a month each; "peruvian chicken restaurant" 2,900</t>
        </is>
      </c>
      <c r="C36" s="29" t="inlineStr">
        <is>
          <t>DataForSEO, US, Oct 2026</t>
        </is>
      </c>
      <c r="D36" s="48" t="inlineStr">
        <is>
          <t>Demand from diners, not from buyers of this plan</t>
        </is>
      </c>
      <c r="E36" s="29" t="n"/>
    </row>
    <row r="37" ht="45" customHeight="1">
      <c r="A37" s="29" t="inlineStr">
        <is>
          <t>Family meal (whole chicken + 2 large sides)</t>
        </is>
      </c>
      <c r="B37" s="29" t="inlineStr">
        <is>
          <t>$31-34 in mid-size cities (quarter + 2 sides $10-13; half + 2 sides $16-18)</t>
        </is>
      </c>
      <c r="C37" s="29" t="inlineStr">
        <is>
          <t>Kit estimate (menu scan, Oct 2026)</t>
        </is>
      </c>
      <c r="D37" s="48" t="inlineStr">
        <is>
          <t>This plan: quarter $13.00, half $17.50, family meal $34.00</t>
        </is>
      </c>
      <c r="E37" s="29" t="n"/>
    </row>
    <row r="38" ht="45" customHeight="1">
      <c r="A38" s="29" t="inlineStr">
        <is>
          <t>Cost of a marinated bird</t>
        </is>
      </c>
      <c r="B38" s="29" t="inlineStr">
        <is>
          <t>About $5.99 (3.0 lb (1.4 kg) at $1.75/lb + marinade + 5% holding shrink); a family meal runs about 30% of its price</t>
        </is>
      </c>
      <c r="C38" s="29" t="inlineStr">
        <is>
          <t>Kit estimate (Rotisserie Chicken Yield &amp; Costing Calculator)</t>
        </is>
      </c>
      <c r="D38" s="48" t="inlineStr">
        <is>
          <t>Enter your distributor's price: the USDA whole-chicken composite varies by region</t>
        </is>
      </c>
      <c r="E38" s="29" t="n"/>
    </row>
    <row r="39" ht="45" customHeight="1">
      <c r="A39" s="29" t="inlineStr">
        <is>
          <t>Cooked yield of a whole chicken</t>
        </is>
      </c>
      <c r="B39" s="29" t="inlineStr">
        <is>
          <t>About 70-75%</t>
        </is>
      </c>
      <c r="C39" s="29" t="inlineStr">
        <is>
          <t>Kit estimate (no manufacturer data)</t>
        </is>
      </c>
      <c r="D39" s="48" t="inlineStr">
        <is>
          <t>Measure your own with the calculator (raw weight, cooked weight)</t>
        </is>
      </c>
      <c r="E39" s="29" t="n"/>
    </row>
    <row r="40" ht="30" customHeight="1">
      <c r="A40" s="29" t="inlineStr">
        <is>
          <t>Commercial gas rotisserie, 8 spits</t>
        </is>
      </c>
      <c r="B40" s="29" t="inlineStr">
        <is>
          <t>$6,011 retail (48 birds per load); 5 spits $4,530</t>
        </is>
      </c>
      <c r="C40" s="29" t="inlineStr">
        <is>
          <t>webstaurantstore.com (Pegasus CR-8G, CR-5G), read Oct 2026</t>
        </is>
      </c>
      <c r="D40" s="48" t="inlineStr">
        <is>
          <t>The example counts two; a listed charcoal rotisserie runs $27,500-$35,950 (J&amp;R) and is a solid-fuel variant (NFPA 96)</t>
        </is>
      </c>
      <c r="E40" s="29" t="n"/>
    </row>
    <row r="41" ht="45" customHeight="1">
      <c r="A41" s="29" t="inlineStr">
        <is>
          <t>Delivery marketplace commission</t>
        </is>
      </c>
      <c r="B41" s="29" t="inlineStr">
        <is>
          <t>DoorDash 15 / 25 / 30% + 6% pickup; Uber Eats 15-30%</t>
        </is>
      </c>
      <c r="C41" s="29" t="inlineStr">
        <is>
          <t>merchants.ubereats.com; DoorDash tiers (Oct 2026)</t>
        </is>
      </c>
      <c r="D41" s="48" t="inlineStr">
        <is>
          <t>This plan: 25% on the 15% of sales that go through marketplaces. Direct pickup and pre-orders pay no commission; check your contract</t>
        </is>
      </c>
      <c r="E41" s="29" t="n"/>
    </row>
    <row r="42" ht="60" customHeight="1">
      <c r="A42" s="29" t="inlineStr">
        <is>
          <t>Sales tax</t>
        </is>
      </c>
      <c r="B42" s="29" t="inlineStr">
        <is>
          <t>8% (example: state + local)</t>
        </is>
      </c>
      <c r="C42" s="29" t="inlineStr">
        <is>
          <t>Kit example: look up your state and city rate</t>
        </is>
      </c>
      <c r="D42" s="48" t="inlineStr">
        <is>
          <t>One rate in the workbook; some states tax food to go differently</t>
        </is>
      </c>
      <c r="E42" s="29" t="n"/>
    </row>
    <row r="43" ht="90" customHeight="1">
      <c r="A43" s="29" t="inlineStr">
        <is>
          <t>Cook, hold, cool and reheat</t>
        </is>
      </c>
      <c r="B43" s="29" t="inlineStr">
        <is>
          <t>Poultry 165 °F (74 °C); hot holding ≥ 135 °F (57 °C); cool 135 → 70 °F (57 → 21 °C) in 2 h and → 41 °F (5 °C) within 6 h; reheat for holding to 165 °F (74 °C)</t>
        </is>
      </c>
      <c r="C43" s="29" t="inlineStr">
        <is>
          <t>FDA Food Code 2022 (3-401.11, 3-501.16, 3-501.14, 3-403.11)</t>
        </is>
      </c>
      <c r="D43" s="48" t="inlineStr">
        <is>
          <t>Each state adopts its own edition. Ask your health department in writing for its rules on cooking and holding chicken</t>
        </is>
      </c>
      <c r="E43" s="29" t="n"/>
    </row>
    <row r="44" ht="60" customHeight="1">
      <c r="A44" s="29" t="inlineStr">
        <is>
          <t>Time as a public health control (display)</t>
        </is>
      </c>
      <c r="B44" s="29" t="inlineStr">
        <is>
          <t>Up to 4 h with the time marked and a written procedure, then discard</t>
        </is>
      </c>
      <c r="C44" s="29" t="inlineStr">
        <is>
          <t>FDA Food Code 2022 (3-501.19)</t>
        </is>
      </c>
      <c r="D44" s="48" t="inlineStr">
        <is>
          <t>Every load goes out with its time. Under TPHC what is left at 4 hours is thrown away; only birds held at 135 °F (57 °C) or above can be cooled with a log for the next day</t>
        </is>
      </c>
      <c r="E44" s="29" t="n"/>
    </row>
    <row r="45" ht="30" customHeight="1">
      <c r="A45" s="29" t="inlineStr">
        <is>
          <t>Minimum wage</t>
        </is>
      </c>
      <c r="B45" s="29" t="inlineStr">
        <is>
          <t>Federal $7.25/h + your state</t>
        </is>
      </c>
      <c r="C45" s="29" t="inlineStr">
        <is>
          <t>U.S. Department of Labor (dol.gov)</t>
        </is>
      </c>
      <c r="D45" s="48" t="inlineStr">
        <is>
          <t>This plan budgets at least $15/h; enter your state's floor on "0. Assumptions"</t>
        </is>
      </c>
      <c r="E45" s="29" t="n"/>
    </row>
    <row r="46" ht="45" customHeight="1">
      <c r="A46" s="29" t="inlineStr">
        <is>
          <t>Labor cost / sales</t>
        </is>
      </c>
      <c r="B46" s="29" t="inlineStr">
        <is>
          <t>25-35% (a chicken chain: about 31%)</t>
        </is>
      </c>
      <c r="C46" s="29" t="inlineStr">
        <is>
          <t>UpMenu (upmenu.com); El Pollo Loco Q2-2025 (summary)</t>
        </is>
      </c>
      <c r="D46" s="48" t="inlineStr">
        <is>
          <t>Seven days a week pushes it up; counter service pulls it down</t>
        </is>
      </c>
      <c r="E46" s="29" t="n"/>
    </row>
    <row r="47">
      <c r="A47" s="29" t="n"/>
      <c r="B47" s="29" t="n"/>
      <c r="C47" s="29" t="n"/>
      <c r="D47" s="29" t="n"/>
      <c r="E47" s="29" t="n"/>
    </row>
    <row r="48">
      <c r="A48" s="75" t="inlineStr">
        <is>
          <t>To edit a cell that is not green: Review → Unprotect Sheet (there is no password).</t>
        </is>
      </c>
      <c r="B48" s="29" t="n"/>
      <c r="C48" s="29" t="n"/>
      <c r="D48" s="29" t="n"/>
      <c r="E48" s="29" t="n"/>
    </row>
    <row r="49">
      <c r="A49" s="75" t="inlineStr">
        <is>
          <t>More templates and kits in the catalog at aichef.pro/en/digital-products</t>
        </is>
      </c>
      <c r="B49" s="29" t="n"/>
      <c r="C49" s="29" t="n"/>
      <c r="D49" s="29" t="n"/>
      <c r="E49" s="29" t="n"/>
    </row>
    <row r="50">
      <c r="A50" s="75" t="inlineStr">
        <is>
          <t>Designed by John Guerrero — chef and restaurant consultant since 2010, in the kitchen since age 17 · johnguerrero.es</t>
        </is>
      </c>
      <c r="B50" s="29" t="n"/>
      <c r="C50" s="29" t="n"/>
      <c r="D50" s="29" t="n"/>
      <c r="E50" s="29" t="n"/>
    </row>
    <row r="51">
      <c r="A51" s="75" t="inlineStr">
        <is>
          <t>Version 2.2 · October 2026 · aichef.pro/en/digital-products/rotisserie-chicken-restaurant-business-plan · info@aichef.pro</t>
        </is>
      </c>
      <c r="B51" s="29" t="n"/>
      <c r="C51" s="29" t="n"/>
      <c r="D51" s="29" t="n"/>
      <c r="E51" s="29" t="n"/>
    </row>
    <row r="52" ht="45" customHeight="1">
      <c r="A52" s="77" t="inlineStr">
        <is>
          <t>Planning tool, not financial, tax or legal advice. Requirements vary by state, county and city — check with your accountant and local authorities.</t>
        </is>
      </c>
      <c r="B52" s="29" t="n"/>
      <c r="C52" s="29" t="n"/>
      <c r="D52" s="29" t="n"/>
      <c r="E52" s="29" t="n"/>
    </row>
    <row r="53">
      <c r="A53" s="29" t="n"/>
      <c r="B53" s="29" t="n"/>
      <c r="C53" s="29" t="n"/>
      <c r="D53" s="29" t="n"/>
      <c r="E53" s="29" t="n"/>
    </row>
    <row r="54">
      <c r="A54" s="29" t="n"/>
      <c r="B54" s="29" t="n"/>
      <c r="C54" s="29" t="n"/>
      <c r="D54" s="29" t="n"/>
      <c r="E54" s="29" t="n"/>
    </row>
    <row r="55">
      <c r="A55" s="29" t="n"/>
      <c r="B55" s="29" t="n"/>
      <c r="C55" s="29" t="n"/>
      <c r="D55" s="29" t="n"/>
      <c r="E55" s="29" t="n"/>
    </row>
    <row r="56">
      <c r="A56" s="29" t="n"/>
      <c r="B56" s="29" t="n"/>
      <c r="C56" s="29" t="n"/>
      <c r="D56" s="29" t="n"/>
      <c r="E56" s="29" t="n"/>
    </row>
    <row r="57">
      <c r="A57" s="29" t="n"/>
      <c r="B57" s="29" t="n"/>
      <c r="C57" s="29" t="n"/>
      <c r="D57" s="29" t="n"/>
      <c r="E57" s="29" t="n"/>
    </row>
    <row r="58">
      <c r="A58" s="29" t="n"/>
      <c r="B58" s="29" t="n"/>
      <c r="C58" s="29" t="n"/>
      <c r="D58" s="29" t="n"/>
      <c r="E58" s="29" t="n"/>
    </row>
    <row r="59">
      <c r="A59" s="29" t="n"/>
      <c r="B59" s="29" t="n"/>
      <c r="C59" s="29" t="n"/>
      <c r="D59" s="29" t="n"/>
      <c r="E59" s="29" t="n"/>
    </row>
    <row r="60">
      <c r="A60" s="29" t="n"/>
      <c r="B60" s="29" t="n"/>
      <c r="C60" s="29" t="n"/>
      <c r="D60" s="29" t="n"/>
      <c r="E60" s="29" t="n"/>
    </row>
    <row r="61">
      <c r="A61" s="29" t="n"/>
      <c r="B61" s="29" t="n"/>
      <c r="C61" s="29" t="n"/>
      <c r="D61" s="29" t="n"/>
      <c r="E61" s="29" t="n"/>
    </row>
    <row r="62">
      <c r="A62" s="29" t="n"/>
      <c r="B62" s="29" t="n"/>
      <c r="C62" s="29" t="n"/>
      <c r="D62" s="29" t="n"/>
      <c r="E62" s="29" t="n"/>
    </row>
    <row r="63">
      <c r="A63" s="29" t="n"/>
      <c r="B63" s="29" t="n"/>
      <c r="C63" s="29" t="n"/>
      <c r="D63" s="29" t="n"/>
      <c r="E63" s="29" t="n"/>
    </row>
    <row r="64">
      <c r="A64" s="29" t="n"/>
      <c r="B64" s="29" t="n"/>
      <c r="C64" s="29" t="n"/>
      <c r="D64" s="29" t="n"/>
      <c r="E64" s="29" t="n"/>
    </row>
    <row r="65">
      <c r="A65" s="29" t="n"/>
      <c r="B65" s="29" t="n"/>
      <c r="C65" s="29" t="n"/>
      <c r="D65" s="29" t="n"/>
      <c r="E65" s="29" t="n"/>
    </row>
    <row r="66">
      <c r="A66" s="29" t="n"/>
      <c r="B66" s="29" t="n"/>
      <c r="C66" s="29" t="n"/>
      <c r="D66" s="29" t="n"/>
      <c r="E66" s="29" t="n"/>
    </row>
    <row r="67">
      <c r="A67" s="29" t="n"/>
      <c r="B67" s="29" t="n"/>
      <c r="C67" s="29" t="n"/>
      <c r="D67" s="29" t="n"/>
      <c r="E67" s="29" t="n"/>
    </row>
    <row r="68">
      <c r="A68" s="29" t="n"/>
      <c r="B68" s="29" t="n"/>
      <c r="C68" s="29" t="n"/>
      <c r="D68" s="29" t="n"/>
      <c r="E68" s="29" t="n"/>
    </row>
    <row r="69">
      <c r="A69" s="29" t="n"/>
      <c r="B69" s="29" t="n"/>
      <c r="C69" s="29" t="n"/>
      <c r="D69" s="29" t="n"/>
      <c r="E69" s="29" t="n"/>
    </row>
    <row r="70">
      <c r="A70" s="29" t="n"/>
      <c r="B70" s="29" t="n"/>
      <c r="C70" s="29" t="n"/>
      <c r="D70" s="29" t="n"/>
      <c r="E70" s="29" t="n"/>
    </row>
    <row r="71">
      <c r="A71" s="29" t="n"/>
      <c r="B71" s="29" t="n"/>
      <c r="C71" s="29" t="n"/>
      <c r="D71" s="29" t="n"/>
      <c r="E71" s="29" t="n"/>
    </row>
    <row r="72">
      <c r="A72" s="29" t="n"/>
      <c r="B72" s="29" t="n"/>
      <c r="C72" s="29" t="n"/>
      <c r="D72" s="29" t="n"/>
      <c r="E72" s="29" t="n"/>
    </row>
    <row r="73">
      <c r="A73" s="29" t="n"/>
      <c r="B73" s="29" t="n"/>
      <c r="C73" s="29" t="n"/>
      <c r="D73" s="29" t="n"/>
      <c r="E73" s="29" t="n"/>
    </row>
    <row r="74">
      <c r="A74" s="29" t="n"/>
      <c r="B74" s="29" t="n"/>
      <c r="C74" s="29" t="n"/>
      <c r="D74" s="29" t="n"/>
      <c r="E74" s="29" t="n"/>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OK">
      <formula>NOT(ISERROR(SEARCH("OK",D18)))</formula>
    </cfRule>
    <cfRule type="containsText" priority="2" operator="containsText" dxfId="1" stopIfTrue="1" text="REVIEW">
      <formula>NOT(ISERROR(SEARCH("REVIEW",D18)))</formula>
    </cfRule>
  </conditionalFormatting>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6" t="inlineStr">
        <is>
          <t>CASH FLOW FORECAST — YEAR 1</t>
        </is>
      </c>
      <c r="B1" s="29" t="n"/>
      <c r="C1" s="29" t="n"/>
      <c r="D1" s="29" t="n"/>
      <c r="E1" s="29" t="n"/>
      <c r="F1" s="29" t="n"/>
      <c r="G1" s="29" t="n"/>
      <c r="H1" s="29" t="n"/>
      <c r="I1" s="29" t="n"/>
      <c r="J1" s="29" t="n"/>
      <c r="K1" s="29" t="n"/>
      <c r="L1" s="29" t="n"/>
      <c r="M1" s="29" t="n"/>
      <c r="N1" s="29" t="n"/>
      <c r="O1" s="29" t="n"/>
    </row>
    <row r="2" ht="59.75" customHeight="1">
      <c r="A2" s="48" t="inlineStr">
        <is>
          <t>The P&amp;L tells you whether the business makes money; this tab tells you whether you have cash left to get to the end of the month. It is the first one a lender looks at.</t>
        </is>
      </c>
      <c r="B2" s="29" t="n"/>
      <c r="C2" s="29" t="n"/>
      <c r="D2" s="29" t="n"/>
      <c r="E2" s="29" t="n"/>
      <c r="F2" s="29" t="n"/>
      <c r="G2" s="29" t="n"/>
      <c r="H2" s="29" t="n"/>
      <c r="I2" s="29" t="n"/>
      <c r="J2" s="29" t="n"/>
      <c r="K2" s="29" t="n"/>
      <c r="L2" s="29" t="n"/>
      <c r="M2" s="29" t="n"/>
      <c r="N2" s="29" t="n"/>
      <c r="O2" s="29" t="n"/>
    </row>
    <row r="3">
      <c r="A3" s="29" t="n"/>
      <c r="B3" s="29" t="n"/>
      <c r="C3" s="29" t="n"/>
      <c r="D3" s="29" t="n"/>
      <c r="E3" s="29" t="n"/>
      <c r="F3" s="29" t="n"/>
      <c r="G3" s="29" t="n"/>
      <c r="H3" s="29" t="n"/>
      <c r="I3" s="29" t="n"/>
      <c r="J3" s="29" t="n"/>
      <c r="K3" s="29" t="n"/>
      <c r="L3" s="29" t="n"/>
      <c r="M3" s="29" t="n"/>
      <c r="N3" s="29" t="n"/>
      <c r="O3" s="29" t="n"/>
    </row>
    <row r="4">
      <c r="A4" s="26" t="inlineStr">
        <is>
          <t>Item</t>
        </is>
      </c>
      <c r="B4" s="26" t="inlineStr">
        <is>
          <t>Month 1</t>
        </is>
      </c>
      <c r="C4" s="26" t="inlineStr">
        <is>
          <t>Month 2</t>
        </is>
      </c>
      <c r="D4" s="26" t="inlineStr">
        <is>
          <t>Month 3</t>
        </is>
      </c>
      <c r="E4" s="26" t="inlineStr">
        <is>
          <t>Month 4</t>
        </is>
      </c>
      <c r="F4" s="26" t="inlineStr">
        <is>
          <t>Month 5</t>
        </is>
      </c>
      <c r="G4" s="26" t="inlineStr">
        <is>
          <t>Month 6</t>
        </is>
      </c>
      <c r="H4" s="26" t="inlineStr">
        <is>
          <t>Month 7</t>
        </is>
      </c>
      <c r="I4" s="26" t="inlineStr">
        <is>
          <t>Month 8</t>
        </is>
      </c>
      <c r="J4" s="26" t="inlineStr">
        <is>
          <t>Month 9</t>
        </is>
      </c>
      <c r="K4" s="26" t="inlineStr">
        <is>
          <t>Month 10</t>
        </is>
      </c>
      <c r="L4" s="26" t="inlineStr">
        <is>
          <t>Month 11</t>
        </is>
      </c>
      <c r="M4" s="26" t="inlineStr">
        <is>
          <t>Month 12</t>
        </is>
      </c>
      <c r="N4" s="26" t="inlineStr">
        <is>
          <t>Year</t>
        </is>
      </c>
      <c r="O4" s="29" t="n"/>
    </row>
    <row r="5">
      <c r="A5" s="29" t="inlineStr">
        <is>
          <t>Monthly seasonality (adds up to 100%)</t>
        </is>
      </c>
      <c r="B5" s="74" t="n">
        <v>0.078</v>
      </c>
      <c r="C5" s="74" t="n">
        <v>0.078</v>
      </c>
      <c r="D5" s="74" t="n">
        <v>0.08400000000000001</v>
      </c>
      <c r="E5" s="74" t="n">
        <v>0.082</v>
      </c>
      <c r="F5" s="74" t="n">
        <v>0.08799999999999999</v>
      </c>
      <c r="G5" s="74" t="n">
        <v>0.082</v>
      </c>
      <c r="H5" s="74" t="n">
        <v>0.08599999999999999</v>
      </c>
      <c r="I5" s="74" t="n">
        <v>0.08400000000000001</v>
      </c>
      <c r="J5" s="74" t="n">
        <v>0.082</v>
      </c>
      <c r="K5" s="74" t="n">
        <v>0.08400000000000001</v>
      </c>
      <c r="L5" s="74" t="n">
        <v>0.082</v>
      </c>
      <c r="M5" s="74" t="n">
        <v>0.09</v>
      </c>
      <c r="N5" s="68">
        <f>IFERROR(IF('3-Year P&amp;L'!$B$9="","",SUM(B5:M5)),"")</f>
        <v>1.0</v>
      </c>
      <c r="O5" s="29" t="inlineStr">
        <is>
          <t>Month 1 = JANUARY, in calendar order: rotisserie chicken is an everyday meal, so the curve is flat. January and February are the slowest months; May (Mother's Day), July (Pollo a la Brasa Day in the Peruvian community and July 4 take-out) and December (holiday family meals and pre-orders) are the peaks. Kit weights for a mid-size US city: replace them with your area's pattern; if you open in another month, rotate the row. It must add up to 100%</t>
        </is>
      </c>
    </row>
    <row r="6">
      <c r="A6" s="29" t="inlineStr">
        <is>
          <t>Launch ramp-up (% of steady-state activity)</t>
        </is>
      </c>
      <c r="B6" s="68">
        <f>IFERROR(IF('3-Year P&amp;L'!$B$9="","",MIN(1,'0. Assumptions'!$B$52+(1-'0. Assumptions'!$B$52)*0/MAX(1,'0. Assumptions'!$B$53-1))),"")</f>
        <v>0.75</v>
      </c>
      <c r="C6" s="68">
        <f>IFERROR(IF('3-Year P&amp;L'!$B$9="","",MIN(1,'0. Assumptions'!$B$52+(1-'0. Assumptions'!$B$52)*1/MAX(1,'0. Assumptions'!$B$53-1))),"")</f>
        <v>0.8333333333333334</v>
      </c>
      <c r="D6" s="68">
        <f>IFERROR(IF('3-Year P&amp;L'!$B$9="","",MIN(1,'0. Assumptions'!$B$52+(1-'0. Assumptions'!$B$52)*2/MAX(1,'0. Assumptions'!$B$53-1))),"")</f>
        <v>0.9166666666666666</v>
      </c>
      <c r="E6" s="68">
        <f>IFERROR(IF('3-Year P&amp;L'!$B$9="","",MIN(1,'0. Assumptions'!$B$52+(1-'0. Assumptions'!$B$52)*3/MAX(1,'0. Assumptions'!$B$53-1))),"")</f>
        <v>1.0</v>
      </c>
      <c r="F6" s="68">
        <f>IFERROR(IF('3-Year P&amp;L'!$B$9="","",MIN(1,'0. Assumptions'!$B$52+(1-'0. Assumptions'!$B$52)*4/MAX(1,'0. Assumptions'!$B$53-1))),"")</f>
        <v>1.0</v>
      </c>
      <c r="G6" s="68">
        <f>IFERROR(IF('3-Year P&amp;L'!$B$9="","",MIN(1,'0. Assumptions'!$B$52+(1-'0. Assumptions'!$B$52)*5/MAX(1,'0. Assumptions'!$B$53-1))),"")</f>
        <v>1.0</v>
      </c>
      <c r="H6" s="68">
        <f>IFERROR(IF('3-Year P&amp;L'!$B$9="","",MIN(1,'0. Assumptions'!$B$52+(1-'0. Assumptions'!$B$52)*6/MAX(1,'0. Assumptions'!$B$53-1))),"")</f>
        <v>1.0</v>
      </c>
      <c r="I6" s="68">
        <f>IFERROR(IF('3-Year P&amp;L'!$B$9="","",MIN(1,'0. Assumptions'!$B$52+(1-'0. Assumptions'!$B$52)*7/MAX(1,'0. Assumptions'!$B$53-1))),"")</f>
        <v>1.0</v>
      </c>
      <c r="J6" s="68">
        <f>IFERROR(IF('3-Year P&amp;L'!$B$9="","",MIN(1,'0. Assumptions'!$B$52+(1-'0. Assumptions'!$B$52)*8/MAX(1,'0. Assumptions'!$B$53-1))),"")</f>
        <v>1.0</v>
      </c>
      <c r="K6" s="68">
        <f>IFERROR(IF('3-Year P&amp;L'!$B$9="","",MIN(1,'0. Assumptions'!$B$52+(1-'0. Assumptions'!$B$52)*9/MAX(1,'0. Assumptions'!$B$53-1))),"")</f>
        <v>1.0</v>
      </c>
      <c r="L6" s="68">
        <f>IFERROR(IF('3-Year P&amp;L'!$B$9="","",MIN(1,'0. Assumptions'!$B$52+(1-'0. Assumptions'!$B$52)*10/MAX(1,'0. Assumptions'!$B$53-1))),"")</f>
        <v>1.0</v>
      </c>
      <c r="M6" s="68">
        <f>IFERROR(IF('3-Year P&amp;L'!$B$9="","",MIN(1,'0. Assumptions'!$B$52+(1-'0. Assumptions'!$B$52)*11/MAX(1,'0. Assumptions'!$B$53-1))),"")</f>
        <v>1.0</v>
      </c>
      <c r="N6" s="29" t="n"/>
      <c r="O6" s="29" t="inlineStr">
        <is>
          <t>Rises in a straight line from the month-1 percentage to 100% over the number of months you set in Assumptions. With month 1 at 100%, the ramp disappears</t>
        </is>
      </c>
    </row>
    <row r="7">
      <c r="A7" s="29" t="inlineStr">
        <is>
          <t>Split of activity by month (calculated)</t>
        </is>
      </c>
      <c r="B7" s="68">
        <f>IFERROR(IF('3-Year P&amp;L'!$B$9="","",B5*B6/SUMPRODUCT($B$5:$M$5,$B$6:$M$6)),"")</f>
        <v>0.060905778240499746</v>
      </c>
      <c r="C7" s="68">
        <f>IFERROR(IF('3-Year P&amp;L'!$B$9="","",C5*C6/SUMPRODUCT($B$5:$M$5,$B$6:$M$6)),"")</f>
        <v>0.06767308693388861</v>
      </c>
      <c r="D7" s="68">
        <f>IFERROR(IF('3-Year P&amp;L'!$B$9="","",D5*D6/SUMPRODUCT($B$5:$M$5,$B$6:$M$6)),"")</f>
        <v>0.08016657990629882</v>
      </c>
      <c r="E7" s="68">
        <f>IFERROR(IF('3-Year P&amp;L'!$B$9="","",E5*E6/SUMPRODUCT($B$5:$M$5,$B$6:$M$6)),"")</f>
        <v>0.08537220197813641</v>
      </c>
      <c r="F7" s="68">
        <f>IFERROR(IF('3-Year P&amp;L'!$B$9="","",F5*F6/SUMPRODUCT($B$5:$M$5,$B$6:$M$6)),"")</f>
        <v>0.0916189484643415</v>
      </c>
      <c r="G7" s="68">
        <f>IFERROR(IF('3-Year P&amp;L'!$B$9="","",G5*G6/SUMPRODUCT($B$5:$M$5,$B$6:$M$6)),"")</f>
        <v>0.08537220197813641</v>
      </c>
      <c r="H7" s="68">
        <f>IFERROR(IF('3-Year P&amp;L'!$B$9="","",H5*H6/SUMPRODUCT($B$5:$M$5,$B$6:$M$6)),"")</f>
        <v>0.08953669963560647</v>
      </c>
      <c r="I7" s="68">
        <f>IFERROR(IF('3-Year P&amp;L'!$B$9="","",I5*I6/SUMPRODUCT($B$5:$M$5,$B$6:$M$6)),"")</f>
        <v>0.08745445080687145</v>
      </c>
      <c r="J7" s="68">
        <f>IFERROR(IF('3-Year P&amp;L'!$B$9="","",J5*J6/SUMPRODUCT($B$5:$M$5,$B$6:$M$6)),"")</f>
        <v>0.08537220197813641</v>
      </c>
      <c r="K7" s="68">
        <f>IFERROR(IF('3-Year P&amp;L'!$B$9="","",K5*K6/SUMPRODUCT($B$5:$M$5,$B$6:$M$6)),"")</f>
        <v>0.08745445080687145</v>
      </c>
      <c r="L7" s="68">
        <f>IFERROR(IF('3-Year P&amp;L'!$B$9="","",L5*L6/SUMPRODUCT($B$5:$M$5,$B$6:$M$6)),"")</f>
        <v>0.08537220197813641</v>
      </c>
      <c r="M7" s="68">
        <f>IFERROR(IF('3-Year P&amp;L'!$B$9="","",M5*M6/SUMPRODUCT($B$5:$M$5,$B$6:$M$6)),"")</f>
        <v>0.09370119729307654</v>
      </c>
      <c r="N7" s="68">
        <f>IFERROR(IF('3-Year P&amp;L'!$B$9="","",SUM(B7:M7)),"")</f>
        <v>1.0000000000000002</v>
      </c>
      <c r="O7" s="29" t="inlineStr">
        <is>
          <t>Seasonality × ramp-up, normalized to 100%: the YEAR brings in what the P&amp;L says, but split the way a business that has just opened would split it</t>
        </is>
      </c>
    </row>
    <row r="8">
      <c r="A8" s="26" t="inlineStr">
        <is>
          <t>CASH IN</t>
        </is>
      </c>
      <c r="B8" s="29" t="n"/>
      <c r="C8" s="29" t="n"/>
      <c r="D8" s="29" t="n"/>
      <c r="E8" s="29" t="n"/>
      <c r="F8" s="29" t="n"/>
      <c r="G8" s="29" t="n"/>
      <c r="H8" s="29" t="n"/>
      <c r="I8" s="29" t="n"/>
      <c r="J8" s="29" t="n"/>
      <c r="K8" s="29" t="n"/>
      <c r="L8" s="29" t="n"/>
      <c r="M8" s="29" t="n"/>
      <c r="N8" s="29" t="n"/>
      <c r="O8" s="29" t="n"/>
    </row>
    <row r="9">
      <c r="A9" s="29" t="inlineStr">
        <is>
          <t>Sales collected (incl. sales tax collected)</t>
        </is>
      </c>
      <c r="B9" s="41">
        <f>IFERROR(IF('3-Year P&amp;L'!$B$9="","",('3-Year P&amp;L'!$B$9+'3-Year P&amp;L'!$B$9*SUMPRODUCT('3-Year P&amp;L'!$E$10:$E$11,'3-Year P&amp;L'!$G$10:$G$11))*B7*(1-MIN(30,'0. Assumptions'!$B$58)/30)),"")</f>
        <v>50280.88703800105</v>
      </c>
      <c r="C9" s="41">
        <f>IFERROR(IF('3-Year P&amp;L'!$B$9="","",('3-Year P&amp;L'!$B$9+'3-Year P&amp;L'!$B$9*SUMPRODUCT('3-Year P&amp;L'!$E$10:$E$11,'3-Year P&amp;L'!$G$10:$G$11))*(C7*(1-MIN(30,'0. Assumptions'!$B$58)/30)+B7*MIN(30,'0. Assumptions'!$B$58)/30)),"")</f>
        <v>59459.1441957314</v>
      </c>
      <c r="D9" s="41">
        <f>IFERROR(IF('3-Year P&amp;L'!$B$9="","",('3-Year P&amp;L'!$B$9+'3-Year P&amp;L'!$B$9*SUMPRODUCT('3-Year P&amp;L'!$E$10:$E$11,'3-Year P&amp;L'!$G$10:$G$11))*(D7*(1-MIN(30,'0. Assumptions'!$B$58)/30)+C7*MIN(30,'0. Assumptions'!$B$58)/30)),"")</f>
        <v>70172.22696512235</v>
      </c>
      <c r="E9" s="41">
        <f>IFERROR(IF('3-Year P&amp;L'!$B$9="","",('3-Year P&amp;L'!$B$9+'3-Year P&amp;L'!$B$9*SUMPRODUCT('3-Year P&amp;L'!$E$10:$E$11,'3-Year P&amp;L'!$G$10:$G$11))*(E7*(1-MIN(30,'0. Assumptions'!$B$58)/30)+D7*MIN(30,'0. Assumptions'!$B$58)/30)),"")</f>
        <v>75206.45497136911</v>
      </c>
      <c r="F9" s="41">
        <f>IFERROR(IF('3-Year P&amp;L'!$B$9="","",('3-Year P&amp;L'!$B$9+'3-Year P&amp;L'!$B$9*SUMPRODUCT('3-Year P&amp;L'!$E$10:$E$11,'3-Year P&amp;L'!$G$10:$G$11))*(F7*(1-MIN(30,'0. Assumptions'!$B$58)/30)+E7*MIN(30,'0. Assumptions'!$B$58)/30)),"")</f>
        <v>80670.4341488808</v>
      </c>
      <c r="G9" s="41">
        <f>IFERROR(IF('3-Year P&amp;L'!$B$9="","",('3-Year P&amp;L'!$B$9+'3-Year P&amp;L'!$B$9*SUMPRODUCT('3-Year P&amp;L'!$E$10:$E$11,'3-Year P&amp;L'!$G$10:$G$11))*(G7*(1-MIN(30,'0. Assumptions'!$B$58)/30)+F7*MIN(30,'0. Assumptions'!$B$58)/30)),"")</f>
        <v>75881.77824049976</v>
      </c>
      <c r="H9" s="41">
        <f>IFERROR(IF('3-Year P&amp;L'!$B$9="","",('3-Year P&amp;L'!$B$9+'3-Year P&amp;L'!$B$9*SUMPRODUCT('3-Year P&amp;L'!$E$10:$E$11,'3-Year P&amp;L'!$G$10:$G$11))*(H7*(1-MIN(30,'0. Assumptions'!$B$58)/30)+G7*MIN(30,'0. Assumptions'!$B$58)/30)),"")</f>
        <v>78951.42946382094</v>
      </c>
      <c r="I9" s="41">
        <f>IFERROR(IF('3-Year P&amp;L'!$B$9="","",('3-Year P&amp;L'!$B$9+'3-Year P&amp;L'!$B$9*SUMPRODUCT('3-Year P&amp;L'!$E$10:$E$11,'3-Year P&amp;L'!$G$10:$G$11))*(I7*(1-MIN(30,'0. Assumptions'!$B$58)/30)+H7*MIN(30,'0. Assumptions'!$B$58)/30)),"")</f>
        <v>77477.99687662678</v>
      </c>
      <c r="J9" s="41">
        <f>IFERROR(IF('3-Year P&amp;L'!$B$9="","",('3-Year P&amp;L'!$B$9+'3-Year P&amp;L'!$B$9*SUMPRODUCT('3-Year P&amp;L'!$E$10:$E$11,'3-Year P&amp;L'!$G$10:$G$11))*(J7*(1-MIN(30,'0. Assumptions'!$B$58)/30)+I7*MIN(30,'0. Assumptions'!$B$58)/30)),"")</f>
        <v>75636.20614263407</v>
      </c>
      <c r="K9" s="41">
        <f>IFERROR(IF('3-Year P&amp;L'!$B$9="","",('3-Year P&amp;L'!$B$9+'3-Year P&amp;L'!$B$9*SUMPRODUCT('3-Year P&amp;L'!$E$10:$E$11,'3-Year P&amp;L'!$G$10:$G$11))*(K7*(1-MIN(30,'0. Assumptions'!$B$58)/30)+J7*MIN(30,'0. Assumptions'!$B$58)/30)),"")</f>
        <v>77232.42477876108</v>
      </c>
      <c r="L9" s="41">
        <f>IFERROR(IF('3-Year P&amp;L'!$B$9="","",('3-Year P&amp;L'!$B$9+'3-Year P&amp;L'!$B$9*SUMPRODUCT('3-Year P&amp;L'!$E$10:$E$11,'3-Year P&amp;L'!$G$10:$G$11))*(L7*(1-MIN(30,'0. Assumptions'!$B$58)/30)+K7*MIN(30,'0. Assumptions'!$B$58)/30)),"")</f>
        <v>75636.20614263407</v>
      </c>
      <c r="M9" s="41">
        <f>IFERROR(IF('3-Year P&amp;L'!$B$9="","",('3-Year P&amp;L'!$B$9+'3-Year P&amp;L'!$B$9*SUMPRODUCT('3-Year P&amp;L'!$E$10:$E$11,'3-Year P&amp;L'!$G$10:$G$11))*(M7*(1-MIN(30,'0. Assumptions'!$B$58)/30)+L7*MIN(30,'0. Assumptions'!$B$58)/30)),"")</f>
        <v>82389.43883394067</v>
      </c>
      <c r="N9" s="41">
        <f>IFERROR(IF('3-Year P&amp;L'!$B$9="","",SUM(B9:M9)),"")</f>
        <v>878994.6277980221</v>
      </c>
      <c r="O9" s="29" t="inlineStr">
        <is>
          <t>The month's sales plus the sales tax collected, adjusted by the average collection days from the Assumptions tab</t>
        </is>
      </c>
    </row>
    <row r="10">
      <c r="A10" s="26" t="inlineStr">
        <is>
          <t>CASH OUT</t>
        </is>
      </c>
      <c r="B10" s="29" t="n"/>
      <c r="C10" s="29" t="n"/>
      <c r="D10" s="29" t="n"/>
      <c r="E10" s="29" t="n"/>
      <c r="F10" s="29" t="n"/>
      <c r="G10" s="29" t="n"/>
      <c r="H10" s="29" t="n"/>
      <c r="I10" s="29" t="n"/>
      <c r="J10" s="29" t="n"/>
      <c r="K10" s="29" t="n"/>
      <c r="L10" s="29" t="n"/>
      <c r="M10" s="29" t="n"/>
      <c r="N10" s="29" t="n"/>
      <c r="O10" s="29" t="n"/>
    </row>
    <row r="11">
      <c r="A11" s="29" t="inlineStr">
        <is>
          <t>Purchases and variable costs (incl. sales tax)</t>
        </is>
      </c>
      <c r="B11" s="41">
        <f>IFERROR(IF('3-Year P&amp;L'!$B$9="","",-('3-Year P&amp;L'!$B$13*(1+'3-Year P&amp;L'!$G$13)+'3-Year P&amp;L'!$B$14*(1+'3-Year P&amp;L'!$G$14)+'3-Year P&amp;L'!$B$15*(1+'3-Year P&amp;L'!$G$15)+'3-Year P&amp;L'!$B$16*(1+'3-Year P&amp;L'!$G$16)+'3-Year P&amp;L'!$B$17*(1+'3-Year P&amp;L'!$G$17)+'3-Year P&amp;L'!$B$18*(1+'3-Year P&amp;L'!$G$18))*B7*(1-MIN(30,'0. Assumptions'!$B$59)/30)),"")</f>
        <v>-10580.269193128579</v>
      </c>
      <c r="C11" s="41">
        <f>IFERROR(IF('3-Year P&amp;L'!$B$9="","",-('3-Year P&amp;L'!$B$13*(1+'3-Year P&amp;L'!$G$13)+'3-Year P&amp;L'!$B$14*(1+'3-Year P&amp;L'!$G$14)+'3-Year P&amp;L'!$B$15*(1+'3-Year P&amp;L'!$G$15)+'3-Year P&amp;L'!$B$16*(1+'3-Year P&amp;L'!$G$16)+'3-Year P&amp;L'!$B$17*(1+'3-Year P&amp;L'!$G$17)+'3-Year P&amp;L'!$B$18*(1+'3-Year P&amp;L'!$G$18))*(C7*(1-MIN(30,'0. Assumptions'!$B$59)/30)+B7*MIN(30,'0. Assumptions'!$B$59)/30)),"")</f>
        <v>-21013.590203019263</v>
      </c>
      <c r="D11" s="41">
        <f>IFERROR(IF('3-Year P&amp;L'!$B$9="","",-('3-Year P&amp;L'!$B$13*(1+'3-Year P&amp;L'!$G$13)+'3-Year P&amp;L'!$B$14*(1+'3-Year P&amp;L'!$G$14)+'3-Year P&amp;L'!$B$15*(1+'3-Year P&amp;L'!$G$15)+'3-Year P&amp;L'!$B$16*(1+'3-Year P&amp;L'!$G$16)+'3-Year P&amp;L'!$B$17*(1+'3-Year P&amp;L'!$G$17)+'3-Year P&amp;L'!$B$18*(1+'3-Year P&amp;L'!$G$18))*(D7*(1-MIN(30,'0. Assumptions'!$B$59)/30)+C7*MIN(30,'0. Assumptions'!$B$59)/30)),"")</f>
        <v>-24212.539115044252</v>
      </c>
      <c r="E11" s="41">
        <f>IFERROR(IF('3-Year P&amp;L'!$B$9="","",-('3-Year P&amp;L'!$B$13*(1+'3-Year P&amp;L'!$G$13)+'3-Year P&amp;L'!$B$14*(1+'3-Year P&amp;L'!$G$14)+'3-Year P&amp;L'!$B$15*(1+'3-Year P&amp;L'!$G$15)+'3-Year P&amp;L'!$B$16*(1+'3-Year P&amp;L'!$G$16)+'3-Year P&amp;L'!$B$17*(1+'3-Year P&amp;L'!$G$17)+'3-Year P&amp;L'!$B$18*(1+'3-Year P&amp;L'!$G$18))*(E7*(1-MIN(30,'0. Assumptions'!$B$59)/30)+D7*MIN(30,'0. Assumptions'!$B$59)/30)),"")</f>
        <v>-27015.85830296721</v>
      </c>
      <c r="F11" s="41">
        <f>IFERROR(IF('3-Year P&amp;L'!$B$9="","",-('3-Year P&amp;L'!$B$13*(1+'3-Year P&amp;L'!$G$13)+'3-Year P&amp;L'!$B$14*(1+'3-Year P&amp;L'!$G$14)+'3-Year P&amp;L'!$B$15*(1+'3-Year P&amp;L'!$G$15)+'3-Year P&amp;L'!$B$16*(1+'3-Year P&amp;L'!$G$16)+'3-Year P&amp;L'!$B$17*(1+'3-Year P&amp;L'!$G$17)+'3-Year P&amp;L'!$B$18*(1+'3-Year P&amp;L'!$G$18))*(F7*(1-MIN(30,'0. Assumptions'!$B$59)/30)+E7*MIN(30,'0. Assumptions'!$B$59)/30)),"")</f>
        <v>-28892.273565851126</v>
      </c>
      <c r="G11" s="41">
        <f>IFERROR(IF('3-Year P&amp;L'!$B$9="","",-('3-Year P&amp;L'!$B$13*(1+'3-Year P&amp;L'!$G$13)+'3-Year P&amp;L'!$B$14*(1+'3-Year P&amp;L'!$G$14)+'3-Year P&amp;L'!$B$15*(1+'3-Year P&amp;L'!$G$15)+'3-Year P&amp;L'!$B$16*(1+'3-Year P&amp;L'!$G$16)+'3-Year P&amp;L'!$B$17*(1+'3-Year P&amp;L'!$G$17)+'3-Year P&amp;L'!$B$18*(1+'3-Year P&amp;L'!$G$18))*(G7*(1-MIN(30,'0. Assumptions'!$B$59)/30)+F7*MIN(30,'0. Assumptions'!$B$59)/30)),"")</f>
        <v>-28756.629089016144</v>
      </c>
      <c r="H11" s="41">
        <f>IFERROR(IF('3-Year P&amp;L'!$B$9="","",-('3-Year P&amp;L'!$B$13*(1+'3-Year P&amp;L'!$G$13)+'3-Year P&amp;L'!$B$14*(1+'3-Year P&amp;L'!$G$14)+'3-Year P&amp;L'!$B$15*(1+'3-Year P&amp;L'!$G$15)+'3-Year P&amp;L'!$B$16*(1+'3-Year P&amp;L'!$G$16)+'3-Year P&amp;L'!$B$17*(1+'3-Year P&amp;L'!$G$17)+'3-Year P&amp;L'!$B$18*(1+'3-Year P&amp;L'!$G$18))*(H7*(1-MIN(30,'0. Assumptions'!$B$59)/30)+G7*MIN(30,'0. Assumptions'!$B$59)/30)),"")</f>
        <v>-28530.55496095784</v>
      </c>
      <c r="I11" s="41">
        <f>IFERROR(IF('3-Year P&amp;L'!$B$9="","",-('3-Year P&amp;L'!$B$13*(1+'3-Year P&amp;L'!$G$13)+'3-Year P&amp;L'!$B$14*(1+'3-Year P&amp;L'!$G$14)+'3-Year P&amp;L'!$B$15*(1+'3-Year P&amp;L'!$G$15)+'3-Year P&amp;L'!$B$16*(1+'3-Year P&amp;L'!$G$16)+'3-Year P&amp;L'!$B$17*(1+'3-Year P&amp;L'!$G$17)+'3-Year P&amp;L'!$B$18*(1+'3-Year P&amp;L'!$G$18))*(I7*(1-MIN(30,'0. Assumptions'!$B$59)/30)+H7*MIN(30,'0. Assumptions'!$B$59)/30)),"")</f>
        <v>-28801.843914627807</v>
      </c>
      <c r="J11" s="41">
        <f>IFERROR(IF('3-Year P&amp;L'!$B$9="","",-('3-Year P&amp;L'!$B$13*(1+'3-Year P&amp;L'!$G$13)+'3-Year P&amp;L'!$B$14*(1+'3-Year P&amp;L'!$G$14)+'3-Year P&amp;L'!$B$15*(1+'3-Year P&amp;L'!$G$15)+'3-Year P&amp;L'!$B$16*(1+'3-Year P&amp;L'!$G$16)+'3-Year P&amp;L'!$B$17*(1+'3-Year P&amp;L'!$G$17)+'3-Year P&amp;L'!$B$18*(1+'3-Year P&amp;L'!$G$18))*(J7*(1-MIN(30,'0. Assumptions'!$B$59)/30)+I7*MIN(30,'0. Assumptions'!$B$59)/30)),"")</f>
        <v>-28123.621530452896</v>
      </c>
      <c r="K11" s="41">
        <f>IFERROR(IF('3-Year P&amp;L'!$B$9="","",-('3-Year P&amp;L'!$B$13*(1+'3-Year P&amp;L'!$G$13)+'3-Year P&amp;L'!$B$14*(1+'3-Year P&amp;L'!$G$14)+'3-Year P&amp;L'!$B$15*(1+'3-Year P&amp;L'!$G$15)+'3-Year P&amp;L'!$B$16*(1+'3-Year P&amp;L'!$G$16)+'3-Year P&amp;L'!$B$17*(1+'3-Year P&amp;L'!$G$17)+'3-Year P&amp;L'!$B$18*(1+'3-Year P&amp;L'!$G$18))*(K7*(1-MIN(30,'0. Assumptions'!$B$59)/30)+J7*MIN(30,'0. Assumptions'!$B$59)/30)),"")</f>
        <v>-28168.836356064556</v>
      </c>
      <c r="L11" s="41">
        <f>IFERROR(IF('3-Year P&amp;L'!$B$9="","",-('3-Year P&amp;L'!$B$13*(1+'3-Year P&amp;L'!$G$13)+'3-Year P&amp;L'!$B$14*(1+'3-Year P&amp;L'!$G$14)+'3-Year P&amp;L'!$B$15*(1+'3-Year P&amp;L'!$G$15)+'3-Year P&amp;L'!$B$16*(1+'3-Year P&amp;L'!$G$16)+'3-Year P&amp;L'!$B$17*(1+'3-Year P&amp;L'!$G$17)+'3-Year P&amp;L'!$B$18*(1+'3-Year P&amp;L'!$G$18))*(L7*(1-MIN(30,'0. Assumptions'!$B$59)/30)+K7*MIN(30,'0. Assumptions'!$B$59)/30)),"")</f>
        <v>-28123.621530452896</v>
      </c>
      <c r="M11" s="41">
        <f>IFERROR(IF('3-Year P&amp;L'!$B$9="","",-('3-Year P&amp;L'!$B$13*(1+'3-Year P&amp;L'!$G$13)+'3-Year P&amp;L'!$B$14*(1+'3-Year P&amp;L'!$G$14)+'3-Year P&amp;L'!$B$15*(1+'3-Year P&amp;L'!$G$15)+'3-Year P&amp;L'!$B$16*(1+'3-Year P&amp;L'!$G$16)+'3-Year P&amp;L'!$B$17*(1+'3-Year P&amp;L'!$G$17)+'3-Year P&amp;L'!$B$18*(1+'3-Year P&amp;L'!$G$18))*(M7*(1-MIN(30,'0. Assumptions'!$B$59)/30)+L7*MIN(30,'0. Assumptions'!$B$59)/30)),"")</f>
        <v>-29253.992170744412</v>
      </c>
      <c r="N11" s="41">
        <f>IFERROR(IF('3-Year P&amp;L'!$B$9="","",SUM(B11:M11)),"")</f>
        <v>-311473.62993232696</v>
      </c>
      <c r="O11" s="29" t="str">
        <f>IFERROR("Food and beverage purchases, consumables, fees and contingencies, each at ITS tax rate (column G of the P&amp;L; 0 in the US, where the sales tax you pay is part of the cost) and with the supplier payment days from ""0. Assumptions""."&amp;IF('0. Assumptions'!$B$59=0,""," With "&amp;TEXT('0. Assumptions'!$B$59,"0")&amp;" payment days, the last purchases of the year are paid next year: the ""Year"" column of this row holds "&amp;TEXT(MAX(0,12-ROUNDUP('0. Assumptions'!$B$59/30,0)),"0")&amp;" months of purchases, not the year's cost."),"")</f>
        <v>Food and beverage purchases, consumables, fees and contingencies, each at ITS tax rate (column G of the P&amp;L; 0 in the US, where the sales tax you pay is part of the cost) and with the supplier payment days from "0. Assumptions". With 14 payment days, the last purchases of the year are paid next year: the "Year" column of this row holds 11 months of purchases, not the year's cost.</v>
      </c>
    </row>
    <row r="12">
      <c r="A12" s="29" t="inlineStr">
        <is>
          <t>Operating fixed costs (incl. sales tax)</t>
        </is>
      </c>
      <c r="B12" s="41">
        <f>IFERROR(IF('3-Year P&amp;L'!$B$9="","",-('3-Year P&amp;L'!$B$37-'3-Year P&amp;L'!$B$23-'3-Year P&amp;L'!$B$35-'3-Year P&amp;L'!$B$36+'3-Year P&amp;L'!$B$39)/12),"")</f>
        <v>-8241.333333333332</v>
      </c>
      <c r="C12" s="41">
        <f>IFERROR(IF('3-Year P&amp;L'!$B$9="","",-('3-Year P&amp;L'!$B$37-'3-Year P&amp;L'!$B$23-'3-Year P&amp;L'!$B$35-'3-Year P&amp;L'!$B$36+'3-Year P&amp;L'!$B$39)/12),"")</f>
        <v>-8241.333333333332</v>
      </c>
      <c r="D12" s="41">
        <f>IFERROR(IF('3-Year P&amp;L'!$B$9="","",-('3-Year P&amp;L'!$B$37-'3-Year P&amp;L'!$B$23-'3-Year P&amp;L'!$B$35-'3-Year P&amp;L'!$B$36+'3-Year P&amp;L'!$B$39)/12),"")</f>
        <v>-8241.333333333332</v>
      </c>
      <c r="E12" s="41">
        <f>IFERROR(IF('3-Year P&amp;L'!$B$9="","",-('3-Year P&amp;L'!$B$37-'3-Year P&amp;L'!$B$23-'3-Year P&amp;L'!$B$35-'3-Year P&amp;L'!$B$36+'3-Year P&amp;L'!$B$39)/12),"")</f>
        <v>-8241.333333333332</v>
      </c>
      <c r="F12" s="41">
        <f>IFERROR(IF('3-Year P&amp;L'!$B$9="","",-('3-Year P&amp;L'!$B$37-'3-Year P&amp;L'!$B$23-'3-Year P&amp;L'!$B$35-'3-Year P&amp;L'!$B$36+'3-Year P&amp;L'!$B$39)/12),"")</f>
        <v>-8241.333333333332</v>
      </c>
      <c r="G12" s="41">
        <f>IFERROR(IF('3-Year P&amp;L'!$B$9="","",-('3-Year P&amp;L'!$B$37-'3-Year P&amp;L'!$B$23-'3-Year P&amp;L'!$B$35-'3-Year P&amp;L'!$B$36+'3-Year P&amp;L'!$B$39)/12),"")</f>
        <v>-8241.333333333332</v>
      </c>
      <c r="H12" s="41">
        <f>IFERROR(IF('3-Year P&amp;L'!$B$9="","",-('3-Year P&amp;L'!$B$37-'3-Year P&amp;L'!$B$23-'3-Year P&amp;L'!$B$35-'3-Year P&amp;L'!$B$36+'3-Year P&amp;L'!$B$39)/12),"")</f>
        <v>-8241.333333333332</v>
      </c>
      <c r="I12" s="41">
        <f>IFERROR(IF('3-Year P&amp;L'!$B$9="","",-('3-Year P&amp;L'!$B$37-'3-Year P&amp;L'!$B$23-'3-Year P&amp;L'!$B$35-'3-Year P&amp;L'!$B$36+'3-Year P&amp;L'!$B$39)/12),"")</f>
        <v>-8241.333333333332</v>
      </c>
      <c r="J12" s="41">
        <f>IFERROR(IF('3-Year P&amp;L'!$B$9="","",-('3-Year P&amp;L'!$B$37-'3-Year P&amp;L'!$B$23-'3-Year P&amp;L'!$B$35-'3-Year P&amp;L'!$B$36+'3-Year P&amp;L'!$B$39)/12),"")</f>
        <v>-8241.333333333332</v>
      </c>
      <c r="K12" s="41">
        <f>IFERROR(IF('3-Year P&amp;L'!$B$9="","",-('3-Year P&amp;L'!$B$37-'3-Year P&amp;L'!$B$23-'3-Year P&amp;L'!$B$35-'3-Year P&amp;L'!$B$36+'3-Year P&amp;L'!$B$39)/12),"")</f>
        <v>-8241.333333333332</v>
      </c>
      <c r="L12" s="41">
        <f>IFERROR(IF('3-Year P&amp;L'!$B$9="","",-('3-Year P&amp;L'!$B$37-'3-Year P&amp;L'!$B$23-'3-Year P&amp;L'!$B$35-'3-Year P&amp;L'!$B$36+'3-Year P&amp;L'!$B$39)/12),"")</f>
        <v>-8241.333333333332</v>
      </c>
      <c r="M12" s="41">
        <f>IFERROR(IF('3-Year P&amp;L'!$B$9="","",-('3-Year P&amp;L'!$B$37-'3-Year P&amp;L'!$B$23-'3-Year P&amp;L'!$B$35-'3-Year P&amp;L'!$B$36+'3-Year P&amp;L'!$B$39)/12),"")</f>
        <v>-8241.333333333332</v>
      </c>
      <c r="N12" s="41">
        <f>IFERROR(IF('3-Year P&amp;L'!$B$9="","",SUM(B12:M12)),"")</f>
        <v>-98895.99999999999</v>
      </c>
      <c r="O12" s="29" t="inlineStr">
        <is>
          <t>The fixed costs that leave cash, each with its own tax rate: insurance carries none</t>
        </is>
      </c>
    </row>
    <row r="13">
      <c r="A13" s="29" t="inlineStr">
        <is>
          <t>Payroll and employer payroll taxes</t>
        </is>
      </c>
      <c r="B13" s="41">
        <f>IFERROR(IF('3-Year P&amp;L'!$B$9="","",-'3-Year P&amp;L'!$B$23/MAX(12,'0. Assumptions'!$B$21)*(1+IF(1='0. Assumptions'!$B$60,(MAX(12,'0. Assumptions'!$B$21)-12)/2,0)+IF(1='0. Assumptions'!$B$61,(MAX(12,'0. Assumptions'!$B$21)-12)/2,0))),"")</f>
        <v>-22584.100000000002</v>
      </c>
      <c r="C13" s="41">
        <f>IFERROR(IF('3-Year P&amp;L'!$B$9="","",-'3-Year P&amp;L'!$B$23/MAX(12,'0. Assumptions'!$B$21)*(1+IF(2='0. Assumptions'!$B$60,(MAX(12,'0. Assumptions'!$B$21)-12)/2,0)+IF(2='0. Assumptions'!$B$61,(MAX(12,'0. Assumptions'!$B$21)-12)/2,0))),"")</f>
        <v>-22584.100000000002</v>
      </c>
      <c r="D13" s="41">
        <f>IFERROR(IF('3-Year P&amp;L'!$B$9="","",-'3-Year P&amp;L'!$B$23/MAX(12,'0. Assumptions'!$B$21)*(1+IF(3='0. Assumptions'!$B$60,(MAX(12,'0. Assumptions'!$B$21)-12)/2,0)+IF(3='0. Assumptions'!$B$61,(MAX(12,'0. Assumptions'!$B$21)-12)/2,0))),"")</f>
        <v>-22584.100000000002</v>
      </c>
      <c r="E13" s="41">
        <f>IFERROR(IF('3-Year P&amp;L'!$B$9="","",-'3-Year P&amp;L'!$B$23/MAX(12,'0. Assumptions'!$B$21)*(1+IF(4='0. Assumptions'!$B$60,(MAX(12,'0. Assumptions'!$B$21)-12)/2,0)+IF(4='0. Assumptions'!$B$61,(MAX(12,'0. Assumptions'!$B$21)-12)/2,0))),"")</f>
        <v>-22584.100000000002</v>
      </c>
      <c r="F13" s="41">
        <f>IFERROR(IF('3-Year P&amp;L'!$B$9="","",-'3-Year P&amp;L'!$B$23/MAX(12,'0. Assumptions'!$B$21)*(1+IF(5='0. Assumptions'!$B$60,(MAX(12,'0. Assumptions'!$B$21)-12)/2,0)+IF(5='0. Assumptions'!$B$61,(MAX(12,'0. Assumptions'!$B$21)-12)/2,0))),"")</f>
        <v>-22584.100000000002</v>
      </c>
      <c r="G13" s="41">
        <f>IFERROR(IF('3-Year P&amp;L'!$B$9="","",-'3-Year P&amp;L'!$B$23/MAX(12,'0. Assumptions'!$B$21)*(1+IF(6='0. Assumptions'!$B$60,(MAX(12,'0. Assumptions'!$B$21)-12)/2,0)+IF(6='0. Assumptions'!$B$61,(MAX(12,'0. Assumptions'!$B$21)-12)/2,0))),"")</f>
        <v>-22584.100000000002</v>
      </c>
      <c r="H13" s="41">
        <f>IFERROR(IF('3-Year P&amp;L'!$B$9="","",-'3-Year P&amp;L'!$B$23/MAX(12,'0. Assumptions'!$B$21)*(1+IF(7='0. Assumptions'!$B$60,(MAX(12,'0. Assumptions'!$B$21)-12)/2,0)+IF(7='0. Assumptions'!$B$61,(MAX(12,'0. Assumptions'!$B$21)-12)/2,0))),"")</f>
        <v>-22584.100000000002</v>
      </c>
      <c r="I13" s="41">
        <f>IFERROR(IF('3-Year P&amp;L'!$B$9="","",-'3-Year P&amp;L'!$B$23/MAX(12,'0. Assumptions'!$B$21)*(1+IF(8='0. Assumptions'!$B$60,(MAX(12,'0. Assumptions'!$B$21)-12)/2,0)+IF(8='0. Assumptions'!$B$61,(MAX(12,'0. Assumptions'!$B$21)-12)/2,0))),"")</f>
        <v>-22584.100000000002</v>
      </c>
      <c r="J13" s="41">
        <f>IFERROR(IF('3-Year P&amp;L'!$B$9="","",-'3-Year P&amp;L'!$B$23/MAX(12,'0. Assumptions'!$B$21)*(1+IF(9='0. Assumptions'!$B$60,(MAX(12,'0. Assumptions'!$B$21)-12)/2,0)+IF(9='0. Assumptions'!$B$61,(MAX(12,'0. Assumptions'!$B$21)-12)/2,0))),"")</f>
        <v>-22584.100000000002</v>
      </c>
      <c r="K13" s="41">
        <f>IFERROR(IF('3-Year P&amp;L'!$B$9="","",-'3-Year P&amp;L'!$B$23/MAX(12,'0. Assumptions'!$B$21)*(1+IF(10='0. Assumptions'!$B$60,(MAX(12,'0. Assumptions'!$B$21)-12)/2,0)+IF(10='0. Assumptions'!$B$61,(MAX(12,'0. Assumptions'!$B$21)-12)/2,0))),"")</f>
        <v>-22584.100000000002</v>
      </c>
      <c r="L13" s="41">
        <f>IFERROR(IF('3-Year P&amp;L'!$B$9="","",-'3-Year P&amp;L'!$B$23/MAX(12,'0. Assumptions'!$B$21)*(1+IF(11='0. Assumptions'!$B$60,(MAX(12,'0. Assumptions'!$B$21)-12)/2,0)+IF(11='0. Assumptions'!$B$61,(MAX(12,'0. Assumptions'!$B$21)-12)/2,0))),"")</f>
        <v>-22584.100000000002</v>
      </c>
      <c r="M13" s="41">
        <f>IFERROR(IF('3-Year P&amp;L'!$B$9="","",-'3-Year P&amp;L'!$B$23/MAX(12,'0. Assumptions'!$B$21)*(1+IF(12='0. Assumptions'!$B$60,(MAX(12,'0. Assumptions'!$B$21)-12)/2,0)+IF(12='0. Assumptions'!$B$61,(MAX(12,'0. Assumptions'!$B$21)-12)/2,0))),"")</f>
        <v>-22584.100000000002</v>
      </c>
      <c r="N13" s="41">
        <f>IFERROR(IF('3-Year P&amp;L'!$B$9="","",SUM(B13:M13)),"")</f>
        <v>-271009.2</v>
      </c>
      <c r="O13" s="29" t="inlineStr">
        <is>
          <t>Twelve monthly installments plus extra pay periods in the months you set in Assumptions (only if pay periods &gt; 12). The total for the year is the same as the P&amp;L's</t>
        </is>
      </c>
    </row>
    <row r="14">
      <c r="A14" s="29" t="inlineStr">
        <is>
          <t>Loan interest</t>
        </is>
      </c>
      <c r="B14" s="41">
        <f>IFERROR(IF('3-Year P&amp;L'!$B$9="","",-Financing!$B$44/12),"")</f>
        <v>-1800.0</v>
      </c>
      <c r="C14" s="41">
        <f>IFERROR(IF('3-Year P&amp;L'!$B$9="","",-Financing!$B$44/12),"")</f>
        <v>-1800.0</v>
      </c>
      <c r="D14" s="41">
        <f>IFERROR(IF('3-Year P&amp;L'!$B$9="","",-Financing!$B$44/12),"")</f>
        <v>-1800.0</v>
      </c>
      <c r="E14" s="41">
        <f>IFERROR(IF('3-Year P&amp;L'!$B$9="","",-Financing!$B$44/12),"")</f>
        <v>-1800.0</v>
      </c>
      <c r="F14" s="41">
        <f>IFERROR(IF('3-Year P&amp;L'!$B$9="","",-Financing!$B$44/12),"")</f>
        <v>-1800.0</v>
      </c>
      <c r="G14" s="41">
        <f>IFERROR(IF('3-Year P&amp;L'!$B$9="","",-Financing!$B$44/12),"")</f>
        <v>-1800.0</v>
      </c>
      <c r="H14" s="41">
        <f>IFERROR(IF('3-Year P&amp;L'!$B$9="","",-Financing!$B$44/12),"")</f>
        <v>-1800.0</v>
      </c>
      <c r="I14" s="41">
        <f>IFERROR(IF('3-Year P&amp;L'!$B$9="","",-Financing!$B$44/12),"")</f>
        <v>-1800.0</v>
      </c>
      <c r="J14" s="41">
        <f>IFERROR(IF('3-Year P&amp;L'!$B$9="","",-Financing!$B$44/12),"")</f>
        <v>-1800.0</v>
      </c>
      <c r="K14" s="41">
        <f>IFERROR(IF('3-Year P&amp;L'!$B$9="","",-Financing!$B$44/12),"")</f>
        <v>-1800.0</v>
      </c>
      <c r="L14" s="41">
        <f>IFERROR(IF('3-Year P&amp;L'!$B$9="","",-Financing!$B$44/12),"")</f>
        <v>-1800.0</v>
      </c>
      <c r="M14" s="41">
        <f>IFERROR(IF('3-Year P&amp;L'!$B$9="","",-Financing!$B$44/12),"")</f>
        <v>-1800.0</v>
      </c>
      <c r="N14" s="41">
        <f>IFERROR(IF('3-Year P&amp;L'!$B$9="","",SUM(B14:M14)),"")</f>
        <v>-21600.0</v>
      </c>
      <c r="O14" s="29" t="n"/>
    </row>
    <row r="15">
      <c r="A15" s="29" t="inlineStr">
        <is>
          <t>Loan principal repaid</t>
        </is>
      </c>
      <c r="B15" s="41">
        <f>IFERROR(IF('3-Year P&amp;L'!$B$9="","",-Financing!$B$45/12),"")</f>
        <v>-1129.4171078852075</v>
      </c>
      <c r="C15" s="41">
        <f>IFERROR(IF('3-Year P&amp;L'!$B$9="","",-Financing!$B$45/12),"")</f>
        <v>-1129.4171078852075</v>
      </c>
      <c r="D15" s="41">
        <f>IFERROR(IF('3-Year P&amp;L'!$B$9="","",-Financing!$B$45/12),"")</f>
        <v>-1129.4171078852075</v>
      </c>
      <c r="E15" s="41">
        <f>IFERROR(IF('3-Year P&amp;L'!$B$9="","",-Financing!$B$45/12),"")</f>
        <v>-1129.4171078852075</v>
      </c>
      <c r="F15" s="41">
        <f>IFERROR(IF('3-Year P&amp;L'!$B$9="","",-Financing!$B$45/12),"")</f>
        <v>-1129.4171078852075</v>
      </c>
      <c r="G15" s="41">
        <f>IFERROR(IF('3-Year P&amp;L'!$B$9="","",-Financing!$B$45/12),"")</f>
        <v>-1129.4171078852075</v>
      </c>
      <c r="H15" s="41">
        <f>IFERROR(IF('3-Year P&amp;L'!$B$9="","",-Financing!$B$45/12),"")</f>
        <v>-1129.4171078852075</v>
      </c>
      <c r="I15" s="41">
        <f>IFERROR(IF('3-Year P&amp;L'!$B$9="","",-Financing!$B$45/12),"")</f>
        <v>-1129.4171078852075</v>
      </c>
      <c r="J15" s="41">
        <f>IFERROR(IF('3-Year P&amp;L'!$B$9="","",-Financing!$B$45/12),"")</f>
        <v>-1129.4171078852075</v>
      </c>
      <c r="K15" s="41">
        <f>IFERROR(IF('3-Year P&amp;L'!$B$9="","",-Financing!$B$45/12),"")</f>
        <v>-1129.4171078852075</v>
      </c>
      <c r="L15" s="41">
        <f>IFERROR(IF('3-Year P&amp;L'!$B$9="","",-Financing!$B$45/12),"")</f>
        <v>-1129.4171078852075</v>
      </c>
      <c r="M15" s="41">
        <f>IFERROR(IF('3-Year P&amp;L'!$B$9="","",-Financing!$B$45/12),"")</f>
        <v>-1129.4171078852075</v>
      </c>
      <c r="N15" s="41">
        <f>IFERROR(IF('3-Year P&amp;L'!$B$9="","",SUM(B15:M15)),"")</f>
        <v>-13553.00529462249</v>
      </c>
      <c r="O15" s="29" t="n"/>
    </row>
    <row r="16">
      <c r="A16" s="29" t="inlineStr">
        <is>
          <t>Sales tax collected (memo)</t>
        </is>
      </c>
      <c r="B16" s="41">
        <f>IFERROR(IF('3-Year P&amp;L'!$B$9="","",'3-Year P&amp;L'!$B$9*B7*SUMPRODUCT('3-Year P&amp;L'!$E$10:$E$11,'3-Year P&amp;L'!$G$10:$G$11)),"")</f>
        <v>3990.5465903175436</v>
      </c>
      <c r="C16" s="41">
        <f>IFERROR(IF('3-Year P&amp;L'!$B$9="","",'3-Year P&amp;L'!$B$9*C7*SUMPRODUCT('3-Year P&amp;L'!$E$10:$E$11,'3-Year P&amp;L'!$G$10:$G$11)),"")</f>
        <v>4433.940655908382</v>
      </c>
      <c r="D16" s="41">
        <f>IFERROR(IF('3-Year P&amp;L'!$B$9="","",'3-Year P&amp;L'!$B$9*D7*SUMPRODUCT('3-Year P&amp;L'!$E$10:$E$11,'3-Year P&amp;L'!$G$10:$G$11)),"")</f>
        <v>5252.5143154606985</v>
      </c>
      <c r="E16" s="41">
        <f>IFERROR(IF('3-Year P&amp;L'!$B$9="","",'3-Year P&amp;L'!$B$9*E7*SUMPRODUCT('3-Year P&amp;L'!$E$10:$E$11,'3-Year P&amp;L'!$G$10:$G$11)),"")</f>
        <v>5593.586673607498</v>
      </c>
      <c r="F16" s="41">
        <f>IFERROR(IF('3-Year P&amp;L'!$B$9="","",'3-Year P&amp;L'!$B$9*F7*SUMPRODUCT('3-Year P&amp;L'!$E$10:$E$11,'3-Year P&amp;L'!$G$10:$G$11)),"")</f>
        <v>6002.873503383656</v>
      </c>
      <c r="G16" s="41">
        <f>IFERROR(IF('3-Year P&amp;L'!$B$9="","",'3-Year P&amp;L'!$B$9*G7*SUMPRODUCT('3-Year P&amp;L'!$E$10:$E$11,'3-Year P&amp;L'!$G$10:$G$11)),"")</f>
        <v>5593.586673607498</v>
      </c>
      <c r="H16" s="41">
        <f>IFERROR(IF('3-Year P&amp;L'!$B$9="","",'3-Year P&amp;L'!$B$9*H7*SUMPRODUCT('3-Year P&amp;L'!$E$10:$E$11,'3-Year P&amp;L'!$G$10:$G$11)),"")</f>
        <v>5866.444560124936</v>
      </c>
      <c r="I16" s="41">
        <f>IFERROR(IF('3-Year P&amp;L'!$B$9="","",'3-Year P&amp;L'!$B$9*I7*SUMPRODUCT('3-Year P&amp;L'!$E$10:$E$11,'3-Year P&amp;L'!$G$10:$G$11)),"")</f>
        <v>5730.015616866218</v>
      </c>
      <c r="J16" s="41">
        <f>IFERROR(IF('3-Year P&amp;L'!$B$9="","",'3-Year P&amp;L'!$B$9*J7*SUMPRODUCT('3-Year P&amp;L'!$E$10:$E$11,'3-Year P&amp;L'!$G$10:$G$11)),"")</f>
        <v>5593.586673607498</v>
      </c>
      <c r="K16" s="41">
        <f>IFERROR(IF('3-Year P&amp;L'!$B$9="","",'3-Year P&amp;L'!$B$9*K7*SUMPRODUCT('3-Year P&amp;L'!$E$10:$E$11,'3-Year P&amp;L'!$G$10:$G$11)),"")</f>
        <v>5730.015616866218</v>
      </c>
      <c r="L16" s="41">
        <f>IFERROR(IF('3-Year P&amp;L'!$B$9="","",'3-Year P&amp;L'!$B$9*L7*SUMPRODUCT('3-Year P&amp;L'!$E$10:$E$11,'3-Year P&amp;L'!$G$10:$G$11)),"")</f>
        <v>5593.586673607498</v>
      </c>
      <c r="M16" s="41">
        <f>IFERROR(IF('3-Year P&amp;L'!$B$9="","",'3-Year P&amp;L'!$B$9*M7*SUMPRODUCT('3-Year P&amp;L'!$E$10:$E$11,'3-Year P&amp;L'!$G$10:$G$11)),"")</f>
        <v>6139.302446642375</v>
      </c>
      <c r="N16" s="41">
        <f>IFERROR(IF('3-Year P&amp;L'!$B$9="","",SUM(B16:M16)),"")</f>
        <v>65520.00000000002</v>
      </c>
      <c r="O16" s="29" t="inlineStr">
        <is>
          <t>Each sales line at the one sales tax rate of the example, read from the sales tax column of the P&amp;L. The example uses one rate for everything, so alcohol to go carries the same rate as dine-in; the share of beverages taxed at the alcohol rate is set in column H of its line on the P&amp;L</t>
        </is>
      </c>
    </row>
    <row r="17">
      <c r="A17" s="29" t="inlineStr">
        <is>
          <t>Recoverable input tax (memo)</t>
        </is>
      </c>
      <c r="B17" s="41">
        <f>IFERROR(IF('3-Year P&amp;L'!$B$9="","",'3-Year P&amp;L'!$B$38*B7+'3-Year P&amp;L'!$B$39/12),"")</f>
        <v>0.0</v>
      </c>
      <c r="C17" s="41">
        <f>IFERROR(IF('3-Year P&amp;L'!$B$9="","",'3-Year P&amp;L'!$B$38*C7+'3-Year P&amp;L'!$B$39/12),"")</f>
        <v>0.0</v>
      </c>
      <c r="D17" s="41">
        <f>IFERROR(IF('3-Year P&amp;L'!$B$9="","",'3-Year P&amp;L'!$B$38*D7+'3-Year P&amp;L'!$B$39/12),"")</f>
        <v>0.0</v>
      </c>
      <c r="E17" s="41">
        <f>IFERROR(IF('3-Year P&amp;L'!$B$9="","",'3-Year P&amp;L'!$B$38*E7+'3-Year P&amp;L'!$B$39/12),"")</f>
        <v>0.0</v>
      </c>
      <c r="F17" s="41">
        <f>IFERROR(IF('3-Year P&amp;L'!$B$9="","",'3-Year P&amp;L'!$B$38*F7+'3-Year P&amp;L'!$B$39/12),"")</f>
        <v>0.0</v>
      </c>
      <c r="G17" s="41">
        <f>IFERROR(IF('3-Year P&amp;L'!$B$9="","",'3-Year P&amp;L'!$B$38*G7+'3-Year P&amp;L'!$B$39/12),"")</f>
        <v>0.0</v>
      </c>
      <c r="H17" s="41">
        <f>IFERROR(IF('3-Year P&amp;L'!$B$9="","",'3-Year P&amp;L'!$B$38*H7+'3-Year P&amp;L'!$B$39/12),"")</f>
        <v>0.0</v>
      </c>
      <c r="I17" s="41">
        <f>IFERROR(IF('3-Year P&amp;L'!$B$9="","",'3-Year P&amp;L'!$B$38*I7+'3-Year P&amp;L'!$B$39/12),"")</f>
        <v>0.0</v>
      </c>
      <c r="J17" s="41">
        <f>IFERROR(IF('3-Year P&amp;L'!$B$9="","",'3-Year P&amp;L'!$B$38*J7+'3-Year P&amp;L'!$B$39/12),"")</f>
        <v>0.0</v>
      </c>
      <c r="K17" s="41">
        <f>IFERROR(IF('3-Year P&amp;L'!$B$9="","",'3-Year P&amp;L'!$B$38*K7+'3-Year P&amp;L'!$B$39/12),"")</f>
        <v>0.0</v>
      </c>
      <c r="L17" s="41">
        <f>IFERROR(IF('3-Year P&amp;L'!$B$9="","",'3-Year P&amp;L'!$B$38*L7+'3-Year P&amp;L'!$B$39/12),"")</f>
        <v>0.0</v>
      </c>
      <c r="M17" s="41">
        <f>IFERROR(IF('3-Year P&amp;L'!$B$9="","",'3-Year P&amp;L'!$B$38*M7+'3-Year P&amp;L'!$B$39/12),"")</f>
        <v>0.0</v>
      </c>
      <c r="N17" s="41">
        <f>IFERROR(IF('3-Year P&amp;L'!$B$9="","",SUM(B17:M17)),"")</f>
        <v>0.0</v>
      </c>
      <c r="O17" s="29" t="inlineStr">
        <is>
          <t>Each item at its own rate, read from the tax column of the P&amp;L: insurance and card processing fees carry none</t>
        </is>
      </c>
    </row>
    <row r="18">
      <c r="A18" s="29" t="inlineStr">
        <is>
          <t>Carried forward (capex input tax included)</t>
        </is>
      </c>
      <c r="B18" s="29" t="n"/>
      <c r="C18" s="29" t="n"/>
      <c r="D18" s="29" t="n"/>
      <c r="E18" s="41">
        <f>IFERROR(IF('3-Year P&amp;L'!$B$9="","",'Startup Costs'!$B$32),"")</f>
        <v>0.0</v>
      </c>
      <c r="F18" s="29" t="n"/>
      <c r="G18" s="29" t="n"/>
      <c r="H18" s="41">
        <f>IFERROR(IF('3-Year P&amp;L'!$B$9="","",MAX(0,-E19)),"")</f>
        <v>0.0</v>
      </c>
      <c r="I18" s="29" t="n"/>
      <c r="J18" s="29" t="n"/>
      <c r="K18" s="41">
        <f>IFERROR(IF('3-Year P&amp;L'!$B$9="","",MAX(0,-H19)),"")</f>
        <v>0.0</v>
      </c>
      <c r="L18" s="29" t="n"/>
      <c r="M18" s="29" t="n"/>
      <c r="N18" s="29" t="n"/>
      <c r="O18" s="29" t="inlineStr">
        <is>
          <t>Sales tax paid on STARTUP COSTS enters here: it is offset against the tax collected in later quarters until used up. With 0% recoverable input tax (the US default) this line stays at zero</t>
        </is>
      </c>
    </row>
    <row r="19">
      <c r="A19" s="29" t="inlineStr">
        <is>
          <t>Quarterly sales tax return</t>
        </is>
      </c>
      <c r="B19" s="29" t="n"/>
      <c r="C19" s="29" t="n"/>
      <c r="D19" s="29" t="n"/>
      <c r="E19" s="41">
        <f>IFERROR(IF('3-Year P&amp;L'!$B$9="","",SUM(B16:D16)-SUM(B17:D17)-E18),"")</f>
        <v>13677.001561686626</v>
      </c>
      <c r="F19" s="29" t="n"/>
      <c r="G19" s="29" t="n"/>
      <c r="H19" s="41">
        <f>IFERROR(IF('3-Year P&amp;L'!$B$9="","",SUM(E16:G16)-SUM(E17:G17)-H18),"")</f>
        <v>17190.04685059865</v>
      </c>
      <c r="I19" s="29" t="n"/>
      <c r="J19" s="29" t="n"/>
      <c r="K19" s="41">
        <f>IFERROR(IF('3-Year P&amp;L'!$B$9="","",SUM(H16:J16)-SUM(H17:J17)-K18),"")</f>
        <v>17190.04685059865</v>
      </c>
      <c r="L19" s="29" t="n"/>
      <c r="M19" s="29" t="n"/>
      <c r="N19" s="29" t="n"/>
      <c r="O19" s="29" t="inlineStr">
        <is>
          <t>Sales tax collected minus recoverable input tax for the quarter, minus what was carried forward. If negative, nothing is paid: it is offset in the next quarter. With 0% recoverable input tax (the US default) it equals the sales tax collected in the quarter</t>
        </is>
      </c>
    </row>
    <row r="20">
      <c r="A20" s="29" t="inlineStr">
        <is>
          <t>Sales tax remitted (quarterly filer)</t>
        </is>
      </c>
      <c r="B20" s="29" t="n"/>
      <c r="C20" s="29" t="n"/>
      <c r="D20" s="29" t="n"/>
      <c r="E20" s="41">
        <f>IFERROR(IF('3-Year P&amp;L'!$B$9="","",IF(E19&lt;=0,"",-E19)),"")</f>
        <v>-13677.001561686626</v>
      </c>
      <c r="F20" s="29" t="n"/>
      <c r="G20" s="29" t="n"/>
      <c r="H20" s="41">
        <f>IFERROR(IF('3-Year P&amp;L'!$B$9="","",IF(H19&lt;=0,"",-H19)),"")</f>
        <v>-17190.04685059865</v>
      </c>
      <c r="I20" s="29" t="n"/>
      <c r="J20" s="29" t="n"/>
      <c r="K20" s="41">
        <f>IFERROR(IF('3-Year P&amp;L'!$B$9="","",IF(K19&lt;=0,"",-K19)),"")</f>
        <v>-17190.04685059865</v>
      </c>
      <c r="L20" s="29" t="n"/>
      <c r="M20" s="29" t="n"/>
      <c r="N20" s="41">
        <f>IFERROR(IF('3-Year P&amp;L'!$B$9="","",SUM(B20:M20)),"")</f>
        <v>-48057.09526288393</v>
      </c>
      <c r="O20" s="29" t="inlineStr">
        <is>
          <t>Cash only leaves when the quarter's result is positive. Months without a settlement are left blank, not zero. The cell turns RED when the payment takes more cash than is left that month. The model settles quarterly, in the month after each plan quarter (Months 4, 7 and 10: April, July and October with Month 1 in January; the fourth quarter is remitted in Month 13, January of the next year): if your state requires monthly filing, expect smaller payments every month instead</t>
        </is>
      </c>
    </row>
    <row r="21">
      <c r="A21" s="26" t="inlineStr">
        <is>
          <t>MONTHLY NET CASH FLOW</t>
        </is>
      </c>
      <c r="B21" s="54">
        <f>IFERROR(IF('3-Year P&amp;L'!$B$9="","",SUM(B9:B15)+IF(B20="",0,B20)),"")</f>
        <v>5945.767403653926</v>
      </c>
      <c r="C21" s="54">
        <f>IFERROR(IF('3-Year P&amp;L'!$B$9="","",SUM(C9:C15)+IF(C20="",0,C20)),"")</f>
        <v>4690.703551493601</v>
      </c>
      <c r="D21" s="54">
        <f>IFERROR(IF('3-Year P&amp;L'!$B$9="","",SUM(D9:D15)+IF(D20="",0,D20)),"")</f>
        <v>12204.83740885955</v>
      </c>
      <c r="E21" s="54">
        <f>IFERROR(IF('3-Year P&amp;L'!$B$9="","",SUM(E9:E15)+IF(E20="",0,E20)),"")</f>
        <v>758.7446654967298</v>
      </c>
      <c r="F21" s="54">
        <f>IFERROR(IF('3-Year P&amp;L'!$B$9="","",SUM(F9:F15)+IF(F20="",0,F20)),"")</f>
        <v>18023.310141811136</v>
      </c>
      <c r="G21" s="54">
        <f>IFERROR(IF('3-Year P&amp;L'!$B$9="","",SUM(G9:G15)+IF(G20="",0,G20)),"")</f>
        <v>13370.298710265071</v>
      </c>
      <c r="H21" s="54">
        <f>IFERROR(IF('3-Year P&amp;L'!$B$9="","",SUM(H9:H15)+IF(H20="",0,H20)),"")</f>
        <v>-524.0227889540947</v>
      </c>
      <c r="I21" s="54">
        <f>IFERROR(IF('3-Year P&amp;L'!$B$9="","",SUM(I9:I15)+IF(I20="",0,I20)),"")</f>
        <v>14921.302520780437</v>
      </c>
      <c r="J21" s="54">
        <f>IFERROR(IF('3-Year P&amp;L'!$B$9="","",SUM(J9:J15)+IF(J20="",0,J20)),"")</f>
        <v>13757.734170962625</v>
      </c>
      <c r="K21" s="54">
        <f>IFERROR(IF('3-Year P&amp;L'!$B$9="","",SUM(K9:K15)+IF(K20="",0,K20)),"")</f>
        <v>-1881.3088691206594</v>
      </c>
      <c r="L21" s="54">
        <f>IFERROR(IF('3-Year P&amp;L'!$B$9="","",SUM(L9:L15)+IF(L20="",0,L20)),"")</f>
        <v>13757.734170962625</v>
      </c>
      <c r="M21" s="54">
        <f>IFERROR(IF('3-Year P&amp;L'!$B$9="","",SUM(M9:M15)+IF(M20="",0,M20)),"")</f>
        <v>19380.596221977718</v>
      </c>
      <c r="N21" s="54">
        <f>IFERROR(IF('3-Year P&amp;L'!$B$9="","",SUM(B21:M21)),"")</f>
        <v>114405.69730818864</v>
      </c>
      <c r="O21" s="29" t="n"/>
    </row>
    <row r="22">
      <c r="A22" s="26" t="inlineStr">
        <is>
          <t>CUMULATIVE CASH BALANCE</t>
        </is>
      </c>
      <c r="B22" s="54">
        <f>IFERROR(IF('3-Year P&amp;L'!$B$9="","",'Startup Costs'!$B$29+B21),"")</f>
        <v>103822.06740365393</v>
      </c>
      <c r="C22" s="54">
        <f>IFERROR(IF('3-Year P&amp;L'!$B$9="","",B22+C21),"")</f>
        <v>108512.77095514753</v>
      </c>
      <c r="D22" s="54">
        <f>IFERROR(IF('3-Year P&amp;L'!$B$9="","",C22+D21),"")</f>
        <v>120717.60836400707</v>
      </c>
      <c r="E22" s="54">
        <f>IFERROR(IF('3-Year P&amp;L'!$B$9="","",D22+E21),"")</f>
        <v>121476.3530295038</v>
      </c>
      <c r="F22" s="54">
        <f>IFERROR(IF('3-Year P&amp;L'!$B$9="","",E22+F21),"")</f>
        <v>139499.66317131495</v>
      </c>
      <c r="G22" s="54">
        <f>IFERROR(IF('3-Year P&amp;L'!$B$9="","",F22+G21),"")</f>
        <v>152869.96188158003</v>
      </c>
      <c r="H22" s="54">
        <f>IFERROR(IF('3-Year P&amp;L'!$B$9="","",G22+H21),"")</f>
        <v>152345.93909262595</v>
      </c>
      <c r="I22" s="54">
        <f>IFERROR(IF('3-Year P&amp;L'!$B$9="","",H22+I21),"")</f>
        <v>167267.2416134064</v>
      </c>
      <c r="J22" s="54">
        <f>IFERROR(IF('3-Year P&amp;L'!$B$9="","",I22+J21),"")</f>
        <v>181024.97578436902</v>
      </c>
      <c r="K22" s="54">
        <f>IFERROR(IF('3-Year P&amp;L'!$B$9="","",J22+K21),"")</f>
        <v>179143.66691524835</v>
      </c>
      <c r="L22" s="54">
        <f>IFERROR(IF('3-Year P&amp;L'!$B$9="","",K22+L21),"")</f>
        <v>192901.40108621097</v>
      </c>
      <c r="M22" s="54">
        <f>IFERROR(IF('3-Year P&amp;L'!$B$9="","",L22+M21),"")</f>
        <v>212281.9973081887</v>
      </c>
      <c r="N22" s="29" t="n"/>
      <c r="O22" s="29" t="n"/>
    </row>
    <row r="23">
      <c r="A23" s="29" t="inlineStr">
        <is>
          <t>Minimum balance of the year</t>
        </is>
      </c>
      <c r="B23" s="41">
        <f>IFERROR(IF('3-Year P&amp;L'!$B$9="","",IF(COUNT(B22:M22)=0,"",MIN(B22:M22))),"")</f>
        <v>103822.06740365393</v>
      </c>
      <c r="C23" s="29" t="n"/>
      <c r="D23" s="29" t="inlineStr">
        <is>
          <t>If negative, raise working capital or the loan: you run out of cash</t>
        </is>
      </c>
      <c r="E23" s="29" t="n"/>
      <c r="F23" s="29" t="n"/>
      <c r="G23" s="29" t="n"/>
      <c r="H23" s="29" t="n"/>
      <c r="I23" s="29" t="n"/>
      <c r="J23" s="29" t="n"/>
      <c r="K23" s="29" t="n"/>
      <c r="L23" s="29" t="n"/>
      <c r="M23" s="29" t="n"/>
      <c r="N23" s="29" t="n"/>
      <c r="O23" s="29" t="n"/>
    </row>
    <row r="24">
      <c r="A24" s="29" t="inlineStr">
        <is>
          <t>Month when cash bottoms out</t>
        </is>
      </c>
      <c r="B24" s="41">
        <f>IFERROR(IF('3-Year P&amp;L'!$B$9="","",IF(COUNT(B22:M22)=0,"",MATCH(MIN(B22:M22),B22:M22,0))),"")</f>
        <v>1.0</v>
      </c>
      <c r="C24" s="29" t="n"/>
      <c r="D24" s="29" t="inlineStr">
        <is>
          <t>It answers the question that decides a bank deal: in which month the cash runs out</t>
        </is>
      </c>
      <c r="E24" s="29" t="n"/>
      <c r="F24" s="29" t="n"/>
      <c r="G24" s="29" t="n"/>
      <c r="H24" s="29" t="n"/>
      <c r="I24" s="29" t="n"/>
      <c r="J24" s="29" t="n"/>
      <c r="K24" s="29" t="n"/>
      <c r="L24" s="29" t="n"/>
      <c r="M24" s="29" t="n"/>
      <c r="N24" s="29" t="n"/>
      <c r="O24" s="29" t="n"/>
    </row>
    <row r="25">
      <c r="A25" s="26" t="inlineStr">
        <is>
          <t>RETURN ON INVESTMENT</t>
        </is>
      </c>
      <c r="B25" s="29" t="n"/>
      <c r="C25" s="29" t="n"/>
      <c r="D25" s="29" t="n"/>
      <c r="E25" s="29" t="n"/>
      <c r="F25" s="29" t="n"/>
      <c r="G25" s="29" t="n"/>
      <c r="H25" s="29" t="n"/>
      <c r="I25" s="29" t="n"/>
      <c r="J25" s="29" t="n"/>
      <c r="K25" s="29" t="n"/>
      <c r="L25" s="29" t="n"/>
      <c r="M25" s="29" t="n"/>
      <c r="N25" s="29" t="n"/>
      <c r="O25" s="29" t="n"/>
    </row>
    <row r="26">
      <c r="A26" s="29" t="inlineStr">
        <is>
          <t>Free cash flow before debt, year 1</t>
        </is>
      </c>
      <c r="B26" s="41">
        <f>IFERROR(IF('3-Year P&amp;L'!$B$9="","",'3-Year P&amp;L'!$B$47+'3-Year P&amp;L'!$B$35+Financing!$B$44),"")</f>
        <v>104063.16071428572</v>
      </c>
      <c r="C26" s="29" t="n"/>
      <c r="D26" s="29" t="inlineStr">
        <is>
          <t>Net income plus depreciation (which is not paid) plus that year's interest: principal is not subtracted because this flow is BEFORE debt. The SAME basis as years 2 and 3, so the payback compares like with like</t>
        </is>
      </c>
      <c r="E26" s="29" t="n"/>
      <c r="F26" s="29" t="n"/>
      <c r="G26" s="29" t="n"/>
      <c r="H26" s="29" t="n"/>
      <c r="I26" s="29" t="n"/>
      <c r="J26" s="29" t="n"/>
      <c r="K26" s="29" t="n"/>
      <c r="L26" s="29" t="n"/>
      <c r="M26" s="29" t="n"/>
      <c r="N26" s="29" t="n"/>
      <c r="O26" s="29" t="n"/>
    </row>
    <row r="27">
      <c r="A27" s="29" t="inlineStr">
        <is>
          <t>Free cash flow before debt, year 2</t>
        </is>
      </c>
      <c r="B27" s="41">
        <f>IFERROR(IF('3-Year P&amp;L'!$B$9="","",'3-Year P&amp;L'!$C$47+'3-Year P&amp;L'!$C$35+Financing!$B$46),"")</f>
        <v>122172.10208192014</v>
      </c>
      <c r="C27" s="29" t="n"/>
      <c r="D27" s="29" t="inlineStr">
        <is>
          <t>Net income plus depreciation (which is not paid) plus that year's interest: principal is not subtracted because this flow is BEFORE debt. Without a monthly table, it is an estimate</t>
        </is>
      </c>
      <c r="E27" s="29" t="n"/>
      <c r="F27" s="29" t="n"/>
      <c r="G27" s="29" t="n"/>
      <c r="H27" s="29" t="n"/>
      <c r="I27" s="29" t="n"/>
      <c r="J27" s="29" t="n"/>
      <c r="K27" s="29" t="n"/>
      <c r="L27" s="29" t="n"/>
      <c r="M27" s="29" t="n"/>
      <c r="N27" s="29" t="n"/>
      <c r="O27" s="29" t="n"/>
    </row>
    <row r="28">
      <c r="A28" s="29" t="inlineStr">
        <is>
          <t>Free cash flow before debt, year 3</t>
        </is>
      </c>
      <c r="B28" s="41">
        <f>IFERROR(IF('3-Year P&amp;L'!$B$9="","",'3-Year P&amp;L'!$D$47+'3-Year P&amp;L'!$D$35+Financing!$B$48),"")</f>
        <v>133735.816096318</v>
      </c>
      <c r="C28" s="29" t="n"/>
      <c r="D28" s="29" t="inlineStr">
        <is>
          <t>Net income plus depreciation (which is not paid) plus that year's interest: principal is not subtracted because this flow is BEFORE debt. Without a monthly table, it is an estimate</t>
        </is>
      </c>
      <c r="E28" s="29" t="n"/>
      <c r="F28" s="29" t="n"/>
      <c r="G28" s="29" t="n"/>
      <c r="H28" s="29" t="n"/>
      <c r="I28" s="29" t="n"/>
      <c r="J28" s="29" t="n"/>
      <c r="K28" s="29" t="n"/>
      <c r="L28" s="29" t="n"/>
      <c r="M28" s="29" t="n"/>
      <c r="N28" s="29" t="n"/>
      <c r="O28" s="29" t="n"/>
    </row>
    <row r="29">
      <c r="A29" s="29" t="inlineStr">
        <is>
          <t>For reference: ACTUAL year-1 cash flow (monthly table, before debt)</t>
        </is>
      </c>
      <c r="B29" s="41">
        <f>IFERROR(IF('3-Year P&amp;L'!$B$9="","",N21+Financing!$B$44+Financing!$B$45),"")</f>
        <v>149558.70260281116</v>
      </c>
      <c r="C29" s="29" t="n"/>
      <c r="D29" s="29" t="inlineStr">
        <is>
          <t>The sum of the twelve monthly net cash flows above, adding back the interest and principal paid that year. It is NOT the one the payback uses: it includes sales tax not yet settled and supplier credit, two things that have to be paid back and that years 2 and 3 do not have</t>
        </is>
      </c>
      <c r="E29" s="29" t="n"/>
      <c r="F29" s="29" t="n"/>
      <c r="G29" s="29" t="n"/>
      <c r="H29" s="29" t="n"/>
      <c r="I29" s="29" t="n"/>
      <c r="J29" s="29" t="n"/>
      <c r="K29" s="29" t="n"/>
      <c r="L29" s="29" t="n"/>
      <c r="M29" s="29" t="n"/>
      <c r="N29" s="29" t="n"/>
      <c r="O29" s="29" t="n"/>
    </row>
    <row r="30">
      <c r="A30" s="29" t="inlineStr">
        <is>
          <t>Investment to recover (net of recoverable input tax)</t>
        </is>
      </c>
      <c r="B30" s="41">
        <f>IFERROR(IF('3-Year P&amp;L'!$B$9="","",'Startup Costs'!$B$33-'Startup Costs'!$B$32),"")</f>
        <v>335708.3</v>
      </c>
      <c r="C30" s="29" t="n"/>
      <c r="D30" s="29" t="inlineStr">
        <is>
          <t>CAPEX plus working capital: the total cash needed MINUS the recoverable input tax on startup costs, which is not lost (it is recovered through the quarterly return, and this tab offsets it quarter by quarter; it is zero in the US default). Working capital is recovered when you close, but until then it is tied up</t>
        </is>
      </c>
      <c r="E30" s="29" t="n"/>
      <c r="F30" s="29" t="n"/>
      <c r="G30" s="29" t="n"/>
      <c r="H30" s="29" t="n"/>
      <c r="I30" s="29" t="n"/>
      <c r="J30" s="29" t="n"/>
      <c r="K30" s="29" t="n"/>
      <c r="L30" s="29" t="n"/>
      <c r="M30" s="29" t="n"/>
      <c r="N30" s="29" t="n"/>
      <c r="O30" s="29" t="n"/>
    </row>
    <row r="31">
      <c r="A31" s="26" t="inlineStr">
        <is>
          <t>Project payback (years), before debt</t>
        </is>
      </c>
      <c r="B31" s="26">
        <f>IFERROR(IF('3-Year P&amp;L'!$B$9="","",IF(B26&gt;=B30,ROUND(B30/B26,1),IF(B26+B27&gt;=B30,ROUND(1+(B30-B26)/B27,1),IF(B26+B27+B28&gt;=B30,ROUND(2+(B30-B26-B27)/B28,1),"Over 3 years")))),"")</f>
        <v>2.8</v>
      </c>
      <c r="C31" s="29" t="n"/>
      <c r="D31" s="26" t="inlineStr">
        <is>
          <t>Measures how long the business takes to pay back the investment with what it generates BEFORE paying the lender, on the SAME cash flow basis in all three years; whether you can make the loan payment is answered by the DSCR on the "Financing" tab. The Word business plan quotes this figure; if you change a green cell, this workbook rules</t>
        </is>
      </c>
      <c r="E31" s="29" t="n"/>
      <c r="F31" s="29" t="n"/>
      <c r="G31" s="29" t="n"/>
      <c r="H31" s="29" t="n"/>
      <c r="I31" s="29" t="n"/>
      <c r="J31" s="29" t="n"/>
      <c r="K31" s="29" t="n"/>
      <c r="L31" s="29" t="n"/>
      <c r="M31" s="29" t="n"/>
      <c r="N31" s="29" t="n"/>
      <c r="O31" s="29" t="n"/>
    </row>
    <row r="32">
      <c r="A32" s="29" t="inlineStr">
        <is>
          <t>Payback on CAPEX, excluding working capital (years)</t>
        </is>
      </c>
      <c r="B32" s="29">
        <f>IFERROR(IF('3-Year P&amp;L'!$B$9="","",IF(B26&gt;='Startup Costs'!$B$31,ROUND('Startup Costs'!$B$31/B26,1),IF(B26+B27&gt;='Startup Costs'!$B$31,ROUND(1+('Startup Costs'!$B$31-B26)/B27,1),IF(B26+B27+B28&gt;='Startup Costs'!$B$31,ROUND(2+('Startup Costs'!$B$31-B26-B27)/B28,1),"Over 3 years")))),"")</f>
        <v>2.1</v>
      </c>
      <c r="C32" s="29" t="n"/>
      <c r="D32" s="29" t="inlineStr">
        <is>
          <t>The same calculation on what you BUY (build-out, equipment, launch and formation costs), without working capital: that money is not spent, it is tied up and comes back when the business closes. For reference only: the payback that matters is the one above</t>
        </is>
      </c>
      <c r="E32" s="29" t="n"/>
      <c r="F32" s="29" t="n"/>
      <c r="G32" s="29" t="n"/>
      <c r="H32" s="29" t="n"/>
      <c r="I32" s="29" t="n"/>
      <c r="J32" s="29" t="n"/>
      <c r="K32" s="29" t="n"/>
      <c r="L32" s="29" t="n"/>
      <c r="M32" s="29" t="n"/>
      <c r="N32" s="29" t="n"/>
      <c r="O32" s="29" t="n"/>
    </row>
    <row r="33">
      <c r="A33" s="29" t="n"/>
      <c r="B33" s="29" t="n"/>
      <c r="C33" s="29" t="n"/>
      <c r="D33" s="29" t="n"/>
      <c r="E33" s="29" t="n"/>
      <c r="F33" s="29" t="n"/>
      <c r="G33" s="29" t="n"/>
      <c r="H33" s="29" t="n"/>
      <c r="I33" s="29" t="n"/>
      <c r="J33" s="29" t="n"/>
      <c r="K33" s="29" t="n"/>
      <c r="L33" s="29" t="n"/>
      <c r="M33" s="29" t="n"/>
      <c r="N33" s="29" t="n"/>
      <c r="O33" s="29" t="n"/>
    </row>
    <row r="34" ht="149.5" customHeight="1">
      <c r="A34" s="48" t="inlineStr">
        <is>
          <t>Fourth-quarter sales tax is settled in Month 13 (January of the following year when Month 1 is January), so it does not appear in this table. The model pays year-1 income tax in July of year 2 (a simplification: estimated tax payments are usually quarterly). The loan payment is spread in twelve equal parts following the ANNUAL schedule in the Financing tab, and payroll in twelve monthly installments (plus extra pay periods in their month, only if pay periods &gt; 12).</t>
        </is>
      </c>
      <c r="B34" s="29" t="n"/>
      <c r="C34" s="29" t="n"/>
      <c r="D34" s="29" t="n"/>
      <c r="E34" s="29" t="n"/>
      <c r="F34" s="29" t="n"/>
      <c r="G34" s="29" t="n"/>
      <c r="H34" s="29" t="n"/>
      <c r="I34" s="29" t="n"/>
      <c r="J34" s="29" t="n"/>
      <c r="K34" s="29" t="n"/>
      <c r="L34" s="29" t="n"/>
      <c r="M34" s="29" t="n"/>
      <c r="N34" s="29" t="n"/>
      <c r="O34" s="29" t="n"/>
    </row>
    <row r="35">
      <c r="A35" s="29" t="n"/>
      <c r="B35" s="29" t="n"/>
      <c r="C35" s="29" t="n"/>
      <c r="D35" s="29" t="n"/>
      <c r="E35" s="29" t="n"/>
      <c r="F35" s="29" t="n"/>
      <c r="G35" s="29" t="n"/>
      <c r="H35" s="29" t="n"/>
      <c r="I35" s="29" t="n"/>
      <c r="J35" s="29" t="n"/>
      <c r="K35" s="29" t="n"/>
      <c r="L35" s="29" t="n"/>
      <c r="M35" s="29" t="n"/>
      <c r="N35" s="29" t="n"/>
      <c r="O35" s="29" t="n"/>
    </row>
    <row r="36">
      <c r="A36" s="29" t="n"/>
      <c r="B36" s="29" t="n"/>
      <c r="C36" s="29" t="n"/>
      <c r="D36" s="29" t="n"/>
      <c r="E36" s="29" t="n"/>
      <c r="F36" s="29" t="n"/>
      <c r="G36" s="29" t="n"/>
      <c r="H36" s="29" t="n"/>
      <c r="I36" s="29" t="n"/>
      <c r="J36" s="29" t="n"/>
      <c r="K36" s="29" t="n"/>
      <c r="L36" s="29" t="n"/>
      <c r="M36" s="29" t="n"/>
      <c r="N36" s="29" t="n"/>
      <c r="O36" s="29" t="n"/>
    </row>
    <row r="37">
      <c r="A37" s="29" t="n"/>
      <c r="B37" s="29" t="n"/>
      <c r="C37" s="29" t="n"/>
      <c r="D37" s="29" t="n"/>
      <c r="E37" s="29" t="n"/>
      <c r="F37" s="29" t="n"/>
      <c r="G37" s="29" t="n"/>
      <c r="H37" s="29" t="n"/>
      <c r="I37" s="29" t="n"/>
      <c r="J37" s="29" t="n"/>
      <c r="K37" s="29" t="n"/>
      <c r="L37" s="29" t="n"/>
      <c r="M37" s="29" t="n"/>
      <c r="N37" s="29" t="n"/>
      <c r="O37" s="29" t="n"/>
    </row>
    <row r="38">
      <c r="A38" s="29" t="n"/>
      <c r="B38" s="29" t="n"/>
      <c r="C38" s="29" t="n"/>
      <c r="D38" s="29" t="n"/>
      <c r="E38" s="29" t="n"/>
      <c r="F38" s="29" t="n"/>
      <c r="G38" s="29" t="n"/>
      <c r="H38" s="29" t="n"/>
      <c r="I38" s="29" t="n"/>
      <c r="J38" s="29" t="n"/>
      <c r="K38" s="29" t="n"/>
      <c r="L38" s="29" t="n"/>
      <c r="M38" s="29" t="n"/>
      <c r="N38" s="29" t="n"/>
      <c r="O38" s="29" t="n"/>
    </row>
    <row r="39">
      <c r="A39" s="29" t="n"/>
      <c r="B39" s="29" t="n"/>
      <c r="C39" s="29" t="n"/>
      <c r="D39" s="29" t="n"/>
      <c r="E39" s="29" t="n"/>
      <c r="F39" s="29" t="n"/>
      <c r="G39" s="29" t="n"/>
      <c r="H39" s="29" t="n"/>
      <c r="I39" s="29" t="n"/>
      <c r="J39" s="29" t="n"/>
      <c r="K39" s="29" t="n"/>
      <c r="L39" s="29" t="n"/>
      <c r="M39" s="29" t="n"/>
      <c r="N39" s="29" t="n"/>
      <c r="O39" s="29" t="n"/>
    </row>
    <row r="40">
      <c r="A40" s="29" t="n"/>
      <c r="B40" s="29" t="n"/>
      <c r="C40" s="29" t="n"/>
      <c r="D40" s="29" t="n"/>
      <c r="E40" s="29" t="n"/>
      <c r="F40" s="29" t="n"/>
      <c r="G40" s="29" t="n"/>
      <c r="H40" s="29" t="n"/>
      <c r="I40" s="29" t="n"/>
      <c r="J40" s="29" t="n"/>
      <c r="K40" s="29" t="n"/>
      <c r="L40" s="29" t="n"/>
      <c r="M40" s="29" t="n"/>
      <c r="N40" s="29" t="n"/>
      <c r="O40" s="29" t="n"/>
    </row>
    <row r="41">
      <c r="A41" s="29" t="n"/>
      <c r="B41" s="29" t="n"/>
      <c r="C41" s="29" t="n"/>
      <c r="D41" s="29" t="n"/>
      <c r="E41" s="29" t="n"/>
      <c r="F41" s="29" t="n"/>
      <c r="G41" s="29" t="n"/>
      <c r="H41" s="29" t="n"/>
      <c r="I41" s="29" t="n"/>
      <c r="J41" s="29" t="n"/>
      <c r="K41" s="29" t="n"/>
      <c r="L41" s="29" t="n"/>
      <c r="M41" s="29" t="n"/>
      <c r="N41" s="29" t="n"/>
      <c r="O41" s="29" t="n"/>
    </row>
    <row r="42">
      <c r="A42" s="29" t="n"/>
      <c r="B42" s="29" t="n"/>
      <c r="C42" s="29" t="n"/>
      <c r="D42" s="29" t="n"/>
      <c r="E42" s="29" t="n"/>
      <c r="F42" s="29" t="n"/>
      <c r="G42" s="29" t="n"/>
      <c r="H42" s="29" t="n"/>
      <c r="I42" s="29" t="n"/>
      <c r="J42" s="29" t="n"/>
      <c r="K42" s="29" t="n"/>
      <c r="L42" s="29" t="n"/>
      <c r="M42" s="29" t="n"/>
      <c r="N42" s="29" t="n"/>
      <c r="O42" s="29" t="n"/>
    </row>
    <row r="43">
      <c r="A43" s="29" t="n"/>
      <c r="B43" s="29" t="n"/>
      <c r="C43" s="29" t="n"/>
      <c r="D43" s="29" t="n"/>
      <c r="E43" s="29" t="n"/>
      <c r="F43" s="29" t="n"/>
      <c r="G43" s="29" t="n"/>
      <c r="H43" s="29" t="n"/>
      <c r="I43" s="29" t="n"/>
      <c r="J43" s="29" t="n"/>
      <c r="K43" s="29" t="n"/>
      <c r="L43" s="29" t="n"/>
      <c r="M43" s="29" t="n"/>
      <c r="N43" s="29" t="n"/>
      <c r="O43" s="29" t="n"/>
    </row>
    <row r="44">
      <c r="A44" s="29" t="n"/>
      <c r="B44" s="29" t="n"/>
      <c r="C44" s="29" t="n"/>
      <c r="D44" s="29" t="n"/>
      <c r="E44" s="29" t="n"/>
      <c r="F44" s="29" t="n"/>
      <c r="G44" s="29" t="n"/>
      <c r="H44" s="29" t="n"/>
      <c r="I44" s="29" t="n"/>
      <c r="J44" s="29" t="n"/>
      <c r="K44" s="29" t="n"/>
      <c r="L44" s="29" t="n"/>
      <c r="M44" s="29" t="n"/>
      <c r="N44" s="29" t="n"/>
      <c r="O44" s="29" t="n"/>
    </row>
    <row r="45">
      <c r="A45" s="29" t="n"/>
      <c r="B45" s="29" t="n"/>
      <c r="C45" s="29" t="n"/>
      <c r="D45" s="29" t="n"/>
      <c r="E45" s="29" t="n"/>
      <c r="F45" s="29" t="n"/>
      <c r="G45" s="29" t="n"/>
      <c r="H45" s="29" t="n"/>
      <c r="I45" s="29" t="n"/>
      <c r="J45" s="29" t="n"/>
      <c r="K45" s="29" t="n"/>
      <c r="L45" s="29" t="n"/>
      <c r="M45" s="29" t="n"/>
      <c r="N45" s="29" t="n"/>
      <c r="O45" s="29" t="n"/>
    </row>
    <row r="46">
      <c r="A46" s="29" t="n"/>
      <c r="B46" s="29" t="n"/>
      <c r="C46" s="29" t="n"/>
      <c r="D46" s="29" t="n"/>
      <c r="E46" s="29" t="n"/>
      <c r="F46" s="29" t="n"/>
      <c r="G46" s="29" t="n"/>
      <c r="H46" s="29" t="n"/>
      <c r="I46" s="29" t="n"/>
      <c r="J46" s="29" t="n"/>
      <c r="K46" s="29" t="n"/>
      <c r="L46" s="29" t="n"/>
      <c r="M46" s="29" t="n"/>
      <c r="N46" s="29" t="n"/>
      <c r="O46" s="29" t="n"/>
    </row>
    <row r="47">
      <c r="A47" s="29" t="n"/>
      <c r="B47" s="29" t="n"/>
      <c r="C47" s="29" t="n"/>
      <c r="D47" s="29" t="n"/>
      <c r="E47" s="29" t="n"/>
      <c r="F47" s="29" t="n"/>
      <c r="G47" s="29" t="n"/>
      <c r="H47" s="29" t="n"/>
      <c r="I47" s="29" t="n"/>
      <c r="J47" s="29" t="n"/>
      <c r="K47" s="29" t="n"/>
      <c r="L47" s="29" t="n"/>
      <c r="M47" s="29" t="n"/>
      <c r="N47" s="29" t="n"/>
      <c r="O47" s="29" t="n"/>
    </row>
    <row r="48">
      <c r="A48" s="29" t="n"/>
      <c r="B48" s="29" t="n"/>
      <c r="C48" s="29" t="n"/>
      <c r="D48" s="29" t="n"/>
      <c r="E48" s="29" t="n"/>
      <c r="F48" s="29" t="n"/>
      <c r="G48" s="29" t="n"/>
      <c r="H48" s="29" t="n"/>
      <c r="I48" s="29" t="n"/>
      <c r="J48" s="29" t="n"/>
      <c r="K48" s="29" t="n"/>
      <c r="L48" s="29" t="n"/>
      <c r="M48" s="29" t="n"/>
      <c r="N48" s="29" t="n"/>
      <c r="O48" s="29" t="n"/>
    </row>
    <row r="49">
      <c r="A49" s="29" t="n"/>
      <c r="B49" s="29" t="n"/>
      <c r="C49" s="29" t="n"/>
      <c r="D49" s="29" t="n"/>
      <c r="E49" s="29" t="n"/>
      <c r="F49" s="29" t="n"/>
      <c r="G49" s="29" t="n"/>
      <c r="H49" s="29" t="n"/>
      <c r="I49" s="29" t="n"/>
      <c r="J49" s="29" t="n"/>
      <c r="K49" s="29" t="n"/>
      <c r="L49" s="29" t="n"/>
      <c r="M49" s="29" t="n"/>
      <c r="N49" s="29" t="n"/>
      <c r="O49" s="29" t="n"/>
    </row>
    <row r="50">
      <c r="A50" s="29" t="n"/>
      <c r="B50" s="29" t="n"/>
      <c r="C50" s="29" t="n"/>
      <c r="D50" s="29" t="n"/>
      <c r="E50" s="29" t="n"/>
      <c r="F50" s="29" t="n"/>
      <c r="G50" s="29" t="n"/>
      <c r="H50" s="29" t="n"/>
      <c r="I50" s="29" t="n"/>
      <c r="J50" s="29" t="n"/>
      <c r="K50" s="29" t="n"/>
      <c r="L50" s="29" t="n"/>
      <c r="M50" s="29" t="n"/>
      <c r="N50" s="29" t="n"/>
      <c r="O50" s="29" t="n"/>
    </row>
    <row r="51">
      <c r="A51" s="29" t="n"/>
      <c r="B51" s="29" t="n"/>
      <c r="C51" s="29" t="n"/>
      <c r="D51" s="29" t="n"/>
      <c r="E51" s="29" t="n"/>
      <c r="F51" s="29" t="n"/>
      <c r="G51" s="29" t="n"/>
      <c r="H51" s="29" t="n"/>
      <c r="I51" s="29" t="n"/>
      <c r="J51" s="29" t="n"/>
      <c r="K51" s="29" t="n"/>
      <c r="L51" s="29" t="n"/>
      <c r="M51" s="29" t="n"/>
      <c r="N51" s="29" t="n"/>
      <c r="O51" s="29" t="n"/>
    </row>
    <row r="52">
      <c r="A52" s="29" t="n"/>
      <c r="B52" s="29" t="n"/>
      <c r="C52" s="29" t="n"/>
      <c r="D52" s="29" t="n"/>
      <c r="E52" s="29" t="n"/>
      <c r="F52" s="29" t="n"/>
      <c r="G52" s="29" t="n"/>
      <c r="H52" s="29" t="n"/>
      <c r="I52" s="29" t="n"/>
      <c r="J52" s="29" t="n"/>
      <c r="K52" s="29" t="n"/>
      <c r="L52" s="29" t="n"/>
      <c r="M52" s="29" t="n"/>
      <c r="N52" s="29" t="n"/>
      <c r="O52" s="29" t="n"/>
    </row>
    <row r="53">
      <c r="A53" s="29" t="n"/>
      <c r="B53" s="29" t="n"/>
      <c r="C53" s="29" t="n"/>
      <c r="D53" s="29" t="n"/>
      <c r="E53" s="29" t="n"/>
      <c r="F53" s="29" t="n"/>
      <c r="G53" s="29" t="n"/>
      <c r="H53" s="29" t="n"/>
      <c r="I53" s="29" t="n"/>
      <c r="J53" s="29" t="n"/>
      <c r="K53" s="29" t="n"/>
      <c r="L53" s="29" t="n"/>
      <c r="M53" s="29" t="n"/>
      <c r="N53" s="29" t="n"/>
      <c r="O53" s="29" t="n"/>
    </row>
    <row r="54">
      <c r="A54" s="29" t="n"/>
      <c r="B54" s="29" t="n"/>
      <c r="C54" s="29" t="n"/>
      <c r="D54" s="29" t="n"/>
      <c r="E54" s="29" t="n"/>
      <c r="F54" s="29" t="n"/>
      <c r="G54" s="29" t="n"/>
      <c r="H54" s="29" t="n"/>
      <c r="I54" s="29" t="n"/>
      <c r="J54" s="29" t="n"/>
      <c r="K54" s="29" t="n"/>
      <c r="L54" s="29" t="n"/>
      <c r="M54" s="29" t="n"/>
      <c r="N54" s="29" t="n"/>
      <c r="O54" s="29" t="n"/>
    </row>
    <row r="55">
      <c r="A55" s="29" t="n"/>
      <c r="B55" s="29" t="n"/>
      <c r="C55" s="29" t="n"/>
      <c r="D55" s="29" t="n"/>
      <c r="E55" s="29" t="n"/>
      <c r="F55" s="29" t="n"/>
      <c r="G55" s="29" t="n"/>
      <c r="H55" s="29" t="n"/>
      <c r="I55" s="29" t="n"/>
      <c r="J55" s="29" t="n"/>
      <c r="K55" s="29" t="n"/>
      <c r="L55" s="29" t="n"/>
      <c r="M55" s="29" t="n"/>
      <c r="N55" s="29" t="n"/>
      <c r="O55" s="29" t="n"/>
    </row>
    <row r="56">
      <c r="A56" s="29" t="n"/>
      <c r="B56" s="29" t="n"/>
      <c r="C56" s="29" t="n"/>
      <c r="D56" s="29" t="n"/>
      <c r="E56" s="29" t="n"/>
      <c r="F56" s="29" t="n"/>
      <c r="G56" s="29" t="n"/>
      <c r="H56" s="29" t="n"/>
      <c r="I56" s="29" t="n"/>
      <c r="J56" s="29" t="n"/>
      <c r="K56" s="29" t="n"/>
      <c r="L56" s="29" t="n"/>
      <c r="M56" s="29" t="n"/>
      <c r="N56" s="29" t="n"/>
      <c r="O56" s="29" t="n"/>
    </row>
    <row r="57">
      <c r="A57" s="29" t="n"/>
      <c r="B57" s="29" t="n"/>
      <c r="C57" s="29" t="n"/>
      <c r="D57" s="29" t="n"/>
      <c r="E57" s="29" t="n"/>
      <c r="F57" s="29" t="n"/>
      <c r="G57" s="29" t="n"/>
      <c r="H57" s="29" t="n"/>
      <c r="I57" s="29" t="n"/>
      <c r="J57" s="29" t="n"/>
      <c r="K57" s="29" t="n"/>
      <c r="L57" s="29" t="n"/>
      <c r="M57" s="29" t="n"/>
      <c r="N57" s="29" t="n"/>
      <c r="O57" s="29" t="n"/>
    </row>
    <row r="58">
      <c r="A58" s="29" t="n"/>
      <c r="B58" s="29" t="n"/>
      <c r="C58" s="29" t="n"/>
      <c r="D58" s="29" t="n"/>
      <c r="E58" s="29" t="n"/>
      <c r="F58" s="29" t="n"/>
      <c r="G58" s="29" t="n"/>
      <c r="H58" s="29" t="n"/>
      <c r="I58" s="29" t="n"/>
      <c r="J58" s="29" t="n"/>
      <c r="K58" s="29" t="n"/>
      <c r="L58" s="29" t="n"/>
      <c r="M58" s="29" t="n"/>
      <c r="N58" s="29" t="n"/>
      <c r="O58" s="29" t="n"/>
    </row>
    <row r="59">
      <c r="A59" s="29" t="n"/>
      <c r="B59" s="29" t="n"/>
      <c r="C59" s="29" t="n"/>
      <c r="D59" s="29" t="n"/>
      <c r="E59" s="29" t="n"/>
      <c r="F59" s="29" t="n"/>
      <c r="G59" s="29" t="n"/>
      <c r="H59" s="29" t="n"/>
      <c r="I59" s="29" t="n"/>
      <c r="J59" s="29" t="n"/>
      <c r="K59" s="29" t="n"/>
      <c r="L59" s="29" t="n"/>
      <c r="M59" s="29" t="n"/>
      <c r="N59" s="29" t="n"/>
      <c r="O59" s="29" t="n"/>
    </row>
    <row r="60">
      <c r="A60" s="29" t="n"/>
      <c r="B60" s="29" t="n"/>
      <c r="C60" s="29" t="n"/>
      <c r="D60" s="29" t="n"/>
      <c r="E60" s="29" t="n"/>
      <c r="F60" s="29" t="n"/>
      <c r="G60" s="29" t="n"/>
      <c r="H60" s="29" t="n"/>
      <c r="I60" s="29" t="n"/>
      <c r="J60" s="29" t="n"/>
      <c r="K60" s="29" t="n"/>
      <c r="L60" s="29" t="n"/>
      <c r="M60" s="29" t="n"/>
      <c r="N60" s="29" t="n"/>
      <c r="O60" s="29" t="n"/>
    </row>
    <row r="61">
      <c r="A61" s="29" t="n"/>
      <c r="B61" s="29" t="n"/>
      <c r="C61" s="29" t="n"/>
      <c r="D61" s="29" t="n"/>
      <c r="E61" s="29" t="n"/>
      <c r="F61" s="29" t="n"/>
      <c r="G61" s="29" t="n"/>
      <c r="H61" s="29" t="n"/>
      <c r="I61" s="29" t="n"/>
      <c r="J61" s="29" t="n"/>
      <c r="K61" s="29" t="n"/>
      <c r="L61" s="29" t="n"/>
      <c r="M61" s="29" t="n"/>
      <c r="N61" s="29" t="n"/>
      <c r="O61" s="29" t="n"/>
    </row>
    <row r="62">
      <c r="A62" s="29" t="n"/>
      <c r="B62" s="29" t="n"/>
      <c r="C62" s="29" t="n"/>
      <c r="D62" s="29" t="n"/>
      <c r="E62" s="29" t="n"/>
      <c r="F62" s="29" t="n"/>
      <c r="G62" s="29" t="n"/>
      <c r="H62" s="29" t="n"/>
      <c r="I62" s="29" t="n"/>
      <c r="J62" s="29" t="n"/>
      <c r="K62" s="29" t="n"/>
      <c r="L62" s="29" t="n"/>
      <c r="M62" s="29" t="n"/>
      <c r="N62" s="29" t="n"/>
      <c r="O62" s="29" t="n"/>
    </row>
    <row r="63">
      <c r="A63" s="29" t="n"/>
      <c r="B63" s="29" t="n"/>
      <c r="C63" s="29" t="n"/>
      <c r="D63" s="29" t="n"/>
      <c r="E63" s="29" t="n"/>
      <c r="F63" s="29" t="n"/>
      <c r="G63" s="29" t="n"/>
      <c r="H63" s="29" t="n"/>
      <c r="I63" s="29" t="n"/>
      <c r="J63" s="29" t="n"/>
      <c r="K63" s="29" t="n"/>
      <c r="L63" s="29" t="n"/>
      <c r="M63" s="29" t="n"/>
      <c r="N63" s="29" t="n"/>
      <c r="O63" s="29" t="n"/>
    </row>
    <row r="64">
      <c r="A64" s="29" t="n"/>
      <c r="B64" s="29" t="n"/>
      <c r="C64" s="29" t="n"/>
      <c r="D64" s="29" t="n"/>
      <c r="E64" s="29" t="n"/>
      <c r="F64" s="29" t="n"/>
      <c r="G64" s="29" t="n"/>
      <c r="H64" s="29" t="n"/>
      <c r="I64" s="29" t="n"/>
      <c r="J64" s="29" t="n"/>
      <c r="K64" s="29" t="n"/>
      <c r="L64" s="29" t="n"/>
      <c r="M64" s="29" t="n"/>
      <c r="N64" s="29" t="n"/>
      <c r="O64" s="29" t="n"/>
    </row>
    <row r="65">
      <c r="A65" s="29" t="n"/>
      <c r="B65" s="29" t="n"/>
      <c r="C65" s="29" t="n"/>
      <c r="D65" s="29" t="n"/>
      <c r="E65" s="29" t="n"/>
      <c r="F65" s="29" t="n"/>
      <c r="G65" s="29" t="n"/>
      <c r="H65" s="29" t="n"/>
      <c r="I65" s="29" t="n"/>
      <c r="J65" s="29" t="n"/>
      <c r="K65" s="29" t="n"/>
      <c r="L65" s="29" t="n"/>
      <c r="M65" s="29" t="n"/>
      <c r="N65" s="29" t="n"/>
      <c r="O65" s="29" t="n"/>
    </row>
    <row r="66">
      <c r="A66" s="29" t="n"/>
      <c r="B66" s="29" t="n"/>
      <c r="C66" s="29" t="n"/>
      <c r="D66" s="29" t="n"/>
      <c r="E66" s="29" t="n"/>
      <c r="F66" s="29" t="n"/>
      <c r="G66" s="29" t="n"/>
      <c r="H66" s="29" t="n"/>
      <c r="I66" s="29" t="n"/>
      <c r="J66" s="29" t="n"/>
      <c r="K66" s="29" t="n"/>
      <c r="L66" s="29" t="n"/>
      <c r="M66" s="29" t="n"/>
      <c r="N66" s="29" t="n"/>
      <c r="O66" s="29" t="n"/>
    </row>
    <row r="67">
      <c r="A67" s="29" t="n"/>
      <c r="B67" s="29" t="n"/>
      <c r="C67" s="29" t="n"/>
      <c r="D67" s="29" t="n"/>
      <c r="E67" s="29" t="n"/>
      <c r="F67" s="29" t="n"/>
      <c r="G67" s="29" t="n"/>
      <c r="H67" s="29" t="n"/>
      <c r="I67" s="29" t="n"/>
      <c r="J67" s="29" t="n"/>
      <c r="K67" s="29" t="n"/>
      <c r="L67" s="29" t="n"/>
      <c r="M67" s="29" t="n"/>
      <c r="N67" s="29" t="n"/>
      <c r="O67" s="29" t="n"/>
    </row>
    <row r="68">
      <c r="A68" s="29" t="n"/>
      <c r="B68" s="29" t="n"/>
      <c r="C68" s="29" t="n"/>
      <c r="D68" s="29" t="n"/>
      <c r="E68" s="29" t="n"/>
      <c r="F68" s="29" t="n"/>
      <c r="G68" s="29" t="n"/>
      <c r="H68" s="29" t="n"/>
      <c r="I68" s="29" t="n"/>
      <c r="J68" s="29" t="n"/>
      <c r="K68" s="29" t="n"/>
      <c r="L68" s="29" t="n"/>
      <c r="M68" s="29" t="n"/>
      <c r="N68" s="29" t="n"/>
      <c r="O68" s="29" t="n"/>
    </row>
    <row r="69">
      <c r="A69" s="29" t="n"/>
      <c r="B69" s="29" t="n"/>
      <c r="C69" s="29" t="n"/>
      <c r="D69" s="29" t="n"/>
      <c r="E69" s="29" t="n"/>
      <c r="F69" s="29" t="n"/>
      <c r="G69" s="29" t="n"/>
      <c r="H69" s="29" t="n"/>
      <c r="I69" s="29" t="n"/>
      <c r="J69" s="29" t="n"/>
      <c r="K69" s="29" t="n"/>
      <c r="L69" s="29" t="n"/>
      <c r="M69" s="29" t="n"/>
      <c r="N69" s="29" t="n"/>
      <c r="O69" s="29" t="n"/>
    </row>
    <row r="70">
      <c r="A70" s="29" t="n"/>
      <c r="B70" s="29" t="n"/>
      <c r="C70" s="29" t="n"/>
      <c r="D70" s="29" t="n"/>
      <c r="E70" s="29" t="n"/>
      <c r="F70" s="29" t="n"/>
      <c r="G70" s="29" t="n"/>
      <c r="H70" s="29" t="n"/>
      <c r="I70" s="29" t="n"/>
      <c r="J70" s="29" t="n"/>
      <c r="K70" s="29" t="n"/>
      <c r="L70" s="29" t="n"/>
      <c r="M70" s="29" t="n"/>
      <c r="N70" s="29" t="n"/>
      <c r="O70" s="29"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6" t="inlineStr">
        <is>
          <t>FINANCING PLAN</t>
        </is>
      </c>
      <c r="B1" s="29" t="n"/>
      <c r="C1" s="29" t="n"/>
      <c r="D1" s="29" t="n"/>
      <c r="E1" s="29" t="n"/>
      <c r="F1" s="29" t="n"/>
      <c r="G1" s="29" t="n"/>
      <c r="H1" s="29" t="n"/>
    </row>
    <row r="2" ht="45" customHeight="1">
      <c r="A2" s="48" t="inlineStr">
        <is>
          <t>What you need, where it comes from and what it costs to repay. It is the sheet your lender asks for along with the P&amp;L.</t>
        </is>
      </c>
      <c r="B2" s="29" t="n"/>
      <c r="C2" s="29" t="n"/>
      <c r="D2" s="29" t="n"/>
      <c r="E2" s="29" t="n"/>
      <c r="F2" s="29" t="n"/>
      <c r="G2" s="29" t="n"/>
      <c r="H2" s="29" t="n"/>
    </row>
    <row r="3">
      <c r="A3" s="29" t="n"/>
      <c r="B3" s="29" t="n"/>
      <c r="C3" s="29" t="n"/>
      <c r="D3" s="29" t="n"/>
      <c r="E3" s="29" t="n"/>
      <c r="F3" s="29" t="n"/>
      <c r="G3" s="29" t="n"/>
      <c r="H3" s="29" t="n"/>
    </row>
    <row r="4">
      <c r="A4" s="26" t="inlineStr">
        <is>
          <t>Item</t>
        </is>
      </c>
      <c r="B4" s="26" t="inlineStr">
        <is>
          <t>Amount</t>
        </is>
      </c>
      <c r="C4" s="26" t="inlineStr">
        <is>
          <t>Notes</t>
        </is>
      </c>
      <c r="D4" s="29" t="n"/>
      <c r="E4" s="29" t="n"/>
      <c r="F4" s="29" t="n"/>
      <c r="G4" s="29" t="n"/>
      <c r="H4" s="29" t="n"/>
    </row>
    <row r="5">
      <c r="A5" s="26" t="inlineStr">
        <is>
          <t>SOURCES OF FUNDS</t>
        </is>
      </c>
      <c r="B5" s="29" t="n"/>
      <c r="C5" s="29" t="n"/>
      <c r="D5" s="29" t="n"/>
      <c r="E5" s="29" t="n"/>
      <c r="F5" s="29" t="n"/>
      <c r="G5" s="29" t="n"/>
      <c r="H5" s="29" t="n"/>
    </row>
    <row r="6">
      <c r="A6" s="29" t="inlineStr">
        <is>
          <t>Owner's equity (your own money)</t>
        </is>
      </c>
      <c r="B6" s="41">
        <f>IFERROR(IF('0. Assumptions'!$B$30="","",'0. Assumptions'!$B$30),"")</f>
        <v>120000.0</v>
      </c>
      <c r="C6" s="29" t="n"/>
      <c r="D6" s="29" t="n"/>
      <c r="E6" s="29" t="n"/>
      <c r="F6" s="29" t="n"/>
      <c r="G6" s="29" t="n"/>
      <c r="H6" s="29" t="n"/>
    </row>
    <row r="7">
      <c r="A7" s="29" t="inlineStr">
        <is>
          <t>Loan requested — bank or SBA 7(a) (amortized below)</t>
        </is>
      </c>
      <c r="B7" s="41">
        <f>IFERROR(IF('0. Assumptions'!$B$31="","",'0. Assumptions'!$B$31),"")</f>
        <v>216000.0</v>
      </c>
      <c r="C7" s="29" t="n"/>
      <c r="D7" s="29" t="n"/>
      <c r="E7" s="29" t="n"/>
      <c r="F7" s="29" t="n"/>
      <c r="G7" s="29" t="n"/>
      <c r="H7" s="29" t="n"/>
    </row>
    <row r="8">
      <c r="A8" s="29" t="inlineStr">
        <is>
          <t>Other loan (not in the schedule or the DSCR — enter your loan in row 7)</t>
        </is>
      </c>
      <c r="B8" s="51" t="n">
        <v>0</v>
      </c>
      <c r="C8" s="29" t="inlineStr">
        <is>
          <t>A source of funds only: NOT amortized, so it is not in the schedule, the P&amp;L interest or the DSCR. Enter your bank or SBA 7(a) loan in row 7 ("Loan requested" in "0. Assumptions"); use this row only for a second loan</t>
        </is>
      </c>
      <c r="D8" s="29" t="n"/>
      <c r="E8" s="29" t="n"/>
      <c r="F8" s="29" t="n"/>
      <c r="G8" s="29" t="n"/>
      <c r="H8" s="29" t="n"/>
    </row>
    <row r="9">
      <c r="A9" s="29" t="inlineStr">
        <is>
          <t>SBA Microloan (not in the schedule or the DSCR — enter your loan in row 7)</t>
        </is>
      </c>
      <c r="B9" s="51" t="n">
        <v>0</v>
      </c>
      <c r="C9" s="29" t="inlineStr">
        <is>
          <t>SBA Microloans go up to $50,000 through nonprofit intermediaries. Like row 8, a source of funds only: not in the schedule or the DSCR. If it is your only loan, enter it in row 7 instead</t>
        </is>
      </c>
      <c r="D9" s="29" t="n"/>
      <c r="E9" s="29" t="n"/>
      <c r="F9" s="29" t="n"/>
      <c r="G9" s="29" t="n"/>
      <c r="H9" s="29" t="n"/>
    </row>
    <row r="10">
      <c r="A10" s="29" t="inlineStr">
        <is>
          <t>Investors / partners (equity: dilutes, not repaid)</t>
        </is>
      </c>
      <c r="B10" s="51" t="n">
        <v>0</v>
      </c>
      <c r="C10" s="29" t="inlineStr">
        <is>
          <t>Equity: it dilutes your ownership and is not repaid</t>
        </is>
      </c>
      <c r="D10" s="29" t="n"/>
      <c r="E10" s="29" t="n"/>
      <c r="F10" s="29" t="n"/>
      <c r="G10" s="29" t="n"/>
      <c r="H10" s="29" t="n"/>
    </row>
    <row r="11">
      <c r="A11" s="29" t="inlineStr">
        <is>
          <t>Local grants (usually paid after you spend)</t>
        </is>
      </c>
      <c r="B11" s="51" t="n">
        <v>0</v>
      </c>
      <c r="C11" s="29" t="inlineStr">
        <is>
          <t>Usually paid AFTER you document the spending</t>
        </is>
      </c>
      <c r="D11" s="29" t="n"/>
      <c r="E11" s="29" t="n"/>
      <c r="F11" s="29" t="n"/>
      <c r="G11" s="29" t="n"/>
      <c r="H11" s="29" t="n"/>
    </row>
    <row r="12">
      <c r="A12" s="26" t="inlineStr">
        <is>
          <t>TOTAL SOURCES OF FUNDS</t>
        </is>
      </c>
      <c r="B12" s="54">
        <f>IFERROR(IF(COUNT(B6:B11)=0,"",SUM(B6:B11)),"")</f>
        <v>336000.0</v>
      </c>
      <c r="C12" s="29" t="n"/>
      <c r="D12" s="29" t="n"/>
      <c r="E12" s="29" t="n"/>
      <c r="F12" s="29" t="n"/>
      <c r="G12" s="29" t="n"/>
      <c r="H12" s="29" t="n"/>
    </row>
    <row r="13">
      <c r="A13" s="26" t="inlineStr">
        <is>
          <t>USES OF FUNDS</t>
        </is>
      </c>
      <c r="B13" s="29" t="n"/>
      <c r="C13" s="29" t="n"/>
      <c r="D13" s="29" t="n"/>
      <c r="E13" s="29" t="n"/>
      <c r="F13" s="29" t="n"/>
      <c r="G13" s="29" t="n"/>
      <c r="H13" s="29" t="n"/>
    </row>
    <row r="14">
      <c r="A14" s="29" t="inlineStr">
        <is>
          <t>Total cash needed at launch</t>
        </is>
      </c>
      <c r="B14" s="41">
        <f>IFERROR(IF('Startup Costs'!$B$33="","",'Startup Costs'!$B$33),"")</f>
        <v>335708.3</v>
      </c>
      <c r="C14" s="29" t="inlineStr">
        <is>
          <t>Startup costs plus any recoverable tax you have to advance (zero by default in the US)</t>
        </is>
      </c>
      <c r="D14" s="29" t="n"/>
      <c r="E14" s="29" t="n"/>
      <c r="F14" s="29" t="n"/>
      <c r="G14" s="29" t="n"/>
      <c r="H14" s="29" t="n"/>
    </row>
    <row r="15">
      <c r="A15" s="26" t="inlineStr">
        <is>
          <t>Difference (sources - uses)</t>
        </is>
      </c>
      <c r="B15" s="54">
        <f>IFERROR(B12-B14,"")</f>
        <v>291.70000000001164</v>
      </c>
      <c r="C15" s="26" t="inlineStr">
        <is>
          <t>In red (negative), the plan is NOT funded. Far above zero is not free either: you pay interest on money you do not use</t>
        </is>
      </c>
      <c r="D15" s="29" t="n"/>
      <c r="E15" s="29" t="n"/>
      <c r="F15" s="29" t="n"/>
      <c r="G15" s="29" t="n"/>
      <c r="H15" s="29" t="n"/>
    </row>
    <row r="16">
      <c r="A16" s="29" t="inlineStr">
        <is>
          <t>Difference as a % of uses</t>
        </is>
      </c>
      <c r="B16" s="68">
        <f>IFERROR(B15/B14,"")</f>
        <v>0.0008689091094858591</v>
      </c>
      <c r="C16" s="29" t="inlineStr">
        <is>
          <t>Amber above the margin you set: it is debt you pay for without needing it</t>
        </is>
      </c>
      <c r="D16" s="29" t="n"/>
      <c r="E16" s="29" t="n"/>
      <c r="F16" s="29" t="n"/>
      <c r="G16" s="29" t="n"/>
      <c r="H16" s="29" t="n"/>
    </row>
    <row r="17">
      <c r="A17" s="29" t="inlineStr">
        <is>
          <t>Acceptable over-funding (%)</t>
        </is>
      </c>
      <c r="B17" s="74" t="n">
        <v>0.05</v>
      </c>
      <c r="C17" s="29" t="inlineStr">
        <is>
          <t>A small cushion over the need is healthy; 20% extra is interest thrown away</t>
        </is>
      </c>
      <c r="D17" s="29" t="n"/>
      <c r="E17" s="29" t="n"/>
      <c r="F17" s="29" t="n"/>
      <c r="G17" s="29" t="n"/>
      <c r="H17" s="29" t="n"/>
    </row>
    <row r="18">
      <c r="A18" s="29" t="inlineStr">
        <is>
          <t>Loan that would match sources to needs</t>
        </is>
      </c>
      <c r="B18" s="41">
        <f>IFERROR(MAX(0,B14-B12+B7),"")</f>
        <v>215708.3</v>
      </c>
      <c r="C18" s="29" t="inlineStr">
        <is>
          <t>Copy it into "Loan requested" in the "0. Assumptions" tab and the difference goes to zero. Rows 8-11 lower this figure, but only the row-7 loan is amortized and counted in the DSCR</t>
        </is>
      </c>
      <c r="D18" s="29" t="n"/>
      <c r="E18" s="29" t="n"/>
      <c r="F18" s="29" t="n"/>
      <c r="G18" s="29" t="n"/>
      <c r="H18" s="29" t="n"/>
    </row>
    <row r="19">
      <c r="A19" s="26" t="inlineStr">
        <is>
          <t>LOAN TERMS</t>
        </is>
      </c>
      <c r="B19" s="29" t="n"/>
      <c r="C19" s="29" t="n"/>
      <c r="D19" s="29" t="n"/>
      <c r="E19" s="29" t="n"/>
      <c r="F19" s="29" t="n"/>
      <c r="G19" s="29" t="n"/>
      <c r="H19" s="29" t="n"/>
    </row>
    <row r="20">
      <c r="A20" s="29" t="inlineStr">
        <is>
          <t>Principal amount</t>
        </is>
      </c>
      <c r="B20" s="41">
        <f>IFERROR(IF('0. Assumptions'!$B$31=0,"",'0. Assumptions'!$B$31),"")</f>
        <v>216000.0</v>
      </c>
      <c r="C20" s="29" t="n"/>
      <c r="D20" s="29" t="n"/>
      <c r="E20" s="29" t="n"/>
      <c r="F20" s="29" t="n"/>
      <c r="G20" s="29" t="n"/>
      <c r="H20" s="29" t="n"/>
    </row>
    <row r="21">
      <c r="A21" s="29" t="inlineStr">
        <is>
          <t>Nominal annual interest rate (not APR)</t>
        </is>
      </c>
      <c r="B21" s="68">
        <f>IFERROR(IF('0. Assumptions'!$B$32="","",'0. Assumptions'!$B$32),"")</f>
        <v>0.1</v>
      </c>
      <c r="C21" s="29" t="n"/>
      <c r="D21" s="29" t="n"/>
      <c r="E21" s="29" t="n"/>
      <c r="F21" s="29" t="n"/>
      <c r="G21" s="29" t="n"/>
      <c r="H21" s="29" t="n"/>
    </row>
    <row r="22">
      <c r="A22" s="29" t="inlineStr">
        <is>
          <t>Total term (years)</t>
        </is>
      </c>
      <c r="B22" s="41">
        <f>IFERROR(IF('0. Assumptions'!$B$33="","",'0. Assumptions'!$B$33),"")</f>
        <v>10.0</v>
      </c>
      <c r="C22" s="29" t="n"/>
      <c r="D22" s="29" t="n"/>
      <c r="E22" s="29" t="n"/>
      <c r="F22" s="29" t="n"/>
      <c r="G22" s="29" t="n"/>
      <c r="H22" s="29" t="n"/>
    </row>
    <row r="23">
      <c r="A23" s="29" t="inlineStr">
        <is>
          <t>Interest-only period applied (years)</t>
        </is>
      </c>
      <c r="B23" s="41">
        <f>IFERROR(IF(OR('0. Assumptions'!$B$34="",'0. Assumptions'!$B$33=""),"",IF('0. Assumptions'!$B$34&gt;='0. Assumptions'!$B$33,0,'0. Assumptions'!$B$34)),"")</f>
        <v>0.0</v>
      </c>
      <c r="C23" s="29" t="inlineStr">
        <is>
          <t>An interest-only period equal to or longer than the term does not exist: the sheet cancels it at the source</t>
        </is>
      </c>
      <c r="D23" s="29" t="n"/>
      <c r="E23" s="29" t="n"/>
      <c r="F23" s="29" t="n"/>
      <c r="G23" s="29" t="n"/>
      <c r="H23" s="29" t="n"/>
    </row>
    <row r="24">
      <c r="A24" s="26" t="inlineStr">
        <is>
          <t>Annual payment during repayment</t>
        </is>
      </c>
      <c r="B24" s="55">
        <f>IFERROR(IF(B22-B23&lt;=0,"",IF(B21=0,B20/(B22-B23),B20*B21/(1-(1+B21)^-(B22-B23)))),"")</f>
        <v>35153.00529462249</v>
      </c>
      <c r="C24" s="26" t="inlineStr">
        <is>
          <t>Standard amortizing loan with a level annual payment. At a 0% rate it is the principal divided by the repayment years: without that branch the schedule would shut down entirely</t>
        </is>
      </c>
      <c r="D24" s="29" t="n"/>
      <c r="E24" s="29" t="n"/>
      <c r="F24" s="29" t="n"/>
      <c r="G24" s="29" t="n"/>
      <c r="H24" s="29" t="n"/>
    </row>
    <row r="25">
      <c r="A25" s="26" t="inlineStr">
        <is>
          <t>AMORTIZATION SCHEDULE</t>
        </is>
      </c>
      <c r="B25" s="29" t="n"/>
      <c r="C25" s="29" t="n"/>
      <c r="D25" s="29" t="n"/>
      <c r="E25" s="29" t="n"/>
      <c r="F25" s="29" t="n"/>
      <c r="G25" s="29" t="n"/>
      <c r="H25" s="29" t="n"/>
    </row>
    <row r="26">
      <c r="A26" s="26" t="inlineStr">
        <is>
          <t>Year</t>
        </is>
      </c>
      <c r="B26" s="26" t="inlineStr">
        <is>
          <t>Opening balance</t>
        </is>
      </c>
      <c r="C26" s="26" t="inlineStr">
        <is>
          <t>Interest</t>
        </is>
      </c>
      <c r="D26" s="26" t="inlineStr">
        <is>
          <t>Principal repaid</t>
        </is>
      </c>
      <c r="E26" s="26" t="inlineStr">
        <is>
          <t>Total payment</t>
        </is>
      </c>
      <c r="F26" s="26" t="inlineStr">
        <is>
          <t>Closing balance</t>
        </is>
      </c>
      <c r="G26" s="26" t="inlineStr">
        <is>
          <t>Cash flow available for debt service (after tax; from year 4 on, year 3 held flat)</t>
        </is>
      </c>
      <c r="H26" s="26" t="inlineStr">
        <is>
          <t>DSCR for the year</t>
        </is>
      </c>
    </row>
    <row r="27">
      <c r="A27" s="41" t="n">
        <v>1</v>
      </c>
      <c r="B27" s="62">
        <f>IFERROR(IF(B20="","",B20),"")</f>
        <v>216000.0</v>
      </c>
      <c r="C27" s="62">
        <f>IFERROR(IF(OR(1&gt;B22,B27=""),"",B27*B21),"")</f>
        <v>21600.0</v>
      </c>
      <c r="D27" s="62">
        <f>IFERROR(IF(OR(1&gt;B22,B27=""),"",IF(1&lt;=B23,0,MIN(B27,B24-C27))),"")</f>
        <v>13553.00529462249</v>
      </c>
      <c r="E27" s="62">
        <f>IFERROR(IF(C27="","",C27+D27),"")</f>
        <v>35153.00529462249</v>
      </c>
      <c r="F27" s="62">
        <f>IFERROR(IF(D27="","",B27-D27),"")</f>
        <v>202446.9947053775</v>
      </c>
      <c r="G27" s="62">
        <f>IFERROR(IF(E27="","",'3-Year P&amp;L'!$B$40-'3-Year P&amp;L'!$B$45+'3-Year P&amp;L'!$B$35+'3-Year P&amp;L'!$B$36),"")</f>
        <v>104063.16071428572</v>
      </c>
      <c r="H27" s="62">
        <f>IFERROR(IF(OR(E27="",E27=0),"",G27/E27),"")</f>
        <v>2.960292010373427</v>
      </c>
    </row>
    <row r="28">
      <c r="A28" s="41" t="n">
        <v>2</v>
      </c>
      <c r="B28" s="62">
        <f>IFERROR(IF(OR(2&gt;B22,F27=""),"",F27),"")</f>
        <v>202446.9947053775</v>
      </c>
      <c r="C28" s="62">
        <f>IFERROR(IF(OR(2&gt;B22,B28=""),"",B28*B21),"")</f>
        <v>20244.69947053775</v>
      </c>
      <c r="D28" s="62">
        <f>IFERROR(IF(OR(2&gt;B22,B28=""),"",IF(2&lt;=B23,0,MIN(B28,B24-C28))),"")</f>
        <v>14908.305824084739</v>
      </c>
      <c r="E28" s="62">
        <f>IFERROR(IF(C28="","",C28+D28),"")</f>
        <v>35153.00529462249</v>
      </c>
      <c r="F28" s="62">
        <f>IFERROR(IF(D28="","",B28-D28),"")</f>
        <v>187538.68888129276</v>
      </c>
      <c r="G28" s="62">
        <f>IFERROR(IF(E28="","",'3-Year P&amp;L'!$C$40-'3-Year P&amp;L'!$C$45+'3-Year P&amp;L'!$C$35+'3-Year P&amp;L'!$C$36),"")</f>
        <v>122172.10208192014</v>
      </c>
      <c r="H28" s="62">
        <f>IFERROR(IF(OR(E28="",E28=0),"",G28/E28),"")</f>
        <v>3.4754383318859325</v>
      </c>
    </row>
    <row r="29">
      <c r="A29" s="41" t="n">
        <v>3</v>
      </c>
      <c r="B29" s="62">
        <f>IFERROR(IF(OR(3&gt;B22,F28=""),"",F28),"")</f>
        <v>187538.68888129276</v>
      </c>
      <c r="C29" s="62">
        <f>IFERROR(IF(OR(3&gt;B22,B29=""),"",B29*B21),"")</f>
        <v>18753.868888129276</v>
      </c>
      <c r="D29" s="62">
        <f>IFERROR(IF(OR(3&gt;B22,B29=""),"",IF(3&lt;=B23,0,MIN(B29,B24-C29))),"")</f>
        <v>16399.136406493213</v>
      </c>
      <c r="E29" s="62">
        <f>IFERROR(IF(C29="","",C29+D29),"")</f>
        <v>35153.00529462249</v>
      </c>
      <c r="F29" s="62">
        <f>IFERROR(IF(D29="","",B29-D29),"")</f>
        <v>171139.55247479957</v>
      </c>
      <c r="G29" s="62">
        <f>IFERROR(IF(E29="","",'3-Year P&amp;L'!$D$40-'3-Year P&amp;L'!$D$45+'3-Year P&amp;L'!$D$35+'3-Year P&amp;L'!$D$36),"")</f>
        <v>133735.816096318</v>
      </c>
      <c r="H29" s="62">
        <f>IFERROR(IF(OR(E29="",E29=0),"",G29/E29),"")</f>
        <v>3.80439211314818</v>
      </c>
    </row>
    <row r="30">
      <c r="A30" s="41" t="n">
        <v>4</v>
      </c>
      <c r="B30" s="62">
        <f>IFERROR(IF(OR(4&gt;B22,F29=""),"",F29),"")</f>
        <v>171139.55247479957</v>
      </c>
      <c r="C30" s="62">
        <f>IFERROR(IF(OR(4&gt;B22,B30=""),"",B30*B21),"")</f>
        <v>17113.955247479957</v>
      </c>
      <c r="D30" s="62">
        <f>IFERROR(IF(OR(4&gt;B22,B30=""),"",IF(4&lt;=B23,0,MIN(B30,B24-C30))),"")</f>
        <v>18039.050047142533</v>
      </c>
      <c r="E30" s="62">
        <f>IFERROR(IF(C30="","",C30+D30),"")</f>
        <v>35153.00529462249</v>
      </c>
      <c r="F30" s="62">
        <f>IFERROR(IF(D30="","",B30-D30),"")</f>
        <v>153100.50242765702</v>
      </c>
      <c r="G30" s="62">
        <f>IFERROR(IF(E30="","",'3-Year P&amp;L'!$D$40-'3-Year P&amp;L'!$D$45+'3-Year P&amp;L'!$D$35+'3-Year P&amp;L'!$D$36),"")</f>
        <v>133735.816096318</v>
      </c>
      <c r="H30" s="62">
        <f>IFERROR(IF(OR(E30="",E30=0),"",G30/E30),"")</f>
        <v>3.80439211314818</v>
      </c>
    </row>
    <row r="31">
      <c r="A31" s="41" t="n">
        <v>5</v>
      </c>
      <c r="B31" s="62">
        <f>IFERROR(IF(OR(5&gt;B22,F30=""),"",F30),"")</f>
        <v>153100.50242765702</v>
      </c>
      <c r="C31" s="62">
        <f>IFERROR(IF(OR(5&gt;B22,B31=""),"",B31*B21),"")</f>
        <v>15310.050242765703</v>
      </c>
      <c r="D31" s="62">
        <f>IFERROR(IF(OR(5&gt;B22,B31=""),"",IF(5&lt;=B23,0,MIN(B31,B24-C31))),"")</f>
        <v>19842.955051856785</v>
      </c>
      <c r="E31" s="62">
        <f>IFERROR(IF(C31="","",C31+D31),"")</f>
        <v>35153.00529462249</v>
      </c>
      <c r="F31" s="62">
        <f>IFERROR(IF(D31="","",B31-D31),"")</f>
        <v>133257.54737580023</v>
      </c>
      <c r="G31" s="62">
        <f>IFERROR(IF(E31="","",'3-Year P&amp;L'!$D$40-'3-Year P&amp;L'!$D$45+'3-Year P&amp;L'!$D$35+'3-Year P&amp;L'!$D$36),"")</f>
        <v>133735.816096318</v>
      </c>
      <c r="H31" s="62">
        <f>IFERROR(IF(OR(E31="",E31=0),"",G31/E31),"")</f>
        <v>3.80439211314818</v>
      </c>
    </row>
    <row r="32">
      <c r="A32" s="41" t="n">
        <v>6</v>
      </c>
      <c r="B32" s="62">
        <f>IFERROR(IF(OR(6&gt;B22,F31=""),"",F31),"")</f>
        <v>133257.54737580023</v>
      </c>
      <c r="C32" s="62">
        <f>IFERROR(IF(OR(6&gt;B22,B32=""),"",B32*B21),"")</f>
        <v>13325.754737580024</v>
      </c>
      <c r="D32" s="62">
        <f>IFERROR(IF(OR(6&gt;B22,B32=""),"",IF(6&lt;=B23,0,MIN(B32,B24-C32))),"")</f>
        <v>21827.250557042466</v>
      </c>
      <c r="E32" s="62">
        <f>IFERROR(IF(C32="","",C32+D32),"")</f>
        <v>35153.00529462249</v>
      </c>
      <c r="F32" s="62">
        <f>IFERROR(IF(D32="","",B32-D32),"")</f>
        <v>111430.29681875776</v>
      </c>
      <c r="G32" s="62">
        <f>IFERROR(IF(E32="","",'3-Year P&amp;L'!$D$40-'3-Year P&amp;L'!$D$45+'3-Year P&amp;L'!$D$35+'3-Year P&amp;L'!$D$36),"")</f>
        <v>133735.816096318</v>
      </c>
      <c r="H32" s="62">
        <f>IFERROR(IF(OR(E32="",E32=0),"",G32/E32),"")</f>
        <v>3.80439211314818</v>
      </c>
    </row>
    <row r="33">
      <c r="A33" s="41" t="n">
        <v>7</v>
      </c>
      <c r="B33" s="62">
        <f>IFERROR(IF(OR(7&gt;B22,F32=""),"",F32),"")</f>
        <v>111430.29681875776</v>
      </c>
      <c r="C33" s="62">
        <f>IFERROR(IF(OR(7&gt;B22,B33=""),"",B33*B21),"")</f>
        <v>11143.029681875778</v>
      </c>
      <c r="D33" s="62">
        <f>IFERROR(IF(OR(7&gt;B22,B33=""),"",IF(7&lt;=B23,0,MIN(B33,B24-C33))),"")</f>
        <v>24009.97561274671</v>
      </c>
      <c r="E33" s="62">
        <f>IFERROR(IF(C33="","",C33+D33),"")</f>
        <v>35153.00529462249</v>
      </c>
      <c r="F33" s="62">
        <f>IFERROR(IF(D33="","",B33-D33),"")</f>
        <v>87420.32120601105</v>
      </c>
      <c r="G33" s="62">
        <f>IFERROR(IF(E33="","",'3-Year P&amp;L'!$D$40-'3-Year P&amp;L'!$D$45+'3-Year P&amp;L'!$D$35+'3-Year P&amp;L'!$D$36),"")</f>
        <v>133735.816096318</v>
      </c>
      <c r="H33" s="62">
        <f>IFERROR(IF(OR(E33="",E33=0),"",G33/E33),"")</f>
        <v>3.80439211314818</v>
      </c>
    </row>
    <row r="34">
      <c r="A34" s="41" t="n">
        <v>8</v>
      </c>
      <c r="B34" s="62">
        <f>IFERROR(IF(OR(8&gt;B22,F33=""),"",F33),"")</f>
        <v>87420.32120601105</v>
      </c>
      <c r="C34" s="62">
        <f>IFERROR(IF(OR(8&gt;B22,B34=""),"",B34*B21),"")</f>
        <v>8742.032120601105</v>
      </c>
      <c r="D34" s="62">
        <f>IFERROR(IF(OR(8&gt;B22,B34=""),"",IF(8&lt;=B23,0,MIN(B34,B24-C34))),"")</f>
        <v>26410.973174021383</v>
      </c>
      <c r="E34" s="62">
        <f>IFERROR(IF(C34="","",C34+D34),"")</f>
        <v>35153.00529462249</v>
      </c>
      <c r="F34" s="62">
        <f>IFERROR(IF(D34="","",B34-D34),"")</f>
        <v>61009.34803198967</v>
      </c>
      <c r="G34" s="62">
        <f>IFERROR(IF(E34="","",'3-Year P&amp;L'!$D$40-'3-Year P&amp;L'!$D$45+'3-Year P&amp;L'!$D$35+'3-Year P&amp;L'!$D$36),"")</f>
        <v>133735.816096318</v>
      </c>
      <c r="H34" s="62">
        <f>IFERROR(IF(OR(E34="",E34=0),"",G34/E34),"")</f>
        <v>3.80439211314818</v>
      </c>
    </row>
    <row r="35">
      <c r="A35" s="41" t="n">
        <v>9</v>
      </c>
      <c r="B35" s="62">
        <f>IFERROR(IF(OR(9&gt;B22,F34=""),"",F34),"")</f>
        <v>61009.34803198967</v>
      </c>
      <c r="C35" s="62">
        <f>IFERROR(IF(OR(9&gt;B22,B35=""),"",B35*B21),"")</f>
        <v>6100.9348031989675</v>
      </c>
      <c r="D35" s="62">
        <f>IFERROR(IF(OR(9&gt;B22,B35=""),"",IF(9&lt;=B23,0,MIN(B35,B24-C35))),"")</f>
        <v>29052.07049142352</v>
      </c>
      <c r="E35" s="62">
        <f>IFERROR(IF(C35="","",C35+D35),"")</f>
        <v>35153.00529462249</v>
      </c>
      <c r="F35" s="62">
        <f>IFERROR(IF(D35="","",B35-D35),"")</f>
        <v>31957.27754056615</v>
      </c>
      <c r="G35" s="62">
        <f>IFERROR(IF(E35="","",'3-Year P&amp;L'!$D$40-'3-Year P&amp;L'!$D$45+'3-Year P&amp;L'!$D$35+'3-Year P&amp;L'!$D$36),"")</f>
        <v>133735.816096318</v>
      </c>
      <c r="H35" s="62">
        <f>IFERROR(IF(OR(E35="",E35=0),"",G35/E35),"")</f>
        <v>3.80439211314818</v>
      </c>
    </row>
    <row r="36">
      <c r="A36" s="41" t="n">
        <v>10</v>
      </c>
      <c r="B36" s="62">
        <f>IFERROR(IF(OR(10&gt;B22,F35=""),"",F35),"")</f>
        <v>31957.27754056615</v>
      </c>
      <c r="C36" s="62">
        <f>IFERROR(IF(OR(10&gt;B22,B36=""),"",B36*B21),"")</f>
        <v>3195.727754056615</v>
      </c>
      <c r="D36" s="62">
        <f>IFERROR(IF(OR(10&gt;B22,B36=""),"",IF(10&lt;=B23,0,MIN(B36,B24-C36))),"")</f>
        <v>31957.277540565876</v>
      </c>
      <c r="E36" s="62">
        <f>IFERROR(IF(C36="","",C36+D36),"")</f>
        <v>35153.00529462249</v>
      </c>
      <c r="F36" s="62">
        <f>IFERROR(IF(D36="","",B36-D36),"")</f>
        <v>2.7284841053187847e-10</v>
      </c>
      <c r="G36" s="62">
        <f>IFERROR(IF(E36="","",'3-Year P&amp;L'!$D$40-'3-Year P&amp;L'!$D$45+'3-Year P&amp;L'!$D$35+'3-Year P&amp;L'!$D$36),"")</f>
        <v>133735.816096318</v>
      </c>
      <c r="H36" s="62">
        <f>IFERROR(IF(OR(E36="",E36=0),"",G36/E36),"")</f>
        <v>3.80439211314818</v>
      </c>
    </row>
    <row r="37">
      <c r="A37" s="41" t="n">
        <v>11</v>
      </c>
      <c r="B37" s="62">
        <f>IFERROR(IF(OR(11&gt;B22,F36=""),"",F36),"")</f>
        <v/>
      </c>
      <c r="C37" s="62">
        <f>IFERROR(IF(OR(11&gt;B22,B37=""),"",B37*B21),"")</f>
        <v/>
      </c>
      <c r="D37" s="62">
        <f>IFERROR(IF(OR(11&gt;B22,B37=""),"",IF(11&lt;=B23,0,MIN(B37,B24-C37))),"")</f>
        <v/>
      </c>
      <c r="E37" s="62">
        <f>IFERROR(IF(C37="","",C37+D37),"")</f>
        <v/>
      </c>
      <c r="F37" s="62">
        <f>IFERROR(IF(D37="","",B37-D37),"")</f>
        <v/>
      </c>
      <c r="G37" s="62">
        <f>IFERROR(IF(E37="","",'3-Year P&amp;L'!$D$40-'3-Year P&amp;L'!$D$45+'3-Year P&amp;L'!$D$35+'3-Year P&amp;L'!$D$36),"")</f>
        <v/>
      </c>
      <c r="H37" s="62">
        <f>IFERROR(IF(OR(E37="",E37=0),"",G37/E37),"")</f>
        <v/>
      </c>
    </row>
    <row r="38">
      <c r="A38" s="41" t="n">
        <v>12</v>
      </c>
      <c r="B38" s="62">
        <f>IFERROR(IF(OR(12&gt;B22,F37=""),"",F37),"")</f>
        <v/>
      </c>
      <c r="C38" s="62">
        <f>IFERROR(IF(OR(12&gt;B22,B38=""),"",B38*B21),"")</f>
        <v/>
      </c>
      <c r="D38" s="62">
        <f>IFERROR(IF(OR(12&gt;B22,B38=""),"",IF(12&lt;=B23,0,MIN(B38,B24-C38))),"")</f>
        <v/>
      </c>
      <c r="E38" s="62">
        <f>IFERROR(IF(C38="","",C38+D38),"")</f>
        <v/>
      </c>
      <c r="F38" s="62">
        <f>IFERROR(IF(D38="","",B38-D38),"")</f>
        <v/>
      </c>
      <c r="G38" s="62">
        <f>IFERROR(IF(E38="","",'3-Year P&amp;L'!$D$40-'3-Year P&amp;L'!$D$45+'3-Year P&amp;L'!$D$35+'3-Year P&amp;L'!$D$36),"")</f>
        <v/>
      </c>
      <c r="H38" s="62">
        <f>IFERROR(IF(OR(E38="",E38=0),"",G38/E38),"")</f>
        <v/>
      </c>
    </row>
    <row r="39">
      <c r="A39" s="41" t="n">
        <v>13</v>
      </c>
      <c r="B39" s="62">
        <f>IFERROR(IF(OR(13&gt;B22,F38=""),"",F38),"")</f>
        <v/>
      </c>
      <c r="C39" s="62">
        <f>IFERROR(IF(OR(13&gt;B22,B39=""),"",B39*B21),"")</f>
        <v/>
      </c>
      <c r="D39" s="62">
        <f>IFERROR(IF(OR(13&gt;B22,B39=""),"",IF(13&lt;=B23,0,MIN(B39,B24-C39))),"")</f>
        <v/>
      </c>
      <c r="E39" s="62">
        <f>IFERROR(IF(C39="","",C39+D39),"")</f>
        <v/>
      </c>
      <c r="F39" s="62">
        <f>IFERROR(IF(D39="","",B39-D39),"")</f>
        <v/>
      </c>
      <c r="G39" s="62">
        <f>IFERROR(IF(E39="","",'3-Year P&amp;L'!$D$40-'3-Year P&amp;L'!$D$45+'3-Year P&amp;L'!$D$35+'3-Year P&amp;L'!$D$36),"")</f>
        <v/>
      </c>
      <c r="H39" s="62">
        <f>IFERROR(IF(OR(E39="",E39=0),"",G39/E39),"")</f>
        <v/>
      </c>
    </row>
    <row r="40">
      <c r="A40" s="41" t="n">
        <v>14</v>
      </c>
      <c r="B40" s="62">
        <f>IFERROR(IF(OR(14&gt;B22,F39=""),"",F39),"")</f>
        <v/>
      </c>
      <c r="C40" s="62">
        <f>IFERROR(IF(OR(14&gt;B22,B40=""),"",B40*B21),"")</f>
        <v/>
      </c>
      <c r="D40" s="62">
        <f>IFERROR(IF(OR(14&gt;B22,B40=""),"",IF(14&lt;=B23,0,MIN(B40,B24-C40))),"")</f>
        <v/>
      </c>
      <c r="E40" s="62">
        <f>IFERROR(IF(C40="","",C40+D40),"")</f>
        <v/>
      </c>
      <c r="F40" s="62">
        <f>IFERROR(IF(D40="","",B40-D40),"")</f>
        <v/>
      </c>
      <c r="G40" s="62">
        <f>IFERROR(IF(E40="","",'3-Year P&amp;L'!$D$40-'3-Year P&amp;L'!$D$45+'3-Year P&amp;L'!$D$35+'3-Year P&amp;L'!$D$36),"")</f>
        <v/>
      </c>
      <c r="H40" s="62">
        <f>IFERROR(IF(OR(E40="",E40=0),"",G40/E40),"")</f>
        <v/>
      </c>
    </row>
    <row r="41">
      <c r="A41" s="41" t="n">
        <v>15</v>
      </c>
      <c r="B41" s="62">
        <f>IFERROR(IF(OR(15&gt;B22,F40=""),"",F40),"")</f>
        <v/>
      </c>
      <c r="C41" s="62">
        <f>IFERROR(IF(OR(15&gt;B22,B41=""),"",B41*B21),"")</f>
        <v/>
      </c>
      <c r="D41" s="62">
        <f>IFERROR(IF(OR(15&gt;B22,B41=""),"",IF(15&lt;=B23,0,MIN(B41,B24-C41))),"")</f>
        <v/>
      </c>
      <c r="E41" s="62">
        <f>IFERROR(IF(C41="","",C41+D41),"")</f>
        <v/>
      </c>
      <c r="F41" s="62">
        <f>IFERROR(IF(D41="","",B41-D41),"")</f>
        <v/>
      </c>
      <c r="G41" s="62">
        <f>IFERROR(IF(E41="","",'3-Year P&amp;L'!$D$40-'3-Year P&amp;L'!$D$45+'3-Year P&amp;L'!$D$35+'3-Year P&amp;L'!$D$36),"")</f>
        <v/>
      </c>
      <c r="H41" s="62">
        <f>IFERROR(IF(OR(E41="",E41=0),"",G41/E41),"")</f>
        <v/>
      </c>
    </row>
    <row r="42">
      <c r="A42" s="29" t="inlineStr">
        <is>
          <t>Schedule closing tolerance</t>
        </is>
      </c>
      <c r="B42" s="76" t="n">
        <v>0.01</v>
      </c>
      <c r="C42" s="29" t="inlineStr">
        <is>
          <t>Rounding margin. Above it, the schedule does not close and there is principal left unpaid</t>
        </is>
      </c>
      <c r="D42" s="29" t="n"/>
      <c r="E42" s="29" t="n"/>
      <c r="F42" s="29" t="n"/>
      <c r="G42" s="29" t="n"/>
      <c r="H42" s="29" t="n"/>
    </row>
    <row r="43">
      <c r="A43" s="29" t="inlineStr">
        <is>
          <t>Balance outstanding at maturity</t>
        </is>
      </c>
      <c r="B43" s="62">
        <f>IFERROR(IF(B20="","",ROUND(B20-SUM(D27:D41),2)),"")</f>
        <v>0.0</v>
      </c>
      <c r="C43" s="29" t="inlineStr">
        <is>
          <t>Must be zero: the principal repaid in the schedule has to equal the amount borrowed. If it is positive, the term falls short</t>
        </is>
      </c>
      <c r="D43" s="29" t="n"/>
      <c r="E43" s="29" t="n"/>
      <c r="F43" s="29" t="n"/>
      <c r="G43" s="29" t="n"/>
      <c r="H43" s="29" t="n"/>
    </row>
    <row r="44">
      <c r="A44" s="29" t="inlineStr">
        <is>
          <t>Year-1 interest</t>
        </is>
      </c>
      <c r="B44" s="41">
        <f>IFERROR(IF(B20="","",IF(C27="",0,C27)),"")</f>
        <v>21600.0</v>
      </c>
      <c r="C44" s="29" t="n"/>
      <c r="D44" s="29" t="n"/>
      <c r="E44" s="29" t="n"/>
      <c r="F44" s="29" t="n"/>
      <c r="G44" s="29" t="n"/>
      <c r="H44" s="29" t="n"/>
    </row>
    <row r="45">
      <c r="A45" s="29" t="inlineStr">
        <is>
          <t>Year-1 principal repaid</t>
        </is>
      </c>
      <c r="B45" s="41">
        <f>IFERROR(IF(B20="","",IF(D27="",0,D27)),"")</f>
        <v>13553.00529462249</v>
      </c>
      <c r="C45" s="29" t="n"/>
      <c r="D45" s="29" t="n"/>
      <c r="E45" s="29" t="n"/>
      <c r="F45" s="29" t="n"/>
      <c r="G45" s="29" t="n"/>
      <c r="H45" s="29" t="n"/>
    </row>
    <row r="46">
      <c r="A46" s="29" t="inlineStr">
        <is>
          <t>Year-2 interest</t>
        </is>
      </c>
      <c r="B46" s="41">
        <f>IFERROR(IF(B20="","",IF(C28="",0,C28)),"")</f>
        <v>20244.69947053775</v>
      </c>
      <c r="C46" s="29" t="n"/>
      <c r="D46" s="29" t="n"/>
      <c r="E46" s="29" t="n"/>
      <c r="F46" s="29" t="n"/>
      <c r="G46" s="29" t="n"/>
      <c r="H46" s="29" t="n"/>
    </row>
    <row r="47">
      <c r="A47" s="29" t="inlineStr">
        <is>
          <t>Year-2 principal repaid</t>
        </is>
      </c>
      <c r="B47" s="41">
        <f>IFERROR(IF(B20="","",IF(D28="",0,D28)),"")</f>
        <v>14908.305824084739</v>
      </c>
      <c r="C47" s="29" t="n"/>
      <c r="D47" s="29" t="n"/>
      <c r="E47" s="29" t="n"/>
      <c r="F47" s="29" t="n"/>
      <c r="G47" s="29" t="n"/>
      <c r="H47" s="29" t="n"/>
    </row>
    <row r="48">
      <c r="A48" s="29" t="inlineStr">
        <is>
          <t>Year-3 interest</t>
        </is>
      </c>
      <c r="B48" s="41">
        <f>IFERROR(IF(B20="","",IF(C29="",0,C29)),"")</f>
        <v>18753.868888129276</v>
      </c>
      <c r="C48" s="29" t="n"/>
      <c r="D48" s="29" t="n"/>
      <c r="E48" s="29" t="n"/>
      <c r="F48" s="29" t="n"/>
      <c r="G48" s="29" t="n"/>
      <c r="H48" s="29" t="n"/>
    </row>
    <row r="49">
      <c r="A49" s="29" t="inlineStr">
        <is>
          <t>Year-3 principal repaid</t>
        </is>
      </c>
      <c r="B49" s="41">
        <f>IFERROR(IF(B20="","",IF(D29="",0,D29)),"")</f>
        <v>16399.136406493213</v>
      </c>
      <c r="C49" s="29" t="n"/>
      <c r="D49" s="29" t="n"/>
      <c r="E49" s="29" t="n"/>
      <c r="F49" s="29" t="n"/>
      <c r="G49" s="29" t="n"/>
      <c r="H49" s="29" t="n"/>
    </row>
    <row r="50">
      <c r="A50" s="26" t="inlineStr">
        <is>
          <t>DEBT SERVICE COVERAGE RATIO (DSCR)</t>
        </is>
      </c>
      <c r="B50" s="29" t="n"/>
      <c r="C50" s="29" t="n"/>
      <c r="D50" s="29" t="n"/>
      <c r="E50" s="29" t="n"/>
      <c r="F50" s="29" t="n"/>
      <c r="G50" s="29" t="n"/>
      <c r="H50" s="29" t="n"/>
    </row>
    <row r="51">
      <c r="A51" s="29" t="inlineStr">
        <is>
          <t>Year-1 DSCR</t>
        </is>
      </c>
      <c r="B51" s="62">
        <f>IFERROR(('3-Year P&amp;L'!$B$40-'3-Year P&amp;L'!$B$45+'3-Year P&amp;L'!$B$35+B44)/(B44+B45),"")</f>
        <v>2.960292010373427</v>
      </c>
      <c r="C51" s="29" t="inlineStr">
        <is>
          <t>An INTEREST-ONLY year, if there is one: with only interest in the denominator the ratio shoots up and does not measure the business</t>
        </is>
      </c>
      <c r="D51" s="29" t="n"/>
      <c r="E51" s="29" t="n"/>
      <c r="F51" s="29" t="n"/>
      <c r="G51" s="29" t="n"/>
      <c r="H51" s="29" t="n"/>
    </row>
    <row r="52">
      <c r="A52" s="29" t="inlineStr">
        <is>
          <t>Year-2 DSCR</t>
        </is>
      </c>
      <c r="B52" s="62">
        <f>IFERROR(('3-Year P&amp;L'!$C$40-'3-Year P&amp;L'!$C$45+'3-Year P&amp;L'!$C$35+B46)/(B46+B47),"")</f>
        <v>3.4754383318859325</v>
      </c>
      <c r="C52" s="29" t="n"/>
      <c r="D52" s="29" t="n"/>
      <c r="E52" s="29" t="n"/>
      <c r="F52" s="29" t="n"/>
      <c r="G52" s="29" t="n"/>
      <c r="H52" s="29" t="n"/>
    </row>
    <row r="53">
      <c r="A53" s="29" t="inlineStr">
        <is>
          <t>Year-3 DSCR</t>
        </is>
      </c>
      <c r="B53" s="62">
        <f>IFERROR(('3-Year P&amp;L'!$D$40-'3-Year P&amp;L'!$D$45+'3-Year P&amp;L'!$D$35+B48)/(B48+B49),"")</f>
        <v>3.80439211314818</v>
      </c>
      <c r="C53" s="29" t="n"/>
      <c r="D53" s="29" t="n"/>
      <c r="E53" s="29" t="n"/>
      <c r="F53" s="29" t="n"/>
      <c r="G53" s="29" t="n"/>
      <c r="H53" s="29" t="n"/>
    </row>
    <row r="54">
      <c r="A54" s="26" t="inlineStr">
        <is>
          <t>Minimum DSCR across the whole schedule</t>
        </is>
      </c>
      <c r="B54" s="55">
        <f>IFERROR(IF(COUNT(H27:H41)=0,"",MIN(H27:H41)),"")</f>
        <v>2.960292010373427</v>
      </c>
      <c r="C54" s="26" t="inlineStr">
        <is>
          <t>The worst year of the life of the loan, not the best of the three the P&amp;L projects. It is the number that decides a loan. Mind the scope: years 1 to 3 come from the P&amp;L, and from year 4 on the schedule HOLDS year 3's cash flow, so the minimum over those years is a sustained projection, not a calculated year. The cash flow is after tax</t>
        </is>
      </c>
      <c r="D54" s="29" t="n"/>
      <c r="E54" s="29" t="n"/>
      <c r="F54" s="29" t="n"/>
      <c r="G54" s="29" t="n"/>
      <c r="H54" s="29" t="n"/>
    </row>
    <row r="55">
      <c r="A55" s="29" t="n"/>
      <c r="B55" s="29" t="n"/>
      <c r="C55" s="29" t="n"/>
      <c r="D55" s="29" t="n"/>
      <c r="E55" s="29" t="n"/>
      <c r="F55" s="29" t="n"/>
      <c r="G55" s="29" t="n"/>
      <c r="H55" s="29" t="n"/>
    </row>
    <row r="56" ht="165" customHeight="1">
      <c r="A56" s="48" t="inlineStr">
        <is>
          <t>DSCR is calculated BEFORE debt and AFTER tax: income tax is subtracted from pre-tax income, depreciation and interest are added back, and the result is divided by what has to be paid that year. Below the minimum in the "0. Assumptions" tab, the business does not generate enough to repay the loan. In the schedule, the available cash flow from year 4 on is held at year 3's: the P&amp;L projects only three years, and no growth is invented here that has not been calculated.</t>
        </is>
      </c>
      <c r="B56" s="29" t="n"/>
      <c r="C56" s="29" t="n"/>
      <c r="D56" s="29" t="n"/>
      <c r="E56" s="29" t="n"/>
      <c r="F56" s="29" t="n"/>
      <c r="G56" s="29" t="n"/>
      <c r="H56" s="29" t="n"/>
    </row>
    <row r="57">
      <c r="A57" s="29" t="n"/>
      <c r="B57" s="29" t="n"/>
      <c r="C57" s="29" t="n"/>
      <c r="D57" s="29" t="n"/>
      <c r="E57" s="29" t="n"/>
      <c r="F57" s="29" t="n"/>
      <c r="G57" s="29" t="n"/>
      <c r="H57" s="29" t="n"/>
    </row>
    <row r="58">
      <c r="A58" s="29" t="n"/>
      <c r="B58" s="29" t="n"/>
      <c r="C58" s="29" t="n"/>
      <c r="D58" s="29" t="n"/>
      <c r="E58" s="29" t="n"/>
      <c r="F58" s="29" t="n"/>
      <c r="G58" s="29" t="n"/>
      <c r="H58" s="29" t="n"/>
    </row>
    <row r="59">
      <c r="A59" s="29" t="n"/>
      <c r="B59" s="29" t="n"/>
      <c r="C59" s="29" t="n"/>
      <c r="D59" s="29" t="n"/>
      <c r="E59" s="29" t="n"/>
      <c r="F59" s="29" t="n"/>
      <c r="G59" s="29" t="n"/>
      <c r="H59" s="29" t="n"/>
    </row>
    <row r="60">
      <c r="A60" s="29" t="n"/>
      <c r="B60" s="29" t="n"/>
      <c r="C60" s="29" t="n"/>
      <c r="D60" s="29" t="n"/>
      <c r="E60" s="29" t="n"/>
      <c r="F60" s="29" t="n"/>
      <c r="G60" s="29" t="n"/>
      <c r="H60" s="29" t="n"/>
    </row>
    <row r="61">
      <c r="A61" s="29" t="n"/>
      <c r="B61" s="29" t="n"/>
      <c r="C61" s="29" t="n"/>
      <c r="D61" s="29" t="n"/>
      <c r="E61" s="29" t="n"/>
      <c r="F61" s="29" t="n"/>
      <c r="G61" s="29" t="n"/>
      <c r="H61" s="29" t="n"/>
    </row>
    <row r="62">
      <c r="A62" s="29" t="n"/>
      <c r="B62" s="29" t="n"/>
      <c r="C62" s="29" t="n"/>
      <c r="D62" s="29" t="n"/>
      <c r="E62" s="29" t="n"/>
      <c r="F62" s="29" t="n"/>
      <c r="G62" s="29" t="n"/>
      <c r="H62" s="29" t="n"/>
    </row>
    <row r="63">
      <c r="A63" s="29" t="n"/>
      <c r="B63" s="29" t="n"/>
      <c r="C63" s="29" t="n"/>
      <c r="D63" s="29" t="n"/>
      <c r="E63" s="29" t="n"/>
      <c r="F63" s="29" t="n"/>
      <c r="G63" s="29" t="n"/>
      <c r="H63" s="29" t="n"/>
    </row>
    <row r="64">
      <c r="A64" s="29" t="n"/>
      <c r="B64" s="29" t="n"/>
      <c r="C64" s="29" t="n"/>
      <c r="D64" s="29" t="n"/>
      <c r="E64" s="29" t="n"/>
      <c r="F64" s="29" t="n"/>
      <c r="G64" s="29" t="n"/>
      <c r="H64" s="29" t="n"/>
    </row>
    <row r="65">
      <c r="A65" s="29" t="n"/>
      <c r="B65" s="29" t="n"/>
      <c r="C65" s="29" t="n"/>
      <c r="D65" s="29" t="n"/>
      <c r="E65" s="29" t="n"/>
      <c r="F65" s="29" t="n"/>
      <c r="G65" s="29" t="n"/>
      <c r="H65" s="29" t="n"/>
    </row>
    <row r="66">
      <c r="A66" s="29" t="n"/>
      <c r="B66" s="29" t="n"/>
      <c r="C66" s="29" t="n"/>
      <c r="D66" s="29" t="n"/>
      <c r="E66" s="29" t="n"/>
      <c r="F66" s="29" t="n"/>
      <c r="G66" s="29" t="n"/>
      <c r="H66" s="29" t="n"/>
    </row>
    <row r="67">
      <c r="A67" s="29" t="n"/>
      <c r="B67" s="29" t="n"/>
      <c r="C67" s="29" t="n"/>
      <c r="D67" s="29" t="n"/>
      <c r="E67" s="29" t="n"/>
      <c r="F67" s="29" t="n"/>
      <c r="G67" s="29" t="n"/>
      <c r="H67" s="29" t="n"/>
    </row>
    <row r="68">
      <c r="A68" s="29" t="n"/>
      <c r="B68" s="29" t="n"/>
      <c r="C68" s="29" t="n"/>
      <c r="D68" s="29" t="n"/>
      <c r="E68" s="29" t="n"/>
      <c r="F68" s="29" t="n"/>
      <c r="G68" s="29" t="n"/>
      <c r="H68" s="29" t="n"/>
    </row>
    <row r="69">
      <c r="A69" s="29" t="n"/>
      <c r="B69" s="29" t="n"/>
      <c r="C69" s="29" t="n"/>
      <c r="D69" s="29" t="n"/>
      <c r="E69" s="29" t="n"/>
      <c r="F69" s="29" t="n"/>
      <c r="G69" s="29" t="n"/>
      <c r="H69" s="29" t="n"/>
    </row>
    <row r="70">
      <c r="A70" s="29" t="n"/>
      <c r="B70" s="29" t="n"/>
      <c r="C70" s="29" t="n"/>
      <c r="D70" s="29" t="n"/>
      <c r="E70" s="29" t="n"/>
      <c r="F70" s="29" t="n"/>
      <c r="G70" s="29" t="n"/>
      <c r="H70" s="29" t="n"/>
    </row>
    <row r="71">
      <c r="A71" s="29" t="n"/>
      <c r="B71" s="29" t="n"/>
      <c r="C71" s="29" t="n"/>
      <c r="D71" s="29" t="n"/>
      <c r="E71" s="29" t="n"/>
      <c r="F71" s="29" t="n"/>
      <c r="G71" s="29" t="n"/>
      <c r="H71" s="29" t="n"/>
    </row>
    <row r="72">
      <c r="A72" s="29" t="n"/>
      <c r="B72" s="29" t="n"/>
      <c r="C72" s="29" t="n"/>
      <c r="D72" s="29" t="n"/>
      <c r="E72" s="29" t="n"/>
      <c r="F72" s="29" t="n"/>
      <c r="G72" s="29" t="n"/>
      <c r="H72" s="29" t="n"/>
    </row>
    <row r="73">
      <c r="A73" s="29" t="n"/>
      <c r="B73" s="29" t="n"/>
      <c r="C73" s="29" t="n"/>
      <c r="D73" s="29" t="n"/>
      <c r="E73" s="29" t="n"/>
      <c r="F73" s="29" t="n"/>
      <c r="G73" s="29" t="n"/>
      <c r="H73" s="29" t="n"/>
    </row>
    <row r="74">
      <c r="A74" s="29" t="n"/>
      <c r="B74" s="29" t="n"/>
      <c r="C74" s="29" t="n"/>
      <c r="D74" s="29" t="n"/>
      <c r="E74" s="29" t="n"/>
      <c r="F74" s="29" t="n"/>
      <c r="G74" s="29" t="n"/>
      <c r="H74" s="29" t="n"/>
    </row>
    <row r="75">
      <c r="A75" s="29" t="n"/>
      <c r="B75" s="29" t="n"/>
      <c r="C75" s="29" t="n"/>
      <c r="D75" s="29" t="n"/>
      <c r="E75" s="29" t="n"/>
      <c r="F75" s="29" t="n"/>
      <c r="G75" s="29" t="n"/>
      <c r="H75" s="29" t="n"/>
    </row>
    <row r="76">
      <c r="A76" s="29" t="n"/>
      <c r="B76" s="29" t="n"/>
      <c r="C76" s="29" t="n"/>
      <c r="D76" s="29" t="n"/>
      <c r="E76" s="29" t="n"/>
      <c r="F76" s="29" t="n"/>
      <c r="G76" s="29" t="n"/>
      <c r="H76" s="29" t="n"/>
    </row>
    <row r="77">
      <c r="A77" s="29" t="n"/>
      <c r="B77" s="29" t="n"/>
      <c r="C77" s="29" t="n"/>
      <c r="D77" s="29" t="n"/>
      <c r="E77" s="29" t="n"/>
      <c r="F77" s="29" t="n"/>
      <c r="G77" s="29" t="n"/>
      <c r="H77" s="29" t="n"/>
    </row>
    <row r="78">
      <c r="A78" s="29" t="n"/>
      <c r="B78" s="29" t="n"/>
      <c r="C78" s="29" t="n"/>
      <c r="D78" s="29" t="n"/>
      <c r="E78" s="29" t="n"/>
      <c r="F78" s="29" t="n"/>
      <c r="G78" s="29" t="n"/>
      <c r="H78" s="29" t="n"/>
    </row>
    <row r="79">
      <c r="A79" s="29" t="n"/>
      <c r="B79" s="29" t="n"/>
      <c r="C79" s="29" t="n"/>
      <c r="D79" s="29" t="n"/>
      <c r="E79" s="29" t="n"/>
      <c r="F79" s="29" t="n"/>
      <c r="G79" s="29" t="n"/>
      <c r="H79" s="29" t="n"/>
    </row>
    <row r="80">
      <c r="A80" s="29" t="n"/>
      <c r="B80" s="29" t="n"/>
      <c r="C80" s="29" t="n"/>
      <c r="D80" s="29" t="n"/>
      <c r="E80" s="29" t="n"/>
      <c r="F80" s="29" t="n"/>
      <c r="G80" s="29" t="n"/>
      <c r="H80" s="29"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Assumptions'!$B$65)</formula>
    </cfRule>
    <cfRule type="expression" priority="7" dxfId="2" stopIfTrue="1">
      <formula>AND(ISNUMBER(B51),B51&gt;='0. Assumptions'!$B$65)</formula>
    </cfRule>
    <cfRule type="expression" priority="8" dxfId="0" stopIfTrue="1">
      <formula>AND(ISNUMBER(B51),B51&gt;='0. Assumptions'!$B$66)</formula>
    </cfRule>
  </conditionalFormatting>
  <conditionalFormatting sqref="B52">
    <cfRule type="expression" priority="9" dxfId="1" stopIfTrue="1">
      <formula>AND(ISNUMBER(B52),B52&lt;'0. Assumptions'!$B$65)</formula>
    </cfRule>
    <cfRule type="expression" priority="10" dxfId="2" stopIfTrue="1">
      <formula>AND(ISNUMBER(B52),B52&gt;='0. Assumptions'!$B$65)</formula>
    </cfRule>
    <cfRule type="expression" priority="11" dxfId="0" stopIfTrue="1">
      <formula>AND(ISNUMBER(B52),B52&gt;='0. Assumptions'!$B$66)</formula>
    </cfRule>
  </conditionalFormatting>
  <conditionalFormatting sqref="B53">
    <cfRule type="expression" priority="12" dxfId="1" stopIfTrue="1">
      <formula>AND(ISNUMBER(B53),B53&lt;'0. Assumptions'!$B$65)</formula>
    </cfRule>
    <cfRule type="expression" priority="13" dxfId="2" stopIfTrue="1">
      <formula>AND(ISNUMBER(B53),B53&gt;='0. Assumptions'!$B$65)</formula>
    </cfRule>
    <cfRule type="expression" priority="14" dxfId="0" stopIfTrue="1">
      <formula>AND(ISNUMBER(B53),B53&gt;='0. Assumptions'!$B$66)</formula>
    </cfRule>
  </conditionalFormatting>
  <conditionalFormatting sqref="B54">
    <cfRule type="expression" priority="15" dxfId="1" stopIfTrue="1">
      <formula>AND(ISNUMBER(B54),B54&lt;'0. Assumptions'!$B$65)</formula>
    </cfRule>
    <cfRule type="expression" priority="16" dxfId="2" stopIfTrue="1">
      <formula>AND(ISNUMBER(B54),B54&gt;='0. Assumptions'!$B$65)</formula>
    </cfRule>
    <cfRule type="expression" priority="17" dxfId="0" stopIfTrue="1">
      <formula>AND(ISNUMBER(B54),B54&gt;='0. Assumptions'!$B$66)</formula>
    </cfRule>
  </conditionalFormatting>
  <dataValidations count="2">
    <dataValidation sqref="B8 B9 B10 B11 B42" showDropDown="0" showInputMessage="0" showErrorMessage="1" allowBlank="1" errorTitle="Invalid amount" error="Enter a number greater than or equal to 0." type="decimal" operator="greaterThanOrEqual">
      <formula1>0</formula1>
    </dataValidation>
    <dataValidation sqref="B17" showDropDown="0" showInputMessage="0" showErrorMessage="1" allowBlank="1" errorTitle="Invalid percentage" error="Enter a percentage between 0 and 1 (0.35 = 35%)." type="decimal" operator="between">
      <formula1>0</formula1>
      <formula2>1</formula2>
    </dataValidation>
  </dataValidations>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Rotisserie Chicken Restaurant Financial Projections: 3-Year P&amp;L, Cash Flow &amp; Financing · Rotisserie Chicken Restaurant Business Plan Kit</dc:title>
  <dc:description xmlns:dc="http://purl.org/dc/elements/1.1/">aichef.pro/en/digital-products/rotisserie-chicken-restaurant-business-plan</dc:description>
  <dc:subject xmlns:dc="http://purl.org/dc/elements/1.1/">Rotisserie Chicken Restaurant Business Plan Kit · v2.2</dc:subject>
  <dcterms:created xmlns:dcterms="http://purl.org/dc/terms/" xmlns:xsi="http://www.w3.org/2001/XMLSchema-instance" xsi:type="dcterms:W3CDTF">2026-03-26T14:15:52Z</dcterms:created>
  <dcterms:modified xmlns:dcterms="http://purl.org/dc/terms/" xmlns:xsi="http://www.w3.org/2001/XMLSchema-instance" xsi:type="dcterms:W3CDTF">2026-10-29T13:48:05Z</dcterms:modified>
  <cp:lastModifiedBy>AI Chef Pro</cp:lastModifiedBy>
  <cp:category>AI Chef Pro · Digital products</cp:category>
  <cp:keywords>rotisserie chicken restaurant business plan, chicken restaurant business plan, how to open a rotisserie chicken restaurant, Peruvian chicken restaurant, pollo a la brasa, AI Chef Pro</cp:keywords>
</cp:coreProperties>
</file>