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130</v>
      </c>
      <c r="C4" t="inlineStr">
        <is>
          <t>Equivalent covers per day, year-1 average: about 55 dine-in (40 seats, no patio), about 55 from take-out, pickup and pre-orders, and about 20 from delivery marketplaces. A family meal counts as 3.5 covers, and a Sunday runs about 1.6 to 1.8 times a weekday (roughly 65-70 birds on the rotisseries) (Kit estimate). Compare it with the foot traffic on your street on a Sunday at noon and a Tuesday at lunch, and with your own test pre-orders</t>
        </is>
      </c>
    </row>
    <row r="5">
      <c r="A5" t="inlineStr">
        <is>
          <t>Average check (excl. sales tax)</t>
        </is>
      </c>
      <c r="B5" s="25" t="n">
        <v>17.5</v>
      </c>
      <c r="C5" t="inlineStr">
        <is>
          <t>Per cover, EXCL. sales tax and tip: plates average $12.79 (a quarter chicken with 2 sides at $13.00 for 35% of covers, a half with 2 sides at $17.50 for 15%, a family meal at $34.00 counted as 3.5 covers for 30%, and a chicken sandwich or bowl at $13.50 for 20%), plus about $1.50 of extra sides, $0.36 of dessert, $0.30 of sauces and 0.65 drinks at $3.84 (Kit estimate). Family meals with a whole chicken run $31-34 in mid-size cities (menus read in October 2026). The "Menu price incl. sales tax (calculated)" row below shows the price with your local rate applied</t>
        </is>
      </c>
    </row>
    <row r="6">
      <c r="A6" t="inlineStr">
        <is>
          <t>Operating days per year</t>
        </is>
      </c>
      <c r="B6" s="18" t="n">
        <v>360</v>
      </c>
      <c r="C6" t="inlineStr">
        <is>
          <t>365 days minus Thanksgiving, Christmas Day, New Year's Day and 2 deep-clean days for the hood and the rotisseries, rounded to 360: the restaurant is open 7 days a week and holidays open like a Sunday. It is the SAME figure for the P&amp;L, break-even, scenarios and staffing hours</t>
        </is>
      </c>
    </row>
    <row r="7">
      <c r="A7" t="inlineStr">
        <is>
          <t>Volume growth in year 2</t>
        </is>
      </c>
      <c r="B7" s="64" t="n">
        <v>0.06</v>
      </c>
      <c r="C7" t="inlineStr">
        <is>
          <t>Repeat neighborhood regulars, Sunday family meals and pre-orders that become a habit in year 2. It applies to covers at the same average check; staffing does NOT rise with this percentage: it comes from the "Staffing" tab</t>
        </is>
      </c>
    </row>
    <row r="8">
      <c r="A8" t="inlineStr">
        <is>
          <t>Volume growth in year 3</t>
        </is>
      </c>
      <c r="B8" s="64" t="n">
        <v>0.04</v>
      </c>
      <c r="C8" t="inlineStr">
        <is>
          <t>On top of year 2. Conservative: the ceiling is set by the two rotisseries (48 birds per load each) before the Sunday lunch peak and by the counter at that peak</t>
        </is>
      </c>
    </row>
    <row r="9">
      <c r="A9" t="inlineStr">
        <is>
          <t>Menu price incl. sales tax (calculated)</t>
        </is>
      </c>
      <c r="B9" s="24">
        <f>IFERROR(IF($B$5="","",$B$5*(1+SUMPRODUCT('3-Year P&amp;L'!$E$10:$E$11,'3-Year P&amp;L'!$G$10:$G$11))),"")</f>
        <v>18.900000000000002</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"&amp;"In the UK, 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0.86</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0.14</v>
      </c>
      <c r="C12" t="inlineStr">
        <is>
          <t>Calculated as the remainder: food + beverage = 100%</t>
        </is>
      </c>
    </row>
    <row r="13">
      <c r="A13" t="inlineStr">
        <is>
          <t>Cost of goods sold on FOOD sales</t>
        </is>
      </c>
      <c r="B13" s="64" t="n">
        <v>0.29</v>
      </c>
      <c r="C13" t="inlineStr">
        <is>
          <t>Cost of goods sold on food sales: the menu averages about 29% of menu price (family meal about 29.6%, quarter with 2 sides about 28.8%, half with 2 sides about 30.0%, chicken sandwich or bowl about 22%). A marinated bird costs about $5.99 (3.0 lb (1.4 kg) at $1.75 a lb plus marinade and 5% display shrink). Chicken prices are Kit estimates: enter your distributor's and cost every plate with the Rotisserie Chicken Yield &amp; Costing Calculator</t>
        </is>
      </c>
    </row>
    <row r="14">
      <c r="A14" t="inlineStr">
        <is>
          <t>Cost of goods sold on BEVERAGE sales</t>
        </is>
      </c>
      <c r="B14" s="64" t="n">
        <v>0.22</v>
      </c>
      <c r="C14" t="inlineStr">
        <is>
          <t>Weighted average of sodas (Peruvian golden soda among them), house-made chicha morada, beer and wine against their menu prices: about 22%. Soft drinks cost a small share of their price, while beer and wine run higher and pull the average up. If your beer distributor lends you the cooler, get the terms in writing</t>
        </is>
      </c>
    </row>
    <row r="15">
      <c r="A15" t="inlineStr">
        <is>
          <t>Disposables and packaging as % of sales</t>
        </is>
      </c>
      <c r="B15" s="64" t="n">
        <v>0.04</v>
      </c>
      <c r="C15" t="inlineStr">
        <is>
          <t>Family-meal boxes, vented clamshells, foil bags, sauce cups, heated-display bags, napkins and gloves for everything that leaves the restaurant, plus take-out containers for leftovers: about 4% of sales (no supplier posts a rate: Kit estimate). Some cities and states restrict foam and single-use plastics or require utensils only on request: check your local packaging ordinances</t>
        </is>
      </c>
    </row>
    <row r="16">
      <c r="A16" t="inlineStr">
        <is>
          <t>Delivery share of total sales</t>
        </is>
      </c>
      <c r="B16" s="64" t="n">
        <v>0.15</v>
      </c>
      <c r="C16" t="inlineStr">
        <is>
          <t>Sales through third-party delivery marketplaces (DoorDash, Uber Eats, Grubhub) as a share of total sales. Counter orders, direct pickup, pre-orders by phone or web and party trays pay no commission and do not go here. A whole rotisserie chicken travels well, but fries and yuca fries arrive soft: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3733</v>
      </c>
      <c r="C24" t="inlineStr">
        <is>
          <t>About 1,600 sq ft (149 sq m) with a Type I hood and exhaust route to the roof possible (that is the filter for the space): a kitchen with the two rotisseries in view of the street, a counter with a heated display, a dining room with 40 seats, restrooms (one ADA-accessible) and storage, in a residential or retail area of a mid-size city with easy parking for pickup, second-generation space with no key money: about $28 per sq ft a year (Kit estimate, editable). The weight of rent on sales is calculated by the workbook itself in the rent row of the "3-Year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1800</v>
      </c>
      <c r="C26" t="inlineStr">
        <is>
          <t>Gas for the two rotisseries and the fryers, electricity for the walk-in, the hood and makeup air and HVAC, and water. Commercial gas rates are a Kit estimate: ask the landlord for the space's utility history and ask your utility for the rate</t>
        </is>
      </c>
    </row>
    <row r="27">
      <c r="A27" t="inlineStr">
        <is>
          <t>Insurance (per year)</t>
        </is>
      </c>
      <c r="B27" s="18" t="n">
        <v>6500</v>
      </c>
      <c r="C27" t="inlineStr">
        <is>
          <t>General liability, liquor liability (beer &amp; wine), property coverage with equipment breakdown for the refrigeration, and workers' comp. Tell the carrier you cook with gas rotisseries and fryers: it changes the premium and the terms. Rates vary by state, so get at least two quotes</t>
        </is>
      </c>
    </row>
    <row r="28">
      <c r="A28" t="inlineStr">
        <is>
          <t>Miscellaneous and contingency as % of sales</t>
        </is>
      </c>
      <c r="B28" s="64" t="n">
        <v>0.01</v>
      </c>
      <c r="C28" t="inlineStr">
        <is>
          <t>Cushion for operating costs you did not budget (small repairs, spare spits or smallwares that break, menu tests)</t>
        </is>
      </c>
    </row>
    <row r="29">
      <c r="A29" s="16" t="inlineStr">
        <is>
          <t>FINANCING</t>
        </is>
      </c>
    </row>
    <row r="30">
      <c r="A30" t="inlineStr">
        <is>
          <t>Owner's equity contributed</t>
        </is>
      </c>
      <c r="B30" s="18" t="n">
        <v>120000</v>
      </c>
      <c r="C30" t="inlineStr">
        <is>
          <t>Owner's cash. Lenders usually expect an owner equity injection (often around 10% for SBA start-ups; many want 20-30%) toward the cash need</t>
        </is>
      </c>
    </row>
    <row r="31">
      <c r="A31" t="inlineStr">
        <is>
          <t>Loan requested</t>
        </is>
      </c>
      <c r="B31" s="18" t="n">
        <v>216000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rotisseries, the walk-in and the fryers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the hood, the gas lines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which with Month 1 in January falls on the slowest months of the year (January and February)</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use the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Type I hood and exhaust, electrical service, plumbing, gas lines, HVAC, grease interceptor, signage and facade. A 10-year straight-line life for the model; your tax depreciation schedule may differ (MACRS, Section 179), so confirm it with your CPA</t>
        </is>
      </c>
    </row>
    <row r="45">
      <c r="A45" t="inlineStr">
        <is>
          <t>Useful life of machinery, furniture and equipment (years)</t>
        </is>
      </c>
      <c r="B45" s="18" t="n">
        <v>7</v>
      </c>
      <c r="C45" t="inlineStr">
        <is>
          <t>Rotisseries, heated display, fryers, walk-in and refrigeration, dish machine,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1">
      <c r="A51" t="inlineStr">
        <is>
          <t>Dining room seats</t>
        </is>
      </c>
      <c r="B51" s="18" t="n">
        <v>40</v>
      </c>
      <c r="C51" t="inlineStr">
        <is>
          <t>Dining room seats: 40, with no patio. Guests who pick up a pre-order or receive their food at home do not use a seat; dine-in covers average about 55 a day, so each seat turns a little more than once a day. The bottleneck of a rotisserie chicken restaurant is not the tables: it is the rotisseries on Sunday</t>
        </is>
      </c>
    </row>
    <row r="52">
      <c r="A52" t="inlineStr">
        <is>
          <t>Month-1 activity as a % of steady-state activity</t>
        </is>
      </c>
      <c r="B52" s="64" t="n">
        <v>0.75</v>
      </c>
      <c r="C52" t="inlineStr">
        <is>
          <t>A new rotisserie chicken restaurant draws the curious in the first month, but Sunday family meals and pre-orders take a quarter to become a habit: Month 1 (January) bills 75% of what it will bill at four months. At 100% the ramp is removed</t>
        </is>
      </c>
    </row>
    <row r="53">
      <c r="A53" t="inlineStr">
        <is>
          <t>Months to reach steady state</t>
        </is>
      </c>
      <c r="B53" s="18" t="n">
        <v>4</v>
      </c>
      <c r="C53" t="inlineStr">
        <is>
          <t>Four months to reach full pace: January through April, so you reach May, one of the peaks of the year, with a customer base</t>
        </is>
      </c>
    </row>
    <row r="54">
      <c r="A54" t="inlineStr">
        <is>
          <t>Months of rent BEFORE opening (build-out and permits)</t>
        </is>
      </c>
      <c r="B54" s="18" t="n">
        <v>2</v>
      </c>
      <c r="C54" t="inlineStr">
        <is>
          <t>Two months of rent before opening: the build-out, the hood and exhaust route, the gas lines and the permits.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exhaust route to the roof, the electrical service, the gas lines,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counter, pickup and pre-orders (usually with a deposit) are paid at once, and the delivery marketplaces pay out what they sell every few days (15% of sales in this example)</t>
        </is>
      </c>
    </row>
    <row r="59">
      <c r="A59" t="inlineStr">
        <is>
          <t>Average days to pay suppliers</t>
        </is>
      </c>
      <c r="B59" s="18" t="n">
        <v>14</v>
      </c>
      <c r="C59" t="inlineStr">
        <is>
          <t>Payment terms with your chicken, produce, oil and beverage suppliers: what they finance for you. New accounts often start on COD, and terms are the first thing you lose if you pay late</t>
        </is>
      </c>
    </row>
    <row r="60">
      <c r="A60" t="inlineStr">
        <is>
          <t>Month of extra pay period 1 (only if pay periods &gt; 12)</t>
        </is>
      </c>
      <c r="B60" s="18" t="n">
        <v>7</v>
      </c>
      <c r="C60" t="inlineStr">
        <is>
          <t>Month of the 12-Month Cash Flow in which a summer extra payment falls. It only matters if you enter more than 12 pay periods; with 12 there are no extra payments. If you use it, July is Month 7, because Month 1 of the plan is January</t>
        </is>
      </c>
    </row>
    <row r="61">
      <c r="A61" t="inlineStr">
        <is>
          <t>Month of extra pay period 2 (only if pay periods &gt; 12)</t>
        </is>
      </c>
      <c r="B61" s="18" t="n">
        <v>12</v>
      </c>
      <c r="C61" t="inlineStr">
        <is>
          <t>Month of the 12-Month Cash Flow in which a holiday extra payment falls. It only matters if you enter more than 12 pay periods; with 12 there are no extra payments. If you use it, December is Month 12, because Month 1 of the plan is January</t>
        </is>
      </c>
    </row>
    <row r="62">
      <c r="A62" t="inlineStr">
        <is>
          <t>Alcohol share of beverage purchases (reference only: no input credit in the US)</t>
        </is>
      </c>
      <c r="B62" s="64" t="n">
        <v>0.17</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sodas, chicha morada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9" t="inlineStr">
        <is>
          <t>ROTISSERIE CHICKEN RESTAURANT BUSINESS PLAN: PERUVIAN-STYLE COUNTER SERVICE</t>
        </is>
      </c>
    </row>
    <row r="2">
      <c r="A2" s="2" t="inlineStr">
        <is>
          <t>Estimated Startup Costs — counter-service rotisserie chicken restaurant with two gas rotisseries and 40 seats</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237832.0</v>
      </c>
      <c r="C6" s="67">
        <f>IFERROR(B6/$B$30,"")</f>
        <v>0.7084483761646644</v>
      </c>
      <c r="D6" s="29" t="n"/>
      <c r="E6" s="29" t="n"/>
    </row>
    <row r="7">
      <c r="A7" s="29" t="inlineStr">
        <is>
          <t>Architect, MEP &amp; hood drawings, plan review &amp; permit fees</t>
        </is>
      </c>
      <c r="B7" s="51" t="n">
        <v>13000</v>
      </c>
      <c r="C7" s="68">
        <f>IFERROR(B7/$B$30,"")</f>
        <v>0.03872409469768844</v>
      </c>
      <c r="D7" s="29" t="inlineStr">
        <is>
          <t>Architect, MEP and hood drawings, plan review and permit fees for the build-out, the hood and the gas lines. The beer &amp; wine license varies widely by state in cost and timing: ask your state agency early and add your own quote; this line does not assume one</t>
        </is>
      </c>
      <c r="E7" s="32" t="inlineStr">
        <is>
          <t>Yes</t>
        </is>
      </c>
    </row>
    <row r="8">
      <c r="A8" s="29" t="inlineStr">
        <is>
          <t>Build-out (second-generation space, 1,600 sq ft), signage &amp; facade</t>
        </is>
      </c>
      <c r="B8" s="51" t="n">
        <v>53000</v>
      </c>
      <c r="C8" s="68">
        <f>IFERROR(B8/$B$30,"")</f>
        <v>0.15787515530596058</v>
      </c>
      <c r="D8" s="29" t="inlineStr">
        <is>
          <t>Kitchen with washable wall finish and slip-resistant floor (also around the rotisseries), restrooms (one ADA-accessible), the service counter, ceilings and acoustic treatment, plus signage and facade ($5,000), so the rotisseries can be seen from the street. Second-generation space of 1,600 sq ft (149 sq m). Kit estimate: get two bids</t>
        </is>
      </c>
      <c r="E8" s="32" t="inlineStr">
        <is>
          <t>Yes</t>
        </is>
      </c>
    </row>
    <row r="9">
      <c r="A9" s="29" t="inlineStr">
        <is>
          <t>Type I hood (about 14 ft), UL 300 fire suppression &amp; makeup air</t>
        </is>
      </c>
      <c r="B9" s="51" t="n">
        <v>26000</v>
      </c>
      <c r="C9" s="68">
        <f>IFERROR(B9/$B$30,"")</f>
        <v>0.07744818939537688</v>
      </c>
      <c r="D9" s="29" t="inlineStr">
        <is>
          <t>A Type I hood of about 14 ft (4.3 m) with UL 300 fire suppression and makeup air over the two rotisseries, the two fryers and the range. Hood packages run $5,000-$28,000 and the example budgets $26,000. A charcoal rotisserie is a solid-fuel appliance (NFPA 96: its own exhaust, a spark arrester and daily ash removal), so it is a variant, not the example. No manufacturer posts a price per foot: ask your mechanical contractor for a quote with your drawings, and ask the fire marshal in writing</t>
        </is>
      </c>
      <c r="E9" s="32" t="inlineStr">
        <is>
          <t>Yes</t>
        </is>
      </c>
    </row>
    <row r="10">
      <c r="A10" s="29" t="inlineStr">
        <is>
          <t>Electrical service, panel &amp; gas lines</t>
        </is>
      </c>
      <c r="B10" s="51" t="n">
        <v>11000</v>
      </c>
      <c r="C10" s="68">
        <f>IFERROR(B10/$B$30,"")</f>
        <v>0.032766541667274836</v>
      </c>
      <c r="D10" s="29" t="inlineStr">
        <is>
          <t>Electrical service and panel for the refrigeration, hood, makeup air, HVAC, dish machine and rotisserie motors, plus the gas lines. Two gas rotisseries of about 177,500 BTU together need a gas service and regulator sized for them, with a gas permit. Ask for the available electrical and gas capacity BEFORE you sign the lease: a new service from the utility can take weeks or months.</t>
        </is>
      </c>
      <c r="E10" s="32" t="inlineStr">
        <is>
          <t>Yes</t>
        </is>
      </c>
    </row>
    <row r="11">
      <c r="A11" s="29" t="inlineStr">
        <is>
          <t>Plumbing, grease interceptor &amp; HVAC</t>
        </is>
      </c>
      <c r="B11" s="51" t="n">
        <v>13000</v>
      </c>
      <c r="C11" s="68">
        <f>IFERROR(B11/$B$30,"")</f>
        <v>0.03872409469768844</v>
      </c>
      <c r="D11" s="29" t="inlineStr">
        <is>
          <t>Hot and cold water in the kitchen, drains with a grease interceptor ($3,500-$7,500) and HVAC for the dining room and kitchen, installed by licensed contractors with their permits and inspections</t>
        </is>
      </c>
      <c r="E11" s="32" t="inlineStr">
        <is>
          <t>Yes</t>
        </is>
      </c>
    </row>
    <row r="12">
      <c r="A12" s="29" t="inlineStr">
        <is>
          <t>Commercial gas rotisseries × 2 (8 spits, 48 birds per load each)</t>
        </is>
      </c>
      <c r="B12" s="51" t="n">
        <v>13000</v>
      </c>
      <c r="C12" s="68">
        <f>IFERROR(B12/$B$30,"")</f>
        <v>0.03872409469768844</v>
      </c>
      <c r="D12" s="29" t="inlineStr">
        <is>
          <t>Two gas commercial rotisseries with 8 spits and 48 birds per load each. WebstaurantStore lists the Pegasus CR-8G at $6,011 retail (Oct 2026); the example budgets $13,000 for the pair with freight and installation. An electric rotisserie (Alto-Shaam AR-7E at $11,912) and a listed charcoal rotisserie ($27,500 to $35,950) are variants. Size the rotisseries with your Sunday count</t>
        </is>
      </c>
      <c r="E12" s="32" t="inlineStr">
        <is>
          <t>Yes</t>
        </is>
      </c>
    </row>
    <row r="13">
      <c r="A13" s="29" t="inlineStr">
        <is>
          <t>Heated display merchandiser, steam table &amp; holding cabinet</t>
        </is>
      </c>
      <c r="B13" s="51" t="n">
        <v>5500</v>
      </c>
      <c r="C13" s="68">
        <f>IFERROR(B13/$B$30,"")</f>
        <v>0.016383270833637418</v>
      </c>
      <c r="D13" s="29" t="inlineStr">
        <is>
          <t>Heated display merchandiser that holds whole chickens at 135 °F (57 °C) or above (models run from an Avantco HDC-48 at $599 to an Alto-Shaam ED3-72 at $11,207), plus a steam table and a holding cabinet for the sides</t>
        </is>
      </c>
      <c r="E13" s="32" t="inlineStr">
        <is>
          <t>Yes</t>
        </is>
      </c>
    </row>
    <row r="14">
      <c r="A14" s="29" t="inlineStr">
        <is>
          <t>Fryers × 2 (50 lb) &amp; range with stock-pot burners</t>
        </is>
      </c>
      <c r="B14" s="51" t="n">
        <v>7000</v>
      </c>
      <c r="C14" s="68">
        <f>IFERROR(B14/$B$30,"")</f>
        <v>0.020851435606447623</v>
      </c>
      <c r="D14" s="29" t="inlineStr">
        <is>
          <t>Two 50 lb (23 kg) fryers for the yuca fries and fries (an Avantco FF50 lists at $799 and a Pitco 65C+S at $1,848) and a range with stock-pot burners for the rice &amp; beans, the sauces and the chicha morada. Kit estimate for the range: get a quote</t>
        </is>
      </c>
      <c r="E14" s="32" t="inlineStr">
        <is>
          <t>Yes</t>
        </is>
      </c>
    </row>
    <row r="15">
      <c r="A15" s="29" t="inlineStr">
        <is>
          <t>Walk-in cooler (6×8)</t>
        </is>
      </c>
      <c r="B15" s="51" t="n">
        <v>12800</v>
      </c>
      <c r="C15" s="68">
        <f>IFERROR(B15/$B$30,"")</f>
        <v>0.03812833939464708</v>
      </c>
      <c r="D15" s="29" t="inlineStr">
        <is>
          <t>A 6×8 ft (1.8×2.4 m) walk-in cooler for the raw chicken and the marinade: birds marinate 24-48 hours. A Norlake Kold Locker lists at $12,808 (WebstaurantStore, Oct 2026)</t>
        </is>
      </c>
      <c r="E15" s="32" t="inlineStr">
        <is>
          <t>Yes</t>
        </is>
      </c>
    </row>
    <row r="16">
      <c r="A16" s="29" t="inlineStr">
        <is>
          <t>Refrigerated prep table &amp; reach-in freezer</t>
        </is>
      </c>
      <c r="B16" s="51" t="n">
        <v>6500</v>
      </c>
      <c r="C16" s="68">
        <f>IFERROR(B16/$B$30,"")</f>
        <v>0.01936204734884422</v>
      </c>
      <c r="D16" s="29" t="inlineStr">
        <is>
          <t>Refrigerated prep table and a reach-in freezer for the frozen yuca. Raw and marinated chicken stays at 41 °F (5 °C) or below, on the bottom shelf and date-marked; the example buys birds WOG (without giblets). Kit estimate: get two quotes</t>
        </is>
      </c>
      <c r="E16" s="32" t="inlineStr">
        <is>
          <t>Yes</t>
        </is>
      </c>
    </row>
    <row r="17">
      <c r="A17" s="29" t="inlineStr">
        <is>
          <t>3-comp sink, dish machine, hand &amp; poultry prep sinks, shelving &amp; stainless</t>
        </is>
      </c>
      <c r="B17" s="51" t="n">
        <v>11500</v>
      </c>
      <c r="C17" s="68">
        <f>IFERROR(B17/$B$30,"")</f>
        <v>0.034255929924878234</v>
      </c>
      <c r="D17" s="29" t="inlineStr">
        <is>
          <t>3-compartment sink, dish machine, hand sinks and a separate prep sink and stainless table for the raw chicken, kept apart from where food is served, plus shelving. Check that your spits fit the dish machine. Kit estimate</t>
        </is>
      </c>
      <c r="E17" s="32" t="inlineStr">
        <is>
          <t>Yes</t>
        </is>
      </c>
    </row>
    <row r="18">
      <c r="A18" s="29" t="inlineStr">
        <is>
          <t>Smallwares &amp; sauce station (spare spits, hotel pans, probes, blender, marinating tubs)</t>
        </is>
      </c>
      <c r="B18" s="51" t="n">
        <v>7500</v>
      </c>
      <c r="C18" s="68">
        <f>IFERROR(B18/$B$30,"")</f>
        <v>0.022340823864051024</v>
      </c>
      <c r="D18" s="29" t="inlineStr">
        <is>
          <t>Spare spits, hotel pans, probes, scales, color-coded boards, a packing station, a sauce station (blender, squeeze bottles, portion cups), marinating tubs, the required public notices (health permit, beer &amp; wine license, labor law posters) and allergen signs (the 9 major allergens, including sesame). Food handler cards and the CFPM exam are budgeted in the P&amp;L</t>
        </is>
      </c>
      <c r="E18" s="32" t="inlineStr">
        <is>
          <t>Yes</t>
        </is>
      </c>
    </row>
    <row r="19">
      <c r="A19" s="29" t="inlineStr">
        <is>
          <t>Beverage cooler &amp; ice machine</t>
        </is>
      </c>
      <c r="B19" s="51" t="n">
        <v>3000</v>
      </c>
      <c r="C19" s="68">
        <f>IFERROR(B19/$B$30,"")</f>
        <v>0.00893632954562041</v>
      </c>
      <c r="D19" s="29" t="inlineStr">
        <is>
          <t>Beverage cooler and ice machine. Kit estimate. If your beverage distributor lends you the cooler, this line goes down</t>
        </is>
      </c>
      <c r="E19" s="32" t="inlineStr">
        <is>
          <t>Yes</t>
        </is>
      </c>
    </row>
    <row r="20">
      <c r="A20" s="29" t="inlineStr">
        <is>
          <t>Furniture (40 seats)</t>
        </is>
      </c>
      <c r="B20" s="51" t="n">
        <v>11000</v>
      </c>
      <c r="C20" s="68">
        <f>IFERROR(B20/$B$30,"")</f>
        <v>0.032766541667274836</v>
      </c>
      <c r="D20" s="29" t="inlineStr">
        <is>
          <t>Tables and chairs for 40 seats in the dining room (no patio)</t>
        </is>
      </c>
      <c r="E20" s="32" t="inlineStr">
        <is>
          <t>Yes</t>
        </is>
      </c>
    </row>
    <row r="21">
      <c r="A21" s="29" t="inlineStr">
        <is>
          <t>POS, online ordering, kiosk &amp; delivery tablets</t>
        </is>
      </c>
      <c r="B21" s="51" t="n">
        <v>4500</v>
      </c>
      <c r="C21" s="68">
        <f>IFERROR(B21/$B$30,"")</f>
        <v>0.013404494318430615</v>
      </c>
      <c r="D21" s="29" t="inlineStr">
        <is>
          <t>POS that reports sales tax, card terminal, receipt printer, online ordering for pre-orders and pickup, a counter kiosk and the tablets for the delivery marketplaces</t>
        </is>
      </c>
      <c r="E21" s="32" t="inlineStr">
        <is>
          <t>Yes</t>
        </is>
      </c>
    </row>
    <row r="22">
      <c r="A22" s="29" t="inlineStr">
        <is>
          <t>LLC, legal &amp; food safety plan</t>
        </is>
      </c>
      <c r="B22" s="51" t="n">
        <v>2500</v>
      </c>
      <c r="C22" s="68">
        <f>IFERROR(B22/$B$30,"")</f>
        <v>0.007446941288017008</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photos &amp; launch</t>
        </is>
      </c>
      <c r="B23" s="51" t="n">
        <v>5500</v>
      </c>
      <c r="C23" s="68">
        <f>IFERROR(B23/$B$30,"")</f>
        <v>0.016383270833637418</v>
      </c>
      <c r="D23" s="29" t="inlineStr">
        <is>
          <t>Brand identity, a website with the menu and pre-orders, a photo shoot, a Google Business Profile and the opening campaign</t>
        </is>
      </c>
      <c r="E23" s="32" t="inlineStr">
        <is>
          <t>Yes</t>
        </is>
      </c>
    </row>
    <row r="24">
      <c r="A24" s="29" t="inlineStr">
        <is>
          <t>Opening inventory</t>
        </is>
      </c>
      <c r="B24" s="51" t="n">
        <v>5000</v>
      </c>
      <c r="C24" s="68">
        <f>IFERROR(B24/$B$30,"")</f>
        <v>0.014893882576034016</v>
      </c>
      <c r="D24" s="29" t="inlineStr">
        <is>
          <t>Chicken, frozen yuca and fries, oil, marinade ingredients (soy sauce, aji panca, huacatay, cumin), packaging, sodas, beer and wine</t>
        </is>
      </c>
      <c r="E24" s="32" t="inlineStr">
        <is>
          <t>Yes</t>
        </is>
      </c>
    </row>
    <row r="25">
      <c r="A25" s="29" t="inlineStr">
        <is>
          <t>Security deposit</t>
        </is>
      </c>
      <c r="B25" s="41">
        <f>IFERROR(IF('0. Assumptions'!$B$24="","",'0. Assumptions'!$B$24*'0. Assumptions'!$B$25),"")</f>
        <v>7466.0</v>
      </c>
      <c r="C25" s="68">
        <f>IFERROR(B25/$B$30,"")</f>
        <v>0.022239545462533993</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7466.0</v>
      </c>
      <c r="C26" s="68">
        <f>IFERROR(B26/$B$30,"")</f>
        <v>0.022239545462533993</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11600.0</v>
      </c>
      <c r="C27" s="68">
        <f>IFERROR(B27/$B$30,"")</f>
        <v>0.034553807576398914</v>
      </c>
      <c r="D27" s="29" t="str">
        <f>IFERROR("At "&amp;TEXT('0. Assumptions'!$B$55,"0%")&amp;" of the BUILD-OUT items of this block (architect, MEP &amp; hood drawings and permit fees; build-out, signage &amp; facade; Type I hood (about 14 ft), UL 300 fire suppression &amp; makeup air; "&amp;"electrical service, panel &amp; gas lines; plumbing, grease interceptor &amp; HVAC), not of the whole block: the rotisseries, the equipment and the other items are left out. No lender funds a build-out without a cushion: the percentage is in ""0. Assumptions""","")</f>
        <v>At 10% of the BUILD-OUT items of this block (architect, MEP &amp; hood drawings and permit fees; build-out, signage &amp; facade; Type I hood (about 14 ft), UL 300 fire suppression &amp; makeup air; electrical service, panel &amp; gas lines; plumbing, grease interceptor &amp; HVAC), not of the whole block: the rotisseries, the equipment and the other items are left out. No lender funds a build-out without a cushion: the percentage is in "0. Assumptions"</v>
      </c>
      <c r="E27" s="29" t="inlineStr">
        <is>
          <t>Yes</t>
        </is>
      </c>
    </row>
    <row r="28">
      <c r="A28" s="26" t="inlineStr">
        <is>
          <t>WORKING CAPITAL</t>
        </is>
      </c>
      <c r="B28" s="54">
        <f>IFERROR(IF(B29="","",B29),"")</f>
        <v>97876.3</v>
      </c>
      <c r="C28" s="67">
        <f>IFERROR(B28/$B$30,"")</f>
        <v>0.2915516238353356</v>
      </c>
      <c r="D28" s="29" t="n"/>
      <c r="E28" s="29" t="n"/>
    </row>
    <row r="29">
      <c r="A29" s="29" t="inlineStr">
        <is>
          <t>Operating cushion until break-even</t>
        </is>
      </c>
      <c r="B29" s="41">
        <f>IFERROR(IF('0. Assumptions'!$B$35*('3-Year P&amp;L'!$B$37-'3-Year P&amp;L'!$B$35)=0,"",'0. Assumptions'!$B$35*('3-Year P&amp;L'!$B$37-'3-Year P&amp;L'!$B$35)/12),"")</f>
        <v>97876.3</v>
      </c>
      <c r="C29" s="68">
        <f>IFERROR(B29/$B$30,"")</f>
        <v>0.2915516238353356</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335708.3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(29% of the total). To compare the breakdown with another plan, use the CAPEX row below.</v>
      </c>
      <c r="E30" s="29" t="n"/>
    </row>
    <row r="31">
      <c r="A31" s="26" t="inlineStr">
        <is>
          <t>CAPEX (startup costs excluding working capital)</t>
        </is>
      </c>
      <c r="B31" s="54">
        <f>IFERROR(B30-B28,"")</f>
        <v>237832.0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335708.3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127600.0</v>
      </c>
      <c r="C35" s="29" t="n"/>
      <c r="D35" s="29" t="str">
        <f>IFERROR("Depreciated over "&amp;TEXT('0. Assumptions'!$B$44,"0")&amp;" years","")</f>
        <v>Depreciated over 10 years</v>
      </c>
      <c r="E35" s="29" t="n"/>
    </row>
    <row r="36">
      <c r="A36" s="29" t="inlineStr">
        <is>
          <t>Machinery, furniture and equipment</t>
        </is>
      </c>
      <c r="B36" s="41">
        <f>IFERROR(IF(B12="","",B12+B13+B14+B15+B16+B17+B18+B19+B20+B21),"")</f>
        <v>82300.0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24517.142857142855</v>
      </c>
      <c r="C37" s="29" t="n"/>
      <c r="D37" s="26" t="str">
        <f>IFERROR("Not depreciated, because they are not fixed assets: LLC, legal and food safety plan; branding, website, photos and launch; opening inventory; security deposit; pre-opening rent and the working capital reserve. They add up to "&amp;TEXT(B30-B35-B36,"#,##0")&amp;" of the "&amp;TEXT(B30,"#,##0")&amp;" total investment.","")</f>
        <v>Not depreciated, because they are not fixed assets: LLC, legal and food safety plan; branding, website, photos and launch; opening inventory; security deposit; pre-opening rent and the working capital reserve. They add up to 125808 of the 335708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rotisserie chicken restaurant: counter, pickup &amp; pre-orders, delivery and dine-in</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130.0</v>
      </c>
      <c r="C6" s="41">
        <f>IFERROR(B6*(1+'0. Assumptions'!$B$7),"")</f>
        <v>137.8</v>
      </c>
      <c r="D6" s="41">
        <f>IFERROR(C6*(1+'0. Assumptions'!$B$8),"")</f>
        <v>143.312</v>
      </c>
      <c r="E6" s="29" t="n"/>
      <c r="F6" s="29" t="inlineStr">
        <is>
          <t>Growth for years 2 and 3 is set in "0. Assumptions"</t>
        </is>
      </c>
      <c r="G6" s="29" t="n"/>
      <c r="H6" s="29" t="n"/>
    </row>
    <row r="7">
      <c r="A7" s="29" t="inlineStr">
        <is>
          <t>Average check (excl. sales tax)</t>
        </is>
      </c>
      <c r="B7" s="62">
        <f>IFERROR(IF('0. Assumptions'!$B$5="","",'0. Assumptions'!$B$5),"")</f>
        <v>17.5</v>
      </c>
      <c r="C7" s="62">
        <f>IFERROR(IF(B7="","",B7),"")</f>
        <v>17.5</v>
      </c>
      <c r="D7" s="62">
        <f>IFERROR(IF(C7="","",C7),"")</f>
        <v>17.5</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819000.0</v>
      </c>
      <c r="C9" s="54">
        <f>IFERROR(IF(C6*C7*C8=0,"",C6*C7*C8),"")</f>
        <v>868140.0</v>
      </c>
      <c r="D9" s="54">
        <f>IFERROR(IF(D6*D7*D8=0,"",D6*D7*D8),"")</f>
        <v>902865.6</v>
      </c>
      <c r="E9" s="67">
        <f>IFERROR(IF(B9="","",1),"")</f>
        <v>1.0</v>
      </c>
      <c r="F9" s="29" t="n"/>
      <c r="G9" s="29" t="n"/>
      <c r="H9" s="29" t="n"/>
    </row>
    <row r="10">
      <c r="A10" s="29" t="inlineStr">
        <is>
          <t>Food sales (rotisserie chicken plates, family meals &amp; sides: counter, pickup, pre-orders, delivery &amp; dine-in)</t>
        </is>
      </c>
      <c r="B10" s="41">
        <f>IFERROR(IF(B9="","",B9*$E$10),"")</f>
        <v>704340.0</v>
      </c>
      <c r="C10" s="41">
        <f>IFERROR(IF(C9="","",C9*$E$10),"")</f>
        <v>746600.4</v>
      </c>
      <c r="D10" s="41">
        <f>IFERROR(IF(D9="","",D9*$E$10),"")</f>
        <v>776464.416</v>
      </c>
      <c r="E10" s="68">
        <f>IFERROR(IF('0. Assumptions'!$B$11="","",'0. Assumptions'!$B$11),"")</f>
        <v>0.86</v>
      </c>
      <c r="F10" s="29" t="inlineStr">
        <is>
          <t>Rotisserie chicken (quarter, half and whole), family meals, sandwiches and bowls, and sides: about 42.5% dine-in, about 42.5% pickup and pre-orders, and 15%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(sodas, chicha morada, beer &amp; wine)</t>
        </is>
      </c>
      <c r="B11" s="41">
        <f>IFERROR(IF(B9="","",B9*$E$11),"")</f>
        <v>114660.00000000001</v>
      </c>
      <c r="C11" s="41">
        <f>IFERROR(IF(C9="","",C9*$E$11),"")</f>
        <v>121539.6</v>
      </c>
      <c r="D11" s="41">
        <f>IFERROR(IF(D9="","",D9*$E$11),"")</f>
        <v>126401.18400000001</v>
      </c>
      <c r="E11" s="68">
        <f>IFERROR(IF('0. Assumptions'!$B$12="","",'0. Assumptions'!$B$12),"")</f>
        <v>0.14</v>
      </c>
      <c r="F11" s="29" t="inlineStr">
        <is>
          <t>Dine-in beverages and the drinks that go out with orders (sodas, chicha morada, beer &amp; wine) · Column H is the share of beverage sales taxed at the alcohol rate in "0. Assumptions" B40. With the example rates (B39 = B40 = 8%: state + local) it changes nothing. Some states tax alcohol differently: type your alcohol rate in B40 and the alcohol share of beverage sales here</t>
        </is>
      </c>
      <c r="G11" s="68">
        <f>IFERROR(IF(B9="","",H11*'0. Assumptions'!$B$40+(1-H11)*'0. Assumptions'!$B$39),"")</f>
        <v>0.08</v>
      </c>
      <c r="H11" s="74" t="n">
        <v>0.17</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204258.59999999998</v>
      </c>
      <c r="C13" s="41">
        <f>IFERROR(IF(C9="","",C9*'0. Assumptions'!$B$11*'0. Assumptions'!$B$13),"")</f>
        <v>216514.11599999998</v>
      </c>
      <c r="D13" s="41">
        <f>IFERROR(IF(D9="","",D9*'0. Assumptions'!$B$11*'0. Assumptions'!$B$13),"")</f>
        <v>225174.68063999998</v>
      </c>
      <c r="E13" s="68">
        <f>IFERROR(B13/$B$9,"")</f>
        <v>0.24939999999999998</v>
      </c>
      <c r="F13" s="29" t="str">
        <f>IFERROR("At "&amp;TEXT('0. Assumptions'!$B$13,"0%")&amp;" of FOOD sales, not of total sales: beverages have their own line · "&amp;"whole chickens, marinade, cooking oil, frozen yuca and fries, rice, beans, produce and sauce ingredients: check it against your distributor invoices and the Rotisserie Chicken Yield &amp; Costing Calculator","")</f>
        <v>At 29% of FOOD sales, not of total sales: beverages have their own line · whole chickens, marinade, cooking oil, frozen yuca and fries, rice, beans, produce and sauce ingredients: check it against your distributor invoices and the Rotisserie Chicken Yield &amp; Costing Calculator</v>
      </c>
      <c r="G13" s="74" t="n">
        <v>0</v>
      </c>
      <c r="H13" s="29" t="n"/>
    </row>
    <row r="14">
      <c r="A14" s="29" t="inlineStr">
        <is>
          <t>Cost of goods sold — beverage</t>
        </is>
      </c>
      <c r="B14" s="41">
        <f>IFERROR(IF(B9="","",B9*'0. Assumptions'!$B$12*'0. Assumptions'!$B$14),"")</f>
        <v>25225.200000000004</v>
      </c>
      <c r="C14" s="41">
        <f>IFERROR(IF(C9="","",C9*'0. Assumptions'!$B$12*'0. Assumptions'!$B$14),"")</f>
        <v>26738.712000000003</v>
      </c>
      <c r="D14" s="41">
        <f>IFERROR(IF(D9="","",D9*'0. Assumptions'!$B$12*'0. Assumptions'!$B$14),"")</f>
        <v>27808.26048</v>
      </c>
      <c r="E14" s="68">
        <f>IFERROR(B14/$B$9,"")</f>
        <v>0.030800000000000004</v>
      </c>
      <c r="F14" s="29" t="str">
        <f>IFERROR("At "&amp;TEXT('0. Assumptions'!$B$14,"0%")&amp;" of BEVERAGE sales","")</f>
        <v>At 22% of BEVERAGE sales</v>
      </c>
      <c r="G14" s="68">
        <f>IFERROR(IF(B9="","",'0. Assumptions'!$B$41),"")</f>
        <v>0.0</v>
      </c>
      <c r="H14" s="29" t="n"/>
    </row>
    <row r="15">
      <c r="A15" s="29" t="inlineStr">
        <is>
          <t>Disposables and packaging</t>
        </is>
      </c>
      <c r="B15" s="41">
        <f>IFERROR(IF(B9="","",B9*'0. Assumptions'!$B$15),"")</f>
        <v>32760.0</v>
      </c>
      <c r="C15" s="41">
        <f>IFERROR(IF(C9="","",C9*'0. Assumptions'!$B$15),"")</f>
        <v>34725.6</v>
      </c>
      <c r="D15" s="41">
        <f>IFERROR(IF(D9="","",D9*'0. Assumptions'!$B$15),"")</f>
        <v>36114.624</v>
      </c>
      <c r="E15" s="68">
        <f>IFERROR(B15/$B$9,"")</f>
        <v>0.04</v>
      </c>
      <c r="F15" s="29" t="n"/>
      <c r="G15" s="68">
        <f>IFERROR(IF(B9="","",'0. Assumptions'!$B$41),"")</f>
        <v>0.0</v>
      </c>
      <c r="H15" s="29" t="n"/>
    </row>
    <row r="16">
      <c r="A16" s="29" t="inlineStr">
        <is>
          <t>Delivery platform fees</t>
        </is>
      </c>
      <c r="B16" s="41">
        <f>IFERROR(IF(B9="","",B9*'0. Assumptions'!$B$16*'0. Assumptions'!$B$17),"")</f>
        <v>30712.5</v>
      </c>
      <c r="C16" s="41">
        <f>IFERROR(IF(C9="","",C9*'0. Assumptions'!$B$16*'0. Assumptions'!$B$17),"")</f>
        <v>32555.25</v>
      </c>
      <c r="D16" s="41">
        <f>IFERROR(IF(D9="","",D9*'0. Assumptions'!$B$16*'0. Assumptions'!$B$17),"")</f>
        <v>33857.46</v>
      </c>
      <c r="E16" s="68">
        <f>IFERROR(B16/$B$9,"")</f>
        <v>0.0375</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24570.0</v>
      </c>
      <c r="C17" s="41">
        <f>IFERROR(IF(C9="","",C9*'0. Assumptions'!$B$18),"")</f>
        <v>26044.2</v>
      </c>
      <c r="D17" s="41">
        <f>IFERROR(IF(D9="","",D9*'0. Assumptions'!$B$18),"")</f>
        <v>27085.967999999997</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8190.0</v>
      </c>
      <c r="C18" s="41">
        <f>IFERROR(IF(C9="","",C9*'0. Assumptions'!$B$28),"")</f>
        <v>8681.4</v>
      </c>
      <c r="D18" s="41">
        <f>IFERROR(IF(D9="","",D9*'0. Assumptions'!$B$28),"")</f>
        <v>9028.656</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325716.3</v>
      </c>
      <c r="C19" s="54">
        <f>IFERROR(IF(C9="","",SUM(C13:C18)),"")</f>
        <v>345259.278</v>
      </c>
      <c r="D19" s="54">
        <f>IFERROR(IF(D9="","",SUM(D13:D18)),"")</f>
        <v>359069.64911999996</v>
      </c>
      <c r="E19" s="67">
        <f>IFERROR(B19/$B$9,"")</f>
        <v>0.3977</v>
      </c>
      <c r="F19" s="29" t="n"/>
      <c r="G19" s="29" t="n"/>
      <c r="H19" s="29" t="n"/>
    </row>
    <row r="20">
      <c r="A20" s="26" t="inlineStr">
        <is>
          <t>GROSS MARGIN</t>
        </is>
      </c>
      <c r="B20" s="54">
        <f>IFERROR(IF(B9="","",B9-B19),"")</f>
        <v>493283.7</v>
      </c>
      <c r="C20" s="54">
        <f>IFERROR(IF(C9="","",C9-C19),"")</f>
        <v>522880.722</v>
      </c>
      <c r="D20" s="54">
        <f>IFERROR(IF(D9="","",D9-D19),"")</f>
        <v>543795.95088</v>
      </c>
      <c r="E20" s="67">
        <f>IFERROR(B20/$B$9,"")</f>
        <v>0.6023000000000001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44796.0</v>
      </c>
      <c r="C22" s="41">
        <f>IFERROR(IF(C9="","",B22*(1+'0. Assumptions'!$B$48)),"")</f>
        <v>44796.0</v>
      </c>
      <c r="D22" s="41">
        <f>IFERROR(IF(D9="","",C22*(1+'0. Assumptions'!$B$48)),"")</f>
        <v>44796.0</v>
      </c>
      <c r="E22" s="68">
        <f>IFERROR(B22/$B$9,"")</f>
        <v>0.054695970695970694</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271009.2</v>
      </c>
      <c r="C23" s="41">
        <f>IFERROR(IF(C9="","",Staffing!$B$16),"")</f>
        <v>276009.2</v>
      </c>
      <c r="D23" s="41">
        <f>IFERROR(IF(D9="","",Staffing!$B$17),"")</f>
        <v>281009.2</v>
      </c>
      <c r="E23" s="68">
        <f>IFERROR(B23/$B$9,"")</f>
        <v>0.33090256410256413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21600.0</v>
      </c>
      <c r="C24" s="41">
        <f>IFERROR(IF(C9="","",B24*(1+'0. Assumptions'!$B$48)),"")</f>
        <v>21600.0</v>
      </c>
      <c r="D24" s="41">
        <f>IFERROR(IF(D9="","",C24*(1+'0. Assumptions'!$B$48)),"")</f>
        <v>21600.0</v>
      </c>
      <c r="E24" s="68">
        <f>IFERROR(B24/$B$9,"")</f>
        <v>0.026373626373626374</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 + workers' comp)</t>
        </is>
      </c>
      <c r="B25" s="41">
        <f>IFERROR(IF(B9="","",'0. Assumptions'!$B$27),"")</f>
        <v>6500.0</v>
      </c>
      <c r="C25" s="41">
        <f>IFERROR(IF(C9="","",B25*(1+'0. Assumptions'!$B$48)),"")</f>
        <v>6500.0</v>
      </c>
      <c r="D25" s="41">
        <f>IFERROR(IF(D9="","",C25*(1+'0. Assumptions'!$B$48)),"")</f>
        <v>6500.0</v>
      </c>
      <c r="E25" s="68">
        <f>IFERROR(B25/$B$9,"")</f>
        <v>0.007936507936507936</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0.005128205128205128</v>
      </c>
      <c r="F26" s="29" t="inlineStr">
        <is>
          <t>Bookkeeping, income tax and payroll filings for the LLC, payroll processing and the staff paperwork (offer letters, I-9, W-4)</t>
        </is>
      </c>
      <c r="G26" s="68">
        <f>IFERROR(IF(B9="","",'0. Assumptions'!$B$41),"")</f>
        <v>0.0</v>
      </c>
      <c r="H26" s="29" t="n"/>
    </row>
    <row r="27">
      <c r="A27" s="29" t="inlineStr">
        <is>
          <t>Maintenance (quarterly hood cleaning, rotisserie service, refrigeration)</t>
        </is>
      </c>
      <c r="B27" s="51" t="n">
        <v>3600</v>
      </c>
      <c r="C27" s="41">
        <f>IFERROR(IF(C9="","",B27*(1+'0. Assumptions'!$B$48)),"")</f>
        <v>3600.0</v>
      </c>
      <c r="D27" s="41">
        <f>IFERROR(IF(D9="","",C27*(1+'0. Assumptions'!$B$48)),"")</f>
        <v>3600.0</v>
      </c>
      <c r="E27" s="68">
        <f>IFERROR(B27/$B$9,"")</f>
        <v>0.004395604395604396</v>
      </c>
      <c r="F27" s="29" t="inlineStr">
        <is>
          <t>Hood and duct cleaning every quarter (NFPA 96, Table 11.4), annual service for the rotisseries and gas lines (burners, motors and spits), and the refrigeration technician. Ask your fire marshal what your jurisdiction requires</t>
        </is>
      </c>
      <c r="G27" s="68">
        <f>IFERROR(IF(B9="","",'0. Assumptions'!$B$41),"")</f>
        <v>0.0</v>
      </c>
      <c r="H27" s="29" t="n"/>
    </row>
    <row r="28">
      <c r="A28" s="29" t="inlineStr">
        <is>
          <t>Marketing and advertising</t>
        </is>
      </c>
      <c r="B28" s="51" t="n">
        <v>6400</v>
      </c>
      <c r="C28" s="41">
        <f>IFERROR(IF(C9="","",B28*(1+'0. Assumptions'!$B$48)),"")</f>
        <v>6400.0</v>
      </c>
      <c r="D28" s="41">
        <f>IFERROR(IF(D9="","",C28*(1+'0. Assumptions'!$B$48)),"")</f>
        <v>6400.0</v>
      </c>
      <c r="E28" s="68">
        <f>IFERROR(B28/$B$9,"")</f>
        <v>0.007814407814407814</v>
      </c>
      <c r="F28" s="29" t="inlineStr">
        <is>
          <t>Google Business Profile, Yelp, Instagram, photos, flyers and cards with the pre-order phone and website, and the big dates: Mother's Day, Super Bowl Sunday, Christmas Eve and New Year's Eve and, if you make Peruvian pollo a la brasa, Pollo a la Brasa Day (the third Sunday of July).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0.004395604395604396</v>
      </c>
      <c r="F29" s="29" t="inlineStr">
        <is>
          <t>POS subscription, online ordering for pre-orders, the delivery marketplace tablets, phone and internet</t>
        </is>
      </c>
      <c r="G29" s="68">
        <f>IFERROR(IF(B9="","",'0. Assumptions'!$B$41),"")</f>
        <v>0.0</v>
      </c>
      <c r="H29" s="29" t="n"/>
    </row>
    <row r="30">
      <c r="A30" s="29" t="inlineStr">
        <is>
          <t>Cleaning, linens &amp; uniforms</t>
        </is>
      </c>
      <c r="B30" s="51" t="n">
        <v>2000</v>
      </c>
      <c r="C30" s="41">
        <f>IFERROR(IF(C9="","",B30*(1+'0. Assumptions'!$B$48)),"")</f>
        <v>2000.0</v>
      </c>
      <c r="D30" s="41">
        <f>IFERROR(IF(D9="","",C30*(1+'0. Assumptions'!$B$48)),"")</f>
        <v>2000.0</v>
      </c>
      <c r="E30" s="68">
        <f>IFERROR(B30/$B$9,"")</f>
        <v>0.002442002442002442</v>
      </c>
      <c r="F30" s="29" t="inlineStr">
        <is>
          <t>Cleaning supplies and degreasers, uniform and towel laundry, gloves and any lab tests or records your written food safety plan calls for</t>
        </is>
      </c>
      <c r="G30" s="68">
        <f>IFERROR(IF(B9="","",'0. Assumptions'!$B$41),"")</f>
        <v>0.0</v>
      </c>
      <c r="H30" s="29" t="n"/>
    </row>
    <row r="31">
      <c r="A31" s="29" t="inlineStr">
        <is>
          <t>Waste, grease &amp; used-oil hauling + permit renewals</t>
        </is>
      </c>
      <c r="B31" s="51" t="n">
        <v>3500</v>
      </c>
      <c r="C31" s="41">
        <f>IFERROR(IF(C9="","",B31*(1+'0. Assumptions'!$B$48)),"")</f>
        <v>3500.0</v>
      </c>
      <c r="D31" s="41">
        <f>IFERROR(IF(D9="","",C31*(1+'0. Assumptions'!$B$48)),"")</f>
        <v>3500.0</v>
      </c>
      <c r="E31" s="68">
        <f>IFERROR(B31/$B$9,"")</f>
        <v>0.004273504273504274</v>
      </c>
      <c r="F31" s="29" t="inlineStr">
        <is>
          <t>Licensed hauler for trash, cardboard, used cooking oil and the rotisserie drip-tray grease (check the pickup fee), plus annual permit renewals. Ask your city for its waste fees: this plan has not read any city fee schedule, so enter your own</t>
        </is>
      </c>
      <c r="G31" s="68">
        <f>IFERROR(IF(B9="","",'0. Assumptions'!$B$41),"")</f>
        <v>0.0</v>
      </c>
      <c r="H31" s="29" t="n"/>
    </row>
    <row r="32">
      <c r="A32" s="29" t="inlineStr">
        <is>
          <t>Pest control</t>
        </is>
      </c>
      <c r="B32" s="51" t="n">
        <v>900</v>
      </c>
      <c r="C32" s="41">
        <f>IFERROR(IF(C9="","",B32*(1+'0. Assumptions'!$B$48)),"")</f>
        <v>900.0</v>
      </c>
      <c r="D32" s="41">
        <f>IFERROR(IF(D9="","",C32*(1+'0. Assumptions'!$B$48)),"")</f>
        <v>900.0</v>
      </c>
      <c r="E32" s="68">
        <f>IFERROR(B32/$B$9,"")</f>
        <v>0.001098901098901099</v>
      </c>
      <c r="F32" s="29" t="inlineStr">
        <is>
          <t>Contract with a licensed pest control operator: it is part of the prerequisites of your written food safety plan.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0.001221001221001221</v>
      </c>
      <c r="F33" s="29" t="inlineStr">
        <is>
          <t>ASCAP, BMI and SESAC are separate licenses; the fee depends on the square footage and the seating of your restaurant</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0.0009768009768009768</v>
      </c>
      <c r="F34" s="29" t="inlineStr">
        <is>
          <t>CFPM certification and food handler cards, allergen training and OSHA basics for every employee: burns from the rotisseries and the fryers, cuts when carving and spitting, gas and heat</t>
        </is>
      </c>
      <c r="G34" s="68">
        <f>IFERROR(IF(B9="","",'0. Assumptions'!$B$41),"")</f>
        <v>0.0</v>
      </c>
      <c r="H34" s="29" t="n"/>
    </row>
    <row r="35">
      <c r="A35" s="29" t="inlineStr">
        <is>
          <t>Depreciation of fixed assets</t>
        </is>
      </c>
      <c r="B35" s="41">
        <f>IFERROR(IF(B9="","",'Startup Costs'!$B$37),"")</f>
        <v>24517.142857142855</v>
      </c>
      <c r="C35" s="41">
        <f>IFERROR(IF(C9="","",B35),"")</f>
        <v>24517.142857142855</v>
      </c>
      <c r="D35" s="41">
        <f>IFERROR(IF(D9="","",B35),"")</f>
        <v>24517.142857142855</v>
      </c>
      <c r="E35" s="68">
        <f>IFERROR(B35/$B$9,"")</f>
        <v>0.02993546136403279</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21600.0</v>
      </c>
      <c r="C36" s="41">
        <f>IFERROR(IF(C9="","",Financing!$B$46),"")</f>
        <v>20244.69947053775</v>
      </c>
      <c r="D36" s="41">
        <f>IFERROR(IF(D9="","",Financing!$B$48),"")</f>
        <v>18753.868888129276</v>
      </c>
      <c r="E36" s="68">
        <f>IFERROR(B36/$B$9,"")</f>
        <v>0.026373626373626374</v>
      </c>
      <c r="F36" s="29" t="inlineStr">
        <is>
          <t>Only INTEREST is an expense. Principal repaid appears on the cash flow tab</t>
        </is>
      </c>
      <c r="G36" s="68" t="n">
        <v>0</v>
      </c>
      <c r="H36" s="29" t="n"/>
    </row>
    <row r="37">
      <c r="A37" s="26" t="inlineStr">
        <is>
          <t>TOTAL FIXED COSTS</t>
        </is>
      </c>
      <c r="B37" s="54">
        <f>IFERROR(IF(B9="","",SUM(B22:B36)),"")</f>
        <v>416022.34285714285</v>
      </c>
      <c r="C37" s="54">
        <f>IFERROR(IF(C9="","",SUM(C22:C36)),"")</f>
        <v>419667.0423276806</v>
      </c>
      <c r="D37" s="54">
        <f>IFERROR(IF(D9="","",SUM(D22:D36)),"")</f>
        <v>423176.21174527216</v>
      </c>
      <c r="E37" s="67">
        <f>IFERROR(B37/$B$9,"")</f>
        <v>0.50796378859236</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77261.35714285716</v>
      </c>
      <c r="C40" s="54">
        <f>IFERROR(IF(C9="","",C20-C37),"")</f>
        <v>103213.67967231938</v>
      </c>
      <c r="D40" s="54">
        <f>IFERROR(IF(D9="","",D20-D37),"")</f>
        <v>120619.73913472786</v>
      </c>
      <c r="E40" s="67">
        <f>IFERROR(B40/$B$9,"")</f>
        <v>0.09433621140764</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77261.35714285716</v>
      </c>
      <c r="C42" s="41">
        <f>IFERROR(IF(C9="","",MAX(0,C40-C41)),"")</f>
        <v>103213.67967231938</v>
      </c>
      <c r="D42" s="41">
        <f>IFERROR(IF(D9="","",MAX(0,D40-D41)),"")</f>
        <v>120619.73913472786</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19315.33928571429</v>
      </c>
      <c r="C45" s="41">
        <f>IFERROR(IF(C9="","",IF(C44="",0,C42*C44)),"")</f>
        <v>25803.419918079846</v>
      </c>
      <c r="D45" s="41">
        <f>IFERROR(IF(D9="","",IF(D44="",0,D42*D44)),"")</f>
        <v>30154.934783681965</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57946.01785714287</v>
      </c>
      <c r="C47" s="54">
        <f>IFERROR(IF(C9="","",C40-C45),"")</f>
        <v>77410.25975423954</v>
      </c>
      <c r="D47" s="54">
        <f>IFERROR(IF(D9="","",D40-D45),"")</f>
        <v>90464.8043510459</v>
      </c>
      <c r="E47" s="67">
        <f>IFERROR(B47/$B$9,"")</f>
        <v>0.07075215855573</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0.6023000000000001</v>
      </c>
      <c r="C50" s="68">
        <f>IFERROR(IF(C9="","",C20/C9),"")</f>
        <v>0.6023000000000001</v>
      </c>
      <c r="D50" s="68">
        <f>IFERROR(IF(D9="","",D20/D9),"")</f>
        <v>0.6023000000000001</v>
      </c>
      <c r="E50" s="74" t="n">
        <v>0.6</v>
      </c>
      <c r="F50" s="29" t="inlineStr">
        <is>
          <t>Floor for the margin after ALL variable costs (cost of goods sold, packaging, delivery marketplaces, card fees and miscellaneous). A rotisserie chicken restaurant keeps less than other concepts because the bird is most of the plate: the margin is in what goes with it. Kit estimate</t>
        </is>
      </c>
      <c r="G50" s="29" t="n"/>
      <c r="H50" s="29" t="n"/>
    </row>
    <row r="51">
      <c r="A51" s="29" t="inlineStr">
        <is>
          <t>Cost of goods sold (food + beverage)</t>
        </is>
      </c>
      <c r="B51" s="41">
        <f>IFERROR(IF(B9="","",B13+B14),"")</f>
        <v>229483.8</v>
      </c>
      <c r="C51" s="41">
        <f>IFERROR(IF(C9="","",C13+C14),"")</f>
        <v>243252.82799999998</v>
      </c>
      <c r="D51" s="41">
        <f>IFERROR(IF(D9="","",D13+D14),"")</f>
        <v>252982.94111999997</v>
      </c>
      <c r="E51" s="29" t="n"/>
      <c r="F51" s="29" t="n"/>
      <c r="G51" s="29" t="n"/>
      <c r="H51" s="29" t="n"/>
    </row>
    <row r="52">
      <c r="A52" s="29" t="inlineStr">
        <is>
          <t>Cost of goods sold / Sales</t>
        </is>
      </c>
      <c r="B52" s="68">
        <f>IFERROR(IF(B9="","",B51/B9),"")</f>
        <v>0.2802</v>
      </c>
      <c r="C52" s="68">
        <f>IFERROR(IF(C9="","",C51/C9),"")</f>
        <v>0.28019999999999995</v>
      </c>
      <c r="D52" s="68">
        <f>IFERROR(IF(D9="","",D51/D9),"")</f>
        <v>0.2802</v>
      </c>
      <c r="E52" s="74" t="n">
        <v>0.3</v>
      </c>
      <c r="F52" s="29" t="inlineStr">
        <is>
          <t>Ceiling for cost of goods sold on sales: the family meal and the half chicken sit near 30% of their price, while sandwiches, bowls, sides and drinks pull the average down. If chicken prices rise, this is where you see it first. Kit estimate</t>
        </is>
      </c>
      <c r="G52" s="29" t="n"/>
      <c r="H52" s="29" t="n"/>
    </row>
    <row r="53">
      <c r="A53" s="29" t="inlineStr">
        <is>
          <t>Labor cost / Sales</t>
        </is>
      </c>
      <c r="B53" s="68">
        <f>IFERROR(IF(B9="","",B23/B9),"")</f>
        <v>0.33090256410256413</v>
      </c>
      <c r="C53" s="68">
        <f>IFERROR(IF(C9="","",C23/C9),"")</f>
        <v>0.31793167000714173</v>
      </c>
      <c r="D53" s="68">
        <f>IFERROR(IF(D9="","",D23/D9),"")</f>
        <v>0.31124145166235156</v>
      </c>
      <c r="E53" s="74" t="n">
        <v>0.36</v>
      </c>
      <c r="F53" s="29" t="inlineStr">
        <is>
          <t>Ceiling for labor on sales with an owner who is GM and head of rotisserie, a second rotisserie cook and weekend reinforcements. Kit estimate</t>
        </is>
      </c>
      <c r="G53" s="29" t="n"/>
      <c r="H53" s="29" t="n"/>
    </row>
    <row r="54">
      <c r="A54" s="29" t="inlineStr">
        <is>
          <t>Rent / Sales</t>
        </is>
      </c>
      <c r="B54" s="68">
        <f>IFERROR(IF(B9="","",B22/B9),"")</f>
        <v>0.054695970695970694</v>
      </c>
      <c r="C54" s="68">
        <f>IFERROR(IF(C9="","",C22/C9),"")</f>
        <v>0.051599972354689334</v>
      </c>
      <c r="D54" s="68">
        <f>IFERROR(IF(D9="","",D22/D9),"")</f>
        <v>0.04961535803335513</v>
      </c>
      <c r="E54" s="74" t="n">
        <v>0.1</v>
      </c>
      <c r="F54" s="29" t="inlineStr">
        <is>
          <t>Ceiling for rent on sales for a space with a Type I hood and exhaust to the roof: Kit estimate</t>
        </is>
      </c>
      <c r="G54" s="29" t="n"/>
      <c r="H54" s="29" t="n"/>
    </row>
    <row r="55">
      <c r="A55" s="29" t="inlineStr">
        <is>
          <t>Net income / Sales</t>
        </is>
      </c>
      <c r="B55" s="68">
        <f>IFERROR(IF(B9="","",B47/B9),"")</f>
        <v>0.07075215855573</v>
      </c>
      <c r="C55" s="68">
        <f>IFERROR(IF(C9="","",C47/C9),"")</f>
        <v>0.08916794497919638</v>
      </c>
      <c r="D55" s="68">
        <f>IFERROR(IF(D9="","",D47/D9),"")</f>
        <v>0.10019742069145829</v>
      </c>
      <c r="E55" s="74" t="n">
        <v>0.05</v>
      </c>
      <c r="F55" s="29" t="inlineStr">
        <is>
          <t>Floor for steady-state net income so the plan holds up: 5% of sales. A well-run restaurant earns more, but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rotisserie chicken restaurant</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416022.34285714285</v>
      </c>
      <c r="C6" s="62">
        <f>IFERROR(IF('3-Year P&amp;L'!$C$9="","",'3-Year P&amp;L'!$C$37),"")</f>
        <v>419667.0423276806</v>
      </c>
      <c r="D6" s="62">
        <f>IFERROR(IF('3-Year P&amp;L'!$D$9="","",'3-Year P&amp;L'!$D$37),"")</f>
        <v>423176.21174527216</v>
      </c>
      <c r="E6" s="29" t="inlineStr">
        <is>
          <t>The SAME fixed costs as the P&amp;L. Each year has its own, which is why the threshold cannot be a single one for all three years</t>
        </is>
      </c>
      <c r="F6" s="29" t="n"/>
    </row>
    <row r="7">
      <c r="A7" s="29" t="inlineStr">
        <is>
          <t>Monthly fixed costs</t>
        </is>
      </c>
      <c r="B7" s="62">
        <f>IFERROR(IF('3-Year P&amp;L'!$B$9="","",B6/12),"")</f>
        <v>34668.52857142857</v>
      </c>
      <c r="C7" s="62">
        <f>IFERROR(IF('3-Year P&amp;L'!$C$9="","",C6/12),"")</f>
        <v>34972.25352730672</v>
      </c>
      <c r="D7" s="62">
        <f>IFERROR(IF('3-Year P&amp;L'!$D$9="","",D6/12),"")</f>
        <v>35264.684312106016</v>
      </c>
      <c r="E7" s="29" t="n"/>
      <c r="F7" s="29" t="n"/>
    </row>
    <row r="8">
      <c r="A8" s="29" t="inlineStr">
        <is>
          <t>Average check (excl. sales tax)</t>
        </is>
      </c>
      <c r="B8" s="62">
        <f>IFERROR(IF('3-Year P&amp;L'!$B$9="","",'3-Year P&amp;L'!$B$7),"")</f>
        <v>17.5</v>
      </c>
      <c r="C8" s="62">
        <f>IFERROR(IF('3-Year P&amp;L'!$C$9="","",'3-Year P&amp;L'!$C$7),"")</f>
        <v>17.5</v>
      </c>
      <c r="D8" s="62">
        <f>IFERROR(IF('3-Year P&amp;L'!$D$9="","",'3-Year P&amp;L'!$D$7),"")</f>
        <v>17.5</v>
      </c>
      <c r="E8" s="29" t="n"/>
      <c r="F8" s="29" t="n"/>
    </row>
    <row r="9">
      <c r="A9" s="29" t="inlineStr">
        <is>
          <t>Variable cost per cover</t>
        </is>
      </c>
      <c r="B9" s="62">
        <f>IFERROR(IF('3-Year P&amp;L'!$B$9="","",'3-Year P&amp;L'!$B$19/('3-Year P&amp;L'!$B$6*'3-Year P&amp;L'!$B$8)),"")</f>
        <v>6.95975</v>
      </c>
      <c r="C9" s="62">
        <f>IFERROR(IF('3-Year P&amp;L'!$C$9="","",'3-Year P&amp;L'!$C$19/('3-Year P&amp;L'!$C$6*'3-Year P&amp;L'!$C$8)),"")</f>
        <v>6.959749999999999</v>
      </c>
      <c r="D9" s="62">
        <f>IFERROR(IF('3-Year P&amp;L'!$D$9="","",'3-Year P&amp;L'!$D$19/('3-Year P&amp;L'!$D$6*'3-Year P&amp;L'!$D$8)),"")</f>
        <v>6.959749999999998</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10.54025</v>
      </c>
      <c r="C10" s="62">
        <f>IFERROR(IF('3-Year P&amp;L'!$C$9="","",C8-C9),"")</f>
        <v>10.54025</v>
      </c>
      <c r="D10" s="62">
        <f>IFERROR(IF('3-Year P&amp;L'!$D$9="","",D8-D9),"")</f>
        <v>10.540250000000002</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13553.00529462249</v>
      </c>
      <c r="C12" s="62">
        <f>IFERROR(IF('3-Year P&amp;L'!$C$9="","",Financing!$B$47),"")</f>
        <v>14908.305824084739</v>
      </c>
      <c r="D12" s="62">
        <f>IFERROR(IF('3-Year P&amp;L'!$D$9="","",Financing!$B$49),"")</f>
        <v>16399.136406493213</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39469.87432529047</v>
      </c>
      <c r="C14" s="41">
        <f>IFERROR(IF('3-Year P&amp;L'!$C$9="","",IF(C10&lt;=0,"",C6/C10)),"")</f>
        <v>39815.66303718418</v>
      </c>
      <c r="D14" s="41">
        <f>IFERROR(IF('3-Year P&amp;L'!$D$9="","",IF(D10&lt;=0,"",D6/D10)),"")</f>
        <v>40148.59341526739</v>
      </c>
      <c r="E14" s="29" t="n"/>
      <c r="F14" s="29" t="n"/>
    </row>
    <row r="15">
      <c r="A15" s="29" t="inlineStr">
        <is>
          <t>Covers needed per day</t>
        </is>
      </c>
      <c r="B15" s="45">
        <f>IFERROR(IF('3-Year P&amp;L'!$B$9="","",B14/B11),"")</f>
        <v>109.63853979247352</v>
      </c>
      <c r="C15" s="45">
        <f>IFERROR(IF('3-Year P&amp;L'!$C$9="","",C14/C11),"")</f>
        <v>110.59906399217829</v>
      </c>
      <c r="D15" s="45">
        <f>IFERROR(IF('3-Year P&amp;L'!$D$9="","",D14/D11),"")</f>
        <v>111.52387059796496</v>
      </c>
      <c r="E15" s="29" t="n"/>
      <c r="F15" s="29" t="n"/>
    </row>
    <row r="16">
      <c r="A16" s="26" t="inlineStr">
        <is>
          <t>Revenue needed per year</t>
        </is>
      </c>
      <c r="B16" s="54">
        <f>IFERROR(IF('3-Year P&amp;L'!$B$9="","",B14*B8),"")</f>
        <v>690722.8006925832</v>
      </c>
      <c r="C16" s="54">
        <f>IFERROR(IF('3-Year P&amp;L'!$C$9="","",C14*C8),"")</f>
        <v>696774.1031507232</v>
      </c>
      <c r="D16" s="54">
        <f>IFERROR(IF('3-Year P&amp;L'!$D$9="","",D14*D8),"")</f>
        <v>702600.3847671793</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405058.2052946225</v>
      </c>
      <c r="C18" s="62">
        <f>IFERROR(IF('3-Year P&amp;L'!$C$9="","",C6-'3-Year P&amp;L'!$C$35+C12),"")</f>
        <v>410058.2052946225</v>
      </c>
      <c r="D18" s="62">
        <f>IFERROR(IF('3-Year P&amp;L'!$D$9="","",D6-'3-Year P&amp;L'!$D$35+D12),"")</f>
        <v>415058.2052946225</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38429.65824289011</v>
      </c>
      <c r="C19" s="41">
        <f>IFERROR(IF('3-Year P&amp;L'!$C$9="","",IF(C10&lt;=0,"",C18/C10)),"")</f>
        <v>38904.03029288893</v>
      </c>
      <c r="D19" s="41">
        <f>IFERROR(IF('3-Year P&amp;L'!$D$9="","",IF(D10&lt;=0,"",D18/D10)),"")</f>
        <v>39378.40234288773</v>
      </c>
      <c r="E19" s="29" t="n"/>
      <c r="F19" s="29" t="n"/>
    </row>
    <row r="20">
      <c r="A20" s="26" t="inlineStr">
        <is>
          <t>Covers needed per day (cash)</t>
        </is>
      </c>
      <c r="B20" s="46">
        <f>IFERROR(IF('3-Year P&amp;L'!$B$9="","",B19/B11),"")</f>
        <v>106.74905067469474</v>
      </c>
      <c r="C20" s="46">
        <f>IFERROR(IF('3-Year P&amp;L'!$C$9="","",C19/C11),"")</f>
        <v>108.06675081358036</v>
      </c>
      <c r="D20" s="46">
        <f>IFERROR(IF('3-Year P&amp;L'!$D$9="","",D19/D11),"")</f>
        <v>109.38445095246593</v>
      </c>
      <c r="E20" s="29" t="n"/>
      <c r="F20" s="29" t="n"/>
    </row>
    <row r="21">
      <c r="A21" s="29" t="inlineStr">
        <is>
          <t>Revenue needed per year (cash)</t>
        </is>
      </c>
      <c r="B21" s="41">
        <f>IFERROR(IF('3-Year P&amp;L'!$B$9="","",B19*B8),"")</f>
        <v>672519.019250577</v>
      </c>
      <c r="C21" s="41">
        <f>IFERROR(IF('3-Year P&amp;L'!$C$9="","",C19*C8),"")</f>
        <v>680820.5301255563</v>
      </c>
      <c r="D21" s="41">
        <f>IFERROR(IF('3-Year P&amp;L'!$D$9="","",D19*D8),"")</f>
        <v>689122.0410005354</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130.0</v>
      </c>
      <c r="C23" s="41">
        <f>IFERROR(IF('3-Year P&amp;L'!$C$9="","",'3-Year P&amp;L'!$C$6),"")</f>
        <v>137.8</v>
      </c>
      <c r="D23" s="41">
        <f>IFERROR(IF('3-Year P&amp;L'!$D$9="","",'3-Year P&amp;L'!$D$6),"")</f>
        <v>143.312</v>
      </c>
      <c r="E23" s="29" t="n"/>
      <c r="F23" s="29" t="n"/>
    </row>
    <row r="24">
      <c r="A24" s="29" t="inlineStr">
        <is>
          <t>Cushion above CASH break-even (%)</t>
        </is>
      </c>
      <c r="B24" s="68">
        <f>IFERROR(IF('3-Year P&amp;L'!$B$9="","",B23/B20-1),"")</f>
        <v>0.21780942479910026</v>
      </c>
      <c r="C24" s="68">
        <f>IFERROR(IF('3-Year P&amp;L'!$C$9="","",C23/C20-1),"")</f>
        <v>0.2751378103123574</v>
      </c>
      <c r="D24" s="68">
        <f>IFERROR(IF('3-Year P&amp;L'!$D$9="","",D23/D20-1),"")</f>
        <v>0.3101679329384541</v>
      </c>
      <c r="E24" s="29" t="inlineStr">
        <is>
          <t>How far planned sales sit above cash break-even. The drop you can absorb before you cannot pay the fixed costs and the loan payment is somewhat smaller: with a 25% cushion, 20%. The required minimum is set in the "0. Assumptions" tab</t>
        </is>
      </c>
      <c r="F24" s="29" t="n"/>
    </row>
    <row r="25">
      <c r="A25" s="26" t="inlineStr">
        <is>
          <t>INTERPRETATION</t>
        </is>
      </c>
      <c r="B25" s="29" t="n"/>
      <c r="C25" s="29" t="n"/>
      <c r="D25" s="29" t="n"/>
      <c r="E25" s="29" t="n"/>
      <c r="F25" s="29" t="n"/>
    </row>
    <row r="26" ht="46" customHeight="1">
      <c r="A26"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110 covers a day over your 360 opening days to avoid losing money (accounting break-even, depreciation included), and 107 for cash to hold (cash break-even: depreciation out, because it is not paid, and the year's loan payment in). The "Revenue needed per year" rows show the same figures in your currency.</v>
      </c>
      <c r="B26" s="29" t="n"/>
      <c r="C26" s="29" t="n"/>
      <c r="D26" s="29" t="n"/>
      <c r="E26" s="29" t="n"/>
      <c r="F26" s="29" t="n"/>
    </row>
    <row r="27">
      <c r="A27" s="29" t="n"/>
      <c r="B27" s="29" t="n"/>
      <c r="C27" s="29" t="n"/>
      <c r="D27" s="29" t="n"/>
      <c r="E27" s="29" t="n"/>
      <c r="F27" s="29" t="n"/>
    </row>
    <row r="28">
      <c r="A28" s="26" t="inlineStr">
        <is>
          <t>BREAK-EVEN SENSITIVITY</t>
        </is>
      </c>
      <c r="B28" s="29" t="n"/>
      <c r="C28" s="29" t="n"/>
      <c r="D28" s="29" t="n"/>
      <c r="E28" s="29" t="n"/>
      <c r="F28" s="29" t="n"/>
    </row>
    <row r="29" ht="60" customHeight="1">
      <c r="A29" s="48" t="inlineStr">
        <is>
          <t>Covers per day needed to cover costs for each average check (columns) and each variable cost per cover (rows). Green cells are below the covers per day the plan forecasts.</t>
        </is>
      </c>
      <c r="B29" s="29" t="n"/>
      <c r="C29" s="29" t="n"/>
      <c r="D29" s="29" t="n"/>
      <c r="E29" s="29" t="n"/>
      <c r="F29" s="29" t="n"/>
    </row>
    <row r="30">
      <c r="A30" s="29" t="n"/>
      <c r="B30" s="29" t="n"/>
      <c r="C30" s="29" t="n"/>
      <c r="D30" s="29" t="n"/>
      <c r="E30" s="29" t="n"/>
      <c r="F30" s="29" t="n"/>
    </row>
    <row r="31" ht="30" customHeight="1">
      <c r="A31" s="40" t="inlineStr">
        <is>
          <t>Covers per day needed: average check excl. sales tax (columns) × variable cost per cover (rows)</t>
        </is>
      </c>
      <c r="B31" s="55">
        <f>IFERROR($B$8-2,"")</f>
        <v>15.5</v>
      </c>
      <c r="C31" s="55">
        <f>IFERROR(IF($B$8="","",$B$8),"")</f>
        <v>17.5</v>
      </c>
      <c r="D31" s="55">
        <f>IFERROR($B$8+2,"")</f>
        <v>19.5</v>
      </c>
      <c r="E31" s="55">
        <f>IFERROR($B$8+4,"")</f>
        <v>21.5</v>
      </c>
      <c r="F31" s="29" t="n"/>
    </row>
    <row r="32">
      <c r="A32" s="62">
        <f>IFERROR($B$9*0.85,"")</f>
        <v>5.9157874999999995</v>
      </c>
      <c r="B32" s="45">
        <f>IFERROR(IF($B$31-$A32&lt;=0,"",$B$6/($B$31-$A32)/$B$11),"")</f>
        <v>120.57512487829534</v>
      </c>
      <c r="C32" s="45">
        <f>IFERROR(IF($C$31-$A32&lt;=0,"",$B$6/($C$31-$A32)/$B$11),"")</f>
        <v>99.75797828705396</v>
      </c>
      <c r="D32" s="45">
        <f>IFERROR(IF($D$31-$A32&lt;=0,"",$B$6/($D$31-$A32)/$B$11),"")</f>
        <v>85.07063762788009</v>
      </c>
      <c r="E32" s="45">
        <f>IFERROR(IF($E$31-$A32&lt;=0,"",$B$6/($E$31-$A32)/$B$11),"")</f>
        <v>74.15309686309905</v>
      </c>
      <c r="F32" s="29" t="n"/>
    </row>
    <row r="33">
      <c r="A33" s="62">
        <f>IFERROR($B$9*0.925,"")</f>
        <v>6.43776875</v>
      </c>
      <c r="B33" s="45">
        <f>IFERROR(IF($B$31-$A33&lt;=0,"",$B$6/($B$31-$A33)/$B$11),"")</f>
        <v>127.52020856316364</v>
      </c>
      <c r="C33" s="45">
        <f>IFERROR(IF($C$31-$A33&lt;=0,"",$B$6/($C$31-$A33)/$B$11),"")</f>
        <v>104.46514748528865</v>
      </c>
      <c r="D33" s="45">
        <f>IFERROR(IF($D$31-$A33&lt;=0,"",$B$6/($D$31-$A33)/$B$11),"")</f>
        <v>88.4701546718995</v>
      </c>
      <c r="E33" s="45">
        <f>IFERROR(IF($E$31-$A33&lt;=0,"",$B$6/($E$31-$A33)/$B$11),"")</f>
        <v>76.72287059379858</v>
      </c>
      <c r="F33" s="29" t="n"/>
    </row>
    <row r="34">
      <c r="A34" s="62">
        <f>IFERROR($B$9*1.0,"")</f>
        <v>6.95975</v>
      </c>
      <c r="B34" s="45">
        <f>IFERROR(IF($B$31-$A34&lt;=0,"",$B$6/($B$31-$A34)/$B$11),"")</f>
        <v>135.31426118059997</v>
      </c>
      <c r="C34" s="45">
        <f>IFERROR(IF($C$31-$A34&lt;=0,"",$B$6/($C$31-$A34)/$B$11),"")</f>
        <v>109.63853979247352</v>
      </c>
      <c r="D34" s="45">
        <f>IFERROR(IF($D$31-$A34&lt;=0,"",$B$6/($D$31-$A34)/$B$11),"")</f>
        <v>92.15267790096841</v>
      </c>
      <c r="E34" s="45">
        <f>IFERROR(IF($E$31-$A34&lt;=0,"",$B$6/($E$31-$A34)/$B$11),"")</f>
        <v>79.4771492269816</v>
      </c>
      <c r="F34" s="29" t="n"/>
    </row>
    <row r="35">
      <c r="A35" s="62">
        <f>IFERROR($B$9*1.075,"")</f>
        <v>7.481731249999999</v>
      </c>
      <c r="B35" s="45">
        <f>IFERROR(IF($B$31-$A35&lt;=0,"",$B$6/($B$31-$A35)/$B$11),"")</f>
        <v>144.12308380753876</v>
      </c>
      <c r="C35" s="45">
        <f>IFERROR(IF($C$31-$A35&lt;=0,"",$B$6/($C$31-$A35)/$B$11),"")</f>
        <v>115.35102999184554</v>
      </c>
      <c r="D35" s="45">
        <f>IFERROR(IF($D$31-$A35&lt;=0,"",$B$6/($D$31-$A35)/$B$11),"")</f>
        <v>96.15508215753778</v>
      </c>
      <c r="E35" s="45">
        <f>IFERROR(IF($E$31-$A35&lt;=0,"",$B$6/($E$31-$A35)/$B$11),"")</f>
        <v>82.43654331763464</v>
      </c>
      <c r="F35" s="29" t="n"/>
    </row>
    <row r="36">
      <c r="A36" s="62">
        <f>IFERROR($B$9*1.15,"")</f>
        <v>8.003712499999999</v>
      </c>
      <c r="B36" s="45">
        <f>IFERROR(IF($B$31-$A36&lt;=0,"",$B$6/($B$31-$A36)/$B$11),"")</f>
        <v>154.15865774193142</v>
      </c>
      <c r="C36" s="45">
        <f>IFERROR(IF($C$31-$A36&lt;=0,"",$B$6/($C$31-$A36)/$B$11),"")</f>
        <v>121.69151566310718</v>
      </c>
      <c r="D36" s="45">
        <f>IFERROR(IF($D$31-$A36&lt;=0,"",$B$6/($D$31-$A36)/$B$11),"")</f>
        <v>100.5209393943583</v>
      </c>
      <c r="E36" s="45">
        <f>IFERROR(IF($E$31-$A36&lt;=0,"",$B$6/($E$31-$A36)/$B$11),"")</f>
        <v>85.62485194892439</v>
      </c>
      <c r="F36" s="29" t="n"/>
    </row>
    <row r="37">
      <c r="A37" s="29" t="n"/>
      <c r="B37" s="29" t="n"/>
      <c r="C37" s="29" t="n"/>
      <c r="D37" s="29" t="n"/>
      <c r="E37" s="29" t="n"/>
      <c r="F37" s="29" t="n"/>
    </row>
    <row r="38">
      <c r="A38" s="29" t="n"/>
      <c r="B38" s="29" t="n"/>
      <c r="C38" s="29" t="n"/>
      <c r="D38" s="29" t="n"/>
      <c r="E38" s="29" t="n"/>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110</v>
      </c>
      <c r="C5" s="41">
        <f>IFERROR(IF('3-Year P&amp;L'!$B$6="","",'3-Year P&amp;L'!$B$6),"")</f>
        <v>130.0</v>
      </c>
      <c r="D5" s="51" t="n">
        <v>150</v>
      </c>
      <c r="E5" s="29" t="n"/>
      <c r="F5" s="29" t="n"/>
    </row>
    <row r="6">
      <c r="A6" s="29" t="inlineStr">
        <is>
          <t>Average check (excl. sales tax)</t>
        </is>
      </c>
      <c r="B6" s="76" t="n">
        <v>16.5</v>
      </c>
      <c r="C6" s="62">
        <f>IFERROR(IF('3-Year P&amp;L'!$B$7="","",'3-Year P&amp;L'!$B$7),"")</f>
        <v>17.5</v>
      </c>
      <c r="D6" s="76" t="n">
        <v>18.5</v>
      </c>
      <c r="E6" s="29" t="n"/>
      <c r="F6" s="29" t="n"/>
    </row>
    <row r="7">
      <c r="A7" s="29" t="inlineStr">
        <is>
          <t>Operating days per year</t>
        </is>
      </c>
      <c r="B7" s="51" t="n">
        <v>355</v>
      </c>
      <c r="C7" s="41">
        <f>IFERROR(IF('3-Year P&amp;L'!$B$8="","",'3-Year P&amp;L'!$B$8),"")</f>
        <v>360.0</v>
      </c>
      <c r="D7" s="51" t="n">
        <v>362</v>
      </c>
      <c r="E7" s="29" t="n"/>
      <c r="F7" s="29" t="n"/>
    </row>
    <row r="8">
      <c r="A8" s="26" t="inlineStr">
        <is>
          <t>ANNUAL REVENUE (excl. sales tax)</t>
        </is>
      </c>
      <c r="B8" s="54">
        <f>IFERROR(IF(B5*B6*B7=0,"",B5*B6*B7),"")</f>
        <v>644325.0</v>
      </c>
      <c r="C8" s="54">
        <f>IFERROR(IF(C5*C6*C7=0,"",C5*C6*C7),"")</f>
        <v>819000.0</v>
      </c>
      <c r="D8" s="54">
        <f>IFERROR(IF(D5*D6*D7=0,"",D5*D6*D7),"")</f>
        <v>1004550.0</v>
      </c>
      <c r="E8" s="29" t="n"/>
      <c r="F8" s="29" t="n"/>
    </row>
    <row r="9">
      <c r="A9" s="29" t="inlineStr">
        <is>
          <t>Cost of goods sold — food</t>
        </is>
      </c>
      <c r="B9" s="41">
        <f>IFERROR(IF(B8="","",B8*'0. Assumptions'!$B$11*'0. Assumptions'!$B$13),"")</f>
        <v>160694.655</v>
      </c>
      <c r="C9" s="41">
        <f>IFERROR(IF(C8="","",C8*'0. Assumptions'!$B$11*'0. Assumptions'!$B$13),"")</f>
        <v>204258.59999999998</v>
      </c>
      <c r="D9" s="41">
        <f>IFERROR(IF(D8="","",D8*'0. Assumptions'!$B$11*'0. Assumptions'!$B$13),"")</f>
        <v>250534.77</v>
      </c>
      <c r="E9" s="29" t="n"/>
      <c r="F9" s="29" t="n"/>
    </row>
    <row r="10">
      <c r="A10" s="29" t="inlineStr">
        <is>
          <t>Cost of goods sold — beverage</t>
        </is>
      </c>
      <c r="B10" s="41">
        <f>IFERROR(IF(B8="","",B8*'0. Assumptions'!$B$12*'0. Assumptions'!$B$14),"")</f>
        <v>19845.210000000003</v>
      </c>
      <c r="C10" s="41">
        <f>IFERROR(IF(C8="","",C8*'0. Assumptions'!$B$12*'0. Assumptions'!$B$14),"")</f>
        <v>25225.200000000004</v>
      </c>
      <c r="D10" s="41">
        <f>IFERROR(IF(D8="","",D8*'0. Assumptions'!$B$12*'0. Assumptions'!$B$14),"")</f>
        <v>30940.14</v>
      </c>
      <c r="E10" s="29" t="n"/>
      <c r="F10" s="29" t="n"/>
    </row>
    <row r="11">
      <c r="A11" s="29" t="inlineStr">
        <is>
          <t>Disposables and packaging</t>
        </is>
      </c>
      <c r="B11" s="41">
        <f>IFERROR(IF(B8="","",B8*'0. Assumptions'!$B$15),"")</f>
        <v>25773.0</v>
      </c>
      <c r="C11" s="41">
        <f>IFERROR(IF(C8="","",C8*'0. Assumptions'!$B$15),"")</f>
        <v>32760.0</v>
      </c>
      <c r="D11" s="41">
        <f>IFERROR(IF(D8="","",D8*'0. Assumptions'!$B$15),"")</f>
        <v>40182.0</v>
      </c>
      <c r="E11" s="29" t="n"/>
      <c r="F11" s="29" t="n"/>
    </row>
    <row r="12">
      <c r="A12" s="29" t="inlineStr">
        <is>
          <t>Delivery platform fees</t>
        </is>
      </c>
      <c r="B12" s="41">
        <f>IFERROR(IF(B8="","",B8*'0. Assumptions'!$B$16*'0. Assumptions'!$B$17),"")</f>
        <v>24162.1875</v>
      </c>
      <c r="C12" s="41">
        <f>IFERROR(IF(C8="","",C8*'0. Assumptions'!$B$16*'0. Assumptions'!$B$17),"")</f>
        <v>30712.5</v>
      </c>
      <c r="D12" s="41">
        <f>IFERROR(IF(D8="","",D8*'0. Assumptions'!$B$16*'0. Assumptions'!$B$17),"")</f>
        <v>37670.625</v>
      </c>
      <c r="E12" s="29" t="n"/>
      <c r="F12" s="29" t="n"/>
    </row>
    <row r="13">
      <c r="A13" s="29" t="inlineStr">
        <is>
          <t>Card processing fees</t>
        </is>
      </c>
      <c r="B13" s="41">
        <f>IFERROR(IF(B8="","",B8*'0. Assumptions'!$B$18),"")</f>
        <v>19329.75</v>
      </c>
      <c r="C13" s="41">
        <f>IFERROR(IF(C8="","",C8*'0. Assumptions'!$B$18),"")</f>
        <v>24570.0</v>
      </c>
      <c r="D13" s="41">
        <f>IFERROR(IF(D8="","",D8*'0. Assumptions'!$B$18),"")</f>
        <v>30136.5</v>
      </c>
      <c r="E13" s="29" t="n"/>
      <c r="F13" s="29" t="n"/>
    </row>
    <row r="14">
      <c r="A14" s="29" t="inlineStr">
        <is>
          <t>Miscellaneous and contingency</t>
        </is>
      </c>
      <c r="B14" s="41">
        <f>IFERROR(IF(B8="","",B8*'0. Assumptions'!$B$28),"")</f>
        <v>6443.25</v>
      </c>
      <c r="C14" s="41">
        <f>IFERROR(IF(C8="","",C8*'0. Assumptions'!$B$28),"")</f>
        <v>8190.0</v>
      </c>
      <c r="D14" s="41">
        <f>IFERROR(IF(D8="","",D8*'0. Assumptions'!$B$28),"")</f>
        <v>10045.5</v>
      </c>
      <c r="E14" s="29" t="n"/>
      <c r="F14" s="29" t="n"/>
    </row>
    <row r="15">
      <c r="A15" s="29" t="inlineStr">
        <is>
          <t>TOTAL VARIABLE COSTS</t>
        </is>
      </c>
      <c r="B15" s="41">
        <f>IFERROR(IF(B8="","",SUM(B9:B14)),"")</f>
        <v>256248.0525</v>
      </c>
      <c r="C15" s="41">
        <f>IFERROR(IF(C8="","",SUM(C9:C14)),"")</f>
        <v>325716.3</v>
      </c>
      <c r="D15" s="41">
        <f>IFERROR(IF(D8="","",SUM(D9:D14)),"")</f>
        <v>399509.535</v>
      </c>
      <c r="E15" s="29" t="n"/>
      <c r="F15" s="29" t="n"/>
    </row>
    <row r="16">
      <c r="A16" s="29" t="inlineStr">
        <is>
          <t>GROSS MARGIN</t>
        </is>
      </c>
      <c r="B16" s="41">
        <f>IFERROR(IF(B8="","",B8-B15),"")</f>
        <v>388076.9475</v>
      </c>
      <c r="C16" s="41">
        <f>IFERROR(IF(C8="","",C8-C15),"")</f>
        <v>493283.7</v>
      </c>
      <c r="D16" s="41">
        <f>IFERROR(IF(D8="","",D8-D15),"")</f>
        <v>605040.4650000001</v>
      </c>
      <c r="E16" s="29" t="n"/>
      <c r="F16" s="29" t="n"/>
    </row>
    <row r="17">
      <c r="A17" s="29" t="inlineStr">
        <is>
          <t>FIXED COSTS (the P&amp;L's)</t>
        </is>
      </c>
      <c r="B17" s="41">
        <f>IFERROR(IF(B8="","",'3-Year P&amp;L'!$B$37),"")</f>
        <v>416022.34285714285</v>
      </c>
      <c r="C17" s="41">
        <f>IFERROR(IF(C8="","",'3-Year P&amp;L'!$B$37),"")</f>
        <v>416022.34285714285</v>
      </c>
      <c r="D17" s="41">
        <f>IFERROR(IF(D8="","",'3-Year P&amp;L'!$B$37),"")</f>
        <v>416022.34285714285</v>
      </c>
      <c r="E17" s="29" t="inlineStr">
        <is>
          <t>Fixed costs do not change with the scenario: that is why they are fixed</t>
        </is>
      </c>
      <c r="F17" s="29" t="n"/>
    </row>
    <row r="18">
      <c r="A18" s="26" t="inlineStr">
        <is>
          <t>PRE-TAX INCOME (EBT)</t>
        </is>
      </c>
      <c r="B18" s="54">
        <f>IFERROR(IF(B8="","",B16-B17),"")</f>
        <v>-27945.395357142843</v>
      </c>
      <c r="C18" s="54">
        <f>IFERROR(IF(C8="","",C16-C17),"")</f>
        <v>77261.35714285716</v>
      </c>
      <c r="D18" s="54">
        <f>IFERROR(IF(D8="","",D16-D17),"")</f>
        <v>189018.12214285723</v>
      </c>
      <c r="E18" s="29" t="n"/>
      <c r="F18" s="29" t="n"/>
    </row>
    <row r="19">
      <c r="A19" s="29" t="inlineStr">
        <is>
          <t>Income tax</t>
        </is>
      </c>
      <c r="B19" s="41">
        <f>IFERROR(IF(B8="","",MAX(0,B18-'0. Assumptions'!$B$42)*'0. Assumptions'!$B$37),"")</f>
        <v>0.0</v>
      </c>
      <c r="C19" s="41">
        <f>IFERROR(IF(C8="","",MAX(0,C18-'0. Assumptions'!$B$42)*'0. Assumptions'!$B$37),"")</f>
        <v>19315.33928571429</v>
      </c>
      <c r="D19" s="41">
        <f>IFERROR(IF(D8="","",MAX(0,D18-'0. Assumptions'!$B$42)*'0. Assumptions'!$B$37),"")</f>
        <v>47254.53053571431</v>
      </c>
      <c r="E19" s="29" t="inlineStr">
        <is>
          <t>At the "years 1-2" effective income tax rate, offsetting prior net operating losses</t>
        </is>
      </c>
      <c r="F19" s="29" t="n"/>
    </row>
    <row r="20">
      <c r="A20" s="26" t="inlineStr">
        <is>
          <t>NET INCOME</t>
        </is>
      </c>
      <c r="B20" s="54">
        <f>IFERROR(IF(B8="","",B18-B19),"")</f>
        <v>-27945.395357142843</v>
      </c>
      <c r="C20" s="54">
        <f>IFERROR(IF(C8="","",C18-C19),"")</f>
        <v>57946.01785714287</v>
      </c>
      <c r="D20" s="54">
        <f>IFERROR(IF(D8="","",D18-D19),"")</f>
        <v>141763.59160714294</v>
      </c>
      <c r="E20" s="29" t="n"/>
      <c r="F20" s="29" t="n"/>
    </row>
    <row r="21">
      <c r="A21" s="29" t="inlineStr">
        <is>
          <t>Covers per day to break even</t>
        </is>
      </c>
      <c r="B21" s="45">
        <f>IFERROR(IF(B8="","",IF(B6-B15/(B5*B7)&lt;=0,"",B17/(B6-B15/(B5*B7))/B7)),"")</f>
        <v>117.92109273454258</v>
      </c>
      <c r="C21" s="45">
        <f>IFERROR(IF(C8="","",IF(C6-C15/(C5*C7)&lt;=0,"",C17/(C6-C15/(C5*C7))/C7)),"")</f>
        <v>109.63853979247352</v>
      </c>
      <c r="D21" s="45">
        <f>IFERROR(IF(D8="","",IF(D6-D15/(D5*D7)&lt;=0,"",D17/(D6-D15/(D5*D7))/D7)),"")</f>
        <v>103.13913703039916</v>
      </c>
      <c r="E21" s="29" t="n"/>
      <c r="F21" s="29" t="n"/>
    </row>
    <row r="22">
      <c r="A22" s="26" t="inlineStr">
        <is>
          <t>WHAT EACH SCENARIO DEMANDS</t>
        </is>
      </c>
      <c r="B22" s="29" t="n"/>
      <c r="C22" s="29" t="n"/>
      <c r="D22" s="29" t="n"/>
      <c r="E22" s="29" t="n"/>
      <c r="F22" s="29" t="n"/>
    </row>
    <row r="23">
      <c r="A23" s="29" t="inlineStr">
        <is>
          <t>Labor cost / Sales</t>
        </is>
      </c>
      <c r="B23" s="68">
        <f>IFERROR(IF(B8="","",'3-Year P&amp;L'!$B$23/B8),"")</f>
        <v>0.42060947503201024</v>
      </c>
      <c r="C23" s="68">
        <f>IFERROR(IF(C8="","",'3-Year P&amp;L'!$B$23/C8),"")</f>
        <v>0.33090256410256413</v>
      </c>
      <c r="D23" s="68">
        <f>IFERROR(IF(D8="","",'3-Year P&amp;L'!$B$23/D8),"")</f>
        <v>0.26978169329550544</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5916.666666666667</v>
      </c>
      <c r="C24" s="41">
        <f>IFERROR(IF(C8="","",C5*C7/Staffing!$C$12),"")</f>
        <v>7090.909090909091</v>
      </c>
      <c r="D24" s="41">
        <f>IFERROR(IF(D8="","",D5*D7/Staffing!$C$12),"")</f>
        <v>8227.272727272728</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80895.04220537753</v>
      </c>
      <c r="C25" s="54">
        <f>IFERROR(IF(C8="","",'Startup Costs'!$B$29+C20+'3-Year P&amp;L'!$B$35-Financing!$B$45),"")</f>
        <v>166786.45541966322</v>
      </c>
      <c r="D25" s="54">
        <f>IFERROR(IF(D8="","",'Startup Costs'!$B$29+D20+'3-Year P&amp;L'!$B$35-Financing!$B$45),"")</f>
        <v>250604.02916966326</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212281.9973081887</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GM &amp; head of rotisserie</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Buys the chicken and sets the bird size, makes the marinades, runs the rotisseries and the Sunday loads, handles pre-orders and manages. The workbook imputes a monthly salary as if on payroll, which is the prudent side; confirm with your CPA how you will pay yourself (owner's draw or W-2 under an S corp). The example pays the owner below a manager: owner's draw in addition from net profit</t>
        </is>
      </c>
    </row>
    <row r="6">
      <c r="A6" s="29" t="inlineStr">
        <is>
          <t>Rotisserie cook (spitting, loads, carving)</t>
        </is>
      </c>
      <c r="B6" s="51" t="n">
        <v>1</v>
      </c>
      <c r="C6" s="53" t="n">
        <v>1</v>
      </c>
      <c r="D6" s="76" t="n">
        <v>3293</v>
      </c>
      <c r="E6" s="62">
        <f>IFERROR(IF(D6="","",D6*'0. Assumptions'!$B$20),"")</f>
        <v>329.3</v>
      </c>
      <c r="F6" s="62">
        <f>IFERROR(IF(D6="","",D6+E6),"")</f>
        <v>3622.3</v>
      </c>
      <c r="G6" s="62">
        <f>IFERROR(IF(D6="","",F6*MAX(12,'0. Assumptions'!$B$21)),"")</f>
        <v>43467.600000000006</v>
      </c>
      <c r="H6" s="45">
        <f>IFERROR(IF(D6="","",C6*$B$19),"")</f>
        <v>40.0</v>
      </c>
      <c r="I6" s="41">
        <f>IFERROR(IF(D6="","",H6*B6*$B$20),"")</f>
        <v>1840.0</v>
      </c>
      <c r="J6" s="29" t="inlineStr">
        <is>
          <t>Spits and loads the rotisseries, runs the fryers and the sides, and can probe and carve. It is an investment, not an expense: if only the owner can run the rotisseries, a sick day closes your biggest day</t>
        </is>
      </c>
    </row>
    <row r="7">
      <c r="A7" s="29" t="inlineStr">
        <is>
          <t>Counter lead / cashier</t>
        </is>
      </c>
      <c r="B7" s="51" t="n">
        <v>1</v>
      </c>
      <c r="C7" s="53" t="n">
        <v>1</v>
      </c>
      <c r="D7" s="76" t="n">
        <v>2773</v>
      </c>
      <c r="E7" s="62">
        <f>IFERROR(IF(D7="","",D7*'0. Assumptions'!$B$20),"")</f>
        <v>277.3</v>
      </c>
      <c r="F7" s="62">
        <f>IFERROR(IF(D7="","",D7+E7),"")</f>
        <v>3050.3</v>
      </c>
      <c r="G7" s="62">
        <f>IFERROR(IF(D7="","",F7*MAX(12,'0. Assumptions'!$B$21)),"")</f>
        <v>36603.600000000006</v>
      </c>
      <c r="H7" s="45">
        <f>IFERROR(IF(D7="","",C7*$B$19),"")</f>
        <v>40.0</v>
      </c>
      <c r="I7" s="41">
        <f>IFERROR(IF(D7="","",H7*B7*$B$20),"")</f>
        <v>1840.0</v>
      </c>
      <c r="J7" s="29" t="inlineStr">
        <is>
          <t>Counter, register, phone and pre-orders, the delivery marketplace tablets and allergen information, all year round</t>
        </is>
      </c>
    </row>
    <row r="8">
      <c r="A8" s="29" t="inlineStr">
        <is>
          <t>Counter, packing &amp; expo (part-time W-2)</t>
        </is>
      </c>
      <c r="B8" s="51" t="n">
        <v>4</v>
      </c>
      <c r="C8" s="53" t="n">
        <v>0.4</v>
      </c>
      <c r="D8" s="76" t="n">
        <v>4159</v>
      </c>
      <c r="E8" s="62">
        <f>IFERROR(IF(D8="","",D8*'0. Assumptions'!$B$20),"")</f>
        <v>415.90000000000003</v>
      </c>
      <c r="F8" s="62">
        <f>IFERROR(IF(D8="","",D8+E8),"")</f>
        <v>4574.9</v>
      </c>
      <c r="G8" s="62">
        <f>IFERROR(IF(D8="","",F8*MAX(12,'0. Assumptions'!$B$21)),"")</f>
        <v>54898.799999999996</v>
      </c>
      <c r="H8" s="45">
        <f>IFERROR(IF(D8="","",C8*$B$19),"")</f>
        <v>16.0</v>
      </c>
      <c r="I8" s="41">
        <f>IFERROR(IF(D8="","",H8*B8*$B$20),"")</f>
        <v>2944.0</v>
      </c>
      <c r="J8" s="29" t="inlineStr">
        <is>
          <t>About 16 hours a week each: the lunch and dinner rushes at the counter, packing family meals and expo. Part-time W-2 employees; tips are not modeled</t>
        </is>
      </c>
    </row>
    <row r="9">
      <c r="A9" s="29" t="inlineStr">
        <is>
          <t>Dish &amp; prep (part-time W-2)</t>
        </is>
      </c>
      <c r="B9" s="51" t="n">
        <v>1</v>
      </c>
      <c r="C9" s="53" t="n">
        <v>0.5</v>
      </c>
      <c r="D9" s="76" t="n">
        <v>1300</v>
      </c>
      <c r="E9" s="62">
        <f>IFERROR(IF(D9="","",D9*'0. Assumptions'!$B$20),"")</f>
        <v>130.0</v>
      </c>
      <c r="F9" s="62">
        <f>IFERROR(IF(D9="","",D9+E9),"")</f>
        <v>1430.0</v>
      </c>
      <c r="G9" s="62">
        <f>IFERROR(IF(D9="","",F9*MAX(12,'0. Assumptions'!$B$21)),"")</f>
        <v>17160.0</v>
      </c>
      <c r="H9" s="45">
        <f>IFERROR(IF(D9="","",C9*$B$19),"")</f>
        <v>20.0</v>
      </c>
      <c r="I9" s="41">
        <f>IFERROR(IF(D9="","",H9*B9*$B$20),"")</f>
        <v>920.0</v>
      </c>
      <c r="J9" s="29" t="inlineStr">
        <is>
          <t>Weekend help: dish, prep of the sides and sauces, and the spits through the dish machine, plus the dining room cleanup. Part-time W-2 employees</t>
        </is>
      </c>
    </row>
    <row r="10">
      <c r="A10" s="29" t="inlineStr">
        <is>
          <t>Fry &amp; line cook (part-time W-2, weekends &amp; peak days)</t>
        </is>
      </c>
      <c r="B10" s="51" t="n">
        <v>1</v>
      </c>
      <c r="C10" s="53" t="n">
        <v>0.5</v>
      </c>
      <c r="D10" s="76" t="n">
        <v>1473</v>
      </c>
      <c r="E10" s="62">
        <f>IFERROR(IF(D10="","",D10*'0. Assumptions'!$B$20),"")</f>
        <v>147.3</v>
      </c>
      <c r="F10" s="62">
        <f>IFERROR(IF(D10="","",D10+E10),"")</f>
        <v>1620.3</v>
      </c>
      <c r="G10" s="62">
        <f>IFERROR(IF(D10="","",F10*MAX(12,'0. Assumptions'!$B$21)),"")</f>
        <v>19443.6</v>
      </c>
      <c r="H10" s="45">
        <f>IFERROR(IF(D10="","",C10*$B$19),"")</f>
        <v>20.0</v>
      </c>
      <c r="I10" s="41">
        <f>IFERROR(IF(D10="","",H10*B10*$B$20),"")</f>
        <v>920.0</v>
      </c>
      <c r="J10" s="29" t="inlineStr">
        <is>
          <t>Weekend and peak-day help (Sunday, holidays and pre-order pickups): fries the yuca fries and fries and runs the line. This plan has NO delivery drivers of its own: if you add them, they are W-2 employees in most states, never independent contractors by default (check yours), and you need hired and non-owned auto insurance</t>
        </is>
      </c>
    </row>
    <row r="11">
      <c r="A11" s="29" t="inlineStr">
        <is>
          <t>Prep &amp; relief rotisserie cook (marinades, sides, sauces; days off)</t>
        </is>
      </c>
      <c r="B11" s="51" t="n">
        <v>1</v>
      </c>
      <c r="C11" s="53" t="n">
        <v>1</v>
      </c>
      <c r="D11" s="76" t="n">
        <v>3033</v>
      </c>
      <c r="E11" s="62">
        <f>IFERROR(IF(D11="","",D11*'0. Assumptions'!$B$20),"")</f>
        <v>303.3</v>
      </c>
      <c r="F11" s="62">
        <f>IFERROR(IF(D11="","",D11+E11),"")</f>
        <v>3336.3</v>
      </c>
      <c r="G11" s="62">
        <f>IFERROR(IF(D11="","",F11*MAX(12,'0. Assumptions'!$B$21)),"")</f>
        <v>40035.600000000006</v>
      </c>
      <c r="H11" s="45">
        <f>IFERROR(IF(D11="","",C11*$B$19),"")</f>
        <v>40.0</v>
      </c>
      <c r="I11" s="41">
        <f>IFERROR(IF(D11="","",H11*B11*$B$20),"")</f>
        <v>1840.0</v>
      </c>
      <c r="J11" s="29" t="inlineStr">
        <is>
          <t>Coverage for vacations and the team's days off through the year. Paid sick leave is required by some states and cities: check yours</t>
        </is>
      </c>
    </row>
    <row r="12">
      <c r="A12" s="26" t="inlineStr">
        <is>
          <t>TOTAL STAFF</t>
        </is>
      </c>
      <c r="B12" s="54">
        <f>IFERROR(IF(COUNT(D5:D11)=0,"",SUM(B5:B11)),"")</f>
        <v>10.0</v>
      </c>
      <c r="C12" s="55">
        <f>IFERROR(IF(COUNT(D5:D11)=0,"",SUMPRODUCT(B5:B11,C5:C11)),"")</f>
        <v>6.6</v>
      </c>
      <c r="D12" s="55">
        <f>IFERROR(IF(COUNT(D5:D11)=0,"",SUM(D5:D11)),"")</f>
        <v>20531.0</v>
      </c>
      <c r="E12" s="55">
        <f>IFERROR(IF(COUNT(D5:D11)=0,"",SUM(E5:E11)),"")</f>
        <v>2053.1</v>
      </c>
      <c r="F12" s="55">
        <f>IFERROR(IF(COUNT(D5:D11)=0,"",SUM(F5:F11)),"")</f>
        <v>22584.100000000002</v>
      </c>
      <c r="G12" s="55">
        <f>IFERROR(IF(COUNT(D5:D11)=0,"",SUM(G5:G11)),"")</f>
        <v>271009.2</v>
      </c>
      <c r="H12" s="29" t="n"/>
      <c r="I12" s="54">
        <f>IFERROR(IF(COUNT(D5:D11)=0,"",SUM(I5:I11)),"")</f>
        <v>12144.0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276009.2</v>
      </c>
      <c r="C16" s="29" t="n"/>
      <c r="D16" s="29" t="n"/>
      <c r="E16" s="29" t="n"/>
      <c r="F16" s="29" t="n"/>
      <c r="G16" s="29" t="n"/>
      <c r="H16" s="29" t="n"/>
      <c r="I16" s="29" t="n"/>
      <c r="J16" s="29" t="n"/>
    </row>
    <row r="17">
      <c r="A17" s="29" t="inlineStr">
        <is>
          <t>Labor cost, year 3</t>
        </is>
      </c>
      <c r="B17" s="41">
        <f>IFERROR(IF(B16="","",B16*(1+'0. Assumptions'!$B$48)+B15),"")</f>
        <v>281009.2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and average absences. There is no federal vacation requirement in the US: adjust it to your own policy</t>
        </is>
      </c>
    </row>
    <row r="21">
      <c r="A21" s="29" t="inlineStr">
        <is>
          <t>Service hours per day to cover</t>
        </is>
      </c>
      <c r="B21" s="47" t="n">
        <v>10.5</v>
      </c>
      <c r="C21" s="29" t="n"/>
      <c r="D21" s="29" t="n"/>
      <c r="E21" s="29" t="n"/>
      <c r="F21" s="29" t="n"/>
      <c r="G21" s="29" t="n"/>
      <c r="H21" s="29" t="n"/>
      <c r="I21" s="29" t="n"/>
      <c r="J21" s="29" t="inlineStr">
        <is>
          <t>Hours the restaurant is open to the public each day, 7 days a week, on average, adding the preparation for each service. Any slow stretch between services is not counted</t>
        </is>
      </c>
    </row>
    <row r="22">
      <c r="A22" s="29" t="inlineStr">
        <is>
          <t>People needed at the same time in each shift</t>
        </is>
      </c>
      <c r="B22" s="47" t="n">
        <v>2.75</v>
      </c>
      <c r="C22" s="29" t="n"/>
      <c r="D22" s="29" t="n"/>
      <c r="E22" s="29" t="n"/>
      <c r="F22" s="29" t="n"/>
      <c r="G22" s="29" t="n"/>
      <c r="H22" s="29" t="n"/>
      <c r="I22" s="29" t="n"/>
      <c r="J22" s="29" t="inlineStr">
        <is>
          <t>Average number of people on at once between the rotisseries, the fryers, the counter and the packing station. On a Sunday more are needed: the weekend help and the extra counter staff come in (the annual schedule does not see this: put it on the shift schedule)</t>
        </is>
      </c>
    </row>
    <row r="23">
      <c r="A23" s="29" t="inlineStr">
        <is>
          <t>Production hours per day BEFORE opening</t>
        </is>
      </c>
      <c r="B23" s="47" t="n">
        <v>3</v>
      </c>
      <c r="C23" s="29" t="n"/>
      <c r="D23" s="29" t="n"/>
      <c r="E23" s="29" t="n"/>
      <c r="F23" s="29" t="n"/>
      <c r="G23" s="29" t="n"/>
      <c r="H23" s="29" t="n"/>
      <c r="I23" s="29" t="n"/>
      <c r="J23" s="29" t="inlineStr">
        <is>
          <t>Hours of production before opening each day: spitting the marinated birds and loading the first batch, lighting the rotisseries, and prepping the sides, sauces and fry station</t>
        </is>
      </c>
    </row>
    <row r="24">
      <c r="A24" s="29" t="inlineStr">
        <is>
          <t>People on the production shift</t>
        </is>
      </c>
      <c r="B24" s="47" t="n">
        <v>1.5</v>
      </c>
      <c r="C24" s="29" t="n"/>
      <c r="D24" s="29" t="n"/>
      <c r="E24" s="29" t="n"/>
      <c r="F24" s="29" t="n"/>
      <c r="G24" s="29" t="n"/>
      <c r="H24" s="29" t="n"/>
      <c r="I24" s="29" t="n"/>
      <c r="J24" s="29" t="inlineStr">
        <is>
          <t>The owner with the rotisserie cook. Closing, cleaning the rotisseries and the hood, and purchasing are outside this schedule: they are the margin between the hours hired and the hours needed</t>
        </is>
      </c>
    </row>
    <row r="25">
      <c r="A25" s="29" t="inlineStr">
        <is>
          <t>Service hours to cover per year</t>
        </is>
      </c>
      <c r="B25" s="41">
        <f>IFERROR(IF(OR(B21="",B22="",'0. Assumptions'!$B$6=""),"",B21*B22*'0. Assumptions'!$B$6+B23*B24*'0. Assumptions'!$B$6),"")</f>
        <v>12015.0</v>
      </c>
      <c r="C25" s="29" t="n"/>
      <c r="D25" s="29" t="n"/>
      <c r="E25" s="29" t="n"/>
      <c r="F25" s="29" t="n"/>
      <c r="G25" s="29" t="n"/>
      <c r="H25" s="29" t="n"/>
      <c r="I25" s="29" t="n"/>
      <c r="J25" s="29" t="n"/>
    </row>
    <row r="26">
      <c r="A26" s="29" t="inlineStr">
        <is>
          <t>Hours hired per year</t>
        </is>
      </c>
      <c r="B26" s="41">
        <f>IFERROR(IF(I12="","",I12),"")</f>
        <v>12144.0</v>
      </c>
      <c r="C26" s="29" t="n"/>
      <c r="D26" s="29" t="n"/>
      <c r="E26" s="29" t="n"/>
      <c r="F26" s="29" t="n"/>
      <c r="G26" s="29" t="n"/>
      <c r="H26" s="29" t="n"/>
      <c r="I26" s="29" t="n"/>
      <c r="J26" s="29" t="n"/>
    </row>
    <row r="27">
      <c r="A27" s="26" t="inlineStr">
        <is>
          <t>Coverage (hired / needed)</t>
        </is>
      </c>
      <c r="B27" s="67">
        <f>IFERROR(B26/B25,"")</f>
        <v>1.010736579275905</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69.25" customHeight="1">
      <c r="A29" s="48" t="inlineStr">
        <is>
          <t>The gross pay, employer payroll taxes, monthly cost and annual cost columns are TOTALS for the row: for a position with several people they include all of them. "FTE" is the share of a full-time week and is used to compare pay with the legal floor pro rata. The payroll tax rate and the number of pay periods are in the "0. Assumptions" tab. Tips are not modeled: this is counter service, every position is budgeted at a base wage of at least $15/h, and counter tips (tip jar or screen) belong to the staff, never to the owner or managers.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Rotisserie Chicken Restaurant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4.75" customHeight="1">
      <c r="A7" s="48"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sales tax included, and the sales tax you remit as a quarterly filer.</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105" customHeight="1">
      <c r="A10" s="48" t="inlineStr">
        <is>
          <t>6. The "12-Month Cash Flow" tab answers the question that decides a bank deal: in which month the cash runs out. Its Month 1 is JANUARY, in calendar order: the ramp-up falls on January and February, the slowest months, and that is why working capital counts. May, July and December are the peaks. If you open in another month, rotate the seasonality row.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65" customHeight="1">
      <c r="A12" s="48" t="inlineStr">
        <is>
          <t>8. The Word business plan in this pack quotes the figures in this Excel: if you change a green cell, the Excel rules. The Rotisserie Chicken Yield &amp; Costing Calculator is separate and is used to measure the cooked yield of a bird, how many birds fit on your rotisseries before the Sunday peak, and to COST each bird and each plate: do not copy the food cost of one bird into the "0. Assumptions" tab. The "Cost of goods sold on FOOD sales" cell is the weighted average of the WHOLE menu (quarter, half, whole, family meals, sandwiches and bowls, and sides, each by what it sells) plus waste, and that is why it differs from the food cost of the whole bird. With the costing of your own menu, check that this average holds.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0.2802</v>
      </c>
      <c r="C18" s="68">
        <f>IFERROR(IF('3-Year P&amp;L'!$E$52="","",'3-Year P&amp;L'!$E$52),"")</f>
        <v>0.3</v>
      </c>
      <c r="D18" s="29" t="str">
        <f>IFERROR(IF(OR(B18="",C18=""),"",IF(B18&lt;=C18,"OK","REVIEW")),"")</f>
        <v>OK</v>
      </c>
      <c r="E18" s="29" t="n"/>
    </row>
    <row r="19">
      <c r="A19" s="29" t="inlineStr">
        <is>
          <t>Labor cost / Sales</t>
        </is>
      </c>
      <c r="B19" s="68">
        <f>IFERROR(IF('3-Year P&amp;L'!$B$53="","",'3-Year P&amp;L'!$B$53),"")</f>
        <v>0.33090256410256413</v>
      </c>
      <c r="C19" s="68">
        <f>IFERROR(IF('3-Year P&amp;L'!$E$53="","",'3-Year P&amp;L'!$E$53),"")</f>
        <v>0.36</v>
      </c>
      <c r="D19" s="29" t="str">
        <f>IFERROR(IF(OR(B19="",C19=""),"",IF(B19&lt;=C19,"OK","REVIEW")),"")</f>
        <v>OK</v>
      </c>
      <c r="E19" s="29" t="n"/>
    </row>
    <row r="20">
      <c r="A20" s="29" t="inlineStr">
        <is>
          <t>Rent / Sales</t>
        </is>
      </c>
      <c r="B20" s="68">
        <f>IFERROR(IF('3-Year P&amp;L'!$B$54="","",'3-Year P&amp;L'!$B$54),"")</f>
        <v>0.054695970695970694</v>
      </c>
      <c r="C20" s="68">
        <f>IFERROR(IF('3-Year P&amp;L'!$E$54="","",'3-Year P&amp;L'!$E$54),"")</f>
        <v>0.1</v>
      </c>
      <c r="D20" s="29" t="str">
        <f>IFERROR(IF(OR(B20="",C20=""),"",IF(B20&lt;=C20,"OK","REVIEW")),"")</f>
        <v>OK</v>
      </c>
      <c r="E20" s="29" t="n"/>
    </row>
    <row r="21">
      <c r="A21" s="29" t="inlineStr">
        <is>
          <t>Net income / Sales</t>
        </is>
      </c>
      <c r="B21" s="68">
        <f>IFERROR(IF('3-Year P&amp;L'!$B$55="","",'3-Year P&amp;L'!$B$55),"")</f>
        <v>0.07075215855573</v>
      </c>
      <c r="C21" s="68">
        <f>IFERROR(IF('3-Year P&amp;L'!$E$55="","",'3-Year P&amp;L'!$E$55),"")</f>
        <v>0.05</v>
      </c>
      <c r="D21" s="29" t="str">
        <f>IFERROR(IF(OR(B21="",C21=""),"",IF(B21&gt;=C21,"OK","REVIEW")),"")</f>
        <v>OK</v>
      </c>
      <c r="E21" s="29" t="n"/>
    </row>
    <row r="22">
      <c r="A22" s="29" t="inlineStr">
        <is>
          <t>Gross margin / Sales</t>
        </is>
      </c>
      <c r="B22" s="68">
        <f>IFERROR(IF('3-Year P&amp;L'!$B$50="","",'3-Year P&amp;L'!$B$50),"")</f>
        <v>0.6023000000000001</v>
      </c>
      <c r="C22" s="68">
        <f>IFERROR(IF('3-Year P&amp;L'!$E$50="","",'3-Year P&amp;L'!$E$50),"")</f>
        <v>0.6</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335708.3</v>
      </c>
      <c r="C25" s="29" t="n"/>
      <c r="D25" s="29" t="n"/>
      <c r="E25" s="29" t="n"/>
    </row>
    <row r="26">
      <c r="A26" s="29" t="inlineStr">
        <is>
          <t>Total cash needed at launch</t>
        </is>
      </c>
      <c r="B26" s="41">
        <f>IFERROR(IF('Startup Costs'!$B$33="","",'Startup Costs'!$B$33),"")</f>
        <v>335708.3</v>
      </c>
      <c r="C26" s="29" t="n"/>
      <c r="D26" s="29" t="n"/>
      <c r="E26" s="29" t="n"/>
    </row>
    <row r="27">
      <c r="A27" s="29" t="inlineStr">
        <is>
          <t>Working capital funded</t>
        </is>
      </c>
      <c r="B27" s="41">
        <f>IFERROR(IF('Startup Costs'!$B$29="","",'Startup Costs'!$B$29),"")</f>
        <v>97876.3</v>
      </c>
      <c r="C27" s="29" t="n"/>
      <c r="D27" s="29" t="n"/>
      <c r="E27" s="29" t="n"/>
    </row>
    <row r="28">
      <c r="A28" s="29" t="inlineStr">
        <is>
          <t>Forecast year-1 revenue</t>
        </is>
      </c>
      <c r="B28" s="41">
        <f>IFERROR(IF('3-Year P&amp;L'!$B$9="","",'3-Year P&amp;L'!$B$9),"")</f>
        <v>819000.0</v>
      </c>
      <c r="C28" s="29" t="n"/>
      <c r="D28" s="29" t="n"/>
      <c r="E28" s="29" t="n"/>
    </row>
    <row r="29">
      <c r="A29" s="29" t="inlineStr">
        <is>
          <t>Year-1 net income</t>
        </is>
      </c>
      <c r="B29" s="41">
        <f>IFERROR(IF('3-Year P&amp;L'!$B$47="","",'3-Year P&amp;L'!$B$47),"")</f>
        <v>57946.01785714287</v>
      </c>
      <c r="C29" s="29" t="n"/>
      <c r="D29" s="29" t="n"/>
      <c r="E29" s="29" t="n"/>
    </row>
    <row r="30">
      <c r="A30" s="29" t="inlineStr">
        <is>
          <t>Covers per day for the ACCOUNTING break-even (depreciation included)</t>
        </is>
      </c>
      <c r="B30" s="45">
        <f>IFERROR(IF('Break-Even'!$B$15="","",'Break-Even'!$B$15),"")</f>
        <v>109.63853979247352</v>
      </c>
      <c r="C30" s="29" t="n"/>
      <c r="D30" s="29" t="n"/>
      <c r="E30" s="29" t="n"/>
    </row>
    <row r="31">
      <c r="A31" s="29" t="inlineStr">
        <is>
          <t>Project payback (years), before debt</t>
        </is>
      </c>
      <c r="B31" s="29">
        <f>IFERROR(IF('12-Month Cash Flow'!$B$31="","",'12-Month Cash Flow'!$B$31),"")</f>
        <v>2.8</v>
      </c>
      <c r="C31" s="29" t="n"/>
      <c r="D31" s="29" t="n"/>
      <c r="E31" s="29" t="n"/>
    </row>
    <row r="32">
      <c r="A32" s="29" t="n"/>
      <c r="B32" s="29" t="n"/>
      <c r="C32" s="29" t="n"/>
      <c r="D32" s="29" t="n"/>
      <c r="E32" s="29" t="n"/>
    </row>
    <row r="33">
      <c r="A33" s="26" t="inlineStr">
        <is>
          <t>US ROTISSERIE CHICKEN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60" customHeight="1">
      <c r="A35" s="29" t="inlineStr">
        <is>
          <t>Month 1 of the plan</t>
        </is>
      </c>
      <c r="B35" s="29" t="inlineStr">
        <is>
          <t>January</t>
        </is>
      </c>
      <c r="C35" s="29" t="inlineStr">
        <is>
          <t>Plan decision</t>
        </is>
      </c>
      <c r="D35" s="48" t="inlineStr">
        <is>
          <t>In calendar order: the ramp-up falls on the slowest months (January and February) and working capital covers it; May, July and December are the peaks. If you open in another month, rotate the seasonality row of the "12-Month Cash Flow" tab</t>
        </is>
      </c>
      <c r="E35" s="29" t="n"/>
    </row>
    <row r="36" ht="45" customHeight="1">
      <c r="A36" s="29" t="inlineStr">
        <is>
          <t>Consumer demand (US searches)</t>
        </is>
      </c>
      <c r="B36" s="29" t="inlineStr">
        <is>
          <t>"pollo a la brasa" and "peruvian chicken" about 40,500 a month each; "peruvian chicken restaurant" 2,900</t>
        </is>
      </c>
      <c r="C36" s="29" t="inlineStr">
        <is>
          <t>DataForSEO, US, Oct 2026</t>
        </is>
      </c>
      <c r="D36" s="48" t="inlineStr">
        <is>
          <t>Demand from diners, not from buyers of this plan</t>
        </is>
      </c>
      <c r="E36" s="29" t="n"/>
    </row>
    <row r="37" ht="45" customHeight="1">
      <c r="A37" s="29" t="inlineStr">
        <is>
          <t>Family meal (whole chicken + 2 large sides)</t>
        </is>
      </c>
      <c r="B37" s="29" t="inlineStr">
        <is>
          <t>$31-34 in mid-size cities (quarter + 2 sides $10-13; half + 2 sides $16-18)</t>
        </is>
      </c>
      <c r="C37" s="29" t="inlineStr">
        <is>
          <t>Kit estimate (menu scan, Oct 2026)</t>
        </is>
      </c>
      <c r="D37" s="48" t="inlineStr">
        <is>
          <t>This plan: quarter $13.00, half $17.50, family meal $34.00</t>
        </is>
      </c>
      <c r="E37" s="29" t="n"/>
    </row>
    <row r="38" ht="45" customHeight="1">
      <c r="A38" s="29" t="inlineStr">
        <is>
          <t>Cost of a marinated bird</t>
        </is>
      </c>
      <c r="B38" s="29" t="inlineStr">
        <is>
          <t>About $5.99 (3.0 lb (1.4 kg) at $1.75/lb + marinade + 5% holding shrink); a family meal runs about 30% of its price</t>
        </is>
      </c>
      <c r="C38" s="29" t="inlineStr">
        <is>
          <t>Kit estimate (Rotisserie Chicken Yield &amp; Costing Calculator)</t>
        </is>
      </c>
      <c r="D38" s="48" t="inlineStr">
        <is>
          <t>Enter your distributor's price: the USDA whole-chicken composite varies by region</t>
        </is>
      </c>
      <c r="E38" s="29" t="n"/>
    </row>
    <row r="39" ht="45" customHeight="1">
      <c r="A39" s="29" t="inlineStr">
        <is>
          <t>Cooked yield of a whole chicken</t>
        </is>
      </c>
      <c r="B39" s="29" t="inlineStr">
        <is>
          <t>About 70-75%</t>
        </is>
      </c>
      <c r="C39" s="29" t="inlineStr">
        <is>
          <t>Kit estimate (no manufacturer data)</t>
        </is>
      </c>
      <c r="D39" s="48" t="inlineStr">
        <is>
          <t>Measure your own with the calculator (raw weight, cooked weight)</t>
        </is>
      </c>
      <c r="E39" s="29" t="n"/>
    </row>
    <row r="40" ht="30" customHeight="1">
      <c r="A40" s="29" t="inlineStr">
        <is>
          <t>Commercial gas rotisserie, 8 spits</t>
        </is>
      </c>
      <c r="B40" s="29" t="inlineStr">
        <is>
          <t>$6,011 retail (48 birds per load); 5 spits $4,530</t>
        </is>
      </c>
      <c r="C40" s="29" t="inlineStr">
        <is>
          <t>webstaurantstore.com (Pegasus CR-8G, CR-5G), read Oct 2026</t>
        </is>
      </c>
      <c r="D40" s="48" t="inlineStr">
        <is>
          <t>The example counts two; a listed charcoal rotisserie runs $27,500-$35,950 (J&amp;R) and is a solid-fuel variant (NFPA 96)</t>
        </is>
      </c>
      <c r="E40" s="29" t="n"/>
    </row>
    <row r="41" ht="45" customHeight="1">
      <c r="A41" s="29" t="inlineStr">
        <is>
          <t>Delivery marketplace commission</t>
        </is>
      </c>
      <c r="B41" s="29" t="inlineStr">
        <is>
          <t>DoorDash 15 / 25 / 30% + 6% pickup; Uber Eats 15-30%</t>
        </is>
      </c>
      <c r="C41" s="29" t="inlineStr">
        <is>
          <t>merchants.ubereats.com; DoorDash tiers (Oct 2026)</t>
        </is>
      </c>
      <c r="D41" s="48" t="inlineStr">
        <is>
          <t>This plan: 25% on the 15% of sales that go through marketplaces. Direct pickup and pre-orders pay no commission; check your contract</t>
        </is>
      </c>
      <c r="E41" s="29" t="n"/>
    </row>
    <row r="42" ht="60"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90" customHeight="1">
      <c r="A43" s="29" t="inlineStr">
        <is>
          <t>Cook, hold, cool and reheat</t>
        </is>
      </c>
      <c r="B43" s="29" t="inlineStr">
        <is>
          <t>Poultry 165 °F (74 °C); hot holding ≥ 135 °F (57 °C); cool 135 → 70 °F (57 → 21 °C) in 2 h and → 41 °F (5 °C) within 6 h; reheat for holding to 165 °F (74 °C)</t>
        </is>
      </c>
      <c r="C43" s="29" t="inlineStr">
        <is>
          <t>FDA Food Code 2022 (3-401.11, 3-501.16, 3-501.14, 3-403.11)</t>
        </is>
      </c>
      <c r="D43" s="48" t="inlineStr">
        <is>
          <t>Each state adopts its own edition. Ask your health department in writing for its rules on cooking and holding chicken</t>
        </is>
      </c>
      <c r="E43" s="29" t="n"/>
    </row>
    <row r="44" ht="60" customHeight="1">
      <c r="A44" s="29" t="inlineStr">
        <is>
          <t>Time as a public health control (display)</t>
        </is>
      </c>
      <c r="B44" s="29" t="inlineStr">
        <is>
          <t>Up to 4 h with the time marked and a written procedure, then discard</t>
        </is>
      </c>
      <c r="C44" s="29" t="inlineStr">
        <is>
          <t>FDA Food Code 2022 (3-501.19)</t>
        </is>
      </c>
      <c r="D44" s="48" t="inlineStr">
        <is>
          <t>Every load goes out with its time. Under TPHC what is left at 4 hours is thrown away; only birds held at 135 °F (57 °C) or above can be cooled with a log for the next day</t>
        </is>
      </c>
      <c r="E44" s="29" t="n"/>
    </row>
    <row r="45" ht="30" customHeight="1">
      <c r="A45" s="29" t="inlineStr">
        <is>
          <t>Minimum wage</t>
        </is>
      </c>
      <c r="B45" s="29" t="inlineStr">
        <is>
          <t>Federal $7.25/h + your state</t>
        </is>
      </c>
      <c r="C45" s="29" t="inlineStr">
        <is>
          <t>U.S. Department of Labor (dol.gov)</t>
        </is>
      </c>
      <c r="D45" s="48" t="inlineStr">
        <is>
          <t>This plan budgets at least $15/h; enter your state's floor on "0. Assumptions"</t>
        </is>
      </c>
      <c r="E45" s="29" t="n"/>
    </row>
    <row r="46" ht="45" customHeight="1">
      <c r="A46" s="29" t="inlineStr">
        <is>
          <t>Labor cost / sales</t>
        </is>
      </c>
      <c r="B46" s="29" t="inlineStr">
        <is>
          <t>25-35% (a chicken chain: about 31%)</t>
        </is>
      </c>
      <c r="C46" s="29" t="inlineStr">
        <is>
          <t>UpMenu (upmenu.com); El Pollo Loco Q2-2025 (summary)</t>
        </is>
      </c>
      <c r="D46" s="48" t="inlineStr">
        <is>
          <t>Seven days a week pushes it up; counter service pulls it down</t>
        </is>
      </c>
      <c r="E46" s="29" t="n"/>
    </row>
    <row r="47">
      <c r="A47" s="29" t="n"/>
      <c r="B47" s="29" t="n"/>
      <c r="C47" s="29" t="n"/>
      <c r="D47" s="29" t="n"/>
      <c r="E47" s="29" t="n"/>
    </row>
    <row r="48">
      <c r="A48" s="75" t="inlineStr">
        <is>
          <t>To edit a cell that is not green: Review → Unprotect Sheet (there is no password).</t>
        </is>
      </c>
      <c r="B48" s="29" t="n"/>
      <c r="C48" s="29" t="n"/>
      <c r="D48" s="29" t="n"/>
      <c r="E48" s="29" t="n"/>
    </row>
    <row r="49">
      <c r="A49" s="75" t="inlineStr">
        <is>
          <t>More templates and kits in the catalog at aichef.pro/en/digital-products</t>
        </is>
      </c>
      <c r="B49" s="29" t="n"/>
      <c r="C49" s="29" t="n"/>
      <c r="D49" s="29" t="n"/>
      <c r="E49" s="29" t="n"/>
    </row>
    <row r="50">
      <c r="A50" s="75" t="inlineStr">
        <is>
          <t>Designed by John Guerrero — chef and restaurant consultant since 2010, in the kitchen since age 17 · johnguerrero.es</t>
        </is>
      </c>
      <c r="B50" s="29" t="n"/>
      <c r="C50" s="29" t="n"/>
      <c r="D50" s="29" t="n"/>
      <c r="E50" s="29" t="n"/>
    </row>
    <row r="51">
      <c r="A51" s="75" t="inlineStr">
        <is>
          <t>Version 2.2 · October 2026 · aichef.pro/en/digital-products/rotisserie-chicken-restaurant-business-plan · info@aichef.pro</t>
        </is>
      </c>
      <c r="B51" s="29" t="n"/>
      <c r="C51" s="29" t="n"/>
      <c r="D51" s="29" t="n"/>
      <c r="E51" s="29" t="n"/>
    </row>
    <row r="52" ht="45" customHeight="1">
      <c r="A52" s="77" t="inlineStr">
        <is>
          <t>Planning tool, not financial, tax or legal advice. Requirements vary by state, county and city — check with your accountant and local authorities.</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0.078</v>
      </c>
      <c r="C5" s="74" t="n">
        <v>0.078</v>
      </c>
      <c r="D5" s="74" t="n">
        <v>0.08400000000000001</v>
      </c>
      <c r="E5" s="74" t="n">
        <v>0.082</v>
      </c>
      <c r="F5" s="74" t="n">
        <v>0.08799999999999999</v>
      </c>
      <c r="G5" s="74" t="n">
        <v>0.082</v>
      </c>
      <c r="H5" s="74" t="n">
        <v>0.08599999999999999</v>
      </c>
      <c r="I5" s="74" t="n">
        <v>0.08400000000000001</v>
      </c>
      <c r="J5" s="74" t="n">
        <v>0.082</v>
      </c>
      <c r="K5" s="74" t="n">
        <v>0.08400000000000001</v>
      </c>
      <c r="L5" s="74" t="n">
        <v>0.082</v>
      </c>
      <c r="M5" s="74" t="n">
        <v>0.09</v>
      </c>
      <c r="N5" s="68">
        <f>IFERROR(IF('3-Year P&amp;L'!$B$9="","",SUM(B5:M5)),"")</f>
        <v>1.0</v>
      </c>
      <c r="O5" s="29" t="inlineStr">
        <is>
          <t>Month 1 = JANUARY, in calendar order: rotisserie chicken is an everyday meal, so the curve is flat. January and February are the slowest months; May (Mother's Day), July (Pollo a la Brasa Day in the Peruvian community and July 4 take-out) and December (holiday family meals and pre-orders) are the peaks. Kit weights for a mid-size US city: replace them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0.060905778240499746</v>
      </c>
      <c r="C7" s="68">
        <f>IFERROR(IF('3-Year P&amp;L'!$B$9="","",C5*C6/SUMPRODUCT($B$5:$M$5,$B$6:$M$6)),"")</f>
        <v>0.06767308693388861</v>
      </c>
      <c r="D7" s="68">
        <f>IFERROR(IF('3-Year P&amp;L'!$B$9="","",D5*D6/SUMPRODUCT($B$5:$M$5,$B$6:$M$6)),"")</f>
        <v>0.08016657990629882</v>
      </c>
      <c r="E7" s="68">
        <f>IFERROR(IF('3-Year P&amp;L'!$B$9="","",E5*E6/SUMPRODUCT($B$5:$M$5,$B$6:$M$6)),"")</f>
        <v>0.08537220197813641</v>
      </c>
      <c r="F7" s="68">
        <f>IFERROR(IF('3-Year P&amp;L'!$B$9="","",F5*F6/SUMPRODUCT($B$5:$M$5,$B$6:$M$6)),"")</f>
        <v>0.0916189484643415</v>
      </c>
      <c r="G7" s="68">
        <f>IFERROR(IF('3-Year P&amp;L'!$B$9="","",G5*G6/SUMPRODUCT($B$5:$M$5,$B$6:$M$6)),"")</f>
        <v>0.08537220197813641</v>
      </c>
      <c r="H7" s="68">
        <f>IFERROR(IF('3-Year P&amp;L'!$B$9="","",H5*H6/SUMPRODUCT($B$5:$M$5,$B$6:$M$6)),"")</f>
        <v>0.08953669963560647</v>
      </c>
      <c r="I7" s="68">
        <f>IFERROR(IF('3-Year P&amp;L'!$B$9="","",I5*I6/SUMPRODUCT($B$5:$M$5,$B$6:$M$6)),"")</f>
        <v>0.08745445080687145</v>
      </c>
      <c r="J7" s="68">
        <f>IFERROR(IF('3-Year P&amp;L'!$B$9="","",J5*J6/SUMPRODUCT($B$5:$M$5,$B$6:$M$6)),"")</f>
        <v>0.08537220197813641</v>
      </c>
      <c r="K7" s="68">
        <f>IFERROR(IF('3-Year P&amp;L'!$B$9="","",K5*K6/SUMPRODUCT($B$5:$M$5,$B$6:$M$6)),"")</f>
        <v>0.08745445080687145</v>
      </c>
      <c r="L7" s="68">
        <f>IFERROR(IF('3-Year P&amp;L'!$B$9="","",L5*L6/SUMPRODUCT($B$5:$M$5,$B$6:$M$6)),"")</f>
        <v>0.08537220197813641</v>
      </c>
      <c r="M7" s="68">
        <f>IFERROR(IF('3-Year P&amp;L'!$B$9="","",M5*M6/SUMPRODUCT($B$5:$M$5,$B$6:$M$6)),"")</f>
        <v>0.09370119729307654</v>
      </c>
      <c r="N7" s="68">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50280.88703800105</v>
      </c>
      <c r="C9" s="41">
        <f>IFERROR(IF('3-Year P&amp;L'!$B$9="","",('3-Year P&amp;L'!$B$9+'3-Year P&amp;L'!$B$9*SUMPRODUCT('3-Year P&amp;L'!$E$10:$E$11,'3-Year P&amp;L'!$G$10:$G$11))*(C7*(1-MIN(30,'0. Assumptions'!$B$58)/30)+B7*MIN(30,'0. Assumptions'!$B$58)/30)),"")</f>
        <v>59459.1441957314</v>
      </c>
      <c r="D9" s="41">
        <f>IFERROR(IF('3-Year P&amp;L'!$B$9="","",('3-Year P&amp;L'!$B$9+'3-Year P&amp;L'!$B$9*SUMPRODUCT('3-Year P&amp;L'!$E$10:$E$11,'3-Year P&amp;L'!$G$10:$G$11))*(D7*(1-MIN(30,'0. Assumptions'!$B$58)/30)+C7*MIN(30,'0. Assumptions'!$B$58)/30)),"")</f>
        <v>70172.22696512235</v>
      </c>
      <c r="E9" s="41">
        <f>IFERROR(IF('3-Year P&amp;L'!$B$9="","",('3-Year P&amp;L'!$B$9+'3-Year P&amp;L'!$B$9*SUMPRODUCT('3-Year P&amp;L'!$E$10:$E$11,'3-Year P&amp;L'!$G$10:$G$11))*(E7*(1-MIN(30,'0. Assumptions'!$B$58)/30)+D7*MIN(30,'0. Assumptions'!$B$58)/30)),"")</f>
        <v>75206.45497136911</v>
      </c>
      <c r="F9" s="41">
        <f>IFERROR(IF('3-Year P&amp;L'!$B$9="","",('3-Year P&amp;L'!$B$9+'3-Year P&amp;L'!$B$9*SUMPRODUCT('3-Year P&amp;L'!$E$10:$E$11,'3-Year P&amp;L'!$G$10:$G$11))*(F7*(1-MIN(30,'0. Assumptions'!$B$58)/30)+E7*MIN(30,'0. Assumptions'!$B$58)/30)),"")</f>
        <v>80670.4341488808</v>
      </c>
      <c r="G9" s="41">
        <f>IFERROR(IF('3-Year P&amp;L'!$B$9="","",('3-Year P&amp;L'!$B$9+'3-Year P&amp;L'!$B$9*SUMPRODUCT('3-Year P&amp;L'!$E$10:$E$11,'3-Year P&amp;L'!$G$10:$G$11))*(G7*(1-MIN(30,'0. Assumptions'!$B$58)/30)+F7*MIN(30,'0. Assumptions'!$B$58)/30)),"")</f>
        <v>75881.77824049976</v>
      </c>
      <c r="H9" s="41">
        <f>IFERROR(IF('3-Year P&amp;L'!$B$9="","",('3-Year P&amp;L'!$B$9+'3-Year P&amp;L'!$B$9*SUMPRODUCT('3-Year P&amp;L'!$E$10:$E$11,'3-Year P&amp;L'!$G$10:$G$11))*(H7*(1-MIN(30,'0. Assumptions'!$B$58)/30)+G7*MIN(30,'0. Assumptions'!$B$58)/30)),"")</f>
        <v>78951.42946382094</v>
      </c>
      <c r="I9" s="41">
        <f>IFERROR(IF('3-Year P&amp;L'!$B$9="","",('3-Year P&amp;L'!$B$9+'3-Year P&amp;L'!$B$9*SUMPRODUCT('3-Year P&amp;L'!$E$10:$E$11,'3-Year P&amp;L'!$G$10:$G$11))*(I7*(1-MIN(30,'0. Assumptions'!$B$58)/30)+H7*MIN(30,'0. Assumptions'!$B$58)/30)),"")</f>
        <v>77477.99687662678</v>
      </c>
      <c r="J9" s="41">
        <f>IFERROR(IF('3-Year P&amp;L'!$B$9="","",('3-Year P&amp;L'!$B$9+'3-Year P&amp;L'!$B$9*SUMPRODUCT('3-Year P&amp;L'!$E$10:$E$11,'3-Year P&amp;L'!$G$10:$G$11))*(J7*(1-MIN(30,'0. Assumptions'!$B$58)/30)+I7*MIN(30,'0. Assumptions'!$B$58)/30)),"")</f>
        <v>75636.20614263407</v>
      </c>
      <c r="K9" s="41">
        <f>IFERROR(IF('3-Year P&amp;L'!$B$9="","",('3-Year P&amp;L'!$B$9+'3-Year P&amp;L'!$B$9*SUMPRODUCT('3-Year P&amp;L'!$E$10:$E$11,'3-Year P&amp;L'!$G$10:$G$11))*(K7*(1-MIN(30,'0. Assumptions'!$B$58)/30)+J7*MIN(30,'0. Assumptions'!$B$58)/30)),"")</f>
        <v>77232.42477876108</v>
      </c>
      <c r="L9" s="41">
        <f>IFERROR(IF('3-Year P&amp;L'!$B$9="","",('3-Year P&amp;L'!$B$9+'3-Year P&amp;L'!$B$9*SUMPRODUCT('3-Year P&amp;L'!$E$10:$E$11,'3-Year P&amp;L'!$G$10:$G$11))*(L7*(1-MIN(30,'0. Assumptions'!$B$58)/30)+K7*MIN(30,'0. Assumptions'!$B$58)/30)),"")</f>
        <v>75636.20614263407</v>
      </c>
      <c r="M9" s="41">
        <f>IFERROR(IF('3-Year P&amp;L'!$B$9="","",('3-Year P&amp;L'!$B$9+'3-Year P&amp;L'!$B$9*SUMPRODUCT('3-Year P&amp;L'!$E$10:$E$11,'3-Year P&amp;L'!$G$10:$G$11))*(M7*(1-MIN(30,'0. Assumptions'!$B$58)/30)+L7*MIN(30,'0. Assumptions'!$B$58)/30)),"")</f>
        <v>82389.43883394067</v>
      </c>
      <c r="N9" s="41">
        <f>IFERROR(IF('3-Year P&amp;L'!$B$9="","",SUM(B9:M9)),"")</f>
        <v>878994.6277980221</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-10580.269193128579</v>
      </c>
      <c r="C11" s="41">
        <f>IFERROR(IF('3-Year P&amp;L'!$B$9="","",-('3-Year P&amp;L'!$B$13*(1+'3-Year P&amp;L'!$G$13)+'3-Year P&amp;L'!$B$14*(1+'3-Year P&amp;L'!$G$14)+'3-Year P&amp;L'!$B$15*(1+'3-Year P&amp;L'!$G$15)+'3-Year P&amp;L'!$B$16*(1+'3-Year P&amp;L'!$G$16)+'3-Year P&amp;L'!$B$17*(1+'3-Year P&amp;L'!$G$17)+'3-Year P&amp;L'!$B$18*(1+'3-Year P&amp;L'!$G$18))*(C7*(1-MIN(30,'0. Assumptions'!$B$59)/30)+B7*MIN(30,'0. Assumptions'!$B$59)/30)),"")</f>
        <v>-21013.590203019263</v>
      </c>
      <c r="D11" s="41">
        <f>IFERROR(IF('3-Year P&amp;L'!$B$9="","",-('3-Year P&amp;L'!$B$13*(1+'3-Year P&amp;L'!$G$13)+'3-Year P&amp;L'!$B$14*(1+'3-Year P&amp;L'!$G$14)+'3-Year P&amp;L'!$B$15*(1+'3-Year P&amp;L'!$G$15)+'3-Year P&amp;L'!$B$16*(1+'3-Year P&amp;L'!$G$16)+'3-Year P&amp;L'!$B$17*(1+'3-Year P&amp;L'!$G$17)+'3-Year P&amp;L'!$B$18*(1+'3-Year P&amp;L'!$G$18))*(D7*(1-MIN(30,'0. Assumptions'!$B$59)/30)+C7*MIN(30,'0. Assumptions'!$B$59)/30)),"")</f>
        <v>-24212.539115044252</v>
      </c>
      <c r="E11" s="41">
        <f>IFERROR(IF('3-Year P&amp;L'!$B$9="","",-('3-Year P&amp;L'!$B$13*(1+'3-Year P&amp;L'!$G$13)+'3-Year P&amp;L'!$B$14*(1+'3-Year P&amp;L'!$G$14)+'3-Year P&amp;L'!$B$15*(1+'3-Year P&amp;L'!$G$15)+'3-Year P&amp;L'!$B$16*(1+'3-Year P&amp;L'!$G$16)+'3-Year P&amp;L'!$B$17*(1+'3-Year P&amp;L'!$G$17)+'3-Year P&amp;L'!$B$18*(1+'3-Year P&amp;L'!$G$18))*(E7*(1-MIN(30,'0. Assumptions'!$B$59)/30)+D7*MIN(30,'0. Assumptions'!$B$59)/30)),"")</f>
        <v>-27015.85830296721</v>
      </c>
      <c r="F11" s="41">
        <f>IFERROR(IF('3-Year P&amp;L'!$B$9="","",-('3-Year P&amp;L'!$B$13*(1+'3-Year P&amp;L'!$G$13)+'3-Year P&amp;L'!$B$14*(1+'3-Year P&amp;L'!$G$14)+'3-Year P&amp;L'!$B$15*(1+'3-Year P&amp;L'!$G$15)+'3-Year P&amp;L'!$B$16*(1+'3-Year P&amp;L'!$G$16)+'3-Year P&amp;L'!$B$17*(1+'3-Year P&amp;L'!$G$17)+'3-Year P&amp;L'!$B$18*(1+'3-Year P&amp;L'!$G$18))*(F7*(1-MIN(30,'0. Assumptions'!$B$59)/30)+E7*MIN(30,'0. Assumptions'!$B$59)/30)),"")</f>
        <v>-28892.273565851126</v>
      </c>
      <c r="G11" s="41">
        <f>IFERROR(IF('3-Year P&amp;L'!$B$9="","",-('3-Year P&amp;L'!$B$13*(1+'3-Year P&amp;L'!$G$13)+'3-Year P&amp;L'!$B$14*(1+'3-Year P&amp;L'!$G$14)+'3-Year P&amp;L'!$B$15*(1+'3-Year P&amp;L'!$G$15)+'3-Year P&amp;L'!$B$16*(1+'3-Year P&amp;L'!$G$16)+'3-Year P&amp;L'!$B$17*(1+'3-Year P&amp;L'!$G$17)+'3-Year P&amp;L'!$B$18*(1+'3-Year P&amp;L'!$G$18))*(G7*(1-MIN(30,'0. Assumptions'!$B$59)/30)+F7*MIN(30,'0. Assumptions'!$B$59)/30)),"")</f>
        <v>-28756.629089016144</v>
      </c>
      <c r="H11" s="41">
        <f>IFERROR(IF('3-Year P&amp;L'!$B$9="","",-('3-Year P&amp;L'!$B$13*(1+'3-Year P&amp;L'!$G$13)+'3-Year P&amp;L'!$B$14*(1+'3-Year P&amp;L'!$G$14)+'3-Year P&amp;L'!$B$15*(1+'3-Year P&amp;L'!$G$15)+'3-Year P&amp;L'!$B$16*(1+'3-Year P&amp;L'!$G$16)+'3-Year P&amp;L'!$B$17*(1+'3-Year P&amp;L'!$G$17)+'3-Year P&amp;L'!$B$18*(1+'3-Year P&amp;L'!$G$18))*(H7*(1-MIN(30,'0. Assumptions'!$B$59)/30)+G7*MIN(30,'0. Assumptions'!$B$59)/30)),"")</f>
        <v>-28530.55496095784</v>
      </c>
      <c r="I11" s="41">
        <f>IFERROR(IF('3-Year P&amp;L'!$B$9="","",-('3-Year P&amp;L'!$B$13*(1+'3-Year P&amp;L'!$G$13)+'3-Year P&amp;L'!$B$14*(1+'3-Year P&amp;L'!$G$14)+'3-Year P&amp;L'!$B$15*(1+'3-Year P&amp;L'!$G$15)+'3-Year P&amp;L'!$B$16*(1+'3-Year P&amp;L'!$G$16)+'3-Year P&amp;L'!$B$17*(1+'3-Year P&amp;L'!$G$17)+'3-Year P&amp;L'!$B$18*(1+'3-Year P&amp;L'!$G$18))*(I7*(1-MIN(30,'0. Assumptions'!$B$59)/30)+H7*MIN(30,'0. Assumptions'!$B$59)/30)),"")</f>
        <v>-28801.843914627807</v>
      </c>
      <c r="J11" s="41">
        <f>IFERROR(IF('3-Year P&amp;L'!$B$9="","",-('3-Year P&amp;L'!$B$13*(1+'3-Year P&amp;L'!$G$13)+'3-Year P&amp;L'!$B$14*(1+'3-Year P&amp;L'!$G$14)+'3-Year P&amp;L'!$B$15*(1+'3-Year P&amp;L'!$G$15)+'3-Year P&amp;L'!$B$16*(1+'3-Year P&amp;L'!$G$16)+'3-Year P&amp;L'!$B$17*(1+'3-Year P&amp;L'!$G$17)+'3-Year P&amp;L'!$B$18*(1+'3-Year P&amp;L'!$G$18))*(J7*(1-MIN(30,'0. Assumptions'!$B$59)/30)+I7*MIN(30,'0. Assumptions'!$B$59)/30)),"")</f>
        <v>-28123.621530452896</v>
      </c>
      <c r="K11" s="41">
        <f>IFERROR(IF('3-Year P&amp;L'!$B$9="","",-('3-Year P&amp;L'!$B$13*(1+'3-Year P&amp;L'!$G$13)+'3-Year P&amp;L'!$B$14*(1+'3-Year P&amp;L'!$G$14)+'3-Year P&amp;L'!$B$15*(1+'3-Year P&amp;L'!$G$15)+'3-Year P&amp;L'!$B$16*(1+'3-Year P&amp;L'!$G$16)+'3-Year P&amp;L'!$B$17*(1+'3-Year P&amp;L'!$G$17)+'3-Year P&amp;L'!$B$18*(1+'3-Year P&amp;L'!$G$18))*(K7*(1-MIN(30,'0. Assumptions'!$B$59)/30)+J7*MIN(30,'0. Assumptions'!$B$59)/30)),"")</f>
        <v>-28168.836356064556</v>
      </c>
      <c r="L11" s="41">
        <f>IFERROR(IF('3-Year P&amp;L'!$B$9="","",-('3-Year P&amp;L'!$B$13*(1+'3-Year P&amp;L'!$G$13)+'3-Year P&amp;L'!$B$14*(1+'3-Year P&amp;L'!$G$14)+'3-Year P&amp;L'!$B$15*(1+'3-Year P&amp;L'!$G$15)+'3-Year P&amp;L'!$B$16*(1+'3-Year P&amp;L'!$G$16)+'3-Year P&amp;L'!$B$17*(1+'3-Year P&amp;L'!$G$17)+'3-Year P&amp;L'!$B$18*(1+'3-Year P&amp;L'!$G$18))*(L7*(1-MIN(30,'0. Assumptions'!$B$59)/30)+K7*MIN(30,'0. Assumptions'!$B$59)/30)),"")</f>
        <v>-28123.621530452896</v>
      </c>
      <c r="M11" s="41">
        <f>IFERROR(IF('3-Year P&amp;L'!$B$9="","",-('3-Year P&amp;L'!$B$13*(1+'3-Year P&amp;L'!$G$13)+'3-Year P&amp;L'!$B$14*(1+'3-Year P&amp;L'!$G$14)+'3-Year P&amp;L'!$B$15*(1+'3-Year P&amp;L'!$G$15)+'3-Year P&amp;L'!$B$16*(1+'3-Year P&amp;L'!$G$16)+'3-Year P&amp;L'!$B$17*(1+'3-Year P&amp;L'!$G$17)+'3-Year P&amp;L'!$B$18*(1+'3-Year P&amp;L'!$G$18))*(M7*(1-MIN(30,'0. Assumptions'!$B$59)/30)+L7*MIN(30,'0. Assumptions'!$B$59)/30)),"")</f>
        <v>-29253.992170744412</v>
      </c>
      <c r="N11" s="41">
        <f>IFERROR(IF('3-Year P&amp;L'!$B$9="","",SUM(B11:M11)),"")</f>
        <v>-311473.62993232696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-8241.333333333332</v>
      </c>
      <c r="C12" s="41">
        <f>IFERROR(IF('3-Year P&amp;L'!$B$9="","",-('3-Year P&amp;L'!$B$37-'3-Year P&amp;L'!$B$23-'3-Year P&amp;L'!$B$35-'3-Year P&amp;L'!$B$36+'3-Year P&amp;L'!$B$39)/12),"")</f>
        <v>-8241.333333333332</v>
      </c>
      <c r="D12" s="41">
        <f>IFERROR(IF('3-Year P&amp;L'!$B$9="","",-('3-Year P&amp;L'!$B$37-'3-Year P&amp;L'!$B$23-'3-Year P&amp;L'!$B$35-'3-Year P&amp;L'!$B$36+'3-Year P&amp;L'!$B$39)/12),"")</f>
        <v>-8241.333333333332</v>
      </c>
      <c r="E12" s="41">
        <f>IFERROR(IF('3-Year P&amp;L'!$B$9="","",-('3-Year P&amp;L'!$B$37-'3-Year P&amp;L'!$B$23-'3-Year P&amp;L'!$B$35-'3-Year P&amp;L'!$B$36+'3-Year P&amp;L'!$B$39)/12),"")</f>
        <v>-8241.333333333332</v>
      </c>
      <c r="F12" s="41">
        <f>IFERROR(IF('3-Year P&amp;L'!$B$9="","",-('3-Year P&amp;L'!$B$37-'3-Year P&amp;L'!$B$23-'3-Year P&amp;L'!$B$35-'3-Year P&amp;L'!$B$36+'3-Year P&amp;L'!$B$39)/12),"")</f>
        <v>-8241.333333333332</v>
      </c>
      <c r="G12" s="41">
        <f>IFERROR(IF('3-Year P&amp;L'!$B$9="","",-('3-Year P&amp;L'!$B$37-'3-Year P&amp;L'!$B$23-'3-Year P&amp;L'!$B$35-'3-Year P&amp;L'!$B$36+'3-Year P&amp;L'!$B$39)/12),"")</f>
        <v>-8241.333333333332</v>
      </c>
      <c r="H12" s="41">
        <f>IFERROR(IF('3-Year P&amp;L'!$B$9="","",-('3-Year P&amp;L'!$B$37-'3-Year P&amp;L'!$B$23-'3-Year P&amp;L'!$B$35-'3-Year P&amp;L'!$B$36+'3-Year P&amp;L'!$B$39)/12),"")</f>
        <v>-8241.333333333332</v>
      </c>
      <c r="I12" s="41">
        <f>IFERROR(IF('3-Year P&amp;L'!$B$9="","",-('3-Year P&amp;L'!$B$37-'3-Year P&amp;L'!$B$23-'3-Year P&amp;L'!$B$35-'3-Year P&amp;L'!$B$36+'3-Year P&amp;L'!$B$39)/12),"")</f>
        <v>-8241.333333333332</v>
      </c>
      <c r="J12" s="41">
        <f>IFERROR(IF('3-Year P&amp;L'!$B$9="","",-('3-Year P&amp;L'!$B$37-'3-Year P&amp;L'!$B$23-'3-Year P&amp;L'!$B$35-'3-Year P&amp;L'!$B$36+'3-Year P&amp;L'!$B$39)/12),"")</f>
        <v>-8241.333333333332</v>
      </c>
      <c r="K12" s="41">
        <f>IFERROR(IF('3-Year P&amp;L'!$B$9="","",-('3-Year P&amp;L'!$B$37-'3-Year P&amp;L'!$B$23-'3-Year P&amp;L'!$B$35-'3-Year P&amp;L'!$B$36+'3-Year P&amp;L'!$B$39)/12),"")</f>
        <v>-8241.333333333332</v>
      </c>
      <c r="L12" s="41">
        <f>IFERROR(IF('3-Year P&amp;L'!$B$9="","",-('3-Year P&amp;L'!$B$37-'3-Year P&amp;L'!$B$23-'3-Year P&amp;L'!$B$35-'3-Year P&amp;L'!$B$36+'3-Year P&amp;L'!$B$39)/12),"")</f>
        <v>-8241.333333333332</v>
      </c>
      <c r="M12" s="41">
        <f>IFERROR(IF('3-Year P&amp;L'!$B$9="","",-('3-Year P&amp;L'!$B$37-'3-Year P&amp;L'!$B$23-'3-Year P&amp;L'!$B$35-'3-Year P&amp;L'!$B$36+'3-Year P&amp;L'!$B$39)/12),"")</f>
        <v>-8241.333333333332</v>
      </c>
      <c r="N12" s="41">
        <f>IFERROR(IF('3-Year P&amp;L'!$B$9="","",SUM(B12:M12)),"")</f>
        <v>-98895.99999999999</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-22584.100000000002</v>
      </c>
      <c r="C13" s="41">
        <f>IFERROR(IF('3-Year P&amp;L'!$B$9="","",-'3-Year P&amp;L'!$B$23/MAX(12,'0. Assumptions'!$B$21)*(1+IF(2='0. Assumptions'!$B$60,(MAX(12,'0. Assumptions'!$B$21)-12)/2,0)+IF(2='0. Assumptions'!$B$61,(MAX(12,'0. Assumptions'!$B$21)-12)/2,0))),"")</f>
        <v>-22584.100000000002</v>
      </c>
      <c r="D13" s="41">
        <f>IFERROR(IF('3-Year P&amp;L'!$B$9="","",-'3-Year P&amp;L'!$B$23/MAX(12,'0. Assumptions'!$B$21)*(1+IF(3='0. Assumptions'!$B$60,(MAX(12,'0. Assumptions'!$B$21)-12)/2,0)+IF(3='0. Assumptions'!$B$61,(MAX(12,'0. Assumptions'!$B$21)-12)/2,0))),"")</f>
        <v>-22584.100000000002</v>
      </c>
      <c r="E13" s="41">
        <f>IFERROR(IF('3-Year P&amp;L'!$B$9="","",-'3-Year P&amp;L'!$B$23/MAX(12,'0. Assumptions'!$B$21)*(1+IF(4='0. Assumptions'!$B$60,(MAX(12,'0. Assumptions'!$B$21)-12)/2,0)+IF(4='0. Assumptions'!$B$61,(MAX(12,'0. Assumptions'!$B$21)-12)/2,0))),"")</f>
        <v>-22584.100000000002</v>
      </c>
      <c r="F13" s="41">
        <f>IFERROR(IF('3-Year P&amp;L'!$B$9="","",-'3-Year P&amp;L'!$B$23/MAX(12,'0. Assumptions'!$B$21)*(1+IF(5='0. Assumptions'!$B$60,(MAX(12,'0. Assumptions'!$B$21)-12)/2,0)+IF(5='0. Assumptions'!$B$61,(MAX(12,'0. Assumptions'!$B$21)-12)/2,0))),"")</f>
        <v>-22584.100000000002</v>
      </c>
      <c r="G13" s="41">
        <f>IFERROR(IF('3-Year P&amp;L'!$B$9="","",-'3-Year P&amp;L'!$B$23/MAX(12,'0. Assumptions'!$B$21)*(1+IF(6='0. Assumptions'!$B$60,(MAX(12,'0. Assumptions'!$B$21)-12)/2,0)+IF(6='0. Assumptions'!$B$61,(MAX(12,'0. Assumptions'!$B$21)-12)/2,0))),"")</f>
        <v>-22584.100000000002</v>
      </c>
      <c r="H13" s="41">
        <f>IFERROR(IF('3-Year P&amp;L'!$B$9="","",-'3-Year P&amp;L'!$B$23/MAX(12,'0. Assumptions'!$B$21)*(1+IF(7='0. Assumptions'!$B$60,(MAX(12,'0. Assumptions'!$B$21)-12)/2,0)+IF(7='0. Assumptions'!$B$61,(MAX(12,'0. Assumptions'!$B$21)-12)/2,0))),"")</f>
        <v>-22584.100000000002</v>
      </c>
      <c r="I13" s="41">
        <f>IFERROR(IF('3-Year P&amp;L'!$B$9="","",-'3-Year P&amp;L'!$B$23/MAX(12,'0. Assumptions'!$B$21)*(1+IF(8='0. Assumptions'!$B$60,(MAX(12,'0. Assumptions'!$B$21)-12)/2,0)+IF(8='0. Assumptions'!$B$61,(MAX(12,'0. Assumptions'!$B$21)-12)/2,0))),"")</f>
        <v>-22584.100000000002</v>
      </c>
      <c r="J13" s="41">
        <f>IFERROR(IF('3-Year P&amp;L'!$B$9="","",-'3-Year P&amp;L'!$B$23/MAX(12,'0. Assumptions'!$B$21)*(1+IF(9='0. Assumptions'!$B$60,(MAX(12,'0. Assumptions'!$B$21)-12)/2,0)+IF(9='0. Assumptions'!$B$61,(MAX(12,'0. Assumptions'!$B$21)-12)/2,0))),"")</f>
        <v>-22584.100000000002</v>
      </c>
      <c r="K13" s="41">
        <f>IFERROR(IF('3-Year P&amp;L'!$B$9="","",-'3-Year P&amp;L'!$B$23/MAX(12,'0. Assumptions'!$B$21)*(1+IF(10='0. Assumptions'!$B$60,(MAX(12,'0. Assumptions'!$B$21)-12)/2,0)+IF(10='0. Assumptions'!$B$61,(MAX(12,'0. Assumptions'!$B$21)-12)/2,0))),"")</f>
        <v>-22584.100000000002</v>
      </c>
      <c r="L13" s="41">
        <f>IFERROR(IF('3-Year P&amp;L'!$B$9="","",-'3-Year P&amp;L'!$B$23/MAX(12,'0. Assumptions'!$B$21)*(1+IF(11='0. Assumptions'!$B$60,(MAX(12,'0. Assumptions'!$B$21)-12)/2,0)+IF(11='0. Assumptions'!$B$61,(MAX(12,'0. Assumptions'!$B$21)-12)/2,0))),"")</f>
        <v>-22584.100000000002</v>
      </c>
      <c r="M13" s="41">
        <f>IFERROR(IF('3-Year P&amp;L'!$B$9="","",-'3-Year P&amp;L'!$B$23/MAX(12,'0. Assumptions'!$B$21)*(1+IF(12='0. Assumptions'!$B$60,(MAX(12,'0. Assumptions'!$B$21)-12)/2,0)+IF(12='0. Assumptions'!$B$61,(MAX(12,'0. Assumptions'!$B$21)-12)/2,0))),"")</f>
        <v>-22584.100000000002</v>
      </c>
      <c r="N13" s="41">
        <f>IFERROR(IF('3-Year P&amp;L'!$B$9="","",SUM(B13:M13)),"")</f>
        <v>-271009.2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-1800.0</v>
      </c>
      <c r="C14" s="41">
        <f>IFERROR(IF('3-Year P&amp;L'!$B$9="","",-Financing!$B$44/12),"")</f>
        <v>-1800.0</v>
      </c>
      <c r="D14" s="41">
        <f>IFERROR(IF('3-Year P&amp;L'!$B$9="","",-Financing!$B$44/12),"")</f>
        <v>-1800.0</v>
      </c>
      <c r="E14" s="41">
        <f>IFERROR(IF('3-Year P&amp;L'!$B$9="","",-Financing!$B$44/12),"")</f>
        <v>-1800.0</v>
      </c>
      <c r="F14" s="41">
        <f>IFERROR(IF('3-Year P&amp;L'!$B$9="","",-Financing!$B$44/12),"")</f>
        <v>-1800.0</v>
      </c>
      <c r="G14" s="41">
        <f>IFERROR(IF('3-Year P&amp;L'!$B$9="","",-Financing!$B$44/12),"")</f>
        <v>-1800.0</v>
      </c>
      <c r="H14" s="41">
        <f>IFERROR(IF('3-Year P&amp;L'!$B$9="","",-Financing!$B$44/12),"")</f>
        <v>-1800.0</v>
      </c>
      <c r="I14" s="41">
        <f>IFERROR(IF('3-Year P&amp;L'!$B$9="","",-Financing!$B$44/12),"")</f>
        <v>-1800.0</v>
      </c>
      <c r="J14" s="41">
        <f>IFERROR(IF('3-Year P&amp;L'!$B$9="","",-Financing!$B$44/12),"")</f>
        <v>-1800.0</v>
      </c>
      <c r="K14" s="41">
        <f>IFERROR(IF('3-Year P&amp;L'!$B$9="","",-Financing!$B$44/12),"")</f>
        <v>-1800.0</v>
      </c>
      <c r="L14" s="41">
        <f>IFERROR(IF('3-Year P&amp;L'!$B$9="","",-Financing!$B$44/12),"")</f>
        <v>-1800.0</v>
      </c>
      <c r="M14" s="41">
        <f>IFERROR(IF('3-Year P&amp;L'!$B$9="","",-Financing!$B$44/12),"")</f>
        <v>-1800.0</v>
      </c>
      <c r="N14" s="41">
        <f>IFERROR(IF('3-Year P&amp;L'!$B$9="","",SUM(B14:M14)),"")</f>
        <v>-21600.0</v>
      </c>
      <c r="O14" s="29" t="n"/>
    </row>
    <row r="15">
      <c r="A15" s="29" t="inlineStr">
        <is>
          <t>Loan principal repaid</t>
        </is>
      </c>
      <c r="B15" s="41">
        <f>IFERROR(IF('3-Year P&amp;L'!$B$9="","",-Financing!$B$45/12),"")</f>
        <v>-1129.4171078852075</v>
      </c>
      <c r="C15" s="41">
        <f>IFERROR(IF('3-Year P&amp;L'!$B$9="","",-Financing!$B$45/12),"")</f>
        <v>-1129.4171078852075</v>
      </c>
      <c r="D15" s="41">
        <f>IFERROR(IF('3-Year P&amp;L'!$B$9="","",-Financing!$B$45/12),"")</f>
        <v>-1129.4171078852075</v>
      </c>
      <c r="E15" s="41">
        <f>IFERROR(IF('3-Year P&amp;L'!$B$9="","",-Financing!$B$45/12),"")</f>
        <v>-1129.4171078852075</v>
      </c>
      <c r="F15" s="41">
        <f>IFERROR(IF('3-Year P&amp;L'!$B$9="","",-Financing!$B$45/12),"")</f>
        <v>-1129.4171078852075</v>
      </c>
      <c r="G15" s="41">
        <f>IFERROR(IF('3-Year P&amp;L'!$B$9="","",-Financing!$B$45/12),"")</f>
        <v>-1129.4171078852075</v>
      </c>
      <c r="H15" s="41">
        <f>IFERROR(IF('3-Year P&amp;L'!$B$9="","",-Financing!$B$45/12),"")</f>
        <v>-1129.4171078852075</v>
      </c>
      <c r="I15" s="41">
        <f>IFERROR(IF('3-Year P&amp;L'!$B$9="","",-Financing!$B$45/12),"")</f>
        <v>-1129.4171078852075</v>
      </c>
      <c r="J15" s="41">
        <f>IFERROR(IF('3-Year P&amp;L'!$B$9="","",-Financing!$B$45/12),"")</f>
        <v>-1129.4171078852075</v>
      </c>
      <c r="K15" s="41">
        <f>IFERROR(IF('3-Year P&amp;L'!$B$9="","",-Financing!$B$45/12),"")</f>
        <v>-1129.4171078852075</v>
      </c>
      <c r="L15" s="41">
        <f>IFERROR(IF('3-Year P&amp;L'!$B$9="","",-Financing!$B$45/12),"")</f>
        <v>-1129.4171078852075</v>
      </c>
      <c r="M15" s="41">
        <f>IFERROR(IF('3-Year P&amp;L'!$B$9="","",-Financing!$B$45/12),"")</f>
        <v>-1129.4171078852075</v>
      </c>
      <c r="N15" s="41">
        <f>IFERROR(IF('3-Year P&amp;L'!$B$9="","",SUM(B15:M15)),"")</f>
        <v>-13553.00529462249</v>
      </c>
      <c r="O15" s="29" t="n"/>
    </row>
    <row r="16">
      <c r="A16" s="29" t="inlineStr">
        <is>
          <t>Sales tax collected (memo)</t>
        </is>
      </c>
      <c r="B16" s="41">
        <f>IFERROR(IF('3-Year P&amp;L'!$B$9="","",'3-Year P&amp;L'!$B$9*B7*SUMPRODUCT('3-Year P&amp;L'!$E$10:$E$11,'3-Year P&amp;L'!$G$10:$G$11)),"")</f>
        <v>3990.5465903175436</v>
      </c>
      <c r="C16" s="41">
        <f>IFERROR(IF('3-Year P&amp;L'!$B$9="","",'3-Year P&amp;L'!$B$9*C7*SUMPRODUCT('3-Year P&amp;L'!$E$10:$E$11,'3-Year P&amp;L'!$G$10:$G$11)),"")</f>
        <v>4433.940655908382</v>
      </c>
      <c r="D16" s="41">
        <f>IFERROR(IF('3-Year P&amp;L'!$B$9="","",'3-Year P&amp;L'!$B$9*D7*SUMPRODUCT('3-Year P&amp;L'!$E$10:$E$11,'3-Year P&amp;L'!$G$10:$G$11)),"")</f>
        <v>5252.5143154606985</v>
      </c>
      <c r="E16" s="41">
        <f>IFERROR(IF('3-Year P&amp;L'!$B$9="","",'3-Year P&amp;L'!$B$9*E7*SUMPRODUCT('3-Year P&amp;L'!$E$10:$E$11,'3-Year P&amp;L'!$G$10:$G$11)),"")</f>
        <v>5593.586673607498</v>
      </c>
      <c r="F16" s="41">
        <f>IFERROR(IF('3-Year P&amp;L'!$B$9="","",'3-Year P&amp;L'!$B$9*F7*SUMPRODUCT('3-Year P&amp;L'!$E$10:$E$11,'3-Year P&amp;L'!$G$10:$G$11)),"")</f>
        <v>6002.873503383656</v>
      </c>
      <c r="G16" s="41">
        <f>IFERROR(IF('3-Year P&amp;L'!$B$9="","",'3-Year P&amp;L'!$B$9*G7*SUMPRODUCT('3-Year P&amp;L'!$E$10:$E$11,'3-Year P&amp;L'!$G$10:$G$11)),"")</f>
        <v>5593.586673607498</v>
      </c>
      <c r="H16" s="41">
        <f>IFERROR(IF('3-Year P&amp;L'!$B$9="","",'3-Year P&amp;L'!$B$9*H7*SUMPRODUCT('3-Year P&amp;L'!$E$10:$E$11,'3-Year P&amp;L'!$G$10:$G$11)),"")</f>
        <v>5866.444560124936</v>
      </c>
      <c r="I16" s="41">
        <f>IFERROR(IF('3-Year P&amp;L'!$B$9="","",'3-Year P&amp;L'!$B$9*I7*SUMPRODUCT('3-Year P&amp;L'!$E$10:$E$11,'3-Year P&amp;L'!$G$10:$G$11)),"")</f>
        <v>5730.015616866218</v>
      </c>
      <c r="J16" s="41">
        <f>IFERROR(IF('3-Year P&amp;L'!$B$9="","",'3-Year P&amp;L'!$B$9*J7*SUMPRODUCT('3-Year P&amp;L'!$E$10:$E$11,'3-Year P&amp;L'!$G$10:$G$11)),"")</f>
        <v>5593.586673607498</v>
      </c>
      <c r="K16" s="41">
        <f>IFERROR(IF('3-Year P&amp;L'!$B$9="","",'3-Year P&amp;L'!$B$9*K7*SUMPRODUCT('3-Year P&amp;L'!$E$10:$E$11,'3-Year P&amp;L'!$G$10:$G$11)),"")</f>
        <v>5730.015616866218</v>
      </c>
      <c r="L16" s="41">
        <f>IFERROR(IF('3-Year P&amp;L'!$B$9="","",'3-Year P&amp;L'!$B$9*L7*SUMPRODUCT('3-Year P&amp;L'!$E$10:$E$11,'3-Year P&amp;L'!$G$10:$G$11)),"")</f>
        <v>5593.586673607498</v>
      </c>
      <c r="M16" s="41">
        <f>IFERROR(IF('3-Year P&amp;L'!$B$9="","",'3-Year P&amp;L'!$B$9*M7*SUMPRODUCT('3-Year P&amp;L'!$E$10:$E$11,'3-Year P&amp;L'!$G$10:$G$11)),"")</f>
        <v>6139.302446642375</v>
      </c>
      <c r="N16" s="41">
        <f>IFERROR(IF('3-Year P&amp;L'!$B$9="","",SUM(B16:M16)),"")</f>
        <v>65520.00000000002</v>
      </c>
      <c r="O16" s="29" t="inlineStr">
        <is>
          <t>Each sales line at the one sales tax rate of the example,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13677.001561686626</v>
      </c>
      <c r="F19" s="29" t="n"/>
      <c r="G19" s="29" t="n"/>
      <c r="H19" s="41">
        <f>IFERROR(IF('3-Year P&amp;L'!$B$9="","",SUM(E16:G16)-SUM(E17:G17)-H18),"")</f>
        <v>17190.04685059865</v>
      </c>
      <c r="I19" s="29" t="n"/>
      <c r="J19" s="29" t="n"/>
      <c r="K19" s="41">
        <f>IFERROR(IF('3-Year P&amp;L'!$B$9="","",SUM(H16:J16)-SUM(H17:J17)-K18),"")</f>
        <v>17190.04685059865</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-13677.001561686626</v>
      </c>
      <c r="F20" s="29" t="n"/>
      <c r="G20" s="29" t="n"/>
      <c r="H20" s="41">
        <f>IFERROR(IF('3-Year P&amp;L'!$B$9="","",IF(H19&lt;=0,"",-H19)),"")</f>
        <v>-17190.04685059865</v>
      </c>
      <c r="I20" s="29" t="n"/>
      <c r="J20" s="29" t="n"/>
      <c r="K20" s="41">
        <f>IFERROR(IF('3-Year P&amp;L'!$B$9="","",IF(K19&lt;=0,"",-K19)),"")</f>
        <v>-17190.04685059865</v>
      </c>
      <c r="L20" s="29" t="n"/>
      <c r="M20" s="29" t="n"/>
      <c r="N20" s="41">
        <f>IFERROR(IF('3-Year P&amp;L'!$B$9="","",SUM(B20:M20)),"")</f>
        <v>-48057.09526288393</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April, July and October with Month 1 in January; the fourth quarter is remitted in Month 13, January of the next year): if your state requires monthly filing, expect smaller payments every month instead</t>
        </is>
      </c>
    </row>
    <row r="21">
      <c r="A21" s="26" t="inlineStr">
        <is>
          <t>MONTHLY NET CASH FLOW</t>
        </is>
      </c>
      <c r="B21" s="54">
        <f>IFERROR(IF('3-Year P&amp;L'!$B$9="","",SUM(B9:B15)+IF(B20="",0,B20)),"")</f>
        <v>5945.767403653926</v>
      </c>
      <c r="C21" s="54">
        <f>IFERROR(IF('3-Year P&amp;L'!$B$9="","",SUM(C9:C15)+IF(C20="",0,C20)),"")</f>
        <v>4690.703551493601</v>
      </c>
      <c r="D21" s="54">
        <f>IFERROR(IF('3-Year P&amp;L'!$B$9="","",SUM(D9:D15)+IF(D20="",0,D20)),"")</f>
        <v>12204.83740885955</v>
      </c>
      <c r="E21" s="54">
        <f>IFERROR(IF('3-Year P&amp;L'!$B$9="","",SUM(E9:E15)+IF(E20="",0,E20)),"")</f>
        <v>758.7446654967298</v>
      </c>
      <c r="F21" s="54">
        <f>IFERROR(IF('3-Year P&amp;L'!$B$9="","",SUM(F9:F15)+IF(F20="",0,F20)),"")</f>
        <v>18023.310141811136</v>
      </c>
      <c r="G21" s="54">
        <f>IFERROR(IF('3-Year P&amp;L'!$B$9="","",SUM(G9:G15)+IF(G20="",0,G20)),"")</f>
        <v>13370.298710265071</v>
      </c>
      <c r="H21" s="54">
        <f>IFERROR(IF('3-Year P&amp;L'!$B$9="","",SUM(H9:H15)+IF(H20="",0,H20)),"")</f>
        <v>-524.0227889540947</v>
      </c>
      <c r="I21" s="54">
        <f>IFERROR(IF('3-Year P&amp;L'!$B$9="","",SUM(I9:I15)+IF(I20="",0,I20)),"")</f>
        <v>14921.302520780437</v>
      </c>
      <c r="J21" s="54">
        <f>IFERROR(IF('3-Year P&amp;L'!$B$9="","",SUM(J9:J15)+IF(J20="",0,J20)),"")</f>
        <v>13757.734170962625</v>
      </c>
      <c r="K21" s="54">
        <f>IFERROR(IF('3-Year P&amp;L'!$B$9="","",SUM(K9:K15)+IF(K20="",0,K20)),"")</f>
        <v>-1881.3088691206594</v>
      </c>
      <c r="L21" s="54">
        <f>IFERROR(IF('3-Year P&amp;L'!$B$9="","",SUM(L9:L15)+IF(L20="",0,L20)),"")</f>
        <v>13757.734170962625</v>
      </c>
      <c r="M21" s="54">
        <f>IFERROR(IF('3-Year P&amp;L'!$B$9="","",SUM(M9:M15)+IF(M20="",0,M20)),"")</f>
        <v>19380.596221977718</v>
      </c>
      <c r="N21" s="54">
        <f>IFERROR(IF('3-Year P&amp;L'!$B$9="","",SUM(B21:M21)),"")</f>
        <v>114405.69730818864</v>
      </c>
      <c r="O21" s="29" t="n"/>
    </row>
    <row r="22">
      <c r="A22" s="26" t="inlineStr">
        <is>
          <t>CUMULATIVE CASH BALANCE</t>
        </is>
      </c>
      <c r="B22" s="54">
        <f>IFERROR(IF('3-Year P&amp;L'!$B$9="","",'Startup Costs'!$B$29+B21),"")</f>
        <v>103822.06740365393</v>
      </c>
      <c r="C22" s="54">
        <f>IFERROR(IF('3-Year P&amp;L'!$B$9="","",B22+C21),"")</f>
        <v>108512.77095514753</v>
      </c>
      <c r="D22" s="54">
        <f>IFERROR(IF('3-Year P&amp;L'!$B$9="","",C22+D21),"")</f>
        <v>120717.60836400707</v>
      </c>
      <c r="E22" s="54">
        <f>IFERROR(IF('3-Year P&amp;L'!$B$9="","",D22+E21),"")</f>
        <v>121476.3530295038</v>
      </c>
      <c r="F22" s="54">
        <f>IFERROR(IF('3-Year P&amp;L'!$B$9="","",E22+F21),"")</f>
        <v>139499.66317131495</v>
      </c>
      <c r="G22" s="54">
        <f>IFERROR(IF('3-Year P&amp;L'!$B$9="","",F22+G21),"")</f>
        <v>152869.96188158003</v>
      </c>
      <c r="H22" s="54">
        <f>IFERROR(IF('3-Year P&amp;L'!$B$9="","",G22+H21),"")</f>
        <v>152345.93909262595</v>
      </c>
      <c r="I22" s="54">
        <f>IFERROR(IF('3-Year P&amp;L'!$B$9="","",H22+I21),"")</f>
        <v>167267.2416134064</v>
      </c>
      <c r="J22" s="54">
        <f>IFERROR(IF('3-Year P&amp;L'!$B$9="","",I22+J21),"")</f>
        <v>181024.97578436902</v>
      </c>
      <c r="K22" s="54">
        <f>IFERROR(IF('3-Year P&amp;L'!$B$9="","",J22+K21),"")</f>
        <v>179143.66691524835</v>
      </c>
      <c r="L22" s="54">
        <f>IFERROR(IF('3-Year P&amp;L'!$B$9="","",K22+L21),"")</f>
        <v>192901.40108621097</v>
      </c>
      <c r="M22" s="54">
        <f>IFERROR(IF('3-Year P&amp;L'!$B$9="","",L22+M21),"")</f>
        <v>212281.9973081887</v>
      </c>
      <c r="N22" s="29" t="n"/>
      <c r="O22" s="29" t="n"/>
    </row>
    <row r="23">
      <c r="A23" s="29" t="inlineStr">
        <is>
          <t>Minimum balance of the year</t>
        </is>
      </c>
      <c r="B23" s="41">
        <f>IFERROR(IF('3-Year P&amp;L'!$B$9="","",IF(COUNT(B22:M22)=0,"",MIN(B22:M22))),"")</f>
        <v>103822.06740365393</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104063.16071428572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122172.10208192014</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133735.816096318</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149558.70260281116</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335708.3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2.8</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2.1</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216000.0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336000.0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335708.3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291.70000000001164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0.0008689091094858591</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215708.3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216000.0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35153.00529462249</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216000.0</v>
      </c>
      <c r="C27" s="62">
        <f>IFERROR(IF(OR(1&gt;B22,B27=""),"",B27*B21),"")</f>
        <v>21600.0</v>
      </c>
      <c r="D27" s="62">
        <f>IFERROR(IF(OR(1&gt;B22,B27=""),"",IF(1&lt;=B23,0,MIN(B27,B24-C27))),"")</f>
        <v>13553.00529462249</v>
      </c>
      <c r="E27" s="62">
        <f>IFERROR(IF(C27="","",C27+D27),"")</f>
        <v>35153.00529462249</v>
      </c>
      <c r="F27" s="62">
        <f>IFERROR(IF(D27="","",B27-D27),"")</f>
        <v>202446.9947053775</v>
      </c>
      <c r="G27" s="62">
        <f>IFERROR(IF(E27="","",'3-Year P&amp;L'!$B$40-'3-Year P&amp;L'!$B$45+'3-Year P&amp;L'!$B$35+'3-Year P&amp;L'!$B$36),"")</f>
        <v>104063.16071428572</v>
      </c>
      <c r="H27" s="62">
        <f>IFERROR(IF(OR(E27="",E27=0),"",G27/E27),"")</f>
        <v>2.960292010373427</v>
      </c>
    </row>
    <row r="28">
      <c r="A28" s="41" t="n">
        <v>2</v>
      </c>
      <c r="B28" s="62">
        <f>IFERROR(IF(OR(2&gt;B22,F27=""),"",F27),"")</f>
        <v>202446.9947053775</v>
      </c>
      <c r="C28" s="62">
        <f>IFERROR(IF(OR(2&gt;B22,B28=""),"",B28*B21),"")</f>
        <v>20244.69947053775</v>
      </c>
      <c r="D28" s="62">
        <f>IFERROR(IF(OR(2&gt;B22,B28=""),"",IF(2&lt;=B23,0,MIN(B28,B24-C28))),"")</f>
        <v>14908.305824084739</v>
      </c>
      <c r="E28" s="62">
        <f>IFERROR(IF(C28="","",C28+D28),"")</f>
        <v>35153.00529462249</v>
      </c>
      <c r="F28" s="62">
        <f>IFERROR(IF(D28="","",B28-D28),"")</f>
        <v>187538.68888129276</v>
      </c>
      <c r="G28" s="62">
        <f>IFERROR(IF(E28="","",'3-Year P&amp;L'!$C$40-'3-Year P&amp;L'!$C$45+'3-Year P&amp;L'!$C$35+'3-Year P&amp;L'!$C$36),"")</f>
        <v>122172.10208192014</v>
      </c>
      <c r="H28" s="62">
        <f>IFERROR(IF(OR(E28="",E28=0),"",G28/E28),"")</f>
        <v>3.4754383318859325</v>
      </c>
    </row>
    <row r="29">
      <c r="A29" s="41" t="n">
        <v>3</v>
      </c>
      <c r="B29" s="62">
        <f>IFERROR(IF(OR(3&gt;B22,F28=""),"",F28),"")</f>
        <v>187538.68888129276</v>
      </c>
      <c r="C29" s="62">
        <f>IFERROR(IF(OR(3&gt;B22,B29=""),"",B29*B21),"")</f>
        <v>18753.868888129276</v>
      </c>
      <c r="D29" s="62">
        <f>IFERROR(IF(OR(3&gt;B22,B29=""),"",IF(3&lt;=B23,0,MIN(B29,B24-C29))),"")</f>
        <v>16399.136406493213</v>
      </c>
      <c r="E29" s="62">
        <f>IFERROR(IF(C29="","",C29+D29),"")</f>
        <v>35153.00529462249</v>
      </c>
      <c r="F29" s="62">
        <f>IFERROR(IF(D29="","",B29-D29),"")</f>
        <v>171139.55247479957</v>
      </c>
      <c r="G29" s="62">
        <f>IFERROR(IF(E29="","",'3-Year P&amp;L'!$D$40-'3-Year P&amp;L'!$D$45+'3-Year P&amp;L'!$D$35+'3-Year P&amp;L'!$D$36),"")</f>
        <v>133735.816096318</v>
      </c>
      <c r="H29" s="62">
        <f>IFERROR(IF(OR(E29="",E29=0),"",G29/E29),"")</f>
        <v>3.80439211314818</v>
      </c>
    </row>
    <row r="30">
      <c r="A30" s="41" t="n">
        <v>4</v>
      </c>
      <c r="B30" s="62">
        <f>IFERROR(IF(OR(4&gt;B22,F29=""),"",F29),"")</f>
        <v>171139.55247479957</v>
      </c>
      <c r="C30" s="62">
        <f>IFERROR(IF(OR(4&gt;B22,B30=""),"",B30*B21),"")</f>
        <v>17113.955247479957</v>
      </c>
      <c r="D30" s="62">
        <f>IFERROR(IF(OR(4&gt;B22,B30=""),"",IF(4&lt;=B23,0,MIN(B30,B24-C30))),"")</f>
        <v>18039.050047142533</v>
      </c>
      <c r="E30" s="62">
        <f>IFERROR(IF(C30="","",C30+D30),"")</f>
        <v>35153.00529462249</v>
      </c>
      <c r="F30" s="62">
        <f>IFERROR(IF(D30="","",B30-D30),"")</f>
        <v>153100.50242765702</v>
      </c>
      <c r="G30" s="62">
        <f>IFERROR(IF(E30="","",'3-Year P&amp;L'!$D$40-'3-Year P&amp;L'!$D$45+'3-Year P&amp;L'!$D$35+'3-Year P&amp;L'!$D$36),"")</f>
        <v>133735.816096318</v>
      </c>
      <c r="H30" s="62">
        <f>IFERROR(IF(OR(E30="",E30=0),"",G30/E30),"")</f>
        <v>3.80439211314818</v>
      </c>
    </row>
    <row r="31">
      <c r="A31" s="41" t="n">
        <v>5</v>
      </c>
      <c r="B31" s="62">
        <f>IFERROR(IF(OR(5&gt;B22,F30=""),"",F30),"")</f>
        <v>153100.50242765702</v>
      </c>
      <c r="C31" s="62">
        <f>IFERROR(IF(OR(5&gt;B22,B31=""),"",B31*B21),"")</f>
        <v>15310.050242765703</v>
      </c>
      <c r="D31" s="62">
        <f>IFERROR(IF(OR(5&gt;B22,B31=""),"",IF(5&lt;=B23,0,MIN(B31,B24-C31))),"")</f>
        <v>19842.955051856785</v>
      </c>
      <c r="E31" s="62">
        <f>IFERROR(IF(C31="","",C31+D31),"")</f>
        <v>35153.00529462249</v>
      </c>
      <c r="F31" s="62">
        <f>IFERROR(IF(D31="","",B31-D31),"")</f>
        <v>133257.54737580023</v>
      </c>
      <c r="G31" s="62">
        <f>IFERROR(IF(E31="","",'3-Year P&amp;L'!$D$40-'3-Year P&amp;L'!$D$45+'3-Year P&amp;L'!$D$35+'3-Year P&amp;L'!$D$36),"")</f>
        <v>133735.816096318</v>
      </c>
      <c r="H31" s="62">
        <f>IFERROR(IF(OR(E31="",E31=0),"",G31/E31),"")</f>
        <v>3.80439211314818</v>
      </c>
    </row>
    <row r="32">
      <c r="A32" s="41" t="n">
        <v>6</v>
      </c>
      <c r="B32" s="62">
        <f>IFERROR(IF(OR(6&gt;B22,F31=""),"",F31),"")</f>
        <v>133257.54737580023</v>
      </c>
      <c r="C32" s="62">
        <f>IFERROR(IF(OR(6&gt;B22,B32=""),"",B32*B21),"")</f>
        <v>13325.754737580024</v>
      </c>
      <c r="D32" s="62">
        <f>IFERROR(IF(OR(6&gt;B22,B32=""),"",IF(6&lt;=B23,0,MIN(B32,B24-C32))),"")</f>
        <v>21827.250557042466</v>
      </c>
      <c r="E32" s="62">
        <f>IFERROR(IF(C32="","",C32+D32),"")</f>
        <v>35153.00529462249</v>
      </c>
      <c r="F32" s="62">
        <f>IFERROR(IF(D32="","",B32-D32),"")</f>
        <v>111430.29681875776</v>
      </c>
      <c r="G32" s="62">
        <f>IFERROR(IF(E32="","",'3-Year P&amp;L'!$D$40-'3-Year P&amp;L'!$D$45+'3-Year P&amp;L'!$D$35+'3-Year P&amp;L'!$D$36),"")</f>
        <v>133735.816096318</v>
      </c>
      <c r="H32" s="62">
        <f>IFERROR(IF(OR(E32="",E32=0),"",G32/E32),"")</f>
        <v>3.80439211314818</v>
      </c>
    </row>
    <row r="33">
      <c r="A33" s="41" t="n">
        <v>7</v>
      </c>
      <c r="B33" s="62">
        <f>IFERROR(IF(OR(7&gt;B22,F32=""),"",F32),"")</f>
        <v>111430.29681875776</v>
      </c>
      <c r="C33" s="62">
        <f>IFERROR(IF(OR(7&gt;B22,B33=""),"",B33*B21),"")</f>
        <v>11143.029681875778</v>
      </c>
      <c r="D33" s="62">
        <f>IFERROR(IF(OR(7&gt;B22,B33=""),"",IF(7&lt;=B23,0,MIN(B33,B24-C33))),"")</f>
        <v>24009.97561274671</v>
      </c>
      <c r="E33" s="62">
        <f>IFERROR(IF(C33="","",C33+D33),"")</f>
        <v>35153.00529462249</v>
      </c>
      <c r="F33" s="62">
        <f>IFERROR(IF(D33="","",B33-D33),"")</f>
        <v>87420.32120601105</v>
      </c>
      <c r="G33" s="62">
        <f>IFERROR(IF(E33="","",'3-Year P&amp;L'!$D$40-'3-Year P&amp;L'!$D$45+'3-Year P&amp;L'!$D$35+'3-Year P&amp;L'!$D$36),"")</f>
        <v>133735.816096318</v>
      </c>
      <c r="H33" s="62">
        <f>IFERROR(IF(OR(E33="",E33=0),"",G33/E33),"")</f>
        <v>3.80439211314818</v>
      </c>
    </row>
    <row r="34">
      <c r="A34" s="41" t="n">
        <v>8</v>
      </c>
      <c r="B34" s="62">
        <f>IFERROR(IF(OR(8&gt;B22,F33=""),"",F33),"")</f>
        <v>87420.32120601105</v>
      </c>
      <c r="C34" s="62">
        <f>IFERROR(IF(OR(8&gt;B22,B34=""),"",B34*B21),"")</f>
        <v>8742.032120601105</v>
      </c>
      <c r="D34" s="62">
        <f>IFERROR(IF(OR(8&gt;B22,B34=""),"",IF(8&lt;=B23,0,MIN(B34,B24-C34))),"")</f>
        <v>26410.973174021383</v>
      </c>
      <c r="E34" s="62">
        <f>IFERROR(IF(C34="","",C34+D34),"")</f>
        <v>35153.00529462249</v>
      </c>
      <c r="F34" s="62">
        <f>IFERROR(IF(D34="","",B34-D34),"")</f>
        <v>61009.34803198967</v>
      </c>
      <c r="G34" s="62">
        <f>IFERROR(IF(E34="","",'3-Year P&amp;L'!$D$40-'3-Year P&amp;L'!$D$45+'3-Year P&amp;L'!$D$35+'3-Year P&amp;L'!$D$36),"")</f>
        <v>133735.816096318</v>
      </c>
      <c r="H34" s="62">
        <f>IFERROR(IF(OR(E34="",E34=0),"",G34/E34),"")</f>
        <v>3.80439211314818</v>
      </c>
    </row>
    <row r="35">
      <c r="A35" s="41" t="n">
        <v>9</v>
      </c>
      <c r="B35" s="62">
        <f>IFERROR(IF(OR(9&gt;B22,F34=""),"",F34),"")</f>
        <v>61009.34803198967</v>
      </c>
      <c r="C35" s="62">
        <f>IFERROR(IF(OR(9&gt;B22,B35=""),"",B35*B21),"")</f>
        <v>6100.9348031989675</v>
      </c>
      <c r="D35" s="62">
        <f>IFERROR(IF(OR(9&gt;B22,B35=""),"",IF(9&lt;=B23,0,MIN(B35,B24-C35))),"")</f>
        <v>29052.07049142352</v>
      </c>
      <c r="E35" s="62">
        <f>IFERROR(IF(C35="","",C35+D35),"")</f>
        <v>35153.00529462249</v>
      </c>
      <c r="F35" s="62">
        <f>IFERROR(IF(D35="","",B35-D35),"")</f>
        <v>31957.27754056615</v>
      </c>
      <c r="G35" s="62">
        <f>IFERROR(IF(E35="","",'3-Year P&amp;L'!$D$40-'3-Year P&amp;L'!$D$45+'3-Year P&amp;L'!$D$35+'3-Year P&amp;L'!$D$36),"")</f>
        <v>133735.816096318</v>
      </c>
      <c r="H35" s="62">
        <f>IFERROR(IF(OR(E35="",E35=0),"",G35/E35),"")</f>
        <v>3.80439211314818</v>
      </c>
    </row>
    <row r="36">
      <c r="A36" s="41" t="n">
        <v>10</v>
      </c>
      <c r="B36" s="62">
        <f>IFERROR(IF(OR(10&gt;B22,F35=""),"",F35),"")</f>
        <v>31957.27754056615</v>
      </c>
      <c r="C36" s="62">
        <f>IFERROR(IF(OR(10&gt;B22,B36=""),"",B36*B21),"")</f>
        <v>3195.727754056615</v>
      </c>
      <c r="D36" s="62">
        <f>IFERROR(IF(OR(10&gt;B22,B36=""),"",IF(10&lt;=B23,0,MIN(B36,B24-C36))),"")</f>
        <v>31957.277540565876</v>
      </c>
      <c r="E36" s="62">
        <f>IFERROR(IF(C36="","",C36+D36),"")</f>
        <v>35153.00529462249</v>
      </c>
      <c r="F36" s="62">
        <f>IFERROR(IF(D36="","",B36-D36),"")</f>
        <v>2.7284841053187847e-10</v>
      </c>
      <c r="G36" s="62">
        <f>IFERROR(IF(E36="","",'3-Year P&amp;L'!$D$40-'3-Year P&amp;L'!$D$45+'3-Year P&amp;L'!$D$35+'3-Year P&amp;L'!$D$36),"")</f>
        <v>133735.816096318</v>
      </c>
      <c r="H36" s="62">
        <f>IFERROR(IF(OR(E36="",E36=0),"",G36/E36),"")</f>
        <v>3.80439211314818</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21600.0</v>
      </c>
      <c r="C44" s="29" t="n"/>
      <c r="D44" s="29" t="n"/>
      <c r="E44" s="29" t="n"/>
      <c r="F44" s="29" t="n"/>
      <c r="G44" s="29" t="n"/>
      <c r="H44" s="29" t="n"/>
    </row>
    <row r="45">
      <c r="A45" s="29" t="inlineStr">
        <is>
          <t>Year-1 principal repaid</t>
        </is>
      </c>
      <c r="B45" s="41">
        <f>IFERROR(IF(B20="","",IF(D27="",0,D27)),"")</f>
        <v>13553.00529462249</v>
      </c>
      <c r="C45" s="29" t="n"/>
      <c r="D45" s="29" t="n"/>
      <c r="E45" s="29" t="n"/>
      <c r="F45" s="29" t="n"/>
      <c r="G45" s="29" t="n"/>
      <c r="H45" s="29" t="n"/>
    </row>
    <row r="46">
      <c r="A46" s="29" t="inlineStr">
        <is>
          <t>Year-2 interest</t>
        </is>
      </c>
      <c r="B46" s="41">
        <f>IFERROR(IF(B20="","",IF(C28="",0,C28)),"")</f>
        <v>20244.69947053775</v>
      </c>
      <c r="C46" s="29" t="n"/>
      <c r="D46" s="29" t="n"/>
      <c r="E46" s="29" t="n"/>
      <c r="F46" s="29" t="n"/>
      <c r="G46" s="29" t="n"/>
      <c r="H46" s="29" t="n"/>
    </row>
    <row r="47">
      <c r="A47" s="29" t="inlineStr">
        <is>
          <t>Year-2 principal repaid</t>
        </is>
      </c>
      <c r="B47" s="41">
        <f>IFERROR(IF(B20="","",IF(D28="",0,D28)),"")</f>
        <v>14908.305824084739</v>
      </c>
      <c r="C47" s="29" t="n"/>
      <c r="D47" s="29" t="n"/>
      <c r="E47" s="29" t="n"/>
      <c r="F47" s="29" t="n"/>
      <c r="G47" s="29" t="n"/>
      <c r="H47" s="29" t="n"/>
    </row>
    <row r="48">
      <c r="A48" s="29" t="inlineStr">
        <is>
          <t>Year-3 interest</t>
        </is>
      </c>
      <c r="B48" s="41">
        <f>IFERROR(IF(B20="","",IF(C29="",0,C29)),"")</f>
        <v>18753.868888129276</v>
      </c>
      <c r="C48" s="29" t="n"/>
      <c r="D48" s="29" t="n"/>
      <c r="E48" s="29" t="n"/>
      <c r="F48" s="29" t="n"/>
      <c r="G48" s="29" t="n"/>
      <c r="H48" s="29" t="n"/>
    </row>
    <row r="49">
      <c r="A49" s="29" t="inlineStr">
        <is>
          <t>Year-3 principal repaid</t>
        </is>
      </c>
      <c r="B49" s="41">
        <f>IFERROR(IF(B20="","",IF(D29="",0,D29)),"")</f>
        <v>16399.136406493213</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2.960292010373427</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3.4754383318859325</v>
      </c>
      <c r="C52" s="29" t="n"/>
      <c r="D52" s="29" t="n"/>
      <c r="E52" s="29" t="n"/>
      <c r="F52" s="29" t="n"/>
      <c r="G52" s="29" t="n"/>
      <c r="H52" s="29" t="n"/>
    </row>
    <row r="53">
      <c r="A53" s="29" t="inlineStr">
        <is>
          <t>Year-3 DSCR</t>
        </is>
      </c>
      <c r="B53" s="62">
        <f>IFERROR(('3-Year P&amp;L'!$D$40-'3-Year P&amp;L'!$D$45+'3-Year P&amp;L'!$D$35+B48)/(B48+B49),"")</f>
        <v>3.80439211314818</v>
      </c>
      <c r="C53" s="29" t="n"/>
      <c r="D53" s="29" t="n"/>
      <c r="E53" s="29" t="n"/>
      <c r="F53" s="29" t="n"/>
      <c r="G53" s="29" t="n"/>
      <c r="H53" s="29" t="n"/>
    </row>
    <row r="54">
      <c r="A54" s="26" t="inlineStr">
        <is>
          <t>Minimum DSCR across the whole schedule</t>
        </is>
      </c>
      <c r="B54" s="55">
        <f>IFERROR(IF(COUNT(H27:H41)=0,"",MIN(H27:H41)),"")</f>
        <v>2.960292010373427</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Rotisserie Chicken Restaurant Financial Projections: 3-Year P&amp;L, Cash Flow &amp; Financing · Rotisserie Chicken Restaurant Business Plan Kit</dc:title>
  <dc:description xmlns:dc="http://purl.org/dc/elements/1.1/">aichef.pro/en/digital-products/rotisserie-chicken-restaurant-business-plan</dc:description>
  <dc:subject xmlns:dc="http://purl.org/dc/elements/1.1/">Rotisserie Chicken Restaurant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2026-10-29T13:48:05Z</dcterms:modified>
  <cp:lastModifiedBy>AI Chef Pro</cp:lastModifiedBy>
  <cp:category>AI Chef Pro · Digital products</cp:category>
  <cp:keywords>rotisserie chicken restaurant business plan, chicken restaurant business plan, how to open a rotisserie chicken restaurant, Peruvian chicken restaurant, pollo a la brasa, AI Chef Pro</cp:keywords>
</cp:coreProperties>
</file>