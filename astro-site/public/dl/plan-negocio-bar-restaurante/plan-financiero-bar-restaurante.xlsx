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Supuestos" sheetId="1" state="visible" r:id="rId1"/>
    <sheet xmlns:r="http://schemas.openxmlformats.org/officeDocument/2006/relationships" name="1. Inversión Inicial" sheetId="2" state="visible" r:id="rId2"/>
    <sheet xmlns:r="http://schemas.openxmlformats.org/officeDocument/2006/relationships" name="2. P&amp;L 3 Años" sheetId="3" state="visible" r:id="rId3"/>
    <sheet xmlns:r="http://schemas.openxmlformats.org/officeDocument/2006/relationships" name="3. Punto Equilibrio" sheetId="4" state="visible" r:id="rId4"/>
    <sheet xmlns:r="http://schemas.openxmlformats.org/officeDocument/2006/relationships" name="4. Escenarios" sheetId="5" state="visible" r:id="rId5"/>
    <sheet xmlns:r="http://schemas.openxmlformats.org/officeDocument/2006/relationships" name="5. Personal" sheetId="6" state="visible" r:id="rId6"/>
    <sheet xmlns:r="http://schemas.openxmlformats.org/officeDocument/2006/relationships" name="Instrucciones" sheetId="7" state="visible" r:id="rId7"/>
    <sheet xmlns:r="http://schemas.openxmlformats.org/officeDocument/2006/relationships" name="6. Tesorería 12 meses" sheetId="8" state="visible" r:id="rId8"/>
    <sheet xmlns:r="http://schemas.openxmlformats.org/officeDocument/2006/relationships" name="7. Financiación" sheetId="9" state="visible" r:id="rId9"/>
  </sheets>
  <definedNames>
    <definedName name="_xlnm.Print_Titles" localSheetId="1">'1. Inversión Inicial'!$5:$5</definedName>
    <definedName name="_xlnm.Print_Titles" localSheetId="2">'2. P&amp;L 3 Años'!$5:$5</definedName>
    <definedName name="_xlnm.Print_Titles" localSheetId="3">'3. Punto Equilibrio'!$5:$5</definedName>
    <definedName name="_xlnm.Print_Titles" localSheetId="4">'4. Escenarios'!$5:$5</definedName>
    <definedName name="_xlnm.Print_Titles" localSheetId="5">'5. Personal'!$5:$5</definedName>
    <definedName name="_xlnm.Print_Titles" localSheetId="7">'6. Tesorería 12 meses'!$4:$4</definedName>
    <definedName name="_xlnm.Print_Titles" localSheetId="8">'7. Financiación'!$4:$4</definedName>
  </definedNames>
  <calcPr calcId="124519" fullCalcOnLoad="1"/>
</workbook>
</file>

<file path=xl/styles.xml><?xml version="1.0" encoding="utf-8"?>
<styleSheet xmlns="http://schemas.openxmlformats.org/spreadsheetml/2006/main">
  <numFmts count="4">
    <numFmt numFmtId="164" formatCode="#,##0 €"/>
    <numFmt numFmtId="165" formatCode="0.0%"/>
    <numFmt numFmtId="166" formatCode="#,##0.00 €"/>
    <numFmt numFmtId="167" formatCode="#,##0.0"/>
  </numFmts>
  <fonts count="13">
    <font>
      <name val="Calibri"/>
      <family val="2"/>
      <color theme="1"/>
      <sz val="11"/>
      <scheme val="minor"/>
    </font>
    <font>
      <name val="Playfair Display"/>
      <b val="1"/>
      <color rgb="00C4974A"/>
      <sz val="16"/>
    </font>
    <font>
      <name val="Inter"/>
      <b val="1"/>
      <color rgb="000A0908"/>
      <sz val="13"/>
    </font>
    <font>
      <name val="Inter"/>
      <i val="1"/>
      <color rgb="00888888"/>
      <sz val="9"/>
    </font>
    <font>
      <name val="Inter"/>
      <b val="1"/>
      <color rgb="00FFFFFF"/>
      <sz val="11"/>
    </font>
    <font>
      <name val="Inter"/>
      <b val="1"/>
      <color rgb="000A0908"/>
      <sz val="10"/>
    </font>
    <font>
      <name val="Inter"/>
      <color rgb="000A0908"/>
      <sz val="10"/>
    </font>
    <font>
      <name val="Inter"/>
      <b val="1"/>
      <color rgb="00C4974A"/>
      <sz val="11"/>
    </font>
    <font>
      <b val="1"/>
      <color theme="1"/>
      <sz val="11"/>
    </font>
    <font/>
    <font>
      <b val="1"/>
    </font>
    <font>
      <color theme="1"/>
      <sz val="11"/>
    </font>
    <font>
      <b val="1"/>
      <sz val="11"/>
    </font>
  </fonts>
  <fills count="9">
    <fill>
      <patternFill/>
    </fill>
    <fill>
      <patternFill patternType="gray125"/>
    </fill>
    <fill>
      <patternFill patternType="solid">
        <fgColor rgb="00C4974A"/>
        <bgColor rgb="00C4974A"/>
      </patternFill>
    </fill>
    <fill>
      <patternFill patternType="solid">
        <fgColor rgb="00F7F3EC"/>
        <bgColor rgb="00F7F3EC"/>
      </patternFill>
    </fill>
    <fill>
      <patternFill patternType="solid">
        <fgColor rgb="00F5EFE0"/>
        <bgColor rgb="00F5EFE0"/>
      </patternFill>
    </fill>
    <fill>
      <patternFill patternType="solid">
        <fgColor rgb="00FFF8E7"/>
        <bgColor rgb="00FFF8E7"/>
      </patternFill>
    </fill>
    <fill>
      <patternFill patternType="solid">
        <fgColor rgb="00FDE8E8"/>
        <bgColor rgb="00FDE8E8"/>
      </patternFill>
    </fill>
    <fill>
      <patternFill patternType="solid">
        <fgColor rgb="00E8F5E9"/>
        <bgColor rgb="00E8F5E9"/>
      </patternFill>
    </fill>
    <fill>
      <patternFill patternType="solid">
        <fgColor rgb="00E8F5E9"/>
      </patternFill>
    </fill>
  </fills>
  <borders count="7">
    <border>
      <left/>
      <right/>
      <top/>
      <bottom/>
      <diagonal/>
    </border>
    <border>
      <left style="thin">
        <color rgb="00D4D0C8"/>
      </left>
      <right style="thin">
        <color rgb="00D4D0C8"/>
      </right>
      <top style="thin">
        <color rgb="00D4D0C8"/>
      </top>
      <bottom style="thin">
        <color rgb="00D4D0C8"/>
      </bottom>
    </border>
    <border>
      <left/>
      <right/>
      <top style="thin">
        <color rgb="00D4D0C8"/>
      </top>
      <bottom/>
      <diagonal/>
    </border>
    <border>
      <left/>
      <right style="thin">
        <color rgb="00D4D0C8"/>
      </right>
      <top style="thin">
        <color rgb="00D4D0C8"/>
      </top>
      <bottom/>
      <diagonal/>
    </border>
    <border>
      <left/>
      <right/>
      <top style="thin">
        <color rgb="00D4D0C8"/>
      </top>
      <bottom style="thin">
        <color rgb="00D4D0C8"/>
      </bottom>
      <diagonal/>
    </border>
    <border>
      <left/>
      <right style="thin">
        <color rgb="00D4D0C8"/>
      </right>
      <top style="thin">
        <color rgb="00D4D0C8"/>
      </top>
      <bottom style="thin">
        <color rgb="00D4D0C8"/>
      </bottom>
      <diagonal/>
    </border>
    <border/>
  </borders>
  <cellStyleXfs count="1">
    <xf numFmtId="0" fontId="0" fillId="0" borderId="0"/>
  </cellStyleXfs>
  <cellXfs count="82">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pivotButton="0" quotePrefix="0" xfId="0"/>
    <xf numFmtId="0" fontId="4" fillId="2" borderId="1" applyAlignment="1" pivotButton="0" quotePrefix="0" xfId="0">
      <alignment horizontal="center" vertical="center" wrapText="1"/>
    </xf>
    <xf numFmtId="0" fontId="5" fillId="3" borderId="1" applyAlignment="1" pivotButton="0" quotePrefix="0" xfId="0">
      <alignment horizontal="left" vertical="center" wrapText="1"/>
    </xf>
    <xf numFmtId="0" fontId="6" fillId="0" borderId="1" applyAlignment="1" pivotButton="0" quotePrefix="0" xfId="0">
      <alignment horizontal="left" vertical="center" wrapText="1"/>
    </xf>
    <xf numFmtId="164" fontId="6" fillId="0" borderId="1" applyAlignment="1" pivotButton="0" quotePrefix="0" xfId="0">
      <alignment horizontal="right" vertical="center"/>
    </xf>
    <xf numFmtId="0" fontId="7" fillId="4" borderId="1" applyAlignment="1" pivotButton="0" quotePrefix="0" xfId="0">
      <alignment horizontal="left" vertical="center" wrapText="1"/>
    </xf>
    <xf numFmtId="164" fontId="7" fillId="4" borderId="1" applyAlignment="1" pivotButton="0" quotePrefix="0" xfId="0">
      <alignment horizontal="right" vertical="center"/>
    </xf>
    <xf numFmtId="0" fontId="3" fillId="4" borderId="1" pivotButton="0" quotePrefix="0" xfId="0"/>
    <xf numFmtId="0" fontId="3" fillId="0" borderId="0" applyAlignment="1" pivotButton="0" quotePrefix="0" xfId="0">
      <alignment horizontal="center"/>
    </xf>
    <xf numFmtId="3" fontId="6" fillId="0" borderId="1" applyAlignment="1" pivotButton="0" quotePrefix="0" xfId="0">
      <alignment horizontal="right" vertical="center"/>
    </xf>
    <xf numFmtId="0" fontId="5" fillId="5" borderId="1" applyAlignment="1" pivotButton="0" quotePrefix="0" xfId="0">
      <alignment horizontal="left" vertical="center" wrapText="1"/>
    </xf>
    <xf numFmtId="164" fontId="5" fillId="5" borderId="1" applyAlignment="1" pivotButton="0" quotePrefix="0" xfId="0">
      <alignment horizontal="right" vertical="center"/>
    </xf>
    <xf numFmtId="0" fontId="5" fillId="6" borderId="1" applyAlignment="1" pivotButton="0" quotePrefix="0" xfId="0">
      <alignment horizontal="left" vertical="center" wrapText="1"/>
    </xf>
    <xf numFmtId="164" fontId="5" fillId="6" borderId="1" applyAlignment="1" pivotButton="0" quotePrefix="0" xfId="0">
      <alignment horizontal="right" vertical="center"/>
    </xf>
    <xf numFmtId="0" fontId="5" fillId="7" borderId="1" applyAlignment="1" pivotButton="0" quotePrefix="0" xfId="0">
      <alignment horizontal="left" vertical="center" wrapText="1"/>
    </xf>
    <xf numFmtId="164" fontId="5" fillId="7" borderId="1" applyAlignment="1" pivotButton="0" quotePrefix="0" xfId="0">
      <alignment horizontal="right" vertical="center"/>
    </xf>
    <xf numFmtId="165" fontId="6" fillId="0" borderId="1" applyAlignment="1" pivotButton="0" quotePrefix="0" xfId="0">
      <alignment horizontal="right" vertical="center"/>
    </xf>
    <xf numFmtId="166" fontId="6" fillId="0" borderId="1" applyAlignment="1" pivotButton="0" quotePrefix="0" xfId="0">
      <alignment horizontal="right" vertical="center"/>
    </xf>
    <xf numFmtId="0" fontId="5" fillId="5" borderId="1" applyAlignment="1" pivotButton="0" quotePrefix="0" xfId="0">
      <alignment horizontal="right" vertical="center"/>
    </xf>
    <xf numFmtId="0" fontId="6" fillId="0" borderId="0" applyAlignment="1" pivotButton="0" quotePrefix="0" xfId="0">
      <alignment horizontal="left" vertical="center" wrapText="1"/>
    </xf>
    <xf numFmtId="0" fontId="3" fillId="0" borderId="0" applyAlignment="1" pivotButton="0" quotePrefix="0" xfId="0">
      <alignment horizontal="left" vertical="center" wrapText="1"/>
    </xf>
    <xf numFmtId="0" fontId="5" fillId="4" borderId="1" applyAlignment="1" pivotButton="0" quotePrefix="0" xfId="0">
      <alignment horizontal="left" vertical="center" wrapText="1"/>
    </xf>
    <xf numFmtId="164" fontId="5" fillId="4" borderId="1" applyAlignment="1" pivotButton="0" quotePrefix="0" xfId="0">
      <alignment horizontal="right" vertical="center"/>
    </xf>
    <xf numFmtId="0" fontId="1" fillId="0" borderId="0" pivotButton="0" quotePrefix="0" xfId="0"/>
    <xf numFmtId="0" fontId="2" fillId="0" borderId="0" pivotButton="0" quotePrefix="0" xfId="0"/>
    <xf numFmtId="0" fontId="0" fillId="0" borderId="4" pivotButton="0" quotePrefix="0" xfId="0"/>
    <xf numFmtId="0" fontId="0" fillId="0" borderId="5" pivotButton="0" quotePrefix="0" xfId="0"/>
    <xf numFmtId="0" fontId="8" fillId="0" borderId="0" pivotButton="0" quotePrefix="0" xfId="0"/>
    <xf numFmtId="0" fontId="0" fillId="0" borderId="0" applyAlignment="1" pivotButton="0" quotePrefix="0" xfId="0">
      <alignment horizontal="general" vertical="top" wrapText="1"/>
    </xf>
    <xf numFmtId="3" fontId="0" fillId="8" borderId="0" applyProtection="1" pivotButton="0" quotePrefix="0" xfId="0">
      <protection locked="0" hidden="0"/>
    </xf>
    <xf numFmtId="166" fontId="0" fillId="8" borderId="0" applyProtection="1" pivotButton="0" quotePrefix="0" xfId="0">
      <protection locked="0" hidden="0"/>
    </xf>
    <xf numFmtId="165" fontId="0" fillId="8" borderId="0" applyProtection="1" pivotButton="0" quotePrefix="0" xfId="0">
      <protection locked="0" hidden="0"/>
    </xf>
    <xf numFmtId="166" fontId="0" fillId="0" borderId="0" pivotButton="0" quotePrefix="0" xfId="0"/>
    <xf numFmtId="165" fontId="0" fillId="0" borderId="0" pivotButton="0" quotePrefix="0" xfId="0"/>
    <xf numFmtId="164" fontId="0" fillId="8" borderId="0" applyProtection="1" pivotButton="0" quotePrefix="0" xfId="0">
      <protection locked="0" hidden="0"/>
    </xf>
    <xf numFmtId="4" fontId="0" fillId="0" borderId="0" pivotButton="0" quotePrefix="0" xfId="0"/>
    <xf numFmtId="4" fontId="0" fillId="8" borderId="0" applyProtection="1" pivotButton="0" quotePrefix="0" xfId="0">
      <protection locked="0" hidden="0"/>
    </xf>
    <xf numFmtId="0" fontId="3" fillId="0" borderId="0" applyAlignment="1" pivotButton="0" quotePrefix="0" xfId="0">
      <alignment horizontal="left" vertical="top" wrapText="1"/>
    </xf>
    <xf numFmtId="0" fontId="10" fillId="0" borderId="6" pivotButton="0" quotePrefix="0" xfId="0"/>
    <xf numFmtId="164" fontId="10" fillId="0" borderId="6" pivotButton="0" quotePrefix="0" xfId="0"/>
    <xf numFmtId="165" fontId="10" fillId="0" borderId="6" pivotButton="0" quotePrefix="0" xfId="0"/>
    <xf numFmtId="0" fontId="9" fillId="0" borderId="6" pivotButton="0" quotePrefix="0" xfId="0"/>
    <xf numFmtId="164" fontId="9" fillId="8" borderId="6" applyProtection="1" pivotButton="0" quotePrefix="0" xfId="0">
      <protection locked="0" hidden="0"/>
    </xf>
    <xf numFmtId="165" fontId="9" fillId="0" borderId="6" pivotButton="0" quotePrefix="0" xfId="0"/>
    <xf numFmtId="0" fontId="9" fillId="8" borderId="6" applyProtection="1" pivotButton="0" quotePrefix="0" xfId="0">
      <protection locked="0" hidden="0"/>
    </xf>
    <xf numFmtId="164" fontId="9" fillId="0" borderId="6" pivotButton="0" quotePrefix="0" xfId="0"/>
    <xf numFmtId="0" fontId="11" fillId="0" borderId="0" pivotButton="0" quotePrefix="0" xfId="0"/>
    <xf numFmtId="164" fontId="0" fillId="0" borderId="0" pivotButton="0" quotePrefix="0" xfId="0"/>
    <xf numFmtId="164" fontId="12" fillId="0" borderId="0" pivotButton="0" quotePrefix="0" xfId="0"/>
    <xf numFmtId="0" fontId="12" fillId="0" borderId="0" pivotButton="0" quotePrefix="0" xfId="0"/>
    <xf numFmtId="0" fontId="2" fillId="0" borderId="0" applyAlignment="1" pivotButton="0" quotePrefix="0" xfId="0">
      <alignment horizontal="left" vertical="top" wrapText="1"/>
    </xf>
    <xf numFmtId="0" fontId="10" fillId="0" borderId="6" applyAlignment="1" pivotButton="0" quotePrefix="0" xfId="0">
      <alignment horizontal="general" vertical="top" wrapText="1"/>
    </xf>
    <xf numFmtId="3" fontId="9" fillId="0" borderId="6" pivotButton="0" quotePrefix="0" xfId="0"/>
    <xf numFmtId="166" fontId="9" fillId="0" borderId="6" pivotButton="0" quotePrefix="0" xfId="0"/>
    <xf numFmtId="165" fontId="12" fillId="0" borderId="0" pivotButton="0" quotePrefix="0" xfId="0"/>
    <xf numFmtId="3" fontId="0" fillId="0" borderId="0" pivotButton="0" quotePrefix="0" xfId="0"/>
    <xf numFmtId="165" fontId="11" fillId="8" borderId="0" applyProtection="1" pivotButton="0" quotePrefix="0" xfId="0">
      <protection locked="0" hidden="0"/>
    </xf>
    <xf numFmtId="167" fontId="9" fillId="0" borderId="6" pivotButton="0" quotePrefix="0" xfId="0"/>
    <xf numFmtId="167" fontId="10" fillId="0" borderId="6" pivotButton="0" quotePrefix="0" xfId="0"/>
    <xf numFmtId="167" fontId="9" fillId="8" borderId="6" applyProtection="1" pivotButton="0" quotePrefix="0" xfId="0">
      <protection locked="0" hidden="0"/>
    </xf>
    <xf numFmtId="0" fontId="9" fillId="0" borderId="6" applyAlignment="1" pivotButton="0" quotePrefix="0" xfId="0">
      <alignment horizontal="general" vertical="top" wrapText="1"/>
    </xf>
    <xf numFmtId="166" fontId="10" fillId="0" borderId="6" pivotButton="0" quotePrefix="0" xfId="0"/>
    <xf numFmtId="3" fontId="9" fillId="8" borderId="6" applyProtection="1" pivotButton="0" quotePrefix="0" xfId="0">
      <protection locked="0" hidden="0"/>
    </xf>
    <xf numFmtId="166" fontId="9" fillId="8" borderId="6" applyProtection="1" pivotButton="0" quotePrefix="0" xfId="0">
      <protection locked="0" hidden="0"/>
    </xf>
    <xf numFmtId="167" fontId="0" fillId="0" borderId="0" pivotButton="0" quotePrefix="0" xfId="0"/>
    <xf numFmtId="9" fontId="9" fillId="8" borderId="6" applyProtection="1" pivotButton="0" quotePrefix="0" xfId="0">
      <protection locked="0" hidden="0"/>
    </xf>
    <xf numFmtId="3" fontId="10" fillId="0" borderId="6" pivotButton="0" quotePrefix="0" xfId="0"/>
    <xf numFmtId="4" fontId="10" fillId="0" borderId="6" pivotButton="0" quotePrefix="0" xfId="0"/>
    <xf numFmtId="3" fontId="11" fillId="8" borderId="0" applyProtection="1" pivotButton="0" quotePrefix="0" xfId="0">
      <protection locked="0" hidden="0"/>
    </xf>
    <xf numFmtId="3" fontId="11" fillId="0" borderId="0" pivotButton="0" quotePrefix="0" xfId="0"/>
    <xf numFmtId="167" fontId="11" fillId="8" borderId="0" applyProtection="1" pivotButton="0" quotePrefix="0" xfId="0">
      <protection locked="0" hidden="0"/>
    </xf>
    <xf numFmtId="167" fontId="11" fillId="0" borderId="0" pivotButton="0" quotePrefix="0" xfId="0"/>
    <xf numFmtId="0" fontId="0" fillId="0" borderId="0" applyAlignment="1" pivotButton="0" quotePrefix="0" xfId="0">
      <alignment horizontal="general" vertical="top"/>
    </xf>
    <xf numFmtId="0" fontId="0" fillId="0" borderId="0" applyAlignment="1" pivotButton="0" quotePrefix="0" xfId="0">
      <alignment horizontal="left" vertical="top"/>
    </xf>
    <xf numFmtId="165" fontId="9" fillId="8" borderId="6" applyProtection="1" pivotButton="0" quotePrefix="0" xfId="0">
      <protection locked="0" hidden="0"/>
    </xf>
    <xf numFmtId="4" fontId="9" fillId="0" borderId="6" pivotButton="0" quotePrefix="0" xfId="0"/>
    <xf numFmtId="0" fontId="9" fillId="0" borderId="6" applyAlignment="1" pivotButton="0" quotePrefix="0" xfId="0">
      <alignment horizontal="general" vertical="top"/>
    </xf>
    <xf numFmtId="0" fontId="9" fillId="0" borderId="6" applyAlignment="1" pivotButton="0" quotePrefix="0" xfId="0">
      <alignment horizontal="left" vertical="top"/>
    </xf>
    <xf numFmtId="0" fontId="9" fillId="0" borderId="6" applyAlignment="1" pivotButton="0" quotePrefix="0" xfId="0">
      <alignment horizontal="general" vertical="top"/>
    </xf>
  </cellXfs>
  <cellStyles count="1">
    <cellStyle name="Normal" xfId="0" builtinId="0" hidden="0"/>
  </cellStyles>
  <dxfs count="3">
    <dxf>
      <font>
        <b val="1"/>
        <color rgb="00006100"/>
      </font>
      <fill>
        <patternFill patternType="solid">
          <fgColor rgb="00C6EFCE"/>
          <bgColor rgb="00C6EFCE"/>
        </patternFill>
      </fill>
    </dxf>
    <dxf>
      <font>
        <b val="1"/>
        <color rgb="009C0006"/>
      </font>
      <fill>
        <patternFill patternType="solid">
          <fgColor rgb="00FFC7CE"/>
          <bgColor rgb="00FFC7CE"/>
        </patternFill>
      </fill>
    </dxf>
    <dxf>
      <font>
        <b val="1"/>
        <color rgb="009C6500"/>
      </font>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8"/>
  <sheetViews>
    <sheetView workbookViewId="0">
      <selection activeCell="A1" sqref="A1"/>
    </sheetView>
  </sheetViews>
  <sheetFormatPr baseColWidth="8" defaultRowHeight="15"/>
  <cols>
    <col width="48" customWidth="1" min="1" max="1"/>
    <col width="16" customWidth="1" min="2" max="2"/>
    <col width="74" customWidth="1" min="3" max="3"/>
  </cols>
  <sheetData>
    <row r="1">
      <c r="A1" s="30" t="inlineStr">
        <is>
          <t>SUPUESTOS — aquí se teclean las TASAS y los DRIVERS del modelo</t>
        </is>
      </c>
    </row>
    <row r="2" ht="45" customHeight="1">
      <c r="A2" s="31" t="inlineStr">
        <is>
          <t>Cambia las celdas VERDES: el resto del libro se recalcula solo. Las partidas de gasto se teclean en su hoja (también en verde) y no se repiten aquí.</t>
        </is>
      </c>
    </row>
    <row r="3">
      <c r="A3" s="30" t="inlineStr">
        <is>
          <t>ACTIVIDAD</t>
        </is>
      </c>
    </row>
    <row r="4">
      <c r="A4" t="inlineStr">
        <is>
          <t>Cubiertos/día (media del año 1)</t>
        </is>
      </c>
      <c r="B4" s="32" t="n">
        <v>80</v>
      </c>
      <c r="C4" t="inlineStr">
        <is>
          <t>Comensales servidos al día de media del año, contando todos los servicios. La rotación que implica sobre el aforo la calcula la celda «Rotaciones al día implícitas» de esta misma hoja; el documento del plan pide un MÍNIMO de 1,8 covers por mesa y servicio en temporada alta</t>
        </is>
      </c>
    </row>
    <row r="5">
      <c r="A5" t="inlineStr">
        <is>
          <t>Ticket medio SIN IVA (€)</t>
        </is>
      </c>
      <c r="B5" s="33" t="n">
        <v>18.2</v>
      </c>
      <c r="C5" t="inlineStr">
        <is>
          <t>SIN IVA. El PVP equivalente lo calcula la celda «PVP equivalente con IVA» de abajo (al 10 % en sala son 20,02 € con los supuestos de partida): dentro del rango 15-22 € que declara este mismo libro y del 18-25 € que fija el documento del plan</t>
        </is>
      </c>
    </row>
    <row r="6">
      <c r="A6" t="inlineStr">
        <is>
          <t>Días de apertura al año</t>
        </is>
      </c>
      <c r="B6" s="32" t="n">
        <v>310</v>
      </c>
      <c r="C6" t="inlineStr">
        <is>
          <t>Cierre semanal de un día y vacaciones. El MISMO dato lo usan el P&amp;L, el punto de equilibrio y los escenarios</t>
        </is>
      </c>
    </row>
    <row r="7">
      <c r="A7" t="inlineStr">
        <is>
          <t>Crecimiento de volumen del año 2</t>
        </is>
      </c>
      <c r="B7" s="34" t="n">
        <v>0.1</v>
      </c>
      <c r="C7" t="inlineStr">
        <is>
          <t>Segundo año con la clientela ya asentada</t>
        </is>
      </c>
    </row>
    <row r="8">
      <c r="A8" t="inlineStr">
        <is>
          <t>Crecimiento de volumen del año 3</t>
        </is>
      </c>
      <c r="B8" s="34" t="n">
        <v>0.06</v>
      </c>
      <c r="C8" t="inlineStr">
        <is>
          <t>Tercer año, cerca del techo de rotación del local</t>
        </is>
      </c>
    </row>
    <row r="9">
      <c r="A9" t="inlineStr">
        <is>
          <t>PVP equivalente con IVA (calculado)</t>
        </is>
      </c>
      <c r="B9" s="35">
        <f>IFERROR(IF($B$5="","",$B$5*(1+SUMPRODUCT('2. P&amp;L 3 Años'!$E$11:$E$12,'2. P&amp;L 3 Años'!$G$11:$G$12))),"")</f>
        <v>20.02</v>
      </c>
      <c r="C9" t="str">
        <f>IFERROR("Ticket sin IVA más el IVA medio ponderado de tus líneas de venta: "&amp;TEXT(SUMPRODUCT('2. P&amp;L 3 Años'!$E$11:$E$12,'2. P&amp;L 3 Años'!$G$11:$G$12)*100,"0")&amp;" %. En sala todo va al 10 % (art. 91.Uno.2.2.º de la Ley 37/1992, alcohol incluido); el alcohol que sale por delivery y el pan común, si los tienes, mueven la media. Aquí va redondeado. Compáralo con el rango del sector, que va con IVA.","")</f>
        <v>Ticket sin IVA más el IVA medio ponderado de tus líneas de venta: 10 %. En sala todo va al 10 % (art. 91.Uno.2.2.º de la Ley 37/1992, alcohol incluido); el alcohol que sale por delivery y el pan común, si los tienes, mueven la media. Aquí va redondeado. Compáralo con el rango del sector, que va con IVA.</v>
      </c>
    </row>
    <row r="10">
      <c r="A10" s="30" t="inlineStr">
        <is>
          <t>MIX Y COSTE DE MERCANCÍA</t>
        </is>
      </c>
    </row>
    <row r="11">
      <c r="A11" t="inlineStr">
        <is>
          <t>Ventas de COMIDA sobre el total</t>
        </is>
      </c>
      <c r="B11" s="34" t="n">
        <v>0.65</v>
      </c>
      <c r="C11" t="inlineStr">
        <is>
          <t>Peso de la COMIDA sobre el total de ventas. Es un INPUT: cámbialo aquí y el P&amp;L, la tesorería y el IVA repercutido se recalculan solos</t>
        </is>
      </c>
    </row>
    <row r="12">
      <c r="A12" t="inlineStr">
        <is>
          <t>Ventas de BEBIDA sobre el total</t>
        </is>
      </c>
      <c r="B12" s="36">
        <f>IFERROR(IF(COUNT(B11)=0,"",1-B11),"")</f>
        <v>0.35</v>
      </c>
      <c r="C12" t="inlineStr">
        <is>
          <t>Se calcula como el resto: comida + bebida = 100 %</t>
        </is>
      </c>
    </row>
    <row r="13">
      <c r="A13" t="inlineStr">
        <is>
          <t>Coste de mercancía sobre las ventas de COMIDA</t>
        </is>
      </c>
      <c r="B13" s="34" t="n">
        <v>0.3</v>
      </c>
      <c r="C13" t="inlineStr">
        <is>
          <t>Food cost objetivo del bar-restaurante casual: 28-32 % según las referencias de este mismo libro. Se aplica SOLO a la comida</t>
        </is>
      </c>
    </row>
    <row r="14">
      <c r="A14" t="inlineStr">
        <is>
          <t>Coste de mercancía sobre las ventas de BEBIDA</t>
        </is>
      </c>
      <c r="B14" s="34" t="n">
        <v>0.22</v>
      </c>
      <c r="C14" t="inlineStr">
        <is>
          <t>Coste de la bebida sobre las ventas de bebida, no sobre el total</t>
        </is>
      </c>
    </row>
    <row r="15">
      <c r="A15" t="inlineStr">
        <is>
          <t>Consumibles sobre ventas</t>
        </is>
      </c>
      <c r="B15" s="34" t="n">
        <v>0.015</v>
      </c>
      <c r="C15" t="inlineStr">
        <is>
          <t>Servilletas, papel, productos de limpieza y envases de llevar</t>
        </is>
      </c>
    </row>
    <row r="16">
      <c r="A16" t="inlineStr">
        <is>
          <t>Ventas por delivery sobre el total</t>
        </is>
      </c>
      <c r="B16" s="34" t="n">
        <v>0</v>
      </c>
      <c r="C16" t="inlineStr">
        <is>
          <t>A CERO por defecto: si no repartes no arrastras un coste inventado. Súbelo al peso REAL del canal y la comisión se aplica sólo sobre esa parte</t>
        </is>
      </c>
    </row>
    <row r="17">
      <c r="A17" t="inlineStr">
        <is>
          <t>Comisión de la plataforma de delivery</t>
        </is>
      </c>
      <c r="B17" s="34" t="n">
        <v>0.28</v>
      </c>
      <c r="C17" t="inlineStr">
        <is>
          <t>Comisión típica de las plataformas sobre el pedido servido por ese canal; confírmala en tu contrato antes de proyectar</t>
        </is>
      </c>
    </row>
    <row r="18">
      <c r="A18" t="inlineStr">
        <is>
          <t>Comisión de los medios de pago</t>
        </is>
      </c>
      <c r="B18" s="34" t="n">
        <v>0.008</v>
      </c>
      <c r="C18" t="inlineStr">
        <is>
          <t>Tarjeta y bizum sobre el total facturado; pide oferta a dos proveedores de TPV</t>
        </is>
      </c>
    </row>
    <row r="19">
      <c r="A19" s="30" t="inlineStr">
        <is>
          <t>PERSONAL</t>
        </is>
      </c>
    </row>
    <row r="20">
      <c r="A20" t="inlineStr">
        <is>
          <t>Seguridad Social a cargo de la empresa</t>
        </is>
      </c>
      <c r="B20" s="34" t="n">
        <v>0.33</v>
      </c>
      <c r="C20" t="inlineStr">
        <is>
          <t>Contingencias comunes + AT/EP + desempleo + FOGASA + FP; ajusta a tu convenio y bonificaciones</t>
        </is>
      </c>
    </row>
    <row r="21">
      <c r="A21" t="inlineStr">
        <is>
          <t>Número de pagas anuales</t>
        </is>
      </c>
      <c r="B21" s="32" t="n">
        <v>14</v>
      </c>
      <c r="C21" t="inlineStr">
        <is>
          <t>Salario bruto anual = bruto mensual × pagas</t>
        </is>
      </c>
    </row>
    <row r="22">
      <c r="A22" t="inlineStr">
        <is>
          <t>SMI anual de referencia (€)</t>
        </is>
      </c>
      <c r="B22" s="37" t="n">
        <v>17094</v>
      </c>
      <c r="C22" t="inlineStr">
        <is>
          <t>SMI 2026: 17.094 € al año (1.221 €/mes en 14 pagas), suelo legal por jornada completa. Comprueba el importe vigente si presentas el plan en otro ejercicio</t>
        </is>
      </c>
    </row>
    <row r="23">
      <c r="A23" s="30" t="inlineStr">
        <is>
          <t>LOCAL Y FIJOS</t>
        </is>
      </c>
    </row>
    <row r="24">
      <c r="A24" t="inlineStr">
        <is>
          <t>Alquiler mensual del local (€)</t>
        </is>
      </c>
      <c r="B24" s="37" t="n">
        <v>3000</v>
      </c>
      <c r="C24" t="inlineStr">
        <is>
          <t>Dentro del rango 2.000-4.500 €/mes que declara este libro para un local de 80-120 m² en zona urbana, y respetando el techo del 10 % sobre ventas</t>
        </is>
      </c>
    </row>
    <row r="25">
      <c r="A25" t="inlineStr">
        <is>
          <t>Fianza del alquiler (meses)</t>
        </is>
      </c>
      <c r="B25" s="32" t="n">
        <v>3</v>
      </c>
      <c r="C25" t="inlineStr">
        <is>
          <t>Tres meses de renta, como en el contrato tipo de local de negocio</t>
        </is>
      </c>
    </row>
    <row r="26">
      <c r="A26" t="inlineStr">
        <is>
          <t>Suministros mensuales de luz, agua y gas (€)</t>
        </is>
      </c>
      <c r="B26" s="37" t="n">
        <v>1800</v>
      </c>
      <c r="C26" t="inlineStr">
        <is>
          <t>Luz, agua y gas de una cocina con horno, cámaras y campana: pide el histórico del local antes de firmar</t>
        </is>
      </c>
    </row>
    <row r="27">
      <c r="A27" t="inlineStr">
        <is>
          <t>Seguros (€/año)</t>
        </is>
      </c>
      <c r="B27" s="37" t="n">
        <v>2000</v>
      </c>
      <c r="C27" t="inlineStr">
        <is>
          <t>Responsabilidad civil + multirriesgo del local + convenio</t>
        </is>
      </c>
    </row>
    <row r="28">
      <c r="A28" t="inlineStr">
        <is>
          <t>Varios e imprevistos sobre ventas</t>
        </is>
      </c>
      <c r="B28" s="34" t="n">
        <v>0.02</v>
      </c>
      <c r="C28" t="inlineStr">
        <is>
          <t>Colchón de gasto corriente no presupuestado</t>
        </is>
      </c>
    </row>
    <row r="29">
      <c r="A29" s="30" t="inlineStr">
        <is>
          <t>FINANCIACIÓN</t>
        </is>
      </c>
    </row>
    <row r="30">
      <c r="A30" t="inlineStr">
        <is>
          <t>Recursos propios aportados (€)</t>
        </is>
      </c>
      <c r="B30" s="37" t="n">
        <v>75000</v>
      </c>
      <c r="C30" t="inlineStr">
        <is>
          <t>Aportación de los socios. Con menos, el banco no entra: pide un 35-40 % de fondos propios sobre la inversión</t>
        </is>
      </c>
    </row>
    <row r="31">
      <c r="A31" t="inlineStr">
        <is>
          <t>Préstamo bancario solicitado (€)</t>
        </is>
      </c>
      <c r="B31" s="37" t="n">
        <v>128000</v>
      </c>
      <c r="C31" t="inlineStr">
        <is>
          <t>Principal solicitado. La hoja de Financiación comprueba que origen y usos cuadran, y trae una celda que calcula el importe exacto que los ajusta</t>
        </is>
      </c>
    </row>
    <row r="32">
      <c r="A32" t="inlineStr">
        <is>
          <t>Tipo de interés nominal anual</t>
        </is>
      </c>
      <c r="B32" s="34" t="n">
        <v>0.06</v>
      </c>
      <c r="C32" t="inlineStr">
        <is>
          <t>Tipo nominal anual; pide oferta a dos entidades y a una línea ICO antes de fijarlo</t>
        </is>
      </c>
    </row>
    <row r="33">
      <c r="A33" t="inlineStr">
        <is>
          <t>Plazo del préstamo (años)</t>
        </is>
      </c>
      <c r="B33" s="32" t="n">
        <v>7</v>
      </c>
      <c r="C33" t="inlineStr">
        <is>
          <t>Años totales, carencia incluida</t>
        </is>
      </c>
    </row>
    <row r="34">
      <c r="A34" t="inlineStr">
        <is>
          <t>Carencia de principal (años)</t>
        </is>
      </c>
      <c r="B34" s="32" t="n">
        <v>1</v>
      </c>
      <c r="C34" t="inlineStr">
        <is>
          <t>Primer año sólo intereses, que es cuando la caja está más tensa</t>
        </is>
      </c>
    </row>
    <row r="35">
      <c r="A35" t="inlineStr">
        <is>
          <t>Fondo de maniobra (meses de costes fijos)</t>
        </is>
      </c>
      <c r="B35" s="32" t="n">
        <v>3</v>
      </c>
      <c r="C35" t="inlineStr">
        <is>
          <t>Mínimo que exige este mismo libro: «Fondo de maniobra: mínimo 3 meses de costes fijos antes de abrir»</t>
        </is>
      </c>
    </row>
    <row r="36">
      <c r="A36" s="30" t="inlineStr">
        <is>
          <t>FISCAL</t>
        </is>
      </c>
    </row>
    <row r="37">
      <c r="A37" t="inlineStr">
        <is>
          <t>Impuesto de Sociedades, nueva creación</t>
        </is>
      </c>
      <c r="B37" s="34" t="n">
        <v>0.15</v>
      </c>
      <c r="C37" t="inlineStr">
        <is>
          <t>Art. 29.1 LIS: el PRIMER ejercicio con base imponible positiva y el SIGUIENTE. El libro lo aproxima contando los dos primeros ejercicios con base positiva: coincide con la ley salvo que entre ellos haya un ejercicio en pérdidas</t>
        </is>
      </c>
    </row>
    <row r="38">
      <c r="A38" t="inlineStr">
        <is>
          <t>Impuesto de Sociedades, tipo general</t>
        </is>
      </c>
      <c r="B38" s="34" t="n">
        <v>0.25</v>
      </c>
      <c r="C38" t="inlineStr">
        <is>
          <t>A partir del tercer ejercicio con base positiva. Es el tipo general del art. 29.1 LIS: si tu cifra de negocios queda por debajo de 1 M € (microempresa) o de 10 M € (reducida dimensión), desde 2025 hay tipos más bajos que se implantan de forma gradual; confirma el de tu ejercicio con tu asesor y cámbialo aquí</t>
        </is>
      </c>
    </row>
    <row r="39">
      <c r="A39" t="inlineStr">
        <is>
          <t>IVA repercutido de restauración</t>
        </is>
      </c>
      <c r="B39" s="34" t="n">
        <v>0.1</v>
      </c>
      <c r="C39" t="inlineStr">
        <is>
          <t>Tipo reducido de hostelería</t>
        </is>
      </c>
    </row>
    <row r="40">
      <c r="A40" t="inlineStr">
        <is>
          <t>IVA repercutido/soportado general</t>
        </is>
      </c>
      <c r="B40" s="34" t="n">
        <v>0.21</v>
      </c>
      <c r="C40" t="inlineStr">
        <is>
          <t>Tipo general. En este libro lo usan dos cosas: el IVA que soportas al comprar el alcohol (el proveedor lo factura al 21 %) y el que repercutes por el alcohol que sale por delivery (es una entrega de bienes). El alcohol servido en sala va al reducido: su tipo está en el bloque de desglose del IVA. Suministros, equipamiento y servicios tienen su tipo en la celda de abajo. El libro manda al general sólo el alcohol: si compras refrescos o zumos con azúcares añadidos, su factura también va al 21 % (art. 91.Uno.1.1.º de la Ley 37/1992)</t>
        </is>
      </c>
    </row>
    <row r="41">
      <c r="A41" t="inlineStr">
        <is>
          <t>IVA soportado en compras e inversión</t>
        </is>
      </c>
      <c r="B41" s="34" t="n">
        <v>0.21</v>
      </c>
      <c r="C41" t="inlineStr">
        <is>
          <t>Recuperable vía modelo 303, pero hay que adelantarlo</t>
        </is>
      </c>
    </row>
    <row r="42">
      <c r="A42" t="inlineStr">
        <is>
          <t>Bases negativas de ejercicios anteriores (€)</t>
        </is>
      </c>
      <c r="B42" s="37" t="n">
        <v>0</v>
      </c>
      <c r="C42" t="inlineStr">
        <is>
          <t>Pérdidas pendientes de compensar al empezar (art. 26 LIS)</t>
        </is>
      </c>
    </row>
    <row r="43">
      <c r="A43" s="30" t="inlineStr">
        <is>
          <t>AMORTIZACIÓN</t>
        </is>
      </c>
    </row>
    <row r="44">
      <c r="A44" t="inlineStr">
        <is>
          <t>Vida útil de obra e instalaciones (años)</t>
        </is>
      </c>
      <c r="B44" s="32" t="n">
        <v>10</v>
      </c>
      <c r="C44" t="inlineStr">
        <is>
          <t>Obra, instalaciones y decoración. Coeficientes de la tabla del art. 12.1 LIS: confírmalo con tu asesor</t>
        </is>
      </c>
    </row>
    <row r="45">
      <c r="A45" t="inlineStr">
        <is>
          <t>Vida útil de maquinaria y mobiliario (años)</t>
        </is>
      </c>
      <c r="B45" s="32" t="n">
        <v>10</v>
      </c>
      <c r="C45" t="inlineStr">
        <is>
          <t>Maquinaria de cocina, mobiliario y equipos. El coeficiente lineal máximo de la tabla del art. 12.1 LIS es del 12 % para maquinaria y del 10 % para mobiliario: por debajo de 9-10 años el exceso no es deducible. Confírmalo con tu asesor</t>
        </is>
      </c>
    </row>
    <row r="46"/>
    <row r="47">
      <c r="A47" s="30" t="inlineStr">
        <is>
          <t>CRECIMIENTO Y ACTUALIZACIÓN DE COSTES</t>
        </is>
      </c>
    </row>
    <row r="48">
      <c r="A48" t="inlineStr">
        <is>
          <t>Subida anual de los costes fijos</t>
        </is>
      </c>
      <c r="B48" s="34" t="n">
        <v>0</v>
      </c>
      <c r="C48" t="inlineStr">
        <is>
          <t>A CERO: las tres columnas están en euros del año 1 (términos reales). Súbela si quieres proyectar en euros corrientes</t>
        </is>
      </c>
    </row>
    <row r="49">
      <c r="A49" s="30" t="inlineStr">
        <is>
          <t>ARRANQUE Y AFORO</t>
        </is>
      </c>
    </row>
    <row r="50">
      <c r="A50" s="30" t="inlineStr">
        <is>
          <t>Rotaciones al día implícitas (calculado)</t>
        </is>
      </c>
      <c r="B50" s="38">
        <f>IFERROR($B$4/$B$51,"")</f>
        <v>1.4285714285714286</v>
      </c>
      <c r="C50" t="str">
        <f>IFERROR("Son "&amp;TEXT(INT(ROUND(B50,1)),"0")&amp;","&amp;TEXT(ROUND(MOD(ROUND(B50,1),1)*10,0),"0")&amp;" servicios por plaza y día sobre las "&amp;TEXT($B$51,"0")&amp;" plazas de la celda de arriba. El documento de este plan pide un MÍNIMO de 1,8 rotaciones por mesa y servicio en temporada alta: compáralo con tu horario real antes de darlo por bueno.","")</f>
        <v>Son 1,4 servicios por plaza y día sobre las 56 plazas de la celda de arriba. El documento de este plan pide un MÍNIMO de 1,8 rotaciones por mesa y servicio en temporada alta: compáralo con tu horario real antes de darlo por bueno.</v>
      </c>
    </row>
    <row r="51">
      <c r="A51" t="inlineStr">
        <is>
          <t>Aforo del local (plazas sentadas + barra)</t>
        </is>
      </c>
      <c r="B51" s="32" t="n">
        <v>56</v>
      </c>
      <c r="C51" t="inlineStr">
        <is>
          <t>De aquí sale la rotación implícita: cubiertos/día ÷ aforo. Cuéntalo sobre el plano de tu local, no lo copies</t>
        </is>
      </c>
    </row>
    <row r="52">
      <c r="A52" t="inlineStr">
        <is>
          <t>Actividad del mes 1 sobre la de crucero</t>
        </is>
      </c>
      <c r="B52" s="34" t="n">
        <v>0.55</v>
      </c>
      <c r="C52" t="inlineStr">
        <is>
          <t>Un local que abre no factura desde el primer día lo mismo que a los seis meses. Con 100 % se elimina la rampa y el año 1 se proyecta a velocidad de crucero</t>
        </is>
      </c>
    </row>
    <row r="53">
      <c r="A53" t="inlineStr">
        <is>
          <t>Meses hasta alcanzar el régimen de crucero</t>
        </is>
      </c>
      <c r="B53" s="32" t="n">
        <v>6</v>
      </c>
      <c r="C53" t="inlineStr">
        <is>
          <t>La rampa sube en línea recta desde el porcentaje de arriba hasta el 100 % en este número de meses</t>
        </is>
      </c>
    </row>
    <row r="54">
      <c r="A54" t="inlineStr">
        <is>
          <t>Meses de alquiler ANTES de abrir (obra y licencias)</t>
        </is>
      </c>
      <c r="B54" s="32" t="n">
        <v>1</v>
      </c>
      <c r="C54" t="inlineStr">
        <is>
          <t>El local se paga desde que se firma. Estos meses son inversión: NO se solapan con el P&amp;L, que arranca el día de la apertura</t>
        </is>
      </c>
    </row>
    <row r="55">
      <c r="A55" t="inlineStr">
        <is>
          <t>Imprevistos sobre las partidas de OBRA del bloque de local (%)</t>
        </is>
      </c>
      <c r="B55" s="34" t="n">
        <v>0.1</v>
      </c>
      <c r="C55" t="inlineStr">
        <is>
          <t>Colchón sobre la partida de obra y acondicionamiento. Un banco no financia una reforma sin él</t>
        </is>
      </c>
    </row>
    <row r="56"/>
    <row r="57">
      <c r="A57" s="30" t="inlineStr">
        <is>
          <t>COBROS, PAGOS Y DESGLOSE DEL IVA</t>
        </is>
      </c>
    </row>
    <row r="58">
      <c r="A58" t="inlineStr">
        <is>
          <t>Días medios de cobro</t>
        </is>
      </c>
      <c r="B58" s="32" t="n">
        <v>0</v>
      </c>
      <c r="C58" t="inlineStr">
        <is>
          <t>En barra y sala se cobra al contado (0 días). Súbelo si trabajas con plataformas de reserva o de reparto, que liquidan a D+1/D+30</t>
        </is>
      </c>
    </row>
    <row r="59">
      <c r="A59" t="inlineStr">
        <is>
          <t>Días medios de pago a proveedor</t>
        </is>
      </c>
      <c r="B59" s="32" t="n">
        <v>30</v>
      </c>
      <c r="C59" t="inlineStr">
        <is>
          <t>Lo que te financian tus proveedores. Es lo primero que se pierde si te retrasas en un pago</t>
        </is>
      </c>
    </row>
    <row r="60">
      <c r="A60" t="inlineStr">
        <is>
          <t>Mes de la paga extra de verano</t>
        </is>
      </c>
      <c r="B60" s="32" t="n">
        <v>7</v>
      </c>
      <c r="C60" t="inlineStr">
        <is>
          <t>Mes del año (1-12) en el que sale de caja la primera paga extra</t>
        </is>
      </c>
    </row>
    <row r="61">
      <c r="A61" t="inlineStr">
        <is>
          <t>Mes de la paga extra de Navidad</t>
        </is>
      </c>
      <c r="B61" s="32" t="n">
        <v>12</v>
      </c>
      <c r="C61" t="inlineStr">
        <is>
          <t>Mes del año (1-12) en el que sale de caja la segunda paga extra</t>
        </is>
      </c>
    </row>
    <row r="62">
      <c r="A62" t="inlineStr">
        <is>
          <t>Bebida ALCOHÓLICA sobre el total de bebida</t>
        </is>
      </c>
      <c r="B62" s="34" t="n">
        <v>0.6</v>
      </c>
      <c r="C62" t="inlineStr">
        <is>
          <t>Peso del alcohol dentro de la línea de bebida. Se usa igual en ventas y en compras, y es una aproximación (el alcohol suele pesar algo más en el coste que en la venta). En sala todo se repercute al 10 %, refrescos incluidos. En la factura del proveedor, el alcohol va al tipo general; el agua, el café y los zumos naturales al 10 %; los refrescos y zumos con azúcares o edulcorantes añadidos al 21 % desde 2021, que el libro aproxima al 10 %</t>
        </is>
      </c>
    </row>
    <row r="63">
      <c r="A63" t="inlineStr">
        <is>
          <t>IVA de la bebida ALCOHÓLICA servida en sala</t>
        </is>
      </c>
      <c r="B63" s="34" t="n">
        <v>0.1</v>
      </c>
      <c r="C63" t="inlineStr">
        <is>
          <t>10 %, igual que el resto del consumo en sala: el art. 91.Uno.2.2.º de la Ley 37/1992 del IVA grava al tipo reducido los servicios de hostelería y «el suministro de comidas y bebidas para consumir en el acto», sin excluir el alcohol. El 21 % es el tipo GENERAL y, fuera del consumo en el acto, alcanza al alcohol y también a los refrescos y zumos con azúcares o edulcorantes añadidos vendidos para llevar o a domicilio (art. 91.Uno.1.1.º de la misma ley). El libro lo aplica sólo a la parte ALCOHÓLICA de la bebida que sale por el canal de la celda «Ventas por delivery sobre el total»; los refrescos azucarados repartidos irían también al general y el libro no los separa</t>
        </is>
      </c>
    </row>
    <row r="64">
      <c r="A64" s="30" t="inlineStr">
        <is>
          <t>UMBRALES Y SUELOS DE CONTROL</t>
        </is>
      </c>
    </row>
    <row r="65">
      <c r="A65" t="inlineStr">
        <is>
          <t>DSCR mínimo aceptable</t>
        </is>
      </c>
      <c r="B65" s="39" t="n">
        <v>1</v>
      </c>
      <c r="C65" t="inlineStr">
        <is>
          <t>Por debajo de 1 el negocio no genera para pagar el préstamo. Ponlo en el covenant que te exija tu banco</t>
        </is>
      </c>
    </row>
    <row r="66">
      <c r="A66" t="inlineStr">
        <is>
          <t>DSCR objetivo (verde)</t>
        </is>
      </c>
      <c r="B66" s="39" t="n">
        <v>1.25</v>
      </c>
      <c r="C66" t="inlineStr">
        <is>
          <t>Lo que suele pedir una entidad para dar el préstamo sin garantías adicionales</t>
        </is>
      </c>
    </row>
    <row r="67">
      <c r="A67" t="inlineStr">
        <is>
          <t>Holgura mínima sobre el punto de equilibrio</t>
        </is>
      </c>
      <c r="B67" s="34" t="n">
        <v>0.15</v>
      </c>
      <c r="C67" t="inlineStr">
        <is>
          <t>Cuánto deben superar las ventas previstas a las del equilibrio de caja (costes fijos y cuota del préstamo). La caída que aguantas es algo menor: con un 15 % de holgura, un 13 % de lo previsto</t>
        </is>
      </c>
    </row>
    <row r="68">
      <c r="A68" t="inlineStr">
        <is>
          <t>Suelo salarial anual del convenio provincial (€)</t>
        </is>
      </c>
      <c r="B68" s="37" t="n">
        <v>0</v>
      </c>
      <c r="C68" t="inlineStr">
        <is>
          <t>El convenio PROVINCIAL de hostelería, no el SMI, es el suelo real. Cópialo de la tabla salarial de tu provincia; con 0 el semáforo compara sólo contra el SMI</t>
        </is>
      </c>
    </row>
  </sheetData>
  <sheetProtection selectLockedCells="0" selectUnlockedCells="0" sheet="1" objects="0" insertRows="1" insertHyperlinks="1" autoFilter="1" scenarios="0" formatColumns="0" deleteColumns="1" insertColumns="1" pivotTables="1" deleteRows="1" formatCells="1" formatRows="0" sort="0"/>
  <dataValidations count="10">
    <dataValidation sqref="B5 B22 B24 B26 B27 B30 B31 B42 B65 B66 B68" showDropDown="0" showInputMessage="0" showErrorMessage="1" allowBlank="1" errorTitle="Importe no válido" error="Escribe un número mayor o igual que 0." type="decimal" operator="greaterThanOrEqual">
      <formula1>0</formula1>
    </dataValidation>
    <dataValidation sqref="B7 B8 B11 B13 B14 B15 B16 B17 B18 B20 B28 B32 B37 B38 B39 B40 B41 B48 B52 B55 B62 B63 B67" showDropDown="0" showInputMessage="0" showErrorMessage="1" allowBlank="1" errorTitle="Porcentaje no válido" error="Escribe un porcentaje entre 0 y 1 (0,35 = 35 %)." type="decimal" operator="between">
      <formula1>0</formula1>
      <formula2>1</formula2>
    </dataValidation>
    <dataValidation sqref="B6 B58 B59" showDropDown="0" showInputMessage="0" showErrorMessage="1" allowBlank="1" errorTitle="Días fuera de rango" error="Los días van de 1 a 365." type="whole" operator="between">
      <formula1>1</formula1>
      <formula2>365</formula2>
    </dataValidation>
    <dataValidation sqref="B34" showDropDown="0" showInputMessage="0" showErrorMessage="1" allowBlank="1" errorTitle="Recuento no válido" error="Años enteros de carencia, de 0 a 15. Si iguala o supera al plazo, la hoja la anula." type="whole" operator="between">
      <formula1>0</formula1>
      <formula2>15</formula2>
    </dataValidation>
    <dataValidation sqref="B53 B54" showDropDown="0" showInputMessage="0" showErrorMessage="1" allowBlank="1" errorTitle="Recuento no válido" error="Número entero de meses (0 a 24)." type="whole" operator="between">
      <formula1>0</formula1>
      <formula2>24</formula2>
    </dataValidation>
    <dataValidation sqref="B60 B61" showDropDown="0" showInputMessage="0" showErrorMessage="1" allowBlank="1" errorTitle="Recuento no válido" error="Mes del año, de 1 a 12." type="whole" operator="between">
      <formula1>1</formula1>
      <formula2>12</formula2>
    </dataValidation>
    <dataValidation sqref="B33" showDropDown="0" showInputMessage="0" showErrorMessage="1" allowBlank="1" errorTitle="Recuento no válido" error="Plazo en años enteros: el cuadro de amortización de este libro llega a 15 años." type="whole" operator="between">
      <formula1>1</formula1>
      <formula2>15</formula2>
    </dataValidation>
    <dataValidation sqref="B44 B45" showDropDown="0" showInputMessage="0" showErrorMessage="1" allowBlank="1" errorTitle="Recuento no válido" error="Vida útil en AÑOS ENTEROS (1 a 50). Los coeficientes máximos son los de la tabla del art. 12.1 LIS." type="whole" operator="between">
      <formula1>1</formula1>
      <formula2>50</formula2>
    </dataValidation>
    <dataValidation sqref="B4 B25 B35 B51" showDropDown="0" showInputMessage="0" showErrorMessage="1" allowBlank="1" errorTitle="Recuento no válido" error="Escribe un número ENTERO de 1 en adelante: esta celda es un recuento y varias fórmulas dividen entre ella." type="whole" operator="between">
      <formula1>1</formula1>
      <formula2>100000</formula2>
    </dataValidation>
    <dataValidation sqref="B21" showDropDown="0" showInputMessage="0" showErrorMessage="1" allowBlank="1" errorTitle="Recuento no válido" error="Número de pagas al año: 12, 14 o las que fije tu convenio (12 a 16)." type="whole" operator="between">
      <formula1>12</formula1>
      <formula2>16</formula2>
    </dataValidation>
  </dataValidations>
  <pageMargins left="0.59" right="0.59" top="0.59" bottom="0.59" header="0.3" footer="0.3"/>
  <pageSetup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58"/>
  <sheetViews>
    <sheetView workbookViewId="0">
      <pane ySplit="5" topLeftCell="A6" activePane="bottomLeft" state="frozen"/>
      <selection pane="bottomLeft" activeCell="A1" sqref="A1"/>
    </sheetView>
  </sheetViews>
  <sheetFormatPr baseColWidth="8" defaultRowHeight="15"/>
  <cols>
    <col width="46" customWidth="1" min="1" max="1"/>
    <col width="16" customWidth="1" min="2" max="2"/>
    <col width="40" customWidth="1" min="3" max="3"/>
    <col width="58" customWidth="1" min="4" max="4"/>
    <col width="13" customWidth="1" min="5" max="5"/>
  </cols>
  <sheetData>
    <row r="1" ht="32" customHeight="1">
      <c r="A1" s="1" t="inlineStr">
        <is>
          <t>ChefBusiness Consultoría Gastronómica</t>
        </is>
      </c>
    </row>
    <row r="2" ht="26" customHeight="1">
      <c r="A2" s="2" t="inlineStr">
        <is>
          <t>Inversión Inicial — Bar-Restaurante</t>
        </is>
      </c>
    </row>
    <row r="3" ht="30" customHeight="1">
      <c r="A3" s="40" t="inlineStr">
        <is>
          <t>Plan de Negocio: Bar-Restaurante / Restaurante Casual — España 2026</t>
        </is>
      </c>
    </row>
    <row r="4"/>
    <row r="5">
      <c r="A5" s="41" t="inlineStr">
        <is>
          <t>Concepto</t>
        </is>
      </c>
      <c r="B5" s="41" t="inlineStr">
        <is>
          <t>Importe</t>
        </is>
      </c>
      <c r="C5" s="41" t="inlineStr">
        <is>
          <t>% s/inversión</t>
        </is>
      </c>
      <c r="D5" s="41" t="inlineStr">
        <is>
          <t>Notas</t>
        </is>
      </c>
      <c r="E5" s="41" t="inlineStr">
        <is>
          <t>¿Lleva IVA?</t>
        </is>
      </c>
    </row>
    <row r="6">
      <c r="A6" s="41" t="inlineStr">
        <is>
          <t>LOCAL Y ACONDICIONAMIENTO</t>
        </is>
      </c>
      <c r="B6" s="42">
        <f>IFERROR(IF(COUNT(B7:B13)=0,"",SUM(B7:B13)),"")</f>
        <v>53650.0</v>
      </c>
      <c r="C6" s="43">
        <f>IFERROR(B6/$B$48,"")</f>
        <v>0.29969589106599004</v>
      </c>
      <c r="D6" s="44" t="n"/>
      <c r="E6" s="44" t="n"/>
    </row>
    <row r="7">
      <c r="A7" s="44" t="inlineStr">
        <is>
          <t>Honorarios inmobiliaria</t>
        </is>
      </c>
      <c r="B7" s="45" t="n">
        <v>1500</v>
      </c>
      <c r="C7" s="46">
        <f>IFERROR(B7/$B$48,"")</f>
        <v>0.008379195463168407</v>
      </c>
      <c r="D7" s="44" t="inlineStr">
        <is>
          <t>Medio mes de alquiler</t>
        </is>
      </c>
      <c r="E7" s="47" t="inlineStr">
        <is>
          <t>Sí</t>
        </is>
      </c>
    </row>
    <row r="8">
      <c r="A8" s="44" t="inlineStr">
        <is>
          <t>Obra civil y reforma local</t>
        </is>
      </c>
      <c r="B8" s="45" t="n">
        <v>25000</v>
      </c>
      <c r="C8" s="46">
        <f>IFERROR(B8/$B$48,"")</f>
        <v>0.13965325771947346</v>
      </c>
      <c r="D8" s="44" t="inlineStr">
        <is>
          <t>Cocina, extracción, instalaciones, suelo, pintura</t>
        </is>
      </c>
      <c r="E8" s="47" t="inlineStr">
        <is>
          <t>Sí</t>
        </is>
      </c>
    </row>
    <row r="9">
      <c r="A9" s="44" t="inlineStr">
        <is>
          <t>Proyecto técnico + licencia actividad</t>
        </is>
      </c>
      <c r="B9" s="45" t="n">
        <v>3500</v>
      </c>
      <c r="C9" s="46">
        <f>IFERROR(B9/$B$48,"")</f>
        <v>0.019551456080726285</v>
      </c>
      <c r="D9" s="44" t="inlineStr">
        <is>
          <t>Ingeniero + tasas ayuntamiento</t>
        </is>
      </c>
      <c r="E9" s="47" t="inlineStr">
        <is>
          <t>Sí</t>
        </is>
      </c>
    </row>
    <row r="10">
      <c r="A10" s="44" t="inlineStr">
        <is>
          <t>Decoración e interiorismo</t>
        </is>
      </c>
      <c r="B10" s="45" t="n">
        <v>8000</v>
      </c>
      <c r="C10" s="46">
        <f>IFERROR(B10/$B$48,"")</f>
        <v>0.044689042470231505</v>
      </c>
      <c r="D10" s="44" t="inlineStr">
        <is>
          <t>Mobiliario sala, iluminación, rotulación</t>
        </is>
      </c>
      <c r="E10" s="47" t="inlineStr">
        <is>
          <t>Sí</t>
        </is>
      </c>
    </row>
    <row r="11">
      <c r="A11" s="44" t="inlineStr">
        <is>
          <t>Fianza del alquiler</t>
        </is>
      </c>
      <c r="B11" s="48">
        <f>IFERROR(IF('0. Supuestos'!$B$24="","",'0. Supuestos'!$B$24*'0. Supuestos'!$B$25),"")</f>
        <v>9000.0</v>
      </c>
      <c r="C11" s="46">
        <f>IFERROR(B11/$B$48,"")</f>
        <v>0.050275172779010446</v>
      </c>
      <c r="D11" s="44" t="str">
        <f>IFERROR(""&amp;TEXT('0. Supuestos'!$B$25,"0")&amp;" meses de renta, al tipo de la hoja de Supuestos. Es un activo recuperable al cerrar: ni se amortiza ni lleva IVA","")</f>
        <v>3 meses de renta, al tipo de la hoja de Supuestos. Es un activo recuperable al cerrar: ni se amortiza ni lleva IVA</v>
      </c>
      <c r="E11" s="44" t="inlineStr">
        <is>
          <t>No</t>
        </is>
      </c>
    </row>
    <row r="12">
      <c r="A12" s="44" t="inlineStr">
        <is>
          <t>Alquiler de los meses previos a la apertura</t>
        </is>
      </c>
      <c r="B12" s="48">
        <f>IFERROR(IF('0. Supuestos'!$B$24="","",'0. Supuestos'!$B$24*'0. Supuestos'!$B$54),"")</f>
        <v>3000.0</v>
      </c>
      <c r="C12" s="46">
        <f>IFERROR(B12/$B$48,"")</f>
        <v>0.016758390926336814</v>
      </c>
      <c r="D12" s="44" t="str">
        <f>IFERROR("Renta "&amp;IF('0. Supuestos'!$B$54=1,"del mes","de los "&amp;TEXT('0. Supuestos'!$B$54,"0")&amp;" meses")&amp;" de obra y licencias. NO se solapa con el P&amp;L, que arranca el día de la apertura: los doce meses del P&amp;L son los doce de explotación","")</f>
        <v>Renta del mes de obra y licencias. NO se solapa con el P&amp;L, que arranca el día de la apertura: los doce meses del P&amp;L son los doce de explotación</v>
      </c>
      <c r="E12" s="44" t="inlineStr">
        <is>
          <t>Sí</t>
        </is>
      </c>
    </row>
    <row r="13">
      <c r="A13" s="44" t="inlineStr">
        <is>
          <t>Imprevistos de obra y acondicionamiento</t>
        </is>
      </c>
      <c r="B13" s="48">
        <f>IFERROR(IF(COUNT(B8,B9,B10)=0,"",ROUND((B8+B9+B10)*'0. Supuestos'!$B$55,0)),"")</f>
        <v>3650.0</v>
      </c>
      <c r="C13" s="46">
        <f>IFERROR(B13/$B$48,"")</f>
        <v>0.020389375627043124</v>
      </c>
      <c r="D13" s="44" t="str">
        <f>IFERROR("Al "&amp;TEXT('0. Supuestos'!$B$55,"0%")&amp;" de las partidas de OBRA Y ACONDICIONAMIENTO de este bloque (Obra civil y reforma local, Proyecto técnico + licencia actividad y Decoración e interiorismo), no del bloque entero: el resto de partidas del bloque quedan fuera. Un banco no "&amp;"financia una reforma sin colchón: el porcentaje está en la hoja de Supuestos","")</f>
        <v>Al 10% de las partidas de OBRA Y ACONDICIONAMIENTO de este bloque (Obra civil y reforma local, Proyecto técnico + licencia actividad y Decoración e interiorismo), no del bloque entero: el resto de partidas del bloque quedan fuera. Un banco no financia una reforma sin colchón: el porcentaje está en la hoja de Supuestos</v>
      </c>
      <c r="E13" s="44" t="inlineStr">
        <is>
          <t>Sí</t>
        </is>
      </c>
    </row>
    <row r="14">
      <c r="A14" s="41" t="inlineStr">
        <is>
          <t>EQUIPAMIENTO COCINA</t>
        </is>
      </c>
      <c r="B14" s="42">
        <f>IFERROR(IF(COUNT(B15:B24)=0,"",SUM(B15:B24)),"")</f>
        <v>25700.0</v>
      </c>
      <c r="C14" s="43">
        <f>IFERROR(B14/$B$48,"")</f>
        <v>0.1435635489356187</v>
      </c>
      <c r="D14" s="44" t="n"/>
      <c r="E14" s="44" t="n"/>
    </row>
    <row r="15">
      <c r="A15" s="44" t="inlineStr">
        <is>
          <t>Cocina industrial (fuegos + plancha)</t>
        </is>
      </c>
      <c r="B15" s="45" t="n">
        <v>4500</v>
      </c>
      <c r="C15" s="46">
        <f>IFERROR(B15/$B$48,"")</f>
        <v>0.025137586389505223</v>
      </c>
      <c r="D15" s="44" t="inlineStr">
        <is>
          <t>4 fuegos + plancha 80cm</t>
        </is>
      </c>
      <c r="E15" s="47" t="inlineStr">
        <is>
          <t>Sí</t>
        </is>
      </c>
    </row>
    <row r="16">
      <c r="A16" s="44" t="inlineStr">
        <is>
          <t>Horno mixto (convección + vapor)</t>
        </is>
      </c>
      <c r="B16" s="45" t="n">
        <v>5500</v>
      </c>
      <c r="C16" s="46">
        <f>IFERROR(B16/$B$48,"")</f>
        <v>0.03072371669828416</v>
      </c>
      <c r="D16" s="44" t="inlineStr">
        <is>
          <t>10 bandejas GN 1/1</t>
        </is>
      </c>
      <c r="E16" s="47" t="inlineStr">
        <is>
          <t>Sí</t>
        </is>
      </c>
    </row>
    <row r="17">
      <c r="A17" s="44" t="inlineStr">
        <is>
          <t>Freidora profesional</t>
        </is>
      </c>
      <c r="B17" s="45" t="n">
        <v>800</v>
      </c>
      <c r="C17" s="46">
        <f>IFERROR(B17/$B$48,"")</f>
        <v>0.00446890424702315</v>
      </c>
      <c r="D17" s="44" t="inlineStr">
        <is>
          <t>2 cubetas x 8L</t>
        </is>
      </c>
      <c r="E17" s="47" t="inlineStr">
        <is>
          <t>Sí</t>
        </is>
      </c>
    </row>
    <row r="18">
      <c r="A18" s="44" t="inlineStr">
        <is>
          <t>Mesa refrigerada bajo mostrador</t>
        </is>
      </c>
      <c r="B18" s="45" t="n">
        <v>2200</v>
      </c>
      <c r="C18" s="46">
        <f>IFERROR(B18/$B$48,"")</f>
        <v>0.012289486679313665</v>
      </c>
      <c r="D18" s="44" t="inlineStr">
        <is>
          <t>3 puertas, 400L</t>
        </is>
      </c>
      <c r="E18" s="47" t="inlineStr">
        <is>
          <t>Sí</t>
        </is>
      </c>
    </row>
    <row r="19">
      <c r="A19" s="44" t="inlineStr">
        <is>
          <t>Cámara frigorífica</t>
        </is>
      </c>
      <c r="B19" s="45" t="n">
        <v>3500</v>
      </c>
      <c r="C19" s="46">
        <f>IFERROR(B19/$B$48,"")</f>
        <v>0.019551456080726285</v>
      </c>
      <c r="D19" s="44" t="inlineStr">
        <is>
          <t>Positiva + negativa</t>
        </is>
      </c>
      <c r="E19" s="47" t="inlineStr">
        <is>
          <t>Sí</t>
        </is>
      </c>
    </row>
    <row r="20">
      <c r="A20" s="44" t="inlineStr">
        <is>
          <t>Campana extractora + motor</t>
        </is>
      </c>
      <c r="B20" s="45" t="n">
        <v>3000</v>
      </c>
      <c r="C20" s="46">
        <f>IFERROR(B20/$B$48,"")</f>
        <v>0.016758390926336814</v>
      </c>
      <c r="D20" s="44" t="inlineStr">
        <is>
          <t>Instalación incluida</t>
        </is>
      </c>
      <c r="E20" s="47" t="inlineStr">
        <is>
          <t>Sí</t>
        </is>
      </c>
    </row>
    <row r="21">
      <c r="A21" s="44" t="inlineStr">
        <is>
          <t>Lavavajillas industrial</t>
        </is>
      </c>
      <c r="B21" s="45" t="n">
        <v>2800</v>
      </c>
      <c r="C21" s="46">
        <f>IFERROR(B21/$B$48,"")</f>
        <v>0.015641164864581027</v>
      </c>
      <c r="D21" s="44" t="inlineStr">
        <is>
          <t>Cesta 50x50</t>
        </is>
      </c>
      <c r="E21" s="47" t="inlineStr">
        <is>
          <t>Sí</t>
        </is>
      </c>
    </row>
    <row r="22">
      <c r="A22" s="44" t="inlineStr">
        <is>
          <t>Menaje y utensilios cocina</t>
        </is>
      </c>
      <c r="B22" s="45" t="n">
        <v>2000</v>
      </c>
      <c r="C22" s="46">
        <f>IFERROR(B22/$B$48,"")</f>
        <v>0.011172260617557876</v>
      </c>
      <c r="D22" s="44" t="inlineStr">
        <is>
          <t>Sartenes, ollas, GN, cuchillos, tablas</t>
        </is>
      </c>
      <c r="E22" s="47" t="inlineStr">
        <is>
          <t>Sí</t>
        </is>
      </c>
    </row>
    <row r="23">
      <c r="A23" s="44" t="inlineStr">
        <is>
          <t>Fregadero industrial doble seno</t>
        </is>
      </c>
      <c r="B23" s="45" t="n">
        <v>600</v>
      </c>
      <c r="C23" s="46">
        <f>IFERROR(B23/$B$48,"")</f>
        <v>0.003351678185267363</v>
      </c>
      <c r="D23" s="48" t="n"/>
      <c r="E23" s="47" t="inlineStr">
        <is>
          <t>Sí</t>
        </is>
      </c>
    </row>
    <row r="24">
      <c r="A24" s="44" t="inlineStr">
        <is>
          <t>Estanterías inox almacén</t>
        </is>
      </c>
      <c r="B24" s="45" t="n">
        <v>800</v>
      </c>
      <c r="C24" s="46">
        <f>IFERROR(B24/$B$48,"")</f>
        <v>0.00446890424702315</v>
      </c>
      <c r="D24" s="44" t="inlineStr">
        <is>
          <t>4 niveles x 3 unidades</t>
        </is>
      </c>
      <c r="E24" s="47" t="inlineStr">
        <is>
          <t>Sí</t>
        </is>
      </c>
    </row>
    <row r="25">
      <c r="A25" s="41" t="inlineStr">
        <is>
          <t>EQUIPAMIENTO SALA Y BARRA</t>
        </is>
      </c>
      <c r="B25" s="42">
        <f>IFERROR(IF(COUNT(B26:B35)=0,"",SUM(B26:B35)),"")</f>
        <v>21760.0</v>
      </c>
      <c r="C25" s="43">
        <f>IFERROR(B25/$B$48,"")</f>
        <v>0.1215541955190297</v>
      </c>
      <c r="D25" s="44" t="n"/>
      <c r="E25" s="44" t="n"/>
    </row>
    <row r="26">
      <c r="A26" s="44" t="inlineStr">
        <is>
          <t>Barra de bar (fabricación + instalación)</t>
        </is>
      </c>
      <c r="B26" s="45" t="n">
        <v>4000</v>
      </c>
      <c r="C26" s="46">
        <f>IFERROR(B26/$B$48,"")</f>
        <v>0.022344521235115752</v>
      </c>
      <c r="D26" s="44" t="inlineStr">
        <is>
          <t>5 metros lineales</t>
        </is>
      </c>
      <c r="E26" s="47" t="inlineStr">
        <is>
          <t>Sí</t>
        </is>
      </c>
    </row>
    <row r="27">
      <c r="A27" s="44" t="inlineStr">
        <is>
          <t>Mesas y sillas (12 mesas x 4 sillas)</t>
        </is>
      </c>
      <c r="B27" s="45" t="n">
        <v>3600</v>
      </c>
      <c r="C27" s="46">
        <f>IFERROR(B27/$B$48,"")</f>
        <v>0.02011006911160418</v>
      </c>
      <c r="D27" s="44" t="inlineStr">
        <is>
          <t>Set 120 €/mesa</t>
        </is>
      </c>
      <c r="E27" s="47" t="inlineStr">
        <is>
          <t>Sí</t>
        </is>
      </c>
    </row>
    <row r="28">
      <c r="A28" s="44" t="inlineStr">
        <is>
          <t>Taburetes barra (8 unidades)</t>
        </is>
      </c>
      <c r="B28" s="45" t="n">
        <v>960</v>
      </c>
      <c r="C28" s="46">
        <f>IFERROR(B28/$B$48,"")</f>
        <v>0.0053626850964277805</v>
      </c>
      <c r="D28" s="44" t="inlineStr">
        <is>
          <t>120 €/ud</t>
        </is>
      </c>
      <c r="E28" s="47" t="inlineStr">
        <is>
          <t>Sí</t>
        </is>
      </c>
    </row>
    <row r="29">
      <c r="A29" s="44" t="inlineStr">
        <is>
          <t>Cafetera espresso profesional</t>
        </is>
      </c>
      <c r="B29" s="45" t="n">
        <v>3500</v>
      </c>
      <c r="C29" s="46">
        <f>IFERROR(B29/$B$48,"")</f>
        <v>0.019551456080726285</v>
      </c>
      <c r="D29" s="44" t="inlineStr">
        <is>
          <t>2 grupos</t>
        </is>
      </c>
      <c r="E29" s="47" t="inlineStr">
        <is>
          <t>Sí</t>
        </is>
      </c>
    </row>
    <row r="30">
      <c r="A30" s="44" t="inlineStr">
        <is>
          <t>Molinillo café profesional</t>
        </is>
      </c>
      <c r="B30" s="45" t="n">
        <v>500</v>
      </c>
      <c r="C30" s="46">
        <f>IFERROR(B30/$B$48,"")</f>
        <v>0.002793065154389469</v>
      </c>
      <c r="D30" s="48" t="n"/>
      <c r="E30" s="47" t="inlineStr">
        <is>
          <t>Sí</t>
        </is>
      </c>
    </row>
    <row r="31">
      <c r="A31" s="44" t="inlineStr">
        <is>
          <t>Grifo cerveza (2 tomas)</t>
        </is>
      </c>
      <c r="B31" s="45" t="n">
        <v>1200</v>
      </c>
      <c r="C31" s="46">
        <f>IFERROR(B31/$B$48,"")</f>
        <v>0.006703356370534726</v>
      </c>
      <c r="D31" s="44" t="inlineStr">
        <is>
          <t>Instalación + barril inicial</t>
        </is>
      </c>
      <c r="E31" s="47" t="inlineStr">
        <is>
          <t>Sí</t>
        </is>
      </c>
    </row>
    <row r="32">
      <c r="A32" s="44" t="inlineStr">
        <is>
          <t>Vinoteca / nevera vinos</t>
        </is>
      </c>
      <c r="B32" s="45" t="n">
        <v>800</v>
      </c>
      <c r="C32" s="46">
        <f>IFERROR(B32/$B$48,"")</f>
        <v>0.00446890424702315</v>
      </c>
      <c r="D32" s="44" t="inlineStr">
        <is>
          <t>24 botellas</t>
        </is>
      </c>
      <c r="E32" s="47" t="inlineStr">
        <is>
          <t>Sí</t>
        </is>
      </c>
    </row>
    <row r="33">
      <c r="A33" s="44" t="inlineStr">
        <is>
          <t>Cristalería, vajilla, cubertería</t>
        </is>
      </c>
      <c r="B33" s="45" t="n">
        <v>1500</v>
      </c>
      <c r="C33" s="46">
        <f>IFERROR(B33/$B$48,"")</f>
        <v>0.008379195463168407</v>
      </c>
      <c r="D33" s="44" t="inlineStr">
        <is>
          <t>Servicio completo 50 pax</t>
        </is>
      </c>
      <c r="E33" s="47" t="inlineStr">
        <is>
          <t>Sí</t>
        </is>
      </c>
    </row>
    <row r="34">
      <c r="A34" s="44" t="inlineStr">
        <is>
          <t>TPV + software hostelería</t>
        </is>
      </c>
      <c r="B34" s="45" t="n">
        <v>1500</v>
      </c>
      <c r="C34" s="46">
        <f>IFERROR(B34/$B$48,"")</f>
        <v>0.008379195463168407</v>
      </c>
      <c r="D34" s="44" t="inlineStr">
        <is>
          <t>Terminal + licencia anual</t>
        </is>
      </c>
      <c r="E34" s="47" t="inlineStr">
        <is>
          <t>Sí</t>
        </is>
      </c>
    </row>
    <row r="35">
      <c r="A35" s="44" t="inlineStr">
        <is>
          <t>Mobiliario y toldo de terraza</t>
        </is>
      </c>
      <c r="B35" s="45" t="n">
        <v>4200</v>
      </c>
      <c r="C35" s="46">
        <f>IFERROR(B35/$B$48,"")</f>
        <v>0.023461747296871543</v>
      </c>
      <c r="D35" s="44" t="inlineStr">
        <is>
          <t>Mesas, sillas, toldo y estufas para las plazas de terraza que describe el plan. Ponlo a 0 si tu local no tiene terraza o si la licencia no sale</t>
        </is>
      </c>
      <c r="E35" s="47" t="inlineStr">
        <is>
          <t>Sí</t>
        </is>
      </c>
    </row>
    <row r="36">
      <c r="A36" s="41" t="inlineStr">
        <is>
          <t>MARKETING Y LANZAMIENTO</t>
        </is>
      </c>
      <c r="B36" s="42">
        <f>IFERROR(IF(COUNT(B37:B39)=0,"",SUM(B37:B39)),"")</f>
        <v>4000.0</v>
      </c>
      <c r="C36" s="43">
        <f>IFERROR(B36/$B$48,"")</f>
        <v>0.022344521235115752</v>
      </c>
      <c r="D36" s="44" t="n"/>
      <c r="E36" s="44" t="n"/>
    </row>
    <row r="37">
      <c r="A37" s="44" t="inlineStr">
        <is>
          <t>Diseño marca e identidad visual</t>
        </is>
      </c>
      <c r="B37" s="45" t="n">
        <v>1500</v>
      </c>
      <c r="C37" s="46">
        <f>IFERROR(B37/$B$48,"")</f>
        <v>0.008379195463168407</v>
      </c>
      <c r="D37" s="44" t="inlineStr">
        <is>
          <t>Logo, carta, señalética</t>
        </is>
      </c>
      <c r="E37" s="47" t="inlineStr">
        <is>
          <t>Sí</t>
        </is>
      </c>
    </row>
    <row r="38">
      <c r="A38" s="44" t="inlineStr">
        <is>
          <t>Web + Google My Business</t>
        </is>
      </c>
      <c r="B38" s="45" t="n">
        <v>1000</v>
      </c>
      <c r="C38" s="46">
        <f>IFERROR(B38/$B$48,"")</f>
        <v>0.005586130308778938</v>
      </c>
      <c r="D38" s="44" t="inlineStr">
        <is>
          <t>Página básica + ficha GMB</t>
        </is>
      </c>
      <c r="E38" s="47" t="inlineStr">
        <is>
          <t>Sí</t>
        </is>
      </c>
    </row>
    <row r="39">
      <c r="A39" s="44" t="inlineStr">
        <is>
          <t>Campaña lanzamiento RRSS + inauguración</t>
        </is>
      </c>
      <c r="B39" s="45" t="n">
        <v>1500</v>
      </c>
      <c r="C39" s="46">
        <f>IFERROR(B39/$B$48,"")</f>
        <v>0.008379195463168407</v>
      </c>
      <c r="D39" s="44" t="inlineStr">
        <is>
          <t>3 meses iniciales</t>
        </is>
      </c>
      <c r="E39" s="47" t="inlineStr">
        <is>
          <t>Sí</t>
        </is>
      </c>
    </row>
    <row r="40">
      <c r="A40" s="41" t="inlineStr">
        <is>
          <t>GASTOS LEGALES Y CONSTITUCIÓN</t>
        </is>
      </c>
      <c r="B40" s="42">
        <f>IFERROR(IF(COUNT(B41:B42)=0,"",SUM(B41:B42)),"")</f>
        <v>1100.0</v>
      </c>
      <c r="C40" s="43">
        <f>IFERROR(B40/$B$48,"")</f>
        <v>0.006144743339656832</v>
      </c>
      <c r="D40" s="44" t="n"/>
      <c r="E40" s="44" t="n"/>
    </row>
    <row r="41">
      <c r="A41" s="44" t="inlineStr">
        <is>
          <t>Constitución SL (notaría + registro)</t>
        </is>
      </c>
      <c r="B41" s="45" t="n">
        <v>600</v>
      </c>
      <c r="C41" s="46">
        <f>IFERROR(B41/$B$48,"")</f>
        <v>0.003351678185267363</v>
      </c>
      <c r="D41" s="44" t="inlineStr">
        <is>
          <t>Capital social mín. 1 € (Ley Crea y Crece)</t>
        </is>
      </c>
      <c r="E41" s="47" t="inlineStr">
        <is>
          <t>No</t>
        </is>
      </c>
    </row>
    <row r="42">
      <c r="A42" s="44" t="inlineStr">
        <is>
          <t>Licencias y permisos varios</t>
        </is>
      </c>
      <c r="B42" s="45" t="n">
        <v>500</v>
      </c>
      <c r="C42" s="46">
        <f>IFERROR(B42/$B$48,"")</f>
        <v>0.002793065154389469</v>
      </c>
      <c r="D42" s="48" t="n"/>
      <c r="E42" s="47" t="inlineStr">
        <is>
          <t>No</t>
        </is>
      </c>
    </row>
    <row r="43">
      <c r="A43" s="41" t="inlineStr">
        <is>
          <t>EXISTENCIAS INICIALES</t>
        </is>
      </c>
      <c r="B43" s="42">
        <f>IFERROR(IF(COUNT(B44:B45)=0,"",SUM(B44:B45)),"")</f>
        <v>12000.0</v>
      </c>
      <c r="C43" s="43">
        <f>IFERROR(B43/$B$48,"")</f>
        <v>0.06703356370534726</v>
      </c>
      <c r="D43" s="44" t="n"/>
      <c r="E43" s="44" t="n"/>
    </row>
    <row r="44">
      <c r="A44" s="44" t="inlineStr">
        <is>
          <t>Primera compra de despensa y cámaras</t>
        </is>
      </c>
      <c r="B44" s="45" t="n">
        <v>6500</v>
      </c>
      <c r="C44" s="46">
        <f>IFERROR(B44/$B$48,"")</f>
        <v>0.0363098470070631</v>
      </c>
      <c r="D44" s="44" t="inlineStr">
        <is>
          <t>Materia prima para arrancar el servicio: seco, fresco y congelado. NO se amortiza, es circulante</t>
        </is>
      </c>
      <c r="E44" s="47" t="inlineStr">
        <is>
          <t>Sí</t>
        </is>
      </c>
    </row>
    <row r="45">
      <c r="A45" s="44" t="inlineStr">
        <is>
          <t>Primera compra de bodega y barra</t>
        </is>
      </c>
      <c r="B45" s="45" t="n">
        <v>5500</v>
      </c>
      <c r="C45" s="46">
        <f>IFERROR(B45/$B$48,"")</f>
        <v>0.03072371669828416</v>
      </c>
      <c r="D45" s="44" t="inlineStr">
        <is>
          <t>Vinos, cervezas, destilados y refrescos de la carta de salida. Pide depósito a tus distribuidores antes de presupuestarlo</t>
        </is>
      </c>
      <c r="E45" s="47" t="inlineStr">
        <is>
          <t>Sí</t>
        </is>
      </c>
    </row>
    <row r="46">
      <c r="A46" s="41" t="inlineStr">
        <is>
          <t>FONDO DE MANIOBRA</t>
        </is>
      </c>
      <c r="B46" s="42">
        <f>IFERROR(IF(B47="","",B47),"")</f>
        <v>60804.80000000001</v>
      </c>
      <c r="C46" s="43">
        <f>IFERROR(B46/$B$48,"")</f>
        <v>0.33966353619924167</v>
      </c>
      <c r="D46" s="44" t="n"/>
      <c r="E46" s="44" t="n"/>
    </row>
    <row r="47">
      <c r="A47" s="44" t="inlineStr">
        <is>
          <t>Colchón operativo hasta alcanzar el equilibrio</t>
        </is>
      </c>
      <c r="B47" s="48">
        <f>IFERROR(IF('0. Supuestos'!$B$35*('2. P&amp;L 3 Años'!$B$40-'2. P&amp;L 3 Años'!$B$38)=0,"",'0. Supuestos'!$B$35*('2. P&amp;L 3 Años'!$B$40-'2. P&amp;L 3 Años'!$B$38)/12),"")</f>
        <v>60804.80000000001</v>
      </c>
      <c r="C47" s="46">
        <f>IFERROR(B47/$B$48,"")</f>
        <v>0.33966353619924167</v>
      </c>
      <c r="D47" s="44" t="str">
        <f>IFERROR("Cubre "&amp;TEXT('0. Supuestos'!$B$35,"0")&amp;IF('0. Supuestos'!$B$35=1," mes"," meses")&amp;" de costes fijos DE CAJA del año 1 (los del P&amp;L menos la amortización, que no se paga), que es el mínimo que exigen las Instrucciones de este libro","")</f>
        <v>Cubre 3 meses de costes fijos DE CAJA del año 1 (los del P&amp;L menos la amortización, que no se paga), que es el mínimo que exigen las Instrucciones de este libro</v>
      </c>
      <c r="E47" s="44" t="inlineStr">
        <is>
          <t>No</t>
        </is>
      </c>
    </row>
    <row r="48">
      <c r="A48" s="41" t="inlineStr">
        <is>
          <t>INVERSIÓN TOTAL (suma de los bloques)</t>
        </is>
      </c>
      <c r="B48" s="42">
        <f>IFERROR(B6+B14+B25+B36+B40+B43+B46,"")</f>
        <v>179014.80000000002</v>
      </c>
      <c r="C48" s="44" t="n"/>
      <c r="D48" s="41" t="str">
        <f>IFERROR("Los porcentajes de la columna C se leen sobre esta cifra, que incluye el fondo de maniobra ("&amp;TEXT(C46,"0%")&amp;" del total). Para comparar el desglose con otro plan, usa la fila de CAPEX de abajo.","")</f>
        <v>Los porcentajes de la columna C se leen sobre esta cifra, que incluye el fondo de maniobra (34% del total). Para comparar el desglose con otro plan, usa la fila de CAPEX de abajo.</v>
      </c>
      <c r="E48" s="44" t="n"/>
    </row>
    <row r="49">
      <c r="A49" s="41" t="inlineStr">
        <is>
          <t>CAPEX (inversión sin el fondo de maniobra)</t>
        </is>
      </c>
      <c r="B49" s="42">
        <f>IFERROR(B48-B46,"")</f>
        <v>118210.0</v>
      </c>
      <c r="C49" s="44" t="n"/>
      <c r="D49" s="41" t="inlineStr">
        <is>
          <t>Es lo que se compra: obra, equipamiento, lanzamiento y gastos de constitución. El colchón de caja no es inversión, es circulante</t>
        </is>
      </c>
      <c r="E49" s="44" t="n"/>
    </row>
    <row r="50">
      <c r="A50" s="44" t="inlineStr">
        <is>
          <t>IVA soportado sobre la inversión (recuperable)</t>
        </is>
      </c>
      <c r="B50" s="48">
        <f>IFERROR(IF(B48="","",SUMIF($E$7:$E$45,"Sí",$B$7:$B$45)*'0. Supuestos'!$B$41),"")</f>
        <v>22703.1</v>
      </c>
      <c r="C50" s="44" t="n"/>
      <c r="D50" s="44" t="str">
        <f>IFERROR("Al "&amp;TEXT('0. Supuestos'!$B$41,"0%")&amp;" sobre las partidas marcadas con «Sí» en la columna de IVA. Las tasas y licencias no están sujetas y los seguros están exentos (art. 20.Uno.16 LIVA). Las tasas y aranceles registrales no llevan IVA; los honorarios de notaría y gestoría sí "&amp;"(21 %, deducible). Se recupera con el modelo 303, pero hay que adelantarlo","")</f>
        <v>Al 21% sobre las partidas marcadas con «Sí» en la columna de IVA. Las tasas y licencias no están sujetas y los seguros están exentos (art. 20.Uno.16 LIVA). Las tasas y aranceles registrales no llevan IVA; los honorarios de notaría y gestoría sí (21 %, deducible). Se recupera con el modelo 303, pero hay que adelantarlo</v>
      </c>
      <c r="E50" s="44" t="n"/>
    </row>
    <row r="51">
      <c r="A51" s="41" t="inlineStr">
        <is>
          <t>NECESIDAD TOTAL DE CAJA AL ARRANQUE</t>
        </is>
      </c>
      <c r="B51" s="42">
        <f>IFERROR(B48+B50,"")</f>
        <v>201717.90000000002</v>
      </c>
      <c r="C51" s="44" t="n"/>
      <c r="D51" s="41" t="inlineStr">
        <is>
          <t>Es la cifra que tiene que cubrir la hoja de Financiación</t>
        </is>
      </c>
      <c r="E51" s="44" t="n"/>
    </row>
    <row r="52">
      <c r="A52" s="41" t="inlineStr">
        <is>
          <t>BASES DE AMORTIZACIÓN (no suman a la inversión)</t>
        </is>
      </c>
      <c r="B52" s="44" t="n"/>
      <c r="C52" s="44" t="n"/>
      <c r="D52" s="44" t="n"/>
      <c r="E52" s="44" t="n"/>
    </row>
    <row r="53">
      <c r="A53" s="44" t="inlineStr">
        <is>
          <t>Obra, instalaciones y acondicionamiento</t>
        </is>
      </c>
      <c r="B53" s="48">
        <f>IFERROR(IF(B8="","",B8+B9+B10+B13+B20+B26),"")</f>
        <v>47150.0</v>
      </c>
      <c r="C53" s="44" t="n"/>
      <c r="D53" s="44" t="str">
        <f>IFERROR("Se amortiza en "&amp;TEXT('0. Supuestos'!$B$44,"0")&amp;" años","")</f>
        <v>Se amortiza en 10 años</v>
      </c>
      <c r="E53" s="44" t="n"/>
    </row>
    <row r="54">
      <c r="A54" s="44" t="inlineStr">
        <is>
          <t>Maquinaria, mobiliario y equipos</t>
        </is>
      </c>
      <c r="B54" s="48">
        <f>IFERROR(IF(B15="","",B15+B16+B17+B18+B19+B21+B22+B23+B24+B27+B28+B29+B30+B31+B32+B33+B34+B35),"")</f>
        <v>40460.0</v>
      </c>
      <c r="C54" s="44" t="n"/>
      <c r="D54" s="44" t="str">
        <f>IFERROR("Se amortiza en "&amp;TEXT('0. Supuestos'!$B$45,"0")&amp;" años","")</f>
        <v>Se amortiza en 10 años</v>
      </c>
      <c r="E54" s="44" t="n"/>
    </row>
    <row r="55">
      <c r="A55" s="41" t="inlineStr">
        <is>
          <t>Amortización anual del inmovilizado</t>
        </is>
      </c>
      <c r="B55" s="42">
        <f>IFERROR(B53/MAX(1,'0. Supuestos'!$B$44)+B54/MAX(1,'0. Supuestos'!$B$45),"")</f>
        <v>8761.0</v>
      </c>
      <c r="C55" s="44" t="n"/>
      <c r="D55" s="41" t="str">
        <f>IFERROR("No se amortizan, por no ser inmovilizado, Honorarios inmobiliaria, Fianza del alquiler, Alquiler de los meses previos a la apertura, Diseño marca e identidad visual, Web + Google My Business, Campaña lanzamiento RRSS + inauguración, "&amp;"Constitución SL (notaría + registro), Licencias y permisos varios, Primera compra de despensa y cámaras, Primera compra de bodega y barra ni Colchón operativo hasta alcanzar el equilibrio. Suman "&amp;TEXT(B48-B53-B54,"0")&amp;" € de los "&amp;TEXT(B48,"0")&amp;" € de inversión.","")</f>
        <v>No se amortizan, por no ser inmovilizado, Honorarios inmobiliaria, Fianza del alquiler, Alquiler de los meses previos a la apertura, Diseño marca e identidad visual, Web + Google My Business, Campaña lanzamiento RRSS + inauguración, Constitución SL (notaría + registro), Licencias y permisos varios, Primera compra de despensa y cámaras, Primera compra de bodega y barra ni Colchón operativo hasta alcanzar el equilibrio. Suman 91405 € de los 179015 € de inversión.</v>
      </c>
      <c r="E55" s="44" t="n"/>
    </row>
    <row r="56">
      <c r="A56" s="44" t="n"/>
      <c r="B56" s="44" t="n"/>
      <c r="C56" s="44" t="n"/>
      <c r="D56" s="44" t="n"/>
      <c r="E56" s="44" t="n"/>
    </row>
    <row r="57" ht="45" customHeight="1">
      <c r="A57" s="63" t="inlineStr">
        <is>
          <t>NOTA: Todos los importes son estimaciones basadas en precios de mercado en España 2026. Ajusta cada partida a tu situación real.</t>
        </is>
      </c>
      <c r="B57" s="44" t="n"/>
      <c r="C57" s="44" t="n"/>
      <c r="D57" s="44" t="n"/>
      <c r="E57" s="44" t="n"/>
    </row>
    <row r="58" ht="30" customHeight="1">
      <c r="A58" s="63" t="inlineStr">
        <is>
          <t>ChefBusiness.co — Plan de Negocio: Bar-Restaurante</t>
        </is>
      </c>
      <c r="B58" s="44" t="n"/>
      <c r="C58" s="44" t="n"/>
      <c r="D58" s="44" t="n"/>
      <c r="E58" s="44" t="n"/>
    </row>
  </sheetData>
  <sheetProtection selectLockedCells="0" selectUnlockedCells="0" sheet="1" objects="0" insertRows="1" insertHyperlinks="1" autoFilter="1" scenarios="0" formatColumns="0" deleteColumns="1" insertColumns="1" pivotTables="1" deleteRows="1" formatCells="1" formatRows="0" sort="0"/>
  <mergeCells count="3">
    <mergeCell ref="A2:C2"/>
    <mergeCell ref="A3:C3"/>
    <mergeCell ref="A1:C1"/>
  </mergeCells>
  <conditionalFormatting sqref="B51">
    <cfRule type="expression" priority="1" dxfId="0" stopIfTrue="1">
      <formula>AND(ISNUMBER(B51),B51&gt;0)</formula>
    </cfRule>
  </conditionalFormatting>
  <dataValidations count="2">
    <dataValidation sqref="E7:E10 E15:E24 E26:E35 E37:E39 E41:E42 E44:E45" showDropDown="0" showInputMessage="0" showErrorMessage="1" allowBlank="1" errorTitle="Marca no válida" error="Escribe «Sí» o «No»: de esta columna sale el IVA soportado de la inversión." type="list">
      <formula1>"Sí,No"</formula1>
    </dataValidation>
    <dataValidation sqref="B7 B8 B9 B10 B15 B16 B17 B18 B19 B20 B21 B22 B23 B24 B26 B27 B28 B29 B30 B31 B32 B33 B34 B35 B37 B38 B39 B41 B42 B44 B45" showDropDown="0" showInputMessage="0" showErrorMessage="1" allowBlank="1" errorTitle="Importe no válido" error="Escribe un número mayor o igual que 0." type="decimal" operator="greaterThanOrEqual">
      <formula1>0</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H62"/>
  <sheetViews>
    <sheetView workbookViewId="0">
      <pane ySplit="5" topLeftCell="A6" activePane="bottomLeft" state="frozen"/>
      <selection pane="bottomLeft" activeCell="A1" sqref="A1"/>
    </sheetView>
  </sheetViews>
  <sheetFormatPr baseColWidth="8" defaultRowHeight="15"/>
  <cols>
    <col width="42" customWidth="1" min="1" max="1"/>
    <col width="18" customWidth="1" min="2" max="2"/>
    <col width="18" customWidth="1" min="3" max="3"/>
    <col width="18" customWidth="1" min="4" max="4"/>
    <col width="13" customWidth="1" min="5" max="5"/>
    <col width="60" customWidth="1" min="6" max="6"/>
    <col width="14" customWidth="1" min="7" max="7"/>
    <col width="16" customWidth="1" min="8" max="8"/>
  </cols>
  <sheetData>
    <row r="1" ht="32" customHeight="1">
      <c r="A1" s="1" t="inlineStr">
        <is>
          <t>ChefBusiness Consultoría Gastronómica</t>
        </is>
      </c>
    </row>
    <row r="2" ht="26" customHeight="1">
      <c r="A2" s="53" t="inlineStr">
        <is>
          <t>Cuenta de Resultados Previsional — 3 Años</t>
        </is>
      </c>
    </row>
    <row r="3" ht="30" customHeight="1">
      <c r="A3" s="40" t="inlineStr">
        <is>
          <t>Plan de Negocio: Bar-Restaurante / Restaurante Casual — España 2026</t>
        </is>
      </c>
    </row>
    <row r="4"/>
    <row r="5">
      <c r="A5" s="54" t="inlineStr">
        <is>
          <t>Concepto</t>
        </is>
      </c>
      <c r="B5" s="54" t="inlineStr">
        <is>
          <t>Año 1</t>
        </is>
      </c>
      <c r="C5" s="54" t="inlineStr">
        <is>
          <t>Año 2</t>
        </is>
      </c>
      <c r="D5" s="54" t="inlineStr">
        <is>
          <t>Año 3</t>
        </is>
      </c>
      <c r="E5" s="54" t="inlineStr">
        <is>
          <t>% s/ventas (año 1)</t>
        </is>
      </c>
      <c r="F5" s="54" t="inlineStr">
        <is>
          <t>Notas</t>
        </is>
      </c>
      <c r="G5" s="54" t="inlineStr">
        <is>
          <t>Tipo de IVA de la línea (%)</t>
        </is>
      </c>
      <c r="H5" s="44" t="n"/>
    </row>
    <row r="6">
      <c r="A6" s="41" t="inlineStr">
        <is>
          <t>INGRESOS</t>
        </is>
      </c>
      <c r="B6" s="44" t="n"/>
      <c r="C6" s="44" t="n"/>
      <c r="D6" s="44" t="n"/>
      <c r="E6" s="44" t="n"/>
      <c r="F6" s="44" t="n"/>
      <c r="G6" s="44" t="n"/>
      <c r="H6" s="44" t="n"/>
    </row>
    <row r="7">
      <c r="A7" s="44" t="inlineStr">
        <is>
          <t>Cubiertos/día (media)</t>
        </is>
      </c>
      <c r="B7" s="55">
        <f>IFERROR(IF('0. Supuestos'!$B$4="","",'0. Supuestos'!$B$4),"")</f>
        <v>80.0</v>
      </c>
      <c r="C7" s="55">
        <f>IFERROR(B7*(1+'0. Supuestos'!$B$7),"")</f>
        <v>88.0</v>
      </c>
      <c r="D7" s="55">
        <f>IFERROR(C7*(1+'0. Supuestos'!$B$8),"")</f>
        <v>93.28</v>
      </c>
      <c r="E7" s="44" t="n"/>
      <c r="F7" s="44" t="inlineStr">
        <is>
          <t>El crecimiento de los años 2 y 3 está en la hoja de Supuestos</t>
        </is>
      </c>
      <c r="G7" s="44" t="n"/>
      <c r="H7" s="44" t="n"/>
    </row>
    <row r="8">
      <c r="A8" s="44" t="inlineStr">
        <is>
          <t>Ticket medio sin IVA</t>
        </is>
      </c>
      <c r="B8" s="56">
        <f>IFERROR(IF('0. Supuestos'!$B$5="","",'0. Supuestos'!$B$5),"")</f>
        <v>18.2</v>
      </c>
      <c r="C8" s="56">
        <f>IFERROR(IF(B8="","",B8),"")</f>
        <v>18.2</v>
      </c>
      <c r="D8" s="56">
        <f>IFERROR(IF(C8="","",C8),"")</f>
        <v>18.2</v>
      </c>
      <c r="E8" s="44" t="n"/>
      <c r="F8" s="44" t="inlineStr">
        <is>
          <t>Constante en euros del año 1: una subida de precios es una decisión aparte</t>
        </is>
      </c>
      <c r="G8" s="44" t="n"/>
      <c r="H8" s="44" t="n"/>
    </row>
    <row r="9">
      <c r="A9" s="44" t="inlineStr">
        <is>
          <t>Días de apertura al año</t>
        </is>
      </c>
      <c r="B9" s="55">
        <f>IFERROR(IF('0. Supuestos'!$B$6="","",'0. Supuestos'!$B$6),"")</f>
        <v>310.0</v>
      </c>
      <c r="C9" s="55">
        <f>IFERROR(IF(B9="","",B9),"")</f>
        <v>310.0</v>
      </c>
      <c r="D9" s="55">
        <f>IFERROR(IF(C9="","",C9),"")</f>
        <v>310.0</v>
      </c>
      <c r="E9" s="44" t="n"/>
      <c r="F9" s="44" t="n"/>
      <c r="G9" s="44" t="n"/>
      <c r="H9" s="44" t="n"/>
    </row>
    <row r="10">
      <c r="A10" s="41" t="inlineStr">
        <is>
          <t>INGRESOS TOTALES (sin IVA)</t>
        </is>
      </c>
      <c r="B10" s="42">
        <f>IFERROR(IF(B7*B8*B9=0,"",B7*B8*B9),"")</f>
        <v>451360.0</v>
      </c>
      <c r="C10" s="42">
        <f>IFERROR(IF(C7*C8*C9=0,"",C7*C8*C9),"")</f>
        <v>496496.0</v>
      </c>
      <c r="D10" s="42">
        <f>IFERROR(IF(D7*D8*D9=0,"",D7*D8*D9),"")</f>
        <v>526285.76</v>
      </c>
      <c r="E10" s="43">
        <f>IFERROR(IF(B10="","",1),"")</f>
        <v>1.0</v>
      </c>
      <c r="F10" s="44" t="n"/>
      <c r="G10" s="44" t="n"/>
      <c r="H10" s="44" t="n"/>
    </row>
    <row r="11">
      <c r="A11" s="44" t="inlineStr">
        <is>
          <t>Ventas de comida (cocina y barra)</t>
        </is>
      </c>
      <c r="B11" s="48">
        <f>IFERROR(IF(B10="","",B10*$E$11),"")</f>
        <v>293384.0</v>
      </c>
      <c r="C11" s="48">
        <f>IFERROR(IF(C10="","",C10*$E$11),"")</f>
        <v>322722.4</v>
      </c>
      <c r="D11" s="48">
        <f>IFERROR(IF(D10="","",D10*$E$11),"")</f>
        <v>342085.744</v>
      </c>
      <c r="E11" s="46">
        <f>IFERROR(IF('0. Supuestos'!$B$11="","",'0. Supuestos'!$B$11),"")</f>
        <v>0.65</v>
      </c>
      <c r="F11" s="44" t="inlineStr">
        <is>
          <t>Menú del mediodía, carta y raciones</t>
        </is>
      </c>
      <c r="G11" s="46">
        <f>IFERROR(IF(B10="","",'0. Supuestos'!$B$39),"")</f>
        <v>0.1</v>
      </c>
      <c r="H11" s="44" t="n"/>
    </row>
    <row r="12">
      <c r="A12" s="44" t="inlineStr">
        <is>
          <t>Ventas de bebida (cañas, vinos, cafés y copas)</t>
        </is>
      </c>
      <c r="B12" s="48">
        <f>IFERROR(IF(B10="","",B10*$E$12),"")</f>
        <v>157976.0</v>
      </c>
      <c r="C12" s="48">
        <f>IFERROR(IF(C10="","",C10*$E$12),"")</f>
        <v>173773.59999999998</v>
      </c>
      <c r="D12" s="48">
        <f>IFERROR(IF(D10="","",D10*$E$12),"")</f>
        <v>184200.016</v>
      </c>
      <c r="E12" s="46">
        <f>IFERROR(IF('0. Supuestos'!$B$12="","",'0. Supuestos'!$B$12),"")</f>
        <v>0.35</v>
      </c>
      <c r="F12" s="44" t="inlineStr">
        <is>
          <t>Se calcula como el resto: comida + bebida = 100 %</t>
        </is>
      </c>
      <c r="G12" s="46">
        <f>IFERROR(IF(B10="","",('0. Supuestos'!$B$62*((1-'0. Supuestos'!$B$16)*'0. Supuestos'!$B$63+'0. Supuestos'!$B$16*'0. Supuestos'!$B$40)+(1-'0. Supuestos'!$B$62)*'0. Supuestos'!$B$39)),"")</f>
        <v>0.1</v>
      </c>
      <c r="H12" s="44" t="n"/>
    </row>
    <row r="13">
      <c r="A13" s="41" t="inlineStr">
        <is>
          <t>COSTES VARIABLES</t>
        </is>
      </c>
      <c r="B13" s="44" t="n"/>
      <c r="C13" s="44" t="n"/>
      <c r="D13" s="44" t="n"/>
      <c r="E13" s="44" t="n"/>
      <c r="F13" s="44" t="n"/>
      <c r="G13" s="44" t="n"/>
      <c r="H13" s="44" t="n"/>
    </row>
    <row r="14">
      <c r="A14" s="44" t="inlineStr">
        <is>
          <t>Coste de mercancía — comida</t>
        </is>
      </c>
      <c r="B14" s="48">
        <f>IFERROR(IF(B10="","",B10*'0. Supuestos'!$B$11*'0. Supuestos'!$B$13),"")</f>
        <v>88015.2</v>
      </c>
      <c r="C14" s="48">
        <f>IFERROR(IF(C10="","",C10*'0. Supuestos'!$B$11*'0. Supuestos'!$B$13),"")</f>
        <v>96816.72</v>
      </c>
      <c r="D14" s="48">
        <f>IFERROR(IF(D10="","",D10*'0. Supuestos'!$B$11*'0. Supuestos'!$B$13),"")</f>
        <v>102625.7232</v>
      </c>
      <c r="E14" s="46">
        <f>IFERROR(B14/$B$10,"")</f>
        <v>0.195</v>
      </c>
      <c r="F14" s="44" t="str">
        <f>IFERROR("Al "&amp;TEXT('0. Supuestos'!$B$13,"0%")&amp;" de las ventas de COMIDA, no del total: la bebida tiene su propia línea","")</f>
        <v>Al 30% de las ventas de COMIDA, no del total: la bebida tiene su propia línea</v>
      </c>
      <c r="G14" s="46">
        <f>IFERROR(IF(B10="","",'0. Supuestos'!$B$39),"")</f>
        <v>0.1</v>
      </c>
      <c r="H14" s="44" t="n"/>
    </row>
    <row r="15">
      <c r="A15" s="44" t="inlineStr">
        <is>
          <t>Coste de mercancía — bebida</t>
        </is>
      </c>
      <c r="B15" s="48">
        <f>IFERROR(IF(B10="","",B10*'0. Supuestos'!$B$12*'0. Supuestos'!$B$14),"")</f>
        <v>34754.72</v>
      </c>
      <c r="C15" s="48">
        <f>IFERROR(IF(C10="","",C10*'0. Supuestos'!$B$12*'0. Supuestos'!$B$14),"")</f>
        <v>38230.191999999995</v>
      </c>
      <c r="D15" s="48">
        <f>IFERROR(IF(D10="","",D10*'0. Supuestos'!$B$12*'0. Supuestos'!$B$14),"")</f>
        <v>40524.00352</v>
      </c>
      <c r="E15" s="46">
        <f>IFERROR(B15/$B$10,"")</f>
        <v>0.077</v>
      </c>
      <c r="F15" s="44" t="str">
        <f>IFERROR("Al "&amp;TEXT('0. Supuestos'!$B$14,"0%")&amp;" de las ventas de BEBIDA","")</f>
        <v>Al 22% de las ventas de BEBIDA</v>
      </c>
      <c r="G15" s="46">
        <f>IFERROR(IF(B10="","",('0. Supuestos'!$B$62*'0. Supuestos'!$B$40+(1-'0. Supuestos'!$B$62)*'0. Supuestos'!$B$39)),"")</f>
        <v>0.166</v>
      </c>
      <c r="H15" s="44" t="n"/>
    </row>
    <row r="16">
      <c r="A16" s="44" t="inlineStr">
        <is>
          <t>Consumibles y envases</t>
        </is>
      </c>
      <c r="B16" s="48">
        <f>IFERROR(IF(B10="","",B10*'0. Supuestos'!$B$15),"")</f>
        <v>6770.4</v>
      </c>
      <c r="C16" s="48">
        <f>IFERROR(IF(C10="","",C10*'0. Supuestos'!$B$15),"")</f>
        <v>7447.44</v>
      </c>
      <c r="D16" s="48">
        <f>IFERROR(IF(D10="","",D10*'0. Supuestos'!$B$15),"")</f>
        <v>7894.2864</v>
      </c>
      <c r="E16" s="46">
        <f>IFERROR(B16/$B$10,"")</f>
        <v>0.015</v>
      </c>
      <c r="F16" s="44" t="n"/>
      <c r="G16" s="46">
        <f>IFERROR(IF(B10="","",'0. Supuestos'!$B$41),"")</f>
        <v>0.21</v>
      </c>
      <c r="H16" s="44" t="n"/>
    </row>
    <row r="17">
      <c r="A17" s="44" t="inlineStr">
        <is>
          <t>Comisiones de delivery</t>
        </is>
      </c>
      <c r="B17" s="48">
        <f>IFERROR(IF(B10="","",B10*'0. Supuestos'!$B$16*'0. Supuestos'!$B$17),"")</f>
        <v>0.0</v>
      </c>
      <c r="C17" s="48">
        <f>IFERROR(IF(C10="","",C10*'0. Supuestos'!$B$16*'0. Supuestos'!$B$17),"")</f>
        <v>0.0</v>
      </c>
      <c r="D17" s="48">
        <f>IFERROR(IF(D10="","",D10*'0. Supuestos'!$B$16*'0. Supuestos'!$B$17),"")</f>
        <v>0.0</v>
      </c>
      <c r="E17" s="46">
        <f>IFERROR(B17/$B$10,"")</f>
        <v>0.0</v>
      </c>
      <c r="F17" s="44" t="inlineStr">
        <is>
          <t>Sobre las ventas DEL CANAL. Con 0 % de delivery en Supuestos, esta línea vale cero</t>
        </is>
      </c>
      <c r="G17" s="46">
        <f>IFERROR(IF(B10="","",'0. Supuestos'!$B$41),"")</f>
        <v>0.21</v>
      </c>
      <c r="H17" s="44" t="n"/>
    </row>
    <row r="18">
      <c r="A18" s="44" t="inlineStr">
        <is>
          <t>Comisiones de los medios de pago</t>
        </is>
      </c>
      <c r="B18" s="48">
        <f>IFERROR(IF(B10="","",B10*'0. Supuestos'!$B$18),"")</f>
        <v>3610.88</v>
      </c>
      <c r="C18" s="48">
        <f>IFERROR(IF(C10="","",C10*'0. Supuestos'!$B$18),"")</f>
        <v>3971.9680000000003</v>
      </c>
      <c r="D18" s="48">
        <f>IFERROR(IF(D10="","",D10*'0. Supuestos'!$B$18),"")</f>
        <v>4210.28608</v>
      </c>
      <c r="E18" s="46">
        <f>IFERROR(B18/$B$10,"")</f>
        <v>0.008</v>
      </c>
      <c r="F18" s="44" t="inlineStr">
        <is>
          <t>Las comisiones de los medios de pago están EXENTAS de IVA (art. 20.Uno.18 LIVA): no se deduce nada por ellas</t>
        </is>
      </c>
      <c r="G18" s="46" t="n">
        <v>0</v>
      </c>
      <c r="H18" s="44" t="n"/>
    </row>
    <row r="19">
      <c r="A19" s="44" t="inlineStr">
        <is>
          <t>Varios e imprevistos</t>
        </is>
      </c>
      <c r="B19" s="48">
        <f>IFERROR(IF(B10="","",B10*'0. Supuestos'!$B$28),"")</f>
        <v>9027.2</v>
      </c>
      <c r="C19" s="48">
        <f>IFERROR(IF(C10="","",C10*'0. Supuestos'!$B$28),"")</f>
        <v>9929.92</v>
      </c>
      <c r="D19" s="48">
        <f>IFERROR(IF(D10="","",D10*'0. Supuestos'!$B$28),"")</f>
        <v>10525.7152</v>
      </c>
      <c r="E19" s="46">
        <f>IFERROR(B19/$B$10,"")</f>
        <v>0.02</v>
      </c>
      <c r="F19" s="44" t="str">
        <f>IFERROR("Al "&amp;TEXT('0. Supuestos'!$B$28,"0%")&amp;" de las ventas. Es un coste VARIABLE: sube y baja con la facturación, así que no puede vivir en los costes fijos","")</f>
        <v>Al 2% de las ventas. Es un coste VARIABLE: sube y baja con la facturación, así que no puede vivir en los costes fijos</v>
      </c>
      <c r="G19" s="46">
        <f>IFERROR(IF(B10="","",'0. Supuestos'!$B$41),"")</f>
        <v>0.21</v>
      </c>
      <c r="H19" s="44" t="n"/>
    </row>
    <row r="20">
      <c r="A20" s="41" t="inlineStr">
        <is>
          <t>TOTAL COSTES VARIABLES</t>
        </is>
      </c>
      <c r="B20" s="42">
        <f>IFERROR(IF(B10="","",SUM(B14:B19)),"")</f>
        <v>142178.4</v>
      </c>
      <c r="C20" s="42">
        <f>IFERROR(IF(C10="","",SUM(C14:C19)),"")</f>
        <v>156396.24000000002</v>
      </c>
      <c r="D20" s="42">
        <f>IFERROR(IF(D10="","",SUM(D14:D19)),"")</f>
        <v>165780.0144</v>
      </c>
      <c r="E20" s="43">
        <f>IFERROR(B20/$B$10,"")</f>
        <v>0.315</v>
      </c>
      <c r="F20" s="44" t="n"/>
      <c r="G20" s="44" t="n"/>
      <c r="H20" s="44" t="n"/>
    </row>
    <row r="21">
      <c r="A21" s="41" t="inlineStr">
        <is>
          <t>MARGEN BRUTO</t>
        </is>
      </c>
      <c r="B21" s="42">
        <f>IFERROR(IF(B10="","",B10-B20),"")</f>
        <v>309181.6</v>
      </c>
      <c r="C21" s="42">
        <f>IFERROR(IF(C10="","",C10-C20),"")</f>
        <v>340099.76</v>
      </c>
      <c r="D21" s="42">
        <f>IFERROR(IF(D10="","",D10-D20),"")</f>
        <v>360505.7456</v>
      </c>
      <c r="E21" s="43">
        <f>IFERROR(B21/$B$10,"")</f>
        <v>0.6849999999999999</v>
      </c>
      <c r="F21" s="44" t="n"/>
      <c r="G21" s="44" t="n"/>
      <c r="H21" s="44" t="n"/>
    </row>
    <row r="22">
      <c r="A22" s="41" t="inlineStr">
        <is>
          <t>COSTES FIJOS</t>
        </is>
      </c>
      <c r="B22" s="44" t="n"/>
      <c r="C22" s="44" t="n"/>
      <c r="D22" s="44" t="n"/>
      <c r="E22" s="44" t="n"/>
      <c r="F22" s="44" t="n"/>
      <c r="G22" s="44" t="n"/>
      <c r="H22" s="44" t="n"/>
    </row>
    <row r="23">
      <c r="A23" s="44" t="inlineStr">
        <is>
          <t>Alquiler del local</t>
        </is>
      </c>
      <c r="B23" s="48">
        <f>IFERROR(IF(B10="","",'0. Supuestos'!$B$24*12),"")</f>
        <v>36000.0</v>
      </c>
      <c r="C23" s="48">
        <f>IFERROR(IF(C10="","",B23*(1+'0. Supuestos'!$B$48)),"")</f>
        <v>36000.0</v>
      </c>
      <c r="D23" s="48">
        <f>IFERROR(IF(D10="","",C23*(1+'0. Supuestos'!$B$48)),"")</f>
        <v>36000.0</v>
      </c>
      <c r="E23" s="46">
        <f>IFERROR(B23/$B$10,"")</f>
        <v>0.07975895072669266</v>
      </c>
      <c r="F23" s="44" t="inlineStr">
        <is>
          <t>El importe mensual está en la hoja de Supuestos; aquí se multiplica por doce. La renta de los meses de obra, que es anterior a la apertura, está en la hoja de Inversión y NO se cuenta dos veces</t>
        </is>
      </c>
      <c r="G23" s="46">
        <f>IFERROR(IF(B10="","",'0. Supuestos'!$B$41),"")</f>
        <v>0.21</v>
      </c>
      <c r="H23" s="44" t="n"/>
    </row>
    <row r="24">
      <c r="A24" s="44" t="inlineStr">
        <is>
          <t>Personal (nóminas + Seguridad Social)</t>
        </is>
      </c>
      <c r="B24" s="48">
        <f>IFERROR(IF(B10="","",'5. Personal'!$G$13),"")</f>
        <v>151939.2</v>
      </c>
      <c r="C24" s="48">
        <f>IFERROR(IF(C10="","",'5. Personal'!$B$17),"")</f>
        <v>157939.2</v>
      </c>
      <c r="D24" s="48">
        <f>IFERROR(IF(D10="","",'5. Personal'!$B$18),"")</f>
        <v>163939.2</v>
      </c>
      <c r="E24" s="46">
        <f>IFERROR(B24/$B$10,"")</f>
        <v>0.3366253101736973</v>
      </c>
      <c r="F24" s="44" t="inlineStr">
        <is>
          <t>Sale de la hoja de Personal: es el MISMO número, no una estimación aparte. Los años 2 y 3 suman las INCORPORACIONES declaradas en esa hoja, no un porcentaje de volumen</t>
        </is>
      </c>
      <c r="G24" s="46" t="n">
        <v>0</v>
      </c>
      <c r="H24" s="44" t="n"/>
    </row>
    <row r="25">
      <c r="A25" s="44" t="inlineStr">
        <is>
          <t>Suministros (luz, agua, gas)</t>
        </is>
      </c>
      <c r="B25" s="48">
        <f>IFERROR(IF(B10="","",'0. Supuestos'!$B$26*12),"")</f>
        <v>21600.0</v>
      </c>
      <c r="C25" s="48">
        <f>IFERROR(IF(C10="","",B25*(1+'0. Supuestos'!$B$48)),"")</f>
        <v>21600.0</v>
      </c>
      <c r="D25" s="48">
        <f>IFERROR(IF(D10="","",C25*(1+'0. Supuestos'!$B$48)),"")</f>
        <v>21600.0</v>
      </c>
      <c r="E25" s="46">
        <f>IFERROR(B25/$B$10,"")</f>
        <v>0.0478553704360156</v>
      </c>
      <c r="F25" s="44" t="inlineStr">
        <is>
          <t>Luz y gas van al 21 %; la factura del agua, al 10 %. El libro aplica a toda esta partida el tipo de la columna de al lado (21 %): si el agua pesa mucho en tu local, sepárala en su línea</t>
        </is>
      </c>
      <c r="G25" s="46">
        <f>IFERROR(IF(B10="","",'0. Supuestos'!$B$41),"")</f>
        <v>0.21</v>
      </c>
      <c r="H25" s="44" t="n"/>
    </row>
    <row r="26">
      <c r="A26" s="44" t="inlineStr">
        <is>
          <t>Seguros (RC + multirriesgo)</t>
        </is>
      </c>
      <c r="B26" s="48">
        <f>IFERROR(IF(B10="","",'0. Supuestos'!$B$27),"")</f>
        <v>2000.0</v>
      </c>
      <c r="C26" s="48">
        <f>IFERROR(IF(C10="","",B26*(1+'0. Supuestos'!$B$48)),"")</f>
        <v>2000.0</v>
      </c>
      <c r="D26" s="48">
        <f>IFERROR(IF(D10="","",C26*(1+'0. Supuestos'!$B$48)),"")</f>
        <v>2000.0</v>
      </c>
      <c r="E26" s="46">
        <f>IFERROR(B26/$B$10,"")</f>
        <v>0.004431052818149593</v>
      </c>
      <c r="F26" s="44" t="inlineStr">
        <is>
          <t>Las operaciones de seguro están EXENTAS de IVA (art. 20.Uno.16 LIVA): la prima no lleva IVA deducible</t>
        </is>
      </c>
      <c r="G26" s="46" t="n">
        <v>0</v>
      </c>
      <c r="H26" s="44" t="n"/>
    </row>
    <row r="27">
      <c r="A27" s="44" t="inlineStr">
        <is>
          <t>Gestoría + contabilidad</t>
        </is>
      </c>
      <c r="B27" s="45" t="n">
        <v>1800</v>
      </c>
      <c r="C27" s="48">
        <f>IFERROR(IF(C10="","",B27*(1+'0. Supuestos'!$B$48)),"")</f>
        <v>1800.0</v>
      </c>
      <c r="D27" s="48">
        <f>IFERROR(IF(D10="","",C27*(1+'0. Supuestos'!$B$48)),"")</f>
        <v>1800.0</v>
      </c>
      <c r="E27" s="46">
        <f>IFERROR(B27/$B$10,"")</f>
        <v>0.003987947536334633</v>
      </c>
      <c r="F27" s="44" t="n"/>
      <c r="G27" s="46">
        <f>IFERROR(IF(B10="","",'0. Supuestos'!$B$41),"")</f>
        <v>0.21</v>
      </c>
      <c r="H27" s="44" t="n"/>
    </row>
    <row r="28">
      <c r="A28" s="44" t="inlineStr">
        <is>
          <t>Marketing y publicidad</t>
        </is>
      </c>
      <c r="B28" s="45" t="n">
        <v>6000</v>
      </c>
      <c r="C28" s="48">
        <f>IFERROR(IF(C10="","",B28*(1+'0. Supuestos'!$B$48)),"")</f>
        <v>6000.0</v>
      </c>
      <c r="D28" s="48">
        <f>IFERROR(IF(D10="","",C28*(1+'0. Supuestos'!$B$48)),"")</f>
        <v>6000.0</v>
      </c>
      <c r="E28" s="46">
        <f>IFERROR(B28/$B$10,"")</f>
        <v>0.013293158454448777</v>
      </c>
      <c r="F28" s="44" t="n"/>
      <c r="G28" s="46">
        <f>IFERROR(IF(B10="","",'0. Supuestos'!$B$41),"")</f>
        <v>0.21</v>
      </c>
      <c r="H28" s="44" t="n"/>
    </row>
    <row r="29">
      <c r="A29" s="44" t="inlineStr">
        <is>
          <t>Mantenimiento y reparaciones</t>
        </is>
      </c>
      <c r="B29" s="45" t="n">
        <v>2400</v>
      </c>
      <c r="C29" s="48">
        <f>IFERROR(IF(C10="","",B29*(1+'0. Supuestos'!$B$48)),"")</f>
        <v>2400.0</v>
      </c>
      <c r="D29" s="48">
        <f>IFERROR(IF(D10="","",C29*(1+'0. Supuestos'!$B$48)),"")</f>
        <v>2400.0</v>
      </c>
      <c r="E29" s="46">
        <f>IFERROR(B29/$B$10,"")</f>
        <v>0.005317263381779511</v>
      </c>
      <c r="F29" s="44" t="n"/>
      <c r="G29" s="46">
        <f>IFERROR(IF(B10="","",'0. Supuestos'!$B$41),"")</f>
        <v>0.21</v>
      </c>
      <c r="H29" s="44" t="n"/>
    </row>
    <row r="30">
      <c r="A30" s="44" t="inlineStr">
        <is>
          <t>Software (TPV, reservas, RRSS)</t>
        </is>
      </c>
      <c r="B30" s="45" t="n">
        <v>1800</v>
      </c>
      <c r="C30" s="48">
        <f>IFERROR(IF(C10="","",B30*(1+'0. Supuestos'!$B$48)),"")</f>
        <v>1800.0</v>
      </c>
      <c r="D30" s="48">
        <f>IFERROR(IF(D10="","",C30*(1+'0. Supuestos'!$B$48)),"")</f>
        <v>1800.0</v>
      </c>
      <c r="E30" s="46">
        <f>IFERROR(B30/$B$10,"")</f>
        <v>0.003987947536334633</v>
      </c>
      <c r="F30" s="44" t="n"/>
      <c r="G30" s="46">
        <f>IFERROR(IF(B10="","",'0. Supuestos'!$B$41),"")</f>
        <v>0.21</v>
      </c>
      <c r="H30" s="44" t="n"/>
    </row>
    <row r="31">
      <c r="A31" s="44" t="inlineStr">
        <is>
          <t>Limpieza, lavandería y lencería</t>
        </is>
      </c>
      <c r="B31" s="45" t="n">
        <v>3600</v>
      </c>
      <c r="C31" s="48">
        <f>IFERROR(IF(C10="","",B31*(1+'0. Supuestos'!$B$48)),"")</f>
        <v>3600.0</v>
      </c>
      <c r="D31" s="48">
        <f>IFERROR(IF(D10="","",C31*(1+'0. Supuestos'!$B$48)),"")</f>
        <v>3600.0</v>
      </c>
      <c r="E31" s="46">
        <f>IFERROR(B31/$B$10,"")</f>
        <v>0.007975895072669267</v>
      </c>
      <c r="F31" s="44" t="inlineStr">
        <is>
          <t>Mantelería, paños y uniformes. Pide presupuesto en tu zona: es un importe orientativo y editable</t>
        </is>
      </c>
      <c r="G31" s="46">
        <f>IFERROR(IF(B10="","",'0. Supuestos'!$B$41),"")</f>
        <v>0.21</v>
      </c>
      <c r="H31" s="44" t="n"/>
    </row>
    <row r="32">
      <c r="A32" s="44" t="inlineStr">
        <is>
          <t>Gestión de residuos y de aceite vegetal usado</t>
        </is>
      </c>
      <c r="B32" s="45" t="n">
        <v>1200</v>
      </c>
      <c r="C32" s="48">
        <f>IFERROR(IF(C10="","",B32*(1+'0. Supuestos'!$B$48)),"")</f>
        <v>1200.0</v>
      </c>
      <c r="D32" s="48">
        <f>IFERROR(IF(D10="","",C32*(1+'0. Supuestos'!$B$48)),"")</f>
        <v>1200.0</v>
      </c>
      <c r="E32" s="46">
        <f>IFERROR(B32/$B$10,"")</f>
        <v>0.0026586316908897554</v>
      </c>
      <c r="F32" s="44" t="inlineStr">
        <is>
          <t>Gestor autorizado. Lo pide la inspección y el aceite no puede ir al desagüe</t>
        </is>
      </c>
      <c r="G32" s="46">
        <f>IFERROR(IF(B10="","",'0. Supuestos'!$B$41),"")</f>
        <v>0.21</v>
      </c>
      <c r="H32" s="44" t="n"/>
    </row>
    <row r="33">
      <c r="A33" s="44" t="inlineStr">
        <is>
          <t>Desinsectación, desratización y desinfección (DDD)</t>
        </is>
      </c>
      <c r="B33" s="45" t="n">
        <v>900</v>
      </c>
      <c r="C33" s="48">
        <f>IFERROR(IF(C10="","",B33*(1+'0. Supuestos'!$B$48)),"")</f>
        <v>900.0</v>
      </c>
      <c r="D33" s="48">
        <f>IFERROR(IF(D10="","",C33*(1+'0. Supuestos'!$B$48)),"")</f>
        <v>900.0</v>
      </c>
      <c r="E33" s="46">
        <f>IFERROR(B33/$B$10,"")</f>
        <v>0.0019939737681673167</v>
      </c>
      <c r="F33" s="44" t="inlineStr">
        <is>
          <t>Empresa inscrita en el ROESB; forma parte del plan APPCC</t>
        </is>
      </c>
      <c r="G33" s="46">
        <f>IFERROR(IF(B10="","",'0. Supuestos'!$B$41),"")</f>
        <v>0.21</v>
      </c>
      <c r="H33" s="44" t="n"/>
    </row>
    <row r="34">
      <c r="A34" s="44" t="inlineStr">
        <is>
          <t>Derechos de autor por música ambiental</t>
        </is>
      </c>
      <c r="B34" s="45" t="n">
        <v>900</v>
      </c>
      <c r="C34" s="48">
        <f>IFERROR(IF(C10="","",B34*(1+'0. Supuestos'!$B$48)),"")</f>
        <v>900.0</v>
      </c>
      <c r="D34" s="48">
        <f>IFERROR(IF(D10="","",C34*(1+'0. Supuestos'!$B$48)),"")</f>
        <v>900.0</v>
      </c>
      <c r="E34" s="46">
        <f>IFERROR(B34/$B$10,"")</f>
        <v>0.0019939737681673167</v>
      </c>
      <c r="F34" s="44" t="inlineStr">
        <is>
          <t>SGAE y AGEDI-AIE son dos licencias distintas; el importe depende de los metros y del aforo</t>
        </is>
      </c>
      <c r="G34" s="46">
        <f>IFERROR(IF(B10="","",'0. Supuestos'!$B$41),"")</f>
        <v>0.21</v>
      </c>
      <c r="H34" s="44" t="n"/>
    </row>
    <row r="35">
      <c r="A35" s="44" t="inlineStr">
        <is>
          <t>Prevención de riesgos laborales y vigilancia de la salud</t>
        </is>
      </c>
      <c r="B35" s="45" t="n">
        <v>600</v>
      </c>
      <c r="C35" s="48">
        <f>IFERROR(IF(C10="","",B35*(1+'0. Supuestos'!$B$48)),"")</f>
        <v>600.0</v>
      </c>
      <c r="D35" s="48">
        <f>IFERROR(IF(D10="","",C35*(1+'0. Supuestos'!$B$48)),"")</f>
        <v>600.0</v>
      </c>
      <c r="E35" s="46">
        <f>IFERROR(B35/$B$10,"")</f>
        <v>0.0013293158454448777</v>
      </c>
      <c r="F35" s="44" t="inlineStr">
        <is>
          <t>El plan de prevención es obligatorio; el proveedor externo, no (art. 30.5 de la Ley 31/1995)</t>
        </is>
      </c>
      <c r="G35" s="46">
        <f>IFERROR(IF(B10="","",'0. Supuestos'!$B$41),"")</f>
        <v>0.21</v>
      </c>
      <c r="H35" s="44" t="n"/>
    </row>
    <row r="36">
      <c r="A36" s="44" t="inlineStr">
        <is>
          <t>Comisiones de reservas online</t>
        </is>
      </c>
      <c r="B36" s="45" t="n">
        <v>2400</v>
      </c>
      <c r="C36" s="48">
        <f>IFERROR(IF(C10="","",B36*(1+'0. Supuestos'!$B$48)),"")</f>
        <v>2400.0</v>
      </c>
      <c r="D36" s="48">
        <f>IFERROR(IF(D10="","",C36*(1+'0. Supuestos'!$B$48)),"")</f>
        <v>2400.0</v>
      </c>
      <c r="E36" s="46">
        <f>IFERROR(B36/$B$10,"")</f>
        <v>0.005317263381779511</v>
      </c>
      <c r="F36" s="44" t="inlineStr">
        <is>
          <t>TheFork y similares cobran por comensal sentado: mira la letra pequeña antes de firmar</t>
        </is>
      </c>
      <c r="G36" s="46">
        <f>IFERROR(IF(B10="","",'0. Supuestos'!$B$41),"")</f>
        <v>0.21</v>
      </c>
      <c r="H36" s="44" t="n"/>
    </row>
    <row r="37">
      <c r="A37" s="44" t="inlineStr">
        <is>
          <t>Reposición de menaje, cristalería y vajilla</t>
        </is>
      </c>
      <c r="B37" s="45" t="n">
        <v>2400</v>
      </c>
      <c r="C37" s="48">
        <f>IFERROR(IF(C10="","",B37*(1+'0. Supuestos'!$B$48)),"")</f>
        <v>2400.0</v>
      </c>
      <c r="D37" s="48">
        <f>IFERROR(IF(D10="","",C37*(1+'0. Supuestos'!$B$48)),"")</f>
        <v>2400.0</v>
      </c>
      <c r="E37" s="46">
        <f>IFERROR(B37/$B$10,"")</f>
        <v>0.005317263381779511</v>
      </c>
      <c r="F37" s="44" t="inlineStr">
        <is>
          <t>Roturas del ejercicio. En un casual con barra se rompe más de lo que se presupuesta</t>
        </is>
      </c>
      <c r="G37" s="46">
        <f>IFERROR(IF(B10="","",'0. Supuestos'!$B$41),"")</f>
        <v>0.21</v>
      </c>
      <c r="H37" s="44" t="n"/>
    </row>
    <row r="38">
      <c r="A38" s="44" t="inlineStr">
        <is>
          <t>Amortización del inmovilizado</t>
        </is>
      </c>
      <c r="B38" s="48">
        <f>IFERROR(IF(B10="","",'1. Inversión Inicial'!$B$55),"")</f>
        <v>8761.0</v>
      </c>
      <c r="C38" s="48">
        <f>IFERROR(IF(C10="","",B38),"")</f>
        <v>8761.0</v>
      </c>
      <c r="D38" s="48">
        <f>IFERROR(IF(D10="","",B38),"")</f>
        <v>8761.0</v>
      </c>
      <c r="E38" s="46">
        <f>IFERROR(B38/$B$10,"")</f>
        <v>0.01941022686990429</v>
      </c>
      <c r="F38" s="44" t="inlineStr">
        <is>
          <t>Sale de las bases de amortización de la hoja de Inversión: sólo inmovilizado real. NO sube con el IPC: es una cuota sobre el coste HISTÓRICO del inmovilizado</t>
        </is>
      </c>
      <c r="G38" s="46" t="n">
        <v>0</v>
      </c>
      <c r="H38" s="44" t="n"/>
    </row>
    <row r="39">
      <c r="A39" s="44" t="inlineStr">
        <is>
          <t>Gastos financieros (intereses del préstamo)</t>
        </is>
      </c>
      <c r="B39" s="48">
        <f>IFERROR(IF(B10="","",'7. Financiación'!$B$44),"")</f>
        <v>7680.0</v>
      </c>
      <c r="C39" s="48">
        <f>IFERROR(IF(C10="","",'7. Financiación'!$B$46),"")</f>
        <v>7680.0</v>
      </c>
      <c r="D39" s="48">
        <f>IFERROR(IF(D10="","",'7. Financiación'!$B$48),"")</f>
        <v>6578.975013312804</v>
      </c>
      <c r="E39" s="46">
        <f>IFERROR(B39/$B$10,"")</f>
        <v>0.017015242821694435</v>
      </c>
      <c r="F39" s="44" t="inlineStr">
        <is>
          <t>Sólo los INTERESES son gasto. La devolución del principal va en la hoja de Tesorería</t>
        </is>
      </c>
      <c r="G39" s="46" t="n">
        <v>0</v>
      </c>
      <c r="H39" s="44" t="n"/>
    </row>
    <row r="40">
      <c r="A40" s="41" t="inlineStr">
        <is>
          <t>TOTAL COSTES FIJOS</t>
        </is>
      </c>
      <c r="B40" s="42">
        <f>IFERROR(IF(B10="","",SUM(B23:B39)),"")</f>
        <v>251980.2</v>
      </c>
      <c r="C40" s="42">
        <f>IFERROR(IF(C10="","",SUM(C23:C39)),"")</f>
        <v>257980.2</v>
      </c>
      <c r="D40" s="42">
        <f>IFERROR(IF(D10="","",SUM(D23:D39)),"")</f>
        <v>262879.17501331284</v>
      </c>
      <c r="E40" s="43">
        <f>IFERROR(B40/$B$10,"")</f>
        <v>0.5582687876639489</v>
      </c>
      <c r="F40" s="44" t="n"/>
      <c r="G40" s="44" t="n"/>
      <c r="H40" s="44" t="n"/>
    </row>
    <row r="41">
      <c r="A41" s="44" t="inlineStr">
        <is>
          <t>IVA soportado de los costes variables</t>
        </is>
      </c>
      <c r="B41" s="48">
        <f>IFERROR(IF(B10="","",SUMPRODUCT(B14:B19,G14:G19)),"")</f>
        <v>17888.29952</v>
      </c>
      <c r="C41" s="48">
        <f>IFERROR(IF(C10="","",SUMPRODUCT(C14:C19,G14:G19)),"")</f>
        <v>19677.129472</v>
      </c>
      <c r="D41" s="48">
        <f>IFERROR(IF(D10="","",SUMPRODUCT(D14:D19,G14:G19)),"")</f>
        <v>20857.757240320003</v>
      </c>
      <c r="E41" s="44" t="n"/>
      <c r="F41" s="44" t="inlineStr">
        <is>
          <t>Cada línea a SU tipo, leído de la columna de al lado. Es lo que la hoja de Tesorería paga de más a los proveedores y luego se deduce</t>
        </is>
      </c>
      <c r="G41" s="44" t="n"/>
      <c r="H41" s="44" t="n"/>
    </row>
    <row r="42">
      <c r="A42" s="44" t="inlineStr">
        <is>
          <t>IVA soportado de los costes fijos</t>
        </is>
      </c>
      <c r="B42" s="48">
        <f>IFERROR(IF(B10="","",SUMPRODUCT(B23:B39,G23:G39)),"")</f>
        <v>17136.0</v>
      </c>
      <c r="C42" s="48">
        <f>IFERROR(IF(C10="","",SUMPRODUCT(C23:C39,G23:G39)),"")</f>
        <v>17136.0</v>
      </c>
      <c r="D42" s="48">
        <f>IFERROR(IF(D10="","",SUMPRODUCT(D23:D39,G23:G39)),"")</f>
        <v>17136.0</v>
      </c>
      <c r="E42" s="44" t="n"/>
      <c r="F42" s="44" t="n"/>
      <c r="G42" s="44" t="n"/>
      <c r="H42" s="44" t="n"/>
    </row>
    <row r="43">
      <c r="A43" s="41" t="inlineStr">
        <is>
          <t>RESULTADO ANTES DE IMPUESTOS</t>
        </is>
      </c>
      <c r="B43" s="42">
        <f>IFERROR(IF(B10="","",B21-B40),"")</f>
        <v>57201.399999999965</v>
      </c>
      <c r="C43" s="42">
        <f>IFERROR(IF(C10="","",C21-C40),"")</f>
        <v>82119.56</v>
      </c>
      <c r="D43" s="42">
        <f>IFERROR(IF(D10="","",D21-D40),"")</f>
        <v>97626.57058668719</v>
      </c>
      <c r="E43" s="43">
        <f>IFERROR(B43/$B$10,"")</f>
        <v>0.12673121233605097</v>
      </c>
      <c r="F43" s="44" t="n"/>
      <c r="G43" s="44" t="n"/>
      <c r="H43" s="44" t="n"/>
    </row>
    <row r="44">
      <c r="A44" s="44" t="inlineStr">
        <is>
          <t>Bases negativas pendientes al inicio</t>
        </is>
      </c>
      <c r="B44" s="48">
        <f>IFERROR(IF(B10="","",'0. Supuestos'!$B$42),"")</f>
        <v>0.0</v>
      </c>
      <c r="C44" s="48">
        <f>IFERROR(IF(C10="","",B49),"")</f>
        <v>0.0</v>
      </c>
      <c r="D44" s="48">
        <f>IFERROR(IF(D10="","",C49),"")</f>
        <v>0.0</v>
      </c>
      <c r="E44" s="44" t="n"/>
      <c r="F44" s="44" t="inlineStr">
        <is>
          <t>Art. 26 LIS: las pérdidas de un ejercicio se compensan con los beneficios de los siguientes</t>
        </is>
      </c>
      <c r="G44" s="44" t="n"/>
      <c r="H44" s="44" t="n"/>
    </row>
    <row r="45">
      <c r="A45" s="44" t="inlineStr">
        <is>
          <t>Base imponible (después de compensar)</t>
        </is>
      </c>
      <c r="B45" s="48">
        <f>IFERROR(IF(B10="","",MAX(0,B43-B44)),"")</f>
        <v>57201.399999999965</v>
      </c>
      <c r="C45" s="48">
        <f>IFERROR(IF(C10="","",MAX(0,C43-C44)),"")</f>
        <v>82119.56</v>
      </c>
      <c r="D45" s="48">
        <f>IFERROR(IF(D10="","",MAX(0,D43-D44)),"")</f>
        <v>97626.57058668719</v>
      </c>
      <c r="E45" s="44" t="n"/>
      <c r="F45" s="44" t="n"/>
      <c r="G45" s="44" t="n"/>
      <c r="H45" s="44" t="n"/>
    </row>
    <row r="46">
      <c r="A46" s="44" t="inlineStr">
        <is>
          <t>Ejercicios con base positiva (acumulado)</t>
        </is>
      </c>
      <c r="B46" s="55">
        <f>IFERROR(IF(B10="","",IF(B45&gt;0,1,0)),"")</f>
        <v>1.0</v>
      </c>
      <c r="C46" s="55">
        <f>IFERROR(IF(C10="","",B46+IF(C45&gt;0,1,0)),"")</f>
        <v>2.0</v>
      </c>
      <c r="D46" s="55">
        <f>IFERROR(IF(D10="","",C46+IF(D45&gt;0,1,0)),"")</f>
        <v>3.0</v>
      </c>
      <c r="E46" s="44" t="n"/>
      <c r="F46" s="44" t="n"/>
      <c r="G46" s="44" t="n"/>
      <c r="H46" s="44" t="n"/>
    </row>
    <row r="47">
      <c r="A47" s="44" t="inlineStr">
        <is>
          <t>Tipo de Impuesto de Sociedades aplicado</t>
        </is>
      </c>
      <c r="B47" s="46">
        <f>IFERROR(IF(B10="","",IF(B45&lt;=0,"",IF(B46&lt;=2,'0. Supuestos'!$B$37,'0. Supuestos'!$B$38))),"")</f>
        <v>0.15</v>
      </c>
      <c r="C47" s="46">
        <f>IFERROR(IF(C10="","",IF(C45&lt;=0,"",IF(C46&lt;=2,'0. Supuestos'!$B$37,'0. Supuestos'!$B$38))),"")</f>
        <v>0.15</v>
      </c>
      <c r="D47" s="46">
        <f>IFERROR(IF(D10="","",IF(D45&lt;=0,"",IF(D46&lt;=2,'0. Supuestos'!$B$37,'0. Supuestos'!$B$38))),"")</f>
        <v>0.25</v>
      </c>
      <c r="E47" s="44" t="n"/>
      <c r="F47" s="44" t="inlineStr">
        <is>
          <t>Art. 29.1 LIS: el 15 % de entidad de nueva creación se aplica al PRIMER ejercicio con base positiva y al SIGUIENTE, no al primer año de vida. El libro lo aproxima contando los dos primeros ejercicios con base positiva</t>
        </is>
      </c>
      <c r="G47" s="44" t="n"/>
      <c r="H47" s="44" t="n"/>
    </row>
    <row r="48">
      <c r="A48" s="44" t="inlineStr">
        <is>
          <t>Impuesto de Sociedades</t>
        </is>
      </c>
      <c r="B48" s="48">
        <f>IFERROR(IF(B10="","",IF(B47="",0,B45*B47)),"")</f>
        <v>8580.209999999994</v>
      </c>
      <c r="C48" s="48">
        <f>IFERROR(IF(C10="","",IF(C47="",0,C45*C47)),"")</f>
        <v>12317.934</v>
      </c>
      <c r="D48" s="48">
        <f>IFERROR(IF(D10="","",IF(D47="",0,D45*D47)),"")</f>
        <v>24406.642646671797</v>
      </c>
      <c r="E48" s="44" t="n"/>
      <c r="F48" s="44" t="n"/>
      <c r="G48" s="44" t="n"/>
      <c r="H48" s="44" t="n"/>
    </row>
    <row r="49">
      <c r="A49" s="44" t="inlineStr">
        <is>
          <t>Bases negativas pendientes al cierre</t>
        </is>
      </c>
      <c r="B49" s="48">
        <f>IFERROR(IF(B10="","",MAX(0,B44-B43)),"")</f>
        <v>0.0</v>
      </c>
      <c r="C49" s="48">
        <f>IFERROR(IF(C10="","",MAX(0,C44-C43)),"")</f>
        <v>0.0</v>
      </c>
      <c r="D49" s="48">
        <f>IFERROR(IF(D10="","",MAX(0,D44-D43)),"")</f>
        <v>0.0</v>
      </c>
      <c r="E49" s="44" t="n"/>
      <c r="F49" s="44" t="n"/>
      <c r="G49" s="44" t="n"/>
      <c r="H49" s="44" t="n"/>
    </row>
    <row r="50">
      <c r="A50" s="41" t="inlineStr">
        <is>
          <t>RESULTADO NETO</t>
        </is>
      </c>
      <c r="B50" s="42">
        <f>IFERROR(IF(B10="","",B43-B48),"")</f>
        <v>48621.18999999997</v>
      </c>
      <c r="C50" s="42">
        <f>IFERROR(IF(C10="","",C43-C48),"")</f>
        <v>69801.626</v>
      </c>
      <c r="D50" s="42">
        <f>IFERROR(IF(D10="","",D43-D48),"")</f>
        <v>73219.92794001539</v>
      </c>
      <c r="E50" s="43">
        <f>IFERROR(B50/$B$10,"")</f>
        <v>0.10772153048564333</v>
      </c>
      <c r="F50" s="44" t="n"/>
      <c r="G50" s="44" t="n"/>
      <c r="H50" s="44" t="n"/>
    </row>
    <row r="51">
      <c r="A51" s="41" t="inlineStr">
        <is>
          <t>RATIOS CLAVE</t>
        </is>
      </c>
      <c r="B51" s="44" t="n"/>
      <c r="C51" s="44" t="n"/>
      <c r="D51" s="44" t="n"/>
      <c r="E51" s="44" t="n"/>
      <c r="F51" s="44" t="n"/>
      <c r="G51" s="44" t="n"/>
      <c r="H51" s="44" t="n"/>
    </row>
    <row r="52">
      <c r="A52" s="41" t="inlineStr">
        <is>
          <t>Ratio</t>
        </is>
      </c>
      <c r="B52" s="41" t="inlineStr">
        <is>
          <t>Año 1</t>
        </is>
      </c>
      <c r="C52" s="41" t="inlineStr">
        <is>
          <t>Año 2</t>
        </is>
      </c>
      <c r="D52" s="41" t="inlineStr">
        <is>
          <t>Año 3</t>
        </is>
      </c>
      <c r="E52" s="41" t="inlineStr">
        <is>
          <t>Umbral</t>
        </is>
      </c>
      <c r="F52" s="41" t="inlineStr">
        <is>
          <t>Comentario</t>
        </is>
      </c>
      <c r="G52" s="44" t="n"/>
      <c r="H52" s="44" t="n"/>
    </row>
    <row r="53">
      <c r="A53" s="44" t="inlineStr">
        <is>
          <t>Margen bruto / Ventas</t>
        </is>
      </c>
      <c r="B53" s="46">
        <f>IFERROR(IF(B10="","",B21/B10),"")</f>
        <v>0.6849999999999999</v>
      </c>
      <c r="C53" s="46">
        <f>IFERROR(IF(C10="","",C21/C10),"")</f>
        <v>0.685</v>
      </c>
      <c r="D53" s="46">
        <f>IFERROR(IF(D10="","",D21/D10),"")</f>
        <v>0.685</v>
      </c>
      <c r="E53" s="77" t="n">
        <v>0.65</v>
      </c>
      <c r="F53" s="44" t="inlineStr">
        <is>
          <t>Por debajo, revisa precios de carta y escandallos</t>
        </is>
      </c>
      <c r="G53" s="44" t="n"/>
      <c r="H53" s="44" t="n"/>
    </row>
    <row r="54">
      <c r="A54" s="44" t="inlineStr">
        <is>
          <t>Coste de mercancía (comida + bebida)</t>
        </is>
      </c>
      <c r="B54" s="48">
        <f>IFERROR(IF(B10="","",B14+B15),"")</f>
        <v>122769.92</v>
      </c>
      <c r="C54" s="48">
        <f>IFERROR(IF(C10="","",C14+C15),"")</f>
        <v>135046.912</v>
      </c>
      <c r="D54" s="48">
        <f>IFERROR(IF(D10="","",D14+D15),"")</f>
        <v>143149.72671999998</v>
      </c>
      <c r="E54" s="44" t="n"/>
      <c r="F54" s="44" t="n"/>
      <c r="G54" s="44" t="n"/>
      <c r="H54" s="44" t="n"/>
    </row>
    <row r="55">
      <c r="A55" s="44" t="inlineStr">
        <is>
          <t>Coste de mercancía / Ventas</t>
        </is>
      </c>
      <c r="B55" s="46">
        <f>IFERROR(IF(B10="","",B54/B10),"")</f>
        <v>0.272</v>
      </c>
      <c r="C55" s="46">
        <f>IFERROR(IF(C10="","",C54/C10),"")</f>
        <v>0.272</v>
      </c>
      <c r="D55" s="46">
        <f>IFERROR(IF(D10="","",D54/D10),"")</f>
        <v>0.27199999999999996</v>
      </c>
      <c r="E55" s="77" t="n">
        <v>0.32</v>
      </c>
      <c r="F55" s="44" t="inlineStr">
        <is>
          <t>Techo del propio libro: «Food cost objetivo 28-32 %»</t>
        </is>
      </c>
      <c r="G55" s="44" t="n"/>
      <c r="H55" s="44" t="n"/>
    </row>
    <row r="56">
      <c r="A56" s="44" t="inlineStr">
        <is>
          <t>Coste de personal / Ventas</t>
        </is>
      </c>
      <c r="B56" s="46">
        <f>IFERROR(IF(B10="","",B24/B10),"")</f>
        <v>0.3366253101736973</v>
      </c>
      <c r="C56" s="46">
        <f>IFERROR(IF(C10="","",C24/C10),"")</f>
        <v>0.31810769875286005</v>
      </c>
      <c r="D56" s="46">
        <f>IFERROR(IF(D10="","",D24/D10),"")</f>
        <v>0.3115022530725513</v>
      </c>
      <c r="E56" s="77" t="n">
        <v>0.34</v>
      </c>
      <c r="F56" s="44" t="inlineStr">
        <is>
          <t>Techo MÁS ESTRICTO de los que publica este producto: «el labor cost no debe superar el 34 %». Es el que manda</t>
        </is>
      </c>
      <c r="G56" s="44" t="n"/>
      <c r="H56" s="44" t="n"/>
    </row>
    <row r="57">
      <c r="A57" s="44" t="inlineStr">
        <is>
          <t>Alquiler / Ventas</t>
        </is>
      </c>
      <c r="B57" s="46">
        <f>IFERROR(IF(B10="","",B23/B10),"")</f>
        <v>0.07975895072669266</v>
      </c>
      <c r="C57" s="46">
        <f>IFERROR(IF(C10="","",C23/C10),"")</f>
        <v>0.07250813702426606</v>
      </c>
      <c r="D57" s="46">
        <f>IFERROR(IF(D10="","",D23/D10),"")</f>
        <v>0.06840390285308118</v>
      </c>
      <c r="E57" s="77" t="n">
        <v>0.1</v>
      </c>
      <c r="F57" s="44" t="inlineStr">
        <is>
          <t>Techo del propio libro: «Alquiler: no superar 8-10 % de los ingresos»</t>
        </is>
      </c>
      <c r="G57" s="44" t="n"/>
      <c r="H57" s="44" t="n"/>
    </row>
    <row r="58">
      <c r="A58" s="44" t="inlineStr">
        <is>
          <t>Resultado neto / Ventas</t>
        </is>
      </c>
      <c r="B58" s="46">
        <f>IFERROR(IF(B10="","",B50/B10),"")</f>
        <v>0.10772153048564333</v>
      </c>
      <c r="C58" s="46">
        <f>IFERROR(IF(C10="","",C50/C10),"")</f>
        <v>0.14058849618123812</v>
      </c>
      <c r="D58" s="46">
        <f>IFERROR(IF(D10="","",D50/D10),"")</f>
        <v>0.1391258010477338</v>
      </c>
      <c r="E58" s="77" t="n">
        <v>0.05</v>
      </c>
      <c r="F58" s="44" t="inlineStr">
        <is>
          <t>Suelo del propio libro: «Margen neto medio sector: 5-10 %»</t>
        </is>
      </c>
      <c r="G58" s="44" t="n"/>
      <c r="H58" s="44" t="n"/>
    </row>
    <row r="59">
      <c r="A59" s="44" t="inlineStr">
        <is>
          <t>Punto de equilibrio alcanzado</t>
        </is>
      </c>
      <c r="B59" s="44" t="str">
        <f>IFERROR(IF(B10="","",IF(B10&gt;='3. Punto Equilibrio'!$B$17,"Sí","No")),"")</f>
        <v>Sí</v>
      </c>
      <c r="C59" s="44" t="str">
        <f>IFERROR(IF(C10="","",IF(C10&gt;='3. Punto Equilibrio'!$C$17,"Sí","No")),"")</f>
        <v>Sí</v>
      </c>
      <c r="D59" s="44" t="str">
        <f>IFERROR(IF(D10="","",IF(D10&gt;='3. Punto Equilibrio'!$D$17,"Sí","No")),"")</f>
        <v>Sí</v>
      </c>
      <c r="E59" s="44" t="n"/>
      <c r="F59" s="44" t="inlineStr">
        <is>
          <t>Compara las ventas de CADA año con el umbral de ese mismo año, que calcula la hoja de Punto de Equilibrio con los costes fijos del año</t>
        </is>
      </c>
      <c r="G59" s="44" t="n"/>
      <c r="H59" s="44" t="n"/>
    </row>
    <row r="60">
      <c r="A60" s="44" t="n"/>
      <c r="B60" s="44" t="n"/>
      <c r="C60" s="44" t="n"/>
      <c r="D60" s="44" t="n"/>
      <c r="E60" s="44" t="n"/>
      <c r="F60" s="44" t="n"/>
      <c r="G60" s="44" t="n"/>
      <c r="H60" s="44" t="n"/>
    </row>
    <row r="61" ht="165" customHeight="1">
      <c r="A61" s="63" t="inlineStr">
        <is>
          <t>Todas las cifras van SIN IVA. Las columnas de los años 2 y 3 están en euros del año 1 salvo que subas la actualización de costes en la hoja de Supuestos. La columna «Tipo de IVA de la línea» dice, en las líneas de VENTA, a qué tipo se repercute cada una, y en las de COSTE a qué tipo se compra la partida. La lee la hoja de Tesorería: los seguros y las comisiones de los medios de pago están exentos, y las nóminas, la amortización y los intereses no llevan IVA.</t>
        </is>
      </c>
      <c r="B61" s="44" t="n"/>
      <c r="C61" s="44" t="n"/>
      <c r="D61" s="44" t="n"/>
      <c r="E61" s="44" t="n"/>
      <c r="F61" s="44" t="n"/>
      <c r="G61" s="44" t="n"/>
      <c r="H61" s="44" t="n"/>
    </row>
    <row r="62">
      <c r="A62" s="44" t="inlineStr">
        <is>
          <t>ChefBusiness.co — Plan de Negocio: Bar-Restaurante</t>
        </is>
      </c>
      <c r="B62" s="44" t="n"/>
      <c r="C62" s="44" t="n"/>
      <c r="D62" s="44" t="n"/>
      <c r="E62" s="44" t="n"/>
      <c r="F62" s="44" t="n"/>
      <c r="G62" s="44" t="n"/>
      <c r="H62" s="44" t="n"/>
    </row>
  </sheetData>
  <sheetProtection selectLockedCells="0" selectUnlockedCells="0" sheet="1" objects="0" insertRows="1" insertHyperlinks="1" autoFilter="1" scenarios="0" formatColumns="0" deleteColumns="1" insertColumns="1" pivotTables="1" deleteRows="1" formatCells="1" formatRows="0" sort="0"/>
  <mergeCells count="3">
    <mergeCell ref="A3:D3"/>
    <mergeCell ref="A1:D1"/>
    <mergeCell ref="A2:D2"/>
  </mergeCells>
  <conditionalFormatting sqref="B53:D53">
    <cfRule type="expression" priority="1" dxfId="1" stopIfTrue="1">
      <formula>AND(ISNUMBER(B53),B53&lt;$E$53)</formula>
    </cfRule>
    <cfRule type="expression" priority="2" dxfId="0" stopIfTrue="1">
      <formula>AND(ISNUMBER(B53),B53&gt;=$E$53)</formula>
    </cfRule>
  </conditionalFormatting>
  <conditionalFormatting sqref="B55:D55">
    <cfRule type="expression" priority="3" dxfId="1" stopIfTrue="1">
      <formula>AND(ISNUMBER(B55),B55&gt;$E$55)</formula>
    </cfRule>
    <cfRule type="expression" priority="4" dxfId="0" stopIfTrue="1">
      <formula>AND(ISNUMBER(B55),B55&lt;=$E$55)</formula>
    </cfRule>
  </conditionalFormatting>
  <conditionalFormatting sqref="B56:D56">
    <cfRule type="expression" priority="5" dxfId="1" stopIfTrue="1">
      <formula>AND(ISNUMBER(B56),B56&gt;$E$56)</formula>
    </cfRule>
    <cfRule type="expression" priority="6" dxfId="0" stopIfTrue="1">
      <formula>AND(ISNUMBER(B56),B56&lt;=$E$56)</formula>
    </cfRule>
  </conditionalFormatting>
  <conditionalFormatting sqref="B57:D57">
    <cfRule type="expression" priority="7" dxfId="1" stopIfTrue="1">
      <formula>AND(ISNUMBER(B57),B57&gt;$E$57)</formula>
    </cfRule>
    <cfRule type="expression" priority="8" dxfId="0" stopIfTrue="1">
      <formula>AND(ISNUMBER(B57),B57&lt;=$E$57)</formula>
    </cfRule>
  </conditionalFormatting>
  <conditionalFormatting sqref="B58:D58">
    <cfRule type="expression" priority="9" dxfId="1" stopIfTrue="1">
      <formula>AND(ISNUMBER(B58),B58&lt;$E$58)</formula>
    </cfRule>
    <cfRule type="expression" priority="10" dxfId="0" stopIfTrue="1">
      <formula>AND(ISNUMBER(B58),B58&gt;=$E$58)</formula>
    </cfRule>
  </conditionalFormatting>
  <conditionalFormatting sqref="B59:D59">
    <cfRule type="containsText" priority="11" operator="containsText" dxfId="0" stopIfTrue="1" text="Sí">
      <formula>NOT(ISERROR(SEARCH("Sí",B59)))</formula>
    </cfRule>
    <cfRule type="containsText" priority="12" operator="containsText" dxfId="1" stopIfTrue="1" text="No">
      <formula>NOT(ISERROR(SEARCH("No",B59)))</formula>
    </cfRule>
  </conditionalFormatting>
  <conditionalFormatting sqref="B43:E43">
    <cfRule type="expression" priority="13" dxfId="1" stopIfTrue="1">
      <formula>AND(ISNUMBER(B43),B43&lt;0)</formula>
    </cfRule>
    <cfRule type="expression" priority="14" dxfId="0" stopIfTrue="1">
      <formula>AND(ISNUMBER(B43),B43&gt;0)</formula>
    </cfRule>
  </conditionalFormatting>
  <conditionalFormatting sqref="B50:E50">
    <cfRule type="expression" priority="15" dxfId="1" stopIfTrue="1">
      <formula>AND(ISNUMBER(B50),B50&lt;0)</formula>
    </cfRule>
    <cfRule type="expression" priority="16" dxfId="0" stopIfTrue="1">
      <formula>AND(ISNUMBER(B50),B50&gt;0)</formula>
    </cfRule>
  </conditionalFormatting>
  <conditionalFormatting sqref="B58:E58">
    <cfRule type="expression" priority="17" dxfId="1" stopIfTrue="1">
      <formula>AND(ISNUMBER(B58),B58&lt;0)</formula>
    </cfRule>
    <cfRule type="expression" priority="18" dxfId="0" stopIfTrue="1">
      <formula>AND(ISNUMBER(B58),B58&gt;0)</formula>
    </cfRule>
  </conditionalFormatting>
  <dataValidations count="2">
    <dataValidation sqref="B27 B28 B29 B30 B31 B32 B33 B34 B35 B36 B37" showDropDown="0" showInputMessage="0" showErrorMessage="1" allowBlank="1" errorTitle="Importe no válido" error="Escribe un número mayor o igual que 0." type="decimal" operator="greaterThanOrEqual">
      <formula1>0</formula1>
    </dataValidation>
    <dataValidation sqref="E53 E55 E56 E57 E58"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81"/>
  <sheetViews>
    <sheetView workbookViewId="0">
      <pane ySplit="5" topLeftCell="A6" activePane="bottomLeft" state="frozen"/>
      <selection pane="bottomLeft" activeCell="A1" sqref="A1"/>
    </sheetView>
  </sheetViews>
  <sheetFormatPr baseColWidth="8" defaultRowHeight="15"/>
  <cols>
    <col width="44" customWidth="1" min="1" max="1"/>
    <col width="18" customWidth="1" min="2" max="2"/>
    <col width="36" customWidth="1" min="3" max="3"/>
    <col width="16" customWidth="1" min="4" max="4"/>
    <col width="52" customWidth="1" min="5" max="5"/>
    <col width="14" customWidth="1" min="6" max="6"/>
  </cols>
  <sheetData>
    <row r="1" ht="32" customHeight="1">
      <c r="A1" s="1" t="inlineStr">
        <is>
          <t>ChefBusiness Consultoría Gastronómica</t>
        </is>
      </c>
    </row>
    <row r="2" ht="30" customHeight="1">
      <c r="A2" s="53" t="inlineStr">
        <is>
          <t>Punto de Equilibrio (Break-Even) — Bar-Restaurante</t>
        </is>
      </c>
    </row>
    <row r="3" ht="30" customHeight="1">
      <c r="A3" s="40" t="inlineStr">
        <is>
          <t>Plan de Negocio: Bar-Restaurante / Restaurante Casual — España 2026</t>
        </is>
      </c>
    </row>
    <row r="4"/>
    <row r="5">
      <c r="A5" s="41" t="inlineStr">
        <is>
          <t>Variable</t>
        </is>
      </c>
      <c r="B5" s="41" t="inlineStr">
        <is>
          <t>Año 1</t>
        </is>
      </c>
      <c r="C5" s="41" t="inlineStr">
        <is>
          <t>Año 2</t>
        </is>
      </c>
      <c r="D5" s="41" t="inlineStr">
        <is>
          <t>Año 3</t>
        </is>
      </c>
      <c r="E5" s="41" t="inlineStr">
        <is>
          <t>Notas</t>
        </is>
      </c>
      <c r="F5" s="44" t="n"/>
    </row>
    <row r="6">
      <c r="A6" s="41" t="inlineStr">
        <is>
          <t>DATOS BASE POR AÑO</t>
        </is>
      </c>
      <c r="B6" s="44" t="n"/>
      <c r="C6" s="44" t="n"/>
      <c r="D6" s="44" t="n"/>
      <c r="E6" s="44" t="n"/>
      <c r="F6" s="44" t="n"/>
    </row>
    <row r="7">
      <c r="A7" s="44" t="inlineStr">
        <is>
          <t>Costes fijos anuales</t>
        </is>
      </c>
      <c r="B7" s="56">
        <f>IFERROR(IF('2. P&amp;L 3 Años'!$B$10="","",'2. P&amp;L 3 Años'!$B$40),"")</f>
        <v>251980.2</v>
      </c>
      <c r="C7" s="56">
        <f>IFERROR(IF('2. P&amp;L 3 Años'!$C$10="","",'2. P&amp;L 3 Años'!$C$40),"")</f>
        <v>257980.2</v>
      </c>
      <c r="D7" s="56">
        <f>IFERROR(IF('2. P&amp;L 3 Años'!$D$10="","",'2. P&amp;L 3 Años'!$D$40),"")</f>
        <v>262879.17501331284</v>
      </c>
      <c r="E7" s="44" t="inlineStr">
        <is>
          <t>Los MISMOS costes fijos del P&amp;L. Cada año tiene los suyos: por eso el umbral no puede ser uno solo para los tres</t>
        </is>
      </c>
      <c r="F7" s="44" t="n"/>
    </row>
    <row r="8">
      <c r="A8" s="44" t="inlineStr">
        <is>
          <t>Costes fijos mensuales</t>
        </is>
      </c>
      <c r="B8" s="56">
        <f>IFERROR(IF('2. P&amp;L 3 Años'!$B$10="","",B7/12),"")</f>
        <v>20998.350000000002</v>
      </c>
      <c r="C8" s="56">
        <f>IFERROR(IF('2. P&amp;L 3 Años'!$C$10="","",C7/12),"")</f>
        <v>21498.350000000002</v>
      </c>
      <c r="D8" s="56">
        <f>IFERROR(IF('2. P&amp;L 3 Años'!$D$10="","",D7/12),"")</f>
        <v>21906.59791777607</v>
      </c>
      <c r="E8" s="44" t="n"/>
      <c r="F8" s="44" t="n"/>
    </row>
    <row r="9">
      <c r="A9" s="44" t="inlineStr">
        <is>
          <t>Ticket medio sin IVA</t>
        </is>
      </c>
      <c r="B9" s="56">
        <f>IFERROR(IF('2. P&amp;L 3 Años'!$B$10="","",'2. P&amp;L 3 Años'!$B$8),"")</f>
        <v>18.2</v>
      </c>
      <c r="C9" s="56">
        <f>IFERROR(IF('2. P&amp;L 3 Años'!$C$10="","",'2. P&amp;L 3 Años'!$C$8),"")</f>
        <v>18.2</v>
      </c>
      <c r="D9" s="56">
        <f>IFERROR(IF('2. P&amp;L 3 Años'!$D$10="","",'2. P&amp;L 3 Años'!$D$8),"")</f>
        <v>18.2</v>
      </c>
      <c r="E9" s="44" t="n"/>
      <c r="F9" s="44" t="n"/>
    </row>
    <row r="10">
      <c r="A10" s="44" t="inlineStr">
        <is>
          <t>Coste variable por cubierto</t>
        </is>
      </c>
      <c r="B10" s="56">
        <f>IFERROR(IF('2. P&amp;L 3 Años'!$B$10="","",'2. P&amp;L 3 Años'!$B$20/('2. P&amp;L 3 Años'!$B$7*'2. P&amp;L 3 Años'!$B$9)),"")</f>
        <v>5.733</v>
      </c>
      <c r="C10" s="56">
        <f>IFERROR(IF('2. P&amp;L 3 Años'!$C$10="","",'2. P&amp;L 3 Años'!$C$20/('2. P&amp;L 3 Años'!$C$7*'2. P&amp;L 3 Años'!$C$9)),"")</f>
        <v>5.7330000000000005</v>
      </c>
      <c r="D10" s="56">
        <f>IFERROR(IF('2. P&amp;L 3 Años'!$D$10="","",'2. P&amp;L 3 Años'!$D$20/('2. P&amp;L 3 Años'!$D$7*'2. P&amp;L 3 Años'!$D$9)),"")</f>
        <v>5.733</v>
      </c>
      <c r="E10" s="44" t="inlineStr">
        <is>
          <t>Sale del total de costes variables del P&amp;L, no de una estimación aparte. Incluye los varios e imprevistos, que son un porcentaje de las ventas</t>
        </is>
      </c>
      <c r="F10" s="44" t="n"/>
    </row>
    <row r="11">
      <c r="A11" s="44" t="inlineStr">
        <is>
          <t>Margen de contribución por cubierto</t>
        </is>
      </c>
      <c r="B11" s="56">
        <f>IFERROR(IF('2. P&amp;L 3 Años'!$B$10="","",B9-B10),"")</f>
        <v>12.466999999999999</v>
      </c>
      <c r="C11" s="56">
        <f>IFERROR(IF('2. P&amp;L 3 Años'!$C$10="","",C9-C10),"")</f>
        <v>12.466999999999999</v>
      </c>
      <c r="D11" s="56">
        <f>IFERROR(IF('2. P&amp;L 3 Años'!$D$10="","",D9-D10),"")</f>
        <v>12.466999999999999</v>
      </c>
      <c r="E11" s="44" t="inlineStr">
        <is>
          <t>Ticket menos coste variable unitario</t>
        </is>
      </c>
      <c r="F11" s="44" t="n"/>
    </row>
    <row r="12">
      <c r="A12" s="44" t="inlineStr">
        <is>
          <t>Días de apertura al año</t>
        </is>
      </c>
      <c r="B12" s="55">
        <f>IFERROR(IF('2. P&amp;L 3 Años'!$B$10="","",'2. P&amp;L 3 Años'!$B$9),"")</f>
        <v>310.0</v>
      </c>
      <c r="C12" s="55">
        <f>IFERROR(IF('2. P&amp;L 3 Años'!$C$10="","",'2. P&amp;L 3 Años'!$C$9),"")</f>
        <v>310.0</v>
      </c>
      <c r="D12" s="55">
        <f>IFERROR(IF('2. P&amp;L 3 Años'!$D$10="","",'2. P&amp;L 3 Años'!$D$9),"")</f>
        <v>310.0</v>
      </c>
      <c r="E12" s="44" t="inlineStr">
        <is>
          <t>El mismo calendario que el P&amp;L y que los escenarios</t>
        </is>
      </c>
      <c r="F12" s="44" t="n"/>
    </row>
    <row r="13">
      <c r="A13" s="44" t="inlineStr">
        <is>
          <t>Devolución de principal del año (cuota)</t>
        </is>
      </c>
      <c r="B13" s="56">
        <f>IFERROR(IF('2. P&amp;L 3 Años'!$B$10="","",'7. Financiación'!$B$45),"")</f>
        <v>0.0</v>
      </c>
      <c r="C13" s="56">
        <f>IFERROR(IF('2. P&amp;L 3 Años'!$C$10="","",'7. Financiación'!$B$47),"")</f>
        <v>18350.416444786602</v>
      </c>
      <c r="D13" s="56">
        <f>IFERROR(IF('2. P&amp;L 3 Años'!$D$10="","",'7. Financiación'!$B$49),"")</f>
        <v>19451.4414314738</v>
      </c>
      <c r="E13" s="44" t="inlineStr">
        <is>
          <t>El principal NO es gasto del P&amp;L, pero sale de la caja. Sin él, el umbral de equilibrio se publica por debajo del real</t>
        </is>
      </c>
      <c r="F13" s="44" t="n"/>
    </row>
    <row r="14">
      <c r="A14" s="41" t="inlineStr">
        <is>
          <t>PUNTO DE EQUILIBRIO CONTABLE (incluye amortización)</t>
        </is>
      </c>
      <c r="B14" s="44" t="n"/>
      <c r="C14" s="44" t="n"/>
      <c r="D14" s="44" t="n"/>
      <c r="E14" s="44" t="n"/>
      <c r="F14" s="44" t="n"/>
    </row>
    <row r="15">
      <c r="A15" s="44" t="inlineStr">
        <is>
          <t>Cubiertos necesarios al año</t>
        </is>
      </c>
      <c r="B15" s="55">
        <f>IFERROR(IF('2. P&amp;L 3 Años'!$B$10="","",IF(B11&lt;=0,"",B7/B11)),"")</f>
        <v>20211.775086227644</v>
      </c>
      <c r="C15" s="55">
        <f>IFERROR(IF('2. P&amp;L 3 Años'!$C$10="","",IF(C11&lt;=0,"",C7/C11)),"")</f>
        <v>20693.0456404909</v>
      </c>
      <c r="D15" s="55">
        <f>IFERROR(IF('2. P&amp;L 3 Años'!$D$10="","",IF(D11&lt;=0,"",D7/D11)),"")</f>
        <v>21086.001043820717</v>
      </c>
      <c r="E15" s="44" t="n"/>
      <c r="F15" s="44" t="n"/>
    </row>
    <row r="16">
      <c r="A16" s="44" t="inlineStr">
        <is>
          <t>Cubiertos necesarios al día</t>
        </is>
      </c>
      <c r="B16" s="60">
        <f>IFERROR(IF('2. P&amp;L 3 Años'!$B$10="","",B15/B12),"")</f>
        <v>65.19927447170208</v>
      </c>
      <c r="C16" s="60">
        <f>IFERROR(IF('2. P&amp;L 3 Años'!$C$10="","",C15/C12),"")</f>
        <v>66.7517601306158</v>
      </c>
      <c r="D16" s="60">
        <f>IFERROR(IF('2. P&amp;L 3 Años'!$D$10="","",D15/D12),"")</f>
        <v>68.01935820587329</v>
      </c>
      <c r="E16" s="44" t="n"/>
      <c r="F16" s="44" t="n"/>
    </row>
    <row r="17">
      <c r="A17" s="41" t="inlineStr">
        <is>
          <t>Ingresos necesarios al año</t>
        </is>
      </c>
      <c r="B17" s="42">
        <f>IFERROR(IF('2. P&amp;L 3 Años'!$B$10="","",B15*B9),"")</f>
        <v>367854.30656934314</v>
      </c>
      <c r="C17" s="42">
        <f>IFERROR(IF('2. P&amp;L 3 Años'!$C$10="","",C15*C9),"")</f>
        <v>376613.43065693433</v>
      </c>
      <c r="D17" s="42">
        <f>IFERROR(IF('2. P&amp;L 3 Años'!$D$10="","",D15*D9),"")</f>
        <v>383765.21899753704</v>
      </c>
      <c r="E17" s="44" t="n"/>
      <c r="F17" s="44" t="n"/>
    </row>
    <row r="18">
      <c r="A18" s="41" t="inlineStr">
        <is>
          <t>PUNTO DE EQUILIBRIO DE CAJA (incluye la cuota del préstamo)</t>
        </is>
      </c>
      <c r="B18" s="44" t="n"/>
      <c r="C18" s="44" t="n"/>
      <c r="D18" s="44" t="n"/>
      <c r="E18" s="44" t="n"/>
      <c r="F18" s="44" t="n"/>
    </row>
    <row r="19">
      <c r="A19" s="44" t="inlineStr">
        <is>
          <t>Costes fijos de caja + principal del año</t>
        </is>
      </c>
      <c r="B19" s="56">
        <f>IFERROR(IF('2. P&amp;L 3 Años'!$B$10="","",B7-'2. P&amp;L 3 Años'!$B$38+B13),"")</f>
        <v>243219.2</v>
      </c>
      <c r="C19" s="56">
        <f>IFERROR(IF('2. P&amp;L 3 Años'!$C$10="","",C7-'2. P&amp;L 3 Años'!$C$38+C13),"")</f>
        <v>267569.6164447866</v>
      </c>
      <c r="D19" s="56">
        <f>IFERROR(IF('2. P&amp;L 3 Años'!$D$10="","",D7-'2. P&amp;L 3 Años'!$D$38+D13),"")</f>
        <v>273569.61644478666</v>
      </c>
      <c r="E19" s="44" t="inlineStr">
        <is>
          <t>Los fijos del P&amp;L sin la amortización (que no se paga) y CON la devolución de principal (que sí). Es el umbral que decide si la caja aguanta</t>
        </is>
      </c>
      <c r="F19" s="44" t="n"/>
    </row>
    <row r="20">
      <c r="A20" s="44" t="inlineStr">
        <is>
          <t>Cubiertos necesarios al año (caja)</t>
        </is>
      </c>
      <c r="B20" s="55">
        <f>IFERROR(IF('2. P&amp;L 3 Años'!$B$10="","",IF(B11&lt;=0,"",B19/B11)),"")</f>
        <v>19509.03986524425</v>
      </c>
      <c r="C20" s="55">
        <f>IFERROR(IF('2. P&amp;L 3 Años'!$C$10="","",IF(C11&lt;=0,"",C19/C11)),"")</f>
        <v>21462.229601731502</v>
      </c>
      <c r="D20" s="55">
        <f>IFERROR(IF('2. P&amp;L 3 Años'!$D$10="","",IF(D11&lt;=0,"",D19/D11)),"")</f>
        <v>21943.50015599476</v>
      </c>
      <c r="E20" s="44" t="n"/>
      <c r="F20" s="44" t="n"/>
    </row>
    <row r="21">
      <c r="A21" s="41" t="inlineStr">
        <is>
          <t>Cubiertos necesarios al día (caja)</t>
        </is>
      </c>
      <c r="B21" s="61">
        <f>IFERROR(IF('2. P&amp;L 3 Años'!$B$10="","",B20/B12),"")</f>
        <v>62.93238666207822</v>
      </c>
      <c r="C21" s="61">
        <f>IFERROR(IF('2. P&amp;L 3 Años'!$C$10="","",C20/C12),"")</f>
        <v>69.23299871526291</v>
      </c>
      <c r="D21" s="61">
        <f>IFERROR(IF('2. P&amp;L 3 Años'!$D$10="","",D20/D12),"")</f>
        <v>70.78548437417665</v>
      </c>
      <c r="E21" s="44" t="n"/>
      <c r="F21" s="44" t="n"/>
    </row>
    <row r="22">
      <c r="A22" s="44" t="inlineStr">
        <is>
          <t>Ingresos necesarios al año (caja)</t>
        </is>
      </c>
      <c r="B22" s="48">
        <f>IFERROR(IF('2. P&amp;L 3 Años'!$B$10="","",B20*B9),"")</f>
        <v>355064.52554744534</v>
      </c>
      <c r="C22" s="48">
        <f>IFERROR(IF('2. P&amp;L 3 Años'!$C$10="","",C20*C9),"")</f>
        <v>390612.5787515133</v>
      </c>
      <c r="D22" s="48">
        <f>IFERROR(IF('2. P&amp;L 3 Años'!$D$10="","",D20*D9),"")</f>
        <v>399371.70283910463</v>
      </c>
      <c r="E22" s="44" t="n"/>
      <c r="F22" s="44" t="n"/>
    </row>
    <row r="23">
      <c r="A23" s="41" t="inlineStr">
        <is>
          <t>CONTRASTE CON EL PLAN</t>
        </is>
      </c>
      <c r="B23" s="44" t="n"/>
      <c r="C23" s="44" t="n"/>
      <c r="D23" s="44" t="n"/>
      <c r="E23" s="44" t="n"/>
      <c r="F23" s="44" t="n"/>
    </row>
    <row r="24">
      <c r="A24" s="44" t="inlineStr">
        <is>
          <t>Cubiertos/día previstos en el plan</t>
        </is>
      </c>
      <c r="B24" s="55">
        <f>IFERROR(IF('2. P&amp;L 3 Años'!$B$10="","",'2. P&amp;L 3 Años'!$B$7),"")</f>
        <v>80.0</v>
      </c>
      <c r="C24" s="55">
        <f>IFERROR(IF('2. P&amp;L 3 Años'!$C$10="","",'2. P&amp;L 3 Años'!$C$7),"")</f>
        <v>88.0</v>
      </c>
      <c r="D24" s="55">
        <f>IFERROR(IF('2. P&amp;L 3 Años'!$D$10="","",'2. P&amp;L 3 Años'!$D$7),"")</f>
        <v>93.28</v>
      </c>
      <c r="E24" s="44" t="n"/>
      <c r="F24" s="44" t="n"/>
    </row>
    <row r="25">
      <c r="A25" s="44" t="inlineStr">
        <is>
          <t>Holgura sobre el equilibrio de CAJA (%)</t>
        </is>
      </c>
      <c r="B25" s="46">
        <f>IFERROR(IF('2. P&amp;L 3 Años'!$B$10="","",B24/B21-1),"")</f>
        <v>0.2712055627187324</v>
      </c>
      <c r="C25" s="46">
        <f>IFERROR(IF('2. P&amp;L 3 Años'!$C$10="","",C24/C21-1),"")</f>
        <v>0.2710701779930236</v>
      </c>
      <c r="D25" s="46">
        <f>IFERROR(IF('2. P&amp;L 3 Años'!$D$10="","",D24/D21-1),"")</f>
        <v>0.3177843003364347</v>
      </c>
      <c r="E25" s="44" t="inlineStr">
        <is>
          <t>Cuánto superan tus ventas previstas a las del equilibrio de caja. La caída que aguantas antes de no poder pagar los costes fijos y la cuota es algo menor: con un 25 % de holgura, un 20 %. El mínimo exigible está en la hoja de Supuestos</t>
        </is>
      </c>
      <c r="F25" s="44" t="n"/>
    </row>
    <row r="26">
      <c r="A26" s="44" t="inlineStr">
        <is>
          <t>Rotaciones al día que da el local como máximo</t>
        </is>
      </c>
      <c r="B26" s="62" t="n">
        <v>3</v>
      </c>
      <c r="C26" s="44" t="n"/>
      <c r="D26" s="44" t="n"/>
      <c r="E26" s="44" t="inlineStr">
        <is>
          <t>Servicios completos por plaza y día que puedes llegar a hacer con tu horario. Es el techo físico del local, no un objetivo</t>
        </is>
      </c>
      <c r="F26" s="44" t="n"/>
    </row>
    <row r="27">
      <c r="A27" s="44" t="inlineStr">
        <is>
          <t>Rotaciones al día que exige el equilibrio de caja</t>
        </is>
      </c>
      <c r="B27" s="60">
        <f>IFERROR(IF('2. P&amp;L 3 Años'!$B$10="","",B21/'0. Supuestos'!$B$51),"")</f>
        <v>1.1237926189656826</v>
      </c>
      <c r="C27" s="60">
        <f>IFERROR(IF('2. P&amp;L 3 Años'!$C$10="","",C21/'0. Supuestos'!$B$51),"")</f>
        <v>1.2363035484868377</v>
      </c>
      <c r="D27" s="60">
        <f>IFERROR(IF('2. P&amp;L 3 Años'!$D$10="","",D21/'0. Supuestos'!$B$51),"")</f>
        <v>1.2640265066817258</v>
      </c>
      <c r="E27" s="44" t="inlineStr">
        <is>
          <t>Cubiertos de equilibrio entre las plazas que declara la hoja de Supuestos. Por encima del techo de arriba, el punto de equilibrio está fuera del alcance del local</t>
        </is>
      </c>
      <c r="F27" s="44" t="n"/>
    </row>
    <row r="28">
      <c r="A28" s="41" t="inlineStr">
        <is>
          <t>INTERPRETACIÓN</t>
        </is>
      </c>
      <c r="B28" s="44" t="n"/>
      <c r="C28" s="44" t="n"/>
      <c r="D28" s="44" t="n"/>
      <c r="E28" s="44" t="n"/>
      <c r="F28" s="44" t="n"/>
    </row>
    <row r="29" ht="46" customHeight="1">
      <c r="A29" s="44" t="str">
        <f>IFERROR("Con el ticket medio sin IVA de la fila de arriba necesitas "&amp;TEXT(ROUNDUP(B16,0),"0")&amp;" cubiertos al día durante los "&amp;TEXT(B12,"0")&amp;" días que abres para no perder dinero (equilibrio contable, con la amortización dentro), y "&amp;TEXT(ROUNDUP(B21,0),"0")&amp;" para que la caja aguante (equilibrio de caja: sin la amortización, que no se paga, y con la cuota del préstamo del año"&amp;IF(B13=0,"; este año sólo intereses, porque el préstamo está en carencia","")&amp;"). En las filas «Ingresos necesarios al año» tienes esas mismas cifras en euros.","")</f>
        <v>Con el ticket medio sin IVA de la fila de arriba necesitas 66 cubiertos al día durante los 310 días que abres para no perder dinero (equilibrio contable, con la amortización dentro), y 63 para que la caja aguante (equilibrio de caja: sin la amortización, que no se paga, y con la cuota del préstamo del año; este año sólo intereses, porque el préstamo está en carencia). En las filas «Ingresos necesarios al año» tienes esas mismas cifras en euros.</v>
      </c>
      <c r="B29" s="44" t="n"/>
      <c r="C29" s="44" t="n"/>
      <c r="D29" s="44" t="n"/>
      <c r="E29" s="44" t="n"/>
      <c r="F29" s="44" t="n"/>
    </row>
    <row r="30">
      <c r="A30" s="44" t="n"/>
      <c r="B30" s="44" t="n"/>
      <c r="C30" s="44" t="n"/>
      <c r="D30" s="44" t="n"/>
      <c r="E30" s="44" t="n"/>
      <c r="F30" s="44" t="n"/>
    </row>
    <row r="31">
      <c r="A31" s="41" t="inlineStr">
        <is>
          <t>SENSIBILIDAD DEL PUNTO DE EQUILIBRIO</t>
        </is>
      </c>
      <c r="B31" s="44" t="n"/>
      <c r="C31" s="44" t="n"/>
      <c r="D31" s="44" t="n"/>
      <c r="E31" s="44" t="n"/>
      <c r="F31" s="44" t="n"/>
    </row>
    <row r="32" ht="75" customHeight="1">
      <c r="A32" s="63" t="inlineStr">
        <is>
          <t>Cubiertos/día necesarios para cubrir costes según el ticket medio (columnas) y el coste variable por cubierto (filas). En verde, los que están por debajo de los cubiertos que prevé el plan.</t>
        </is>
      </c>
      <c r="B32" s="44" t="n"/>
      <c r="C32" s="44" t="n"/>
      <c r="D32" s="44" t="n"/>
      <c r="E32" s="44" t="n"/>
      <c r="F32" s="44" t="n"/>
    </row>
    <row r="33">
      <c r="A33" s="44" t="n"/>
      <c r="B33" s="44" t="n"/>
      <c r="C33" s="44" t="n"/>
      <c r="D33" s="44" t="n"/>
      <c r="E33" s="44" t="n"/>
      <c r="F33" s="44" t="n"/>
    </row>
    <row r="34" ht="45" customHeight="1">
      <c r="A34" s="54" t="inlineStr">
        <is>
          <t>Cubiertos/día necesarios: ticket medio sin IVA (columnas) × coste variable por cubierto (filas)</t>
        </is>
      </c>
      <c r="B34" s="64">
        <f>IFERROR($B$9-2,"")</f>
        <v>16.2</v>
      </c>
      <c r="C34" s="64">
        <f>IFERROR(IF($B$9="","",$B$9),"")</f>
        <v>18.2</v>
      </c>
      <c r="D34" s="64">
        <f>IFERROR($B$9+2,"")</f>
        <v>20.2</v>
      </c>
      <c r="E34" s="64">
        <f>IFERROR($B$9+4,"")</f>
        <v>22.2</v>
      </c>
      <c r="F34" s="44" t="n"/>
    </row>
    <row r="35">
      <c r="A35" s="56">
        <f>IFERROR($B$10*0.85,"")</f>
        <v>4.873049999999999</v>
      </c>
      <c r="B35" s="60">
        <f>IFERROR(IF($B$34-$A35&lt;=0,"",$B$7/($B$34-$A35)/$B$12),"")</f>
        <v>71.76153817565273</v>
      </c>
      <c r="C35" s="60">
        <f>IFERROR(IF($C$34-$A35&lt;=0,"",$B$7/($C$34-$A35)/$B$12),"")</f>
        <v>60.99215160548435</v>
      </c>
      <c r="D35" s="60">
        <f>IFERROR(IF($D$34-$A35&lt;=0,"",$B$7/($D$34-$A35)/$B$12),"")</f>
        <v>53.033340282229</v>
      </c>
      <c r="E35" s="60">
        <f>IFERROR(IF($E$34-$A35&lt;=0,"",$B$7/($E$34-$A35)/$B$12),"")</f>
        <v>46.91185435628946</v>
      </c>
      <c r="F35" s="44" t="n"/>
    </row>
    <row r="36">
      <c r="A36" s="56">
        <f>IFERROR($B$10*0.925,"")</f>
        <v>5.303025</v>
      </c>
      <c r="B36" s="60">
        <f>IFERROR(IF($B$34-$A36&lt;=0,"",$B$7/($B$34-$A36)/$B$12),"")</f>
        <v>74.59311917653383</v>
      </c>
      <c r="C36" s="60">
        <f>IFERROR(IF($C$34-$A36&lt;=0,"",$B$7/($C$34-$A36)/$B$12),"")</f>
        <v>63.025581955358504</v>
      </c>
      <c r="D36" s="60">
        <f>IFERROR(IF($D$34-$A36&lt;=0,"",$B$7/($D$34-$A36)/$B$12),"")</f>
        <v>54.56405443646847</v>
      </c>
      <c r="E36" s="60">
        <f>IFERROR(IF($E$34-$A36&lt;=0,"",$B$7/($E$34-$A36)/$B$12),"")</f>
        <v>48.10561386512733</v>
      </c>
      <c r="F36" s="44" t="n"/>
    </row>
    <row r="37">
      <c r="A37" s="56">
        <f>IFERROR($B$10*1.0,"")</f>
        <v>5.733</v>
      </c>
      <c r="B37" s="60">
        <f>IFERROR(IF($B$34-$A37&lt;=0,"",$B$7/($B$34-$A37)/$B$12),"")</f>
        <v>77.65733780822679</v>
      </c>
      <c r="C37" s="60">
        <f>IFERROR(IF($C$34-$A37&lt;=0,"",$B$7/($C$34-$A37)/$B$12),"")</f>
        <v>65.19927447170208</v>
      </c>
      <c r="D37" s="60">
        <f>IFERROR(IF($D$34-$A37&lt;=0,"",$B$7/($D$34-$A37)/$B$12),"")</f>
        <v>56.185757575081894</v>
      </c>
      <c r="E37" s="60">
        <f>IFERROR(IF($E$34-$A37&lt;=0,"",$B$7/($E$34-$A37)/$B$12),"")</f>
        <v>49.36171463160926</v>
      </c>
      <c r="F37" s="44" t="n"/>
    </row>
    <row r="38">
      <c r="A38" s="56">
        <f>IFERROR($B$10*1.075,"")</f>
        <v>6.162974999999999</v>
      </c>
      <c r="B38" s="60">
        <f>IFERROR(IF($B$34-$A38&lt;=0,"",$B$7/($B$34-$A38)/$B$12),"")</f>
        <v>80.98409188367168</v>
      </c>
      <c r="C38" s="60">
        <f>IFERROR(IF($C$34-$A38&lt;=0,"",$B$7/($C$34-$A38)/$B$12),"")</f>
        <v>67.52826008409136</v>
      </c>
      <c r="D38" s="60">
        <f>IFERROR(IF($D$34-$A38&lt;=0,"",$B$7/($D$34-$A38)/$B$12),"")</f>
        <v>57.906811082740795</v>
      </c>
      <c r="E38" s="60">
        <f>IFERROR(IF($E$34-$A38&lt;=0,"",$B$7/($E$34-$A38)/$B$12),"")</f>
        <v>50.68517102384698</v>
      </c>
      <c r="F38" s="44" t="n"/>
    </row>
    <row r="39">
      <c r="A39" s="56">
        <f>IFERROR($B$10*1.15,"")</f>
        <v>6.592949999999999</v>
      </c>
      <c r="B39" s="60">
        <f>IFERROR(IF($B$34-$A39&lt;=0,"",$B$7/($B$34-$A39)/$B$12),"")</f>
        <v>84.60863166515315</v>
      </c>
      <c r="C39" s="60">
        <f>IFERROR(IF($C$34-$A39&lt;=0,"",$B$7/($C$34-$A39)/$B$12),"")</f>
        <v>70.02979696294146</v>
      </c>
      <c r="D39" s="60">
        <f>IFERROR(IF($D$34-$A39&lt;=0,"",$B$7/($D$34-$A39)/$B$12),"")</f>
        <v>59.73663320401627</v>
      </c>
      <c r="E39" s="60">
        <f>IFERROR(IF($E$34-$A39&lt;=0,"",$B$7/($E$34-$A39)/$B$12),"")</f>
        <v>52.08154999431088</v>
      </c>
      <c r="F39" s="44" t="n"/>
    </row>
    <row r="40">
      <c r="A40" s="44" t="n"/>
      <c r="B40" s="44" t="n"/>
      <c r="C40" s="44" t="n"/>
      <c r="D40" s="44" t="n"/>
      <c r="E40" s="44" t="n"/>
      <c r="F40" s="44" t="n"/>
    </row>
    <row r="41">
      <c r="A41" s="44" t="inlineStr">
        <is>
          <t>ChefBusiness.co — Plan de Negocio: Bar-Restaurante</t>
        </is>
      </c>
      <c r="B41" s="44" t="n"/>
      <c r="C41" s="44" t="n"/>
      <c r="D41" s="44" t="n"/>
      <c r="E41" s="44" t="n"/>
      <c r="F41" s="44" t="n"/>
    </row>
    <row r="42">
      <c r="A42" s="44" t="n"/>
      <c r="B42" s="44" t="n"/>
      <c r="C42" s="44" t="n"/>
      <c r="D42" s="44" t="n"/>
      <c r="E42" s="44" t="n"/>
      <c r="F42" s="44" t="n"/>
    </row>
    <row r="43">
      <c r="A43" s="44" t="n"/>
      <c r="B43" s="44" t="n"/>
      <c r="C43" s="44" t="n"/>
      <c r="D43" s="44" t="n"/>
      <c r="E43" s="44" t="n"/>
      <c r="F43" s="44" t="n"/>
    </row>
    <row r="44">
      <c r="A44" s="44" t="n"/>
      <c r="B44" s="44" t="n"/>
      <c r="C44" s="44" t="n"/>
      <c r="D44" s="44" t="n"/>
      <c r="E44" s="44" t="n"/>
      <c r="F44" s="44" t="n"/>
    </row>
    <row r="45">
      <c r="A45" s="44" t="n"/>
      <c r="B45" s="44" t="n"/>
      <c r="C45" s="44" t="n"/>
      <c r="D45" s="44" t="n"/>
      <c r="E45" s="44" t="n"/>
      <c r="F45" s="44" t="n"/>
    </row>
    <row r="46">
      <c r="A46" s="44" t="n"/>
      <c r="B46" s="44" t="n"/>
      <c r="C46" s="44" t="n"/>
      <c r="D46" s="44" t="n"/>
      <c r="E46" s="44" t="n"/>
      <c r="F46" s="44" t="n"/>
    </row>
    <row r="47">
      <c r="A47" s="44" t="n"/>
      <c r="B47" s="44" t="n"/>
      <c r="C47" s="44" t="n"/>
      <c r="D47" s="44" t="n"/>
      <c r="E47" s="44" t="n"/>
      <c r="F47" s="44" t="n"/>
    </row>
    <row r="48">
      <c r="A48" s="44" t="n"/>
      <c r="B48" s="44" t="n"/>
      <c r="C48" s="44" t="n"/>
      <c r="D48" s="44" t="n"/>
      <c r="E48" s="44" t="n"/>
      <c r="F48" s="44" t="n"/>
    </row>
    <row r="49">
      <c r="A49" s="44" t="n"/>
      <c r="B49" s="44" t="n"/>
      <c r="C49" s="44" t="n"/>
      <c r="D49" s="44" t="n"/>
      <c r="E49" s="44" t="n"/>
      <c r="F49" s="44" t="n"/>
    </row>
    <row r="50">
      <c r="A50" s="44" t="n"/>
      <c r="B50" s="44" t="n"/>
      <c r="C50" s="44" t="n"/>
      <c r="D50" s="44" t="n"/>
      <c r="E50" s="44" t="n"/>
      <c r="F50" s="44" t="n"/>
    </row>
    <row r="51">
      <c r="A51" s="44" t="n"/>
      <c r="B51" s="44" t="n"/>
      <c r="C51" s="44" t="n"/>
      <c r="D51" s="44" t="n"/>
      <c r="E51" s="44" t="n"/>
      <c r="F51" s="44" t="n"/>
    </row>
    <row r="52">
      <c r="A52" s="44" t="n"/>
      <c r="B52" s="44" t="n"/>
      <c r="C52" s="44" t="n"/>
      <c r="D52" s="44" t="n"/>
      <c r="E52" s="44" t="n"/>
      <c r="F52" s="44" t="n"/>
    </row>
    <row r="53">
      <c r="A53" s="44" t="n"/>
      <c r="B53" s="44" t="n"/>
      <c r="C53" s="44" t="n"/>
      <c r="D53" s="44" t="n"/>
      <c r="E53" s="44" t="n"/>
      <c r="F53" s="44" t="n"/>
    </row>
    <row r="54">
      <c r="A54" s="44" t="n"/>
      <c r="B54" s="44" t="n"/>
      <c r="C54" s="44" t="n"/>
      <c r="D54" s="44" t="n"/>
      <c r="E54" s="44" t="n"/>
      <c r="F54" s="44" t="n"/>
    </row>
    <row r="55">
      <c r="A55" s="44" t="n"/>
      <c r="B55" s="44" t="n"/>
      <c r="C55" s="44" t="n"/>
      <c r="D55" s="44" t="n"/>
      <c r="E55" s="44" t="n"/>
      <c r="F55" s="44" t="n"/>
    </row>
    <row r="56">
      <c r="A56" s="44" t="n"/>
      <c r="B56" s="44" t="n"/>
      <c r="C56" s="44" t="n"/>
      <c r="D56" s="44" t="n"/>
      <c r="E56" s="44" t="n"/>
      <c r="F56" s="44" t="n"/>
    </row>
    <row r="57">
      <c r="A57" s="44" t="n"/>
      <c r="B57" s="44" t="n"/>
      <c r="C57" s="44" t="n"/>
      <c r="D57" s="44" t="n"/>
      <c r="E57" s="44" t="n"/>
      <c r="F57" s="44" t="n"/>
    </row>
    <row r="58">
      <c r="A58" s="44" t="n"/>
      <c r="B58" s="44" t="n"/>
      <c r="C58" s="44" t="n"/>
      <c r="D58" s="44" t="n"/>
      <c r="E58" s="44" t="n"/>
      <c r="F58" s="44" t="n"/>
    </row>
    <row r="59">
      <c r="A59" s="44" t="n"/>
      <c r="B59" s="44" t="n"/>
      <c r="C59" s="44" t="n"/>
      <c r="D59" s="44" t="n"/>
      <c r="E59" s="44" t="n"/>
      <c r="F59" s="44" t="n"/>
    </row>
    <row r="60">
      <c r="A60" s="44" t="n"/>
      <c r="B60" s="44" t="n"/>
      <c r="C60" s="44" t="n"/>
      <c r="D60" s="44" t="n"/>
      <c r="E60" s="44" t="n"/>
      <c r="F60" s="44" t="n"/>
    </row>
    <row r="61">
      <c r="A61" s="44" t="n"/>
      <c r="B61" s="44" t="n"/>
      <c r="C61" s="44" t="n"/>
      <c r="D61" s="44" t="n"/>
      <c r="E61" s="44" t="n"/>
      <c r="F61" s="44" t="n"/>
    </row>
    <row r="62">
      <c r="A62" s="44" t="n"/>
      <c r="B62" s="44" t="n"/>
      <c r="C62" s="44" t="n"/>
      <c r="D62" s="44" t="n"/>
      <c r="E62" s="44" t="n"/>
      <c r="F62" s="44" t="n"/>
    </row>
    <row r="63">
      <c r="A63" s="44" t="n"/>
      <c r="B63" s="44" t="n"/>
      <c r="C63" s="44" t="n"/>
      <c r="D63" s="44" t="n"/>
      <c r="E63" s="44" t="n"/>
      <c r="F63" s="44" t="n"/>
    </row>
    <row r="64">
      <c r="A64" s="44" t="n"/>
      <c r="B64" s="44" t="n"/>
      <c r="C64" s="44" t="n"/>
      <c r="D64" s="44" t="n"/>
      <c r="E64" s="44" t="n"/>
      <c r="F64" s="44" t="n"/>
    </row>
    <row r="65">
      <c r="A65" s="44" t="n"/>
      <c r="B65" s="44" t="n"/>
      <c r="C65" s="44" t="n"/>
      <c r="D65" s="44" t="n"/>
      <c r="E65" s="44" t="n"/>
      <c r="F65" s="44" t="n"/>
    </row>
    <row r="66">
      <c r="A66" s="44" t="n"/>
      <c r="B66" s="44" t="n"/>
      <c r="C66" s="44" t="n"/>
      <c r="D66" s="44" t="n"/>
      <c r="E66" s="44" t="n"/>
      <c r="F66" s="44" t="n"/>
    </row>
    <row r="67">
      <c r="A67" s="44" t="n"/>
      <c r="B67" s="44" t="n"/>
      <c r="C67" s="44" t="n"/>
      <c r="D67" s="44" t="n"/>
      <c r="E67" s="44" t="n"/>
      <c r="F67" s="44" t="n"/>
    </row>
    <row r="68">
      <c r="A68" s="44" t="n"/>
      <c r="B68" s="44" t="n"/>
      <c r="C68" s="44" t="n"/>
      <c r="D68" s="44" t="n"/>
      <c r="E68" s="44" t="n"/>
      <c r="F68" s="44" t="n"/>
    </row>
    <row r="69">
      <c r="A69" s="44" t="n"/>
      <c r="B69" s="44" t="n"/>
      <c r="C69" s="44" t="n"/>
      <c r="D69" s="44" t="n"/>
      <c r="E69" s="44" t="n"/>
      <c r="F69" s="44" t="n"/>
    </row>
    <row r="70">
      <c r="A70" s="44" t="n"/>
      <c r="B70" s="44" t="n"/>
      <c r="C70" s="44" t="n"/>
      <c r="D70" s="44" t="n"/>
      <c r="E70" s="44" t="n"/>
      <c r="F70" s="44" t="n"/>
    </row>
    <row r="71">
      <c r="A71" s="44" t="n"/>
      <c r="B71" s="44" t="n"/>
      <c r="C71" s="44" t="n"/>
      <c r="D71" s="44" t="n"/>
      <c r="E71" s="44" t="n"/>
      <c r="F71" s="44" t="n"/>
    </row>
    <row r="72">
      <c r="A72" s="44" t="n"/>
      <c r="B72" s="44" t="n"/>
      <c r="C72" s="44" t="n"/>
      <c r="D72" s="44" t="n"/>
      <c r="E72" s="44" t="n"/>
      <c r="F72" s="44" t="n"/>
    </row>
    <row r="73">
      <c r="A73" s="44" t="n"/>
      <c r="B73" s="44" t="n"/>
      <c r="C73" s="44" t="n"/>
      <c r="D73" s="44" t="n"/>
      <c r="E73" s="44" t="n"/>
      <c r="F73" s="44" t="n"/>
    </row>
    <row r="74">
      <c r="A74" s="44" t="n"/>
      <c r="B74" s="44" t="n"/>
      <c r="C74" s="44" t="n"/>
      <c r="D74" s="44" t="n"/>
      <c r="E74" s="44" t="n"/>
      <c r="F74" s="44" t="n"/>
    </row>
    <row r="75">
      <c r="A75" s="44" t="n"/>
      <c r="B75" s="44" t="n"/>
      <c r="C75" s="44" t="n"/>
      <c r="D75" s="44" t="n"/>
      <c r="E75" s="44" t="n"/>
      <c r="F75" s="44" t="n"/>
    </row>
    <row r="76">
      <c r="A76" s="44" t="n"/>
      <c r="B76" s="44" t="n"/>
      <c r="C76" s="44" t="n"/>
      <c r="D76" s="44" t="n"/>
      <c r="E76" s="44" t="n"/>
      <c r="F76" s="44" t="n"/>
    </row>
    <row r="77">
      <c r="A77" s="44" t="n"/>
      <c r="B77" s="44" t="n"/>
      <c r="C77" s="44" t="n"/>
      <c r="D77" s="44" t="n"/>
      <c r="E77" s="44" t="n"/>
      <c r="F77" s="44" t="n"/>
    </row>
    <row r="78">
      <c r="A78" s="44" t="n"/>
      <c r="B78" s="44" t="n"/>
      <c r="C78" s="44" t="n"/>
      <c r="D78" s="44" t="n"/>
      <c r="E78" s="44" t="n"/>
      <c r="F78" s="44" t="n"/>
    </row>
    <row r="79">
      <c r="A79" s="44" t="n"/>
      <c r="B79" s="44" t="n"/>
      <c r="C79" s="44" t="n"/>
      <c r="D79" s="44" t="n"/>
      <c r="E79" s="44" t="n"/>
      <c r="F79" s="44" t="n"/>
    </row>
    <row r="80">
      <c r="A80" s="44" t="n"/>
      <c r="B80" s="44" t="n"/>
      <c r="C80" s="44" t="n"/>
      <c r="D80" s="44" t="n"/>
      <c r="E80" s="44" t="n"/>
      <c r="F80" s="44" t="n"/>
    </row>
    <row r="81">
      <c r="A81" s="44" t="n"/>
      <c r="B81" s="44" t="n"/>
      <c r="C81" s="44" t="n"/>
      <c r="D81" s="44" t="n"/>
      <c r="E81" s="44" t="n"/>
      <c r="F81" s="44" t="n"/>
    </row>
  </sheetData>
  <sheetProtection selectLockedCells="0" selectUnlockedCells="0" sheet="1" objects="0" insertRows="1" insertHyperlinks="1" autoFilter="1" scenarios="0" formatColumns="0" deleteColumns="1" insertColumns="1" pivotTables="1" deleteRows="1" formatCells="1" formatRows="0" sort="0"/>
  <mergeCells count="3">
    <mergeCell ref="A2:C2"/>
    <mergeCell ref="A3:C3"/>
    <mergeCell ref="A1:C1"/>
  </mergeCells>
  <conditionalFormatting sqref="B25:D25">
    <cfRule type="expression" priority="1" dxfId="1" stopIfTrue="1">
      <formula>AND(ISNUMBER(B25),B25&lt;0)</formula>
    </cfRule>
    <cfRule type="expression" priority="2" dxfId="2" stopIfTrue="1">
      <formula>AND(ISNUMBER(B25),B25&gt;=0)</formula>
    </cfRule>
    <cfRule type="expression" priority="3" dxfId="0" stopIfTrue="1">
      <formula>AND(ISNUMBER(B25),B25&gt;='0. Supuestos'!$B$67)</formula>
    </cfRule>
  </conditionalFormatting>
  <conditionalFormatting sqref="B27:D27">
    <cfRule type="expression" priority="4" dxfId="1" stopIfTrue="1">
      <formula>AND(ISNUMBER(B27),B27&gt;$B$26)</formula>
    </cfRule>
    <cfRule type="expression" priority="5" dxfId="0" stopIfTrue="1">
      <formula>AND(ISNUMBER(B27),B27&lt;=$B$26)</formula>
    </cfRule>
  </conditionalFormatting>
  <conditionalFormatting sqref="B35:E39">
    <cfRule type="expression" priority="6" dxfId="1" stopIfTrue="1">
      <formula>AND(ISNUMBER(B35),B35&gt;$B$24)</formula>
    </cfRule>
    <cfRule type="expression" priority="7" dxfId="0" stopIfTrue="1">
      <formula>AND(ISNUMBER(B35),B35&lt;=$B$24)</formula>
    </cfRule>
  </conditionalFormatting>
  <dataValidations count="1">
    <dataValidation sqref="B26" showDropDown="0" showInputMessage="0" showErrorMessage="1" allowBlank="1" errorTitle="Importe no válido" error="Escribe un número mayor o igual que 0." type="decimal" operator="greaterThanOrEqual">
      <formula1>0</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31"/>
  <sheetViews>
    <sheetView workbookViewId="0">
      <pane ySplit="5" topLeftCell="A6" activePane="bottomLeft" state="frozen"/>
      <selection pane="bottomLeft" activeCell="A1" sqref="A1"/>
    </sheetView>
  </sheetViews>
  <sheetFormatPr baseColWidth="8" defaultRowHeight="15"/>
  <cols>
    <col width="40" customWidth="1" min="1" max="1"/>
    <col width="18" customWidth="1" min="2" max="2"/>
    <col width="18" customWidth="1" min="3" max="3"/>
    <col width="18" customWidth="1" min="4" max="4"/>
    <col width="52" customWidth="1" min="5" max="5"/>
  </cols>
  <sheetData>
    <row r="1" ht="32" customHeight="1">
      <c r="A1" s="1" t="inlineStr">
        <is>
          <t>ChefBusiness Consultoría Gastronómica</t>
        </is>
      </c>
    </row>
    <row r="2" ht="26" customHeight="1">
      <c r="A2" s="2" t="inlineStr">
        <is>
          <t>Análisis de Escenarios — Año 1</t>
        </is>
      </c>
    </row>
    <row r="3" ht="30" customHeight="1">
      <c r="A3" s="40" t="inlineStr">
        <is>
          <t>Plan de Negocio: Bar-Restaurante / Restaurante Casual — España 2026</t>
        </is>
      </c>
    </row>
    <row r="4"/>
    <row r="5">
      <c r="A5" s="41" t="inlineStr">
        <is>
          <t>Métrica</t>
        </is>
      </c>
      <c r="B5" s="41" t="inlineStr">
        <is>
          <t>Pesimista</t>
        </is>
      </c>
      <c r="C5" s="41" t="inlineStr">
        <is>
          <t>Realista</t>
        </is>
      </c>
      <c r="D5" s="41" t="inlineStr">
        <is>
          <t>Optimista</t>
        </is>
      </c>
      <c r="E5" s="41" t="inlineStr">
        <is>
          <t>Notas</t>
        </is>
      </c>
      <c r="F5" s="44" t="n"/>
    </row>
    <row r="6">
      <c r="A6" s="44" t="inlineStr">
        <is>
          <t>Cubiertos/día</t>
        </is>
      </c>
      <c r="B6" s="65" t="n">
        <v>58</v>
      </c>
      <c r="C6" s="55">
        <f>IFERROR(IF('2. P&amp;L 3 Años'!$B$7="","",'2. P&amp;L 3 Años'!$B$7),"")</f>
        <v>80.0</v>
      </c>
      <c r="D6" s="65" t="n">
        <v>95</v>
      </c>
      <c r="E6" s="44" t="n"/>
      <c r="F6" s="44" t="n"/>
    </row>
    <row r="7">
      <c r="A7" s="44" t="inlineStr">
        <is>
          <t>Ticket medio sin IVA</t>
        </is>
      </c>
      <c r="B7" s="66" t="n">
        <v>15.9</v>
      </c>
      <c r="C7" s="56">
        <f>IFERROR(IF('2. P&amp;L 3 Años'!$B$8="","",'2. P&amp;L 3 Años'!$B$8),"")</f>
        <v>18.2</v>
      </c>
      <c r="D7" s="66" t="n">
        <v>18.5</v>
      </c>
      <c r="E7" s="44" t="n"/>
      <c r="F7" s="44" t="n"/>
    </row>
    <row r="8">
      <c r="A8" s="44" t="inlineStr">
        <is>
          <t>Días de apertura al año</t>
        </is>
      </c>
      <c r="B8" s="65" t="n">
        <v>300</v>
      </c>
      <c r="C8" s="55">
        <f>IFERROR(IF('2. P&amp;L 3 Años'!$B$9="","",'2. P&amp;L 3 Años'!$B$9),"")</f>
        <v>310.0</v>
      </c>
      <c r="D8" s="65" t="n">
        <v>320</v>
      </c>
      <c r="E8" s="44" t="n"/>
      <c r="F8" s="44" t="n"/>
    </row>
    <row r="9">
      <c r="A9" s="41" t="inlineStr">
        <is>
          <t>INGRESOS ANUALES (sin IVA)</t>
        </is>
      </c>
      <c r="B9" s="42">
        <f>IFERROR(IF(B6*B7*B8=0,"",B6*B7*B8),"")</f>
        <v>276660.0</v>
      </c>
      <c r="C9" s="42">
        <f>IFERROR(IF(C6*C7*C8=0,"",C6*C7*C8),"")</f>
        <v>451360.0</v>
      </c>
      <c r="D9" s="42">
        <f>IFERROR(IF(D6*D7*D8=0,"",D6*D7*D8),"")</f>
        <v>562400.0</v>
      </c>
      <c r="E9" s="44" t="n"/>
      <c r="F9" s="44" t="n"/>
    </row>
    <row r="10">
      <c r="A10" s="44" t="inlineStr">
        <is>
          <t>Coste de mercancía — comida</t>
        </is>
      </c>
      <c r="B10" s="48">
        <f>IFERROR(IF(B9="","",B9*'0. Supuestos'!$B$11*'0. Supuestos'!$B$13),"")</f>
        <v>53948.7</v>
      </c>
      <c r="C10" s="48">
        <f>IFERROR(IF(C9="","",C9*'0. Supuestos'!$B$11*'0. Supuestos'!$B$13),"")</f>
        <v>88015.2</v>
      </c>
      <c r="D10" s="48">
        <f>IFERROR(IF(D9="","",D9*'0. Supuestos'!$B$11*'0. Supuestos'!$B$13),"")</f>
        <v>109668.0</v>
      </c>
      <c r="E10" s="44" t="n"/>
      <c r="F10" s="44" t="n"/>
    </row>
    <row r="11">
      <c r="A11" s="44" t="inlineStr">
        <is>
          <t>Coste de mercancía — bebida</t>
        </is>
      </c>
      <c r="B11" s="48">
        <f>IFERROR(IF(B9="","",B9*'0. Supuestos'!$B$12*'0. Supuestos'!$B$14),"")</f>
        <v>21302.82</v>
      </c>
      <c r="C11" s="48">
        <f>IFERROR(IF(C9="","",C9*'0. Supuestos'!$B$12*'0. Supuestos'!$B$14),"")</f>
        <v>34754.72</v>
      </c>
      <c r="D11" s="48">
        <f>IFERROR(IF(D9="","",D9*'0. Supuestos'!$B$12*'0. Supuestos'!$B$14),"")</f>
        <v>43304.8</v>
      </c>
      <c r="E11" s="44" t="n"/>
      <c r="F11" s="44" t="n"/>
    </row>
    <row r="12">
      <c r="A12" s="44" t="inlineStr">
        <is>
          <t>Consumibles y envases</t>
        </is>
      </c>
      <c r="B12" s="48">
        <f>IFERROR(IF(B9="","",B9*'0. Supuestos'!$B$15),"")</f>
        <v>4149.9</v>
      </c>
      <c r="C12" s="48">
        <f>IFERROR(IF(C9="","",C9*'0. Supuestos'!$B$15),"")</f>
        <v>6770.4</v>
      </c>
      <c r="D12" s="48">
        <f>IFERROR(IF(D9="","",D9*'0. Supuestos'!$B$15),"")</f>
        <v>8436.0</v>
      </c>
      <c r="E12" s="44" t="n"/>
      <c r="F12" s="44" t="n"/>
    </row>
    <row r="13">
      <c r="A13" s="44" t="inlineStr">
        <is>
          <t>Comisiones de delivery</t>
        </is>
      </c>
      <c r="B13" s="48">
        <f>IFERROR(IF(B9="","",B9*'0. Supuestos'!$B$16*'0. Supuestos'!$B$17),"")</f>
        <v>0.0</v>
      </c>
      <c r="C13" s="48">
        <f>IFERROR(IF(C9="","",C9*'0. Supuestos'!$B$16*'0. Supuestos'!$B$17),"")</f>
        <v>0.0</v>
      </c>
      <c r="D13" s="48">
        <f>IFERROR(IF(D9="","",D9*'0. Supuestos'!$B$16*'0. Supuestos'!$B$17),"")</f>
        <v>0.0</v>
      </c>
      <c r="E13" s="44" t="n"/>
      <c r="F13" s="44" t="n"/>
    </row>
    <row r="14">
      <c r="A14" s="44" t="inlineStr">
        <is>
          <t>Comisiones de los medios de pago</t>
        </is>
      </c>
      <c r="B14" s="48">
        <f>IFERROR(IF(B9="","",B9*'0. Supuestos'!$B$18),"")</f>
        <v>2213.28</v>
      </c>
      <c r="C14" s="48">
        <f>IFERROR(IF(C9="","",C9*'0. Supuestos'!$B$18),"")</f>
        <v>3610.88</v>
      </c>
      <c r="D14" s="48">
        <f>IFERROR(IF(D9="","",D9*'0. Supuestos'!$B$18),"")</f>
        <v>4499.2</v>
      </c>
      <c r="E14" s="44" t="n"/>
      <c r="F14" s="44" t="n"/>
    </row>
    <row r="15">
      <c r="A15" s="44" t="inlineStr">
        <is>
          <t>Varios e imprevistos</t>
        </is>
      </c>
      <c r="B15" s="48">
        <f>IFERROR(IF(B9="","",B9*'0. Supuestos'!$B$28),"")</f>
        <v>5533.2</v>
      </c>
      <c r="C15" s="48">
        <f>IFERROR(IF(C9="","",C9*'0. Supuestos'!$B$28),"")</f>
        <v>9027.2</v>
      </c>
      <c r="D15" s="48">
        <f>IFERROR(IF(D9="","",D9*'0. Supuestos'!$B$28),"")</f>
        <v>11248.0</v>
      </c>
      <c r="E15" s="44" t="n"/>
      <c r="F15" s="44" t="n"/>
    </row>
    <row r="16">
      <c r="A16" s="44" t="inlineStr">
        <is>
          <t>TOTAL COSTES VARIABLES</t>
        </is>
      </c>
      <c r="B16" s="48">
        <f>IFERROR(IF(B9="","",SUM(B10:B15)),"")</f>
        <v>87147.89999999998</v>
      </c>
      <c r="C16" s="48">
        <f>IFERROR(IF(C9="","",SUM(C10:C15)),"")</f>
        <v>142178.4</v>
      </c>
      <c r="D16" s="48">
        <f>IFERROR(IF(D9="","",SUM(D10:D15)),"")</f>
        <v>177156.0</v>
      </c>
      <c r="E16" s="44" t="n"/>
      <c r="F16" s="44" t="n"/>
    </row>
    <row r="17">
      <c r="A17" s="44" t="inlineStr">
        <is>
          <t>MARGEN BRUTO</t>
        </is>
      </c>
      <c r="B17" s="48">
        <f>IFERROR(IF(B9="","",B9-B16),"")</f>
        <v>189512.10000000003</v>
      </c>
      <c r="C17" s="48">
        <f>IFERROR(IF(C9="","",C9-C16),"")</f>
        <v>309181.6</v>
      </c>
      <c r="D17" s="48">
        <f>IFERROR(IF(D9="","",D9-D16),"")</f>
        <v>385244.0</v>
      </c>
      <c r="E17" s="44" t="n"/>
      <c r="F17" s="44" t="n"/>
    </row>
    <row r="18">
      <c r="A18" s="44" t="inlineStr">
        <is>
          <t>COSTES FIJOS (los del P&amp;L)</t>
        </is>
      </c>
      <c r="B18" s="48">
        <f>IFERROR(IF(B9="","",'2. P&amp;L 3 Años'!$B$40),"")</f>
        <v>251980.2</v>
      </c>
      <c r="C18" s="48">
        <f>IFERROR(IF(C9="","",'2. P&amp;L 3 Años'!$B$40),"")</f>
        <v>251980.2</v>
      </c>
      <c r="D18" s="48">
        <f>IFERROR(IF(D9="","",'2. P&amp;L 3 Años'!$B$40),"")</f>
        <v>251980.2</v>
      </c>
      <c r="E18" s="44" t="inlineStr">
        <is>
          <t>Los costes fijos no cambian con el escenario: por eso son fijos</t>
        </is>
      </c>
      <c r="F18" s="44" t="n"/>
    </row>
    <row r="19">
      <c r="A19" s="41" t="inlineStr">
        <is>
          <t>RESULTADO ANTES DE IMPUESTOS</t>
        </is>
      </c>
      <c r="B19" s="42">
        <f>IFERROR(IF(B9="","",B17-B18),"")</f>
        <v>-62468.09999999998</v>
      </c>
      <c r="C19" s="42">
        <f>IFERROR(IF(C9="","",C17-C18),"")</f>
        <v>57201.399999999965</v>
      </c>
      <c r="D19" s="42">
        <f>IFERROR(IF(D9="","",D17-D18),"")</f>
        <v>133263.8</v>
      </c>
      <c r="E19" s="44" t="n"/>
      <c r="F19" s="44" t="n"/>
    </row>
    <row r="20">
      <c r="A20" s="44" t="inlineStr">
        <is>
          <t>Impuesto de Sociedades</t>
        </is>
      </c>
      <c r="B20" s="48">
        <f>IFERROR(IF(B9="","",MAX(0,B19-'0. Supuestos'!$B$42)*'0. Supuestos'!$B$37),"")</f>
        <v>0.0</v>
      </c>
      <c r="C20" s="48">
        <f>IFERROR(IF(C9="","",MAX(0,C19-'0. Supuestos'!$B$42)*'0. Supuestos'!$B$37),"")</f>
        <v>8580.209999999994</v>
      </c>
      <c r="D20" s="48">
        <f>IFERROR(IF(D9="","",MAX(0,D19-'0. Supuestos'!$B$42)*'0. Supuestos'!$B$37),"")</f>
        <v>19989.569999999996</v>
      </c>
      <c r="E20" s="44" t="inlineStr">
        <is>
          <t>Al tipo de entidad de nueva creación, compensando las bases negativas anteriores</t>
        </is>
      </c>
      <c r="F20" s="44" t="n"/>
    </row>
    <row r="21">
      <c r="A21" s="41" t="inlineStr">
        <is>
          <t>RESULTADO NETO</t>
        </is>
      </c>
      <c r="B21" s="42">
        <f>IFERROR(IF(B9="","",B19-B20),"")</f>
        <v>-62468.09999999998</v>
      </c>
      <c r="C21" s="42">
        <f>IFERROR(IF(C9="","",C19-C20),"")</f>
        <v>48621.18999999997</v>
      </c>
      <c r="D21" s="42">
        <f>IFERROR(IF(D9="","",D19-D20),"")</f>
        <v>113274.23</v>
      </c>
      <c r="E21" s="44" t="n"/>
      <c r="F21" s="44" t="n"/>
    </row>
    <row r="22">
      <c r="A22" s="44" t="inlineStr">
        <is>
          <t>Cubiertos/día para el equilibrio</t>
        </is>
      </c>
      <c r="B22" s="60">
        <f>IFERROR(IF(B9="","",IF(B7-B16/(B6*B8)&lt;=0,"",B18/(B7-B16/(B6*B8))/B8)),"")</f>
        <v>77.11830326401322</v>
      </c>
      <c r="C22" s="60">
        <f>IFERROR(IF(C9="","",IF(C7-C16/(C6*C8)&lt;=0,"",C18/(C7-C16/(C6*C8))/C8)),"")</f>
        <v>65.19927447170208</v>
      </c>
      <c r="D22" s="60">
        <f>IFERROR(IF(D9="","",IF(D7-D16/(D6*D8)&lt;=0,"",D18/(D7-D16/(D6*D8))/D8)),"")</f>
        <v>62.13755178536201</v>
      </c>
      <c r="E22" s="44" t="n"/>
      <c r="F22" s="44" t="n"/>
    </row>
    <row r="23">
      <c r="A23" s="41" t="inlineStr">
        <is>
          <t>LO QUE CADA ESCENARIO EXIGE</t>
        </is>
      </c>
      <c r="B23" s="44" t="n"/>
      <c r="C23" s="44" t="n"/>
      <c r="D23" s="44" t="n"/>
      <c r="E23" s="44" t="n"/>
      <c r="F23" s="44" t="n"/>
    </row>
    <row r="24">
      <c r="A24" s="44" t="inlineStr">
        <is>
          <t>Coste de personal / Ventas</t>
        </is>
      </c>
      <c r="B24" s="46">
        <f>IFERROR(IF(B9="","",'2. P&amp;L 3 Años'!$B$24/B9),"")</f>
        <v>0.5491910648449361</v>
      </c>
      <c r="C24" s="46">
        <f>IFERROR(IF(C9="","",'2. P&amp;L 3 Años'!$B$24/C9),"")</f>
        <v>0.3366253101736973</v>
      </c>
      <c r="D24" s="46">
        <f>IFERROR(IF(D9="","",'2. P&amp;L 3 Años'!$B$24/D9),"")</f>
        <v>0.27016216216216216</v>
      </c>
      <c r="E24" s="44" t="inlineStr">
        <is>
          <t>La MISMA plantilla en los tres escenarios. Si en el pesimista se dispara, el ajuste hay que hacerlo en la hoja de Personal, no aquí</t>
        </is>
      </c>
      <c r="F24" s="44" t="n"/>
    </row>
    <row r="25">
      <c r="A25" s="44" t="inlineStr">
        <is>
          <t>Cubiertos al año por jornada equivalente</t>
        </is>
      </c>
      <c r="B25" s="55">
        <f>IFERROR(IF(B9="","",B6*B8/'5. Personal'!$C$13),"")</f>
        <v>3222.222222222222</v>
      </c>
      <c r="C25" s="55">
        <f>IFERROR(IF(C9="","",C6*C8/'5. Personal'!$C$13),"")</f>
        <v>4592.592592592592</v>
      </c>
      <c r="D25" s="55">
        <f>IFERROR(IF(D9="","",D6*D8/'5. Personal'!$C$13),"")</f>
        <v>5629.62962962963</v>
      </c>
      <c r="E25" s="44" t="inlineStr">
        <is>
          <t>Cubiertos que tendría que sacar cada jornada completa del cuadro de Personal. En el optimista dice si hace falta contratar</t>
        </is>
      </c>
      <c r="F25" s="44" t="n"/>
    </row>
    <row r="26">
      <c r="A26" s="41" t="inlineStr">
        <is>
          <t>Saldo de caja al cierre del año 1 (estimado, el mismo método en los tres escenarios)</t>
        </is>
      </c>
      <c r="B26" s="42">
        <f>IFERROR(IF(B9="","",'1. Inversión Inicial'!$B$47+B21+'2. P&amp;L 3 Años'!$B$38-'7. Financiación'!$B$45),"")</f>
        <v>7097.7000000000335</v>
      </c>
      <c r="C26" s="42">
        <f>IFERROR(IF(C9="","",'1. Inversión Inicial'!$B$47+C21+'2. P&amp;L 3 Años'!$B$38-'7. Financiación'!$B$45),"")</f>
        <v>118186.98999999999</v>
      </c>
      <c r="D26" s="42">
        <f>IFERROR(IF(D9="","",'1. Inversión Inicial'!$B$47+D21+'2. P&amp;L 3 Años'!$B$38-'7. Financiación'!$B$45),"")</f>
        <v>182840.03</v>
      </c>
      <c r="E26" s="41" t="inlineStr">
        <is>
          <t>Saldo ESTIMADO: fondo de maniobra más el resultado del año, devolviendo la amortización (que no se paga) y restando el principal del préstamo. No incluye el desfase de cobros y pagos ni la liquidación del IVA, así que las tres columnas se pueden comparar entre sí. En rojo, el escenario se queda sin caja</t>
        </is>
      </c>
      <c r="F26" s="44" t="n"/>
    </row>
    <row r="27">
      <c r="A27" s="44" t="inlineStr">
        <is>
          <t>Saldo real del mes 12 de la hoja de Tesorería (sólo realista)</t>
        </is>
      </c>
      <c r="B27" s="44" t="n"/>
      <c r="C27" s="48">
        <f>IFERROR(IF(C9="","",'6. Tesorería 12 meses'!$M$22),"")</f>
        <v>155793.4083604959</v>
      </c>
      <c r="D27" s="44" t="n"/>
      <c r="E27" s="44" t="inlineStr">
        <is>
          <t>El saldo REAL del caso base, con su desfase de cobros y pagos y su liquidación de IVA. Sólo existe para el escenario realista, que es el único con tesorería mensual propia: por eso no está en la fila de arriba, donde se compararía contra dos estimaciones</t>
        </is>
      </c>
      <c r="F27" s="44" t="n"/>
    </row>
    <row r="28">
      <c r="A28" s="44" t="n"/>
      <c r="B28" s="44" t="n"/>
      <c r="C28" s="44" t="n"/>
      <c r="D28" s="44" t="n"/>
      <c r="E28" s="44" t="n"/>
      <c r="F28" s="44" t="n"/>
    </row>
    <row r="29" ht="150" customHeight="1">
      <c r="A29" s="63" t="inlineStr">
        <is>
          <t>La columna «Realista» lee sus tres datos de la hoja de Supuestos, así que reproduce EXACTAMENTE el año 1 del P&amp;L. Los otros dos escenarios usan las mismas tasas de coste: lo único que cambia son los cubiertos, el ticket y los días. Los COSTES FIJOS sí son los mismos en los tres: los varios e imprevistos, que son un porcentaje de las ventas, van arriba con los variables y cada escenario carga los suyos.</t>
        </is>
      </c>
      <c r="B29" s="44" t="n"/>
      <c r="C29" s="44" t="n"/>
      <c r="D29" s="44" t="n"/>
      <c r="E29" s="44" t="n"/>
      <c r="F29" s="44" t="n"/>
    </row>
    <row r="30">
      <c r="A30" s="44" t="inlineStr">
        <is>
          <t>NOTA: El escenario pesimista refleja un arranque lento con menor afluencia. El optimista asume alta ocupación y ticket medio superior. Los costes fijos son constantes en los 3 escenarios.</t>
        </is>
      </c>
      <c r="B30" s="44" t="n"/>
      <c r="C30" s="44" t="n"/>
      <c r="D30" s="44" t="n"/>
      <c r="E30" s="44" t="n"/>
      <c r="F30" s="44" t="n"/>
    </row>
    <row r="31">
      <c r="A31" t="inlineStr">
        <is>
          <t>ChefBusiness.co — Plan de Negocio: Bar-Restaurante</t>
        </is>
      </c>
    </row>
  </sheetData>
  <sheetProtection selectLockedCells="0" selectUnlockedCells="0" sheet="1" objects="0" insertRows="1" insertHyperlinks="1" autoFilter="1" scenarios="0" formatColumns="0" deleteColumns="1" insertColumns="1" pivotTables="1" deleteRows="1" formatCells="1" formatRows="0" sort="0"/>
  <mergeCells count="3">
    <mergeCell ref="A3:D3"/>
    <mergeCell ref="A1:D1"/>
    <mergeCell ref="A2:D2"/>
  </mergeCells>
  <conditionalFormatting sqref="B24:D24">
    <cfRule type="expression" priority="1" dxfId="1" stopIfTrue="1">
      <formula>AND(ISNUMBER(B24),B24&gt;'2. P&amp;L 3 Años'!$E$56)</formula>
    </cfRule>
    <cfRule type="expression" priority="2" dxfId="0" stopIfTrue="1">
      <formula>AND(ISNUMBER(B24),B24&lt;='2. P&amp;L 3 Años'!$E$56)</formula>
    </cfRule>
  </conditionalFormatting>
  <conditionalFormatting sqref="B26:D26">
    <cfRule type="expression" priority="3" dxfId="1" stopIfTrue="1">
      <formula>AND(ISNUMBER(B26),B26&lt;=0)</formula>
    </cfRule>
    <cfRule type="expression" priority="4" dxfId="0" stopIfTrue="1">
      <formula>AND(ISNUMBER(B26),B26&gt;0)</formula>
    </cfRule>
  </conditionalFormatting>
  <conditionalFormatting sqref="B19:D19">
    <cfRule type="expression" priority="5" dxfId="1" stopIfTrue="1">
      <formula>AND(ISNUMBER(B19),B19&lt;0)</formula>
    </cfRule>
    <cfRule type="expression" priority="6" dxfId="0" stopIfTrue="1">
      <formula>AND(ISNUMBER(B19),B19&gt;0)</formula>
    </cfRule>
  </conditionalFormatting>
  <conditionalFormatting sqref="B21:D21">
    <cfRule type="expression" priority="7" dxfId="1" stopIfTrue="1">
      <formula>AND(ISNUMBER(B21),B21&lt;0)</formula>
    </cfRule>
    <cfRule type="expression" priority="8" dxfId="0" stopIfTrue="1">
      <formula>AND(ISNUMBER(B21),B21&gt;0)</formula>
    </cfRule>
  </conditionalFormatting>
  <dataValidations count="3">
    <dataValidation sqref="B7 D7" showDropDown="0" showInputMessage="0" showErrorMessage="1" allowBlank="1" errorTitle="Importe no válido" error="Escribe un número mayor o igual que 0." type="decimal" operator="greaterThanOrEqual">
      <formula1>0</formula1>
    </dataValidation>
    <dataValidation sqref="B8 D8" showDropDown="0" showInputMessage="0" showErrorMessage="1" allowBlank="1" errorTitle="Días fuera de rango" error="Los días van de 1 a 365." type="whole" operator="between">
      <formula1>1</formula1>
      <formula2>365</formula2>
    </dataValidation>
    <dataValidation sqref="B6 D6" showDropDown="0" showInputMessage="0" showErrorMessage="1" allowBlank="1" errorTitle="Recuento no válido" error="Escribe un número ENTERO de 1 en adelante: esta celda es un recuento y varias fórmulas dividen entre ella." type="whole" operator="between">
      <formula1>1</formula1>
      <formula2>100000</formula2>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30"/>
  <sheetViews>
    <sheetView workbookViewId="0">
      <pane ySplit="5" topLeftCell="A6" activePane="bottomLeft" state="frozen"/>
      <selection pane="bottomLeft" activeCell="A1" sqref="A1"/>
    </sheetView>
  </sheetViews>
  <sheetFormatPr baseColWidth="8" defaultRowHeight="15"/>
  <cols>
    <col width="34" customWidth="1" min="1" max="1"/>
    <col width="10" customWidth="1" min="2" max="2"/>
    <col width="18" customWidth="1" min="3" max="3"/>
    <col width="18" customWidth="1" min="4" max="4"/>
    <col width="18" customWidth="1" min="5" max="5"/>
    <col width="18" customWidth="1" min="6" max="6"/>
    <col width="16" customWidth="1" min="7" max="7"/>
    <col width="14" customWidth="1" min="8" max="8"/>
    <col width="14" customWidth="1" min="9" max="9"/>
    <col width="40" customWidth="1" min="10" max="10"/>
  </cols>
  <sheetData>
    <row r="1" ht="32" customHeight="1">
      <c r="A1" s="1" t="inlineStr">
        <is>
          <t>ChefBusiness Consultoría Gastronómica</t>
        </is>
      </c>
    </row>
    <row r="2" ht="26" customHeight="1">
      <c r="A2" s="2" t="inlineStr">
        <is>
          <t>Cuadro de Personal y Coste Laboral</t>
        </is>
      </c>
    </row>
    <row r="3" ht="30" customHeight="1">
      <c r="A3" s="40" t="inlineStr">
        <is>
          <t>Plan de Negocio: Bar-Restaurante / Restaurante Casual — España 2026</t>
        </is>
      </c>
    </row>
    <row r="4"/>
    <row r="5">
      <c r="A5" s="54" t="inlineStr">
        <is>
          <t>Puesto</t>
        </is>
      </c>
      <c r="B5" s="54" t="inlineStr">
        <is>
          <t>Personas</t>
        </is>
      </c>
      <c r="C5" s="54" t="inlineStr">
        <is>
          <t>Jornada</t>
        </is>
      </c>
      <c r="D5" s="54" t="inlineStr">
        <is>
          <t>Bruto mes (€, total del puesto)</t>
        </is>
      </c>
      <c r="E5" s="54" t="inlineStr">
        <is>
          <t>Seg. Social a cargo de la empresa (€)</t>
        </is>
      </c>
      <c r="F5" s="54" t="inlineStr">
        <is>
          <t>Coste mes (€, total del puesto)</t>
        </is>
      </c>
      <c r="G5" s="54" t="inlineStr">
        <is>
          <t>Coste año (€)</t>
        </is>
      </c>
      <c r="H5" s="54" t="inlineStr">
        <is>
          <t>Horas/semana por persona</t>
        </is>
      </c>
      <c r="I5" s="54" t="inlineStr">
        <is>
          <t>Horas/año del puesto</t>
        </is>
      </c>
      <c r="J5" s="54" t="inlineStr">
        <is>
          <t>Notas</t>
        </is>
      </c>
    </row>
    <row r="6">
      <c r="A6" s="44" t="inlineStr">
        <is>
          <t>Gerente / Propietario</t>
        </is>
      </c>
      <c r="B6" s="65" t="n">
        <v>1</v>
      </c>
      <c r="C6" s="68" t="n">
        <v>1</v>
      </c>
      <c r="D6" s="66" t="n">
        <v>1900</v>
      </c>
      <c r="E6" s="56">
        <f>IFERROR(IF(D6="","",D6*'0. Supuestos'!$B$20),"")</f>
        <v>627.0</v>
      </c>
      <c r="F6" s="56">
        <f>IFERROR(IF(D6="","",D6+E6),"")</f>
        <v>2527.0</v>
      </c>
      <c r="G6" s="56">
        <f>IFERROR(IF(D6="","",F6*MAX(12,'0. Supuestos'!$B$21)),"")</f>
        <v>35378.0</v>
      </c>
      <c r="H6" s="60">
        <f>IFERROR(IF(D6="","",C6*$B$20),"")</f>
        <v>40.0</v>
      </c>
      <c r="I6" s="55">
        <f>IFERROR(IF(D6="","",H6*B6*$B$21),"")</f>
        <v>1840.0</v>
      </c>
      <c r="J6" s="44" t="inlineStr">
        <is>
          <t>Trabaja en sala: compras, cierre de caja, proveedores y RRSS</t>
        </is>
      </c>
    </row>
    <row r="7">
      <c r="A7" s="44" t="inlineStr">
        <is>
          <t>Jefe de cocina</t>
        </is>
      </c>
      <c r="B7" s="65" t="n">
        <v>1</v>
      </c>
      <c r="C7" s="68" t="n">
        <v>1</v>
      </c>
      <c r="D7" s="66" t="n">
        <v>1800</v>
      </c>
      <c r="E7" s="56">
        <f>IFERROR(IF(D7="","",D7*'0. Supuestos'!$B$20),"")</f>
        <v>594.0</v>
      </c>
      <c r="F7" s="56">
        <f>IFERROR(IF(D7="","",D7+E7),"")</f>
        <v>2394.0</v>
      </c>
      <c r="G7" s="56">
        <f>IFERROR(IF(D7="","",F7*MAX(12,'0. Supuestos'!$B$21)),"")</f>
        <v>33516.0</v>
      </c>
      <c r="H7" s="60">
        <f>IFERROR(IF(D7="","",C7*$B$20),"")</f>
        <v>40.0</v>
      </c>
      <c r="I7" s="55">
        <f>IFERROR(IF(D7="","",H7*B7*$B$21),"")</f>
        <v>1840.0</v>
      </c>
      <c r="J7" s="44" t="inlineStr">
        <is>
          <t>Escandallos, pedidos y línea caliente</t>
        </is>
      </c>
    </row>
    <row r="8">
      <c r="A8" s="44" t="inlineStr">
        <is>
          <t>Ayudante de cocina</t>
        </is>
      </c>
      <c r="B8" s="65" t="n">
        <v>1</v>
      </c>
      <c r="C8" s="68" t="n">
        <v>1</v>
      </c>
      <c r="D8" s="66" t="n">
        <v>1250</v>
      </c>
      <c r="E8" s="56">
        <f>IFERROR(IF(D8="","",D8*'0. Supuestos'!$B$20),"")</f>
        <v>412.5</v>
      </c>
      <c r="F8" s="56">
        <f>IFERROR(IF(D8="","",D8+E8),"")</f>
        <v>1662.5</v>
      </c>
      <c r="G8" s="56">
        <f>IFERROR(IF(D8="","",F8*MAX(12,'0. Supuestos'!$B$21)),"")</f>
        <v>23275.0</v>
      </c>
      <c r="H8" s="60">
        <f>IFERROR(IF(D8="","",C8*$B$20),"")</f>
        <v>40.0</v>
      </c>
      <c r="I8" s="55">
        <f>IFERROR(IF(D8="","",H8*B8*$B$21),"")</f>
        <v>1840.0</v>
      </c>
      <c r="J8" s="44" t="inlineStr">
        <is>
          <t>Mise en place, fríos y limpieza de cocina. Por encima del SMI de jornada completa</t>
        </is>
      </c>
    </row>
    <row r="9">
      <c r="A9" s="44" t="inlineStr">
        <is>
          <t>Camarero/a de barra y sala</t>
        </is>
      </c>
      <c r="B9" s="65" t="n">
        <v>1</v>
      </c>
      <c r="C9" s="68" t="n">
        <v>1</v>
      </c>
      <c r="D9" s="66" t="n">
        <v>1300</v>
      </c>
      <c r="E9" s="56">
        <f>IFERROR(IF(D9="","",D9*'0. Supuestos'!$B$20),"")</f>
        <v>429.0</v>
      </c>
      <c r="F9" s="56">
        <f>IFERROR(IF(D9="","",D9+E9),"")</f>
        <v>1729.0</v>
      </c>
      <c r="G9" s="56">
        <f>IFERROR(IF(D9="","",F9*MAX(12,'0. Supuestos'!$B$21)),"")</f>
        <v>24206.0</v>
      </c>
      <c r="H9" s="60">
        <f>IFERROR(IF(D9="","",C9*$B$20),"")</f>
        <v>40.0</v>
      </c>
      <c r="I9" s="55">
        <f>IFERROR(IF(D9="","",H9*B9*$B$21),"")</f>
        <v>1840.0</v>
      </c>
      <c r="J9" s="44" t="inlineStr">
        <is>
          <t>Jornada completa, con el servicio de mediodía y el de noche</t>
        </is>
      </c>
    </row>
    <row r="10">
      <c r="A10" s="44" t="inlineStr">
        <is>
          <t>Camarero/a a tiempo parcial</t>
        </is>
      </c>
      <c r="B10" s="65" t="n">
        <v>1</v>
      </c>
      <c r="C10" s="68" t="n">
        <v>0.75</v>
      </c>
      <c r="D10" s="66" t="n">
        <v>1000</v>
      </c>
      <c r="E10" s="56">
        <f>IFERROR(IF(D10="","",D10*'0. Supuestos'!$B$20),"")</f>
        <v>330.0</v>
      </c>
      <c r="F10" s="56">
        <f>IFERROR(IF(D10="","",D10+E10),"")</f>
        <v>1330.0</v>
      </c>
      <c r="G10" s="56">
        <f>IFERROR(IF(D10="","",F10*MAX(12,'0. Supuestos'!$B$21)),"")</f>
        <v>18620.0</v>
      </c>
      <c r="H10" s="60">
        <f>IFERROR(IF(D10="","",C10*$B$20),"")</f>
        <v>30.0</v>
      </c>
      <c r="I10" s="55">
        <f>IFERROR(IF(D10="","",H10*B10*$B$21),"")</f>
        <v>1380.0</v>
      </c>
      <c r="J10" s="44" t="inlineStr">
        <is>
          <t>Refuerzo de los dos servicios fuertes, 30 horas semanales</t>
        </is>
      </c>
    </row>
    <row r="11">
      <c r="A11" s="44" t="inlineStr">
        <is>
          <t>Extra de fin de semana</t>
        </is>
      </c>
      <c r="B11" s="65" t="n">
        <v>1</v>
      </c>
      <c r="C11" s="68" t="n">
        <v>0.5</v>
      </c>
      <c r="D11" s="66" t="n">
        <v>650</v>
      </c>
      <c r="E11" s="56">
        <f>IFERROR(IF(D11="","",D11*'0. Supuestos'!$B$20),"")</f>
        <v>214.5</v>
      </c>
      <c r="F11" s="56">
        <f>IFERROR(IF(D11="","",D11+E11),"")</f>
        <v>864.5</v>
      </c>
      <c r="G11" s="56">
        <f>IFERROR(IF(D11="","",F11*MAX(12,'0. Supuestos'!$B$21)),"")</f>
        <v>12103.0</v>
      </c>
      <c r="H11" s="60">
        <f>IFERROR(IF(D11="","",C11*$B$20),"")</f>
        <v>20.0</v>
      </c>
      <c r="I11" s="55">
        <f>IFERROR(IF(D11="","",H11*B11*$B$21),"")</f>
        <v>920.0</v>
      </c>
      <c r="J11" s="44" t="inlineStr">
        <is>
          <t>Viernes, sábado y domingo, 20 horas semanales</t>
        </is>
      </c>
    </row>
    <row r="12">
      <c r="A12" s="44" t="inlineStr">
        <is>
          <t>Suplencias de vacaciones y descansos</t>
        </is>
      </c>
      <c r="B12" s="65" t="n">
        <v>1</v>
      </c>
      <c r="C12" s="68" t="n">
        <v>0.15</v>
      </c>
      <c r="D12" s="66" t="n">
        <v>260</v>
      </c>
      <c r="E12" s="56">
        <f>IFERROR(IF(D12="","",D12*'0. Supuestos'!$B$20),"")</f>
        <v>85.8</v>
      </c>
      <c r="F12" s="56">
        <f>IFERROR(IF(D12="","",D12+E12),"")</f>
        <v>345.8</v>
      </c>
      <c r="G12" s="56">
        <f>IFERROR(IF(D12="","",F12*MAX(12,'0. Supuestos'!$B$21)),"")</f>
        <v>4841.2</v>
      </c>
      <c r="H12" s="60">
        <f>IFERROR(IF(D12="","",C12*$B$20),"")</f>
        <v>6.0</v>
      </c>
      <c r="I12" s="55">
        <f>IFERROR(IF(D12="","",H12*B12*$B$21),"")</f>
        <v>276.0</v>
      </c>
      <c r="J12" s="44" t="inlineStr">
        <is>
          <t>Cobertura de los 30 días de vacaciones (art. 38 ET) y del descanso semanal de los seis puestos. Equivale a una jornada del 15 %</t>
        </is>
      </c>
    </row>
    <row r="13">
      <c r="A13" s="41" t="inlineStr">
        <is>
          <t>TOTAL PLANTILLA</t>
        </is>
      </c>
      <c r="B13" s="69">
        <f>IFERROR(IF(COUNT(D6:D12)=0,"",SUM(B6:B12)),"")</f>
        <v>7.0</v>
      </c>
      <c r="C13" s="70">
        <f>IFERROR(IF(COUNT(D6:D12)=0,"",SUM(C6:C12)),"")</f>
        <v>5.4</v>
      </c>
      <c r="D13" s="64">
        <f>IFERROR(IF(COUNT(D6:D12)=0,"",SUM(D6:D12)),"")</f>
        <v>8160.0</v>
      </c>
      <c r="E13" s="64">
        <f>IFERROR(IF(COUNT(D6:D12)=0,"",SUM(E6:E12)),"")</f>
        <v>2692.8</v>
      </c>
      <c r="F13" s="64">
        <f>IFERROR(IF(COUNT(D6:D12)=0,"",SUM(F6:F12)),"")</f>
        <v>10852.8</v>
      </c>
      <c r="G13" s="64">
        <f>IFERROR(IF(COUNT(D6:D12)=0,"",SUM(G6:G12)),"")</f>
        <v>151939.2</v>
      </c>
      <c r="H13" s="44" t="n"/>
      <c r="I13" s="69">
        <f>IFERROR(IF(COUNT(D6:D12)=0,"",SUM(I6:I12)),"")</f>
        <v>9936.0</v>
      </c>
      <c r="J13" s="44" t="n"/>
    </row>
    <row r="14">
      <c r="A14" s="41" t="inlineStr">
        <is>
          <t>CRECIMIENTO DE LA PLANTILLA (coste escalonado)</t>
        </is>
      </c>
      <c r="B14" s="44" t="n"/>
      <c r="C14" s="44" t="n"/>
      <c r="D14" s="44" t="n"/>
      <c r="E14" s="44" t="n"/>
      <c r="F14" s="44" t="n"/>
      <c r="G14" s="44" t="n"/>
      <c r="H14" s="44" t="n"/>
      <c r="I14" s="44" t="n"/>
      <c r="J14" s="44" t="n"/>
    </row>
    <row r="15">
      <c r="A15" s="44" t="inlineStr">
        <is>
          <t>Coste anual de las incorporaciones del año 2 (€)</t>
        </is>
      </c>
      <c r="B15" s="45" t="n">
        <v>6000</v>
      </c>
      <c r="C15" s="44" t="n"/>
      <c r="D15" s="44" t="n"/>
      <c r="E15" s="44" t="n"/>
      <c r="F15" s="44" t="n"/>
      <c r="G15" s="44" t="n"/>
      <c r="H15" s="44" t="n"/>
      <c r="I15" s="44" t="n"/>
      <c r="J15" s="44" t="inlineStr">
        <is>
          <t>Coste ANUAL completo (bruto + Seguridad Social × pagas) de lo que se contrate ese año. El P&amp;L lo suma al coste del año anterior: la plantilla no crece con un porcentaje, crece con personas</t>
        </is>
      </c>
    </row>
    <row r="16">
      <c r="A16" s="44" t="inlineStr">
        <is>
          <t>Coste anual de las incorporaciones del año 3 (€)</t>
        </is>
      </c>
      <c r="B16" s="45" t="n">
        <v>6000</v>
      </c>
      <c r="C16" s="44" t="n"/>
      <c r="D16" s="44" t="n"/>
      <c r="E16" s="44" t="n"/>
      <c r="F16" s="44" t="n"/>
      <c r="G16" s="44" t="n"/>
      <c r="H16" s="44" t="n"/>
      <c r="I16" s="44" t="n"/>
      <c r="J16" s="44" t="inlineStr">
        <is>
          <t>Coste ANUAL completo (bruto + Seguridad Social × pagas) de lo que se contrate ese año. El P&amp;L lo suma al coste del año anterior: la plantilla no crece con un porcentaje, crece con personas</t>
        </is>
      </c>
    </row>
    <row r="17">
      <c r="A17" s="44" t="inlineStr">
        <is>
          <t>Coste de personal del año 2</t>
        </is>
      </c>
      <c r="B17" s="48">
        <f>IFERROR(IF(G13="","",G13*(1+'0. Supuestos'!$B$48)+B15),"")</f>
        <v>157939.2</v>
      </c>
      <c r="C17" s="44" t="n"/>
      <c r="D17" s="44" t="n"/>
      <c r="E17" s="44" t="n"/>
      <c r="F17" s="44" t="n"/>
      <c r="G17" s="44" t="n"/>
      <c r="H17" s="44" t="n"/>
      <c r="I17" s="44" t="n"/>
      <c r="J17" s="44" t="n"/>
    </row>
    <row r="18">
      <c r="A18" s="44" t="inlineStr">
        <is>
          <t>Coste de personal del año 3</t>
        </is>
      </c>
      <c r="B18" s="48">
        <f>IFERROR(IF(B17="","",B17*(1+'0. Supuestos'!$B$48)+B16),"")</f>
        <v>163939.2</v>
      </c>
      <c r="C18" s="44" t="n"/>
      <c r="D18" s="44" t="n"/>
      <c r="E18" s="44" t="n"/>
      <c r="F18" s="44" t="n"/>
      <c r="G18" s="44" t="n"/>
      <c r="H18" s="44" t="n"/>
      <c r="I18" s="44" t="n"/>
      <c r="J18" s="44" t="n"/>
    </row>
    <row r="19">
      <c r="A19" s="41" t="inlineStr">
        <is>
          <t>COBERTURA POR HORAS DE SERVICIO</t>
        </is>
      </c>
      <c r="B19" s="44" t="n"/>
      <c r="C19" s="44" t="n"/>
      <c r="D19" s="44" t="n"/>
      <c r="E19" s="44" t="n"/>
      <c r="F19" s="44" t="n"/>
      <c r="G19" s="44" t="n"/>
      <c r="H19" s="44" t="n"/>
      <c r="I19" s="44" t="n"/>
      <c r="J19" s="44" t="n"/>
    </row>
    <row r="20">
      <c r="A20" s="44" t="inlineStr">
        <is>
          <t>Jornada completa del convenio (horas/semana)</t>
        </is>
      </c>
      <c r="B20" s="65" t="n">
        <v>40</v>
      </c>
      <c r="C20" s="44" t="n"/>
      <c r="D20" s="44" t="n"/>
      <c r="E20" s="44" t="n"/>
      <c r="F20" s="44" t="n"/>
      <c r="G20" s="44" t="n"/>
      <c r="H20" s="44" t="n"/>
      <c r="I20" s="44" t="n"/>
      <c r="J20" s="44" t="inlineStr">
        <is>
          <t>Art. 34.1 del Estatuto de los Trabajadores; tu convenio provincial puede fijar menos</t>
        </is>
      </c>
    </row>
    <row r="21">
      <c r="A21" s="44" t="inlineStr">
        <is>
          <t>Semanas trabajadas al año por persona</t>
        </is>
      </c>
      <c r="B21" s="65" t="n">
        <v>46</v>
      </c>
      <c r="C21" s="44" t="n"/>
      <c r="D21" s="44" t="n"/>
      <c r="E21" s="44" t="n"/>
      <c r="F21" s="44" t="n"/>
      <c r="G21" s="44" t="n"/>
      <c r="H21" s="44" t="n"/>
      <c r="I21" s="44" t="n"/>
      <c r="J21" s="44" t="inlineStr">
        <is>
          <t>46 semanas: 52 menos las vacaciones (30 días naturales, art. 38 ET), los festivos y las ausencias medias</t>
        </is>
      </c>
    </row>
    <row r="22">
      <c r="A22" s="44" t="inlineStr">
        <is>
          <t>Horas de servicio al día que hay que cubrir</t>
        </is>
      </c>
      <c r="B22" s="62" t="n">
        <v>13</v>
      </c>
      <c r="C22" s="44" t="n"/>
      <c r="D22" s="44" t="n"/>
      <c r="E22" s="44" t="n"/>
      <c r="F22" s="44" t="n"/>
      <c r="G22" s="44" t="n"/>
      <c r="H22" s="44" t="n"/>
      <c r="I22" s="44" t="n"/>
      <c r="J22" s="44" t="inlineStr">
        <is>
          <t>De la apertura al cierre, barra incluida. Cuéntalas sobre tu horario real</t>
        </is>
      </c>
    </row>
    <row r="23">
      <c r="A23" s="44" t="inlineStr">
        <is>
          <t>Personas necesarias a la vez en cada franja</t>
        </is>
      </c>
      <c r="B23" s="62" t="n">
        <v>2</v>
      </c>
      <c r="C23" s="44" t="n"/>
      <c r="D23" s="44" t="n"/>
      <c r="E23" s="44" t="n"/>
      <c r="F23" s="44" t="n"/>
      <c r="G23" s="44" t="n"/>
      <c r="H23" s="44" t="n"/>
      <c r="I23" s="44" t="n"/>
      <c r="J23" s="44" t="inlineStr">
        <is>
          <t>Media de presencia simultánea entre cocina, barra y sala. En los dos servicios fuertes hará falta más y a media tarde menos</t>
        </is>
      </c>
    </row>
    <row r="24">
      <c r="A24" s="44" t="inlineStr">
        <is>
          <t>Horas de servicio a cubrir al año</t>
        </is>
      </c>
      <c r="B24" s="55">
        <f>IFERROR(IF(OR(B22="",B23="",'0. Supuestos'!$B$6=""),"",B22*B23*'0. Supuestos'!$B$6),"")</f>
        <v>8060.0</v>
      </c>
      <c r="C24" s="44" t="n"/>
      <c r="D24" s="44" t="n"/>
      <c r="E24" s="44" t="n"/>
      <c r="F24" s="44" t="n"/>
      <c r="G24" s="44" t="n"/>
      <c r="H24" s="44" t="n"/>
      <c r="I24" s="44" t="n"/>
      <c r="J24" s="44" t="n"/>
    </row>
    <row r="25">
      <c r="A25" s="44" t="inlineStr">
        <is>
          <t>Horas contratadas al año</t>
        </is>
      </c>
      <c r="B25" s="55">
        <f>IFERROR(IF(I13="","",I13),"")</f>
        <v>9936.0</v>
      </c>
      <c r="C25" s="44" t="n"/>
      <c r="D25" s="44" t="n"/>
      <c r="E25" s="44" t="n"/>
      <c r="F25" s="44" t="n"/>
      <c r="G25" s="44" t="n"/>
      <c r="H25" s="44" t="n"/>
      <c r="I25" s="44" t="n"/>
      <c r="J25" s="44" t="n"/>
    </row>
    <row r="26">
      <c r="A26" s="41" t="inlineStr">
        <is>
          <t>Cobertura (contratadas / necesarias)</t>
        </is>
      </c>
      <c r="B26" s="43">
        <f>IFERROR(B25/B24,"")</f>
        <v>1.2327543424317617</v>
      </c>
      <c r="C26" s="44" t="n"/>
      <c r="D26" s="44" t="n"/>
      <c r="E26" s="44" t="n"/>
      <c r="F26" s="44" t="n"/>
      <c r="G26" s="44" t="n"/>
      <c r="H26" s="44" t="n"/>
      <c r="I26" s="44" t="n"/>
      <c r="J26" s="41" t="inlineStr">
        <is>
          <t>Por debajo del 100 % la plantilla no llega a cubrir el horario que declara el plan: o se contrata más o se recorta el horario</t>
        </is>
      </c>
    </row>
    <row r="27">
      <c r="A27" s="44" t="n"/>
      <c r="B27" s="44" t="n"/>
      <c r="C27" s="44" t="n"/>
      <c r="D27" s="44" t="n"/>
      <c r="E27" s="44" t="n"/>
      <c r="F27" s="44" t="n"/>
      <c r="G27" s="44" t="n"/>
      <c r="H27" s="44" t="n"/>
      <c r="I27" s="44" t="n"/>
      <c r="J27" s="44" t="n"/>
    </row>
    <row r="28" ht="150" customHeight="1">
      <c r="A28" s="63" t="inlineStr">
        <is>
          <t>Las columnas «Bruto mes», «Seg. Social», «Coste mes» y «Coste año» son TOTALES de la fila: en un puesto con dos personas incluyen a las dos. «Jornada» es el porcentaje sobre la jornada completa del convenio y sirve para comparar el salario con el suelo legal en proporción. El tipo de Seguridad Social y el número de pagas están en la hoja «0. Supuestos».</t>
        </is>
      </c>
      <c r="B28" s="44" t="n"/>
      <c r="C28" s="44" t="n"/>
      <c r="D28" s="44" t="n"/>
      <c r="E28" s="44" t="n"/>
      <c r="F28" s="44" t="n"/>
      <c r="G28" s="44" t="n"/>
      <c r="H28" s="44" t="n"/>
      <c r="I28" s="44" t="n"/>
      <c r="J28" s="44" t="n"/>
    </row>
    <row r="29" ht="150" customHeight="1">
      <c r="A29" s="63" t="inlineStr">
        <is>
          <t>El suelo salarial es el MAYOR entre el SMI y el salario de convenio, los dos en la hoja «0. Supuestos»; las jornadas parciales lo llevan en proporción. El convenio aplicable es el PROVINCIAL de hostelería: no existe una tabla salarial estatal única, así que la celda del convenio se entrega vacía para que copies la de tu provincia.</t>
        </is>
      </c>
      <c r="B29" s="44" t="n"/>
      <c r="C29" s="44" t="n"/>
      <c r="D29" s="44" t="n"/>
      <c r="E29" s="44" t="n"/>
      <c r="F29" s="44" t="n"/>
      <c r="G29" s="44" t="n"/>
      <c r="H29" s="44" t="n"/>
      <c r="I29" s="44" t="n"/>
      <c r="J29" s="44" t="n"/>
    </row>
    <row r="30">
      <c r="A30" s="44" t="inlineStr">
        <is>
          <t>ChefBusiness.co — Plan de Negocio: Bar-Restaurante</t>
        </is>
      </c>
      <c r="B30" s="44" t="n"/>
      <c r="C30" s="44" t="n"/>
      <c r="D30" s="44" t="n"/>
      <c r="E30" s="44" t="n"/>
      <c r="F30" s="44" t="n"/>
      <c r="G30" s="44" t="n"/>
      <c r="H30" s="44" t="n"/>
      <c r="I30" s="44" t="n"/>
      <c r="J30" s="44" t="n"/>
    </row>
  </sheetData>
  <sheetProtection selectLockedCells="0" selectUnlockedCells="0" sheet="1" objects="0" insertRows="1" insertHyperlinks="1" autoFilter="1" scenarios="0" formatColumns="0" deleteColumns="1" insertColumns="1" pivotTables="1" deleteRows="1" formatCells="1" formatRows="0" sort="0"/>
  <mergeCells count="3">
    <mergeCell ref="A3:F3"/>
    <mergeCell ref="A2:F2"/>
    <mergeCell ref="A1:F1"/>
  </mergeCells>
  <conditionalFormatting sqref="B26">
    <cfRule type="expression" priority="1" dxfId="1" stopIfTrue="1">
      <formula>AND(ISNUMBER(B26),B26&lt;0.9)</formula>
    </cfRule>
    <cfRule type="expression" priority="2" dxfId="2" stopIfTrue="1">
      <formula>AND(ISNUMBER(B26),B26&gt;=0.9)</formula>
    </cfRule>
    <cfRule type="expression" priority="3" dxfId="0" stopIfTrue="1">
      <formula>AND(ISNUMBER(B26),B26&gt;=1)</formula>
    </cfRule>
  </conditionalFormatting>
  <conditionalFormatting sqref="D6:D12">
    <cfRule type="expression" priority="4" dxfId="1" stopIfTrue="1">
      <formula>AND(ISNUMBER(D6),IFERROR(D6/B6,0)*'0. Supuestos'!$B$21&lt;MAX('0. Supuestos'!$B$22,'0. Supuestos'!$B$68)*C6)</formula>
    </cfRule>
  </conditionalFormatting>
  <dataValidations count="3">
    <dataValidation sqref="B6 B7 B8 B9 B10 B11 B12 B15 B16 B20 B21 B22 D6 D7 D8 D9 D10 D11 D12" showDropDown="0" showInputMessage="0" showErrorMessage="1" allowBlank="1" errorTitle="Importe no válido" error="Escribe un número mayor o igual que 0." type="decimal" operator="greaterThanOrEqual">
      <formula1>0</formula1>
    </dataValidation>
    <dataValidation sqref="B23" showDropDown="0" showInputMessage="0" showErrorMessage="1" allowBlank="1" errorTitle="Valor no válido" error="Escribe un número mayor o igual que 0; esta celda admite decimales (1,7 personas es una presencia media, no una persona y media)." type="decimal" operator="greaterThanOrEqual">
      <formula1>0</formula1>
    </dataValidation>
    <dataValidation sqref="C6 C7 C8 C9 C10 C11 C12"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E63"/>
  <sheetViews>
    <sheetView workbookViewId="0">
      <selection activeCell="A1" sqref="A1"/>
    </sheetView>
  </sheetViews>
  <sheetFormatPr baseColWidth="8" defaultRowHeight="15"/>
  <cols>
    <col width="80" customWidth="1" min="1" max="1"/>
    <col width="18" customWidth="1" min="2" max="2"/>
    <col width="22" customWidth="1" min="3" max="3"/>
    <col width="54" customWidth="1" min="4" max="4"/>
  </cols>
  <sheetData>
    <row r="1">
      <c r="A1" s="41" t="inlineStr">
        <is>
          <t>INSTRUCCIONES DE USO — Plan financiero Bar-Restaurante / Restaurante Casual</t>
        </is>
      </c>
      <c r="B1" s="44" t="n"/>
      <c r="C1" s="44" t="n"/>
      <c r="D1" s="44" t="n"/>
      <c r="E1" s="44" t="n"/>
    </row>
    <row r="2">
      <c r="A2" s="44" t="n"/>
      <c r="B2" s="44" t="n"/>
      <c r="C2" s="44" t="n"/>
      <c r="D2" s="44" t="n"/>
      <c r="E2" s="44" t="n"/>
    </row>
    <row r="3">
      <c r="A3" s="54" t="inlineStr">
        <is>
          <t>CÓMO SE USA ESTE LIBRO</t>
        </is>
      </c>
      <c r="B3" s="44" t="n"/>
      <c r="C3" s="44" t="n"/>
      <c r="D3" s="44" t="n"/>
      <c r="E3" s="44" t="n"/>
    </row>
    <row r="4" ht="30" customHeight="1">
      <c r="A4" s="63" t="inlineStr">
        <is>
          <t>Este plan financiero es un MODELO: sólo se teclea en las celdas VERDES y el resto se recalcula solo.</t>
        </is>
      </c>
      <c r="B4" s="44" t="n"/>
      <c r="C4" s="44" t="n"/>
      <c r="D4" s="44" t="n"/>
      <c r="E4" s="44" t="n"/>
    </row>
    <row r="5" ht="30" customHeight="1">
      <c r="A5" s="63" t="inlineStr">
        <is>
          <t>1. «0. Supuestos» es la hoja de mando: cubiertos, ticket sin IVA, días de apertura, mezcla de comida y bebida, coste de mercancía, alquiler, financiación e impuestos.</t>
        </is>
      </c>
      <c r="B5" s="44" t="n"/>
      <c r="C5" s="44" t="n"/>
      <c r="D5" s="44" t="n"/>
      <c r="E5" s="44" t="n"/>
    </row>
    <row r="6" ht="30" customHeight="1">
      <c r="A6" s="63" t="inlineStr">
        <is>
          <t>2. Las partidas de la inversión, los costes fijos y la plantilla se teclean en su propia hoja, también en verde. Ningún número se escribe dos veces.</t>
        </is>
      </c>
      <c r="B6" s="44" t="n"/>
      <c r="C6" s="44" t="n"/>
      <c r="D6" s="44" t="n"/>
      <c r="E6" s="44" t="n"/>
    </row>
    <row r="7" ht="75" customHeight="1">
      <c r="A7" s="63" t="inlineStr">
        <is>
          <t>3. En «3. Punto Equilibrio» sólo se teclea el techo de rotaciones que da tu local; todo lo demás se deriva de lo anterior. En las otras tres hojas también hay celdas verdes que puedes tocar: el escenario pesimista y el optimista en «4. Escenarios», la estacionalidad y la rampa de arranque en «6. Tesorería 12 meses», y las cuatro fuentes alternativas de financiación en «7. Financiación». Todo lo demás se calcula.</t>
        </is>
      </c>
      <c r="B7" s="44" t="n"/>
      <c r="C7" s="44" t="n"/>
      <c r="D7" s="44" t="n"/>
      <c r="E7" s="44" t="n"/>
    </row>
    <row r="8" ht="165" customHeight="1">
      <c r="A8" s="63" t="inlineStr">
        <is>
          <t>4. Todas las cifras van SIN IVA. Para pasar un PVP a precio sin IVA, divide por el tipo que le corresponda: entre 1,10 en sala (comida y bebida, alcohol incluido: art. 91.Uno.2.2.º de la Ley 37/1992 del IVA) y, cuando se venden para llevar, los alimentos —bollería y pastelería incluidas—, que son productos alimenticios al tipo reducido por el art. 91.Uno.1.1.º; y entre 1,21 el tipo general, que en hostelería sólo alcanza a lo que sale del local como entrega de bienes excluida del reducido: el alcohol y los refrescos o zumos con azúcares añadidos para llevar o a domicilio (la comida para llevar sigue al 10 %); el libro lo aplica al alcohol del canal de delivery. El tipo de cada línea de venta está en la columna «Tipo de IVA de la línea» del P&amp;L y de ahí salen los cobros, el IVA repercutido y el PVP equivalente. El IVA de la inversión se adelanta y se recupera con el modelo 303.</t>
        </is>
      </c>
      <c r="B8" s="44" t="n"/>
      <c r="C8" s="44" t="n"/>
      <c r="D8" s="44" t="n"/>
      <c r="E8" s="44" t="n"/>
    </row>
    <row r="9" ht="30" customHeight="1">
      <c r="A9" s="63" t="inlineStr">
        <is>
          <t>5. Si cambias la plantilla, el P&amp;L la lee sola: el coste de personal sale de la hoja «Personal», no de una estimación aparte.</t>
        </is>
      </c>
      <c r="B9" s="44" t="n"/>
      <c r="C9" s="44" t="n"/>
      <c r="D9" s="44" t="n"/>
      <c r="E9" s="44" t="n"/>
    </row>
    <row r="10" ht="45" customHeight="1">
      <c r="A10" s="63" t="inlineStr">
        <is>
          <t>6. La hoja «6. Tesorería 12 meses» responde la pregunta que decide una operación bancaria: en qué mes se agota la caja. El saldo mínimo del año nunca puede salir en rojo.</t>
        </is>
      </c>
      <c r="B10" s="44" t="n"/>
      <c r="C10" s="44" t="n"/>
      <c r="D10" s="44" t="n"/>
      <c r="E10" s="44" t="n"/>
    </row>
    <row r="11" ht="45" customHeight="1">
      <c r="A11" s="63" t="inlineStr">
        <is>
          <t>7. La hoja «7. Financiación» cuadra lo que hace falta con lo que se aporta y monta el cuadro de amortización del préstamo. Si la diferencia sale en rojo, el plan no está financiado.</t>
        </is>
      </c>
      <c r="B11" s="44" t="n"/>
      <c r="C11" s="44" t="n"/>
      <c r="D11" s="44" t="n"/>
      <c r="E11" s="44" t="n"/>
    </row>
    <row r="12">
      <c r="A12" s="44" t="n"/>
      <c r="B12" s="44" t="n"/>
      <c r="C12" s="44" t="n"/>
      <c r="D12" s="44" t="n"/>
      <c r="E12" s="44" t="n"/>
    </row>
    <row r="13">
      <c r="A13" s="41" t="inlineStr">
        <is>
          <t>RATIOS QUE AUDITA EL LIBRO</t>
        </is>
      </c>
      <c r="B13" s="44" t="n"/>
      <c r="C13" s="44" t="n"/>
      <c r="D13" s="44" t="n"/>
      <c r="E13" s="44" t="n"/>
    </row>
    <row r="14" ht="30" customHeight="1">
      <c r="A14" s="63" t="inlineStr">
        <is>
          <t>Los umbrales viven en la columna «Umbral» del bloque RATIOS CLAVE del P&amp;L: cámbialos ahí y el semáforo cambia con ellos.</t>
        </is>
      </c>
      <c r="B14" s="44" t="n"/>
      <c r="C14" s="44" t="n"/>
      <c r="D14" s="44" t="n"/>
      <c r="E14" s="44" t="n"/>
    </row>
    <row r="15">
      <c r="A15" s="44" t="n"/>
      <c r="B15" s="44" t="n"/>
      <c r="C15" s="44" t="n"/>
      <c r="D15" s="44" t="n"/>
      <c r="E15" s="44" t="n"/>
    </row>
    <row r="16">
      <c r="A16" s="41" t="inlineStr">
        <is>
          <t>Ratio</t>
        </is>
      </c>
      <c r="B16" s="41" t="inlineStr">
        <is>
          <t>Valor del año 1</t>
        </is>
      </c>
      <c r="C16" s="41" t="inlineStr">
        <is>
          <t>Umbral</t>
        </is>
      </c>
      <c r="D16" s="41" t="inlineStr">
        <is>
          <t>Estado</t>
        </is>
      </c>
      <c r="E16" s="44" t="n"/>
    </row>
    <row r="17">
      <c r="A17" s="44" t="inlineStr">
        <is>
          <t>Coste de mercancía / Ventas</t>
        </is>
      </c>
      <c r="B17" s="46">
        <f>IFERROR(IF('2. P&amp;L 3 Años'!$B$55="","",'2. P&amp;L 3 Años'!$B$55),"")</f>
        <v>0.272</v>
      </c>
      <c r="C17" s="46">
        <f>IFERROR(IF('2. P&amp;L 3 Años'!$E$55="","",'2. P&amp;L 3 Años'!$E$55),"")</f>
        <v>0.32</v>
      </c>
      <c r="D17" s="44" t="str">
        <f>IFERROR(IF(OR(B17="",C17=""),"",IF(B17&lt;=C17,"CUMPLE","REVISAR")),"")</f>
        <v>CUMPLE</v>
      </c>
      <c r="E17" s="44" t="n"/>
    </row>
    <row r="18">
      <c r="A18" s="44" t="inlineStr">
        <is>
          <t>Coste de personal / Ventas</t>
        </is>
      </c>
      <c r="B18" s="46">
        <f>IFERROR(IF('2. P&amp;L 3 Años'!$B$56="","",'2. P&amp;L 3 Años'!$B$56),"")</f>
        <v>0.3366253101736973</v>
      </c>
      <c r="C18" s="46">
        <f>IFERROR(IF('2. P&amp;L 3 Años'!$E$56="","",'2. P&amp;L 3 Años'!$E$56),"")</f>
        <v>0.34</v>
      </c>
      <c r="D18" s="44" t="str">
        <f>IFERROR(IF(OR(B18="",C18=""),"",IF(B18&lt;=C18,"CUMPLE","REVISAR")),"")</f>
        <v>CUMPLE</v>
      </c>
      <c r="E18" s="44" t="n"/>
    </row>
    <row r="19">
      <c r="A19" s="44" t="inlineStr">
        <is>
          <t>Alquiler / Ventas</t>
        </is>
      </c>
      <c r="B19" s="46">
        <f>IFERROR(IF('2. P&amp;L 3 Años'!$B$57="","",'2. P&amp;L 3 Años'!$B$57),"")</f>
        <v>0.07975895072669266</v>
      </c>
      <c r="C19" s="46">
        <f>IFERROR(IF('2. P&amp;L 3 Años'!$E$57="","",'2. P&amp;L 3 Años'!$E$57),"")</f>
        <v>0.1</v>
      </c>
      <c r="D19" s="44" t="str">
        <f>IFERROR(IF(OR(B19="",C19=""),"",IF(B19&lt;=C19,"CUMPLE","REVISAR")),"")</f>
        <v>CUMPLE</v>
      </c>
      <c r="E19" s="44" t="n"/>
    </row>
    <row r="20">
      <c r="A20" s="44" t="inlineStr">
        <is>
          <t>Resultado neto / Ventas</t>
        </is>
      </c>
      <c r="B20" s="46">
        <f>IFERROR(IF('2. P&amp;L 3 Años'!$B$58="","",'2. P&amp;L 3 Años'!$B$58),"")</f>
        <v>0.10772153048564333</v>
      </c>
      <c r="C20" s="46">
        <f>IFERROR(IF('2. P&amp;L 3 Años'!$E$58="","",'2. P&amp;L 3 Años'!$E$58),"")</f>
        <v>0.05</v>
      </c>
      <c r="D20" s="44" t="str">
        <f>IFERROR(IF(OR(B20="",C20=""),"",IF(B20&gt;=C20,"CUMPLE","REVISAR")),"")</f>
        <v>CUMPLE</v>
      </c>
      <c r="E20" s="44" t="n"/>
    </row>
    <row r="21">
      <c r="A21" s="44" t="inlineStr">
        <is>
          <t>Margen bruto / Ventas</t>
        </is>
      </c>
      <c r="B21" s="46">
        <f>IFERROR(IF('2. P&amp;L 3 Años'!$B$53="","",'2. P&amp;L 3 Años'!$B$53),"")</f>
        <v>0.6849999999999999</v>
      </c>
      <c r="C21" s="46">
        <f>IFERROR(IF('2. P&amp;L 3 Años'!$E$53="","",'2. P&amp;L 3 Años'!$E$53),"")</f>
        <v>0.65</v>
      </c>
      <c r="D21" s="44" t="str">
        <f>IFERROR(IF(OR(B21="",C21=""),"",IF(B21&gt;=C21,"CUMPLE","REVISAR")),"")</f>
        <v>CUMPLE</v>
      </c>
      <c r="E21" s="44" t="n"/>
    </row>
    <row r="22">
      <c r="A22" s="44" t="n"/>
      <c r="B22" s="44" t="n"/>
      <c r="C22" s="44" t="n"/>
      <c r="D22" s="44" t="n"/>
      <c r="E22" s="44" t="n"/>
    </row>
    <row r="23">
      <c r="A23" s="41" t="inlineStr">
        <is>
          <t>CIFRAS DE ESTE PLAN</t>
        </is>
      </c>
      <c r="B23" s="44" t="n"/>
      <c r="C23" s="44" t="n"/>
      <c r="D23" s="44" t="n"/>
      <c r="E23" s="44" t="n"/>
    </row>
    <row r="24">
      <c r="A24" s="44" t="inlineStr">
        <is>
          <t>Inversión total (suma de los bloques)</t>
        </is>
      </c>
      <c r="B24" s="48">
        <f>IFERROR(IF('1. Inversión Inicial'!$B$48="","",'1. Inversión Inicial'!$B$48),"")</f>
        <v>179014.80000000002</v>
      </c>
      <c r="C24" s="44" t="n"/>
      <c r="D24" s="44" t="n"/>
      <c r="E24" s="44" t="n"/>
    </row>
    <row r="25">
      <c r="A25" s="44" t="inlineStr">
        <is>
          <t>Necesidad total de caja al arranque</t>
        </is>
      </c>
      <c r="B25" s="48">
        <f>IFERROR(IF('1. Inversión Inicial'!$B$51="","",'1. Inversión Inicial'!$B$51),"")</f>
        <v>201717.90000000002</v>
      </c>
      <c r="C25" s="44" t="n"/>
      <c r="D25" s="44" t="n"/>
      <c r="E25" s="44" t="n"/>
    </row>
    <row r="26">
      <c r="A26" s="44" t="inlineStr">
        <is>
          <t>Fondo de maniobra dotado</t>
        </is>
      </c>
      <c r="B26" s="48">
        <f>IFERROR(IF('1. Inversión Inicial'!$B$47="","",'1. Inversión Inicial'!$B$47),"")</f>
        <v>60804.80000000001</v>
      </c>
      <c r="C26" s="44" t="n"/>
      <c r="D26" s="44" t="n"/>
      <c r="E26" s="44" t="n"/>
    </row>
    <row r="27">
      <c r="A27" s="44" t="inlineStr">
        <is>
          <t>Facturación prevista del año 1</t>
        </is>
      </c>
      <c r="B27" s="48">
        <f>IFERROR(IF('2. P&amp;L 3 Años'!$B$10="","",'2. P&amp;L 3 Años'!$B$10),"")</f>
        <v>451360.0</v>
      </c>
      <c r="C27" s="44" t="n"/>
      <c r="D27" s="44" t="n"/>
      <c r="E27" s="44" t="n"/>
    </row>
    <row r="28">
      <c r="A28" s="44" t="inlineStr">
        <is>
          <t>Resultado neto del año 1</t>
        </is>
      </c>
      <c r="B28" s="48">
        <f>IFERROR(IF('2. P&amp;L 3 Años'!$B$50="","",'2. P&amp;L 3 Años'!$B$50),"")</f>
        <v>48621.18999999997</v>
      </c>
      <c r="C28" s="44" t="n"/>
      <c r="D28" s="44" t="n"/>
      <c r="E28" s="44" t="n"/>
    </row>
    <row r="29">
      <c r="A29" s="44" t="inlineStr">
        <is>
          <t>Cubiertos/día para el punto de equilibrio CONTABLE (con la amortización dentro)</t>
        </is>
      </c>
      <c r="B29" s="60">
        <f>IFERROR(IF('3. Punto Equilibrio'!$B$16="","",'3. Punto Equilibrio'!$B$16),"")</f>
        <v>65.19927447170208</v>
      </c>
      <c r="C29" s="44" t="n"/>
      <c r="D29" s="44" t="n"/>
      <c r="E29" s="44" t="n"/>
    </row>
    <row r="30">
      <c r="A30" s="44" t="inlineStr">
        <is>
          <t>Payback del proyecto (años), antes de la deuda</t>
        </is>
      </c>
      <c r="B30" s="44">
        <f>IFERROR(IF('6. Tesorería 12 meses'!$B$31="","",'6. Tesorería 12 meses'!$B$31),"")</f>
        <v>2.3</v>
      </c>
      <c r="C30" s="44" t="n"/>
      <c r="D30" s="44" t="n"/>
      <c r="E30" s="44" t="n"/>
    </row>
    <row r="31">
      <c r="A31" s="44" t="n"/>
      <c r="B31" s="44" t="n"/>
      <c r="C31" s="44" t="n"/>
      <c r="D31" s="44" t="n"/>
      <c r="E31" s="44" t="n"/>
    </row>
    <row r="32">
      <c r="A32" s="41" t="inlineStr">
        <is>
          <t>QUÉ HA CAMBIADO RESPECTO DE LA VERSIÓN 1.1</t>
        </is>
      </c>
      <c r="B32" s="44" t="n"/>
      <c r="C32" s="44" t="n"/>
      <c r="D32" s="44" t="n"/>
      <c r="E32" s="44" t="n"/>
    </row>
    <row r="33">
      <c r="A33" s="41" t="inlineStr">
        <is>
          <t>Concepto</t>
        </is>
      </c>
      <c r="B33" s="41" t="inlineStr">
        <is>
          <t>v1.1</t>
        </is>
      </c>
      <c r="C33" s="41" t="inlineStr">
        <is>
          <t>v2.2</t>
        </is>
      </c>
      <c r="D33" s="41" t="inlineStr">
        <is>
          <t>Por qué</t>
        </is>
      </c>
      <c r="E33" s="44" t="n"/>
    </row>
    <row r="34" ht="30" customHeight="1">
      <c r="A34" s="81" t="inlineStr">
        <is>
          <t>Coste de personal imputado al P&amp;L</t>
        </is>
      </c>
      <c r="B34" s="81" t="inlineStr">
        <is>
          <t>115.200 €</t>
        </is>
      </c>
      <c r="C34" s="81" t="inlineStr">
        <is>
          <t>Sale de la hoja Personal, por fórmula</t>
        </is>
      </c>
      <c r="D34" s="63" t="inlineStr">
        <is>
          <t>El P&amp;L decía «ver hoja Personal» y usaba otra cifra; ahora lee la hoja</t>
        </is>
      </c>
      <c r="E34" s="44" t="n"/>
    </row>
    <row r="35" ht="45" customHeight="1">
      <c r="A35" s="81" t="inlineStr">
        <is>
          <t>Plantilla</t>
        </is>
      </c>
      <c r="B35" s="81" t="inlineStr">
        <is>
          <t>7 personas / 209.171 €</t>
        </is>
      </c>
      <c r="C35" s="81" t="inlineStr">
        <is>
          <t>7 puestos, tres a tiempo parcial (uno de ellos, suplencias) / 151.939 €</t>
        </is>
      </c>
      <c r="D35" s="63" t="inlineStr">
        <is>
          <t>Dimensionada por horas de servicio para 56 plazas; con la plantilla anterior el coste laboral era el 66,3 % de las ventas</t>
        </is>
      </c>
      <c r="E35" s="44" t="n"/>
    </row>
    <row r="36" ht="45" customHeight="1">
      <c r="A36" s="81" t="inlineStr">
        <is>
          <t>Cubiertos/día del año 1</t>
        </is>
      </c>
      <c r="B36" s="81" t="inlineStr">
        <is>
          <t>55</t>
        </is>
      </c>
      <c r="C36" s="81" t="inlineStr">
        <is>
          <t>80</t>
        </is>
      </c>
      <c r="D36" s="63" t="inlineStr">
        <is>
          <t>1,43 rotaciones sobre las 56 plazas del propio pack; el documento pide un MÍNIMO de 1,8 en temporada alta, así que el caso base se proyecta por debajo a propósito</t>
        </is>
      </c>
      <c r="E36" s="44" t="n"/>
    </row>
    <row r="37" ht="45" customHeight="1">
      <c r="A37" s="81" t="inlineStr">
        <is>
          <t>Ticket medio</t>
        </is>
      </c>
      <c r="B37" s="81" t="inlineStr">
        <is>
          <t>18,50 € (sin declarar IVA)</t>
        </is>
      </c>
      <c r="C37" s="81" t="inlineStr">
        <is>
          <t>18,20 € SIN IVA</t>
        </is>
      </c>
      <c r="D37" s="63" t="inlineStr">
        <is>
          <t>El ticket de la versión 1.1 no decía si llevaba IVA; ahora se declara sin IVA y equivale a 20,02 € de PVP al 10 % en sala, dentro del rango 15-22 € del propio libro</t>
        </is>
      </c>
      <c r="E37" s="44" t="n"/>
    </row>
    <row r="38" ht="30" customHeight="1">
      <c r="A38" s="81" t="inlineStr">
        <is>
          <t>Alquiler</t>
        </is>
      </c>
      <c r="B38" s="81" t="inlineStr">
        <is>
          <t>3.000 €/mes</t>
        </is>
      </c>
      <c r="C38" s="81" t="inlineStr">
        <is>
          <t>3.000 €/mes (sin cambio)</t>
        </is>
      </c>
      <c r="D38" s="63" t="inlineStr">
        <is>
          <t>Con el ticket recalibrado son el 8,0 % de las ventas, dentro del techo de 8-10 % del propio libro</t>
        </is>
      </c>
      <c r="E38" s="44" t="n"/>
    </row>
    <row r="39" ht="30" customHeight="1">
      <c r="A39" s="81" t="inlineStr">
        <is>
          <t>Suministros</t>
        </is>
      </c>
      <c r="B39" s="81" t="inlineStr">
        <is>
          <t>1.200 €/mes</t>
        </is>
      </c>
      <c r="C39" s="81" t="inlineStr">
        <is>
          <t>1.800 €/mes</t>
        </is>
      </c>
      <c r="D39" s="63" t="inlineStr">
        <is>
          <t>Una cocina con horno, cámaras y campana no consume el 3,2 % de las ventas</t>
        </is>
      </c>
      <c r="E39" s="44" t="n"/>
    </row>
    <row r="40">
      <c r="A40" s="81" t="inlineStr">
        <is>
          <t>Fondo de maniobra</t>
        </is>
      </c>
      <c r="B40" s="81" t="inlineStr">
        <is>
          <t>30.000 € etiquetados «3 meses»</t>
        </is>
      </c>
      <c r="C40" s="81" t="inlineStr">
        <is>
          <t>3 × costes fijos de caja mensuales, por fórmula</t>
        </is>
      </c>
      <c r="D40" s="63" t="inlineStr">
        <is>
          <t>Los 30.000 € cubrían 1,8 meses, no 3</t>
        </is>
      </c>
      <c r="E40" s="44" t="n"/>
    </row>
    <row r="41" ht="30" customHeight="1">
      <c r="A41" s="81" t="inlineStr">
        <is>
          <t>Amortización</t>
        </is>
      </c>
      <c r="B41" s="81" t="inlineStr">
        <is>
          <t>5.000 €/año (base implícita 50.000 €)</t>
        </is>
      </c>
      <c r="C41" s="81" t="inlineStr">
        <is>
          <t>Base amortizable real / vida útil, por fórmula</t>
        </is>
      </c>
      <c r="D41" s="63" t="inlineStr">
        <is>
          <t>El inmovilizado del propio libro suma bastante más, y el fondo de maniobra no se amortiza</t>
        </is>
      </c>
      <c r="E41" s="44" t="n"/>
    </row>
    <row r="42" ht="30" customHeight="1">
      <c r="A42" s="81" t="inlineStr">
        <is>
          <t>Cuota del préstamo en el P&amp;L</t>
        </is>
      </c>
      <c r="B42" s="81" t="inlineStr">
        <is>
          <t>7.200 €/año de cuota completa</t>
        </is>
      </c>
      <c r="C42" s="81" t="inlineStr">
        <is>
          <t>sólo los intereses; el principal va a tesorería</t>
        </is>
      </c>
      <c r="D42" s="63" t="inlineStr">
        <is>
          <t>Meter la cuota entera antes del resultado convierte el P&amp;L en un flujo de caja</t>
        </is>
      </c>
      <c r="E42" s="44" t="n"/>
    </row>
    <row r="43" ht="30" customHeight="1">
      <c r="A43" s="81" t="inlineStr">
        <is>
          <t>Impuesto de Sociedades</t>
        </is>
      </c>
      <c r="B43" s="81" t="inlineStr">
        <is>
          <t>25 % en los años 2 y 3, sin compensar la BIN</t>
        </is>
      </c>
      <c r="C43" s="81" t="inlineStr">
        <is>
          <t>15 % los dos primeros ejercicios con base positiva y compensación de bases negativas</t>
        </is>
      </c>
      <c r="D43" s="63" t="inlineStr">
        <is>
          <t>Artículos 26 y 29.1 de la Ley del Impuesto sobre Sociedades</t>
        </is>
      </c>
      <c r="E43" s="44" t="n"/>
    </row>
    <row r="44" ht="15" customHeight="1">
      <c r="A44" s="81" t="inlineStr">
        <is>
          <t>Comisiones de delivery</t>
        </is>
      </c>
      <c r="B44" s="81" t="inlineStr">
        <is>
          <t>5 % de TODA la facturación, sin interruptor</t>
        </is>
      </c>
      <c r="C44" s="81" t="inlineStr">
        <is>
          <t>% del canal × comisión de la plataforma, a 0 por defecto</t>
        </is>
      </c>
      <c r="D44" s="63" t="inlineStr">
        <is>
          <t>Si no repartes, no arrastras un coste inventado</t>
        </is>
      </c>
      <c r="E44" s="44" t="n"/>
    </row>
    <row r="45" ht="15" customHeight="1">
      <c r="A45" s="81" t="inlineStr">
        <is>
          <t>Coste de la bebida</t>
        </is>
      </c>
      <c r="B45" s="81" t="inlineStr">
        <is>
          <t>food cost del 30 % sobre el total MÁS un 22 % sobre la bebida</t>
        </is>
      </c>
      <c r="C45" s="81" t="inlineStr">
        <is>
          <t>cada familia paga su propio coste</t>
        </is>
      </c>
      <c r="D45" s="63" t="inlineStr">
        <is>
          <t>33.119,63 € cobrados dos veces en el año 1</t>
        </is>
      </c>
      <c r="E45" s="44" t="n"/>
    </row>
    <row r="46">
      <c r="A46" s="44" t="n"/>
      <c r="B46" s="44" t="n"/>
      <c r="C46" s="44" t="n"/>
      <c r="D46" s="44" t="n"/>
      <c r="E46" s="44" t="n"/>
    </row>
    <row r="47">
      <c r="A47" s="41" t="inlineStr">
        <is>
          <t>DATOS DE REFERENCIA DEL SECTOR</t>
        </is>
      </c>
      <c r="B47" s="44" t="n"/>
      <c r="C47" s="44" t="n"/>
      <c r="D47" s="44" t="n"/>
      <c r="E47" s="44" t="n"/>
    </row>
    <row r="48">
      <c r="A48" s="41" t="inlineStr">
        <is>
          <t>Referencia</t>
        </is>
      </c>
      <c r="B48" s="41" t="inlineStr">
        <is>
          <t>Valor</t>
        </is>
      </c>
      <c r="C48" s="41" t="inlineStr">
        <is>
          <t>Fuente</t>
        </is>
      </c>
      <c r="D48" s="41" t="inlineStr">
        <is>
          <t>Nota</t>
        </is>
      </c>
      <c r="E48" s="44" t="n"/>
    </row>
    <row r="49" ht="30" customHeight="1">
      <c r="A49" s="44" t="inlineStr">
        <is>
          <t>Ticket medio de restaurante casual (PVP)</t>
        </is>
      </c>
      <c r="B49" s="44" t="inlineStr">
        <is>
          <t>15-22 €</t>
        </is>
      </c>
      <c r="C49" s="44" t="inlineStr">
        <is>
          <t>Fichero v1.1</t>
        </is>
      </c>
      <c r="D49" s="63" t="inlineStr">
        <is>
          <t>El PVP equivalente de este plan lo calcula la hoja 0. Supuestos</t>
        </is>
      </c>
      <c r="E49" s="44" t="n"/>
    </row>
    <row r="50">
      <c r="A50" s="44" t="inlineStr">
        <is>
          <t>Alquiler de local de 80-120 m² en zona urbana</t>
        </is>
      </c>
      <c r="B50" s="44" t="inlineStr">
        <is>
          <t>2.000-4.500 €/mes</t>
        </is>
      </c>
      <c r="C50" s="44" t="inlineStr">
        <is>
          <t>Fichero v1.1</t>
        </is>
      </c>
      <c r="D50" s="63" t="n"/>
      <c r="E50" s="44" t="n"/>
    </row>
    <row r="51">
      <c r="A51" s="44" t="inlineStr">
        <is>
          <t>Food cost objetivo</t>
        </is>
      </c>
      <c r="B51" s="44" t="inlineStr">
        <is>
          <t>28-32 %</t>
        </is>
      </c>
      <c r="C51" s="44" t="inlineStr">
        <is>
          <t>Fichero v1.1</t>
        </is>
      </c>
      <c r="D51" s="63" t="n"/>
      <c r="E51" s="44" t="n"/>
    </row>
    <row r="52" ht="30" customHeight="1">
      <c r="A52" s="44" t="inlineStr">
        <is>
          <t>Coste de personal sobre ventas</t>
        </is>
      </c>
      <c r="B52" s="44" t="inlineStr">
        <is>
          <t>máx. 34 %</t>
        </is>
      </c>
      <c r="C52" s="44" t="inlineStr">
        <is>
          <t>Fichero v1.1</t>
        </is>
      </c>
      <c r="D52" s="63" t="inlineStr">
        <is>
          <t>Se aplica el más estricto de los techos que publica este producto</t>
        </is>
      </c>
      <c r="E52" s="44" t="n"/>
    </row>
    <row r="53">
      <c r="A53" s="44" t="inlineStr">
        <is>
          <t>Margen neto medio del sector</t>
        </is>
      </c>
      <c r="B53" s="44" t="inlineStr">
        <is>
          <t>5-10 %</t>
        </is>
      </c>
      <c r="C53" s="44" t="inlineStr">
        <is>
          <t>Fichero v1.1</t>
        </is>
      </c>
      <c r="D53" s="63" t="n"/>
      <c r="E53" s="44" t="n"/>
    </row>
    <row r="54">
      <c r="A54" s="44" t="inlineStr">
        <is>
          <t>Punto de equilibrio</t>
        </is>
      </c>
      <c r="B54" s="44" t="inlineStr">
        <is>
          <t>alcanzable en menos de 12 meses</t>
        </is>
      </c>
      <c r="C54" s="44" t="inlineStr">
        <is>
          <t>Fichero v1.1</t>
        </is>
      </c>
      <c r="D54" s="63" t="n"/>
      <c r="E54" s="44" t="n"/>
    </row>
    <row r="55" ht="75" customHeight="1">
      <c r="A55" s="44" t="inlineStr">
        <is>
          <t>Inversión media de apertura</t>
        </is>
      </c>
      <c r="B55" s="44" t="inlineStr">
        <is>
          <t>80.000-150.000 €</t>
        </is>
      </c>
      <c r="C55" s="44" t="inlineStr">
        <is>
          <t>Fichero v1.1</t>
        </is>
      </c>
      <c r="D55" s="63" t="inlineStr">
        <is>
          <t>Es el rango de referencia del sector. La inversión de ESTE plan la calcula la hoja 1: si queda por encima, es porque incluye el fondo de maniobra, las existencias iniciales y el IVA que hay que adelantar, que ese rango no siempre cuenta</t>
        </is>
      </c>
      <c r="E55" s="44" t="n"/>
    </row>
    <row r="56" ht="45" customHeight="1">
      <c r="A56" s="44" t="inlineStr">
        <is>
          <t>Tasa de cierre de restaurantes en el primer año</t>
        </is>
      </c>
      <c r="B56" s="44" t="inlineStr">
        <is>
          <t>25 %</t>
        </is>
      </c>
      <c r="C56" s="44" t="inlineStr">
        <is>
          <t>Fichero v1.1</t>
        </is>
      </c>
      <c r="D56" s="63" t="inlineStr">
        <is>
          <t>Es el dato que más pesa en un comité de riesgos: por eso el plan lleva fondo de maniobra, escenario pesimista y tesorería mes a mes</t>
        </is>
      </c>
      <c r="E56" s="44" t="n"/>
    </row>
    <row r="57">
      <c r="A57" s="44" t="inlineStr">
        <is>
          <t>Tasa de cierre de restaurantes a los cinco años</t>
        </is>
      </c>
      <c r="B57" s="44" t="inlineStr">
        <is>
          <t>50 %</t>
        </is>
      </c>
      <c r="C57" s="44" t="inlineStr">
        <is>
          <t>Fichero v1.1</t>
        </is>
      </c>
      <c r="D57" s="63" t="n"/>
      <c r="E57" s="44" t="n"/>
    </row>
    <row r="58" ht="30" customHeight="1">
      <c r="A58" s="44" t="inlineStr">
        <is>
          <t>Convenio colectivo aplicable</t>
        </is>
      </c>
      <c r="B58" s="44" t="inlineStr">
        <is>
          <t>PROVINCIAL de hostelería</t>
        </is>
      </c>
      <c r="C58" s="44" t="inlineStr">
        <is>
          <t>DOM-24 / checklist F37</t>
        </is>
      </c>
      <c r="D58" s="63" t="inlineStr">
        <is>
          <t>No existe una tabla salarial estatal única: copia la tabla de tu provincia en la celda de Supuestos</t>
        </is>
      </c>
      <c r="E58" s="44" t="n"/>
    </row>
    <row r="59">
      <c r="A59" s="44" t="n"/>
      <c r="B59" s="44" t="n"/>
      <c r="C59" s="44" t="n"/>
      <c r="D59" s="44" t="n"/>
      <c r="E59" s="44" t="n"/>
    </row>
    <row r="60">
      <c r="A60" s="80" t="inlineStr">
        <is>
          <t>Para editar una celda que no esté en verde: Revisar → Desproteger hoja (no tiene contraseña).</t>
        </is>
      </c>
      <c r="B60" s="44" t="n"/>
      <c r="C60" s="44" t="n"/>
      <c r="D60" s="44" t="n"/>
      <c r="E60" s="44" t="n"/>
    </row>
    <row r="61">
      <c r="A61" s="80" t="inlineStr">
        <is>
          <t>Más plantillas y kits del catálogo en aichef.pro/productos-digitales</t>
        </is>
      </c>
      <c r="B61" s="44" t="n"/>
      <c r="C61" s="44" t="n"/>
      <c r="D61" s="44" t="n"/>
      <c r="E61" s="44" t="n"/>
    </row>
    <row r="62">
      <c r="A62" s="80" t="inlineStr">
        <is>
          <t>Diseñado por John Guerrero — chef y consultor gastronómico desde 2010, en cocina desde los 17 años · johnguerrero.es</t>
        </is>
      </c>
      <c r="B62" s="44" t="n"/>
      <c r="C62" s="44" t="n"/>
      <c r="D62" s="44" t="n"/>
      <c r="E62" s="44" t="n"/>
    </row>
    <row r="63">
      <c r="A63" s="80" t="inlineStr">
        <is>
          <t>Versión 2.2 · septiembre 2026 · aichef.pro/plan-negocio-bar-restaurante · info@aichef.pro</t>
        </is>
      </c>
      <c r="B63" s="44" t="n"/>
      <c r="C63" s="44" t="n"/>
      <c r="D63" s="44" t="n"/>
      <c r="E63" s="44" t="n"/>
    </row>
  </sheetData>
  <sheetProtection selectLockedCells="0" selectUnlockedCells="0" sheet="1" objects="0" insertRows="1" insertHyperlinks="1" autoFilter="1" scenarios="0" formatColumns="0" deleteColumns="1" insertColumns="1" pivotTables="1" deleteRows="1" formatCells="1" formatRows="0" sort="0"/>
  <conditionalFormatting sqref="D17:D21">
    <cfRule type="containsText" priority="1" operator="containsText" dxfId="0" stopIfTrue="1" text="CUMPLE">
      <formula>NOT(ISERROR(SEARCH("CUMPLE",D17)))</formula>
    </cfRule>
    <cfRule type="containsText" priority="2" operator="containsText" dxfId="1" stopIfTrue="1" text="REVISAR">
      <formula>NOT(ISERROR(SEARCH("REVISAR",D17)))</formula>
    </cfRule>
  </conditionalFormatting>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O70"/>
  <sheetViews>
    <sheetView workbookViewId="0">
      <pane xSplit="1" ySplit="4" topLeftCell="B5"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4" customWidth="1" min="14" max="14"/>
    <col width="60" customWidth="1" min="15" max="15"/>
  </cols>
  <sheetData>
    <row r="1">
      <c r="A1" s="41" t="inlineStr">
        <is>
          <t>PREVISIÓN DE TESORERÍA — AÑO 1</t>
        </is>
      </c>
      <c r="B1" s="44" t="n"/>
      <c r="C1" s="44" t="n"/>
      <c r="D1" s="44" t="n"/>
      <c r="E1" s="44" t="n"/>
      <c r="F1" s="44" t="n"/>
      <c r="G1" s="44" t="n"/>
      <c r="H1" s="44" t="n"/>
      <c r="I1" s="44" t="n"/>
      <c r="J1" s="44" t="n"/>
      <c r="K1" s="44" t="n"/>
      <c r="L1" s="44" t="n"/>
      <c r="M1" s="44" t="n"/>
      <c r="N1" s="44" t="n"/>
      <c r="O1" s="44" t="n"/>
    </row>
    <row r="2" ht="45" customHeight="1">
      <c r="A2" s="63" t="inlineStr">
        <is>
          <t>El P&amp;L dice si el negocio gana dinero; esta hoja dice si le queda caja para llegar a fin de mes. Es la primera que mira un banco.</t>
        </is>
      </c>
      <c r="B2" s="44" t="n"/>
      <c r="C2" s="44" t="n"/>
      <c r="D2" s="44" t="n"/>
      <c r="E2" s="44" t="n"/>
      <c r="F2" s="44" t="n"/>
      <c r="G2" s="44" t="n"/>
      <c r="H2" s="44" t="n"/>
      <c r="I2" s="44" t="n"/>
      <c r="J2" s="44" t="n"/>
      <c r="K2" s="44" t="n"/>
      <c r="L2" s="44" t="n"/>
      <c r="M2" s="44" t="n"/>
      <c r="N2" s="44" t="n"/>
      <c r="O2" s="44" t="n"/>
    </row>
    <row r="3">
      <c r="A3" s="44" t="n"/>
      <c r="B3" s="44" t="n"/>
      <c r="C3" s="44" t="n"/>
      <c r="D3" s="44" t="n"/>
      <c r="E3" s="44" t="n"/>
      <c r="F3" s="44" t="n"/>
      <c r="G3" s="44" t="n"/>
      <c r="H3" s="44" t="n"/>
      <c r="I3" s="44" t="n"/>
      <c r="J3" s="44" t="n"/>
      <c r="K3" s="44" t="n"/>
      <c r="L3" s="44" t="n"/>
      <c r="M3" s="44" t="n"/>
      <c r="N3" s="44" t="n"/>
      <c r="O3" s="44" t="n"/>
    </row>
    <row r="4">
      <c r="A4" s="41" t="inlineStr">
        <is>
          <t>Concepto</t>
        </is>
      </c>
      <c r="B4" s="41" t="inlineStr">
        <is>
          <t>Mes 1 (€)</t>
        </is>
      </c>
      <c r="C4" s="41" t="inlineStr">
        <is>
          <t>Mes 2 (€)</t>
        </is>
      </c>
      <c r="D4" s="41" t="inlineStr">
        <is>
          <t>Mes 3 (€)</t>
        </is>
      </c>
      <c r="E4" s="41" t="inlineStr">
        <is>
          <t>Mes 4 (€)</t>
        </is>
      </c>
      <c r="F4" s="41" t="inlineStr">
        <is>
          <t>Mes 5 (€)</t>
        </is>
      </c>
      <c r="G4" s="41" t="inlineStr">
        <is>
          <t>Mes 6 (€)</t>
        </is>
      </c>
      <c r="H4" s="41" t="inlineStr">
        <is>
          <t>Mes 7 (€)</t>
        </is>
      </c>
      <c r="I4" s="41" t="inlineStr">
        <is>
          <t>Mes 8 (€)</t>
        </is>
      </c>
      <c r="J4" s="41" t="inlineStr">
        <is>
          <t>Mes 9 (€)</t>
        </is>
      </c>
      <c r="K4" s="41" t="inlineStr">
        <is>
          <t>Mes 10 (€)</t>
        </is>
      </c>
      <c r="L4" s="41" t="inlineStr">
        <is>
          <t>Mes 11 (€)</t>
        </is>
      </c>
      <c r="M4" s="41" t="inlineStr">
        <is>
          <t>Mes 12 (€)</t>
        </is>
      </c>
      <c r="N4" s="41" t="inlineStr">
        <is>
          <t>Año (€)</t>
        </is>
      </c>
      <c r="O4" s="44" t="n"/>
    </row>
    <row r="5">
      <c r="A5" s="44" t="inlineStr">
        <is>
          <t>Estacionalidad del mes (suma 100 %)</t>
        </is>
      </c>
      <c r="B5" s="77" t="n">
        <v>0.07000000000000001</v>
      </c>
      <c r="C5" s="77" t="n">
        <v>0.07199999999999999</v>
      </c>
      <c r="D5" s="77" t="n">
        <v>0.082</v>
      </c>
      <c r="E5" s="77" t="n">
        <v>0.08500000000000001</v>
      </c>
      <c r="F5" s="77" t="n">
        <v>0.09</v>
      </c>
      <c r="G5" s="77" t="n">
        <v>0.08799999999999999</v>
      </c>
      <c r="H5" s="77" t="n">
        <v>0.08500000000000001</v>
      </c>
      <c r="I5" s="77" t="n">
        <v>0.062</v>
      </c>
      <c r="J5" s="77" t="n">
        <v>0.08500000000000001</v>
      </c>
      <c r="K5" s="77" t="n">
        <v>0.08799999999999999</v>
      </c>
      <c r="L5" s="77" t="n">
        <v>0.08699999999999999</v>
      </c>
      <c r="M5" s="77" t="n">
        <v>0.106</v>
      </c>
      <c r="N5" s="46">
        <f>IFERROR(IF('2. P&amp;L 3 Años'!$B$10="","",SUM(B5:M5)),"")</f>
        <v>0.9999999999999998</v>
      </c>
      <c r="O5" s="44" t="inlineStr">
        <is>
          <t>Perfil de tu zona: agosto flojo en ciudad y fuerte en costa. Tiene que sumar 100 %</t>
        </is>
      </c>
    </row>
    <row r="6">
      <c r="A6" s="44" t="inlineStr">
        <is>
          <t>Rampa de arranque (% de la actividad de crucero)</t>
        </is>
      </c>
      <c r="B6" s="46">
        <f>IFERROR(IF('2. P&amp;L 3 Años'!$B$10="","",MIN(1,'0. Supuestos'!$B$52+(1-'0. Supuestos'!$B$52)*0/MAX(1,'0. Supuestos'!$B$53-1))),"")</f>
        <v>0.55</v>
      </c>
      <c r="C6" s="46">
        <f>IFERROR(IF('2. P&amp;L 3 Años'!$B$10="","",MIN(1,'0. Supuestos'!$B$52+(1-'0. Supuestos'!$B$52)*1/MAX(1,'0. Supuestos'!$B$53-1))),"")</f>
        <v>0.64</v>
      </c>
      <c r="D6" s="46">
        <f>IFERROR(IF('2. P&amp;L 3 Años'!$B$10="","",MIN(1,'0. Supuestos'!$B$52+(1-'0. Supuestos'!$B$52)*2/MAX(1,'0. Supuestos'!$B$53-1))),"")</f>
        <v>0.73</v>
      </c>
      <c r="E6" s="46">
        <f>IFERROR(IF('2. P&amp;L 3 Años'!$B$10="","",MIN(1,'0. Supuestos'!$B$52+(1-'0. Supuestos'!$B$52)*3/MAX(1,'0. Supuestos'!$B$53-1))),"")</f>
        <v>0.8200000000000001</v>
      </c>
      <c r="F6" s="46">
        <f>IFERROR(IF('2. P&amp;L 3 Años'!$B$10="","",MIN(1,'0. Supuestos'!$B$52+(1-'0. Supuestos'!$B$52)*4/MAX(1,'0. Supuestos'!$B$53-1))),"")</f>
        <v>0.91</v>
      </c>
      <c r="G6" s="46">
        <f>IFERROR(IF('2. P&amp;L 3 Años'!$B$10="","",MIN(1,'0. Supuestos'!$B$52+(1-'0. Supuestos'!$B$52)*5/MAX(1,'0. Supuestos'!$B$53-1))),"")</f>
        <v>1.0</v>
      </c>
      <c r="H6" s="46">
        <f>IFERROR(IF('2. P&amp;L 3 Años'!$B$10="","",MIN(1,'0. Supuestos'!$B$52+(1-'0. Supuestos'!$B$52)*6/MAX(1,'0. Supuestos'!$B$53-1))),"")</f>
        <v>1.0</v>
      </c>
      <c r="I6" s="46">
        <f>IFERROR(IF('2. P&amp;L 3 Años'!$B$10="","",MIN(1,'0. Supuestos'!$B$52+(1-'0. Supuestos'!$B$52)*7/MAX(1,'0. Supuestos'!$B$53-1))),"")</f>
        <v>1.0</v>
      </c>
      <c r="J6" s="46">
        <f>IFERROR(IF('2. P&amp;L 3 Años'!$B$10="","",MIN(1,'0. Supuestos'!$B$52+(1-'0. Supuestos'!$B$52)*8/MAX(1,'0. Supuestos'!$B$53-1))),"")</f>
        <v>1.0</v>
      </c>
      <c r="K6" s="46">
        <f>IFERROR(IF('2. P&amp;L 3 Años'!$B$10="","",MIN(1,'0. Supuestos'!$B$52+(1-'0. Supuestos'!$B$52)*9/MAX(1,'0. Supuestos'!$B$53-1))),"")</f>
        <v>1.0</v>
      </c>
      <c r="L6" s="46">
        <f>IFERROR(IF('2. P&amp;L 3 Años'!$B$10="","",MIN(1,'0. Supuestos'!$B$52+(1-'0. Supuestos'!$B$52)*10/MAX(1,'0. Supuestos'!$B$53-1))),"")</f>
        <v>1.0</v>
      </c>
      <c r="M6" s="46">
        <f>IFERROR(IF('2. P&amp;L 3 Años'!$B$10="","",MIN(1,'0. Supuestos'!$B$52+(1-'0. Supuestos'!$B$52)*11/MAX(1,'0. Supuestos'!$B$53-1))),"")</f>
        <v>1.0</v>
      </c>
      <c r="N6" s="44" t="n"/>
      <c r="O6" s="44" t="inlineStr">
        <is>
          <t>Sube en línea recta desde el porcentaje del mes 1 hasta el 100 % en los meses que digas en Supuestos. Con el mes 1 al 100 % la rampa desaparece</t>
        </is>
      </c>
    </row>
    <row r="7">
      <c r="A7" s="44" t="inlineStr">
        <is>
          <t>Reparto de la actividad por mes (calculado)</t>
        </is>
      </c>
      <c r="B7" s="46">
        <f>IFERROR(IF('2. P&amp;L 3 Años'!$B$10="","",B5*B6/SUMPRODUCT($B$5:$M$5,$B$6:$M$6)),"")</f>
        <v>0.04291893338089719</v>
      </c>
      <c r="C7" s="46">
        <f>IFERROR(IF('2. P&amp;L 3 Años'!$B$10="","",C5*C6/SUMPRODUCT($B$5:$M$5,$B$6:$M$6)),"")</f>
        <v>0.05136894675822706</v>
      </c>
      <c r="D7" s="46">
        <f>IFERROR(IF('2. P&amp;L 3 Años'!$B$10="","",D5*D6/SUMPRODUCT($B$5:$M$5,$B$6:$M$6)),"")</f>
        <v>0.06673058057611703</v>
      </c>
      <c r="E7" s="46">
        <f>IFERROR(IF('2. P&amp;L 3 Años'!$B$10="","",E5*E6/SUMPRODUCT($B$5:$M$5,$B$6:$M$6)),"")</f>
        <v>0.0776999910817801</v>
      </c>
      <c r="F7" s="46">
        <f>IFERROR(IF('2. P&amp;L 3 Años'!$B$10="","",F5*F6/SUMPRODUCT($B$5:$M$5,$B$6:$M$6)),"")</f>
        <v>0.09130027646481764</v>
      </c>
      <c r="G7" s="46">
        <f>IFERROR(IF('2. P&amp;L 3 Años'!$B$10="","",G5*G6/SUMPRODUCT($B$5:$M$5,$B$6:$M$6)),"")</f>
        <v>0.09810041915633641</v>
      </c>
      <c r="H7" s="46">
        <f>IFERROR(IF('2. P&amp;L 3 Años'!$B$10="","",H5*H6/SUMPRODUCT($B$5:$M$5,$B$6:$M$6)),"")</f>
        <v>0.09475608668509768</v>
      </c>
      <c r="I7" s="46">
        <f>IFERROR(IF('2. P&amp;L 3 Años'!$B$10="","",I5*I6/SUMPRODUCT($B$5:$M$5,$B$6:$M$6)),"")</f>
        <v>0.06911620440560065</v>
      </c>
      <c r="J7" s="46">
        <f>IFERROR(IF('2. P&amp;L 3 Años'!$B$10="","",J5*J6/SUMPRODUCT($B$5:$M$5,$B$6:$M$6)),"")</f>
        <v>0.09475608668509768</v>
      </c>
      <c r="K7" s="46">
        <f>IFERROR(IF('2. P&amp;L 3 Años'!$B$10="","",K5*K6/SUMPRODUCT($B$5:$M$5,$B$6:$M$6)),"")</f>
        <v>0.09810041915633641</v>
      </c>
      <c r="L7" s="46">
        <f>IFERROR(IF('2. P&amp;L 3 Años'!$B$10="","",L5*L6/SUMPRODUCT($B$5:$M$5,$B$6:$M$6)),"")</f>
        <v>0.0969856416659235</v>
      </c>
      <c r="M7" s="46">
        <f>IFERROR(IF('2. P&amp;L 3 Años'!$B$10="","",M5*M6/SUMPRODUCT($B$5:$M$5,$B$6:$M$6)),"")</f>
        <v>0.11816641398376886</v>
      </c>
      <c r="N7" s="46">
        <f>IFERROR(IF('2. P&amp;L 3 Años'!$B$10="","",SUM(B7:M7)),"")</f>
        <v>1.0000000000000002</v>
      </c>
      <c r="O7" s="44" t="inlineStr">
        <is>
          <t>Estacionalidad × rampa, normalizado a 100 %: el AÑO factura lo que dice el P&amp;L, pero repartido como lo reparte un local que acaba de abrir</t>
        </is>
      </c>
    </row>
    <row r="8">
      <c r="A8" s="41" t="inlineStr">
        <is>
          <t>COBROS</t>
        </is>
      </c>
      <c r="B8" s="44" t="n"/>
      <c r="C8" s="44" t="n"/>
      <c r="D8" s="44" t="n"/>
      <c r="E8" s="44" t="n"/>
      <c r="F8" s="44" t="n"/>
      <c r="G8" s="44" t="n"/>
      <c r="H8" s="44" t="n"/>
      <c r="I8" s="44" t="n"/>
      <c r="J8" s="44" t="n"/>
      <c r="K8" s="44" t="n"/>
      <c r="L8" s="44" t="n"/>
      <c r="M8" s="44" t="n"/>
      <c r="N8" s="44" t="n"/>
      <c r="O8" s="44" t="n"/>
    </row>
    <row r="9">
      <c r="A9" s="44" t="inlineStr">
        <is>
          <t>Ventas cobradas (con IVA repercutido)</t>
        </is>
      </c>
      <c r="B9" s="48">
        <f>IFERROR(IF('2. P&amp;L 3 Años'!$B$10="","",('2. P&amp;L 3 Años'!$B$10+'2. P&amp;L 3 Años'!$B$10*SUMPRODUCT('2. P&amp;L 3 Años'!$E$11:$E$12,'2. P&amp;L 3 Años'!$G$11:$G$12))*B7*(1-MIN(30,'0. Supuestos'!$B$58)/30)),"")</f>
        <v>21309.07874788193</v>
      </c>
      <c r="C9" s="48">
        <f>IFERROR(IF('2. P&amp;L 3 Años'!$B$10="","",('2. P&amp;L 3 Años'!$B$10+'2. P&amp;L 3 Años'!$B$10*SUMPRODUCT('2. P&amp;L 3 Años'!$E$11:$E$12,'2. P&amp;L 3 Años'!$G$11:$G$12))*(C7*(1-MIN(30,'0. Supuestos'!$B$58)/30)+B7*MIN(30,'0. Supuestos'!$B$58)/30)),"")</f>
        <v>25504.476589672704</v>
      </c>
      <c r="D9" s="48">
        <f>IFERROR(IF('2. P&amp;L 3 Años'!$B$10="","",('2. P&amp;L 3 Años'!$B$10+'2. P&amp;L 3 Años'!$B$10*SUMPRODUCT('2. P&amp;L 3 Años'!$E$11:$E$12,'2. P&amp;L 3 Años'!$G$11:$G$12))*(D7*(1-MIN(30,'0. Supuestos'!$B$58)/30)+C7*MIN(30,'0. Supuestos'!$B$58)/30)),"")</f>
        <v>33131.4663337198</v>
      </c>
      <c r="E9" s="48">
        <f>IFERROR(IF('2. P&amp;L 3 Años'!$B$10="","",('2. P&amp;L 3 Años'!$B$10+'2. P&amp;L 3 Años'!$B$10*SUMPRODUCT('2. P&amp;L 3 Años'!$E$11:$E$12,'2. P&amp;L 3 Años'!$G$11:$G$12))*(E7*(1-MIN(30,'0. Supuestos'!$B$58)/30)+D7*MIN(30,'0. Supuestos'!$B$58)/30)),"")</f>
        <v>38577.7347721395</v>
      </c>
      <c r="F9" s="48">
        <f>IFERROR(IF('2. P&amp;L 3 Años'!$B$10="","",('2. P&amp;L 3 Años'!$B$10+'2. P&amp;L 3 Años'!$B$10*SUMPRODUCT('2. P&amp;L 3 Años'!$E$11:$E$12,'2. P&amp;L 3 Años'!$G$11:$G$12))*(F7*(1-MIN(30,'0. Supuestos'!$B$58)/30)+E7*MIN(30,'0. Supuestos'!$B$58)/30)),"")</f>
        <v>45330.2220636761</v>
      </c>
      <c r="G9" s="48">
        <f>IFERROR(IF('2. P&amp;L 3 Años'!$B$10="","",('2. P&amp;L 3 Años'!$B$10+'2. P&amp;L 3 Años'!$B$10*SUMPRODUCT('2. P&amp;L 3 Años'!$E$11:$E$12,'2. P&amp;L 3 Años'!$G$11:$G$12))*(G7*(1-MIN(30,'0. Supuestos'!$B$58)/30)+F7*MIN(30,'0. Supuestos'!$B$58)/30)),"")</f>
        <v>48706.465709444405</v>
      </c>
      <c r="H9" s="48">
        <f>IFERROR(IF('2. P&amp;L 3 Años'!$B$10="","",('2. P&amp;L 3 Años'!$B$10+'2. P&amp;L 3 Años'!$B$10*SUMPRODUCT('2. P&amp;L 3 Años'!$E$11:$E$12,'2. P&amp;L 3 Años'!$G$11:$G$12))*(H7*(1-MIN(30,'0. Supuestos'!$B$58)/30)+G7*MIN(30,'0. Supuestos'!$B$58)/30)),"")</f>
        <v>47046.01801480426</v>
      </c>
      <c r="I9" s="48">
        <f>IFERROR(IF('2. P&amp;L 3 Años'!$B$10="","",('2. P&amp;L 3 Años'!$B$10+'2. P&amp;L 3 Años'!$B$10*SUMPRODUCT('2. P&amp;L 3 Años'!$E$11:$E$12,'2. P&amp;L 3 Años'!$G$11:$G$12))*(I7*(1-MIN(30,'0. Supuestos'!$B$58)/30)+H7*MIN(30,'0. Supuestos'!$B$58)/30)),"")</f>
        <v>34315.9190225631</v>
      </c>
      <c r="J9" s="48">
        <f>IFERROR(IF('2. P&amp;L 3 Años'!$B$10="","",('2. P&amp;L 3 Años'!$B$10+'2. P&amp;L 3 Años'!$B$10*SUMPRODUCT('2. P&amp;L 3 Años'!$E$11:$E$12,'2. P&amp;L 3 Años'!$G$11:$G$12))*(J7*(1-MIN(30,'0. Supuestos'!$B$58)/30)+I7*MIN(30,'0. Supuestos'!$B$58)/30)),"")</f>
        <v>47046.01801480426</v>
      </c>
      <c r="K9" s="48">
        <f>IFERROR(IF('2. P&amp;L 3 Años'!$B$10="","",('2. P&amp;L 3 Años'!$B$10+'2. P&amp;L 3 Años'!$B$10*SUMPRODUCT('2. P&amp;L 3 Años'!$E$11:$E$12,'2. P&amp;L 3 Años'!$G$11:$G$12))*(K7*(1-MIN(30,'0. Supuestos'!$B$58)/30)+J7*MIN(30,'0. Supuestos'!$B$58)/30)),"")</f>
        <v>48706.465709444405</v>
      </c>
      <c r="L9" s="48">
        <f>IFERROR(IF('2. P&amp;L 3 Años'!$B$10="","",('2. P&amp;L 3 Años'!$B$10+'2. P&amp;L 3 Años'!$B$10*SUMPRODUCT('2. P&amp;L 3 Años'!$E$11:$E$12,'2. P&amp;L 3 Años'!$G$11:$G$12))*(L7*(1-MIN(30,'0. Supuestos'!$B$58)/30)+K7*MIN(30,'0. Supuestos'!$B$58)/30)),"")</f>
        <v>48152.98314456435</v>
      </c>
      <c r="M9" s="48">
        <f>IFERROR(IF('2. P&amp;L 3 Años'!$B$10="","",('2. P&amp;L 3 Años'!$B$10+'2. P&amp;L 3 Años'!$B$10*SUMPRODUCT('2. P&amp;L 3 Años'!$E$11:$E$12,'2. P&amp;L 3 Años'!$G$11:$G$12))*(M7*(1-MIN(30,'0. Supuestos'!$B$58)/30)+L7*MIN(30,'0. Supuestos'!$B$58)/30)),"")</f>
        <v>58669.1518772853</v>
      </c>
      <c r="N9" s="48">
        <f>IFERROR(IF('2. P&amp;L 3 Años'!$B$10="","",SUM(B9:M9)),"")</f>
        <v>496496.00000000023</v>
      </c>
      <c r="O9" s="44" t="inlineStr">
        <is>
          <t>Ventas del mes con el IVA repercutido, corregidas por los días medios de cobro de la hoja de Supuestos</t>
        </is>
      </c>
    </row>
    <row r="10">
      <c r="A10" s="41" t="inlineStr">
        <is>
          <t>PAGOS</t>
        </is>
      </c>
      <c r="B10" s="44" t="n"/>
      <c r="C10" s="44" t="n"/>
      <c r="D10" s="44" t="n"/>
      <c r="E10" s="44" t="n"/>
      <c r="F10" s="44" t="n"/>
      <c r="G10" s="44" t="n"/>
      <c r="H10" s="44" t="n"/>
      <c r="I10" s="44" t="n"/>
      <c r="J10" s="44" t="n"/>
      <c r="K10" s="44" t="n"/>
      <c r="L10" s="44" t="n"/>
      <c r="M10" s="44" t="n"/>
      <c r="N10" s="44" t="n"/>
      <c r="O10" s="44" t="n"/>
    </row>
    <row r="11">
      <c r="A11" s="44" t="inlineStr">
        <is>
          <t>Compras y costes variables (IVA incluido)</t>
        </is>
      </c>
      <c r="B11" s="48">
        <f>IFERROR(IF('2. P&amp;L 3 Años'!$B$10="","",-('2. P&amp;L 3 Años'!$B$14*(1+'2. P&amp;L 3 Años'!$G$14)+'2. P&amp;L 3 Años'!$B$15*(1+'2. P&amp;L 3 Años'!$G$15)+'2. P&amp;L 3 Años'!$B$16*(1+'2. P&amp;L 3 Años'!$G$16)+'2. P&amp;L 3 Años'!$B$17*(1+'2. P&amp;L 3 Años'!$G$17)+'2. P&amp;L 3 Años'!$B$18*(1+'2. P&amp;L 3 Años'!$G$18)+'2. P&amp;L 3 Años'!$B$19*(1+'2. P&amp;L 3 Años'!$G$19))*B7*(1-MIN(30,'0. Supuestos'!$B$59)/30)),"")</f>
        <v>-0.0</v>
      </c>
      <c r="C11" s="48">
        <f>IFERROR(IF('2. P&amp;L 3 Años'!$B$10="","",-('2. P&amp;L 3 Años'!$B$14*(1+'2. P&amp;L 3 Años'!$G$14)+'2. P&amp;L 3 Años'!$B$15*(1+'2. P&amp;L 3 Años'!$G$15)+'2. P&amp;L 3 Años'!$B$16*(1+'2. P&amp;L 3 Años'!$G$16)+'2. P&amp;L 3 Años'!$B$17*(1+'2. P&amp;L 3 Años'!$G$17)+'2. P&amp;L 3 Años'!$B$18*(1+'2. P&amp;L 3 Años'!$G$18)+'2. P&amp;L 3 Años'!$B$19*(1+'2. P&amp;L 3 Años'!$G$19))*(C7*(1-MIN(30,'0. Supuestos'!$B$59)/30)+B7*MIN(30,'0. Supuestos'!$B$59)/30)),"")</f>
        <v>-6869.892013198969</v>
      </c>
      <c r="D11" s="48">
        <f>IFERROR(IF('2. P&amp;L 3 Años'!$B$10="","",-('2. P&amp;L 3 Años'!$B$14*(1+'2. P&amp;L 3 Años'!$G$14)+'2. P&amp;L 3 Años'!$B$15*(1+'2. P&amp;L 3 Años'!$G$15)+'2. P&amp;L 3 Años'!$B$16*(1+'2. P&amp;L 3 Años'!$G$16)+'2. P&amp;L 3 Años'!$B$17*(1+'2. P&amp;L 3 Años'!$G$17)+'2. P&amp;L 3 Años'!$B$18*(1+'2. P&amp;L 3 Años'!$G$18)+'2. P&amp;L 3 Años'!$B$19*(1+'2. P&amp;L 3 Años'!$G$19))*(D7*(1-MIN(30,'0. Supuestos'!$B$59)/30)+C7*MIN(30,'0. Supuestos'!$B$59)/30)),"")</f>
        <v>-8222.457765408011</v>
      </c>
      <c r="E11" s="48">
        <f>IFERROR(IF('2. P&amp;L 3 Años'!$B$10="","",-('2. P&amp;L 3 Años'!$B$14*(1+'2. P&amp;L 3 Años'!$G$14)+'2. P&amp;L 3 Años'!$B$15*(1+'2. P&amp;L 3 Años'!$G$15)+'2. P&amp;L 3 Años'!$B$16*(1+'2. P&amp;L 3 Años'!$G$16)+'2. P&amp;L 3 Años'!$B$17*(1+'2. P&amp;L 3 Años'!$G$17)+'2. P&amp;L 3 Años'!$B$18*(1+'2. P&amp;L 3 Años'!$G$18)+'2. P&amp;L 3 Años'!$B$19*(1+'2. P&amp;L 3 Años'!$G$19))*(E7*(1-MIN(30,'0. Supuestos'!$B$59)/30)+D7*MIN(30,'0. Supuestos'!$B$59)/30)),"")</f>
        <v>-10681.343789872471</v>
      </c>
      <c r="F11" s="48">
        <f>IFERROR(IF('2. P&amp;L 3 Años'!$B$10="","",-('2. P&amp;L 3 Años'!$B$14*(1+'2. P&amp;L 3 Años'!$G$14)+'2. P&amp;L 3 Años'!$B$15*(1+'2. P&amp;L 3 Años'!$G$15)+'2. P&amp;L 3 Años'!$B$16*(1+'2. P&amp;L 3 Años'!$G$16)+'2. P&amp;L 3 Años'!$B$17*(1+'2. P&amp;L 3 Años'!$G$17)+'2. P&amp;L 3 Años'!$B$18*(1+'2. P&amp;L 3 Años'!$G$18)+'2. P&amp;L 3 Años'!$B$19*(1+'2. P&amp;L 3 Años'!$G$19))*(F7*(1-MIN(30,'0. Supuestos'!$B$59)/30)+E7*MIN(30,'0. Supuestos'!$B$59)/30)),"")</f>
        <v>-12437.181125193978</v>
      </c>
      <c r="G11" s="48">
        <f>IFERROR(IF('2. P&amp;L 3 Años'!$B$10="","",-('2. P&amp;L 3 Años'!$B$14*(1+'2. P&amp;L 3 Años'!$G$14)+'2. P&amp;L 3 Años'!$B$15*(1+'2. P&amp;L 3 Años'!$G$15)+'2. P&amp;L 3 Años'!$B$16*(1+'2. P&amp;L 3 Años'!$G$16)+'2. P&amp;L 3 Años'!$B$17*(1+'2. P&amp;L 3 Años'!$G$17)+'2. P&amp;L 3 Años'!$B$18*(1+'2. P&amp;L 3 Años'!$G$18)+'2. P&amp;L 3 Años'!$B$19*(1+'2. P&amp;L 3 Años'!$G$19))*(G7*(1-MIN(30,'0. Supuestos'!$B$59)/30)+F7*MIN(30,'0. Supuestos'!$B$59)/30)),"")</f>
        <v>-14614.133918986896</v>
      </c>
      <c r="H11" s="48">
        <f>IFERROR(IF('2. P&amp;L 3 Años'!$B$10="","",-('2. P&amp;L 3 Años'!$B$14*(1+'2. P&amp;L 3 Años'!$G$14)+'2. P&amp;L 3 Años'!$B$15*(1+'2. P&amp;L 3 Años'!$G$15)+'2. P&amp;L 3 Años'!$B$16*(1+'2. P&amp;L 3 Años'!$G$16)+'2. P&amp;L 3 Años'!$B$17*(1+'2. P&amp;L 3 Años'!$G$17)+'2. P&amp;L 3 Años'!$B$18*(1+'2. P&amp;L 3 Años'!$G$18)+'2. P&amp;L 3 Años'!$B$19*(1+'2. P&amp;L 3 Años'!$G$19))*(H7*(1-MIN(30,'0. Supuestos'!$B$59)/30)+G7*MIN(30,'0. Supuestos'!$B$59)/30)),"")</f>
        <v>-15702.610315883354</v>
      </c>
      <c r="I11" s="48">
        <f>IFERROR(IF('2. P&amp;L 3 Años'!$B$10="","",-('2. P&amp;L 3 Años'!$B$14*(1+'2. P&amp;L 3 Años'!$G$14)+'2. P&amp;L 3 Años'!$B$15*(1+'2. P&amp;L 3 Años'!$G$15)+'2. P&amp;L 3 Años'!$B$16*(1+'2. P&amp;L 3 Años'!$G$16)+'2. P&amp;L 3 Años'!$B$17*(1+'2. P&amp;L 3 Años'!$G$17)+'2. P&amp;L 3 Años'!$B$18*(1+'2. P&amp;L 3 Años'!$G$18)+'2. P&amp;L 3 Años'!$B$19*(1+'2. P&amp;L 3 Años'!$G$19))*(I7*(1-MIN(30,'0. Supuestos'!$B$59)/30)+H7*MIN(30,'0. Supuestos'!$B$59)/30)),"")</f>
        <v>-15167.294055114606</v>
      </c>
      <c r="J11" s="48">
        <f>IFERROR(IF('2. P&amp;L 3 Años'!$B$10="","",-('2. P&amp;L 3 Años'!$B$14*(1+'2. P&amp;L 3 Años'!$G$14)+'2. P&amp;L 3 Años'!$B$15*(1+'2. P&amp;L 3 Años'!$G$15)+'2. P&amp;L 3 Años'!$B$16*(1+'2. P&amp;L 3 Años'!$G$16)+'2. P&amp;L 3 Años'!$B$17*(1+'2. P&amp;L 3 Años'!$G$17)+'2. P&amp;L 3 Años'!$B$18*(1+'2. P&amp;L 3 Años'!$G$18)+'2. P&amp;L 3 Años'!$B$19*(1+'2. P&amp;L 3 Años'!$G$19))*(J7*(1-MIN(30,'0. Supuestos'!$B$59)/30)+I7*MIN(30,'0. Supuestos'!$B$59)/30)),"")</f>
        <v>-11063.20272255418</v>
      </c>
      <c r="K11" s="48">
        <f>IFERROR(IF('2. P&amp;L 3 Años'!$B$10="","",-('2. P&amp;L 3 Años'!$B$14*(1+'2. P&amp;L 3 Años'!$G$14)+'2. P&amp;L 3 Años'!$B$15*(1+'2. P&amp;L 3 Años'!$G$15)+'2. P&amp;L 3 Años'!$B$16*(1+'2. P&amp;L 3 Años'!$G$16)+'2. P&amp;L 3 Años'!$B$17*(1+'2. P&amp;L 3 Años'!$G$17)+'2. P&amp;L 3 Años'!$B$18*(1+'2. P&amp;L 3 Años'!$G$18)+'2. P&amp;L 3 Años'!$B$19*(1+'2. P&amp;L 3 Años'!$G$19))*(K7*(1-MIN(30,'0. Supuestos'!$B$59)/30)+J7*MIN(30,'0. Supuestos'!$B$59)/30)),"")</f>
        <v>-15167.294055114606</v>
      </c>
      <c r="L11" s="48">
        <f>IFERROR(IF('2. P&amp;L 3 Años'!$B$10="","",-('2. P&amp;L 3 Años'!$B$14*(1+'2. P&amp;L 3 Años'!$G$14)+'2. P&amp;L 3 Años'!$B$15*(1+'2. P&amp;L 3 Años'!$G$15)+'2. P&amp;L 3 Años'!$B$16*(1+'2. P&amp;L 3 Años'!$G$16)+'2. P&amp;L 3 Años'!$B$17*(1+'2. P&amp;L 3 Años'!$G$17)+'2. P&amp;L 3 Años'!$B$18*(1+'2. P&amp;L 3 Años'!$G$18)+'2. P&amp;L 3 Años'!$B$19*(1+'2. P&amp;L 3 Años'!$G$19))*(L7*(1-MIN(30,'0. Supuestos'!$B$59)/30)+K7*MIN(30,'0. Supuestos'!$B$59)/30)),"")</f>
        <v>-15702.610315883354</v>
      </c>
      <c r="M11" s="48">
        <f>IFERROR(IF('2. P&amp;L 3 Años'!$B$10="","",-('2. P&amp;L 3 Años'!$B$14*(1+'2. P&amp;L 3 Años'!$G$14)+'2. P&amp;L 3 Años'!$B$15*(1+'2. P&amp;L 3 Años'!$G$15)+'2. P&amp;L 3 Años'!$B$16*(1+'2. P&amp;L 3 Años'!$G$16)+'2. P&amp;L 3 Años'!$B$17*(1+'2. P&amp;L 3 Años'!$G$17)+'2. P&amp;L 3 Años'!$B$18*(1+'2. P&amp;L 3 Años'!$G$18)+'2. P&amp;L 3 Años'!$B$19*(1+'2. P&amp;L 3 Años'!$G$19))*(M7*(1-MIN(30,'0. Supuestos'!$B$59)/30)+L7*MIN(30,'0. Supuestos'!$B$59)/30)),"")</f>
        <v>-15524.171562293768</v>
      </c>
      <c r="N11" s="48">
        <f>IFERROR(IF('2. P&amp;L 3 Años'!$B$10="","",SUM(B11:M11)),"")</f>
        <v>-141152.1916395042</v>
      </c>
      <c r="O11" s="44" t="str">
        <f>IFERROR("Materia prima, consumibles, comisiones e imprevistos, cada uno con SU tipo de IVA (la columna del P&amp;L) y con los días de pago a proveedor de Supuestos."&amp;IF('0. Supuestos'!$B$59=0,""," Con "&amp;TEXT('0. Supuestos'!$B$59,"0")&amp;" días de pago, las primeras compras se pagan ya en el año siguiente: la columna «Año» de esta fila recoge "&amp;TEXT(MAX(0,12-ROUNDUP('0. Supuestos'!$B$59/30,0)),"0")&amp;" mensualidades de compra, no el coste del ejercicio."),"")</f>
        <v>Materia prima, consumibles, comisiones e imprevistos, cada uno con SU tipo de IVA (la columna del P&amp;L) y con los días de pago a proveedor de Supuestos. Con 30 días de pago, las primeras compras se pagan ya en el año siguiente: la columna «Año» de esta fila recoge 11 mensualidades de compra, no el coste del ejercicio.</v>
      </c>
    </row>
    <row r="12">
      <c r="A12" s="44" t="inlineStr">
        <is>
          <t>Costes fijos de explotación (IVA incluido)</t>
        </is>
      </c>
      <c r="B12" s="48">
        <f>IFERROR(IF('2. P&amp;L 3 Años'!$B$10="","",-('2. P&amp;L 3 Años'!$B$40-'2. P&amp;L 3 Años'!$B$24-'2. P&amp;L 3 Años'!$B$38-'2. P&amp;L 3 Años'!$B$39+'2. P&amp;L 3 Años'!$B$42)/12),"")</f>
        <v>-8394.666666666666</v>
      </c>
      <c r="C12" s="48">
        <f>IFERROR(IF('2. P&amp;L 3 Años'!$B$10="","",-('2. P&amp;L 3 Años'!$B$40-'2. P&amp;L 3 Años'!$B$24-'2. P&amp;L 3 Años'!$B$38-'2. P&amp;L 3 Años'!$B$39+'2. P&amp;L 3 Años'!$B$42)/12),"")</f>
        <v>-8394.666666666666</v>
      </c>
      <c r="D12" s="48">
        <f>IFERROR(IF('2. P&amp;L 3 Años'!$B$10="","",-('2. P&amp;L 3 Años'!$B$40-'2. P&amp;L 3 Años'!$B$24-'2. P&amp;L 3 Años'!$B$38-'2. P&amp;L 3 Años'!$B$39+'2. P&amp;L 3 Años'!$B$42)/12),"")</f>
        <v>-8394.666666666666</v>
      </c>
      <c r="E12" s="48">
        <f>IFERROR(IF('2. P&amp;L 3 Años'!$B$10="","",-('2. P&amp;L 3 Años'!$B$40-'2. P&amp;L 3 Años'!$B$24-'2. P&amp;L 3 Años'!$B$38-'2. P&amp;L 3 Años'!$B$39+'2. P&amp;L 3 Años'!$B$42)/12),"")</f>
        <v>-8394.666666666666</v>
      </c>
      <c r="F12" s="48">
        <f>IFERROR(IF('2. P&amp;L 3 Años'!$B$10="","",-('2. P&amp;L 3 Años'!$B$40-'2. P&amp;L 3 Años'!$B$24-'2. P&amp;L 3 Años'!$B$38-'2. P&amp;L 3 Años'!$B$39+'2. P&amp;L 3 Años'!$B$42)/12),"")</f>
        <v>-8394.666666666666</v>
      </c>
      <c r="G12" s="48">
        <f>IFERROR(IF('2. P&amp;L 3 Años'!$B$10="","",-('2. P&amp;L 3 Años'!$B$40-'2. P&amp;L 3 Años'!$B$24-'2. P&amp;L 3 Años'!$B$38-'2. P&amp;L 3 Años'!$B$39+'2. P&amp;L 3 Años'!$B$42)/12),"")</f>
        <v>-8394.666666666666</v>
      </c>
      <c r="H12" s="48">
        <f>IFERROR(IF('2. P&amp;L 3 Años'!$B$10="","",-('2. P&amp;L 3 Años'!$B$40-'2. P&amp;L 3 Años'!$B$24-'2. P&amp;L 3 Años'!$B$38-'2. P&amp;L 3 Años'!$B$39+'2. P&amp;L 3 Años'!$B$42)/12),"")</f>
        <v>-8394.666666666666</v>
      </c>
      <c r="I12" s="48">
        <f>IFERROR(IF('2. P&amp;L 3 Años'!$B$10="","",-('2. P&amp;L 3 Años'!$B$40-'2. P&amp;L 3 Años'!$B$24-'2. P&amp;L 3 Años'!$B$38-'2. P&amp;L 3 Años'!$B$39+'2. P&amp;L 3 Años'!$B$42)/12),"")</f>
        <v>-8394.666666666666</v>
      </c>
      <c r="J12" s="48">
        <f>IFERROR(IF('2. P&amp;L 3 Años'!$B$10="","",-('2. P&amp;L 3 Años'!$B$40-'2. P&amp;L 3 Años'!$B$24-'2. P&amp;L 3 Años'!$B$38-'2. P&amp;L 3 Años'!$B$39+'2. P&amp;L 3 Años'!$B$42)/12),"")</f>
        <v>-8394.666666666666</v>
      </c>
      <c r="K12" s="48">
        <f>IFERROR(IF('2. P&amp;L 3 Años'!$B$10="","",-('2. P&amp;L 3 Años'!$B$40-'2. P&amp;L 3 Años'!$B$24-'2. P&amp;L 3 Años'!$B$38-'2. P&amp;L 3 Años'!$B$39+'2. P&amp;L 3 Años'!$B$42)/12),"")</f>
        <v>-8394.666666666666</v>
      </c>
      <c r="L12" s="48">
        <f>IFERROR(IF('2. P&amp;L 3 Años'!$B$10="","",-('2. P&amp;L 3 Años'!$B$40-'2. P&amp;L 3 Años'!$B$24-'2. P&amp;L 3 Años'!$B$38-'2. P&amp;L 3 Años'!$B$39+'2. P&amp;L 3 Años'!$B$42)/12),"")</f>
        <v>-8394.666666666666</v>
      </c>
      <c r="M12" s="48">
        <f>IFERROR(IF('2. P&amp;L 3 Años'!$B$10="","",-('2. P&amp;L 3 Años'!$B$40-'2. P&amp;L 3 Años'!$B$24-'2. P&amp;L 3 Años'!$B$38-'2. P&amp;L 3 Años'!$B$39+'2. P&amp;L 3 Años'!$B$42)/12),"")</f>
        <v>-8394.666666666666</v>
      </c>
      <c r="N12" s="48">
        <f>IFERROR(IF('2. P&amp;L 3 Años'!$B$10="","",SUM(B12:M12)),"")</f>
        <v>-100736.00000000001</v>
      </c>
      <c r="O12" s="44" t="inlineStr">
        <is>
          <t>Los fijos que salen de caja, cada uno con su tipo de IVA: los seguros están exentos y no llevan</t>
        </is>
      </c>
    </row>
    <row r="13">
      <c r="A13" s="44" t="inlineStr">
        <is>
          <t>Nóminas y Seguridad Social</t>
        </is>
      </c>
      <c r="B13" s="48">
        <f>IFERROR(IF('2. P&amp;L 3 Años'!$B$10="","",-'2. P&amp;L 3 Años'!$B$24/MAX(12,'0. Supuestos'!$B$21)*(1+IF(1='0. Supuestos'!$B$60,(MAX(12,'0. Supuestos'!$B$21)-12)/2,0)+IF(1='0. Supuestos'!$B$61,(MAX(12,'0. Supuestos'!$B$21)-12)/2,0))),"")</f>
        <v>-10852.800000000001</v>
      </c>
      <c r="C13" s="48">
        <f>IFERROR(IF('2. P&amp;L 3 Años'!$B$10="","",-'2. P&amp;L 3 Años'!$B$24/MAX(12,'0. Supuestos'!$B$21)*(1+IF(2='0. Supuestos'!$B$60,(MAX(12,'0. Supuestos'!$B$21)-12)/2,0)+IF(2='0. Supuestos'!$B$61,(MAX(12,'0. Supuestos'!$B$21)-12)/2,0))),"")</f>
        <v>-10852.800000000001</v>
      </c>
      <c r="D13" s="48">
        <f>IFERROR(IF('2. P&amp;L 3 Años'!$B$10="","",-'2. P&amp;L 3 Años'!$B$24/MAX(12,'0. Supuestos'!$B$21)*(1+IF(3='0. Supuestos'!$B$60,(MAX(12,'0. Supuestos'!$B$21)-12)/2,0)+IF(3='0. Supuestos'!$B$61,(MAX(12,'0. Supuestos'!$B$21)-12)/2,0))),"")</f>
        <v>-10852.800000000001</v>
      </c>
      <c r="E13" s="48">
        <f>IFERROR(IF('2. P&amp;L 3 Años'!$B$10="","",-'2. P&amp;L 3 Años'!$B$24/MAX(12,'0. Supuestos'!$B$21)*(1+IF(4='0. Supuestos'!$B$60,(MAX(12,'0. Supuestos'!$B$21)-12)/2,0)+IF(4='0. Supuestos'!$B$61,(MAX(12,'0. Supuestos'!$B$21)-12)/2,0))),"")</f>
        <v>-10852.800000000001</v>
      </c>
      <c r="F13" s="48">
        <f>IFERROR(IF('2. P&amp;L 3 Años'!$B$10="","",-'2. P&amp;L 3 Años'!$B$24/MAX(12,'0. Supuestos'!$B$21)*(1+IF(5='0. Supuestos'!$B$60,(MAX(12,'0. Supuestos'!$B$21)-12)/2,0)+IF(5='0. Supuestos'!$B$61,(MAX(12,'0. Supuestos'!$B$21)-12)/2,0))),"")</f>
        <v>-10852.800000000001</v>
      </c>
      <c r="G13" s="48">
        <f>IFERROR(IF('2. P&amp;L 3 Años'!$B$10="","",-'2. P&amp;L 3 Años'!$B$24/MAX(12,'0. Supuestos'!$B$21)*(1+IF(6='0. Supuestos'!$B$60,(MAX(12,'0. Supuestos'!$B$21)-12)/2,0)+IF(6='0. Supuestos'!$B$61,(MAX(12,'0. Supuestos'!$B$21)-12)/2,0))),"")</f>
        <v>-10852.800000000001</v>
      </c>
      <c r="H13" s="48">
        <f>IFERROR(IF('2. P&amp;L 3 Años'!$B$10="","",-'2. P&amp;L 3 Años'!$B$24/MAX(12,'0. Supuestos'!$B$21)*(1+IF(7='0. Supuestos'!$B$60,(MAX(12,'0. Supuestos'!$B$21)-12)/2,0)+IF(7='0. Supuestos'!$B$61,(MAX(12,'0. Supuestos'!$B$21)-12)/2,0))),"")</f>
        <v>-21705.600000000002</v>
      </c>
      <c r="I13" s="48">
        <f>IFERROR(IF('2. P&amp;L 3 Años'!$B$10="","",-'2. P&amp;L 3 Años'!$B$24/MAX(12,'0. Supuestos'!$B$21)*(1+IF(8='0. Supuestos'!$B$60,(MAX(12,'0. Supuestos'!$B$21)-12)/2,0)+IF(8='0. Supuestos'!$B$61,(MAX(12,'0. Supuestos'!$B$21)-12)/2,0))),"")</f>
        <v>-10852.800000000001</v>
      </c>
      <c r="J13" s="48">
        <f>IFERROR(IF('2. P&amp;L 3 Años'!$B$10="","",-'2. P&amp;L 3 Años'!$B$24/MAX(12,'0. Supuestos'!$B$21)*(1+IF(9='0. Supuestos'!$B$60,(MAX(12,'0. Supuestos'!$B$21)-12)/2,0)+IF(9='0. Supuestos'!$B$61,(MAX(12,'0. Supuestos'!$B$21)-12)/2,0))),"")</f>
        <v>-10852.800000000001</v>
      </c>
      <c r="K13" s="48">
        <f>IFERROR(IF('2. P&amp;L 3 Años'!$B$10="","",-'2. P&amp;L 3 Años'!$B$24/MAX(12,'0. Supuestos'!$B$21)*(1+IF(10='0. Supuestos'!$B$60,(MAX(12,'0. Supuestos'!$B$21)-12)/2,0)+IF(10='0. Supuestos'!$B$61,(MAX(12,'0. Supuestos'!$B$21)-12)/2,0))),"")</f>
        <v>-10852.800000000001</v>
      </c>
      <c r="L13" s="48">
        <f>IFERROR(IF('2. P&amp;L 3 Años'!$B$10="","",-'2. P&amp;L 3 Años'!$B$24/MAX(12,'0. Supuestos'!$B$21)*(1+IF(11='0. Supuestos'!$B$60,(MAX(12,'0. Supuestos'!$B$21)-12)/2,0)+IF(11='0. Supuestos'!$B$61,(MAX(12,'0. Supuestos'!$B$21)-12)/2,0))),"")</f>
        <v>-10852.800000000001</v>
      </c>
      <c r="M13" s="48">
        <f>IFERROR(IF('2. P&amp;L 3 Años'!$B$10="","",-'2. P&amp;L 3 Años'!$B$24/MAX(12,'0. Supuestos'!$B$21)*(1+IF(12='0. Supuestos'!$B$60,(MAX(12,'0. Supuestos'!$B$21)-12)/2,0)+IF(12='0. Supuestos'!$B$61,(MAX(12,'0. Supuestos'!$B$21)-12)/2,0))),"")</f>
        <v>-21705.600000000002</v>
      </c>
      <c r="N13" s="48">
        <f>IFERROR(IF('2. P&amp;L 3 Años'!$B$10="","",SUM(B13:M13)),"")</f>
        <v>-151939.2</v>
      </c>
      <c r="O13" s="44" t="inlineStr">
        <is>
          <t>Doce mensualidades más las pagas extra en los meses que digas en Supuestos. La suma del año es la misma que la del P&amp;L</t>
        </is>
      </c>
    </row>
    <row r="14">
      <c r="A14" s="44" t="inlineStr">
        <is>
          <t>Intereses del préstamo</t>
        </is>
      </c>
      <c r="B14" s="48">
        <f>IFERROR(IF('2. P&amp;L 3 Años'!$B$10="","",-'7. Financiación'!$B$44/12),"")</f>
        <v>-640.0</v>
      </c>
      <c r="C14" s="48">
        <f>IFERROR(IF('2. P&amp;L 3 Años'!$B$10="","",-'7. Financiación'!$B$44/12),"")</f>
        <v>-640.0</v>
      </c>
      <c r="D14" s="48">
        <f>IFERROR(IF('2. P&amp;L 3 Años'!$B$10="","",-'7. Financiación'!$B$44/12),"")</f>
        <v>-640.0</v>
      </c>
      <c r="E14" s="48">
        <f>IFERROR(IF('2. P&amp;L 3 Años'!$B$10="","",-'7. Financiación'!$B$44/12),"")</f>
        <v>-640.0</v>
      </c>
      <c r="F14" s="48">
        <f>IFERROR(IF('2. P&amp;L 3 Años'!$B$10="","",-'7. Financiación'!$B$44/12),"")</f>
        <v>-640.0</v>
      </c>
      <c r="G14" s="48">
        <f>IFERROR(IF('2. P&amp;L 3 Años'!$B$10="","",-'7. Financiación'!$B$44/12),"")</f>
        <v>-640.0</v>
      </c>
      <c r="H14" s="48">
        <f>IFERROR(IF('2. P&amp;L 3 Años'!$B$10="","",-'7. Financiación'!$B$44/12),"")</f>
        <v>-640.0</v>
      </c>
      <c r="I14" s="48">
        <f>IFERROR(IF('2. P&amp;L 3 Años'!$B$10="","",-'7. Financiación'!$B$44/12),"")</f>
        <v>-640.0</v>
      </c>
      <c r="J14" s="48">
        <f>IFERROR(IF('2. P&amp;L 3 Años'!$B$10="","",-'7. Financiación'!$B$44/12),"")</f>
        <v>-640.0</v>
      </c>
      <c r="K14" s="48">
        <f>IFERROR(IF('2. P&amp;L 3 Años'!$B$10="","",-'7. Financiación'!$B$44/12),"")</f>
        <v>-640.0</v>
      </c>
      <c r="L14" s="48">
        <f>IFERROR(IF('2. P&amp;L 3 Años'!$B$10="","",-'7. Financiación'!$B$44/12),"")</f>
        <v>-640.0</v>
      </c>
      <c r="M14" s="48">
        <f>IFERROR(IF('2. P&amp;L 3 Años'!$B$10="","",-'7. Financiación'!$B$44/12),"")</f>
        <v>-640.0</v>
      </c>
      <c r="N14" s="48">
        <f>IFERROR(IF('2. P&amp;L 3 Años'!$B$10="","",SUM(B14:M14)),"")</f>
        <v>-7680.0</v>
      </c>
      <c r="O14" s="44" t="n"/>
    </row>
    <row r="15">
      <c r="A15" s="44" t="inlineStr">
        <is>
          <t>Devolución de principal del préstamo</t>
        </is>
      </c>
      <c r="B15" s="48">
        <f>IFERROR(IF('2. P&amp;L 3 Años'!$B$10="","",-'7. Financiación'!$B$45/12),"")</f>
        <v>0.0</v>
      </c>
      <c r="C15" s="48">
        <f>IFERROR(IF('2. P&amp;L 3 Años'!$B$10="","",-'7. Financiación'!$B$45/12),"")</f>
        <v>0.0</v>
      </c>
      <c r="D15" s="48">
        <f>IFERROR(IF('2. P&amp;L 3 Años'!$B$10="","",-'7. Financiación'!$B$45/12),"")</f>
        <v>0.0</v>
      </c>
      <c r="E15" s="48">
        <f>IFERROR(IF('2. P&amp;L 3 Años'!$B$10="","",-'7. Financiación'!$B$45/12),"")</f>
        <v>0.0</v>
      </c>
      <c r="F15" s="48">
        <f>IFERROR(IF('2. P&amp;L 3 Años'!$B$10="","",-'7. Financiación'!$B$45/12),"")</f>
        <v>0.0</v>
      </c>
      <c r="G15" s="48">
        <f>IFERROR(IF('2. P&amp;L 3 Años'!$B$10="","",-'7. Financiación'!$B$45/12),"")</f>
        <v>0.0</v>
      </c>
      <c r="H15" s="48">
        <f>IFERROR(IF('2. P&amp;L 3 Años'!$B$10="","",-'7. Financiación'!$B$45/12),"")</f>
        <v>0.0</v>
      </c>
      <c r="I15" s="48">
        <f>IFERROR(IF('2. P&amp;L 3 Años'!$B$10="","",-'7. Financiación'!$B$45/12),"")</f>
        <v>0.0</v>
      </c>
      <c r="J15" s="48">
        <f>IFERROR(IF('2. P&amp;L 3 Años'!$B$10="","",-'7. Financiación'!$B$45/12),"")</f>
        <v>0.0</v>
      </c>
      <c r="K15" s="48">
        <f>IFERROR(IF('2. P&amp;L 3 Años'!$B$10="","",-'7. Financiación'!$B$45/12),"")</f>
        <v>0.0</v>
      </c>
      <c r="L15" s="48">
        <f>IFERROR(IF('2. P&amp;L 3 Años'!$B$10="","",-'7. Financiación'!$B$45/12),"")</f>
        <v>0.0</v>
      </c>
      <c r="M15" s="48">
        <f>IFERROR(IF('2. P&amp;L 3 Años'!$B$10="","",-'7. Financiación'!$B$45/12),"")</f>
        <v>0.0</v>
      </c>
      <c r="N15" s="48">
        <f>IFERROR(IF('2. P&amp;L 3 Años'!$B$10="","",SUM(B15:M15)),"")</f>
        <v>0.0</v>
      </c>
      <c r="O15" s="44" t="n"/>
    </row>
    <row r="16">
      <c r="A16" s="44" t="inlineStr">
        <is>
          <t>IVA repercutido del mes (memoria)</t>
        </is>
      </c>
      <c r="B16" s="48">
        <f>IFERROR(IF('2. P&amp;L 3 Años'!$B$10="","",'2. P&amp;L 3 Años'!$B$10*B7*SUMPRODUCT('2. P&amp;L 3 Años'!$E$11:$E$12,'2. P&amp;L 3 Años'!$G$11:$G$12)),"")</f>
        <v>1937.1889770801754</v>
      </c>
      <c r="C16" s="48">
        <f>IFERROR(IF('2. P&amp;L 3 Años'!$B$10="","",'2. P&amp;L 3 Años'!$B$10*C7*SUMPRODUCT('2. P&amp;L 3 Años'!$E$11:$E$12,'2. P&amp;L 3 Años'!$G$11:$G$12)),"")</f>
        <v>2318.588780879337</v>
      </c>
      <c r="D16" s="48">
        <f>IFERROR(IF('2. P&amp;L 3 Años'!$B$10="","",'2. P&amp;L 3 Años'!$B$10*D7*SUMPRODUCT('2. P&amp;L 3 Años'!$E$11:$E$12,'2. P&amp;L 3 Años'!$G$11:$G$12)),"")</f>
        <v>3011.9514848836184</v>
      </c>
      <c r="E16" s="48">
        <f>IFERROR(IF('2. P&amp;L 3 Años'!$B$10="","",'2. P&amp;L 3 Años'!$B$10*E7*SUMPRODUCT('2. P&amp;L 3 Años'!$E$11:$E$12,'2. P&amp;L 3 Años'!$G$11:$G$12)),"")</f>
        <v>3507.066797467227</v>
      </c>
      <c r="F16" s="48">
        <f>IFERROR(IF('2. P&amp;L 3 Años'!$B$10="","",'2. P&amp;L 3 Años'!$B$10*F7*SUMPRODUCT('2. P&amp;L 3 Años'!$E$11:$E$12,'2. P&amp;L 3 Años'!$G$11:$G$12)),"")</f>
        <v>4120.92927851601</v>
      </c>
      <c r="G16" s="48">
        <f>IFERROR(IF('2. P&amp;L 3 Años'!$B$10="","",'2. P&amp;L 3 Años'!$B$10*G7*SUMPRODUCT('2. P&amp;L 3 Años'!$E$11:$E$12,'2. P&amp;L 3 Años'!$G$11:$G$12)),"")</f>
        <v>4427.8605190404005</v>
      </c>
      <c r="H16" s="48">
        <f>IFERROR(IF('2. P&amp;L 3 Años'!$B$10="","",'2. P&amp;L 3 Años'!$B$10*H7*SUMPRODUCT('2. P&amp;L 3 Años'!$E$11:$E$12,'2. P&amp;L 3 Años'!$G$11:$G$12)),"")</f>
        <v>4276.910728618569</v>
      </c>
      <c r="I16" s="48">
        <f>IFERROR(IF('2. P&amp;L 3 Años'!$B$10="","",'2. P&amp;L 3 Años'!$B$10*I7*SUMPRODUCT('2. P&amp;L 3 Años'!$E$11:$E$12,'2. P&amp;L 3 Años'!$G$11:$G$12)),"")</f>
        <v>3119.6290020511915</v>
      </c>
      <c r="J16" s="48">
        <f>IFERROR(IF('2. P&amp;L 3 Años'!$B$10="","",'2. P&amp;L 3 Años'!$B$10*J7*SUMPRODUCT('2. P&amp;L 3 Años'!$E$11:$E$12,'2. P&amp;L 3 Años'!$G$11:$G$12)),"")</f>
        <v>4276.910728618569</v>
      </c>
      <c r="K16" s="48">
        <f>IFERROR(IF('2. P&amp;L 3 Años'!$B$10="","",'2. P&amp;L 3 Años'!$B$10*K7*SUMPRODUCT('2. P&amp;L 3 Años'!$E$11:$E$12,'2. P&amp;L 3 Años'!$G$11:$G$12)),"")</f>
        <v>4427.8605190404005</v>
      </c>
      <c r="L16" s="48">
        <f>IFERROR(IF('2. P&amp;L 3 Años'!$B$10="","",'2. P&amp;L 3 Años'!$B$10*L7*SUMPRODUCT('2. P&amp;L 3 Años'!$E$11:$E$12,'2. P&amp;L 3 Años'!$G$11:$G$12)),"")</f>
        <v>4377.543922233123</v>
      </c>
      <c r="M16" s="48">
        <f>IFERROR(IF('2. P&amp;L 3 Años'!$B$10="","",'2. P&amp;L 3 Años'!$B$10*M7*SUMPRODUCT('2. P&amp;L 3 Años'!$E$11:$E$12,'2. P&amp;L 3 Años'!$G$11:$G$12)),"")</f>
        <v>5333.559261571391</v>
      </c>
      <c r="N16" s="48">
        <f>IFERROR(IF('2. P&amp;L 3 Años'!$B$10="","",SUM(B16:M16)),"")</f>
        <v>45136.000000000015</v>
      </c>
      <c r="O16" s="44" t="inlineStr">
        <is>
          <t>Cada línea de venta a SU tipo, leído de la columna de IVA del P&amp;L: en sala, alcohol incluido, el reducido (art. 91.Uno.2.2.º de la Ley 37/1992 del IVA); el alcohol que sale por delivery, al general; el pan común y las harinas panificables, al superreducido (art. 91.Dos.1.1.º)</t>
        </is>
      </c>
    </row>
    <row r="17">
      <c r="A17" s="44" t="inlineStr">
        <is>
          <t>IVA soportado del mes (memoria)</t>
        </is>
      </c>
      <c r="B17" s="48">
        <f>IFERROR(IF('2. P&amp;L 3 Años'!$B$10="","",'2. P&amp;L 3 Años'!$B$41*B7+'2. P&amp;L 3 Años'!$B$42/12),"")</f>
        <v>2195.7467353964153</v>
      </c>
      <c r="C17" s="48">
        <f>IFERROR(IF('2. P&amp;L 3 Años'!$B$10="","",'2. P&amp;L 3 Años'!$B$41*C7+'2. P&amp;L 3 Años'!$B$42/12),"")</f>
        <v>2346.9031056380986</v>
      </c>
      <c r="D17" s="48">
        <f>IFERROR(IF('2. P&amp;L 3 Años'!$B$10="","",'2. P&amp;L 3 Años'!$B$41*D7+'2. P&amp;L 3 Años'!$B$42/12),"")</f>
        <v>2621.6966124890755</v>
      </c>
      <c r="E17" s="48">
        <f>IFERROR(IF('2. P&amp;L 3 Años'!$B$10="","",'2. P&amp;L 3 Años'!$B$41*E7+'2. P&amp;L 3 Años'!$B$42/12),"")</f>
        <v>2817.9207131722114</v>
      </c>
      <c r="F17" s="48">
        <f>IFERROR(IF('2. P&amp;L 3 Años'!$B$10="","",'2. P&amp;L 3 Años'!$B$41*F7+'2. P&amp;L 3 Años'!$B$42/12),"")</f>
        <v>3061.206691661465</v>
      </c>
      <c r="G17" s="48">
        <f>IFERROR(IF('2. P&amp;L 3 Años'!$B$10="","",'2. P&amp;L 3 Años'!$B$41*G7+'2. P&amp;L 3 Años'!$B$42/12),"")</f>
        <v>3182.8496809060916</v>
      </c>
      <c r="H17" s="48">
        <f>IFERROR(IF('2. P&amp;L 3 Años'!$B$10="","",'2. P&amp;L 3 Años'!$B$41*H7+'2. P&amp;L 3 Años'!$B$42/12),"")</f>
        <v>3123.025259966111</v>
      </c>
      <c r="I17" s="48">
        <f>IFERROR(IF('2. P&amp;L 3 Años'!$B$10="","",'2. P&amp;L 3 Años'!$B$41*I7+'2. P&amp;L 3 Años'!$B$42/12),"")</f>
        <v>2664.371366092928</v>
      </c>
      <c r="J17" s="48">
        <f>IFERROR(IF('2. P&amp;L 3 Años'!$B$10="","",'2. P&amp;L 3 Años'!$B$41*J7+'2. P&amp;L 3 Años'!$B$42/12),"")</f>
        <v>3123.025259966111</v>
      </c>
      <c r="K17" s="48">
        <f>IFERROR(IF('2. P&amp;L 3 Años'!$B$10="","",'2. P&amp;L 3 Años'!$B$41*K7+'2. P&amp;L 3 Años'!$B$42/12),"")</f>
        <v>3182.8496809060916</v>
      </c>
      <c r="L17" s="48">
        <f>IFERROR(IF('2. P&amp;L 3 Años'!$B$10="","",'2. P&amp;L 3 Años'!$B$41*L7+'2. P&amp;L 3 Años'!$B$42/12),"")</f>
        <v>3162.908207259431</v>
      </c>
      <c r="M17" s="48">
        <f>IFERROR(IF('2. P&amp;L 3 Años'!$B$10="","",'2. P&amp;L 3 Años'!$B$41*M7+'2. P&amp;L 3 Años'!$B$42/12),"")</f>
        <v>3541.7962065459737</v>
      </c>
      <c r="N17" s="48">
        <f>IFERROR(IF('2. P&amp;L 3 Años'!$B$10="","",SUM(B17:M17)),"")</f>
        <v>35024.29952000001</v>
      </c>
      <c r="O17" s="44" t="inlineStr">
        <is>
          <t>Cada partida a su tipo, leído de la columna de IVA del P&amp;L: los seguros y las comisiones de los medios de pago están exentos</t>
        </is>
      </c>
    </row>
    <row r="18">
      <c r="A18" s="44" t="inlineStr">
        <is>
          <t>IVA a compensar arrastrado (inversión incluida)</t>
        </is>
      </c>
      <c r="B18" s="44" t="n"/>
      <c r="C18" s="44" t="n"/>
      <c r="D18" s="44" t="n"/>
      <c r="E18" s="48">
        <f>IFERROR(IF('2. P&amp;L 3 Años'!$B$10="","",'1. Inversión Inicial'!$B$50),"")</f>
        <v>22703.1</v>
      </c>
      <c r="F18" s="44" t="n"/>
      <c r="G18" s="44" t="n"/>
      <c r="H18" s="48">
        <f>IFERROR(IF('2. P&amp;L 3 Años'!$B$10="","",MAX(0,-E19)),"")</f>
        <v>22599.717210680457</v>
      </c>
      <c r="I18" s="44" t="n"/>
      <c r="J18" s="44" t="n"/>
      <c r="K18" s="48">
        <f>IFERROR(IF('2. P&amp;L 3 Años'!$B$10="","",MAX(0,-H19)),"")</f>
        <v>19605.837701396587</v>
      </c>
      <c r="L18" s="44" t="n"/>
      <c r="M18" s="44" t="n"/>
      <c r="N18" s="44" t="n"/>
      <c r="O18" s="44" t="inlineStr">
        <is>
          <t>El IVA soportado de la INVERSIÓN entra aquí: se compensa contra el repercutido de los trimestres siguientes hasta agotarlo (modelo 303)</t>
        </is>
      </c>
    </row>
    <row r="19">
      <c r="A19" s="44" t="inlineStr">
        <is>
          <t>Resultado de la liquidación trimestral</t>
        </is>
      </c>
      <c r="B19" s="44" t="n"/>
      <c r="C19" s="44" t="n"/>
      <c r="D19" s="44" t="n"/>
      <c r="E19" s="48">
        <f>IFERROR(IF('2. P&amp;L 3 Años'!$B$10="","",SUM(B16:D16)-SUM(B17:D17)-E18),"")</f>
        <v>-22599.717210680457</v>
      </c>
      <c r="F19" s="44" t="n"/>
      <c r="G19" s="44" t="n"/>
      <c r="H19" s="48">
        <f>IFERROR(IF('2. P&amp;L 3 Años'!$B$10="","",SUM(E16:G16)-SUM(E17:G17)-H18),"")</f>
        <v>-19605.837701396587</v>
      </c>
      <c r="I19" s="44" t="n"/>
      <c r="J19" s="44" t="n"/>
      <c r="K19" s="48">
        <f>IFERROR(IF('2. P&amp;L 3 Años'!$B$10="","",SUM(H16:J16)-SUM(H17:J17)-K18),"")</f>
        <v>-16842.809128133405</v>
      </c>
      <c r="L19" s="44" t="n"/>
      <c r="M19" s="44" t="n"/>
      <c r="N19" s="44" t="n"/>
      <c r="O19" s="44" t="inlineStr">
        <is>
          <t>Repercutido menos soportado del trimestre menos lo que venía arrastrado. En negativo NO se paga: se compensa en el trimestre siguiente</t>
        </is>
      </c>
    </row>
    <row r="20">
      <c r="A20" s="44" t="inlineStr">
        <is>
          <t>Pago del IVA (modelo 303)</t>
        </is>
      </c>
      <c r="B20" s="44" t="n"/>
      <c r="C20" s="44" t="n"/>
      <c r="D20" s="44" t="n"/>
      <c r="E20" s="48">
        <f>IFERROR(IF('2. P&amp;L 3 Años'!$B$10="","",IF(E19&lt;=0,"",-E19)),"")</f>
        <v/>
      </c>
      <c r="F20" s="44" t="n"/>
      <c r="G20" s="44" t="n"/>
      <c r="H20" s="48">
        <f>IFERROR(IF('2. P&amp;L 3 Años'!$B$10="","",IF(H19&lt;=0,"",-H19)),"")</f>
        <v/>
      </c>
      <c r="I20" s="44" t="n"/>
      <c r="J20" s="44" t="n"/>
      <c r="K20" s="48">
        <f>IFERROR(IF('2. P&amp;L 3 Años'!$B$10="","",IF(K19&lt;=0,"",-K19)),"")</f>
        <v/>
      </c>
      <c r="L20" s="44" t="n"/>
      <c r="M20" s="44" t="n"/>
      <c r="N20" s="48">
        <f>IFERROR(IF('2. P&amp;L 3 Años'!$B$10="","",SUM(B20:M20)),"")</f>
        <v>0.0</v>
      </c>
      <c r="O20" s="44" t="inlineStr">
        <is>
          <t>Sólo sale caja cuando el resultado del trimestre es positivo. Los meses sin liquidación van en blanco, no a cero. La celda se pinta en ROJO cuando el pago del 303 se lleva más caja de la que queda ese mes</t>
        </is>
      </c>
    </row>
    <row r="21">
      <c r="A21" s="41" t="inlineStr">
        <is>
          <t>FLUJO DEL MES</t>
        </is>
      </c>
      <c r="B21" s="42">
        <f>IFERROR(IF('2. P&amp;L 3 Años'!$B$10="","",SUM(B9:B15)+IF(B20="",0,B20)),"")</f>
        <v>1421.6120812152622</v>
      </c>
      <c r="C21" s="42">
        <f>IFERROR(IF('2. P&amp;L 3 Años'!$B$10="","",SUM(C9:C15)+IF(C20="",0,C20)),"")</f>
        <v>-1252.882090192932</v>
      </c>
      <c r="D21" s="42">
        <f>IFERROR(IF('2. P&amp;L 3 Años'!$B$10="","",SUM(D9:D15)+IF(D20="",0,D20)),"")</f>
        <v>5021.5419016451215</v>
      </c>
      <c r="E21" s="42">
        <f>IFERROR(IF('2. P&amp;L 3 Años'!$B$10="","",SUM(E9:E15)+IF(E20="",0,E20)),"")</f>
        <v>8008.9243156003595</v>
      </c>
      <c r="F21" s="42">
        <f>IFERROR(IF('2. P&amp;L 3 Años'!$B$10="","",SUM(F9:F15)+IF(F20="",0,F20)),"")</f>
        <v>13005.574271815452</v>
      </c>
      <c r="G21" s="42">
        <f>IFERROR(IF('2. P&amp;L 3 Años'!$B$10="","",SUM(G9:G15)+IF(G20="",0,G20)),"")</f>
        <v>14204.865123790843</v>
      </c>
      <c r="H21" s="42">
        <f>IFERROR(IF('2. P&amp;L 3 Años'!$B$10="","",SUM(H9:H15)+IF(H20="",0,H20)),"")</f>
        <v>603.1410322542324</v>
      </c>
      <c r="I21" s="42">
        <f>IFERROR(IF('2. P&amp;L 3 Años'!$B$10="","",SUM(I9:I15)+IF(I20="",0,I20)),"")</f>
        <v>-738.8416992181701</v>
      </c>
      <c r="J21" s="42">
        <f>IFERROR(IF('2. P&amp;L 3 Años'!$B$10="","",SUM(J9:J15)+IF(J20="",0,J20)),"")</f>
        <v>16095.348625583407</v>
      </c>
      <c r="K21" s="42">
        <f>IFERROR(IF('2. P&amp;L 3 Años'!$B$10="","",SUM(K9:K15)+IF(K20="",0,K20)),"")</f>
        <v>13651.70498766313</v>
      </c>
      <c r="L21" s="42">
        <f>IFERROR(IF('2. P&amp;L 3 Años'!$B$10="","",SUM(L9:L15)+IF(L20="",0,L20)),"")</f>
        <v>12562.906162014327</v>
      </c>
      <c r="M21" s="42">
        <f>IFERROR(IF('2. P&amp;L 3 Años'!$B$10="","",SUM(M9:M15)+IF(M20="",0,M20)),"")</f>
        <v>12404.713648324865</v>
      </c>
      <c r="N21" s="42">
        <f>IFERROR(IF('2. P&amp;L 3 Años'!$B$10="","",SUM(B21:M21)),"")</f>
        <v>94988.6083604959</v>
      </c>
      <c r="O21" s="44" t="n"/>
    </row>
    <row r="22">
      <c r="A22" s="41" t="inlineStr">
        <is>
          <t>SALDO ACUMULADO DE CAJA</t>
        </is>
      </c>
      <c r="B22" s="42">
        <f>IFERROR(IF('2. P&amp;L 3 Años'!$B$10="","",'1. Inversión Inicial'!$B$47+B21),"")</f>
        <v>62226.41208121527</v>
      </c>
      <c r="C22" s="42">
        <f>IFERROR(IF('2. P&amp;L 3 Años'!$B$10="","",B22+C21),"")</f>
        <v>60973.52999102234</v>
      </c>
      <c r="D22" s="42">
        <f>IFERROR(IF('2. P&amp;L 3 Años'!$B$10="","",C22+D21),"")</f>
        <v>65995.07189266746</v>
      </c>
      <c r="E22" s="42">
        <f>IFERROR(IF('2. P&amp;L 3 Años'!$B$10="","",D22+E21),"")</f>
        <v>74003.99620826782</v>
      </c>
      <c r="F22" s="42">
        <f>IFERROR(IF('2. P&amp;L 3 Años'!$B$10="","",E22+F21),"")</f>
        <v>87009.57048008328</v>
      </c>
      <c r="G22" s="42">
        <f>IFERROR(IF('2. P&amp;L 3 Años'!$B$10="","",F22+G21),"")</f>
        <v>101214.43560387412</v>
      </c>
      <c r="H22" s="42">
        <f>IFERROR(IF('2. P&amp;L 3 Años'!$B$10="","",G22+H21),"")</f>
        <v>101817.57663612836</v>
      </c>
      <c r="I22" s="42">
        <f>IFERROR(IF('2. P&amp;L 3 Años'!$B$10="","",H22+I21),"")</f>
        <v>101078.73493691019</v>
      </c>
      <c r="J22" s="42">
        <f>IFERROR(IF('2. P&amp;L 3 Años'!$B$10="","",I22+J21),"")</f>
        <v>117174.08356249359</v>
      </c>
      <c r="K22" s="42">
        <f>IFERROR(IF('2. P&amp;L 3 Años'!$B$10="","",J22+K21),"")</f>
        <v>130825.78855015672</v>
      </c>
      <c r="L22" s="42">
        <f>IFERROR(IF('2. P&amp;L 3 Años'!$B$10="","",K22+L21),"")</f>
        <v>143388.69471217104</v>
      </c>
      <c r="M22" s="42">
        <f>IFERROR(IF('2. P&amp;L 3 Años'!$B$10="","",L22+M21),"")</f>
        <v>155793.4083604959</v>
      </c>
      <c r="N22" s="44" t="n"/>
      <c r="O22" s="44" t="n"/>
    </row>
    <row r="23">
      <c r="A23" s="44" t="inlineStr">
        <is>
          <t>Saldo mínimo del año</t>
        </is>
      </c>
      <c r="B23" s="48">
        <f>IFERROR(IF('2. P&amp;L 3 Años'!$B$10="","",IF(COUNT(B22:M22)=0,"",MIN(B22:M22))),"")</f>
        <v>60973.52999102234</v>
      </c>
      <c r="C23" s="44" t="n"/>
      <c r="D23" s="44" t="inlineStr">
        <is>
          <t>Si es negativo, sube el fondo de maniobra o el préstamo: te quedas sin caja</t>
        </is>
      </c>
      <c r="E23" s="44" t="n"/>
      <c r="F23" s="44" t="n"/>
      <c r="G23" s="44" t="n"/>
      <c r="H23" s="44" t="n"/>
      <c r="I23" s="44" t="n"/>
      <c r="J23" s="44" t="n"/>
      <c r="K23" s="44" t="n"/>
      <c r="L23" s="44" t="n"/>
      <c r="M23" s="44" t="n"/>
      <c r="N23" s="44" t="n"/>
      <c r="O23" s="44" t="n"/>
    </row>
    <row r="24">
      <c r="A24" s="44" t="inlineStr">
        <is>
          <t>Mes en el que la caja toca fondo</t>
        </is>
      </c>
      <c r="B24" s="55">
        <f>IFERROR(IF('2. P&amp;L 3 Años'!$B$10="","",IF(COUNT(B22:M22)=0,"",MATCH(MIN(B22:M22),B22:M22,0))),"")</f>
        <v>2.0</v>
      </c>
      <c r="C24" s="44" t="n"/>
      <c r="D24" s="44" t="inlineStr">
        <is>
          <t>Es la respuesta a la pregunta que decide una operación bancaria: en qué mes se agota la caja</t>
        </is>
      </c>
      <c r="E24" s="44" t="n"/>
      <c r="F24" s="44" t="n"/>
      <c r="G24" s="44" t="n"/>
      <c r="H24" s="44" t="n"/>
      <c r="I24" s="44" t="n"/>
      <c r="J24" s="44" t="n"/>
      <c r="K24" s="44" t="n"/>
      <c r="L24" s="44" t="n"/>
      <c r="M24" s="44" t="n"/>
      <c r="N24" s="44" t="n"/>
      <c r="O24" s="44" t="n"/>
    </row>
    <row r="25">
      <c r="A25" s="41" t="inlineStr">
        <is>
          <t>RETORNO DE LA INVERSIÓN</t>
        </is>
      </c>
      <c r="B25" s="44" t="n"/>
      <c r="C25" s="44" t="n"/>
      <c r="D25" s="44" t="n"/>
      <c r="E25" s="44" t="n"/>
      <c r="F25" s="44" t="n"/>
      <c r="G25" s="44" t="n"/>
      <c r="H25" s="44" t="n"/>
      <c r="I25" s="44" t="n"/>
      <c r="J25" s="44" t="n"/>
      <c r="K25" s="44" t="n"/>
      <c r="L25" s="44" t="n"/>
      <c r="M25" s="44" t="n"/>
      <c r="N25" s="44" t="n"/>
      <c r="O25" s="44" t="n"/>
    </row>
    <row r="26">
      <c r="A26" s="44" t="inlineStr">
        <is>
          <t>Flujo de caja libre antes de la deuda, año 1</t>
        </is>
      </c>
      <c r="B26" s="48">
        <f>IFERROR(IF('2. P&amp;L 3 Años'!$B$10="","",'2. P&amp;L 3 Años'!$B$50+'2. P&amp;L 3 Años'!$B$38+'7. Financiación'!$B$44),"")</f>
        <v>65062.18999999997</v>
      </c>
      <c r="C26" s="44" t="n"/>
      <c r="D26" s="44" t="inlineStr">
        <is>
          <t>Resultado neto más amortización (que no se paga) más los intereses de ese año: el principal no se resta porque este flujo es ANTES de la deuda. La MISMA base que los años 2 y 3, para que el payback compare peras con peras</t>
        </is>
      </c>
      <c r="E26" s="44" t="n"/>
      <c r="F26" s="44" t="n"/>
      <c r="G26" s="44" t="n"/>
      <c r="H26" s="44" t="n"/>
      <c r="I26" s="44" t="n"/>
      <c r="J26" s="44" t="n"/>
      <c r="K26" s="44" t="n"/>
      <c r="L26" s="44" t="n"/>
      <c r="M26" s="44" t="n"/>
      <c r="N26" s="44" t="n"/>
      <c r="O26" s="44" t="n"/>
    </row>
    <row r="27">
      <c r="A27" s="44" t="inlineStr">
        <is>
          <t>Flujo de caja libre antes de la deuda, año 2</t>
        </is>
      </c>
      <c r="B27" s="48">
        <f>IFERROR(IF('2. P&amp;L 3 Años'!$B$10="","",'2. P&amp;L 3 Años'!$C$50+'2. P&amp;L 3 Años'!$C$38+'7. Financiación'!$B$46),"")</f>
        <v>86242.626</v>
      </c>
      <c r="C27" s="44" t="n"/>
      <c r="D27" s="44" t="inlineStr">
        <is>
          <t>Resultado neto más amortización (que no se paga) más los intereses de ese año: el principal no se resta porque este flujo es ANTES de la deuda. Sin tabla mensual, es una estimación</t>
        </is>
      </c>
      <c r="E27" s="44" t="n"/>
      <c r="F27" s="44" t="n"/>
      <c r="G27" s="44" t="n"/>
      <c r="H27" s="44" t="n"/>
      <c r="I27" s="44" t="n"/>
      <c r="J27" s="44" t="n"/>
      <c r="K27" s="44" t="n"/>
      <c r="L27" s="44" t="n"/>
      <c r="M27" s="44" t="n"/>
      <c r="N27" s="44" t="n"/>
      <c r="O27" s="44" t="n"/>
    </row>
    <row r="28">
      <c r="A28" s="44" t="inlineStr">
        <is>
          <t>Flujo de caja libre antes de la deuda, año 3</t>
        </is>
      </c>
      <c r="B28" s="48">
        <f>IFERROR(IF('2. P&amp;L 3 Años'!$B$10="","",'2. P&amp;L 3 Años'!$D$50+'2. P&amp;L 3 Años'!$D$38+'7. Financiación'!$B$48),"")</f>
        <v>88559.90295332819</v>
      </c>
      <c r="C28" s="44" t="n"/>
      <c r="D28" s="44" t="inlineStr">
        <is>
          <t>Resultado neto más amortización (que no se paga) más los intereses de ese año: el principal no se resta porque este flujo es ANTES de la deuda. Sin tabla mensual, es una estimación</t>
        </is>
      </c>
      <c r="E28" s="44" t="n"/>
      <c r="F28" s="44" t="n"/>
      <c r="G28" s="44" t="n"/>
      <c r="H28" s="44" t="n"/>
      <c r="I28" s="44" t="n"/>
      <c r="J28" s="44" t="n"/>
      <c r="K28" s="44" t="n"/>
      <c r="L28" s="44" t="n"/>
      <c r="M28" s="44" t="n"/>
      <c r="N28" s="44" t="n"/>
      <c r="O28" s="44" t="n"/>
    </row>
    <row r="29">
      <c r="A29" s="44" t="inlineStr">
        <is>
          <t>Informativo: flujo REAL de caja del año 1 (tabla mensual, antes de la deuda)</t>
        </is>
      </c>
      <c r="B29" s="48">
        <f>IFERROR(IF('2. P&amp;L 3 Años'!$B$10="","",N21+'7. Financiación'!$B$44+'7. Financiación'!$B$45),"")</f>
        <v>102668.6083604959</v>
      </c>
      <c r="C29" s="44" t="n"/>
      <c r="D29" s="44" t="inlineStr">
        <is>
          <t>La suma de los doce FLUJO DEL MES de arriba, devolviéndole los intereses y el principal que se pagaron ese año. NO es la que usa el payback: lleva dentro el IVA que todavía no se ha liquidado y el crédito del proveedor, dos cosas que hay que devolver y que los años 2 y 3 no tienen</t>
        </is>
      </c>
      <c r="E29" s="44" t="n"/>
      <c r="F29" s="44" t="n"/>
      <c r="G29" s="44" t="n"/>
      <c r="H29" s="44" t="n"/>
      <c r="I29" s="44" t="n"/>
      <c r="J29" s="44" t="n"/>
      <c r="K29" s="44" t="n"/>
      <c r="L29" s="44" t="n"/>
      <c r="M29" s="44" t="n"/>
      <c r="N29" s="44" t="n"/>
      <c r="O29" s="44" t="n"/>
    </row>
    <row r="30">
      <c r="A30" s="44" t="inlineStr">
        <is>
          <t>Inversión a recuperar (sin el IVA, que se recupera por el 303)</t>
        </is>
      </c>
      <c r="B30" s="48">
        <f>IFERROR(IF('2. P&amp;L 3 Años'!$B$10="","",'1. Inversión Inicial'!$B$51-'1. Inversión Inicial'!$B$50),"")</f>
        <v>179014.80000000002</v>
      </c>
      <c r="C30" s="44" t="n"/>
      <c r="D30" s="44" t="inlineStr">
        <is>
          <t>CAPEX más fondo de maniobra: la necesidad total de caja MENOS el IVA soportado de la inversión, que no se pierde (se recupera con el modelo 303 y esta misma hoja lo compensa trimestre a trimestre). El fondo de maniobra sí se recupera al cerrar, pero hasta entonces está inmovilizado</t>
        </is>
      </c>
      <c r="E30" s="44" t="n"/>
      <c r="F30" s="44" t="n"/>
      <c r="G30" s="44" t="n"/>
      <c r="H30" s="44" t="n"/>
      <c r="I30" s="44" t="n"/>
      <c r="J30" s="44" t="n"/>
      <c r="K30" s="44" t="n"/>
      <c r="L30" s="44" t="n"/>
      <c r="M30" s="44" t="n"/>
      <c r="N30" s="44" t="n"/>
      <c r="O30" s="44" t="n"/>
    </row>
    <row r="31">
      <c r="A31" s="41" t="inlineStr">
        <is>
          <t>Payback del proyecto (años), antes de la deuda</t>
        </is>
      </c>
      <c r="B31" s="41">
        <f>IFERROR(IF('2. P&amp;L 3 Años'!$B$10="","",IF(B26&gt;=B30,ROUND(B30/B26,1),IF(B26+B27&gt;=B30,ROUND(1+(B30-B26)/B27,1),IF(B26+B27+B28&gt;=B30,ROUND(2+(B30-B26-B27)/B28,1),"Más de 3 años")))),"")</f>
        <v>2.3</v>
      </c>
      <c r="C31" s="44" t="n"/>
      <c r="D31" s="41" t="inlineStr">
        <is>
          <t>Mide cuánto tarda el negocio en devolver la inversión con lo que genera ANTES de pagar al banco, con la MISMA base de flujo en los tres años; si puedes pagar la cuota lo dice el DSCR de la hoja de Financiación. El documento Word del pack sigue en la versión 1.1 y no lee esta celda: las cifras válidas son las de este libro</t>
        </is>
      </c>
      <c r="E31" s="44" t="n"/>
      <c r="F31" s="44" t="n"/>
      <c r="G31" s="44" t="n"/>
      <c r="H31" s="44" t="n"/>
      <c r="I31" s="44" t="n"/>
      <c r="J31" s="44" t="n"/>
      <c r="K31" s="44" t="n"/>
      <c r="L31" s="44" t="n"/>
      <c r="M31" s="44" t="n"/>
      <c r="N31" s="44" t="n"/>
      <c r="O31" s="44" t="n"/>
    </row>
    <row r="32">
      <c r="A32" s="44" t="inlineStr">
        <is>
          <t>Payback sobre el CAPEX, sin fondo de maniobra (años)</t>
        </is>
      </c>
      <c r="B32" s="44">
        <f>IFERROR(IF('2. P&amp;L 3 Años'!$B$10="","",IF(B26&gt;='1. Inversión Inicial'!$B$49,ROUND('1. Inversión Inicial'!$B$49/B26,1),IF(B26+B27&gt;='1. Inversión Inicial'!$B$49,ROUND(1+('1. Inversión Inicial'!$B$49-B26)/B27,1),IF(B26+B27+B28&gt;='1. Inversión Inicial'!$B$49,ROUND(2+('1. Inversión Inicial'!$B$49-B26-B27)/B28,1),"Más de 3 años")))),"")</f>
        <v>1.6</v>
      </c>
      <c r="C32" s="44" t="n"/>
      <c r="D32" s="44" t="inlineStr">
        <is>
          <t>El mismo cálculo sobre lo que se COMPRA (obra, equipamiento, lanzamiento y constitución), sin el fondo de maniobra: ese dinero no se gasta, se inmoviliza y vuelve al cerrar el negocio. Informativo: el payback que se publica es el de arriba</t>
        </is>
      </c>
      <c r="E32" s="44" t="n"/>
      <c r="F32" s="44" t="n"/>
      <c r="G32" s="44" t="n"/>
      <c r="H32" s="44" t="n"/>
      <c r="I32" s="44" t="n"/>
      <c r="J32" s="44" t="n"/>
      <c r="K32" s="44" t="n"/>
      <c r="L32" s="44" t="n"/>
      <c r="M32" s="44" t="n"/>
      <c r="N32" s="44" t="n"/>
      <c r="O32" s="44" t="n"/>
    </row>
    <row r="33">
      <c r="A33" s="44" t="n"/>
      <c r="B33" s="44" t="n"/>
      <c r="C33" s="44" t="n"/>
      <c r="D33" s="44" t="n"/>
      <c r="E33" s="44" t="n"/>
      <c r="F33" s="44" t="n"/>
      <c r="G33" s="44" t="n"/>
      <c r="H33" s="44" t="n"/>
      <c r="I33" s="44" t="n"/>
      <c r="J33" s="44" t="n"/>
      <c r="K33" s="44" t="n"/>
      <c r="L33" s="44" t="n"/>
      <c r="M33" s="44" t="n"/>
      <c r="N33" s="44" t="n"/>
      <c r="O33" s="44" t="n"/>
    </row>
    <row r="34" ht="120" customHeight="1">
      <c r="A34" s="63" t="inlineStr">
        <is>
          <t>El IVA del cuarto trimestre se liquida en enero del año siguiente, así que no aparece en este cuadro. El Impuesto de Sociedades del año 1 se paga en julio del año 2. La cuota del préstamo se reparte en doce partes iguales siguiendo el cuadro ANUAL de la hoja de Financiación, y las nóminas en doce mensualidades más las dos pagas extra en su mes.</t>
        </is>
      </c>
      <c r="B34" s="44" t="n"/>
      <c r="C34" s="44" t="n"/>
      <c r="D34" s="44" t="n"/>
      <c r="E34" s="44" t="n"/>
      <c r="F34" s="44" t="n"/>
      <c r="G34" s="44" t="n"/>
      <c r="H34" s="44" t="n"/>
      <c r="I34" s="44" t="n"/>
      <c r="J34" s="44" t="n"/>
      <c r="K34" s="44" t="n"/>
      <c r="L34" s="44" t="n"/>
      <c r="M34" s="44" t="n"/>
      <c r="N34" s="44" t="n"/>
      <c r="O34" s="44" t="n"/>
    </row>
    <row r="35">
      <c r="A35" s="44" t="n"/>
      <c r="B35" s="44" t="n"/>
      <c r="C35" s="44" t="n"/>
      <c r="D35" s="44" t="n"/>
      <c r="E35" s="44" t="n"/>
      <c r="F35" s="44" t="n"/>
      <c r="G35" s="44" t="n"/>
      <c r="H35" s="44" t="n"/>
      <c r="I35" s="44" t="n"/>
      <c r="J35" s="44" t="n"/>
      <c r="K35" s="44" t="n"/>
      <c r="L35" s="44" t="n"/>
      <c r="M35" s="44" t="n"/>
      <c r="N35" s="44" t="n"/>
      <c r="O35" s="44" t="n"/>
    </row>
    <row r="36">
      <c r="A36" s="44" t="n"/>
      <c r="B36" s="44" t="n"/>
      <c r="C36" s="44" t="n"/>
      <c r="D36" s="44" t="n"/>
      <c r="E36" s="44" t="n"/>
      <c r="F36" s="44" t="n"/>
      <c r="G36" s="44" t="n"/>
      <c r="H36" s="44" t="n"/>
      <c r="I36" s="44" t="n"/>
      <c r="J36" s="44" t="n"/>
      <c r="K36" s="44" t="n"/>
      <c r="L36" s="44" t="n"/>
      <c r="M36" s="44" t="n"/>
      <c r="N36" s="44" t="n"/>
      <c r="O36" s="44" t="n"/>
    </row>
    <row r="37">
      <c r="A37" s="44" t="n"/>
      <c r="B37" s="44" t="n"/>
      <c r="C37" s="44" t="n"/>
      <c r="D37" s="44" t="n"/>
      <c r="E37" s="44" t="n"/>
      <c r="F37" s="44" t="n"/>
      <c r="G37" s="44" t="n"/>
      <c r="H37" s="44" t="n"/>
      <c r="I37" s="44" t="n"/>
      <c r="J37" s="44" t="n"/>
      <c r="K37" s="44" t="n"/>
      <c r="L37" s="44" t="n"/>
      <c r="M37" s="44" t="n"/>
      <c r="N37" s="44" t="n"/>
      <c r="O37" s="44" t="n"/>
    </row>
    <row r="38">
      <c r="A38" s="44" t="n"/>
      <c r="B38" s="44" t="n"/>
      <c r="C38" s="44" t="n"/>
      <c r="D38" s="44" t="n"/>
      <c r="E38" s="44" t="n"/>
      <c r="F38" s="44" t="n"/>
      <c r="G38" s="44" t="n"/>
      <c r="H38" s="44" t="n"/>
      <c r="I38" s="44" t="n"/>
      <c r="J38" s="44" t="n"/>
      <c r="K38" s="44" t="n"/>
      <c r="L38" s="44" t="n"/>
      <c r="M38" s="44" t="n"/>
      <c r="N38" s="44" t="n"/>
      <c r="O38" s="44" t="n"/>
    </row>
    <row r="39">
      <c r="A39" s="44" t="n"/>
      <c r="B39" s="44" t="n"/>
      <c r="C39" s="44" t="n"/>
      <c r="D39" s="44" t="n"/>
      <c r="E39" s="44" t="n"/>
      <c r="F39" s="44" t="n"/>
      <c r="G39" s="44" t="n"/>
      <c r="H39" s="44" t="n"/>
      <c r="I39" s="44" t="n"/>
      <c r="J39" s="44" t="n"/>
      <c r="K39" s="44" t="n"/>
      <c r="L39" s="44" t="n"/>
      <c r="M39" s="44" t="n"/>
      <c r="N39" s="44" t="n"/>
      <c r="O39" s="44" t="n"/>
    </row>
    <row r="40">
      <c r="A40" s="44" t="n"/>
      <c r="B40" s="44" t="n"/>
      <c r="C40" s="44" t="n"/>
      <c r="D40" s="44" t="n"/>
      <c r="E40" s="44" t="n"/>
      <c r="F40" s="44" t="n"/>
      <c r="G40" s="44" t="n"/>
      <c r="H40" s="44" t="n"/>
      <c r="I40" s="44" t="n"/>
      <c r="J40" s="44" t="n"/>
      <c r="K40" s="44" t="n"/>
      <c r="L40" s="44" t="n"/>
      <c r="M40" s="44" t="n"/>
      <c r="N40" s="44" t="n"/>
      <c r="O40" s="44" t="n"/>
    </row>
    <row r="41">
      <c r="A41" s="44" t="n"/>
      <c r="B41" s="44" t="n"/>
      <c r="C41" s="44" t="n"/>
      <c r="D41" s="44" t="n"/>
      <c r="E41" s="44" t="n"/>
      <c r="F41" s="44" t="n"/>
      <c r="G41" s="44" t="n"/>
      <c r="H41" s="44" t="n"/>
      <c r="I41" s="44" t="n"/>
      <c r="J41" s="44" t="n"/>
      <c r="K41" s="44" t="n"/>
      <c r="L41" s="44" t="n"/>
      <c r="M41" s="44" t="n"/>
      <c r="N41" s="44" t="n"/>
      <c r="O41" s="44" t="n"/>
    </row>
    <row r="42">
      <c r="A42" s="44" t="n"/>
      <c r="B42" s="44" t="n"/>
      <c r="C42" s="44" t="n"/>
      <c r="D42" s="44" t="n"/>
      <c r="E42" s="44" t="n"/>
      <c r="F42" s="44" t="n"/>
      <c r="G42" s="44" t="n"/>
      <c r="H42" s="44" t="n"/>
      <c r="I42" s="44" t="n"/>
      <c r="J42" s="44" t="n"/>
      <c r="K42" s="44" t="n"/>
      <c r="L42" s="44" t="n"/>
      <c r="M42" s="44" t="n"/>
      <c r="N42" s="44" t="n"/>
      <c r="O42" s="44" t="n"/>
    </row>
    <row r="43">
      <c r="A43" s="44" t="n"/>
      <c r="B43" s="44" t="n"/>
      <c r="C43" s="44" t="n"/>
      <c r="D43" s="44" t="n"/>
      <c r="E43" s="44" t="n"/>
      <c r="F43" s="44" t="n"/>
      <c r="G43" s="44" t="n"/>
      <c r="H43" s="44" t="n"/>
      <c r="I43" s="44" t="n"/>
      <c r="J43" s="44" t="n"/>
      <c r="K43" s="44" t="n"/>
      <c r="L43" s="44" t="n"/>
      <c r="M43" s="44" t="n"/>
      <c r="N43" s="44" t="n"/>
      <c r="O43" s="44" t="n"/>
    </row>
    <row r="44">
      <c r="A44" s="44" t="n"/>
      <c r="B44" s="44" t="n"/>
      <c r="C44" s="44" t="n"/>
      <c r="D44" s="44" t="n"/>
      <c r="E44" s="44" t="n"/>
      <c r="F44" s="44" t="n"/>
      <c r="G44" s="44" t="n"/>
      <c r="H44" s="44" t="n"/>
      <c r="I44" s="44" t="n"/>
      <c r="J44" s="44" t="n"/>
      <c r="K44" s="44" t="n"/>
      <c r="L44" s="44" t="n"/>
      <c r="M44" s="44" t="n"/>
      <c r="N44" s="44" t="n"/>
      <c r="O44" s="44" t="n"/>
    </row>
    <row r="45">
      <c r="A45" s="44" t="n"/>
      <c r="B45" s="44" t="n"/>
      <c r="C45" s="44" t="n"/>
      <c r="D45" s="44" t="n"/>
      <c r="E45" s="44" t="n"/>
      <c r="F45" s="44" t="n"/>
      <c r="G45" s="44" t="n"/>
      <c r="H45" s="44" t="n"/>
      <c r="I45" s="44" t="n"/>
      <c r="J45" s="44" t="n"/>
      <c r="K45" s="44" t="n"/>
      <c r="L45" s="44" t="n"/>
      <c r="M45" s="44" t="n"/>
      <c r="N45" s="44" t="n"/>
      <c r="O45" s="44" t="n"/>
    </row>
    <row r="46">
      <c r="A46" s="44" t="n"/>
      <c r="B46" s="44" t="n"/>
      <c r="C46" s="44" t="n"/>
      <c r="D46" s="44" t="n"/>
      <c r="E46" s="44" t="n"/>
      <c r="F46" s="44" t="n"/>
      <c r="G46" s="44" t="n"/>
      <c r="H46" s="44" t="n"/>
      <c r="I46" s="44" t="n"/>
      <c r="J46" s="44" t="n"/>
      <c r="K46" s="44" t="n"/>
      <c r="L46" s="44" t="n"/>
      <c r="M46" s="44" t="n"/>
      <c r="N46" s="44" t="n"/>
      <c r="O46" s="44" t="n"/>
    </row>
    <row r="47">
      <c r="A47" s="44" t="n"/>
      <c r="B47" s="44" t="n"/>
      <c r="C47" s="44" t="n"/>
      <c r="D47" s="44" t="n"/>
      <c r="E47" s="44" t="n"/>
      <c r="F47" s="44" t="n"/>
      <c r="G47" s="44" t="n"/>
      <c r="H47" s="44" t="n"/>
      <c r="I47" s="44" t="n"/>
      <c r="J47" s="44" t="n"/>
      <c r="K47" s="44" t="n"/>
      <c r="L47" s="44" t="n"/>
      <c r="M47" s="44" t="n"/>
      <c r="N47" s="44" t="n"/>
      <c r="O47" s="44" t="n"/>
    </row>
    <row r="48">
      <c r="A48" s="44" t="n"/>
      <c r="B48" s="44" t="n"/>
      <c r="C48" s="44" t="n"/>
      <c r="D48" s="44" t="n"/>
      <c r="E48" s="44" t="n"/>
      <c r="F48" s="44" t="n"/>
      <c r="G48" s="44" t="n"/>
      <c r="H48" s="44" t="n"/>
      <c r="I48" s="44" t="n"/>
      <c r="J48" s="44" t="n"/>
      <c r="K48" s="44" t="n"/>
      <c r="L48" s="44" t="n"/>
      <c r="M48" s="44" t="n"/>
      <c r="N48" s="44" t="n"/>
      <c r="O48" s="44" t="n"/>
    </row>
    <row r="49">
      <c r="A49" s="44" t="n"/>
      <c r="B49" s="44" t="n"/>
      <c r="C49" s="44" t="n"/>
      <c r="D49" s="44" t="n"/>
      <c r="E49" s="44" t="n"/>
      <c r="F49" s="44" t="n"/>
      <c r="G49" s="44" t="n"/>
      <c r="H49" s="44" t="n"/>
      <c r="I49" s="44" t="n"/>
      <c r="J49" s="44" t="n"/>
      <c r="K49" s="44" t="n"/>
      <c r="L49" s="44" t="n"/>
      <c r="M49" s="44" t="n"/>
      <c r="N49" s="44" t="n"/>
      <c r="O49" s="44" t="n"/>
    </row>
    <row r="50">
      <c r="A50" s="44" t="n"/>
      <c r="B50" s="44" t="n"/>
      <c r="C50" s="44" t="n"/>
      <c r="D50" s="44" t="n"/>
      <c r="E50" s="44" t="n"/>
      <c r="F50" s="44" t="n"/>
      <c r="G50" s="44" t="n"/>
      <c r="H50" s="44" t="n"/>
      <c r="I50" s="44" t="n"/>
      <c r="J50" s="44" t="n"/>
      <c r="K50" s="44" t="n"/>
      <c r="L50" s="44" t="n"/>
      <c r="M50" s="44" t="n"/>
      <c r="N50" s="44" t="n"/>
      <c r="O50" s="44" t="n"/>
    </row>
    <row r="51">
      <c r="A51" s="44" t="n"/>
      <c r="B51" s="44" t="n"/>
      <c r="C51" s="44" t="n"/>
      <c r="D51" s="44" t="n"/>
      <c r="E51" s="44" t="n"/>
      <c r="F51" s="44" t="n"/>
      <c r="G51" s="44" t="n"/>
      <c r="H51" s="44" t="n"/>
      <c r="I51" s="44" t="n"/>
      <c r="J51" s="44" t="n"/>
      <c r="K51" s="44" t="n"/>
      <c r="L51" s="44" t="n"/>
      <c r="M51" s="44" t="n"/>
      <c r="N51" s="44" t="n"/>
      <c r="O51" s="44" t="n"/>
    </row>
    <row r="52">
      <c r="A52" s="44" t="n"/>
      <c r="B52" s="44" t="n"/>
      <c r="C52" s="44" t="n"/>
      <c r="D52" s="44" t="n"/>
      <c r="E52" s="44" t="n"/>
      <c r="F52" s="44" t="n"/>
      <c r="G52" s="44" t="n"/>
      <c r="H52" s="44" t="n"/>
      <c r="I52" s="44" t="n"/>
      <c r="J52" s="44" t="n"/>
      <c r="K52" s="44" t="n"/>
      <c r="L52" s="44" t="n"/>
      <c r="M52" s="44" t="n"/>
      <c r="N52" s="44" t="n"/>
      <c r="O52" s="44" t="n"/>
    </row>
    <row r="53">
      <c r="A53" s="44" t="n"/>
      <c r="B53" s="44" t="n"/>
      <c r="C53" s="44" t="n"/>
      <c r="D53" s="44" t="n"/>
      <c r="E53" s="44" t="n"/>
      <c r="F53" s="44" t="n"/>
      <c r="G53" s="44" t="n"/>
      <c r="H53" s="44" t="n"/>
      <c r="I53" s="44" t="n"/>
      <c r="J53" s="44" t="n"/>
      <c r="K53" s="44" t="n"/>
      <c r="L53" s="44" t="n"/>
      <c r="M53" s="44" t="n"/>
      <c r="N53" s="44" t="n"/>
      <c r="O53" s="44" t="n"/>
    </row>
    <row r="54">
      <c r="A54" s="44" t="n"/>
      <c r="B54" s="44" t="n"/>
      <c r="C54" s="44" t="n"/>
      <c r="D54" s="44" t="n"/>
      <c r="E54" s="44" t="n"/>
      <c r="F54" s="44" t="n"/>
      <c r="G54" s="44" t="n"/>
      <c r="H54" s="44" t="n"/>
      <c r="I54" s="44" t="n"/>
      <c r="J54" s="44" t="n"/>
      <c r="K54" s="44" t="n"/>
      <c r="L54" s="44" t="n"/>
      <c r="M54" s="44" t="n"/>
      <c r="N54" s="44" t="n"/>
      <c r="O54" s="44" t="n"/>
    </row>
    <row r="55">
      <c r="A55" s="44" t="n"/>
      <c r="B55" s="44" t="n"/>
      <c r="C55" s="44" t="n"/>
      <c r="D55" s="44" t="n"/>
      <c r="E55" s="44" t="n"/>
      <c r="F55" s="44" t="n"/>
      <c r="G55" s="44" t="n"/>
      <c r="H55" s="44" t="n"/>
      <c r="I55" s="44" t="n"/>
      <c r="J55" s="44" t="n"/>
      <c r="K55" s="44" t="n"/>
      <c r="L55" s="44" t="n"/>
      <c r="M55" s="44" t="n"/>
      <c r="N55" s="44" t="n"/>
      <c r="O55" s="44" t="n"/>
    </row>
    <row r="56">
      <c r="A56" s="44" t="n"/>
      <c r="B56" s="44" t="n"/>
      <c r="C56" s="44" t="n"/>
      <c r="D56" s="44" t="n"/>
      <c r="E56" s="44" t="n"/>
      <c r="F56" s="44" t="n"/>
      <c r="G56" s="44" t="n"/>
      <c r="H56" s="44" t="n"/>
      <c r="I56" s="44" t="n"/>
      <c r="J56" s="44" t="n"/>
      <c r="K56" s="44" t="n"/>
      <c r="L56" s="44" t="n"/>
      <c r="M56" s="44" t="n"/>
      <c r="N56" s="44" t="n"/>
      <c r="O56" s="44" t="n"/>
    </row>
    <row r="57">
      <c r="A57" s="44" t="n"/>
      <c r="B57" s="44" t="n"/>
      <c r="C57" s="44" t="n"/>
      <c r="D57" s="44" t="n"/>
      <c r="E57" s="44" t="n"/>
      <c r="F57" s="44" t="n"/>
      <c r="G57" s="44" t="n"/>
      <c r="H57" s="44" t="n"/>
      <c r="I57" s="44" t="n"/>
      <c r="J57" s="44" t="n"/>
      <c r="K57" s="44" t="n"/>
      <c r="L57" s="44" t="n"/>
      <c r="M57" s="44" t="n"/>
      <c r="N57" s="44" t="n"/>
      <c r="O57" s="44" t="n"/>
    </row>
    <row r="58">
      <c r="A58" s="44" t="n"/>
      <c r="B58" s="44" t="n"/>
      <c r="C58" s="44" t="n"/>
      <c r="D58" s="44" t="n"/>
      <c r="E58" s="44" t="n"/>
      <c r="F58" s="44" t="n"/>
      <c r="G58" s="44" t="n"/>
      <c r="H58" s="44" t="n"/>
      <c r="I58" s="44" t="n"/>
      <c r="J58" s="44" t="n"/>
      <c r="K58" s="44" t="n"/>
      <c r="L58" s="44" t="n"/>
      <c r="M58" s="44" t="n"/>
      <c r="N58" s="44" t="n"/>
      <c r="O58" s="44" t="n"/>
    </row>
    <row r="59">
      <c r="A59" s="44" t="n"/>
      <c r="B59" s="44" t="n"/>
      <c r="C59" s="44" t="n"/>
      <c r="D59" s="44" t="n"/>
      <c r="E59" s="44" t="n"/>
      <c r="F59" s="44" t="n"/>
      <c r="G59" s="44" t="n"/>
      <c r="H59" s="44" t="n"/>
      <c r="I59" s="44" t="n"/>
      <c r="J59" s="44" t="n"/>
      <c r="K59" s="44" t="n"/>
      <c r="L59" s="44" t="n"/>
      <c r="M59" s="44" t="n"/>
      <c r="N59" s="44" t="n"/>
      <c r="O59" s="44" t="n"/>
    </row>
    <row r="60">
      <c r="A60" s="44" t="n"/>
      <c r="B60" s="44" t="n"/>
      <c r="C60" s="44" t="n"/>
      <c r="D60" s="44" t="n"/>
      <c r="E60" s="44" t="n"/>
      <c r="F60" s="44" t="n"/>
      <c r="G60" s="44" t="n"/>
      <c r="H60" s="44" t="n"/>
      <c r="I60" s="44" t="n"/>
      <c r="J60" s="44" t="n"/>
      <c r="K60" s="44" t="n"/>
      <c r="L60" s="44" t="n"/>
      <c r="M60" s="44" t="n"/>
      <c r="N60" s="44" t="n"/>
      <c r="O60" s="44" t="n"/>
    </row>
    <row r="61">
      <c r="A61" s="44" t="n"/>
      <c r="B61" s="44" t="n"/>
      <c r="C61" s="44" t="n"/>
      <c r="D61" s="44" t="n"/>
      <c r="E61" s="44" t="n"/>
      <c r="F61" s="44" t="n"/>
      <c r="G61" s="44" t="n"/>
      <c r="H61" s="44" t="n"/>
      <c r="I61" s="44" t="n"/>
      <c r="J61" s="44" t="n"/>
      <c r="K61" s="44" t="n"/>
      <c r="L61" s="44" t="n"/>
      <c r="M61" s="44" t="n"/>
      <c r="N61" s="44" t="n"/>
      <c r="O61" s="44" t="n"/>
    </row>
    <row r="62">
      <c r="A62" s="44" t="n"/>
      <c r="B62" s="44" t="n"/>
      <c r="C62" s="44" t="n"/>
      <c r="D62" s="44" t="n"/>
      <c r="E62" s="44" t="n"/>
      <c r="F62" s="44" t="n"/>
      <c r="G62" s="44" t="n"/>
      <c r="H62" s="44" t="n"/>
      <c r="I62" s="44" t="n"/>
      <c r="J62" s="44" t="n"/>
      <c r="K62" s="44" t="n"/>
      <c r="L62" s="44" t="n"/>
      <c r="M62" s="44" t="n"/>
      <c r="N62" s="44" t="n"/>
      <c r="O62" s="44" t="n"/>
    </row>
    <row r="63">
      <c r="A63" s="44" t="n"/>
      <c r="B63" s="44" t="n"/>
      <c r="C63" s="44" t="n"/>
      <c r="D63" s="44" t="n"/>
      <c r="E63" s="44" t="n"/>
      <c r="F63" s="44" t="n"/>
      <c r="G63" s="44" t="n"/>
      <c r="H63" s="44" t="n"/>
      <c r="I63" s="44" t="n"/>
      <c r="J63" s="44" t="n"/>
      <c r="K63" s="44" t="n"/>
      <c r="L63" s="44" t="n"/>
      <c r="M63" s="44" t="n"/>
      <c r="N63" s="44" t="n"/>
      <c r="O63" s="44" t="n"/>
    </row>
    <row r="64">
      <c r="A64" s="44" t="n"/>
      <c r="B64" s="44" t="n"/>
      <c r="C64" s="44" t="n"/>
      <c r="D64" s="44" t="n"/>
      <c r="E64" s="44" t="n"/>
      <c r="F64" s="44" t="n"/>
      <c r="G64" s="44" t="n"/>
      <c r="H64" s="44" t="n"/>
      <c r="I64" s="44" t="n"/>
      <c r="J64" s="44" t="n"/>
      <c r="K64" s="44" t="n"/>
      <c r="L64" s="44" t="n"/>
      <c r="M64" s="44" t="n"/>
      <c r="N64" s="44" t="n"/>
      <c r="O64" s="44" t="n"/>
    </row>
    <row r="65">
      <c r="A65" s="44" t="n"/>
      <c r="B65" s="44" t="n"/>
      <c r="C65" s="44" t="n"/>
      <c r="D65" s="44" t="n"/>
      <c r="E65" s="44" t="n"/>
      <c r="F65" s="44" t="n"/>
      <c r="G65" s="44" t="n"/>
      <c r="H65" s="44" t="n"/>
      <c r="I65" s="44" t="n"/>
      <c r="J65" s="44" t="n"/>
      <c r="K65" s="44" t="n"/>
      <c r="L65" s="44" t="n"/>
      <c r="M65" s="44" t="n"/>
      <c r="N65" s="44" t="n"/>
      <c r="O65" s="44" t="n"/>
    </row>
    <row r="66">
      <c r="A66" s="44" t="n"/>
      <c r="B66" s="44" t="n"/>
      <c r="C66" s="44" t="n"/>
      <c r="D66" s="44" t="n"/>
      <c r="E66" s="44" t="n"/>
      <c r="F66" s="44" t="n"/>
      <c r="G66" s="44" t="n"/>
      <c r="H66" s="44" t="n"/>
      <c r="I66" s="44" t="n"/>
      <c r="J66" s="44" t="n"/>
      <c r="K66" s="44" t="n"/>
      <c r="L66" s="44" t="n"/>
      <c r="M66" s="44" t="n"/>
      <c r="N66" s="44" t="n"/>
      <c r="O66" s="44" t="n"/>
    </row>
    <row r="67">
      <c r="A67" s="44" t="n"/>
      <c r="B67" s="44" t="n"/>
      <c r="C67" s="44" t="n"/>
      <c r="D67" s="44" t="n"/>
      <c r="E67" s="44" t="n"/>
      <c r="F67" s="44" t="n"/>
      <c r="G67" s="44" t="n"/>
      <c r="H67" s="44" t="n"/>
      <c r="I67" s="44" t="n"/>
      <c r="J67" s="44" t="n"/>
      <c r="K67" s="44" t="n"/>
      <c r="L67" s="44" t="n"/>
      <c r="M67" s="44" t="n"/>
      <c r="N67" s="44" t="n"/>
      <c r="O67" s="44" t="n"/>
    </row>
    <row r="68">
      <c r="A68" s="44" t="n"/>
      <c r="B68" s="44" t="n"/>
      <c r="C68" s="44" t="n"/>
      <c r="D68" s="44" t="n"/>
      <c r="E68" s="44" t="n"/>
      <c r="F68" s="44" t="n"/>
      <c r="G68" s="44" t="n"/>
      <c r="H68" s="44" t="n"/>
      <c r="I68" s="44" t="n"/>
      <c r="J68" s="44" t="n"/>
      <c r="K68" s="44" t="n"/>
      <c r="L68" s="44" t="n"/>
      <c r="M68" s="44" t="n"/>
      <c r="N68" s="44" t="n"/>
      <c r="O68" s="44" t="n"/>
    </row>
    <row r="69">
      <c r="A69" s="44" t="n"/>
      <c r="B69" s="44" t="n"/>
      <c r="C69" s="44" t="n"/>
      <c r="D69" s="44" t="n"/>
      <c r="E69" s="44" t="n"/>
      <c r="F69" s="44" t="n"/>
      <c r="G69" s="44" t="n"/>
      <c r="H69" s="44" t="n"/>
      <c r="I69" s="44" t="n"/>
      <c r="J69" s="44" t="n"/>
      <c r="K69" s="44" t="n"/>
      <c r="L69" s="44" t="n"/>
      <c r="M69" s="44" t="n"/>
      <c r="N69" s="44" t="n"/>
      <c r="O69" s="44" t="n"/>
    </row>
    <row r="70">
      <c r="A70" s="44" t="n"/>
      <c r="B70" s="44" t="n"/>
      <c r="C70" s="44" t="n"/>
      <c r="D70" s="44" t="n"/>
      <c r="E70" s="44" t="n"/>
      <c r="F70" s="44" t="n"/>
      <c r="G70" s="44" t="n"/>
      <c r="H70" s="44" t="n"/>
      <c r="I70" s="44" t="n"/>
      <c r="J70" s="44" t="n"/>
      <c r="K70" s="44" t="n"/>
      <c r="L70" s="44" t="n"/>
      <c r="M70" s="44" t="n"/>
      <c r="N70" s="44" t="n"/>
      <c r="O70" s="44" t="n"/>
    </row>
  </sheetData>
  <sheetProtection selectLockedCells="0" selectUnlockedCells="0" sheet="1" objects="0" insertRows="1" insertHyperlinks="1" autoFilter="1" scenarios="0" formatColumns="0" deleteColumns="1" insertColumns="1" pivotTables="1" deleteRows="1" formatCells="1" formatRows="0" sort="0"/>
  <conditionalFormatting sqref="N5">
    <cfRule type="expression" priority="1" dxfId="1" stopIfTrue="1">
      <formula>AND(ISNUMBER(N5),ABS(N5-1)&gt;=0.005)</formula>
    </cfRule>
    <cfRule type="expression" priority="2" dxfId="0" stopIfTrue="1">
      <formula>AND(ISNUMBER(N5),ABS(N5-1)&lt;0.005)</formula>
    </cfRule>
  </conditionalFormatting>
  <conditionalFormatting sqref="B22:M22">
    <cfRule type="expression" priority="3" dxfId="1" stopIfTrue="1">
      <formula>AND(ISNUMBER(B22),B22&lt;0)</formula>
    </cfRule>
    <cfRule type="expression" priority="4" dxfId="0" stopIfTrue="1">
      <formula>AND(ISNUMBER(B22),B22&gt;0)</formula>
    </cfRule>
  </conditionalFormatting>
  <conditionalFormatting sqref="B20:M20">
    <cfRule type="expression" priority="5" dxfId="1" stopIfTrue="1">
      <formula>AND(ISNUMBER(B20),-B20&gt;B22)</formula>
    </cfRule>
  </conditionalFormatting>
  <conditionalFormatting sqref="B23">
    <cfRule type="expression" priority="6" dxfId="1" stopIfTrue="1">
      <formula>AND(ISNUMBER(B23),B23&lt;0)</formula>
    </cfRule>
    <cfRule type="expression" priority="7" dxfId="0" stopIfTrue="1">
      <formula>AND(ISNUMBER(B23),B23&gt;=0)</formula>
    </cfRule>
  </conditionalFormatting>
  <conditionalFormatting sqref="B26">
    <cfRule type="expression" priority="8" dxfId="1" stopIfTrue="1">
      <formula>AND(ISNUMBER(B26),B26&lt;0)</formula>
    </cfRule>
    <cfRule type="expression" priority="9" dxfId="0" stopIfTrue="1">
      <formula>AND(ISNUMBER(B26),B26&gt;0)</formula>
    </cfRule>
  </conditionalFormatting>
  <conditionalFormatting sqref="B27">
    <cfRule type="expression" priority="10" dxfId="1" stopIfTrue="1">
      <formula>AND(ISNUMBER(B27),B27&lt;0)</formula>
    </cfRule>
    <cfRule type="expression" priority="11" dxfId="0" stopIfTrue="1">
      <formula>AND(ISNUMBER(B27),B27&gt;0)</formula>
    </cfRule>
  </conditionalFormatting>
  <conditionalFormatting sqref="B28">
    <cfRule type="expression" priority="12" dxfId="1" stopIfTrue="1">
      <formula>AND(ISNUMBER(B28),B28&lt;0)</formula>
    </cfRule>
    <cfRule type="expression" priority="13" dxfId="0" stopIfTrue="1">
      <formula>AND(ISNUMBER(B28),B28&gt;0)</formula>
    </cfRule>
  </conditionalFormatting>
  <dataValidations count="1">
    <dataValidation sqref="B5 C5 D5 E5 F5 G5 H5 I5 J5 K5 L5 M5"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H80"/>
  <sheetViews>
    <sheetView workbookViewId="0">
      <selection activeCell="A1" sqref="A1"/>
    </sheetView>
  </sheetViews>
  <sheetFormatPr baseColWidth="8" defaultRowHeight="15"/>
  <cols>
    <col width="46" customWidth="1" min="1" max="1"/>
    <col width="18" customWidth="1" min="2" max="2"/>
    <col width="52" customWidth="1" min="3" max="3"/>
    <col width="22" customWidth="1" min="4" max="4"/>
    <col width="16" customWidth="1" min="5" max="5"/>
    <col width="18" customWidth="1" min="6" max="6"/>
    <col width="20" customWidth="1" min="7" max="7"/>
    <col width="14" customWidth="1" min="8" max="8"/>
  </cols>
  <sheetData>
    <row r="1">
      <c r="A1" s="41" t="inlineStr">
        <is>
          <t>PLAN DE FINANCIACIÓN</t>
        </is>
      </c>
      <c r="B1" s="44" t="n"/>
      <c r="C1" s="44" t="n"/>
      <c r="D1" s="44" t="n"/>
      <c r="E1" s="44" t="n"/>
      <c r="F1" s="44" t="n"/>
      <c r="G1" s="44" t="n"/>
      <c r="H1" s="44" t="n"/>
    </row>
    <row r="2" ht="45" customHeight="1">
      <c r="A2" s="63" t="inlineStr">
        <is>
          <t>Qué hace falta, de dónde sale y cuánto cuesta devolverlo. Es la hoja que el banco pide junto con el P&amp;L.</t>
        </is>
      </c>
      <c r="B2" s="44" t="n"/>
      <c r="C2" s="44" t="n"/>
      <c r="D2" s="44" t="n"/>
      <c r="E2" s="44" t="n"/>
      <c r="F2" s="44" t="n"/>
      <c r="G2" s="44" t="n"/>
      <c r="H2" s="44" t="n"/>
    </row>
    <row r="3">
      <c r="A3" s="44" t="n"/>
      <c r="B3" s="44" t="n"/>
      <c r="C3" s="44" t="n"/>
      <c r="D3" s="44" t="n"/>
      <c r="E3" s="44" t="n"/>
      <c r="F3" s="44" t="n"/>
      <c r="G3" s="44" t="n"/>
      <c r="H3" s="44" t="n"/>
    </row>
    <row r="4">
      <c r="A4" s="41" t="inlineStr">
        <is>
          <t>Concepto</t>
        </is>
      </c>
      <c r="B4" s="41" t="inlineStr">
        <is>
          <t>Importe</t>
        </is>
      </c>
      <c r="C4" s="41" t="inlineStr">
        <is>
          <t>Notas</t>
        </is>
      </c>
      <c r="D4" s="44" t="n"/>
      <c r="E4" s="44" t="n"/>
      <c r="F4" s="44" t="n"/>
      <c r="G4" s="44" t="n"/>
      <c r="H4" s="44" t="n"/>
    </row>
    <row r="5">
      <c r="A5" s="41" t="inlineStr">
        <is>
          <t>ORIGEN DE FONDOS</t>
        </is>
      </c>
      <c r="B5" s="44" t="n"/>
      <c r="C5" s="44" t="n"/>
      <c r="D5" s="44" t="n"/>
      <c r="E5" s="44" t="n"/>
      <c r="F5" s="44" t="n"/>
      <c r="G5" s="44" t="n"/>
      <c r="H5" s="44" t="n"/>
    </row>
    <row r="6">
      <c r="A6" s="44" t="inlineStr">
        <is>
          <t>Recursos propios de los socios</t>
        </is>
      </c>
      <c r="B6" s="48">
        <f>IFERROR(IF('0. Supuestos'!$B$30="","",'0. Supuestos'!$B$30),"")</f>
        <v>75000.0</v>
      </c>
      <c r="C6" s="44" t="n"/>
      <c r="D6" s="44" t="n"/>
      <c r="E6" s="44" t="n"/>
      <c r="F6" s="44" t="n"/>
      <c r="G6" s="44" t="n"/>
      <c r="H6" s="44" t="n"/>
    </row>
    <row r="7">
      <c r="A7" s="44" t="inlineStr">
        <is>
          <t>Préstamo bancario</t>
        </is>
      </c>
      <c r="B7" s="48">
        <f>IFERROR(IF('0. Supuestos'!$B$31="","",'0. Supuestos'!$B$31),"")</f>
        <v>128000.0</v>
      </c>
      <c r="C7" s="44" t="n"/>
      <c r="D7" s="44" t="n"/>
      <c r="E7" s="44" t="n"/>
      <c r="F7" s="44" t="n"/>
      <c r="G7" s="44" t="n"/>
      <c r="H7" s="44" t="n"/>
    </row>
    <row r="8">
      <c r="A8" s="44" t="inlineStr">
        <is>
          <t>Línea ICO (avalada por el ICO, la concede tu banco)</t>
        </is>
      </c>
      <c r="B8" s="45" t="n">
        <v>0</v>
      </c>
      <c r="C8" s="44" t="inlineStr">
        <is>
          <t>Consulta las líneas del ejercicio en curso en ico.es</t>
        </is>
      </c>
      <c r="D8" s="44" t="n"/>
      <c r="E8" s="44" t="n"/>
      <c r="F8" s="44" t="n"/>
      <c r="G8" s="44" t="n"/>
      <c r="H8" s="44" t="n"/>
    </row>
    <row r="9">
      <c r="A9" s="44" t="inlineStr">
        <is>
          <t>Préstamo participativo ENISA</t>
        </is>
      </c>
      <c r="B9" s="45" t="n">
        <v>0</v>
      </c>
      <c r="C9" s="44" t="inlineStr">
        <is>
          <t>Para sociedades; sin garantías personales</t>
        </is>
      </c>
      <c r="D9" s="44" t="n"/>
      <c r="E9" s="44" t="n"/>
      <c r="F9" s="44" t="n"/>
      <c r="G9" s="44" t="n"/>
      <c r="H9" s="44" t="n"/>
    </row>
    <row r="10">
      <c r="A10" s="44" t="inlineStr">
        <is>
          <t>Business angels o socios inversores</t>
        </is>
      </c>
      <c r="B10" s="45" t="n">
        <v>0</v>
      </c>
      <c r="C10" s="44" t="inlineStr">
        <is>
          <t>Entra en el capital: diluye, no se devuelve</t>
        </is>
      </c>
      <c r="D10" s="44" t="n"/>
      <c r="E10" s="44" t="n"/>
      <c r="F10" s="44" t="n"/>
      <c r="G10" s="44" t="n"/>
      <c r="H10" s="44" t="n"/>
    </row>
    <row r="11">
      <c r="A11" s="44" t="inlineStr">
        <is>
          <t>Subvenciones autonómicas o locales</t>
        </is>
      </c>
      <c r="B11" s="45" t="n">
        <v>0</v>
      </c>
      <c r="C11" s="44" t="inlineStr">
        <is>
          <t>Suelen cobrarse DESPUÉS de justificar el gasto</t>
        </is>
      </c>
      <c r="D11" s="44" t="n"/>
      <c r="E11" s="44" t="n"/>
      <c r="F11" s="44" t="n"/>
      <c r="G11" s="44" t="n"/>
      <c r="H11" s="44" t="n"/>
    </row>
    <row r="12">
      <c r="A12" s="41" t="inlineStr">
        <is>
          <t>TOTAL ORIGEN DE FONDOS</t>
        </is>
      </c>
      <c r="B12" s="42">
        <f>IFERROR(IF(COUNT(B6:B11)=0,"",SUM(B6:B11)),"")</f>
        <v>203000.0</v>
      </c>
      <c r="C12" s="44" t="n"/>
      <c r="D12" s="44" t="n"/>
      <c r="E12" s="44" t="n"/>
      <c r="F12" s="44" t="n"/>
      <c r="G12" s="44" t="n"/>
      <c r="H12" s="44" t="n"/>
    </row>
    <row r="13">
      <c r="A13" s="41" t="inlineStr">
        <is>
          <t>USOS</t>
        </is>
      </c>
      <c r="B13" s="44" t="n"/>
      <c r="C13" s="44" t="n"/>
      <c r="D13" s="44" t="n"/>
      <c r="E13" s="44" t="n"/>
      <c r="F13" s="44" t="n"/>
      <c r="G13" s="44" t="n"/>
      <c r="H13" s="44" t="n"/>
    </row>
    <row r="14">
      <c r="A14" s="44" t="inlineStr">
        <is>
          <t>Necesidad total de caja al arranque</t>
        </is>
      </c>
      <c r="B14" s="48">
        <f>IFERROR(IF('1. Inversión Inicial'!$B$51="","",'1. Inversión Inicial'!$B$51),"")</f>
        <v>201717.90000000002</v>
      </c>
      <c r="C14" s="44" t="inlineStr">
        <is>
          <t>Inversión más el IVA que hay que adelantar</t>
        </is>
      </c>
      <c r="D14" s="44" t="n"/>
      <c r="E14" s="44" t="n"/>
      <c r="F14" s="44" t="n"/>
      <c r="G14" s="44" t="n"/>
      <c r="H14" s="44" t="n"/>
    </row>
    <row r="15">
      <c r="A15" s="41" t="inlineStr">
        <is>
          <t>Diferencia (origen - usos)</t>
        </is>
      </c>
      <c r="B15" s="42">
        <f>IFERROR(B12-B14,"")</f>
        <v>1282.0999999999767</v>
      </c>
      <c r="C15" s="41" t="inlineStr">
        <is>
          <t>En rojo (negativa) el plan NO está financiado. Muy por encima de cero tampoco es gratis: se pagan intereses por un dinero que no se usa</t>
        </is>
      </c>
      <c r="D15" s="44" t="n"/>
      <c r="E15" s="44" t="n"/>
      <c r="F15" s="44" t="n"/>
      <c r="G15" s="44" t="n"/>
      <c r="H15" s="44" t="n"/>
    </row>
    <row r="16">
      <c r="A16" s="44" t="inlineStr">
        <is>
          <t>Diferencia sobre los usos (%)</t>
        </is>
      </c>
      <c r="B16" s="46">
        <f>IFERROR(B15/B14,"")</f>
        <v>0.006355905945877766</v>
      </c>
      <c r="C16" s="44" t="inlineStr">
        <is>
          <t>Ámbar por encima del margen que fijes: es deuda que pagas sin necesitarla</t>
        </is>
      </c>
      <c r="D16" s="44" t="n"/>
      <c r="E16" s="44" t="n"/>
      <c r="F16" s="44" t="n"/>
      <c r="G16" s="44" t="n"/>
      <c r="H16" s="44" t="n"/>
    </row>
    <row r="17">
      <c r="A17" s="44" t="inlineStr">
        <is>
          <t>Exceso de financiación admisible (%)</t>
        </is>
      </c>
      <c r="B17" s="77" t="n">
        <v>0.05</v>
      </c>
      <c r="C17" s="44" t="inlineStr">
        <is>
          <t>Un pequeño colchón sobre la necesidad es sano; un 20 % de más son intereses tirados</t>
        </is>
      </c>
      <c r="D17" s="44" t="n"/>
      <c r="E17" s="44" t="n"/>
      <c r="F17" s="44" t="n"/>
      <c r="G17" s="44" t="n"/>
      <c r="H17" s="44" t="n"/>
    </row>
    <row r="18">
      <c r="A18" s="44" t="inlineStr">
        <is>
          <t>Préstamo que ajustaría el origen a la necesidad</t>
        </is>
      </c>
      <c r="B18" s="48">
        <f>IFERROR(MAX(0,B14-B12+B7),"")</f>
        <v>126717.90000000002</v>
      </c>
      <c r="C18" s="44" t="inlineStr">
        <is>
          <t>Cópialo en «Préstamo bancario solicitado» de la hoja de Supuestos y la diferencia se pone a cero</t>
        </is>
      </c>
      <c r="D18" s="44" t="n"/>
      <c r="E18" s="44" t="n"/>
      <c r="F18" s="44" t="n"/>
      <c r="G18" s="44" t="n"/>
      <c r="H18" s="44" t="n"/>
    </row>
    <row r="19">
      <c r="A19" s="41" t="inlineStr">
        <is>
          <t>CONDICIONES DEL PRÉSTAMO</t>
        </is>
      </c>
      <c r="B19" s="44" t="n"/>
      <c r="C19" s="44" t="n"/>
      <c r="D19" s="44" t="n"/>
      <c r="E19" s="44" t="n"/>
      <c r="F19" s="44" t="n"/>
      <c r="G19" s="44" t="n"/>
      <c r="H19" s="44" t="n"/>
    </row>
    <row r="20">
      <c r="A20" s="44" t="inlineStr">
        <is>
          <t>Importe del principal</t>
        </is>
      </c>
      <c r="B20" s="48">
        <f>IFERROR(IF('0. Supuestos'!$B$31=0,"",'0. Supuestos'!$B$31),"")</f>
        <v>128000.0</v>
      </c>
      <c r="C20" s="44" t="n"/>
      <c r="D20" s="44" t="n"/>
      <c r="E20" s="44" t="n"/>
      <c r="F20" s="44" t="n"/>
      <c r="G20" s="44" t="n"/>
      <c r="H20" s="44" t="n"/>
    </row>
    <row r="21">
      <c r="A21" s="44" t="inlineStr">
        <is>
          <t>Tipo de interés nominal anual</t>
        </is>
      </c>
      <c r="B21" s="46">
        <f>IFERROR(IF('0. Supuestos'!$B$32="","",'0. Supuestos'!$B$32),"")</f>
        <v>0.06</v>
      </c>
      <c r="C21" s="44" t="n"/>
      <c r="D21" s="44" t="n"/>
      <c r="E21" s="44" t="n"/>
      <c r="F21" s="44" t="n"/>
      <c r="G21" s="44" t="n"/>
      <c r="H21" s="44" t="n"/>
    </row>
    <row r="22">
      <c r="A22" s="44" t="inlineStr">
        <is>
          <t>Plazo total (años)</t>
        </is>
      </c>
      <c r="B22" s="55">
        <f>IFERROR(IF('0. Supuestos'!$B$33="","",'0. Supuestos'!$B$33),"")</f>
        <v>7.0</v>
      </c>
      <c r="C22" s="44" t="n"/>
      <c r="D22" s="44" t="n"/>
      <c r="E22" s="44" t="n"/>
      <c r="F22" s="44" t="n"/>
      <c r="G22" s="44" t="n"/>
      <c r="H22" s="44" t="n"/>
    </row>
    <row r="23">
      <c r="A23" s="44" t="inlineStr">
        <is>
          <t>Carencia de principal aplicada (años)</t>
        </is>
      </c>
      <c r="B23" s="55">
        <f>IFERROR(IF(OR('0. Supuestos'!$B$34="",'0. Supuestos'!$B$33=""),"",IF('0. Supuestos'!$B$34&gt;='0. Supuestos'!$B$33,0,'0. Supuestos'!$B$34)),"")</f>
        <v>1.0</v>
      </c>
      <c r="C23" s="44" t="inlineStr">
        <is>
          <t>Una carencia igual o mayor que el plazo no existe: la hoja la anula en origen</t>
        </is>
      </c>
      <c r="D23" s="44" t="n"/>
      <c r="E23" s="44" t="n"/>
      <c r="F23" s="44" t="n"/>
      <c r="G23" s="44" t="n"/>
      <c r="H23" s="44" t="n"/>
    </row>
    <row r="24">
      <c r="A24" s="41" t="inlineStr">
        <is>
          <t>Cuota anual durante la amortización</t>
        </is>
      </c>
      <c r="B24" s="64">
        <f>IFERROR(IF(B22-B23&lt;=0,"",IF(B21=0,B20/(B22-B23),B20*B21/(1-(1+B21)^-(B22-B23)))),"")</f>
        <v>26030.416444786602</v>
      </c>
      <c r="C24" s="41" t="inlineStr">
        <is>
          <t>Sistema francés, anualidad algebraica. Con el tipo al 0 % es el principal entre los años de amortización: sin esa rama el cuadro se apagaba entero</t>
        </is>
      </c>
      <c r="D24" s="44" t="n"/>
      <c r="E24" s="44" t="n"/>
      <c r="F24" s="44" t="n"/>
      <c r="G24" s="44" t="n"/>
      <c r="H24" s="44" t="n"/>
    </row>
    <row r="25">
      <c r="A25" s="41" t="inlineStr">
        <is>
          <t>CUADRO DE AMORTIZACIÓN</t>
        </is>
      </c>
      <c r="B25" s="44" t="n"/>
      <c r="C25" s="44" t="n"/>
      <c r="D25" s="44" t="n"/>
      <c r="E25" s="44" t="n"/>
      <c r="F25" s="44" t="n"/>
      <c r="G25" s="44" t="n"/>
      <c r="H25" s="44" t="n"/>
    </row>
    <row r="26">
      <c r="A26" s="41" t="inlineStr">
        <is>
          <t>Año</t>
        </is>
      </c>
      <c r="B26" s="41" t="inlineStr">
        <is>
          <t>Capital pendiente</t>
        </is>
      </c>
      <c r="C26" s="41" t="inlineStr">
        <is>
          <t>Intereses</t>
        </is>
      </c>
      <c r="D26" s="41" t="inlineStr">
        <is>
          <t>Amortización de principal</t>
        </is>
      </c>
      <c r="E26" s="41" t="inlineStr">
        <is>
          <t>Cuota total</t>
        </is>
      </c>
      <c r="F26" s="41" t="inlineStr">
        <is>
          <t>Capital al cierre</t>
        </is>
      </c>
      <c r="G26" s="41" t="inlineStr">
        <is>
          <t>Flujo disponible para la deuda (después de impuestos; del año 4 en adelante, el del año 3 mantenido)</t>
        </is>
      </c>
      <c r="H26" s="41" t="inlineStr">
        <is>
          <t>DSCR del año</t>
        </is>
      </c>
    </row>
    <row r="27">
      <c r="A27" s="55" t="n">
        <v>1</v>
      </c>
      <c r="B27" s="56">
        <f>IFERROR(IF(B20="","",B20),"")</f>
        <v>128000.0</v>
      </c>
      <c r="C27" s="56">
        <f>IFERROR(IF(OR(1&gt;B22,B27=""),"",B27*B21),"")</f>
        <v>7680.0</v>
      </c>
      <c r="D27" s="56">
        <f>IFERROR(IF(OR(1&gt;B22,B27=""),"",IF(1&lt;=B23,0,MIN(B27,B24-C27))),"")</f>
        <v>0.0</v>
      </c>
      <c r="E27" s="56">
        <f>IFERROR(IF(C27="","",C27+D27),"")</f>
        <v>7680.0</v>
      </c>
      <c r="F27" s="56">
        <f>IFERROR(IF(D27="","",B27-D27),"")</f>
        <v>128000.0</v>
      </c>
      <c r="G27" s="56">
        <f>IFERROR(IF(E27="","",'2. P&amp;L 3 Años'!$B$43-'2. P&amp;L 3 Años'!$B$48+'2. P&amp;L 3 Años'!$B$38+'2. P&amp;L 3 Años'!$B$39),"")</f>
        <v>65062.18999999997</v>
      </c>
      <c r="H27" s="78">
        <f>IFERROR(IF(OR(E27="",E27=0),"",G27/E27),"")</f>
        <v>8.471639322916664</v>
      </c>
    </row>
    <row r="28">
      <c r="A28" s="55" t="n">
        <v>2</v>
      </c>
      <c r="B28" s="56">
        <f>IFERROR(IF(OR(2&gt;B22,F27=""),"",F27),"")</f>
        <v>128000.0</v>
      </c>
      <c r="C28" s="56">
        <f>IFERROR(IF(OR(2&gt;B22,B28=""),"",B28*B21),"")</f>
        <v>7680.0</v>
      </c>
      <c r="D28" s="56">
        <f>IFERROR(IF(OR(2&gt;B22,B28=""),"",IF(2&lt;=B23,0,MIN(B28,B24-C28))),"")</f>
        <v>18350.416444786602</v>
      </c>
      <c r="E28" s="56">
        <f>IFERROR(IF(C28="","",C28+D28),"")</f>
        <v>26030.416444786602</v>
      </c>
      <c r="F28" s="56">
        <f>IFERROR(IF(D28="","",B28-D28),"")</f>
        <v>109649.5835552134</v>
      </c>
      <c r="G28" s="56">
        <f>IFERROR(IF(E28="","",'2. P&amp;L 3 Años'!$C$43-'2. P&amp;L 3 Años'!$C$48+'2. P&amp;L 3 Años'!$C$38+'2. P&amp;L 3 Años'!$C$39),"")</f>
        <v>86242.626</v>
      </c>
      <c r="H28" s="78">
        <f>IFERROR(IF(OR(E28="",E28=0),"",G28/E28),"")</f>
        <v>3.31314814662801</v>
      </c>
    </row>
    <row r="29">
      <c r="A29" s="55" t="n">
        <v>3</v>
      </c>
      <c r="B29" s="56">
        <f>IFERROR(IF(OR(3&gt;B22,F28=""),"",F28),"")</f>
        <v>109649.5835552134</v>
      </c>
      <c r="C29" s="56">
        <f>IFERROR(IF(OR(3&gt;B22,B29=""),"",B29*B21),"")</f>
        <v>6578.975013312804</v>
      </c>
      <c r="D29" s="56">
        <f>IFERROR(IF(OR(3&gt;B22,B29=""),"",IF(3&lt;=B23,0,MIN(B29,B24-C29))),"")</f>
        <v>19451.4414314738</v>
      </c>
      <c r="E29" s="56">
        <f>IFERROR(IF(C29="","",C29+D29),"")</f>
        <v>26030.416444786602</v>
      </c>
      <c r="F29" s="56">
        <f>IFERROR(IF(D29="","",B29-D29),"")</f>
        <v>90198.1421237396</v>
      </c>
      <c r="G29" s="56">
        <f>IFERROR(IF(E29="","",'2. P&amp;L 3 Años'!$D$43-'2. P&amp;L 3 Años'!$D$48+'2. P&amp;L 3 Años'!$D$38+'2. P&amp;L 3 Años'!$D$39),"")</f>
        <v>88559.90295332819</v>
      </c>
      <c r="H29" s="78">
        <f>IFERROR(IF(OR(E29="",E29=0),"",G29/E29),"")</f>
        <v>3.402170039852169</v>
      </c>
    </row>
    <row r="30">
      <c r="A30" s="55" t="n">
        <v>4</v>
      </c>
      <c r="B30" s="56">
        <f>IFERROR(IF(OR(4&gt;B22,F29=""),"",F29),"")</f>
        <v>90198.1421237396</v>
      </c>
      <c r="C30" s="56">
        <f>IFERROR(IF(OR(4&gt;B22,B30=""),"",B30*B21),"")</f>
        <v>5411.888527424376</v>
      </c>
      <c r="D30" s="56">
        <f>IFERROR(IF(OR(4&gt;B22,B30=""),"",IF(4&lt;=B23,0,MIN(B30,B24-C30))),"")</f>
        <v>20618.527917362226</v>
      </c>
      <c r="E30" s="56">
        <f>IFERROR(IF(C30="","",C30+D30),"")</f>
        <v>26030.416444786602</v>
      </c>
      <c r="F30" s="56">
        <f>IFERROR(IF(D30="","",B30-D30),"")</f>
        <v>69579.61420637737</v>
      </c>
      <c r="G30" s="56">
        <f>IFERROR(IF(E30="","",'2. P&amp;L 3 Años'!$D$43-'2. P&amp;L 3 Años'!$D$48+'2. P&amp;L 3 Años'!$D$38+'2. P&amp;L 3 Años'!$D$39),"")</f>
        <v>88559.90295332819</v>
      </c>
      <c r="H30" s="78">
        <f>IFERROR(IF(OR(E30="",E30=0),"",G30/E30),"")</f>
        <v>3.402170039852169</v>
      </c>
    </row>
    <row r="31">
      <c r="A31" s="55" t="n">
        <v>5</v>
      </c>
      <c r="B31" s="56">
        <f>IFERROR(IF(OR(5&gt;B22,F30=""),"",F30),"")</f>
        <v>69579.61420637737</v>
      </c>
      <c r="C31" s="56">
        <f>IFERROR(IF(OR(5&gt;B22,B31=""),"",B31*B21),"")</f>
        <v>4174.776852382643</v>
      </c>
      <c r="D31" s="56">
        <f>IFERROR(IF(OR(5&gt;B22,B31=""),"",IF(5&lt;=B23,0,MIN(B31,B24-C31))),"")</f>
        <v>21855.63959240396</v>
      </c>
      <c r="E31" s="56">
        <f>IFERROR(IF(C31="","",C31+D31),"")</f>
        <v>26030.416444786602</v>
      </c>
      <c r="F31" s="56">
        <f>IFERROR(IF(D31="","",B31-D31),"")</f>
        <v>47723.97461397341</v>
      </c>
      <c r="G31" s="56">
        <f>IFERROR(IF(E31="","",'2. P&amp;L 3 Años'!$D$43-'2. P&amp;L 3 Años'!$D$48+'2. P&amp;L 3 Años'!$D$38+'2. P&amp;L 3 Años'!$D$39),"")</f>
        <v>88559.90295332819</v>
      </c>
      <c r="H31" s="78">
        <f>IFERROR(IF(OR(E31="",E31=0),"",G31/E31),"")</f>
        <v>3.402170039852169</v>
      </c>
    </row>
    <row r="32">
      <c r="A32" s="55" t="n">
        <v>6</v>
      </c>
      <c r="B32" s="56">
        <f>IFERROR(IF(OR(6&gt;B22,F31=""),"",F31),"")</f>
        <v>47723.97461397341</v>
      </c>
      <c r="C32" s="56">
        <f>IFERROR(IF(OR(6&gt;B22,B32=""),"",B32*B21),"")</f>
        <v>2863.4384768384048</v>
      </c>
      <c r="D32" s="56">
        <f>IFERROR(IF(OR(6&gt;B22,B32=""),"",IF(6&lt;=B23,0,MIN(B32,B24-C32))),"")</f>
        <v>23166.977967948198</v>
      </c>
      <c r="E32" s="56">
        <f>IFERROR(IF(C32="","",C32+D32),"")</f>
        <v>26030.416444786602</v>
      </c>
      <c r="F32" s="56">
        <f>IFERROR(IF(D32="","",B32-D32),"")</f>
        <v>24556.996646025214</v>
      </c>
      <c r="G32" s="56">
        <f>IFERROR(IF(E32="","",'2. P&amp;L 3 Años'!$D$43-'2. P&amp;L 3 Años'!$D$48+'2. P&amp;L 3 Años'!$D$38+'2. P&amp;L 3 Años'!$D$39),"")</f>
        <v>88559.90295332819</v>
      </c>
      <c r="H32" s="78">
        <f>IFERROR(IF(OR(E32="",E32=0),"",G32/E32),"")</f>
        <v>3.402170039852169</v>
      </c>
    </row>
    <row r="33">
      <c r="A33" s="55" t="n">
        <v>7</v>
      </c>
      <c r="B33" s="56">
        <f>IFERROR(IF(OR(7&gt;B22,F32=""),"",F32),"")</f>
        <v>24556.996646025214</v>
      </c>
      <c r="C33" s="56">
        <f>IFERROR(IF(OR(7&gt;B22,B33=""),"",B33*B21),"")</f>
        <v>1473.4197987615128</v>
      </c>
      <c r="D33" s="56">
        <f>IFERROR(IF(OR(7&gt;B22,B33=""),"",IF(7&lt;=B23,0,MIN(B33,B24-C33))),"")</f>
        <v>24556.99664602509</v>
      </c>
      <c r="E33" s="56">
        <f>IFERROR(IF(C33="","",C33+D33),"")</f>
        <v>26030.416444786602</v>
      </c>
      <c r="F33" s="56">
        <f>IFERROR(IF(D33="","",B33-D33),"")</f>
        <v>1.2369127944111824e-10</v>
      </c>
      <c r="G33" s="56">
        <f>IFERROR(IF(E33="","",'2. P&amp;L 3 Años'!$D$43-'2. P&amp;L 3 Años'!$D$48+'2. P&amp;L 3 Años'!$D$38+'2. P&amp;L 3 Años'!$D$39),"")</f>
        <v>88559.90295332819</v>
      </c>
      <c r="H33" s="78">
        <f>IFERROR(IF(OR(E33="",E33=0),"",G33/E33),"")</f>
        <v>3.402170039852169</v>
      </c>
    </row>
    <row r="34">
      <c r="A34" s="55" t="n">
        <v>8</v>
      </c>
      <c r="B34" s="56">
        <f>IFERROR(IF(OR(8&gt;B22,F33=""),"",F33),"")</f>
        <v/>
      </c>
      <c r="C34" s="56">
        <f>IFERROR(IF(OR(8&gt;B22,B34=""),"",B34*B21),"")</f>
        <v/>
      </c>
      <c r="D34" s="56">
        <f>IFERROR(IF(OR(8&gt;B22,B34=""),"",IF(8&lt;=B23,0,MIN(B34,B24-C34))),"")</f>
        <v/>
      </c>
      <c r="E34" s="56">
        <f>IFERROR(IF(C34="","",C34+D34),"")</f>
        <v/>
      </c>
      <c r="F34" s="56">
        <f>IFERROR(IF(D34="","",B34-D34),"")</f>
        <v/>
      </c>
      <c r="G34" s="56">
        <f>IFERROR(IF(E34="","",'2. P&amp;L 3 Años'!$D$43-'2. P&amp;L 3 Años'!$D$48+'2. P&amp;L 3 Años'!$D$38+'2. P&amp;L 3 Años'!$D$39),"")</f>
        <v/>
      </c>
      <c r="H34" s="78">
        <f>IFERROR(IF(OR(E34="",E34=0),"",G34/E34),"")</f>
        <v/>
      </c>
    </row>
    <row r="35">
      <c r="A35" s="55" t="n">
        <v>9</v>
      </c>
      <c r="B35" s="56">
        <f>IFERROR(IF(OR(9&gt;B22,F34=""),"",F34),"")</f>
        <v/>
      </c>
      <c r="C35" s="56">
        <f>IFERROR(IF(OR(9&gt;B22,B35=""),"",B35*B21),"")</f>
        <v/>
      </c>
      <c r="D35" s="56">
        <f>IFERROR(IF(OR(9&gt;B22,B35=""),"",IF(9&lt;=B23,0,MIN(B35,B24-C35))),"")</f>
        <v/>
      </c>
      <c r="E35" s="56">
        <f>IFERROR(IF(C35="","",C35+D35),"")</f>
        <v/>
      </c>
      <c r="F35" s="56">
        <f>IFERROR(IF(D35="","",B35-D35),"")</f>
        <v/>
      </c>
      <c r="G35" s="56">
        <f>IFERROR(IF(E35="","",'2. P&amp;L 3 Años'!$D$43-'2. P&amp;L 3 Años'!$D$48+'2. P&amp;L 3 Años'!$D$38+'2. P&amp;L 3 Años'!$D$39),"")</f>
        <v/>
      </c>
      <c r="H35" s="78">
        <f>IFERROR(IF(OR(E35="",E35=0),"",G35/E35),"")</f>
        <v/>
      </c>
    </row>
    <row r="36">
      <c r="A36" s="55" t="n">
        <v>10</v>
      </c>
      <c r="B36" s="56">
        <f>IFERROR(IF(OR(10&gt;B22,F35=""),"",F35),"")</f>
        <v/>
      </c>
      <c r="C36" s="56">
        <f>IFERROR(IF(OR(10&gt;B22,B36=""),"",B36*B21),"")</f>
        <v/>
      </c>
      <c r="D36" s="56">
        <f>IFERROR(IF(OR(10&gt;B22,B36=""),"",IF(10&lt;=B23,0,MIN(B36,B24-C36))),"")</f>
        <v/>
      </c>
      <c r="E36" s="56">
        <f>IFERROR(IF(C36="","",C36+D36),"")</f>
        <v/>
      </c>
      <c r="F36" s="56">
        <f>IFERROR(IF(D36="","",B36-D36),"")</f>
        <v/>
      </c>
      <c r="G36" s="56">
        <f>IFERROR(IF(E36="","",'2. P&amp;L 3 Años'!$D$43-'2. P&amp;L 3 Años'!$D$48+'2. P&amp;L 3 Años'!$D$38+'2. P&amp;L 3 Años'!$D$39),"")</f>
        <v/>
      </c>
      <c r="H36" s="78">
        <f>IFERROR(IF(OR(E36="",E36=0),"",G36/E36),"")</f>
        <v/>
      </c>
    </row>
    <row r="37">
      <c r="A37" s="55" t="n">
        <v>11</v>
      </c>
      <c r="B37" s="56">
        <f>IFERROR(IF(OR(11&gt;B22,F36=""),"",F36),"")</f>
        <v/>
      </c>
      <c r="C37" s="56">
        <f>IFERROR(IF(OR(11&gt;B22,B37=""),"",B37*B21),"")</f>
        <v/>
      </c>
      <c r="D37" s="56">
        <f>IFERROR(IF(OR(11&gt;B22,B37=""),"",IF(11&lt;=B23,0,MIN(B37,B24-C37))),"")</f>
        <v/>
      </c>
      <c r="E37" s="56">
        <f>IFERROR(IF(C37="","",C37+D37),"")</f>
        <v/>
      </c>
      <c r="F37" s="56">
        <f>IFERROR(IF(D37="","",B37-D37),"")</f>
        <v/>
      </c>
      <c r="G37" s="56">
        <f>IFERROR(IF(E37="","",'2. P&amp;L 3 Años'!$D$43-'2. P&amp;L 3 Años'!$D$48+'2. P&amp;L 3 Años'!$D$38+'2. P&amp;L 3 Años'!$D$39),"")</f>
        <v/>
      </c>
      <c r="H37" s="78">
        <f>IFERROR(IF(OR(E37="",E37=0),"",G37/E37),"")</f>
        <v/>
      </c>
    </row>
    <row r="38">
      <c r="A38" s="55" t="n">
        <v>12</v>
      </c>
      <c r="B38" s="56">
        <f>IFERROR(IF(OR(12&gt;B22,F37=""),"",F37),"")</f>
        <v/>
      </c>
      <c r="C38" s="56">
        <f>IFERROR(IF(OR(12&gt;B22,B38=""),"",B38*B21),"")</f>
        <v/>
      </c>
      <c r="D38" s="56">
        <f>IFERROR(IF(OR(12&gt;B22,B38=""),"",IF(12&lt;=B23,0,MIN(B38,B24-C38))),"")</f>
        <v/>
      </c>
      <c r="E38" s="56">
        <f>IFERROR(IF(C38="","",C38+D38),"")</f>
        <v/>
      </c>
      <c r="F38" s="56">
        <f>IFERROR(IF(D38="","",B38-D38),"")</f>
        <v/>
      </c>
      <c r="G38" s="56">
        <f>IFERROR(IF(E38="","",'2. P&amp;L 3 Años'!$D$43-'2. P&amp;L 3 Años'!$D$48+'2. P&amp;L 3 Años'!$D$38+'2. P&amp;L 3 Años'!$D$39),"")</f>
        <v/>
      </c>
      <c r="H38" s="78">
        <f>IFERROR(IF(OR(E38="",E38=0),"",G38/E38),"")</f>
        <v/>
      </c>
    </row>
    <row r="39">
      <c r="A39" s="55" t="n">
        <v>13</v>
      </c>
      <c r="B39" s="56">
        <f>IFERROR(IF(OR(13&gt;B22,F38=""),"",F38),"")</f>
        <v/>
      </c>
      <c r="C39" s="56">
        <f>IFERROR(IF(OR(13&gt;B22,B39=""),"",B39*B21),"")</f>
        <v/>
      </c>
      <c r="D39" s="56">
        <f>IFERROR(IF(OR(13&gt;B22,B39=""),"",IF(13&lt;=B23,0,MIN(B39,B24-C39))),"")</f>
        <v/>
      </c>
      <c r="E39" s="56">
        <f>IFERROR(IF(C39="","",C39+D39),"")</f>
        <v/>
      </c>
      <c r="F39" s="56">
        <f>IFERROR(IF(D39="","",B39-D39),"")</f>
        <v/>
      </c>
      <c r="G39" s="56">
        <f>IFERROR(IF(E39="","",'2. P&amp;L 3 Años'!$D$43-'2. P&amp;L 3 Años'!$D$48+'2. P&amp;L 3 Años'!$D$38+'2. P&amp;L 3 Años'!$D$39),"")</f>
        <v/>
      </c>
      <c r="H39" s="78">
        <f>IFERROR(IF(OR(E39="",E39=0),"",G39/E39),"")</f>
        <v/>
      </c>
    </row>
    <row r="40">
      <c r="A40" s="55" t="n">
        <v>14</v>
      </c>
      <c r="B40" s="56">
        <f>IFERROR(IF(OR(14&gt;B22,F39=""),"",F39),"")</f>
        <v/>
      </c>
      <c r="C40" s="56">
        <f>IFERROR(IF(OR(14&gt;B22,B40=""),"",B40*B21),"")</f>
        <v/>
      </c>
      <c r="D40" s="56">
        <f>IFERROR(IF(OR(14&gt;B22,B40=""),"",IF(14&lt;=B23,0,MIN(B40,B24-C40))),"")</f>
        <v/>
      </c>
      <c r="E40" s="56">
        <f>IFERROR(IF(C40="","",C40+D40),"")</f>
        <v/>
      </c>
      <c r="F40" s="56">
        <f>IFERROR(IF(D40="","",B40-D40),"")</f>
        <v/>
      </c>
      <c r="G40" s="56">
        <f>IFERROR(IF(E40="","",'2. P&amp;L 3 Años'!$D$43-'2. P&amp;L 3 Años'!$D$48+'2. P&amp;L 3 Años'!$D$38+'2. P&amp;L 3 Años'!$D$39),"")</f>
        <v/>
      </c>
      <c r="H40" s="78">
        <f>IFERROR(IF(OR(E40="",E40=0),"",G40/E40),"")</f>
        <v/>
      </c>
    </row>
    <row r="41">
      <c r="A41" s="55" t="n">
        <v>15</v>
      </c>
      <c r="B41" s="56">
        <f>IFERROR(IF(OR(15&gt;B22,F40=""),"",F40),"")</f>
        <v/>
      </c>
      <c r="C41" s="56">
        <f>IFERROR(IF(OR(15&gt;B22,B41=""),"",B41*B21),"")</f>
        <v/>
      </c>
      <c r="D41" s="56">
        <f>IFERROR(IF(OR(15&gt;B22,B41=""),"",IF(15&lt;=B23,0,MIN(B41,B24-C41))),"")</f>
        <v/>
      </c>
      <c r="E41" s="56">
        <f>IFERROR(IF(C41="","",C41+D41),"")</f>
        <v/>
      </c>
      <c r="F41" s="56">
        <f>IFERROR(IF(D41="","",B41-D41),"")</f>
        <v/>
      </c>
      <c r="G41" s="56">
        <f>IFERROR(IF(E41="","",'2. P&amp;L 3 Años'!$D$43-'2. P&amp;L 3 Años'!$D$48+'2. P&amp;L 3 Años'!$D$38+'2. P&amp;L 3 Años'!$D$39),"")</f>
        <v/>
      </c>
      <c r="H41" s="78">
        <f>IFERROR(IF(OR(E41="",E41=0),"",G41/E41),"")</f>
        <v/>
      </c>
    </row>
    <row r="42">
      <c r="A42" s="44" t="inlineStr">
        <is>
          <t>Tolerancia de cierre del cuadro (€)</t>
        </is>
      </c>
      <c r="B42" s="66" t="n">
        <v>0.01</v>
      </c>
      <c r="C42" s="44" t="inlineStr">
        <is>
          <t>Margen por redondeo. Por encima, el cuadro no cierra y hay capital sin devolver</t>
        </is>
      </c>
      <c r="D42" s="44" t="n"/>
      <c r="E42" s="44" t="n"/>
      <c r="F42" s="44" t="n"/>
      <c r="G42" s="44" t="n"/>
      <c r="H42" s="44" t="n"/>
    </row>
    <row r="43">
      <c r="A43" s="44" t="inlineStr">
        <is>
          <t>Capital pendiente al vencimiento</t>
        </is>
      </c>
      <c r="B43" s="56">
        <f>IFERROR(IF(B20="","",ROUND(B20-SUM(D27:D41),2)),"")</f>
        <v>0.0</v>
      </c>
      <c r="C43" s="44" t="inlineStr">
        <is>
          <t>Tiene que ser cero: el principal devuelto en el cuadro tiene que ser el prestado. Si sale positivo, el plazo no llega</t>
        </is>
      </c>
      <c r="D43" s="44" t="n"/>
      <c r="E43" s="44" t="n"/>
      <c r="F43" s="44" t="n"/>
      <c r="G43" s="44" t="n"/>
      <c r="H43" s="44" t="n"/>
    </row>
    <row r="44">
      <c r="A44" s="44" t="inlineStr">
        <is>
          <t>Intereses del año 1</t>
        </is>
      </c>
      <c r="B44" s="48">
        <f>IFERROR(IF(B20="","",IF(C27="",0,C27)),"")</f>
        <v>7680.0</v>
      </c>
      <c r="C44" s="44" t="n"/>
      <c r="D44" s="44" t="n"/>
      <c r="E44" s="44" t="n"/>
      <c r="F44" s="44" t="n"/>
      <c r="G44" s="44" t="n"/>
      <c r="H44" s="44" t="n"/>
    </row>
    <row r="45">
      <c r="A45" s="44" t="inlineStr">
        <is>
          <t>Devolución de principal del año 1</t>
        </is>
      </c>
      <c r="B45" s="48">
        <f>IFERROR(IF(B20="","",IF(D27="",0,D27)),"")</f>
        <v>0.0</v>
      </c>
      <c r="C45" s="44" t="n"/>
      <c r="D45" s="44" t="n"/>
      <c r="E45" s="44" t="n"/>
      <c r="F45" s="44" t="n"/>
      <c r="G45" s="44" t="n"/>
      <c r="H45" s="44" t="n"/>
    </row>
    <row r="46">
      <c r="A46" s="44" t="inlineStr">
        <is>
          <t>Intereses del año 2</t>
        </is>
      </c>
      <c r="B46" s="48">
        <f>IFERROR(IF(B20="","",IF(C28="",0,C28)),"")</f>
        <v>7680.0</v>
      </c>
      <c r="C46" s="44" t="n"/>
      <c r="D46" s="44" t="n"/>
      <c r="E46" s="44" t="n"/>
      <c r="F46" s="44" t="n"/>
      <c r="G46" s="44" t="n"/>
      <c r="H46" s="44" t="n"/>
    </row>
    <row r="47">
      <c r="A47" s="44" t="inlineStr">
        <is>
          <t>Devolución de principal del año 2</t>
        </is>
      </c>
      <c r="B47" s="48">
        <f>IFERROR(IF(B20="","",IF(D28="",0,D28)),"")</f>
        <v>18350.416444786602</v>
      </c>
      <c r="C47" s="44" t="n"/>
      <c r="D47" s="44" t="n"/>
      <c r="E47" s="44" t="n"/>
      <c r="F47" s="44" t="n"/>
      <c r="G47" s="44" t="n"/>
      <c r="H47" s="44" t="n"/>
    </row>
    <row r="48">
      <c r="A48" s="44" t="inlineStr">
        <is>
          <t>Intereses del año 3</t>
        </is>
      </c>
      <c r="B48" s="48">
        <f>IFERROR(IF(B20="","",IF(C29="",0,C29)),"")</f>
        <v>6578.975013312804</v>
      </c>
      <c r="C48" s="44" t="n"/>
      <c r="D48" s="44" t="n"/>
      <c r="E48" s="44" t="n"/>
      <c r="F48" s="44" t="n"/>
      <c r="G48" s="44" t="n"/>
      <c r="H48" s="44" t="n"/>
    </row>
    <row r="49">
      <c r="A49" s="44" t="inlineStr">
        <is>
          <t>Devolución de principal del año 3</t>
        </is>
      </c>
      <c r="B49" s="48">
        <f>IFERROR(IF(B20="","",IF(D29="",0,D29)),"")</f>
        <v>19451.4414314738</v>
      </c>
      <c r="C49" s="44" t="n"/>
      <c r="D49" s="44" t="n"/>
      <c r="E49" s="44" t="n"/>
      <c r="F49" s="44" t="n"/>
      <c r="G49" s="44" t="n"/>
      <c r="H49" s="44" t="n"/>
    </row>
    <row r="50">
      <c r="A50" s="41" t="inlineStr">
        <is>
          <t>COBERTURA DEL SERVICIO DE LA DEUDA (DSCR)</t>
        </is>
      </c>
      <c r="B50" s="44" t="n"/>
      <c r="C50" s="44" t="n"/>
      <c r="D50" s="44" t="n"/>
      <c r="E50" s="44" t="n"/>
      <c r="F50" s="44" t="n"/>
      <c r="G50" s="44" t="n"/>
      <c r="H50" s="44" t="n"/>
    </row>
    <row r="51">
      <c r="A51" s="44" t="inlineStr">
        <is>
          <t>DSCR del año 1</t>
        </is>
      </c>
      <c r="B51" s="78">
        <f>IFERROR(('2. P&amp;L 3 Años'!$B$43-'2. P&amp;L 3 Años'!$B$48+'2. P&amp;L 3 Años'!$B$38+B44)/(B44+B45),"")</f>
        <v>8.471639322916664</v>
      </c>
      <c r="C51" s="44" t="inlineStr">
        <is>
          <t>Año de CARENCIA si la hay: con sólo intereses en el denominador el ratio se dispara y no mide el negocio</t>
        </is>
      </c>
      <c r="D51" s="44" t="n"/>
      <c r="E51" s="44" t="n"/>
      <c r="F51" s="44" t="n"/>
      <c r="G51" s="44" t="n"/>
      <c r="H51" s="44" t="n"/>
    </row>
    <row r="52">
      <c r="A52" s="44" t="inlineStr">
        <is>
          <t>DSCR del año 2</t>
        </is>
      </c>
      <c r="B52" s="78">
        <f>IFERROR(('2. P&amp;L 3 Años'!$C$43-'2. P&amp;L 3 Años'!$C$48+'2. P&amp;L 3 Años'!$C$38+B46)/(B46+B47),"")</f>
        <v>3.31314814662801</v>
      </c>
      <c r="C52" s="44" t="n"/>
      <c r="D52" s="44" t="n"/>
      <c r="E52" s="44" t="n"/>
      <c r="F52" s="44" t="n"/>
      <c r="G52" s="44" t="n"/>
      <c r="H52" s="44" t="n"/>
    </row>
    <row r="53">
      <c r="A53" s="44" t="inlineStr">
        <is>
          <t>DSCR del año 3</t>
        </is>
      </c>
      <c r="B53" s="78">
        <f>IFERROR(('2. P&amp;L 3 Años'!$D$43-'2. P&amp;L 3 Años'!$D$48+'2. P&amp;L 3 Años'!$D$38+B48)/(B48+B49),"")</f>
        <v>3.402170039852169</v>
      </c>
      <c r="C53" s="44" t="n"/>
      <c r="D53" s="44" t="n"/>
      <c r="E53" s="44" t="n"/>
      <c r="F53" s="44" t="n"/>
      <c r="G53" s="44" t="n"/>
      <c r="H53" s="44" t="n"/>
    </row>
    <row r="54">
      <c r="A54" s="41" t="inlineStr">
        <is>
          <t>DSCR mínimo de todo el cuadro</t>
        </is>
      </c>
      <c r="B54" s="70">
        <f>IFERROR(IF(COUNT(H27:H41)=0,"",MIN(H27:H41)),"")</f>
        <v>3.31314814662801</v>
      </c>
      <c r="C54" s="41" t="inlineStr">
        <is>
          <t>El peor año de los que dura el préstamo, no el mejor de los tres que proyecta el P&amp;L. Es el número que decide una operación. Ojo al alcance: los años 1 a 3 salen del P&amp;L y del año 4 en adelante el cuadro MANTIENE el flujo del año 3, así que el mínimo de esos años es una proyección sostenida, no un año calculado. El flujo va después de impuestos</t>
        </is>
      </c>
      <c r="D54" s="44" t="n"/>
      <c r="E54" s="44" t="n"/>
      <c r="F54" s="44" t="n"/>
      <c r="G54" s="44" t="n"/>
      <c r="H54" s="44" t="n"/>
    </row>
    <row r="55">
      <c r="A55" s="44" t="n"/>
      <c r="B55" s="44" t="n"/>
      <c r="C55" s="44" t="n"/>
      <c r="D55" s="44" t="n"/>
      <c r="E55" s="44" t="n"/>
      <c r="F55" s="44" t="n"/>
      <c r="G55" s="44" t="n"/>
      <c r="H55" s="44" t="n"/>
    </row>
    <row r="56" ht="165" customHeight="1">
      <c r="A56" s="63" t="inlineStr">
        <is>
          <t>El DSCR se calcula ANTES de la deuda y DESPUÉS de impuestos: al resultado antes de impuestos se le resta el Impuesto de Sociedades y se le devuelven la amortización contable y los intereses; el resultado se divide entre lo que hay que pagar ese año. Por debajo del mínimo de la hoja de Supuestos, el negocio no genera para pagar el préstamo. En el cuadro, el flujo de caja disponible de los años 4 en adelante se mantiene en el del año 3: el P&amp;L sólo proyecta tres, y aquí no se inventa un crecimiento que no está calculado.</t>
        </is>
      </c>
      <c r="B56" s="44" t="n"/>
      <c r="C56" s="44" t="n"/>
      <c r="D56" s="44" t="n"/>
      <c r="E56" s="44" t="n"/>
      <c r="F56" s="44" t="n"/>
      <c r="G56" s="44" t="n"/>
      <c r="H56" s="44" t="n"/>
    </row>
    <row r="57">
      <c r="A57" s="44" t="n"/>
      <c r="B57" s="44" t="n"/>
      <c r="C57" s="44" t="n"/>
      <c r="D57" s="44" t="n"/>
      <c r="E57" s="44" t="n"/>
      <c r="F57" s="44" t="n"/>
      <c r="G57" s="44" t="n"/>
      <c r="H57" s="44" t="n"/>
    </row>
    <row r="58">
      <c r="A58" s="44" t="n"/>
      <c r="B58" s="44" t="n"/>
      <c r="C58" s="44" t="n"/>
      <c r="D58" s="44" t="n"/>
      <c r="E58" s="44" t="n"/>
      <c r="F58" s="44" t="n"/>
      <c r="G58" s="44" t="n"/>
      <c r="H58" s="44" t="n"/>
    </row>
    <row r="59">
      <c r="A59" s="44" t="n"/>
      <c r="B59" s="44" t="n"/>
      <c r="C59" s="44" t="n"/>
      <c r="D59" s="44" t="n"/>
      <c r="E59" s="44" t="n"/>
      <c r="F59" s="44" t="n"/>
      <c r="G59" s="44" t="n"/>
      <c r="H59" s="44" t="n"/>
    </row>
    <row r="60">
      <c r="A60" s="44" t="n"/>
      <c r="B60" s="44" t="n"/>
      <c r="C60" s="44" t="n"/>
      <c r="D60" s="44" t="n"/>
      <c r="E60" s="44" t="n"/>
      <c r="F60" s="44" t="n"/>
      <c r="G60" s="44" t="n"/>
      <c r="H60" s="44" t="n"/>
    </row>
    <row r="61">
      <c r="A61" s="44" t="n"/>
      <c r="B61" s="44" t="n"/>
      <c r="C61" s="44" t="n"/>
      <c r="D61" s="44" t="n"/>
      <c r="E61" s="44" t="n"/>
      <c r="F61" s="44" t="n"/>
      <c r="G61" s="44" t="n"/>
      <c r="H61" s="44" t="n"/>
    </row>
    <row r="62">
      <c r="A62" s="44" t="n"/>
      <c r="B62" s="44" t="n"/>
      <c r="C62" s="44" t="n"/>
      <c r="D62" s="44" t="n"/>
      <c r="E62" s="44" t="n"/>
      <c r="F62" s="44" t="n"/>
      <c r="G62" s="44" t="n"/>
      <c r="H62" s="44" t="n"/>
    </row>
    <row r="63">
      <c r="A63" s="44" t="n"/>
      <c r="B63" s="44" t="n"/>
      <c r="C63" s="44" t="n"/>
      <c r="D63" s="44" t="n"/>
      <c r="E63" s="44" t="n"/>
      <c r="F63" s="44" t="n"/>
      <c r="G63" s="44" t="n"/>
      <c r="H63" s="44" t="n"/>
    </row>
    <row r="64">
      <c r="A64" s="44" t="n"/>
      <c r="B64" s="44" t="n"/>
      <c r="C64" s="44" t="n"/>
      <c r="D64" s="44" t="n"/>
      <c r="E64" s="44" t="n"/>
      <c r="F64" s="44" t="n"/>
      <c r="G64" s="44" t="n"/>
      <c r="H64" s="44" t="n"/>
    </row>
    <row r="65">
      <c r="A65" s="44" t="n"/>
      <c r="B65" s="44" t="n"/>
      <c r="C65" s="44" t="n"/>
      <c r="D65" s="44" t="n"/>
      <c r="E65" s="44" t="n"/>
      <c r="F65" s="44" t="n"/>
      <c r="G65" s="44" t="n"/>
      <c r="H65" s="44" t="n"/>
    </row>
    <row r="66">
      <c r="A66" s="44" t="n"/>
      <c r="B66" s="44" t="n"/>
      <c r="C66" s="44" t="n"/>
      <c r="D66" s="44" t="n"/>
      <c r="E66" s="44" t="n"/>
      <c r="F66" s="44" t="n"/>
      <c r="G66" s="44" t="n"/>
      <c r="H66" s="44" t="n"/>
    </row>
    <row r="67">
      <c r="A67" s="44" t="n"/>
      <c r="B67" s="44" t="n"/>
      <c r="C67" s="44" t="n"/>
      <c r="D67" s="44" t="n"/>
      <c r="E67" s="44" t="n"/>
      <c r="F67" s="44" t="n"/>
      <c r="G67" s="44" t="n"/>
      <c r="H67" s="44" t="n"/>
    </row>
    <row r="68">
      <c r="A68" s="44" t="n"/>
      <c r="B68" s="44" t="n"/>
      <c r="C68" s="44" t="n"/>
      <c r="D68" s="44" t="n"/>
      <c r="E68" s="44" t="n"/>
      <c r="F68" s="44" t="n"/>
      <c r="G68" s="44" t="n"/>
      <c r="H68" s="44" t="n"/>
    </row>
    <row r="69">
      <c r="A69" s="44" t="n"/>
      <c r="B69" s="44" t="n"/>
      <c r="C69" s="44" t="n"/>
      <c r="D69" s="44" t="n"/>
      <c r="E69" s="44" t="n"/>
      <c r="F69" s="44" t="n"/>
      <c r="G69" s="44" t="n"/>
      <c r="H69" s="44" t="n"/>
    </row>
    <row r="70">
      <c r="A70" s="44" t="n"/>
      <c r="B70" s="44" t="n"/>
      <c r="C70" s="44" t="n"/>
      <c r="D70" s="44" t="n"/>
      <c r="E70" s="44" t="n"/>
      <c r="F70" s="44" t="n"/>
      <c r="G70" s="44" t="n"/>
      <c r="H70" s="44" t="n"/>
    </row>
    <row r="71">
      <c r="A71" s="44" t="n"/>
      <c r="B71" s="44" t="n"/>
      <c r="C71" s="44" t="n"/>
      <c r="D71" s="44" t="n"/>
      <c r="E71" s="44" t="n"/>
      <c r="F71" s="44" t="n"/>
      <c r="G71" s="44" t="n"/>
      <c r="H71" s="44" t="n"/>
    </row>
    <row r="72">
      <c r="A72" s="44" t="n"/>
      <c r="B72" s="44" t="n"/>
      <c r="C72" s="44" t="n"/>
      <c r="D72" s="44" t="n"/>
      <c r="E72" s="44" t="n"/>
      <c r="F72" s="44" t="n"/>
      <c r="G72" s="44" t="n"/>
      <c r="H72" s="44" t="n"/>
    </row>
    <row r="73">
      <c r="A73" s="44" t="n"/>
      <c r="B73" s="44" t="n"/>
      <c r="C73" s="44" t="n"/>
      <c r="D73" s="44" t="n"/>
      <c r="E73" s="44" t="n"/>
      <c r="F73" s="44" t="n"/>
      <c r="G73" s="44" t="n"/>
      <c r="H73" s="44" t="n"/>
    </row>
    <row r="74">
      <c r="A74" s="44" t="n"/>
      <c r="B74" s="44" t="n"/>
      <c r="C74" s="44" t="n"/>
      <c r="D74" s="44" t="n"/>
      <c r="E74" s="44" t="n"/>
      <c r="F74" s="44" t="n"/>
      <c r="G74" s="44" t="n"/>
      <c r="H74" s="44" t="n"/>
    </row>
    <row r="75">
      <c r="A75" s="44" t="n"/>
      <c r="B75" s="44" t="n"/>
      <c r="C75" s="44" t="n"/>
      <c r="D75" s="44" t="n"/>
      <c r="E75" s="44" t="n"/>
      <c r="F75" s="44" t="n"/>
      <c r="G75" s="44" t="n"/>
      <c r="H75" s="44" t="n"/>
    </row>
    <row r="76">
      <c r="A76" s="44" t="n"/>
      <c r="B76" s="44" t="n"/>
      <c r="C76" s="44" t="n"/>
      <c r="D76" s="44" t="n"/>
      <c r="E76" s="44" t="n"/>
      <c r="F76" s="44" t="n"/>
      <c r="G76" s="44" t="n"/>
      <c r="H76" s="44" t="n"/>
    </row>
    <row r="77">
      <c r="A77" s="44" t="n"/>
      <c r="B77" s="44" t="n"/>
      <c r="C77" s="44" t="n"/>
      <c r="D77" s="44" t="n"/>
      <c r="E77" s="44" t="n"/>
      <c r="F77" s="44" t="n"/>
      <c r="G77" s="44" t="n"/>
      <c r="H77" s="44" t="n"/>
    </row>
    <row r="78">
      <c r="A78" s="44" t="n"/>
      <c r="B78" s="44" t="n"/>
      <c r="C78" s="44" t="n"/>
      <c r="D78" s="44" t="n"/>
      <c r="E78" s="44" t="n"/>
      <c r="F78" s="44" t="n"/>
      <c r="G78" s="44" t="n"/>
      <c r="H78" s="44" t="n"/>
    </row>
    <row r="79">
      <c r="A79" s="44" t="n"/>
      <c r="B79" s="44" t="n"/>
      <c r="C79" s="44" t="n"/>
      <c r="D79" s="44" t="n"/>
      <c r="E79" s="44" t="n"/>
      <c r="F79" s="44" t="n"/>
      <c r="G79" s="44" t="n"/>
      <c r="H79" s="44" t="n"/>
    </row>
    <row r="80">
      <c r="A80" s="44" t="n"/>
      <c r="B80" s="44" t="n"/>
      <c r="C80" s="44" t="n"/>
      <c r="D80" s="44" t="n"/>
      <c r="E80" s="44" t="n"/>
      <c r="F80" s="44" t="n"/>
      <c r="G80" s="44" t="n"/>
      <c r="H80" s="44" t="n"/>
    </row>
  </sheetData>
  <sheetProtection selectLockedCells="0" selectUnlockedCells="0" sheet="1" objects="0" insertRows="1" insertHyperlinks="1" autoFilter="1" scenarios="0" formatColumns="0" deleteColumns="1" insertColumns="1" pivotTables="1" deleteRows="1" formatCells="1" formatRows="0" sort="0"/>
  <conditionalFormatting sqref="B16">
    <cfRule type="expression" priority="1" dxfId="1" stopIfTrue="1">
      <formula>AND(ISNUMBER(B16),B16&lt;0)</formula>
    </cfRule>
    <cfRule type="expression" priority="2" dxfId="2" stopIfTrue="1">
      <formula>AND(ISNUMBER(B16),B16&gt;$B$17)</formula>
    </cfRule>
    <cfRule type="expression" priority="3" dxfId="0" stopIfTrue="1">
      <formula>AND(ISNUMBER(B16),B16&gt;=0)</formula>
    </cfRule>
  </conditionalFormatting>
  <conditionalFormatting sqref="B43">
    <cfRule type="expression" priority="4" dxfId="1" stopIfTrue="1">
      <formula>AND(ISNUMBER(B43),ABS(B43)&gt;$B$42)</formula>
    </cfRule>
    <cfRule type="expression" priority="5" dxfId="0" stopIfTrue="1">
      <formula>AND(ISNUMBER(B43),ABS(B43)&lt;=$B$42)</formula>
    </cfRule>
  </conditionalFormatting>
  <conditionalFormatting sqref="B51">
    <cfRule type="expression" priority="6" dxfId="1" stopIfTrue="1">
      <formula>AND(ISNUMBER(B51),B51&lt;'0. Supuestos'!$B$65)</formula>
    </cfRule>
    <cfRule type="expression" priority="7" dxfId="2" stopIfTrue="1">
      <formula>AND(ISNUMBER(B51),B51&gt;='0. Supuestos'!$B$65)</formula>
    </cfRule>
    <cfRule type="expression" priority="8" dxfId="0" stopIfTrue="1">
      <formula>AND(ISNUMBER(B51),B51&gt;='0. Supuestos'!$B$66)</formula>
    </cfRule>
  </conditionalFormatting>
  <conditionalFormatting sqref="B52">
    <cfRule type="expression" priority="9" dxfId="1" stopIfTrue="1">
      <formula>AND(ISNUMBER(B52),B52&lt;'0. Supuestos'!$B$65)</formula>
    </cfRule>
    <cfRule type="expression" priority="10" dxfId="2" stopIfTrue="1">
      <formula>AND(ISNUMBER(B52),B52&gt;='0. Supuestos'!$B$65)</formula>
    </cfRule>
    <cfRule type="expression" priority="11" dxfId="0" stopIfTrue="1">
      <formula>AND(ISNUMBER(B52),B52&gt;='0. Supuestos'!$B$66)</formula>
    </cfRule>
  </conditionalFormatting>
  <conditionalFormatting sqref="B53">
    <cfRule type="expression" priority="12" dxfId="1" stopIfTrue="1">
      <formula>AND(ISNUMBER(B53),B53&lt;'0. Supuestos'!$B$65)</formula>
    </cfRule>
    <cfRule type="expression" priority="13" dxfId="2" stopIfTrue="1">
      <formula>AND(ISNUMBER(B53),B53&gt;='0. Supuestos'!$B$65)</formula>
    </cfRule>
    <cfRule type="expression" priority="14" dxfId="0" stopIfTrue="1">
      <formula>AND(ISNUMBER(B53),B53&gt;='0. Supuestos'!$B$66)</formula>
    </cfRule>
  </conditionalFormatting>
  <conditionalFormatting sqref="B54">
    <cfRule type="expression" priority="15" dxfId="1" stopIfTrue="1">
      <formula>AND(ISNUMBER(B54),B54&lt;'0. Supuestos'!$B$65)</formula>
    </cfRule>
    <cfRule type="expression" priority="16" dxfId="2" stopIfTrue="1">
      <formula>AND(ISNUMBER(B54),B54&gt;='0. Supuestos'!$B$65)</formula>
    </cfRule>
    <cfRule type="expression" priority="17" dxfId="0" stopIfTrue="1">
      <formula>AND(ISNUMBER(B54),B54&gt;='0. Supuestos'!$B$66)</formula>
    </cfRule>
  </conditionalFormatting>
  <dataValidations count="2">
    <dataValidation sqref="B8 B9 B10 B11 B42" showDropDown="0" showInputMessage="0" showErrorMessage="1" allowBlank="1" errorTitle="Importe no válido" error="Escribe un número mayor o igual que 0." type="decimal" operator="greaterThanOrEqual">
      <formula1>0</formula1>
    </dataValidation>
    <dataValidation sqref="B17"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Plan financiero — Bar-Restaurante / Restaurante Casual · v2.2</dc:title>
  <dc:description xmlns:dc="http://purl.org/dc/elements/1.1/">aichef.pro/plan-negocio-bar-restaurante</dc:description>
  <dc:subject xmlns:dc="http://purl.org/dc/elements/1.1/">Plan financiero — Bar-Restaurante / Restaurante Casual · v2.2</dc:subject>
  <dcterms:created xmlns:dcterms="http://purl.org/dc/terms/" xmlns:xsi="http://www.w3.org/2001/XMLSchema-instance" xsi:type="dcterms:W3CDTF">2026-03-25T22:52:01Z</dcterms:created>
  <dcterms:modified xmlns:dcterms="http://purl.org/dc/terms/" xmlns:xsi="http://www.w3.org/2001/XMLSchema-instance" xsi:type="dcterms:W3CDTF">2026-09-05T15:28:17Z</dcterms:modified>
  <cp:lastModifiedBy>AI Chef Pro</cp:lastModifiedBy>
  <cp:category>AI Chef Pro · Productos digitales</cp:category>
  <cp:keywords>plan negocio bar restaurante, AI Chef Pro</cp:keywords>
</cp:coreProperties>
</file>