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1. Startup Costs" sheetId="2" state="visible" r:id="rId2"/>
    <sheet xmlns:r="http://schemas.openxmlformats.org/officeDocument/2006/relationships" name="2. 3-Year P&amp;L" sheetId="3" state="visible" r:id="rId3"/>
    <sheet xmlns:r="http://schemas.openxmlformats.org/officeDocument/2006/relationships" name="3. Break-Even" sheetId="4" state="visible" r:id="rId4"/>
    <sheet xmlns:r="http://schemas.openxmlformats.org/officeDocument/2006/relationships" name="4. Scenarios" sheetId="5" state="visible" r:id="rId5"/>
    <sheet xmlns:r="http://schemas.openxmlformats.org/officeDocument/2006/relationships" name="5. Staffing" sheetId="6" state="visible" r:id="rId6"/>
    <sheet xmlns:r="http://schemas.openxmlformats.org/officeDocument/2006/relationships" name="Instructions" sheetId="7" state="visible" r:id="rId7"/>
    <sheet xmlns:r="http://schemas.openxmlformats.org/officeDocument/2006/relationships" name="6. 12-Month Cash Flow" sheetId="8" state="visible" r:id="rId8"/>
    <sheet xmlns:r="http://schemas.openxmlformats.org/officeDocument/2006/relationships" name="7. Financing" sheetId="9" state="visible" r:id="rId9"/>
  </sheets>
  <definedNames>
    <definedName name="_xlnm.Print_Titles" localSheetId="1">'1. Startup Costs'!$5:$5</definedName>
    <definedName name="_xlnm.Print_Titles" localSheetId="2">'2. 3-Year P&amp;L'!$5:$5</definedName>
    <definedName name="_xlnm.Print_Titles" localSheetId="3">'3. Break-Even'!$5:$5</definedName>
    <definedName name="_xlnm.Print_Titles" localSheetId="4">'4. Scenarios'!$5:$5</definedName>
    <definedName name="_xlnm.Print_Titles" localSheetId="5">'5. Staffing'!$5:$5</definedName>
    <definedName name="_xlnm.Print_Titles" localSheetId="7">'6. 12-Month Cash Flow'!$4:$4</definedName>
    <definedName name="_xlnm.Print_Titles" localSheetId="8">'7. Financing'!$4:$4</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0.0"/>
  </numFmts>
  <fonts count="13">
    <font>
      <name val="Calibri"/>
      <family val="2"/>
      <color theme="1"/>
      <sz val="11"/>
      <scheme val="minor"/>
    </font>
    <font>
      <name val="Playfair Display"/>
      <b val="1"/>
      <color rgb="00C4974A"/>
      <sz val="16"/>
    </font>
    <font>
      <name val="Inter"/>
      <b val="1"/>
      <color rgb="000A0908"/>
      <sz val="13"/>
    </font>
    <font>
      <name val="Inter"/>
      <i val="1"/>
      <color rgb="00888888"/>
      <sz val="9"/>
    </font>
    <font>
      <name val="Inter"/>
      <b val="1"/>
      <color rgb="00FFFFFF"/>
      <sz val="11"/>
    </font>
    <font>
      <name val="Inter"/>
      <b val="1"/>
      <color rgb="000A0908"/>
      <sz val="10"/>
    </font>
    <font>
      <name val="Inter"/>
      <color rgb="000A0908"/>
      <sz val="10"/>
    </font>
    <font>
      <name val="Inter"/>
      <b val="1"/>
      <color rgb="00C4974A"/>
      <sz val="11"/>
    </font>
    <font>
      <b val="1"/>
      <color theme="1"/>
      <sz val="11"/>
    </font>
    <font/>
    <font>
      <b val="1"/>
    </font>
    <font>
      <color theme="1"/>
      <sz val="11"/>
    </font>
    <font>
      <b val="1"/>
      <sz val="11"/>
    </font>
  </fonts>
  <fills count="9">
    <fill>
      <patternFill/>
    </fill>
    <fill>
      <patternFill patternType="gray125"/>
    </fill>
    <fill>
      <patternFill patternType="solid">
        <fgColor rgb="00C4974A"/>
        <bgColor rgb="00C4974A"/>
      </patternFill>
    </fill>
    <fill>
      <patternFill patternType="solid">
        <fgColor rgb="00F7F3EC"/>
        <bgColor rgb="00F7F3EC"/>
      </patternFill>
    </fill>
    <fill>
      <patternFill patternType="solid">
        <fgColor rgb="00F5EFE0"/>
        <bgColor rgb="00F5EFE0"/>
      </patternFill>
    </fill>
    <fill>
      <patternFill patternType="solid">
        <fgColor rgb="00FFF8E7"/>
        <bgColor rgb="00FFF8E7"/>
      </patternFill>
    </fill>
    <fill>
      <patternFill patternType="solid">
        <fgColor rgb="00FDE8E8"/>
        <bgColor rgb="00FDE8E8"/>
      </patternFill>
    </fill>
    <fill>
      <patternFill patternType="solid">
        <fgColor rgb="00E8F5E9"/>
        <bgColor rgb="00E8F5E9"/>
      </patternFill>
    </fill>
    <fill>
      <patternFill patternType="solid">
        <fgColor rgb="00E8F5E9"/>
      </patternFill>
    </fill>
  </fills>
  <borders count="7">
    <border>
      <left/>
      <right/>
      <top/>
      <bottom/>
      <diagonal/>
    </border>
    <border>
      <left style="thin">
        <color rgb="00D4D0C8"/>
      </left>
      <right style="thin">
        <color rgb="00D4D0C8"/>
      </right>
      <top style="thin">
        <color rgb="00D4D0C8"/>
      </top>
      <bottom style="thin">
        <color rgb="00D4D0C8"/>
      </bottom>
    </border>
    <border>
      <left/>
      <right/>
      <top style="thin">
        <color rgb="00D4D0C8"/>
      </top>
      <bottom/>
      <diagonal/>
    </border>
    <border>
      <left/>
      <right style="thin">
        <color rgb="00D4D0C8"/>
      </right>
      <top style="thin">
        <color rgb="00D4D0C8"/>
      </top>
      <bottom/>
      <diagonal/>
    </border>
    <border>
      <left/>
      <right/>
      <top style="thin">
        <color rgb="00D4D0C8"/>
      </top>
      <bottom style="thin">
        <color rgb="00D4D0C8"/>
      </bottom>
      <diagonal/>
    </border>
    <border>
      <left/>
      <right style="thin">
        <color rgb="00D4D0C8"/>
      </right>
      <top style="thin">
        <color rgb="00D4D0C8"/>
      </top>
      <bottom style="thin">
        <color rgb="00D4D0C8"/>
      </bottom>
      <diagonal/>
    </border>
    <border/>
  </borders>
  <cellStyleXfs count="1">
    <xf numFmtId="0" fontId="0" fillId="0" borderId="0"/>
  </cellStyleXfs>
  <cellXfs count="8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164" fontId="6" fillId="0" borderId="1" applyAlignment="1" pivotButton="0" quotePrefix="0" xfId="0">
      <alignment horizontal="right" vertical="center"/>
    </xf>
    <xf numFmtId="0" fontId="7" fillId="4" borderId="1" applyAlignment="1" pivotButton="0" quotePrefix="0" xfId="0">
      <alignment horizontal="left" vertical="center" wrapText="1"/>
    </xf>
    <xf numFmtId="164" fontId="7" fillId="4" borderId="1" applyAlignment="1" pivotButton="0" quotePrefix="0" xfId="0">
      <alignment horizontal="right" vertical="center"/>
    </xf>
    <xf numFmtId="0" fontId="3" fillId="4" borderId="1" pivotButton="0" quotePrefix="0" xfId="0"/>
    <xf numFmtId="0" fontId="3" fillId="0" borderId="0" applyAlignment="1" pivotButton="0" quotePrefix="0" xfId="0">
      <alignment horizontal="center"/>
    </xf>
    <xf numFmtId="3" fontId="6" fillId="0" borderId="1" applyAlignment="1" pivotButton="0" quotePrefix="0" xfId="0">
      <alignment horizontal="right" vertical="center"/>
    </xf>
    <xf numFmtId="0" fontId="5" fillId="5" borderId="1" applyAlignment="1" pivotButton="0" quotePrefix="0" xfId="0">
      <alignment horizontal="left" vertical="center" wrapText="1"/>
    </xf>
    <xf numFmtId="164" fontId="5" fillId="5" borderId="1" applyAlignment="1" pivotButton="0" quotePrefix="0" xfId="0">
      <alignment horizontal="right" vertical="center"/>
    </xf>
    <xf numFmtId="0" fontId="5" fillId="6" borderId="1" applyAlignment="1" pivotButton="0" quotePrefix="0" xfId="0">
      <alignment horizontal="left" vertical="center" wrapText="1"/>
    </xf>
    <xf numFmtId="164" fontId="5" fillId="6" borderId="1" applyAlignment="1" pivotButton="0" quotePrefix="0" xfId="0">
      <alignment horizontal="right" vertical="center"/>
    </xf>
    <xf numFmtId="0" fontId="5" fillId="7" borderId="1" applyAlignment="1" pivotButton="0" quotePrefix="0" xfId="0">
      <alignment horizontal="left" vertical="center" wrapText="1"/>
    </xf>
    <xf numFmtId="164" fontId="5" fillId="7" borderId="1" applyAlignment="1" pivotButton="0" quotePrefix="0" xfId="0">
      <alignment horizontal="right" vertical="center"/>
    </xf>
    <xf numFmtId="165" fontId="6" fillId="0" borderId="1" applyAlignment="1" pivotButton="0" quotePrefix="0" xfId="0">
      <alignment horizontal="right" vertical="center"/>
    </xf>
    <xf numFmtId="166" fontId="6" fillId="0" borderId="1" applyAlignment="1" pivotButton="0" quotePrefix="0" xfId="0">
      <alignment horizontal="right" vertical="center"/>
    </xf>
    <xf numFmtId="0" fontId="5" fillId="5" borderId="1" applyAlignment="1" pivotButton="0" quotePrefix="0" xfId="0">
      <alignment horizontal="right" vertical="center"/>
    </xf>
    <xf numFmtId="0" fontId="6" fillId="0" borderId="0" applyAlignment="1" pivotButton="0" quotePrefix="0" xfId="0">
      <alignment horizontal="left" vertical="center" wrapText="1"/>
    </xf>
    <xf numFmtId="0" fontId="3" fillId="0" borderId="0" applyAlignment="1" pivotButton="0" quotePrefix="0" xfId="0">
      <alignment horizontal="left" vertical="center" wrapText="1"/>
    </xf>
    <xf numFmtId="0" fontId="5" fillId="4" borderId="1" applyAlignment="1" pivotButton="0" quotePrefix="0" xfId="0">
      <alignment horizontal="left" vertical="center" wrapText="1"/>
    </xf>
    <xf numFmtId="164" fontId="5" fillId="4" borderId="1" applyAlignment="1" pivotButton="0" quotePrefix="0" xfId="0">
      <alignment horizontal="right" vertical="center"/>
    </xf>
    <xf numFmtId="0" fontId="1" fillId="0" borderId="0" pivotButton="0" quotePrefix="0" xfId="0"/>
    <xf numFmtId="0" fontId="2" fillId="0" borderId="0" pivotButton="0" quotePrefix="0" xfId="0"/>
    <xf numFmtId="0" fontId="0" fillId="0" borderId="4" pivotButton="0" quotePrefix="0" xfId="0"/>
    <xf numFmtId="0" fontId="0" fillId="0" borderId="5" pivotButton="0" quotePrefix="0" xfId="0"/>
    <xf numFmtId="0" fontId="8" fillId="0" borderId="0" pivotButton="0" quotePrefix="0" xfId="0"/>
    <xf numFmtId="0" fontId="0" fillId="0" borderId="0" applyAlignment="1" pivotButton="0" quotePrefix="0" xfId="0">
      <alignment horizontal="general" vertical="top" wrapText="1"/>
    </xf>
    <xf numFmtId="3" fontId="0" fillId="8" borderId="0" applyProtection="1" pivotButton="0" quotePrefix="0" xfId="0">
      <protection locked="0" hidden="0"/>
    </xf>
    <xf numFmtId="166" fontId="0" fillId="8" borderId="0" applyProtection="1" pivotButton="0" quotePrefix="0" xfId="0">
      <protection locked="0" hidden="0"/>
    </xf>
    <xf numFmtId="165" fontId="0" fillId="8" borderId="0" applyProtection="1" pivotButton="0" quotePrefix="0" xfId="0">
      <protection locked="0" hidden="0"/>
    </xf>
    <xf numFmtId="166" fontId="0" fillId="0" borderId="0" pivotButton="0" quotePrefix="0" xfId="0"/>
    <xf numFmtId="165" fontId="0" fillId="0" borderId="0" pivotButton="0" quotePrefix="0" xfId="0"/>
    <xf numFmtId="164" fontId="0" fillId="8" borderId="0" applyProtection="1" pivotButton="0" quotePrefix="0" xfId="0">
      <protection locked="0" hidden="0"/>
    </xf>
    <xf numFmtId="4" fontId="0" fillId="0" borderId="0" pivotButton="0" quotePrefix="0" xfId="0"/>
    <xf numFmtId="4" fontId="0" fillId="8" borderId="0" applyProtection="1" pivotButton="0" quotePrefix="0" xfId="0">
      <protection locked="0" hidden="0"/>
    </xf>
    <xf numFmtId="0" fontId="3" fillId="0" borderId="0" applyAlignment="1" pivotButton="0" quotePrefix="0" xfId="0">
      <alignment horizontal="left" vertical="top" wrapText="1"/>
    </xf>
    <xf numFmtId="0" fontId="10" fillId="0" borderId="6" pivotButton="0" quotePrefix="0" xfId="0"/>
    <xf numFmtId="164" fontId="10" fillId="0" borderId="6" pivotButton="0" quotePrefix="0" xfId="0"/>
    <xf numFmtId="165" fontId="10" fillId="0" borderId="6" pivotButton="0" quotePrefix="0" xfId="0"/>
    <xf numFmtId="0" fontId="9" fillId="0" borderId="6" pivotButton="0" quotePrefix="0" xfId="0"/>
    <xf numFmtId="164" fontId="9" fillId="8" borderId="6" applyProtection="1" pivotButton="0" quotePrefix="0" xfId="0">
      <protection locked="0" hidden="0"/>
    </xf>
    <xf numFmtId="165" fontId="9" fillId="0" borderId="6" pivotButton="0" quotePrefix="0" xfId="0"/>
    <xf numFmtId="0" fontId="9" fillId="8" borderId="6" applyProtection="1" pivotButton="0" quotePrefix="0" xfId="0">
      <protection locked="0" hidden="0"/>
    </xf>
    <xf numFmtId="164" fontId="9" fillId="0" borderId="6" pivotButton="0" quotePrefix="0" xfId="0"/>
    <xf numFmtId="0" fontId="11" fillId="0" borderId="0" pivotButton="0" quotePrefix="0" xfId="0"/>
    <xf numFmtId="164" fontId="0" fillId="0" borderId="0" pivotButton="0" quotePrefix="0" xfId="0"/>
    <xf numFmtId="164" fontId="12" fillId="0" borderId="0" pivotButton="0" quotePrefix="0" xfId="0"/>
    <xf numFmtId="0" fontId="12" fillId="0" borderId="0" pivotButton="0" quotePrefix="0" xfId="0"/>
    <xf numFmtId="0" fontId="2" fillId="0" borderId="0" applyAlignment="1" pivotButton="0" quotePrefix="0" xfId="0">
      <alignment horizontal="left" vertical="top" wrapText="1"/>
    </xf>
    <xf numFmtId="0" fontId="10" fillId="0" borderId="6" applyAlignment="1" pivotButton="0" quotePrefix="0" xfId="0">
      <alignment horizontal="general" vertical="top" wrapText="1"/>
    </xf>
    <xf numFmtId="3" fontId="9" fillId="0" borderId="6" pivotButton="0" quotePrefix="0" xfId="0"/>
    <xf numFmtId="166" fontId="9" fillId="0" borderId="6" pivotButton="0" quotePrefix="0" xfId="0"/>
    <xf numFmtId="165" fontId="12" fillId="0" borderId="0" pivotButton="0" quotePrefix="0" xfId="0"/>
    <xf numFmtId="3" fontId="0" fillId="0" borderId="0" pivotButton="0" quotePrefix="0" xfId="0"/>
    <xf numFmtId="165" fontId="11" fillId="8" borderId="0" applyProtection="1" pivotButton="0" quotePrefix="0" xfId="0">
      <protection locked="0" hidden="0"/>
    </xf>
    <xf numFmtId="167" fontId="9" fillId="0" borderId="6" pivotButton="0" quotePrefix="0" xfId="0"/>
    <xf numFmtId="167" fontId="10" fillId="0" borderId="6" pivotButton="0" quotePrefix="0" xfId="0"/>
    <xf numFmtId="167" fontId="9" fillId="8" borderId="6" applyProtection="1" pivotButton="0" quotePrefix="0" xfId="0">
      <protection locked="0" hidden="0"/>
    </xf>
    <xf numFmtId="0" fontId="9" fillId="0" borderId="6" applyAlignment="1" pivotButton="0" quotePrefix="0" xfId="0">
      <alignment horizontal="general" vertical="top" wrapText="1"/>
    </xf>
    <xf numFmtId="166" fontId="10" fillId="0" borderId="6" pivotButton="0" quotePrefix="0" xfId="0"/>
    <xf numFmtId="3" fontId="9" fillId="8" borderId="6" applyProtection="1" pivotButton="0" quotePrefix="0" xfId="0">
      <protection locked="0" hidden="0"/>
    </xf>
    <xf numFmtId="166" fontId="9" fillId="8" borderId="6" applyProtection="1" pivotButton="0" quotePrefix="0" xfId="0">
      <protection locked="0" hidden="0"/>
    </xf>
    <xf numFmtId="167" fontId="0" fillId="0" borderId="0" pivotButton="0" quotePrefix="0" xfId="0"/>
    <xf numFmtId="9" fontId="9" fillId="8" borderId="6" applyProtection="1" pivotButton="0" quotePrefix="0" xfId="0">
      <protection locked="0" hidden="0"/>
    </xf>
    <xf numFmtId="3" fontId="10" fillId="0" borderId="6" pivotButton="0" quotePrefix="0" xfId="0"/>
    <xf numFmtId="4" fontId="10" fillId="0" borderId="6" pivotButton="0" quotePrefix="0" xfId="0"/>
    <xf numFmtId="3" fontId="11" fillId="8" borderId="0" applyProtection="1" pivotButton="0" quotePrefix="0" xfId="0">
      <protection locked="0" hidden="0"/>
    </xf>
    <xf numFmtId="3" fontId="11" fillId="0" borderId="0" pivotButton="0" quotePrefix="0" xfId="0"/>
    <xf numFmtId="167" fontId="11" fillId="8" borderId="0" applyProtection="1" pivotButton="0" quotePrefix="0" xfId="0">
      <protection locked="0" hidden="0"/>
    </xf>
    <xf numFmtId="167" fontId="11" fillId="0" borderId="0" pivotButton="0" quotePrefix="0" xfId="0"/>
    <xf numFmtId="0" fontId="0" fillId="0" borderId="0" applyAlignment="1" pivotButton="0" quotePrefix="0" xfId="0">
      <alignment horizontal="general" vertical="top"/>
    </xf>
    <xf numFmtId="0" fontId="0" fillId="0" borderId="0" applyAlignment="1" pivotButton="0" quotePrefix="0" xfId="0">
      <alignment horizontal="left" vertical="top"/>
    </xf>
    <xf numFmtId="165" fontId="9" fillId="8" borderId="6" applyProtection="1" pivotButton="0" quotePrefix="0" xfId="0">
      <protection locked="0" hidden="0"/>
    </xf>
    <xf numFmtId="4" fontId="9" fillId="0" borderId="6" pivotButton="0" quotePrefix="0" xfId="0"/>
    <xf numFmtId="0" fontId="9" fillId="0" borderId="6" applyAlignment="1" pivotButton="0" quotePrefix="0" xfId="0">
      <alignment horizontal="general" vertical="top"/>
    </xf>
    <xf numFmtId="0" fontId="9" fillId="0" borderId="6" applyAlignment="1" pivotButton="0" quotePrefix="0" xfId="0">
      <alignment horizontal="left" vertical="top"/>
    </xf>
    <xf numFmtId="0" fontId="9" fillId="0" borderId="6" applyAlignment="1" pivotButton="0" quotePrefix="0" xfId="0">
      <alignment horizontal="general" vertical="top"/>
    </xf>
    <xf numFmtId="4" fontId="9" fillId="8" borderId="6" applyProtection="1" pivotButton="0" quotePrefix="0" xfId="0">
      <protection locked="0" hidden="0"/>
    </xf>
    <xf numFmtId="0" fontId="9" fillId="0" borderId="6"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30" t="inlineStr">
        <is>
          <t>ASSUMPTIONS — the RATES and DRIVERS of the model are typed here</t>
        </is>
      </c>
    </row>
    <row r="2" ht="59.75" customHeight="1">
      <c r="A2" s="31" t="inlineStr">
        <is>
          <t>Change the GREEN cells: the rest of the workbook recalculates on its own. Expense items are typed on their own tab (also in green) and are not repeated here. Amounts are in your currency.</t>
        </is>
      </c>
    </row>
    <row r="3">
      <c r="A3" s="30" t="inlineStr">
        <is>
          <t>BUSINESS ACTIVITY</t>
        </is>
      </c>
    </row>
    <row r="4">
      <c r="A4" t="inlineStr">
        <is>
          <t>Covers per day (year-1 average)</t>
        </is>
      </c>
      <c r="B4" s="32" t="n">
        <v>125</v>
      </c>
      <c r="C4" t="inlineStr">
        <is>
          <t>Guests served per day, averaged over the year and counting every service. The seat turns this implies are calculated in the "Implied seat turns per day (calculated)" cell on this same tab; compare them with the maximum your space allows on the "3. Break-Even" tab</t>
        </is>
      </c>
    </row>
    <row r="5">
      <c r="A5" t="inlineStr">
        <is>
          <t>Average check (excl. sales tax)</t>
        </is>
      </c>
      <c r="B5" s="39" t="n">
        <v>28</v>
      </c>
      <c r="C5" t="inlineStr">
        <is>
          <t>EXCL. sales tax. The "Menu price incl. sales tax (calculated)" cell below converts it into the price on your menu: compare that figure with the average-check range in the industry benchmarks table on the "Instructions" tab</t>
        </is>
      </c>
    </row>
    <row r="6">
      <c r="A6" t="inlineStr">
        <is>
          <t>Operating days per year</t>
        </is>
      </c>
      <c r="B6" s="32" t="n">
        <v>310</v>
      </c>
      <c r="C6" t="inlineStr">
        <is>
          <t>One closing day a week plus holidays and vacations. The SAME figure drives the P&amp;L, the break-even and the scenarios</t>
        </is>
      </c>
    </row>
    <row r="7">
      <c r="A7" t="inlineStr">
        <is>
          <t>Volume growth in year 2</t>
        </is>
      </c>
      <c r="B7" s="34" t="n">
        <v>0.1</v>
      </c>
      <c r="C7" t="inlineStr">
        <is>
          <t>Second year, with a regular clientele already in place</t>
        </is>
      </c>
    </row>
    <row r="8">
      <c r="A8" t="inlineStr">
        <is>
          <t>Volume growth in year 3</t>
        </is>
      </c>
      <c r="B8" s="34" t="n">
        <v>0.06</v>
      </c>
      <c r="C8" t="inlineStr">
        <is>
          <t>Third year, close to the seat-turn ceiling of the space</t>
        </is>
      </c>
    </row>
    <row r="9">
      <c r="A9" t="inlineStr">
        <is>
          <t>Menu price incl. sales tax (calculated)</t>
        </is>
      </c>
      <c r="B9" s="38">
        <f>IFERROR(IF($B$5="","",$B$5*(1+SUMPRODUCT('2. 3-Year P&amp;L'!$E$11:$E$12,'2. 3-Year P&amp;L'!$G$11:$G$12))),"")</f>
        <v>30.240000000000002</v>
      </c>
      <c r="C9" t="str">
        <f>IFERROR("Average check excl. sales tax plus the weighted sales tax of your sales lines ("&amp;TEXT(SUMPRODUCT('2. 3-Year P&amp;L'!$E$11:$E$12,'2. 3-Year P&amp;L'!$G$11:$G$12)*100,"0")&amp;"%), rounded. In the US, menu prices usually exclude sales tax and it is added at the register; in the UK, menu prices include VAT.","")</f>
        <v>Average check excl. sales tax plus the weighted sales tax of your sales lines (8%), rounded. In the US, menu prices usually exclude sales tax and it is added at the register; in the UK, menu prices include VAT.</v>
      </c>
    </row>
    <row r="10">
      <c r="A10" s="30" t="inlineStr">
        <is>
          <t>SALES MIX AND COST OF GOODS SOLD</t>
        </is>
      </c>
    </row>
    <row r="11">
      <c r="A11" t="inlineStr">
        <is>
          <t>FOOD share of total sales</t>
        </is>
      </c>
      <c r="B11" s="34" t="n">
        <v>0.7</v>
      </c>
      <c r="C11" t="inlineStr">
        <is>
          <t>Share of FOOD in total sales. It is an INPUT: change it here and the P&amp;L, the cash flow and the sales tax collected recalculate on their own</t>
        </is>
      </c>
    </row>
    <row r="12">
      <c r="A12" t="inlineStr">
        <is>
          <t>BEVERAGE share of total sales</t>
        </is>
      </c>
      <c r="B12" s="36">
        <f>IFERROR(IF(COUNT(B11)=0,"",1-B11),"")</f>
        <v>0.30000000000000004</v>
      </c>
      <c r="C12" t="inlineStr">
        <is>
          <t>Calculated as the remainder: food + beverage = 100%</t>
        </is>
      </c>
    </row>
    <row r="13">
      <c r="A13" t="inlineStr">
        <is>
          <t>Cost of goods sold on FOOD sales</t>
        </is>
      </c>
      <c r="B13" s="34" t="n">
        <v>0.29</v>
      </c>
      <c r="C13" t="inlineStr">
        <is>
          <t>Food cost target for a casual restaurant with a bar: the industry benchmarks table on the "Instructions" tab shows 25-35% of food sales. Applied to FOOD sales ONLY</t>
        </is>
      </c>
    </row>
    <row r="14">
      <c r="A14" t="inlineStr">
        <is>
          <t>Cost of goods sold on BEVERAGE sales</t>
        </is>
      </c>
      <c r="B14" s="34" t="n">
        <v>0.24</v>
      </c>
      <c r="C14" t="inlineStr">
        <is>
          <t>Beverage cost as a percentage of beverage sales, not of total sales</t>
        </is>
      </c>
    </row>
    <row r="15">
      <c r="A15" t="inlineStr">
        <is>
          <t>Disposables and packaging as % of sales</t>
        </is>
      </c>
      <c r="B15" s="34" t="n">
        <v>0.015</v>
      </c>
      <c r="C15" t="inlineStr">
        <is>
          <t>Napkins, paper goods, cleaning supplies and to-go packaging</t>
        </is>
      </c>
    </row>
    <row r="16">
      <c r="A16" t="inlineStr">
        <is>
          <t>Delivery share of total sales</t>
        </is>
      </c>
      <c r="B16" s="34" t="n">
        <v>0</v>
      </c>
      <c r="C16" t="inlineStr">
        <is>
          <t>ZERO by default: if you do not deliver, you do not carry an invented cost. Raise it to the REAL weight of the channel and the commission applies only to that share</t>
        </is>
      </c>
    </row>
    <row r="17">
      <c r="A17" t="inlineStr">
        <is>
          <t>Delivery platform fee</t>
        </is>
      </c>
      <c r="B17" s="34" t="n">
        <v>0.25</v>
      </c>
      <c r="C17" t="inlineStr">
        <is>
          <t>Typical DoorDash / Uber Eats commission on orders served through that channel; confirm it in your contract before projecting</t>
        </is>
      </c>
    </row>
    <row r="18">
      <c r="A18" t="inlineStr">
        <is>
          <t>Card processing fee</t>
        </is>
      </c>
      <c r="B18" s="34" t="n">
        <v>0.035</v>
      </c>
      <c r="C18" t="inlineStr">
        <is>
          <t>Card and mobile wallet fees on total sales; get quotes from two POS or payment providers. The example is a blended rate (a percentage plus a per-transaction fee): check your processor's statement and enter your effective rate (kit estimate)</t>
        </is>
      </c>
    </row>
    <row r="19">
      <c r="A19" s="30" t="inlineStr">
        <is>
          <t>LABOR</t>
        </is>
      </c>
    </row>
    <row r="20">
      <c r="A20" t="inlineStr">
        <is>
          <t>Employer payroll taxes</t>
        </is>
      </c>
      <c r="B20" s="34"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32"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32" t="n">
        <v>15080</v>
      </c>
      <c r="C22" t="inlineStr">
        <is>
          <t>US federal minimum wage: 7.25 per hour × 2,080 hours = 15,080 per year for a full-time job. Your state or city may set a higher floor: enter it in the state / local minimum wage cell below. Check the current rates at dol.gov</t>
        </is>
      </c>
    </row>
    <row r="23">
      <c r="A23" s="30" t="inlineStr">
        <is>
          <t>RENT AND FIXED COSTS</t>
        </is>
      </c>
    </row>
    <row r="24">
      <c r="A24" t="inlineStr">
        <is>
          <t>Monthly rent</t>
        </is>
      </c>
      <c r="B24" s="32" t="n">
        <v>7000</v>
      </c>
      <c r="C24" t="inlineStr">
        <is>
          <t>Total monthly occupancy cost for a space of about 2,800 sq ft in an urban area: base rent plus estimated NNN / CAM charges (property tax, building insurance and common-area maintenance), kept under the 10% of sales ceiling that this workbook flags. Replace it with your lease: if it quotes base rent only, add those charges here</t>
        </is>
      </c>
    </row>
    <row r="25">
      <c r="A25" t="inlineStr">
        <is>
          <t>Security deposit (months of rent)</t>
        </is>
      </c>
      <c r="B25" s="32" t="n">
        <v>2</v>
      </c>
      <c r="C25" t="inlineStr">
        <is>
          <t>Months of rent held as a security deposit. It is set in your commercial lease, so check the terms before you sign</t>
        </is>
      </c>
    </row>
    <row r="26">
      <c r="A26" t="inlineStr">
        <is>
          <t>Monthly utilities (electricity, water, gas)</t>
        </is>
      </c>
      <c r="B26" s="32" t="n">
        <v>2500</v>
      </c>
      <c r="C26" t="inlineStr">
        <is>
          <t>Electricity, water and gas for a kitchen with ovens, walk-in cooler and hood: ask for the space's utility history before you sign</t>
        </is>
      </c>
    </row>
    <row r="27">
      <c r="A27" t="inlineStr">
        <is>
          <t>Insurance (per year)</t>
        </is>
      </c>
      <c r="B27" s="32" t="n">
        <v>9000</v>
      </c>
      <c r="C27" t="inlineStr">
        <is>
          <t>General liability + property coverage for the space + liquor liability if you serve alcohol. Workers' compensation is part of the employer payroll taxes rate, not of this line</t>
        </is>
      </c>
    </row>
    <row r="28">
      <c r="A28" t="inlineStr">
        <is>
          <t>Miscellaneous and contingency as % of sales</t>
        </is>
      </c>
      <c r="B28" s="34" t="n">
        <v>0.02</v>
      </c>
      <c r="C28" t="inlineStr">
        <is>
          <t>Cushion for operating expenses that are not budgeted</t>
        </is>
      </c>
    </row>
    <row r="29">
      <c r="A29" s="30" t="inlineStr">
        <is>
          <t>FINANCING</t>
        </is>
      </c>
    </row>
    <row r="30">
      <c r="A30" t="inlineStr">
        <is>
          <t>Owner's equity contributed</t>
        </is>
      </c>
      <c r="B30" s="32" t="n">
        <v>130000</v>
      </c>
      <c r="C30" t="inlineStr">
        <is>
          <t>Owners' contribution. With too little, lenders pass: they usually expect an owner equity injection (often around 10% for SBA start-ups; many want 20-30%) measured against the cash need calculated on the "1. Startup Costs" tab</t>
        </is>
      </c>
    </row>
    <row r="31">
      <c r="A31" t="inlineStr">
        <is>
          <t>Loan requested</t>
        </is>
      </c>
      <c r="B31" s="32" t="n">
        <v>399000</v>
      </c>
      <c r="C31" t="inlineStr">
        <is>
          <t>Principal requested: if your loan is an SBA 7(a), this is the cell. The "7. Financing" tab checks that sources and uses match the cash need, and has a cell that calculates the exact amount that balances them</t>
        </is>
      </c>
    </row>
    <row r="32">
      <c r="A32" t="inlineStr">
        <is>
          <t>Nominal annual interest rate (not APR)</t>
        </is>
      </c>
      <c r="B32" s="34" t="n">
        <v>0.1</v>
      </c>
      <c r="C32" t="inlineStr">
        <is>
          <t>Nominal annual rate, not APR; get offers from two lenders, including an SBA-guaranteed loan, before you fix it</t>
        </is>
      </c>
    </row>
    <row r="33">
      <c r="A33" t="inlineStr">
        <is>
          <t>Loan term (years)</t>
        </is>
      </c>
      <c r="B33" s="32" t="n">
        <v>10</v>
      </c>
      <c r="C33" t="inlineStr">
        <is>
          <t>Total years, interest-only period included</t>
        </is>
      </c>
    </row>
    <row r="34">
      <c r="A34" t="inlineStr">
        <is>
          <t>Interest-only period (years)</t>
        </is>
      </c>
      <c r="B34" s="32" t="n">
        <v>0</v>
      </c>
      <c r="C34" t="inlineStr">
        <is>
          <t>Years in which you pay only interest, usually the first year, when cash is tightest. Zero by default in this workbook</t>
        </is>
      </c>
    </row>
    <row r="35">
      <c r="A35" t="inlineStr">
        <is>
          <t>Working capital (months of fixed costs)</t>
        </is>
      </c>
      <c r="B35" s="32" t="n">
        <v>3</v>
      </c>
      <c r="C35" t="inlineStr">
        <is>
          <t>The minimum this workbook requires: 3 months of fixed costs as working capital before you open</t>
        </is>
      </c>
    </row>
    <row r="36">
      <c r="A36" s="30" t="inlineStr">
        <is>
          <t>TAXES</t>
        </is>
      </c>
    </row>
    <row r="37">
      <c r="A37" t="inlineStr">
        <is>
          <t>Effective income tax rate (years 1-2)</t>
        </is>
      </c>
      <c r="B37" s="34"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34"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34" t="n">
        <v>0.08</v>
      </c>
      <c r="C39" t="inlineStr">
        <is>
          <t>Example rate: state + local sales tax combined. It varies widely by state and city: look up yours. UK: 20% VAT on hot food and dine-in</t>
        </is>
      </c>
    </row>
    <row r="40">
      <c r="A40" t="inlineStr">
        <is>
          <t>Sales tax rate on alcohol to go</t>
        </is>
      </c>
      <c r="B40" s="34"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34" t="n">
        <v>0</v>
      </c>
      <c r="C41" t="inlineStr">
        <is>
          <t>In the US, the sales tax you pay on purchases is a cost, not a credit: leave this at 0%. UK: 20% if you are VAT-registered</t>
        </is>
      </c>
    </row>
    <row r="42">
      <c r="A42" t="inlineStr">
        <is>
          <t>Net operating losses carried forward</t>
        </is>
      </c>
      <c r="B42" s="32" t="n">
        <v>0</v>
      </c>
      <c r="C42" t="inlineStr">
        <is>
          <t>Net operating losses from earlier years still to be offset at the start. Federal rules let you offset up to 80% of taxable income in a year; the model offsets 100% as a simplification</t>
        </is>
      </c>
    </row>
    <row r="43">
      <c r="A43" s="30" t="inlineStr">
        <is>
          <t>DEPRECIATION</t>
        </is>
      </c>
    </row>
    <row r="44">
      <c r="A44" t="inlineStr">
        <is>
          <t>Useful life of build-out and fixtures (years)</t>
        </is>
      </c>
      <c r="B44" s="32" t="n">
        <v>10</v>
      </c>
      <c r="C44" t="inlineStr">
        <is>
          <t>Build-out, fixtures and decor of a restaurant. Book depreciation in this model is straight-line; MACRS and Section 179 are tax treatments handled outside the model, so confirm them with your accountant</t>
        </is>
      </c>
    </row>
    <row r="45">
      <c r="A45" t="inlineStr">
        <is>
          <t>Useful life of machinery, furniture and equipment (years)</t>
        </is>
      </c>
      <c r="B45" s="32" t="n">
        <v>7</v>
      </c>
      <c r="C45" t="inlineStr">
        <is>
          <t>Kitchen and bar equipment, furniture and fixtures. Book depreciation in this model is straight-line; MACRS and Section 179 are tax treatments handled outside the model, so confirm them with your accountant</t>
        </is>
      </c>
    </row>
    <row r="47">
      <c r="A47" s="30" t="inlineStr">
        <is>
          <t>GROWTH AND COST INFLATION</t>
        </is>
      </c>
    </row>
    <row r="48">
      <c r="A48" t="inlineStr">
        <is>
          <t>Annual increase in fixed costs</t>
        </is>
      </c>
      <c r="B48" s="34" t="n">
        <v>0</v>
      </c>
      <c r="C48" t="inlineStr">
        <is>
          <t>SET TO ZERO: all three columns are in year-1 prices (real terms). Raise it if you want to project in nominal terms</t>
        </is>
      </c>
    </row>
    <row r="49">
      <c r="A49" s="30" t="inlineStr">
        <is>
          <t>RAMP-UP AND CAPACITY</t>
        </is>
      </c>
    </row>
    <row r="50">
      <c r="A50" s="30" t="inlineStr">
        <is>
          <t>Implied seat turns per day (calculated)</t>
        </is>
      </c>
      <c r="B50" s="38">
        <f>IFERROR($B$4/$B$51,"")</f>
        <v>1.838235294117647</v>
      </c>
      <c r="C50" t="str">
        <f>IFERROR("That is "&amp;TEXT(INT(ROUND(B50,1)),"0")&amp;"."&amp;TEXT(ROUND(MOD(ROUND(B50,1),1)*10,0),"0")&amp;" seat turns per day on the "&amp;TEXT($B$51,"0")&amp;" seats in the cell below. Compare this daily average with your real meal periods and with the table turns you can sustain at peak before you rely on it.","")</f>
        <v>That is 1.8 seat turns per day on the 68 seats in the cell below. Compare this daily average with your real meal periods and with the table turns you can sustain at peak before you rely on it.</v>
      </c>
    </row>
    <row r="51">
      <c r="A51" t="inlineStr">
        <is>
          <t>Seating capacity (seats at tables + bar)</t>
        </is>
      </c>
      <c r="B51" s="32" t="n">
        <v>68</v>
      </c>
      <c r="C51" t="inlineStr">
        <is>
          <t>This feeds the implied seat turns: covers per day ÷ seats. Count the seats on your floor plan, do not copy the example</t>
        </is>
      </c>
    </row>
    <row r="52">
      <c r="A52" t="inlineStr">
        <is>
          <t>Month-1 activity as a % of steady-state activity</t>
        </is>
      </c>
      <c r="B52" s="34" t="n">
        <v>0.55</v>
      </c>
      <c r="C52" t="inlineStr">
        <is>
          <t>A new business does not sell on day one what it sells six months later. The daily volume above is the year-1 AVERAGE: the ramp only spreads year 1's sales across the months (slower start, stronger finish) and keeps the annual total. At 100% there is no ramp</t>
        </is>
      </c>
    </row>
    <row r="53">
      <c r="A53" t="inlineStr">
        <is>
          <t>Months to reach steady state</t>
        </is>
      </c>
      <c r="B53" s="32" t="n">
        <v>6</v>
      </c>
      <c r="C53" t="inlineStr">
        <is>
          <t>The ramp rises in a straight line from the percentage above to 100% over this number of months</t>
        </is>
      </c>
    </row>
    <row r="54">
      <c r="A54" t="inlineStr">
        <is>
          <t>Months of rent BEFORE opening (build-out and permits)</t>
        </is>
      </c>
      <c r="B54" s="32" t="n">
        <v>1</v>
      </c>
      <c r="C54" t="inlineStr">
        <is>
          <t>You pay for the space from the day you sign. These months are a startup cost: they do NOT overlap the P&amp;L, which starts on opening day</t>
        </is>
      </c>
    </row>
    <row r="55">
      <c r="A55" t="inlineStr">
        <is>
          <t>Contingency on the BUILD-OUT lines of the space block (%)</t>
        </is>
      </c>
      <c r="B55" s="34" t="n">
        <v>0.1</v>
      </c>
      <c r="C55" t="inlineStr">
        <is>
          <t>Cushion on the build-out and fit-out line. A lender will not finance a renovation without it</t>
        </is>
      </c>
    </row>
    <row r="57">
      <c r="A57" s="30" t="inlineStr">
        <is>
          <t>RECEIPTS, PAYMENTS AND SALES TAX BREAKDOWN</t>
        </is>
      </c>
    </row>
    <row r="58">
      <c r="A58" t="inlineStr">
        <is>
          <t>Average collection days</t>
        </is>
      </c>
      <c r="B58" s="32" t="n">
        <v>1</v>
      </c>
      <c r="C58" t="inlineStr">
        <is>
          <t>At 1 day, card settlements reach your bank the next business day. Raise it if you work with reservation or delivery platforms, which usually pay out between the next day and 30 days later</t>
        </is>
      </c>
    </row>
    <row r="59">
      <c r="A59" t="inlineStr">
        <is>
          <t>Average days to pay suppliers</t>
        </is>
      </c>
      <c r="B59" s="32" t="n">
        <v>14</v>
      </c>
      <c r="C59" t="inlineStr">
        <is>
          <t>What your suppliers finance for you. It is the first thing you lose if you fall behind on a payment</t>
        </is>
      </c>
    </row>
    <row r="60">
      <c r="A60" t="inlineStr">
        <is>
          <t>Month of extra pay period 1 (only if pay periods &gt; 12)</t>
        </is>
      </c>
      <c r="B60" s="32" t="n">
        <v>7</v>
      </c>
      <c r="C60" t="inlineStr">
        <is>
          <t>Month of the year (1-12) when the first extra pay period is paid out. Only used if pay periods &gt; 12</t>
        </is>
      </c>
    </row>
    <row r="61">
      <c r="A61" t="inlineStr">
        <is>
          <t>Month of extra pay period 2 (only if pay periods &gt; 12)</t>
        </is>
      </c>
      <c r="B61" s="32" t="n">
        <v>12</v>
      </c>
      <c r="C61" t="inlineStr">
        <is>
          <t>Month of the year (1-12) when the second extra pay period is paid out. Only used if pay periods &gt; 12</t>
        </is>
      </c>
    </row>
    <row r="62">
      <c r="A62" t="inlineStr">
        <is>
          <t>ALCOHOLIC beverages as a share of total beverage sales</t>
        </is>
      </c>
      <c r="B62" s="34" t="n">
        <v>0.7</v>
      </c>
      <c r="C62" t="inlineStr">
        <is>
          <t>Share of alcohol within the beverage line (70% in the example: beer, wine and cocktails). It is used the same way on sales and on purchases, and it is an approximation, since alcohol usually weighs a bit more in cost than in sales. It only matters if alcohol is taxed at a different rate than the rest</t>
        </is>
      </c>
    </row>
    <row r="63">
      <c r="A63" t="inlineStr">
        <is>
          <t>Sales tax rate on alcohol served on site</t>
        </is>
      </c>
      <c r="B63" s="34" t="n">
        <v>0.08</v>
      </c>
      <c r="C63" t="inlineStr">
        <is>
          <t>Same example rate as the rest of on-site sales (8%: state + local). Some states and cities add a liquor-by-the-drink or mixed beverage tax on top of sales tax: if yours does, type the COMBINED rate here. The workbook applies this rate only to the ALCOHOLIC part of beverage sales</t>
        </is>
      </c>
    </row>
    <row r="64">
      <c r="A64" s="30" t="inlineStr">
        <is>
          <t>CONTROL THRESHOLDS AND FLOORS</t>
        </is>
      </c>
    </row>
    <row r="65">
      <c r="A65" t="inlineStr">
        <is>
          <t>DSCR limit (minimum acceptable)</t>
        </is>
      </c>
      <c r="B65" s="39" t="n">
        <v>1.15</v>
      </c>
      <c r="C65" t="inlineStr">
        <is>
          <t>Below 1.0 the business does not generate enough to repay the loan. Lenders often write a minimum DSCR into the loan covenants: ask yours. Kit default: 1.15×</t>
        </is>
      </c>
    </row>
    <row r="66">
      <c r="A66" t="inlineStr">
        <is>
          <t>DSCR target (green)</t>
        </is>
      </c>
      <c r="B66" s="39" t="n">
        <v>1.25</v>
      </c>
      <c r="C66" t="inlineStr">
        <is>
          <t>What lenders commonly look for before approving a loan comfortably. Kit default: 1.25× (editable estimate)</t>
        </is>
      </c>
    </row>
    <row r="67">
      <c r="A67" t="inlineStr">
        <is>
          <t>Minimum cushion above break-even</t>
        </is>
      </c>
      <c r="B67" s="34" t="n">
        <v>0.15</v>
      </c>
      <c r="C67" t="inlineStr">
        <is>
          <t>How far you can fall below plan before you start losing money</t>
        </is>
      </c>
    </row>
    <row r="68">
      <c r="A68" t="inlineStr">
        <is>
          <t>State / local minimum wage, annual full-time</t>
        </is>
      </c>
      <c r="B68" s="32" t="n"/>
      <c r="C68" t="inlineStr">
        <is>
          <t>Your STATE or LOCAL minimum wage can be higher than the federal one: enter it here as an annual full-time figure (hourly rate × 2,080 hours). The higher of the two applies. Leave it empty or at 0 and the traffic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58"/>
  <sheetViews>
    <sheetView workbookViewId="0">
      <pane ySplit="5" topLeftCell="A6" activePane="bottomLeft" state="frozen"/>
      <selection pane="bottomLeft" activeCell="A1" sqref="A1"/>
    </sheetView>
  </sheetViews>
  <sheetFormatPr baseColWidth="8" defaultRowHeight="15"/>
  <cols>
    <col width="46" customWidth="1" min="1" max="1"/>
    <col width="16" customWidth="1" min="2" max="2"/>
    <col width="40" customWidth="1" min="3" max="3"/>
    <col width="58" customWidth="1" min="4" max="4"/>
    <col width="13" customWidth="1" min="5" max="5"/>
  </cols>
  <sheetData>
    <row r="1" ht="32" customHeight="1">
      <c r="A1" s="1" t="inlineStr">
        <is>
          <t>AI Chef Pro</t>
        </is>
      </c>
    </row>
    <row r="2" ht="26" customHeight="1">
      <c r="A2" s="2" t="inlineStr">
        <is>
          <t>Startup Costs — Restaurant &amp; Bar</t>
        </is>
      </c>
    </row>
    <row r="3" ht="30" customHeight="1">
      <c r="A3" s="40" t="inlineStr">
        <is>
          <t>Restaurant Business Plan: Casual Restaurant &amp; Bar — US example (2026)</t>
        </is>
      </c>
    </row>
    <row r="5">
      <c r="A5" s="41" t="inlineStr">
        <is>
          <t>Item</t>
        </is>
      </c>
      <c r="B5" s="41" t="inlineStr">
        <is>
          <t>Amount</t>
        </is>
      </c>
      <c r="C5" s="41" t="inlineStr">
        <is>
          <t>% of startup costs</t>
        </is>
      </c>
      <c r="D5" s="41" t="inlineStr">
        <is>
          <t>Notes</t>
        </is>
      </c>
      <c r="E5" s="41" t="inlineStr">
        <is>
          <t>Taxable / recoverable tax?</t>
        </is>
      </c>
    </row>
    <row r="6">
      <c r="A6" s="41" t="inlineStr">
        <is>
          <t>SPACE AND BUILD-OUT</t>
        </is>
      </c>
      <c r="B6" s="69">
        <f>IFERROR(IF(COUNT(B7:B13)=0,"",SUM(B7:B13)),"")</f>
        <v>153800.0</v>
      </c>
      <c r="C6" s="43">
        <f>IFERROR(B6/$B$48,"")</f>
        <v>0.2909044138786751</v>
      </c>
      <c r="D6" s="44" t="n"/>
      <c r="E6" s="44" t="n"/>
    </row>
    <row r="7">
      <c r="A7" s="44" t="inlineStr">
        <is>
          <t>Broker and lease review</t>
        </is>
      </c>
      <c r="B7" s="65" t="n">
        <v>3000</v>
      </c>
      <c r="C7" s="46">
        <f>IFERROR(B7/$B$48,"")</f>
        <v>0.005674338372145808</v>
      </c>
      <c r="D7" s="44" t="inlineStr">
        <is>
          <t>Tenant-rep broker fee and attorney review of the lease</t>
        </is>
      </c>
      <c r="E7" s="47" t="inlineStr">
        <is>
          <t>Yes</t>
        </is>
      </c>
    </row>
    <row r="8">
      <c r="A8" s="44" t="inlineStr">
        <is>
          <t>Build-out (second-generation restaurant space)</t>
        </is>
      </c>
      <c r="B8" s="65" t="n">
        <v>90000</v>
      </c>
      <c r="C8" s="46">
        <f>IFERROR(B8/$B$48,"")</f>
        <v>0.17023015116437423</v>
      </c>
      <c r="D8" s="44" t="inlineStr">
        <is>
          <t>Kitchen rough-ins, hood connection, utilities, flooring and paint. A second-generation space (a former restaurant) usually costs less to convert than a raw shell</t>
        </is>
      </c>
      <c r="E8" s="47" t="inlineStr">
        <is>
          <t>Yes</t>
        </is>
      </c>
    </row>
    <row r="9">
      <c r="A9" s="44" t="inlineStr">
        <is>
          <t>Architect, MEP drawings and permits (building + health plan review)</t>
        </is>
      </c>
      <c r="B9" s="65" t="n">
        <v>18000</v>
      </c>
      <c r="C9" s="46">
        <f>IFERROR(B9/$B$48,"")</f>
        <v>0.03404603023287485</v>
      </c>
      <c r="D9" s="44" t="inlineStr">
        <is>
          <t>Architect / engineer fees and city permit fees</t>
        </is>
      </c>
      <c r="E9" s="47" t="inlineStr">
        <is>
          <t>Yes</t>
        </is>
      </c>
    </row>
    <row r="10">
      <c r="A10" s="44" t="inlineStr">
        <is>
          <t>Interior design</t>
        </is>
      </c>
      <c r="B10" s="65" t="n">
        <v>10000</v>
      </c>
      <c r="C10" s="46">
        <f>IFERROR(B10/$B$48,"")</f>
        <v>0.018914461240486027</v>
      </c>
      <c r="D10" s="44" t="inlineStr">
        <is>
          <t>Interior design for the dining room, lighting and signage</t>
        </is>
      </c>
      <c r="E10" s="47" t="inlineStr">
        <is>
          <t>Yes</t>
        </is>
      </c>
    </row>
    <row r="11">
      <c r="A11" s="44" t="inlineStr">
        <is>
          <t>Security deposit</t>
        </is>
      </c>
      <c r="B11" s="55">
        <f>IFERROR(IF('0. Assumptions'!$B$24="","",'0. Assumptions'!$B$24*'0. Assumptions'!$B$25),"")</f>
        <v>14000.0</v>
      </c>
      <c r="C11" s="46">
        <f>IFERROR(B11/$B$48,"")</f>
        <v>0.026480245736680435</v>
      </c>
      <c r="D11" s="44"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11" s="44" t="inlineStr">
        <is>
          <t>No</t>
        </is>
      </c>
    </row>
    <row r="12">
      <c r="A12" s="44" t="inlineStr">
        <is>
          <t>Rent paid before opening</t>
        </is>
      </c>
      <c r="B12" s="55">
        <f>IFERROR(IF('0. Assumptions'!$B$24="","",'0. Assumptions'!$B$24*'0. Assumptions'!$B$54),"")</f>
        <v>7000.0</v>
      </c>
      <c r="C12" s="46">
        <f>IFERROR(B12/$B$48,"")</f>
        <v>0.013240122868340217</v>
      </c>
      <c r="D12" s="44" t="str">
        <f>IFERROR("Rent "&amp;IF('0. Assumptions'!$B$54=1,"for the month","for the "&amp;TEXT('0. Assumptions'!$B$54,"0")&amp;" months")&amp;" of build-out and permits before opening. It does not overlap the P&amp;L, which starts on opening day: its twelve months are twelve trading months","")</f>
        <v>Rent for the month of build-out and permits before opening. It does not overlap the P&amp;L, which starts on opening day: its twelve months are twelve trading months</v>
      </c>
      <c r="E12" s="44" t="inlineStr">
        <is>
          <t>Yes</t>
        </is>
      </c>
    </row>
    <row r="13">
      <c r="A13" s="44" t="inlineStr">
        <is>
          <t>Build-out and setup contingency</t>
        </is>
      </c>
      <c r="B13" s="55">
        <f>IFERROR(IF(COUNT(B8,B9,B10)=0,"",ROUND((B8+B9+B10)*'0. Assumptions'!$B$55,0)),"")</f>
        <v>11800.0</v>
      </c>
      <c r="C13" s="46">
        <f>IFERROR(B13/$B$48,"")</f>
        <v>0.02231906426377351</v>
      </c>
      <c r="D13" s="44" t="str">
        <f>IFERROR("At "&amp;TEXT('0. Assumptions'!$B$55,"0%")&amp;" of the BUILD-OUT items of this block (build-out, architect and permit drawings, interior design), not of the whole block: the other items are left out. No lender funds a build-out without a cushion: the percentage is in ""0. Assumptions""","")</f>
        <v>At 10% of the BUILD-OUT items of this block (build-out, architect and permit drawings, interior design), not of the whole block: the other items are left out. No lender funds a build-out without a cushion: the percentage is in "0. Assumptions"</v>
      </c>
      <c r="E13" s="44" t="inlineStr">
        <is>
          <t>Yes</t>
        </is>
      </c>
    </row>
    <row r="14">
      <c r="A14" s="41" t="inlineStr">
        <is>
          <t>KITCHEN EQUIPMENT</t>
        </is>
      </c>
      <c r="B14" s="69">
        <f>IFERROR(IF(COUNT(B15:B24)=0,"",SUM(B15:B24)),"")</f>
        <v>102000.0</v>
      </c>
      <c r="C14" s="43">
        <f>IFERROR(B14/$B$48,"")</f>
        <v>0.19292750465295747</v>
      </c>
      <c r="D14" s="44" t="n"/>
      <c r="E14" s="44" t="n"/>
    </row>
    <row r="15">
      <c r="A15" s="44" t="inlineStr">
        <is>
          <t>Cooking line (range + griddle)</t>
        </is>
      </c>
      <c r="B15" s="65" t="n">
        <v>14000</v>
      </c>
      <c r="C15" s="46">
        <f>IFERROR(B15/$B$48,"")</f>
        <v>0.026480245736680435</v>
      </c>
      <c r="D15" s="44" t="inlineStr">
        <is>
          <t>4-burner range + griddle</t>
        </is>
      </c>
      <c r="E15" s="47" t="inlineStr">
        <is>
          <t>Yes</t>
        </is>
      </c>
    </row>
    <row r="16">
      <c r="A16" s="44" t="inlineStr">
        <is>
          <t>Convection oven</t>
        </is>
      </c>
      <c r="B16" s="65" t="n">
        <v>9000</v>
      </c>
      <c r="C16" s="46">
        <f>IFERROR(B16/$B$48,"")</f>
        <v>0.017023015116437425</v>
      </c>
      <c r="D16" s="44" t="inlineStr">
        <is>
          <t>Holds 10 full-size sheet pans</t>
        </is>
      </c>
      <c r="E16" s="47" t="inlineStr">
        <is>
          <t>Yes</t>
        </is>
      </c>
    </row>
    <row r="17">
      <c r="A17" s="44" t="inlineStr">
        <is>
          <t>Fryers</t>
        </is>
      </c>
      <c r="B17" s="65" t="n">
        <v>4000</v>
      </c>
      <c r="C17" s="46">
        <f>IFERROR(B17/$B$48,"")</f>
        <v>0.00756578449619441</v>
      </c>
      <c r="D17" s="44" t="inlineStr">
        <is>
          <t>2 vats, about 2 gallons each</t>
        </is>
      </c>
      <c r="E17" s="47" t="inlineStr">
        <is>
          <t>Yes</t>
        </is>
      </c>
    </row>
    <row r="18">
      <c r="A18" s="44" t="inlineStr">
        <is>
          <t>Refrigerated prep tables</t>
        </is>
      </c>
      <c r="B18" s="65" t="n">
        <v>6000</v>
      </c>
      <c r="C18" s="46">
        <f>IFERROR(B18/$B$48,"")</f>
        <v>0.011348676744291616</v>
      </c>
      <c r="D18" s="44" t="inlineStr">
        <is>
          <t>3 doors, about 14 cu ft</t>
        </is>
      </c>
      <c r="E18" s="47" t="inlineStr">
        <is>
          <t>Yes</t>
        </is>
      </c>
    </row>
    <row r="19">
      <c r="A19" s="44" t="inlineStr">
        <is>
          <t>Walk-in cooler</t>
        </is>
      </c>
      <c r="B19" s="65" t="n">
        <v>16000</v>
      </c>
      <c r="C19" s="46">
        <f>IFERROR(B19/$B$48,"")</f>
        <v>0.03026313798477764</v>
      </c>
      <c r="D19" s="44" t="inlineStr">
        <is>
          <t>Refrigerator and freezer sections</t>
        </is>
      </c>
      <c r="E19" s="47" t="inlineStr">
        <is>
          <t>Yes</t>
        </is>
      </c>
    </row>
    <row r="20">
      <c r="A20" s="44" t="inlineStr">
        <is>
          <t>Type I hood + UL 300 fire suppression</t>
        </is>
      </c>
      <c r="B20" s="65" t="n">
        <v>25000</v>
      </c>
      <c r="C20" s="46">
        <f>IFERROR(B20/$B$48,"")</f>
        <v>0.04728615310121506</v>
      </c>
      <c r="D20" s="44" t="inlineStr">
        <is>
          <t>Installation included; the suppression system is inspected under NFPA 96</t>
        </is>
      </c>
      <c r="E20" s="47" t="inlineStr">
        <is>
          <t>Yes</t>
        </is>
      </c>
    </row>
    <row r="21">
      <c r="A21" s="44" t="inlineStr">
        <is>
          <t>Commercial dishwasher</t>
        </is>
      </c>
      <c r="B21" s="65" t="n">
        <v>8000</v>
      </c>
      <c r="C21" s="46">
        <f>IFERROR(B21/$B$48,"")</f>
        <v>0.01513156899238882</v>
      </c>
      <c r="D21" s="44" t="inlineStr">
        <is>
          <t>Standard 20-inch rack</t>
        </is>
      </c>
      <c r="E21" s="47" t="inlineStr">
        <is>
          <t>Yes</t>
        </is>
      </c>
    </row>
    <row r="22">
      <c r="A22" s="44" t="inlineStr">
        <is>
          <t>Smallwares and kitchen utensils</t>
        </is>
      </c>
      <c r="B22" s="65" t="n">
        <v>8000</v>
      </c>
      <c r="C22" s="46">
        <f>IFERROR(B22/$B$48,"")</f>
        <v>0.01513156899238882</v>
      </c>
      <c r="D22" s="44" t="inlineStr">
        <is>
          <t>Sauté pans, stockpots, hotel pans, knives and cutting boards</t>
        </is>
      </c>
      <c r="E22" s="47" t="inlineStr">
        <is>
          <t>Yes</t>
        </is>
      </c>
    </row>
    <row r="23">
      <c r="A23" s="44" t="inlineStr">
        <is>
          <t>Sinks + grease interceptor</t>
        </is>
      </c>
      <c r="B23" s="65" t="n">
        <v>9000</v>
      </c>
      <c r="C23" s="46">
        <f>IFERROR(B23/$B$48,"")</f>
        <v>0.017023015116437425</v>
      </c>
      <c r="D23" s="55" t="n"/>
      <c r="E23" s="47" t="inlineStr">
        <is>
          <t>Yes</t>
        </is>
      </c>
    </row>
    <row r="24">
      <c r="A24" s="44" t="inlineStr">
        <is>
          <t>NSF shelving</t>
        </is>
      </c>
      <c r="B24" s="65" t="n">
        <v>3000</v>
      </c>
      <c r="C24" s="46">
        <f>IFERROR(B24/$B$48,"")</f>
        <v>0.005674338372145808</v>
      </c>
      <c r="D24" s="44" t="inlineStr">
        <is>
          <t>3 units, 4 shelves each</t>
        </is>
      </c>
      <c r="E24" s="47" t="inlineStr">
        <is>
          <t>Yes</t>
        </is>
      </c>
    </row>
    <row r="25">
      <c r="A25" s="41" t="inlineStr">
        <is>
          <t>DINING ROOM AND BAR EQUIPMENT</t>
        </is>
      </c>
      <c r="B25" s="69">
        <f>IFERROR(IF(COUNT(B26:B35)=0,"",SUM(B26:B35)),"")</f>
        <v>81400.0</v>
      </c>
      <c r="C25" s="43">
        <f>IFERROR(B25/$B$48,"")</f>
        <v>0.15396371449755625</v>
      </c>
      <c r="D25" s="44" t="n"/>
      <c r="E25" s="44" t="n"/>
    </row>
    <row r="26">
      <c r="A26" s="44" t="inlineStr">
        <is>
          <t>Bar (build and install)</t>
        </is>
      </c>
      <c r="B26" s="65" t="n">
        <v>25000</v>
      </c>
      <c r="C26" s="46">
        <f>IFERROR(B26/$B$48,"")</f>
        <v>0.04728615310121506</v>
      </c>
      <c r="D26" s="44" t="inlineStr">
        <is>
          <t>About 16 linear feet</t>
        </is>
      </c>
      <c r="E26" s="47" t="inlineStr">
        <is>
          <t>Yes</t>
        </is>
      </c>
    </row>
    <row r="27">
      <c r="A27" s="44" t="inlineStr">
        <is>
          <t>Dining tables and chairs (15 tables × 4 chairs)</t>
        </is>
      </c>
      <c r="B27" s="65" t="n">
        <v>15000</v>
      </c>
      <c r="C27" s="46">
        <f>IFERROR(B27/$B$48,"")</f>
        <v>0.028371691860729038</v>
      </c>
      <c r="D27" s="44" t="inlineStr">
        <is>
          <t>About 1,000 per table, with its 4 chairs</t>
        </is>
      </c>
      <c r="E27" s="47" t="inlineStr">
        <is>
          <t>Yes</t>
        </is>
      </c>
    </row>
    <row r="28">
      <c r="A28" s="44" t="inlineStr">
        <is>
          <t>Bar stools (8 units)</t>
        </is>
      </c>
      <c r="B28" s="65" t="n">
        <v>2400</v>
      </c>
      <c r="C28" s="46">
        <f>IFERROR(B28/$B$48,"")</f>
        <v>0.004539470697716646</v>
      </c>
      <c r="D28" s="44" t="inlineStr">
        <is>
          <t>About 300 per stool</t>
        </is>
      </c>
      <c r="E28" s="47" t="inlineStr">
        <is>
          <t>Yes</t>
        </is>
      </c>
    </row>
    <row r="29">
      <c r="A29" s="44" t="inlineStr">
        <is>
          <t>Espresso machine</t>
        </is>
      </c>
      <c r="B29" s="65" t="n">
        <v>8000</v>
      </c>
      <c r="C29" s="46">
        <f>IFERROR(B29/$B$48,"")</f>
        <v>0.01513156899238882</v>
      </c>
      <c r="D29" s="44" t="inlineStr">
        <is>
          <t>2 groups</t>
        </is>
      </c>
      <c r="E29" s="47" t="inlineStr">
        <is>
          <t>Yes</t>
        </is>
      </c>
    </row>
    <row r="30">
      <c r="A30" s="44" t="inlineStr">
        <is>
          <t>Coffee grinder</t>
        </is>
      </c>
      <c r="B30" s="65" t="n">
        <v>1500</v>
      </c>
      <c r="C30" s="46">
        <f>IFERROR(B30/$B$48,"")</f>
        <v>0.002837169186072904</v>
      </c>
      <c r="D30" s="55" t="n"/>
      <c r="E30" s="47" t="inlineStr">
        <is>
          <t>Yes</t>
        </is>
      </c>
    </row>
    <row r="31">
      <c r="A31" s="44" t="inlineStr">
        <is>
          <t>Beer taps (2 lines)</t>
        </is>
      </c>
      <c r="B31" s="65" t="n">
        <v>6000</v>
      </c>
      <c r="C31" s="46">
        <f>IFERROR(B31/$B$48,"")</f>
        <v>0.011348676744291616</v>
      </c>
      <c r="D31" s="44" t="inlineStr">
        <is>
          <t>Installation + opening kegs</t>
        </is>
      </c>
      <c r="E31" s="47" t="inlineStr">
        <is>
          <t>Yes</t>
        </is>
      </c>
    </row>
    <row r="32">
      <c r="A32" s="44" t="inlineStr">
        <is>
          <t>Wine fridge</t>
        </is>
      </c>
      <c r="B32" s="65" t="n">
        <v>2500</v>
      </c>
      <c r="C32" s="46">
        <f>IFERROR(B32/$B$48,"")</f>
        <v>0.004728615310121507</v>
      </c>
      <c r="D32" s="44" t="inlineStr">
        <is>
          <t>Holds about 24 bottles</t>
        </is>
      </c>
      <c r="E32" s="47" t="inlineStr">
        <is>
          <t>Yes</t>
        </is>
      </c>
    </row>
    <row r="33">
      <c r="A33" s="44" t="inlineStr">
        <is>
          <t>Glassware, plates and flatware</t>
        </is>
      </c>
      <c r="B33" s="65" t="n">
        <v>8000</v>
      </c>
      <c r="C33" s="46">
        <f>IFERROR(B33/$B$48,"")</f>
        <v>0.01513156899238882</v>
      </c>
      <c r="D33" s="44" t="inlineStr">
        <is>
          <t>Full service for 50 guests</t>
        </is>
      </c>
      <c r="E33" s="47" t="inlineStr">
        <is>
          <t>Yes</t>
        </is>
      </c>
    </row>
    <row r="34">
      <c r="A34" s="44" t="inlineStr">
        <is>
          <t>POS + reservations</t>
        </is>
      </c>
      <c r="B34" s="65" t="n">
        <v>5000</v>
      </c>
      <c r="C34" s="46">
        <f>IFERROR(B34/$B$48,"")</f>
        <v>0.009457230620243014</v>
      </c>
      <c r="D34" s="44" t="inlineStr">
        <is>
          <t>Terminals + annual software license</t>
        </is>
      </c>
      <c r="E34" s="47" t="inlineStr">
        <is>
          <t>Yes</t>
        </is>
      </c>
    </row>
    <row r="35">
      <c r="A35" s="44" t="inlineStr">
        <is>
          <t>Patio furniture</t>
        </is>
      </c>
      <c r="B35" s="65" t="n">
        <v>8000</v>
      </c>
      <c r="C35" s="46">
        <f>IFERROR(B35/$B$48,"")</f>
        <v>0.01513156899238882</v>
      </c>
      <c r="D35" s="44" t="inlineStr">
        <is>
          <t>Tables, chairs, awning and heaters for the patio seats described in the plan. Set it to 0 if your space has no patio or the sidewalk café permit is not approved</t>
        </is>
      </c>
      <c r="E35" s="47" t="inlineStr">
        <is>
          <t>Yes</t>
        </is>
      </c>
    </row>
    <row r="36">
      <c r="A36" s="41" t="inlineStr">
        <is>
          <t>MARKETING AND LAUNCH</t>
        </is>
      </c>
      <c r="B36" s="69">
        <f>IFERROR(IF(COUNT(B37:B39)=0,"",SUM(B37:B39)),"")</f>
        <v>16000.0</v>
      </c>
      <c r="C36" s="43">
        <f>IFERROR(B36/$B$48,"")</f>
        <v>0.03026313798477764</v>
      </c>
      <c r="D36" s="44" t="n"/>
      <c r="E36" s="44" t="n"/>
    </row>
    <row r="37">
      <c r="A37" s="44" t="inlineStr">
        <is>
          <t>Brand and menu design</t>
        </is>
      </c>
      <c r="B37" s="65" t="n">
        <v>5000</v>
      </c>
      <c r="C37" s="46">
        <f>IFERROR(B37/$B$48,"")</f>
        <v>0.009457230620243014</v>
      </c>
      <c r="D37" s="44" t="inlineStr">
        <is>
          <t>Logo, menu design, signage</t>
        </is>
      </c>
      <c r="E37" s="47" t="inlineStr">
        <is>
          <t>Yes</t>
        </is>
      </c>
    </row>
    <row r="38">
      <c r="A38" s="44" t="inlineStr">
        <is>
          <t>Website + Google Business Profile</t>
        </is>
      </c>
      <c r="B38" s="65" t="n">
        <v>3000</v>
      </c>
      <c r="C38" s="46">
        <f>IFERROR(B38/$B$48,"")</f>
        <v>0.005674338372145808</v>
      </c>
      <c r="D38" s="44" t="inlineStr">
        <is>
          <t>Basic website + Google Business Profile listing</t>
        </is>
      </c>
      <c r="E38" s="47" t="inlineStr">
        <is>
          <t>Yes</t>
        </is>
      </c>
    </row>
    <row r="39">
      <c r="A39" s="44" t="inlineStr">
        <is>
          <t>Grand opening campaign</t>
        </is>
      </c>
      <c r="B39" s="65" t="n">
        <v>8000</v>
      </c>
      <c r="C39" s="46">
        <f>IFERROR(B39/$B$48,"")</f>
        <v>0.01513156899238882</v>
      </c>
      <c r="D39" s="44" t="inlineStr">
        <is>
          <t>First 3 months, social media included</t>
        </is>
      </c>
      <c r="E39" s="47" t="inlineStr">
        <is>
          <t>Yes</t>
        </is>
      </c>
    </row>
    <row r="40">
      <c r="A40" s="41" t="inlineStr">
        <is>
          <t>LEGAL AND FORMATION COSTS</t>
        </is>
      </c>
      <c r="B40" s="69">
        <f>IFERROR(IF(COUNT(B41:B42)=0,"",SUM(B41:B42)),"")</f>
        <v>17500.0</v>
      </c>
      <c r="C40" s="43">
        <f>IFERROR(B40/$B$48,"")</f>
        <v>0.033100307170850544</v>
      </c>
      <c r="D40" s="44" t="n"/>
      <c r="E40" s="44" t="n"/>
    </row>
    <row r="41">
      <c r="A41" s="44" t="inlineStr">
        <is>
          <t>LLC formation and legal</t>
        </is>
      </c>
      <c r="B41" s="65" t="n">
        <v>2500</v>
      </c>
      <c r="C41" s="46">
        <f>IFERROR(B41/$B$48,"")</f>
        <v>0.004728615310121507</v>
      </c>
      <c r="D41" s="44" t="inlineStr">
        <is>
          <t>Articles of organization, registered agent and operating agreement</t>
        </is>
      </c>
      <c r="E41" s="47" t="inlineStr">
        <is>
          <t>No</t>
        </is>
      </c>
    </row>
    <row r="42">
      <c r="A42" s="44" t="inlineStr">
        <is>
          <t>Liquor license + permits (non-quota state example)</t>
        </is>
      </c>
      <c r="B42" s="65" t="n">
        <v>15000</v>
      </c>
      <c r="C42" s="46">
        <f>IFERROR(B42/$B$48,"")</f>
        <v>0.028371691860729038</v>
      </c>
      <c r="D42" s="55" t="n"/>
      <c r="E42" s="47" t="inlineStr">
        <is>
          <t>No</t>
        </is>
      </c>
    </row>
    <row r="43">
      <c r="A43" s="41" t="inlineStr">
        <is>
          <t>OPENING INVENTORY</t>
        </is>
      </c>
      <c r="B43" s="69">
        <f>IFERROR(IF(COUNT(B44:B45)=0,"",SUM(B44:B45)),"")</f>
        <v>18000.0</v>
      </c>
      <c r="C43" s="43">
        <f>IFERROR(B43/$B$48,"")</f>
        <v>0.03404603023287485</v>
      </c>
      <c r="D43" s="44" t="n"/>
      <c r="E43" s="44" t="n"/>
    </row>
    <row r="44">
      <c r="A44" s="44" t="inlineStr">
        <is>
          <t>Opening food inventory</t>
        </is>
      </c>
      <c r="B44" s="65" t="n">
        <v>8000</v>
      </c>
      <c r="C44" s="46">
        <f>IFERROR(B44/$B$48,"")</f>
        <v>0.01513156899238882</v>
      </c>
      <c r="D44" s="44" t="inlineStr">
        <is>
          <t>Ingredients to start service: dry, fresh and frozen. NOT depreciated: it is working capital</t>
        </is>
      </c>
      <c r="E44" s="47" t="inlineStr">
        <is>
          <t>Yes</t>
        </is>
      </c>
    </row>
    <row r="45">
      <c r="A45" s="44" t="inlineStr">
        <is>
          <t>Opening bar inventory</t>
        </is>
      </c>
      <c r="B45" s="65" t="n">
        <v>10000</v>
      </c>
      <c r="C45" s="46">
        <f>IFERROR(B45/$B$48,"")</f>
        <v>0.018914461240486027</v>
      </c>
      <c r="D45" s="44" t="inlineStr">
        <is>
          <t>Wine, beer, spirits and soft drinks from the opening menu. Ask your distributors about consignment or payment terms before you budget it</t>
        </is>
      </c>
      <c r="E45" s="47" t="inlineStr">
        <is>
          <t>Yes</t>
        </is>
      </c>
    </row>
    <row r="46">
      <c r="A46" s="41" t="inlineStr">
        <is>
          <t>WORKING CAPITAL</t>
        </is>
      </c>
      <c r="B46" s="69">
        <f>IFERROR(IF(B47="","",B47),"")</f>
        <v>139996.0</v>
      </c>
      <c r="C46" s="43">
        <f>IFERROR(B46/$B$48,"")</f>
        <v>0.2647948915823082</v>
      </c>
      <c r="D46" s="44" t="n"/>
      <c r="E46" s="44" t="n"/>
    </row>
    <row r="47">
      <c r="A47" s="44" t="inlineStr">
        <is>
          <t>Operating cushion until break-even</t>
        </is>
      </c>
      <c r="B47" s="55">
        <f>IFERROR(IF('0. Assumptions'!$B$35*('2. 3-Year P&amp;L'!$B$40-'2. 3-Year P&amp;L'!$B$38)=0,"",'0. Assumptions'!$B$35*('2. 3-Year P&amp;L'!$B$40-'2. 3-Year P&amp;L'!$B$38)/12),"")</f>
        <v>139996.0</v>
      </c>
      <c r="C47" s="46">
        <f>IFERROR(B47/$B$48,"")</f>
        <v>0.2647948915823082</v>
      </c>
      <c r="D47" s="44"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47" s="44" t="inlineStr">
        <is>
          <t>No</t>
        </is>
      </c>
    </row>
    <row r="48">
      <c r="A48" s="41" t="inlineStr">
        <is>
          <t>TOTAL STARTUP COSTS (sum of the blocks)</t>
        </is>
      </c>
      <c r="B48" s="69">
        <f>IFERROR(B6+B14+B25+B36+B40+B43+B46,"")</f>
        <v>528696.0</v>
      </c>
      <c r="C48" s="44" t="n"/>
      <c r="D48" s="41" t="str">
        <f>IFERROR("The percentages in column C are read on this figure, which includes the working capital ("&amp;TEXT(C46,"0%")&amp;" of the total). To compare the breakdown with another plan, use the CAPEX row below.","")</f>
        <v>The percentages in column C are read on this figure, which includes the working capital (26% of the total). To compare the breakdown with another plan, use the CAPEX row below.</v>
      </c>
      <c r="E48" s="44" t="n"/>
    </row>
    <row r="49">
      <c r="A49" s="41" t="inlineStr">
        <is>
          <t>CAPEX (startup costs excluding working capital)</t>
        </is>
      </c>
      <c r="B49" s="69">
        <f>IFERROR(B48-B46,"")</f>
        <v>388700.0</v>
      </c>
      <c r="C49" s="44" t="n"/>
      <c r="D49" s="41" t="inlineStr">
        <is>
          <t>What you buy: build-out, equipment, launch and formation costs. The cash cushion is not an investment: it is working capital</t>
        </is>
      </c>
      <c r="E49" s="44" t="n"/>
    </row>
    <row r="50">
      <c r="A50" s="44" t="inlineStr">
        <is>
          <t>Recoverable input tax on capex</t>
        </is>
      </c>
      <c r="B50" s="55">
        <f>IFERROR(IF(B48="","",SUMIF($E$7:$E$45,"Yes",$B$7:$B$45)*'0. Assumptions'!$B$41),"")</f>
        <v>0.0</v>
      </c>
      <c r="C50" s="44" t="n"/>
      <c r="D50" s="44"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50" s="44" t="n"/>
    </row>
    <row r="51">
      <c r="A51" s="41" t="inlineStr">
        <is>
          <t>TOTAL CASH NEEDED AT LAUNCH</t>
        </is>
      </c>
      <c r="B51" s="69">
        <f>IFERROR(B48+B50,"")</f>
        <v>528696.0</v>
      </c>
      <c r="C51" s="44" t="n"/>
      <c r="D51" s="41" t="inlineStr">
        <is>
          <t>This is the figure the Financing tab has to cover</t>
        </is>
      </c>
      <c r="E51" s="44" t="n"/>
    </row>
    <row r="52">
      <c r="A52" s="41" t="inlineStr">
        <is>
          <t>DEPRECIATION BASES (not added to startup costs)</t>
        </is>
      </c>
      <c r="B52" s="44" t="n"/>
      <c r="C52" s="44" t="n"/>
      <c r="D52" s="44" t="n"/>
      <c r="E52" s="44" t="n"/>
    </row>
    <row r="53">
      <c r="A53" s="44" t="inlineStr">
        <is>
          <t>Build-out, fixtures and setup</t>
        </is>
      </c>
      <c r="B53" s="55">
        <f>IFERROR(IF(B8="","",B8+B9+B10+B13+B20+B26),"")</f>
        <v>179800.0</v>
      </c>
      <c r="C53" s="44" t="n"/>
      <c r="D53" s="44" t="str">
        <f>IFERROR("Depreciated over "&amp;TEXT('0. Assumptions'!$B$44,"0")&amp;" years","")</f>
        <v>Depreciated over 10 years</v>
      </c>
      <c r="E53" s="44" t="n"/>
    </row>
    <row r="54">
      <c r="A54" s="44" t="inlineStr">
        <is>
          <t>Machinery, furniture and equipment</t>
        </is>
      </c>
      <c r="B54" s="55">
        <f>IFERROR(IF(B15="","",B15+B16+B17+B18+B19+B21+B22+B23+B24+B27+B28+B29+B30+B31+B32+B33+B34+B35),"")</f>
        <v>133400.0</v>
      </c>
      <c r="C54" s="44" t="n"/>
      <c r="D54" s="44" t="str">
        <f>IFERROR("Depreciated over "&amp;TEXT('0. Assumptions'!$B$45,"0")&amp;" years","")</f>
        <v>Depreciated over 7 years</v>
      </c>
      <c r="E54" s="44" t="n"/>
    </row>
    <row r="55">
      <c r="A55" s="41" t="inlineStr">
        <is>
          <t>Annual depreciation of fixed assets</t>
        </is>
      </c>
      <c r="B55" s="69">
        <f>IFERROR(B53/MAX(1,'0. Assumptions'!$B$44)+B54/MAX(1,'0. Assumptions'!$B$45),"")</f>
        <v>37037.142857142855</v>
      </c>
      <c r="C55" s="44" t="n"/>
      <c r="D55" s="41" t="str">
        <f>IFERROR("Not depreciated, because they are not fixed assets: broker and lease review fees, security deposit, pre-opening rent, brand design, website and Google Business Profile, grand opening campaign, entity formation and legal, liquor license and "&amp;"permits, opening food and bar inventory and the working capital reserve. They add up to "&amp;TEXT(B48-B53-B54,"#,##0")&amp;" of the "&amp;TEXT(B48,"#,##0")&amp;" total investment.","")</f>
        <v>Not depreciated, because they are not fixed assets: broker and lease review fees, security deposit, pre-opening rent, brand design, website and Google Business Profile, grand opening campaign, entity formation and legal, liquor license and permits, opening food and bar inventory and the working capital reserve. They add up to 215496 of the 528696 total investment.</v>
      </c>
      <c r="E55" s="44" t="n"/>
    </row>
    <row r="56">
      <c r="A56" s="44" t="n"/>
      <c r="B56" s="44" t="n"/>
      <c r="C56" s="44" t="n"/>
      <c r="D56" s="44" t="n"/>
      <c r="E56" s="44" t="n"/>
    </row>
    <row r="57" ht="45" customHeight="1">
      <c r="A57" s="63" t="inlineStr">
        <is>
          <t>NOTE: all amounts are US kit-example estimates (2026); replace them with your own quotes.</t>
        </is>
      </c>
      <c r="B57" s="44" t="n"/>
      <c r="C57" s="44" t="n"/>
      <c r="D57" s="44" t="n"/>
      <c r="E57" s="44" t="n"/>
    </row>
    <row r="58" ht="30" customHeight="1">
      <c r="A58" s="63" t="inlineStr">
        <is>
          <t>AI Chef Pro · aichef.pro/en/digital-products/restaurant-business-plan</t>
        </is>
      </c>
      <c r="B58" s="44" t="n"/>
      <c r="C58" s="44" t="n"/>
      <c r="D58" s="44" t="n"/>
      <c r="E58"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1:C1"/>
    <mergeCell ref="A3:C3"/>
    <mergeCell ref="A2:C2"/>
  </mergeCells>
  <conditionalFormatting sqref="B51">
    <cfRule type="expression" priority="1" dxfId="0" stopIfTrue="1">
      <formula>AND(ISNUMBER(B51),B51&gt;0)</formula>
    </cfRule>
  </conditionalFormatting>
  <dataValidations count="2">
    <dataValidation sqref="E7:E10 E15:E24 E26:E35 E37:E39 E41:E42 E44:E45" showDropDown="0" showInputMessage="0" showErrorMessage="1" allowBlank="1" errorTitle="Invalid entry" error="Enter &quot;Yes&quot; or &quot;No&quot;: the recoverable input tax on startup costs comes from this column." type="list">
      <formula1>"Yes,No"</formula1>
    </dataValidation>
    <dataValidation sqref="B7 B8 B9 B10 B15 B16 B17 B18 B19 B20 B21 B22 B23 B24 B26 B27 B28 B29 B30 B31 B32 B33 B34 B35 B37 B38 B39 B41 B42 B44 B4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62"/>
  <sheetViews>
    <sheetView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3" customWidth="1" min="5" max="5"/>
    <col width="60" customWidth="1" min="6" max="6"/>
    <col width="14" customWidth="1" min="7" max="7"/>
    <col width="16" customWidth="1" min="8" max="8"/>
  </cols>
  <sheetData>
    <row r="1" ht="32" customHeight="1">
      <c r="A1" s="1" t="inlineStr">
        <is>
          <t>AI Chef Pro</t>
        </is>
      </c>
    </row>
    <row r="2" ht="26" customHeight="1">
      <c r="A2" s="53" t="inlineStr">
        <is>
          <t>3-Year Projected P&amp;L</t>
        </is>
      </c>
    </row>
    <row r="3" ht="30" customHeight="1">
      <c r="A3" s="40" t="inlineStr">
        <is>
          <t>Restaurant Business Plan: Casual Restaurant &amp; Bar — US example (2026)</t>
        </is>
      </c>
    </row>
    <row r="5">
      <c r="A5" s="54" t="inlineStr">
        <is>
          <t>Item</t>
        </is>
      </c>
      <c r="B5" s="54" t="inlineStr">
        <is>
          <t>Year 1</t>
        </is>
      </c>
      <c r="C5" s="54" t="inlineStr">
        <is>
          <t>Year 2</t>
        </is>
      </c>
      <c r="D5" s="54" t="inlineStr">
        <is>
          <t>Year 3</t>
        </is>
      </c>
      <c r="E5" s="54" t="inlineStr">
        <is>
          <t>% of sales (year 1)</t>
        </is>
      </c>
      <c r="F5" s="54" t="inlineStr">
        <is>
          <t>Notes</t>
        </is>
      </c>
      <c r="G5" s="54" t="inlineStr">
        <is>
          <t>Sales tax rate on the line (%)</t>
        </is>
      </c>
      <c r="H5" s="44" t="n"/>
    </row>
    <row r="6">
      <c r="A6" s="41" t="inlineStr">
        <is>
          <t>REVENUE</t>
        </is>
      </c>
      <c r="B6" s="44" t="n"/>
      <c r="C6" s="44" t="n"/>
      <c r="D6" s="44" t="n"/>
      <c r="E6" s="44" t="n"/>
      <c r="F6" s="44" t="n"/>
      <c r="G6" s="44" t="n"/>
      <c r="H6" s="44" t="n"/>
    </row>
    <row r="7">
      <c r="A7" s="44" t="inlineStr">
        <is>
          <t>Covers per day (average)</t>
        </is>
      </c>
      <c r="B7" s="55">
        <f>IFERROR(IF('0. Assumptions'!$B$4="","",'0. Assumptions'!$B$4),"")</f>
        <v>125.0</v>
      </c>
      <c r="C7" s="55">
        <f>IFERROR(B7*(1+'0. Assumptions'!$B$7),"")</f>
        <v>137.5</v>
      </c>
      <c r="D7" s="55">
        <f>IFERROR(C7*(1+'0. Assumptions'!$B$8),"")</f>
        <v>145.75</v>
      </c>
      <c r="E7" s="44" t="n"/>
      <c r="F7" s="44" t="inlineStr">
        <is>
          <t>Growth for years 2 and 3 is set in "0. Assumptions"</t>
        </is>
      </c>
      <c r="G7" s="44" t="n"/>
      <c r="H7" s="44" t="n"/>
    </row>
    <row r="8">
      <c r="A8" s="44" t="inlineStr">
        <is>
          <t>Average check (excl. sales tax)</t>
        </is>
      </c>
      <c r="B8" s="78">
        <f>IFERROR(IF('0. Assumptions'!$B$5="","",'0. Assumptions'!$B$5),"")</f>
        <v>28.0</v>
      </c>
      <c r="C8" s="78">
        <f>IFERROR(IF(B8="","",B8),"")</f>
        <v>28.0</v>
      </c>
      <c r="D8" s="78">
        <f>IFERROR(IF(C8="","",C8),"")</f>
        <v>28.0</v>
      </c>
      <c r="E8" s="44" t="n"/>
      <c r="F8" s="44" t="inlineStr">
        <is>
          <t>Held constant at year-1 prices: a price increase is a separate decision</t>
        </is>
      </c>
      <c r="G8" s="44" t="n"/>
      <c r="H8" s="44" t="n"/>
    </row>
    <row r="9">
      <c r="A9" s="44" t="inlineStr">
        <is>
          <t>Operating days per year</t>
        </is>
      </c>
      <c r="B9" s="55">
        <f>IFERROR(IF('0. Assumptions'!$B$6="","",'0. Assumptions'!$B$6),"")</f>
        <v>310.0</v>
      </c>
      <c r="C9" s="55">
        <f>IFERROR(IF(B9="","",B9),"")</f>
        <v>310.0</v>
      </c>
      <c r="D9" s="55">
        <f>IFERROR(IF(C9="","",C9),"")</f>
        <v>310.0</v>
      </c>
      <c r="E9" s="44" t="n"/>
      <c r="F9" s="44" t="n"/>
      <c r="G9" s="44" t="n"/>
      <c r="H9" s="44" t="n"/>
    </row>
    <row r="10">
      <c r="A10" s="41" t="inlineStr">
        <is>
          <t>TOTAL REVENUE (excl. sales tax)</t>
        </is>
      </c>
      <c r="B10" s="69">
        <f>IFERROR(IF(B7*B8*B9=0,"",B7*B8*B9),"")</f>
        <v>1085000.0</v>
      </c>
      <c r="C10" s="69">
        <f>IFERROR(IF(C7*C8*C9=0,"",C7*C8*C9),"")</f>
        <v>1193500.0</v>
      </c>
      <c r="D10" s="69">
        <f>IFERROR(IF(D7*D8*D9=0,"",D7*D8*D9),"")</f>
        <v>1265110.0</v>
      </c>
      <c r="E10" s="43">
        <f>IFERROR(IF(B10="","",1),"")</f>
        <v>1.0</v>
      </c>
      <c r="F10" s="44" t="n"/>
      <c r="G10" s="44" t="n"/>
      <c r="H10" s="44" t="n"/>
    </row>
    <row r="11">
      <c r="A11" s="44" t="inlineStr">
        <is>
          <t>Food sales (kitchen and bar)</t>
        </is>
      </c>
      <c r="B11" s="55">
        <f>IFERROR(IF(B10="","",B10*$E$11),"")</f>
        <v>759500.0</v>
      </c>
      <c r="C11" s="55">
        <f>IFERROR(IF(C10="","",C10*$E$11),"")</f>
        <v>835450.0</v>
      </c>
      <c r="D11" s="55">
        <f>IFERROR(IF(D10="","",D10*$E$11),"")</f>
        <v>885577.0</v>
      </c>
      <c r="E11" s="46">
        <f>IFERROR(IF('0. Assumptions'!$B$11="","",'0. Assumptions'!$B$11),"")</f>
        <v>0.7</v>
      </c>
      <c r="F11" s="44" t="inlineStr">
        <is>
          <t>Lunch specials, regular menu and shared plates</t>
        </is>
      </c>
      <c r="G11" s="46">
        <f>IFERROR(IF(B10="","",'0. Assumptions'!$B$39),"")</f>
        <v>0.08</v>
      </c>
      <c r="H11" s="44" t="n"/>
    </row>
    <row r="12">
      <c r="A12" s="44" t="inlineStr">
        <is>
          <t>Beverage sales (draft beer, wine, coffee and cocktails)</t>
        </is>
      </c>
      <c r="B12" s="55">
        <f>IFERROR(IF(B10="","",B10*$E$12),"")</f>
        <v>325500.00000000006</v>
      </c>
      <c r="C12" s="55">
        <f>IFERROR(IF(C10="","",C10*$E$12),"")</f>
        <v>358050.00000000006</v>
      </c>
      <c r="D12" s="55">
        <f>IFERROR(IF(D10="","",D10*$E$12),"")</f>
        <v>379533.00000000006</v>
      </c>
      <c r="E12" s="46">
        <f>IFERROR(IF('0. Assumptions'!$B$12="","",'0. Assumptions'!$B$12),"")</f>
        <v>0.30000000000000004</v>
      </c>
      <c r="F12" s="44" t="inlineStr">
        <is>
          <t>Calculated as the remainder: food + beverage = 100%</t>
        </is>
      </c>
      <c r="G12" s="46">
        <f>IFERROR(IF(B10="","",('0. Assumptions'!$B$62*((1-'0. Assumptions'!$B$16)*'0. Assumptions'!$B$63+'0. Assumptions'!$B$16*'0. Assumptions'!$B$40)+(1-'0. Assumptions'!$B$62)*'0. Assumptions'!$B$39)),"")</f>
        <v>0.08</v>
      </c>
      <c r="H12" s="44" t="n"/>
    </row>
    <row r="13">
      <c r="A13" s="41" t="inlineStr">
        <is>
          <t>VARIABLE COSTS</t>
        </is>
      </c>
      <c r="B13" s="44" t="n"/>
      <c r="C13" s="44" t="n"/>
      <c r="D13" s="44" t="n"/>
      <c r="E13" s="44" t="n"/>
      <c r="F13" s="44" t="n"/>
      <c r="G13" s="44" t="n"/>
      <c r="H13" s="44" t="n"/>
    </row>
    <row r="14">
      <c r="A14" s="44" t="inlineStr">
        <is>
          <t>Cost of goods sold — food</t>
        </is>
      </c>
      <c r="B14" s="55">
        <f>IFERROR(IF(B10="","",B10*'0. Assumptions'!$B$11*'0. Assumptions'!$B$13),"")</f>
        <v>220254.99999999997</v>
      </c>
      <c r="C14" s="55">
        <f>IFERROR(IF(C10="","",C10*'0. Assumptions'!$B$11*'0. Assumptions'!$B$13),"")</f>
        <v>242280.49999999997</v>
      </c>
      <c r="D14" s="55">
        <f>IFERROR(IF(D10="","",D10*'0. Assumptions'!$B$11*'0. Assumptions'!$B$13),"")</f>
        <v>256817.33</v>
      </c>
      <c r="E14" s="46">
        <f>IFERROR(B14/$B$10,"")</f>
        <v>0.20299999999999999</v>
      </c>
      <c r="F14" s="44" t="str">
        <f>IFERROR("At "&amp;TEXT('0. Assumptions'!$B$13,"0%")&amp;" of FOOD sales, not of total sales: beverages have their own line","")</f>
        <v>At 29% of FOOD sales, not of total sales: beverages have their own line</v>
      </c>
      <c r="G14" s="46">
        <f>IFERROR(IF(B10="","",'0. Assumptions'!$B$41),"")</f>
        <v>0.0</v>
      </c>
      <c r="H14" s="44" t="n"/>
    </row>
    <row r="15">
      <c r="A15" s="44" t="inlineStr">
        <is>
          <t>Cost of goods sold — beverage</t>
        </is>
      </c>
      <c r="B15" s="55">
        <f>IFERROR(IF(B10="","",B10*'0. Assumptions'!$B$12*'0. Assumptions'!$B$14),"")</f>
        <v>78120.00000000001</v>
      </c>
      <c r="C15" s="55">
        <f>IFERROR(IF(C10="","",C10*'0. Assumptions'!$B$12*'0. Assumptions'!$B$14),"")</f>
        <v>85932.00000000001</v>
      </c>
      <c r="D15" s="55">
        <f>IFERROR(IF(D10="","",D10*'0. Assumptions'!$B$12*'0. Assumptions'!$B$14),"")</f>
        <v>91087.92000000001</v>
      </c>
      <c r="E15" s="46">
        <f>IFERROR(B15/$B$10,"")</f>
        <v>0.07200000000000001</v>
      </c>
      <c r="F15" s="44" t="str">
        <f>IFERROR("At "&amp;TEXT('0. Assumptions'!$B$14,"0%")&amp;" of BEVERAGE sales","")</f>
        <v>At 24% of BEVERAGE sales</v>
      </c>
      <c r="G15" s="46">
        <f>IFERROR(IF(B10="","",'0. Assumptions'!$B$41),"")</f>
        <v>0.0</v>
      </c>
      <c r="H15" s="44" t="n"/>
    </row>
    <row r="16">
      <c r="A16" s="44" t="inlineStr">
        <is>
          <t>Disposables and packaging</t>
        </is>
      </c>
      <c r="B16" s="55">
        <f>IFERROR(IF(B10="","",B10*'0. Assumptions'!$B$15),"")</f>
        <v>16275.0</v>
      </c>
      <c r="C16" s="55">
        <f>IFERROR(IF(C10="","",C10*'0. Assumptions'!$B$15),"")</f>
        <v>17902.5</v>
      </c>
      <c r="D16" s="55">
        <f>IFERROR(IF(D10="","",D10*'0. Assumptions'!$B$15),"")</f>
        <v>18976.649999999998</v>
      </c>
      <c r="E16" s="46">
        <f>IFERROR(B16/$B$10,"")</f>
        <v>0.015</v>
      </c>
      <c r="F16" s="44" t="n"/>
      <c r="G16" s="46">
        <f>IFERROR(IF(B10="","",'0. Assumptions'!$B$41),"")</f>
        <v>0.0</v>
      </c>
      <c r="H16" s="44" t="n"/>
    </row>
    <row r="17">
      <c r="A17" s="44" t="inlineStr">
        <is>
          <t>Delivery platform fees</t>
        </is>
      </c>
      <c r="B17" s="55">
        <f>IFERROR(IF(B10="","",B10*'0. Assumptions'!$B$16*'0. Assumptions'!$B$17),"")</f>
        <v>0.0</v>
      </c>
      <c r="C17" s="55">
        <f>IFERROR(IF(C10="","",C10*'0. Assumptions'!$B$16*'0. Assumptions'!$B$17),"")</f>
        <v>0.0</v>
      </c>
      <c r="D17" s="55">
        <f>IFERROR(IF(D10="","",D10*'0. Assumptions'!$B$16*'0. Assumptions'!$B$17),"")</f>
        <v>0.0</v>
      </c>
      <c r="E17" s="46">
        <f>IFERROR(B17/$B$10,"")</f>
        <v>0.0</v>
      </c>
      <c r="F17" s="44" t="inlineStr">
        <is>
          <t>Applied to the sales of THAT CHANNEL. With 0% delivery in Assumptions, this line is zero</t>
        </is>
      </c>
      <c r="G17" s="46">
        <f>IFERROR(IF(B10="","",'0. Assumptions'!$B$41),"")</f>
        <v>0.0</v>
      </c>
      <c r="H17" s="44" t="n"/>
    </row>
    <row r="18">
      <c r="A18" s="44" t="inlineStr">
        <is>
          <t>Card processing fees</t>
        </is>
      </c>
      <c r="B18" s="55">
        <f>IFERROR(IF(B10="","",B10*'0. Assumptions'!$B$18),"")</f>
        <v>37975.0</v>
      </c>
      <c r="C18" s="55">
        <f>IFERROR(IF(C10="","",C10*'0. Assumptions'!$B$18),"")</f>
        <v>41772.50000000001</v>
      </c>
      <c r="D18" s="55">
        <f>IFERROR(IF(D10="","",D10*'0. Assumptions'!$B$18),"")</f>
        <v>44278.850000000006</v>
      </c>
      <c r="E18" s="46">
        <f>IFERROR(B18/$B$10,"")</f>
        <v>0.035</v>
      </c>
      <c r="F18" s="44" t="inlineStr">
        <is>
          <t>Card processing fees are not subject to sales tax: no tax is recovered or deducted for them</t>
        </is>
      </c>
      <c r="G18" s="46" t="n">
        <v>0</v>
      </c>
      <c r="H18" s="44" t="n"/>
    </row>
    <row r="19">
      <c r="A19" s="44" t="inlineStr">
        <is>
          <t>Miscellaneous and contingency</t>
        </is>
      </c>
      <c r="B19" s="55">
        <f>IFERROR(IF(B10="","",B10*'0. Assumptions'!$B$28),"")</f>
        <v>21700.0</v>
      </c>
      <c r="C19" s="55">
        <f>IFERROR(IF(C10="","",C10*'0. Assumptions'!$B$28),"")</f>
        <v>23870.0</v>
      </c>
      <c r="D19" s="55">
        <f>IFERROR(IF(D10="","",D10*'0. Assumptions'!$B$28),"")</f>
        <v>25302.2</v>
      </c>
      <c r="E19" s="46">
        <f>IFERROR(B19/$B$10,"")</f>
        <v>0.02</v>
      </c>
      <c r="F19" s="44" t="str">
        <f>IFERROR("At "&amp;TEXT('0. Assumptions'!$B$28,"0%")&amp;" of sales. It is a VARIABLE cost: it moves with revenue, so it cannot sit in fixed costs","")</f>
        <v>At 2% of sales. It is a VARIABLE cost: it moves with revenue, so it cannot sit in fixed costs</v>
      </c>
      <c r="G19" s="46">
        <f>IFERROR(IF(B10="","",'0. Assumptions'!$B$41),"")</f>
        <v>0.0</v>
      </c>
      <c r="H19" s="44" t="n"/>
    </row>
    <row r="20">
      <c r="A20" s="41" t="inlineStr">
        <is>
          <t>TOTAL VARIABLE COSTS</t>
        </is>
      </c>
      <c r="B20" s="69">
        <f>IFERROR(IF(B10="","",SUM(B14:B19)),"")</f>
        <v>374325.0</v>
      </c>
      <c r="C20" s="69">
        <f>IFERROR(IF(C10="","",SUM(C14:C19)),"")</f>
        <v>411757.5</v>
      </c>
      <c r="D20" s="69">
        <f>IFERROR(IF(D10="","",SUM(D14:D19)),"")</f>
        <v>436462.95</v>
      </c>
      <c r="E20" s="43">
        <f>IFERROR(B20/$B$10,"")</f>
        <v>0.345</v>
      </c>
      <c r="F20" s="44" t="n"/>
      <c r="G20" s="44" t="n"/>
      <c r="H20" s="44" t="n"/>
    </row>
    <row r="21">
      <c r="A21" s="41" t="inlineStr">
        <is>
          <t>GROSS MARGIN</t>
        </is>
      </c>
      <c r="B21" s="69">
        <f>IFERROR(IF(B10="","",B10-B20),"")</f>
        <v>710675.0</v>
      </c>
      <c r="C21" s="69">
        <f>IFERROR(IF(C10="","",C10-C20),"")</f>
        <v>781742.5</v>
      </c>
      <c r="D21" s="69">
        <f>IFERROR(IF(D10="","",D10-D20),"")</f>
        <v>828647.05</v>
      </c>
      <c r="E21" s="43">
        <f>IFERROR(B21/$B$10,"")</f>
        <v>0.655</v>
      </c>
      <c r="F21" s="44" t="n"/>
      <c r="G21" s="44" t="n"/>
      <c r="H21" s="44" t="n"/>
    </row>
    <row r="22">
      <c r="A22" s="41" t="inlineStr">
        <is>
          <t>FIXED COSTS</t>
        </is>
      </c>
      <c r="B22" s="44" t="n"/>
      <c r="C22" s="44" t="n"/>
      <c r="D22" s="44" t="n"/>
      <c r="E22" s="44" t="n"/>
      <c r="F22" s="44" t="n"/>
      <c r="G22" s="44" t="n"/>
      <c r="H22" s="44" t="n"/>
    </row>
    <row r="23">
      <c r="A23" s="44" t="inlineStr">
        <is>
          <t>Rent</t>
        </is>
      </c>
      <c r="B23" s="55">
        <f>IFERROR(IF(B10="","",'0. Assumptions'!$B$24*12),"")</f>
        <v>84000.0</v>
      </c>
      <c r="C23" s="55">
        <f>IFERROR(IF(C10="","",B23*(1+'0. Assumptions'!$B$48)),"")</f>
        <v>84000.0</v>
      </c>
      <c r="D23" s="55">
        <f>IFERROR(IF(D10="","",C23*(1+'0. Assumptions'!$B$48)),"")</f>
        <v>84000.0</v>
      </c>
      <c r="E23" s="46">
        <f>IFERROR(B23/$B$10,"")</f>
        <v>0.07741935483870968</v>
      </c>
      <c r="F23" s="44" t="inlineStr">
        <is>
          <t>The monthly amount is on the "0. Assumptions" tab; here it is multiplied by twelve. Rent for the build-out months, which comes before opening, is on the Startup Costs tab and is NOT counted twice</t>
        </is>
      </c>
      <c r="G23" s="46">
        <f>IFERROR(IF(B10="","",'0. Assumptions'!$B$41),"")</f>
        <v>0.0</v>
      </c>
      <c r="H23" s="44" t="n"/>
    </row>
    <row r="24">
      <c r="A24" s="44" t="inlineStr">
        <is>
          <t>Labor (wages + employer payroll taxes)</t>
        </is>
      </c>
      <c r="B24" s="55">
        <f>IFERROR(IF(B10="","",'5. Staffing'!$G$13),"")</f>
        <v>334884.0</v>
      </c>
      <c r="C24" s="55">
        <f>IFERROR(IF(C10="","",'5. Staffing'!$B$17),"")</f>
        <v>342884.0</v>
      </c>
      <c r="D24" s="55">
        <f>IFERROR(IF(D10="","",'5. Staffing'!$B$18),"")</f>
        <v>350884.0</v>
      </c>
      <c r="E24" s="46">
        <f>IFERROR(B24/$B$10,"")</f>
        <v>0.3086488479262673</v>
      </c>
      <c r="F24" s="44" t="inlineStr">
        <is>
          <t>Comes from the Staffing tab: it is the SAME number, not a separate estimate. Years 2 and 3 add the new hires declared on that tab, not a percentage of volume</t>
        </is>
      </c>
      <c r="G24" s="46" t="n">
        <v>0</v>
      </c>
      <c r="H24" s="44" t="n"/>
    </row>
    <row r="25">
      <c r="A25" s="44" t="inlineStr">
        <is>
          <t>Utilities (electricity, water, gas)</t>
        </is>
      </c>
      <c r="B25" s="55">
        <f>IFERROR(IF(B10="","",'0. Assumptions'!$B$26*12),"")</f>
        <v>30000.0</v>
      </c>
      <c r="C25" s="55">
        <f>IFERROR(IF(C10="","",B25*(1+'0. Assumptions'!$B$48)),"")</f>
        <v>30000.0</v>
      </c>
      <c r="D25" s="55">
        <f>IFERROR(IF(D10="","",C25*(1+'0. Assumptions'!$B$48)),"")</f>
        <v>30000.0</v>
      </c>
      <c r="E25" s="46">
        <f>IFERROR(B25/$B$10,"")</f>
        <v>0.027649769585253458</v>
      </c>
      <c r="F25" s="44" t="inlineStr">
        <is>
          <t>Enter the monthly bills excl. sales tax. The workbook applies a single tax treatment to this whole line, the one in the column next to it; if one utility is taxed differently in your area, give it its own line</t>
        </is>
      </c>
      <c r="G25" s="46">
        <f>IFERROR(IF(B10="","",'0. Assumptions'!$B$41),"")</f>
        <v>0.0</v>
      </c>
      <c r="H25" s="44" t="n"/>
    </row>
    <row r="26">
      <c r="A26" s="44" t="inlineStr">
        <is>
          <t>Insurance (general liability + property / auto)</t>
        </is>
      </c>
      <c r="B26" s="55">
        <f>IFERROR(IF(B10="","",'0. Assumptions'!$B$27),"")</f>
        <v>9000.0</v>
      </c>
      <c r="C26" s="55">
        <f>IFERROR(IF(C10="","",B26*(1+'0. Assumptions'!$B$48)),"")</f>
        <v>9000.0</v>
      </c>
      <c r="D26" s="55">
        <f>IFERROR(IF(D10="","",C26*(1+'0. Assumptions'!$B$48)),"")</f>
        <v>9000.0</v>
      </c>
      <c r="E26" s="46">
        <f>IFERROR(B26/$B$10,"")</f>
        <v>0.008294930875576038</v>
      </c>
      <c r="F26" s="44" t="inlineStr">
        <is>
          <t>Insurance premiums are not subject to sales tax: there is no recoverable tax on them</t>
        </is>
      </c>
      <c r="G26" s="46" t="n">
        <v>0</v>
      </c>
      <c r="H26" s="44" t="n"/>
    </row>
    <row r="27">
      <c r="A27" s="44" t="inlineStr">
        <is>
          <t>Accounting / bookkeeping</t>
        </is>
      </c>
      <c r="B27" s="65" t="n">
        <v>6000</v>
      </c>
      <c r="C27" s="55">
        <f>IFERROR(IF(C10="","",B27*(1+'0. Assumptions'!$B$48)),"")</f>
        <v>6000.0</v>
      </c>
      <c r="D27" s="55">
        <f>IFERROR(IF(D10="","",C27*(1+'0. Assumptions'!$B$48)),"")</f>
        <v>6000.0</v>
      </c>
      <c r="E27" s="46">
        <f>IFERROR(B27/$B$10,"")</f>
        <v>0.005529953917050691</v>
      </c>
      <c r="F27" s="44" t="n"/>
      <c r="G27" s="46">
        <f>IFERROR(IF(B10="","",'0. Assumptions'!$B$41),"")</f>
        <v>0.0</v>
      </c>
      <c r="H27" s="44" t="n"/>
    </row>
    <row r="28">
      <c r="A28" s="44" t="inlineStr">
        <is>
          <t>Marketing and advertising</t>
        </is>
      </c>
      <c r="B28" s="65" t="n">
        <v>18000</v>
      </c>
      <c r="C28" s="55">
        <f>IFERROR(IF(C10="","",B28*(1+'0. Assumptions'!$B$48)),"")</f>
        <v>18000.0</v>
      </c>
      <c r="D28" s="55">
        <f>IFERROR(IF(D10="","",C28*(1+'0. Assumptions'!$B$48)),"")</f>
        <v>18000.0</v>
      </c>
      <c r="E28" s="46">
        <f>IFERROR(B28/$B$10,"")</f>
        <v>0.016589861751152075</v>
      </c>
      <c r="F28" s="44" t="n"/>
      <c r="G28" s="46">
        <f>IFERROR(IF(B10="","",'0. Assumptions'!$B$41),"")</f>
        <v>0.0</v>
      </c>
      <c r="H28" s="44" t="n"/>
    </row>
    <row r="29">
      <c r="A29" s="44" t="inlineStr">
        <is>
          <t>Maintenance and repairs</t>
        </is>
      </c>
      <c r="B29" s="65" t="n">
        <v>9000</v>
      </c>
      <c r="C29" s="55">
        <f>IFERROR(IF(C10="","",B29*(1+'0. Assumptions'!$B$48)),"")</f>
        <v>9000.0</v>
      </c>
      <c r="D29" s="55">
        <f>IFERROR(IF(D10="","",C29*(1+'0. Assumptions'!$B$48)),"")</f>
        <v>9000.0</v>
      </c>
      <c r="E29" s="46">
        <f>IFERROR(B29/$B$10,"")</f>
        <v>0.008294930875576038</v>
      </c>
      <c r="F29" s="44" t="n"/>
      <c r="G29" s="46">
        <f>IFERROR(IF(B10="","",'0. Assumptions'!$B$41),"")</f>
        <v>0.0</v>
      </c>
      <c r="H29" s="44" t="n"/>
    </row>
    <row r="30">
      <c r="A30" s="44" t="inlineStr">
        <is>
          <t>Software (POS, reservations, social media)</t>
        </is>
      </c>
      <c r="B30" s="65" t="n">
        <v>4800</v>
      </c>
      <c r="C30" s="55">
        <f>IFERROR(IF(C10="","",B30*(1+'0. Assumptions'!$B$48)),"")</f>
        <v>4800.0</v>
      </c>
      <c r="D30" s="55">
        <f>IFERROR(IF(D10="","",C30*(1+'0. Assumptions'!$B$48)),"")</f>
        <v>4800.0</v>
      </c>
      <c r="E30" s="46">
        <f>IFERROR(B30/$B$10,"")</f>
        <v>0.004423963133640553</v>
      </c>
      <c r="F30" s="44" t="n"/>
      <c r="G30" s="46">
        <f>IFERROR(IF(B10="","",'0. Assumptions'!$B$41),"")</f>
        <v>0.0</v>
      </c>
      <c r="H30" s="44" t="n"/>
    </row>
    <row r="31">
      <c r="A31" s="44" t="inlineStr">
        <is>
          <t>Cleaning, laundry and linens</t>
        </is>
      </c>
      <c r="B31" s="65" t="n">
        <v>9600</v>
      </c>
      <c r="C31" s="55">
        <f>IFERROR(IF(C10="","",B31*(1+'0. Assumptions'!$B$48)),"")</f>
        <v>9600.0</v>
      </c>
      <c r="D31" s="55">
        <f>IFERROR(IF(D10="","",C31*(1+'0. Assumptions'!$B$48)),"")</f>
        <v>9600.0</v>
      </c>
      <c r="E31" s="46">
        <f>IFERROR(B31/$B$10,"")</f>
        <v>0.008847926267281106</v>
      </c>
      <c r="F31" s="44" t="inlineStr">
        <is>
          <t>Table linens, kitchen towels and uniforms. Get a quote in your area: this is an indicative, editable amount</t>
        </is>
      </c>
      <c r="G31" s="46">
        <f>IFERROR(IF(B10="","",'0. Assumptions'!$B$41),"")</f>
        <v>0.0</v>
      </c>
      <c r="H31" s="44" t="n"/>
    </row>
    <row r="32">
      <c r="A32" s="44" t="inlineStr">
        <is>
          <t>Waste and grease hauling</t>
        </is>
      </c>
      <c r="B32" s="65" t="n">
        <v>3600</v>
      </c>
      <c r="C32" s="55">
        <f>IFERROR(IF(C10="","",B32*(1+'0. Assumptions'!$B$48)),"")</f>
        <v>3600.0</v>
      </c>
      <c r="D32" s="55">
        <f>IFERROR(IF(D10="","",C32*(1+'0. Assumptions'!$B$48)),"")</f>
        <v>3600.0</v>
      </c>
      <c r="E32" s="46">
        <f>IFERROR(B32/$B$10,"")</f>
        <v>0.0033179723502304147</v>
      </c>
      <c r="F32" s="44" t="inlineStr">
        <is>
          <t>Licensed hauler. Inspectors check it, and used cooking oil cannot go down the drain</t>
        </is>
      </c>
      <c r="G32" s="46">
        <f>IFERROR(IF(B10="","",'0. Assumptions'!$B$41),"")</f>
        <v>0.0</v>
      </c>
      <c r="H32" s="44" t="n"/>
    </row>
    <row r="33">
      <c r="A33" s="44" t="inlineStr">
        <is>
          <t>Pest control</t>
        </is>
      </c>
      <c r="B33" s="65" t="n">
        <v>1200</v>
      </c>
      <c r="C33" s="55">
        <f>IFERROR(IF(C10="","",B33*(1+'0. Assumptions'!$B$48)),"")</f>
        <v>1200.0</v>
      </c>
      <c r="D33" s="55">
        <f>IFERROR(IF(D10="","",C33*(1+'0. Assumptions'!$B$48)),"")</f>
        <v>1200.0</v>
      </c>
      <c r="E33" s="46">
        <f>IFERROR(B33/$B$10,"")</f>
        <v>0.0011059907834101382</v>
      </c>
      <c r="F33" s="44" t="inlineStr">
        <is>
          <t>Licensed pest control company; part of your HACCP-based food safety plan</t>
        </is>
      </c>
      <c r="G33" s="46">
        <f>IFERROR(IF(B10="","",'0. Assumptions'!$B$41),"")</f>
        <v>0.0</v>
      </c>
      <c r="H33" s="44" t="n"/>
    </row>
    <row r="34">
      <c r="A34" s="44" t="inlineStr">
        <is>
          <t>Music licensing (ASCAP, BMI, SESAC)</t>
        </is>
      </c>
      <c r="B34" s="65" t="n">
        <v>1200</v>
      </c>
      <c r="C34" s="55">
        <f>IFERROR(IF(C10="","",B34*(1+'0. Assumptions'!$B$48)),"")</f>
        <v>1200.0</v>
      </c>
      <c r="D34" s="55">
        <f>IFERROR(IF(D10="","",C34*(1+'0. Assumptions'!$B$48)),"")</f>
        <v>1200.0</v>
      </c>
      <c r="E34" s="46">
        <f>IFERROR(B34/$B$10,"")</f>
        <v>0.0011059907834101382</v>
      </c>
      <c r="F34" s="44" t="inlineStr">
        <is>
          <t>ASCAP, BMI and SESAC are separate licensing organizations; the fee depends on the size and capacity of your space</t>
        </is>
      </c>
      <c r="G34" s="46">
        <f>IFERROR(IF(B10="","",'0. Assumptions'!$B$41),"")</f>
        <v>0.0</v>
      </c>
      <c r="H34" s="44" t="n"/>
    </row>
    <row r="35">
      <c r="A35" s="44" t="inlineStr">
        <is>
          <t>Training and certifications</t>
        </is>
      </c>
      <c r="B35" s="65" t="n">
        <v>1000</v>
      </c>
      <c r="C35" s="55">
        <f>IFERROR(IF(C10="","",B35*(1+'0. Assumptions'!$B$48)),"")</f>
        <v>1000.0</v>
      </c>
      <c r="D35" s="55">
        <f>IFERROR(IF(D10="","",C35*(1+'0. Assumptions'!$B$48)),"")</f>
        <v>1000.0</v>
      </c>
      <c r="E35" s="46">
        <f>IFERROR(B35/$B$10,"")</f>
        <v>0.0009216589861751152</v>
      </c>
      <c r="F35" s="44" t="inlineStr">
        <is>
          <t>Food handler cards, Certified Food Protection Manager certification (for example ServSafe) and basic workplace safety training for the team. Requirements vary by state and county</t>
        </is>
      </c>
      <c r="G35" s="46">
        <f>IFERROR(IF(B10="","",'0. Assumptions'!$B$41),"")</f>
        <v>0.0</v>
      </c>
      <c r="H35" s="44" t="n"/>
    </row>
    <row r="36">
      <c r="A36" s="44" t="inlineStr">
        <is>
          <t>Online reservation fees</t>
        </is>
      </c>
      <c r="B36" s="65" t="n">
        <v>3000</v>
      </c>
      <c r="C36" s="55">
        <f>IFERROR(IF(C10="","",B36*(1+'0. Assumptions'!$B$48)),"")</f>
        <v>3000.0</v>
      </c>
      <c r="D36" s="55">
        <f>IFERROR(IF(D10="","",C36*(1+'0. Assumptions'!$B$48)),"")</f>
        <v>3000.0</v>
      </c>
      <c r="E36" s="46">
        <f>IFERROR(B36/$B$10,"")</f>
        <v>0.0027649769585253456</v>
      </c>
      <c r="F36" s="44" t="inlineStr">
        <is>
          <t>Reservation platforms such as OpenTable or Resy may charge per seated guest or per booking: read the fine print before you sign</t>
        </is>
      </c>
      <c r="G36" s="46">
        <f>IFERROR(IF(B10="","",'0. Assumptions'!$B$41),"")</f>
        <v>0.0</v>
      </c>
      <c r="H36" s="44" t="n"/>
    </row>
    <row r="37">
      <c r="A37" s="44" t="inlineStr">
        <is>
          <t>Smallwares and glassware replacement</t>
        </is>
      </c>
      <c r="B37" s="65" t="n">
        <v>4800</v>
      </c>
      <c r="C37" s="55">
        <f>IFERROR(IF(C10="","",B37*(1+'0. Assumptions'!$B$48)),"")</f>
        <v>4800.0</v>
      </c>
      <c r="D37" s="55">
        <f>IFERROR(IF(D10="","",C37*(1+'0. Assumptions'!$B$48)),"")</f>
        <v>4800.0</v>
      </c>
      <c r="E37" s="46">
        <f>IFERROR(B37/$B$10,"")</f>
        <v>0.004423963133640553</v>
      </c>
      <c r="F37" s="44" t="inlineStr">
        <is>
          <t>Breakage during the year. A casual restaurant with a bar breaks more than you would think to budget</t>
        </is>
      </c>
      <c r="G37" s="46">
        <f>IFERROR(IF(B10="","",'0. Assumptions'!$B$41),"")</f>
        <v>0.0</v>
      </c>
      <c r="H37" s="44" t="n"/>
    </row>
    <row r="38">
      <c r="A38" s="44" t="inlineStr">
        <is>
          <t>Depreciation of fixed assets</t>
        </is>
      </c>
      <c r="B38" s="55">
        <f>IFERROR(IF(B10="","",'1. Startup Costs'!$B$55),"")</f>
        <v>37037.142857142855</v>
      </c>
      <c r="C38" s="55">
        <f>IFERROR(IF(C10="","",B38),"")</f>
        <v>37037.142857142855</v>
      </c>
      <c r="D38" s="55">
        <f>IFERROR(IF(D10="","",B38),"")</f>
        <v>37037.142857142855</v>
      </c>
      <c r="E38" s="46">
        <f>IFERROR(B38/$B$10,"")</f>
        <v>0.03413561553653719</v>
      </c>
      <c r="F38" s="44" t="inlineStr">
        <is>
          <t>Comes from the depreciation bases on the Startup Costs tab: real fixed assets only. It does NOT rise with inflation: it is a charge on the HISTORICAL cost of the assets</t>
        </is>
      </c>
      <c r="G38" s="46" t="n">
        <v>0</v>
      </c>
      <c r="H38" s="44" t="n"/>
    </row>
    <row r="39">
      <c r="A39" s="44" t="inlineStr">
        <is>
          <t>Interest expense (loan interest)</t>
        </is>
      </c>
      <c r="B39" s="55">
        <f>IFERROR(IF(B10="","",'7. Financing'!$B$44),"")</f>
        <v>39900.0</v>
      </c>
      <c r="C39" s="55">
        <f>IFERROR(IF(C10="","",'7. Financing'!$B$46),"")</f>
        <v>37396.458744187796</v>
      </c>
      <c r="D39" s="55">
        <f>IFERROR(IF(D10="","",'7. Financing'!$B$48),"")</f>
        <v>34642.56336279437</v>
      </c>
      <c r="E39" s="46">
        <f>IFERROR(B39/$B$10,"")</f>
        <v>0.036774193548387096</v>
      </c>
      <c r="F39" s="44" t="inlineStr">
        <is>
          <t>Only INTEREST is an expense. Principal repaid appears on the cash flow tab</t>
        </is>
      </c>
      <c r="G39" s="46" t="n">
        <v>0</v>
      </c>
      <c r="H39" s="44" t="n"/>
    </row>
    <row r="40">
      <c r="A40" s="41" t="inlineStr">
        <is>
          <t>TOTAL FIXED COSTS</t>
        </is>
      </c>
      <c r="B40" s="69">
        <f>IFERROR(IF(B10="","",SUM(B23:B39)),"")</f>
        <v>597021.1428571428</v>
      </c>
      <c r="C40" s="69">
        <f>IFERROR(IF(C10="","",SUM(C23:C39)),"")</f>
        <v>602517.6016013307</v>
      </c>
      <c r="D40" s="69">
        <f>IFERROR(IF(D10="","",SUM(D23:D39)),"")</f>
        <v>607763.7062199372</v>
      </c>
      <c r="E40" s="43">
        <f>IFERROR(B40/$B$10,"")</f>
        <v>0.5502499012508228</v>
      </c>
      <c r="F40" s="44" t="n"/>
      <c r="G40" s="44" t="n"/>
      <c r="H40" s="44" t="n"/>
    </row>
    <row r="41">
      <c r="A41" s="44" t="inlineStr">
        <is>
          <t>Recoverable input tax on variable costs</t>
        </is>
      </c>
      <c r="B41" s="55">
        <f>IFERROR(IF(B10="","",SUMPRODUCT(B14:B19,G14:G19)),"")</f>
        <v>0.0</v>
      </c>
      <c r="C41" s="55">
        <f>IFERROR(IF(C10="","",SUMPRODUCT(C14:C19,G14:G19)),"")</f>
        <v>0.0</v>
      </c>
      <c r="D41" s="55">
        <f>IFERROR(IF(D10="","",SUMPRODUCT(D14:D19,G14:G19)),"")</f>
        <v>0.0</v>
      </c>
      <c r="E41" s="44" t="n"/>
      <c r="F41" s="44" t="inlineStr">
        <is>
          <t>Each line at ITS OWN rate, read from the column next to it. It is what the cash flow tab overpays to suppliers and later deducts (zero wherever no tax is recoverable)</t>
        </is>
      </c>
      <c r="G41" s="44" t="n"/>
      <c r="H41" s="44" t="n"/>
    </row>
    <row r="42">
      <c r="A42" s="44" t="inlineStr">
        <is>
          <t>Recoverable input tax on fixed costs</t>
        </is>
      </c>
      <c r="B42" s="55">
        <f>IFERROR(IF(B10="","",SUMPRODUCT(B23:B39,G23:G39)),"")</f>
        <v>0.0</v>
      </c>
      <c r="C42" s="55">
        <f>IFERROR(IF(C10="","",SUMPRODUCT(C23:C39,G23:G39)),"")</f>
        <v>0.0</v>
      </c>
      <c r="D42" s="55">
        <f>IFERROR(IF(D10="","",SUMPRODUCT(D23:D39,G23:G39)),"")</f>
        <v>0.0</v>
      </c>
      <c r="E42" s="44" t="n"/>
      <c r="F42" s="44" t="n"/>
      <c r="G42" s="44" t="n"/>
      <c r="H42" s="44" t="n"/>
    </row>
    <row r="43">
      <c r="A43" s="41" t="inlineStr">
        <is>
          <t>PRE-TAX INCOME (EBT)</t>
        </is>
      </c>
      <c r="B43" s="69">
        <f>IFERROR(IF(B10="","",B21-B40),"")</f>
        <v>113653.85714285716</v>
      </c>
      <c r="C43" s="69">
        <f>IFERROR(IF(C10="","",C21-C40),"")</f>
        <v>179224.89839866932</v>
      </c>
      <c r="D43" s="69">
        <f>IFERROR(IF(D10="","",D21-D40),"")</f>
        <v>220883.34378006286</v>
      </c>
      <c r="E43" s="43">
        <f>IFERROR(B43/$B$10,"")</f>
        <v>0.10475009874917711</v>
      </c>
      <c r="F43" s="44" t="n"/>
      <c r="G43" s="44" t="n"/>
      <c r="H43" s="44" t="n"/>
    </row>
    <row r="44">
      <c r="A44" s="44" t="inlineStr">
        <is>
          <t>Net operating losses carried forward (opening)</t>
        </is>
      </c>
      <c r="B44" s="55">
        <f>IFERROR(IF(B10="","",'0. Assumptions'!$B$42),"")</f>
        <v>0.0</v>
      </c>
      <c r="C44" s="55">
        <f>IFERROR(IF(C10="","",B49),"")</f>
        <v>0.0</v>
      </c>
      <c r="D44" s="55">
        <f>IFERROR(IF(D10="","",C49),"")</f>
        <v>0.0</v>
      </c>
      <c r="E44" s="44" t="n"/>
      <c r="F44" s="44" t="inlineStr">
        <is>
          <t>Federal rules let a year's losses offset the profits of later years (the federal limit is 80% of taxable income; this model offsets 100% as a simplification)</t>
        </is>
      </c>
      <c r="G44" s="44" t="n"/>
      <c r="H44" s="44" t="n"/>
    </row>
    <row r="45">
      <c r="A45" s="44" t="inlineStr">
        <is>
          <t>Taxable income (after loss offset)</t>
        </is>
      </c>
      <c r="B45" s="55">
        <f>IFERROR(IF(B10="","",MAX(0,B43-B44)),"")</f>
        <v>113653.85714285716</v>
      </c>
      <c r="C45" s="55">
        <f>IFERROR(IF(C10="","",MAX(0,C43-C44)),"")</f>
        <v>179224.89839866932</v>
      </c>
      <c r="D45" s="55">
        <f>IFERROR(IF(D10="","",MAX(0,D43-D44)),"")</f>
        <v>220883.34378006286</v>
      </c>
      <c r="E45" s="44" t="n"/>
      <c r="F45" s="44" t="n"/>
      <c r="G45" s="44" t="n"/>
      <c r="H45" s="44" t="n"/>
    </row>
    <row r="46">
      <c r="A46" s="44" t="inlineStr">
        <is>
          <t>Years with positive taxable income (cumulative)</t>
        </is>
      </c>
      <c r="B46" s="55">
        <f>IFERROR(IF(B10="","",IF(B45&gt;0,1,0)),"")</f>
        <v>1.0</v>
      </c>
      <c r="C46" s="55">
        <f>IFERROR(IF(C10="","",B46+IF(C45&gt;0,1,0)),"")</f>
        <v>2.0</v>
      </c>
      <c r="D46" s="55">
        <f>IFERROR(IF(D10="","",C46+IF(D45&gt;0,1,0)),"")</f>
        <v>3.0</v>
      </c>
      <c r="E46" s="44" t="n"/>
      <c r="F46" s="44" t="n"/>
      <c r="G46" s="44" t="n"/>
      <c r="H46" s="44" t="n"/>
    </row>
    <row r="47">
      <c r="A47" s="44" t="inlineStr">
        <is>
          <t>Effective income tax rate applied</t>
        </is>
      </c>
      <c r="B47" s="46">
        <f>IFERROR(IF(B10="","",IF(B45&lt;=0,"",IF(B46&lt;=2,'0. Assumptions'!$B$37,'0. Assumptions'!$B$38))),"")</f>
        <v>0.25</v>
      </c>
      <c r="C47" s="46">
        <f>IFERROR(IF(C10="","",IF(C45&lt;=0,"",IF(C46&lt;=2,'0. Assumptions'!$B$37,'0. Assumptions'!$B$38))),"")</f>
        <v>0.25</v>
      </c>
      <c r="D47" s="46">
        <f>IFERROR(IF(D10="","",IF(D45&lt;=0,"",IF(D46&lt;=2,'0. Assumptions'!$B$37,'0. Assumptions'!$B$38))),"")</f>
        <v>0.25</v>
      </c>
      <c r="E47" s="44" t="n"/>
      <c r="F47" s="44" t="inlineStr">
        <is>
          <t>The "years 1-2" rate applies to the first two years with positive taxable income, not to the first two calendar years of the business. The model approximates this by counting the first two profitable years</t>
        </is>
      </c>
      <c r="G47" s="44" t="n"/>
      <c r="H47" s="44" t="n"/>
    </row>
    <row r="48">
      <c r="A48" s="44" t="inlineStr">
        <is>
          <t>Income tax</t>
        </is>
      </c>
      <c r="B48" s="55">
        <f>IFERROR(IF(B10="","",IF(B47="",0,B45*B47)),"")</f>
        <v>28413.46428571429</v>
      </c>
      <c r="C48" s="55">
        <f>IFERROR(IF(C10="","",IF(C47="",0,C45*C47)),"")</f>
        <v>44806.22459966733</v>
      </c>
      <c r="D48" s="55">
        <f>IFERROR(IF(D10="","",IF(D47="",0,D45*D47)),"")</f>
        <v>55220.835945015715</v>
      </c>
      <c r="E48" s="44" t="n"/>
      <c r="F48" s="44" t="n"/>
      <c r="G48" s="44" t="n"/>
      <c r="H48" s="44" t="n"/>
    </row>
    <row r="49">
      <c r="A49" s="44" t="inlineStr">
        <is>
          <t>Net operating losses carried forward (closing)</t>
        </is>
      </c>
      <c r="B49" s="55">
        <f>IFERROR(IF(B10="","",MAX(0,B44-B43)),"")</f>
        <v>0.0</v>
      </c>
      <c r="C49" s="55">
        <f>IFERROR(IF(C10="","",MAX(0,C44-C43)),"")</f>
        <v>0.0</v>
      </c>
      <c r="D49" s="55">
        <f>IFERROR(IF(D10="","",MAX(0,D44-D43)),"")</f>
        <v>0.0</v>
      </c>
      <c r="E49" s="44" t="n"/>
      <c r="F49" s="44" t="n"/>
      <c r="G49" s="44" t="n"/>
      <c r="H49" s="44" t="n"/>
    </row>
    <row r="50">
      <c r="A50" s="41" t="inlineStr">
        <is>
          <t>NET INCOME</t>
        </is>
      </c>
      <c r="B50" s="69">
        <f>IFERROR(IF(B10="","",B43-B48),"")</f>
        <v>85240.39285714287</v>
      </c>
      <c r="C50" s="69">
        <f>IFERROR(IF(C10="","",C43-C48),"")</f>
        <v>134418.673799002</v>
      </c>
      <c r="D50" s="69">
        <f>IFERROR(IF(D10="","",D43-D48),"")</f>
        <v>165662.50783504714</v>
      </c>
      <c r="E50" s="43">
        <f>IFERROR(B50/$B$10,"")</f>
        <v>0.07856257406188283</v>
      </c>
      <c r="F50" s="44" t="n"/>
      <c r="G50" s="44" t="n"/>
      <c r="H50" s="44" t="n"/>
    </row>
    <row r="51">
      <c r="A51" s="41" t="inlineStr">
        <is>
          <t>KEY RATIOS</t>
        </is>
      </c>
      <c r="B51" s="44" t="n"/>
      <c r="C51" s="44" t="n"/>
      <c r="D51" s="44" t="n"/>
      <c r="E51" s="44" t="n"/>
      <c r="F51" s="44" t="n"/>
      <c r="G51" s="44" t="n"/>
      <c r="H51" s="44" t="n"/>
    </row>
    <row r="52">
      <c r="A52" s="41" t="inlineStr">
        <is>
          <t>Ratio</t>
        </is>
      </c>
      <c r="B52" s="41" t="inlineStr">
        <is>
          <t>Year 1</t>
        </is>
      </c>
      <c r="C52" s="41" t="inlineStr">
        <is>
          <t>Year 2</t>
        </is>
      </c>
      <c r="D52" s="41" t="inlineStr">
        <is>
          <t>Year 3</t>
        </is>
      </c>
      <c r="E52" s="41" t="inlineStr">
        <is>
          <t>Threshold</t>
        </is>
      </c>
      <c r="F52" s="41" t="inlineStr">
        <is>
          <t>Comment</t>
        </is>
      </c>
      <c r="G52" s="44" t="n"/>
      <c r="H52" s="44" t="n"/>
    </row>
    <row r="53">
      <c r="A53" s="44" t="inlineStr">
        <is>
          <t>Gross margin / Sales</t>
        </is>
      </c>
      <c r="B53" s="46">
        <f>IFERROR(IF(B10="","",B21/B10),"")</f>
        <v>0.655</v>
      </c>
      <c r="C53" s="46">
        <f>IFERROR(IF(C10="","",C21/C10),"")</f>
        <v>0.655</v>
      </c>
      <c r="D53" s="46">
        <f>IFERROR(IF(D10="","",D21/D10),"")</f>
        <v>0.655</v>
      </c>
      <c r="E53" s="77" t="n">
        <v>0.65</v>
      </c>
      <c r="F53" s="44" t="inlineStr">
        <is>
          <t>Kit benchmark (editable estimate): gross margin of at least 65%. Below it, review your menu prices and recipe costing</t>
        </is>
      </c>
      <c r="G53" s="44" t="n"/>
      <c r="H53" s="44" t="n"/>
    </row>
    <row r="54">
      <c r="A54" s="44" t="inlineStr">
        <is>
          <t>Cost of goods sold (food + beverage)</t>
        </is>
      </c>
      <c r="B54" s="55">
        <f>IFERROR(IF(B10="","",B14+B15),"")</f>
        <v>298375.0</v>
      </c>
      <c r="C54" s="55">
        <f>IFERROR(IF(C10="","",C14+C15),"")</f>
        <v>328212.5</v>
      </c>
      <c r="D54" s="55">
        <f>IFERROR(IF(D10="","",D14+D15),"")</f>
        <v>347905.25</v>
      </c>
      <c r="E54" s="44" t="n"/>
      <c r="F54" s="44" t="n"/>
      <c r="G54" s="44" t="n"/>
      <c r="H54" s="44" t="n"/>
    </row>
    <row r="55">
      <c r="A55" s="44" t="inlineStr">
        <is>
          <t>Cost of goods sold / Sales</t>
        </is>
      </c>
      <c r="B55" s="46">
        <f>IFERROR(IF(B10="","",B54/B10),"")</f>
        <v>0.275</v>
      </c>
      <c r="C55" s="46">
        <f>IFERROR(IF(C10="","",C54/C10),"")</f>
        <v>0.275</v>
      </c>
      <c r="D55" s="46">
        <f>IFERROR(IF(D10="","",D54/D10),"")</f>
        <v>0.275</v>
      </c>
      <c r="E55" s="77" t="n">
        <v>0.32</v>
      </c>
      <c r="F55" s="44" t="inlineStr">
        <is>
          <t>Kit benchmark (editable estimate): cost of goods sold up to 32% of sales, inside the food-cost range of the industry benchmarks table</t>
        </is>
      </c>
      <c r="G55" s="44" t="n"/>
      <c r="H55" s="44" t="n"/>
    </row>
    <row r="56">
      <c r="A56" s="44" t="inlineStr">
        <is>
          <t>Labor cost / Sales</t>
        </is>
      </c>
      <c r="B56" s="46">
        <f>IFERROR(IF(B10="","",B24/B10),"")</f>
        <v>0.3086488479262673</v>
      </c>
      <c r="C56" s="46">
        <f>IFERROR(IF(C10="","",C24/C10),"")</f>
        <v>0.287292836196062</v>
      </c>
      <c r="D56" s="46">
        <f>IFERROR(IF(D10="","",D24/D10),"")</f>
        <v>0.2773545383405396</v>
      </c>
      <c r="E56" s="77" t="n">
        <v>0.35</v>
      </c>
      <c r="F56" s="44" t="inlineStr">
        <is>
          <t>Kit benchmark (editable estimate): labor up to 35% of sales. The industry benchmarks table shows 25-33% for full-service restaurants; this is the ceiling the traffic light applies</t>
        </is>
      </c>
      <c r="G56" s="44" t="n"/>
      <c r="H56" s="44" t="n"/>
    </row>
    <row r="57">
      <c r="A57" s="44" t="inlineStr">
        <is>
          <t>Rent / Sales</t>
        </is>
      </c>
      <c r="B57" s="46">
        <f>IFERROR(IF(B10="","",B23/B10),"")</f>
        <v>0.07741935483870968</v>
      </c>
      <c r="C57" s="46">
        <f>IFERROR(IF(C10="","",C23/C10),"")</f>
        <v>0.07038123167155426</v>
      </c>
      <c r="D57" s="46">
        <f>IFERROR(IF(D10="","",D23/D10),"")</f>
        <v>0.0663973883693908</v>
      </c>
      <c r="E57" s="77" t="n">
        <v>0.1</v>
      </c>
      <c r="F57" s="44" t="inlineStr">
        <is>
          <t>Kit benchmark (editable estimate): rent up to 10% of sales</t>
        </is>
      </c>
      <c r="G57" s="44" t="n"/>
      <c r="H57" s="44" t="n"/>
    </row>
    <row r="58">
      <c r="A58" s="44" t="inlineStr">
        <is>
          <t>Net income / Sales</t>
        </is>
      </c>
      <c r="B58" s="46">
        <f>IFERROR(IF(B10="","",B50/B10),"")</f>
        <v>0.07856257406188283</v>
      </c>
      <c r="C58" s="46">
        <f>IFERROR(IF(C10="","",C50/C10),"")</f>
        <v>0.11262561692417426</v>
      </c>
      <c r="D58" s="46">
        <f>IFERROR(IF(D10="","",D50/D10),"")</f>
        <v>0.130947117511558</v>
      </c>
      <c r="E58" s="77" t="n">
        <v>0.05</v>
      </c>
      <c r="F58" s="44" t="inlineStr">
        <is>
          <t>Kit benchmark (editable estimate): net margin of at least 5% of sales</t>
        </is>
      </c>
      <c r="G58" s="44" t="n"/>
      <c r="H58" s="44" t="n"/>
    </row>
    <row r="59">
      <c r="A59" s="44" t="inlineStr">
        <is>
          <t>Break-even reached</t>
        </is>
      </c>
      <c r="B59" s="44" t="str">
        <f>IFERROR(IF(B10="","",IF(B10&gt;='3. Break-Even'!$B$17,"Yes","No")),"")</f>
        <v>Yes</v>
      </c>
      <c r="C59" s="44" t="str">
        <f>IFERROR(IF(C10="","",IF(C10&gt;='3. Break-Even'!$C$17,"Yes","No")),"")</f>
        <v>Yes</v>
      </c>
      <c r="D59" s="44" t="str">
        <f>IFERROR(IF(D10="","",IF(D10&gt;='3. Break-Even'!$D$17,"Yes","No")),"")</f>
        <v>Yes</v>
      </c>
      <c r="E59" s="44" t="n"/>
      <c r="F59" s="44" t="inlineStr">
        <is>
          <t>Compares each year's sales with that same year's threshold, which the Break-Even tab calculates with that year's fixed costs</t>
        </is>
      </c>
      <c r="G59" s="44" t="n"/>
      <c r="H59" s="44" t="n"/>
    </row>
    <row r="60">
      <c r="A60" s="44" t="n"/>
      <c r="B60" s="44" t="n"/>
      <c r="C60" s="44" t="n"/>
      <c r="D60" s="44" t="n"/>
      <c r="E60" s="44" t="n"/>
      <c r="F60" s="44" t="n"/>
      <c r="G60" s="44" t="n"/>
      <c r="H60" s="44" t="n"/>
    </row>
    <row r="61" ht="165" customHeight="1">
      <c r="A61" s="63"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61" s="44" t="n"/>
      <c r="C61" s="44" t="n"/>
      <c r="D61" s="44" t="n"/>
      <c r="E61" s="44" t="n"/>
      <c r="F61" s="44" t="n"/>
      <c r="G61" s="44" t="n"/>
      <c r="H61" s="44" t="n"/>
    </row>
    <row r="62">
      <c r="A62" s="44" t="inlineStr">
        <is>
          <t>AI Chef Pro · aichef.pro/en/digital-products/restaurant-business-plan</t>
        </is>
      </c>
      <c r="B62" s="44" t="n"/>
      <c r="C62" s="44" t="n"/>
      <c r="D62" s="44" t="n"/>
      <c r="E62" s="44" t="n"/>
      <c r="F62" s="44" t="n"/>
      <c r="G62" s="44" t="n"/>
      <c r="H62"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1:D1"/>
    <mergeCell ref="A3:D3"/>
    <mergeCell ref="A2:D2"/>
  </mergeCells>
  <conditionalFormatting sqref="B53:D53">
    <cfRule type="expression" priority="1" dxfId="1" stopIfTrue="1">
      <formula>AND(ISNUMBER(B53),B53&lt;$E$53)</formula>
    </cfRule>
    <cfRule type="expression" priority="2" dxfId="0" stopIfTrue="1">
      <formula>AND(ISNUMBER(B53),B53&gt;=$E$53)</formula>
    </cfRule>
  </conditionalFormatting>
  <conditionalFormatting sqref="B55:D55">
    <cfRule type="expression" priority="3" dxfId="1" stopIfTrue="1">
      <formula>AND(ISNUMBER(B55),B55&gt;$E$55)</formula>
    </cfRule>
    <cfRule type="expression" priority="4" dxfId="0" stopIfTrue="1">
      <formula>AND(ISNUMBER(B55),B55&lt;=$E$55)</formula>
    </cfRule>
  </conditionalFormatting>
  <conditionalFormatting sqref="B56:D56">
    <cfRule type="expression" priority="5" dxfId="1" stopIfTrue="1">
      <formula>AND(ISNUMBER(B56),B56&gt;$E$56)</formula>
    </cfRule>
    <cfRule type="expression" priority="6" dxfId="0" stopIfTrue="1">
      <formula>AND(ISNUMBER(B56),B56&lt;=$E$56)</formula>
    </cfRule>
  </conditionalFormatting>
  <conditionalFormatting sqref="B57:D57">
    <cfRule type="expression" priority="7" dxfId="1" stopIfTrue="1">
      <formula>AND(ISNUMBER(B57),B57&gt;$E$57)</formula>
    </cfRule>
    <cfRule type="expression" priority="8" dxfId="0" stopIfTrue="1">
      <formula>AND(ISNUMBER(B57),B57&lt;=$E$57)</formula>
    </cfRule>
  </conditionalFormatting>
  <conditionalFormatting sqref="B58:D58">
    <cfRule type="expression" priority="9" dxfId="1" stopIfTrue="1">
      <formula>AND(ISNUMBER(B58),B58&lt;$E$58)</formula>
    </cfRule>
    <cfRule type="expression" priority="10" dxfId="0" stopIfTrue="1">
      <formula>AND(ISNUMBER(B58),B58&gt;=$E$58)</formula>
    </cfRule>
  </conditionalFormatting>
  <conditionalFormatting sqref="B59:D59">
    <cfRule type="containsText" priority="11" operator="containsText" dxfId="0" stopIfTrue="1" text="Yes">
      <formula>NOT(ISERROR(SEARCH("Yes",B59)))</formula>
    </cfRule>
    <cfRule type="containsText" priority="12" operator="containsText" dxfId="1" stopIfTrue="1" text="No">
      <formula>NOT(ISERROR(SEARCH("No",B59)))</formula>
    </cfRule>
  </conditionalFormatting>
  <conditionalFormatting sqref="B43:E43">
    <cfRule type="expression" priority="13" dxfId="1" stopIfTrue="1">
      <formula>AND(ISNUMBER(B43),B43&lt;0)</formula>
    </cfRule>
    <cfRule type="expression" priority="14" dxfId="0" stopIfTrue="1">
      <formula>AND(ISNUMBER(B43),B43&gt;0)</formula>
    </cfRule>
  </conditionalFormatting>
  <conditionalFormatting sqref="B50:E50">
    <cfRule type="expression" priority="15" dxfId="1" stopIfTrue="1">
      <formula>AND(ISNUMBER(B50),B50&lt;0)</formula>
    </cfRule>
    <cfRule type="expression" priority="16" dxfId="0" stopIfTrue="1">
      <formula>AND(ISNUMBER(B50),B50&gt;0)</formula>
    </cfRule>
  </conditionalFormatting>
  <conditionalFormatting sqref="B58:E58">
    <cfRule type="expression" priority="17" dxfId="1" stopIfTrue="1">
      <formula>AND(ISNUMBER(B58),B58&lt;0)</formula>
    </cfRule>
    <cfRule type="expression" priority="18" dxfId="0" stopIfTrue="1">
      <formula>AND(ISNUMBER(B58),B58&gt;0)</formula>
    </cfRule>
  </conditionalFormatting>
  <dataValidations count="2">
    <dataValidation sqref="B27 B28 B29 B30 B31 B32 B33 B34 B35 B36 B37" showDropDown="0" showInputMessage="0" showErrorMessage="1" allowBlank="1" errorTitle="Invalid amount" error="Enter a number greater than or equal to 0." type="decimal" operator="greaterThanOrEqual">
      <formula1>0</formula1>
    </dataValidation>
    <dataValidation sqref="E53 E55 E56 E57 E58"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81"/>
  <sheetViews>
    <sheetView workbookViewId="0">
      <pane ySplit="5" topLeftCell="A6" activePane="bottomLeft" state="frozen"/>
      <selection pane="bottomLeft" activeCell="A1" sqref="A1"/>
    </sheetView>
  </sheetViews>
  <sheetFormatPr baseColWidth="8" defaultRowHeight="15"/>
  <cols>
    <col width="44" customWidth="1" min="1" max="1"/>
    <col width="18" customWidth="1" min="2" max="2"/>
    <col width="36" customWidth="1" min="3" max="3"/>
    <col width="16" customWidth="1" min="4" max="4"/>
    <col width="52" customWidth="1" min="5" max="5"/>
    <col width="14" customWidth="1" min="6" max="6"/>
  </cols>
  <sheetData>
    <row r="1" ht="32" customHeight="1">
      <c r="A1" s="1" t="inlineStr">
        <is>
          <t>AI Chef Pro</t>
        </is>
      </c>
    </row>
    <row r="2" ht="30" customHeight="1">
      <c r="A2" s="53" t="inlineStr">
        <is>
          <t>Break-Even Analysis — Restaurant &amp; Bar</t>
        </is>
      </c>
    </row>
    <row r="3" ht="30" customHeight="1">
      <c r="A3" s="40" t="inlineStr">
        <is>
          <t>Restaurant Business Plan: Casual Restaurant &amp; Bar — US example (2026)</t>
        </is>
      </c>
    </row>
    <row r="5">
      <c r="A5" s="41" t="inlineStr">
        <is>
          <t>Variable</t>
        </is>
      </c>
      <c r="B5" s="41" t="inlineStr">
        <is>
          <t>Year 1</t>
        </is>
      </c>
      <c r="C5" s="41" t="inlineStr">
        <is>
          <t>Year 2</t>
        </is>
      </c>
      <c r="D5" s="41" t="inlineStr">
        <is>
          <t>Year 3</t>
        </is>
      </c>
      <c r="E5" s="41" t="inlineStr">
        <is>
          <t>Notes</t>
        </is>
      </c>
      <c r="F5" s="44" t="n"/>
    </row>
    <row r="6">
      <c r="A6" s="41" t="inlineStr">
        <is>
          <t>BASE DATA BY YEAR</t>
        </is>
      </c>
      <c r="B6" s="44" t="n"/>
      <c r="C6" s="44" t="n"/>
      <c r="D6" s="44" t="n"/>
      <c r="E6" s="44" t="n"/>
      <c r="F6" s="44" t="n"/>
    </row>
    <row r="7">
      <c r="A7" s="44" t="inlineStr">
        <is>
          <t>Annual fixed costs</t>
        </is>
      </c>
      <c r="B7" s="78">
        <f>IFERROR(IF('2. 3-Year P&amp;L'!$B$10="","",'2. 3-Year P&amp;L'!$B$40),"")</f>
        <v>597021.1428571428</v>
      </c>
      <c r="C7" s="78">
        <f>IFERROR(IF('2. 3-Year P&amp;L'!$C$10="","",'2. 3-Year P&amp;L'!$C$40),"")</f>
        <v>602517.6016013307</v>
      </c>
      <c r="D7" s="78">
        <f>IFERROR(IF('2. 3-Year P&amp;L'!$D$10="","",'2. 3-Year P&amp;L'!$D$40),"")</f>
        <v>607763.7062199372</v>
      </c>
      <c r="E7" s="44" t="inlineStr">
        <is>
          <t>The SAME fixed costs as the P&amp;L. Each year has its own, which is why the threshold cannot be a single one for all three years</t>
        </is>
      </c>
      <c r="F7" s="44" t="n"/>
    </row>
    <row r="8">
      <c r="A8" s="44" t="inlineStr">
        <is>
          <t>Monthly fixed costs</t>
        </is>
      </c>
      <c r="B8" s="78">
        <f>IFERROR(IF('2. 3-Year P&amp;L'!$B$10="","",B7/12),"")</f>
        <v>49751.7619047619</v>
      </c>
      <c r="C8" s="78">
        <f>IFERROR(IF('2. 3-Year P&amp;L'!$C$10="","",C7/12),"")</f>
        <v>50209.80013344422</v>
      </c>
      <c r="D8" s="78">
        <f>IFERROR(IF('2. 3-Year P&amp;L'!$D$10="","",D7/12),"")</f>
        <v>50646.9755183281</v>
      </c>
      <c r="E8" s="44" t="n"/>
      <c r="F8" s="44" t="n"/>
    </row>
    <row r="9">
      <c r="A9" s="44" t="inlineStr">
        <is>
          <t>Average check (excl. sales tax)</t>
        </is>
      </c>
      <c r="B9" s="78">
        <f>IFERROR(IF('2. 3-Year P&amp;L'!$B$10="","",'2. 3-Year P&amp;L'!$B$8),"")</f>
        <v>28.0</v>
      </c>
      <c r="C9" s="78">
        <f>IFERROR(IF('2. 3-Year P&amp;L'!$C$10="","",'2. 3-Year P&amp;L'!$C$8),"")</f>
        <v>28.0</v>
      </c>
      <c r="D9" s="78">
        <f>IFERROR(IF('2. 3-Year P&amp;L'!$D$10="","",'2. 3-Year P&amp;L'!$D$8),"")</f>
        <v>28.0</v>
      </c>
      <c r="E9" s="44" t="n"/>
      <c r="F9" s="44" t="n"/>
    </row>
    <row r="10">
      <c r="A10" s="44" t="inlineStr">
        <is>
          <t>Variable cost per cover</t>
        </is>
      </c>
      <c r="B10" s="78">
        <f>IFERROR(IF('2. 3-Year P&amp;L'!$B$10="","",'2. 3-Year P&amp;L'!$B$20/('2. 3-Year P&amp;L'!$B$7*'2. 3-Year P&amp;L'!$B$9)),"")</f>
        <v>9.66</v>
      </c>
      <c r="C10" s="78">
        <f>IFERROR(IF('2. 3-Year P&amp;L'!$C$10="","",'2. 3-Year P&amp;L'!$C$20/('2. 3-Year P&amp;L'!$C$7*'2. 3-Year P&amp;L'!$C$9)),"")</f>
        <v>9.66</v>
      </c>
      <c r="D10" s="78">
        <f>IFERROR(IF('2. 3-Year P&amp;L'!$D$10="","",'2. 3-Year P&amp;L'!$D$20/('2. 3-Year P&amp;L'!$D$7*'2. 3-Year P&amp;L'!$D$9)),"")</f>
        <v>9.66</v>
      </c>
      <c r="E10" s="44" t="inlineStr">
        <is>
          <t>Comes from the P&amp;L total variable costs, not from a separate estimate. It includes miscellaneous and contingency, which is a percentage of sales</t>
        </is>
      </c>
      <c r="F10" s="44" t="n"/>
    </row>
    <row r="11">
      <c r="A11" s="44" t="inlineStr">
        <is>
          <t>Contribution margin per cover</t>
        </is>
      </c>
      <c r="B11" s="78">
        <f>IFERROR(IF('2. 3-Year P&amp;L'!$B$10="","",B9-B10),"")</f>
        <v>18.34</v>
      </c>
      <c r="C11" s="78">
        <f>IFERROR(IF('2. 3-Year P&amp;L'!$C$10="","",C9-C10),"")</f>
        <v>18.34</v>
      </c>
      <c r="D11" s="78">
        <f>IFERROR(IF('2. 3-Year P&amp;L'!$D$10="","",D9-D10),"")</f>
        <v>18.34</v>
      </c>
      <c r="E11" s="44" t="inlineStr">
        <is>
          <t>Average check minus unit variable cost</t>
        </is>
      </c>
      <c r="F11" s="44" t="n"/>
    </row>
    <row r="12">
      <c r="A12" s="44" t="inlineStr">
        <is>
          <t>Operating days per year</t>
        </is>
      </c>
      <c r="B12" s="55">
        <f>IFERROR(IF('2. 3-Year P&amp;L'!$B$10="","",'2. 3-Year P&amp;L'!$B$9),"")</f>
        <v>310.0</v>
      </c>
      <c r="C12" s="55">
        <f>IFERROR(IF('2. 3-Year P&amp;L'!$C$10="","",'2. 3-Year P&amp;L'!$C$9),"")</f>
        <v>310.0</v>
      </c>
      <c r="D12" s="55">
        <f>IFERROR(IF('2. 3-Year P&amp;L'!$D$10="","",'2. 3-Year P&amp;L'!$D$9),"")</f>
        <v>310.0</v>
      </c>
      <c r="E12" s="44" t="inlineStr">
        <is>
          <t>The same calendar as the P&amp;L and the scenarios</t>
        </is>
      </c>
      <c r="F12" s="44" t="n"/>
    </row>
    <row r="13">
      <c r="A13" s="44" t="inlineStr">
        <is>
          <t>Principal repaid in the year</t>
        </is>
      </c>
      <c r="B13" s="78">
        <f>IFERROR(IF('2. 3-Year P&amp;L'!$B$10="","",'7. Financing'!$B$45),"")</f>
        <v>25035.412558122094</v>
      </c>
      <c r="C13" s="78">
        <f>IFERROR(IF('2. 3-Year P&amp;L'!$C$10="","",'7. Financing'!$B$47),"")</f>
        <v>27538.9538139343</v>
      </c>
      <c r="D13" s="78">
        <f>IFERROR(IF('2. 3-Year P&amp;L'!$D$10="","",'7. Financing'!$B$49),"")</f>
        <v>30292.849195327726</v>
      </c>
      <c r="E13" s="44" t="inlineStr">
        <is>
          <t>Principal is NOT a P&amp;L expense, but it leaves the cash account. Without it, the published break-even threshold would sit below the real one</t>
        </is>
      </c>
      <c r="F13" s="44" t="n"/>
    </row>
    <row r="14">
      <c r="A14" s="41" t="inlineStr">
        <is>
          <t>ACCOUNTING BREAK-EVEN (includes depreciation)</t>
        </is>
      </c>
      <c r="B14" s="44" t="n"/>
      <c r="C14" s="44" t="n"/>
      <c r="D14" s="44" t="n"/>
      <c r="E14" s="44" t="n"/>
      <c r="F14" s="44" t="n"/>
    </row>
    <row r="15">
      <c r="A15" s="44" t="inlineStr">
        <is>
          <t>Covers needed per year</t>
        </is>
      </c>
      <c r="B15" s="55">
        <f>IFERROR(IF('2. 3-Year P&amp;L'!$B$10="","",IF(B11&lt;=0,"",B7/B11)),"")</f>
        <v>32552.952173235706</v>
      </c>
      <c r="C15" s="55">
        <f>IFERROR(IF('2. 3-Year P&amp;L'!$C$10="","",IF(C11&lt;=0,"",C7/C11)),"")</f>
        <v>32852.65003278793</v>
      </c>
      <c r="D15" s="55">
        <f>IFERROR(IF('2. 3-Year P&amp;L'!$D$10="","",IF(D11&lt;=0,"",D7/D11)),"")</f>
        <v>33138.6971766596</v>
      </c>
      <c r="E15" s="44" t="n"/>
      <c r="F15" s="44" t="n"/>
    </row>
    <row r="16">
      <c r="A16" s="44" t="inlineStr">
        <is>
          <t>Covers needed per day</t>
        </is>
      </c>
      <c r="B16" s="60">
        <f>IFERROR(IF('2. 3-Year P&amp;L'!$B$10="","",B15/B12),"")</f>
        <v>105.00952313947002</v>
      </c>
      <c r="C16" s="60">
        <f>IFERROR(IF('2. 3-Year P&amp;L'!$C$10="","",C15/C12),"")</f>
        <v>105.97629042834816</v>
      </c>
      <c r="D16" s="60">
        <f>IFERROR(IF('2. 3-Year P&amp;L'!$D$10="","",D15/D12),"")</f>
        <v>106.89902315051485</v>
      </c>
      <c r="E16" s="44" t="n"/>
      <c r="F16" s="44" t="n"/>
    </row>
    <row r="17">
      <c r="A17" s="41" t="inlineStr">
        <is>
          <t>Revenue needed per year</t>
        </is>
      </c>
      <c r="B17" s="69">
        <f>IFERROR(IF('2. 3-Year P&amp;L'!$B$10="","",B15*B9),"")</f>
        <v>911482.6608505998</v>
      </c>
      <c r="C17" s="69">
        <f>IFERROR(IF('2. 3-Year P&amp;L'!$C$10="","",C15*C9),"")</f>
        <v>919874.2009180621</v>
      </c>
      <c r="D17" s="69">
        <f>IFERROR(IF('2. 3-Year P&amp;L'!$D$10="","",D15*D9),"")</f>
        <v>927883.5209464689</v>
      </c>
      <c r="E17" s="44" t="n"/>
      <c r="F17" s="44" t="n"/>
    </row>
    <row r="18">
      <c r="A18" s="41" t="inlineStr">
        <is>
          <t>CASH BREAK-EVEN (loan payments in, depreciation out)</t>
        </is>
      </c>
      <c r="B18" s="44" t="n"/>
      <c r="C18" s="44" t="n"/>
      <c r="D18" s="44" t="n"/>
      <c r="E18" s="44" t="n"/>
      <c r="F18" s="44" t="n"/>
    </row>
    <row r="19">
      <c r="A19" s="44" t="inlineStr">
        <is>
          <t>Cash fixed costs + principal repaid for the year</t>
        </is>
      </c>
      <c r="B19" s="78">
        <f>IFERROR(IF('2. 3-Year P&amp;L'!$B$10="","",B7-'2. 3-Year P&amp;L'!$B$38+B13),"")</f>
        <v>585019.4125581221</v>
      </c>
      <c r="C19" s="78">
        <f>IFERROR(IF('2. 3-Year P&amp;L'!$C$10="","",C7-'2. 3-Year P&amp;L'!$C$38+C13),"")</f>
        <v>593019.4125581222</v>
      </c>
      <c r="D19" s="78">
        <f>IFERROR(IF('2. 3-Year P&amp;L'!$D$10="","",D7-'2. 3-Year P&amp;L'!$D$38+D13),"")</f>
        <v>601019.4125581221</v>
      </c>
      <c r="E19" s="44" t="inlineStr">
        <is>
          <t>The P&amp;L fixed costs without depreciation (which is not paid in cash) and WITH principal repaid (which is). This is the threshold that decides whether cash holds up</t>
        </is>
      </c>
      <c r="F19" s="44" t="n"/>
    </row>
    <row r="20">
      <c r="A20" s="44" t="inlineStr">
        <is>
          <t>Covers needed per year (cash)</t>
        </is>
      </c>
      <c r="B20" s="55">
        <f>IFERROR(IF('2. 3-Year P&amp;L'!$B$10="","",IF(B11&lt;=0,"",B19/B11)),"")</f>
        <v>31898.550303060092</v>
      </c>
      <c r="C20" s="55">
        <f>IFERROR(IF('2. 3-Year P&amp;L'!$C$10="","",IF(C11&lt;=0,"",C19/C11)),"")</f>
        <v>32334.755319417785</v>
      </c>
      <c r="D20" s="55">
        <f>IFERROR(IF('2. 3-Year P&amp;L'!$D$10="","",IF(D11&lt;=0,"",D19/D11)),"")</f>
        <v>32770.96033577547</v>
      </c>
      <c r="E20" s="44" t="n"/>
      <c r="F20" s="44" t="n"/>
    </row>
    <row r="21">
      <c r="A21" s="41" t="inlineStr">
        <is>
          <t>Covers needed per day (cash)</t>
        </is>
      </c>
      <c r="B21" s="61">
        <f>IFERROR(IF('2. 3-Year P&amp;L'!$B$10="","",B20/B12),"")</f>
        <v>102.89854936470998</v>
      </c>
      <c r="C21" s="61">
        <f>IFERROR(IF('2. 3-Year P&amp;L'!$C$10="","",C20/C12),"")</f>
        <v>104.30566232070254</v>
      </c>
      <c r="D21" s="61">
        <f>IFERROR(IF('2. 3-Year P&amp;L'!$D$10="","",D20/D12),"")</f>
        <v>105.71277527669506</v>
      </c>
      <c r="E21" s="44" t="n"/>
      <c r="F21" s="44" t="n"/>
    </row>
    <row r="22">
      <c r="A22" s="44" t="inlineStr">
        <is>
          <t>Revenue needed per year (cash)</t>
        </is>
      </c>
      <c r="B22" s="55">
        <f>IFERROR(IF('2. 3-Year P&amp;L'!$B$10="","",B20*B9),"")</f>
        <v>893159.4084856826</v>
      </c>
      <c r="C22" s="55">
        <f>IFERROR(IF('2. 3-Year P&amp;L'!$C$10="","",C20*C9),"")</f>
        <v>905373.148943698</v>
      </c>
      <c r="D22" s="55">
        <f>IFERROR(IF('2. 3-Year P&amp;L'!$D$10="","",D20*D9),"")</f>
        <v>917586.8894017132</v>
      </c>
      <c r="E22" s="44" t="n"/>
      <c r="F22" s="44" t="n"/>
    </row>
    <row r="23">
      <c r="A23" s="41" t="inlineStr">
        <is>
          <t>COMPARISON WITH THE PLAN</t>
        </is>
      </c>
      <c r="B23" s="44" t="n"/>
      <c r="C23" s="44" t="n"/>
      <c r="D23" s="44" t="n"/>
      <c r="E23" s="44" t="n"/>
      <c r="F23" s="44" t="n"/>
    </row>
    <row r="24">
      <c r="A24" s="44" t="inlineStr">
        <is>
          <t>Covers per day forecast in the plan</t>
        </is>
      </c>
      <c r="B24" s="55">
        <f>IFERROR(IF('2. 3-Year P&amp;L'!$B$10="","",'2. 3-Year P&amp;L'!$B$7),"")</f>
        <v>125.0</v>
      </c>
      <c r="C24" s="55">
        <f>IFERROR(IF('2. 3-Year P&amp;L'!$C$10="","",'2. 3-Year P&amp;L'!$C$7),"")</f>
        <v>137.5</v>
      </c>
      <c r="D24" s="55">
        <f>IFERROR(IF('2. 3-Year P&amp;L'!$D$10="","",'2. 3-Year P&amp;L'!$D$7),"")</f>
        <v>145.75</v>
      </c>
      <c r="E24" s="44" t="n"/>
      <c r="F24" s="44" t="n"/>
    </row>
    <row r="25">
      <c r="A25" s="44" t="inlineStr">
        <is>
          <t>Cushion above CASH break-even (%)</t>
        </is>
      </c>
      <c r="B25" s="46">
        <f>IFERROR(IF('2. 3-Year P&amp;L'!$B$10="","",B24/B21-1),"")</f>
        <v>0.21478874844925588</v>
      </c>
      <c r="C25" s="46">
        <f>IFERROR(IF('2. 3-Year P&amp;L'!$C$10="","",C24/C21-1),"")</f>
        <v>0.3182409942159876</v>
      </c>
      <c r="D25" s="46">
        <f>IFERROR(IF('2. 3-Year P&amp;L'!$D$10="","",D24/D21-1),"")</f>
        <v>0.3787359154890275</v>
      </c>
      <c r="E25" s="44" t="inlineStr">
        <is>
          <t>How far you can fall before you cannot pay the fixed costs and the loan payment. The required minimum is set in the "0. Assumptions" tab</t>
        </is>
      </c>
      <c r="F25" s="44" t="n"/>
    </row>
    <row r="26">
      <c r="A26" s="44" t="inlineStr">
        <is>
          <t>Maximum seat turns per day the space allows</t>
        </is>
      </c>
      <c r="B26" s="62" t="n">
        <v>3</v>
      </c>
      <c r="C26" s="44" t="n"/>
      <c r="D26" s="44" t="n"/>
      <c r="E26" s="44" t="inlineStr">
        <is>
          <t>Full table services per seat per day that your opening hours allow. It is the physical ceiling of the space, not a target</t>
        </is>
      </c>
      <c r="F26" s="44" t="n"/>
    </row>
    <row r="27">
      <c r="A27" s="44" t="inlineStr">
        <is>
          <t>Seat turns per day that the cash break-even requires</t>
        </is>
      </c>
      <c r="B27" s="60">
        <f>IFERROR(IF('2. 3-Year P&amp;L'!$B$10="","",B21/'0. Assumptions'!$B$51),"")</f>
        <v>1.513213961245735</v>
      </c>
      <c r="C27" s="60">
        <f>IFERROR(IF('2. 3-Year P&amp;L'!$C$10="","",C21/'0. Assumptions'!$B$51),"")</f>
        <v>1.5339067988338608</v>
      </c>
      <c r="D27" s="60">
        <f>IFERROR(IF('2. 3-Year P&amp;L'!$D$10="","",D21/'0. Assumptions'!$B$51),"")</f>
        <v>1.554599636421986</v>
      </c>
      <c r="E27" s="44" t="inlineStr">
        <is>
          <t>Break-even covers spread across the seats declared on the "0. Assumptions" tab. If it is above the ceiling in the row above, the break-even is out of reach for the space</t>
        </is>
      </c>
      <c r="F27" s="44" t="n"/>
    </row>
    <row r="28">
      <c r="A28" s="41" t="inlineStr">
        <is>
          <t>INTERPRETATION</t>
        </is>
      </c>
      <c r="B28" s="44" t="n"/>
      <c r="C28" s="44" t="n"/>
      <c r="D28" s="44" t="n"/>
      <c r="E28" s="44" t="n"/>
      <c r="F28" s="44" t="n"/>
    </row>
    <row r="29" ht="46" customHeight="1">
      <c r="A29" s="44" t="str">
        <f>IFERROR("With the average check excl. sales tax above, you need "&amp;TEXT(ROUNDUP(B16,0),"0")&amp;" covers a day over your "&amp;TEXT(B12,"0")&amp;" opening days to avoid losing money (accounting break-even, depreciation included), and "&amp;TEXT(ROUNDUP(B21,0),"0")&amp;" for cash to hold (cash break-even: depreciation out, because it is not paid, and the year's loan payment in"&amp;IF(B13=0,"; no principal is repaid this year (interest-only period or no loan)","")&amp;"). The ""Revenue needed per year"" rows show the same figures in your currency.","")</f>
        <v>With the average check excl. sales tax above, you need 106 covers a day over your 310 opening days to avoid losing money (accounting break-even, depreciation included), and 103 for cash to hold (cash break-even: depreciation out, because it is not paid, and the year's loan payment in). The "Revenue needed per year" rows show the same figures in your currency.</v>
      </c>
      <c r="B29" s="44" t="n"/>
      <c r="C29" s="44" t="n"/>
      <c r="D29" s="44" t="n"/>
      <c r="E29" s="44" t="n"/>
      <c r="F29" s="44" t="n"/>
    </row>
    <row r="30">
      <c r="A30" s="44" t="n"/>
      <c r="B30" s="44" t="n"/>
      <c r="C30" s="44" t="n"/>
      <c r="D30" s="44" t="n"/>
      <c r="E30" s="44" t="n"/>
      <c r="F30" s="44" t="n"/>
    </row>
    <row r="31">
      <c r="A31" s="41" t="inlineStr">
        <is>
          <t>BREAK-EVEN SENSITIVITY</t>
        </is>
      </c>
      <c r="B31" s="44" t="n"/>
      <c r="C31" s="44" t="n"/>
      <c r="D31" s="44" t="n"/>
      <c r="E31" s="44" t="n"/>
      <c r="F31" s="44" t="n"/>
    </row>
    <row r="32" ht="75" customHeight="1">
      <c r="A32" s="63" t="inlineStr">
        <is>
          <t>Covers per day needed to cover costs for each average check (columns) and each variable cost per cover (rows). Green cells are below the covers per day the plan forecasts.</t>
        </is>
      </c>
      <c r="B32" s="44" t="n"/>
      <c r="C32" s="44" t="n"/>
      <c r="D32" s="44" t="n"/>
      <c r="E32" s="44" t="n"/>
      <c r="F32" s="44" t="n"/>
    </row>
    <row r="33">
      <c r="A33" s="44" t="n"/>
      <c r="B33" s="44" t="n"/>
      <c r="C33" s="44" t="n"/>
      <c r="D33" s="44" t="n"/>
      <c r="E33" s="44" t="n"/>
      <c r="F33" s="44" t="n"/>
    </row>
    <row r="34" ht="45" customHeight="1">
      <c r="A34" s="54" t="inlineStr">
        <is>
          <t>Covers per day needed: average check excl. sales tax (columns) × variable cost per cover (rows)</t>
        </is>
      </c>
      <c r="B34" s="70">
        <f>IFERROR($B$9-2,"")</f>
        <v>26.0</v>
      </c>
      <c r="C34" s="70">
        <f>IFERROR(IF($B$9="","",$B$9),"")</f>
        <v>28.0</v>
      </c>
      <c r="D34" s="70">
        <f>IFERROR($B$9+2,"")</f>
        <v>30.0</v>
      </c>
      <c r="E34" s="70">
        <f>IFERROR($B$9+4,"")</f>
        <v>32.0</v>
      </c>
      <c r="F34" s="44" t="n"/>
    </row>
    <row r="35">
      <c r="A35" s="78">
        <f>IFERROR($B$10*0.85,"")</f>
        <v>8.211</v>
      </c>
      <c r="B35" s="60">
        <f>IFERROR(IF($B$34-$A35&lt;=0,"",$B$7/($B$34-$A35)/$B$12),"")</f>
        <v>108.26210885254258</v>
      </c>
      <c r="C35" s="60">
        <f>IFERROR(IF($C$34-$A35&lt;=0,"",$B$7/($C$34-$A35)/$B$12),"")</f>
        <v>97.32046360997929</v>
      </c>
      <c r="D35" s="60">
        <f>IFERROR(IF($D$34-$A35&lt;=0,"",$B$7/($D$34-$A35)/$B$12),"")</f>
        <v>88.38747323777503</v>
      </c>
      <c r="E35" s="60">
        <f>IFERROR(IF($E$34-$A35&lt;=0,"",$B$7/($E$34-$A35)/$B$12),"")</f>
        <v>80.95652000411451</v>
      </c>
      <c r="F35" s="44" t="n"/>
    </row>
    <row r="36">
      <c r="A36" s="78">
        <f>IFERROR($B$10*0.925,"")</f>
        <v>8.935500000000001</v>
      </c>
      <c r="B36" s="60">
        <f>IFERROR(IF($B$34-$A36&lt;=0,"",$B$7/($B$34-$A36)/$B$12),"")</f>
        <v>112.85854577502302</v>
      </c>
      <c r="C36" s="60">
        <f>IFERROR(IF($C$34-$A36&lt;=0,"",$B$7/($C$34-$A36)/$B$12),"")</f>
        <v>101.01889136236882</v>
      </c>
      <c r="D36" s="60">
        <f>IFERROR(IF($D$34-$A36&lt;=0,"",$B$7/($D$34-$A36)/$B$12),"")</f>
        <v>91.42750382766647</v>
      </c>
      <c r="E36" s="60">
        <f>IFERROR(IF($E$34-$A36&lt;=0,"",$B$7/($E$34-$A36)/$B$12),"")</f>
        <v>83.49951893073252</v>
      </c>
      <c r="F36" s="44" t="n"/>
    </row>
    <row r="37">
      <c r="A37" s="78">
        <f>IFERROR($B$10*1.0,"")</f>
        <v>9.66</v>
      </c>
      <c r="B37" s="60">
        <f>IFERROR(IF($B$34-$A37&lt;=0,"",$B$7/($B$34-$A37)/$B$12),"")</f>
        <v>117.86258594723868</v>
      </c>
      <c r="C37" s="60">
        <f>IFERROR(IF($C$34-$A37&lt;=0,"",$B$7/($C$34-$A37)/$B$12),"")</f>
        <v>105.00952313947002</v>
      </c>
      <c r="D37" s="60">
        <f>IFERROR(IF($D$34-$A37&lt;=0,"",$B$7/($D$34-$A37)/$B$12),"")</f>
        <v>94.68410296843068</v>
      </c>
      <c r="E37" s="60">
        <f>IFERROR(IF($E$34-$A37&lt;=0,"",$B$7/($E$34-$A37)/$B$12),"")</f>
        <v>86.20745990948434</v>
      </c>
      <c r="F37" s="44" t="n"/>
    </row>
    <row r="38">
      <c r="A38" s="78">
        <f>IFERROR($B$10*1.075,"")</f>
        <v>10.3845</v>
      </c>
      <c r="B38" s="60">
        <f>IFERROR(IF($B$34-$A38&lt;=0,"",$B$7/($B$34-$A38)/$B$12),"")</f>
        <v>123.33096310575263</v>
      </c>
      <c r="C38" s="60">
        <f>IFERROR(IF($C$34-$A38&lt;=0,"",$B$7/($C$34-$A38)/$B$12),"")</f>
        <v>109.32841272617185</v>
      </c>
      <c r="D38" s="60">
        <f>IFERROR(IF($D$34-$A38&lt;=0,"",$B$7/($D$34-$A38)/$B$12),"")</f>
        <v>98.18126758827866</v>
      </c>
      <c r="E38" s="60">
        <f>IFERROR(IF($E$34-$A38&lt;=0,"",$B$7/($E$34-$A38)/$B$12),"")</f>
        <v>89.09692833281119</v>
      </c>
      <c r="F38" s="44" t="n"/>
    </row>
    <row r="39">
      <c r="A39" s="78">
        <f>IFERROR($B$10*1.15,"")</f>
        <v>11.109</v>
      </c>
      <c r="B39" s="60">
        <f>IFERROR(IF($B$34-$A39&lt;=0,"",$B$7/($B$34-$A39)/$B$12),"")</f>
        <v>129.33145217768316</v>
      </c>
      <c r="C39" s="60">
        <f>IFERROR(IF($C$34-$A39&lt;=0,"",$B$7/($C$34-$A39)/$B$12),"")</f>
        <v>114.01779967899357</v>
      </c>
      <c r="D39" s="60">
        <f>IFERROR(IF($D$34-$A39&lt;=0,"",$B$7/($D$34-$A39)/$B$12),"")</f>
        <v>101.94667589740513</v>
      </c>
      <c r="E39" s="60">
        <f>IFERROR(IF($E$34-$A39&lt;=0,"",$B$7/($E$34-$A39)/$B$12),"")</f>
        <v>92.18681031917478</v>
      </c>
      <c r="F39" s="44" t="n"/>
    </row>
    <row r="40">
      <c r="A40" s="44" t="n"/>
      <c r="B40" s="44" t="n"/>
      <c r="C40" s="44" t="n"/>
      <c r="D40" s="44" t="n"/>
      <c r="E40" s="44" t="n"/>
      <c r="F40" s="44" t="n"/>
    </row>
    <row r="41">
      <c r="A41" s="44" t="inlineStr">
        <is>
          <t>AI Chef Pro · aichef.pro/en/digital-products/restaurant-business-plan</t>
        </is>
      </c>
      <c r="B41" s="44" t="n"/>
      <c r="C41" s="44" t="n"/>
      <c r="D41" s="44" t="n"/>
      <c r="E41" s="44" t="n"/>
      <c r="F41" s="44" t="n"/>
    </row>
    <row r="42">
      <c r="A42" s="44" t="n"/>
      <c r="B42" s="44" t="n"/>
      <c r="C42" s="44" t="n"/>
      <c r="D42" s="44" t="n"/>
      <c r="E42" s="44" t="n"/>
      <c r="F42" s="44" t="n"/>
    </row>
    <row r="43">
      <c r="A43" s="44" t="n"/>
      <c r="B43" s="44" t="n"/>
      <c r="C43" s="44" t="n"/>
      <c r="D43" s="44" t="n"/>
      <c r="E43" s="44" t="n"/>
      <c r="F43" s="44" t="n"/>
    </row>
    <row r="44">
      <c r="A44" s="44" t="n"/>
      <c r="B44" s="44" t="n"/>
      <c r="C44" s="44" t="n"/>
      <c r="D44" s="44" t="n"/>
      <c r="E44" s="44" t="n"/>
      <c r="F44" s="44" t="n"/>
    </row>
    <row r="45">
      <c r="A45" s="44" t="n"/>
      <c r="B45" s="44" t="n"/>
      <c r="C45" s="44" t="n"/>
      <c r="D45" s="44" t="n"/>
      <c r="E45" s="44" t="n"/>
      <c r="F45" s="44" t="n"/>
    </row>
    <row r="46">
      <c r="A46" s="44" t="n"/>
      <c r="B46" s="44" t="n"/>
      <c r="C46" s="44" t="n"/>
      <c r="D46" s="44" t="n"/>
      <c r="E46" s="44" t="n"/>
      <c r="F46" s="44" t="n"/>
    </row>
    <row r="47">
      <c r="A47" s="44" t="n"/>
      <c r="B47" s="44" t="n"/>
      <c r="C47" s="44" t="n"/>
      <c r="D47" s="44" t="n"/>
      <c r="E47" s="44" t="n"/>
      <c r="F47" s="44" t="n"/>
    </row>
    <row r="48">
      <c r="A48" s="44" t="n"/>
      <c r="B48" s="44" t="n"/>
      <c r="C48" s="44" t="n"/>
      <c r="D48" s="44" t="n"/>
      <c r="E48" s="44" t="n"/>
      <c r="F48" s="44" t="n"/>
    </row>
    <row r="49">
      <c r="A49" s="44" t="n"/>
      <c r="B49" s="44" t="n"/>
      <c r="C49" s="44" t="n"/>
      <c r="D49" s="44" t="n"/>
      <c r="E49" s="44" t="n"/>
      <c r="F49" s="44" t="n"/>
    </row>
    <row r="50">
      <c r="A50" s="44" t="n"/>
      <c r="B50" s="44" t="n"/>
      <c r="C50" s="44" t="n"/>
      <c r="D50" s="44" t="n"/>
      <c r="E50" s="44" t="n"/>
      <c r="F50" s="44" t="n"/>
    </row>
    <row r="51">
      <c r="A51" s="44" t="n"/>
      <c r="B51" s="44" t="n"/>
      <c r="C51" s="44" t="n"/>
      <c r="D51" s="44" t="n"/>
      <c r="E51" s="44" t="n"/>
      <c r="F51" s="44" t="n"/>
    </row>
    <row r="52">
      <c r="A52" s="44" t="n"/>
      <c r="B52" s="44" t="n"/>
      <c r="C52" s="44" t="n"/>
      <c r="D52" s="44" t="n"/>
      <c r="E52" s="44" t="n"/>
      <c r="F52" s="44" t="n"/>
    </row>
    <row r="53">
      <c r="A53" s="44" t="n"/>
      <c r="B53" s="44" t="n"/>
      <c r="C53" s="44" t="n"/>
      <c r="D53" s="44" t="n"/>
      <c r="E53" s="44" t="n"/>
      <c r="F53" s="44" t="n"/>
    </row>
    <row r="54">
      <c r="A54" s="44" t="n"/>
      <c r="B54" s="44" t="n"/>
      <c r="C54" s="44" t="n"/>
      <c r="D54" s="44" t="n"/>
      <c r="E54" s="44" t="n"/>
      <c r="F54" s="44" t="n"/>
    </row>
    <row r="55">
      <c r="A55" s="44" t="n"/>
      <c r="B55" s="44" t="n"/>
      <c r="C55" s="44" t="n"/>
      <c r="D55" s="44" t="n"/>
      <c r="E55" s="44" t="n"/>
      <c r="F55" s="44" t="n"/>
    </row>
    <row r="56">
      <c r="A56" s="44" t="n"/>
      <c r="B56" s="44" t="n"/>
      <c r="C56" s="44" t="n"/>
      <c r="D56" s="44" t="n"/>
      <c r="E56" s="44" t="n"/>
      <c r="F56" s="44" t="n"/>
    </row>
    <row r="57">
      <c r="A57" s="44" t="n"/>
      <c r="B57" s="44" t="n"/>
      <c r="C57" s="44" t="n"/>
      <c r="D57" s="44" t="n"/>
      <c r="E57" s="44" t="n"/>
      <c r="F57" s="44" t="n"/>
    </row>
    <row r="58">
      <c r="A58" s="44" t="n"/>
      <c r="B58" s="44" t="n"/>
      <c r="C58" s="44" t="n"/>
      <c r="D58" s="44" t="n"/>
      <c r="E58" s="44" t="n"/>
      <c r="F58" s="44" t="n"/>
    </row>
    <row r="59">
      <c r="A59" s="44" t="n"/>
      <c r="B59" s="44" t="n"/>
      <c r="C59" s="44" t="n"/>
      <c r="D59" s="44" t="n"/>
      <c r="E59" s="44" t="n"/>
      <c r="F59" s="44" t="n"/>
    </row>
    <row r="60">
      <c r="A60" s="44" t="n"/>
      <c r="B60" s="44" t="n"/>
      <c r="C60" s="44" t="n"/>
      <c r="D60" s="44" t="n"/>
      <c r="E60" s="44" t="n"/>
      <c r="F60" s="44" t="n"/>
    </row>
    <row r="61">
      <c r="A61" s="44" t="n"/>
      <c r="B61" s="44" t="n"/>
      <c r="C61" s="44" t="n"/>
      <c r="D61" s="44" t="n"/>
      <c r="E61" s="44" t="n"/>
      <c r="F61" s="44" t="n"/>
    </row>
    <row r="62">
      <c r="A62" s="44" t="n"/>
      <c r="B62" s="44" t="n"/>
      <c r="C62" s="44" t="n"/>
      <c r="D62" s="44" t="n"/>
      <c r="E62" s="44" t="n"/>
      <c r="F62" s="44" t="n"/>
    </row>
    <row r="63">
      <c r="A63" s="44" t="n"/>
      <c r="B63" s="44" t="n"/>
      <c r="C63" s="44" t="n"/>
      <c r="D63" s="44" t="n"/>
      <c r="E63" s="44" t="n"/>
      <c r="F63" s="44" t="n"/>
    </row>
    <row r="64">
      <c r="A64" s="44" t="n"/>
      <c r="B64" s="44" t="n"/>
      <c r="C64" s="44" t="n"/>
      <c r="D64" s="44" t="n"/>
      <c r="E64" s="44" t="n"/>
      <c r="F64" s="44" t="n"/>
    </row>
    <row r="65">
      <c r="A65" s="44" t="n"/>
      <c r="B65" s="44" t="n"/>
      <c r="C65" s="44" t="n"/>
      <c r="D65" s="44" t="n"/>
      <c r="E65" s="44" t="n"/>
      <c r="F65" s="44" t="n"/>
    </row>
    <row r="66">
      <c r="A66" s="44" t="n"/>
      <c r="B66" s="44" t="n"/>
      <c r="C66" s="44" t="n"/>
      <c r="D66" s="44" t="n"/>
      <c r="E66" s="44" t="n"/>
      <c r="F66" s="44" t="n"/>
    </row>
    <row r="67">
      <c r="A67" s="44" t="n"/>
      <c r="B67" s="44" t="n"/>
      <c r="C67" s="44" t="n"/>
      <c r="D67" s="44" t="n"/>
      <c r="E67" s="44" t="n"/>
      <c r="F67" s="44" t="n"/>
    </row>
    <row r="68">
      <c r="A68" s="44" t="n"/>
      <c r="B68" s="44" t="n"/>
      <c r="C68" s="44" t="n"/>
      <c r="D68" s="44" t="n"/>
      <c r="E68" s="44" t="n"/>
      <c r="F68" s="44" t="n"/>
    </row>
    <row r="69">
      <c r="A69" s="44" t="n"/>
      <c r="B69" s="44" t="n"/>
      <c r="C69" s="44" t="n"/>
      <c r="D69" s="44" t="n"/>
      <c r="E69" s="44" t="n"/>
      <c r="F69" s="44" t="n"/>
    </row>
    <row r="70">
      <c r="A70" s="44" t="n"/>
      <c r="B70" s="44" t="n"/>
      <c r="C70" s="44" t="n"/>
      <c r="D70" s="44" t="n"/>
      <c r="E70" s="44" t="n"/>
      <c r="F70" s="44" t="n"/>
    </row>
    <row r="71">
      <c r="A71" s="44" t="n"/>
      <c r="B71" s="44" t="n"/>
      <c r="C71" s="44" t="n"/>
      <c r="D71" s="44" t="n"/>
      <c r="E71" s="44" t="n"/>
      <c r="F71" s="44" t="n"/>
    </row>
    <row r="72">
      <c r="A72" s="44" t="n"/>
      <c r="B72" s="44" t="n"/>
      <c r="C72" s="44" t="n"/>
      <c r="D72" s="44" t="n"/>
      <c r="E72" s="44" t="n"/>
      <c r="F72" s="44" t="n"/>
    </row>
    <row r="73">
      <c r="A73" s="44" t="n"/>
      <c r="B73" s="44" t="n"/>
      <c r="C73" s="44" t="n"/>
      <c r="D73" s="44" t="n"/>
      <c r="E73" s="44" t="n"/>
      <c r="F73" s="44" t="n"/>
    </row>
    <row r="74">
      <c r="A74" s="44" t="n"/>
      <c r="B74" s="44" t="n"/>
      <c r="C74" s="44" t="n"/>
      <c r="D74" s="44" t="n"/>
      <c r="E74" s="44" t="n"/>
      <c r="F74" s="44" t="n"/>
    </row>
    <row r="75">
      <c r="A75" s="44" t="n"/>
      <c r="B75" s="44" t="n"/>
      <c r="C75" s="44" t="n"/>
      <c r="D75" s="44" t="n"/>
      <c r="E75" s="44" t="n"/>
      <c r="F75" s="44" t="n"/>
    </row>
    <row r="76">
      <c r="A76" s="44" t="n"/>
      <c r="B76" s="44" t="n"/>
      <c r="C76" s="44" t="n"/>
      <c r="D76" s="44" t="n"/>
      <c r="E76" s="44" t="n"/>
      <c r="F76" s="44" t="n"/>
    </row>
    <row r="77">
      <c r="A77" s="44" t="n"/>
      <c r="B77" s="44" t="n"/>
      <c r="C77" s="44" t="n"/>
      <c r="D77" s="44" t="n"/>
      <c r="E77" s="44" t="n"/>
      <c r="F77" s="44" t="n"/>
    </row>
    <row r="78">
      <c r="A78" s="44" t="n"/>
      <c r="B78" s="44" t="n"/>
      <c r="C78" s="44" t="n"/>
      <c r="D78" s="44" t="n"/>
      <c r="E78" s="44" t="n"/>
      <c r="F78" s="44" t="n"/>
    </row>
    <row r="79">
      <c r="A79" s="44" t="n"/>
      <c r="B79" s="44" t="n"/>
      <c r="C79" s="44" t="n"/>
      <c r="D79" s="44" t="n"/>
      <c r="E79" s="44" t="n"/>
      <c r="F79" s="44" t="n"/>
    </row>
    <row r="80">
      <c r="A80" s="44" t="n"/>
      <c r="B80" s="44" t="n"/>
      <c r="C80" s="44" t="n"/>
      <c r="D80" s="44" t="n"/>
      <c r="E80" s="44" t="n"/>
      <c r="F80" s="44" t="n"/>
    </row>
    <row r="81">
      <c r="A81" s="44" t="n"/>
      <c r="B81" s="44" t="n"/>
      <c r="C81" s="44" t="n"/>
      <c r="D81" s="44" t="n"/>
      <c r="E81" s="44" t="n"/>
      <c r="F81"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1:C1"/>
    <mergeCell ref="A3:C3"/>
    <mergeCell ref="A2:C2"/>
  </mergeCells>
  <conditionalFormatting sqref="B25:D25">
    <cfRule type="expression" priority="1" dxfId="1" stopIfTrue="1">
      <formula>AND(ISNUMBER(B25),B25&lt;0)</formula>
    </cfRule>
    <cfRule type="expression" priority="2" dxfId="2" stopIfTrue="1">
      <formula>AND(ISNUMBER(B25),B25&gt;=0)</formula>
    </cfRule>
    <cfRule type="expression" priority="3" dxfId="0" stopIfTrue="1">
      <formula>AND(ISNUMBER(B25),B25&gt;='0. Assumptions'!$B$67)</formula>
    </cfRule>
  </conditionalFormatting>
  <conditionalFormatting sqref="B27:D27">
    <cfRule type="expression" priority="4" dxfId="1" stopIfTrue="1">
      <formula>AND(ISNUMBER(B27),B27&gt;$B$26)</formula>
    </cfRule>
    <cfRule type="expression" priority="5" dxfId="0" stopIfTrue="1">
      <formula>AND(ISNUMBER(B27),B27&lt;=$B$26)</formula>
    </cfRule>
  </conditionalFormatting>
  <conditionalFormatting sqref="B35:E39">
    <cfRule type="expression" priority="6" dxfId="1" stopIfTrue="1">
      <formula>AND(ISNUMBER(B35),B35&gt;$B$24)</formula>
    </cfRule>
    <cfRule type="expression" priority="7" dxfId="0" stopIfTrue="1">
      <formula>AND(ISNUMBER(B35),B35&lt;=$B$24)</formula>
    </cfRule>
  </conditionalFormatting>
  <dataValidations count="1">
    <dataValidation sqref="B26"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1"/>
  <sheetViews>
    <sheetView workbookViewId="0">
      <pane ySplit="5" topLeftCell="A6"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ht="32" customHeight="1">
      <c r="A1" s="1" t="inlineStr">
        <is>
          <t>AI Chef Pro</t>
        </is>
      </c>
    </row>
    <row r="2" ht="26" customHeight="1">
      <c r="A2" s="2" t="inlineStr">
        <is>
          <t>Scenario Analysis — Year 1</t>
        </is>
      </c>
    </row>
    <row r="3" ht="30" customHeight="1">
      <c r="A3" s="40" t="inlineStr">
        <is>
          <t>Restaurant Business Plan: Casual Restaurant &amp; Bar — US example (2026)</t>
        </is>
      </c>
    </row>
    <row r="5">
      <c r="A5" s="41" t="inlineStr">
        <is>
          <t>Metric</t>
        </is>
      </c>
      <c r="B5" s="41" t="inlineStr">
        <is>
          <t>Pessimistic</t>
        </is>
      </c>
      <c r="C5" s="41" t="inlineStr">
        <is>
          <t>Base</t>
        </is>
      </c>
      <c r="D5" s="41" t="inlineStr">
        <is>
          <t>Optimistic</t>
        </is>
      </c>
      <c r="E5" s="41" t="inlineStr">
        <is>
          <t>Notes</t>
        </is>
      </c>
      <c r="F5" s="44" t="n"/>
    </row>
    <row r="6">
      <c r="A6" s="44" t="inlineStr">
        <is>
          <t>Covers per day</t>
        </is>
      </c>
      <c r="B6" s="65" t="n">
        <v>91</v>
      </c>
      <c r="C6" s="55">
        <f>IFERROR(IF('2. 3-Year P&amp;L'!$B$7="","",'2. 3-Year P&amp;L'!$B$7),"")</f>
        <v>125.0</v>
      </c>
      <c r="D6" s="65" t="n">
        <v>148</v>
      </c>
      <c r="E6" s="44" t="n"/>
      <c r="F6" s="44" t="n"/>
    </row>
    <row r="7">
      <c r="A7" s="44" t="inlineStr">
        <is>
          <t>Average check (excl. sales tax)</t>
        </is>
      </c>
      <c r="B7" s="82" t="n">
        <v>24.46</v>
      </c>
      <c r="C7" s="78">
        <f>IFERROR(IF('2. 3-Year P&amp;L'!$B$8="","",'2. 3-Year P&amp;L'!$B$8),"")</f>
        <v>28.0</v>
      </c>
      <c r="D7" s="82" t="n">
        <v>28.46</v>
      </c>
      <c r="E7" s="44" t="n"/>
      <c r="F7" s="44" t="n"/>
    </row>
    <row r="8">
      <c r="A8" s="44" t="inlineStr">
        <is>
          <t>Operating days per year</t>
        </is>
      </c>
      <c r="B8" s="65" t="n">
        <v>300</v>
      </c>
      <c r="C8" s="55">
        <f>IFERROR(IF('2. 3-Year P&amp;L'!$B$9="","",'2. 3-Year P&amp;L'!$B$9),"")</f>
        <v>310.0</v>
      </c>
      <c r="D8" s="65" t="n">
        <v>320</v>
      </c>
      <c r="E8" s="44" t="n"/>
      <c r="F8" s="44" t="n"/>
    </row>
    <row r="9">
      <c r="A9" s="41" t="inlineStr">
        <is>
          <t>ANNUAL REVENUE (excl. sales tax)</t>
        </is>
      </c>
      <c r="B9" s="69">
        <f>IFERROR(IF(B6*B7*B8=0,"",B6*B7*B8),"")</f>
        <v>667758.0</v>
      </c>
      <c r="C9" s="69">
        <f>IFERROR(IF(C6*C7*C8=0,"",C6*C7*C8),"")</f>
        <v>1085000.0</v>
      </c>
      <c r="D9" s="69">
        <f>IFERROR(IF(D6*D7*D8=0,"",D6*D7*D8),"")</f>
        <v>1347865.6</v>
      </c>
      <c r="E9" s="44" t="n"/>
      <c r="F9" s="44" t="n"/>
    </row>
    <row r="10">
      <c r="A10" s="44" t="inlineStr">
        <is>
          <t>Cost of goods sold — food</t>
        </is>
      </c>
      <c r="B10" s="55">
        <f>IFERROR(IF(B9="","",B9*'0. Assumptions'!$B$11*'0. Assumptions'!$B$13),"")</f>
        <v>135554.87399999998</v>
      </c>
      <c r="C10" s="55">
        <f>IFERROR(IF(C9="","",C9*'0. Assumptions'!$B$11*'0. Assumptions'!$B$13),"")</f>
        <v>220254.99999999997</v>
      </c>
      <c r="D10" s="55">
        <f>IFERROR(IF(D9="","",D9*'0. Assumptions'!$B$11*'0. Assumptions'!$B$13),"")</f>
        <v>273616.7168</v>
      </c>
      <c r="E10" s="44" t="n"/>
      <c r="F10" s="44" t="n"/>
    </row>
    <row r="11">
      <c r="A11" s="44" t="inlineStr">
        <is>
          <t>Cost of goods sold — beverage</t>
        </is>
      </c>
      <c r="B11" s="55">
        <f>IFERROR(IF(B9="","",B9*'0. Assumptions'!$B$12*'0. Assumptions'!$B$14),"")</f>
        <v>48078.576</v>
      </c>
      <c r="C11" s="55">
        <f>IFERROR(IF(C9="","",C9*'0. Assumptions'!$B$12*'0. Assumptions'!$B$14),"")</f>
        <v>78120.00000000001</v>
      </c>
      <c r="D11" s="55">
        <f>IFERROR(IF(D9="","",D9*'0. Assumptions'!$B$12*'0. Assumptions'!$B$14),"")</f>
        <v>97046.32320000003</v>
      </c>
      <c r="E11" s="44" t="n"/>
      <c r="F11" s="44" t="n"/>
    </row>
    <row r="12">
      <c r="A12" s="44" t="inlineStr">
        <is>
          <t>Disposables and packaging</t>
        </is>
      </c>
      <c r="B12" s="55">
        <f>IFERROR(IF(B9="","",B9*'0. Assumptions'!$B$15),"")</f>
        <v>10016.369999999999</v>
      </c>
      <c r="C12" s="55">
        <f>IFERROR(IF(C9="","",C9*'0. Assumptions'!$B$15),"")</f>
        <v>16275.0</v>
      </c>
      <c r="D12" s="55">
        <f>IFERROR(IF(D9="","",D9*'0. Assumptions'!$B$15),"")</f>
        <v>20217.984</v>
      </c>
      <c r="E12" s="44" t="n"/>
      <c r="F12" s="44" t="n"/>
    </row>
    <row r="13">
      <c r="A13" s="44" t="inlineStr">
        <is>
          <t>Delivery platform fees</t>
        </is>
      </c>
      <c r="B13" s="55">
        <f>IFERROR(IF(B9="","",B9*'0. Assumptions'!$B$16*'0. Assumptions'!$B$17),"")</f>
        <v>0.0</v>
      </c>
      <c r="C13" s="55">
        <f>IFERROR(IF(C9="","",C9*'0. Assumptions'!$B$16*'0. Assumptions'!$B$17),"")</f>
        <v>0.0</v>
      </c>
      <c r="D13" s="55">
        <f>IFERROR(IF(D9="","",D9*'0. Assumptions'!$B$16*'0. Assumptions'!$B$17),"")</f>
        <v>0.0</v>
      </c>
      <c r="E13" s="44" t="n"/>
      <c r="F13" s="44" t="n"/>
    </row>
    <row r="14">
      <c r="A14" s="44" t="inlineStr">
        <is>
          <t>Card processing fees</t>
        </is>
      </c>
      <c r="B14" s="55">
        <f>IFERROR(IF(B9="","",B9*'0. Assumptions'!$B$18),"")</f>
        <v>23371.530000000002</v>
      </c>
      <c r="C14" s="55">
        <f>IFERROR(IF(C9="","",C9*'0. Assumptions'!$B$18),"")</f>
        <v>37975.0</v>
      </c>
      <c r="D14" s="55">
        <f>IFERROR(IF(D9="","",D9*'0. Assumptions'!$B$18),"")</f>
        <v>47175.29600000001</v>
      </c>
      <c r="E14" s="44" t="n"/>
      <c r="F14" s="44" t="n"/>
    </row>
    <row r="15">
      <c r="A15" s="44" t="inlineStr">
        <is>
          <t>Miscellaneous and contingency</t>
        </is>
      </c>
      <c r="B15" s="55">
        <f>IFERROR(IF(B9="","",B9*'0. Assumptions'!$B$28),"")</f>
        <v>13355.16</v>
      </c>
      <c r="C15" s="55">
        <f>IFERROR(IF(C9="","",C9*'0. Assumptions'!$B$28),"")</f>
        <v>21700.0</v>
      </c>
      <c r="D15" s="55">
        <f>IFERROR(IF(D9="","",D9*'0. Assumptions'!$B$28),"")</f>
        <v>26957.312</v>
      </c>
      <c r="E15" s="44" t="n"/>
      <c r="F15" s="44" t="n"/>
    </row>
    <row r="16">
      <c r="A16" s="44" t="inlineStr">
        <is>
          <t>TOTAL VARIABLE COSTS</t>
        </is>
      </c>
      <c r="B16" s="55">
        <f>IFERROR(IF(B9="","",SUM(B10:B15)),"")</f>
        <v>230376.50999999998</v>
      </c>
      <c r="C16" s="55">
        <f>IFERROR(IF(C9="","",SUM(C10:C15)),"")</f>
        <v>374325.0</v>
      </c>
      <c r="D16" s="55">
        <f>IFERROR(IF(D9="","",SUM(D10:D15)),"")</f>
        <v>465013.63200000004</v>
      </c>
      <c r="E16" s="44" t="n"/>
      <c r="F16" s="44" t="n"/>
    </row>
    <row r="17">
      <c r="A17" s="44" t="inlineStr">
        <is>
          <t>GROSS MARGIN</t>
        </is>
      </c>
      <c r="B17" s="55">
        <f>IFERROR(IF(B9="","",B9-B16),"")</f>
        <v>437381.49</v>
      </c>
      <c r="C17" s="55">
        <f>IFERROR(IF(C9="","",C9-C16),"")</f>
        <v>710675.0</v>
      </c>
      <c r="D17" s="55">
        <f>IFERROR(IF(D9="","",D9-D16),"")</f>
        <v>882851.9680000001</v>
      </c>
      <c r="E17" s="44" t="n"/>
      <c r="F17" s="44" t="n"/>
    </row>
    <row r="18">
      <c r="A18" s="44" t="inlineStr">
        <is>
          <t>FIXED COSTS (the P&amp;L's)</t>
        </is>
      </c>
      <c r="B18" s="55">
        <f>IFERROR(IF(B9="","",'2. 3-Year P&amp;L'!$B$40),"")</f>
        <v>597021.1428571428</v>
      </c>
      <c r="C18" s="55">
        <f>IFERROR(IF(C9="","",'2. 3-Year P&amp;L'!$B$40),"")</f>
        <v>597021.1428571428</v>
      </c>
      <c r="D18" s="55">
        <f>IFERROR(IF(D9="","",'2. 3-Year P&amp;L'!$B$40),"")</f>
        <v>597021.1428571428</v>
      </c>
      <c r="E18" s="44" t="inlineStr">
        <is>
          <t>Fixed costs do not change with the scenario: that is why they are fixed</t>
        </is>
      </c>
      <c r="F18" s="44" t="n"/>
    </row>
    <row r="19">
      <c r="A19" s="41" t="inlineStr">
        <is>
          <t>PRE-TAX INCOME (EBT)</t>
        </is>
      </c>
      <c r="B19" s="69">
        <f>IFERROR(IF(B9="","",B17-B18),"")</f>
        <v>-159639.65285714285</v>
      </c>
      <c r="C19" s="69">
        <f>IFERROR(IF(C9="","",C17-C18),"")</f>
        <v>113653.85714285716</v>
      </c>
      <c r="D19" s="69">
        <f>IFERROR(IF(D9="","",D17-D18),"")</f>
        <v>285830.82514285727</v>
      </c>
      <c r="E19" s="44" t="n"/>
      <c r="F19" s="44" t="n"/>
    </row>
    <row r="20">
      <c r="A20" s="44" t="inlineStr">
        <is>
          <t>Income tax</t>
        </is>
      </c>
      <c r="B20" s="55">
        <f>IFERROR(IF(B9="","",MAX(0,B19-'0. Assumptions'!$B$42)*'0. Assumptions'!$B$37),"")</f>
        <v>0.0</v>
      </c>
      <c r="C20" s="55">
        <f>IFERROR(IF(C9="","",MAX(0,C19-'0. Assumptions'!$B$42)*'0. Assumptions'!$B$37),"")</f>
        <v>28413.46428571429</v>
      </c>
      <c r="D20" s="55">
        <f>IFERROR(IF(D9="","",MAX(0,D19-'0. Assumptions'!$B$42)*'0. Assumptions'!$B$37),"")</f>
        <v>71457.70628571432</v>
      </c>
      <c r="E20" s="44" t="inlineStr">
        <is>
          <t>At the "years 1-2" effective income tax rate, offsetting prior net operating losses</t>
        </is>
      </c>
      <c r="F20" s="44" t="n"/>
    </row>
    <row r="21">
      <c r="A21" s="41" t="inlineStr">
        <is>
          <t>NET INCOME</t>
        </is>
      </c>
      <c r="B21" s="69">
        <f>IFERROR(IF(B9="","",B19-B20),"")</f>
        <v>-159639.65285714285</v>
      </c>
      <c r="C21" s="69">
        <f>IFERROR(IF(C9="","",C19-C20),"")</f>
        <v>85240.39285714287</v>
      </c>
      <c r="D21" s="69">
        <f>IFERROR(IF(D9="","",D19-D20),"")</f>
        <v>214373.11885714295</v>
      </c>
      <c r="E21" s="44" t="n"/>
      <c r="F21" s="44" t="n"/>
    </row>
    <row r="22">
      <c r="A22" s="44" t="inlineStr">
        <is>
          <t>Covers per day to break even</t>
        </is>
      </c>
      <c r="B22" s="60">
        <f>IFERROR(IF(B9="","",IF(B7-B16/(B6*B8)&lt;=0,"",B18/(B7-B16/(B6*B8))/B8)),"")</f>
        <v>124.2140448147451</v>
      </c>
      <c r="C22" s="60">
        <f>IFERROR(IF(C9="","",IF(C7-C16/(C6*C8)&lt;=0,"",C18/(C7-C16/(C6*C8))/C8)),"")</f>
        <v>105.00952313947002</v>
      </c>
      <c r="D22" s="60">
        <f>IFERROR(IF(D9="","",IF(D7-D16/(D6*D8)&lt;=0,"",D18/(D7-D16/(D6*D8))/D8)),"")</f>
        <v>100.08374262677879</v>
      </c>
      <c r="E22" s="44" t="n"/>
      <c r="F22" s="44" t="n"/>
    </row>
    <row r="23">
      <c r="A23" s="41" t="inlineStr">
        <is>
          <t>WHAT EACH SCENARIO DEMANDS</t>
        </is>
      </c>
      <c r="B23" s="44" t="n"/>
      <c r="C23" s="44" t="n"/>
      <c r="D23" s="44" t="n"/>
      <c r="E23" s="44" t="n"/>
      <c r="F23" s="44" t="n"/>
    </row>
    <row r="24">
      <c r="A24" s="44" t="inlineStr">
        <is>
          <t>Labor cost / Sales</t>
        </is>
      </c>
      <c r="B24" s="46">
        <f>IFERROR(IF(B9="","",'2. 3-Year P&amp;L'!$B$24/B9),"")</f>
        <v>0.5015050362556495</v>
      </c>
      <c r="C24" s="46">
        <f>IFERROR(IF(C9="","",'2. 3-Year P&amp;L'!$B$24/C9),"")</f>
        <v>0.3086488479262673</v>
      </c>
      <c r="D24" s="46">
        <f>IFERROR(IF(D9="","",'2. 3-Year P&amp;L'!$B$24/D9),"")</f>
        <v>0.24845503884066777</v>
      </c>
      <c r="E24" s="44" t="inlineStr">
        <is>
          <t>The SAME staffing in all three scenarios. If labor cost blows up in the pessimistic case, adjust it in the Staffing tab, not here</t>
        </is>
      </c>
      <c r="F24" s="44" t="n"/>
    </row>
    <row r="25">
      <c r="A25" s="44" t="inlineStr">
        <is>
          <t>Covers per year per full-time equivalent</t>
        </is>
      </c>
      <c r="B25" s="55">
        <f>IFERROR(IF(B9="","",B6*B8/'5. Staffing'!$C$13),"")</f>
        <v>3433.962264150943</v>
      </c>
      <c r="C25" s="55">
        <f>IFERROR(IF(C9="","",C6*C8/'5. Staffing'!$C$13),"")</f>
        <v>4874.213836477988</v>
      </c>
      <c r="D25" s="55">
        <f>IFERROR(IF(D9="","",D6*D8/'5. Staffing'!$C$13),"")</f>
        <v>5957.232704402516</v>
      </c>
      <c r="E25" s="44" t="inlineStr">
        <is>
          <t>Covers each full-time employee in the "5. Staffing" tab would have to serve. In the optimistic scenario it tells you whether you need to hire</t>
        </is>
      </c>
      <c r="F25" s="44" t="n"/>
    </row>
    <row r="26">
      <c r="A26" s="41" t="inlineStr">
        <is>
          <t>Year-1 closing cash balance (estimate, same method in all three scenarios)</t>
        </is>
      </c>
      <c r="B26" s="69">
        <f>IFERROR(IF(B9="","",'1. Startup Costs'!$B$47+B21+'2. 3-Year P&amp;L'!$B$38-'7. Financing'!$B$45),"")</f>
        <v>-7641.922558122089</v>
      </c>
      <c r="C26" s="69">
        <f>IFERROR(IF(C9="","",'1. Startup Costs'!$B$47+C21+'2. 3-Year P&amp;L'!$B$38-'7. Financing'!$B$45),"")</f>
        <v>237238.12315616364</v>
      </c>
      <c r="D26" s="69">
        <f>IFERROR(IF(D9="","",'1. Startup Costs'!$B$47+D21+'2. 3-Year P&amp;L'!$B$38-'7. Financing'!$B$45),"")</f>
        <v>366370.84915616375</v>
      </c>
      <c r="E26" s="41"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6" s="44" t="n"/>
    </row>
    <row r="27">
      <c r="A27" s="44" t="inlineStr">
        <is>
          <t>Actual month-12 balance from the 12-Month Cash Flow tab (Base case only)</t>
        </is>
      </c>
      <c r="B27" s="44" t="n"/>
      <c r="C27" s="55">
        <f>IFERROR(IF(C9="","",'6. 12-Month Cash Flow'!$M$22),"")</f>
        <v>308868.22215159005</v>
      </c>
      <c r="D27" s="44" t="n"/>
      <c r="E27" s="44"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7" s="44" t="n"/>
    </row>
    <row r="28">
      <c r="A28" s="44" t="n"/>
      <c r="B28" s="44" t="n"/>
      <c r="C28" s="44" t="n"/>
      <c r="D28" s="44" t="n"/>
      <c r="E28" s="44" t="n"/>
      <c r="F28" s="44" t="n"/>
    </row>
    <row r="29" ht="150" customHeight="1">
      <c r="A29" s="63"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c r="B29" s="44" t="n"/>
      <c r="C29" s="44" t="n"/>
      <c r="D29" s="44" t="n"/>
      <c r="E29" s="44" t="n"/>
      <c r="F29" s="44" t="n"/>
    </row>
    <row r="30">
      <c r="A30" s="44" t="inlineStr">
        <is>
          <t>NOTE: The pessimistic scenario reflects a slow start with lower traffic. The optimistic one assumes strong seat turns and a higher average check. Fixed costs are constant in all 3 scenarios.</t>
        </is>
      </c>
      <c r="B30" s="44" t="n"/>
      <c r="C30" s="44" t="n"/>
      <c r="D30" s="44" t="n"/>
      <c r="E30" s="44" t="n"/>
      <c r="F30" s="44" t="n"/>
    </row>
    <row r="31">
      <c r="A31" t="inlineStr">
        <is>
          <t>AI Chef Pro · aichef.pro/en/digital-products/restaurant-business-plan</t>
        </is>
      </c>
    </row>
  </sheetData>
  <sheetProtection selectLockedCells="0" selectUnlockedCells="0" sheet="1" objects="0" insertRows="1" insertHyperlinks="1" autoFilter="1" scenarios="0" formatColumns="0" deleteColumns="1" insertColumns="1" pivotTables="1" deleteRows="1" formatCells="1" formatRows="0" sort="0"/>
  <mergeCells count="3">
    <mergeCell ref="A1:D1"/>
    <mergeCell ref="A3:D3"/>
    <mergeCell ref="A2:D2"/>
  </mergeCells>
  <conditionalFormatting sqref="B24:D24">
    <cfRule type="expression" priority="1" dxfId="1" stopIfTrue="1">
      <formula>AND(ISNUMBER(B24),B24&gt;'2. 3-Year P&amp;L'!$E$56)</formula>
    </cfRule>
    <cfRule type="expression" priority="2" dxfId="0" stopIfTrue="1">
      <formula>AND(ISNUMBER(B24),B24&lt;='2. 3-Year P&amp;L'!$E$56)</formula>
    </cfRule>
  </conditionalFormatting>
  <conditionalFormatting sqref="B26:D26">
    <cfRule type="expression" priority="3" dxfId="1" stopIfTrue="1">
      <formula>AND(ISNUMBER(B26),B26&lt;=0)</formula>
    </cfRule>
    <cfRule type="expression" priority="4" dxfId="0" stopIfTrue="1">
      <formula>AND(ISNUMBER(B26),B26&gt;0)</formula>
    </cfRule>
  </conditionalFormatting>
  <conditionalFormatting sqref="B19:D19">
    <cfRule type="expression" priority="5" dxfId="1" stopIfTrue="1">
      <formula>AND(ISNUMBER(B19),B19&lt;0)</formula>
    </cfRule>
    <cfRule type="expression" priority="6" dxfId="0" stopIfTrue="1">
      <formula>AND(ISNUMBER(B19),B19&gt;0)</formula>
    </cfRule>
  </conditionalFormatting>
  <conditionalFormatting sqref="B21:D21">
    <cfRule type="expression" priority="7" dxfId="1" stopIfTrue="1">
      <formula>AND(ISNUMBER(B21),B21&lt;0)</formula>
    </cfRule>
    <cfRule type="expression" priority="8" dxfId="0" stopIfTrue="1">
      <formula>AND(ISNUMBER(B21),B21&gt;0)</formula>
    </cfRule>
  </conditionalFormatting>
  <dataValidations count="3">
    <dataValidation sqref="B7 D7" showDropDown="0" showInputMessage="0" showErrorMessage="1" allowBlank="1" errorTitle="Invalid amount" error="Enter a number greater than or equal to 0." type="decimal" operator="greaterThanOrEqual">
      <formula1>0</formula1>
    </dataValidation>
    <dataValidation sqref="B8 D8" showDropDown="0" showInputMessage="0" showErrorMessage="1" allowBlank="1" errorTitle="Days out of range" error="Days range from 1 to 365." type="whole" operator="between">
      <formula1>1</formula1>
      <formula2>365</formula2>
    </dataValidation>
    <dataValidation sqref="B6 D6"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8" customWidth="1" min="3" max="3"/>
    <col width="18" customWidth="1" min="4" max="4"/>
    <col width="18" customWidth="1" min="5" max="5"/>
    <col width="18" customWidth="1" min="6" max="6"/>
    <col width="16" customWidth="1" min="7" max="7"/>
    <col width="14" customWidth="1" min="8" max="8"/>
    <col width="14" customWidth="1" min="9" max="9"/>
    <col width="40" customWidth="1" min="10" max="10"/>
  </cols>
  <sheetData>
    <row r="1" ht="32" customHeight="1">
      <c r="A1" s="1" t="inlineStr">
        <is>
          <t>AI Chef Pro</t>
        </is>
      </c>
    </row>
    <row r="2" ht="26" customHeight="1">
      <c r="A2" s="2" t="inlineStr">
        <is>
          <t>Staffing Plan &amp; Labor Cost</t>
        </is>
      </c>
    </row>
    <row r="3" ht="30" customHeight="1">
      <c r="A3" s="40" t="inlineStr">
        <is>
          <t>Restaurant Business Plan: Casual Restaurant &amp; Bar — US example (2026)</t>
        </is>
      </c>
    </row>
    <row r="5" ht="45" customHeight="1">
      <c r="A5" s="54" t="inlineStr">
        <is>
          <t>Position</t>
        </is>
      </c>
      <c r="B5" s="54" t="inlineStr">
        <is>
          <t>People</t>
        </is>
      </c>
      <c r="C5" s="54" t="inlineStr">
        <is>
          <t>FTE</t>
        </is>
      </c>
      <c r="D5" s="54" t="inlineStr">
        <is>
          <t>Gross pay per month (total for the position)</t>
        </is>
      </c>
      <c r="E5" s="54" t="inlineStr">
        <is>
          <t>Employer payroll taxes (total for the position)</t>
        </is>
      </c>
      <c r="F5" s="54" t="inlineStr">
        <is>
          <t>Cost per month (total for the position)</t>
        </is>
      </c>
      <c r="G5" s="54" t="inlineStr">
        <is>
          <t>Cost per year</t>
        </is>
      </c>
      <c r="H5" s="54" t="inlineStr">
        <is>
          <t>Hours per week per person</t>
        </is>
      </c>
      <c r="I5" s="54" t="inlineStr">
        <is>
          <t>Hours per year for the position</t>
        </is>
      </c>
      <c r="J5" s="54" t="inlineStr">
        <is>
          <t>Notes</t>
        </is>
      </c>
    </row>
    <row r="6">
      <c r="A6" s="44" t="inlineStr">
        <is>
          <t>General manager / owner</t>
        </is>
      </c>
      <c r="B6" s="65" t="n">
        <v>1</v>
      </c>
      <c r="C6" s="68" t="n">
        <v>1</v>
      </c>
      <c r="D6" s="82" t="n">
        <v>4500</v>
      </c>
      <c r="E6" s="78">
        <f>IFERROR(IF(D6="","",D6*'0. Assumptions'!$B$20),"")</f>
        <v>450.0</v>
      </c>
      <c r="F6" s="78">
        <f>IFERROR(IF(D6="","",D6+E6),"")</f>
        <v>4950.0</v>
      </c>
      <c r="G6" s="78">
        <f>IFERROR(IF(D6="","",F6*MAX(12,'0. Assumptions'!$B$21)),"")</f>
        <v>59400.0</v>
      </c>
      <c r="H6" s="60">
        <f>IFERROR(IF(D6="","",C6*$B$20),"")</f>
        <v>40.0</v>
      </c>
      <c r="I6" s="55">
        <f>IFERROR(IF(D6="","",H6*B6*$B$21),"")</f>
        <v>2000.0</v>
      </c>
      <c r="J6" s="44" t="inlineStr">
        <is>
          <t>Works the floor: purchasing, cash-out, suppliers and social media</t>
        </is>
      </c>
    </row>
    <row r="7">
      <c r="A7" s="44" t="inlineStr">
        <is>
          <t>Head chef</t>
        </is>
      </c>
      <c r="B7" s="65" t="n">
        <v>1</v>
      </c>
      <c r="C7" s="68" t="n">
        <v>1</v>
      </c>
      <c r="D7" s="82" t="n">
        <v>4200</v>
      </c>
      <c r="E7" s="78">
        <f>IFERROR(IF(D7="","",D7*'0. Assumptions'!$B$20),"")</f>
        <v>420.0</v>
      </c>
      <c r="F7" s="78">
        <f>IFERROR(IF(D7="","",D7+E7),"")</f>
        <v>4620.0</v>
      </c>
      <c r="G7" s="78">
        <f>IFERROR(IF(D7="","",F7*MAX(12,'0. Assumptions'!$B$21)),"")</f>
        <v>55440.0</v>
      </c>
      <c r="H7" s="60">
        <f>IFERROR(IF(D7="","",C7*$B$20),"")</f>
        <v>40.0</v>
      </c>
      <c r="I7" s="55">
        <f>IFERROR(IF(D7="","",H7*B7*$B$21),"")</f>
        <v>2000.0</v>
      </c>
      <c r="J7" s="44" t="inlineStr">
        <is>
          <t>Recipe costing, ordering and the hot line</t>
        </is>
      </c>
    </row>
    <row r="8">
      <c r="A8" s="44" t="inlineStr">
        <is>
          <t>Line cooks</t>
        </is>
      </c>
      <c r="B8" s="65" t="n">
        <v>2</v>
      </c>
      <c r="C8" s="68" t="n">
        <v>1</v>
      </c>
      <c r="D8" s="82" t="n">
        <v>6400</v>
      </c>
      <c r="E8" s="78">
        <f>IFERROR(IF(D8="","",D8*'0. Assumptions'!$B$20),"")</f>
        <v>640.0</v>
      </c>
      <c r="F8" s="78">
        <f>IFERROR(IF(D8="","",D8+E8),"")</f>
        <v>7040.0</v>
      </c>
      <c r="G8" s="78">
        <f>IFERROR(IF(D8="","",F8*MAX(12,'0. Assumptions'!$B$21)),"")</f>
        <v>84480.0</v>
      </c>
      <c r="H8" s="60">
        <f>IFERROR(IF(D8="","",C8*$B$20),"")</f>
        <v>40.0</v>
      </c>
      <c r="I8" s="55">
        <f>IFERROR(IF(D8="","",H8*B8*$B$21),"")</f>
        <v>4000.0</v>
      </c>
      <c r="J8" s="44" t="inlineStr">
        <is>
          <t>Mise en place, cold station and kitchen cleaning. Paid above the federal minimum wage on a full-time basis</t>
        </is>
      </c>
    </row>
    <row r="9">
      <c r="A9" s="44" t="inlineStr">
        <is>
          <t>Servers / bartenders</t>
        </is>
      </c>
      <c r="B9" s="65" t="n">
        <v>2</v>
      </c>
      <c r="C9" s="68" t="n">
        <v>1</v>
      </c>
      <c r="D9" s="82" t="n">
        <v>5200</v>
      </c>
      <c r="E9" s="78">
        <f>IFERROR(IF(D9="","",D9*'0. Assumptions'!$B$20),"")</f>
        <v>520.0</v>
      </c>
      <c r="F9" s="78">
        <f>IFERROR(IF(D9="","",D9+E9),"")</f>
        <v>5720.0</v>
      </c>
      <c r="G9" s="78">
        <f>IFERROR(IF(D9="","",F9*MAX(12,'0. Assumptions'!$B$21)),"")</f>
        <v>68640.0</v>
      </c>
      <c r="H9" s="60">
        <f>IFERROR(IF(D9="","",C9*$B$20),"")</f>
        <v>40.0</v>
      </c>
      <c r="I9" s="55">
        <f>IFERROR(IF(D9="","",H9*B9*$B$21),"")</f>
        <v>4000.0</v>
      </c>
      <c r="J9" s="44" t="inlineStr">
        <is>
          <t>Full time, covering both the lunch and the dinner service. Tips are not modeled (no tip credit): the base wage is set at 15 per hour or more. Federal law allows a cash wage of 2.13 per hour plus a tip credit where your state permits it; CA, OR, WA, AK, MN, MT and NV do not allow a tip credit (DOL)</t>
        </is>
      </c>
    </row>
    <row r="10">
      <c r="A10" s="44" t="inlineStr">
        <is>
          <t>Part-time servers</t>
        </is>
      </c>
      <c r="B10" s="65" t="n">
        <v>2</v>
      </c>
      <c r="C10" s="68" t="n">
        <v>0.5</v>
      </c>
      <c r="D10" s="82" t="n">
        <v>2600</v>
      </c>
      <c r="E10" s="78">
        <f>IFERROR(IF(D10="","",D10*'0. Assumptions'!$B$20),"")</f>
        <v>260.0</v>
      </c>
      <c r="F10" s="78">
        <f>IFERROR(IF(D10="","",D10+E10),"")</f>
        <v>2860.0</v>
      </c>
      <c r="G10" s="78">
        <f>IFERROR(IF(D10="","",F10*MAX(12,'0. Assumptions'!$B$21)),"")</f>
        <v>34320.0</v>
      </c>
      <c r="H10" s="60">
        <f>IFERROR(IF(D10="","",C10*$B$20),"")</f>
        <v>20.0</v>
      </c>
      <c r="I10" s="55">
        <f>IFERROR(IF(D10="","",H10*B10*$B$21),"")</f>
        <v>2000.0</v>
      </c>
      <c r="J10" s="44" t="inlineStr">
        <is>
          <t>Reinforcement for the two busy services. Same base wage and no tip credit as above; part-time pay is compared with the pay floor in proportion to FTE</t>
        </is>
      </c>
    </row>
    <row r="11">
      <c r="A11" s="44" t="inlineStr">
        <is>
          <t>Dishwasher / weekend extra</t>
        </is>
      </c>
      <c r="B11" s="65" t="n">
        <v>1</v>
      </c>
      <c r="C11" s="68" t="n">
        <v>0.75</v>
      </c>
      <c r="D11" s="82" t="n">
        <v>1950</v>
      </c>
      <c r="E11" s="78">
        <f>IFERROR(IF(D11="","",D11*'0. Assumptions'!$B$20),"")</f>
        <v>195.0</v>
      </c>
      <c r="F11" s="78">
        <f>IFERROR(IF(D11="","",D11+E11),"")</f>
        <v>2145.0</v>
      </c>
      <c r="G11" s="78">
        <f>IFERROR(IF(D11="","",F11*MAX(12,'0. Assumptions'!$B$21)),"")</f>
        <v>25740.0</v>
      </c>
      <c r="H11" s="60">
        <f>IFERROR(IF(D11="","",C11*$B$20),"")</f>
        <v>30.0</v>
      </c>
      <c r="I11" s="55">
        <f>IFERROR(IF(D11="","",H11*B11*$B$21),"")</f>
        <v>1500.0</v>
      </c>
      <c r="J11" s="44" t="inlineStr">
        <is>
          <t>Friday, Saturday and Sunday: dishwasher and extra hands for the busiest days</t>
        </is>
      </c>
    </row>
    <row r="12">
      <c r="A12" s="44" t="inlineStr">
        <is>
          <t>Vacation and day-off relief</t>
        </is>
      </c>
      <c r="B12" s="65" t="n">
        <v>1</v>
      </c>
      <c r="C12" s="68" t="n">
        <v>0.2</v>
      </c>
      <c r="D12" s="82" t="n">
        <v>520</v>
      </c>
      <c r="E12" s="78">
        <f>IFERROR(IF(D12="","",D12*'0. Assumptions'!$B$20),"")</f>
        <v>52.0</v>
      </c>
      <c r="F12" s="78">
        <f>IFERROR(IF(D12="","",D12+E12),"")</f>
        <v>572.0</v>
      </c>
      <c r="G12" s="78">
        <f>IFERROR(IF(D12="","",F12*MAX(12,'0. Assumptions'!$B$21)),"")</f>
        <v>6864.0</v>
      </c>
      <c r="H12" s="60">
        <f>IFERROR(IF(D12="","",C12*$B$20),"")</f>
        <v>8.0</v>
      </c>
      <c r="I12" s="55">
        <f>IFERROR(IF(D12="","",H12*B12*$B$21),"")</f>
        <v>400.0</v>
      </c>
      <c r="J12" s="44" t="inlineStr">
        <is>
          <t>Covers vacation, paid time off and the weekly day off for the six positions above. The US sets no federal vacation requirement, so this follows your own policy</t>
        </is>
      </c>
    </row>
    <row r="13">
      <c r="A13" s="41" t="inlineStr">
        <is>
          <t>TOTAL STAFF</t>
        </is>
      </c>
      <c r="B13" s="69">
        <f>IFERROR(IF(COUNT(D6:D12)=0,"",SUM(B6:B12)),"")</f>
        <v>10.0</v>
      </c>
      <c r="C13" s="70">
        <f>IFERROR(IF(COUNT(D6:D12)=0,"",SUMPRODUCT(B6:B12,C6:C12)),"")</f>
        <v>7.95</v>
      </c>
      <c r="D13" s="70">
        <f>IFERROR(IF(COUNT(D6:D12)=0,"",SUM(D6:D12)),"")</f>
        <v>25370.0</v>
      </c>
      <c r="E13" s="70">
        <f>IFERROR(IF(COUNT(D6:D12)=0,"",SUM(E6:E12)),"")</f>
        <v>2537.0</v>
      </c>
      <c r="F13" s="70">
        <f>IFERROR(IF(COUNT(D6:D12)=0,"",SUM(F6:F12)),"")</f>
        <v>27907.0</v>
      </c>
      <c r="G13" s="70">
        <f>IFERROR(IF(COUNT(D6:D12)=0,"",SUM(G6:G12)),"")</f>
        <v>334884.0</v>
      </c>
      <c r="H13" s="44" t="n"/>
      <c r="I13" s="69">
        <f>IFERROR(IF(COUNT(D6:D12)=0,"",SUM(I6:I12)),"")</f>
        <v>15900.0</v>
      </c>
      <c r="J13" s="44" t="n"/>
    </row>
    <row r="14">
      <c r="A14" s="41" t="inlineStr">
        <is>
          <t>STAFF GROWTH (stepped cost)</t>
        </is>
      </c>
      <c r="B14" s="44" t="n"/>
      <c r="C14" s="44" t="n"/>
      <c r="D14" s="44" t="n"/>
      <c r="E14" s="44" t="n"/>
      <c r="F14" s="44" t="n"/>
      <c r="G14" s="44" t="n"/>
      <c r="H14" s="44" t="n"/>
      <c r="I14" s="44" t="n"/>
      <c r="J14" s="44" t="n"/>
    </row>
    <row r="15">
      <c r="A15" s="44" t="inlineStr">
        <is>
          <t>Annual cost of year-2 hires</t>
        </is>
      </c>
      <c r="B15" s="65" t="n">
        <v>8000</v>
      </c>
      <c r="C15" s="44" t="n"/>
      <c r="D15" s="44" t="n"/>
      <c r="E15" s="44" t="n"/>
      <c r="F15" s="44" t="n"/>
      <c r="G15" s="44" t="n"/>
      <c r="H15" s="44" t="n"/>
      <c r="I15" s="44" t="n"/>
      <c r="J15" s="44" t="inlineStr">
        <is>
          <t>FULL ANNUAL cost (gross pay + employer payroll taxes, over all pay periods) of whoever you hire that year. The P&amp;L adds it to the previous year's cost: staffing grows by people, not by a percentage</t>
        </is>
      </c>
    </row>
    <row r="16">
      <c r="A16" s="44" t="inlineStr">
        <is>
          <t>Annual cost of year-3 hires</t>
        </is>
      </c>
      <c r="B16" s="65" t="n">
        <v>8000</v>
      </c>
      <c r="C16" s="44" t="n"/>
      <c r="D16" s="44" t="n"/>
      <c r="E16" s="44" t="n"/>
      <c r="F16" s="44" t="n"/>
      <c r="G16" s="44" t="n"/>
      <c r="H16" s="44" t="n"/>
      <c r="I16" s="44" t="n"/>
      <c r="J16" s="44" t="inlineStr">
        <is>
          <t>FULL ANNUAL cost (gross pay + employer payroll taxes, over all pay periods) of whoever you hire that year. The P&amp;L adds it to the previous year's cost: staffing grows by people, not by a percentage</t>
        </is>
      </c>
    </row>
    <row r="17">
      <c r="A17" s="44" t="inlineStr">
        <is>
          <t>Labor cost, year 2</t>
        </is>
      </c>
      <c r="B17" s="55">
        <f>IFERROR(IF(G13="","",G13*(1+'0. Assumptions'!$B$48)+B15),"")</f>
        <v>342884.0</v>
      </c>
      <c r="C17" s="44" t="n"/>
      <c r="D17" s="44" t="n"/>
      <c r="E17" s="44" t="n"/>
      <c r="F17" s="44" t="n"/>
      <c r="G17" s="44" t="n"/>
      <c r="H17" s="44" t="n"/>
      <c r="I17" s="44" t="n"/>
      <c r="J17" s="44" t="n"/>
    </row>
    <row r="18">
      <c r="A18" s="44" t="inlineStr">
        <is>
          <t>Labor cost, year 3</t>
        </is>
      </c>
      <c r="B18" s="55">
        <f>IFERROR(IF(B17="","",B17*(1+'0. Assumptions'!$B$48)+B16),"")</f>
        <v>350884.0</v>
      </c>
      <c r="C18" s="44" t="n"/>
      <c r="D18" s="44" t="n"/>
      <c r="E18" s="44" t="n"/>
      <c r="F18" s="44" t="n"/>
      <c r="G18" s="44" t="n"/>
      <c r="H18" s="44" t="n"/>
      <c r="I18" s="44" t="n"/>
      <c r="J18" s="44" t="n"/>
    </row>
    <row r="19">
      <c r="A19" s="41" t="inlineStr">
        <is>
          <t>COVERAGE OF SERVICE HOURS</t>
        </is>
      </c>
      <c r="B19" s="44" t="n"/>
      <c r="C19" s="44" t="n"/>
      <c r="D19" s="44" t="n"/>
      <c r="E19" s="44" t="n"/>
      <c r="F19" s="44" t="n"/>
      <c r="G19" s="44" t="n"/>
      <c r="H19" s="44" t="n"/>
      <c r="I19" s="44" t="n"/>
      <c r="J19" s="44" t="n"/>
    </row>
    <row r="20">
      <c r="A20" s="44" t="inlineStr">
        <is>
          <t>Full-time week (hours per week)</t>
        </is>
      </c>
      <c r="B20" s="65" t="n">
        <v>40</v>
      </c>
      <c r="C20" s="44" t="n"/>
      <c r="D20" s="44" t="n"/>
      <c r="E20" s="44" t="n"/>
      <c r="F20" s="44" t="n"/>
      <c r="G20" s="44" t="n"/>
      <c r="H20" s="44" t="n"/>
      <c r="I20" s="44" t="n"/>
      <c r="J20" s="44" t="inlineStr">
        <is>
          <t>40 hours a week is the FLSA overtime threshold for non-exempt employees; some states add daily overtime rules. Change it if your own full-time week is different</t>
        </is>
      </c>
    </row>
    <row r="21">
      <c r="A21" s="44" t="inlineStr">
        <is>
          <t>Weeks worked per year per person</t>
        </is>
      </c>
      <c r="B21" s="65" t="n">
        <v>50</v>
      </c>
      <c r="C21" s="44" t="n"/>
      <c r="D21" s="44" t="n"/>
      <c r="E21" s="44" t="n"/>
      <c r="F21" s="44" t="n"/>
      <c r="G21" s="44" t="n"/>
      <c r="H21" s="44" t="n"/>
      <c r="I21" s="44" t="n"/>
      <c r="J21" s="44" t="inlineStr">
        <is>
          <t>50 weeks: 52 minus about two weeks of vacation, holidays and average absences. There is no federal vacation requirement in the US: adjust it to your own policy</t>
        </is>
      </c>
    </row>
    <row r="22">
      <c r="A22" s="44" t="inlineStr">
        <is>
          <t>Service hours per day to cover</t>
        </is>
      </c>
      <c r="B22" s="62" t="n">
        <v>12</v>
      </c>
      <c r="C22" s="44" t="n"/>
      <c r="D22" s="44" t="n"/>
      <c r="E22" s="44" t="n"/>
      <c r="F22" s="44" t="n"/>
      <c r="G22" s="44" t="n"/>
      <c r="H22" s="44" t="n"/>
      <c r="I22" s="44" t="n"/>
      <c r="J22" s="44" t="inlineStr">
        <is>
          <t>From opening to closing, bar included. Count them on your real schedule</t>
        </is>
      </c>
    </row>
    <row r="23">
      <c r="A23" s="44" t="inlineStr">
        <is>
          <t>People needed at the same time in each shift</t>
        </is>
      </c>
      <c r="B23" s="62" t="n">
        <v>4</v>
      </c>
      <c r="C23" s="44" t="n"/>
      <c r="D23" s="44" t="n"/>
      <c r="E23" s="44" t="n"/>
      <c r="F23" s="44" t="n"/>
      <c r="G23" s="44" t="n"/>
      <c r="H23" s="44" t="n"/>
      <c r="I23" s="44" t="n"/>
      <c r="J23" s="44" t="inlineStr">
        <is>
          <t>Average number of people present at the same time across kitchen, bar and floor. The two busy services need more and mid-afternoon needs fewer</t>
        </is>
      </c>
    </row>
    <row r="24">
      <c r="A24" s="44" t="inlineStr">
        <is>
          <t>Service hours to cover per year</t>
        </is>
      </c>
      <c r="B24" s="55">
        <f>IFERROR(IF(OR(B22="",B23="",'0. Assumptions'!$B$6=""),"",B22*B23*'0. Assumptions'!$B$6),"")</f>
        <v>14880.0</v>
      </c>
      <c r="C24" s="44" t="n"/>
      <c r="D24" s="44" t="n"/>
      <c r="E24" s="44" t="n"/>
      <c r="F24" s="44" t="n"/>
      <c r="G24" s="44" t="n"/>
      <c r="H24" s="44" t="n"/>
      <c r="I24" s="44" t="n"/>
      <c r="J24" s="44" t="n"/>
    </row>
    <row r="25">
      <c r="A25" s="44" t="inlineStr">
        <is>
          <t>Hours hired per year</t>
        </is>
      </c>
      <c r="B25" s="55">
        <f>IFERROR(IF(I13="","",I13),"")</f>
        <v>15900.0</v>
      </c>
      <c r="C25" s="44" t="n"/>
      <c r="D25" s="44" t="n"/>
      <c r="E25" s="44" t="n"/>
      <c r="F25" s="44" t="n"/>
      <c r="G25" s="44" t="n"/>
      <c r="H25" s="44" t="n"/>
      <c r="I25" s="44" t="n"/>
      <c r="J25" s="44" t="n"/>
    </row>
    <row r="26">
      <c r="A26" s="41" t="inlineStr">
        <is>
          <t>Coverage (hired / needed)</t>
        </is>
      </c>
      <c r="B26" s="43">
        <f>IFERROR(B25/B24,"")</f>
        <v>1.0685483870967742</v>
      </c>
      <c r="C26" s="44" t="n"/>
      <c r="D26" s="44" t="n"/>
      <c r="E26" s="44" t="n"/>
      <c r="F26" s="44" t="n"/>
      <c r="G26" s="44" t="n"/>
      <c r="H26" s="44" t="n"/>
      <c r="I26" s="44" t="n"/>
      <c r="J26" s="41" t="inlineStr">
        <is>
          <t>Below 100% the staff cannot cover the hours the plan declares: either hire more or cut the hours</t>
        </is>
      </c>
    </row>
    <row r="27">
      <c r="A27" s="44" t="n"/>
      <c r="B27" s="44" t="n"/>
      <c r="C27" s="44" t="n"/>
      <c r="D27" s="44" t="n"/>
      <c r="E27" s="44" t="n"/>
      <c r="F27" s="44" t="n"/>
      <c r="G27" s="44" t="n"/>
      <c r="H27" s="44" t="n"/>
      <c r="I27" s="44" t="n"/>
      <c r="J27" s="44" t="n"/>
    </row>
    <row r="28" ht="194.5" customHeight="1">
      <c r="A28" s="63" t="inlineStr">
        <is>
          <t>The gross pay, employer payroll taxes, monthly cost and annual cost columns are TOTALS for the row: for a position with two people they include both. FTE is the share of a full-time week for each person, and it is used to compare pay with the legal minimum in proportion; the TOTAL row multiplies it by the people in each position, so it gives the full-time equivalents of the whole team. The payroll tax rate and the number of pay periods are in the "0. Assumptions" tab.</t>
        </is>
      </c>
      <c r="B28" s="44" t="n"/>
      <c r="C28" s="44" t="n"/>
      <c r="D28" s="44" t="n"/>
      <c r="E28" s="44" t="n"/>
      <c r="F28" s="44" t="n"/>
      <c r="G28" s="44" t="n"/>
      <c r="H28" s="44" t="n"/>
      <c r="I28" s="44" t="n"/>
      <c r="J28" s="44" t="n"/>
    </row>
    <row r="29" ht="150" customHeight="1">
      <c r="A29" s="63"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29" s="44" t="n"/>
      <c r="C29" s="44" t="n"/>
      <c r="D29" s="44" t="n"/>
      <c r="E29" s="44" t="n"/>
      <c r="F29" s="44" t="n"/>
      <c r="G29" s="44" t="n"/>
      <c r="H29" s="44" t="n"/>
      <c r="I29" s="44" t="n"/>
      <c r="J29" s="44" t="n"/>
    </row>
    <row r="30">
      <c r="A30" s="44" t="inlineStr">
        <is>
          <t>AI Chef Pro · aichef.pro/en/digital-products/restaurant-business-plan</t>
        </is>
      </c>
      <c r="B30" s="44" t="n"/>
      <c r="C30" s="44" t="n"/>
      <c r="D30" s="44" t="n"/>
      <c r="E30" s="44" t="n"/>
      <c r="F30" s="44" t="n"/>
      <c r="G30" s="44" t="n"/>
      <c r="H30" s="44" t="n"/>
      <c r="I30" s="44" t="n"/>
      <c r="J30"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3:F3"/>
    <mergeCell ref="A2:F2"/>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6:D12">
    <cfRule type="expression" priority="4" dxfId="1" stopIfTrue="1">
      <formula>AND(ISNUMBER(D6),IFERROR(D6/B6,0)*'0. Assumptions'!$B$21&lt;MAX('0. Assumptions'!$B$22,'0. Assumptions'!$B$68)*C6)</formula>
    </cfRule>
  </conditionalFormatting>
  <dataValidations count="3">
    <dataValidation sqref="B6 B7 B8 B9 B10 B11 B12 B15 B16 B20 B21 B22 D6 D7 D8 D9 D10 D11 D12" showDropDown="0" showInputMessage="0" showErrorMessage="1" allowBlank="1" errorTitle="Invalid amount" error="Enter a number greater than or equal to 0." type="decimal" operator="greaterThanOrEqual">
      <formula1>0</formula1>
    </dataValidation>
    <dataValidation sqref="B23"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6 C7 C8 C9 C10 C11 C12"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64"/>
  <sheetViews>
    <sheetView workbookViewId="0">
      <selection activeCell="A1" sqref="A1"/>
    </sheetView>
  </sheetViews>
  <sheetFormatPr baseColWidth="8" defaultRowHeight="15"/>
  <cols>
    <col width="80" customWidth="1" min="1" max="1"/>
    <col width="18" customWidth="1" min="2" max="2"/>
    <col width="22" customWidth="1" min="3" max="3"/>
    <col width="54" customWidth="1" min="4" max="4"/>
  </cols>
  <sheetData>
    <row r="1">
      <c r="A1" s="41" t="inlineStr">
        <is>
          <t>INSTRUCTIONS FOR USE — Restaurant Financial Projections (Casual Restaurant &amp; Bar)</t>
        </is>
      </c>
      <c r="B1" s="44" t="n"/>
      <c r="C1" s="44" t="n"/>
      <c r="D1" s="44" t="n"/>
      <c r="E1" s="44" t="n"/>
    </row>
    <row r="2">
      <c r="A2" s="44" t="n"/>
      <c r="B2" s="44" t="n"/>
      <c r="C2" s="44" t="n"/>
      <c r="D2" s="44" t="n"/>
      <c r="E2" s="44" t="n"/>
    </row>
    <row r="3">
      <c r="A3" s="54" t="inlineStr">
        <is>
          <t>HOW TO USE THIS WORKBOOK</t>
        </is>
      </c>
      <c r="B3" s="44" t="n"/>
      <c r="C3" s="44" t="n"/>
      <c r="D3" s="44" t="n"/>
      <c r="E3" s="44" t="n"/>
    </row>
    <row r="4" ht="30" customHeight="1">
      <c r="A4" s="63" t="inlineStr">
        <is>
          <t>This financial plan is a MODEL: you type only in the GREEN cells and everything else recalculates on its own.</t>
        </is>
      </c>
      <c r="B4" s="44" t="n"/>
      <c r="C4" s="44" t="n"/>
      <c r="D4" s="44" t="n"/>
      <c r="E4" s="44" t="n"/>
    </row>
    <row r="5" ht="30" customHeight="1">
      <c r="A5" s="63" t="inlineStr">
        <is>
          <t>1. "0. Assumptions" is the control sheet: covers per day, average check excl. sales tax, operating days, food and beverage mix, cost of goods sold, rent, financing and taxes.</t>
        </is>
      </c>
      <c r="B5" s="44" t="n"/>
      <c r="C5" s="44" t="n"/>
      <c r="D5" s="44" t="n"/>
      <c r="E5" s="44" t="n"/>
    </row>
    <row r="6" ht="30" customHeight="1">
      <c r="A6" s="63" t="inlineStr">
        <is>
          <t>2. Startup cost items, fixed costs and staffing are typed in their own tab, also in green. No number is typed twice.</t>
        </is>
      </c>
      <c r="B6" s="44" t="n"/>
      <c r="C6" s="44" t="n"/>
      <c r="D6" s="44" t="n"/>
      <c r="E6" s="44" t="n"/>
    </row>
    <row r="7" ht="89.75" customHeight="1">
      <c r="A7" s="63" t="inlineStr">
        <is>
          <t>3. On "3. Break-Even" you only type the seat-turn ceiling your space allows; everything else derives from the rest. The other tabs also have green cells you can change: the pessimistic and optimistic scenarios on "4. Scenarios", the seasonality and the launch ramp-up on "6. 12-Month Cash Flow", and the other funding sources on "7. Financing" (rows 8-11 count as sources but are not amortized: your bank or SBA 7(a) loan goes in "Loan requested" on "0. Assumptions"). Everything else is calculated.</t>
        </is>
      </c>
      <c r="B7" s="44" t="n"/>
      <c r="C7" s="44" t="n"/>
      <c r="D7" s="44" t="n"/>
      <c r="E7" s="44" t="n"/>
    </row>
    <row r="8" ht="165" customHeight="1">
      <c r="A8" s="63" t="inlineStr">
        <is>
          <t>4. All figures are EXCL. SALES TAX. To turn a menu price into a price excl. sales tax, divide it by 1 + your sales tax rate (with an 8% rate, divide by 1.08); if an item is taxed at a different rate (alcohol to go, for instance), use that rate. The rate of each sales line is in the "Sales tax rate on the line (%)" column of the P&amp;L, and from it come the receipts, the sales tax collected and the equivalent menu price incl. sales tax. With the default 0% recoverable input tax, the sales tax you pay on purchases and startup costs is treated as a cost; in the UK, enter 20% if you are VAT-registered.</t>
        </is>
      </c>
      <c r="B8" s="44" t="n"/>
      <c r="C8" s="44" t="n"/>
      <c r="D8" s="44" t="n"/>
      <c r="E8" s="44" t="n"/>
    </row>
    <row r="9" ht="30" customHeight="1">
      <c r="A9" s="63" t="inlineStr">
        <is>
          <t>5. If you change the staffing, the P&amp;L reads it on its own: labor cost comes from the "Staffing" tab, not from a separate estimate.</t>
        </is>
      </c>
      <c r="B9" s="44" t="n"/>
      <c r="C9" s="44" t="n"/>
      <c r="D9" s="44" t="n"/>
      <c r="E9" s="44" t="n"/>
    </row>
    <row r="10" ht="45" customHeight="1">
      <c r="A10" s="63" t="inlineStr">
        <is>
          <t>6. The "6. 12-Month Cash Flow" tab answers the question that decides a loan: in which month the cash runs out. The minimum balance of the year can never be in red.</t>
        </is>
      </c>
      <c r="B10" s="44" t="n"/>
      <c r="C10" s="44" t="n"/>
      <c r="D10" s="44" t="n"/>
      <c r="E10" s="44" t="n"/>
    </row>
    <row r="11" ht="45" customHeight="1">
      <c r="A11" s="63" t="inlineStr">
        <is>
          <t>7. The "7. Financing" tab matches what you need with what you put in and builds the amortization schedule of the loan. If the difference is red, the plan is not funded.</t>
        </is>
      </c>
      <c r="B11" s="44" t="n"/>
      <c r="C11" s="44" t="n"/>
      <c r="D11" s="44" t="n"/>
      <c r="E11" s="44" t="n"/>
    </row>
    <row r="12">
      <c r="A12" s="44" t="n"/>
      <c r="B12" s="44" t="n"/>
      <c r="C12" s="44" t="n"/>
      <c r="D12" s="44" t="n"/>
      <c r="E12" s="44" t="n"/>
    </row>
    <row r="13">
      <c r="A13" s="41" t="inlineStr">
        <is>
          <t>RATIOS AUDITED BY THIS WORKBOOK</t>
        </is>
      </c>
      <c r="B13" s="44" t="n"/>
      <c r="C13" s="44" t="n"/>
      <c r="D13" s="44" t="n"/>
      <c r="E13" s="44" t="n"/>
    </row>
    <row r="14" ht="30" customHeight="1">
      <c r="A14" s="63" t="inlineStr">
        <is>
          <t>Thresholds live in the "Threshold" column of the KEY RATIOS block of the P&amp;L: change them there and the traffic light changes with them.</t>
        </is>
      </c>
      <c r="B14" s="44" t="n"/>
      <c r="C14" s="44" t="n"/>
      <c r="D14" s="44" t="n"/>
      <c r="E14" s="44" t="n"/>
    </row>
    <row r="15">
      <c r="A15" s="44" t="n"/>
      <c r="B15" s="44" t="n"/>
      <c r="C15" s="44" t="n"/>
      <c r="D15" s="44" t="n"/>
      <c r="E15" s="44" t="n"/>
    </row>
    <row r="16">
      <c r="A16" s="41" t="inlineStr">
        <is>
          <t>Ratio</t>
        </is>
      </c>
      <c r="B16" s="41" t="inlineStr">
        <is>
          <t>Year 1 value</t>
        </is>
      </c>
      <c r="C16" s="41" t="inlineStr">
        <is>
          <t>Threshold</t>
        </is>
      </c>
      <c r="D16" s="41" t="inlineStr">
        <is>
          <t>Status</t>
        </is>
      </c>
      <c r="E16" s="44" t="n"/>
    </row>
    <row r="17">
      <c r="A17" s="44" t="inlineStr">
        <is>
          <t>Cost of goods sold / Sales</t>
        </is>
      </c>
      <c r="B17" s="46">
        <f>IFERROR(IF('2. 3-Year P&amp;L'!$B$55="","",'2. 3-Year P&amp;L'!$B$55),"")</f>
        <v>0.275</v>
      </c>
      <c r="C17" s="46">
        <f>IFERROR(IF('2. 3-Year P&amp;L'!$E$55="","",'2. 3-Year P&amp;L'!$E$55),"")</f>
        <v>0.32</v>
      </c>
      <c r="D17" s="44" t="str">
        <f>IFERROR(IF(OR(B17="",C17=""),"",IF(B17&lt;=C17,"OK","REVIEW")),"")</f>
        <v>OK</v>
      </c>
      <c r="E17" s="44" t="n"/>
    </row>
    <row r="18">
      <c r="A18" s="44" t="inlineStr">
        <is>
          <t>Labor cost / Sales</t>
        </is>
      </c>
      <c r="B18" s="46">
        <f>IFERROR(IF('2. 3-Year P&amp;L'!$B$56="","",'2. 3-Year P&amp;L'!$B$56),"")</f>
        <v>0.3086488479262673</v>
      </c>
      <c r="C18" s="46">
        <f>IFERROR(IF('2. 3-Year P&amp;L'!$E$56="","",'2. 3-Year P&amp;L'!$E$56),"")</f>
        <v>0.35</v>
      </c>
      <c r="D18" s="44" t="str">
        <f>IFERROR(IF(OR(B18="",C18=""),"",IF(B18&lt;=C18,"OK","REVIEW")),"")</f>
        <v>OK</v>
      </c>
      <c r="E18" s="44" t="n"/>
    </row>
    <row r="19">
      <c r="A19" s="44" t="inlineStr">
        <is>
          <t>Rent / Sales</t>
        </is>
      </c>
      <c r="B19" s="46">
        <f>IFERROR(IF('2. 3-Year P&amp;L'!$B$57="","",'2. 3-Year P&amp;L'!$B$57),"")</f>
        <v>0.07741935483870968</v>
      </c>
      <c r="C19" s="46">
        <f>IFERROR(IF('2. 3-Year P&amp;L'!$E$57="","",'2. 3-Year P&amp;L'!$E$57),"")</f>
        <v>0.1</v>
      </c>
      <c r="D19" s="44" t="str">
        <f>IFERROR(IF(OR(B19="",C19=""),"",IF(B19&lt;=C19,"OK","REVIEW")),"")</f>
        <v>OK</v>
      </c>
      <c r="E19" s="44" t="n"/>
    </row>
    <row r="20">
      <c r="A20" s="44" t="inlineStr">
        <is>
          <t>Net income / Sales</t>
        </is>
      </c>
      <c r="B20" s="46">
        <f>IFERROR(IF('2. 3-Year P&amp;L'!$B$58="","",'2. 3-Year P&amp;L'!$B$58),"")</f>
        <v>0.07856257406188283</v>
      </c>
      <c r="C20" s="46">
        <f>IFERROR(IF('2. 3-Year P&amp;L'!$E$58="","",'2. 3-Year P&amp;L'!$E$58),"")</f>
        <v>0.05</v>
      </c>
      <c r="D20" s="44" t="str">
        <f>IFERROR(IF(OR(B20="",C20=""),"",IF(B20&gt;=C20,"OK","REVIEW")),"")</f>
        <v>OK</v>
      </c>
      <c r="E20" s="44" t="n"/>
    </row>
    <row r="21">
      <c r="A21" s="44" t="inlineStr">
        <is>
          <t>Gross margin / Sales</t>
        </is>
      </c>
      <c r="B21" s="46">
        <f>IFERROR(IF('2. 3-Year P&amp;L'!$B$53="","",'2. 3-Year P&amp;L'!$B$53),"")</f>
        <v>0.655</v>
      </c>
      <c r="C21" s="46">
        <f>IFERROR(IF('2. 3-Year P&amp;L'!$E$53="","",'2. 3-Year P&amp;L'!$E$53),"")</f>
        <v>0.65</v>
      </c>
      <c r="D21" s="44" t="str">
        <f>IFERROR(IF(OR(B21="",C21=""),"",IF(B21&gt;=C21,"OK","REVIEW")),"")</f>
        <v>OK</v>
      </c>
      <c r="E21" s="44" t="n"/>
    </row>
    <row r="22">
      <c r="A22" s="44" t="n"/>
      <c r="B22" s="44" t="n"/>
      <c r="C22" s="44" t="n"/>
      <c r="D22" s="44" t="n"/>
      <c r="E22" s="44" t="n"/>
    </row>
    <row r="23">
      <c r="A23" s="41" t="inlineStr">
        <is>
          <t>THIS PLAN'S KEY FIGURES</t>
        </is>
      </c>
      <c r="B23" s="44" t="n"/>
      <c r="C23" s="44" t="n"/>
      <c r="D23" s="44" t="n"/>
      <c r="E23" s="44" t="n"/>
    </row>
    <row r="24">
      <c r="A24" s="44" t="inlineStr">
        <is>
          <t>Total startup costs (sum of the blocks)</t>
        </is>
      </c>
      <c r="B24" s="55">
        <f>IFERROR(IF('1. Startup Costs'!$B$48="","",'1. Startup Costs'!$B$48),"")</f>
        <v>528696.0</v>
      </c>
      <c r="C24" s="44" t="n"/>
      <c r="D24" s="44" t="n"/>
      <c r="E24" s="44" t="n"/>
    </row>
    <row r="25">
      <c r="A25" s="44" t="inlineStr">
        <is>
          <t>Total cash needed at launch</t>
        </is>
      </c>
      <c r="B25" s="55">
        <f>IFERROR(IF('1. Startup Costs'!$B$51="","",'1. Startup Costs'!$B$51),"")</f>
        <v>528696.0</v>
      </c>
      <c r="C25" s="44" t="n"/>
      <c r="D25" s="44" t="n"/>
      <c r="E25" s="44" t="n"/>
    </row>
    <row r="26">
      <c r="A26" s="44" t="inlineStr">
        <is>
          <t>Working capital funded</t>
        </is>
      </c>
      <c r="B26" s="55">
        <f>IFERROR(IF('1. Startup Costs'!$B$47="","",'1. Startup Costs'!$B$47),"")</f>
        <v>139996.0</v>
      </c>
      <c r="C26" s="44" t="n"/>
      <c r="D26" s="44" t="n"/>
      <c r="E26" s="44" t="n"/>
    </row>
    <row r="27">
      <c r="A27" s="44" t="inlineStr">
        <is>
          <t>Forecast year-1 revenue</t>
        </is>
      </c>
      <c r="B27" s="55">
        <f>IFERROR(IF('2. 3-Year P&amp;L'!$B$10="","",'2. 3-Year P&amp;L'!$B$10),"")</f>
        <v>1085000.0</v>
      </c>
      <c r="C27" s="44" t="n"/>
      <c r="D27" s="44" t="n"/>
      <c r="E27" s="44" t="n"/>
    </row>
    <row r="28">
      <c r="A28" s="44" t="inlineStr">
        <is>
          <t>Year-1 net income</t>
        </is>
      </c>
      <c r="B28" s="55">
        <f>IFERROR(IF('2. 3-Year P&amp;L'!$B$50="","",'2. 3-Year P&amp;L'!$B$50),"")</f>
        <v>85240.39285714287</v>
      </c>
      <c r="C28" s="44" t="n"/>
      <c r="D28" s="44" t="n"/>
      <c r="E28" s="44" t="n"/>
    </row>
    <row r="29">
      <c r="A29" s="44" t="inlineStr">
        <is>
          <t>Covers per day for the ACCOUNTING break-even (depreciation included)</t>
        </is>
      </c>
      <c r="B29" s="60">
        <f>IFERROR(IF('3. Break-Even'!$B$16="","",'3. Break-Even'!$B$16),"")</f>
        <v>105.00952313947002</v>
      </c>
      <c r="C29" s="44" t="n"/>
      <c r="D29" s="44" t="n"/>
      <c r="E29" s="44" t="n"/>
    </row>
    <row r="30">
      <c r="A30" s="44" t="inlineStr">
        <is>
          <t>Project payback (years), before debt</t>
        </is>
      </c>
      <c r="B30" s="44">
        <f>IFERROR(IF('6. 12-Month Cash Flow'!$B$31="","",'6. 12-Month Cash Flow'!$B$31),"")</f>
        <v>2.7</v>
      </c>
      <c r="C30" s="44" t="n"/>
      <c r="D30" s="44" t="n"/>
      <c r="E30" s="44" t="n"/>
    </row>
    <row r="31">
      <c r="A31" s="44" t="n"/>
      <c r="B31" s="44" t="n"/>
      <c r="C31" s="44" t="n"/>
      <c r="D31" s="44" t="n"/>
      <c r="E31" s="44" t="n"/>
    </row>
    <row r="32">
      <c r="A32" s="41" t="inlineStr">
        <is>
          <t>WHY THIS MODEL IS BUILT THIS WAY</t>
        </is>
      </c>
      <c r="B32" s="44" t="n"/>
      <c r="C32" s="44" t="n"/>
      <c r="D32" s="44" t="n"/>
      <c r="E32" s="44" t="n"/>
    </row>
    <row r="33">
      <c r="A33" s="41" t="inlineStr">
        <is>
          <t>Item</t>
        </is>
      </c>
      <c r="B33" s="41" t="inlineStr">
        <is>
          <t>Common shortcut</t>
        </is>
      </c>
      <c r="C33" s="41" t="inlineStr">
        <is>
          <t>This workbook</t>
        </is>
      </c>
      <c r="D33" s="41" t="inlineStr">
        <is>
          <t>Why</t>
        </is>
      </c>
      <c r="E33" s="44" t="n"/>
    </row>
    <row r="34" ht="45" customHeight="1">
      <c r="A34" s="81" t="inlineStr">
        <is>
          <t>Labor cost in the P&amp;L</t>
        </is>
      </c>
      <c r="B34" s="81" t="inlineStr">
        <is>
          <t>A typed-in number, disconnected from the staffing tab</t>
        </is>
      </c>
      <c r="C34" s="81" t="inlineStr">
        <is>
          <t>The total of the "5. Staffing" tab, by formula</t>
        </is>
      </c>
      <c r="D34" s="63" t="inlineStr">
        <is>
          <t>When the P&amp;L and the staffing tab disagree, nobody knows which one to trust. Here both say the same thing, and if you change a salary the result changes on its own.</t>
        </is>
      </c>
      <c r="E34" s="44" t="n"/>
    </row>
    <row r="35" ht="45" customHeight="1">
      <c r="A35" s="81" t="inlineStr">
        <is>
          <t>Staffing</t>
        </is>
      </c>
      <c r="B35" s="81" t="inlineStr">
        <is>
          <t>A handful of positions sized by guesswork</t>
        </is>
      </c>
      <c r="C35" s="81" t="inlineStr">
        <is>
          <t>Positions, including part-time lines and relief coverage, sized to the service hours you declare</t>
        </is>
      </c>
      <c r="D35" s="63" t="inlineStr">
        <is>
          <t>Labor is sized to the hours of service this workbook declares, so the payroll comes from the schedule and is then tested against the labor-cost ceiling in the industry benchmarks table.</t>
        </is>
      </c>
      <c r="E35" s="44" t="n"/>
    </row>
    <row r="36" ht="45" customHeight="1">
      <c r="A36" s="81" t="inlineStr">
        <is>
          <t>Covers per day, year 1</t>
        </is>
      </c>
      <c r="B36" s="81" t="inlineStr">
        <is>
          <t>Backed out of a revenue target</t>
        </is>
      </c>
      <c r="C36" s="81" t="inlineStr">
        <is>
          <t>Typed in as an input and tested against the seat count</t>
        </is>
      </c>
      <c r="D36" s="63" t="inlineStr">
        <is>
          <t>Covers per day is a driver, not a plug. Compare the seat turns it implies on the "0. Assumptions" tab with the ceiling your space allows on the "3. Break-Even" tab.</t>
        </is>
      </c>
      <c r="E36" s="44" t="n"/>
    </row>
    <row r="37" ht="59.75" customHeight="1">
      <c r="A37" s="81" t="inlineStr">
        <is>
          <t>Average check</t>
        </is>
      </c>
      <c r="B37" s="81" t="inlineStr">
        <is>
          <t>A single number, without saying whether it includes sales tax</t>
        </is>
      </c>
      <c r="C37" s="81" t="inlineStr">
        <is>
          <t>Entered EXCL. sales tax</t>
        </is>
      </c>
      <c r="D37" s="63" t="inlineStr">
        <is>
          <t>Revenue is booked excl. sales tax, as it appears in your P&amp;L. The workbook calculates the equivalent menu price incl. sales tax so you can compare it with your real menu and with the benchmark range.</t>
        </is>
      </c>
      <c r="E37" s="44" t="n"/>
    </row>
    <row r="38" ht="30" customHeight="1">
      <c r="A38" s="81" t="inlineStr">
        <is>
          <t>Rent</t>
        </is>
      </c>
      <c r="B38" s="81" t="inlineStr">
        <is>
          <t>A monthly figure with no link to sales</t>
        </is>
      </c>
      <c r="C38" s="81" t="inlineStr">
        <is>
          <t>A monthly rent on the "0. Assumptions" tab, tested as a percentage of sales</t>
        </is>
      </c>
      <c r="D38" s="63" t="inlineStr">
        <is>
          <t>The "2. 3-Year P&amp;L" shows rent against the 10% of sales ceiling, so you see right away whether the location is viable.</t>
        </is>
      </c>
      <c r="E38" s="44" t="n"/>
    </row>
    <row r="39" ht="45" customHeight="1">
      <c r="A39" s="81" t="inlineStr">
        <is>
          <t>Utilities</t>
        </is>
      </c>
      <c r="B39" s="81" t="inlineStr">
        <is>
          <t>A low flat estimate that ignores the equipment</t>
        </is>
      </c>
      <c r="C39" s="81" t="inlineStr">
        <is>
          <t>A monthly figure sized to a kitchen with ovens, coolers and a hood</t>
        </is>
      </c>
      <c r="D39" s="63" t="inlineStr">
        <is>
          <t>A kitchen with ovens, walk-in coolers and a Type I hood does not run on a token share of sales: ask for the space's utility history and enter a realistic bill.</t>
        </is>
      </c>
      <c r="E39" s="44" t="n"/>
    </row>
    <row r="40" ht="45" customHeight="1">
      <c r="A40" s="81" t="inlineStr">
        <is>
          <t>Working capital</t>
        </is>
      </c>
      <c r="B40" s="81" t="inlineStr">
        <is>
          <t>A round number with a "3 months" label</t>
        </is>
      </c>
      <c r="C40" s="81" t="inlineStr">
        <is>
          <t>3 months of cash fixed costs, by formula</t>
        </is>
      </c>
      <c r="D40" s="63" t="inlineStr">
        <is>
          <t>A typed figure can cover far fewer months than its label says. A formula recalculates by itself whenever you change any expense.</t>
        </is>
      </c>
      <c r="E40" s="44" t="n"/>
    </row>
    <row r="41" ht="45" customHeight="1">
      <c r="A41" s="81" t="inlineStr">
        <is>
          <t>Depreciation</t>
        </is>
      </c>
      <c r="B41" s="81" t="inlineStr">
        <is>
          <t>A flat annual number with an implied base nobody can trace</t>
        </is>
      </c>
      <c r="C41" s="81" t="inlineStr">
        <is>
          <t>Real depreciable base divided by useful life, by formula</t>
        </is>
      </c>
      <c r="D41" s="63" t="inlineStr">
        <is>
          <t>The fixed assets listed in this workbook add up to more than a rule of thumb suggests, and working capital is never depreciated.</t>
        </is>
      </c>
      <c r="E41" s="44" t="n"/>
    </row>
    <row r="42" ht="30" customHeight="1">
      <c r="A42" s="81" t="inlineStr">
        <is>
          <t>Loan payment in the P&amp;L</t>
        </is>
      </c>
      <c r="B42" s="81" t="inlineStr">
        <is>
          <t>The full payment, principal included</t>
        </is>
      </c>
      <c r="C42" s="81" t="inlineStr">
        <is>
          <t>Interest only; principal repaid goes to the cash flow</t>
        </is>
      </c>
      <c r="D42" s="63" t="inlineStr">
        <is>
          <t>Putting the full payment above the line turns the P&amp;L into a cash flow, and a lender spots it immediately.</t>
        </is>
      </c>
      <c r="E42" s="44" t="n"/>
    </row>
    <row r="43" ht="74.75" customHeight="1">
      <c r="A43" s="81" t="inlineStr">
        <is>
          <t>Income tax</t>
        </is>
      </c>
      <c r="B43" s="81" t="inlineStr">
        <is>
          <t>A flat rate that ignores the losses of the first year</t>
        </is>
      </c>
      <c r="C43" s="81" t="inlineStr">
        <is>
          <t>An effective income tax rate (years 1-2 and from year 3), with net operating losses carried forward</t>
        </is>
      </c>
      <c r="D43" s="63" t="inlineStr">
        <is>
          <t>Early losses offset later profits, so the model carries them forward. Federal rules cap the offset at 80% of taxable income and the model offsets 100%, a declared simplification. If your business is a pass-through entity, set the rate to 0% and remember that you pay the tax on your personal return.</t>
        </is>
      </c>
      <c r="E43" s="44" t="n"/>
    </row>
    <row r="44" ht="15" customHeight="1">
      <c r="A44" s="81" t="inlineStr">
        <is>
          <t>Delivery platform fees</t>
        </is>
      </c>
      <c r="B44" s="81" t="inlineStr">
        <is>
          <t>A percentage of ALL revenue, with no switch</t>
        </is>
      </c>
      <c r="C44" s="81" t="inlineStr">
        <is>
          <t>Share of sales through the channel × platform commission, at 0 by default</t>
        </is>
      </c>
      <c r="D44" s="63" t="inlineStr">
        <is>
          <t>If you do not deliver, you do not carry an invented cost.</t>
        </is>
      </c>
      <c r="E44" s="44" t="n"/>
    </row>
    <row r="45" ht="30" customHeight="1">
      <c r="A45" s="81" t="inlineStr">
        <is>
          <t>Beverage cost</t>
        </is>
      </c>
      <c r="B45" s="81" t="inlineStr">
        <is>
          <t>A food-cost percentage applied to the total PLUS a separate beverage percentage</t>
        </is>
      </c>
      <c r="C45" s="81" t="inlineStr">
        <is>
          <t>Each product family carries its own cost rate</t>
        </is>
      </c>
      <c r="D45" s="63" t="inlineStr">
        <is>
          <t>Applying both rates to the same sales charges the beverage cost twice. Here food and beverage each pay their own cost, once.</t>
        </is>
      </c>
      <c r="E45" s="44" t="n"/>
    </row>
    <row r="46">
      <c r="A46" s="44" t="n"/>
      <c r="B46" s="44" t="n"/>
      <c r="C46" s="44" t="n"/>
      <c r="D46" s="44" t="n"/>
      <c r="E46" s="44" t="n"/>
    </row>
    <row r="47">
      <c r="A47" s="41" t="inlineStr">
        <is>
          <t>INDUSTRY BENCHMARKS</t>
        </is>
      </c>
      <c r="B47" s="44" t="n"/>
      <c r="C47" s="44" t="n"/>
      <c r="D47" s="44" t="n"/>
      <c r="E47" s="44" t="n"/>
    </row>
    <row r="48">
      <c r="A48" s="41" t="inlineStr">
        <is>
          <t>Benchmark</t>
        </is>
      </c>
      <c r="B48" s="41" t="inlineStr">
        <is>
          <t>Value</t>
        </is>
      </c>
      <c r="C48" s="41" t="inlineStr">
        <is>
          <t>Source</t>
        </is>
      </c>
      <c r="D48" s="41" t="inlineStr">
        <is>
          <t>Note</t>
        </is>
      </c>
      <c r="E48" s="44" t="n"/>
    </row>
    <row r="49" ht="30" customHeight="1">
      <c r="A49" s="44" t="inlineStr">
        <is>
          <t>Average check, casual restaurant (menu price)</t>
        </is>
      </c>
      <c r="B49" s="44" t="inlineStr">
        <is>
          <t>25-40</t>
        </is>
      </c>
      <c r="C49" s="44" t="inlineStr">
        <is>
          <t>Kit estimate</t>
        </is>
      </c>
      <c r="D49" s="63" t="inlineStr">
        <is>
          <t>The menu-price equivalent of this plan is calculated on the "0. Assumptions" tab</t>
        </is>
      </c>
      <c r="E49" s="44" t="n"/>
    </row>
    <row r="50">
      <c r="A50" s="44" t="inlineStr">
        <is>
          <t>Rent for a casual restaurant of about 2,800 sq ft in an urban area</t>
        </is>
      </c>
      <c r="B50" s="44" t="inlineStr">
        <is>
          <t>About 7,000 per month</t>
        </is>
      </c>
      <c r="C50" s="44" t="inlineStr">
        <is>
          <t>Kit estimate</t>
        </is>
      </c>
      <c r="D50" s="63" t="n"/>
      <c r="E50" s="44" t="n"/>
    </row>
    <row r="51">
      <c r="A51" s="44" t="inlineStr">
        <is>
          <t>Food cost target</t>
        </is>
      </c>
      <c r="B51" s="44" t="inlineStr">
        <is>
          <t>25-35%</t>
        </is>
      </c>
      <c r="C51" s="44" t="inlineStr">
        <is>
          <t>Kit estimate</t>
        </is>
      </c>
      <c r="D51" s="63" t="n"/>
      <c r="E51" s="44" t="n"/>
    </row>
    <row r="52" ht="30" customHeight="1">
      <c r="A52" s="44" t="inlineStr">
        <is>
          <t>Labor cost / Sales</t>
        </is>
      </c>
      <c r="B52" s="44" t="inlineStr">
        <is>
          <t>25-33%</t>
        </is>
      </c>
      <c r="C52" s="44" t="inlineStr">
        <is>
          <t>Kit estimate</t>
        </is>
      </c>
      <c r="D52" s="63" t="inlineStr">
        <is>
          <t>The "2. 3-Year P&amp;L" flags labor above 35% of sales (kit benchmark, editable estimate)</t>
        </is>
      </c>
      <c r="E52" s="44" t="n"/>
    </row>
    <row r="53">
      <c r="A53" s="44" t="inlineStr">
        <is>
          <t>Net margin</t>
        </is>
      </c>
      <c r="B53" s="44" t="inlineStr">
        <is>
          <t>5% or more</t>
        </is>
      </c>
      <c r="C53" s="44" t="inlineStr">
        <is>
          <t>Kit estimate</t>
        </is>
      </c>
      <c r="D53" s="63" t="n"/>
      <c r="E53" s="44" t="n"/>
    </row>
    <row r="54">
      <c r="A54" s="44" t="inlineStr">
        <is>
          <t>Break-even</t>
        </is>
      </c>
      <c r="B54" s="44" t="inlineStr">
        <is>
          <t>Reachable within 12 months</t>
        </is>
      </c>
      <c r="C54" s="44" t="inlineStr">
        <is>
          <t>Kit estimate</t>
        </is>
      </c>
      <c r="D54" s="63" t="n"/>
      <c r="E54" s="44" t="n"/>
    </row>
    <row r="55" ht="75" customHeight="1">
      <c r="A55" s="44" t="inlineStr">
        <is>
          <t>Average opening investment</t>
        </is>
      </c>
      <c r="B55" s="44" t="inlineStr">
        <is>
          <t>175,000-400,000 (survey median 375,500)</t>
        </is>
      </c>
      <c r="C55" s="44" t="inlineStr">
        <is>
          <t>DoorDash for Merchants (merchants.doordash.com)</t>
        </is>
      </c>
      <c r="D55" s="63" t="inlineStr">
        <is>
          <t>This is the industry reference range. The investment in THIS plan is calculated on the "1. Startup Costs" tab: if it lands above the range, it is because it includes working capital, opening inventory and a build-out contingency, which reference ranges do not always count</t>
        </is>
      </c>
      <c r="E55" s="44" t="n"/>
    </row>
    <row r="56" ht="45" customHeight="1">
      <c r="A56" s="44" t="inlineStr">
        <is>
          <t>Liquor license (state + local)</t>
        </is>
      </c>
      <c r="B56" s="44" t="inlineStr">
        <is>
          <t>From 50 to 300,000+</t>
        </is>
      </c>
      <c r="C56" s="44" t="inlineStr">
        <is>
          <t>Webstaurant Store (webstaurantstore.com)</t>
        </is>
      </c>
      <c r="D56" s="63" t="inlineStr">
        <is>
          <t>This workbook budgets a non-quota state example; in quota states you buy an existing license</t>
        </is>
      </c>
      <c r="E56" s="44" t="n"/>
    </row>
    <row r="57">
      <c r="A57" s="44" t="inlineStr">
        <is>
          <t>Prime cost (food + labor)</t>
        </is>
      </c>
      <c r="B57" s="44" t="inlineStr">
        <is>
          <t>60-65% of sales</t>
        </is>
      </c>
      <c r="C57" s="44" t="inlineStr">
        <is>
          <t>Restaurant365 (restaurant365.com)</t>
        </is>
      </c>
      <c r="D57" s="63" t="n"/>
      <c r="E57" s="44" t="n"/>
    </row>
    <row r="58" ht="45" customHeight="1">
      <c r="A58" s="44" t="inlineStr">
        <is>
          <t>Applicable state / local minimum wage</t>
        </is>
      </c>
      <c r="B58" s="44" t="inlineStr">
        <is>
          <t>State and local minimum wage</t>
        </is>
      </c>
      <c r="C58" s="44" t="inlineStr">
        <is>
          <t>DOL (dol.gov/agencies/whd/minimum-wage)</t>
        </is>
      </c>
      <c r="D58" s="63" t="inlineStr">
        <is>
          <t>There is no single national table above the federal floor: look up the rate for your state and city and enter it on the "0. Assumptions" tab</t>
        </is>
      </c>
      <c r="E58" s="44" t="n"/>
    </row>
    <row r="59">
      <c r="A59" s="44" t="n"/>
      <c r="B59" s="44" t="n"/>
      <c r="C59" s="44" t="n"/>
      <c r="D59" s="44" t="n"/>
      <c r="E59" s="44" t="n"/>
    </row>
    <row r="60">
      <c r="A60" s="80" t="inlineStr">
        <is>
          <t>To edit a cell that is not green: Review → Unprotect Sheet (there is no password).</t>
        </is>
      </c>
      <c r="B60" s="44" t="n"/>
      <c r="C60" s="44" t="n"/>
      <c r="D60" s="44" t="n"/>
      <c r="E60" s="44" t="n"/>
    </row>
    <row r="61">
      <c r="A61" s="80" t="inlineStr">
        <is>
          <t>More templates and kits in the catalog at aichef.pro/en/digital-products</t>
        </is>
      </c>
      <c r="B61" s="44" t="n"/>
      <c r="C61" s="44" t="n"/>
      <c r="D61" s="44" t="n"/>
      <c r="E61" s="44" t="n"/>
    </row>
    <row r="62">
      <c r="A62" s="80" t="inlineStr">
        <is>
          <t>Designed by John Guerrero — chef and restaurant consultant since 2010, in the kitchen since age 17 · johnguerrero.es</t>
        </is>
      </c>
      <c r="B62" s="44" t="n"/>
      <c r="C62" s="44" t="n"/>
      <c r="D62" s="44" t="n"/>
      <c r="E62" s="44" t="n"/>
    </row>
    <row r="63">
      <c r="A63" s="80" t="inlineStr">
        <is>
          <t>Version 2.2 · October 2026 · aichef.pro/en/digital-products/restaurant-business-plan · info@aichef.pro</t>
        </is>
      </c>
      <c r="B63" s="44" t="n"/>
      <c r="C63" s="44" t="n"/>
      <c r="D63" s="44" t="n"/>
      <c r="E63" s="44" t="n"/>
    </row>
    <row r="64" ht="30" customHeight="1">
      <c r="A64" s="83"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7:D21">
    <cfRule type="containsText" priority="1" operator="containsText" dxfId="0" stopIfTrue="1" text="OK">
      <formula>NOT(ISERROR(SEARCH("OK",D17)))</formula>
    </cfRule>
    <cfRule type="containsText" priority="2" operator="containsText" dxfId="1" stopIfTrue="1" text="REVIEW">
      <formula>NOT(ISERROR(SEARCH("REVIEW",D17)))</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41" t="inlineStr">
        <is>
          <t>CASH FLOW FORECAST — YEAR 1</t>
        </is>
      </c>
      <c r="B1" s="44" t="n"/>
      <c r="C1" s="44" t="n"/>
      <c r="D1" s="44" t="n"/>
      <c r="E1" s="44" t="n"/>
      <c r="F1" s="44" t="n"/>
      <c r="G1" s="44" t="n"/>
      <c r="H1" s="44" t="n"/>
      <c r="I1" s="44" t="n"/>
      <c r="J1" s="44" t="n"/>
      <c r="K1" s="44" t="n"/>
      <c r="L1" s="44" t="n"/>
      <c r="M1" s="44" t="n"/>
      <c r="N1" s="44" t="n"/>
      <c r="O1" s="44" t="n"/>
    </row>
    <row r="2" ht="59.75" customHeight="1">
      <c r="A2" s="63" t="inlineStr">
        <is>
          <t>The P&amp;L tells you whether the business makes money; this tab tells you whether you have cash left to get to the end of the month. It is the first one a lender looks at.</t>
        </is>
      </c>
      <c r="B2" s="44" t="n"/>
      <c r="C2" s="44" t="n"/>
      <c r="D2" s="44" t="n"/>
      <c r="E2" s="44" t="n"/>
      <c r="F2" s="44" t="n"/>
      <c r="G2" s="44" t="n"/>
      <c r="H2" s="44" t="n"/>
      <c r="I2" s="44" t="n"/>
      <c r="J2" s="44" t="n"/>
      <c r="K2" s="44" t="n"/>
      <c r="L2" s="44" t="n"/>
      <c r="M2" s="44" t="n"/>
      <c r="N2" s="44" t="n"/>
      <c r="O2" s="44" t="n"/>
    </row>
    <row r="3">
      <c r="A3" s="44" t="n"/>
      <c r="B3" s="44" t="n"/>
      <c r="C3" s="44" t="n"/>
      <c r="D3" s="44" t="n"/>
      <c r="E3" s="44" t="n"/>
      <c r="F3" s="44" t="n"/>
      <c r="G3" s="44" t="n"/>
      <c r="H3" s="44" t="n"/>
      <c r="I3" s="44" t="n"/>
      <c r="J3" s="44" t="n"/>
      <c r="K3" s="44" t="n"/>
      <c r="L3" s="44" t="n"/>
      <c r="M3" s="44" t="n"/>
      <c r="N3" s="44" t="n"/>
      <c r="O3" s="44" t="n"/>
    </row>
    <row r="4">
      <c r="A4" s="41" t="inlineStr">
        <is>
          <t>Item</t>
        </is>
      </c>
      <c r="B4" s="41" t="inlineStr">
        <is>
          <t>Month 1</t>
        </is>
      </c>
      <c r="C4" s="41" t="inlineStr">
        <is>
          <t>Month 2</t>
        </is>
      </c>
      <c r="D4" s="41" t="inlineStr">
        <is>
          <t>Month 3</t>
        </is>
      </c>
      <c r="E4" s="41" t="inlineStr">
        <is>
          <t>Month 4</t>
        </is>
      </c>
      <c r="F4" s="41" t="inlineStr">
        <is>
          <t>Month 5</t>
        </is>
      </c>
      <c r="G4" s="41" t="inlineStr">
        <is>
          <t>Month 6</t>
        </is>
      </c>
      <c r="H4" s="41" t="inlineStr">
        <is>
          <t>Month 7</t>
        </is>
      </c>
      <c r="I4" s="41" t="inlineStr">
        <is>
          <t>Month 8</t>
        </is>
      </c>
      <c r="J4" s="41" t="inlineStr">
        <is>
          <t>Month 9</t>
        </is>
      </c>
      <c r="K4" s="41" t="inlineStr">
        <is>
          <t>Month 10</t>
        </is>
      </c>
      <c r="L4" s="41" t="inlineStr">
        <is>
          <t>Month 11</t>
        </is>
      </c>
      <c r="M4" s="41" t="inlineStr">
        <is>
          <t>Month 12</t>
        </is>
      </c>
      <c r="N4" s="41" t="inlineStr">
        <is>
          <t>Year</t>
        </is>
      </c>
      <c r="O4" s="44" t="n"/>
    </row>
    <row r="5">
      <c r="A5" s="44" t="inlineStr">
        <is>
          <t>Monthly seasonality (adds up to 100%)</t>
        </is>
      </c>
      <c r="B5" s="77" t="n">
        <v>0.07000000000000001</v>
      </c>
      <c r="C5" s="77" t="n">
        <v>0.07199999999999999</v>
      </c>
      <c r="D5" s="77" t="n">
        <v>0.082</v>
      </c>
      <c r="E5" s="77" t="n">
        <v>0.08500000000000001</v>
      </c>
      <c r="F5" s="77" t="n">
        <v>0.09</v>
      </c>
      <c r="G5" s="77" t="n">
        <v>0.08799999999999999</v>
      </c>
      <c r="H5" s="77" t="n">
        <v>0.08500000000000001</v>
      </c>
      <c r="I5" s="77" t="n">
        <v>0.062</v>
      </c>
      <c r="J5" s="77" t="n">
        <v>0.08500000000000001</v>
      </c>
      <c r="K5" s="77" t="n">
        <v>0.08799999999999999</v>
      </c>
      <c r="L5" s="77" t="n">
        <v>0.08699999999999999</v>
      </c>
      <c r="M5" s="77" t="n">
        <v>0.106</v>
      </c>
      <c r="N5" s="46">
        <f>IFERROR(IF('2. 3-Year P&amp;L'!$B$10="","",SUM(B5:M5)),"")</f>
        <v>1.0</v>
      </c>
      <c r="O5" s="44" t="inlineStr">
        <is>
          <t>Profile for your area: adjust it to your own slow and busy months (weather, tourism, events). It must add up to 100%</t>
        </is>
      </c>
    </row>
    <row r="6">
      <c r="A6" s="44" t="inlineStr">
        <is>
          <t>Launch ramp-up (% of steady-state activity)</t>
        </is>
      </c>
      <c r="B6" s="46">
        <f>IFERROR(IF('2. 3-Year P&amp;L'!$B$10="","",MIN(1,'0. Assumptions'!$B$52+(1-'0. Assumptions'!$B$52)*0/MAX(1,'0. Assumptions'!$B$53-1))),"")</f>
        <v>0.55</v>
      </c>
      <c r="C6" s="46">
        <f>IFERROR(IF('2. 3-Year P&amp;L'!$B$10="","",MIN(1,'0. Assumptions'!$B$52+(1-'0. Assumptions'!$B$52)*1/MAX(1,'0. Assumptions'!$B$53-1))),"")</f>
        <v>0.64</v>
      </c>
      <c r="D6" s="46">
        <f>IFERROR(IF('2. 3-Year P&amp;L'!$B$10="","",MIN(1,'0. Assumptions'!$B$52+(1-'0. Assumptions'!$B$52)*2/MAX(1,'0. Assumptions'!$B$53-1))),"")</f>
        <v>0.73</v>
      </c>
      <c r="E6" s="46">
        <f>IFERROR(IF('2. 3-Year P&amp;L'!$B$10="","",MIN(1,'0. Assumptions'!$B$52+(1-'0. Assumptions'!$B$52)*3/MAX(1,'0. Assumptions'!$B$53-1))),"")</f>
        <v>0.8200000000000001</v>
      </c>
      <c r="F6" s="46">
        <f>IFERROR(IF('2. 3-Year P&amp;L'!$B$10="","",MIN(1,'0. Assumptions'!$B$52+(1-'0. Assumptions'!$B$52)*4/MAX(1,'0. Assumptions'!$B$53-1))),"")</f>
        <v>0.91</v>
      </c>
      <c r="G6" s="46">
        <f>IFERROR(IF('2. 3-Year P&amp;L'!$B$10="","",MIN(1,'0. Assumptions'!$B$52+(1-'0. Assumptions'!$B$52)*5/MAX(1,'0. Assumptions'!$B$53-1))),"")</f>
        <v>1.0</v>
      </c>
      <c r="H6" s="46">
        <f>IFERROR(IF('2. 3-Year P&amp;L'!$B$10="","",MIN(1,'0. Assumptions'!$B$52+(1-'0. Assumptions'!$B$52)*6/MAX(1,'0. Assumptions'!$B$53-1))),"")</f>
        <v>1.0</v>
      </c>
      <c r="I6" s="46">
        <f>IFERROR(IF('2. 3-Year P&amp;L'!$B$10="","",MIN(1,'0. Assumptions'!$B$52+(1-'0. Assumptions'!$B$52)*7/MAX(1,'0. Assumptions'!$B$53-1))),"")</f>
        <v>1.0</v>
      </c>
      <c r="J6" s="46">
        <f>IFERROR(IF('2. 3-Year P&amp;L'!$B$10="","",MIN(1,'0. Assumptions'!$B$52+(1-'0. Assumptions'!$B$52)*8/MAX(1,'0. Assumptions'!$B$53-1))),"")</f>
        <v>1.0</v>
      </c>
      <c r="K6" s="46">
        <f>IFERROR(IF('2. 3-Year P&amp;L'!$B$10="","",MIN(1,'0. Assumptions'!$B$52+(1-'0. Assumptions'!$B$52)*9/MAX(1,'0. Assumptions'!$B$53-1))),"")</f>
        <v>1.0</v>
      </c>
      <c r="L6" s="46">
        <f>IFERROR(IF('2. 3-Year P&amp;L'!$B$10="","",MIN(1,'0. Assumptions'!$B$52+(1-'0. Assumptions'!$B$52)*10/MAX(1,'0. Assumptions'!$B$53-1))),"")</f>
        <v>1.0</v>
      </c>
      <c r="M6" s="46">
        <f>IFERROR(IF('2. 3-Year P&amp;L'!$B$10="","",MIN(1,'0. Assumptions'!$B$52+(1-'0. Assumptions'!$B$52)*11/MAX(1,'0. Assumptions'!$B$53-1))),"")</f>
        <v>1.0</v>
      </c>
      <c r="N6" s="44" t="n"/>
      <c r="O6" s="44" t="inlineStr">
        <is>
          <t>Rises in a straight line from the month-1 percentage to 100% over the number of months you set in Assumptions. With month 1 at 100%, the ramp disappears</t>
        </is>
      </c>
    </row>
    <row r="7">
      <c r="A7" s="44" t="inlineStr">
        <is>
          <t>Split of activity by month (calculated)</t>
        </is>
      </c>
      <c r="B7" s="46">
        <f>IFERROR(IF('2. 3-Year P&amp;L'!$B$10="","",B5*B6/SUMPRODUCT($B$5:$M$5,$B$6:$M$6)),"")</f>
        <v>0.04291893338089719</v>
      </c>
      <c r="C7" s="46">
        <f>IFERROR(IF('2. 3-Year P&amp;L'!$B$10="","",C5*C6/SUMPRODUCT($B$5:$M$5,$B$6:$M$6)),"")</f>
        <v>0.05136894675822706</v>
      </c>
      <c r="D7" s="46">
        <f>IFERROR(IF('2. 3-Year P&amp;L'!$B$10="","",D5*D6/SUMPRODUCT($B$5:$M$5,$B$6:$M$6)),"")</f>
        <v>0.06673058057611703</v>
      </c>
      <c r="E7" s="46">
        <f>IFERROR(IF('2. 3-Year P&amp;L'!$B$10="","",E5*E6/SUMPRODUCT($B$5:$M$5,$B$6:$M$6)),"")</f>
        <v>0.0776999910817801</v>
      </c>
      <c r="F7" s="46">
        <f>IFERROR(IF('2. 3-Year P&amp;L'!$B$10="","",F5*F6/SUMPRODUCT($B$5:$M$5,$B$6:$M$6)),"")</f>
        <v>0.09130027646481764</v>
      </c>
      <c r="G7" s="46">
        <f>IFERROR(IF('2. 3-Year P&amp;L'!$B$10="","",G5*G6/SUMPRODUCT($B$5:$M$5,$B$6:$M$6)),"")</f>
        <v>0.09810041915633641</v>
      </c>
      <c r="H7" s="46">
        <f>IFERROR(IF('2. 3-Year P&amp;L'!$B$10="","",H5*H6/SUMPRODUCT($B$5:$M$5,$B$6:$M$6)),"")</f>
        <v>0.09475608668509768</v>
      </c>
      <c r="I7" s="46">
        <f>IFERROR(IF('2. 3-Year P&amp;L'!$B$10="","",I5*I6/SUMPRODUCT($B$5:$M$5,$B$6:$M$6)),"")</f>
        <v>0.06911620440560065</v>
      </c>
      <c r="J7" s="46">
        <f>IFERROR(IF('2. 3-Year P&amp;L'!$B$10="","",J5*J6/SUMPRODUCT($B$5:$M$5,$B$6:$M$6)),"")</f>
        <v>0.09475608668509768</v>
      </c>
      <c r="K7" s="46">
        <f>IFERROR(IF('2. 3-Year P&amp;L'!$B$10="","",K5*K6/SUMPRODUCT($B$5:$M$5,$B$6:$M$6)),"")</f>
        <v>0.09810041915633641</v>
      </c>
      <c r="L7" s="46">
        <f>IFERROR(IF('2. 3-Year P&amp;L'!$B$10="","",L5*L6/SUMPRODUCT($B$5:$M$5,$B$6:$M$6)),"")</f>
        <v>0.0969856416659235</v>
      </c>
      <c r="M7" s="46">
        <f>IFERROR(IF('2. 3-Year P&amp;L'!$B$10="","",M5*M6/SUMPRODUCT($B$5:$M$5,$B$6:$M$6)),"")</f>
        <v>0.11816641398376886</v>
      </c>
      <c r="N7" s="46">
        <f>IFERROR(IF('2. 3-Year P&amp;L'!$B$10="","",SUM(B7:M7)),"")</f>
        <v>1.0000000000000002</v>
      </c>
      <c r="O7" s="44" t="inlineStr">
        <is>
          <t>Seasonality × ramp-up, normalized to 100%: the YEAR brings in what the P&amp;L says, but split the way a business that has just opened would split it</t>
        </is>
      </c>
    </row>
    <row r="8">
      <c r="A8" s="41" t="inlineStr">
        <is>
          <t>CASH IN</t>
        </is>
      </c>
      <c r="B8" s="44" t="n"/>
      <c r="C8" s="44" t="n"/>
      <c r="D8" s="44" t="n"/>
      <c r="E8" s="44" t="n"/>
      <c r="F8" s="44" t="n"/>
      <c r="G8" s="44" t="n"/>
      <c r="H8" s="44" t="n"/>
      <c r="I8" s="44" t="n"/>
      <c r="J8" s="44" t="n"/>
      <c r="K8" s="44" t="n"/>
      <c r="L8" s="44" t="n"/>
      <c r="M8" s="44" t="n"/>
      <c r="N8" s="44" t="n"/>
      <c r="O8" s="44" t="n"/>
    </row>
    <row r="9">
      <c r="A9" s="44" t="inlineStr">
        <is>
          <t>Sales collected (incl. sales tax collected)</t>
        </is>
      </c>
      <c r="B9" s="55">
        <f>IFERROR(IF('2. 3-Year P&amp;L'!$B$10="","",('2. 3-Year P&amp;L'!$B$10+'2. 3-Year P&amp;L'!$B$10*SUMPRODUCT('2. 3-Year P&amp;L'!$E$11:$E$12,'2. 3-Year P&amp;L'!$G$11:$G$12))*B7*(1-MIN(30,'0. Assumptions'!$B$58)/30)),"")</f>
        <v>48615.992597877485</v>
      </c>
      <c r="C9" s="55">
        <f>IFERROR(IF('2. 3-Year P&amp;L'!$B$10="","",('2. 3-Year P&amp;L'!$B$10+'2. 3-Year P&amp;L'!$B$10*SUMPRODUCT('2. 3-Year P&amp;L'!$E$11:$E$12,'2. 3-Year P&amp;L'!$G$11:$G$12))*(C7*(1-MIN(30,'0. Assumptions'!$B$58)/30)+B7*MIN(30,'0. Assumptions'!$B$58)/30)),"")</f>
        <v>59864.07428877197</v>
      </c>
      <c r="D9" s="55">
        <f>IFERROR(IF('2. 3-Year P&amp;L'!$B$10="","",('2. 3-Year P&amp;L'!$B$10+'2. 3-Year P&amp;L'!$B$10*SUMPRODUCT('2. 3-Year P&amp;L'!$E$11:$E$12,'2. 3-Year P&amp;L'!$G$11:$G$12))*(D7*(1-MIN(30,'0. Assumptions'!$B$58)/30)+C7*MIN(30,'0. Assumptions'!$B$58)/30)),"")</f>
        <v>77594.86890216715</v>
      </c>
      <c r="E9" s="55">
        <f>IFERROR(IF('2. 3-Year P&amp;L'!$B$10="","",('2. 3-Year P&amp;L'!$B$10+'2. 3-Year P&amp;L'!$B$10*SUMPRODUCT('2. 3-Year P&amp;L'!$E$11:$E$12,'2. 3-Year P&amp;L'!$G$11:$G$12))*(E7*(1-MIN(30,'0. Assumptions'!$B$58)/30)+D7*MIN(30,'0. Assumptions'!$B$58)/30)),"")</f>
        <v>90620.38437527874</v>
      </c>
      <c r="F9" s="55">
        <f>IFERROR(IF('2. 3-Year P&amp;L'!$B$10="","",('2. 3-Year P&amp;L'!$B$10+'2. 3-Year P&amp;L'!$B$10*SUMPRODUCT('2. 3-Year P&amp;L'!$E$11:$E$12,'2. 3-Year P&amp;L'!$G$11:$G$12))*(F7*(1-MIN(30,'0. Assumptions'!$B$58)/30)+E7*MIN(30,'0. Assumptions'!$B$58)/30)),"")</f>
        <v>106454.43681441186</v>
      </c>
      <c r="G9" s="55">
        <f>IFERROR(IF('2. 3-Year P&amp;L'!$B$10="","",('2. 3-Year P&amp;L'!$B$10+'2. 3-Year P&amp;L'!$B$10*SUMPRODUCT('2. 3-Year P&amp;L'!$E$11:$E$12,'2. 3-Year P&amp;L'!$G$11:$G$12))*(G7*(1-MIN(30,'0. Assumptions'!$B$58)/30)+F7*MIN(30,'0. Assumptions'!$B$58)/30)),"")</f>
        <v>114688.45759386427</v>
      </c>
      <c r="H9" s="55">
        <f>IFERROR(IF('2. 3-Year P&amp;L'!$B$10="","",('2. 3-Year P&amp;L'!$B$10+'2. 3-Year P&amp;L'!$B$10*SUMPRODUCT('2. 3-Year P&amp;L'!$E$11:$E$12,'2. 3-Year P&amp;L'!$G$11:$G$12))*(H7*(1-MIN(30,'0. Assumptions'!$B$58)/30)+G7*MIN(30,'0. Assumptions'!$B$58)/30)),"")</f>
        <v>111165.81200392405</v>
      </c>
      <c r="I9" s="55">
        <f>IFERROR(IF('2. 3-Year P&amp;L'!$B$10="","",('2. 3-Year P&amp;L'!$B$10+'2. 3-Year P&amp;L'!$B$10*SUMPRODUCT('2. 3-Year P&amp;L'!$E$11:$E$12,'2. 3-Year P&amp;L'!$G$11:$G$12))*(I7*(1-MIN(30,'0. Assumptions'!$B$58)/30)+H7*MIN(30,'0. Assumptions'!$B$58)/30)),"")</f>
        <v>81991.86212431999</v>
      </c>
      <c r="J9" s="55">
        <f>IFERROR(IF('2. 3-Year P&amp;L'!$B$10="","",('2. 3-Year P&amp;L'!$B$10+'2. 3-Year P&amp;L'!$B$10*SUMPRODUCT('2. 3-Year P&amp;L'!$E$11:$E$12,'2. 3-Year P&amp;L'!$G$11:$G$12))*(J7*(1-MIN(30,'0. Assumptions'!$B$58)/30)+I7*MIN(30,'0. Assumptions'!$B$58)/30)),"")</f>
        <v>110033.68857576032</v>
      </c>
      <c r="K9" s="55">
        <f>IFERROR(IF('2. 3-Year P&amp;L'!$B$10="","",('2. 3-Year P&amp;L'!$B$10+'2. 3-Year P&amp;L'!$B$10*SUMPRODUCT('2. 3-Year P&amp;L'!$E$11:$E$12,'2. 3-Year P&amp;L'!$G$11:$G$12))*(K7*(1-MIN(30,'0. Assumptions'!$B$58)/30)+J7*MIN(30,'0. Assumptions'!$B$58)/30)),"")</f>
        <v>114823.44154106842</v>
      </c>
      <c r="L9" s="55">
        <f>IFERROR(IF('2. 3-Year P&amp;L'!$B$10="","",('2. 3-Year P&amp;L'!$B$10+'2. 3-Year P&amp;L'!$B$10*SUMPRODUCT('2. 3-Year P&amp;L'!$E$11:$E$12,'2. 3-Year P&amp;L'!$G$11:$G$12))*(L7*(1-MIN(30,'0. Assumptions'!$B$58)/30)+K7*MIN(30,'0. Assumptions'!$B$58)/30)),"")</f>
        <v>113691.31811290469</v>
      </c>
      <c r="M9" s="55">
        <f>IFERROR(IF('2. 3-Year P&amp;L'!$B$10="","",('2. 3-Year P&amp;L'!$B$10+'2. 3-Year P&amp;L'!$B$10*SUMPRODUCT('2. 3-Year P&amp;L'!$E$11:$E$12,'2. 3-Year P&amp;L'!$G$11:$G$12))*(M7*(1-MIN(30,'0. Assumptions'!$B$58)/30)+L7*MIN(30,'0. Assumptions'!$B$58)/30)),"")</f>
        <v>137640.0829394453</v>
      </c>
      <c r="N9" s="55">
        <f>IFERROR(IF('2. 3-Year P&amp;L'!$B$10="","",SUM(B9:M9)),"")</f>
        <v>1167184.4198697943</v>
      </c>
      <c r="O9" s="44" t="inlineStr">
        <is>
          <t>The month's sales plus the sales tax collected, adjusted by the average collection days from the Assumptions tab</t>
        </is>
      </c>
    </row>
    <row r="10">
      <c r="A10" s="41" t="inlineStr">
        <is>
          <t>CASH OUT</t>
        </is>
      </c>
      <c r="B10" s="44" t="n"/>
      <c r="C10" s="44" t="n"/>
      <c r="D10" s="44" t="n"/>
      <c r="E10" s="44" t="n"/>
      <c r="F10" s="44" t="n"/>
      <c r="G10" s="44" t="n"/>
      <c r="H10" s="44" t="n"/>
      <c r="I10" s="44" t="n"/>
      <c r="J10" s="44" t="n"/>
      <c r="K10" s="44" t="n"/>
      <c r="L10" s="44" t="n"/>
      <c r="M10" s="44" t="n"/>
      <c r="N10" s="44" t="n"/>
      <c r="O10" s="44" t="n"/>
    </row>
    <row r="11">
      <c r="A11" s="44" t="inlineStr">
        <is>
          <t>Purchases and variable costs (incl. sales tax)</t>
        </is>
      </c>
      <c r="B11" s="55">
        <f>IFERROR(IF('2. 3-Year P&amp;L'!$B$10="","",-('2. 3-Year P&amp;L'!$B$14*(1+'2. 3-Year P&amp;L'!$G$14)+'2. 3-Year P&amp;L'!$B$15*(1+'2. 3-Year P&amp;L'!$G$15)+'2. 3-Year P&amp;L'!$B$16*(1+'2. 3-Year P&amp;L'!$G$16)+'2. 3-Year P&amp;L'!$B$17*(1+'2. 3-Year P&amp;L'!$G$17)+'2. 3-Year P&amp;L'!$B$18*(1+'2. 3-Year P&amp;L'!$G$18)+'2. 3-Year P&amp;L'!$B$19*(1+'2. 3-Year P&amp;L'!$G$19))*B7*(1-MIN(30,'0. Assumptions'!$B$59)/30)),"")</f>
        <v>-8568.335860162315</v>
      </c>
      <c r="C11" s="55">
        <f>IFERROR(IF('2. 3-Year P&amp;L'!$B$10="","",-('2. 3-Year P&amp;L'!$B$14*(1+'2. 3-Year P&amp;L'!$G$14)+'2. 3-Year P&amp;L'!$B$15*(1+'2. 3-Year P&amp;L'!$G$15)+'2. 3-Year P&amp;L'!$B$16*(1+'2. 3-Year P&amp;L'!$G$16)+'2. 3-Year P&amp;L'!$B$17*(1+'2. 3-Year P&amp;L'!$G$17)+'2. 3-Year P&amp;L'!$B$18*(1+'2. 3-Year P&amp;L'!$G$18)+'2. 3-Year P&amp;L'!$B$19*(1+'2. 3-Year P&amp;L'!$G$19))*(C7*(1-MIN(30,'0. Assumptions'!$B$59)/30)+B7*MIN(30,'0. Assumptions'!$B$59)/30)),"")</f>
        <v>-17752.590408454475</v>
      </c>
      <c r="D11" s="55">
        <f>IFERROR(IF('2. 3-Year P&amp;L'!$B$10="","",-('2. 3-Year P&amp;L'!$B$14*(1+'2. 3-Year P&amp;L'!$G$14)+'2. 3-Year P&amp;L'!$B$15*(1+'2. 3-Year P&amp;L'!$G$15)+'2. 3-Year P&amp;L'!$B$16*(1+'2. 3-Year P&amp;L'!$G$16)+'2. 3-Year P&amp;L'!$B$17*(1+'2. 3-Year P&amp;L'!$G$17)+'2. 3-Year P&amp;L'!$B$18*(1+'2. 3-Year P&amp;L'!$G$18)+'2. 3-Year P&amp;L'!$B$19*(1+'2. 3-Year P&amp;L'!$G$19))*(D7*(1-MIN(30,'0. Assumptions'!$B$59)/30)+C7*MIN(30,'0. Assumptions'!$B$59)/30)),"")</f>
        <v>-22295.4775706769</v>
      </c>
      <c r="E11" s="55">
        <f>IFERROR(IF('2. 3-Year P&amp;L'!$B$10="","",-('2. 3-Year P&amp;L'!$B$14*(1+'2. 3-Year P&amp;L'!$G$14)+'2. 3-Year P&amp;L'!$B$15*(1+'2. 3-Year P&amp;L'!$G$15)+'2. 3-Year P&amp;L'!$B$16*(1+'2. 3-Year P&amp;L'!$G$16)+'2. 3-Year P&amp;L'!$B$17*(1+'2. 3-Year P&amp;L'!$G$17)+'2. 3-Year P&amp;L'!$B$18*(1+'2. 3-Year P&amp;L'!$G$18)+'2. 3-Year P&amp;L'!$B$19*(1+'2. 3-Year P&amp;L'!$G$19))*(E7*(1-MIN(30,'0. Assumptions'!$B$59)/30)+D7*MIN(30,'0. Assumptions'!$B$59)/30)),"")</f>
        <v>-27168.85768750558</v>
      </c>
      <c r="F11" s="55">
        <f>IFERROR(IF('2. 3-Year P&amp;L'!$B$10="","",-('2. 3-Year P&amp;L'!$B$14*(1+'2. 3-Year P&amp;L'!$G$14)+'2. 3-Year P&amp;L'!$B$15*(1+'2. 3-Year P&amp;L'!$G$15)+'2. 3-Year P&amp;L'!$B$16*(1+'2. 3-Year P&amp;L'!$G$16)+'2. 3-Year P&amp;L'!$B$17*(1+'2. 3-Year P&amp;L'!$G$17)+'2. 3-Year P&amp;L'!$B$18*(1+'2. 3-Year P&amp;L'!$G$18)+'2. 3-Year P&amp;L'!$B$19*(1+'2. 3-Year P&amp;L'!$G$19))*(F7*(1-MIN(30,'0. Assumptions'!$B$59)/30)+E7*MIN(30,'0. Assumptions'!$B$59)/30)),"")</f>
        <v>-31800.210135556947</v>
      </c>
      <c r="G11" s="55">
        <f>IFERROR(IF('2. 3-Year P&amp;L'!$B$10="","",-('2. 3-Year P&amp;L'!$B$14*(1+'2. 3-Year P&amp;L'!$G$14)+'2. 3-Year P&amp;L'!$B$15*(1+'2. 3-Year P&amp;L'!$G$15)+'2. 3-Year P&amp;L'!$B$16*(1+'2. 3-Year P&amp;L'!$G$16)+'2. 3-Year P&amp;L'!$B$17*(1+'2. 3-Year P&amp;L'!$G$17)+'2. 3-Year P&amp;L'!$B$18*(1+'2. 3-Year P&amp;L'!$G$18)+'2. 3-Year P&amp;L'!$B$19*(1+'2. 3-Year P&amp;L'!$G$19))*(G7*(1-MIN(30,'0. Assumptions'!$B$59)/30)+F7*MIN(30,'0. Assumptions'!$B$59)/30)),"")</f>
        <v>-35533.55647462767</v>
      </c>
      <c r="H11" s="55">
        <f>IFERROR(IF('2. 3-Year P&amp;L'!$B$10="","",-('2. 3-Year P&amp;L'!$B$14*(1+'2. 3-Year P&amp;L'!$G$14)+'2. 3-Year P&amp;L'!$B$15*(1+'2. 3-Year P&amp;L'!$G$15)+'2. 3-Year P&amp;L'!$B$16*(1+'2. 3-Year P&amp;L'!$G$16)+'2. 3-Year P&amp;L'!$B$17*(1+'2. 3-Year P&amp;L'!$G$17)+'2. 3-Year P&amp;L'!$B$18*(1+'2. 3-Year P&amp;L'!$G$18)+'2. 3-Year P&amp;L'!$B$19*(1+'2. 3-Year P&amp;L'!$G$19))*(H7*(1-MIN(30,'0. Assumptions'!$B$59)/30)+G7*MIN(30,'0. Assumptions'!$B$59)/30)),"")</f>
        <v>-36053.77686613752</v>
      </c>
      <c r="I11" s="55">
        <f>IFERROR(IF('2. 3-Year P&amp;L'!$B$10="","",-('2. 3-Year P&amp;L'!$B$14*(1+'2. 3-Year P&amp;L'!$G$14)+'2. 3-Year P&amp;L'!$B$15*(1+'2. 3-Year P&amp;L'!$G$15)+'2. 3-Year P&amp;L'!$B$16*(1+'2. 3-Year P&amp;L'!$G$16)+'2. 3-Year P&amp;L'!$B$17*(1+'2. 3-Year P&amp;L'!$G$17)+'2. 3-Year P&amp;L'!$B$18*(1+'2. 3-Year P&amp;L'!$G$18)+'2. 3-Year P&amp;L'!$B$19*(1+'2. 3-Year P&amp;L'!$G$19))*(I7*(1-MIN(30,'0. Assumptions'!$B$59)/30)+H7*MIN(30,'0. Assumptions'!$B$59)/30)),"")</f>
        <v>-30350.8260501204</v>
      </c>
      <c r="J11" s="55">
        <f>IFERROR(IF('2. 3-Year P&amp;L'!$B$10="","",-('2. 3-Year P&amp;L'!$B$14*(1+'2. 3-Year P&amp;L'!$G$14)+'2. 3-Year P&amp;L'!$B$15*(1+'2. 3-Year P&amp;L'!$G$15)+'2. 3-Year P&amp;L'!$B$16*(1+'2. 3-Year P&amp;L'!$G$16)+'2. 3-Year P&amp;L'!$B$17*(1+'2. 3-Year P&amp;L'!$G$17)+'2. 3-Year P&amp;L'!$B$18*(1+'2. 3-Year P&amp;L'!$G$18)+'2. 3-Year P&amp;L'!$B$19*(1+'2. 3-Year P&amp;L'!$G$19))*(J7*(1-MIN(30,'0. Assumptions'!$B$59)/30)+I7*MIN(30,'0. Assumptions'!$B$59)/30)),"")</f>
        <v>-30990.66931240525</v>
      </c>
      <c r="K11" s="55">
        <f>IFERROR(IF('2. 3-Year P&amp;L'!$B$10="","",-('2. 3-Year P&amp;L'!$B$14*(1+'2. 3-Year P&amp;L'!$G$14)+'2. 3-Year P&amp;L'!$B$15*(1+'2. 3-Year P&amp;L'!$G$15)+'2. 3-Year P&amp;L'!$B$16*(1+'2. 3-Year P&amp;L'!$G$16)+'2. 3-Year P&amp;L'!$B$17*(1+'2. 3-Year P&amp;L'!$G$17)+'2. 3-Year P&amp;L'!$B$18*(1+'2. 3-Year P&amp;L'!$G$18)+'2. 3-Year P&amp;L'!$B$19*(1+'2. 3-Year P&amp;L'!$G$19))*(K7*(1-MIN(30,'0. Assumptions'!$B$59)/30)+J7*MIN(30,'0. Assumptions'!$B$59)/30)),"")</f>
        <v>-36137.234682957285</v>
      </c>
      <c r="L11" s="55">
        <f>IFERROR(IF('2. 3-Year P&amp;L'!$B$10="","",-('2. 3-Year P&amp;L'!$B$14*(1+'2. 3-Year P&amp;L'!$G$14)+'2. 3-Year P&amp;L'!$B$15*(1+'2. 3-Year P&amp;L'!$G$15)+'2. 3-Year P&amp;L'!$B$16*(1+'2. 3-Year P&amp;L'!$G$16)+'2. 3-Year P&amp;L'!$B$17*(1+'2. 3-Year P&amp;L'!$G$17)+'2. 3-Year P&amp;L'!$B$18*(1+'2. 3-Year P&amp;L'!$G$18)+'2. 3-Year P&amp;L'!$B$19*(1+'2. 3-Year P&amp;L'!$G$19))*(L7*(1-MIN(30,'0. Assumptions'!$B$59)/30)+K7*MIN(30,'0. Assumptions'!$B$59)/30)),"")</f>
        <v>-36498.88522250959</v>
      </c>
      <c r="M11" s="55">
        <f>IFERROR(IF('2. 3-Year P&amp;L'!$B$10="","",-('2. 3-Year P&amp;L'!$B$14*(1+'2. 3-Year P&amp;L'!$G$14)+'2. 3-Year P&amp;L'!$B$15*(1+'2. 3-Year P&amp;L'!$G$15)+'2. 3-Year P&amp;L'!$B$16*(1+'2. 3-Year P&amp;L'!$G$16)+'2. 3-Year P&amp;L'!$B$17*(1+'2. 3-Year P&amp;L'!$G$17)+'2. 3-Year P&amp;L'!$B$18*(1+'2. 3-Year P&amp;L'!$G$18)+'2. 3-Year P&amp;L'!$B$19*(1+'2. 3-Year P&amp;L'!$G$19))*(M7*(1-MIN(30,'0. Assumptions'!$B$59)/30)+L7*MIN(30,'0. Assumptions'!$B$59)/30)),"")</f>
        <v>-40532.679702131456</v>
      </c>
      <c r="N11" s="55">
        <f>IFERROR(IF('2. 3-Year P&amp;L'!$B$10="","",SUM(B11:M11)),"")</f>
        <v>-353683.0999732454</v>
      </c>
      <c r="O11" s="44"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44" t="inlineStr">
        <is>
          <t>Operating fixed costs (incl. sales tax)</t>
        </is>
      </c>
      <c r="B12" s="55">
        <f>IFERROR(IF('2. 3-Year P&amp;L'!$B$10="","",-('2. 3-Year P&amp;L'!$B$40-'2. 3-Year P&amp;L'!$B$24-'2. 3-Year P&amp;L'!$B$38-'2. 3-Year P&amp;L'!$B$39+'2. 3-Year P&amp;L'!$B$42)/12),"")</f>
        <v>-15433.333333333334</v>
      </c>
      <c r="C12" s="55">
        <f>IFERROR(IF('2. 3-Year P&amp;L'!$B$10="","",-('2. 3-Year P&amp;L'!$B$40-'2. 3-Year P&amp;L'!$B$24-'2. 3-Year P&amp;L'!$B$38-'2. 3-Year P&amp;L'!$B$39+'2. 3-Year P&amp;L'!$B$42)/12),"")</f>
        <v>-15433.333333333334</v>
      </c>
      <c r="D12" s="55">
        <f>IFERROR(IF('2. 3-Year P&amp;L'!$B$10="","",-('2. 3-Year P&amp;L'!$B$40-'2. 3-Year P&amp;L'!$B$24-'2. 3-Year P&amp;L'!$B$38-'2. 3-Year P&amp;L'!$B$39+'2. 3-Year P&amp;L'!$B$42)/12),"")</f>
        <v>-15433.333333333334</v>
      </c>
      <c r="E12" s="55">
        <f>IFERROR(IF('2. 3-Year P&amp;L'!$B$10="","",-('2. 3-Year P&amp;L'!$B$40-'2. 3-Year P&amp;L'!$B$24-'2. 3-Year P&amp;L'!$B$38-'2. 3-Year P&amp;L'!$B$39+'2. 3-Year P&amp;L'!$B$42)/12),"")</f>
        <v>-15433.333333333334</v>
      </c>
      <c r="F12" s="55">
        <f>IFERROR(IF('2. 3-Year P&amp;L'!$B$10="","",-('2. 3-Year P&amp;L'!$B$40-'2. 3-Year P&amp;L'!$B$24-'2. 3-Year P&amp;L'!$B$38-'2. 3-Year P&amp;L'!$B$39+'2. 3-Year P&amp;L'!$B$42)/12),"")</f>
        <v>-15433.333333333334</v>
      </c>
      <c r="G12" s="55">
        <f>IFERROR(IF('2. 3-Year P&amp;L'!$B$10="","",-('2. 3-Year P&amp;L'!$B$40-'2. 3-Year P&amp;L'!$B$24-'2. 3-Year P&amp;L'!$B$38-'2. 3-Year P&amp;L'!$B$39+'2. 3-Year P&amp;L'!$B$42)/12),"")</f>
        <v>-15433.333333333334</v>
      </c>
      <c r="H12" s="55">
        <f>IFERROR(IF('2. 3-Year P&amp;L'!$B$10="","",-('2. 3-Year P&amp;L'!$B$40-'2. 3-Year P&amp;L'!$B$24-'2. 3-Year P&amp;L'!$B$38-'2. 3-Year P&amp;L'!$B$39+'2. 3-Year P&amp;L'!$B$42)/12),"")</f>
        <v>-15433.333333333334</v>
      </c>
      <c r="I12" s="55">
        <f>IFERROR(IF('2. 3-Year P&amp;L'!$B$10="","",-('2. 3-Year P&amp;L'!$B$40-'2. 3-Year P&amp;L'!$B$24-'2. 3-Year P&amp;L'!$B$38-'2. 3-Year P&amp;L'!$B$39+'2. 3-Year P&amp;L'!$B$42)/12),"")</f>
        <v>-15433.333333333334</v>
      </c>
      <c r="J12" s="55">
        <f>IFERROR(IF('2. 3-Year P&amp;L'!$B$10="","",-('2. 3-Year P&amp;L'!$B$40-'2. 3-Year P&amp;L'!$B$24-'2. 3-Year P&amp;L'!$B$38-'2. 3-Year P&amp;L'!$B$39+'2. 3-Year P&amp;L'!$B$42)/12),"")</f>
        <v>-15433.333333333334</v>
      </c>
      <c r="K12" s="55">
        <f>IFERROR(IF('2. 3-Year P&amp;L'!$B$10="","",-('2. 3-Year P&amp;L'!$B$40-'2. 3-Year P&amp;L'!$B$24-'2. 3-Year P&amp;L'!$B$38-'2. 3-Year P&amp;L'!$B$39+'2. 3-Year P&amp;L'!$B$42)/12),"")</f>
        <v>-15433.333333333334</v>
      </c>
      <c r="L12" s="55">
        <f>IFERROR(IF('2. 3-Year P&amp;L'!$B$10="","",-('2. 3-Year P&amp;L'!$B$40-'2. 3-Year P&amp;L'!$B$24-'2. 3-Year P&amp;L'!$B$38-'2. 3-Year P&amp;L'!$B$39+'2. 3-Year P&amp;L'!$B$42)/12),"")</f>
        <v>-15433.333333333334</v>
      </c>
      <c r="M12" s="55">
        <f>IFERROR(IF('2. 3-Year P&amp;L'!$B$10="","",-('2. 3-Year P&amp;L'!$B$40-'2. 3-Year P&amp;L'!$B$24-'2. 3-Year P&amp;L'!$B$38-'2. 3-Year P&amp;L'!$B$39+'2. 3-Year P&amp;L'!$B$42)/12),"")</f>
        <v>-15433.333333333334</v>
      </c>
      <c r="N12" s="55">
        <f>IFERROR(IF('2. 3-Year P&amp;L'!$B$10="","",SUM(B12:M12)),"")</f>
        <v>-185200.0</v>
      </c>
      <c r="O12" s="44" t="inlineStr">
        <is>
          <t>The fixed costs that leave cash, each with its own tax rate: insurance carries none</t>
        </is>
      </c>
    </row>
    <row r="13">
      <c r="A13" s="44" t="inlineStr">
        <is>
          <t>Payroll and employer payroll taxes</t>
        </is>
      </c>
      <c r="B13" s="55">
        <f>IFERROR(IF('2. 3-Year P&amp;L'!$B$10="","",-'2. 3-Year P&amp;L'!$B$24/MAX(12,'0. Assumptions'!$B$21)*(1+IF(1='0. Assumptions'!$B$60,(MAX(12,'0. Assumptions'!$B$21)-12)/2,0)+IF(1='0. Assumptions'!$B$61,(MAX(12,'0. Assumptions'!$B$21)-12)/2,0))),"")</f>
        <v>-27907.0</v>
      </c>
      <c r="C13" s="55">
        <f>IFERROR(IF('2. 3-Year P&amp;L'!$B$10="","",-'2. 3-Year P&amp;L'!$B$24/MAX(12,'0. Assumptions'!$B$21)*(1+IF(2='0. Assumptions'!$B$60,(MAX(12,'0. Assumptions'!$B$21)-12)/2,0)+IF(2='0. Assumptions'!$B$61,(MAX(12,'0. Assumptions'!$B$21)-12)/2,0))),"")</f>
        <v>-27907.0</v>
      </c>
      <c r="D13" s="55">
        <f>IFERROR(IF('2. 3-Year P&amp;L'!$B$10="","",-'2. 3-Year P&amp;L'!$B$24/MAX(12,'0. Assumptions'!$B$21)*(1+IF(3='0. Assumptions'!$B$60,(MAX(12,'0. Assumptions'!$B$21)-12)/2,0)+IF(3='0. Assumptions'!$B$61,(MAX(12,'0. Assumptions'!$B$21)-12)/2,0))),"")</f>
        <v>-27907.0</v>
      </c>
      <c r="E13" s="55">
        <f>IFERROR(IF('2. 3-Year P&amp;L'!$B$10="","",-'2. 3-Year P&amp;L'!$B$24/MAX(12,'0. Assumptions'!$B$21)*(1+IF(4='0. Assumptions'!$B$60,(MAX(12,'0. Assumptions'!$B$21)-12)/2,0)+IF(4='0. Assumptions'!$B$61,(MAX(12,'0. Assumptions'!$B$21)-12)/2,0))),"")</f>
        <v>-27907.0</v>
      </c>
      <c r="F13" s="55">
        <f>IFERROR(IF('2. 3-Year P&amp;L'!$B$10="","",-'2. 3-Year P&amp;L'!$B$24/MAX(12,'0. Assumptions'!$B$21)*(1+IF(5='0. Assumptions'!$B$60,(MAX(12,'0. Assumptions'!$B$21)-12)/2,0)+IF(5='0. Assumptions'!$B$61,(MAX(12,'0. Assumptions'!$B$21)-12)/2,0))),"")</f>
        <v>-27907.0</v>
      </c>
      <c r="G13" s="55">
        <f>IFERROR(IF('2. 3-Year P&amp;L'!$B$10="","",-'2. 3-Year P&amp;L'!$B$24/MAX(12,'0. Assumptions'!$B$21)*(1+IF(6='0. Assumptions'!$B$60,(MAX(12,'0. Assumptions'!$B$21)-12)/2,0)+IF(6='0. Assumptions'!$B$61,(MAX(12,'0. Assumptions'!$B$21)-12)/2,0))),"")</f>
        <v>-27907.0</v>
      </c>
      <c r="H13" s="55">
        <f>IFERROR(IF('2. 3-Year P&amp;L'!$B$10="","",-'2. 3-Year P&amp;L'!$B$24/MAX(12,'0. Assumptions'!$B$21)*(1+IF(7='0. Assumptions'!$B$60,(MAX(12,'0. Assumptions'!$B$21)-12)/2,0)+IF(7='0. Assumptions'!$B$61,(MAX(12,'0. Assumptions'!$B$21)-12)/2,0))),"")</f>
        <v>-27907.0</v>
      </c>
      <c r="I13" s="55">
        <f>IFERROR(IF('2. 3-Year P&amp;L'!$B$10="","",-'2. 3-Year P&amp;L'!$B$24/MAX(12,'0. Assumptions'!$B$21)*(1+IF(8='0. Assumptions'!$B$60,(MAX(12,'0. Assumptions'!$B$21)-12)/2,0)+IF(8='0. Assumptions'!$B$61,(MAX(12,'0. Assumptions'!$B$21)-12)/2,0))),"")</f>
        <v>-27907.0</v>
      </c>
      <c r="J13" s="55">
        <f>IFERROR(IF('2. 3-Year P&amp;L'!$B$10="","",-'2. 3-Year P&amp;L'!$B$24/MAX(12,'0. Assumptions'!$B$21)*(1+IF(9='0. Assumptions'!$B$60,(MAX(12,'0. Assumptions'!$B$21)-12)/2,0)+IF(9='0. Assumptions'!$B$61,(MAX(12,'0. Assumptions'!$B$21)-12)/2,0))),"")</f>
        <v>-27907.0</v>
      </c>
      <c r="K13" s="55">
        <f>IFERROR(IF('2. 3-Year P&amp;L'!$B$10="","",-'2. 3-Year P&amp;L'!$B$24/MAX(12,'0. Assumptions'!$B$21)*(1+IF(10='0. Assumptions'!$B$60,(MAX(12,'0. Assumptions'!$B$21)-12)/2,0)+IF(10='0. Assumptions'!$B$61,(MAX(12,'0. Assumptions'!$B$21)-12)/2,0))),"")</f>
        <v>-27907.0</v>
      </c>
      <c r="L13" s="55">
        <f>IFERROR(IF('2. 3-Year P&amp;L'!$B$10="","",-'2. 3-Year P&amp;L'!$B$24/MAX(12,'0. Assumptions'!$B$21)*(1+IF(11='0. Assumptions'!$B$60,(MAX(12,'0. Assumptions'!$B$21)-12)/2,0)+IF(11='0. Assumptions'!$B$61,(MAX(12,'0. Assumptions'!$B$21)-12)/2,0))),"")</f>
        <v>-27907.0</v>
      </c>
      <c r="M13" s="55">
        <f>IFERROR(IF('2. 3-Year P&amp;L'!$B$10="","",-'2. 3-Year P&amp;L'!$B$24/MAX(12,'0. Assumptions'!$B$21)*(1+IF(12='0. Assumptions'!$B$60,(MAX(12,'0. Assumptions'!$B$21)-12)/2,0)+IF(12='0. Assumptions'!$B$61,(MAX(12,'0. Assumptions'!$B$21)-12)/2,0))),"")</f>
        <v>-27907.0</v>
      </c>
      <c r="N13" s="55">
        <f>IFERROR(IF('2. 3-Year P&amp;L'!$B$10="","",SUM(B13:M13)),"")</f>
        <v>-334884.0</v>
      </c>
      <c r="O13" s="44" t="inlineStr">
        <is>
          <t>Twelve monthly installments plus extra pay periods in the months you set in Assumptions (only if pay periods &gt; 12). The total for the year is the same as the P&amp;L's</t>
        </is>
      </c>
    </row>
    <row r="14">
      <c r="A14" s="44" t="inlineStr">
        <is>
          <t>Loan interest</t>
        </is>
      </c>
      <c r="B14" s="55">
        <f>IFERROR(IF('2. 3-Year P&amp;L'!$B$10="","",-'7. Financing'!$B$44/12),"")</f>
        <v>-3325.0</v>
      </c>
      <c r="C14" s="55">
        <f>IFERROR(IF('2. 3-Year P&amp;L'!$B$10="","",-'7. Financing'!$B$44/12),"")</f>
        <v>-3325.0</v>
      </c>
      <c r="D14" s="55">
        <f>IFERROR(IF('2. 3-Year P&amp;L'!$B$10="","",-'7. Financing'!$B$44/12),"")</f>
        <v>-3325.0</v>
      </c>
      <c r="E14" s="55">
        <f>IFERROR(IF('2. 3-Year P&amp;L'!$B$10="","",-'7. Financing'!$B$44/12),"")</f>
        <v>-3325.0</v>
      </c>
      <c r="F14" s="55">
        <f>IFERROR(IF('2. 3-Year P&amp;L'!$B$10="","",-'7. Financing'!$B$44/12),"")</f>
        <v>-3325.0</v>
      </c>
      <c r="G14" s="55">
        <f>IFERROR(IF('2. 3-Year P&amp;L'!$B$10="","",-'7. Financing'!$B$44/12),"")</f>
        <v>-3325.0</v>
      </c>
      <c r="H14" s="55">
        <f>IFERROR(IF('2. 3-Year P&amp;L'!$B$10="","",-'7. Financing'!$B$44/12),"")</f>
        <v>-3325.0</v>
      </c>
      <c r="I14" s="55">
        <f>IFERROR(IF('2. 3-Year P&amp;L'!$B$10="","",-'7. Financing'!$B$44/12),"")</f>
        <v>-3325.0</v>
      </c>
      <c r="J14" s="55">
        <f>IFERROR(IF('2. 3-Year P&amp;L'!$B$10="","",-'7. Financing'!$B$44/12),"")</f>
        <v>-3325.0</v>
      </c>
      <c r="K14" s="55">
        <f>IFERROR(IF('2. 3-Year P&amp;L'!$B$10="","",-'7. Financing'!$B$44/12),"")</f>
        <v>-3325.0</v>
      </c>
      <c r="L14" s="55">
        <f>IFERROR(IF('2. 3-Year P&amp;L'!$B$10="","",-'7. Financing'!$B$44/12),"")</f>
        <v>-3325.0</v>
      </c>
      <c r="M14" s="55">
        <f>IFERROR(IF('2. 3-Year P&amp;L'!$B$10="","",-'7. Financing'!$B$44/12),"")</f>
        <v>-3325.0</v>
      </c>
      <c r="N14" s="55">
        <f>IFERROR(IF('2. 3-Year P&amp;L'!$B$10="","",SUM(B14:M14)),"")</f>
        <v>-39900.0</v>
      </c>
      <c r="O14" s="44" t="n"/>
    </row>
    <row r="15">
      <c r="A15" s="44" t="inlineStr">
        <is>
          <t>Loan principal repaid</t>
        </is>
      </c>
      <c r="B15" s="55">
        <f>IFERROR(IF('2. 3-Year P&amp;L'!$B$10="","",-'7. Financing'!$B$45/12),"")</f>
        <v>-2086.284379843508</v>
      </c>
      <c r="C15" s="55">
        <f>IFERROR(IF('2. 3-Year P&amp;L'!$B$10="","",-'7. Financing'!$B$45/12),"")</f>
        <v>-2086.284379843508</v>
      </c>
      <c r="D15" s="55">
        <f>IFERROR(IF('2. 3-Year P&amp;L'!$B$10="","",-'7. Financing'!$B$45/12),"")</f>
        <v>-2086.284379843508</v>
      </c>
      <c r="E15" s="55">
        <f>IFERROR(IF('2. 3-Year P&amp;L'!$B$10="","",-'7. Financing'!$B$45/12),"")</f>
        <v>-2086.284379843508</v>
      </c>
      <c r="F15" s="55">
        <f>IFERROR(IF('2. 3-Year P&amp;L'!$B$10="","",-'7. Financing'!$B$45/12),"")</f>
        <v>-2086.284379843508</v>
      </c>
      <c r="G15" s="55">
        <f>IFERROR(IF('2. 3-Year P&amp;L'!$B$10="","",-'7. Financing'!$B$45/12),"")</f>
        <v>-2086.284379843508</v>
      </c>
      <c r="H15" s="55">
        <f>IFERROR(IF('2. 3-Year P&amp;L'!$B$10="","",-'7. Financing'!$B$45/12),"")</f>
        <v>-2086.284379843508</v>
      </c>
      <c r="I15" s="55">
        <f>IFERROR(IF('2. 3-Year P&amp;L'!$B$10="","",-'7. Financing'!$B$45/12),"")</f>
        <v>-2086.284379843508</v>
      </c>
      <c r="J15" s="55">
        <f>IFERROR(IF('2. 3-Year P&amp;L'!$B$10="","",-'7. Financing'!$B$45/12),"")</f>
        <v>-2086.284379843508</v>
      </c>
      <c r="K15" s="55">
        <f>IFERROR(IF('2. 3-Year P&amp;L'!$B$10="","",-'7. Financing'!$B$45/12),"")</f>
        <v>-2086.284379843508</v>
      </c>
      <c r="L15" s="55">
        <f>IFERROR(IF('2. 3-Year P&amp;L'!$B$10="","",-'7. Financing'!$B$45/12),"")</f>
        <v>-2086.284379843508</v>
      </c>
      <c r="M15" s="55">
        <f>IFERROR(IF('2. 3-Year P&amp;L'!$B$10="","",-'7. Financing'!$B$45/12),"")</f>
        <v>-2086.284379843508</v>
      </c>
      <c r="N15" s="55">
        <f>IFERROR(IF('2. 3-Year P&amp;L'!$B$10="","",SUM(B15:M15)),"")</f>
        <v>-25035.412558122094</v>
      </c>
      <c r="O15" s="44" t="n"/>
    </row>
    <row r="16">
      <c r="A16" s="44" t="inlineStr">
        <is>
          <t>Sales tax collected (memo)</t>
        </is>
      </c>
      <c r="B16" s="55">
        <f>IFERROR(IF('2. 3-Year P&amp;L'!$B$10="","",'2. 3-Year P&amp;L'!$B$10*B7*SUMPRODUCT('2. 3-Year P&amp;L'!$E$11:$E$12,'2. 3-Year P&amp;L'!$G$11:$G$12)),"")</f>
        <v>3725.363417461876</v>
      </c>
      <c r="C16" s="55">
        <f>IFERROR(IF('2. 3-Year P&amp;L'!$B$10="","",'2. 3-Year P&amp;L'!$B$10*C7*SUMPRODUCT('2. 3-Year P&amp;L'!$E$11:$E$12,'2. 3-Year P&amp;L'!$G$11:$G$12)),"")</f>
        <v>4458.82457861411</v>
      </c>
      <c r="D16" s="55">
        <f>IFERROR(IF('2. 3-Year P&amp;L'!$B$10="","",'2. 3-Year P&amp;L'!$B$10*D7*SUMPRODUCT('2. 3-Year P&amp;L'!$E$11:$E$12,'2. 3-Year P&amp;L'!$G$11:$G$12)),"")</f>
        <v>5792.214394006958</v>
      </c>
      <c r="E16" s="55">
        <f>IFERROR(IF('2. 3-Year P&amp;L'!$B$10="","",'2. 3-Year P&amp;L'!$B$10*E7*SUMPRODUCT('2. 3-Year P&amp;L'!$E$11:$E$12,'2. 3-Year P&amp;L'!$G$11:$G$12)),"")</f>
        <v>6744.359225898514</v>
      </c>
      <c r="F16" s="55">
        <f>IFERROR(IF('2. 3-Year P&amp;L'!$B$10="","",'2. 3-Year P&amp;L'!$B$10*F7*SUMPRODUCT('2. 3-Year P&amp;L'!$E$11:$E$12,'2. 3-Year P&amp;L'!$G$11:$G$12)),"")</f>
        <v>7924.863997146172</v>
      </c>
      <c r="G16" s="55">
        <f>IFERROR(IF('2. 3-Year P&amp;L'!$B$10="","",'2. 3-Year P&amp;L'!$B$10*G7*SUMPRODUCT('2. 3-Year P&amp;L'!$E$11:$E$12,'2. 3-Year P&amp;L'!$G$11:$G$12)),"")</f>
        <v>8515.11638277</v>
      </c>
      <c r="H16" s="55">
        <f>IFERROR(IF('2. 3-Year P&amp;L'!$B$10="","",'2. 3-Year P&amp;L'!$B$10*H7*SUMPRODUCT('2. 3-Year P&amp;L'!$E$11:$E$12,'2. 3-Year P&amp;L'!$G$11:$G$12)),"")</f>
        <v>8224.828324266478</v>
      </c>
      <c r="I16" s="55">
        <f>IFERROR(IF('2. 3-Year P&amp;L'!$B$10="","",'2. 3-Year P&amp;L'!$B$10*I7*SUMPRODUCT('2. 3-Year P&amp;L'!$E$11:$E$12,'2. 3-Year P&amp;L'!$G$11:$G$12)),"")</f>
        <v>5999.286542406137</v>
      </c>
      <c r="J16" s="55">
        <f>IFERROR(IF('2. 3-Year P&amp;L'!$B$10="","",'2. 3-Year P&amp;L'!$B$10*J7*SUMPRODUCT('2. 3-Year P&amp;L'!$E$11:$E$12,'2. 3-Year P&amp;L'!$G$11:$G$12)),"")</f>
        <v>8224.828324266478</v>
      </c>
      <c r="K16" s="55">
        <f>IFERROR(IF('2. 3-Year P&amp;L'!$B$10="","",'2. 3-Year P&amp;L'!$B$10*K7*SUMPRODUCT('2. 3-Year P&amp;L'!$E$11:$E$12,'2. 3-Year P&amp;L'!$G$11:$G$12)),"")</f>
        <v>8515.11638277</v>
      </c>
      <c r="L16" s="55">
        <f>IFERROR(IF('2. 3-Year P&amp;L'!$B$10="","",'2. 3-Year P&amp;L'!$B$10*L7*SUMPRODUCT('2. 3-Year P&amp;L'!$E$11:$E$12,'2. 3-Year P&amp;L'!$G$11:$G$12)),"")</f>
        <v>8418.35369660216</v>
      </c>
      <c r="M16" s="55">
        <f>IFERROR(IF('2. 3-Year P&amp;L'!$B$10="","",'2. 3-Year P&amp;L'!$B$10*M7*SUMPRODUCT('2. 3-Year P&amp;L'!$E$11:$E$12,'2. 3-Year P&amp;L'!$G$11:$G$12)),"")</f>
        <v>10256.844733791137</v>
      </c>
      <c r="N16" s="55">
        <f>IFERROR(IF('2. 3-Year P&amp;L'!$B$10="","",SUM(B16:M16)),"")</f>
        <v>86800.00000000001</v>
      </c>
      <c r="O16" s="44" t="inlineStr">
        <is>
          <t>Each sales line at ITS OWN rate, read from the sales tax column of the P&amp;L (alcohol to go has its own rate cell in the Assumptions tab)</t>
        </is>
      </c>
    </row>
    <row r="17">
      <c r="A17" s="44" t="inlineStr">
        <is>
          <t>Recoverable input tax (memo)</t>
        </is>
      </c>
      <c r="B17" s="55">
        <f>IFERROR(IF('2. 3-Year P&amp;L'!$B$10="","",'2. 3-Year P&amp;L'!$B$41*B7+'2. 3-Year P&amp;L'!$B$42/12),"")</f>
        <v>0.0</v>
      </c>
      <c r="C17" s="55">
        <f>IFERROR(IF('2. 3-Year P&amp;L'!$B$10="","",'2. 3-Year P&amp;L'!$B$41*C7+'2. 3-Year P&amp;L'!$B$42/12),"")</f>
        <v>0.0</v>
      </c>
      <c r="D17" s="55">
        <f>IFERROR(IF('2. 3-Year P&amp;L'!$B$10="","",'2. 3-Year P&amp;L'!$B$41*D7+'2. 3-Year P&amp;L'!$B$42/12),"")</f>
        <v>0.0</v>
      </c>
      <c r="E17" s="55">
        <f>IFERROR(IF('2. 3-Year P&amp;L'!$B$10="","",'2. 3-Year P&amp;L'!$B$41*E7+'2. 3-Year P&amp;L'!$B$42/12),"")</f>
        <v>0.0</v>
      </c>
      <c r="F17" s="55">
        <f>IFERROR(IF('2. 3-Year P&amp;L'!$B$10="","",'2. 3-Year P&amp;L'!$B$41*F7+'2. 3-Year P&amp;L'!$B$42/12),"")</f>
        <v>0.0</v>
      </c>
      <c r="G17" s="55">
        <f>IFERROR(IF('2. 3-Year P&amp;L'!$B$10="","",'2. 3-Year P&amp;L'!$B$41*G7+'2. 3-Year P&amp;L'!$B$42/12),"")</f>
        <v>0.0</v>
      </c>
      <c r="H17" s="55">
        <f>IFERROR(IF('2. 3-Year P&amp;L'!$B$10="","",'2. 3-Year P&amp;L'!$B$41*H7+'2. 3-Year P&amp;L'!$B$42/12),"")</f>
        <v>0.0</v>
      </c>
      <c r="I17" s="55">
        <f>IFERROR(IF('2. 3-Year P&amp;L'!$B$10="","",'2. 3-Year P&amp;L'!$B$41*I7+'2. 3-Year P&amp;L'!$B$42/12),"")</f>
        <v>0.0</v>
      </c>
      <c r="J17" s="55">
        <f>IFERROR(IF('2. 3-Year P&amp;L'!$B$10="","",'2. 3-Year P&amp;L'!$B$41*J7+'2. 3-Year P&amp;L'!$B$42/12),"")</f>
        <v>0.0</v>
      </c>
      <c r="K17" s="55">
        <f>IFERROR(IF('2. 3-Year P&amp;L'!$B$10="","",'2. 3-Year P&amp;L'!$B$41*K7+'2. 3-Year P&amp;L'!$B$42/12),"")</f>
        <v>0.0</v>
      </c>
      <c r="L17" s="55">
        <f>IFERROR(IF('2. 3-Year P&amp;L'!$B$10="","",'2. 3-Year P&amp;L'!$B$41*L7+'2. 3-Year P&amp;L'!$B$42/12),"")</f>
        <v>0.0</v>
      </c>
      <c r="M17" s="55">
        <f>IFERROR(IF('2. 3-Year P&amp;L'!$B$10="","",'2. 3-Year P&amp;L'!$B$41*M7+'2. 3-Year P&amp;L'!$B$42/12),"")</f>
        <v>0.0</v>
      </c>
      <c r="N17" s="55">
        <f>IFERROR(IF('2. 3-Year P&amp;L'!$B$10="","",SUM(B17:M17)),"")</f>
        <v>0.0</v>
      </c>
      <c r="O17" s="44" t="inlineStr">
        <is>
          <t>Each item at its own rate, read from the tax column of the P&amp;L: insurance and card processing fees carry none</t>
        </is>
      </c>
    </row>
    <row r="18">
      <c r="A18" s="44" t="inlineStr">
        <is>
          <t>Carried forward (capex input tax included)</t>
        </is>
      </c>
      <c r="B18" s="44" t="n"/>
      <c r="C18" s="44" t="n"/>
      <c r="D18" s="44" t="n"/>
      <c r="E18" s="55">
        <f>IFERROR(IF('2. 3-Year P&amp;L'!$B$10="","",'1. Startup Costs'!$B$50),"")</f>
        <v>0.0</v>
      </c>
      <c r="F18" s="44" t="n"/>
      <c r="G18" s="44" t="n"/>
      <c r="H18" s="55">
        <f>IFERROR(IF('2. 3-Year P&amp;L'!$B$10="","",MAX(0,-E19)),"")</f>
        <v>0.0</v>
      </c>
      <c r="I18" s="44" t="n"/>
      <c r="J18" s="44" t="n"/>
      <c r="K18" s="55">
        <f>IFERROR(IF('2. 3-Year P&amp;L'!$B$10="","",MAX(0,-H19)),"")</f>
        <v>0.0</v>
      </c>
      <c r="L18" s="44" t="n"/>
      <c r="M18" s="44" t="n"/>
      <c r="N18" s="44" t="n"/>
      <c r="O18" s="44" t="inlineStr">
        <is>
          <t>Sales tax paid on STARTUP COSTS enters here: it is offset against the tax collected in later quarters until used up. With 0% recoverable input tax (the US default) this line stays at zero</t>
        </is>
      </c>
    </row>
    <row r="19">
      <c r="A19" s="44" t="inlineStr">
        <is>
          <t>Quarterly sales tax return</t>
        </is>
      </c>
      <c r="B19" s="44" t="n"/>
      <c r="C19" s="44" t="n"/>
      <c r="D19" s="44" t="n"/>
      <c r="E19" s="55">
        <f>IFERROR(IF('2. 3-Year P&amp;L'!$B$10="","",SUM(B16:D16)-SUM(B17:D17)-E18),"")</f>
        <v>13976.402390082943</v>
      </c>
      <c r="F19" s="44" t="n"/>
      <c r="G19" s="44" t="n"/>
      <c r="H19" s="55">
        <f>IFERROR(IF('2. 3-Year P&amp;L'!$B$10="","",SUM(E16:G16)-SUM(E17:G17)-H18),"")</f>
        <v>23184.339605814686</v>
      </c>
      <c r="I19" s="44" t="n"/>
      <c r="J19" s="44" t="n"/>
      <c r="K19" s="55">
        <f>IFERROR(IF('2. 3-Year P&amp;L'!$B$10="","",SUM(H16:J16)-SUM(H17:J17)-K18),"")</f>
        <v>22448.94319093909</v>
      </c>
      <c r="L19" s="44" t="n"/>
      <c r="M19" s="44" t="n"/>
      <c r="N19" s="44" t="n"/>
      <c r="O19" s="44"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44" t="inlineStr">
        <is>
          <t>Sales tax remitted (quarterly filer)</t>
        </is>
      </c>
      <c r="B20" s="44" t="n"/>
      <c r="C20" s="44" t="n"/>
      <c r="D20" s="44" t="n"/>
      <c r="E20" s="55">
        <f>IFERROR(IF('2. 3-Year P&amp;L'!$B$10="","",IF(E19&lt;=0,"",-E19)),"")</f>
        <v>-13976.402390082943</v>
      </c>
      <c r="F20" s="44" t="n"/>
      <c r="G20" s="44" t="n"/>
      <c r="H20" s="55">
        <f>IFERROR(IF('2. 3-Year P&amp;L'!$B$10="","",IF(H19&lt;=0,"",-H19)),"")</f>
        <v>-23184.339605814686</v>
      </c>
      <c r="I20" s="44" t="n"/>
      <c r="J20" s="44" t="n"/>
      <c r="K20" s="55">
        <f>IFERROR(IF('2. 3-Year P&amp;L'!$B$10="","",IF(K19&lt;=0,"",-K19)),"")</f>
        <v>-22448.94319093909</v>
      </c>
      <c r="L20" s="44" t="n"/>
      <c r="M20" s="44" t="n"/>
      <c r="N20" s="55">
        <f>IFERROR(IF('2. 3-Year P&amp;L'!$B$10="","",SUM(B20:M20)),"")</f>
        <v>-59609.68518683672</v>
      </c>
      <c r="O20" s="44"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41" t="inlineStr">
        <is>
          <t>MONTHLY NET CASH FLOW</t>
        </is>
      </c>
      <c r="B21" s="69">
        <f>IFERROR(IF('2. 3-Year P&amp;L'!$B$10="","",SUM(B9:B15)+IF(B20="",0,B20)),"")</f>
        <v>-8703.960975461678</v>
      </c>
      <c r="C21" s="69">
        <f>IFERROR(IF('2. 3-Year P&amp;L'!$B$10="","",SUM(C9:C15)+IF(C20="",0,C20)),"")</f>
        <v>-6640.13383285935</v>
      </c>
      <c r="D21" s="69">
        <f>IFERROR(IF('2. 3-Year P&amp;L'!$B$10="","",SUM(D9:D15)+IF(D20="",0,D20)),"")</f>
        <v>6547.773618313402</v>
      </c>
      <c r="E21" s="69">
        <f>IFERROR(IF('2. 3-Year P&amp;L'!$B$10="","",SUM(E9:E15)+IF(E20="",0,E20)),"")</f>
        <v>723.5065845133686</v>
      </c>
      <c r="F21" s="69">
        <f>IFERROR(IF('2. 3-Year P&amp;L'!$B$10="","",SUM(F9:F15)+IF(F20="",0,F20)),"")</f>
        <v>25902.608965678075</v>
      </c>
      <c r="G21" s="69">
        <f>IFERROR(IF('2. 3-Year P&amp;L'!$B$10="","",SUM(G9:G15)+IF(G20="",0,G20)),"")</f>
        <v>30403.28340605976</v>
      </c>
      <c r="H21" s="69">
        <f>IFERROR(IF('2. 3-Year P&amp;L'!$B$10="","",SUM(H9:H15)+IF(H20="",0,H20)),"")</f>
        <v>3176.077818795002</v>
      </c>
      <c r="I21" s="69">
        <f>IFERROR(IF('2. 3-Year P&amp;L'!$B$10="","",SUM(I9:I15)+IF(I20="",0,I20)),"")</f>
        <v>2889.4183610227465</v>
      </c>
      <c r="J21" s="69">
        <f>IFERROR(IF('2. 3-Year P&amp;L'!$B$10="","",SUM(J9:J15)+IF(J20="",0,J20)),"")</f>
        <v>30291.40155017822</v>
      </c>
      <c r="K21" s="69">
        <f>IFERROR(IF('2. 3-Year P&amp;L'!$B$10="","",SUM(K9:K15)+IF(K20="",0,K20)),"")</f>
        <v>7485.645953995205</v>
      </c>
      <c r="L21" s="69">
        <f>IFERROR(IF('2. 3-Year P&amp;L'!$B$10="","",SUM(L9:L15)+IF(L20="",0,L20)),"")</f>
        <v>28440.815177218254</v>
      </c>
      <c r="M21" s="69">
        <f>IFERROR(IF('2. 3-Year P&amp;L'!$B$10="","",SUM(M9:M15)+IF(M20="",0,M20)),"")</f>
        <v>48355.78552413701</v>
      </c>
      <c r="N21" s="69">
        <f>IFERROR(IF('2. 3-Year P&amp;L'!$B$10="","",SUM(B21:M21)),"")</f>
        <v>168872.22215159005</v>
      </c>
      <c r="O21" s="44" t="n"/>
    </row>
    <row r="22">
      <c r="A22" s="41" t="inlineStr">
        <is>
          <t>CUMULATIVE CASH BALANCE</t>
        </is>
      </c>
      <c r="B22" s="69">
        <f>IFERROR(IF('2. 3-Year P&amp;L'!$B$10="","",'1. Startup Costs'!$B$47+B21),"")</f>
        <v>131292.03902453833</v>
      </c>
      <c r="C22" s="69">
        <f>IFERROR(IF('2. 3-Year P&amp;L'!$B$10="","",B22+C21),"")</f>
        <v>124651.90519167898</v>
      </c>
      <c r="D22" s="69">
        <f>IFERROR(IF('2. 3-Year P&amp;L'!$B$10="","",C22+D21),"")</f>
        <v>131199.6788099924</v>
      </c>
      <c r="E22" s="69">
        <f>IFERROR(IF('2. 3-Year P&amp;L'!$B$10="","",D22+E21),"")</f>
        <v>131923.18539450577</v>
      </c>
      <c r="F22" s="69">
        <f>IFERROR(IF('2. 3-Year P&amp;L'!$B$10="","",E22+F21),"")</f>
        <v>157825.79436018385</v>
      </c>
      <c r="G22" s="69">
        <f>IFERROR(IF('2. 3-Year P&amp;L'!$B$10="","",F22+G21),"")</f>
        <v>188229.0777662436</v>
      </c>
      <c r="H22" s="69">
        <f>IFERROR(IF('2. 3-Year P&amp;L'!$B$10="","",G22+H21),"")</f>
        <v>191405.1555850386</v>
      </c>
      <c r="I22" s="69">
        <f>IFERROR(IF('2. 3-Year P&amp;L'!$B$10="","",H22+I21),"")</f>
        <v>194294.57394606134</v>
      </c>
      <c r="J22" s="69">
        <f>IFERROR(IF('2. 3-Year P&amp;L'!$B$10="","",I22+J21),"")</f>
        <v>224585.97549623955</v>
      </c>
      <c r="K22" s="69">
        <f>IFERROR(IF('2. 3-Year P&amp;L'!$B$10="","",J22+K21),"")</f>
        <v>232071.62145023476</v>
      </c>
      <c r="L22" s="69">
        <f>IFERROR(IF('2. 3-Year P&amp;L'!$B$10="","",K22+L21),"")</f>
        <v>260512.43662745302</v>
      </c>
      <c r="M22" s="69">
        <f>IFERROR(IF('2. 3-Year P&amp;L'!$B$10="","",L22+M21),"")</f>
        <v>308868.22215159005</v>
      </c>
      <c r="N22" s="44" t="n"/>
      <c r="O22" s="44" t="n"/>
    </row>
    <row r="23">
      <c r="A23" s="44" t="inlineStr">
        <is>
          <t>Minimum balance of the year</t>
        </is>
      </c>
      <c r="B23" s="55">
        <f>IFERROR(IF('2. 3-Year P&amp;L'!$B$10="","",IF(COUNT(B22:M22)=0,"",MIN(B22:M22))),"")</f>
        <v>124651.90519167898</v>
      </c>
      <c r="C23" s="44" t="n"/>
      <c r="D23" s="44" t="inlineStr">
        <is>
          <t>If negative, raise working capital or the loan: you run out of cash</t>
        </is>
      </c>
      <c r="E23" s="44" t="n"/>
      <c r="F23" s="44" t="n"/>
      <c r="G23" s="44" t="n"/>
      <c r="H23" s="44" t="n"/>
      <c r="I23" s="44" t="n"/>
      <c r="J23" s="44" t="n"/>
      <c r="K23" s="44" t="n"/>
      <c r="L23" s="44" t="n"/>
      <c r="M23" s="44" t="n"/>
      <c r="N23" s="44" t="n"/>
      <c r="O23" s="44" t="n"/>
    </row>
    <row r="24">
      <c r="A24" s="44" t="inlineStr">
        <is>
          <t>Month when cash bottoms out</t>
        </is>
      </c>
      <c r="B24" s="55">
        <f>IFERROR(IF('2. 3-Year P&amp;L'!$B$10="","",IF(COUNT(B22:M22)=0,"",MATCH(MIN(B22:M22),B22:M22,0))),"")</f>
        <v>2.0</v>
      </c>
      <c r="C24" s="44" t="n"/>
      <c r="D24" s="44" t="inlineStr">
        <is>
          <t>It answers the question that decides a bank deal: in which month the cash runs out</t>
        </is>
      </c>
      <c r="E24" s="44" t="n"/>
      <c r="F24" s="44" t="n"/>
      <c r="G24" s="44" t="n"/>
      <c r="H24" s="44" t="n"/>
      <c r="I24" s="44" t="n"/>
      <c r="J24" s="44" t="n"/>
      <c r="K24" s="44" t="n"/>
      <c r="L24" s="44" t="n"/>
      <c r="M24" s="44" t="n"/>
      <c r="N24" s="44" t="n"/>
      <c r="O24" s="44" t="n"/>
    </row>
    <row r="25">
      <c r="A25" s="41" t="inlineStr">
        <is>
          <t>RETURN ON INVESTMENT</t>
        </is>
      </c>
      <c r="B25" s="44" t="n"/>
      <c r="C25" s="44" t="n"/>
      <c r="D25" s="44" t="n"/>
      <c r="E25" s="44" t="n"/>
      <c r="F25" s="44" t="n"/>
      <c r="G25" s="44" t="n"/>
      <c r="H25" s="44" t="n"/>
      <c r="I25" s="44" t="n"/>
      <c r="J25" s="44" t="n"/>
      <c r="K25" s="44" t="n"/>
      <c r="L25" s="44" t="n"/>
      <c r="M25" s="44" t="n"/>
      <c r="N25" s="44" t="n"/>
      <c r="O25" s="44" t="n"/>
    </row>
    <row r="26">
      <c r="A26" s="44" t="inlineStr">
        <is>
          <t>Free cash flow before debt, year 1</t>
        </is>
      </c>
      <c r="B26" s="55">
        <f>IFERROR(IF('2. 3-Year P&amp;L'!$B$10="","",'2. 3-Year P&amp;L'!$B$50+'2. 3-Year P&amp;L'!$B$38+'7. Financing'!$B$44),"")</f>
        <v>162177.53571428574</v>
      </c>
      <c r="C26" s="44" t="n"/>
      <c r="D26" s="44" t="inlineStr">
        <is>
          <t>Net income plus depreciation (which is not paid) plus that year's interest: principal is not subtracted because this flow is BEFORE debt. The SAME basis as years 2 and 3, so the payback compares like with like</t>
        </is>
      </c>
      <c r="E26" s="44" t="n"/>
      <c r="F26" s="44" t="n"/>
      <c r="G26" s="44" t="n"/>
      <c r="H26" s="44" t="n"/>
      <c r="I26" s="44" t="n"/>
      <c r="J26" s="44" t="n"/>
      <c r="K26" s="44" t="n"/>
      <c r="L26" s="44" t="n"/>
      <c r="M26" s="44" t="n"/>
      <c r="N26" s="44" t="n"/>
      <c r="O26" s="44" t="n"/>
    </row>
    <row r="27">
      <c r="A27" s="44" t="inlineStr">
        <is>
          <t>Free cash flow before debt, year 2</t>
        </is>
      </c>
      <c r="B27" s="55">
        <f>IFERROR(IF('2. 3-Year P&amp;L'!$B$10="","",'2. 3-Year P&amp;L'!$C$50+'2. 3-Year P&amp;L'!$C$38+'7. Financing'!$B$46),"")</f>
        <v>208852.27540033264</v>
      </c>
      <c r="C27" s="44" t="n"/>
      <c r="D27" s="44" t="inlineStr">
        <is>
          <t>Net income plus depreciation (which is not paid) plus that year's interest: principal is not subtracted because this flow is BEFORE debt. Without a monthly table, it is an estimate</t>
        </is>
      </c>
      <c r="E27" s="44" t="n"/>
      <c r="F27" s="44" t="n"/>
      <c r="G27" s="44" t="n"/>
      <c r="H27" s="44" t="n"/>
      <c r="I27" s="44" t="n"/>
      <c r="J27" s="44" t="n"/>
      <c r="K27" s="44" t="n"/>
      <c r="L27" s="44" t="n"/>
      <c r="M27" s="44" t="n"/>
      <c r="N27" s="44" t="n"/>
      <c r="O27" s="44" t="n"/>
    </row>
    <row r="28">
      <c r="A28" s="44" t="inlineStr">
        <is>
          <t>Free cash flow before debt, year 3</t>
        </is>
      </c>
      <c r="B28" s="55">
        <f>IFERROR(IF('2. 3-Year P&amp;L'!$B$10="","",'2. 3-Year P&amp;L'!$D$50+'2. 3-Year P&amp;L'!$D$38+'7. Financing'!$B$48),"")</f>
        <v>237342.21405498436</v>
      </c>
      <c r="C28" s="44" t="n"/>
      <c r="D28" s="44" t="inlineStr">
        <is>
          <t>Net income plus depreciation (which is not paid) plus that year's interest: principal is not subtracted because this flow is BEFORE debt. Without a monthly table, it is an estimate</t>
        </is>
      </c>
      <c r="E28" s="44" t="n"/>
      <c r="F28" s="44" t="n"/>
      <c r="G28" s="44" t="n"/>
      <c r="H28" s="44" t="n"/>
      <c r="I28" s="44" t="n"/>
      <c r="J28" s="44" t="n"/>
      <c r="K28" s="44" t="n"/>
      <c r="L28" s="44" t="n"/>
      <c r="M28" s="44" t="n"/>
      <c r="N28" s="44" t="n"/>
      <c r="O28" s="44" t="n"/>
    </row>
    <row r="29">
      <c r="A29" s="44" t="inlineStr">
        <is>
          <t>For reference: ACTUAL year-1 cash flow (monthly table, before debt)</t>
        </is>
      </c>
      <c r="B29" s="55">
        <f>IFERROR(IF('2. 3-Year P&amp;L'!$B$10="","",N21+'7. Financing'!$B$44+'7. Financing'!$B$45),"")</f>
        <v>233807.63470971215</v>
      </c>
      <c r="C29" s="44" t="n"/>
      <c r="D29" s="44"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44" t="n"/>
      <c r="F29" s="44" t="n"/>
      <c r="G29" s="44" t="n"/>
      <c r="H29" s="44" t="n"/>
      <c r="I29" s="44" t="n"/>
      <c r="J29" s="44" t="n"/>
      <c r="K29" s="44" t="n"/>
      <c r="L29" s="44" t="n"/>
      <c r="M29" s="44" t="n"/>
      <c r="N29" s="44" t="n"/>
      <c r="O29" s="44" t="n"/>
    </row>
    <row r="30">
      <c r="A30" s="44" t="inlineStr">
        <is>
          <t>Investment to recover (net of recoverable input tax)</t>
        </is>
      </c>
      <c r="B30" s="55">
        <f>IFERROR(IF('2. 3-Year P&amp;L'!$B$10="","",'1. Startup Costs'!$B$51-'1. Startup Costs'!$B$50),"")</f>
        <v>528696.0</v>
      </c>
      <c r="C30" s="44" t="n"/>
      <c r="D30" s="44"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44" t="n"/>
      <c r="F30" s="44" t="n"/>
      <c r="G30" s="44" t="n"/>
      <c r="H30" s="44" t="n"/>
      <c r="I30" s="44" t="n"/>
      <c r="J30" s="44" t="n"/>
      <c r="K30" s="44" t="n"/>
      <c r="L30" s="44" t="n"/>
      <c r="M30" s="44" t="n"/>
      <c r="N30" s="44" t="n"/>
      <c r="O30" s="44" t="n"/>
    </row>
    <row r="31">
      <c r="A31" s="41" t="inlineStr">
        <is>
          <t>Project payback (years), before debt</t>
        </is>
      </c>
      <c r="B31" s="41">
        <f>IFERROR(IF('2. 3-Year P&amp;L'!$B$10="","",IF(B26&gt;=B30,ROUND(B30/B26,1),IF(B26+B27&gt;=B30,ROUND(1+(B30-B26)/B27,1),IF(B26+B27+B28&gt;=B30,ROUND(2+(B30-B26-B27)/B28,1),"Over 3 years")))),"")</f>
        <v>2.7</v>
      </c>
      <c r="C31" s="44" t="n"/>
      <c r="D31" s="41" t="inlineStr">
        <is>
          <t>Measures how long the business takes to repay the investment with what it generates BEFORE paying the lender, on the SAME cash flow basis in all three years. Whether you can afford the loan payment is shown by the DSCR in the Financing tab</t>
        </is>
      </c>
      <c r="E31" s="44" t="n"/>
      <c r="F31" s="44" t="n"/>
      <c r="G31" s="44" t="n"/>
      <c r="H31" s="44" t="n"/>
      <c r="I31" s="44" t="n"/>
      <c r="J31" s="44" t="n"/>
      <c r="K31" s="44" t="n"/>
      <c r="L31" s="44" t="n"/>
      <c r="M31" s="44" t="n"/>
      <c r="N31" s="44" t="n"/>
      <c r="O31" s="44" t="n"/>
    </row>
    <row r="32">
      <c r="A32" s="44" t="inlineStr">
        <is>
          <t>Payback on CAPEX, excluding working capital (years)</t>
        </is>
      </c>
      <c r="B32" s="44">
        <f>IFERROR(IF('2. 3-Year P&amp;L'!$B$10="","",IF(B26&gt;='1. Startup Costs'!$B$49,ROUND('1. Startup Costs'!$B$49/B26,1),IF(B26+B27&gt;='1. Startup Costs'!$B$49,ROUND(1+('1. Startup Costs'!$B$49-B26)/B27,1),IF(B26+B27+B28&gt;='1. Startup Costs'!$B$49,ROUND(2+('1. Startup Costs'!$B$49-B26-B27)/B28,1),"Over 3 years")))),"")</f>
        <v>2.1</v>
      </c>
      <c r="C32" s="44" t="n"/>
      <c r="D32" s="44" t="inlineStr">
        <is>
          <t>The same calculation on what you BUY (build-out, equipment, launch and formation costs), without working capital: that money is not spent, it is tied up and comes back when the business closes. For reference only: the payback that matters is the one above</t>
        </is>
      </c>
      <c r="E32" s="44" t="n"/>
      <c r="F32" s="44" t="n"/>
      <c r="G32" s="44" t="n"/>
      <c r="H32" s="44" t="n"/>
      <c r="I32" s="44" t="n"/>
      <c r="J32" s="44" t="n"/>
      <c r="K32" s="44" t="n"/>
      <c r="L32" s="44" t="n"/>
      <c r="M32" s="44" t="n"/>
      <c r="N32" s="44" t="n"/>
      <c r="O32" s="44" t="n"/>
    </row>
    <row r="33">
      <c r="A33" s="44" t="n"/>
      <c r="B33" s="44" t="n"/>
      <c r="C33" s="44" t="n"/>
      <c r="D33" s="44" t="n"/>
      <c r="E33" s="44" t="n"/>
      <c r="F33" s="44" t="n"/>
      <c r="G33" s="44" t="n"/>
      <c r="H33" s="44" t="n"/>
      <c r="I33" s="44" t="n"/>
      <c r="J33" s="44" t="n"/>
      <c r="K33" s="44" t="n"/>
      <c r="L33" s="44" t="n"/>
      <c r="M33" s="44" t="n"/>
      <c r="N33" s="44" t="n"/>
      <c r="O33" s="44" t="n"/>
    </row>
    <row r="34" ht="134.75" customHeight="1">
      <c r="A34" s="63" t="inlineStr">
        <is>
          <t>Fourth-quarter sales tax is settled in January of the following year,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44" t="n"/>
      <c r="C34" s="44" t="n"/>
      <c r="D34" s="44" t="n"/>
      <c r="E34" s="44" t="n"/>
      <c r="F34" s="44" t="n"/>
      <c r="G34" s="44" t="n"/>
      <c r="H34" s="44" t="n"/>
      <c r="I34" s="44" t="n"/>
      <c r="J34" s="44" t="n"/>
      <c r="K34" s="44" t="n"/>
      <c r="L34" s="44" t="n"/>
      <c r="M34" s="44" t="n"/>
      <c r="N34" s="44" t="n"/>
      <c r="O34" s="44" t="n"/>
    </row>
    <row r="35">
      <c r="A35" s="44" t="n"/>
      <c r="B35" s="44" t="n"/>
      <c r="C35" s="44" t="n"/>
      <c r="D35" s="44" t="n"/>
      <c r="E35" s="44" t="n"/>
      <c r="F35" s="44" t="n"/>
      <c r="G35" s="44" t="n"/>
      <c r="H35" s="44" t="n"/>
      <c r="I35" s="44" t="n"/>
      <c r="J35" s="44" t="n"/>
      <c r="K35" s="44" t="n"/>
      <c r="L35" s="44" t="n"/>
      <c r="M35" s="44" t="n"/>
      <c r="N35" s="44" t="n"/>
      <c r="O35" s="44" t="n"/>
    </row>
    <row r="36">
      <c r="A36" s="44" t="n"/>
      <c r="B36" s="44" t="n"/>
      <c r="C36" s="44" t="n"/>
      <c r="D36" s="44" t="n"/>
      <c r="E36" s="44" t="n"/>
      <c r="F36" s="44" t="n"/>
      <c r="G36" s="44" t="n"/>
      <c r="H36" s="44" t="n"/>
      <c r="I36" s="44" t="n"/>
      <c r="J36" s="44" t="n"/>
      <c r="K36" s="44" t="n"/>
      <c r="L36" s="44" t="n"/>
      <c r="M36" s="44" t="n"/>
      <c r="N36" s="44" t="n"/>
      <c r="O36" s="44" t="n"/>
    </row>
    <row r="37">
      <c r="A37" s="44" t="n"/>
      <c r="B37" s="44" t="n"/>
      <c r="C37" s="44" t="n"/>
      <c r="D37" s="44" t="n"/>
      <c r="E37" s="44" t="n"/>
      <c r="F37" s="44" t="n"/>
      <c r="G37" s="44" t="n"/>
      <c r="H37" s="44" t="n"/>
      <c r="I37" s="44" t="n"/>
      <c r="J37" s="44" t="n"/>
      <c r="K37" s="44" t="n"/>
      <c r="L37" s="44" t="n"/>
      <c r="M37" s="44" t="n"/>
      <c r="N37" s="44" t="n"/>
      <c r="O37" s="44" t="n"/>
    </row>
    <row r="38">
      <c r="A38" s="44" t="n"/>
      <c r="B38" s="44" t="n"/>
      <c r="C38" s="44" t="n"/>
      <c r="D38" s="44" t="n"/>
      <c r="E38" s="44" t="n"/>
      <c r="F38" s="44" t="n"/>
      <c r="G38" s="44" t="n"/>
      <c r="H38" s="44" t="n"/>
      <c r="I38" s="44" t="n"/>
      <c r="J38" s="44" t="n"/>
      <c r="K38" s="44" t="n"/>
      <c r="L38" s="44" t="n"/>
      <c r="M38" s="44" t="n"/>
      <c r="N38" s="44" t="n"/>
      <c r="O38" s="44" t="n"/>
    </row>
    <row r="39">
      <c r="A39" s="44" t="n"/>
      <c r="B39" s="44" t="n"/>
      <c r="C39" s="44" t="n"/>
      <c r="D39" s="44" t="n"/>
      <c r="E39" s="44" t="n"/>
      <c r="F39" s="44" t="n"/>
      <c r="G39" s="44" t="n"/>
      <c r="H39" s="44" t="n"/>
      <c r="I39" s="44" t="n"/>
      <c r="J39" s="44" t="n"/>
      <c r="K39" s="44" t="n"/>
      <c r="L39" s="44" t="n"/>
      <c r="M39" s="44" t="n"/>
      <c r="N39" s="44" t="n"/>
      <c r="O39" s="44" t="n"/>
    </row>
    <row r="40">
      <c r="A40" s="44" t="n"/>
      <c r="B40" s="44" t="n"/>
      <c r="C40" s="44" t="n"/>
      <c r="D40" s="44" t="n"/>
      <c r="E40" s="44" t="n"/>
      <c r="F40" s="44" t="n"/>
      <c r="G40" s="44" t="n"/>
      <c r="H40" s="44" t="n"/>
      <c r="I40" s="44" t="n"/>
      <c r="J40" s="44" t="n"/>
      <c r="K40" s="44" t="n"/>
      <c r="L40" s="44" t="n"/>
      <c r="M40" s="44" t="n"/>
      <c r="N40" s="44" t="n"/>
      <c r="O40" s="44" t="n"/>
    </row>
    <row r="41">
      <c r="A41" s="44" t="n"/>
      <c r="B41" s="44" t="n"/>
      <c r="C41" s="44" t="n"/>
      <c r="D41" s="44" t="n"/>
      <c r="E41" s="44" t="n"/>
      <c r="F41" s="44" t="n"/>
      <c r="G41" s="44" t="n"/>
      <c r="H41" s="44" t="n"/>
      <c r="I41" s="44" t="n"/>
      <c r="J41" s="44" t="n"/>
      <c r="K41" s="44" t="n"/>
      <c r="L41" s="44" t="n"/>
      <c r="M41" s="44" t="n"/>
      <c r="N41" s="44" t="n"/>
      <c r="O41" s="44" t="n"/>
    </row>
    <row r="42">
      <c r="A42" s="44" t="n"/>
      <c r="B42" s="44" t="n"/>
      <c r="C42" s="44" t="n"/>
      <c r="D42" s="44" t="n"/>
      <c r="E42" s="44" t="n"/>
      <c r="F42" s="44" t="n"/>
      <c r="G42" s="44" t="n"/>
      <c r="H42" s="44" t="n"/>
      <c r="I42" s="44" t="n"/>
      <c r="J42" s="44" t="n"/>
      <c r="K42" s="44" t="n"/>
      <c r="L42" s="44" t="n"/>
      <c r="M42" s="44" t="n"/>
      <c r="N42" s="44" t="n"/>
      <c r="O42" s="44" t="n"/>
    </row>
    <row r="43">
      <c r="A43" s="44" t="n"/>
      <c r="B43" s="44" t="n"/>
      <c r="C43" s="44" t="n"/>
      <c r="D43" s="44" t="n"/>
      <c r="E43" s="44" t="n"/>
      <c r="F43" s="44" t="n"/>
      <c r="G43" s="44" t="n"/>
      <c r="H43" s="44" t="n"/>
      <c r="I43" s="44" t="n"/>
      <c r="J43" s="44" t="n"/>
      <c r="K43" s="44" t="n"/>
      <c r="L43" s="44" t="n"/>
      <c r="M43" s="44" t="n"/>
      <c r="N43" s="44" t="n"/>
      <c r="O43" s="44" t="n"/>
    </row>
    <row r="44">
      <c r="A44" s="44" t="n"/>
      <c r="B44" s="44" t="n"/>
      <c r="C44" s="44" t="n"/>
      <c r="D44" s="44" t="n"/>
      <c r="E44" s="44" t="n"/>
      <c r="F44" s="44" t="n"/>
      <c r="G44" s="44" t="n"/>
      <c r="H44" s="44" t="n"/>
      <c r="I44" s="44" t="n"/>
      <c r="J44" s="44" t="n"/>
      <c r="K44" s="44" t="n"/>
      <c r="L44" s="44" t="n"/>
      <c r="M44" s="44" t="n"/>
      <c r="N44" s="44" t="n"/>
      <c r="O44" s="44" t="n"/>
    </row>
    <row r="45">
      <c r="A45" s="44" t="n"/>
      <c r="B45" s="44" t="n"/>
      <c r="C45" s="44" t="n"/>
      <c r="D45" s="44" t="n"/>
      <c r="E45" s="44" t="n"/>
      <c r="F45" s="44" t="n"/>
      <c r="G45" s="44" t="n"/>
      <c r="H45" s="44" t="n"/>
      <c r="I45" s="44" t="n"/>
      <c r="J45" s="44" t="n"/>
      <c r="K45" s="44" t="n"/>
      <c r="L45" s="44" t="n"/>
      <c r="M45" s="44" t="n"/>
      <c r="N45" s="44" t="n"/>
      <c r="O45" s="44" t="n"/>
    </row>
    <row r="46">
      <c r="A46" s="44" t="n"/>
      <c r="B46" s="44" t="n"/>
      <c r="C46" s="44" t="n"/>
      <c r="D46" s="44" t="n"/>
      <c r="E46" s="44" t="n"/>
      <c r="F46" s="44" t="n"/>
      <c r="G46" s="44" t="n"/>
      <c r="H46" s="44" t="n"/>
      <c r="I46" s="44" t="n"/>
      <c r="J46" s="44" t="n"/>
      <c r="K46" s="44" t="n"/>
      <c r="L46" s="44" t="n"/>
      <c r="M46" s="44" t="n"/>
      <c r="N46" s="44" t="n"/>
      <c r="O46" s="44" t="n"/>
    </row>
    <row r="47">
      <c r="A47" s="44" t="n"/>
      <c r="B47" s="44" t="n"/>
      <c r="C47" s="44" t="n"/>
      <c r="D47" s="44" t="n"/>
      <c r="E47" s="44" t="n"/>
      <c r="F47" s="44" t="n"/>
      <c r="G47" s="44" t="n"/>
      <c r="H47" s="44" t="n"/>
      <c r="I47" s="44" t="n"/>
      <c r="J47" s="44" t="n"/>
      <c r="K47" s="44" t="n"/>
      <c r="L47" s="44" t="n"/>
      <c r="M47" s="44" t="n"/>
      <c r="N47" s="44" t="n"/>
      <c r="O47" s="44" t="n"/>
    </row>
    <row r="48">
      <c r="A48" s="44" t="n"/>
      <c r="B48" s="44" t="n"/>
      <c r="C48" s="44" t="n"/>
      <c r="D48" s="44" t="n"/>
      <c r="E48" s="44" t="n"/>
      <c r="F48" s="44" t="n"/>
      <c r="G48" s="44" t="n"/>
      <c r="H48" s="44" t="n"/>
      <c r="I48" s="44" t="n"/>
      <c r="J48" s="44" t="n"/>
      <c r="K48" s="44" t="n"/>
      <c r="L48" s="44" t="n"/>
      <c r="M48" s="44" t="n"/>
      <c r="N48" s="44" t="n"/>
      <c r="O48" s="44" t="n"/>
    </row>
    <row r="49">
      <c r="A49" s="44" t="n"/>
      <c r="B49" s="44" t="n"/>
      <c r="C49" s="44" t="n"/>
      <c r="D49" s="44" t="n"/>
      <c r="E49" s="44" t="n"/>
      <c r="F49" s="44" t="n"/>
      <c r="G49" s="44" t="n"/>
      <c r="H49" s="44" t="n"/>
      <c r="I49" s="44" t="n"/>
      <c r="J49" s="44" t="n"/>
      <c r="K49" s="44" t="n"/>
      <c r="L49" s="44" t="n"/>
      <c r="M49" s="44" t="n"/>
      <c r="N49" s="44" t="n"/>
      <c r="O49" s="44" t="n"/>
    </row>
    <row r="50">
      <c r="A50" s="44" t="n"/>
      <c r="B50" s="44" t="n"/>
      <c r="C50" s="44" t="n"/>
      <c r="D50" s="44" t="n"/>
      <c r="E50" s="44" t="n"/>
      <c r="F50" s="44" t="n"/>
      <c r="G50" s="44" t="n"/>
      <c r="H50" s="44" t="n"/>
      <c r="I50" s="44" t="n"/>
      <c r="J50" s="44" t="n"/>
      <c r="K50" s="44" t="n"/>
      <c r="L50" s="44" t="n"/>
      <c r="M50" s="44" t="n"/>
      <c r="N50" s="44" t="n"/>
      <c r="O50" s="44" t="n"/>
    </row>
    <row r="51">
      <c r="A51" s="44" t="n"/>
      <c r="B51" s="44" t="n"/>
      <c r="C51" s="44" t="n"/>
      <c r="D51" s="44" t="n"/>
      <c r="E51" s="44" t="n"/>
      <c r="F51" s="44" t="n"/>
      <c r="G51" s="44" t="n"/>
      <c r="H51" s="44" t="n"/>
      <c r="I51" s="44" t="n"/>
      <c r="J51" s="44" t="n"/>
      <c r="K51" s="44" t="n"/>
      <c r="L51" s="44" t="n"/>
      <c r="M51" s="44" t="n"/>
      <c r="N51" s="44" t="n"/>
      <c r="O51" s="44" t="n"/>
    </row>
    <row r="52">
      <c r="A52" s="44" t="n"/>
      <c r="B52" s="44" t="n"/>
      <c r="C52" s="44" t="n"/>
      <c r="D52" s="44" t="n"/>
      <c r="E52" s="44" t="n"/>
      <c r="F52" s="44" t="n"/>
      <c r="G52" s="44" t="n"/>
      <c r="H52" s="44" t="n"/>
      <c r="I52" s="44" t="n"/>
      <c r="J52" s="44" t="n"/>
      <c r="K52" s="44" t="n"/>
      <c r="L52" s="44" t="n"/>
      <c r="M52" s="44" t="n"/>
      <c r="N52" s="44" t="n"/>
      <c r="O52" s="44" t="n"/>
    </row>
    <row r="53">
      <c r="A53" s="44" t="n"/>
      <c r="B53" s="44" t="n"/>
      <c r="C53" s="44" t="n"/>
      <c r="D53" s="44" t="n"/>
      <c r="E53" s="44" t="n"/>
      <c r="F53" s="44" t="n"/>
      <c r="G53" s="44" t="n"/>
      <c r="H53" s="44" t="n"/>
      <c r="I53" s="44" t="n"/>
      <c r="J53" s="44" t="n"/>
      <c r="K53" s="44" t="n"/>
      <c r="L53" s="44" t="n"/>
      <c r="M53" s="44" t="n"/>
      <c r="N53" s="44" t="n"/>
      <c r="O53" s="44" t="n"/>
    </row>
    <row r="54">
      <c r="A54" s="44" t="n"/>
      <c r="B54" s="44" t="n"/>
      <c r="C54" s="44" t="n"/>
      <c r="D54" s="44" t="n"/>
      <c r="E54" s="44" t="n"/>
      <c r="F54" s="44" t="n"/>
      <c r="G54" s="44" t="n"/>
      <c r="H54" s="44" t="n"/>
      <c r="I54" s="44" t="n"/>
      <c r="J54" s="44" t="n"/>
      <c r="K54" s="44" t="n"/>
      <c r="L54" s="44" t="n"/>
      <c r="M54" s="44" t="n"/>
      <c r="N54" s="44" t="n"/>
      <c r="O54" s="44" t="n"/>
    </row>
    <row r="55">
      <c r="A55" s="44" t="n"/>
      <c r="B55" s="44" t="n"/>
      <c r="C55" s="44" t="n"/>
      <c r="D55" s="44" t="n"/>
      <c r="E55" s="44" t="n"/>
      <c r="F55" s="44" t="n"/>
      <c r="G55" s="44" t="n"/>
      <c r="H55" s="44" t="n"/>
      <c r="I55" s="44" t="n"/>
      <c r="J55" s="44" t="n"/>
      <c r="K55" s="44" t="n"/>
      <c r="L55" s="44" t="n"/>
      <c r="M55" s="44" t="n"/>
      <c r="N55" s="44" t="n"/>
      <c r="O55" s="44" t="n"/>
    </row>
    <row r="56">
      <c r="A56" s="44" t="n"/>
      <c r="B56" s="44" t="n"/>
      <c r="C56" s="44" t="n"/>
      <c r="D56" s="44" t="n"/>
      <c r="E56" s="44" t="n"/>
      <c r="F56" s="44" t="n"/>
      <c r="G56" s="44" t="n"/>
      <c r="H56" s="44" t="n"/>
      <c r="I56" s="44" t="n"/>
      <c r="J56" s="44" t="n"/>
      <c r="K56" s="44" t="n"/>
      <c r="L56" s="44" t="n"/>
      <c r="M56" s="44" t="n"/>
      <c r="N56" s="44" t="n"/>
      <c r="O56" s="44" t="n"/>
    </row>
    <row r="57">
      <c r="A57" s="44" t="n"/>
      <c r="B57" s="44" t="n"/>
      <c r="C57" s="44" t="n"/>
      <c r="D57" s="44" t="n"/>
      <c r="E57" s="44" t="n"/>
      <c r="F57" s="44" t="n"/>
      <c r="G57" s="44" t="n"/>
      <c r="H57" s="44" t="n"/>
      <c r="I57" s="44" t="n"/>
      <c r="J57" s="44" t="n"/>
      <c r="K57" s="44" t="n"/>
      <c r="L57" s="44" t="n"/>
      <c r="M57" s="44" t="n"/>
      <c r="N57" s="44" t="n"/>
      <c r="O57" s="44" t="n"/>
    </row>
    <row r="58">
      <c r="A58" s="44" t="n"/>
      <c r="B58" s="44" t="n"/>
      <c r="C58" s="44" t="n"/>
      <c r="D58" s="44" t="n"/>
      <c r="E58" s="44" t="n"/>
      <c r="F58" s="44" t="n"/>
      <c r="G58" s="44" t="n"/>
      <c r="H58" s="44" t="n"/>
      <c r="I58" s="44" t="n"/>
      <c r="J58" s="44" t="n"/>
      <c r="K58" s="44" t="n"/>
      <c r="L58" s="44" t="n"/>
      <c r="M58" s="44" t="n"/>
      <c r="N58" s="44" t="n"/>
      <c r="O58" s="44" t="n"/>
    </row>
    <row r="59">
      <c r="A59" s="44" t="n"/>
      <c r="B59" s="44" t="n"/>
      <c r="C59" s="44" t="n"/>
      <c r="D59" s="44" t="n"/>
      <c r="E59" s="44" t="n"/>
      <c r="F59" s="44" t="n"/>
      <c r="G59" s="44" t="n"/>
      <c r="H59" s="44" t="n"/>
      <c r="I59" s="44" t="n"/>
      <c r="J59" s="44" t="n"/>
      <c r="K59" s="44" t="n"/>
      <c r="L59" s="44" t="n"/>
      <c r="M59" s="44" t="n"/>
      <c r="N59" s="44" t="n"/>
      <c r="O59" s="44" t="n"/>
    </row>
    <row r="60">
      <c r="A60" s="44" t="n"/>
      <c r="B60" s="44" t="n"/>
      <c r="C60" s="44" t="n"/>
      <c r="D60" s="44" t="n"/>
      <c r="E60" s="44" t="n"/>
      <c r="F60" s="44" t="n"/>
      <c r="G60" s="44" t="n"/>
      <c r="H60" s="44" t="n"/>
      <c r="I60" s="44" t="n"/>
      <c r="J60" s="44" t="n"/>
      <c r="K60" s="44" t="n"/>
      <c r="L60" s="44" t="n"/>
      <c r="M60" s="44" t="n"/>
      <c r="N60" s="44" t="n"/>
      <c r="O60" s="44" t="n"/>
    </row>
    <row r="61">
      <c r="A61" s="44" t="n"/>
      <c r="B61" s="44" t="n"/>
      <c r="C61" s="44" t="n"/>
      <c r="D61" s="44" t="n"/>
      <c r="E61" s="44" t="n"/>
      <c r="F61" s="44" t="n"/>
      <c r="G61" s="44" t="n"/>
      <c r="H61" s="44" t="n"/>
      <c r="I61" s="44" t="n"/>
      <c r="J61" s="44" t="n"/>
      <c r="K61" s="44" t="n"/>
      <c r="L61" s="44" t="n"/>
      <c r="M61" s="44" t="n"/>
      <c r="N61" s="44" t="n"/>
      <c r="O61" s="44" t="n"/>
    </row>
    <row r="62">
      <c r="A62" s="44" t="n"/>
      <c r="B62" s="44" t="n"/>
      <c r="C62" s="44" t="n"/>
      <c r="D62" s="44" t="n"/>
      <c r="E62" s="44" t="n"/>
      <c r="F62" s="44" t="n"/>
      <c r="G62" s="44" t="n"/>
      <c r="H62" s="44" t="n"/>
      <c r="I62" s="44" t="n"/>
      <c r="J62" s="44" t="n"/>
      <c r="K62" s="44" t="n"/>
      <c r="L62" s="44" t="n"/>
      <c r="M62" s="44" t="n"/>
      <c r="N62" s="44" t="n"/>
      <c r="O62" s="44" t="n"/>
    </row>
    <row r="63">
      <c r="A63" s="44" t="n"/>
      <c r="B63" s="44" t="n"/>
      <c r="C63" s="44" t="n"/>
      <c r="D63" s="44" t="n"/>
      <c r="E63" s="44" t="n"/>
      <c r="F63" s="44" t="n"/>
      <c r="G63" s="44" t="n"/>
      <c r="H63" s="44" t="n"/>
      <c r="I63" s="44" t="n"/>
      <c r="J63" s="44" t="n"/>
      <c r="K63" s="44" t="n"/>
      <c r="L63" s="44" t="n"/>
      <c r="M63" s="44" t="n"/>
      <c r="N63" s="44" t="n"/>
      <c r="O63" s="44" t="n"/>
    </row>
    <row r="64">
      <c r="A64" s="44" t="n"/>
      <c r="B64" s="44" t="n"/>
      <c r="C64" s="44" t="n"/>
      <c r="D64" s="44" t="n"/>
      <c r="E64" s="44" t="n"/>
      <c r="F64" s="44" t="n"/>
      <c r="G64" s="44" t="n"/>
      <c r="H64" s="44" t="n"/>
      <c r="I64" s="44" t="n"/>
      <c r="J64" s="44" t="n"/>
      <c r="K64" s="44" t="n"/>
      <c r="L64" s="44" t="n"/>
      <c r="M64" s="44" t="n"/>
      <c r="N64" s="44" t="n"/>
      <c r="O64" s="44" t="n"/>
    </row>
    <row r="65">
      <c r="A65" s="44" t="n"/>
      <c r="B65" s="44" t="n"/>
      <c r="C65" s="44" t="n"/>
      <c r="D65" s="44" t="n"/>
      <c r="E65" s="44" t="n"/>
      <c r="F65" s="44" t="n"/>
      <c r="G65" s="44" t="n"/>
      <c r="H65" s="44" t="n"/>
      <c r="I65" s="44" t="n"/>
      <c r="J65" s="44" t="n"/>
      <c r="K65" s="44" t="n"/>
      <c r="L65" s="44" t="n"/>
      <c r="M65" s="44" t="n"/>
      <c r="N65" s="44" t="n"/>
      <c r="O65" s="44" t="n"/>
    </row>
    <row r="66">
      <c r="A66" s="44" t="n"/>
      <c r="B66" s="44" t="n"/>
      <c r="C66" s="44" t="n"/>
      <c r="D66" s="44" t="n"/>
      <c r="E66" s="44" t="n"/>
      <c r="F66" s="44" t="n"/>
      <c r="G66" s="44" t="n"/>
      <c r="H66" s="44" t="n"/>
      <c r="I66" s="44" t="n"/>
      <c r="J66" s="44" t="n"/>
      <c r="K66" s="44" t="n"/>
      <c r="L66" s="44" t="n"/>
      <c r="M66" s="44" t="n"/>
      <c r="N66" s="44" t="n"/>
      <c r="O66" s="44" t="n"/>
    </row>
    <row r="67">
      <c r="A67" s="44" t="n"/>
      <c r="B67" s="44" t="n"/>
      <c r="C67" s="44" t="n"/>
      <c r="D67" s="44" t="n"/>
      <c r="E67" s="44" t="n"/>
      <c r="F67" s="44" t="n"/>
      <c r="G67" s="44" t="n"/>
      <c r="H67" s="44" t="n"/>
      <c r="I67" s="44" t="n"/>
      <c r="J67" s="44" t="n"/>
      <c r="K67" s="44" t="n"/>
      <c r="L67" s="44" t="n"/>
      <c r="M67" s="44" t="n"/>
      <c r="N67" s="44" t="n"/>
      <c r="O67" s="44" t="n"/>
    </row>
    <row r="68">
      <c r="A68" s="44" t="n"/>
      <c r="B68" s="44" t="n"/>
      <c r="C68" s="44" t="n"/>
      <c r="D68" s="44" t="n"/>
      <c r="E68" s="44" t="n"/>
      <c r="F68" s="44" t="n"/>
      <c r="G68" s="44" t="n"/>
      <c r="H68" s="44" t="n"/>
      <c r="I68" s="44" t="n"/>
      <c r="J68" s="44" t="n"/>
      <c r="K68" s="44" t="n"/>
      <c r="L68" s="44" t="n"/>
      <c r="M68" s="44" t="n"/>
      <c r="N68" s="44" t="n"/>
      <c r="O68" s="44" t="n"/>
    </row>
    <row r="69">
      <c r="A69" s="44" t="n"/>
      <c r="B69" s="44" t="n"/>
      <c r="C69" s="44" t="n"/>
      <c r="D69" s="44" t="n"/>
      <c r="E69" s="44" t="n"/>
      <c r="F69" s="44" t="n"/>
      <c r="G69" s="44" t="n"/>
      <c r="H69" s="44" t="n"/>
      <c r="I69" s="44" t="n"/>
      <c r="J69" s="44" t="n"/>
      <c r="K69" s="44" t="n"/>
      <c r="L69" s="44" t="n"/>
      <c r="M69" s="44" t="n"/>
      <c r="N69" s="44" t="n"/>
      <c r="O69" s="44" t="n"/>
    </row>
    <row r="70">
      <c r="A70" s="44" t="n"/>
      <c r="B70" s="44" t="n"/>
      <c r="C70" s="44" t="n"/>
      <c r="D70" s="44" t="n"/>
      <c r="E70" s="44" t="n"/>
      <c r="F70" s="44" t="n"/>
      <c r="G70" s="44" t="n"/>
      <c r="H70" s="44" t="n"/>
      <c r="I70" s="44" t="n"/>
      <c r="J70" s="44" t="n"/>
      <c r="K70" s="44" t="n"/>
      <c r="L70" s="44" t="n"/>
      <c r="M70" s="44" t="n"/>
      <c r="N70" s="44" t="n"/>
      <c r="O70" s="44"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41" t="inlineStr">
        <is>
          <t>FINANCING PLAN</t>
        </is>
      </c>
      <c r="B1" s="44" t="n"/>
      <c r="C1" s="44" t="n"/>
      <c r="D1" s="44" t="n"/>
      <c r="E1" s="44" t="n"/>
      <c r="F1" s="44" t="n"/>
      <c r="G1" s="44" t="n"/>
      <c r="H1" s="44" t="n"/>
    </row>
    <row r="2" ht="45" customHeight="1">
      <c r="A2" s="63" t="inlineStr">
        <is>
          <t>What you need, where it comes from and what it costs to repay. It is the sheet your lender asks for along with the P&amp;L.</t>
        </is>
      </c>
      <c r="B2" s="44" t="n"/>
      <c r="C2" s="44" t="n"/>
      <c r="D2" s="44" t="n"/>
      <c r="E2" s="44" t="n"/>
      <c r="F2" s="44" t="n"/>
      <c r="G2" s="44" t="n"/>
      <c r="H2" s="44" t="n"/>
    </row>
    <row r="3">
      <c r="A3" s="44" t="n"/>
      <c r="B3" s="44" t="n"/>
      <c r="C3" s="44" t="n"/>
      <c r="D3" s="44" t="n"/>
      <c r="E3" s="44" t="n"/>
      <c r="F3" s="44" t="n"/>
      <c r="G3" s="44" t="n"/>
      <c r="H3" s="44" t="n"/>
    </row>
    <row r="4">
      <c r="A4" s="41" t="inlineStr">
        <is>
          <t>Item</t>
        </is>
      </c>
      <c r="B4" s="41" t="inlineStr">
        <is>
          <t>Amount</t>
        </is>
      </c>
      <c r="C4" s="41" t="inlineStr">
        <is>
          <t>Notes</t>
        </is>
      </c>
      <c r="D4" s="44" t="n"/>
      <c r="E4" s="44" t="n"/>
      <c r="F4" s="44" t="n"/>
      <c r="G4" s="44" t="n"/>
      <c r="H4" s="44" t="n"/>
    </row>
    <row r="5">
      <c r="A5" s="41" t="inlineStr">
        <is>
          <t>SOURCES OF FUNDS</t>
        </is>
      </c>
      <c r="B5" s="44" t="n"/>
      <c r="C5" s="44" t="n"/>
      <c r="D5" s="44" t="n"/>
      <c r="E5" s="44" t="n"/>
      <c r="F5" s="44" t="n"/>
      <c r="G5" s="44" t="n"/>
      <c r="H5" s="44" t="n"/>
    </row>
    <row r="6">
      <c r="A6" s="44" t="inlineStr">
        <is>
          <t>Owner's equity (your own money)</t>
        </is>
      </c>
      <c r="B6" s="55">
        <f>IFERROR(IF('0. Assumptions'!$B$30="","",'0. Assumptions'!$B$30),"")</f>
        <v>130000.0</v>
      </c>
      <c r="C6" s="44" t="n"/>
      <c r="D6" s="44" t="n"/>
      <c r="E6" s="44" t="n"/>
      <c r="F6" s="44" t="n"/>
      <c r="G6" s="44" t="n"/>
      <c r="H6" s="44" t="n"/>
    </row>
    <row r="7">
      <c r="A7" s="44" t="inlineStr">
        <is>
          <t>Loan requested — bank or SBA 7(a) (amortized below)</t>
        </is>
      </c>
      <c r="B7" s="55">
        <f>IFERROR(IF('0. Assumptions'!$B$31="","",'0. Assumptions'!$B$31),"")</f>
        <v>399000.0</v>
      </c>
      <c r="C7" s="44" t="n"/>
      <c r="D7" s="44" t="n"/>
      <c r="E7" s="44" t="n"/>
      <c r="F7" s="44" t="n"/>
      <c r="G7" s="44" t="n"/>
      <c r="H7" s="44" t="n"/>
    </row>
    <row r="8">
      <c r="A8" s="44" t="inlineStr">
        <is>
          <t>Other loan (not in the schedule or the DSCR — enter your loan in row 7)</t>
        </is>
      </c>
      <c r="B8" s="65" t="n">
        <v>0</v>
      </c>
      <c r="C8" s="44" t="inlineStr">
        <is>
          <t>A source of funds only: NOT amortized, so it is not in the schedule, the P&amp;L interest or the DSCR. Enter your bank or SBA 7(a) loan in row 7 ("Loan requested" in "0. Assumptions"); use this row only for a second loan</t>
        </is>
      </c>
      <c r="D8" s="44" t="n"/>
      <c r="E8" s="44" t="n"/>
      <c r="F8" s="44" t="n"/>
      <c r="G8" s="44" t="n"/>
      <c r="H8" s="44" t="n"/>
    </row>
    <row r="9">
      <c r="A9" s="44" t="inlineStr">
        <is>
          <t>SBA Microloan (not in the schedule or the DSCR — enter your loan in row 7)</t>
        </is>
      </c>
      <c r="B9" s="65" t="n">
        <v>0</v>
      </c>
      <c r="C9" s="44" t="inlineStr">
        <is>
          <t>SBA Microloans go up to 50,000 through nonprofit intermediaries. Like row 8, a source of funds only: not in the schedule or the DSCR. If it is your only loan, enter it in row 7 instead</t>
        </is>
      </c>
      <c r="D9" s="44" t="n"/>
      <c r="E9" s="44" t="n"/>
      <c r="F9" s="44" t="n"/>
      <c r="G9" s="44" t="n"/>
      <c r="H9" s="44" t="n"/>
    </row>
    <row r="10">
      <c r="A10" s="44" t="inlineStr">
        <is>
          <t>Investors / partners (equity: dilutes, not repaid)</t>
        </is>
      </c>
      <c r="B10" s="65" t="n">
        <v>0</v>
      </c>
      <c r="C10" s="44" t="inlineStr">
        <is>
          <t>Equity: it dilutes your ownership and is not repaid</t>
        </is>
      </c>
      <c r="D10" s="44" t="n"/>
      <c r="E10" s="44" t="n"/>
      <c r="F10" s="44" t="n"/>
      <c r="G10" s="44" t="n"/>
      <c r="H10" s="44" t="n"/>
    </row>
    <row r="11">
      <c r="A11" s="44" t="inlineStr">
        <is>
          <t>Local grants (usually paid after you spend)</t>
        </is>
      </c>
      <c r="B11" s="65" t="n">
        <v>0</v>
      </c>
      <c r="C11" s="44" t="inlineStr">
        <is>
          <t>Usually paid AFTER you document the spending</t>
        </is>
      </c>
      <c r="D11" s="44" t="n"/>
      <c r="E11" s="44" t="n"/>
      <c r="F11" s="44" t="n"/>
      <c r="G11" s="44" t="n"/>
      <c r="H11" s="44" t="n"/>
    </row>
    <row r="12">
      <c r="A12" s="41" t="inlineStr">
        <is>
          <t>TOTAL SOURCES OF FUNDS</t>
        </is>
      </c>
      <c r="B12" s="69">
        <f>IFERROR(IF(COUNT(B6:B11)=0,"",SUM(B6:B11)),"")</f>
        <v>529000.0</v>
      </c>
      <c r="C12" s="44" t="n"/>
      <c r="D12" s="44" t="n"/>
      <c r="E12" s="44" t="n"/>
      <c r="F12" s="44" t="n"/>
      <c r="G12" s="44" t="n"/>
      <c r="H12" s="44" t="n"/>
    </row>
    <row r="13">
      <c r="A13" s="41" t="inlineStr">
        <is>
          <t>USES OF FUNDS</t>
        </is>
      </c>
      <c r="B13" s="44" t="n"/>
      <c r="C13" s="44" t="n"/>
      <c r="D13" s="44" t="n"/>
      <c r="E13" s="44" t="n"/>
      <c r="F13" s="44" t="n"/>
      <c r="G13" s="44" t="n"/>
      <c r="H13" s="44" t="n"/>
    </row>
    <row r="14">
      <c r="A14" s="44" t="inlineStr">
        <is>
          <t>Total cash needed at launch</t>
        </is>
      </c>
      <c r="B14" s="55">
        <f>IFERROR(IF('1. Startup Costs'!$B$51="","",'1. Startup Costs'!$B$51),"")</f>
        <v>528696.0</v>
      </c>
      <c r="C14" s="44" t="inlineStr">
        <is>
          <t>Startup costs plus any recoverable tax you have to advance (zero by default in the US)</t>
        </is>
      </c>
      <c r="D14" s="44" t="n"/>
      <c r="E14" s="44" t="n"/>
      <c r="F14" s="44" t="n"/>
      <c r="G14" s="44" t="n"/>
      <c r="H14" s="44" t="n"/>
    </row>
    <row r="15">
      <c r="A15" s="41" t="inlineStr">
        <is>
          <t>Difference (sources - uses)</t>
        </is>
      </c>
      <c r="B15" s="69">
        <f>IFERROR(B12-B14,"")</f>
        <v>304.0</v>
      </c>
      <c r="C15" s="41" t="inlineStr">
        <is>
          <t>In red (negative), the plan is NOT funded. Far above zero is not free either: you pay interest on money you do not use</t>
        </is>
      </c>
      <c r="D15" s="44" t="n"/>
      <c r="E15" s="44" t="n"/>
      <c r="F15" s="44" t="n"/>
      <c r="G15" s="44" t="n"/>
      <c r="H15" s="44" t="n"/>
    </row>
    <row r="16">
      <c r="A16" s="44" t="inlineStr">
        <is>
          <t>Difference as a % of uses</t>
        </is>
      </c>
      <c r="B16" s="46">
        <f>IFERROR(B15/B14,"")</f>
        <v>0.0005749996217107752</v>
      </c>
      <c r="C16" s="44" t="inlineStr">
        <is>
          <t>Amber above the margin you set: it is debt you pay for without needing it</t>
        </is>
      </c>
      <c r="D16" s="44" t="n"/>
      <c r="E16" s="44" t="n"/>
      <c r="F16" s="44" t="n"/>
      <c r="G16" s="44" t="n"/>
      <c r="H16" s="44" t="n"/>
    </row>
    <row r="17">
      <c r="A17" s="44" t="inlineStr">
        <is>
          <t>Acceptable over-funding (%)</t>
        </is>
      </c>
      <c r="B17" s="77" t="n">
        <v>0.05</v>
      </c>
      <c r="C17" s="44" t="inlineStr">
        <is>
          <t>A small cushion over the need is healthy; 20% extra is interest thrown away</t>
        </is>
      </c>
      <c r="D17" s="44" t="n"/>
      <c r="E17" s="44" t="n"/>
      <c r="F17" s="44" t="n"/>
      <c r="G17" s="44" t="n"/>
      <c r="H17" s="44" t="n"/>
    </row>
    <row r="18">
      <c r="A18" s="44" t="inlineStr">
        <is>
          <t>Loan that would match sources to needs</t>
        </is>
      </c>
      <c r="B18" s="55">
        <f>IFERROR(MAX(0,B14-B12+B7),"")</f>
        <v>398696.0</v>
      </c>
      <c r="C18" s="44" t="inlineStr">
        <is>
          <t>Copy it into "Loan requested" in the "0. Assumptions" tab and the difference goes to zero. Rows 8-11 lower this figure, but only the row-7 loan is amortized and counted in the DSCR</t>
        </is>
      </c>
      <c r="D18" s="44" t="n"/>
      <c r="E18" s="44" t="n"/>
      <c r="F18" s="44" t="n"/>
      <c r="G18" s="44" t="n"/>
      <c r="H18" s="44" t="n"/>
    </row>
    <row r="19">
      <c r="A19" s="41" t="inlineStr">
        <is>
          <t>LOAN TERMS</t>
        </is>
      </c>
      <c r="B19" s="44" t="n"/>
      <c r="C19" s="44" t="n"/>
      <c r="D19" s="44" t="n"/>
      <c r="E19" s="44" t="n"/>
      <c r="F19" s="44" t="n"/>
      <c r="G19" s="44" t="n"/>
      <c r="H19" s="44" t="n"/>
    </row>
    <row r="20">
      <c r="A20" s="44" t="inlineStr">
        <is>
          <t>Principal amount</t>
        </is>
      </c>
      <c r="B20" s="55">
        <f>IFERROR(IF('0. Assumptions'!$B$31=0,"",'0. Assumptions'!$B$31),"")</f>
        <v>399000.0</v>
      </c>
      <c r="C20" s="44" t="n"/>
      <c r="D20" s="44" t="n"/>
      <c r="E20" s="44" t="n"/>
      <c r="F20" s="44" t="n"/>
      <c r="G20" s="44" t="n"/>
      <c r="H20" s="44" t="n"/>
    </row>
    <row r="21">
      <c r="A21" s="44" t="inlineStr">
        <is>
          <t>Nominal annual interest rate (not APR)</t>
        </is>
      </c>
      <c r="B21" s="46">
        <f>IFERROR(IF('0. Assumptions'!$B$32="","",'0. Assumptions'!$B$32),"")</f>
        <v>0.1</v>
      </c>
      <c r="C21" s="44" t="n"/>
      <c r="D21" s="44" t="n"/>
      <c r="E21" s="44" t="n"/>
      <c r="F21" s="44" t="n"/>
      <c r="G21" s="44" t="n"/>
      <c r="H21" s="44" t="n"/>
    </row>
    <row r="22">
      <c r="A22" s="44" t="inlineStr">
        <is>
          <t>Total term (years)</t>
        </is>
      </c>
      <c r="B22" s="55">
        <f>IFERROR(IF('0. Assumptions'!$B$33="","",'0. Assumptions'!$B$33),"")</f>
        <v>10.0</v>
      </c>
      <c r="C22" s="44" t="n"/>
      <c r="D22" s="44" t="n"/>
      <c r="E22" s="44" t="n"/>
      <c r="F22" s="44" t="n"/>
      <c r="G22" s="44" t="n"/>
      <c r="H22" s="44" t="n"/>
    </row>
    <row r="23">
      <c r="A23" s="44" t="inlineStr">
        <is>
          <t>Interest-only period applied (years)</t>
        </is>
      </c>
      <c r="B23" s="55">
        <f>IFERROR(IF(OR('0. Assumptions'!$B$34="",'0. Assumptions'!$B$33=""),"",IF('0. Assumptions'!$B$34&gt;='0. Assumptions'!$B$33,0,'0. Assumptions'!$B$34)),"")</f>
        <v>0.0</v>
      </c>
      <c r="C23" s="44" t="inlineStr">
        <is>
          <t>An interest-only period equal to or longer than the term does not exist: the sheet cancels it at the source</t>
        </is>
      </c>
      <c r="D23" s="44" t="n"/>
      <c r="E23" s="44" t="n"/>
      <c r="F23" s="44" t="n"/>
      <c r="G23" s="44" t="n"/>
      <c r="H23" s="44" t="n"/>
    </row>
    <row r="24">
      <c r="A24" s="41" t="inlineStr">
        <is>
          <t>Annual payment during repayment</t>
        </is>
      </c>
      <c r="B24" s="70">
        <f>IFERROR(IF(B22-B23&lt;=0,"",IF(B21=0,B20/(B22-B23),B20*B21/(1-(1+B21)^-(B22-B23)))),"")</f>
        <v>64935.412558122094</v>
      </c>
      <c r="C24" s="41" t="inlineStr">
        <is>
          <t>Standard amortizing loan with a level annual payment. At a 0% rate it is the principal divided by the repayment years: without that branch the schedule would shut down entirely</t>
        </is>
      </c>
      <c r="D24" s="44" t="n"/>
      <c r="E24" s="44" t="n"/>
      <c r="F24" s="44" t="n"/>
      <c r="G24" s="44" t="n"/>
      <c r="H24" s="44" t="n"/>
    </row>
    <row r="25">
      <c r="A25" s="41" t="inlineStr">
        <is>
          <t>AMORTIZATION SCHEDULE</t>
        </is>
      </c>
      <c r="B25" s="44" t="n"/>
      <c r="C25" s="44" t="n"/>
      <c r="D25" s="44" t="n"/>
      <c r="E25" s="44" t="n"/>
      <c r="F25" s="44" t="n"/>
      <c r="G25" s="44" t="n"/>
      <c r="H25" s="44" t="n"/>
    </row>
    <row r="26">
      <c r="A26" s="41" t="inlineStr">
        <is>
          <t>Year</t>
        </is>
      </c>
      <c r="B26" s="41" t="inlineStr">
        <is>
          <t>Opening balance</t>
        </is>
      </c>
      <c r="C26" s="41" t="inlineStr">
        <is>
          <t>Interest</t>
        </is>
      </c>
      <c r="D26" s="41" t="inlineStr">
        <is>
          <t>Principal repaid</t>
        </is>
      </c>
      <c r="E26" s="41" t="inlineStr">
        <is>
          <t>Total payment</t>
        </is>
      </c>
      <c r="F26" s="41" t="inlineStr">
        <is>
          <t>Closing balance</t>
        </is>
      </c>
      <c r="G26" s="41" t="inlineStr">
        <is>
          <t>Cash flow available for debt service (after tax; from year 4 on, year 3 held flat)</t>
        </is>
      </c>
      <c r="H26" s="41" t="inlineStr">
        <is>
          <t>DSCR for the year</t>
        </is>
      </c>
    </row>
    <row r="27">
      <c r="A27" s="55" t="n">
        <v>1</v>
      </c>
      <c r="B27" s="78">
        <f>IFERROR(IF(B20="","",B20),"")</f>
        <v>399000.0</v>
      </c>
      <c r="C27" s="78">
        <f>IFERROR(IF(OR(1&gt;B22,B27=""),"",B27*B21),"")</f>
        <v>39900.0</v>
      </c>
      <c r="D27" s="78">
        <f>IFERROR(IF(OR(1&gt;B22,B27=""),"",IF(1&lt;=B23,0,MIN(B27,B24-C27))),"")</f>
        <v>25035.412558122094</v>
      </c>
      <c r="E27" s="78">
        <f>IFERROR(IF(C27="","",C27+D27),"")</f>
        <v>64935.412558122094</v>
      </c>
      <c r="F27" s="78">
        <f>IFERROR(IF(D27="","",B27-D27),"")</f>
        <v>373964.5874418779</v>
      </c>
      <c r="G27" s="78">
        <f>IFERROR(IF(E27="","",'2. 3-Year P&amp;L'!$B$43-'2. 3-Year P&amp;L'!$B$48+'2. 3-Year P&amp;L'!$B$38+'2. 3-Year P&amp;L'!$B$39),"")</f>
        <v>162177.53571428574</v>
      </c>
      <c r="H27" s="78">
        <f>IFERROR(IF(OR(E27="",E27=0),"",G27/E27),"")</f>
        <v>2.4975206797850804</v>
      </c>
    </row>
    <row r="28">
      <c r="A28" s="55" t="n">
        <v>2</v>
      </c>
      <c r="B28" s="78">
        <f>IFERROR(IF(OR(2&gt;B22,F27=""),"",F27),"")</f>
        <v>373964.5874418779</v>
      </c>
      <c r="C28" s="78">
        <f>IFERROR(IF(OR(2&gt;B22,B28=""),"",B28*B21),"")</f>
        <v>37396.458744187796</v>
      </c>
      <c r="D28" s="78">
        <f>IFERROR(IF(OR(2&gt;B22,B28=""),"",IF(2&lt;=B23,0,MIN(B28,B24-C28))),"")</f>
        <v>27538.9538139343</v>
      </c>
      <c r="E28" s="78">
        <f>IFERROR(IF(C28="","",C28+D28),"")</f>
        <v>64935.412558122094</v>
      </c>
      <c r="F28" s="78">
        <f>IFERROR(IF(D28="","",B28-D28),"")</f>
        <v>346425.63362794364</v>
      </c>
      <c r="G28" s="78">
        <f>IFERROR(IF(E28="","",'2. 3-Year P&amp;L'!$C$43-'2. 3-Year P&amp;L'!$C$48+'2. 3-Year P&amp;L'!$C$38+'2. 3-Year P&amp;L'!$C$39),"")</f>
        <v>208852.27540033264</v>
      </c>
      <c r="H28" s="78">
        <f>IFERROR(IF(OR(E28="",E28=0),"",G28/E28),"")</f>
        <v>3.2163078229986466</v>
      </c>
    </row>
    <row r="29">
      <c r="A29" s="55" t="n">
        <v>3</v>
      </c>
      <c r="B29" s="78">
        <f>IFERROR(IF(OR(3&gt;B22,F28=""),"",F28),"")</f>
        <v>346425.63362794364</v>
      </c>
      <c r="C29" s="78">
        <f>IFERROR(IF(OR(3&gt;B22,B29=""),"",B29*B21),"")</f>
        <v>34642.56336279437</v>
      </c>
      <c r="D29" s="78">
        <f>IFERROR(IF(OR(3&gt;B22,B29=""),"",IF(3&lt;=B23,0,MIN(B29,B24-C29))),"")</f>
        <v>30292.849195327726</v>
      </c>
      <c r="E29" s="78">
        <f>IFERROR(IF(C29="","",C29+D29),"")</f>
        <v>64935.412558122094</v>
      </c>
      <c r="F29" s="78">
        <f>IFERROR(IF(D29="","",B29-D29),"")</f>
        <v>316132.7844326159</v>
      </c>
      <c r="G29" s="78">
        <f>IFERROR(IF(E29="","",'2. 3-Year P&amp;L'!$D$43-'2. 3-Year P&amp;L'!$D$48+'2. 3-Year P&amp;L'!$D$38+'2. 3-Year P&amp;L'!$D$39),"")</f>
        <v>237342.21405498436</v>
      </c>
      <c r="H29" s="78">
        <f>IFERROR(IF(OR(E29="",E29=0),"",G29/E29),"")</f>
        <v>3.6550505295172364</v>
      </c>
    </row>
    <row r="30">
      <c r="A30" s="55" t="n">
        <v>4</v>
      </c>
      <c r="B30" s="78">
        <f>IFERROR(IF(OR(4&gt;B22,F29=""),"",F29),"")</f>
        <v>316132.7844326159</v>
      </c>
      <c r="C30" s="78">
        <f>IFERROR(IF(OR(4&gt;B22,B30=""),"",B30*B21),"")</f>
        <v>31613.27844326159</v>
      </c>
      <c r="D30" s="78">
        <f>IFERROR(IF(OR(4&gt;B22,B30=""),"",IF(4&lt;=B23,0,MIN(B30,B24-C30))),"")</f>
        <v>33322.1341148605</v>
      </c>
      <c r="E30" s="78">
        <f>IFERROR(IF(C30="","",C30+D30),"")</f>
        <v>64935.41255812209</v>
      </c>
      <c r="F30" s="78">
        <f>IFERROR(IF(D30="","",B30-D30),"")</f>
        <v>282810.6503177554</v>
      </c>
      <c r="G30" s="78">
        <f>IFERROR(IF(E30="","",'2. 3-Year P&amp;L'!$D$43-'2. 3-Year P&amp;L'!$D$48+'2. 3-Year P&amp;L'!$D$38+'2. 3-Year P&amp;L'!$D$39),"")</f>
        <v>237342.21405498436</v>
      </c>
      <c r="H30" s="78">
        <f>IFERROR(IF(OR(E30="",E30=0),"",G30/E30),"")</f>
        <v>3.655050529517237</v>
      </c>
    </row>
    <row r="31">
      <c r="A31" s="55" t="n">
        <v>5</v>
      </c>
      <c r="B31" s="78">
        <f>IFERROR(IF(OR(5&gt;B22,F30=""),"",F30),"")</f>
        <v>282810.6503177554</v>
      </c>
      <c r="C31" s="78">
        <f>IFERROR(IF(OR(5&gt;B22,B31=""),"",B31*B21),"")</f>
        <v>28281.065031775543</v>
      </c>
      <c r="D31" s="78">
        <f>IFERROR(IF(OR(5&gt;B22,B31=""),"",IF(5&lt;=B23,0,MIN(B31,B24-C31))),"")</f>
        <v>36654.34752634655</v>
      </c>
      <c r="E31" s="78">
        <f>IFERROR(IF(C31="","",C31+D31),"")</f>
        <v>64935.412558122094</v>
      </c>
      <c r="F31" s="78">
        <f>IFERROR(IF(D31="","",B31-D31),"")</f>
        <v>246156.30279140885</v>
      </c>
      <c r="G31" s="78">
        <f>IFERROR(IF(E31="","",'2. 3-Year P&amp;L'!$D$43-'2. 3-Year P&amp;L'!$D$48+'2. 3-Year P&amp;L'!$D$38+'2. 3-Year P&amp;L'!$D$39),"")</f>
        <v>237342.21405498436</v>
      </c>
      <c r="H31" s="78">
        <f>IFERROR(IF(OR(E31="",E31=0),"",G31/E31),"")</f>
        <v>3.6550505295172364</v>
      </c>
    </row>
    <row r="32">
      <c r="A32" s="55" t="n">
        <v>6</v>
      </c>
      <c r="B32" s="78">
        <f>IFERROR(IF(OR(6&gt;B22,F31=""),"",F31),"")</f>
        <v>246156.30279140885</v>
      </c>
      <c r="C32" s="78">
        <f>IFERROR(IF(OR(6&gt;B22,B32=""),"",B32*B21),"")</f>
        <v>24615.630279140885</v>
      </c>
      <c r="D32" s="78">
        <f>IFERROR(IF(OR(6&gt;B22,B32=""),"",IF(6&lt;=B23,0,MIN(B32,B24-C32))),"")</f>
        <v>40319.782278981205</v>
      </c>
      <c r="E32" s="78">
        <f>IFERROR(IF(C32="","",C32+D32),"")</f>
        <v>64935.41255812209</v>
      </c>
      <c r="F32" s="78">
        <f>IFERROR(IF(D32="","",B32-D32),"")</f>
        <v>205836.52051242764</v>
      </c>
      <c r="G32" s="78">
        <f>IFERROR(IF(E32="","",'2. 3-Year P&amp;L'!$D$43-'2. 3-Year P&amp;L'!$D$48+'2. 3-Year P&amp;L'!$D$38+'2. 3-Year P&amp;L'!$D$39),"")</f>
        <v>237342.21405498436</v>
      </c>
      <c r="H32" s="78">
        <f>IFERROR(IF(OR(E32="",E32=0),"",G32/E32),"")</f>
        <v>3.655050529517237</v>
      </c>
    </row>
    <row r="33">
      <c r="A33" s="55" t="n">
        <v>7</v>
      </c>
      <c r="B33" s="78">
        <f>IFERROR(IF(OR(7&gt;B22,F32=""),"",F32),"")</f>
        <v>205836.52051242764</v>
      </c>
      <c r="C33" s="78">
        <f>IFERROR(IF(OR(7&gt;B22,B33=""),"",B33*B21),"")</f>
        <v>20583.652051242767</v>
      </c>
      <c r="D33" s="78">
        <f>IFERROR(IF(OR(7&gt;B22,B33=""),"",IF(7&lt;=B23,0,MIN(B33,B24-C33))),"")</f>
        <v>44351.76050687933</v>
      </c>
      <c r="E33" s="78">
        <f>IFERROR(IF(C33="","",C33+D33),"")</f>
        <v>64935.412558122094</v>
      </c>
      <c r="F33" s="78">
        <f>IFERROR(IF(D33="","",B33-D33),"")</f>
        <v>161484.7600055483</v>
      </c>
      <c r="G33" s="78">
        <f>IFERROR(IF(E33="","",'2. 3-Year P&amp;L'!$D$43-'2. 3-Year P&amp;L'!$D$48+'2. 3-Year P&amp;L'!$D$38+'2. 3-Year P&amp;L'!$D$39),"")</f>
        <v>237342.21405498436</v>
      </c>
      <c r="H33" s="78">
        <f>IFERROR(IF(OR(E33="",E33=0),"",G33/E33),"")</f>
        <v>3.6550505295172364</v>
      </c>
    </row>
    <row r="34">
      <c r="A34" s="55" t="n">
        <v>8</v>
      </c>
      <c r="B34" s="78">
        <f>IFERROR(IF(OR(8&gt;B22,F33=""),"",F33),"")</f>
        <v>161484.7600055483</v>
      </c>
      <c r="C34" s="78">
        <f>IFERROR(IF(OR(8&gt;B22,B34=""),"",B34*B21),"")</f>
        <v>16148.47600055483</v>
      </c>
      <c r="D34" s="78">
        <f>IFERROR(IF(OR(8&gt;B22,B34=""),"",IF(8&lt;=B23,0,MIN(B34,B24-C34))),"")</f>
        <v>48786.936557567264</v>
      </c>
      <c r="E34" s="78">
        <f>IFERROR(IF(C34="","",C34+D34),"")</f>
        <v>64935.412558122094</v>
      </c>
      <c r="F34" s="78">
        <f>IFERROR(IF(D34="","",B34-D34),"")</f>
        <v>112697.82344798103</v>
      </c>
      <c r="G34" s="78">
        <f>IFERROR(IF(E34="","",'2. 3-Year P&amp;L'!$D$43-'2. 3-Year P&amp;L'!$D$48+'2. 3-Year P&amp;L'!$D$38+'2. 3-Year P&amp;L'!$D$39),"")</f>
        <v>237342.21405498436</v>
      </c>
      <c r="H34" s="78">
        <f>IFERROR(IF(OR(E34="",E34=0),"",G34/E34),"")</f>
        <v>3.6550505295172364</v>
      </c>
    </row>
    <row r="35">
      <c r="A35" s="55" t="n">
        <v>9</v>
      </c>
      <c r="B35" s="78">
        <f>IFERROR(IF(OR(9&gt;B22,F34=""),"",F34),"")</f>
        <v>112697.82344798103</v>
      </c>
      <c r="C35" s="78">
        <f>IFERROR(IF(OR(9&gt;B22,B35=""),"",B35*B21),"")</f>
        <v>11269.782344798105</v>
      </c>
      <c r="D35" s="78">
        <f>IFERROR(IF(OR(9&gt;B22,B35=""),"",IF(9&lt;=B23,0,MIN(B35,B24-C35))),"")</f>
        <v>53665.63021332399</v>
      </c>
      <c r="E35" s="78">
        <f>IFERROR(IF(C35="","",C35+D35),"")</f>
        <v>64935.412558122094</v>
      </c>
      <c r="F35" s="78">
        <f>IFERROR(IF(D35="","",B35-D35),"")</f>
        <v>59032.19323465705</v>
      </c>
      <c r="G35" s="78">
        <f>IFERROR(IF(E35="","",'2. 3-Year P&amp;L'!$D$43-'2. 3-Year P&amp;L'!$D$48+'2. 3-Year P&amp;L'!$D$38+'2. 3-Year P&amp;L'!$D$39),"")</f>
        <v>237342.21405498436</v>
      </c>
      <c r="H35" s="78">
        <f>IFERROR(IF(OR(E35="",E35=0),"",G35/E35),"")</f>
        <v>3.6550505295172364</v>
      </c>
    </row>
    <row r="36">
      <c r="A36" s="55" t="n">
        <v>10</v>
      </c>
      <c r="B36" s="78">
        <f>IFERROR(IF(OR(10&gt;B22,F35=""),"",F35),"")</f>
        <v>59032.19323465705</v>
      </c>
      <c r="C36" s="78">
        <f>IFERROR(IF(OR(10&gt;B22,B36=""),"",B36*B21),"")</f>
        <v>5903.219323465705</v>
      </c>
      <c r="D36" s="78">
        <f>IFERROR(IF(OR(10&gt;B22,B36=""),"",IF(10&lt;=B23,0,MIN(B36,B24-C36))),"")</f>
        <v>59032.19323465639</v>
      </c>
      <c r="E36" s="78">
        <f>IFERROR(IF(C36="","",C36+D36),"")</f>
        <v>64935.412558122094</v>
      </c>
      <c r="F36" s="78">
        <f>IFERROR(IF(D36="","",B36-D36),"")</f>
        <v>6.548361852765083e-10</v>
      </c>
      <c r="G36" s="78">
        <f>IFERROR(IF(E36="","",'2. 3-Year P&amp;L'!$D$43-'2. 3-Year P&amp;L'!$D$48+'2. 3-Year P&amp;L'!$D$38+'2. 3-Year P&amp;L'!$D$39),"")</f>
        <v>237342.21405498436</v>
      </c>
      <c r="H36" s="78">
        <f>IFERROR(IF(OR(E36="",E36=0),"",G36/E36),"")</f>
        <v>3.6550505295172364</v>
      </c>
    </row>
    <row r="37">
      <c r="A37" s="55" t="n">
        <v>11</v>
      </c>
      <c r="B37" s="78">
        <f>IFERROR(IF(OR(11&gt;B22,F36=""),"",F36),"")</f>
        <v/>
      </c>
      <c r="C37" s="78">
        <f>IFERROR(IF(OR(11&gt;B22,B37=""),"",B37*B21),"")</f>
        <v/>
      </c>
      <c r="D37" s="78">
        <f>IFERROR(IF(OR(11&gt;B22,B37=""),"",IF(11&lt;=B23,0,MIN(B37,B24-C37))),"")</f>
        <v/>
      </c>
      <c r="E37" s="78">
        <f>IFERROR(IF(C37="","",C37+D37),"")</f>
        <v/>
      </c>
      <c r="F37" s="78">
        <f>IFERROR(IF(D37="","",B37-D37),"")</f>
        <v/>
      </c>
      <c r="G37" s="78">
        <f>IFERROR(IF(E37="","",'2. 3-Year P&amp;L'!$D$43-'2. 3-Year P&amp;L'!$D$48+'2. 3-Year P&amp;L'!$D$38+'2. 3-Year P&amp;L'!$D$39),"")</f>
        <v/>
      </c>
      <c r="H37" s="78">
        <f>IFERROR(IF(OR(E37="",E37=0),"",G37/E37),"")</f>
        <v/>
      </c>
    </row>
    <row r="38">
      <c r="A38" s="55" t="n">
        <v>12</v>
      </c>
      <c r="B38" s="78">
        <f>IFERROR(IF(OR(12&gt;B22,F37=""),"",F37),"")</f>
        <v/>
      </c>
      <c r="C38" s="78">
        <f>IFERROR(IF(OR(12&gt;B22,B38=""),"",B38*B21),"")</f>
        <v/>
      </c>
      <c r="D38" s="78">
        <f>IFERROR(IF(OR(12&gt;B22,B38=""),"",IF(12&lt;=B23,0,MIN(B38,B24-C38))),"")</f>
        <v/>
      </c>
      <c r="E38" s="78">
        <f>IFERROR(IF(C38="","",C38+D38),"")</f>
        <v/>
      </c>
      <c r="F38" s="78">
        <f>IFERROR(IF(D38="","",B38-D38),"")</f>
        <v/>
      </c>
      <c r="G38" s="78">
        <f>IFERROR(IF(E38="","",'2. 3-Year P&amp;L'!$D$43-'2. 3-Year P&amp;L'!$D$48+'2. 3-Year P&amp;L'!$D$38+'2. 3-Year P&amp;L'!$D$39),"")</f>
        <v/>
      </c>
      <c r="H38" s="78">
        <f>IFERROR(IF(OR(E38="",E38=0),"",G38/E38),"")</f>
        <v/>
      </c>
    </row>
    <row r="39">
      <c r="A39" s="55" t="n">
        <v>13</v>
      </c>
      <c r="B39" s="78">
        <f>IFERROR(IF(OR(13&gt;B22,F38=""),"",F38),"")</f>
        <v/>
      </c>
      <c r="C39" s="78">
        <f>IFERROR(IF(OR(13&gt;B22,B39=""),"",B39*B21),"")</f>
        <v/>
      </c>
      <c r="D39" s="78">
        <f>IFERROR(IF(OR(13&gt;B22,B39=""),"",IF(13&lt;=B23,0,MIN(B39,B24-C39))),"")</f>
        <v/>
      </c>
      <c r="E39" s="78">
        <f>IFERROR(IF(C39="","",C39+D39),"")</f>
        <v/>
      </c>
      <c r="F39" s="78">
        <f>IFERROR(IF(D39="","",B39-D39),"")</f>
        <v/>
      </c>
      <c r="G39" s="78">
        <f>IFERROR(IF(E39="","",'2. 3-Year P&amp;L'!$D$43-'2. 3-Year P&amp;L'!$D$48+'2. 3-Year P&amp;L'!$D$38+'2. 3-Year P&amp;L'!$D$39),"")</f>
        <v/>
      </c>
      <c r="H39" s="78">
        <f>IFERROR(IF(OR(E39="",E39=0),"",G39/E39),"")</f>
        <v/>
      </c>
    </row>
    <row r="40">
      <c r="A40" s="55" t="n">
        <v>14</v>
      </c>
      <c r="B40" s="78">
        <f>IFERROR(IF(OR(14&gt;B22,F39=""),"",F39),"")</f>
        <v/>
      </c>
      <c r="C40" s="78">
        <f>IFERROR(IF(OR(14&gt;B22,B40=""),"",B40*B21),"")</f>
        <v/>
      </c>
      <c r="D40" s="78">
        <f>IFERROR(IF(OR(14&gt;B22,B40=""),"",IF(14&lt;=B23,0,MIN(B40,B24-C40))),"")</f>
        <v/>
      </c>
      <c r="E40" s="78">
        <f>IFERROR(IF(C40="","",C40+D40),"")</f>
        <v/>
      </c>
      <c r="F40" s="78">
        <f>IFERROR(IF(D40="","",B40-D40),"")</f>
        <v/>
      </c>
      <c r="G40" s="78">
        <f>IFERROR(IF(E40="","",'2. 3-Year P&amp;L'!$D$43-'2. 3-Year P&amp;L'!$D$48+'2. 3-Year P&amp;L'!$D$38+'2. 3-Year P&amp;L'!$D$39),"")</f>
        <v/>
      </c>
      <c r="H40" s="78">
        <f>IFERROR(IF(OR(E40="",E40=0),"",G40/E40),"")</f>
        <v/>
      </c>
    </row>
    <row r="41">
      <c r="A41" s="55" t="n">
        <v>15</v>
      </c>
      <c r="B41" s="78">
        <f>IFERROR(IF(OR(15&gt;B22,F40=""),"",F40),"")</f>
        <v/>
      </c>
      <c r="C41" s="78">
        <f>IFERROR(IF(OR(15&gt;B22,B41=""),"",B41*B21),"")</f>
        <v/>
      </c>
      <c r="D41" s="78">
        <f>IFERROR(IF(OR(15&gt;B22,B41=""),"",IF(15&lt;=B23,0,MIN(B41,B24-C41))),"")</f>
        <v/>
      </c>
      <c r="E41" s="78">
        <f>IFERROR(IF(C41="","",C41+D41),"")</f>
        <v/>
      </c>
      <c r="F41" s="78">
        <f>IFERROR(IF(D41="","",B41-D41),"")</f>
        <v/>
      </c>
      <c r="G41" s="78">
        <f>IFERROR(IF(E41="","",'2. 3-Year P&amp;L'!$D$43-'2. 3-Year P&amp;L'!$D$48+'2. 3-Year P&amp;L'!$D$38+'2. 3-Year P&amp;L'!$D$39),"")</f>
        <v/>
      </c>
      <c r="H41" s="78">
        <f>IFERROR(IF(OR(E41="",E41=0),"",G41/E41),"")</f>
        <v/>
      </c>
    </row>
    <row r="42">
      <c r="A42" s="44" t="inlineStr">
        <is>
          <t>Schedule closing tolerance</t>
        </is>
      </c>
      <c r="B42" s="82" t="n">
        <v>0.01</v>
      </c>
      <c r="C42" s="44" t="inlineStr">
        <is>
          <t>Rounding margin. Above it, the schedule does not close and there is principal left unpaid</t>
        </is>
      </c>
      <c r="D42" s="44" t="n"/>
      <c r="E42" s="44" t="n"/>
      <c r="F42" s="44" t="n"/>
      <c r="G42" s="44" t="n"/>
      <c r="H42" s="44" t="n"/>
    </row>
    <row r="43">
      <c r="A43" s="44" t="inlineStr">
        <is>
          <t>Balance outstanding at maturity</t>
        </is>
      </c>
      <c r="B43" s="78">
        <f>IFERROR(IF(B20="","",ROUND(B20-SUM(D27:D41),2)),"")</f>
        <v>0.0</v>
      </c>
      <c r="C43" s="44" t="inlineStr">
        <is>
          <t>Must be zero: the principal repaid in the schedule has to equal the amount borrowed. If it is positive, the term falls short</t>
        </is>
      </c>
      <c r="D43" s="44" t="n"/>
      <c r="E43" s="44" t="n"/>
      <c r="F43" s="44" t="n"/>
      <c r="G43" s="44" t="n"/>
      <c r="H43" s="44" t="n"/>
    </row>
    <row r="44">
      <c r="A44" s="44" t="inlineStr">
        <is>
          <t>Year-1 interest</t>
        </is>
      </c>
      <c r="B44" s="55">
        <f>IFERROR(IF(B20="","",IF(C27="",0,C27)),"")</f>
        <v>39900.0</v>
      </c>
      <c r="C44" s="44" t="n"/>
      <c r="D44" s="44" t="n"/>
      <c r="E44" s="44" t="n"/>
      <c r="F44" s="44" t="n"/>
      <c r="G44" s="44" t="n"/>
      <c r="H44" s="44" t="n"/>
    </row>
    <row r="45">
      <c r="A45" s="44" t="inlineStr">
        <is>
          <t>Year-1 principal repaid</t>
        </is>
      </c>
      <c r="B45" s="55">
        <f>IFERROR(IF(B20="","",IF(D27="",0,D27)),"")</f>
        <v>25035.412558122094</v>
      </c>
      <c r="C45" s="44" t="n"/>
      <c r="D45" s="44" t="n"/>
      <c r="E45" s="44" t="n"/>
      <c r="F45" s="44" t="n"/>
      <c r="G45" s="44" t="n"/>
      <c r="H45" s="44" t="n"/>
    </row>
    <row r="46">
      <c r="A46" s="44" t="inlineStr">
        <is>
          <t>Year-2 interest</t>
        </is>
      </c>
      <c r="B46" s="55">
        <f>IFERROR(IF(B20="","",IF(C28="",0,C28)),"")</f>
        <v>37396.458744187796</v>
      </c>
      <c r="C46" s="44" t="n"/>
      <c r="D46" s="44" t="n"/>
      <c r="E46" s="44" t="n"/>
      <c r="F46" s="44" t="n"/>
      <c r="G46" s="44" t="n"/>
      <c r="H46" s="44" t="n"/>
    </row>
    <row r="47">
      <c r="A47" s="44" t="inlineStr">
        <is>
          <t>Year-2 principal repaid</t>
        </is>
      </c>
      <c r="B47" s="55">
        <f>IFERROR(IF(B20="","",IF(D28="",0,D28)),"")</f>
        <v>27538.9538139343</v>
      </c>
      <c r="C47" s="44" t="n"/>
      <c r="D47" s="44" t="n"/>
      <c r="E47" s="44" t="n"/>
      <c r="F47" s="44" t="n"/>
      <c r="G47" s="44" t="n"/>
      <c r="H47" s="44" t="n"/>
    </row>
    <row r="48">
      <c r="A48" s="44" t="inlineStr">
        <is>
          <t>Year-3 interest</t>
        </is>
      </c>
      <c r="B48" s="55">
        <f>IFERROR(IF(B20="","",IF(C29="",0,C29)),"")</f>
        <v>34642.56336279437</v>
      </c>
      <c r="C48" s="44" t="n"/>
      <c r="D48" s="44" t="n"/>
      <c r="E48" s="44" t="n"/>
      <c r="F48" s="44" t="n"/>
      <c r="G48" s="44" t="n"/>
      <c r="H48" s="44" t="n"/>
    </row>
    <row r="49">
      <c r="A49" s="44" t="inlineStr">
        <is>
          <t>Year-3 principal repaid</t>
        </is>
      </c>
      <c r="B49" s="55">
        <f>IFERROR(IF(B20="","",IF(D29="",0,D29)),"")</f>
        <v>30292.849195327726</v>
      </c>
      <c r="C49" s="44" t="n"/>
      <c r="D49" s="44" t="n"/>
      <c r="E49" s="44" t="n"/>
      <c r="F49" s="44" t="n"/>
      <c r="G49" s="44" t="n"/>
      <c r="H49" s="44" t="n"/>
    </row>
    <row r="50">
      <c r="A50" s="41" t="inlineStr">
        <is>
          <t>DEBT SERVICE COVERAGE RATIO (DSCR)</t>
        </is>
      </c>
      <c r="B50" s="44" t="n"/>
      <c r="C50" s="44" t="n"/>
      <c r="D50" s="44" t="n"/>
      <c r="E50" s="44" t="n"/>
      <c r="F50" s="44" t="n"/>
      <c r="G50" s="44" t="n"/>
      <c r="H50" s="44" t="n"/>
    </row>
    <row r="51">
      <c r="A51" s="44" t="inlineStr">
        <is>
          <t>Year-1 DSCR</t>
        </is>
      </c>
      <c r="B51" s="78">
        <f>IFERROR(('2. 3-Year P&amp;L'!$B$43-'2. 3-Year P&amp;L'!$B$48+'2. 3-Year P&amp;L'!$B$38+B44)/(B44+B45),"")</f>
        <v>2.4975206797850804</v>
      </c>
      <c r="C51" s="44" t="inlineStr">
        <is>
          <t>An INTEREST-ONLY year, if there is one: with only interest in the denominator the ratio shoots up and does not measure the business</t>
        </is>
      </c>
      <c r="D51" s="44" t="n"/>
      <c r="E51" s="44" t="n"/>
      <c r="F51" s="44" t="n"/>
      <c r="G51" s="44" t="n"/>
      <c r="H51" s="44" t="n"/>
    </row>
    <row r="52">
      <c r="A52" s="44" t="inlineStr">
        <is>
          <t>Year-2 DSCR</t>
        </is>
      </c>
      <c r="B52" s="78">
        <f>IFERROR(('2. 3-Year P&amp;L'!$C$43-'2. 3-Year P&amp;L'!$C$48+'2. 3-Year P&amp;L'!$C$38+B46)/(B46+B47),"")</f>
        <v>3.2163078229986466</v>
      </c>
      <c r="C52" s="44" t="n"/>
      <c r="D52" s="44" t="n"/>
      <c r="E52" s="44" t="n"/>
      <c r="F52" s="44" t="n"/>
      <c r="G52" s="44" t="n"/>
      <c r="H52" s="44" t="n"/>
    </row>
    <row r="53">
      <c r="A53" s="44" t="inlineStr">
        <is>
          <t>Year-3 DSCR</t>
        </is>
      </c>
      <c r="B53" s="78">
        <f>IFERROR(('2. 3-Year P&amp;L'!$D$43-'2. 3-Year P&amp;L'!$D$48+'2. 3-Year P&amp;L'!$D$38+B48)/(B48+B49),"")</f>
        <v>3.6550505295172364</v>
      </c>
      <c r="C53" s="44" t="n"/>
      <c r="D53" s="44" t="n"/>
      <c r="E53" s="44" t="n"/>
      <c r="F53" s="44" t="n"/>
      <c r="G53" s="44" t="n"/>
      <c r="H53" s="44" t="n"/>
    </row>
    <row r="54">
      <c r="A54" s="41" t="inlineStr">
        <is>
          <t>Minimum DSCR across the whole schedule</t>
        </is>
      </c>
      <c r="B54" s="70">
        <f>IFERROR(IF(COUNT(H27:H41)=0,"",MIN(H27:H41)),"")</f>
        <v>2.4975206797850804</v>
      </c>
      <c r="C54" s="41"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44" t="n"/>
      <c r="E54" s="44" t="n"/>
      <c r="F54" s="44" t="n"/>
      <c r="G54" s="44" t="n"/>
      <c r="H54" s="44" t="n"/>
    </row>
    <row r="55">
      <c r="A55" s="44" t="n"/>
      <c r="B55" s="44" t="n"/>
      <c r="C55" s="44" t="n"/>
      <c r="D55" s="44" t="n"/>
      <c r="E55" s="44" t="n"/>
      <c r="F55" s="44" t="n"/>
      <c r="G55" s="44" t="n"/>
      <c r="H55" s="44" t="n"/>
    </row>
    <row r="56" ht="165" customHeight="1">
      <c r="A56" s="63"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44" t="n"/>
      <c r="C56" s="44" t="n"/>
      <c r="D56" s="44" t="n"/>
      <c r="E56" s="44" t="n"/>
      <c r="F56" s="44" t="n"/>
      <c r="G56" s="44" t="n"/>
      <c r="H56" s="44" t="n"/>
    </row>
    <row r="57">
      <c r="A57" s="44" t="n"/>
      <c r="B57" s="44" t="n"/>
      <c r="C57" s="44" t="n"/>
      <c r="D57" s="44" t="n"/>
      <c r="E57" s="44" t="n"/>
      <c r="F57" s="44" t="n"/>
      <c r="G57" s="44" t="n"/>
      <c r="H57" s="44" t="n"/>
    </row>
    <row r="58">
      <c r="A58" s="44" t="n"/>
      <c r="B58" s="44" t="n"/>
      <c r="C58" s="44" t="n"/>
      <c r="D58" s="44" t="n"/>
      <c r="E58" s="44" t="n"/>
      <c r="F58" s="44" t="n"/>
      <c r="G58" s="44" t="n"/>
      <c r="H58" s="44" t="n"/>
    </row>
    <row r="59">
      <c r="A59" s="44" t="n"/>
      <c r="B59" s="44" t="n"/>
      <c r="C59" s="44" t="n"/>
      <c r="D59" s="44" t="n"/>
      <c r="E59" s="44" t="n"/>
      <c r="F59" s="44" t="n"/>
      <c r="G59" s="44" t="n"/>
      <c r="H59" s="44" t="n"/>
    </row>
    <row r="60">
      <c r="A60" s="44" t="n"/>
      <c r="B60" s="44" t="n"/>
      <c r="C60" s="44" t="n"/>
      <c r="D60" s="44" t="n"/>
      <c r="E60" s="44" t="n"/>
      <c r="F60" s="44" t="n"/>
      <c r="G60" s="44" t="n"/>
      <c r="H60" s="44" t="n"/>
    </row>
    <row r="61">
      <c r="A61" s="44" t="n"/>
      <c r="B61" s="44" t="n"/>
      <c r="C61" s="44" t="n"/>
      <c r="D61" s="44" t="n"/>
      <c r="E61" s="44" t="n"/>
      <c r="F61" s="44" t="n"/>
      <c r="G61" s="44" t="n"/>
      <c r="H61" s="44" t="n"/>
    </row>
    <row r="62">
      <c r="A62" s="44" t="n"/>
      <c r="B62" s="44" t="n"/>
      <c r="C62" s="44" t="n"/>
      <c r="D62" s="44" t="n"/>
      <c r="E62" s="44" t="n"/>
      <c r="F62" s="44" t="n"/>
      <c r="G62" s="44" t="n"/>
      <c r="H62" s="44" t="n"/>
    </row>
    <row r="63">
      <c r="A63" s="44" t="n"/>
      <c r="B63" s="44" t="n"/>
      <c r="C63" s="44" t="n"/>
      <c r="D63" s="44" t="n"/>
      <c r="E63" s="44" t="n"/>
      <c r="F63" s="44" t="n"/>
      <c r="G63" s="44" t="n"/>
      <c r="H63" s="44" t="n"/>
    </row>
    <row r="64">
      <c r="A64" s="44" t="n"/>
      <c r="B64" s="44" t="n"/>
      <c r="C64" s="44" t="n"/>
      <c r="D64" s="44" t="n"/>
      <c r="E64" s="44" t="n"/>
      <c r="F64" s="44" t="n"/>
      <c r="G64" s="44" t="n"/>
      <c r="H64" s="44" t="n"/>
    </row>
    <row r="65">
      <c r="A65" s="44" t="n"/>
      <c r="B65" s="44" t="n"/>
      <c r="C65" s="44" t="n"/>
      <c r="D65" s="44" t="n"/>
      <c r="E65" s="44" t="n"/>
      <c r="F65" s="44" t="n"/>
      <c r="G65" s="44" t="n"/>
      <c r="H65" s="44" t="n"/>
    </row>
    <row r="66">
      <c r="A66" s="44" t="n"/>
      <c r="B66" s="44" t="n"/>
      <c r="C66" s="44" t="n"/>
      <c r="D66" s="44" t="n"/>
      <c r="E66" s="44" t="n"/>
      <c r="F66" s="44" t="n"/>
      <c r="G66" s="44" t="n"/>
      <c r="H66" s="44" t="n"/>
    </row>
    <row r="67">
      <c r="A67" s="44" t="n"/>
      <c r="B67" s="44" t="n"/>
      <c r="C67" s="44" t="n"/>
      <c r="D67" s="44" t="n"/>
      <c r="E67" s="44" t="n"/>
      <c r="F67" s="44" t="n"/>
      <c r="G67" s="44" t="n"/>
      <c r="H67" s="44" t="n"/>
    </row>
    <row r="68">
      <c r="A68" s="44" t="n"/>
      <c r="B68" s="44" t="n"/>
      <c r="C68" s="44" t="n"/>
      <c r="D68" s="44" t="n"/>
      <c r="E68" s="44" t="n"/>
      <c r="F68" s="44" t="n"/>
      <c r="G68" s="44" t="n"/>
      <c r="H68" s="44" t="n"/>
    </row>
    <row r="69">
      <c r="A69" s="44" t="n"/>
      <c r="B69" s="44" t="n"/>
      <c r="C69" s="44" t="n"/>
      <c r="D69" s="44" t="n"/>
      <c r="E69" s="44" t="n"/>
      <c r="F69" s="44" t="n"/>
      <c r="G69" s="44" t="n"/>
      <c r="H69" s="44" t="n"/>
    </row>
    <row r="70">
      <c r="A70" s="44" t="n"/>
      <c r="B70" s="44" t="n"/>
      <c r="C70" s="44" t="n"/>
      <c r="D70" s="44" t="n"/>
      <c r="E70" s="44" t="n"/>
      <c r="F70" s="44" t="n"/>
      <c r="G70" s="44" t="n"/>
      <c r="H70" s="44" t="n"/>
    </row>
    <row r="71">
      <c r="A71" s="44" t="n"/>
      <c r="B71" s="44" t="n"/>
      <c r="C71" s="44" t="n"/>
      <c r="D71" s="44" t="n"/>
      <c r="E71" s="44" t="n"/>
      <c r="F71" s="44" t="n"/>
      <c r="G71" s="44" t="n"/>
      <c r="H71" s="44" t="n"/>
    </row>
    <row r="72">
      <c r="A72" s="44" t="n"/>
      <c r="B72" s="44" t="n"/>
      <c r="C72" s="44" t="n"/>
      <c r="D72" s="44" t="n"/>
      <c r="E72" s="44" t="n"/>
      <c r="F72" s="44" t="n"/>
      <c r="G72" s="44" t="n"/>
      <c r="H72" s="44" t="n"/>
    </row>
    <row r="73">
      <c r="A73" s="44" t="n"/>
      <c r="B73" s="44" t="n"/>
      <c r="C73" s="44" t="n"/>
      <c r="D73" s="44" t="n"/>
      <c r="E73" s="44" t="n"/>
      <c r="F73" s="44" t="n"/>
      <c r="G73" s="44" t="n"/>
      <c r="H73" s="44" t="n"/>
    </row>
    <row r="74">
      <c r="A74" s="44" t="n"/>
      <c r="B74" s="44" t="n"/>
      <c r="C74" s="44" t="n"/>
      <c r="D74" s="44" t="n"/>
      <c r="E74" s="44" t="n"/>
      <c r="F74" s="44" t="n"/>
      <c r="G74" s="44" t="n"/>
      <c r="H74" s="44" t="n"/>
    </row>
    <row r="75">
      <c r="A75" s="44" t="n"/>
      <c r="B75" s="44" t="n"/>
      <c r="C75" s="44" t="n"/>
      <c r="D75" s="44" t="n"/>
      <c r="E75" s="44" t="n"/>
      <c r="F75" s="44" t="n"/>
      <c r="G75" s="44" t="n"/>
      <c r="H75" s="44" t="n"/>
    </row>
    <row r="76">
      <c r="A76" s="44" t="n"/>
      <c r="B76" s="44" t="n"/>
      <c r="C76" s="44" t="n"/>
      <c r="D76" s="44" t="n"/>
      <c r="E76" s="44" t="n"/>
      <c r="F76" s="44" t="n"/>
      <c r="G76" s="44" t="n"/>
      <c r="H76" s="44" t="n"/>
    </row>
    <row r="77">
      <c r="A77" s="44" t="n"/>
      <c r="B77" s="44" t="n"/>
      <c r="C77" s="44" t="n"/>
      <c r="D77" s="44" t="n"/>
      <c r="E77" s="44" t="n"/>
      <c r="F77" s="44" t="n"/>
      <c r="G77" s="44" t="n"/>
      <c r="H77" s="44" t="n"/>
    </row>
    <row r="78">
      <c r="A78" s="44" t="n"/>
      <c r="B78" s="44" t="n"/>
      <c r="C78" s="44" t="n"/>
      <c r="D78" s="44" t="n"/>
      <c r="E78" s="44" t="n"/>
      <c r="F78" s="44" t="n"/>
      <c r="G78" s="44" t="n"/>
      <c r="H78" s="44" t="n"/>
    </row>
    <row r="79">
      <c r="A79" s="44" t="n"/>
      <c r="B79" s="44" t="n"/>
      <c r="C79" s="44" t="n"/>
      <c r="D79" s="44" t="n"/>
      <c r="E79" s="44" t="n"/>
      <c r="F79" s="44" t="n"/>
      <c r="G79" s="44" t="n"/>
      <c r="H79" s="44" t="n"/>
    </row>
    <row r="80">
      <c r="A80" s="44" t="n"/>
      <c r="B80" s="44" t="n"/>
      <c r="C80" s="44" t="n"/>
      <c r="D80" s="44" t="n"/>
      <c r="E80" s="44" t="n"/>
      <c r="F80" s="44" t="n"/>
      <c r="G80" s="44" t="n"/>
      <c r="H80" s="44"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Restaurant Financial Projections: 3-Year P&amp;L, Cash Flow &amp; Financing · Restaurant Business Plan Kit</dc:title>
  <dc:description xmlns:dc="http://purl.org/dc/elements/1.1/">aichef.pro/en/digital-products/restaurant-business-plan</dc:description>
  <dc:subject xmlns:dc="http://purl.org/dc/elements/1.1/">Restaurant Business Plan Kit · v2.2</dc:subject>
  <dcterms:created xmlns:dcterms="http://purl.org/dc/terms/" xmlns:xsi="http://www.w3.org/2001/XMLSchema-instance" xsi:type="dcterms:W3CDTF">2026-03-25T22:52:01Z</dcterms:created>
  <dcterms:modified xmlns:dcterms="http://purl.org/dc/terms/" xmlns:xsi="http://www.w3.org/2001/XMLSchema-instance" xsi:type="dcterms:W3CDTF">2026-10-04T20:03:25Z</dcterms:modified>
  <cp:lastModifiedBy>AI Chef Pro</cp:lastModifiedBy>
  <cp:category>AI Chef Pro · Digital products</cp:category>
  <cp:keywords>restaurant business plan, restaurant business plan template, bar business plan, restaurant startup costs, how to open a restaurant, AI Chef Pro</cp:keywords>
</cp:coreProperties>
</file>