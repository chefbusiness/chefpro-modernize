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mpo" sheetId="1" state="visible" r:id="rId1"/>
    <sheet xmlns:r="http://schemas.openxmlformats.org/officeDocument/2006/relationships" name="Tortilla" sheetId="2" state="visible" r:id="rId2"/>
    <sheet xmlns:r="http://schemas.openxmlformats.org/officeDocument/2006/relationships" name="Escandallo" sheetId="3" state="visible" r:id="rId3"/>
    <sheet xmlns:r="http://schemas.openxmlformats.org/officeDocument/2006/relationships" name="Instrucciones"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 €"/>
    <numFmt numFmtId="167" formatCode="#,##0.000 €"/>
    <numFmt numFmtId="168" formatCode="#,##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3" fontId="2" fillId="3" borderId="0" applyAlignment="1" applyProtection="1" pivotButton="0" quotePrefix="0" xfId="0">
      <alignment vertical="top"/>
      <protection locked="0" hidden="0"/>
    </xf>
    <xf numFmtId="3" fontId="2" fillId="2" borderId="0" applyAlignment="1" pivotButton="0" quotePrefix="0" xfId="0">
      <alignment vertical="top"/>
    </xf>
    <xf numFmtId="164"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xf>
    <xf numFmtId="165" fontId="3" fillId="0" borderId="0" applyAlignment="1" pivotButton="0" quotePrefix="0" xfId="0">
      <alignment vertical="top"/>
    </xf>
    <xf numFmtId="3" fontId="3" fillId="0" borderId="0" applyAlignment="1" pivotButton="0" quotePrefix="0" xfId="0">
      <alignment vertical="top"/>
    </xf>
    <xf numFmtId="9" fontId="2" fillId="0" borderId="0" applyAlignment="1" pivotButton="0" quotePrefix="0" xfId="0">
      <alignment vertical="top"/>
    </xf>
    <xf numFmtId="166" fontId="2" fillId="0" borderId="0" applyAlignment="1" pivotButton="0" quotePrefix="0" xfId="0">
      <alignment vertical="top"/>
    </xf>
    <xf numFmtId="166" fontId="3" fillId="0" borderId="0" applyAlignment="1" pivotButton="0" quotePrefix="0" xfId="0">
      <alignment vertical="top"/>
    </xf>
    <xf numFmtId="167" fontId="3" fillId="0" borderId="0" applyAlignment="1" pivotButton="0" quotePrefix="0" xfId="0">
      <alignment vertical="top"/>
    </xf>
    <xf numFmtId="0"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3" fontId="2" fillId="0" borderId="0" applyAlignment="1" pivotButton="0" quotePrefix="0" xfId="0">
      <alignment vertical="top"/>
    </xf>
    <xf numFmtId="0" fontId="4" fillId="0" borderId="0" applyAlignment="1" pivotButton="0" quotePrefix="0" xfId="0">
      <alignment vertical="top" wrapText="1"/>
    </xf>
    <xf numFmtId="4" fontId="2" fillId="3" borderId="0" applyAlignment="1" applyProtection="1" pivotButton="0" quotePrefix="0" xfId="0">
      <alignment vertical="top"/>
      <protection locked="0" hidden="0"/>
    </xf>
    <xf numFmtId="167" fontId="2" fillId="0" borderId="0" applyAlignment="1" pivotButton="0" quotePrefix="0" xfId="0">
      <alignment vertical="top"/>
    </xf>
    <xf numFmtId="0" fontId="3" fillId="0" borderId="0" applyAlignment="1" pivotButton="0" quotePrefix="0" xfId="0">
      <alignment vertical="top" wrapText="1"/>
    </xf>
    <xf numFmtId="0" fontId="2" fillId="3" borderId="0" applyAlignment="1" applyProtection="1" pivotButton="0" quotePrefix="0" xfId="0">
      <alignment vertical="top" wrapText="1"/>
      <protection locked="0" hidden="0"/>
    </xf>
    <xf numFmtId="0" fontId="3" fillId="3" borderId="0" applyAlignment="1" applyProtection="1" pivotButton="0" quotePrefix="0" xfId="0">
      <alignment vertical="top" wrapText="1"/>
      <protection locked="0" hidden="0"/>
    </xf>
    <xf numFmtId="166" fontId="3" fillId="3" borderId="0" applyAlignment="1" applyProtection="1" pivotButton="0" quotePrefix="0" xfId="0">
      <alignment vertical="top"/>
      <protection locked="0" hidden="0"/>
    </xf>
    <xf numFmtId="168" fontId="2" fillId="3" borderId="0" applyAlignment="1" applyProtection="1" pivotButton="0" quotePrefix="0" xfId="0">
      <alignment vertical="top"/>
      <protection locked="0" hidden="0"/>
    </xf>
    <xf numFmtId="0" fontId="4" fillId="0" borderId="0" applyAlignment="1" pivotButton="0" quotePrefix="0" xfId="0">
      <alignment vertical="top"/>
    </xf>
    <xf numFmtId="167" fontId="2" fillId="3" borderId="0" applyAlignment="1" applyProtection="1" pivotButton="0" quotePrefix="0" xfId="0">
      <alignment vertical="top"/>
      <protection locked="0" hidden="0"/>
    </xf>
    <xf numFmtId="165" fontId="2"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FE699"/>
          <bgColor rgb="00FFE699"/>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0"/>
  <sheetViews>
    <sheetView showGridLines="0" workbookViewId="0">
      <selection activeCell="A1" sqref="A1"/>
    </sheetView>
  </sheetViews>
  <sheetFormatPr baseColWidth="8" defaultRowHeight="15"/>
  <cols>
    <col width="54"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CALCULADORA DEL TROMPO — CUÁNTOS TACOS SALEN DEL CONO Y CUÁNTO CUESTA LA CARNE</t>
        </is>
      </c>
    </row>
    <row r="2" ht="32" customHeight="1">
      <c r="A2" s="2" t="inlineStr">
        <is>
          <t>Escribe solo en las celdas VERDES: todo lo demás se calcula. Importes sin IVA. Todos los valores por defecto son una estimación del kit, editable: cámbialos por los de tu proveedor y, sobre todo, por lo que midas en tu propio cono.</t>
        </is>
      </c>
    </row>
    <row r="3" ht="36" customHeight="1">
      <c r="A3" s="3" t="inlineStr">
        <is>
          <t>AVISO FIJO. La merma de cocción y goteo (35 %) no tiene una fuente publicada fiable: es una estimación del kit. Pesa tu primer cono crudo, lo servido y el sobrante, y ajusta la merma hasta que el rendimiento coincida con lo que mides.</t>
        </is>
      </c>
    </row>
    <row r="5">
      <c r="A5" s="4" t="inlineStr">
        <is>
          <t>A. EL CONO AL PASTOR</t>
        </is>
      </c>
      <c r="B5" s="4" t="inlineStr">
        <is>
          <t>Valor</t>
        </is>
      </c>
      <c r="C5" s="4" t="inlineStr">
        <is>
          <t>Notas</t>
        </is>
      </c>
    </row>
    <row r="6" ht="16" customHeight="1">
      <c r="A6" s="5" t="inlineStr">
        <is>
          <t>Carne cruda montada en el cono (kg)</t>
        </is>
      </c>
      <c r="B6" s="6" t="n">
        <v>15</v>
      </c>
      <c r="C6" s="2" t="inlineStr">
        <is>
          <t>Pesa la carne antes del adobo, ya cortada y lista para montar. Estimación del kit, editable.</t>
        </is>
      </c>
    </row>
    <row r="7" ht="16" customHeight="1">
      <c r="A7" s="5" t="inlineStr">
        <is>
          <t>Adobo sobre la carne (%)</t>
        </is>
      </c>
      <c r="B7" s="7" t="n">
        <v>0.08</v>
      </c>
      <c r="C7" s="2" t="inlineStr">
        <is>
          <t>Achiote, chiles, especias y piña del adobo, sobre el peso de la carne. Estimación del kit, editable.</t>
        </is>
      </c>
    </row>
    <row r="8" ht="16" customHeight="1">
      <c r="A8" s="5" t="inlineStr">
        <is>
          <t>Precio de la carne cruda (€/kg, sin IVA)</t>
        </is>
      </c>
      <c r="B8" s="8" t="n">
        <v>5.5</v>
      </c>
      <c r="C8" s="2" t="inlineStr">
        <is>
          <t>Cabeza de lomo o paleta de cerdo. Pon el de tu proveedor. Estimación del kit, editable.</t>
        </is>
      </c>
    </row>
    <row r="9" ht="16" customHeight="1">
      <c r="A9" s="5" t="inlineStr">
        <is>
          <t>Precio del adobo (€/kg, sin IVA)</t>
        </is>
      </c>
      <c r="B9" s="8" t="n">
        <v>6</v>
      </c>
      <c r="C9" s="2" t="inlineStr">
        <is>
          <t>Pon el de tu proveedor o el coste de tu receta. Estimación del kit, editable.</t>
        </is>
      </c>
    </row>
    <row r="10" ht="30" customHeight="1">
      <c r="A10" s="5" t="inlineStr">
        <is>
          <t>Piña de la punta del cono (kg)</t>
        </is>
      </c>
      <c r="B10" s="6" t="n">
        <v>0</v>
      </c>
      <c r="C10" s="2" t="inlineStr">
        <is>
          <t>Por defecto 0: la piña de cada taco se cuenta aparte en la hoja «Escandallo». Si pones kilos, suman al coste del cono.</t>
        </is>
      </c>
    </row>
    <row r="11" ht="16" customHeight="1">
      <c r="A11" s="5" t="inlineStr">
        <is>
          <t>Precio de la piña (€/kg, sin IVA)</t>
        </is>
      </c>
      <c r="B11" s="8" t="n">
        <v>2</v>
      </c>
      <c r="C11" s="2" t="inlineStr">
        <is>
          <t>Solo cuenta si pones kilos de piña arriba. Estimación del kit, editable.</t>
        </is>
      </c>
    </row>
    <row r="12" ht="30" customHeight="1">
      <c r="A12" s="5" t="inlineStr">
        <is>
          <t>Merma de cocción y goteo (%)</t>
        </is>
      </c>
      <c r="B12" s="7" t="n">
        <v>0.35</v>
      </c>
      <c r="C12" s="2" t="inlineStr">
        <is>
          <t>Lo que pierde el cono al asarse: grasa y agua. No hay una cifra publicada fiable: mídela con tu primer cono (hoja «Instrucciones»). Estimación del kit, editable.</t>
        </is>
      </c>
    </row>
    <row r="13" ht="16" customHeight="1">
      <c r="A13" s="5" t="inlineStr">
        <is>
          <t>Recortes no servibles (%)</t>
        </is>
      </c>
      <c r="B13" s="7" t="n">
        <v>0.05</v>
      </c>
      <c r="C13" s="2" t="inlineStr">
        <is>
          <t>Puntas quemadas, grasa dura y nervios que no se sirven. Estimación del kit, editable.</t>
        </is>
      </c>
    </row>
    <row r="14" ht="16" customHeight="1">
      <c r="A14" s="5" t="inlineStr">
        <is>
          <t>Sobrante al cierre (kg)</t>
        </is>
      </c>
      <c r="B14" s="6" t="n">
        <v>0</v>
      </c>
      <c r="C14" s="2" t="inlineStr">
        <is>
          <t>Carne cocinada que queda sin servir al cerrar. Pésala; por defecto 0.</t>
        </is>
      </c>
    </row>
    <row r="15" ht="16" customHeight="1">
      <c r="A15" s="5" t="inlineStr">
        <is>
          <t>Parte del sobrante que se reaprovecha (%)</t>
        </is>
      </c>
      <c r="B15" s="7" t="n">
        <v>0</v>
      </c>
      <c r="C15" s="2" t="inlineStr">
        <is>
          <t>Por ejemplo en un guiso del día siguiente. La parte que se tira resta tacos.</t>
        </is>
      </c>
    </row>
    <row r="16" ht="16" customHeight="1">
      <c r="A16" s="5" t="inlineStr">
        <is>
          <t>Carne servida por taco (g)</t>
        </is>
      </c>
      <c r="B16" s="6" t="n">
        <v>35</v>
      </c>
      <c r="C16" s="2" t="inlineStr">
        <is>
          <t>Gramos de carne cocinada y cortada en cada taco. Estimación del kit, editable.</t>
        </is>
      </c>
    </row>
    <row r="17" ht="16" customHeight="1">
      <c r="A17" s="5" t="inlineStr">
        <is>
          <t>Número de tacos que quieres preparar</t>
        </is>
      </c>
      <c r="B17" s="9" t="n">
        <v>100</v>
      </c>
      <c r="C17" s="2" t="inlineStr">
        <is>
          <t>Número entero mayor que 0. Te dice cuánta carne cruda necesitas.</t>
        </is>
      </c>
    </row>
    <row r="18" ht="16" customHeight="1">
      <c r="A18" s="5" t="inlineStr">
        <is>
          <t>Gramos por kilo (constante)</t>
        </is>
      </c>
      <c r="B18" s="10" t="n">
        <v>1000</v>
      </c>
      <c r="C18" s="2" t="inlineStr">
        <is>
          <t>Constante: un kilo son 1.000 gramos. No se edita.</t>
        </is>
      </c>
    </row>
    <row r="19" ht="30" customHeight="1">
      <c r="A19" s="5" t="inlineStr">
        <is>
          <t>Referencia: tacos por kg crudo en un puesto de CDMX</t>
        </is>
      </c>
      <c r="B19" s="10" t="n">
        <v>25</v>
      </c>
      <c r="C19" s="2" t="inlineStr">
        <is>
          <t>Referencia fija: un trompo de 50 a 100 kg da entre 1.250 y 2.500 tacos, unos 25 por kg crudo (Milenio). No se edita.</t>
        </is>
      </c>
    </row>
    <row r="21">
      <c r="A21" s="4" t="inlineStr">
        <is>
          <t>RESULTADO DEL CONO</t>
        </is>
      </c>
      <c r="B21" s="4" t="inlineStr">
        <is>
          <t>Valor</t>
        </is>
      </c>
      <c r="C21" s="4" t="inlineStr">
        <is>
          <t>Notas</t>
        </is>
      </c>
    </row>
    <row r="22" ht="16" customHeight="1">
      <c r="A22" s="5" t="inlineStr">
        <is>
          <t>Carne marinada (kg)</t>
        </is>
      </c>
      <c r="B22" s="11">
        <f>$B$6*(1+$B$7)</f>
        <v>16.200000000000003</v>
      </c>
      <c r="C22" s="2" t="inlineStr">
        <is>
          <t>Carne cruda más adobo.</t>
        </is>
      </c>
    </row>
    <row r="23" ht="16" customHeight="1">
      <c r="A23" s="5" t="inlineStr">
        <is>
          <t>Carne servida del cono (kg)</t>
        </is>
      </c>
      <c r="B23" s="12">
        <f>$B$22*(1-$B$12-$B$13)-$B$14*(1-$B$15)</f>
        <v>9.72</v>
      </c>
      <c r="C23" s="2" t="inlineStr">
        <is>
          <t>Marinada menos la merma y los recortes, menos el sobrante que se tira.</t>
        </is>
      </c>
    </row>
    <row r="24" ht="16" customHeight="1">
      <c r="A24" s="13" t="inlineStr">
        <is>
          <t>RENDIMIENTO DEL TROMPO (%)</t>
        </is>
      </c>
      <c r="B24" s="14">
        <f>$B$23/$B$6</f>
        <v>0.648</v>
      </c>
      <c r="C24" s="2" t="inlineStr">
        <is>
          <t>Servida ÷ carne cruda montada.</t>
        </is>
      </c>
    </row>
    <row r="25" ht="16" customHeight="1">
      <c r="A25" s="13" t="inlineStr">
        <is>
          <t>TACOS QUE SALEN DEL CONO</t>
        </is>
      </c>
      <c r="B25" s="15">
        <f>$B$23*$B$18/$B$16</f>
        <v>277.7142857142857</v>
      </c>
      <c r="C25" s="2" t="inlineStr">
        <is>
          <t>Servida × 1.000 ÷ gramos por taco.</t>
        </is>
      </c>
    </row>
    <row r="26" ht="16" customHeight="1">
      <c r="A26" s="5" t="inlineStr">
        <is>
          <t>Tacos por kg de carne cruda</t>
        </is>
      </c>
      <c r="B26" s="11">
        <f>$B$25/$B$6</f>
        <v>18.514285714285716</v>
      </c>
      <c r="C26" s="2" t="inlineStr">
        <is>
          <t>Compárala con la referencia de CDMX de arriba.</t>
        </is>
      </c>
    </row>
    <row r="27" ht="16" customHeight="1">
      <c r="A27" s="5" t="inlineStr">
        <is>
          <t>Tus tacos por kg frente a la referencia de CDMX (%)</t>
        </is>
      </c>
      <c r="B27" s="16">
        <f>$B$26/$B$19</f>
        <v>0.7405714285714287</v>
      </c>
      <c r="C27" s="2" t="inlineStr">
        <is>
          <t>Por debajo de 100 %: sirves más gramos por taco o pierdes más.</t>
        </is>
      </c>
    </row>
    <row r="28" ht="16" customHeight="1">
      <c r="A28" s="5" t="inlineStr">
        <is>
          <t>Coste del cono (€)</t>
        </is>
      </c>
      <c r="B28" s="17">
        <f>$B$6*$B$8+$B$6*$B$7*$B$9+$B$10*$B$11</f>
        <v>89.7</v>
      </c>
      <c r="C28" s="2" t="inlineStr">
        <is>
          <t>Carne + adobo + piña de la punta.</t>
        </is>
      </c>
    </row>
    <row r="29" ht="16" customHeight="1">
      <c r="A29" s="13" t="inlineStr">
        <is>
          <t>COSTE POR KG SERVIDO (€)</t>
        </is>
      </c>
      <c r="B29" s="18">
        <f>$B$28/$B$23</f>
        <v>9.228395061728396</v>
      </c>
      <c r="C29" s="2" t="inlineStr">
        <is>
          <t>Coste del cono ÷ kg servidos. Alimenta el escandallo.</t>
        </is>
      </c>
    </row>
    <row r="30" ht="16" customHeight="1">
      <c r="A30" s="13" t="inlineStr">
        <is>
          <t>COSTE DE CARNE POR TACO (€)</t>
        </is>
      </c>
      <c r="B30" s="19">
        <f>$B$29*$B$16/$B$18</f>
        <v>0.3229938271604938</v>
      </c>
      <c r="C30" s="2" t="inlineStr">
        <is>
          <t>Coste por kg servido × gramos por taco ÷ 1.000.</t>
        </is>
      </c>
    </row>
    <row r="31" ht="16" customHeight="1">
      <c r="A31" s="5" t="inlineStr">
        <is>
          <t>Carne cruda para preparar los N tacos (kg)</t>
        </is>
      </c>
      <c r="B31" s="12">
        <f>$B$17*$B$16/($B$18*$B$24)</f>
        <v>5.401234567901234</v>
      </c>
      <c r="C31" s="2" t="inlineStr">
        <is>
          <t>N × gramos por taco ÷ (1.000 × rendimiento).</t>
        </is>
      </c>
    </row>
    <row r="33" ht="46" customHeight="1">
      <c r="A33" s="3" t="inlineStr">
        <is>
          <t>B. OTRAS PROTEÍNAS (guisos y asados)</t>
        </is>
      </c>
      <c r="B33" s="3" t="inlineStr">
        <is>
          <t>kg crudos</t>
        </is>
      </c>
      <c r="C33" s="3" t="inlineStr">
        <is>
          <t>€/kg crudo (sin IVA)</t>
        </is>
      </c>
      <c r="D33" s="3" t="inlineStr">
        <is>
          <t>Rendimiento tras la cocción (%)</t>
        </is>
      </c>
      <c r="E33" s="3" t="inlineStr">
        <is>
          <t>g por taco</t>
        </is>
      </c>
      <c r="F33" s="3" t="inlineStr">
        <is>
          <t>kg cocinados</t>
        </is>
      </c>
      <c r="G33" s="3" t="inlineStr">
        <is>
          <t>€/kg cocinado</t>
        </is>
      </c>
      <c r="H33" s="3" t="inlineStr">
        <is>
          <t>Tacos</t>
        </is>
      </c>
      <c r="I33" s="3" t="inlineStr">
        <is>
          <t>€ de carne por taco</t>
        </is>
      </c>
    </row>
    <row r="34">
      <c r="A34" s="20" t="inlineStr">
        <is>
          <t>Carnitas</t>
        </is>
      </c>
      <c r="B34" s="6" t="n">
        <v>10</v>
      </c>
      <c r="C34" s="8" t="n">
        <v>5.2</v>
      </c>
      <c r="D34" s="21" t="n">
        <v>0.6</v>
      </c>
      <c r="E34" s="6" t="n">
        <v>35</v>
      </c>
      <c r="F34" s="12">
        <f>B34*D34</f>
        <v>6.0</v>
      </c>
      <c r="G34" s="17">
        <f>C34/D34</f>
        <v>8.666666666666668</v>
      </c>
      <c r="H34" s="22">
        <f>F34*$B$18/E34</f>
        <v>171.42857142857142</v>
      </c>
      <c r="I34" s="19">
        <f>G34*E34/$B$18</f>
        <v>0.30333333333333334</v>
      </c>
    </row>
    <row r="35">
      <c r="A35" s="20" t="inlineStr">
        <is>
          <t>Suadero</t>
        </is>
      </c>
      <c r="B35" s="6" t="n">
        <v>10</v>
      </c>
      <c r="C35" s="8" t="n">
        <v>7.5</v>
      </c>
      <c r="D35" s="21" t="n">
        <v>0.55</v>
      </c>
      <c r="E35" s="6" t="n">
        <v>35</v>
      </c>
      <c r="F35" s="12">
        <f>B35*D35</f>
        <v>5.5</v>
      </c>
      <c r="G35" s="17">
        <f>C35/D35</f>
        <v>13.636363636363635</v>
      </c>
      <c r="H35" s="22">
        <f>F35*$B$18/E35</f>
        <v>157.14285714285714</v>
      </c>
      <c r="I35" s="19">
        <f>G35*E35/$B$18</f>
        <v>0.4772727272727272</v>
      </c>
    </row>
    <row r="36">
      <c r="A36" s="20" t="inlineStr">
        <is>
          <t>Cochinita pibil</t>
        </is>
      </c>
      <c r="B36" s="6" t="n">
        <v>10</v>
      </c>
      <c r="C36" s="8" t="n">
        <v>5.5</v>
      </c>
      <c r="D36" s="21" t="n">
        <v>0.6</v>
      </c>
      <c r="E36" s="6" t="n">
        <v>40</v>
      </c>
      <c r="F36" s="12">
        <f>B36*D36</f>
        <v>6.0</v>
      </c>
      <c r="G36" s="17">
        <f>C36/D36</f>
        <v>9.166666666666668</v>
      </c>
      <c r="H36" s="22">
        <f>F36*$B$18/E36</f>
        <v>150.0</v>
      </c>
      <c r="I36" s="19">
        <f>G36*E36/$B$18</f>
        <v>0.36666666666666675</v>
      </c>
    </row>
    <row r="37">
      <c r="A37" s="20" t="inlineStr">
        <is>
          <t>Barbacoa de res</t>
        </is>
      </c>
      <c r="B37" s="6" t="n">
        <v>10</v>
      </c>
      <c r="C37" s="8" t="n">
        <v>7</v>
      </c>
      <c r="D37" s="21" t="n">
        <v>0.5</v>
      </c>
      <c r="E37" s="6" t="n">
        <v>40</v>
      </c>
      <c r="F37" s="12">
        <f>B37*D37</f>
        <v>5.0</v>
      </c>
      <c r="G37" s="17">
        <f>C37/D37</f>
        <v>14.0</v>
      </c>
      <c r="H37" s="22">
        <f>F37*$B$18/E37</f>
        <v>125.0</v>
      </c>
      <c r="I37" s="19">
        <f>G37*E37/$B$18</f>
        <v>0.56</v>
      </c>
    </row>
    <row r="38">
      <c r="A38" s="20" t="inlineStr">
        <is>
          <t>Tinga de pollo</t>
        </is>
      </c>
      <c r="B38" s="6" t="n">
        <v>10</v>
      </c>
      <c r="C38" s="8" t="n">
        <v>4</v>
      </c>
      <c r="D38" s="21" t="n">
        <v>0.65</v>
      </c>
      <c r="E38" s="6" t="n">
        <v>35</v>
      </c>
      <c r="F38" s="12">
        <f>B38*D38</f>
        <v>6.5</v>
      </c>
      <c r="G38" s="17">
        <f>C38/D38</f>
        <v>6.153846153846153</v>
      </c>
      <c r="H38" s="22">
        <f>F38*$B$18/E38</f>
        <v>185.71428571428572</v>
      </c>
      <c r="I38" s="19">
        <f>G38*E38/$B$18</f>
        <v>0.21538461538461537</v>
      </c>
    </row>
    <row r="39">
      <c r="A39" s="20" t="inlineStr">
        <is>
          <t>Campechano</t>
        </is>
      </c>
      <c r="B39" s="6" t="n">
        <v>10</v>
      </c>
      <c r="C39" s="8" t="n">
        <v>7</v>
      </c>
      <c r="D39" s="21" t="n">
        <v>0.55</v>
      </c>
      <c r="E39" s="6" t="n">
        <v>35</v>
      </c>
      <c r="F39" s="12">
        <f>B39*D39</f>
        <v>5.5</v>
      </c>
      <c r="G39" s="17">
        <f>C39/D39</f>
        <v>12.727272727272727</v>
      </c>
      <c r="H39" s="22">
        <f>F39*$B$18/E39</f>
        <v>157.14285714285714</v>
      </c>
      <c r="I39" s="19">
        <f>G39*E39/$B$18</f>
        <v>0.44545454545454544</v>
      </c>
    </row>
    <row r="40" ht="34" customHeight="1">
      <c r="A40" s="23" t="inlineStr">
        <is>
          <t>Los guisos de cocción larga (carnitas, barbacoa, cochinita) rinden menos que el cono: el rendimiento y el precio de cada fila son una estimación del kit, editable. El €/kg cocinado de cada fila alimenta la hoja «Escandallo».</t>
        </is>
      </c>
    </row>
  </sheetData>
  <sheetProtection selectLockedCells="0" selectUnlockedCells="0" sheet="1" objects="0" insertRows="1" insertHyperlinks="1" autoFilter="1" scenarios="0" formatColumns="1" deleteColumns="1" insertColumns="1" pivotTables="1" deleteRows="1" formatCells="1" formatRows="1" sort="1"/>
  <mergeCells count="27">
    <mergeCell ref="C23:I23"/>
    <mergeCell ref="C17:I17"/>
    <mergeCell ref="C8:I8"/>
    <mergeCell ref="C7:I7"/>
    <mergeCell ref="A3:I3"/>
    <mergeCell ref="C19:I19"/>
    <mergeCell ref="C28:I28"/>
    <mergeCell ref="C13:I13"/>
    <mergeCell ref="A2:I2"/>
    <mergeCell ref="C18:I18"/>
    <mergeCell ref="C6:I6"/>
    <mergeCell ref="C24:I24"/>
    <mergeCell ref="C30:I30"/>
    <mergeCell ref="C15:I15"/>
    <mergeCell ref="C14:I14"/>
    <mergeCell ref="C26:I26"/>
    <mergeCell ref="A40:I40"/>
    <mergeCell ref="C29:I29"/>
    <mergeCell ref="C10:I10"/>
    <mergeCell ref="C16:I16"/>
    <mergeCell ref="C25:I25"/>
    <mergeCell ref="C31:I31"/>
    <mergeCell ref="C22:I22"/>
    <mergeCell ref="C9:I9"/>
    <mergeCell ref="C12:I12"/>
    <mergeCell ref="C11:I11"/>
    <mergeCell ref="C27:I27"/>
  </mergeCells>
  <dataValidations count="8">
    <dataValidation sqref="B6 B8 B9 B16" showDropDown="0" showInputMessage="0" showErrorMessage="1" allowBlank="0" errorTitle="Valor no válido" error="Escribe un número mayor que 0." type="decimal" operator="greaterThan">
      <formula1>0</formula1>
    </dataValidation>
    <dataValidation sqref="B10 B11 B14" showDropDown="0" showInputMessage="0" showErrorMessage="1" allowBlank="0" errorTitle="Valor no válido" error="Escribe un número mayor o igual que 0." type="decimal" operator="greaterThanOrEqual">
      <formula1>0</formula1>
    </dataValidation>
    <dataValidation sqref="B7 B15" showDropDown="0" showInputMessage="0" showErrorMessage="1" allowBlank="0" errorTitle="Porcentaje no válido" error="Escribe un porcentaje entre 0 y 1 (0,08 = 8 %)." type="decimal" operator="between">
      <formula1>0</formula1>
      <formula2>1</formula2>
    </dataValidation>
    <dataValidation sqref="B12" showDropDown="0" showInputMessage="0" showErrorMessage="1" allowBlank="0" errorTitle="Merma no válida" error="Escribe entre 0 y 0,6 (0,35 = 35 %)." type="decimal" operator="between">
      <formula1>0</formula1>
      <formula2>0.6</formula2>
    </dataValidation>
    <dataValidation sqref="B13" showDropDown="0" showInputMessage="0" showErrorMessage="1" allowBlank="0" errorTitle="Recortes no válidos" error="Escribe entre 0 y 0,3 (0,05 = 5 %)." type="decimal" operator="between">
      <formula1>0</formula1>
      <formula2>0.3</formula2>
    </dataValidation>
    <dataValidation sqref="B17" showDropDown="0" showInputMessage="0" showErrorMessage="1" allowBlank="0" errorTitle="Número no válido" error="Escribe un número entero de 1 o más." type="whole" operator="between">
      <formula1>1</formula1>
      <formula2>1000000</formula2>
    </dataValidation>
    <dataValidation sqref="B34 B35 B36 B37 B38 B39 C34 C35 C36 C37 C38 C39 E34 E35 E36 E37 E38 E39" showDropDown="0" showInputMessage="0" showErrorMessage="1" allowBlank="0" errorTitle="Valor no válido" error="Escribe un número mayor que 0." type="decimal" operator="greaterThan">
      <formula1>0</formula1>
    </dataValidation>
    <dataValidation sqref="D34 D35 D36 D37 D38 D39" showDropDown="0" showInputMessage="0" showErrorMessage="1" allowBlank="0" errorTitle="Rendimiento no válido" error="Escribe entre 0,05 y 1 (0,6 = 60 %)." type="decimal" operator="between">
      <formula1>0.05</formula1>
      <formula2>1</formula2>
    </dataValidation>
  </dataValidations>
  <printOptions horizontalCentered="1"/>
  <pageMargins left="0.75" right="0.75" top="1" bottom="1" header="0.5" footer="0.5"/>
  <pageSetup orientation="landscape" paperSize="9" fitToHeight="0" fitToWidth="1"/>
  <headerFooter>
    <oddHeader/>
    <oddFooter>&amp;Caichef.pro/plan-negocio-taqueria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32"/>
  <sheetViews>
    <sheetView showGridLines="0" workbookViewId="0">
      <selection activeCell="A1" sqref="A1"/>
    </sheetView>
  </sheetViews>
  <sheetFormatPr baseColWidth="8" defaultRowHeight="15"/>
  <cols>
    <col width="56" customWidth="1" min="1" max="1"/>
    <col width="17" customWidth="1" min="2" max="2"/>
    <col width="70" customWidth="1" min="3" max="3"/>
  </cols>
  <sheetData>
    <row r="1">
      <c r="A1" s="1" t="inlineStr">
        <is>
          <t>TORTILLA — COMPRADA FRENTE A NIXTAMAL PROPIO Y EQUILIBRIO EN TORTILLAS AL DÍA</t>
        </is>
      </c>
    </row>
    <row r="2" ht="34" customHeight="1">
      <c r="A2" s="2" t="inlineStr">
        <is>
          <t>Escribe solo en las celdas VERDES. Importes sin IVA. Los valores por defecto son una estimación del kit, editable: cámbialos por los de tu proveedor. A volúmenes de taquería de barrio, comprar suele ganar; esta hoja te dice dónde cambia la cuenta.</t>
        </is>
      </c>
    </row>
    <row r="5">
      <c r="A5" s="4" t="inlineStr">
        <is>
          <t>A. TORTILLA COMPRADA</t>
        </is>
      </c>
      <c r="B5" s="4" t="inlineStr">
        <is>
          <t>Valor</t>
        </is>
      </c>
      <c r="C5" s="4" t="inlineStr">
        <is>
          <t>Notas</t>
        </is>
      </c>
    </row>
    <row r="6" ht="30" customHeight="1">
      <c r="A6" s="5" t="inlineStr">
        <is>
          <t>Precio del paquete de tortillas (€, sin IVA)</t>
        </is>
      </c>
      <c r="B6" s="8" t="n">
        <v>14</v>
      </c>
      <c r="C6" s="2" t="inlineStr">
        <is>
          <t>Tortilla de maíz de 12 cm. El minorista cuesta unos 0,21 € la unidad; el profesional, un 30 % menos. Estimación del kit, editable.</t>
        </is>
      </c>
    </row>
    <row r="7" ht="16" customHeight="1">
      <c r="A7" s="5" t="inlineStr">
        <is>
          <t>Piezas por paquete</t>
        </is>
      </c>
      <c r="B7" s="9" t="n">
        <v>100</v>
      </c>
      <c r="C7" s="2" t="inlineStr">
        <is>
          <t>Número entero mayor que 0. Estimación del kit, editable.</t>
        </is>
      </c>
    </row>
    <row r="8" ht="16" customHeight="1">
      <c r="A8" s="5" t="inlineStr">
        <is>
          <t>Peso de cada tortilla (g)</t>
        </is>
      </c>
      <c r="B8" s="6" t="n">
        <v>22</v>
      </c>
      <c r="C8" s="2" t="inlineStr">
        <is>
          <t>Una tortilla de 12 cm pesa unos 22 g. Estimación del kit, editable.</t>
        </is>
      </c>
    </row>
    <row r="9">
      <c r="A9" s="4" t="inlineStr">
        <is>
          <t>B. NIXTAMAL PROPIO (maíz en grano, molino y prensa)</t>
        </is>
      </c>
      <c r="B9" s="4" t="inlineStr">
        <is>
          <t>Valor</t>
        </is>
      </c>
      <c r="C9" s="4" t="inlineStr">
        <is>
          <t>Notas</t>
        </is>
      </c>
    </row>
    <row r="10" ht="16" customHeight="1">
      <c r="A10" s="5" t="inlineStr">
        <is>
          <t>Precio del maíz para nixtamal (€/kg, sin IVA)</t>
        </is>
      </c>
      <c r="B10" s="8" t="n">
        <v>1.2</v>
      </c>
      <c r="C10" s="2" t="inlineStr">
        <is>
          <t>Maíz blanco en grano. Pon el de tu proveedor. Estimación del kit, editable.</t>
        </is>
      </c>
    </row>
    <row r="11" ht="30" customHeight="1">
      <c r="A11" s="5" t="inlineStr">
        <is>
          <t>Masa que sale de 1 kg de maíz (kg)</t>
        </is>
      </c>
      <c r="B11" s="24" t="n">
        <v>2</v>
      </c>
      <c r="C11" s="2" t="inlineStr">
        <is>
          <t>El maíz nixtamalizado absorbe agua: de 1 kg de grano salen unos 2 kg de masa. Estimación del kit, editable.</t>
        </is>
      </c>
    </row>
    <row r="12" ht="30" customHeight="1">
      <c r="A12" s="5" t="inlineStr">
        <is>
          <t>Cal, gas, luz y agua del nixtamal (€ por kg de maíz)</t>
        </is>
      </c>
      <c r="B12" s="8" t="n">
        <v>2</v>
      </c>
      <c r="C12" s="2" t="inlineStr">
        <is>
          <t>Todo lo que se gasta en cocer, moler y prensar, por kilo de maíz. Estimación del kit, editable.</t>
        </is>
      </c>
    </row>
    <row r="13" ht="30" customHeight="1">
      <c r="A13" s="5" t="inlineStr">
        <is>
          <t>Masa por tortilla propia (g)</t>
        </is>
      </c>
      <c r="B13" s="6" t="n">
        <v>22</v>
      </c>
      <c r="C13" s="2" t="inlineStr">
        <is>
          <t>Masa cruda que lleva cada tortilla antes de prensarla. Estimación del kit, editable.</t>
        </is>
      </c>
    </row>
    <row r="14" ht="30" customHeight="1">
      <c r="A14" s="5" t="inlineStr">
        <is>
          <t>Coste anual del tortillero (€, con cargas)</t>
        </is>
      </c>
      <c r="B14" s="8" t="n">
        <v>18900</v>
      </c>
      <c r="C14" s="2" t="inlineStr">
        <is>
          <t>Unas tres cuartas partes de una jornada, con seguridad social. Estimación del kit, editable.</t>
        </is>
      </c>
    </row>
    <row r="15" ht="30" customHeight="1">
      <c r="A15" s="5" t="inlineStr">
        <is>
          <t>Inversión en molino, prensa y mesa (€, sin IVA)</t>
        </is>
      </c>
      <c r="B15" s="8" t="n">
        <v>18000</v>
      </c>
      <c r="C15" s="2" t="inlineStr">
        <is>
          <t>Molino de nixtamal, tortilladora y mesa de trabajo. Estimación del kit, editable.</t>
        </is>
      </c>
    </row>
    <row r="16" ht="16" customHeight="1">
      <c r="A16" s="5" t="inlineStr">
        <is>
          <t>Años de vida de la inversión</t>
        </is>
      </c>
      <c r="B16" s="9" t="n">
        <v>6</v>
      </c>
      <c r="C16" s="2" t="inlineStr">
        <is>
          <t>La inversión se reparte en estos años. Estimación del kit, editable.</t>
        </is>
      </c>
    </row>
    <row r="17" ht="16" customHeight="1">
      <c r="A17" s="5" t="inlineStr">
        <is>
          <t>Días de apertura al año</t>
        </is>
      </c>
      <c r="B17" s="9" t="n">
        <v>300</v>
      </c>
      <c r="C17" s="2" t="inlineStr">
        <is>
          <t>Los del caso del plan de negocio. Estimación del kit, editable.</t>
        </is>
      </c>
    </row>
    <row r="18">
      <c r="A18" s="4" t="inlineStr">
        <is>
          <t>C. TU CASO</t>
        </is>
      </c>
      <c r="B18" s="4" t="inlineStr">
        <is>
          <t>Valor</t>
        </is>
      </c>
      <c r="C18" s="4" t="inlineStr">
        <is>
          <t>Notas</t>
        </is>
      </c>
    </row>
    <row r="19" ht="30" customHeight="1">
      <c r="A19" s="5" t="inlineStr">
        <is>
          <t>Tortillas que gastas al día</t>
        </is>
      </c>
      <c r="B19" s="9" t="n">
        <v>280</v>
      </c>
      <c r="C19" s="2" t="inlineStr">
        <is>
          <t>Las del caso del plan de negocio. Cámbialas por las tuyas. Estimación del kit, editable.</t>
        </is>
      </c>
    </row>
    <row r="21">
      <c r="A21" s="4" t="inlineStr">
        <is>
          <t>RESULTADO</t>
        </is>
      </c>
      <c r="B21" s="4" t="inlineStr">
        <is>
          <t>Valor</t>
        </is>
      </c>
      <c r="C21" s="4" t="inlineStr">
        <is>
          <t>Notas</t>
        </is>
      </c>
    </row>
    <row r="22" ht="16" customHeight="1">
      <c r="A22" s="13" t="inlineStr">
        <is>
          <t>Coste por tortilla comprada (€)</t>
        </is>
      </c>
      <c r="B22" s="19">
        <f>$B$6/$B$7</f>
        <v>0.14</v>
      </c>
      <c r="C22" s="2" t="inlineStr">
        <is>
          <t>Paquete ÷ piezas.</t>
        </is>
      </c>
    </row>
    <row r="23" ht="16" customHeight="1">
      <c r="A23" s="5" t="inlineStr">
        <is>
          <t>Tortillas que salen de 1 kg comprado</t>
        </is>
      </c>
      <c r="B23" s="11">
        <f>'Trompo'!$B$18/$B$8</f>
        <v>45.45454545454545</v>
      </c>
      <c r="C23" s="2" t="inlineStr">
        <is>
          <t>Para pedir al proveedor: 1.000 ÷ gramos por pieza.</t>
        </is>
      </c>
    </row>
    <row r="24" ht="16" customHeight="1">
      <c r="A24" s="5" t="inlineStr">
        <is>
          <t>Maíz por tortilla propia (g)</t>
        </is>
      </c>
      <c r="B24" s="11">
        <f>$B$13/$B$11</f>
        <v>11.0</v>
      </c>
      <c r="C24" s="2" t="inlineStr">
        <is>
          <t>Masa por tortilla ÷ masa que sale de 1 kg de maíz.</t>
        </is>
      </c>
    </row>
    <row r="25">
      <c r="A25" s="5" t="inlineStr">
        <is>
          <t>Tortillas que salen de 1 kg de maíz</t>
        </is>
      </c>
      <c r="B25" s="11">
        <f>$B$11*'Trompo'!$B$18/$B$13</f>
        <v>90.9090909090909</v>
      </c>
    </row>
    <row r="26" ht="16" customHeight="1">
      <c r="A26" s="13" t="inlineStr">
        <is>
          <t>Coste por tortilla propia (€, sin la persona ni la inversión)</t>
        </is>
      </c>
      <c r="B26" s="19">
        <f>$B$24*($B$10+$B$12)/'Trompo'!$B$18</f>
        <v>0.0352</v>
      </c>
      <c r="C26" s="2" t="inlineStr">
        <is>
          <t>Maíz + cal, gas, luz y agua.</t>
        </is>
      </c>
    </row>
    <row r="27" ht="16" customHeight="1">
      <c r="A27" s="5" t="inlineStr">
        <is>
          <t>Ahorro por tortilla al hacerla tú (€)</t>
        </is>
      </c>
      <c r="B27" s="25">
        <f>$B$22-$B$26</f>
        <v>0.1048</v>
      </c>
      <c r="C27" s="2" t="inlineStr">
        <is>
          <t>Si sale cero o negativo, comprar siempre gana.</t>
        </is>
      </c>
    </row>
    <row r="28" ht="16" customHeight="1">
      <c r="A28" s="5" t="inlineStr">
        <is>
          <t>Coste fijo diario de hacerlas tú (€)</t>
        </is>
      </c>
      <c r="B28" s="17">
        <f>($B$14+$B$15/$B$16)/$B$17</f>
        <v>73.0</v>
      </c>
      <c r="C28" s="2" t="inlineStr">
        <is>
          <t>Persona + inversión repartida, por día de apertura.</t>
        </is>
      </c>
    </row>
    <row r="29" ht="16" customHeight="1">
      <c r="A29" s="13" t="inlineStr">
        <is>
          <t>EQUILIBRIO (tortillas al día)</t>
        </is>
      </c>
      <c r="B29" s="15">
        <f>IF($B$27&gt;0,($B$14+$B$15/$B$16)/($B$27*$B$17),0)</f>
        <v>696.5648854961831</v>
      </c>
      <c r="C29" s="2" t="inlineStr">
        <is>
          <t>Con más tortillas al día que esta cifra, hacerlas compensa. Con menos, compra.</t>
        </is>
      </c>
    </row>
    <row r="30" ht="16" customHeight="1">
      <c r="A30" s="5" t="inlineStr">
        <is>
          <t>Coste diario con tortilla comprada (€)</t>
        </is>
      </c>
      <c r="B30" s="17">
        <f>$B$19*$B$22</f>
        <v>39.2</v>
      </c>
      <c r="C30" s="2" t="inlineStr">
        <is>
          <t>Para las tortillas al día que has puesto.</t>
        </is>
      </c>
    </row>
    <row r="31" ht="16" customHeight="1">
      <c r="A31" s="5" t="inlineStr">
        <is>
          <t>Coste diario con tortilla propia (€)</t>
        </is>
      </c>
      <c r="B31" s="17">
        <f>$B$19*$B$26+$B$28</f>
        <v>82.856</v>
      </c>
      <c r="C31" s="2" t="inlineStr">
        <is>
          <t>Incluye la persona y la inversión.</t>
        </is>
      </c>
    </row>
    <row r="32" ht="32" customHeight="1">
      <c r="A32" s="13" t="inlineStr">
        <is>
          <t>Qué te conviene</t>
        </is>
      </c>
      <c r="B32" s="26" t="str">
        <f>IF(AND($B$27&gt;0,$B$19&gt;=$B$29),"Hazla tú","Compra la tortilla")</f>
        <v>Compra la tortilla</v>
      </c>
      <c r="C32" s="2" t="inlineStr">
        <is>
          <t>Según tus tortillas al día frente al equilibrio.</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conditionalFormatting sqref="B32">
    <cfRule type="expression" priority="1" dxfId="0">
      <formula>$B$32="Hazla tú"</formula>
    </cfRule>
    <cfRule type="expression" priority="2" dxfId="1">
      <formula>$B$32="Compra la tortilla"</formula>
    </cfRule>
  </conditionalFormatting>
  <dataValidations count="4">
    <dataValidation sqref="B6 B8 B10 B11 B13" showDropDown="0" showInputMessage="0" showErrorMessage="1" allowBlank="0" errorTitle="Valor no válido" error="Escribe un número mayor que 0." type="decimal" operator="greaterThan">
      <formula1>0</formula1>
    </dataValidation>
    <dataValidation sqref="B12 B14 B15" showDropDown="0" showInputMessage="0" showErrorMessage="1" allowBlank="0" errorTitle="Valor no válido" error="Escribe un número mayor o igual que 0." type="decimal" operator="greaterThanOrEqual">
      <formula1>0</formula1>
    </dataValidation>
    <dataValidation sqref="B7 B16 B19" showDropDown="0" showInputMessage="0" showErrorMessage="1" allowBlank="0" errorTitle="Número no válido" error="Escribe un número entero de 1 o más." type="whole" operator="between">
      <formula1>1</formula1>
      <formula2>1000000</formula2>
    </dataValidation>
    <dataValidation sqref="B17" showDropDown="0" showInputMessage="0" showErrorMessage="1" allowBlank="0" errorTitle="Días no válidos" error="Escribe un número entero de 1 a 366." type="whole" operator="between">
      <formula1>1</formula1>
      <formula2>366</formula2>
    </dataValidation>
  </dataValidations>
  <printOptions horizontalCentered="1"/>
  <pageMargins left="0.75" right="0.75" top="1" bottom="1" header="0.5" footer="0.5"/>
  <pageSetup orientation="portrait" paperSize="9" fitToHeight="0" fitToWidth="1"/>
  <headerFooter>
    <oddHeader/>
    <oddFooter>&amp;Caichef.pro/plan-negocio-taqueria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54"/>
  <sheetViews>
    <sheetView showGridLines="0" workbookViewId="0">
      <selection activeCell="A1" sqref="A1"/>
    </sheetView>
  </sheetViews>
  <sheetFormatPr baseColWidth="8" defaultRowHeight="15"/>
  <cols>
    <col width="40" customWidth="1" min="1" max="1"/>
    <col width="14" customWidth="1" min="2" max="2"/>
    <col width="7"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4" customWidth="1" min="14" max="14"/>
  </cols>
  <sheetData>
    <row r="1">
      <c r="A1" s="1" t="inlineStr">
        <is>
          <t>ESCANDALLO POR TACO — 8 TACOS, UNA ORDEN Y UNA GRINGA DE EJEMPLO, EN GRAMOS</t>
        </is>
      </c>
    </row>
    <row r="2" ht="32" customHeight="1">
      <c r="A2" s="2" t="inlineStr">
        <is>
          <t>Escribe solo en las celdas VERDES (precios, gramos, nombres, tortillas y precios de carta). Importes sin IVA salvo el precio de carta. Los precios son una estimación del kit, editable: pon los de tu proveedor. Las carnes y la tortilla de maíz vienen de las hojas «Trompo» y «Tortilla».</t>
        </is>
      </c>
    </row>
    <row r="4">
      <c r="A4" s="4" t="inlineStr">
        <is>
          <t>DATOS GENERALES</t>
        </is>
      </c>
      <c r="B4" s="4" t="inlineStr">
        <is>
          <t>Valor</t>
        </is>
      </c>
      <c r="D4" s="4" t="inlineStr">
        <is>
          <t>Notas</t>
        </is>
      </c>
    </row>
    <row r="5" ht="16" customHeight="1">
      <c r="A5" s="5" t="inlineStr">
        <is>
          <t>IVA de la comida (%)</t>
        </is>
      </c>
      <c r="B5" s="7" t="n">
        <v>0.1</v>
      </c>
      <c r="D5" s="2" t="inlineStr">
        <is>
          <t>Comida preparada, en sala, para llevar y a domicilio: 10 % (Ley 37/1992, art. 91.Uno.1.1.º y 2.2.º).</t>
        </is>
      </c>
    </row>
    <row r="6" ht="16" customHeight="1">
      <c r="A6" s="5" t="inlineStr">
        <is>
          <t>Food cost objetivo (% sobre el precio sin IVA)</t>
        </is>
      </c>
      <c r="B6" s="7" t="n">
        <v>0.25</v>
      </c>
      <c r="D6" s="2" t="inlineStr">
        <is>
          <t>Referencia de taquería: 22-30 % en el taco al pastor. Estimación del kit, editable.</t>
        </is>
      </c>
    </row>
    <row r="7" ht="16" customHeight="1">
      <c r="A7" s="5" t="inlineStr">
        <is>
          <t>Margen de vigilancia sobre el objetivo (puntos)</t>
        </is>
      </c>
      <c r="B7" s="7" t="n">
        <v>0.05</v>
      </c>
      <c r="D7" s="2" t="inlineStr">
        <is>
          <t>Hasta este margen por encima del objetivo, el semáforo dice «Vigila el coste».</t>
        </is>
      </c>
    </row>
    <row r="8" ht="16" customHeight="1">
      <c r="A8" s="5" t="inlineStr">
        <is>
          <t>Merma de producción sobre el coste (%)</t>
        </is>
      </c>
      <c r="B8" s="7" t="n">
        <v>0.05</v>
      </c>
      <c r="D8" s="2" t="inlineStr">
        <is>
          <t>Salsas crudas que se descartan, tortillas rotas, cebolla y cilantro que no se aprovechan. Estimación del kit, editable.</t>
        </is>
      </c>
    </row>
    <row r="9" ht="32" customHeight="1">
      <c r="A9" s="5" t="inlineStr">
        <is>
          <t>Tortilla de maíz que usa el escandallo</t>
        </is>
      </c>
      <c r="B9" s="27" t="inlineStr">
        <is>
          <t>Tortilla comprada</t>
        </is>
      </c>
      <c r="D9" s="2" t="inlineStr">
        <is>
          <t>Elige el coste por tortilla de la hoja «Tortilla»: comprada o nixtamal propio.</t>
        </is>
      </c>
    </row>
    <row r="10" ht="16" customHeight="1">
      <c r="A10" s="5" t="inlineStr">
        <is>
          <t>Envase por pedido para llevar (€, sin IVA)</t>
        </is>
      </c>
      <c r="B10" s="8" t="n">
        <v>0.5</v>
      </c>
      <c r="D10" s="2" t="inlineStr">
        <is>
          <t>Bolsa, caja y tarrinas de salsa de un pedido. Estimación del kit, editable.</t>
        </is>
      </c>
    </row>
    <row r="11" ht="16" customHeight="1">
      <c r="A11" s="5" t="inlineStr">
        <is>
          <t>Comisión de la plataforma de reparto (%)</t>
        </is>
      </c>
      <c r="B11" s="7" t="n">
        <v>0.3</v>
      </c>
      <c r="D11" s="2" t="inlineStr">
        <is>
          <t>Sobre el precio sin IVA del pedido. Uber Eats ronda el 30 %; revisa tu contrato. Estimación del kit, editable.</t>
        </is>
      </c>
    </row>
    <row r="13" ht="32" customHeight="1">
      <c r="A13" s="3" t="inlineStr">
        <is>
          <t>INGREDIENTE (en gramos)</t>
        </is>
      </c>
      <c r="B13" s="3" t="inlineStr">
        <is>
          <t>€/kg sin IVA</t>
        </is>
      </c>
      <c r="C13" s="3" t="inlineStr">
        <is>
          <t>Unidad</t>
        </is>
      </c>
      <c r="D13" s="28" t="inlineStr">
        <is>
          <t>Taco al pastor</t>
        </is>
      </c>
      <c r="E13" s="28" t="inlineStr">
        <is>
          <t>Taco de carnitas</t>
        </is>
      </c>
      <c r="F13" s="28" t="inlineStr">
        <is>
          <t>Taco de suadero</t>
        </is>
      </c>
      <c r="G13" s="28" t="inlineStr">
        <is>
          <t>Taco de cochinita</t>
        </is>
      </c>
      <c r="H13" s="28" t="inlineStr">
        <is>
          <t>Taco de barbacoa</t>
        </is>
      </c>
      <c r="I13" s="28" t="inlineStr">
        <is>
          <t>Taco de tinga</t>
        </is>
      </c>
      <c r="J13" s="28" t="inlineStr">
        <is>
          <t>Taco campechano</t>
        </is>
      </c>
      <c r="K13" s="28" t="inlineStr">
        <is>
          <t>Taco vegetal</t>
        </is>
      </c>
      <c r="L13" s="28" t="inlineStr">
        <is>
          <t>Orden de 3 al pastor</t>
        </is>
      </c>
      <c r="M13" s="28" t="inlineStr">
        <is>
          <t>Gringa al pastor</t>
        </is>
      </c>
      <c r="N13" s="3" t="inlineStr">
        <is>
          <t>ORIGEN DEL PRECIO</t>
        </is>
      </c>
    </row>
    <row r="14">
      <c r="A14" s="13" t="inlineStr">
        <is>
          <t>Precio de carta con IVA (€)</t>
        </is>
      </c>
      <c r="D14" s="29" t="n">
        <v>3</v>
      </c>
      <c r="E14" s="29" t="n">
        <v>3</v>
      </c>
      <c r="F14" s="29" t="n">
        <v>3</v>
      </c>
      <c r="G14" s="29" t="n">
        <v>3.5</v>
      </c>
      <c r="H14" s="29" t="n">
        <v>3.5</v>
      </c>
      <c r="I14" s="29" t="n">
        <v>3</v>
      </c>
      <c r="J14" s="29" t="n">
        <v>3.5</v>
      </c>
      <c r="K14" s="29" t="n">
        <v>3.5</v>
      </c>
      <c r="L14" s="29" t="n">
        <v>8.5</v>
      </c>
      <c r="M14" s="29" t="n">
        <v>7.5</v>
      </c>
    </row>
    <row r="15">
      <c r="A15" s="5" t="inlineStr">
        <is>
          <t>Carne al pastor (del cono)</t>
        </is>
      </c>
      <c r="B15" s="17">
        <f>'Trompo'!$B$29</f>
        <v>9.228395061728396</v>
      </c>
      <c r="C15" s="5" t="inlineStr">
        <is>
          <t>g</t>
        </is>
      </c>
      <c r="D15" s="30" t="n">
        <v>35</v>
      </c>
      <c r="E15" s="30" t="n">
        <v>0</v>
      </c>
      <c r="F15" s="30" t="n">
        <v>0</v>
      </c>
      <c r="G15" s="30" t="n">
        <v>0</v>
      </c>
      <c r="H15" s="30" t="n">
        <v>0</v>
      </c>
      <c r="I15" s="30" t="n">
        <v>0</v>
      </c>
      <c r="J15" s="30" t="n">
        <v>0</v>
      </c>
      <c r="K15" s="30" t="n">
        <v>0</v>
      </c>
      <c r="L15" s="30" t="n">
        <v>105</v>
      </c>
      <c r="M15" s="30" t="n">
        <v>70</v>
      </c>
      <c r="N15" s="31" t="inlineStr">
        <is>
          <t>enlazado desde la hoja Trompo (€/kg servido)</t>
        </is>
      </c>
    </row>
    <row r="16">
      <c r="A16" s="5" t="inlineStr">
        <is>
          <t>Carnitas</t>
        </is>
      </c>
      <c r="B16" s="17">
        <f>'Trompo'!$G$34</f>
        <v>8.666666666666668</v>
      </c>
      <c r="C16" s="5" t="inlineStr">
        <is>
          <t>g</t>
        </is>
      </c>
      <c r="D16" s="30" t="n">
        <v>0</v>
      </c>
      <c r="E16" s="30" t="n">
        <v>35</v>
      </c>
      <c r="F16" s="30" t="n">
        <v>0</v>
      </c>
      <c r="G16" s="30" t="n">
        <v>0</v>
      </c>
      <c r="H16" s="30" t="n">
        <v>0</v>
      </c>
      <c r="I16" s="30" t="n">
        <v>0</v>
      </c>
      <c r="J16" s="30" t="n">
        <v>0</v>
      </c>
      <c r="K16" s="30" t="n">
        <v>0</v>
      </c>
      <c r="L16" s="30" t="n">
        <v>0</v>
      </c>
      <c r="M16" s="30" t="n">
        <v>0</v>
      </c>
      <c r="N16" s="31" t="inlineStr">
        <is>
          <t>enlazado desde la hoja Trompo (€/kg cocinado)</t>
        </is>
      </c>
    </row>
    <row r="17">
      <c r="A17" s="5" t="inlineStr">
        <is>
          <t>Suadero</t>
        </is>
      </c>
      <c r="B17" s="17">
        <f>'Trompo'!$G$35</f>
        <v>13.636363636363635</v>
      </c>
      <c r="C17" s="5" t="inlineStr">
        <is>
          <t>g</t>
        </is>
      </c>
      <c r="D17" s="30" t="n">
        <v>0</v>
      </c>
      <c r="E17" s="30" t="n">
        <v>0</v>
      </c>
      <c r="F17" s="30" t="n">
        <v>35</v>
      </c>
      <c r="G17" s="30" t="n">
        <v>0</v>
      </c>
      <c r="H17" s="30" t="n">
        <v>0</v>
      </c>
      <c r="I17" s="30" t="n">
        <v>0</v>
      </c>
      <c r="J17" s="30" t="n">
        <v>0</v>
      </c>
      <c r="K17" s="30" t="n">
        <v>0</v>
      </c>
      <c r="L17" s="30" t="n">
        <v>0</v>
      </c>
      <c r="M17" s="30" t="n">
        <v>0</v>
      </c>
      <c r="N17" s="31" t="inlineStr">
        <is>
          <t>enlazado desde la hoja Trompo (€/kg cocinado)</t>
        </is>
      </c>
    </row>
    <row r="18">
      <c r="A18" s="5" t="inlineStr">
        <is>
          <t>Cochinita pibil</t>
        </is>
      </c>
      <c r="B18" s="17">
        <f>'Trompo'!$G$36</f>
        <v>9.166666666666668</v>
      </c>
      <c r="C18" s="5" t="inlineStr">
        <is>
          <t>g</t>
        </is>
      </c>
      <c r="D18" s="30" t="n">
        <v>0</v>
      </c>
      <c r="E18" s="30" t="n">
        <v>0</v>
      </c>
      <c r="F18" s="30" t="n">
        <v>0</v>
      </c>
      <c r="G18" s="30" t="n">
        <v>40</v>
      </c>
      <c r="H18" s="30" t="n">
        <v>0</v>
      </c>
      <c r="I18" s="30" t="n">
        <v>0</v>
      </c>
      <c r="J18" s="30" t="n">
        <v>0</v>
      </c>
      <c r="K18" s="30" t="n">
        <v>0</v>
      </c>
      <c r="L18" s="30" t="n">
        <v>0</v>
      </c>
      <c r="M18" s="30" t="n">
        <v>0</v>
      </c>
      <c r="N18" s="31" t="inlineStr">
        <is>
          <t>enlazado desde la hoja Trompo (€/kg cocinado)</t>
        </is>
      </c>
    </row>
    <row r="19">
      <c r="A19" s="5" t="inlineStr">
        <is>
          <t>Barbacoa de res</t>
        </is>
      </c>
      <c r="B19" s="17">
        <f>'Trompo'!$G$37</f>
        <v>14.0</v>
      </c>
      <c r="C19" s="5" t="inlineStr">
        <is>
          <t>g</t>
        </is>
      </c>
      <c r="D19" s="30" t="n">
        <v>0</v>
      </c>
      <c r="E19" s="30" t="n">
        <v>0</v>
      </c>
      <c r="F19" s="30" t="n">
        <v>0</v>
      </c>
      <c r="G19" s="30" t="n">
        <v>0</v>
      </c>
      <c r="H19" s="30" t="n">
        <v>40</v>
      </c>
      <c r="I19" s="30" t="n">
        <v>0</v>
      </c>
      <c r="J19" s="30" t="n">
        <v>0</v>
      </c>
      <c r="K19" s="30" t="n">
        <v>0</v>
      </c>
      <c r="L19" s="30" t="n">
        <v>0</v>
      </c>
      <c r="M19" s="30" t="n">
        <v>0</v>
      </c>
      <c r="N19" s="31" t="inlineStr">
        <is>
          <t>enlazado desde la hoja Trompo (€/kg cocinado)</t>
        </is>
      </c>
    </row>
    <row r="20">
      <c r="A20" s="5" t="inlineStr">
        <is>
          <t>Tinga de pollo</t>
        </is>
      </c>
      <c r="B20" s="17">
        <f>'Trompo'!$G$38</f>
        <v>6.153846153846153</v>
      </c>
      <c r="C20" s="5" t="inlineStr">
        <is>
          <t>g</t>
        </is>
      </c>
      <c r="D20" s="30" t="n">
        <v>0</v>
      </c>
      <c r="E20" s="30" t="n">
        <v>0</v>
      </c>
      <c r="F20" s="30" t="n">
        <v>0</v>
      </c>
      <c r="G20" s="30" t="n">
        <v>0</v>
      </c>
      <c r="H20" s="30" t="n">
        <v>0</v>
      </c>
      <c r="I20" s="30" t="n">
        <v>35</v>
      </c>
      <c r="J20" s="30" t="n">
        <v>0</v>
      </c>
      <c r="K20" s="30" t="n">
        <v>0</v>
      </c>
      <c r="L20" s="30" t="n">
        <v>0</v>
      </c>
      <c r="M20" s="30" t="n">
        <v>0</v>
      </c>
      <c r="N20" s="31" t="inlineStr">
        <is>
          <t>enlazado desde la hoja Trompo (€/kg cocinado)</t>
        </is>
      </c>
    </row>
    <row r="21">
      <c r="A21" s="5" t="inlineStr">
        <is>
          <t>Campechano</t>
        </is>
      </c>
      <c r="B21" s="17">
        <f>'Trompo'!$G$39</f>
        <v>12.727272727272727</v>
      </c>
      <c r="C21" s="5" t="inlineStr">
        <is>
          <t>g</t>
        </is>
      </c>
      <c r="D21" s="30" t="n">
        <v>0</v>
      </c>
      <c r="E21" s="30" t="n">
        <v>0</v>
      </c>
      <c r="F21" s="30" t="n">
        <v>0</v>
      </c>
      <c r="G21" s="30" t="n">
        <v>0</v>
      </c>
      <c r="H21" s="30" t="n">
        <v>0</v>
      </c>
      <c r="I21" s="30" t="n">
        <v>0</v>
      </c>
      <c r="J21" s="30" t="n">
        <v>35</v>
      </c>
      <c r="K21" s="30" t="n">
        <v>0</v>
      </c>
      <c r="L21" s="30" t="n">
        <v>0</v>
      </c>
      <c r="M21" s="30" t="n">
        <v>0</v>
      </c>
      <c r="N21" s="31" t="inlineStr">
        <is>
          <t>enlazado desde la hoja Trompo (€/kg cocinado)</t>
        </is>
      </c>
    </row>
    <row r="22">
      <c r="A22" s="20" t="inlineStr">
        <is>
          <t>Cebolla picada</t>
        </is>
      </c>
      <c r="B22" s="8" t="n">
        <v>1.2</v>
      </c>
      <c r="C22" s="5" t="inlineStr">
        <is>
          <t>g</t>
        </is>
      </c>
      <c r="D22" s="30" t="n">
        <v>10</v>
      </c>
      <c r="E22" s="30" t="n">
        <v>10</v>
      </c>
      <c r="F22" s="30" t="n">
        <v>10</v>
      </c>
      <c r="G22" s="30" t="n">
        <v>10</v>
      </c>
      <c r="H22" s="30" t="n">
        <v>10</v>
      </c>
      <c r="I22" s="30" t="n">
        <v>5</v>
      </c>
      <c r="J22" s="30" t="n">
        <v>10</v>
      </c>
      <c r="K22" s="30" t="n">
        <v>5</v>
      </c>
      <c r="L22" s="30" t="n">
        <v>30</v>
      </c>
      <c r="M22" s="30" t="n">
        <v>10</v>
      </c>
      <c r="N22" s="31" t="inlineStr">
        <is>
          <t>estimación del kit</t>
        </is>
      </c>
    </row>
    <row r="23">
      <c r="A23" s="20" t="inlineStr">
        <is>
          <t>Cilantro</t>
        </is>
      </c>
      <c r="B23" s="8" t="n">
        <v>12</v>
      </c>
      <c r="C23" s="5" t="inlineStr">
        <is>
          <t>g</t>
        </is>
      </c>
      <c r="D23" s="30" t="n">
        <v>3</v>
      </c>
      <c r="E23" s="30" t="n">
        <v>3</v>
      </c>
      <c r="F23" s="30" t="n">
        <v>3</v>
      </c>
      <c r="G23" s="30" t="n">
        <v>0</v>
      </c>
      <c r="H23" s="30" t="n">
        <v>3</v>
      </c>
      <c r="I23" s="30" t="n">
        <v>2</v>
      </c>
      <c r="J23" s="30" t="n">
        <v>3</v>
      </c>
      <c r="K23" s="30" t="n">
        <v>3</v>
      </c>
      <c r="L23" s="30" t="n">
        <v>9</v>
      </c>
      <c r="M23" s="30" t="n">
        <v>3</v>
      </c>
      <c r="N23" s="31" t="inlineStr">
        <is>
          <t>estimación del kit</t>
        </is>
      </c>
    </row>
    <row r="24">
      <c r="A24" s="20" t="inlineStr">
        <is>
          <t>Piña</t>
        </is>
      </c>
      <c r="B24" s="8" t="n">
        <v>2</v>
      </c>
      <c r="C24" s="5" t="inlineStr">
        <is>
          <t>g</t>
        </is>
      </c>
      <c r="D24" s="30" t="n">
        <v>8</v>
      </c>
      <c r="E24" s="30" t="n">
        <v>0</v>
      </c>
      <c r="F24" s="30" t="n">
        <v>0</v>
      </c>
      <c r="G24" s="30" t="n">
        <v>0</v>
      </c>
      <c r="H24" s="30" t="n">
        <v>0</v>
      </c>
      <c r="I24" s="30" t="n">
        <v>0</v>
      </c>
      <c r="J24" s="30" t="n">
        <v>0</v>
      </c>
      <c r="K24" s="30" t="n">
        <v>0</v>
      </c>
      <c r="L24" s="30" t="n">
        <v>24</v>
      </c>
      <c r="M24" s="30" t="n">
        <v>15</v>
      </c>
      <c r="N24" s="31" t="inlineStr">
        <is>
          <t>estimación del kit</t>
        </is>
      </c>
    </row>
    <row r="25">
      <c r="A25" s="20" t="inlineStr">
        <is>
          <t>Lima</t>
        </is>
      </c>
      <c r="B25" s="8" t="n">
        <v>2.5</v>
      </c>
      <c r="C25" s="5" t="inlineStr">
        <is>
          <t>g</t>
        </is>
      </c>
      <c r="D25" s="30" t="n">
        <v>5</v>
      </c>
      <c r="E25" s="30" t="n">
        <v>5</v>
      </c>
      <c r="F25" s="30" t="n">
        <v>5</v>
      </c>
      <c r="G25" s="30" t="n">
        <v>5</v>
      </c>
      <c r="H25" s="30" t="n">
        <v>5</v>
      </c>
      <c r="I25" s="30" t="n">
        <v>0</v>
      </c>
      <c r="J25" s="30" t="n">
        <v>5</v>
      </c>
      <c r="K25" s="30" t="n">
        <v>5</v>
      </c>
      <c r="L25" s="30" t="n">
        <v>15</v>
      </c>
      <c r="M25" s="30" t="n">
        <v>0</v>
      </c>
      <c r="N25" s="31" t="inlineStr">
        <is>
          <t>estimación del kit</t>
        </is>
      </c>
    </row>
    <row r="26">
      <c r="A26" s="20" t="inlineStr">
        <is>
          <t>Salsa roja</t>
        </is>
      </c>
      <c r="B26" s="8" t="n">
        <v>3</v>
      </c>
      <c r="C26" s="5" t="inlineStr">
        <is>
          <t>g</t>
        </is>
      </c>
      <c r="D26" s="30" t="n">
        <v>8</v>
      </c>
      <c r="E26" s="30" t="n">
        <v>7</v>
      </c>
      <c r="F26" s="30" t="n">
        <v>7</v>
      </c>
      <c r="G26" s="30" t="n">
        <v>0</v>
      </c>
      <c r="H26" s="30" t="n">
        <v>10</v>
      </c>
      <c r="I26" s="30" t="n">
        <v>8</v>
      </c>
      <c r="J26" s="30" t="n">
        <v>8</v>
      </c>
      <c r="K26" s="30" t="n">
        <v>0</v>
      </c>
      <c r="L26" s="30" t="n">
        <v>24</v>
      </c>
      <c r="M26" s="30" t="n">
        <v>12</v>
      </c>
      <c r="N26" s="31" t="inlineStr">
        <is>
          <t>estimación del kit</t>
        </is>
      </c>
    </row>
    <row r="27">
      <c r="A27" s="20" t="inlineStr">
        <is>
          <t>Salsa verde</t>
        </is>
      </c>
      <c r="B27" s="8" t="n">
        <v>3</v>
      </c>
      <c r="C27" s="5" t="inlineStr">
        <is>
          <t>g</t>
        </is>
      </c>
      <c r="D27" s="30" t="n">
        <v>7</v>
      </c>
      <c r="E27" s="30" t="n">
        <v>8</v>
      </c>
      <c r="F27" s="30" t="n">
        <v>4</v>
      </c>
      <c r="G27" s="30" t="n">
        <v>10</v>
      </c>
      <c r="H27" s="30" t="n">
        <v>0</v>
      </c>
      <c r="I27" s="30" t="n">
        <v>5</v>
      </c>
      <c r="J27" s="30" t="n">
        <v>7</v>
      </c>
      <c r="K27" s="30" t="n">
        <v>10</v>
      </c>
      <c r="L27" s="30" t="n">
        <v>21</v>
      </c>
      <c r="M27" s="30" t="n">
        <v>8</v>
      </c>
      <c r="N27" s="31" t="inlineStr">
        <is>
          <t>estimación del kit</t>
        </is>
      </c>
    </row>
    <row r="28">
      <c r="A28" s="20" t="inlineStr">
        <is>
          <t>Salsa macha</t>
        </is>
      </c>
      <c r="B28" s="8" t="n">
        <v>9</v>
      </c>
      <c r="C28" s="5" t="inlineStr">
        <is>
          <t>g</t>
        </is>
      </c>
      <c r="D28" s="30" t="n">
        <v>0</v>
      </c>
      <c r="E28" s="30" t="n">
        <v>0</v>
      </c>
      <c r="F28" s="30" t="n">
        <v>4</v>
      </c>
      <c r="G28" s="30" t="n">
        <v>0</v>
      </c>
      <c r="H28" s="30" t="n">
        <v>0</v>
      </c>
      <c r="I28" s="30" t="n">
        <v>0</v>
      </c>
      <c r="J28" s="30" t="n">
        <v>0</v>
      </c>
      <c r="K28" s="30" t="n">
        <v>0</v>
      </c>
      <c r="L28" s="30" t="n">
        <v>0</v>
      </c>
      <c r="M28" s="30" t="n">
        <v>0</v>
      </c>
      <c r="N28" s="31" t="inlineStr">
        <is>
          <t>estimación del kit</t>
        </is>
      </c>
    </row>
    <row r="29">
      <c r="A29" s="20" t="inlineStr">
        <is>
          <t>Queso Oaxaca o chihuahua</t>
        </is>
      </c>
      <c r="B29" s="8" t="n">
        <v>8.5</v>
      </c>
      <c r="C29" s="5" t="inlineStr">
        <is>
          <t>g</t>
        </is>
      </c>
      <c r="D29" s="30" t="n">
        <v>0</v>
      </c>
      <c r="E29" s="30" t="n">
        <v>0</v>
      </c>
      <c r="F29" s="30" t="n">
        <v>0</v>
      </c>
      <c r="G29" s="30" t="n">
        <v>0</v>
      </c>
      <c r="H29" s="30" t="n">
        <v>0</v>
      </c>
      <c r="I29" s="30" t="n">
        <v>10</v>
      </c>
      <c r="J29" s="30" t="n">
        <v>0</v>
      </c>
      <c r="K29" s="30" t="n">
        <v>20</v>
      </c>
      <c r="L29" s="30" t="n">
        <v>0</v>
      </c>
      <c r="M29" s="30" t="n">
        <v>60</v>
      </c>
      <c r="N29" s="31" t="inlineStr">
        <is>
          <t>estimación del kit</t>
        </is>
      </c>
    </row>
    <row r="30">
      <c r="A30" s="20" t="inlineStr">
        <is>
          <t>Guacamole</t>
        </is>
      </c>
      <c r="B30" s="8" t="n">
        <v>11</v>
      </c>
      <c r="C30" s="5" t="inlineStr">
        <is>
          <t>g</t>
        </is>
      </c>
      <c r="D30" s="30" t="n">
        <v>0</v>
      </c>
      <c r="E30" s="30" t="n">
        <v>0</v>
      </c>
      <c r="F30" s="30" t="n">
        <v>0</v>
      </c>
      <c r="G30" s="30" t="n">
        <v>0</v>
      </c>
      <c r="H30" s="30" t="n">
        <v>0</v>
      </c>
      <c r="I30" s="30" t="n">
        <v>0</v>
      </c>
      <c r="J30" s="30" t="n">
        <v>0</v>
      </c>
      <c r="K30" s="30" t="n">
        <v>25</v>
      </c>
      <c r="L30" s="30" t="n">
        <v>0</v>
      </c>
      <c r="M30" s="30" t="n">
        <v>0</v>
      </c>
      <c r="N30" s="31" t="inlineStr">
        <is>
          <t>estimación del kit (depende del aguacate)</t>
        </is>
      </c>
    </row>
    <row r="31">
      <c r="A31" s="20" t="inlineStr">
        <is>
          <t>Frijoles de la olla</t>
        </is>
      </c>
      <c r="B31" s="8" t="n">
        <v>3.5</v>
      </c>
      <c r="C31" s="5" t="inlineStr">
        <is>
          <t>g</t>
        </is>
      </c>
      <c r="D31" s="30" t="n">
        <v>0</v>
      </c>
      <c r="E31" s="30" t="n">
        <v>0</v>
      </c>
      <c r="F31" s="30" t="n">
        <v>0</v>
      </c>
      <c r="G31" s="30" t="n">
        <v>0</v>
      </c>
      <c r="H31" s="30" t="n">
        <v>0</v>
      </c>
      <c r="I31" s="30" t="n">
        <v>0</v>
      </c>
      <c r="J31" s="30" t="n">
        <v>0</v>
      </c>
      <c r="K31" s="30" t="n">
        <v>40</v>
      </c>
      <c r="L31" s="30" t="n">
        <v>0</v>
      </c>
      <c r="M31" s="30" t="n">
        <v>0</v>
      </c>
      <c r="N31" s="31" t="inlineStr">
        <is>
          <t>estimación del kit</t>
        </is>
      </c>
    </row>
    <row r="32">
      <c r="A32" s="4" t="inlineStr">
        <is>
          <t>INGREDIENTE (en unidades)</t>
        </is>
      </c>
      <c r="B32" s="4" t="inlineStr">
        <is>
          <t>€/ud sin IVA</t>
        </is>
      </c>
      <c r="C32" s="4" t="inlineStr">
        <is>
          <t>Unidad</t>
        </is>
      </c>
    </row>
    <row r="33">
      <c r="A33" s="5" t="inlineStr">
        <is>
          <t>Tortilla de maíz (€/ud)</t>
        </is>
      </c>
      <c r="B33" s="25">
        <f>IF($B$9="Tortilla comprada",'Tortilla'!$B$22,'Tortilla'!$B$26)</f>
        <v>0.14</v>
      </c>
      <c r="C33" s="5" t="inlineStr">
        <is>
          <t>ud</t>
        </is>
      </c>
      <c r="D33" s="30" t="n">
        <v>1</v>
      </c>
      <c r="E33" s="30" t="n">
        <v>1</v>
      </c>
      <c r="F33" s="30" t="n">
        <v>1</v>
      </c>
      <c r="G33" s="30" t="n">
        <v>1</v>
      </c>
      <c r="H33" s="30" t="n">
        <v>1</v>
      </c>
      <c r="I33" s="30" t="n">
        <v>1</v>
      </c>
      <c r="J33" s="30" t="n">
        <v>1</v>
      </c>
      <c r="K33" s="30" t="n">
        <v>1</v>
      </c>
      <c r="L33" s="30" t="n">
        <v>3</v>
      </c>
      <c r="M33" s="30" t="n">
        <v>0</v>
      </c>
      <c r="N33" s="31" t="inlineStr">
        <is>
          <t>enlazado desde la hoja Tortilla, según el modo elegido</t>
        </is>
      </c>
    </row>
    <row r="34">
      <c r="A34" s="5" t="inlineStr">
        <is>
          <t>Tortilla de harina (€/ud)</t>
        </is>
      </c>
      <c r="B34" s="32" t="n">
        <v>0.2</v>
      </c>
      <c r="C34" s="5" t="inlineStr">
        <is>
          <t>ud</t>
        </is>
      </c>
      <c r="D34" s="30" t="n">
        <v>0</v>
      </c>
      <c r="E34" s="30" t="n">
        <v>0</v>
      </c>
      <c r="F34" s="30" t="n">
        <v>0</v>
      </c>
      <c r="G34" s="30" t="n">
        <v>0</v>
      </c>
      <c r="H34" s="30" t="n">
        <v>0</v>
      </c>
      <c r="I34" s="30" t="n">
        <v>0</v>
      </c>
      <c r="J34" s="30" t="n">
        <v>0</v>
      </c>
      <c r="K34" s="30" t="n">
        <v>0</v>
      </c>
      <c r="L34" s="30" t="n">
        <v>0</v>
      </c>
      <c r="M34" s="30" t="n">
        <v>1</v>
      </c>
      <c r="N34" s="31" t="inlineStr">
        <is>
          <t>estimación del kit</t>
        </is>
      </c>
    </row>
    <row r="36" ht="32" customHeight="1">
      <c r="A36" s="4" t="inlineStr">
        <is>
          <t>RESULTADO POR PLATO (gramos y unidades en las columnas de arriba)</t>
        </is>
      </c>
      <c r="D36" s="3" t="str">
        <f>D13</f>
        <v>Taco al pastor</v>
      </c>
      <c r="E36" s="3" t="str">
        <f>E13</f>
        <v>Taco de carnitas</v>
      </c>
      <c r="F36" s="3" t="str">
        <f>F13</f>
        <v>Taco de suadero</v>
      </c>
      <c r="G36" s="3" t="str">
        <f>G13</f>
        <v>Taco de cochinita</v>
      </c>
      <c r="H36" s="3" t="str">
        <f>H13</f>
        <v>Taco de barbacoa</v>
      </c>
      <c r="I36" s="3" t="str">
        <f>I13</f>
        <v>Taco de tinga</v>
      </c>
      <c r="J36" s="3" t="str">
        <f>J13</f>
        <v>Taco campechano</v>
      </c>
      <c r="K36" s="3" t="str">
        <f>K13</f>
        <v>Taco vegetal</v>
      </c>
      <c r="L36" s="3" t="str">
        <f>L13</f>
        <v>Orden de 3 al pastor</v>
      </c>
      <c r="M36" s="3" t="str">
        <f>M13</f>
        <v>Gringa al pastor</v>
      </c>
    </row>
    <row r="37">
      <c r="A37" s="5" t="inlineStr">
        <is>
          <t>Peso servido en el plato, sin tortilla (g)</t>
        </is>
      </c>
      <c r="D37" s="11">
        <f>SUM(D$15:D$31)</f>
        <v>76.0</v>
      </c>
      <c r="E37" s="11">
        <f>SUM(E$15:E$31)</f>
        <v>68.0</v>
      </c>
      <c r="F37" s="11">
        <f>SUM(F$15:F$31)</f>
        <v>68.0</v>
      </c>
      <c r="G37" s="11">
        <f>SUM(G$15:G$31)</f>
        <v>65.0</v>
      </c>
      <c r="H37" s="11">
        <f>SUM(H$15:H$31)</f>
        <v>68.0</v>
      </c>
      <c r="I37" s="11">
        <f>SUM(I$15:I$31)</f>
        <v>65.0</v>
      </c>
      <c r="J37" s="11">
        <f>SUM(J$15:J$31)</f>
        <v>68.0</v>
      </c>
      <c r="K37" s="11">
        <f>SUM(K$15:K$31)</f>
        <v>108.0</v>
      </c>
      <c r="L37" s="11">
        <f>SUM(L$15:L$31)</f>
        <v>228.0</v>
      </c>
      <c r="M37" s="11">
        <f>SUM(M$15:M$31)</f>
        <v>178.0</v>
      </c>
    </row>
    <row r="38">
      <c r="A38" s="5" t="inlineStr">
        <is>
          <t>Coste de materia prima (€)</t>
        </is>
      </c>
      <c r="D38" s="25">
        <f>SUMPRODUCT(D$15:D$31,$B$15:$B$31)/'Trompo'!$B$18+SUMPRODUCT(D$33:D$34,$B$33:$B$34)</f>
        <v>0.5844938271604938</v>
      </c>
      <c r="E38" s="25">
        <f>SUMPRODUCT(E$15:E$31,$B$15:$B$31)/'Trompo'!$B$18+SUMPRODUCT(E$33:E$34,$B$33:$B$34)</f>
        <v>0.5488333333333334</v>
      </c>
      <c r="F38" s="25">
        <f>SUMPRODUCT(F$15:F$31,$B$15:$B$31)/'Trompo'!$B$18+SUMPRODUCT(F$33:F$34,$B$33:$B$34)</f>
        <v>0.7467727272727273</v>
      </c>
      <c r="G38" s="25">
        <f>SUMPRODUCT(G$15:G$31,$B$15:$B$31)/'Trompo'!$B$18+SUMPRODUCT(G$33:G$34,$B$33:$B$34)</f>
        <v>0.5611666666666668</v>
      </c>
      <c r="H38" s="25">
        <f>SUMPRODUCT(H$15:H$31,$B$15:$B$31)/'Trompo'!$B$18+SUMPRODUCT(H$33:H$34,$B$33:$B$34)</f>
        <v>0.7905</v>
      </c>
      <c r="I38" s="25">
        <f>SUMPRODUCT(I$15:I$31,$B$15:$B$31)/'Trompo'!$B$18+SUMPRODUCT(I$33:I$34,$B$33:$B$34)</f>
        <v>0.5093846153846153</v>
      </c>
      <c r="J38" s="25">
        <f>SUMPRODUCT(J$15:J$31,$B$15:$B$31)/'Trompo'!$B$18+SUMPRODUCT(J$33:J$34,$B$33:$B$34)</f>
        <v>0.6909545454545455</v>
      </c>
      <c r="K38" s="25">
        <f>SUMPRODUCT(K$15:K$31,$B$15:$B$31)/'Trompo'!$B$18+SUMPRODUCT(K$33:K$34,$B$33:$B$34)</f>
        <v>0.8095</v>
      </c>
      <c r="L38" s="25">
        <f>SUMPRODUCT(L$15:L$31,$B$15:$B$31)/'Trompo'!$B$18+SUMPRODUCT(L$33:L$34,$B$33:$B$34)</f>
        <v>1.7534814814814816</v>
      </c>
      <c r="M38" s="25">
        <f>SUMPRODUCT(M$15:M$31,$B$15:$B$31)/'Trompo'!$B$18+SUMPRODUCT(M$33:M$34,$B$33:$B$34)</f>
        <v>1.4939876543209876</v>
      </c>
    </row>
    <row r="39">
      <c r="A39" s="13" t="inlineStr">
        <is>
          <t>COSTE CON MERMA (€)</t>
        </is>
      </c>
      <c r="D39" s="19">
        <f>D38*(1+$B$8)</f>
        <v>0.6137185185185186</v>
      </c>
      <c r="E39" s="19">
        <f>E38*(1+$B$8)</f>
        <v>0.5762750000000001</v>
      </c>
      <c r="F39" s="19">
        <f>F38*(1+$B$8)</f>
        <v>0.7841113636363637</v>
      </c>
      <c r="G39" s="19">
        <f>G38*(1+$B$8)</f>
        <v>0.5892250000000002</v>
      </c>
      <c r="H39" s="19">
        <f>H38*(1+$B$8)</f>
        <v>0.830025</v>
      </c>
      <c r="I39" s="19">
        <f>I38*(1+$B$8)</f>
        <v>0.5348538461538461</v>
      </c>
      <c r="J39" s="19">
        <f>J38*(1+$B$8)</f>
        <v>0.7255022727272727</v>
      </c>
      <c r="K39" s="19">
        <f>K38*(1+$B$8)</f>
        <v>0.849975</v>
      </c>
      <c r="L39" s="19">
        <f>L38*(1+$B$8)</f>
        <v>1.8411555555555559</v>
      </c>
      <c r="M39" s="19">
        <f>M38*(1+$B$8)</f>
        <v>1.568687037037037</v>
      </c>
    </row>
    <row r="40">
      <c r="A40" s="5" t="inlineStr">
        <is>
          <t>Precio de venta sin IVA (€)</t>
        </is>
      </c>
      <c r="D40" s="17">
        <f>D14/(1+$B$5)</f>
        <v>2.727272727272727</v>
      </c>
      <c r="E40" s="17">
        <f>E14/(1+$B$5)</f>
        <v>2.727272727272727</v>
      </c>
      <c r="F40" s="17">
        <f>F14/(1+$B$5)</f>
        <v>2.727272727272727</v>
      </c>
      <c r="G40" s="17">
        <f>G14/(1+$B$5)</f>
        <v>3.1818181818181817</v>
      </c>
      <c r="H40" s="17">
        <f>H14/(1+$B$5)</f>
        <v>3.1818181818181817</v>
      </c>
      <c r="I40" s="17">
        <f>I14/(1+$B$5)</f>
        <v>2.727272727272727</v>
      </c>
      <c r="J40" s="17">
        <f>J14/(1+$B$5)</f>
        <v>3.1818181818181817</v>
      </c>
      <c r="K40" s="17">
        <f>K14/(1+$B$5)</f>
        <v>3.1818181818181817</v>
      </c>
      <c r="L40" s="17">
        <f>L14/(1+$B$5)</f>
        <v>7.727272727272727</v>
      </c>
      <c r="M40" s="17">
        <f>M14/(1+$B$5)</f>
        <v>6.8181818181818175</v>
      </c>
    </row>
    <row r="41">
      <c r="A41" s="13" t="inlineStr">
        <is>
          <t>FOOD COST (%)</t>
        </is>
      </c>
      <c r="D41" s="14">
        <f>D39/D40</f>
        <v>0.22503012345679016</v>
      </c>
      <c r="E41" s="14">
        <f>E39/E40</f>
        <v>0.21130083333333338</v>
      </c>
      <c r="F41" s="14">
        <f>F39/F40</f>
        <v>0.2875075</v>
      </c>
      <c r="G41" s="14">
        <f>G39/G40</f>
        <v>0.18518500000000007</v>
      </c>
      <c r="H41" s="14">
        <f>H39/H40</f>
        <v>0.260865</v>
      </c>
      <c r="I41" s="14">
        <f>I39/I40</f>
        <v>0.19611307692307692</v>
      </c>
      <c r="J41" s="14">
        <f>J39/J40</f>
        <v>0.22801500000000002</v>
      </c>
      <c r="K41" s="14">
        <f>K39/K40</f>
        <v>0.267135</v>
      </c>
      <c r="L41" s="14">
        <f>L39/L40</f>
        <v>0.23826718954248371</v>
      </c>
      <c r="M41" s="14">
        <f>M39/M40</f>
        <v>0.2300740987654321</v>
      </c>
    </row>
    <row r="42" ht="32" customHeight="1">
      <c r="A42" s="5" t="inlineStr">
        <is>
          <t>Semáforo contra el objetivo</t>
        </is>
      </c>
      <c r="D42" s="2" t="str">
        <f>IF(D41&lt;=$B$6,"En objetivo",IF(D41&lt;=$B$6+$B$7,"Vigila el coste","Por encima del objetivo"))</f>
        <v>En objetivo</v>
      </c>
      <c r="E42" s="2" t="str">
        <f>IF(E41&lt;=$B$6,"En objetivo",IF(E41&lt;=$B$6+$B$7,"Vigila el coste","Por encima del objetivo"))</f>
        <v>En objetivo</v>
      </c>
      <c r="F42" s="2" t="str">
        <f>IF(F41&lt;=$B$6,"En objetivo",IF(F41&lt;=$B$6+$B$7,"Vigila el coste","Por encima del objetivo"))</f>
        <v>Vigila el coste</v>
      </c>
      <c r="G42" s="2" t="str">
        <f>IF(G41&lt;=$B$6,"En objetivo",IF(G41&lt;=$B$6+$B$7,"Vigila el coste","Por encima del objetivo"))</f>
        <v>En objetivo</v>
      </c>
      <c r="H42" s="2" t="str">
        <f>IF(H41&lt;=$B$6,"En objetivo",IF(H41&lt;=$B$6+$B$7,"Vigila el coste","Por encima del objetivo"))</f>
        <v>Vigila el coste</v>
      </c>
      <c r="I42" s="2" t="str">
        <f>IF(I41&lt;=$B$6,"En objetivo",IF(I41&lt;=$B$6+$B$7,"Vigila el coste","Por encima del objetivo"))</f>
        <v>En objetivo</v>
      </c>
      <c r="J42" s="2" t="str">
        <f>IF(J41&lt;=$B$6,"En objetivo",IF(J41&lt;=$B$6+$B$7,"Vigila el coste","Por encima del objetivo"))</f>
        <v>En objetivo</v>
      </c>
      <c r="K42" s="2" t="str">
        <f>IF(K41&lt;=$B$6,"En objetivo",IF(K41&lt;=$B$6+$B$7,"Vigila el coste","Por encima del objetivo"))</f>
        <v>Vigila el coste</v>
      </c>
      <c r="L42" s="2" t="str">
        <f>IF(L41&lt;=$B$6,"En objetivo",IF(L41&lt;=$B$6+$B$7,"Vigila el coste","Por encima del objetivo"))</f>
        <v>En objetivo</v>
      </c>
      <c r="M42" s="2" t="str">
        <f>IF(M41&lt;=$B$6,"En objetivo",IF(M41&lt;=$B$6+$B$7,"Vigila el coste","Por encima del objetivo"))</f>
        <v>En objetivo</v>
      </c>
    </row>
    <row r="43">
      <c r="A43" s="5" t="inlineStr">
        <is>
          <t>Margen bruto (€, precio sin IVA − coste)</t>
        </is>
      </c>
      <c r="D43" s="17">
        <f>D40-D39</f>
        <v>2.1135542087542083</v>
      </c>
      <c r="E43" s="17">
        <f>E40-E39</f>
        <v>2.1509977272727268</v>
      </c>
      <c r="F43" s="17">
        <f>F40-F39</f>
        <v>1.9431613636363634</v>
      </c>
      <c r="G43" s="17">
        <f>G40-G39</f>
        <v>2.5925931818181813</v>
      </c>
      <c r="H43" s="17">
        <f>H40-H39</f>
        <v>2.3517931818181816</v>
      </c>
      <c r="I43" s="17">
        <f>I40-I39</f>
        <v>2.192418881118881</v>
      </c>
      <c r="J43" s="17">
        <f>J40-J39</f>
        <v>2.456315909090909</v>
      </c>
      <c r="K43" s="17">
        <f>K40-K39</f>
        <v>2.3318431818181815</v>
      </c>
      <c r="L43" s="17">
        <f>L40-L39</f>
        <v>5.886117171717171</v>
      </c>
      <c r="M43" s="17">
        <f>M40-M39</f>
        <v>5.24949478114478</v>
      </c>
    </row>
    <row r="44">
      <c r="A44" s="5" t="inlineStr">
        <is>
          <t>PVP con IVA sugerido para llegar al objetivo (€)</t>
        </is>
      </c>
      <c r="D44" s="17">
        <f>D39/$B$6*(1+$B$5)</f>
        <v>2.700361481481482</v>
      </c>
      <c r="E44" s="17">
        <f>E39/$B$6*(1+$B$5)</f>
        <v>2.5356100000000006</v>
      </c>
      <c r="F44" s="17">
        <f>F39/$B$6*(1+$B$5)</f>
        <v>3.4500900000000003</v>
      </c>
      <c r="G44" s="17">
        <f>G39/$B$6*(1+$B$5)</f>
        <v>2.5925900000000013</v>
      </c>
      <c r="H44" s="17">
        <f>H39/$B$6*(1+$B$5)</f>
        <v>3.6521100000000004</v>
      </c>
      <c r="I44" s="17">
        <f>I39/$B$6*(1+$B$5)</f>
        <v>2.353356923076923</v>
      </c>
      <c r="J44" s="17">
        <f>J39/$B$6*(1+$B$5)</f>
        <v>3.19221</v>
      </c>
      <c r="K44" s="17">
        <f>K39/$B$6*(1+$B$5)</f>
        <v>3.7398900000000004</v>
      </c>
      <c r="L44" s="17">
        <f>L39/$B$6*(1+$B$5)</f>
        <v>8.101084444444446</v>
      </c>
      <c r="M44" s="17">
        <f>M39/$B$6*(1+$B$5)</f>
        <v>6.902222962962963</v>
      </c>
    </row>
    <row r="46" ht="32" customHeight="1">
      <c r="A46" s="4" t="inlineStr">
        <is>
          <t>MARGEN POR CANAL (orden y gringa)</t>
        </is>
      </c>
      <c r="D46" s="3" t="str">
        <f>L13</f>
        <v>Orden de 3 al pastor</v>
      </c>
      <c r="E46" s="3" t="str">
        <f>M13</f>
        <v>Gringa al pastor</v>
      </c>
    </row>
    <row r="47">
      <c r="A47" s="5" t="inlineStr">
        <is>
          <t>Sala: margen (€)</t>
        </is>
      </c>
      <c r="D47" s="17">
        <f>L43</f>
        <v>5.886117171717171</v>
      </c>
      <c r="E47" s="17">
        <f>M43</f>
        <v>5.24949478114478</v>
      </c>
    </row>
    <row r="48">
      <c r="A48" s="5" t="inlineStr">
        <is>
          <t>Sala: margen (%)</t>
        </is>
      </c>
      <c r="D48" s="33">
        <f>D47/L40</f>
        <v>0.7617328104575163</v>
      </c>
      <c r="E48" s="33">
        <f>E47/M40</f>
        <v>0.7699259012345678</v>
      </c>
    </row>
    <row r="49">
      <c r="A49" s="5" t="inlineStr">
        <is>
          <t>Para llevar: margen (€, descontado el envase)</t>
        </is>
      </c>
      <c r="D49" s="17">
        <f>D47-$B$10</f>
        <v>5.386117171717171</v>
      </c>
      <c r="E49" s="17">
        <f>E47-$B$10</f>
        <v>4.74949478114478</v>
      </c>
    </row>
    <row r="50">
      <c r="A50" s="5" t="inlineStr">
        <is>
          <t>Para llevar: margen (%)</t>
        </is>
      </c>
      <c r="D50" s="33">
        <f>D49/L40</f>
        <v>0.6970269281045751</v>
      </c>
      <c r="E50" s="33">
        <f>E49/M40</f>
        <v>0.6965925679012345</v>
      </c>
    </row>
    <row r="51">
      <c r="A51" s="13" t="inlineStr">
        <is>
          <t>Plataforma: margen (€, descontados envase y comisión)</t>
        </is>
      </c>
      <c r="D51" s="18">
        <f>D49-$B$11*L40</f>
        <v>3.067935353535353</v>
      </c>
      <c r="E51" s="18">
        <f>E49-$B$11*M40</f>
        <v>2.7040402356902353</v>
      </c>
    </row>
    <row r="52">
      <c r="A52" s="13" t="inlineStr">
        <is>
          <t>Plataforma: margen (%)</t>
        </is>
      </c>
      <c r="D52" s="14">
        <f>D51/L40</f>
        <v>0.3970269281045751</v>
      </c>
      <c r="E52" s="14">
        <f>E51/M40</f>
        <v>0.39659256790123454</v>
      </c>
    </row>
    <row r="54" ht="48" customHeight="1">
      <c r="A54" s="23" t="inlineStr">
        <is>
          <t>El food cost de la tabla es el del plato servido en sala. Para llevar se descuenta el envase del pedido; en plataforma, además, la comisión sobre el precio sin IVA. Si en la plataforma el margen se queda corto, sube el precio allí o vende la orden «para armar» (tortillas aparte), que aguanta mejor el viaje. Las bebidas no están en este escandallo.</t>
        </is>
      </c>
    </row>
  </sheetData>
  <sheetProtection selectLockedCells="0" selectUnlockedCells="0" sheet="1" objects="0" insertRows="1" insertHyperlinks="1" autoFilter="1" scenarios="0" formatColumns="1" deleteColumns="1" insertColumns="1" pivotTables="1" deleteRows="1" formatCells="1" formatRows="1" sort="1"/>
  <mergeCells count="9">
    <mergeCell ref="D8:N8"/>
    <mergeCell ref="D6:N6"/>
    <mergeCell ref="D7:N7"/>
    <mergeCell ref="A2:N2"/>
    <mergeCell ref="A54:N54"/>
    <mergeCell ref="D11:N11"/>
    <mergeCell ref="D10:N10"/>
    <mergeCell ref="D5:N5"/>
    <mergeCell ref="D9:N9"/>
  </mergeCells>
  <conditionalFormatting sqref="D42:M42">
    <cfRule type="expression" priority="1" dxfId="0">
      <formula>D42="En objetivo"</formula>
    </cfRule>
    <cfRule type="expression" priority="2" dxfId="1">
      <formula>D42="Vigila el coste"</formula>
    </cfRule>
    <cfRule type="expression" priority="3" dxfId="2">
      <formula>D42="Por encima del objetivo"</formula>
    </cfRule>
  </conditionalFormatting>
  <dataValidations count="4">
    <dataValidation sqref="B5 B7 B8 B11" showDropDown="0" showInputMessage="0" showErrorMessage="1" allowBlank="0" errorTitle="Porcentaje no válido" error="Escribe un porcentaje entre 0 y 0,9 (0,1 = 10 %)." type="decimal" operator="between">
      <formula1>0</formula1>
      <formula2>0.9</formula2>
    </dataValidation>
    <dataValidation sqref="B6" showDropDown="0" showInputMessage="0" showErrorMessage="1" allowBlank="0" errorTitle="Objetivo no válido" error="El objetivo no puede ser 0 (se divide entre él): escribe entre 0,01 y 0,9." type="decimal" operator="between">
      <formula1>0.01</formula1>
      <formula2>0.9</formula2>
    </dataValidation>
    <dataValidation sqref="B10 B22 B23 B24 B25 B26 B27 B28 B29 B30 B31 B34 D14 D15 D16 D17 D18 D19 D20 D21 D22 D23 D24 D25 D26 D27 D28 D29 D30 D31 D33 D34 E14 E15 E16 E17 E18 E19 E20 E21 E22 E23 E24 E25 E26 E27 E28 E29 E30 E31 E33 E34 F14 F15 F16 F17 F18 F19 F20 F21 F22 F23 F24 F25 F26 F27 F28 F29 F30 F31 F33 F34 G14 G15 G16 G17 G18 G19 G20 G21 G22 G23 G24 G25 G26 G27 G28 G29 G30 G31 G33 G34 H14 H15 H16 H17 H18 H19 H20 H21 H22 H23 H24 H25 H26 H27 H28 H29 H30 H31 H33 H34 I14 I15 I16 I17 I18 I19 I20 I21 I22 I23 I24 I25 I26 I27 I28 I29 I30 I31 I33 I34 J14 J15 J16 J17 J18 J19 J20 J21 J22 J23 J24 J25 J26 J27 J28 J29 J30 J31 J33 J34 K14 K15 K16 K17 K18 K19 K20 K21 K22 K23 K24 K25 K26 K27 K28 K29 K30 K31 K33 K34 L14 L15 L16 L17 L18 L19 L20 L21 L22 L23 L24 L25 L26 L27 L28 L29 L30 L31 L33 L34 M14 M15 M16 M17 M18 M19 M20 M21 M22 M23 M24 M25 M26 M27 M28 M29 M30 M31 M33 M34" showDropDown="0" showInputMessage="0" showErrorMessage="1" allowBlank="0" errorTitle="Importe no válido" error="Escribe un número mayor o igual que 0." type="decimal" operator="greaterThanOrEqual">
      <formula1>0</formula1>
    </dataValidation>
    <dataValidation sqref="B9" showDropDown="0" showInputMessage="0" showErrorMessage="1" allowBlank="0" errorTitle="Opción no válida" error="Elige una opción de la lista." type="list">
      <formula1>"Tortilla comprada,Nixtamal propio"</formula1>
    </dataValidation>
  </dataValidations>
  <printOptions horizontalCentered="1"/>
  <pageMargins left="0.75" right="0.75" top="1" bottom="1" header="0.5" footer="0.5"/>
  <pageSetup orientation="landscape" paperSize="9" fitToHeight="0" fitToWidth="1"/>
  <headerFooter>
    <oddHeader/>
    <oddFooter>&amp;Caichef.pro/plan-negocio-taqueria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28"/>
  <sheetViews>
    <sheetView showGridLines="0" workbookViewId="0">
      <selection activeCell="A1" sqref="A1"/>
    </sheetView>
  </sheetViews>
  <sheetFormatPr baseColWidth="8" defaultRowHeight="15"/>
  <cols>
    <col width="110" customWidth="1" min="1" max="1"/>
  </cols>
  <sheetData>
    <row r="1">
      <c r="A1" s="34" t="inlineStr">
        <is>
          <t>INSTRUCCIONES DE USO — Calculadora del trompo y escandallo por taco</t>
        </is>
      </c>
    </row>
    <row r="2" ht="60" customHeight="1">
      <c r="A2" s="2" t="inlineStr">
        <is>
          <t>Tres herramientas en un libro: la hoja «Trompo» te dice cuántos tacos salen de un cono al pastor y cuánto cuesta la carne de cada uno; la hoja «Tortilla» compara comprar la tortilla con hacerla tú y te da el equilibrio en tortillas al día; la hoja «Escandallo» calcula el coste, el food cost, el margen y el precio de carta de 8 tacos, una orden de 3 y una gringa, con el margen en sala, para llevar y en plataforma. Solo se escribe en las celdas VERDES; lo demás se calcula.</t>
        </is>
      </c>
    </row>
    <row r="3" ht="30" customHeight="1">
      <c r="A3" s="2" t="inlineStr">
        <is>
          <t>Todos los valores por defecto son una estimación del kit, editable: son ejemplos coherentes con el caso del plan de negocio, no precios de nadie. Cámbialos por los de tu proveedor y por lo que midas en tu cocina antes de decidir precios.</t>
        </is>
      </c>
    </row>
    <row r="4">
      <c r="A4" s="26" t="inlineStr">
        <is>
          <t>HOJA «TROMPO»</t>
        </is>
      </c>
    </row>
    <row r="6" ht="45" customHeight="1">
      <c r="A6" s="2" t="inlineStr">
        <is>
          <t>1. Cómo medir el cono. Pesa la carne cruda que montas en el trompo (antes del adobo) y apunta los kilos. Al cerrar, pesa lo que sobra del cono ya cocinado y anota a dónde va: se reaprovecha en un guiso o se tira. Con esos tres datos y los tacos que vendiste, la hoja te da el rendimiento real.</t>
        </is>
      </c>
    </row>
    <row r="7" ht="45" customHeight="1">
      <c r="A7" s="2" t="inlineStr">
        <is>
          <t>2. Cómo ajustar la merma. La merma de cocción y goteo de 35 % es una estimación del kit, sin fuente publicada. Mide tu primer cono: tacos servidos × gramos por taco ÷ 1.000 son los kilos servidos. Mueve la merma hasta que el rendimiento de la hoja coincida con el tuyo.</t>
        </is>
      </c>
    </row>
    <row r="8" ht="45" customHeight="1">
      <c r="A8" s="2" t="inlineStr">
        <is>
          <t>3. El resultado más útil es el coste por kg servido y el coste de carne por taco, que alimentan el escandallo. Compara tus tacos por kg crudo con la referencia de un puesto de la Ciudad de México, unos 25 por kg (Milenio). Si sirves más gramos, saldrán menos tacos.</t>
        </is>
      </c>
    </row>
    <row r="9" ht="30" customHeight="1">
      <c r="A9" s="2" t="inlineStr">
        <is>
          <t>4. «Carne cruda para los N tacos» te dice cuánta carne montar para un pedido grande. Las otras proteínas (carnitas, suadero, cochinita, barbacoa, tinga y campechano) usan su propio rendimiento tras la cocción, más bajo que el del cono.</t>
        </is>
      </c>
    </row>
    <row r="10" ht="45" customHeight="1">
      <c r="A10" s="2" t="inlineStr">
        <is>
          <t>5. Seguridad alimentaria. El cono montado y adobado es un preparado de carne: manténlo a 4 °C como máximo hasta que entre al asador, mide con sonda y registra la temperatura en tu plan de APPCC. Pregunta a tu ayuntamiento y a tu comunidad por lo que exigen en tu zona.</t>
        </is>
      </c>
    </row>
    <row r="11">
      <c r="A11" s="26" t="inlineStr">
        <is>
          <t>HOJA «TORTILLA»</t>
        </is>
      </c>
    </row>
    <row r="13" ht="30" customHeight="1">
      <c r="A13" s="2" t="inlineStr">
        <is>
          <t>1. Escribe el precio del paquete, las piezas y el peso de cada tortilla, y los datos del nixtamal propio. Las tortillas por kg comprado son lo que necesitas para pedir al proveedor.</t>
        </is>
      </c>
    </row>
    <row r="14" ht="30" customHeight="1">
      <c r="A14" s="2" t="inlineStr">
        <is>
          <t>2. El equilibrio es el número de tortillas al día a partir del cual hacerlas compensa, contando a la persona que las hace y la inversión. Si gastas menos, compra. Con tu cifra de tortillas al día, la hoja te dice qué te conviene.</t>
        </is>
      </c>
    </row>
    <row r="15">
      <c r="A15" s="26" t="inlineStr">
        <is>
          <t>HOJA «ESCANDALLO»</t>
        </is>
      </c>
    </row>
    <row r="17" ht="30" customHeight="1">
      <c r="A17" s="2" t="inlineStr">
        <is>
          <t>1. Escribe el IVA (10 %), el food cost objetivo, el margen de vigilancia, la merma, el envase y la comisión de la plataforma, y elige si la tortilla de maíz es comprada o de nixtamal propio.</t>
        </is>
      </c>
    </row>
    <row r="18" ht="45" customHeight="1">
      <c r="A18" s="2" t="inlineStr">
        <is>
          <t>2. En la tabla, cada fila es un ingrediente con su precio por kilo sin IVA (o por unidad, en las tortillas). Los gramos de cada plato van en su columna; puedes cambiar los nombres, los gramos y los precios de carta. Las carnes toman su precio de la hoja «Trompo».</t>
        </is>
      </c>
    </row>
    <row r="19" ht="45" customHeight="1">
      <c r="A19" s="2" t="inlineStr">
        <is>
          <t>3. Para cada plato ves el coste con merma, el precio sin IVA, el food cost con semáforo, el margen y el precio de carta con IVA que necesitarías para llegar a tu objetivo. Abajo, el margen de la orden y de la gringa en sala, para llevar y en plataforma.</t>
        </is>
      </c>
    </row>
    <row r="20">
      <c r="A20" s="26" t="inlineStr">
        <is>
          <t>PRECIOS, IVA Y FUENTES</t>
        </is>
      </c>
    </row>
    <row r="22" ht="45" customHeight="1">
      <c r="A22" s="2" t="inlineStr">
        <is>
          <t>El IVA de la comida preparada para consumir en el local, para llevar o a domicilio es el 10 % (Ley 37/1992, art. 91.Uno.1.1.º y 2.2.º). Las bebidas alcohólicas y las aguas frescas o refrescos con azúcares o edulcorantes añadidos que salen del local llevan el 21 % y no están en este escandallo.</t>
        </is>
      </c>
    </row>
    <row r="23" ht="45" customHeight="1">
      <c r="A23" s="2" t="inlineStr">
        <is>
          <t>Los precios y rendimientos salen del estudio de mercado del kit (octubre 2026) y de estimaciones del kit; la referencia de tacos por kg viene de Milenio. Ninguna cifra de esta calculadora es un dato publicado de tu negocio: sustitúyelas por las tuyas.</t>
        </is>
      </c>
    </row>
    <row r="25">
      <c r="A25" s="2" t="inlineStr">
        <is>
          <t>Para editar una celda que no esté en verde: Revisar → Desproteger hoja (no tiene contraseña).</t>
        </is>
      </c>
    </row>
    <row r="26">
      <c r="A26" s="2" t="inlineStr">
        <is>
          <t>Más plantillas y kits del catálogo en aichef.pro/productos-digitales</t>
        </is>
      </c>
    </row>
    <row r="27">
      <c r="A27" s="2" t="inlineStr">
        <is>
          <t>Diseñado por John Guerrero — chef y consultor gastronómico desde 2010, en cocina desde los 17 años · johnguerrero.es</t>
        </is>
      </c>
    </row>
    <row r="28">
      <c r="A28" s="2" t="inlineStr">
        <is>
          <t>Versión 1.0 · noviembre 2026 · aichef.pro/plan-negocio-taqueria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&amp;Caichef.pro/plan-negocio-taqueria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del trompo y escandallo por taco · v1.0</dc:title>
  <dc:description xmlns:dc="http://purl.org/dc/elements/1.1/">aichef.pro/plan-negocio-taqueria</dc:description>
  <dc:subject xmlns:dc="http://purl.org/dc/elements/1.1/">Plan de Negocio: Taquería</dc:subject>
  <dcterms:created xmlns:dcterms="http://purl.org/dc/terms/" xmlns:xsi="http://www.w3.org/2001/XMLSchema-instance" xsi:type="dcterms:W3CDTF">2026-10-29T06:49:05Z</dcterms:created>
  <dcterms:modified xmlns:dcterms="http://purl.org/dc/terms/" xmlns:xsi="http://www.w3.org/2001/XMLSchema-instance" xsi:type="dcterms:W3CDTF">2026-10-29T06:49:05Z</dcterms:modified>
  <cp:lastModifiedBy>AI Chef Pro</cp:lastModifiedBy>
  <cp:keywords>plan negocio taquería, calculadora trompo al pastor, escandallo taco, AI Chef Pro</cp:keywords>
</cp:coreProperties>
</file>