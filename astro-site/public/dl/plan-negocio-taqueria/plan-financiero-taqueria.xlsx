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77</v>
      </c>
      <c r="C4" t="inlineStr">
        <is>
          <t>Comensales equivalentes al día, media del año: unos 57 en sala (la terraza incluida de abril a octubre) y unos 20 de para llevar y domicilio, que son los pedidos (unos 15 al día de unos 20,50 € sin IVA) divididos por el ticket. Un sábado, unos 125 con los pedidos; un martes, unos 55. Contrástalo con el paso de gente de tu calle un viernes por la noche y un martes a mediodía</t>
        </is>
      </c>
    </row>
    <row r="5">
      <c r="A5" t="inlineStr">
        <is>
          <t>Ticket medio SIN IVA (€)</t>
        </is>
      </c>
      <c r="B5" s="63" t="n">
        <v>15.5</v>
      </c>
      <c r="C5" t="inlineStr">
        <is>
          <t>SIN IVA, por comensal: una orden de 3 tacos (8,50 € con IVA), medio taco suelto, algo de gringa o quesadilla, algún entrante, 1,1 bebidas y algún postre suman unos 17,40 € con IVA en sala; el caso se queda en 15,50 € sin IVA por los combos de mediodía. El taco al pastor del caso cuesta 3,00 € con IVA, dentro de la franja de 2,50-3,50 € de las taquerías casuales de ciudad (cartas leídas en octubre de 2026). El precio con IVA está en la fila «PVP equivalente con IVA» de abajo</t>
        </is>
      </c>
    </row>
    <row r="6">
      <c r="A6" t="inlineStr">
        <is>
          <t>Días de apertura al año</t>
        </is>
      </c>
      <c r="B6" s="18" t="n">
        <v>300</v>
      </c>
      <c r="C6" t="inlineStr">
        <is>
          <t>365 días menos los 52 lunes de cierre, 12 días de cierre en enero (mantenimiento y vacaciones) y el 25 de diciembre. Es el MISMO dato para la cuenta de resultados, el punto de equilibrio, los escenarios y las horas de personal</t>
        </is>
      </c>
    </row>
    <row r="7">
      <c r="A7" t="inlineStr">
        <is>
          <t>Crecimiento de volumen del año 2</t>
        </is>
      </c>
      <c r="B7" s="64" t="n">
        <v>0.06</v>
      </c>
      <c r="C7" t="inlineStr">
        <is>
          <t>Clientela que repite y más pedidos para llevar el segundo año. Se aplica a los comensales con el mismo ticket; el personal NO sube con este porcentaje: sale de la hoja Personal</t>
        </is>
      </c>
    </row>
    <row r="8">
      <c r="A8" t="inlineStr">
        <is>
          <t>Crecimiento de volumen del año 3</t>
        </is>
      </c>
      <c r="B8" s="64" t="n">
        <v>0.04</v>
      </c>
      <c r="C8" t="inlineStr">
        <is>
          <t>Sobre el año 2. Conservador: el techo lo ponen el trompo, la plancha y las 32 plazas los viernes y los sábados por la noche</t>
        </is>
      </c>
    </row>
    <row r="9">
      <c r="A9" t="inlineStr">
        <is>
          <t>PVP equivalente con IVA (calculado)</t>
        </is>
      </c>
      <c r="B9" s="65">
        <f>IFERROR(IF($B$5="","",$B$5*(1+SUMPRODUCT('PyG 3 Años'!$E$10:$E$11,'PyG 3 Años'!$G$10:$G$11))),"")</f>
        <v>17.075575</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0.19999999999999996</v>
      </c>
      <c r="C12" t="inlineStr">
        <is>
          <t>Se calcula como el resto: comida + bebida = 100 %</t>
        </is>
      </c>
    </row>
    <row r="13">
      <c r="A13" t="inlineStr">
        <is>
          <t>Coste de mercancía sobre las ventas de COMIDA</t>
        </is>
      </c>
      <c r="B13" s="64" t="n">
        <v>0.27</v>
      </c>
      <c r="C13" t="inlineStr">
        <is>
          <t>Materia prima de la comida sobre sus ventas: el taco al pastor sale a un 22,5 % (un 24 % en la orden de 3), las carnitas, el suadero y la barbacoa a un 26-30 %, la gringa a un 23 % y el guacamole a un 22-28 % según el aguacate: un 25 % de media, más 1,5 puntos de merma (el sobrante del trompo y las salsas crudas que se tiran) y medio punto de prudencia, porque la carne y la tortilla son precios estimados por el kit. Escandalla cada taco con la calculadora del pack</t>
        </is>
      </c>
    </row>
    <row r="14">
      <c r="A14" t="inlineStr">
        <is>
          <t>Coste de mercancía sobre las ventas de BEBIDA</t>
        </is>
      </c>
      <c r="B14" s="64" t="n">
        <v>0.26</v>
      </c>
      <c r="C14" t="inlineStr">
        <is>
          <t>Aguas frescas al 12 %, cerveza mexicana al 33 %, mezcal y tequila al 28 % y refrescos y agua al 30 % de su precio de venta, en una mezcla de 30/45/10/15. Si la cervecera te cede el equipo de tiraje, pide el precio del barril por escrito</t>
        </is>
      </c>
    </row>
    <row r="15">
      <c r="A15" t="inlineStr">
        <is>
          <t>Consumibles sobre ventas</t>
        </is>
      </c>
      <c r="B15" s="64" t="n">
        <v>0.035</v>
      </c>
      <c r="C15" t="inlineStr">
        <is>
          <t>Envases para llevar y a domicilio, tarrinas de salsa, papel, servilletas, guantes y los envases para que el cliente se lleve lo que no consuma (Ley 1/2025, art. 8). El envase de plástico de un solo uso se cobra aparte en el tique (Ley 7/2022, art. 55)</t>
        </is>
      </c>
    </row>
    <row r="16">
      <c r="A16" t="inlineStr">
        <is>
          <t>Ventas por delivery sobre el total</t>
        </is>
      </c>
      <c r="B16" s="64" t="n">
        <v>0.12</v>
      </c>
      <c r="C16" t="inlineStr">
        <is>
          <t>Ventas por PLATAFORMA con su reparto (Glovo, Just Eat, Uber Eats) sobre el total. Lo que se recoge en el local NO paga comisión y no va aquí. La tortilla llega peor tras el viaje: la orden «para armar» lo aguanta, pero no subas de aquí sin probarlo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25 al 35 % con su reparto.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1450</v>
      </c>
      <c r="C24" t="inlineStr">
        <is>
          <t>Local de 80 m² con salida de humos a cubierta posible (es el filtro del local): sala de 45 m² con 24 plazas en mesa y 8 en barra, cocina de 20 m² a la vista con el trompo, la plancha y el comal, aseos (uno adaptado) y almacén, en una calle con paso cerca de una zona universitaria o de ocio de una ciudad media, sin traspaso: unos 18 €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850</v>
      </c>
      <c r="C26" t="inlineStr">
        <is>
          <t>Luz (frío, extracción, climatización y cafetera), el gas del trompo, la plancha, el comal y los fogones, y el agua. Pide el histórico del local</t>
        </is>
      </c>
    </row>
    <row r="27">
      <c r="A27" t="inlineStr">
        <is>
          <t>Seguros (€/año)</t>
        </is>
      </c>
      <c r="B27" s="23" t="n">
        <v>1400</v>
      </c>
      <c r="C27" t="inlineStr">
        <is>
          <t>Responsabilidad civil de al menos 300.000 € y multirriesgo con incendio y avería del frío. Dile a la aseguradora que trabajas con trompo, plancha y freidora a gas: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118000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frío y el equipo de cocina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conducto de humos y cocina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cae sobre los meses más flojos del año (enero y febrero)</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mezcal, el tequila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conducto de extracción hasta cubierta, instalación eléctrica, fontanería, gas, climatización, rótulo y fachada. Coeficientes de la tabla del art. 12.1 de la Ley del Impuesto sobre Sociedades: confírmalo con tu asesor</t>
        </is>
      </c>
    </row>
    <row r="45">
      <c r="A45" t="inlineStr">
        <is>
          <t>Vida útil de maquinaria y mobiliario (años)</t>
        </is>
      </c>
      <c r="B45" s="18" t="n">
        <v>10</v>
      </c>
      <c r="C45" t="inlineStr">
        <is>
          <t>Trompo, plancha y comal, freidora, campana extractora, frío, lavavajillas, barra,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2.40625</v>
      </c>
      <c r="C50" t="str">
        <f>IFERROR("Son "&amp;TEXT(INT(ROUND(B50,1)),"0")&amp;","&amp;TEXT(ROUND(MOD(ROUND(B50,1),1)*10,0),"0")&amp;" servicios por plaza y día sobre las "&amp;TEXT($B$51,"0")&amp;" plazas de la celda de arriba. Incluye a quien se lleva los tacos o los recibe en casa, que no ocupa mesa: la rotación real de tu sala es menor (en el caso, unos 57 comensales de sala, 1,8 por plaza y día).","")</f>
        <v>Son 2,4 servicios por plaza y día sobre las 32 plazas de la celda de arriba. Incluye a quien se lleva los tacos o los recibe en casa, que no ocupa mesa: la rotación real de tu sala es menor (en el caso, unos 57 comensales de sala, 1,8 por plaza y día).</v>
      </c>
    </row>
    <row r="51">
      <c r="A51" t="inlineStr">
        <is>
          <t>Aforo del local (plazas sentadas, sin la terraza)</t>
        </is>
      </c>
      <c r="B51" s="18" t="n">
        <v>32</v>
      </c>
      <c r="C51" t="inlineStr">
        <is>
          <t>Plazas interiores: 24 en mesa y 8 en barra. La terraza suma 16 plazas de abril a octubre, con su autorización municipal aparte, y quien se lleva los tacos o los recibe en casa no ocupa mesa: por eso la rotación de la fila de arriba es más alta que la real de tu sala</t>
        </is>
      </c>
    </row>
    <row r="52">
      <c r="A52" t="inlineStr">
        <is>
          <t>Actividad del mes 1 sobre la de crucero</t>
        </is>
      </c>
      <c r="B52" s="64" t="n">
        <v>0.75</v>
      </c>
      <c r="C52" t="inlineStr">
        <is>
          <t>Una taquería que abre trae curiosos el primer mes, pero la clientela fija tarda un trimestre: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 para llegar a la terraza de primavera con clientela</t>
        </is>
      </c>
    </row>
    <row r="54">
      <c r="A54" t="inlineStr">
        <is>
          <t>Meses de alquiler ANTES de abrir (obra y licencias)</t>
        </is>
      </c>
      <c r="B54" s="18" t="n">
        <v>2</v>
      </c>
      <c r="C54" t="inlineStr">
        <is>
          <t>Dos meses de renta antes de abrir: la obra, el conducto de humos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instalación de gas,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lo que se recoge en el local cobran al momento y la plataforma liquida cada 7-15 días lo que vende por ella (un 12 % de las ventas)</t>
        </is>
      </c>
    </row>
    <row r="59">
      <c r="A59" t="inlineStr">
        <is>
          <t>Días medios de pago a proveedor</t>
        </is>
      </c>
      <c r="B59" s="18" t="n">
        <v>30</v>
      </c>
      <c r="C59" t="inlineStr">
        <is>
          <t>Plazo de pago a los proveedores de carne, tortilla, verdura y bebida: lo que te financian. Es lo primero que se pierde si te retrasas en un pago</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mezcal, tequila y refrescos azucarados o edulcorados) sobre el total de bebida</t>
        </is>
      </c>
      <c r="B62" s="64" t="n">
        <v>0.75</v>
      </c>
      <c r="C62" t="inlineStr">
        <is>
          <t>Sólo mueve el IVA que SOPORTAS al comprar la bebida: la cerveza, el mezcal, el tequila y los refrescos con azúcares o edulcorantes añadidos te los facturan al 21 %; el agua y los ingredientes de las aguas frescas que preparas tú, al 10 % (la fruta fresca, al 4 %). Con un 75 % sale un 18,3 %.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el alcohol y las aguas frescas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punto de equilibrio. La caída que aguantas antes de entrar en pérdidas es algo menor: con un 15 % de holgura, un 13 % de lo previsto</t>
        </is>
      </c>
    </row>
    <row r="68">
      <c r="A68" t="inlineStr">
        <is>
          <t>Suelo salarial anual del convenio provincial (€)</t>
        </is>
      </c>
      <c r="B68" s="23" t="n">
        <v>0</v>
      </c>
      <c r="C68" t="inlineStr">
        <is>
          <t>Las taquerías van al convenio PROVINCIAL de hostelería: el art. 4 del VI Acuerdo Laboral de ámbito Estatal para el sector de Hostelería no nombra la palabra «taquería», pero incluye los restaurantes y el reparto de comidas preparadas.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TAQUERÍA</t>
        </is>
      </c>
    </row>
    <row r="2">
      <c r="A2" s="2" t="inlineStr">
        <is>
          <t>Inversión inicial estimada — taquería con trompo, barra de salsas, 32 plazas y terraza</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106150.0</v>
      </c>
      <c r="C6" s="67">
        <f>IFERROR(B6/$B$30,"")</f>
        <v>0.7029792944617682</v>
      </c>
      <c r="D6" s="29" t="n"/>
      <c r="E6" s="29" t="n"/>
    </row>
    <row r="7">
      <c r="A7" s="29" t="inlineStr">
        <is>
          <t>Proyecto técnico de actividad y de salida de humos, y dirección de obra</t>
        </is>
      </c>
      <c r="B7" s="30" t="n">
        <v>3500</v>
      </c>
      <c r="C7" s="68">
        <f>IFERROR(B7/$B$30,"")</f>
        <v>0.023178780316685715</v>
      </c>
      <c r="D7" s="29" t="inlineStr">
        <is>
          <t>Proyecto de la actividad y del conducto de humos, memoria para la licencia o la declaración responsable y certificado final de obra</t>
        </is>
      </c>
      <c r="E7" s="32" t="inlineStr">
        <is>
          <t>Sí</t>
        </is>
      </c>
    </row>
    <row r="8">
      <c r="A8" s="29" t="inlineStr">
        <is>
          <t>Obra y acondicionamiento del local, rótulo y fachada</t>
        </is>
      </c>
      <c r="B8" s="30" t="n">
        <v>26500</v>
      </c>
      <c r="C8" s="68">
        <f>IFERROR(B8/$B$30,"")</f>
        <v>0.17549647954062042</v>
      </c>
      <c r="D8" s="29" t="inlineStr">
        <is>
          <t>Cocina alicatada, suelo antideslizante, aseos (uno adaptado), falsos techos y aislamiento acústico, más el rótulo y la fachada (unos 2.500 €). Estimación del kit: pide dos presupuestos</t>
        </is>
      </c>
      <c r="E8" s="32" t="inlineStr">
        <is>
          <t>Sí</t>
        </is>
      </c>
    </row>
    <row r="9">
      <c r="A9" s="29" t="inlineStr">
        <is>
          <t>Conducto de extracción exclusivo hasta cubierta</t>
        </is>
      </c>
      <c r="B9" s="30" t="n">
        <v>6000</v>
      </c>
      <c r="C9" s="68">
        <f>IFERROR(B9/$B$30,"")</f>
        <v>0.03973505197146123</v>
      </c>
      <c r="D9" s="29" t="inlineStr">
        <is>
          <t>Conducto exclusivo hasta la cubierta para el trompo, la plancha, el comal y la freidora: Madrid pide superar en 1 m lo que haya en 15 m (Ordenanza 4/2021). Con trompo o parrilla de carbón, además, filtro de partículas. Ningún fabricante da precio por metro: pide oferta con tu proyecto</t>
        </is>
      </c>
      <c r="E9" s="32" t="inlineStr">
        <is>
          <t>Sí</t>
        </is>
      </c>
    </row>
    <row r="10">
      <c r="A10" s="29" t="inlineStr">
        <is>
          <t>Instalación eléctrica, cuadro y boletín</t>
        </is>
      </c>
      <c r="B10" s="30" t="n">
        <v>4500</v>
      </c>
      <c r="C10" s="68">
        <f>IFERROR(B10/$B$30,"")</f>
        <v>0.029801288978595922</v>
      </c>
      <c r="D10" s="29" t="inlineStr">
        <is>
          <t>Frío, extracción, climatización, lavavajillas y cafetera. Pregunta la potencia disponible ANTES de firmar: una acometida nueva tarda</t>
        </is>
      </c>
      <c r="E10" s="32" t="inlineStr">
        <is>
          <t>Sí</t>
        </is>
      </c>
    </row>
    <row r="11">
      <c r="A11" s="29" t="inlineStr">
        <is>
          <t>Fontanería, separador de grasas, climatización e instalación de gas</t>
        </is>
      </c>
      <c r="B11" s="30" t="n">
        <v>8000</v>
      </c>
      <c r="C11" s="68">
        <f>IFERROR(B11/$B$30,"")</f>
        <v>0.05298006929528164</v>
      </c>
      <c r="D11" s="29" t="inlineStr">
        <is>
          <t>Agua fría y caliente en la cocina, desagües con separador de grasas, climatización de la sala y la instalación de gas del trompo, la plancha, el comal y los fogones por empresa instaladora habilitada, con su certificado (RD 919/2006)</t>
        </is>
      </c>
      <c r="E11" s="32" t="inlineStr">
        <is>
          <t>Sí</t>
        </is>
      </c>
    </row>
    <row r="12">
      <c r="A12" s="29" t="inlineStr">
        <is>
          <t>Trompo: asador vertical de gas de cuatro quemadores</t>
        </is>
      </c>
      <c r="B12" s="30" t="n">
        <v>1800</v>
      </c>
      <c r="C12" s="68">
        <f>IFERROR(B12/$B$30,"")</f>
        <v>0.011920515591438368</v>
      </c>
      <c r="D12" s="29" t="inlineStr">
        <is>
          <t>Para conos de 30-35 kg, con bandeja, cuchillos de corte y base para la piña. En el catálogo de un distribuidor de hostelería, de 1.279 a 1.784 € sin IVA (octubre de 2026)</t>
        </is>
      </c>
      <c r="E12" s="32" t="inlineStr">
        <is>
          <t>Sí</t>
        </is>
      </c>
    </row>
    <row r="13">
      <c r="A13" s="29" t="inlineStr">
        <is>
          <t>Plancha de acero a gas y comal</t>
        </is>
      </c>
      <c r="B13" s="30" t="n">
        <v>3000</v>
      </c>
      <c r="C13" s="68">
        <f>IFERROR(B13/$B$30,"")</f>
        <v>0.019867525985730616</v>
      </c>
      <c r="D13" s="29" t="inlineStr">
        <is>
          <t>Plancha lisa de acero para las carnes y comal para calentar la tortilla. Una plancha a gas de 40 cm ronda los 1.040 €; la de 80 cm a gas no tiene precio de referencia: estimación del kit, pide oferta</t>
        </is>
      </c>
      <c r="E13" s="32" t="inlineStr">
        <is>
          <t>Sí</t>
        </is>
      </c>
    </row>
    <row r="14">
      <c r="A14" s="29" t="inlineStr">
        <is>
          <t>Freidora, fogón de carnitas, baño maría y mantenedor de tortillas</t>
        </is>
      </c>
      <c r="B14" s="30" t="n">
        <v>3700</v>
      </c>
      <c r="C14" s="68">
        <f>IFERROR(B14/$B$30,"")</f>
        <v>0.024503282049067758</v>
      </c>
      <c r="D14" s="29" t="inlineStr">
        <is>
          <t>Freidora para los totopos y los tacos dorados, fogón para las carnitas y los guisados, baño maría GN y mantenedor de tortillas. Estimación del kit</t>
        </is>
      </c>
      <c r="E14" s="32" t="inlineStr">
        <is>
          <t>Sí</t>
        </is>
      </c>
    </row>
    <row r="15">
      <c r="A15" s="29" t="inlineStr">
        <is>
          <t>Campana extractora con motor y filtros</t>
        </is>
      </c>
      <c r="B15" s="30" t="n">
        <v>1500</v>
      </c>
      <c r="C15" s="68">
        <f>IFERROR(B15/$B$30,"")</f>
        <v>0.009933762992865308</v>
      </c>
      <c r="D15" s="29" t="inlineStr">
        <is>
          <t>Campana extractora de 2,5 m con motor y filtros de grasa sobre el trompo, la plancha, el comal y la freidora (una de 1,5-2 m ronda los 815 € sin IVA)</t>
        </is>
      </c>
      <c r="E15" s="32" t="inlineStr">
        <is>
          <t>Sí</t>
        </is>
      </c>
    </row>
    <row r="16">
      <c r="A16" s="29" t="inlineStr">
        <is>
          <t>Frío: armarios, congelador y mesa refrigerada de salsas</t>
        </is>
      </c>
      <c r="B16" s="30" t="n">
        <v>4500</v>
      </c>
      <c r="C16" s="68">
        <f>IFERROR(B16/$B$30,"")</f>
        <v>0.029801288978595922</v>
      </c>
      <c r="D16" s="29" t="inlineStr">
        <is>
          <t>Armarios refrigerados (unos 900 € sin IVA el de 400 l), congelador y mesa refrigerada de granito para la barra de salsas y las guarniciones (de 1.180 a 1.950 € sin IVA)</t>
        </is>
      </c>
      <c r="E16" s="32" t="inlineStr">
        <is>
          <t>Sí</t>
        </is>
      </c>
    </row>
    <row r="17">
      <c r="A17" s="29" t="inlineStr">
        <is>
          <t>Lavavajillas de capota, fregaderos, lavamanos, mesas inox y estanterías</t>
        </is>
      </c>
      <c r="B17" s="30" t="n">
        <v>5500</v>
      </c>
      <c r="C17" s="68">
        <f>IFERROR(B17/$B$30,"")</f>
        <v>0.03642379764050613</v>
      </c>
      <c r="D17" s="29" t="inlineStr">
        <is>
          <t>Lavavajillas, fregaderos, lavamanos de accionamiento no manual, mesas de acero inoxidable y estanterías</t>
        </is>
      </c>
      <c r="E17" s="32" t="inlineStr">
        <is>
          <t>Sí</t>
        </is>
      </c>
    </row>
    <row r="18">
      <c r="A18" s="29" t="inlineStr">
        <is>
          <t>Utillaje y menaje: licuadora, molcajetes, sondas y prensa de tortillas</t>
        </is>
      </c>
      <c r="B18" s="30" t="n">
        <v>3500</v>
      </c>
      <c r="C18" s="68">
        <f>IFERROR(B18/$B$30,"")</f>
        <v>0.023178780316685715</v>
      </c>
      <c r="D18" s="29" t="inlineStr">
        <is>
          <t>Licuadora industrial para las salsas, molcajetes, termómetros sonda, básculas, recipientes GN, vajilla, cestas, vitroleros para las aguas frescas, una prensa de tortillas (unos 48 € con IVA) y la cartelería de alérgenos</t>
        </is>
      </c>
      <c r="E18" s="32" t="inlineStr">
        <is>
          <t>Sí</t>
        </is>
      </c>
    </row>
    <row r="19">
      <c r="A19" s="29" t="inlineStr">
        <is>
          <t>Barra: botellero frío, tirador de cerveza y cafetera</t>
        </is>
      </c>
      <c r="B19" s="30" t="n">
        <v>4000</v>
      </c>
      <c r="C19" s="68">
        <f>IFERROR(B19/$B$30,"")</f>
        <v>0.02649003464764082</v>
      </c>
      <c r="D19" s="29" t="inlineStr">
        <is>
          <t>Botellero frío, tirador de cerveza y una cafetera pequeña. Si la cervecera cede el equipo de tiraje, esta partida baja</t>
        </is>
      </c>
      <c r="E19" s="32" t="inlineStr">
        <is>
          <t>Sí</t>
        </is>
      </c>
    </row>
    <row r="20">
      <c r="A20" s="29" t="inlineStr">
        <is>
          <t>Mobiliario de sala, barra y terraza</t>
        </is>
      </c>
      <c r="B20" s="30" t="n">
        <v>6500</v>
      </c>
      <c r="C20" s="68">
        <f>IFERROR(B20/$B$30,"")</f>
        <v>0.04304630630241633</v>
      </c>
      <c r="D20" s="29" t="inlineStr">
        <is>
          <t>Mesas, sillas y taburetes para 24 plazas en mesa y 8 en barra, y 16 en la terraza de temporada</t>
        </is>
      </c>
      <c r="E20" s="32" t="inlineStr">
        <is>
          <t>Sí</t>
        </is>
      </c>
    </row>
    <row r="21">
      <c r="A21" s="29" t="inlineStr">
        <is>
          <t>TPV con Veri*factu, datáfonos, impresora de comandas y tablet</t>
        </is>
      </c>
      <c r="B21" s="30" t="n">
        <v>2000</v>
      </c>
      <c r="C21" s="68">
        <f>IFERROR(B21/$B$30,"")</f>
        <v>0.01324501732382041</v>
      </c>
      <c r="D21" s="29" t="inlineStr">
        <is>
          <t>Software de facturación conforme a Veri*factu, datáfonos, impresora de cocina y la tablet de las plataformas</t>
        </is>
      </c>
      <c r="E21" s="32" t="inlineStr">
        <is>
          <t>Sí</t>
        </is>
      </c>
    </row>
    <row r="22">
      <c r="A22" s="29" t="inlineStr">
        <is>
          <t>Constitución de la SL, licencia, tasas, registro sanitario y APPCC</t>
        </is>
      </c>
      <c r="B22" s="30" t="n">
        <v>3000</v>
      </c>
      <c r="C22" s="68">
        <f>IFERROR(B22/$B$30,"")</f>
        <v>0.019867525985730616</v>
      </c>
      <c r="D22" s="29" t="inlineStr">
        <is>
          <t>SL unipersonal, licencia o declaración responsable, tasas municipales, registro sanitario autonómico y redacción del plan APPCC. Las tasas no llevan IVA; los honorarios sí: cambia la columna de al lado si tu presupuesto es sobre todo de honorarios</t>
        </is>
      </c>
      <c r="E22" s="32" t="inlineStr">
        <is>
          <t>No</t>
        </is>
      </c>
    </row>
    <row r="23">
      <c r="A23" s="29" t="inlineStr">
        <is>
          <t>Marca, web, fotos y lanzamiento</t>
        </is>
      </c>
      <c r="B23" s="30" t="n">
        <v>4500</v>
      </c>
      <c r="C23" s="68">
        <f>IFERROR(B23/$B$30,"")</f>
        <v>0.029801288978595922</v>
      </c>
      <c r="D23" s="29" t="inlineStr">
        <is>
          <t>Identidad, web con la carta, sesión de fotos y campaña de apertura</t>
        </is>
      </c>
      <c r="E23" s="32" t="inlineStr">
        <is>
          <t>Sí</t>
        </is>
      </c>
    </row>
    <row r="24">
      <c r="A24" s="29" t="inlineStr">
        <is>
          <t>Stock inicial: carnes, chiles, tortillas, bebida y envases</t>
        </is>
      </c>
      <c r="B24" s="30" t="n">
        <v>3500</v>
      </c>
      <c r="C24" s="68">
        <f>IFERROR(B24/$B$30,"")</f>
        <v>0.023178780316685715</v>
      </c>
      <c r="D24" s="29" t="inlineStr">
        <is>
          <t>Carnes, chiles secos y producto mexicano importado (pídelo con su plazo de entrega: tarda semanas), tortillas, bebida, mezcal y envases para llevar</t>
        </is>
      </c>
      <c r="E24" s="32" t="inlineStr">
        <is>
          <t>Sí</t>
        </is>
      </c>
    </row>
    <row r="25">
      <c r="A25" s="29" t="inlineStr">
        <is>
          <t>Fianza del alquiler</t>
        </is>
      </c>
      <c r="B25" s="33">
        <f>IFERROR(IF('0. Supuestos'!$B$24="","",'0. Supuestos'!$B$24*'0. Supuestos'!$B$25),"")</f>
        <v>2900.0</v>
      </c>
      <c r="C25" s="68">
        <f>IFERROR(B25/$B$30,"")</f>
        <v>0.019205275119539594</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2900.0</v>
      </c>
      <c r="C26" s="68">
        <f>IFERROR(B26/$B$30,"")</f>
        <v>0.019205275119539594</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4850.0</v>
      </c>
      <c r="C27" s="68">
        <f>IFERROR(B27/$B$30,"")</f>
        <v>0.032119167010264495</v>
      </c>
      <c r="D27" s="29" t="str">
        <f>IFERROR("Al "&amp;TEXT('0. Supuestos'!$B$55,"0%")&amp;" de las partidas de OBRA Y ACONDICIONAMIENTO de este bloque (Proyecto técnico de actividad y de salida de humos, y dirección de obra, Obra y acondicionamiento del local, rótulo y fachada, Conducto de extracción exclusivo hasta cubierta, "&amp;"Instalación eléctrica, cuadro y boletín y Fontanería, separador de grasas, climatización e instalación de gas), no del bloque entero: el resto de partidas del bloque quedan fuera. Un banco no financia una reforma sin colchón: el porcentaje "&amp;"está en la hoja de Supuestos","")</f>
        <v>Al 10% de las partidas de OBRA Y ACONDICIONAMIENTO de este bloque (Proyecto técnico de actividad y de salida de humos, y dirección de obra, Obra y acondicionamiento del local, rótulo y fachada, Conducto de extracción exclusivo hasta cubierta, Instalación eléctrica, cuadro y boletín y Fontanería, separador de grasas, climatización e instalación de gas),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44850.18</v>
      </c>
      <c r="C28" s="67">
        <f>IFERROR(B28/$B$30,"")</f>
        <v>0.29702070553823184</v>
      </c>
      <c r="D28" s="29" t="n"/>
      <c r="E28" s="29" t="n"/>
    </row>
    <row r="29">
      <c r="A29" s="29" t="inlineStr">
        <is>
          <t>Colchón operativo hasta alcanzar el equilibrio</t>
        </is>
      </c>
      <c r="B29" s="33">
        <f>IFERROR(IF('0. Supuestos'!$B$35*('PyG 3 Años'!$B$37-'PyG 3 Años'!$B$35)=0,"",'0. Supuestos'!$B$35*('PyG 3 Años'!$B$37-'PyG 3 Años'!$B$35)/12),"")</f>
        <v>44850.18</v>
      </c>
      <c r="C29" s="68">
        <f>IFERROR(B29/$B$30,"")</f>
        <v>0.29702070553823184</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151000.18</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(30% del total). Para comparar el desglose con otro plan, usa la fila de CAPEX de abajo.</v>
      </c>
      <c r="E30" s="29" t="n"/>
    </row>
    <row r="31">
      <c r="A31" s="26" t="inlineStr">
        <is>
          <t>CAPEX (inversión sin el fondo de maniobra)</t>
        </is>
      </c>
      <c r="B31" s="27">
        <f>IFERROR(B30-B28,"")</f>
        <v>106150.0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21052.5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172052.68</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53350.0</v>
      </c>
      <c r="C35" s="29" t="n"/>
      <c r="D35" s="29" t="str">
        <f>IFERROR("Se amortiza en "&amp;TEXT('0. Supuestos'!$B$44,"0")&amp;" años","")</f>
        <v>Se amortiza en 10 años</v>
      </c>
      <c r="E35" s="29" t="n"/>
    </row>
    <row r="36">
      <c r="A36" s="29" t="inlineStr">
        <is>
          <t>Maquinaria, mobiliario y equipos</t>
        </is>
      </c>
      <c r="B36" s="33">
        <f>IFERROR(IF(B12="","",B12+B13+B14+B15+B16+B17+B18+B19+B20+B21),"")</f>
        <v>36000.0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8935.0</v>
      </c>
      <c r="C37" s="29" t="n"/>
      <c r="D37" s="26" t="str">
        <f>IFERROR("No se amortizan, por no ser inmovilizado, Constitución de la SL, licencia, tasas, registro sanitario y APPCC, Marca, web, fotos y lanzamiento, Stock inicial: carnes, chiles, tortillas, bebida y envases, Fianza del alquiler, Alquiler de los "&amp;"meses previos a la apertura ni Colchón operativo hasta alcanzar el equilibrio. Suman "&amp;TEXT(B30-B35-B36,"0")&amp;" € de los "&amp;TEXT(B30,"0")&amp;" € de inversión.","")</f>
        <v>No se amortizan, por no ser inmovilizado, Constitución de la SL, licencia, tasas, registro sanitario y APPCC, Marca, web, fotos y lanzamiento, Stock inicial: carnes, chiles, tortillas, bebida y envases, Fianza del alquiler, Alquiler de los meses previos a la apertura ni Colchón operativo hasta alcanzar el equilibrio. Suman 61650 € de los 151000 €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taquería con trompo, barra de salsas y para llevar</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77.0</v>
      </c>
      <c r="C6" s="41">
        <f>IFERROR(B6*(1+'0. Supuestos'!$B$7),"")</f>
        <v>81.62</v>
      </c>
      <c r="D6" s="41">
        <f>IFERROR(C6*(1+'0. Supuestos'!$B$8),"")</f>
        <v>84.88480000000001</v>
      </c>
      <c r="E6" s="29" t="n"/>
      <c r="F6" s="29" t="inlineStr">
        <is>
          <t>El crecimiento de los años 2 y 3 está en la hoja de Supuestos</t>
        </is>
      </c>
      <c r="G6" s="29" t="n"/>
      <c r="H6" s="29" t="n"/>
    </row>
    <row r="7">
      <c r="A7" s="29" t="inlineStr">
        <is>
          <t>Ticket medio sin IVA</t>
        </is>
      </c>
      <c r="B7" s="70">
        <f>IFERROR(IF('0. Supuestos'!$B$5="","",'0. Supuestos'!$B$5),"")</f>
        <v>15.5</v>
      </c>
      <c r="C7" s="70">
        <f>IFERROR(IF(B7="","",B7),"")</f>
        <v>15.5</v>
      </c>
      <c r="D7" s="70">
        <f>IFERROR(IF(C7="","",C7),"")</f>
        <v>15.5</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358050.0</v>
      </c>
      <c r="C9" s="27">
        <f>IFERROR(IF(C6*C7*C8=0,"",C6*C7*C8),"")</f>
        <v>379533.00000000006</v>
      </c>
      <c r="D9" s="27">
        <f>IFERROR(IF(D6*D7*D8=0,"",D6*D7*D8),"")</f>
        <v>394714.32000000007</v>
      </c>
      <c r="E9" s="67">
        <f>IFERROR(IF(B9="","",1),"")</f>
        <v>1.0</v>
      </c>
      <c r="F9" s="29" t="n"/>
      <c r="G9" s="29" t="n"/>
      <c r="H9" s="29" t="n"/>
    </row>
    <row r="10">
      <c r="A10" s="29" t="inlineStr">
        <is>
          <t>Ventas de taquería y cocina (sala, para llevar y a domicilio)</t>
        </is>
      </c>
      <c r="B10" s="33">
        <f>IFERROR(IF(B9="","",B9*$E$10),"")</f>
        <v>286440.0</v>
      </c>
      <c r="C10" s="33">
        <f>IFERROR(IF(C9="","",C9*$E$10),"")</f>
        <v>303626.4000000001</v>
      </c>
      <c r="D10" s="33">
        <f>IFERROR(IF(D9="","",D9*$E$10),"")</f>
        <v>315771.45600000006</v>
      </c>
      <c r="E10" s="68">
        <f>IFERROR(IF('0. Supuestos'!$B$11="","",'0. Supuestos'!$B$11),"")</f>
        <v>0.8</v>
      </c>
      <c r="F10" s="29" t="inlineStr">
        <is>
          <t>Tacos, gringas y quesadillas, entrantes y postres: en sala unos 74 % de las ventas, para llevar unos 14 % y por plataforma un 12 %. Todo al 10 % de IVA, se coma en la mesa o salga del local (art. 91.Uno.1.1.º y 2.2.º de la Ley 37/1992)</t>
        </is>
      </c>
      <c r="G10" s="68">
        <f>IFERROR(IF(B9="","",'0. Supuestos'!$B$39),"")</f>
        <v>0.1</v>
      </c>
      <c r="H10" s="29" t="n"/>
    </row>
    <row r="11">
      <c r="A11" s="29" t="inlineStr">
        <is>
          <t>Ventas de bebida (aguas frescas, cerveza, mezcal y tequila, refrescos y agua)</t>
        </is>
      </c>
      <c r="B11" s="33">
        <f>IFERROR(IF(B9="","",B9*$E$11),"")</f>
        <v>71609.99999999999</v>
      </c>
      <c r="C11" s="33">
        <f>IFERROR(IF(C9="","",C9*$E$11),"")</f>
        <v>75906.59999999999</v>
      </c>
      <c r="D11" s="33">
        <f>IFERROR(IF(D9="","",D9*$E$11),"")</f>
        <v>78942.864</v>
      </c>
      <c r="E11" s="68">
        <f>IFERROR(IF('0. Supuestos'!$B$12="","",'0. Supuestos'!$B$12),"")</f>
        <v>0.19999999999999996</v>
      </c>
      <c r="F11" s="29" t="inlineStr">
        <is>
          <t>Bebida de sala y la que sale con los pedidos · La columna H es la parte de la bebida que sale del local y va al 21 %: el alcohol y las aguas frescas y los refrescos con azúcares o edulcorantes añadidos (art. 91.Uno.1.1.º a y b de la Ley 37/1992); el agua y lo que no lleve azúcares ni edulcorantes añadidos, y toda la bebida en sala, al 10 %. Un 7,5 % = un 1,5 % de las ventas</t>
        </is>
      </c>
      <c r="G11" s="68">
        <f>IFERROR(IF(B9="","",H11*0.21+(1-H11)*'0. Supuestos'!$B$39),"")</f>
        <v>0.10825000000000001</v>
      </c>
      <c r="H11" s="74" t="n">
        <v>0.075</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77338.8</v>
      </c>
      <c r="C13" s="33">
        <f>IFERROR(IF(C9="","",C9*'0. Supuestos'!$B$11*'0. Supuestos'!$B$13),"")</f>
        <v>81979.12800000003</v>
      </c>
      <c r="D13" s="33">
        <f>IFERROR(IF(D9="","",D9*'0. Supuestos'!$B$11*'0. Supuestos'!$B$13),"")</f>
        <v>85258.29312000002</v>
      </c>
      <c r="E13" s="68">
        <f>IFERROR(B13/$B$9,"")</f>
        <v>0.216</v>
      </c>
      <c r="F13" s="29" t="str">
        <f>IFERROR("Al "&amp;TEXT('0. Supuestos'!$B$13,"0%")&amp;" de las ventas de COMIDA, no del total: la bebida tiene su propia línea · Carne, tortilla, chiles y especias al 10 %; verdura, fruta, aguacate y quesos al 4 % (art. 91.Dos.1.1.º de la Ley 37/1992). Ajústalo a tus facturas","")</f>
        <v>Al 27% de las ventas de COMIDA, no del total: la bebida tiene su propia línea · Carne, tortilla, chiles y especias al 10 %; verdura, fruta, aguacate y quesos al 4 % (art. 91.Dos.1.1.º de la Ley 37/1992). Ajústalo a tus facturas</v>
      </c>
      <c r="G13" s="74" t="n">
        <v>0.08500000000000001</v>
      </c>
      <c r="H13" s="29" t="n"/>
    </row>
    <row r="14">
      <c r="A14" s="29" t="inlineStr">
        <is>
          <t>Coste de mercancía — bebida</t>
        </is>
      </c>
      <c r="B14" s="33">
        <f>IFERROR(IF(B9="","",B9*'0. Supuestos'!$B$12*'0. Supuestos'!$B$14),"")</f>
        <v>18618.6</v>
      </c>
      <c r="C14" s="33">
        <f>IFERROR(IF(C9="","",C9*'0. Supuestos'!$B$12*'0. Supuestos'!$B$14),"")</f>
        <v>19735.715999999997</v>
      </c>
      <c r="D14" s="33">
        <f>IFERROR(IF(D9="","",D9*'0. Supuestos'!$B$12*'0. Supuestos'!$B$14),"")</f>
        <v>20525.144640000002</v>
      </c>
      <c r="E14" s="68">
        <f>IFERROR(B14/$B$9,"")</f>
        <v>0.052</v>
      </c>
      <c r="F14" s="29" t="str">
        <f>IFERROR("Al "&amp;TEXT('0. Supuestos'!$B$14,"0%")&amp;" de las ventas de BEBIDA","")</f>
        <v>Al 26% de las ventas de BEBIDA</v>
      </c>
      <c r="G14" s="68">
        <f>IFERROR(IF(B9="","",('0. Supuestos'!$B$62*'0. Supuestos'!$B$40+(1-'0. Supuestos'!$B$62)*'0. Supuestos'!$B$39)),"")</f>
        <v>0.1825</v>
      </c>
      <c r="H14" s="29" t="n"/>
    </row>
    <row r="15">
      <c r="A15" s="29" t="inlineStr">
        <is>
          <t>Consumibles y envases</t>
        </is>
      </c>
      <c r="B15" s="33">
        <f>IFERROR(IF(B9="","",B9*'0. Supuestos'!$B$15),"")</f>
        <v>12531.750000000002</v>
      </c>
      <c r="C15" s="33">
        <f>IFERROR(IF(C9="","",C9*'0. Supuestos'!$B$15),"")</f>
        <v>13283.655000000002</v>
      </c>
      <c r="D15" s="33">
        <f>IFERROR(IF(D9="","",D9*'0. Supuestos'!$B$15),"")</f>
        <v>13815.001200000004</v>
      </c>
      <c r="E15" s="68">
        <f>IFERROR(B15/$B$9,"")</f>
        <v>0.035</v>
      </c>
      <c r="F15" s="29" t="n"/>
      <c r="G15" s="68">
        <f>IFERROR(IF(B9="","",'0. Supuestos'!$B$41),"")</f>
        <v>0.21</v>
      </c>
      <c r="H15" s="29" t="n"/>
    </row>
    <row r="16">
      <c r="A16" s="29" t="inlineStr">
        <is>
          <t>Comisiones de delivery</t>
        </is>
      </c>
      <c r="B16" s="33">
        <f>IFERROR(IF(B9="","",B9*'0. Supuestos'!$B$16*'0. Supuestos'!$B$17),"")</f>
        <v>12889.8</v>
      </c>
      <c r="C16" s="33">
        <f>IFERROR(IF(C9="","",C9*'0. Supuestos'!$B$16*'0. Supuestos'!$B$17),"")</f>
        <v>13663.188000000002</v>
      </c>
      <c r="D16" s="33">
        <f>IFERROR(IF(D9="","",D9*'0. Supuestos'!$B$16*'0. Supuestos'!$B$17),"")</f>
        <v>14209.715520000002</v>
      </c>
      <c r="E16" s="68">
        <f>IFERROR(B16/$B$9,"")</f>
        <v>0.036</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2864.4</v>
      </c>
      <c r="C17" s="33">
        <f>IFERROR(IF(C9="","",C9*'0. Supuestos'!$B$18),"")</f>
        <v>3036.2640000000006</v>
      </c>
      <c r="D17" s="33">
        <f>IFERROR(IF(D9="","",D9*'0. Supuestos'!$B$18),"")</f>
        <v>3157.714560000001</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7161.0</v>
      </c>
      <c r="C18" s="33">
        <f>IFERROR(IF(C9="","",C9*'0. Supuestos'!$B$28),"")</f>
        <v>7590.660000000002</v>
      </c>
      <c r="D18" s="33">
        <f>IFERROR(IF(D9="","",D9*'0. Supuestos'!$B$28),"")</f>
        <v>7894.286400000002</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131404.35</v>
      </c>
      <c r="C19" s="27">
        <f>IFERROR(IF(C9="","",SUM(C13:C18)),"")</f>
        <v>139288.61100000003</v>
      </c>
      <c r="D19" s="27">
        <f>IFERROR(IF(D9="","",SUM(D13:D18)),"")</f>
        <v>144860.15544000003</v>
      </c>
      <c r="E19" s="67">
        <f>IFERROR(B19/$B$9,"")</f>
        <v>0.367</v>
      </c>
      <c r="F19" s="29" t="n"/>
      <c r="G19" s="29" t="n"/>
      <c r="H19" s="29" t="n"/>
    </row>
    <row r="20">
      <c r="A20" s="26" t="inlineStr">
        <is>
          <t>MARGEN BRUTO</t>
        </is>
      </c>
      <c r="B20" s="27">
        <f>IFERROR(IF(B9="","",B9-B19),"")</f>
        <v>226645.65</v>
      </c>
      <c r="C20" s="27">
        <f>IFERROR(IF(C9="","",C9-C19),"")</f>
        <v>240244.38900000002</v>
      </c>
      <c r="D20" s="27">
        <f>IFERROR(IF(D9="","",D9-D19),"")</f>
        <v>249854.16456000003</v>
      </c>
      <c r="E20" s="67">
        <f>IFERROR(B20/$B$9,"")</f>
        <v>0.633</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17400.0</v>
      </c>
      <c r="C22" s="33">
        <f>IFERROR(IF(C9="","",B22*(1+'0. Supuestos'!$B$48)),"")</f>
        <v>17400.0</v>
      </c>
      <c r="D22" s="33">
        <f>IFERROR(IF(D9="","",C22*(1+'0. Supuestos'!$B$48)),"")</f>
        <v>17400.0</v>
      </c>
      <c r="E22" s="68">
        <f>IFERROR(B22/$B$9,"")</f>
        <v>0.04859656472559699</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129520.72</v>
      </c>
      <c r="C23" s="33">
        <f>IFERROR(IF(C9="","",'Personal'!$B$16),"")</f>
        <v>135520.72</v>
      </c>
      <c r="D23" s="33">
        <f>IFERROR(IF(D9="","",'Personal'!$B$17),"")</f>
        <v>141520.72</v>
      </c>
      <c r="E23" s="68">
        <f>IFERROR(B23/$B$9,"")</f>
        <v>0.36173919843597263</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10200.0</v>
      </c>
      <c r="C24" s="33">
        <f>IFERROR(IF(C9="","",B24*(1+'0. Supuestos'!$B$48)),"")</f>
        <v>10200.0</v>
      </c>
      <c r="D24" s="33">
        <f>IFERROR(IF(D9="","",C24*(1+'0. Supuestos'!$B$48)),"")</f>
        <v>10200.0</v>
      </c>
      <c r="E24" s="68">
        <f>IFERROR(B24/$B$9,"")</f>
        <v>0.028487641390867197</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1400.0</v>
      </c>
      <c r="C25" s="33">
        <f>IFERROR(IF(C9="","",B25*(1+'0. Supuestos'!$B$48)),"")</f>
        <v>1400.0</v>
      </c>
      <c r="D25" s="33">
        <f>IFERROR(IF(D9="","",C25*(1+'0. Supuestos'!$B$48)),"")</f>
        <v>1400.0</v>
      </c>
      <c r="E25" s="68">
        <f>IFERROR(B25/$B$9,"")</f>
        <v>0.0039100684261974585</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0.006702974444909929</v>
      </c>
      <c r="F26" s="29" t="inlineStr">
        <is>
          <t>Contabilidad, impuestos de la SL, nóminas y contratos de la plantilla</t>
        </is>
      </c>
      <c r="G26" s="68">
        <f>IFERROR(IF(B9="","",'0. Supuestos'!$B$41),"")</f>
        <v>0.21</v>
      </c>
      <c r="H26" s="29" t="n"/>
    </row>
    <row r="27">
      <c r="A27" s="29" t="inlineStr">
        <is>
          <t>Mantenimiento de la campana extractora, el gas y el frío</t>
        </is>
      </c>
      <c r="B27" s="30" t="n">
        <v>1800</v>
      </c>
      <c r="C27" s="33">
        <f>IFERROR(IF(C9="","",B27*(1+'0. Supuestos'!$B$48)),"")</f>
        <v>1800.0</v>
      </c>
      <c r="D27" s="33">
        <f>IFERROR(IF(D9="","",C27*(1+'0. Supuestos'!$B$48)),"")</f>
        <v>1800.0</v>
      </c>
      <c r="E27" s="68">
        <f>IFERROR(B27/$B$9,"")</f>
        <v>0.005027230833682447</v>
      </c>
      <c r="F27" s="29" t="inlineStr">
        <is>
          <t>Limpieza de la campana extractora y del conducto al menos una vez al año (Madrid lo exige en su Ordenanza 4/2021, art. 23; mira la de tu ayuntamiento), revisión del gas y del trompo y el frigorista</t>
        </is>
      </c>
      <c r="G27" s="68">
        <f>IFERROR(IF(B9="","",'0. Supuestos'!$B$41),"")</f>
        <v>0.21</v>
      </c>
      <c r="H27" s="29" t="n"/>
    </row>
    <row r="28">
      <c r="A28" s="29" t="inlineStr">
        <is>
          <t>Marketing y publicidad</t>
        </is>
      </c>
      <c r="B28" s="30" t="n">
        <v>3500</v>
      </c>
      <c r="C28" s="33">
        <f>IFERROR(IF(C9="","",B28*(1+'0. Supuestos'!$B$48)),"")</f>
        <v>3500.0</v>
      </c>
      <c r="D28" s="33">
        <f>IFERROR(IF(D9="","",C28*(1+'0. Supuestos'!$B$48)),"")</f>
        <v>3500.0</v>
      </c>
      <c r="E28" s="68">
        <f>IFERROR(B28/$B$9,"")</f>
        <v>0.009775171065493646</v>
      </c>
      <c r="F28" s="29" t="inlineStr">
        <is>
          <t>Ficha de Google Business, redes sociales, fotos y las fechas mexicanas (la Independencia en septiembre, el Día de Muertos en noviembre); la campaña de apertura va en la inversión</t>
        </is>
      </c>
      <c r="G28" s="68">
        <f>IFERROR(IF(B9="","",'0. Supuestos'!$B$41),"")</f>
        <v>0.21</v>
      </c>
      <c r="H28" s="29" t="n"/>
    </row>
    <row r="29">
      <c r="A29" s="29" t="inlineStr">
        <is>
          <t>Software, TPV, teléfono e internet</t>
        </is>
      </c>
      <c r="B29" s="30" t="n">
        <v>1500</v>
      </c>
      <c r="C29" s="33">
        <f>IFERROR(IF(C9="","",B29*(1+'0. Supuestos'!$B$48)),"")</f>
        <v>1500.0</v>
      </c>
      <c r="D29" s="33">
        <f>IFERROR(IF(D9="","",C29*(1+'0. Supuestos'!$B$48)),"")</f>
        <v>1500.0</v>
      </c>
      <c r="E29" s="68">
        <f>IFERROR(B29/$B$9,"")</f>
        <v>0.0041893590280687055</v>
      </c>
      <c r="F29" s="29" t="inlineStr">
        <is>
          <t>Cuota del TPV con Veri*factu, la tablet de las plataformas, teléfono e internet</t>
        </is>
      </c>
      <c r="G29" s="68">
        <f>IFERROR(IF(B9="","",'0. Supuestos'!$B$41),"")</f>
        <v>0.21</v>
      </c>
      <c r="H29" s="29" t="n"/>
    </row>
    <row r="30">
      <c r="A30" s="29" t="inlineStr">
        <is>
          <t>Limpieza, lavandería, EPI y análisis de autocontrol</t>
        </is>
      </c>
      <c r="B30" s="30" t="n">
        <v>1200</v>
      </c>
      <c r="C30" s="33">
        <f>IFERROR(IF(C9="","",B30*(1+'0. Supuestos'!$B$48)),"")</f>
        <v>1200.0</v>
      </c>
      <c r="D30" s="33">
        <f>IFERROR(IF(D9="","",C30*(1+'0. Supuestos'!$B$48)),"")</f>
        <v>1200.0</v>
      </c>
      <c r="E30" s="68">
        <f>IFERROR(B30/$B$9,"")</f>
        <v>0.0033514872224549644</v>
      </c>
      <c r="F30" s="29" t="inlineStr">
        <is>
          <t>Productos de limpieza, lavado de uniformes y paños, guantes y los análisis de autocontrol que fije tu APPCC</t>
        </is>
      </c>
      <c r="G30" s="68">
        <f>IFERROR(IF(B9="","",'0. Supuestos'!$B$41),"")</f>
        <v>0.21</v>
      </c>
      <c r="H30" s="29" t="n"/>
    </row>
    <row r="31">
      <c r="A31" s="29" t="inlineStr">
        <is>
          <t>Tasa de terraza y gestión de residuos (pon las de tu ayuntamiento)</t>
        </is>
      </c>
      <c r="B31" s="30" t="n">
        <v>1700</v>
      </c>
      <c r="C31" s="33">
        <f>IFERROR(IF(C9="","",B31*(1+'0. Supuestos'!$B$48)),"")</f>
        <v>1700.0</v>
      </c>
      <c r="D31" s="33">
        <f>IFERROR(IF(D9="","",C31*(1+'0. Supuestos'!$B$48)),"")</f>
        <v>1700.0</v>
      </c>
      <c r="E31" s="68">
        <f>IFERROR(B31/$B$9,"")</f>
        <v>0.0047479402318111995</v>
      </c>
      <c r="F31" s="29" t="inlineStr">
        <is>
          <t>La ocupación de la vía pública con 4 mesas de abril a octubre (unos 1.200 € de ejemplo: cada ayuntamiento tiene su ordenanza fiscal y este plan no ha leído ninguna) y la tasa de basuras, el cartón y el aceite y la grasa usados con gestor autorizado (unos 500 €). Pon las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0.0012568077084206116</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500</v>
      </c>
      <c r="C33" s="33">
        <f>IFERROR(IF(C9="","",B33*(1+'0. Supuestos'!$B$48)),"")</f>
        <v>500.0</v>
      </c>
      <c r="D33" s="33">
        <f>IFERROR(IF(D9="","",C33*(1+'0. Supuestos'!$B$48)),"")</f>
        <v>500.0</v>
      </c>
      <c r="E33" s="68">
        <f>IFERROR(B33/$B$9,"")</f>
        <v>0.0013964530093562352</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750</v>
      </c>
      <c r="C34" s="33">
        <f>IFERROR(IF(C9="","",B34*(1+'0. Supuestos'!$B$48)),"")</f>
        <v>750.0</v>
      </c>
      <c r="D34" s="33">
        <f>IFERROR(IF(D9="","",C34*(1+'0. Supuestos'!$B$48)),"")</f>
        <v>750.0</v>
      </c>
      <c r="E34" s="68">
        <f>IFERROR(B34/$B$9,"")</f>
        <v>0.0020946795140343527</v>
      </c>
      <c r="F34" s="29" t="inlineStr">
        <is>
          <t>El plan de prevención es obligatorio (Ley 31/1995): cortes en el trompo, quemaduras de la plancha y la freidora, gas y calor; los reconocimientos médicos de la plantilla y la formación en higiene y alérgenos</t>
        </is>
      </c>
      <c r="G34" s="68">
        <f>IFERROR(IF(B9="","",'0. Supuestos'!$B$41),"")</f>
        <v>0.21</v>
      </c>
      <c r="H34" s="29" t="n"/>
    </row>
    <row r="35">
      <c r="A35" s="29" t="inlineStr">
        <is>
          <t>Amortización del inmovilizado</t>
        </is>
      </c>
      <c r="B35" s="33">
        <f>IFERROR(IF(B9="","",'Inversión Inicial'!$B$37),"")</f>
        <v>8935.0</v>
      </c>
      <c r="C35" s="33">
        <f>IFERROR(IF(C9="","",B35),"")</f>
        <v>8935.0</v>
      </c>
      <c r="D35" s="33">
        <f>IFERROR(IF(D9="","",B35),"")</f>
        <v>8935.0</v>
      </c>
      <c r="E35" s="68">
        <f>IFERROR(B35/$B$9,"")</f>
        <v>0.024954615277195922</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7080.0</v>
      </c>
      <c r="C36" s="33">
        <f>IFERROR(IF(C9="","",'Financiación'!$B$46),"")</f>
        <v>7080.0</v>
      </c>
      <c r="D36" s="33">
        <f>IFERROR(IF(D9="","",'Financiación'!$B$48),"")</f>
        <v>6064.992590397741</v>
      </c>
      <c r="E36" s="68">
        <f>IFERROR(B36/$B$9,"")</f>
        <v>0.01977377461248429</v>
      </c>
      <c r="F36" s="29" t="inlineStr">
        <is>
          <t>Sólo los INTERESES son gasto. La devolución del principal va en la hoja de Tesorería</t>
        </is>
      </c>
      <c r="G36" s="68" t="n">
        <v>0</v>
      </c>
      <c r="H36" s="29" t="n"/>
    </row>
    <row r="37">
      <c r="A37" s="26" t="inlineStr">
        <is>
          <t>TOTAL COSTES FIJOS</t>
        </is>
      </c>
      <c r="B37" s="27">
        <f>IFERROR(IF(B9="","",SUM(B22:B36)),"")</f>
        <v>188335.72</v>
      </c>
      <c r="C37" s="27">
        <f>IFERROR(IF(C9="","",SUM(C22:C36)),"")</f>
        <v>194335.72</v>
      </c>
      <c r="D37" s="27">
        <f>IFERROR(IF(D9="","",SUM(D22:D36)),"")</f>
        <v>199320.71259039774</v>
      </c>
      <c r="E37" s="67">
        <f>IFERROR(B37/$B$9,"")</f>
        <v>0.5260039659265465</v>
      </c>
      <c r="F37" s="29" t="n"/>
      <c r="G37" s="29" t="n"/>
      <c r="H37" s="29" t="n"/>
    </row>
    <row r="38">
      <c r="A38" s="29" t="inlineStr">
        <is>
          <t>IVA soportado de los costes variables</t>
        </is>
      </c>
      <c r="B38" s="33">
        <f>IFERROR(IF(B9="","",SUMPRODUCT(B13:B18,G13:G18)),"")</f>
        <v>16814.028000000002</v>
      </c>
      <c r="C38" s="33">
        <f>IFERROR(IF(C9="","",SUMPRODUCT(C13:C18,G13:G18)),"")</f>
        <v>17822.869680000003</v>
      </c>
      <c r="D38" s="33">
        <f>IFERROR(IF(D9="","",SUMPRODUCT(D13:D18,G13:G18)),"")</f>
        <v>18535.784467200003</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8694.0</v>
      </c>
      <c r="C39" s="33">
        <f>IFERROR(IF(C9="","",SUMPRODUCT(C22:C36,G22:G36)),"")</f>
        <v>8694.0</v>
      </c>
      <c r="D39" s="33">
        <f>IFERROR(IF(D9="","",SUMPRODUCT(D22:D36,G22:G36)),"")</f>
        <v>8694.0</v>
      </c>
      <c r="E39" s="29" t="n"/>
      <c r="F39" s="29" t="n"/>
      <c r="G39" s="29" t="n"/>
      <c r="H39" s="29" t="n"/>
    </row>
    <row r="40">
      <c r="A40" s="26" t="inlineStr">
        <is>
          <t>RESULTADO ANTES DE IMPUESTOS</t>
        </is>
      </c>
      <c r="B40" s="27">
        <f>IFERROR(IF(B9="","",B20-B37),"")</f>
        <v>38309.92999999999</v>
      </c>
      <c r="C40" s="27">
        <f>IFERROR(IF(C9="","",C20-C37),"")</f>
        <v>45908.66900000002</v>
      </c>
      <c r="D40" s="27">
        <f>IFERROR(IF(D9="","",D20-D37),"")</f>
        <v>50533.45196960229</v>
      </c>
      <c r="E40" s="67">
        <f>IFERROR(B40/$B$9,"")</f>
        <v>0.10699603407345341</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38309.92999999999</v>
      </c>
      <c r="C42" s="33">
        <f>IFERROR(IF(C9="","",MAX(0,C40-C41)),"")</f>
        <v>45908.66900000002</v>
      </c>
      <c r="D42" s="33">
        <f>IFERROR(IF(D9="","",MAX(0,D40-D41)),"")</f>
        <v>50533.45196960229</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5746.489499999999</v>
      </c>
      <c r="C45" s="33">
        <f>IFERROR(IF(C9="","",IF(C44="",0,C42*C44)),"")</f>
        <v>6886.300350000003</v>
      </c>
      <c r="D45" s="33">
        <f>IFERROR(IF(D9="","",IF(D44="",0,D42*D44)),"")</f>
        <v>12633.362992400573</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32563.440499999993</v>
      </c>
      <c r="C47" s="27">
        <f>IFERROR(IF(C9="","",C40-C45),"")</f>
        <v>39022.36865000002</v>
      </c>
      <c r="D47" s="27">
        <f>IFERROR(IF(D9="","",D40-D45),"")</f>
        <v>37900.08897720172</v>
      </c>
      <c r="E47" s="67">
        <f>IFERROR(B47/$B$9,"")</f>
        <v>0.0909466289624354</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0.633</v>
      </c>
      <c r="C50" s="68">
        <f>IFERROR(IF(C9="","",C20/C9),"")</f>
        <v>0.633</v>
      </c>
      <c r="D50" s="68">
        <f>IFERROR(IF(D9="","",D20/D9),"")</f>
        <v>0.633</v>
      </c>
      <c r="E50" s="74" t="n">
        <v>0.6</v>
      </c>
      <c r="F50" s="29" t="inlineStr">
        <is>
          <t>Suelo del margen tras TODOS los costes variables (mercancía, envases, plataforma, medios de pago y varios). Sólo con la mercancía, una taquería deja en torno a un 73 %. Estimación del kit</t>
        </is>
      </c>
      <c r="G50" s="29" t="n"/>
      <c r="H50" s="29" t="n"/>
    </row>
    <row r="51">
      <c r="A51" s="29" t="inlineStr">
        <is>
          <t>Coste de mercancía (comida + bebida)</t>
        </is>
      </c>
      <c r="B51" s="33">
        <f>IFERROR(IF(B9="","",B13+B14),"")</f>
        <v>95957.4</v>
      </c>
      <c r="C51" s="33">
        <f>IFERROR(IF(C9="","",C13+C14),"")</f>
        <v>101714.84400000003</v>
      </c>
      <c r="D51" s="33">
        <f>IFERROR(IF(D9="","",D13+D14),"")</f>
        <v>105783.43776000002</v>
      </c>
      <c r="E51" s="29" t="n"/>
      <c r="F51" s="29" t="n"/>
      <c r="G51" s="29" t="n"/>
      <c r="H51" s="29" t="n"/>
    </row>
    <row r="52">
      <c r="A52" s="29" t="inlineStr">
        <is>
          <t>Coste de mercancía / Ventas</t>
        </is>
      </c>
      <c r="B52" s="68">
        <f>IFERROR(IF(B9="","",B51/B9),"")</f>
        <v>0.26799999999999996</v>
      </c>
      <c r="C52" s="68">
        <f>IFERROR(IF(C9="","",C51/C9),"")</f>
        <v>0.268</v>
      </c>
      <c r="D52" s="68">
        <f>IFERROR(IF(D9="","",D51/D9),"")</f>
        <v>0.268</v>
      </c>
      <c r="E52" s="74" t="n">
        <v>0.29</v>
      </c>
      <c r="F52" s="29" t="inlineStr">
        <is>
          <t>Techo de la materia prima sobre ventas: el taco al pastor sale a un 22,5 % y las carnitas, el suadero, la barbacoa y el aguacate la suben. Estimación del kit</t>
        </is>
      </c>
      <c r="G52" s="29" t="n"/>
      <c r="H52" s="29" t="n"/>
    </row>
    <row r="53">
      <c r="A53" s="29" t="inlineStr">
        <is>
          <t>Coste de personal / Ventas</t>
        </is>
      </c>
      <c r="B53" s="68">
        <f>IFERROR(IF(B9="","",B23/B9),"")</f>
        <v>0.36173919843597263</v>
      </c>
      <c r="C53" s="68">
        <f>IFERROR(IF(C9="","",C23/C9),"")</f>
        <v>0.3570722967436296</v>
      </c>
      <c r="D53" s="68">
        <f>IFERROR(IF(D9="","",D23/D9),"")</f>
        <v>0.3585396141695593</v>
      </c>
      <c r="E53" s="74" t="n">
        <v>0.38</v>
      </c>
      <c r="F53" s="29" t="inlineStr">
        <is>
          <t>Techo del personal sobre ventas con dos taqueros y una sala de dos servicios. Estimación del kit</t>
        </is>
      </c>
      <c r="G53" s="29" t="n"/>
      <c r="H53" s="29" t="n"/>
    </row>
    <row r="54">
      <c r="A54" s="29" t="inlineStr">
        <is>
          <t>Alquiler / Ventas</t>
        </is>
      </c>
      <c r="B54" s="68">
        <f>IFERROR(IF(B9="","",B22/B9),"")</f>
        <v>0.04859656472559699</v>
      </c>
      <c r="C54" s="68">
        <f>IFERROR(IF(C9="","",C22/C9),"")</f>
        <v>0.045845815778865075</v>
      </c>
      <c r="D54" s="68">
        <f>IFERROR(IF(D9="","",D22/D9),"")</f>
        <v>0.044082515171985644</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0.0909466289624354</v>
      </c>
      <c r="C55" s="68">
        <f>IFERROR(IF(C9="","",C47/C9),"")</f>
        <v>0.10281680025188854</v>
      </c>
      <c r="D55" s="68">
        <f>IFERROR(IF(D9="","",D47/D9),"")</f>
        <v>0.09601903720443107</v>
      </c>
      <c r="E55" s="74" t="n">
        <v>0.05</v>
      </c>
      <c r="F55" s="29" t="inlineStr">
        <is>
          <t>Suelo de resultado neto a régimen para que el plan se sostenga. Una taquería bien llevada deja en torno a un 9 %.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taquería con trompo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188335.72</v>
      </c>
      <c r="C6" s="70">
        <f>IFERROR(IF('PyG 3 Años'!$C$9="","",'PyG 3 Años'!$C$37),"")</f>
        <v>194335.72</v>
      </c>
      <c r="D6" s="70">
        <f>IFERROR(IF('PyG 3 Años'!$D$9="","",'PyG 3 Años'!$D$37),"")</f>
        <v>199320.71259039774</v>
      </c>
      <c r="E6" s="29" t="inlineStr">
        <is>
          <t>Los MISMOS costes fijos del P&amp;L. Cada año tiene los suyos: por eso el umbral no puede ser uno solo para los tres</t>
        </is>
      </c>
      <c r="F6" s="29" t="n"/>
    </row>
    <row r="7">
      <c r="A7" s="29" t="inlineStr">
        <is>
          <t>Costes fijos mensuales</t>
        </is>
      </c>
      <c r="B7" s="70">
        <f>IFERROR(IF('PyG 3 Años'!$B$9="","",B6/12),"")</f>
        <v>15694.643333333333</v>
      </c>
      <c r="C7" s="70">
        <f>IFERROR(IF('PyG 3 Años'!$C$9="","",C6/12),"")</f>
        <v>16194.643333333333</v>
      </c>
      <c r="D7" s="70">
        <f>IFERROR(IF('PyG 3 Años'!$D$9="","",D6/12),"")</f>
        <v>16610.059382533145</v>
      </c>
      <c r="E7" s="29" t="n"/>
      <c r="F7" s="29" t="n"/>
    </row>
    <row r="8">
      <c r="A8" s="29" t="inlineStr">
        <is>
          <t>Ticket medio sin IVA</t>
        </is>
      </c>
      <c r="B8" s="70">
        <f>IFERROR(IF('PyG 3 Años'!$B$9="","",'PyG 3 Años'!$B$7),"")</f>
        <v>15.5</v>
      </c>
      <c r="C8" s="70">
        <f>IFERROR(IF('PyG 3 Años'!$C$9="","",'PyG 3 Años'!$C$7),"")</f>
        <v>15.5</v>
      </c>
      <c r="D8" s="70">
        <f>IFERROR(IF('PyG 3 Años'!$D$9="","",'PyG 3 Años'!$D$7),"")</f>
        <v>15.5</v>
      </c>
      <c r="E8" s="29" t="n"/>
      <c r="F8" s="29" t="n"/>
    </row>
    <row r="9">
      <c r="A9" s="29" t="inlineStr">
        <is>
          <t>Coste variable por comensal</t>
        </is>
      </c>
      <c r="B9" s="70">
        <f>IFERROR(IF('PyG 3 Años'!$B$9="","",'PyG 3 Años'!$B$19/('PyG 3 Años'!$B$6*'PyG 3 Años'!$B$8)),"")</f>
        <v>5.6885</v>
      </c>
      <c r="C9" s="70">
        <f>IFERROR(IF('PyG 3 Años'!$C$9="","",'PyG 3 Años'!$C$19/('PyG 3 Años'!$C$6*'PyG 3 Años'!$C$8)),"")</f>
        <v>5.688500000000001</v>
      </c>
      <c r="D9" s="70">
        <f>IFERROR(IF('PyG 3 Años'!$D$9="","",'PyG 3 Años'!$D$19/('PyG 3 Años'!$D$6*'PyG 3 Años'!$D$8)),"")</f>
        <v>5.6885</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9.811499999999999</v>
      </c>
      <c r="C10" s="70">
        <f>IFERROR(IF('PyG 3 Años'!$C$9="","",C8-C9),"")</f>
        <v>9.811499999999999</v>
      </c>
      <c r="D10" s="70">
        <f>IFERROR(IF('PyG 3 Años'!$D$9="","",D8-D9),"")</f>
        <v>9.811499999999999</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16916.79016003765</v>
      </c>
      <c r="D12" s="70">
        <f>IFERROR(IF('PyG 3 Años'!$D$9="","",'Financiación'!$B$49),"")</f>
        <v>17931.797569639908</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19195.40539163227</v>
      </c>
      <c r="C14" s="41">
        <f>IFERROR(IF('PyG 3 Años'!$C$9="","",IF(C10&lt;=0,"",C6/C10)),"")</f>
        <v>19806.93268103756</v>
      </c>
      <c r="D14" s="41">
        <f>IFERROR(IF('PyG 3 Años'!$D$9="","",IF(D10&lt;=0,"",D6/D10)),"")</f>
        <v>20315.00918212279</v>
      </c>
      <c r="E14" s="29" t="n"/>
      <c r="F14" s="29" t="n"/>
    </row>
    <row r="15">
      <c r="A15" s="29" t="inlineStr">
        <is>
          <t>Comensales necesarios al día</t>
        </is>
      </c>
      <c r="B15" s="45">
        <f>IFERROR(IF('PyG 3 Años'!$B$9="","",B14/B11),"")</f>
        <v>63.98468463877423</v>
      </c>
      <c r="C15" s="45">
        <f>IFERROR(IF('PyG 3 Años'!$C$9="","",C14/C11),"")</f>
        <v>66.02310893679187</v>
      </c>
      <c r="D15" s="45">
        <f>IFERROR(IF('PyG 3 Años'!$D$9="","",D14/D11),"")</f>
        <v>67.71669727374264</v>
      </c>
      <c r="E15" s="29" t="n"/>
      <c r="F15" s="29" t="n"/>
    </row>
    <row r="16">
      <c r="A16" s="26" t="inlineStr">
        <is>
          <t>Ingresos necesarios al año</t>
        </is>
      </c>
      <c r="B16" s="27">
        <f>IFERROR(IF('PyG 3 Años'!$B$9="","",B14*B8),"")</f>
        <v>297528.7835703002</v>
      </c>
      <c r="C16" s="27">
        <f>IFERROR(IF('PyG 3 Años'!$C$9="","",C14*C8),"")</f>
        <v>307007.4565560822</v>
      </c>
      <c r="D16" s="27">
        <f>IFERROR(IF('PyG 3 Años'!$D$9="","",D14*D8),"")</f>
        <v>314882.64232290327</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179400.72</v>
      </c>
      <c r="C18" s="70">
        <f>IFERROR(IF('PyG 3 Años'!$C$9="","",C6-'PyG 3 Años'!$C$35+C12),"")</f>
        <v>202317.51016003767</v>
      </c>
      <c r="D18" s="70">
        <f>IFERROR(IF('PyG 3 Años'!$D$9="","",D6-'PyG 3 Años'!$D$35+D12),"")</f>
        <v>208317.51016003767</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18284.739336492894</v>
      </c>
      <c r="C19" s="41">
        <f>IFERROR(IF('PyG 3 Años'!$C$9="","",IF(C10&lt;=0,"",C18/C10)),"")</f>
        <v>20620.446431232504</v>
      </c>
      <c r="D19" s="41">
        <f>IFERROR(IF('PyG 3 Años'!$D$9="","",IF(D10&lt;=0,"",D18/D10)),"")</f>
        <v>21231.97372063779</v>
      </c>
      <c r="E19" s="29" t="n"/>
      <c r="F19" s="29" t="n"/>
    </row>
    <row r="20">
      <c r="A20" s="26" t="inlineStr">
        <is>
          <t>Comensales necesarios al día (caja)</t>
        </is>
      </c>
      <c r="B20" s="46">
        <f>IFERROR(IF('PyG 3 Años'!$B$9="","",B19/B11),"")</f>
        <v>60.94913112164298</v>
      </c>
      <c r="C20" s="46">
        <f>IFERROR(IF('PyG 3 Años'!$C$9="","",C19/C11),"")</f>
        <v>68.73482143744168</v>
      </c>
      <c r="D20" s="46">
        <f>IFERROR(IF('PyG 3 Años'!$D$9="","",D19/D11),"")</f>
        <v>70.7732457354593</v>
      </c>
      <c r="E20" s="29" t="n"/>
      <c r="F20" s="29" t="n"/>
    </row>
    <row r="21">
      <c r="A21" s="29" t="inlineStr">
        <is>
          <t>Ingresos necesarios al año (caja)</t>
        </is>
      </c>
      <c r="B21" s="33">
        <f>IFERROR(IF('PyG 3 Años'!$B$9="","",B19*B8),"")</f>
        <v>283413.4597156399</v>
      </c>
      <c r="C21" s="33">
        <f>IFERROR(IF('PyG 3 Años'!$C$9="","",C19*C8),"")</f>
        <v>319616.9196841038</v>
      </c>
      <c r="D21" s="33">
        <f>IFERROR(IF('PyG 3 Años'!$D$9="","",D19*D8),"")</f>
        <v>329095.5926698857</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77.0</v>
      </c>
      <c r="C23" s="41">
        <f>IFERROR(IF('PyG 3 Años'!$C$9="","",'PyG 3 Años'!$C$6),"")</f>
        <v>81.62</v>
      </c>
      <c r="D23" s="41">
        <f>IFERROR(IF('PyG 3 Años'!$D$9="","",'PyG 3 Años'!$D$6),"")</f>
        <v>84.88480000000001</v>
      </c>
      <c r="E23" s="29" t="n"/>
      <c r="F23" s="29" t="n"/>
    </row>
    <row r="24">
      <c r="A24" s="29" t="inlineStr">
        <is>
          <t>Holgura sobre el equilibrio de CAJA (%)</t>
        </is>
      </c>
      <c r="B24" s="68">
        <f>IFERROR(IF('PyG 3 Años'!$B$9="","",B23/B20-1),"")</f>
        <v>0.2633486086343464</v>
      </c>
      <c r="C24" s="68">
        <f>IFERROR(IF('PyG 3 Años'!$C$9="","",C23/C20-1),"")</f>
        <v>0.18746216681868644</v>
      </c>
      <c r="D24" s="68">
        <f>IFERROR(IF('PyG 3 Años'!$D$9="","",D23/D20-1),"")</f>
        <v>0.1993910851183478</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hacer con comidas, cenas y un segundo turno de cena el sábado (estancias de 35-45 minutos). Es el techo físico del local, no un objetivo</t>
        </is>
      </c>
      <c r="F25" s="29" t="n"/>
    </row>
    <row r="26">
      <c r="A26" s="29" t="inlineStr">
        <is>
          <t>Rotaciones al día que exige el equilibrio de caja</t>
        </is>
      </c>
      <c r="B26" s="45">
        <f>IFERROR(IF('PyG 3 Años'!$B$9="","",B20/'0. Supuestos'!$B$51),"")</f>
        <v>1.904660347551343</v>
      </c>
      <c r="C26" s="45">
        <f>IFERROR(IF('PyG 3 Años'!$C$9="","",C20/'0. Supuestos'!$B$51),"")</f>
        <v>2.1479631699200525</v>
      </c>
      <c r="D26" s="45">
        <f>IFERROR(IF('PyG 3 Años'!$D$9="","",D20/'0. Supuestos'!$B$51),"")</f>
        <v>2.211663929233103</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64 comensales al día durante los 300 días que abres para no perder dinero (equilibrio contable, con la amortización dentro), y 61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13.5</v>
      </c>
      <c r="C33" s="72">
        <f>IFERROR(IF($B$8="","",$B$8),"")</f>
        <v>15.5</v>
      </c>
      <c r="D33" s="72">
        <f>IFERROR($B$8+2,"")</f>
        <v>17.5</v>
      </c>
      <c r="E33" s="72">
        <f>IFERROR($B$8+4,"")</f>
        <v>19.5</v>
      </c>
      <c r="F33" s="29" t="n"/>
    </row>
    <row r="34">
      <c r="A34" s="70">
        <f>IFERROR($B$9*0.85,"")</f>
        <v>4.835225</v>
      </c>
      <c r="B34" s="45">
        <f>IFERROR(IF($B$33-$A34&lt;=0,"",$B$6/($B$33-$A34)/$B$11),"")</f>
        <v>72.45262956433761</v>
      </c>
      <c r="C34" s="45">
        <f>IFERROR(IF($C$33-$A34&lt;=0,"",$B$6/($C$33-$A34)/$B$11),"")</f>
        <v>58.865351902251426</v>
      </c>
      <c r="D34" s="45">
        <f>IFERROR(IF($D$33-$A34&lt;=0,"",$B$6/($D$33-$A34)/$B$11),"")</f>
        <v>49.569434382634775</v>
      </c>
      <c r="E34" s="45">
        <f>IFERROR(IF($E$33-$A34&lt;=0,"",$B$6/($E$33-$A34)/$B$11),"")</f>
        <v>42.809094127481224</v>
      </c>
      <c r="F34" s="29" t="n"/>
    </row>
    <row r="35">
      <c r="A35" s="70">
        <f>IFERROR($B$9*0.925,"")</f>
        <v>5.2618625</v>
      </c>
      <c r="B35" s="45">
        <f>IFERROR(IF($B$33-$A35&lt;=0,"",$B$6/($B$33-$A35)/$B$11),"")</f>
        <v>76.20481368917832</v>
      </c>
      <c r="C35" s="45">
        <f>IFERROR(IF($C$33-$A35&lt;=0,"",$B$6/($C$33-$A35)/$B$11),"")</f>
        <v>61.31835339516912</v>
      </c>
      <c r="D35" s="45">
        <f>IFERROR(IF($D$33-$A35&lt;=0,"",$B$6/($D$33-$A35)/$B$11),"")</f>
        <v>51.297489780069334</v>
      </c>
      <c r="E35" s="45">
        <f>IFERROR(IF($E$33-$A35&lt;=0,"",$B$6/($E$33-$A35)/$B$11),"")</f>
        <v>44.0918437073201</v>
      </c>
      <c r="F35" s="29" t="n"/>
    </row>
    <row r="36">
      <c r="A36" s="70">
        <f>IFERROR($B$9*1.0,"")</f>
        <v>5.6885</v>
      </c>
      <c r="B36" s="45">
        <f>IFERROR(IF($B$33-$A36&lt;=0,"",$B$6/($B$33-$A36)/$B$11),"")</f>
        <v>80.36686082485225</v>
      </c>
      <c r="C36" s="45">
        <f>IFERROR(IF($C$33-$A36&lt;=0,"",$B$6/($C$33-$A36)/$B$11),"")</f>
        <v>63.98468463877423</v>
      </c>
      <c r="D36" s="45">
        <f>IFERROR(IF($D$33-$A36&lt;=0,"",$B$6/($D$33-$A36)/$B$11),"")</f>
        <v>53.15038169016073</v>
      </c>
      <c r="E36" s="45">
        <f>IFERROR(IF($E$33-$A36&lt;=0,"",$B$6/($E$33-$A36)/$B$11),"")</f>
        <v>45.45384160542544</v>
      </c>
      <c r="F36" s="29" t="n"/>
    </row>
    <row r="37">
      <c r="A37" s="70">
        <f>IFERROR($B$9*1.075,"")</f>
        <v>6.1151375</v>
      </c>
      <c r="B37" s="45">
        <f>IFERROR(IF($B$33-$A37&lt;=0,"",$B$6/($B$33-$A37)/$B$11),"")</f>
        <v>85.00980665968166</v>
      </c>
      <c r="C37" s="45">
        <f>IFERROR(IF($C$33-$A37&lt;=0,"",$B$6/($C$33-$A37)/$B$11),"")</f>
        <v>66.89343965703635</v>
      </c>
      <c r="D37" s="45">
        <f>IFERROR(IF($D$33-$A37&lt;=0,"",$B$6/($D$33-$A37)/$B$11),"")</f>
        <v>55.142144521581464</v>
      </c>
      <c r="E37" s="45">
        <f>IFERROR(IF($E$33-$A37&lt;=0,"",$B$6/($E$33-$A37)/$B$11),"")</f>
        <v>46.90266585355907</v>
      </c>
      <c r="F37" s="29" t="n"/>
    </row>
    <row r="38">
      <c r="A38" s="70">
        <f>IFERROR($B$9*1.15,"")</f>
        <v>6.5417749999999995</v>
      </c>
      <c r="B38" s="45">
        <f>IFERROR(IF($B$33-$A38&lt;=0,"",$B$6/($B$33-$A38)/$B$11),"")</f>
        <v>90.2221088472036</v>
      </c>
      <c r="C38" s="45">
        <f>IFERROR(IF($C$33-$A38&lt;=0,"",$B$6/($C$33-$A38)/$B$11),"")</f>
        <v>70.07925491191986</v>
      </c>
      <c r="D38" s="45">
        <f>IFERROR(IF($D$33-$A38&lt;=0,"",$B$6/($D$33-$A38)/$B$11),"")</f>
        <v>57.288998294279715</v>
      </c>
      <c r="E38" s="45">
        <f>IFERROR(IF($E$33-$A38&lt;=0,"",$B$6/($E$33-$A38)/$B$11),"")</f>
        <v>48.44689248205933</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65</v>
      </c>
      <c r="C5" s="41">
        <f>IFERROR(IF('PyG 3 Años'!$B$6="","",'PyG 3 Años'!$B$6),"")</f>
        <v>77.0</v>
      </c>
      <c r="D5" s="51" t="n">
        <v>88</v>
      </c>
      <c r="E5" s="29" t="n"/>
      <c r="F5" s="29" t="n"/>
    </row>
    <row r="6">
      <c r="A6" s="29" t="inlineStr">
        <is>
          <t>Ticket medio sin IVA</t>
        </is>
      </c>
      <c r="B6" s="73" t="n">
        <v>14.75</v>
      </c>
      <c r="C6" s="70">
        <f>IFERROR(IF('PyG 3 Años'!$B$7="","",'PyG 3 Años'!$B$7),"")</f>
        <v>15.5</v>
      </c>
      <c r="D6" s="73" t="n">
        <v>16.5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282831.25</v>
      </c>
      <c r="C8" s="27">
        <f>IFERROR(IF(C5*C6*C7=0,"",C5*C6*C7),"")</f>
        <v>358050.0</v>
      </c>
      <c r="D8" s="27">
        <f>IFERROR(IF(D5*D6*D7=0,"",D5*D6*D7),"")</f>
        <v>442860.0</v>
      </c>
      <c r="E8" s="29" t="n"/>
      <c r="F8" s="29" t="n"/>
    </row>
    <row r="9">
      <c r="A9" s="29" t="inlineStr">
        <is>
          <t>Coste de mercancía — comida</t>
        </is>
      </c>
      <c r="B9" s="33">
        <f>IFERROR(IF(B8="","",B8*'0. Supuestos'!$B$11*'0. Supuestos'!$B$13),"")</f>
        <v>61091.55</v>
      </c>
      <c r="C9" s="33">
        <f>IFERROR(IF(C8="","",C8*'0. Supuestos'!$B$11*'0. Supuestos'!$B$13),"")</f>
        <v>77338.8</v>
      </c>
      <c r="D9" s="33">
        <f>IFERROR(IF(D8="","",D8*'0. Supuestos'!$B$11*'0. Supuestos'!$B$13),"")</f>
        <v>95657.76000000001</v>
      </c>
      <c r="E9" s="29" t="n"/>
      <c r="F9" s="29" t="n"/>
    </row>
    <row r="10">
      <c r="A10" s="29" t="inlineStr">
        <is>
          <t>Coste de mercancía — bebida</t>
        </is>
      </c>
      <c r="B10" s="33">
        <f>IFERROR(IF(B8="","",B8*'0. Supuestos'!$B$12*'0. Supuestos'!$B$14),"")</f>
        <v>14707.224999999997</v>
      </c>
      <c r="C10" s="33">
        <f>IFERROR(IF(C8="","",C8*'0. Supuestos'!$B$12*'0. Supuestos'!$B$14),"")</f>
        <v>18618.6</v>
      </c>
      <c r="D10" s="33">
        <f>IFERROR(IF(D8="","",D8*'0. Supuestos'!$B$12*'0. Supuestos'!$B$14),"")</f>
        <v>23028.719999999998</v>
      </c>
      <c r="E10" s="29" t="n"/>
      <c r="F10" s="29" t="n"/>
    </row>
    <row r="11">
      <c r="A11" s="29" t="inlineStr">
        <is>
          <t>Consumibles y envases</t>
        </is>
      </c>
      <c r="B11" s="33">
        <f>IFERROR(IF(B8="","",B8*'0. Supuestos'!$B$15),"")</f>
        <v>9899.093750000002</v>
      </c>
      <c r="C11" s="33">
        <f>IFERROR(IF(C8="","",C8*'0. Supuestos'!$B$15),"")</f>
        <v>12531.750000000002</v>
      </c>
      <c r="D11" s="33">
        <f>IFERROR(IF(D8="","",D8*'0. Supuestos'!$B$15),"")</f>
        <v>15500.100000000002</v>
      </c>
      <c r="E11" s="29" t="n"/>
      <c r="F11" s="29" t="n"/>
    </row>
    <row r="12">
      <c r="A12" s="29" t="inlineStr">
        <is>
          <t>Comisiones de delivery</t>
        </is>
      </c>
      <c r="B12" s="33">
        <f>IFERROR(IF(B8="","",B8*'0. Supuestos'!$B$16*'0. Supuestos'!$B$17),"")</f>
        <v>10181.925</v>
      </c>
      <c r="C12" s="33">
        <f>IFERROR(IF(C8="","",C8*'0. Supuestos'!$B$16*'0. Supuestos'!$B$17),"")</f>
        <v>12889.8</v>
      </c>
      <c r="D12" s="33">
        <f>IFERROR(IF(D8="","",D8*'0. Supuestos'!$B$16*'0. Supuestos'!$B$17),"")</f>
        <v>15942.96</v>
      </c>
      <c r="E12" s="29" t="n"/>
      <c r="F12" s="29" t="n"/>
    </row>
    <row r="13">
      <c r="A13" s="29" t="inlineStr">
        <is>
          <t>Comisiones de los medios de pago</t>
        </is>
      </c>
      <c r="B13" s="33">
        <f>IFERROR(IF(B8="","",B8*'0. Supuestos'!$B$18),"")</f>
        <v>2262.65</v>
      </c>
      <c r="C13" s="33">
        <f>IFERROR(IF(C8="","",C8*'0. Supuestos'!$B$18),"")</f>
        <v>2864.4</v>
      </c>
      <c r="D13" s="33">
        <f>IFERROR(IF(D8="","",D8*'0. Supuestos'!$B$18),"")</f>
        <v>3542.88</v>
      </c>
      <c r="E13" s="29" t="n"/>
      <c r="F13" s="29" t="n"/>
    </row>
    <row r="14">
      <c r="A14" s="29" t="inlineStr">
        <is>
          <t>Varios e imprevistos</t>
        </is>
      </c>
      <c r="B14" s="33">
        <f>IFERROR(IF(B8="","",B8*'0. Supuestos'!$B$28),"")</f>
        <v>5656.625</v>
      </c>
      <c r="C14" s="33">
        <f>IFERROR(IF(C8="","",C8*'0. Supuestos'!$B$28),"")</f>
        <v>7161.0</v>
      </c>
      <c r="D14" s="33">
        <f>IFERROR(IF(D8="","",D8*'0. Supuestos'!$B$28),"")</f>
        <v>8857.2</v>
      </c>
      <c r="E14" s="29" t="n"/>
      <c r="F14" s="29" t="n"/>
    </row>
    <row r="15">
      <c r="A15" s="29" t="inlineStr">
        <is>
          <t>TOTAL COSTES VARIABLES</t>
        </is>
      </c>
      <c r="B15" s="33">
        <f>IFERROR(IF(B8="","",SUM(B9:B14)),"")</f>
        <v>103799.06875</v>
      </c>
      <c r="C15" s="33">
        <f>IFERROR(IF(C8="","",SUM(C9:C14)),"")</f>
        <v>131404.35</v>
      </c>
      <c r="D15" s="33">
        <f>IFERROR(IF(D8="","",SUM(D9:D14)),"")</f>
        <v>162529.62</v>
      </c>
      <c r="E15" s="29" t="n"/>
      <c r="F15" s="29" t="n"/>
    </row>
    <row r="16">
      <c r="A16" s="29" t="inlineStr">
        <is>
          <t>MARGEN BRUTO</t>
        </is>
      </c>
      <c r="B16" s="33">
        <f>IFERROR(IF(B8="","",B8-B15),"")</f>
        <v>179032.18125</v>
      </c>
      <c r="C16" s="33">
        <f>IFERROR(IF(C8="","",C8-C15),"")</f>
        <v>226645.65</v>
      </c>
      <c r="D16" s="33">
        <f>IFERROR(IF(D8="","",D8-D15),"")</f>
        <v>280330.38</v>
      </c>
      <c r="E16" s="29" t="n"/>
      <c r="F16" s="29" t="n"/>
    </row>
    <row r="17">
      <c r="A17" s="29" t="inlineStr">
        <is>
          <t>COSTES FIJOS (los del P&amp;L)</t>
        </is>
      </c>
      <c r="B17" s="33">
        <f>IFERROR(IF(B8="","",'PyG 3 Años'!$B$37),"")</f>
        <v>188335.72</v>
      </c>
      <c r="C17" s="33">
        <f>IFERROR(IF(C8="","",'PyG 3 Años'!$B$37),"")</f>
        <v>188335.72</v>
      </c>
      <c r="D17" s="33">
        <f>IFERROR(IF(D8="","",'PyG 3 Años'!$B$37),"")</f>
        <v>188335.72</v>
      </c>
      <c r="E17" s="29" t="inlineStr">
        <is>
          <t>Los costes fijos no cambian con el escenario: por eso son fijos</t>
        </is>
      </c>
      <c r="F17" s="29" t="n"/>
    </row>
    <row r="18">
      <c r="A18" s="26" t="inlineStr">
        <is>
          <t>RESULTADO ANTES DE IMPUESTOS</t>
        </is>
      </c>
      <c r="B18" s="27">
        <f>IFERROR(IF(B8="","",B16-B17),"")</f>
        <v>-9303.538750000007</v>
      </c>
      <c r="C18" s="27">
        <f>IFERROR(IF(C8="","",C16-C17),"")</f>
        <v>38309.92999999999</v>
      </c>
      <c r="D18" s="27">
        <f>IFERROR(IF(D8="","",D16-D17),"")</f>
        <v>91994.66</v>
      </c>
      <c r="E18" s="29" t="n"/>
      <c r="F18" s="29" t="n"/>
    </row>
    <row r="19">
      <c r="A19" s="29" t="inlineStr">
        <is>
          <t>Impuesto de Sociedades</t>
        </is>
      </c>
      <c r="B19" s="33">
        <f>IFERROR(IF(B8="","",MAX(0,B18-'0. Supuestos'!$B$42)*'0. Supuestos'!$B$37),"")</f>
        <v>0.0</v>
      </c>
      <c r="C19" s="33">
        <f>IFERROR(IF(C8="","",MAX(0,C18-'0. Supuestos'!$B$42)*'0. Supuestos'!$B$37),"")</f>
        <v>5746.489499999999</v>
      </c>
      <c r="D19" s="33">
        <f>IFERROR(IF(D8="","",MAX(0,D18-'0. Supuestos'!$B$42)*'0. Supuestos'!$B$37),"")</f>
        <v>13799.199</v>
      </c>
      <c r="E19" s="29" t="inlineStr">
        <is>
          <t>Al tipo de entidad de nueva creación, compensando las bases negativas anteriores</t>
        </is>
      </c>
      <c r="F19" s="29" t="n"/>
    </row>
    <row r="20">
      <c r="A20" s="26" t="inlineStr">
        <is>
          <t>RESULTADO NETO</t>
        </is>
      </c>
      <c r="B20" s="27">
        <f>IFERROR(IF(B8="","",B18-B19),"")</f>
        <v>-9303.538750000007</v>
      </c>
      <c r="C20" s="27">
        <f>IFERROR(IF(C8="","",C18-C19),"")</f>
        <v>32563.440499999993</v>
      </c>
      <c r="D20" s="27">
        <f>IFERROR(IF(D8="","",D18-D19),"")</f>
        <v>78195.46100000001</v>
      </c>
      <c r="E20" s="29" t="n"/>
      <c r="F20" s="29" t="n"/>
    </row>
    <row r="21">
      <c r="A21" s="29" t="inlineStr">
        <is>
          <t>Comensales/día para el equilibrio</t>
        </is>
      </c>
      <c r="B21" s="45">
        <f>IFERROR(IF(B8="","",IF(B6-B15/(B5*B7)&lt;=0,"",B17/(B6-B15/(B5*B7))/B7)),"")</f>
        <v>68.37777272514799</v>
      </c>
      <c r="C21" s="45">
        <f>IFERROR(IF(C8="","",IF(C6-C15/(C5*C7)&lt;=0,"",C17/(C6-C15/(C5*C7))/C7)),"")</f>
        <v>63.98468463877423</v>
      </c>
      <c r="D21" s="45">
        <f>IFERROR(IF(D8="","",IF(D6-D15/(D5*D7)&lt;=0,"",D17/(D6-D15/(D5*D7))/D7)),"")</f>
        <v>59.121467177406885</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0.45794345568249617</v>
      </c>
      <c r="C23" s="68">
        <f>IFERROR(IF(C8="","",'PyG 3 Años'!$B$23/C8),"")</f>
        <v>0.36173919843597263</v>
      </c>
      <c r="D23" s="68">
        <f>IFERROR(IF(D8="","",'PyG 3 Años'!$B$23/D8),"")</f>
        <v>0.2924642550693221</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4168.478260869566</v>
      </c>
      <c r="C24" s="41">
        <f>IFERROR(IF(C8="","",C5*C7/'Personal'!$C$12),"")</f>
        <v>5021.739130434783</v>
      </c>
      <c r="D24" s="41">
        <f>IFERROR(IF(D8="","",D5*D7/'Personal'!$C$12),"")</f>
        <v>5834.782608695653</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44481.64124999999</v>
      </c>
      <c r="C25" s="27">
        <f>IFERROR(IF(C8="","",'Inversión Inicial'!$B$29+C20+'PyG 3 Años'!$B$35-'Financiación'!$B$45),"")</f>
        <v>86348.62049999999</v>
      </c>
      <c r="D25" s="27">
        <f>IFERROR(IF(D8="","",'Inversión Inicial'!$B$29+D20+'PyG 3 Años'!$B$35-'Financiación'!$B$45),"")</f>
        <v>131980.641</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115132.8762093426</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taquero/a jefe: marinado, trompo, compras y gestión</t>
        </is>
      </c>
      <c r="B5" s="51" t="n">
        <v>1</v>
      </c>
      <c r="C5" s="53" t="n">
        <v>1</v>
      </c>
      <c r="D5" s="73" t="n">
        <v>1900</v>
      </c>
      <c r="E5" s="70">
        <f>IFERROR(IF(D5="","",D5*'0. Supuestos'!$B$20),"")</f>
        <v>627.0</v>
      </c>
      <c r="F5" s="70">
        <f>IFERROR(IF(D5="","",D5+E5),"")</f>
        <v>2527.0</v>
      </c>
      <c r="G5" s="70">
        <f>IFERROR(IF(D5="","",F5*MAX(12,'0. Supuestos'!$B$21)),"")</f>
        <v>35378.0</v>
      </c>
      <c r="H5" s="45">
        <f>IFERROR(IF(D5="","",C5*$B$19),"")</f>
        <v>40.0</v>
      </c>
      <c r="I5" s="41">
        <f>IFERROR(IF(D5="","",H5*B5*$B$20),"")</f>
        <v>1840.0</v>
      </c>
      <c r="J5" s="29" t="inlineStr">
        <is>
          <t>Marina y monta el trompo, lleva el corte en el turno fuerte, compra (el importador de chiles y producto mexicano incluido)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Taquero/a de trompo, plancha y comal</t>
        </is>
      </c>
      <c r="B6" s="51" t="n">
        <v>1</v>
      </c>
      <c r="C6" s="53" t="n">
        <v>1</v>
      </c>
      <c r="D6" s="73" t="n">
        <v>1450</v>
      </c>
      <c r="E6" s="70">
        <f>IFERROR(IF(D6="","",D6*'0. Supuestos'!$B$20),"")</f>
        <v>478.5</v>
      </c>
      <c r="F6" s="70">
        <f>IFERROR(IF(D6="","",D6+E6),"")</f>
        <v>1928.5</v>
      </c>
      <c r="G6" s="70">
        <f>IFERROR(IF(D6="","",F6*MAX(12,'0. Supuestos'!$B$21)),"")</f>
        <v>26999.0</v>
      </c>
      <c r="H6" s="45">
        <f>IFERROR(IF(D6="","",C6*$B$19),"")</f>
        <v>40.0</v>
      </c>
      <c r="I6" s="41">
        <f>IFERROR(IF(D6="","",H6*B6*$B$20),"")</f>
        <v>1840.0</v>
      </c>
      <c r="J6" s="29" t="inlineStr">
        <is>
          <t>Corta el trompo, lleva la plancha y el comal y sabe marinar con el titular. Es inversión, no gasto: si sólo el titular sabe marinar y cortar el trompo, una baja cierra la taquería</t>
        </is>
      </c>
    </row>
    <row r="7">
      <c r="A7" s="29" t="inlineStr">
        <is>
          <t>Cocinero/a de producción y salsas</t>
        </is>
      </c>
      <c r="B7" s="51" t="n">
        <v>1</v>
      </c>
      <c r="C7" s="53" t="n">
        <v>0.75</v>
      </c>
      <c r="D7" s="73" t="n">
        <v>1013</v>
      </c>
      <c r="E7" s="70">
        <f>IFERROR(IF(D7="","",D7*'0. Supuestos'!$B$20),"")</f>
        <v>334.29</v>
      </c>
      <c r="F7" s="70">
        <f>IFERROR(IF(D7="","",D7+E7),"")</f>
        <v>1347.29</v>
      </c>
      <c r="G7" s="70">
        <f>IFERROR(IF(D7="","",F7*MAX(12,'0. Supuestos'!$B$21)),"")</f>
        <v>18862.059999999998</v>
      </c>
      <c r="H7" s="45">
        <f>IFERROR(IF(D7="","",C7*$B$19),"")</f>
        <v>30.0</v>
      </c>
      <c r="I7" s="41">
        <f>IFERROR(IF(D7="","",H7*B7*$B$20),"")</f>
        <v>1380.0</v>
      </c>
      <c r="J7" s="29" t="inlineStr">
        <is>
          <t>Carnitas y guisados, salsas, aguas frescas, mise en place y friegue, 30 horas a la semana</t>
        </is>
      </c>
    </row>
    <row r="8">
      <c r="A8" s="29" t="inlineStr">
        <is>
          <t>Encargado/a de sala, barra y mostrador</t>
        </is>
      </c>
      <c r="B8" s="51" t="n">
        <v>1</v>
      </c>
      <c r="C8" s="53" t="n">
        <v>1</v>
      </c>
      <c r="D8" s="73" t="n">
        <v>1450</v>
      </c>
      <c r="E8" s="70">
        <f>IFERROR(IF(D8="","",D8*'0. Supuestos'!$B$20),"")</f>
        <v>478.5</v>
      </c>
      <c r="F8" s="70">
        <f>IFERROR(IF(D8="","",D8+E8),"")</f>
        <v>1928.5</v>
      </c>
      <c r="G8" s="70">
        <f>IFERROR(IF(D8="","",F8*MAX(12,'0. Supuestos'!$B$21)),"")</f>
        <v>26999.0</v>
      </c>
      <c r="H8" s="45">
        <f>IFERROR(IF(D8="","",C8*$B$19),"")</f>
        <v>40.0</v>
      </c>
      <c r="I8" s="41">
        <f>IFERROR(IF(D8="","",H8*B8*$B$20),"")</f>
        <v>1840.0</v>
      </c>
      <c r="J8" s="29" t="inlineStr">
        <is>
          <t>Todo el año: sala, barra, caja, pedidos para llevar, la tablet de las plataformas y la información de alérgenos</t>
        </is>
      </c>
    </row>
    <row r="9">
      <c r="A9" s="29" t="inlineStr">
        <is>
          <t>Camarero/a de cenas y fines de semana</t>
        </is>
      </c>
      <c r="B9" s="51" t="n">
        <v>1</v>
      </c>
      <c r="C9" s="53" t="n">
        <v>0.5</v>
      </c>
      <c r="D9" s="73" t="n">
        <v>675</v>
      </c>
      <c r="E9" s="70">
        <f>IFERROR(IF(D9="","",D9*'0. Supuestos'!$B$20),"")</f>
        <v>222.75</v>
      </c>
      <c r="F9" s="70">
        <f>IFERROR(IF(D9="","",D9+E9),"")</f>
        <v>897.75</v>
      </c>
      <c r="G9" s="70">
        <f>IFERROR(IF(D9="","",F9*MAX(12,'0. Supuestos'!$B$21)),"")</f>
        <v>12568.5</v>
      </c>
      <c r="H9" s="45">
        <f>IFERROR(IF(D9="","",C9*$B$19),"")</f>
        <v>20.0</v>
      </c>
      <c r="I9" s="41">
        <f>IFERROR(IF(D9="","",H9*B9*$B$20),"")</f>
        <v>920.0</v>
      </c>
      <c r="J9" s="29" t="inlineStr">
        <is>
          <t>20 horas a la semana: las cenas y el fin de semana, cuando la sala se llena</t>
        </is>
      </c>
    </row>
    <row r="10">
      <c r="A10" s="29" t="inlineStr">
        <is>
          <t>Refuerzo de viernes a domingo: barra, terraza y recogidas</t>
        </is>
      </c>
      <c r="B10" s="51" t="n">
        <v>1</v>
      </c>
      <c r="C10" s="53" t="n">
        <v>0.25</v>
      </c>
      <c r="D10" s="73" t="n">
        <v>338</v>
      </c>
      <c r="E10" s="70">
        <f>IFERROR(IF(D10="","",D10*'0. Supuestos'!$B$20),"")</f>
        <v>111.54</v>
      </c>
      <c r="F10" s="70">
        <f>IFERROR(IF(D10="","",D10+E10),"")</f>
        <v>449.54</v>
      </c>
      <c r="G10" s="70">
        <f>IFERROR(IF(D10="","",F10*MAX(12,'0. Supuestos'!$B$21)),"")</f>
        <v>6293.56</v>
      </c>
      <c r="H10" s="45">
        <f>IFERROR(IF(D10="","",C10*$B$19),"")</f>
        <v>10.0</v>
      </c>
      <c r="I10" s="41">
        <f>IFERROR(IF(D10="","",H10*B10*$B$20),"")</f>
        <v>460.0</v>
      </c>
      <c r="J10" s="29" t="inlineStr">
        <is>
          <t>Barra y terraza en temporada y el mostrador de recogidas. Este plan NO tiene reparto propio: si lo pones, el repartidor va con contrato laboral del convenio de hostelería, nunca como autónomo</t>
        </is>
      </c>
    </row>
    <row r="11">
      <c r="A11" s="29" t="inlineStr">
        <is>
          <t>Suplencias de vacaciones y descansos</t>
        </is>
      </c>
      <c r="B11" s="51" t="n">
        <v>1</v>
      </c>
      <c r="C11" s="53" t="n">
        <v>0.1</v>
      </c>
      <c r="D11" s="73" t="n">
        <v>130</v>
      </c>
      <c r="E11" s="70">
        <f>IFERROR(IF(D11="","",D11*'0. Supuestos'!$B$20),"")</f>
        <v>42.9</v>
      </c>
      <c r="F11" s="70">
        <f>IFERROR(IF(D11="","",D11+E11),"")</f>
        <v>172.9</v>
      </c>
      <c r="G11" s="70">
        <f>IFERROR(IF(D11="","",F11*MAX(12,'0. Supuestos'!$B$21)),"")</f>
        <v>2420.6</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4.6</v>
      </c>
      <c r="D12" s="72">
        <f>IFERROR(IF(COUNT(D5:D11)=0,"",SUM(D5:D11)),"")</f>
        <v>6956.0</v>
      </c>
      <c r="E12" s="72">
        <f>IFERROR(IF(COUNT(D5:D11)=0,"",SUM(E5:E11)),"")</f>
        <v>2295.48</v>
      </c>
      <c r="F12" s="72">
        <f>IFERROR(IF(COUNT(D5:D11)=0,"",SUM(F5:F11)),"")</f>
        <v>9251.48</v>
      </c>
      <c r="G12" s="72">
        <f>IFERROR(IF(COUNT(D5:D11)=0,"",SUM(G5:G11)),"")</f>
        <v>129520.72</v>
      </c>
      <c r="H12" s="29" t="n"/>
      <c r="I12" s="54">
        <f>IFERROR(IF(COUNT(D5:D11)=0,"",SUM(I5:I11)),"")</f>
        <v>8464.0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135520.72</v>
      </c>
      <c r="C16" s="29" t="n"/>
      <c r="D16" s="29" t="n"/>
      <c r="E16" s="29" t="n"/>
      <c r="F16" s="29" t="n"/>
      <c r="G16" s="29" t="n"/>
      <c r="H16" s="29" t="n"/>
      <c r="I16" s="29" t="n"/>
      <c r="J16" s="29" t="n"/>
    </row>
    <row r="17">
      <c r="A17" s="29" t="inlineStr">
        <is>
          <t>Coste de personal del año 3</t>
        </is>
      </c>
      <c r="B17" s="33">
        <f>IFERROR(IF(B16="","",B16*(1+'0. Supuestos'!$B$48)+B15),"")</f>
        <v>141520.72</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8.5</v>
      </c>
      <c r="C21" s="29" t="n"/>
      <c r="D21" s="29" t="n"/>
      <c r="E21" s="29" t="n"/>
      <c r="F21" s="29" t="n"/>
      <c r="G21" s="29" t="n"/>
      <c r="H21" s="29" t="n"/>
      <c r="I21" s="29" t="n"/>
      <c r="J21" s="29" t="inlineStr">
        <is>
          <t>Horas con el local abierto al público, sumando las comidas (13:30-16:30) y las cenas (20:00-23:30) y la preparación de cada servicio. La tarde de cierre entre los dos no se cuenta</t>
        </is>
      </c>
    </row>
    <row r="22">
      <c r="A22" s="29" t="inlineStr">
        <is>
          <t>Personas necesarias a la vez en cada franja</t>
        </is>
      </c>
      <c r="B22" s="47" t="n">
        <v>2.7</v>
      </c>
      <c r="C22" s="29" t="n"/>
      <c r="D22" s="29" t="n"/>
      <c r="E22" s="29" t="n"/>
      <c r="F22" s="29" t="n"/>
      <c r="G22" s="29" t="n"/>
      <c r="H22" s="29" t="n"/>
      <c r="I22" s="29" t="n"/>
      <c r="J22" s="29" t="inlineStr">
        <is>
          <t>Presencia media a la vez entre el trompo, la plancha o el comal, la sala y el mostrador. El sábado por la noche hacen falta cinco: entran el refuerzo y el camarero de cenas (el cuadrante anual no lo ve: ponlo en el turno)</t>
        </is>
      </c>
    </row>
    <row r="23">
      <c r="A23" s="29" t="inlineStr">
        <is>
          <t>Horas de producción al día ANTES de abrir</t>
        </is>
      </c>
      <c r="B23" s="47" t="n">
        <v>2.5</v>
      </c>
      <c r="C23" s="29" t="n"/>
      <c r="D23" s="29" t="n"/>
      <c r="E23" s="29" t="n"/>
      <c r="F23" s="29" t="n"/>
      <c r="G23" s="29" t="n"/>
      <c r="H23" s="29" t="n"/>
      <c r="I23" s="29" t="n"/>
      <c r="J23" s="29" t="inlineStr">
        <is>
          <t>Marinado del día siguiente, montaje del cono, carnitas y guisados, salsas y mise en place antes de abrir</t>
        </is>
      </c>
    </row>
    <row r="24">
      <c r="A24" s="29" t="inlineStr">
        <is>
          <t>Personas en el turno de producción</t>
        </is>
      </c>
      <c r="B24" s="47" t="n">
        <v>1.5</v>
      </c>
      <c r="C24" s="29" t="n"/>
      <c r="D24" s="29" t="n"/>
      <c r="E24" s="29" t="n"/>
      <c r="F24" s="29" t="n"/>
      <c r="G24" s="29" t="n"/>
      <c r="H24" s="29" t="n"/>
      <c r="I24" s="29" t="n"/>
      <c r="J24" s="29" t="inlineStr">
        <is>
          <t>El titular con el cocinero de producción. El cierre, la limpieza y las compras quedan fuera de este cuadrante: son el margen entre las horas contratadas y las necesarias</t>
        </is>
      </c>
    </row>
    <row r="25">
      <c r="A25" s="29" t="inlineStr">
        <is>
          <t>Horas de servicio a cubrir al año</t>
        </is>
      </c>
      <c r="B25" s="41">
        <f>IFERROR(IF(OR(B21="",B22="",'0. Supuestos'!$B$6=""),"",B21*B22*'0. Supuestos'!$B$6+B23*B24*'0. Supuestos'!$B$6),"")</f>
        <v>8010.000000000001</v>
      </c>
      <c r="C25" s="29" t="n"/>
      <c r="D25" s="29" t="n"/>
      <c r="E25" s="29" t="n"/>
      <c r="F25" s="29" t="n"/>
      <c r="G25" s="29" t="n"/>
      <c r="H25" s="29" t="n"/>
      <c r="I25" s="29" t="n"/>
      <c r="J25" s="29" t="n"/>
    </row>
    <row r="26">
      <c r="A26" s="29" t="inlineStr">
        <is>
          <t>Horas contratadas al año</t>
        </is>
      </c>
      <c r="B26" s="41">
        <f>IFERROR(IF(I12="","",I12),"")</f>
        <v>8464.0</v>
      </c>
      <c r="C26" s="29" t="n"/>
      <c r="D26" s="29" t="n"/>
      <c r="E26" s="29" t="n"/>
      <c r="F26" s="29" t="n"/>
      <c r="G26" s="29" t="n"/>
      <c r="H26" s="29" t="n"/>
      <c r="I26" s="29" t="n"/>
      <c r="J26" s="29" t="n"/>
    </row>
    <row r="27">
      <c r="A27" s="26" t="inlineStr">
        <is>
          <t>Cobertura (contratadas / necesarias)</t>
        </is>
      </c>
      <c r="B27" s="67">
        <f>IFERROR(B26/B25,"")</f>
        <v>1.0566791510611735</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Taquería</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—los tacos incluidos—, que son productos alimenticios al tipo reducido por el art. 91.Uno.1.1.º; y entre 1,21 el tipo general, que en hostelería sólo alcanza a lo que sale del local como entrega de bienes excluida del reducido: el alcohol y las aguas frescas,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90" customHeight="1">
      <c r="A10" s="48" t="inlineStr">
        <is>
          <t>6. La hoja «Tesorería 12 meses» responde la pregunta que decide una operación bancaria: en qué mes se agota la caja. Su Mes 1 es ENERO, en el orden del calendario: la rampa del arranque cae sobre enero y febrero, los meses más flojos, y por eso el fondo de maniobra cuenta.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50" customHeight="1">
      <c r="A12" s="48" t="inlineStr">
        <is>
          <t>8. El plan de negocio en Word de este pack cita las cifras de este Excel: si cambias una celda verde, el Excel manda. La calculadora del trompo y escandallo del pack va aparte y sirve para medir el rendimiento del cono y ESCANDALLAR cada taco: no copies el food cost de un taco en la hoja de Supuestos. La celda «Coste de mercancía sobre las ventas de COMIDA» es la media ponderada de TODA la carta (tacos, gringas, guisados, guacamole y postres, cada uno por lo que vende) más la merma, y por eso sale más alta que el food cost del taco al pastor.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0.26799999999999996</v>
      </c>
      <c r="C18" s="68">
        <f>IFERROR(IF('PyG 3 Años'!$E$52="","",'PyG 3 Años'!$E$52),"")</f>
        <v>0.29</v>
      </c>
      <c r="D18" s="29" t="str">
        <f>IFERROR(IF(OR(B18="",C18=""),"",IF(B18&lt;=C18,"CUMPLE","REVISAR")),"")</f>
        <v>CUMPLE</v>
      </c>
      <c r="E18" s="29" t="n"/>
    </row>
    <row r="19">
      <c r="A19" s="29" t="inlineStr">
        <is>
          <t>Coste de personal / Ventas</t>
        </is>
      </c>
      <c r="B19" s="68">
        <f>IFERROR(IF('PyG 3 Años'!$B$53="","",'PyG 3 Años'!$B$53),"")</f>
        <v>0.36173919843597263</v>
      </c>
      <c r="C19" s="68">
        <f>IFERROR(IF('PyG 3 Años'!$E$53="","",'PyG 3 Años'!$E$53),"")</f>
        <v>0.38</v>
      </c>
      <c r="D19" s="29" t="str">
        <f>IFERROR(IF(OR(B19="",C19=""),"",IF(B19&lt;=C19,"CUMPLE","REVISAR")),"")</f>
        <v>CUMPLE</v>
      </c>
      <c r="E19" s="29" t="n"/>
    </row>
    <row r="20">
      <c r="A20" s="29" t="inlineStr">
        <is>
          <t>Alquiler / Ventas</t>
        </is>
      </c>
      <c r="B20" s="68">
        <f>IFERROR(IF('PyG 3 Años'!$B$54="","",'PyG 3 Años'!$B$54),"")</f>
        <v>0.04859656472559699</v>
      </c>
      <c r="C20" s="68">
        <f>IFERROR(IF('PyG 3 Años'!$E$54="","",'PyG 3 Años'!$E$54),"")</f>
        <v>0.1</v>
      </c>
      <c r="D20" s="29" t="str">
        <f>IFERROR(IF(OR(B20="",C20=""),"",IF(B20&lt;=C20,"CUMPLE","REVISAR")),"")</f>
        <v>CUMPLE</v>
      </c>
      <c r="E20" s="29" t="n"/>
    </row>
    <row r="21">
      <c r="A21" s="29" t="inlineStr">
        <is>
          <t>Resultado neto / Ventas</t>
        </is>
      </c>
      <c r="B21" s="68">
        <f>IFERROR(IF('PyG 3 Años'!$B$55="","",'PyG 3 Años'!$B$55),"")</f>
        <v>0.0909466289624354</v>
      </c>
      <c r="C21" s="68">
        <f>IFERROR(IF('PyG 3 Años'!$E$55="","",'PyG 3 Años'!$E$55),"")</f>
        <v>0.05</v>
      </c>
      <c r="D21" s="29" t="str">
        <f>IFERROR(IF(OR(B21="",C21=""),"",IF(B21&gt;=C21,"CUMPLE","REVISAR")),"")</f>
        <v>CUMPLE</v>
      </c>
      <c r="E21" s="29" t="n"/>
    </row>
    <row r="22">
      <c r="A22" s="29" t="inlineStr">
        <is>
          <t>Margen bruto / Ventas</t>
        </is>
      </c>
      <c r="B22" s="68">
        <f>IFERROR(IF('PyG 3 Años'!$B$50="","",'PyG 3 Años'!$B$50),"")</f>
        <v>0.633</v>
      </c>
      <c r="C22" s="68">
        <f>IFERROR(IF('PyG 3 Años'!$E$50="","",'PyG 3 Años'!$E$50),"")</f>
        <v>0.6</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151000.18</v>
      </c>
      <c r="C25" s="29" t="n"/>
      <c r="D25" s="29" t="n"/>
      <c r="E25" s="29" t="n"/>
    </row>
    <row r="26">
      <c r="A26" s="29" t="inlineStr">
        <is>
          <t>Necesidad total de caja al arranque</t>
        </is>
      </c>
      <c r="B26" s="33">
        <f>IFERROR(IF('Inversión Inicial'!$B$33="","",'Inversión Inicial'!$B$33),"")</f>
        <v>172052.68</v>
      </c>
      <c r="C26" s="29" t="n"/>
      <c r="D26" s="29" t="n"/>
      <c r="E26" s="29" t="n"/>
    </row>
    <row r="27">
      <c r="A27" s="29" t="inlineStr">
        <is>
          <t>Fondo de maniobra dotado</t>
        </is>
      </c>
      <c r="B27" s="33">
        <f>IFERROR(IF('Inversión Inicial'!$B$29="","",'Inversión Inicial'!$B$29),"")</f>
        <v>44850.18</v>
      </c>
      <c r="C27" s="29" t="n"/>
      <c r="D27" s="29" t="n"/>
      <c r="E27" s="29" t="n"/>
    </row>
    <row r="28">
      <c r="A28" s="29" t="inlineStr">
        <is>
          <t>Facturación prevista del año 1</t>
        </is>
      </c>
      <c r="B28" s="33">
        <f>IFERROR(IF('PyG 3 Años'!$B$9="","",'PyG 3 Años'!$B$9),"")</f>
        <v>358050.0</v>
      </c>
      <c r="C28" s="29" t="n"/>
      <c r="D28" s="29" t="n"/>
      <c r="E28" s="29" t="n"/>
    </row>
    <row r="29">
      <c r="A29" s="29" t="inlineStr">
        <is>
          <t>Resultado neto del año 1</t>
        </is>
      </c>
      <c r="B29" s="33">
        <f>IFERROR(IF('PyG 3 Años'!$B$47="","",'PyG 3 Años'!$B$47),"")</f>
        <v>32563.440499999993</v>
      </c>
      <c r="C29" s="29" t="n"/>
      <c r="D29" s="29" t="n"/>
      <c r="E29" s="29" t="n"/>
    </row>
    <row r="30">
      <c r="A30" s="29" t="inlineStr">
        <is>
          <t>Comensales/día para el punto de equilibrio CONTABLE (con la amortización dentro)</t>
        </is>
      </c>
      <c r="B30" s="45">
        <f>IFERROR(IF('Punto Equilibrio'!$B$15="","",'Punto Equilibrio'!$B$15),"")</f>
        <v>63.98468463877423</v>
      </c>
      <c r="C30" s="29" t="n"/>
      <c r="D30" s="29" t="n"/>
      <c r="E30" s="29" t="n"/>
    </row>
    <row r="31">
      <c r="A31" s="29" t="inlineStr">
        <is>
          <t>Payback del proyecto (años), antes de la deuda</t>
        </is>
      </c>
      <c r="B31" s="29">
        <f>IFERROR(IF('Tesorería 12 meses'!$B$31="","",'Tesorería 12 meses'!$B$31),"")</f>
        <v>2.9</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45" customHeight="1">
      <c r="A35" s="29" t="inlineStr">
        <is>
          <t>Mes 1 del plan</t>
        </is>
      </c>
      <c r="B35" s="29" t="inlineStr">
        <is>
          <t>Enero</t>
        </is>
      </c>
      <c r="C35" s="29" t="inlineStr">
        <is>
          <t>Decisión del plan</t>
        </is>
      </c>
      <c r="D35" s="48" t="inlineStr">
        <is>
          <t>En el orden del calendario: la rampa cae sobre los meses más flojos y el fondo de maniobra lo cubre. Si abres en otro mes, gira la fila de estacionalidad de la Tesorería</t>
        </is>
      </c>
      <c r="E35" s="29" t="n"/>
    </row>
    <row r="36" ht="45" customHeight="1">
      <c r="A36" s="29" t="inlineStr">
        <is>
          <t>Taco al pastor en carta</t>
        </is>
      </c>
      <c r="B36" s="29" t="inlineStr">
        <is>
          <t>2,50-3,50 € con IVA</t>
        </is>
      </c>
      <c r="C36" s="29" t="inlineStr">
        <is>
          <t>Cartas de taquerías casuales de Madrid, Valencia y Bilbao leídas en octubre de 2026</t>
        </is>
      </c>
      <c r="D36" s="48" t="inlineStr">
        <is>
          <t>El caso lo pone a 3,00 € (la orden de 3, a 8,50 €). La taquería de volumen baja a 1-1,50 € y la de autor sube a 7-8 €</t>
        </is>
      </c>
      <c r="E36" s="29" t="n"/>
    </row>
    <row r="37" ht="60" customHeight="1">
      <c r="A37" s="29" t="inlineStr">
        <is>
          <t>Coste del taco al pastor</t>
        </is>
      </c>
      <c r="B37" s="29" t="inlineStr">
        <is>
          <t>Un 22,5 % de su precio sin IVA (un 24 % en la orden de 3)</t>
        </is>
      </c>
      <c r="C37" s="29" t="inlineStr">
        <is>
          <t>Estimación del kit con los gramajes de la calculadora del pack (editables)</t>
        </is>
      </c>
      <c r="D37" s="48" t="inlineStr">
        <is>
          <t>Tortilla, 35 g de carne servida, piña, cebolla, cilantro, lima y salsa, con un 5 % de merma. La carne y la tortilla son precios estimados por el kit: pon los de tu proveedor</t>
        </is>
      </c>
      <c r="E37" s="29" t="n"/>
    </row>
    <row r="38" ht="45" customHeight="1">
      <c r="A38" s="29" t="inlineStr">
        <is>
          <t>Rendimiento del trompo</t>
        </is>
      </c>
      <c r="B38" s="29" t="inlineStr">
        <is>
          <t>Unos 25 tacos por kg de carne cruda</t>
        </is>
      </c>
      <c r="C38" s="29" t="inlineStr">
        <is>
          <t>Puesto de Ciudad de México citado por Milenio (prensa)</t>
        </is>
      </c>
      <c r="D38" s="48" t="inlineStr">
        <is>
          <t>Con 35 g servidos y un 65 % de rendimiento salen unos 18-19 tacos por kg crudo: mide el tuyo con la calculadora del pack</t>
        </is>
      </c>
      <c r="E38" s="29" t="n"/>
    </row>
    <row r="39" ht="30" customHeight="1">
      <c r="A39" s="29" t="inlineStr">
        <is>
          <t>Trompo: asador vertical de gas de cuatro quemadores</t>
        </is>
      </c>
      <c r="B39" s="29" t="inlineStr">
        <is>
          <t>1.279-1.784 € sin IVA</t>
        </is>
      </c>
      <c r="C39" s="29" t="inlineStr">
        <is>
          <t>Catálogo de asadores verticales de un distribuidor de hostelería, octubre de 2026</t>
        </is>
      </c>
      <c r="D39" s="48" t="inlineStr">
        <is>
          <t>Para conos de 30-35 kg. El caso cuenta 1.800 € con la bandeja, los cuchillos y la base de la piña</t>
        </is>
      </c>
      <c r="E39" s="29" t="n"/>
    </row>
    <row r="40" ht="30" customHeight="1">
      <c r="A40" s="29" t="inlineStr">
        <is>
          <t>Comisión de la plataforma con su reparto</t>
        </is>
      </c>
      <c r="B40" s="29" t="inlineStr">
        <is>
          <t>15-35 % más IVA</t>
        </is>
      </c>
      <c r="C40" s="29" t="inlineStr">
        <is>
          <t>Guías del sector, 2025-2026: compruébalo en tu contrato</t>
        </is>
      </c>
      <c r="D40" s="48" t="inlineStr">
        <is>
          <t>El plan básico de Uber Eats ronda el 30 %. Lo que se recoge en el local no paga comisión</t>
        </is>
      </c>
      <c r="E40" s="29" t="n"/>
    </row>
    <row r="41" ht="45" customHeight="1">
      <c r="A41" s="29" t="inlineStr">
        <is>
          <t>IVA de los tacos</t>
        </is>
      </c>
      <c r="B41" s="29" t="inlineStr">
        <is>
          <t>10 %</t>
        </is>
      </c>
      <c r="C41" s="29" t="inlineStr">
        <is>
          <t>Ley 37/1992, art. 91.Uno.1.1.º y 2.2.º</t>
        </is>
      </c>
      <c r="D41" s="48" t="inlineStr">
        <is>
          <t>En sala, para llevar y a domicilio. El alcohol y las aguas frescas y los refrescos con azúcares o edulcorantes añadidos que salen del local, al 21 %</t>
        </is>
      </c>
      <c r="E41" s="29" t="n"/>
    </row>
    <row r="42" ht="90" customHeight="1">
      <c r="A42" s="29" t="inlineStr">
        <is>
          <t>Comidas preparadas en caliente y en frío</t>
        </is>
      </c>
      <c r="B42" s="29" t="inlineStr">
        <is>
          <t>≥ 63 °C · 60 → 10 °C en &lt; 2 h · 74 °C 15 s</t>
        </is>
      </c>
      <c r="C42" s="29" t="inlineStr">
        <is>
          <t>Real Decreto 1086/2020, art. 30, en la redacción del Real Decreto 1021/2022</t>
        </is>
      </c>
      <c r="D42" s="48" t="inlineStr">
        <is>
          <t>Caliente a 63 °C o más; enfriado de 60 a 10 °C en menos de 2 h; recalentado a 74 °C durante 15 s en el centro, en la hora siguiente a sacarlo del frío; refrigeradas a 4 °C o menos (8 °C si duran menos de 24 h). El pastor marinado es preparado de carne: 4 °C o menos en cámara (Real Decreto 1021/2022, art. 4.1)</t>
        </is>
      </c>
      <c r="E42" s="29" t="n"/>
    </row>
    <row r="43">
      <c r="A43" s="29" t="inlineStr">
        <is>
          <t>Salario mínimo interprofesional 2026</t>
        </is>
      </c>
      <c r="B43" s="29" t="inlineStr">
        <is>
          <t>1.221 € al mes en 14 pagas</t>
        </is>
      </c>
      <c r="C43" s="29" t="inlineStr">
        <is>
          <t>Real Decreto 126/2026</t>
        </is>
      </c>
      <c r="D43" s="48" t="inlineStr">
        <is>
          <t>A prorrata en jornada parcial</t>
        </is>
      </c>
      <c r="E43" s="29" t="n"/>
    </row>
    <row r="44" ht="30" customHeight="1">
      <c r="A44" s="29" t="inlineStr">
        <is>
          <t>Coste de personal sobre ventas</t>
        </is>
      </c>
      <c r="B44" s="29" t="inlineStr">
        <is>
          <t>34-38 %</t>
        </is>
      </c>
      <c r="C44" s="29" t="inlineStr">
        <is>
          <t>Estimación del kit</t>
        </is>
      </c>
      <c r="D44" s="48" t="inlineStr">
        <is>
          <t>Con el titular de taquero jefe y un segundo taquero: el taquero único es un riesgo, no un ahorro</t>
        </is>
      </c>
      <c r="E44" s="29" t="n"/>
    </row>
    <row r="45" ht="30" customHeight="1">
      <c r="A45" s="29" t="inlineStr">
        <is>
          <t>Alquiler sobre ventas</t>
        </is>
      </c>
      <c r="B45" s="29" t="inlineStr">
        <is>
          <t>5-10 %</t>
        </is>
      </c>
      <c r="C45" s="29" t="inlineStr">
        <is>
          <t>Estimación del kit</t>
        </is>
      </c>
      <c r="D45" s="48" t="inlineStr">
        <is>
          <t>Un local con salida de humos a cubierta cuesta más encontrarlo que pagarlo</t>
        </is>
      </c>
      <c r="E45" s="29" t="n"/>
    </row>
    <row r="46" ht="30" customHeight="1">
      <c r="A46" s="29" t="inlineStr">
        <is>
          <t>Convenio colectivo aplicable</t>
        </is>
      </c>
      <c r="B46" s="29" t="inlineStr">
        <is>
          <t>Provincial de hostelería</t>
        </is>
      </c>
      <c r="C46" s="29" t="inlineStr">
        <is>
          <t>VI Acuerdo Laboral de ámbito Estatal para el sector de Hostelería, art. 4</t>
        </is>
      </c>
      <c r="D46" s="48" t="inlineStr">
        <is>
          <t>No nombra la «taquería»: entra como restaurante.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aichef.pro/plan-negocio-taqueria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0.07000000000000001</v>
      </c>
      <c r="C5" s="74" t="n">
        <v>0.074</v>
      </c>
      <c r="D5" s="74" t="n">
        <v>0.082</v>
      </c>
      <c r="E5" s="74" t="n">
        <v>0.08599999999999999</v>
      </c>
      <c r="F5" s="74" t="n">
        <v>0.08799999999999999</v>
      </c>
      <c r="G5" s="74" t="n">
        <v>0.08799999999999999</v>
      </c>
      <c r="H5" s="74" t="n">
        <v>0.08400000000000001</v>
      </c>
      <c r="I5" s="74" t="n">
        <v>0.07000000000000001</v>
      </c>
      <c r="J5" s="74" t="n">
        <v>0.08799999999999999</v>
      </c>
      <c r="K5" s="74" t="n">
        <v>0.08799999999999999</v>
      </c>
      <c r="L5" s="74" t="n">
        <v>0.08599999999999999</v>
      </c>
      <c r="M5" s="74" t="n">
        <v>0.096</v>
      </c>
      <c r="N5" s="68">
        <f>IFERROR(IF('PyG 3 Años'!$B$9="","",SUM(B5:M5)),"")</f>
        <v>1.0</v>
      </c>
      <c r="O5" s="29" t="inlineStr">
        <is>
          <t>Mes 1 = ENERO, en el orden del calendario: enero y agosto son los meses más flojos, diciembre es el pico y septiembre (Independencia de México, 15 y 16) y noviembre (Día de Muertos) traen las fechas mexicanas.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0.05449826989619379</v>
      </c>
      <c r="C7" s="68">
        <f>IFERROR(IF('PyG 3 Años'!$B$9="","",C5*C6/SUMPRODUCT($B$5:$M$5,$B$6:$M$6)),"")</f>
        <v>0.06401384083044984</v>
      </c>
      <c r="D7" s="68">
        <f>IFERROR(IF('PyG 3 Años'!$B$9="","",D5*D6/SUMPRODUCT($B$5:$M$5,$B$6:$M$6)),"")</f>
        <v>0.07802768166089967</v>
      </c>
      <c r="E7" s="68">
        <f>IFERROR(IF('PyG 3 Años'!$B$9="","",E5*E6/SUMPRODUCT($B$5:$M$5,$B$6:$M$6)),"")</f>
        <v>0.08927335640138409</v>
      </c>
      <c r="F7" s="68">
        <f>IFERROR(IF('PyG 3 Años'!$B$9="","",F5*F6/SUMPRODUCT($B$5:$M$5,$B$6:$M$6)),"")</f>
        <v>0.09134948096885814</v>
      </c>
      <c r="G7" s="68">
        <f>IFERROR(IF('PyG 3 Años'!$B$9="","",G5*G6/SUMPRODUCT($B$5:$M$5,$B$6:$M$6)),"")</f>
        <v>0.09134948096885814</v>
      </c>
      <c r="H7" s="68">
        <f>IFERROR(IF('PyG 3 Años'!$B$9="","",H5*H6/SUMPRODUCT($B$5:$M$5,$B$6:$M$6)),"")</f>
        <v>0.08719723183391005</v>
      </c>
      <c r="I7" s="68">
        <f>IFERROR(IF('PyG 3 Años'!$B$9="","",I5*I6/SUMPRODUCT($B$5:$M$5,$B$6:$M$6)),"")</f>
        <v>0.07266435986159171</v>
      </c>
      <c r="J7" s="68">
        <f>IFERROR(IF('PyG 3 Años'!$B$9="","",J5*J6/SUMPRODUCT($B$5:$M$5,$B$6:$M$6)),"")</f>
        <v>0.09134948096885814</v>
      </c>
      <c r="K7" s="68">
        <f>IFERROR(IF('PyG 3 Años'!$B$9="","",K5*K6/SUMPRODUCT($B$5:$M$5,$B$6:$M$6)),"")</f>
        <v>0.09134948096885814</v>
      </c>
      <c r="L7" s="68">
        <f>IFERROR(IF('PyG 3 Años'!$B$9="","",L5*L6/SUMPRODUCT($B$5:$M$5,$B$6:$M$6)),"")</f>
        <v>0.08927335640138409</v>
      </c>
      <c r="M7" s="68">
        <f>IFERROR(IF('PyG 3 Años'!$B$9="","",M5*M6/SUMPRODUCT($B$5:$M$5,$B$6:$M$6)),"")</f>
        <v>0.09965397923875434</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20063.505199826996</v>
      </c>
      <c r="C9" s="33">
        <f>IFERROR(IF('PyG 3 Años'!$B$9="","",('PyG 3 Años'!$B$9+'PyG 3 Años'!$B$9*SUMPRODUCT('PyG 3 Años'!$E$10:$E$11,'PyG 3 Años'!$G$10:$G$11))*(C7*(1-MIN(30,'0. Supuestos'!$B$58)/30)+B7*MIN(30,'0. Supuestos'!$B$58)/30)),"")</f>
        <v>24999.76441565745</v>
      </c>
      <c r="D9" s="33">
        <f>IFERROR(IF('PyG 3 Años'!$B$9="","",('PyG 3 Años'!$B$9+'PyG 3 Años'!$B$9*SUMPRODUCT('PyG 3 Años'!$E$10:$E$11,'PyG 3 Años'!$G$10:$G$11))*(D7*(1-MIN(30,'0. Supuestos'!$B$58)/30)+C7*MIN(30,'0. Supuestos'!$B$58)/30)),"")</f>
        <v>30409.176588581326</v>
      </c>
      <c r="E9" s="33">
        <f>IFERROR(IF('PyG 3 Años'!$B$9="","",('PyG 3 Años'!$B$9+'PyG 3 Años'!$B$9*SUMPRODUCT('PyG 3 Años'!$E$10:$E$11,'PyG 3 Años'!$G$10:$G$11))*(E7*(1-MIN(30,'0. Supuestos'!$B$58)/30)+D7*MIN(30,'0. Supuestos'!$B$58)/30)),"")</f>
        <v>34917.778323961946</v>
      </c>
      <c r="F9" s="33">
        <f>IFERROR(IF('PyG 3 Años'!$B$9="","",('PyG 3 Años'!$B$9+'PyG 3 Años'!$B$9*SUMPRODUCT('PyG 3 Años'!$E$10:$E$11,'PyG 3 Años'!$G$10:$G$11))*(F7*(1-MIN(30,'0. Supuestos'!$B$58)/30)+E7*MIN(30,'0. Supuestos'!$B$58)/30)),"")</f>
        <v>35977.82292975779</v>
      </c>
      <c r="G9" s="33">
        <f>IFERROR(IF('PyG 3 Años'!$B$9="","",('PyG 3 Años'!$B$9+'PyG 3 Años'!$B$9*SUMPRODUCT('PyG 3 Años'!$E$10:$E$11,'PyG 3 Años'!$G$10:$G$11))*(G7*(1-MIN(30,'0. Supuestos'!$B$58)/30)+F7*MIN(30,'0. Supuestos'!$B$58)/30)),"")</f>
        <v>36032.41750173011</v>
      </c>
      <c r="H9" s="33">
        <f>IFERROR(IF('PyG 3 Años'!$B$9="","",('PyG 3 Años'!$B$9+'PyG 3 Años'!$B$9*SUMPRODUCT('PyG 3 Años'!$E$10:$E$11,'PyG 3 Años'!$G$10:$G$11))*(H7*(1-MIN(30,'0. Supuestos'!$B$58)/30)+G7*MIN(30,'0. Supuestos'!$B$58)/30)),"")</f>
        <v>34503.7694865052</v>
      </c>
      <c r="I9" s="33">
        <f>IFERROR(IF('PyG 3 Años'!$B$9="","",('PyG 3 Años'!$B$9+'PyG 3 Años'!$B$9*SUMPRODUCT('PyG 3 Años'!$E$10:$E$11,'PyG 3 Años'!$G$10:$G$11))*(I7*(1-MIN(30,'0. Supuestos'!$B$58)/30)+H7*MIN(30,'0. Supuestos'!$B$58)/30)),"")</f>
        <v>29044.312289273363</v>
      </c>
      <c r="J9" s="33">
        <f>IFERROR(IF('PyG 3 Años'!$B$9="","",('PyG 3 Años'!$B$9+'PyG 3 Años'!$B$9*SUMPRODUCT('PyG 3 Años'!$E$10:$E$11,'PyG 3 Años'!$G$10:$G$11))*(J7*(1-MIN(30,'0. Supuestos'!$B$58)/30)+I7*MIN(30,'0. Supuestos'!$B$58)/30)),"")</f>
        <v>35541.066353979244</v>
      </c>
      <c r="K9" s="33">
        <f>IFERROR(IF('PyG 3 Años'!$B$9="","",('PyG 3 Años'!$B$9+'PyG 3 Años'!$B$9*SUMPRODUCT('PyG 3 Años'!$E$10:$E$11,'PyG 3 Años'!$G$10:$G$11))*(K7*(1-MIN(30,'0. Supuestos'!$B$58)/30)+J7*MIN(30,'0. Supuestos'!$B$58)/30)),"")</f>
        <v>36032.41750173011</v>
      </c>
      <c r="L9" s="33">
        <f>IFERROR(IF('PyG 3 Años'!$B$9="","",('PyG 3 Años'!$B$9+'PyG 3 Años'!$B$9*SUMPRODUCT('PyG 3 Años'!$E$10:$E$11,'PyG 3 Años'!$G$10:$G$11))*(L7*(1-MIN(30,'0. Supuestos'!$B$58)/30)+K7*MIN(30,'0. Supuestos'!$B$58)/30)),"")</f>
        <v>35268.09349411765</v>
      </c>
      <c r="M9" s="33">
        <f>IFERROR(IF('PyG 3 Años'!$B$9="","",('PyG 3 Años'!$B$9+'PyG 3 Años'!$B$9*SUMPRODUCT('PyG 3 Años'!$E$10:$E$11,'PyG 3 Años'!$G$10:$G$11))*(M7*(1-MIN(30,'0. Supuestos'!$B$58)/30)+L7*MIN(30,'0. Supuestos'!$B$58)/30)),"")</f>
        <v>39035.11896020762</v>
      </c>
      <c r="N9" s="33">
        <f>IFERROR(IF('PyG 3 Años'!$B$9="","",SUM(B9:M9)),"")</f>
        <v>391825.2430453288</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-8077.645167820071</v>
      </c>
      <c r="D11" s="33">
        <f>IFERROR(IF('PyG 3 Años'!$B$9="","",-('PyG 3 Años'!$B$13*(1+'PyG 3 Años'!$G$13)+'PyG 3 Años'!$B$14*(1+'PyG 3 Años'!$G$14)+'PyG 3 Años'!$B$15*(1+'PyG 3 Años'!$G$15)+'PyG 3 Años'!$B$16*(1+'PyG 3 Años'!$G$16)+'PyG 3 Años'!$B$17*(1+'PyG 3 Años'!$G$17)+'PyG 3 Años'!$B$18*(1+'PyG 3 Años'!$G$18))*(D7*(1-MIN(30,'0. Supuestos'!$B$59)/30)+C7*MIN(30,'0. Supuestos'!$B$59)/30)),"")</f>
        <v>-9488.027657439448</v>
      </c>
      <c r="E11" s="33">
        <f>IFERROR(IF('PyG 3 Años'!$B$9="","",-('PyG 3 Años'!$B$13*(1+'PyG 3 Años'!$G$13)+'PyG 3 Años'!$B$14*(1+'PyG 3 Años'!$G$14)+'PyG 3 Años'!$B$15*(1+'PyG 3 Años'!$G$15)+'PyG 3 Años'!$B$16*(1+'PyG 3 Años'!$G$16)+'PyG 3 Años'!$B$17*(1+'PyG 3 Años'!$G$17)+'PyG 3 Años'!$B$18*(1+'PyG 3 Años'!$G$18))*(E7*(1-MIN(30,'0. Supuestos'!$B$59)/30)+D7*MIN(30,'0. Supuestos'!$B$59)/30)),"")</f>
        <v>-11565.136414878894</v>
      </c>
      <c r="F11" s="33">
        <f>IFERROR(IF('PyG 3 Años'!$B$9="","",-('PyG 3 Años'!$B$13*(1+'PyG 3 Años'!$G$13)+'PyG 3 Años'!$B$14*(1+'PyG 3 Años'!$G$14)+'PyG 3 Años'!$B$15*(1+'PyG 3 Años'!$G$15)+'PyG 3 Años'!$B$16*(1+'PyG 3 Años'!$G$16)+'PyG 3 Años'!$B$17*(1+'PyG 3 Años'!$G$17)+'PyG 3 Años'!$B$18*(1+'PyG 3 Años'!$G$18))*(F7*(1-MIN(30,'0. Supuestos'!$B$59)/30)+E7*MIN(30,'0. Supuestos'!$B$59)/30)),"")</f>
        <v>-13231.952084429067</v>
      </c>
      <c r="G11" s="33">
        <f>IFERROR(IF('PyG 3 Años'!$B$9="","",-('PyG 3 Años'!$B$13*(1+'PyG 3 Años'!$G$13)+'PyG 3 Años'!$B$14*(1+'PyG 3 Años'!$G$14)+'PyG 3 Años'!$B$15*(1+'PyG 3 Años'!$G$15)+'PyG 3 Años'!$B$16*(1+'PyG 3 Años'!$G$16)+'PyG 3 Años'!$B$17*(1+'PyG 3 Años'!$G$17)+'PyG 3 Años'!$B$18*(1+'PyG 3 Años'!$G$18))*(G7*(1-MIN(30,'0. Supuestos'!$B$59)/30)+F7*MIN(30,'0. Supuestos'!$B$59)/30)),"")</f>
        <v>-13539.671900346022</v>
      </c>
      <c r="H11" s="33">
        <f>IFERROR(IF('PyG 3 Años'!$B$9="","",-('PyG 3 Años'!$B$13*(1+'PyG 3 Años'!$G$13)+'PyG 3 Años'!$B$14*(1+'PyG 3 Años'!$G$14)+'PyG 3 Años'!$B$15*(1+'PyG 3 Años'!$G$15)+'PyG 3 Años'!$B$16*(1+'PyG 3 Años'!$G$16)+'PyG 3 Años'!$B$17*(1+'PyG 3 Años'!$G$17)+'PyG 3 Años'!$B$18*(1+'PyG 3 Años'!$G$18))*(H7*(1-MIN(30,'0. Supuestos'!$B$59)/30)+G7*MIN(30,'0. Supuestos'!$B$59)/30)),"")</f>
        <v>-13539.671900346022</v>
      </c>
      <c r="I11" s="33">
        <f>IFERROR(IF('PyG 3 Años'!$B$9="","",-('PyG 3 Años'!$B$13*(1+'PyG 3 Años'!$G$13)+'PyG 3 Años'!$B$14*(1+'PyG 3 Años'!$G$14)+'PyG 3 Años'!$B$15*(1+'PyG 3 Años'!$G$15)+'PyG 3 Años'!$B$16*(1+'PyG 3 Años'!$G$16)+'PyG 3 Años'!$B$17*(1+'PyG 3 Años'!$G$17)+'PyG 3 Años'!$B$18*(1+'PyG 3 Años'!$G$18))*(I7*(1-MIN(30,'0. Supuestos'!$B$59)/30)+H7*MIN(30,'0. Supuestos'!$B$59)/30)),"")</f>
        <v>-12924.232268512113</v>
      </c>
      <c r="J11" s="33">
        <f>IFERROR(IF('PyG 3 Años'!$B$9="","",-('PyG 3 Años'!$B$13*(1+'PyG 3 Años'!$G$13)+'PyG 3 Años'!$B$14*(1+'PyG 3 Años'!$G$14)+'PyG 3 Años'!$B$15*(1+'PyG 3 Años'!$G$15)+'PyG 3 Años'!$B$16*(1+'PyG 3 Años'!$G$16)+'PyG 3 Años'!$B$17*(1+'PyG 3 Años'!$G$17)+'PyG 3 Años'!$B$18*(1+'PyG 3 Años'!$G$18))*(J7*(1-MIN(30,'0. Supuestos'!$B$59)/30)+I7*MIN(30,'0. Supuestos'!$B$59)/30)),"")</f>
        <v>-10770.193557093427</v>
      </c>
      <c r="K11" s="33">
        <f>IFERROR(IF('PyG 3 Años'!$B$9="","",-('PyG 3 Años'!$B$13*(1+'PyG 3 Años'!$G$13)+'PyG 3 Años'!$B$14*(1+'PyG 3 Años'!$G$14)+'PyG 3 Años'!$B$15*(1+'PyG 3 Años'!$G$15)+'PyG 3 Años'!$B$16*(1+'PyG 3 Años'!$G$16)+'PyG 3 Años'!$B$17*(1+'PyG 3 Años'!$G$17)+'PyG 3 Años'!$B$18*(1+'PyG 3 Años'!$G$18))*(K7*(1-MIN(30,'0. Supuestos'!$B$59)/30)+J7*MIN(30,'0. Supuestos'!$B$59)/30)),"")</f>
        <v>-13539.671900346022</v>
      </c>
      <c r="L11" s="33">
        <f>IFERROR(IF('PyG 3 Años'!$B$9="","",-('PyG 3 Años'!$B$13*(1+'PyG 3 Años'!$G$13)+'PyG 3 Años'!$B$14*(1+'PyG 3 Años'!$G$14)+'PyG 3 Años'!$B$15*(1+'PyG 3 Años'!$G$15)+'PyG 3 Años'!$B$16*(1+'PyG 3 Años'!$G$16)+'PyG 3 Años'!$B$17*(1+'PyG 3 Años'!$G$17)+'PyG 3 Años'!$B$18*(1+'PyG 3 Años'!$G$18))*(L7*(1-MIN(30,'0. Supuestos'!$B$59)/30)+K7*MIN(30,'0. Supuestos'!$B$59)/30)),"")</f>
        <v>-13539.671900346022</v>
      </c>
      <c r="M11" s="33">
        <f>IFERROR(IF('PyG 3 Años'!$B$9="","",-('PyG 3 Años'!$B$13*(1+'PyG 3 Años'!$G$13)+'PyG 3 Años'!$B$14*(1+'PyG 3 Años'!$G$14)+'PyG 3 Años'!$B$15*(1+'PyG 3 Años'!$G$15)+'PyG 3 Años'!$B$16*(1+'PyG 3 Años'!$G$16)+'PyG 3 Años'!$B$17*(1+'PyG 3 Años'!$G$17)+'PyG 3 Años'!$B$18*(1+'PyG 3 Años'!$G$18))*(M7*(1-MIN(30,'0. Supuestos'!$B$59)/30)+L7*MIN(30,'0. Supuestos'!$B$59)/30)),"")</f>
        <v>-13231.952084429067</v>
      </c>
      <c r="N11" s="33">
        <f>IFERROR(IF('PyG 3 Años'!$B$9="","",SUM(B11:M11)),"")</f>
        <v>-133447.82683598617</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-4291.166666666667</v>
      </c>
      <c r="C12" s="33">
        <f>IFERROR(IF('PyG 3 Años'!$B$9="","",-('PyG 3 Años'!$B$37-'PyG 3 Años'!$B$23-'PyG 3 Años'!$B$35-'PyG 3 Años'!$B$36+'PyG 3 Años'!$B$39)/12),"")</f>
        <v>-4291.166666666667</v>
      </c>
      <c r="D12" s="33">
        <f>IFERROR(IF('PyG 3 Años'!$B$9="","",-('PyG 3 Años'!$B$37-'PyG 3 Años'!$B$23-'PyG 3 Años'!$B$35-'PyG 3 Años'!$B$36+'PyG 3 Años'!$B$39)/12),"")</f>
        <v>-4291.166666666667</v>
      </c>
      <c r="E12" s="33">
        <f>IFERROR(IF('PyG 3 Años'!$B$9="","",-('PyG 3 Años'!$B$37-'PyG 3 Años'!$B$23-'PyG 3 Años'!$B$35-'PyG 3 Años'!$B$36+'PyG 3 Años'!$B$39)/12),"")</f>
        <v>-4291.166666666667</v>
      </c>
      <c r="F12" s="33">
        <f>IFERROR(IF('PyG 3 Años'!$B$9="","",-('PyG 3 Años'!$B$37-'PyG 3 Años'!$B$23-'PyG 3 Años'!$B$35-'PyG 3 Años'!$B$36+'PyG 3 Años'!$B$39)/12),"")</f>
        <v>-4291.166666666667</v>
      </c>
      <c r="G12" s="33">
        <f>IFERROR(IF('PyG 3 Años'!$B$9="","",-('PyG 3 Años'!$B$37-'PyG 3 Años'!$B$23-'PyG 3 Años'!$B$35-'PyG 3 Años'!$B$36+'PyG 3 Años'!$B$39)/12),"")</f>
        <v>-4291.166666666667</v>
      </c>
      <c r="H12" s="33">
        <f>IFERROR(IF('PyG 3 Años'!$B$9="","",-('PyG 3 Años'!$B$37-'PyG 3 Años'!$B$23-'PyG 3 Años'!$B$35-'PyG 3 Años'!$B$36+'PyG 3 Años'!$B$39)/12),"")</f>
        <v>-4291.166666666667</v>
      </c>
      <c r="I12" s="33">
        <f>IFERROR(IF('PyG 3 Años'!$B$9="","",-('PyG 3 Años'!$B$37-'PyG 3 Años'!$B$23-'PyG 3 Años'!$B$35-'PyG 3 Años'!$B$36+'PyG 3 Años'!$B$39)/12),"")</f>
        <v>-4291.166666666667</v>
      </c>
      <c r="J12" s="33">
        <f>IFERROR(IF('PyG 3 Años'!$B$9="","",-('PyG 3 Años'!$B$37-'PyG 3 Años'!$B$23-'PyG 3 Años'!$B$35-'PyG 3 Años'!$B$36+'PyG 3 Años'!$B$39)/12),"")</f>
        <v>-4291.166666666667</v>
      </c>
      <c r="K12" s="33">
        <f>IFERROR(IF('PyG 3 Años'!$B$9="","",-('PyG 3 Años'!$B$37-'PyG 3 Años'!$B$23-'PyG 3 Años'!$B$35-'PyG 3 Años'!$B$36+'PyG 3 Años'!$B$39)/12),"")</f>
        <v>-4291.166666666667</v>
      </c>
      <c r="L12" s="33">
        <f>IFERROR(IF('PyG 3 Años'!$B$9="","",-('PyG 3 Años'!$B$37-'PyG 3 Años'!$B$23-'PyG 3 Años'!$B$35-'PyG 3 Años'!$B$36+'PyG 3 Años'!$B$39)/12),"")</f>
        <v>-4291.166666666667</v>
      </c>
      <c r="M12" s="33">
        <f>IFERROR(IF('PyG 3 Años'!$B$9="","",-('PyG 3 Años'!$B$37-'PyG 3 Años'!$B$23-'PyG 3 Años'!$B$35-'PyG 3 Años'!$B$36+'PyG 3 Años'!$B$39)/12),"")</f>
        <v>-4291.166666666667</v>
      </c>
      <c r="N12" s="33">
        <f>IFERROR(IF('PyG 3 Años'!$B$9="","",SUM(B12:M12)),"")</f>
        <v>-51494.0</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-9251.48</v>
      </c>
      <c r="C13" s="33">
        <f>IFERROR(IF('PyG 3 Años'!$B$9="","",-'PyG 3 Años'!$B$23/MAX(12,'0. Supuestos'!$B$21)*(1+IF(2='0. Supuestos'!$B$60,(MAX(12,'0. Supuestos'!$B$21)-12)/2,0)+IF(2='0. Supuestos'!$B$61,(MAX(12,'0. Supuestos'!$B$21)-12)/2,0))),"")</f>
        <v>-9251.48</v>
      </c>
      <c r="D13" s="33">
        <f>IFERROR(IF('PyG 3 Años'!$B$9="","",-'PyG 3 Años'!$B$23/MAX(12,'0. Supuestos'!$B$21)*(1+IF(3='0. Supuestos'!$B$60,(MAX(12,'0. Supuestos'!$B$21)-12)/2,0)+IF(3='0. Supuestos'!$B$61,(MAX(12,'0. Supuestos'!$B$21)-12)/2,0))),"")</f>
        <v>-9251.48</v>
      </c>
      <c r="E13" s="33">
        <f>IFERROR(IF('PyG 3 Años'!$B$9="","",-'PyG 3 Años'!$B$23/MAX(12,'0. Supuestos'!$B$21)*(1+IF(4='0. Supuestos'!$B$60,(MAX(12,'0. Supuestos'!$B$21)-12)/2,0)+IF(4='0. Supuestos'!$B$61,(MAX(12,'0. Supuestos'!$B$21)-12)/2,0))),"")</f>
        <v>-9251.48</v>
      </c>
      <c r="F13" s="33">
        <f>IFERROR(IF('PyG 3 Años'!$B$9="","",-'PyG 3 Años'!$B$23/MAX(12,'0. Supuestos'!$B$21)*(1+IF(5='0. Supuestos'!$B$60,(MAX(12,'0. Supuestos'!$B$21)-12)/2,0)+IF(5='0. Supuestos'!$B$61,(MAX(12,'0. Supuestos'!$B$21)-12)/2,0))),"")</f>
        <v>-9251.48</v>
      </c>
      <c r="G13" s="33">
        <f>IFERROR(IF('PyG 3 Años'!$B$9="","",-'PyG 3 Años'!$B$23/MAX(12,'0. Supuestos'!$B$21)*(1+IF(6='0. Supuestos'!$B$60,(MAX(12,'0. Supuestos'!$B$21)-12)/2,0)+IF(6='0. Supuestos'!$B$61,(MAX(12,'0. Supuestos'!$B$21)-12)/2,0))),"")</f>
        <v>-9251.48</v>
      </c>
      <c r="H13" s="33">
        <f>IFERROR(IF('PyG 3 Años'!$B$9="","",-'PyG 3 Años'!$B$23/MAX(12,'0. Supuestos'!$B$21)*(1+IF(7='0. Supuestos'!$B$60,(MAX(12,'0. Supuestos'!$B$21)-12)/2,0)+IF(7='0. Supuestos'!$B$61,(MAX(12,'0. Supuestos'!$B$21)-12)/2,0))),"")</f>
        <v>-18502.96</v>
      </c>
      <c r="I13" s="33">
        <f>IFERROR(IF('PyG 3 Años'!$B$9="","",-'PyG 3 Años'!$B$23/MAX(12,'0. Supuestos'!$B$21)*(1+IF(8='0. Supuestos'!$B$60,(MAX(12,'0. Supuestos'!$B$21)-12)/2,0)+IF(8='0. Supuestos'!$B$61,(MAX(12,'0. Supuestos'!$B$21)-12)/2,0))),"")</f>
        <v>-9251.48</v>
      </c>
      <c r="J13" s="33">
        <f>IFERROR(IF('PyG 3 Años'!$B$9="","",-'PyG 3 Años'!$B$23/MAX(12,'0. Supuestos'!$B$21)*(1+IF(9='0. Supuestos'!$B$60,(MAX(12,'0. Supuestos'!$B$21)-12)/2,0)+IF(9='0. Supuestos'!$B$61,(MAX(12,'0. Supuestos'!$B$21)-12)/2,0))),"")</f>
        <v>-9251.48</v>
      </c>
      <c r="K13" s="33">
        <f>IFERROR(IF('PyG 3 Años'!$B$9="","",-'PyG 3 Años'!$B$23/MAX(12,'0. Supuestos'!$B$21)*(1+IF(10='0. Supuestos'!$B$60,(MAX(12,'0. Supuestos'!$B$21)-12)/2,0)+IF(10='0. Supuestos'!$B$61,(MAX(12,'0. Supuestos'!$B$21)-12)/2,0))),"")</f>
        <v>-9251.48</v>
      </c>
      <c r="L13" s="33">
        <f>IFERROR(IF('PyG 3 Años'!$B$9="","",-'PyG 3 Años'!$B$23/MAX(12,'0. Supuestos'!$B$21)*(1+IF(11='0. Supuestos'!$B$60,(MAX(12,'0. Supuestos'!$B$21)-12)/2,0)+IF(11='0. Supuestos'!$B$61,(MAX(12,'0. Supuestos'!$B$21)-12)/2,0))),"")</f>
        <v>-9251.48</v>
      </c>
      <c r="M13" s="33">
        <f>IFERROR(IF('PyG 3 Años'!$B$9="","",-'PyG 3 Años'!$B$23/MAX(12,'0. Supuestos'!$B$21)*(1+IF(12='0. Supuestos'!$B$60,(MAX(12,'0. Supuestos'!$B$21)-12)/2,0)+IF(12='0. Supuestos'!$B$61,(MAX(12,'0. Supuestos'!$B$21)-12)/2,0))),"")</f>
        <v>-18502.96</v>
      </c>
      <c r="N13" s="33">
        <f>IFERROR(IF('PyG 3 Años'!$B$9="","",SUM(B13:M13)),"")</f>
        <v>-129520.72</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-590.0</v>
      </c>
      <c r="C14" s="33">
        <f>IFERROR(IF('PyG 3 Años'!$B$9="","",-'Financiación'!$B$44/12),"")</f>
        <v>-590.0</v>
      </c>
      <c r="D14" s="33">
        <f>IFERROR(IF('PyG 3 Años'!$B$9="","",-'Financiación'!$B$44/12),"")</f>
        <v>-590.0</v>
      </c>
      <c r="E14" s="33">
        <f>IFERROR(IF('PyG 3 Años'!$B$9="","",-'Financiación'!$B$44/12),"")</f>
        <v>-590.0</v>
      </c>
      <c r="F14" s="33">
        <f>IFERROR(IF('PyG 3 Años'!$B$9="","",-'Financiación'!$B$44/12),"")</f>
        <v>-590.0</v>
      </c>
      <c r="G14" s="33">
        <f>IFERROR(IF('PyG 3 Años'!$B$9="","",-'Financiación'!$B$44/12),"")</f>
        <v>-590.0</v>
      </c>
      <c r="H14" s="33">
        <f>IFERROR(IF('PyG 3 Años'!$B$9="","",-'Financiación'!$B$44/12),"")</f>
        <v>-590.0</v>
      </c>
      <c r="I14" s="33">
        <f>IFERROR(IF('PyG 3 Años'!$B$9="","",-'Financiación'!$B$44/12),"")</f>
        <v>-590.0</v>
      </c>
      <c r="J14" s="33">
        <f>IFERROR(IF('PyG 3 Años'!$B$9="","",-'Financiación'!$B$44/12),"")</f>
        <v>-590.0</v>
      </c>
      <c r="K14" s="33">
        <f>IFERROR(IF('PyG 3 Años'!$B$9="","",-'Financiación'!$B$44/12),"")</f>
        <v>-590.0</v>
      </c>
      <c r="L14" s="33">
        <f>IFERROR(IF('PyG 3 Años'!$B$9="","",-'Financiación'!$B$44/12),"")</f>
        <v>-590.0</v>
      </c>
      <c r="M14" s="33">
        <f>IFERROR(IF('PyG 3 Años'!$B$9="","",-'Financiación'!$B$44/12),"")</f>
        <v>-590.0</v>
      </c>
      <c r="N14" s="33">
        <f>IFERROR(IF('PyG 3 Años'!$B$9="","",SUM(B14:M14)),"")</f>
        <v>-7080.0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1983.5071777681671</v>
      </c>
      <c r="C16" s="33">
        <f>IFERROR(IF('PyG 3 Años'!$B$9="","",'PyG 3 Años'!$B$9*C7*SUMPRODUCT('PyG 3 Años'!$E$10:$E$11,'PyG 3 Años'!$G$10:$G$11)),"")</f>
        <v>2329.833827854672</v>
      </c>
      <c r="D16" s="33">
        <f>IFERROR(IF('PyG 3 Años'!$B$9="","",'PyG 3 Años'!$B$9*D7*SUMPRODUCT('PyG 3 Años'!$E$10:$E$11,'PyG 3 Años'!$G$10:$G$11)),"")</f>
        <v>2839.8785307093435</v>
      </c>
      <c r="E16" s="33">
        <f>IFERROR(IF('PyG 3 Años'!$B$9="","",'PyG 3 Años'!$B$9*E7*SUMPRODUCT('PyG 3 Años'!$E$10:$E$11,'PyG 3 Años'!$G$10:$G$11)),"")</f>
        <v>3249.173662629759</v>
      </c>
      <c r="F16" s="33">
        <f>IFERROR(IF('PyG 3 Años'!$B$9="","",'PyG 3 Años'!$B$9*F7*SUMPRODUCT('PyG 3 Años'!$E$10:$E$11,'PyG 3 Años'!$G$10:$G$11)),"")</f>
        <v>3324.735840830451</v>
      </c>
      <c r="G16" s="33">
        <f>IFERROR(IF('PyG 3 Años'!$B$9="","",'PyG 3 Años'!$B$9*G7*SUMPRODUCT('PyG 3 Años'!$E$10:$E$11,'PyG 3 Años'!$G$10:$G$11)),"")</f>
        <v>3324.735840830451</v>
      </c>
      <c r="H16" s="33">
        <f>IFERROR(IF('PyG 3 Años'!$B$9="","",'PyG 3 Años'!$B$9*H7*SUMPRODUCT('PyG 3 Años'!$E$10:$E$11,'PyG 3 Años'!$G$10:$G$11)),"")</f>
        <v>3173.611484429067</v>
      </c>
      <c r="I16" s="33">
        <f>IFERROR(IF('PyG 3 Años'!$B$9="","",'PyG 3 Años'!$B$9*I7*SUMPRODUCT('PyG 3 Años'!$E$10:$E$11,'PyG 3 Años'!$G$10:$G$11)),"")</f>
        <v>2644.6762370242227</v>
      </c>
      <c r="J16" s="33">
        <f>IFERROR(IF('PyG 3 Años'!$B$9="","",'PyG 3 Años'!$B$9*J7*SUMPRODUCT('PyG 3 Años'!$E$10:$E$11,'PyG 3 Años'!$G$10:$G$11)),"")</f>
        <v>3324.735840830451</v>
      </c>
      <c r="K16" s="33">
        <f>IFERROR(IF('PyG 3 Años'!$B$9="","",'PyG 3 Años'!$B$9*K7*SUMPRODUCT('PyG 3 Años'!$E$10:$E$11,'PyG 3 Años'!$G$10:$G$11)),"")</f>
        <v>3324.735840830451</v>
      </c>
      <c r="L16" s="33">
        <f>IFERROR(IF('PyG 3 Años'!$B$9="","",'PyG 3 Años'!$B$9*L7*SUMPRODUCT('PyG 3 Años'!$E$10:$E$11,'PyG 3 Años'!$G$10:$G$11)),"")</f>
        <v>3249.173662629759</v>
      </c>
      <c r="M16" s="33">
        <f>IFERROR(IF('PyG 3 Años'!$B$9="","",'PyG 3 Años'!$B$9*M7*SUMPRODUCT('PyG 3 Años'!$E$10:$E$11,'PyG 3 Años'!$G$10:$G$11)),"")</f>
        <v>3626.984553633219</v>
      </c>
      <c r="N16" s="33">
        <f>IFERROR(IF('PyG 3 Años'!$B$9="","",SUM(B16:M16)),"")</f>
        <v>36395.78250000001</v>
      </c>
      <c r="O16" s="29" t="inlineStr">
        <is>
          <t>Cada línea de venta a SU tipo, leído de la columna de IVA del P&amp;L: en sala, alcohol incluido, el reducido (art. 91.Uno.2.2.º de la Ley 37/1992 del IVA); la parte de la bebida que sale para llevar o a domicilio y declara la columna H de su línea (alcohol y aguas frescas o refrescos con azúcares o edulcorantes añadidos), al general (art. 91.Uno.1.1.º)</t>
        </is>
      </c>
    </row>
    <row r="17">
      <c r="A17" s="29" t="inlineStr">
        <is>
          <t>IVA soportado del mes (memoria)</t>
        </is>
      </c>
      <c r="B17" s="33">
        <f>IFERROR(IF('PyG 3 Años'!$B$9="","",'PyG 3 Años'!$B$38*B7+'PyG 3 Años'!$B$39/12),"")</f>
        <v>1640.8354359861596</v>
      </c>
      <c r="C17" s="33">
        <f>IFERROR(IF('PyG 3 Años'!$B$9="","",'PyG 3 Años'!$B$38*C7+'PyG 3 Años'!$B$39/12),"")</f>
        <v>1800.8305121107269</v>
      </c>
      <c r="D17" s="33">
        <f>IFERROR(IF('PyG 3 Años'!$B$9="","",'PyG 3 Años'!$B$38*D7+'PyG 3 Años'!$B$39/12),"")</f>
        <v>2036.4596242214536</v>
      </c>
      <c r="E17" s="33">
        <f>IFERROR(IF('PyG 3 Años'!$B$9="","",'PyG 3 Años'!$B$38*E7+'PyG 3 Años'!$B$39/12),"")</f>
        <v>2225.5447141868517</v>
      </c>
      <c r="F17" s="33">
        <f>IFERROR(IF('PyG 3 Años'!$B$9="","",'PyG 3 Años'!$B$38*F7+'PyG 3 Años'!$B$39/12),"")</f>
        <v>2260.452730795848</v>
      </c>
      <c r="G17" s="33">
        <f>IFERROR(IF('PyG 3 Años'!$B$9="","",'PyG 3 Años'!$B$38*G7+'PyG 3 Años'!$B$39/12),"")</f>
        <v>2260.452730795848</v>
      </c>
      <c r="H17" s="33">
        <f>IFERROR(IF('PyG 3 Años'!$B$9="","",'PyG 3 Años'!$B$38*H7+'PyG 3 Años'!$B$39/12),"")</f>
        <v>2190.636697577855</v>
      </c>
      <c r="I17" s="33">
        <f>IFERROR(IF('PyG 3 Años'!$B$9="","",'PyG 3 Años'!$B$38*I7+'PyG 3 Años'!$B$39/12),"")</f>
        <v>1946.2805813148793</v>
      </c>
      <c r="J17" s="33">
        <f>IFERROR(IF('PyG 3 Años'!$B$9="","",'PyG 3 Años'!$B$38*J7+'PyG 3 Años'!$B$39/12),"")</f>
        <v>2260.452730795848</v>
      </c>
      <c r="K17" s="33">
        <f>IFERROR(IF('PyG 3 Años'!$B$9="","",'PyG 3 Años'!$B$38*K7+'PyG 3 Años'!$B$39/12),"")</f>
        <v>2260.452730795848</v>
      </c>
      <c r="L17" s="33">
        <f>IFERROR(IF('PyG 3 Años'!$B$9="","",'PyG 3 Años'!$B$38*L7+'PyG 3 Años'!$B$39/12),"")</f>
        <v>2225.5447141868517</v>
      </c>
      <c r="M17" s="33">
        <f>IFERROR(IF('PyG 3 Años'!$B$9="","",'PyG 3 Años'!$B$38*M7+'PyG 3 Años'!$B$39/12),"")</f>
        <v>2400.0847972318343</v>
      </c>
      <c r="N17" s="33">
        <f>IFERROR(IF('PyG 3 Años'!$B$9="","",SUM(B17:M17)),"")</f>
        <v>25508.028000000002</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21052.5</v>
      </c>
      <c r="F18" s="29" t="n"/>
      <c r="G18" s="29" t="n"/>
      <c r="H18" s="33">
        <f>IFERROR(IF('PyG 3 Años'!$B$9="","",MAX(0,-E19)),"")</f>
        <v>19377.406035986158</v>
      </c>
      <c r="I18" s="29" t="n"/>
      <c r="J18" s="29" t="n"/>
      <c r="K18" s="33">
        <f>IFERROR(IF('PyG 3 Años'!$B$9="","",MAX(0,-H19)),"")</f>
        <v>16225.210867474045</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-19377.406035986158</v>
      </c>
      <c r="F19" s="29" t="n"/>
      <c r="G19" s="29" t="n"/>
      <c r="H19" s="33">
        <f>IFERROR(IF('PyG 3 Años'!$B$9="","",SUM(E16:G16)-SUM(E17:G17)-H18),"")</f>
        <v>-16225.210867474045</v>
      </c>
      <c r="I19" s="29" t="n"/>
      <c r="J19" s="29" t="n"/>
      <c r="K19" s="33">
        <f>IFERROR(IF('PyG 3 Años'!$B$9="","",SUM(H16:J16)-SUM(H17:J17)-K18),"")</f>
        <v>-13479.557314878888</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5930.858533160328</v>
      </c>
      <c r="C21" s="27">
        <f>IFERROR(IF('PyG 3 Años'!$B$9="","",SUM(C9:C15)+IF(C20="",0,C20)),"")</f>
        <v>2789.4725811707103</v>
      </c>
      <c r="D21" s="27">
        <f>IFERROR(IF('PyG 3 Años'!$B$9="","",SUM(D9:D15)+IF(D20="",0,D20)),"")</f>
        <v>6788.50226447521</v>
      </c>
      <c r="E21" s="27">
        <f>IFERROR(IF('PyG 3 Años'!$B$9="","",SUM(E9:E15)+IF(E20="",0,E20)),"")</f>
        <v>9219.995242416386</v>
      </c>
      <c r="F21" s="27">
        <f>IFERROR(IF('PyG 3 Años'!$B$9="","",SUM(F9:F15)+IF(F20="",0,F20)),"")</f>
        <v>8613.224178662058</v>
      </c>
      <c r="G21" s="27">
        <f>IFERROR(IF('PyG 3 Años'!$B$9="","",SUM(G9:G15)+IF(G20="",0,G20)),"")</f>
        <v>8360.098934717418</v>
      </c>
      <c r="H21" s="27">
        <f>IFERROR(IF('PyG 3 Años'!$B$9="","",SUM(H9:H15)+IF(H20="",0,H20)),"")</f>
        <v>-2420.0290805074874</v>
      </c>
      <c r="I21" s="27">
        <f>IFERROR(IF('PyG 3 Años'!$B$9="","",SUM(I9:I15)+IF(I20="",0,I20)),"")</f>
        <v>1987.4333540945845</v>
      </c>
      <c r="J21" s="27">
        <f>IFERROR(IF('PyG 3 Años'!$B$9="","",SUM(J9:J15)+IF(J20="",0,J20)),"")</f>
        <v>10638.226130219147</v>
      </c>
      <c r="K21" s="27">
        <f>IFERROR(IF('PyG 3 Años'!$B$9="","",SUM(K9:K15)+IF(K20="",0,K20)),"")</f>
        <v>8360.098934717418</v>
      </c>
      <c r="L21" s="27">
        <f>IFERROR(IF('PyG 3 Años'!$B$9="","",SUM(L9:L15)+IF(L20="",0,L20)),"")</f>
        <v>7595.7749271049615</v>
      </c>
      <c r="M21" s="27">
        <f>IFERROR(IF('PyG 3 Años'!$B$9="","",SUM(M9:M15)+IF(M20="",0,M20)),"")</f>
        <v>2419.040209111885</v>
      </c>
      <c r="N21" s="27">
        <f>IFERROR(IF('PyG 3 Años'!$B$9="","",SUM(B21:M21)),"")</f>
        <v>70282.69620934261</v>
      </c>
      <c r="O21" s="29" t="n"/>
    </row>
    <row r="22">
      <c r="A22" s="26" t="inlineStr">
        <is>
          <t>SALDO ACUMULADO DE CAJA</t>
        </is>
      </c>
      <c r="B22" s="27">
        <f>IFERROR(IF('PyG 3 Años'!$B$9="","",'Inversión Inicial'!$B$29+B21),"")</f>
        <v>50781.03853316033</v>
      </c>
      <c r="C22" s="27">
        <f>IFERROR(IF('PyG 3 Años'!$B$9="","",B22+C21),"")</f>
        <v>53570.51111433104</v>
      </c>
      <c r="D22" s="27">
        <f>IFERROR(IF('PyG 3 Años'!$B$9="","",C22+D21),"")</f>
        <v>60359.01337880625</v>
      </c>
      <c r="E22" s="27">
        <f>IFERROR(IF('PyG 3 Años'!$B$9="","",D22+E21),"")</f>
        <v>69579.00862122263</v>
      </c>
      <c r="F22" s="27">
        <f>IFERROR(IF('PyG 3 Años'!$B$9="","",E22+F21),"")</f>
        <v>78192.23279988469</v>
      </c>
      <c r="G22" s="27">
        <f>IFERROR(IF('PyG 3 Años'!$B$9="","",F22+G21),"")</f>
        <v>86552.3317346021</v>
      </c>
      <c r="H22" s="27">
        <f>IFERROR(IF('PyG 3 Años'!$B$9="","",G22+H21),"")</f>
        <v>84132.30265409462</v>
      </c>
      <c r="I22" s="27">
        <f>IFERROR(IF('PyG 3 Años'!$B$9="","",H22+I21),"")</f>
        <v>86119.7360081892</v>
      </c>
      <c r="J22" s="27">
        <f>IFERROR(IF('PyG 3 Años'!$B$9="","",I22+J21),"")</f>
        <v>96757.96213840834</v>
      </c>
      <c r="K22" s="27">
        <f>IFERROR(IF('PyG 3 Años'!$B$9="","",J22+K21),"")</f>
        <v>105118.06107312576</v>
      </c>
      <c r="L22" s="27">
        <f>IFERROR(IF('PyG 3 Años'!$B$9="","",K22+L21),"")</f>
        <v>112713.83600023072</v>
      </c>
      <c r="M22" s="27">
        <f>IFERROR(IF('PyG 3 Años'!$B$9="","",L22+M21),"")</f>
        <v>115132.8762093426</v>
      </c>
      <c r="N22" s="29" t="n"/>
      <c r="O22" s="29" t="n"/>
    </row>
    <row r="23">
      <c r="A23" s="29" t="inlineStr">
        <is>
          <t>Saldo mínimo del año</t>
        </is>
      </c>
      <c r="B23" s="33">
        <f>IFERROR(IF('PyG 3 Años'!$B$9="","",IF(COUNT(B22:M22)=0,"",MIN(B22:M22))),"")</f>
        <v>50781.03853316033</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48578.4405</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55037.36865000002</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52900.08156759946</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77362.69620934261</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151000.18</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f>IFERROR(IF('PyG 3 Años'!$B$9="","",IF(B26&gt;=B30,ROUND(B30/B26,1),IF(B26+B27&gt;=B30,ROUND(1+(B30-B26)/B27,1),IF(B26+B27+B28&gt;=B30,ROUND(2+(B30-B26-B27)/B28,1),"Más de 3 años")))),"")</f>
        <v>2.9</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2.0</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55000.0</v>
      </c>
      <c r="C6" s="29" t="n"/>
      <c r="D6" s="29" t="n"/>
      <c r="E6" s="29" t="n"/>
      <c r="F6" s="29" t="n"/>
      <c r="G6" s="29" t="n"/>
      <c r="H6" s="29" t="n"/>
    </row>
    <row r="7">
      <c r="A7" s="29" t="inlineStr">
        <is>
          <t>Préstamo bancario</t>
        </is>
      </c>
      <c r="B7" s="33">
        <f>IFERROR(IF('0. Supuestos'!$B$31="","",'0. Supuestos'!$B$31),"")</f>
        <v>118000.0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173000.0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172052.68</v>
      </c>
      <c r="C14" s="29" t="inlineStr">
        <is>
          <t>Inversión más el IVA que hay que adelantar</t>
        </is>
      </c>
      <c r="D14" s="29" t="n"/>
      <c r="E14" s="29" t="n"/>
      <c r="F14" s="29" t="n"/>
      <c r="G14" s="29" t="n"/>
      <c r="H14" s="29" t="n"/>
    </row>
    <row r="15">
      <c r="A15" s="26" t="inlineStr">
        <is>
          <t>Diferencia (origen - usos)</t>
        </is>
      </c>
      <c r="B15" s="27">
        <f>IFERROR(B12-B14,"")</f>
        <v>947.320000000007</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0.005505988049706677</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117052.68</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118000.0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23996.79016003765</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118000.0</v>
      </c>
      <c r="C27" s="70">
        <f>IFERROR(IF(OR(1&gt;B22,B27=""),"",B27*B21),"")</f>
        <v>7080.0</v>
      </c>
      <c r="D27" s="70">
        <f>IFERROR(IF(OR(1&gt;B22,B27=""),"",IF(1&lt;=B23,0,MIN(B27,B24-C27))),"")</f>
        <v>0.0</v>
      </c>
      <c r="E27" s="70">
        <f>IFERROR(IF(C27="","",C27+D27),"")</f>
        <v>7080.0</v>
      </c>
      <c r="F27" s="70">
        <f>IFERROR(IF(D27="","",B27-D27),"")</f>
        <v>118000.0</v>
      </c>
      <c r="G27" s="70">
        <f>IFERROR(IF(E27="","",'PyG 3 Años'!$B$40-'PyG 3 Años'!$B$45+'PyG 3 Años'!$B$35+'PyG 3 Años'!$B$36),"")</f>
        <v>48578.4405</v>
      </c>
      <c r="H27" s="62">
        <f>IFERROR(IF(OR(E27="",E27=0),"",G27/E27),"")</f>
        <v>6.861361652542373</v>
      </c>
    </row>
    <row r="28">
      <c r="A28" s="41" t="n">
        <v>2</v>
      </c>
      <c r="B28" s="70">
        <f>IFERROR(IF(OR(2&gt;B22,F27=""),"",F27),"")</f>
        <v>118000.0</v>
      </c>
      <c r="C28" s="70">
        <f>IFERROR(IF(OR(2&gt;B22,B28=""),"",B28*B21),"")</f>
        <v>7080.0</v>
      </c>
      <c r="D28" s="70">
        <f>IFERROR(IF(OR(2&gt;B22,B28=""),"",IF(2&lt;=B23,0,MIN(B28,B24-C28))),"")</f>
        <v>16916.79016003765</v>
      </c>
      <c r="E28" s="70">
        <f>IFERROR(IF(C28="","",C28+D28),"")</f>
        <v>23996.79016003765</v>
      </c>
      <c r="F28" s="70">
        <f>IFERROR(IF(D28="","",B28-D28),"")</f>
        <v>101083.20983996235</v>
      </c>
      <c r="G28" s="70">
        <f>IFERROR(IF(E28="","",'PyG 3 Años'!$C$40-'PyG 3 Años'!$C$45+'PyG 3 Años'!$C$35+'PyG 3 Años'!$C$36),"")</f>
        <v>55037.36865000002</v>
      </c>
      <c r="H28" s="62">
        <f>IFERROR(IF(OR(E28="",E28=0),"",G28/E28),"")</f>
        <v>2.293530438152303</v>
      </c>
    </row>
    <row r="29">
      <c r="A29" s="41" t="n">
        <v>3</v>
      </c>
      <c r="B29" s="70">
        <f>IFERROR(IF(OR(3&gt;B22,F28=""),"",F28),"")</f>
        <v>101083.20983996235</v>
      </c>
      <c r="C29" s="70">
        <f>IFERROR(IF(OR(3&gt;B22,B29=""),"",B29*B21),"")</f>
        <v>6064.992590397741</v>
      </c>
      <c r="D29" s="70">
        <f>IFERROR(IF(OR(3&gt;B22,B29=""),"",IF(3&lt;=B23,0,MIN(B29,B24-C29))),"")</f>
        <v>17931.797569639908</v>
      </c>
      <c r="E29" s="70">
        <f>IFERROR(IF(C29="","",C29+D29),"")</f>
        <v>23996.79016003765</v>
      </c>
      <c r="F29" s="70">
        <f>IFERROR(IF(D29="","",B29-D29),"")</f>
        <v>83151.41227032244</v>
      </c>
      <c r="G29" s="70">
        <f>IFERROR(IF(E29="","",'PyG 3 Años'!$D$40-'PyG 3 Años'!$D$45+'PyG 3 Años'!$D$35+'PyG 3 Años'!$D$36),"")</f>
        <v>52900.08156759946</v>
      </c>
      <c r="H29" s="62">
        <f>IFERROR(IF(OR(E29="",E29=0),"",G29/E29),"")</f>
        <v>2.2044648977968335</v>
      </c>
    </row>
    <row r="30">
      <c r="A30" s="41" t="n">
        <v>4</v>
      </c>
      <c r="B30" s="70">
        <f>IFERROR(IF(OR(4&gt;B22,F29=""),"",F29),"")</f>
        <v>83151.41227032244</v>
      </c>
      <c r="C30" s="70">
        <f>IFERROR(IF(OR(4&gt;B22,B30=""),"",B30*B21),"")</f>
        <v>4989.084736219346</v>
      </c>
      <c r="D30" s="70">
        <f>IFERROR(IF(OR(4&gt;B22,B30=""),"",IF(4&lt;=B23,0,MIN(B30,B24-C30))),"")</f>
        <v>19007.705423818305</v>
      </c>
      <c r="E30" s="70">
        <f>IFERROR(IF(C30="","",C30+D30),"")</f>
        <v>23996.79016003765</v>
      </c>
      <c r="F30" s="70">
        <f>IFERROR(IF(D30="","",B30-D30),"")</f>
        <v>64143.70684650414</v>
      </c>
      <c r="G30" s="70">
        <f>IFERROR(IF(E30="","",'PyG 3 Años'!$D$40-'PyG 3 Años'!$D$45+'PyG 3 Años'!$D$35+'PyG 3 Años'!$D$36),"")</f>
        <v>52900.08156759946</v>
      </c>
      <c r="H30" s="62">
        <f>IFERROR(IF(OR(E30="",E30=0),"",G30/E30),"")</f>
        <v>2.2044648977968335</v>
      </c>
    </row>
    <row r="31">
      <c r="A31" s="41" t="n">
        <v>5</v>
      </c>
      <c r="B31" s="70">
        <f>IFERROR(IF(OR(5&gt;B22,F30=""),"",F30),"")</f>
        <v>64143.70684650414</v>
      </c>
      <c r="C31" s="70">
        <f>IFERROR(IF(OR(5&gt;B22,B31=""),"",B31*B21),"")</f>
        <v>3848.622410790248</v>
      </c>
      <c r="D31" s="70">
        <f>IFERROR(IF(OR(5&gt;B22,B31=""),"",IF(5&lt;=B23,0,MIN(B31,B24-C31))),"")</f>
        <v>20148.1677492474</v>
      </c>
      <c r="E31" s="70">
        <f>IFERROR(IF(C31="","",C31+D31),"")</f>
        <v>23996.79016003765</v>
      </c>
      <c r="F31" s="70">
        <f>IFERROR(IF(D31="","",B31-D31),"")</f>
        <v>43995.53909725674</v>
      </c>
      <c r="G31" s="70">
        <f>IFERROR(IF(E31="","",'PyG 3 Años'!$D$40-'PyG 3 Años'!$D$45+'PyG 3 Años'!$D$35+'PyG 3 Años'!$D$36),"")</f>
        <v>52900.08156759946</v>
      </c>
      <c r="H31" s="62">
        <f>IFERROR(IF(OR(E31="",E31=0),"",G31/E31),"")</f>
        <v>2.2044648977968335</v>
      </c>
    </row>
    <row r="32">
      <c r="A32" s="41" t="n">
        <v>6</v>
      </c>
      <c r="B32" s="70">
        <f>IFERROR(IF(OR(6&gt;B22,F31=""),"",F31),"")</f>
        <v>43995.53909725674</v>
      </c>
      <c r="C32" s="70">
        <f>IFERROR(IF(OR(6&gt;B22,B32=""),"",B32*B21),"")</f>
        <v>2639.7323458354044</v>
      </c>
      <c r="D32" s="70">
        <f>IFERROR(IF(OR(6&gt;B22,B32=""),"",IF(6&lt;=B23,0,MIN(B32,B24-C32))),"")</f>
        <v>21357.057814202246</v>
      </c>
      <c r="E32" s="70">
        <f>IFERROR(IF(C32="","",C32+D32),"")</f>
        <v>23996.79016003765</v>
      </c>
      <c r="F32" s="70">
        <f>IFERROR(IF(D32="","",B32-D32),"")</f>
        <v>22638.481283054494</v>
      </c>
      <c r="G32" s="70">
        <f>IFERROR(IF(E32="","",'PyG 3 Años'!$D$40-'PyG 3 Años'!$D$45+'PyG 3 Años'!$D$35+'PyG 3 Años'!$D$36),"")</f>
        <v>52900.08156759946</v>
      </c>
      <c r="H32" s="62">
        <f>IFERROR(IF(OR(E32="",E32=0),"",G32/E32),"")</f>
        <v>2.2044648977968335</v>
      </c>
    </row>
    <row r="33">
      <c r="A33" s="41" t="n">
        <v>7</v>
      </c>
      <c r="B33" s="70">
        <f>IFERROR(IF(OR(7&gt;B22,F32=""),"",F32),"")</f>
        <v>22638.481283054494</v>
      </c>
      <c r="C33" s="70">
        <f>IFERROR(IF(OR(7&gt;B22,B33=""),"",B33*B21),"")</f>
        <v>1358.3088769832696</v>
      </c>
      <c r="D33" s="70">
        <f>IFERROR(IF(OR(7&gt;B22,B33=""),"",IF(7&lt;=B23,0,MIN(B33,B24-C33))),"")</f>
        <v>22638.48128305438</v>
      </c>
      <c r="E33" s="70">
        <f>IFERROR(IF(C33="","",C33+D33),"")</f>
        <v>23996.79016003765</v>
      </c>
      <c r="F33" s="70">
        <f>IFERROR(IF(D33="","",B33-D33),"")</f>
        <v>1.127773430198431e-10</v>
      </c>
      <c r="G33" s="70">
        <f>IFERROR(IF(E33="","",'PyG 3 Años'!$D$40-'PyG 3 Años'!$D$45+'PyG 3 Años'!$D$35+'PyG 3 Años'!$D$36),"")</f>
        <v>52900.08156759946</v>
      </c>
      <c r="H33" s="62">
        <f>IFERROR(IF(OR(E33="",E33=0),"",G33/E33),"")</f>
        <v>2.2044648977968335</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7080.0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7080.0</v>
      </c>
      <c r="C46" s="29" t="n"/>
      <c r="D46" s="29" t="n"/>
      <c r="E46" s="29" t="n"/>
      <c r="F46" s="29" t="n"/>
      <c r="G46" s="29" t="n"/>
      <c r="H46" s="29" t="n"/>
    </row>
    <row r="47">
      <c r="A47" s="29" t="inlineStr">
        <is>
          <t>Devolución de principal del año 2</t>
        </is>
      </c>
      <c r="B47" s="33">
        <f>IFERROR(IF(B20="","",IF(D28="",0,D28)),"")</f>
        <v>16916.79016003765</v>
      </c>
      <c r="C47" s="29" t="n"/>
      <c r="D47" s="29" t="n"/>
      <c r="E47" s="29" t="n"/>
      <c r="F47" s="29" t="n"/>
      <c r="G47" s="29" t="n"/>
      <c r="H47" s="29" t="n"/>
    </row>
    <row r="48">
      <c r="A48" s="29" t="inlineStr">
        <is>
          <t>Intereses del año 3</t>
        </is>
      </c>
      <c r="B48" s="33">
        <f>IFERROR(IF(B20="","",IF(C29="",0,C29)),"")</f>
        <v>6064.992590397741</v>
      </c>
      <c r="C48" s="29" t="n"/>
      <c r="D48" s="29" t="n"/>
      <c r="E48" s="29" t="n"/>
      <c r="F48" s="29" t="n"/>
      <c r="G48" s="29" t="n"/>
      <c r="H48" s="29" t="n"/>
    </row>
    <row r="49">
      <c r="A49" s="29" t="inlineStr">
        <is>
          <t>Devolución de principal del año 3</t>
        </is>
      </c>
      <c r="B49" s="33">
        <f>IFERROR(IF(B20="","",IF(D29="",0,D29)),"")</f>
        <v>17931.797569639908</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6.861361652542373</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2.293530438152303</v>
      </c>
      <c r="C52" s="29" t="n"/>
      <c r="D52" s="29" t="n"/>
      <c r="E52" s="29" t="n"/>
      <c r="F52" s="29" t="n"/>
      <c r="G52" s="29" t="n"/>
      <c r="H52" s="29" t="n"/>
    </row>
    <row r="53">
      <c r="A53" s="29" t="inlineStr">
        <is>
          <t>DSCR del año 3</t>
        </is>
      </c>
      <c r="B53" s="62">
        <f>IFERROR(('PyG 3 Años'!$D$40-'PyG 3 Años'!$D$45+'PyG 3 Años'!$D$35+B48)/(B48+B49),"")</f>
        <v>2.2044648977968335</v>
      </c>
      <c r="C53" s="29" t="n"/>
      <c r="D53" s="29" t="n"/>
      <c r="E53" s="29" t="n"/>
      <c r="F53" s="29" t="n"/>
      <c r="G53" s="29" t="n"/>
      <c r="H53" s="29" t="n"/>
    </row>
    <row r="54">
      <c r="A54" s="26" t="inlineStr">
        <is>
          <t>DSCR mínimo de todo el cuadro</t>
        </is>
      </c>
      <c r="B54" s="55">
        <f>IFERROR(IF(COUNT(H27:H41)=0,"",MIN(H27:H41)),"")</f>
        <v>2.2044648977968335</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Taquería · v1.0</dc:title>
  <dc:description xmlns:dc="http://purl.org/dc/elements/1.1/">aichef.pro/plan-negocio-taqueria</dc:description>
  <dc:subject xmlns:dc="http://purl.org/dc/elements/1.1/">Plan financiero — Taquería · v1.0</dc:subject>
  <dcterms:created xmlns:dcterms="http://purl.org/dc/terms/" xmlns:xsi="http://www.w3.org/2001/XMLSchema-instance" xsi:type="dcterms:W3CDTF">2026-03-26T14:15:52Z</dcterms:created>
  <dcterms:modified xmlns:dcterms="http://purl.org/dc/terms/" xmlns:xsi="http://www.w3.org/2001/XMLSchema-instance" xsi:type="dcterms:W3CDTF">2026-10-29T07:24:42Z</dcterms:modified>
  <cp:lastModifiedBy>AI Chef Pro</cp:lastModifiedBy>
  <cp:category>AI Chef Pro · Productos digitales</cp:category>
  <cp:keywords>plan de negocio taquería, taqueria, trompo al pastor, AI Chef Pro</cp:keywords>
</cp:coreProperties>
</file>