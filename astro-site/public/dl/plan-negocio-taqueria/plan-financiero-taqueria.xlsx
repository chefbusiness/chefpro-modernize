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Supuestos" sheetId="1" state="visible" r:id="rId1"/>
    <sheet xmlns:r="http://schemas.openxmlformats.org/officeDocument/2006/relationships" name="Inversión Inicial" sheetId="2" state="visible" r:id="rId2"/>
    <sheet xmlns:r="http://schemas.openxmlformats.org/officeDocument/2006/relationships" name="PyG 3 Años" sheetId="3" state="visible" r:id="rId3"/>
    <sheet xmlns:r="http://schemas.openxmlformats.org/officeDocument/2006/relationships" name="Punto Equilibrio" sheetId="4" state="visible" r:id="rId4"/>
    <sheet xmlns:r="http://schemas.openxmlformats.org/officeDocument/2006/relationships" name="Escenarios" sheetId="5" state="visible" r:id="rId5"/>
    <sheet xmlns:r="http://schemas.openxmlformats.org/officeDocument/2006/relationships" name="Personal" sheetId="6" state="visible" r:id="rId6"/>
    <sheet xmlns:r="http://schemas.openxmlformats.org/officeDocument/2006/relationships" name="Instrucciones" sheetId="7" state="visible" r:id="rId7"/>
    <sheet xmlns:r="http://schemas.openxmlformats.org/officeDocument/2006/relationships" name="Tesorería 12 meses" sheetId="8" state="visible" r:id="rId8"/>
    <sheet xmlns:r="http://schemas.openxmlformats.org/officeDocument/2006/relationships" name="Financiación" sheetId="9" state="visible" r:id="rId9"/>
  </sheets>
  <definedNames>
    <definedName name="_xlnm.Print_Titles" localSheetId="1">'Inversión Inicial'!$5:$5</definedName>
    <definedName name="_xlnm.Print_Titles" localSheetId="2">'PyG 3 Años'!$4:$4</definedName>
    <definedName name="_xlnm.Print_Titles" localSheetId="3">'Punto Equilibrio'!$4:$4</definedName>
    <definedName name="_xlnm.Print_Titles" localSheetId="4">'Escenarios'!$4:$4</definedName>
    <definedName name="_xlnm.Print_Titles" localSheetId="5">'Personal'!$4:$4</definedName>
    <definedName name="_xlnm.Print_Titles" localSheetId="7">'Tesorería 12 meses'!$4:$4</definedName>
    <definedName name="_xlnm.Print_Titles" localSheetId="8">'Financiación'!$4:$4</definedName>
  </definedNames>
  <calcPr calcId="124519" fullCalcOnLoad="1"/>
</workbook>
</file>

<file path=xl/styles.xml><?xml version="1.0" encoding="utf-8"?>
<styleSheet xmlns="http://schemas.openxmlformats.org/spreadsheetml/2006/main">
  <numFmts count="4">
    <numFmt numFmtId="164" formatCode="#,##0 €"/>
    <numFmt numFmtId="165" formatCode="#,##0.00 €"/>
    <numFmt numFmtId="166" formatCode="0.0%"/>
    <numFmt numFmtId="167" formatCode="#,##0.0"/>
  </numFmts>
  <fonts count="13">
    <font>
      <name val="Calibri"/>
      <family val="2"/>
      <color theme="1"/>
      <sz val="11"/>
      <scheme val="minor"/>
    </font>
    <font>
      <name val="Georgia"/>
      <b val="1"/>
      <color rgb="001A1A1A"/>
      <sz val="16"/>
    </font>
    <font>
      <name val="Georgia"/>
      <b val="1"/>
      <color rgb="001A1A1A"/>
      <sz val="13"/>
    </font>
    <font>
      <name val="Calibri"/>
      <i val="1"/>
      <color rgb="006B6B6B"/>
      <sz val="9"/>
    </font>
    <font>
      <name val="Calibri"/>
      <b val="1"/>
      <color rgb="00FFFFFF"/>
      <sz val="10"/>
    </font>
    <font>
      <name val="Calibri"/>
      <color rgb="001A1A1A"/>
      <sz val="10"/>
    </font>
    <font>
      <name val="Georgia"/>
      <b val="1"/>
      <color rgb="00C6A664"/>
      <sz val="11"/>
    </font>
    <font>
      <name val="Georgia"/>
      <b val="1"/>
      <color rgb="001A1A1A"/>
      <sz val="11"/>
    </font>
    <font>
      <b val="1"/>
      <color theme="1"/>
      <sz val="11"/>
    </font>
    <font/>
    <font>
      <b val="1"/>
    </font>
    <font>
      <color theme="1"/>
      <sz val="11"/>
    </font>
    <font>
      <b val="1"/>
      <sz val="11"/>
    </font>
  </fonts>
  <fills count="5">
    <fill>
      <patternFill/>
    </fill>
    <fill>
      <patternFill patternType="gray125"/>
    </fill>
    <fill>
      <patternFill patternType="solid">
        <fgColor rgb="001A1A1A"/>
        <bgColor rgb="001A1A1A"/>
      </patternFill>
    </fill>
    <fill>
      <patternFill patternType="solid">
        <fgColor rgb="00F5F0E8"/>
        <bgColor rgb="00F5F0E8"/>
      </patternFill>
    </fill>
    <fill>
      <patternFill patternType="solid">
        <fgColor rgb="00E8F5E9"/>
      </patternFill>
    </fill>
  </fills>
  <borders count="4">
    <border>
      <left/>
      <right/>
      <top/>
      <bottom/>
      <diagonal/>
    </border>
    <border>
      <bottom style="thin">
        <color rgb="00F5F0E8"/>
      </bottom>
    </border>
    <border>
      <bottom style="medium">
        <color rgb="00C6A664"/>
      </bottom>
    </border>
    <border/>
  </borders>
  <cellStyleXfs count="1">
    <xf numFmtId="0" fontId="0" fillId="0" borderId="0"/>
  </cellStyleXfs>
  <cellXfs count="7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5" fillId="0" borderId="1" pivotButton="0" quotePrefix="0" xfId="0"/>
    <xf numFmtId="164" fontId="5" fillId="0" borderId="1" applyAlignment="1" pivotButton="0" quotePrefix="0" xfId="0">
      <alignment horizontal="right" vertical="center"/>
    </xf>
    <xf numFmtId="0" fontId="5" fillId="3" borderId="1" pivotButton="0" quotePrefix="0" xfId="0"/>
    <xf numFmtId="164" fontId="5" fillId="3" borderId="1" applyAlignment="1" pivotButton="0" quotePrefix="0" xfId="0">
      <alignment horizontal="right" vertical="center"/>
    </xf>
    <xf numFmtId="0" fontId="6" fillId="0" borderId="2" pivotButton="0" quotePrefix="0" xfId="0"/>
    <xf numFmtId="164" fontId="6" fillId="0" borderId="2" applyAlignment="1" pivotButton="0" quotePrefix="0" xfId="0">
      <alignment horizontal="right" vertical="center"/>
    </xf>
    <xf numFmtId="0" fontId="7" fillId="3" borderId="0" pivotButton="0" quotePrefix="0" xfId="0"/>
    <xf numFmtId="0" fontId="5" fillId="3" borderId="1" applyAlignment="1" pivotButton="0" quotePrefix="0" xfId="0">
      <alignment horizontal="right" vertical="center"/>
    </xf>
    <xf numFmtId="0" fontId="5" fillId="0" borderId="1" applyAlignment="1" pivotButton="0" quotePrefix="0" xfId="0">
      <alignment horizontal="right" vertical="center"/>
    </xf>
    <xf numFmtId="0" fontId="5" fillId="0" borderId="1" applyAlignment="1" pivotButton="0" quotePrefix="0" xfId="0">
      <alignment horizontal="center" vertical="center"/>
    </xf>
    <xf numFmtId="0" fontId="5" fillId="3" borderId="1" applyAlignment="1" pivotButton="0" quotePrefix="0" xfId="0">
      <alignment horizontal="center" vertical="center"/>
    </xf>
    <xf numFmtId="0" fontId="8" fillId="0" borderId="0" pivotButton="0" quotePrefix="0" xfId="0"/>
    <xf numFmtId="0" fontId="0" fillId="0" borderId="0" applyAlignment="1" pivotButton="0" quotePrefix="0" xfId="0">
      <alignment horizontal="general" vertical="top" wrapText="1"/>
    </xf>
    <xf numFmtId="3" fontId="0" fillId="4" borderId="0" applyProtection="1" pivotButton="0" quotePrefix="0" xfId="0">
      <protection locked="0" hidden="0"/>
    </xf>
    <xf numFmtId="165" fontId="0" fillId="4" borderId="0" applyProtection="1" pivotButton="0" quotePrefix="0" xfId="0">
      <protection locked="0" hidden="0"/>
    </xf>
    <xf numFmtId="166" fontId="0" fillId="4" borderId="0" applyProtection="1" pivotButton="0" quotePrefix="0" xfId="0">
      <protection locked="0" hidden="0"/>
    </xf>
    <xf numFmtId="165" fontId="0" fillId="0" borderId="0" pivotButton="0" quotePrefix="0" xfId="0"/>
    <xf numFmtId="166" fontId="0" fillId="0" borderId="0" pivotButton="0" quotePrefix="0" xfId="0"/>
    <xf numFmtId="164" fontId="0" fillId="4" borderId="0" applyProtection="1" pivotButton="0" quotePrefix="0" xfId="0">
      <protection locked="0" hidden="0"/>
    </xf>
    <xf numFmtId="4" fontId="0" fillId="0" borderId="0" pivotButton="0" quotePrefix="0" xfId="0"/>
    <xf numFmtId="4" fontId="0" fillId="4" borderId="0" applyProtection="1" pivotButton="0" quotePrefix="0" xfId="0">
      <protection locked="0" hidden="0"/>
    </xf>
    <xf numFmtId="0" fontId="10" fillId="0" borderId="3" pivotButton="0" quotePrefix="0" xfId="0"/>
    <xf numFmtId="164" fontId="10" fillId="0" borderId="3" pivotButton="0" quotePrefix="0" xfId="0"/>
    <xf numFmtId="166" fontId="10" fillId="0" borderId="3" pivotButton="0" quotePrefix="0" xfId="0"/>
    <xf numFmtId="0" fontId="9" fillId="0" borderId="3" pivotButton="0" quotePrefix="0" xfId="0"/>
    <xf numFmtId="164" fontId="9" fillId="4" borderId="3" applyProtection="1" pivotButton="0" quotePrefix="0" xfId="0">
      <protection locked="0" hidden="0"/>
    </xf>
    <xf numFmtId="166" fontId="9" fillId="0" borderId="3" pivotButton="0" quotePrefix="0" xfId="0"/>
    <xf numFmtId="0" fontId="9" fillId="4" borderId="3" applyProtection="1" pivotButton="0" quotePrefix="0" xfId="0">
      <protection locked="0" hidden="0"/>
    </xf>
    <xf numFmtId="164" fontId="9" fillId="0" borderId="3" pivotButton="0" quotePrefix="0" xfId="0"/>
    <xf numFmtId="0" fontId="11" fillId="0" borderId="0" pivotButton="0" quotePrefix="0" xfId="0"/>
    <xf numFmtId="164" fontId="0" fillId="0" borderId="0" pivotButton="0" quotePrefix="0" xfId="0"/>
    <xf numFmtId="164" fontId="12" fillId="0" borderId="0" pivotButton="0" quotePrefix="0" xfId="0"/>
    <xf numFmtId="166" fontId="12" fillId="0" borderId="0" pivotButton="0" quotePrefix="0" xfId="0"/>
    <xf numFmtId="0" fontId="12" fillId="0" borderId="0" pivotButton="0" quotePrefix="0" xfId="0"/>
    <xf numFmtId="0" fontId="1" fillId="0" borderId="0" applyAlignment="1" pivotButton="0" quotePrefix="0" xfId="0">
      <alignment horizontal="left" vertical="top" wrapText="1"/>
    </xf>
    <xf numFmtId="0" fontId="10" fillId="0" borderId="3" applyAlignment="1" pivotButton="0" quotePrefix="0" xfId="0">
      <alignment horizontal="general" vertical="top" wrapText="1"/>
    </xf>
    <xf numFmtId="3" fontId="9" fillId="0" borderId="3" pivotButton="0" quotePrefix="0" xfId="0"/>
    <xf numFmtId="165" fontId="9" fillId="0" borderId="3" pivotButton="0" quotePrefix="0" xfId="0"/>
    <xf numFmtId="3" fontId="0" fillId="0" borderId="0" pivotButton="0" quotePrefix="0" xfId="0"/>
    <xf numFmtId="166" fontId="11" fillId="4" borderId="0" applyProtection="1" pivotButton="0" quotePrefix="0" xfId="0">
      <protection locked="0" hidden="0"/>
    </xf>
    <xf numFmtId="167" fontId="9" fillId="0" borderId="3" pivotButton="0" quotePrefix="0" xfId="0"/>
    <xf numFmtId="167" fontId="10" fillId="0" borderId="3" pivotButton="0" quotePrefix="0" xfId="0"/>
    <xf numFmtId="167" fontId="9" fillId="4" borderId="3" applyProtection="1" pivotButton="0" quotePrefix="0" xfId="0">
      <protection locked="0" hidden="0"/>
    </xf>
    <xf numFmtId="0" fontId="9" fillId="0" borderId="3" applyAlignment="1" pivotButton="0" quotePrefix="0" xfId="0">
      <alignment horizontal="general" vertical="top" wrapText="1"/>
    </xf>
    <xf numFmtId="165" fontId="10" fillId="0" borderId="3" pivotButton="0" quotePrefix="0" xfId="0"/>
    <xf numFmtId="167" fontId="0" fillId="0" borderId="0" pivotButton="0" quotePrefix="0" xfId="0"/>
    <xf numFmtId="3" fontId="9" fillId="4" borderId="3" applyProtection="1" pivotButton="0" quotePrefix="0" xfId="0">
      <protection locked="0" hidden="0"/>
    </xf>
    <xf numFmtId="165" fontId="9" fillId="4" borderId="3" applyProtection="1" pivotButton="0" quotePrefix="0" xfId="0">
      <protection locked="0" hidden="0"/>
    </xf>
    <xf numFmtId="9" fontId="9" fillId="4" borderId="3" applyProtection="1" pivotButton="0" quotePrefix="0" xfId="0">
      <protection locked="0" hidden="0"/>
    </xf>
    <xf numFmtId="3" fontId="10" fillId="0" borderId="3" pivotButton="0" quotePrefix="0" xfId="0"/>
    <xf numFmtId="4" fontId="10" fillId="0" borderId="3" pivotButton="0" quotePrefix="0" xfId="0"/>
    <xf numFmtId="164" fontId="11" fillId="4" borderId="0" applyProtection="1" pivotButton="0" quotePrefix="0" xfId="0">
      <protection locked="0" hidden="0"/>
    </xf>
    <xf numFmtId="3" fontId="11" fillId="4" borderId="0" applyProtection="1" pivotButton="0" quotePrefix="0" xfId="0">
      <protection locked="0" hidden="0"/>
    </xf>
    <xf numFmtId="167" fontId="11" fillId="4" borderId="0" applyProtection="1" pivotButton="0" quotePrefix="0" xfId="0">
      <protection locked="0" hidden="0"/>
    </xf>
    <xf numFmtId="0" fontId="0" fillId="0" borderId="0" applyAlignment="1" pivotButton="0" quotePrefix="0" xfId="0">
      <alignment horizontal="general" vertical="top"/>
    </xf>
    <xf numFmtId="0" fontId="0" fillId="0" borderId="0" applyAlignment="1" pivotButton="0" quotePrefix="0" xfId="0">
      <alignment horizontal="left" vertical="top"/>
    </xf>
    <xf numFmtId="166" fontId="9" fillId="4" borderId="3" applyProtection="1" pivotButton="0" quotePrefix="0" xfId="0">
      <protection locked="0" hidden="0"/>
    </xf>
    <xf numFmtId="4" fontId="9" fillId="0" borderId="3" pivotButton="0" quotePrefix="0" xfId="0"/>
    <xf numFmtId="165" fontId="0" fillId="4" borderId="0" applyProtection="1" pivotButton="0" quotePrefix="0" xfId="0">
      <protection locked="0" hidden="0"/>
    </xf>
    <xf numFmtId="166" fontId="0" fillId="4" borderId="0" applyProtection="1" pivotButton="0" quotePrefix="0" xfId="0">
      <protection locked="0" hidden="0"/>
    </xf>
    <xf numFmtId="165" fontId="0" fillId="0" borderId="0" pivotButton="0" quotePrefix="0" xfId="0"/>
    <xf numFmtId="166" fontId="0" fillId="0" borderId="0" pivotButton="0" quotePrefix="0" xfId="0"/>
    <xf numFmtId="166" fontId="10" fillId="0" borderId="3" pivotButton="0" quotePrefix="0" xfId="0"/>
    <xf numFmtId="166" fontId="9" fillId="0" borderId="3" pivotButton="0" quotePrefix="0" xfId="0"/>
    <xf numFmtId="166" fontId="12" fillId="0" borderId="0" pivotButton="0" quotePrefix="0" xfId="0"/>
    <xf numFmtId="165" fontId="9" fillId="0" borderId="3" pivotButton="0" quotePrefix="0" xfId="0"/>
    <xf numFmtId="166" fontId="11" fillId="4" borderId="0" applyProtection="1" pivotButton="0" quotePrefix="0" xfId="0">
      <protection locked="0" hidden="0"/>
    </xf>
    <xf numFmtId="165" fontId="10" fillId="0" borderId="3" pivotButton="0" quotePrefix="0" xfId="0"/>
    <xf numFmtId="165" fontId="9" fillId="4" borderId="3" applyProtection="1" pivotButton="0" quotePrefix="0" xfId="0">
      <protection locked="0" hidden="0"/>
    </xf>
    <xf numFmtId="166" fontId="9" fillId="4" borderId="3" applyProtection="1" pivotButton="0" quotePrefix="0" xfId="0">
      <protection locked="0" hidden="0"/>
    </xf>
    <xf numFmtId="0" fontId="9" fillId="0" borderId="3" applyAlignment="1" pivotButton="0" quotePrefix="0" xfId="0">
      <alignment horizontal="left" vertical="top"/>
    </xf>
  </cellXfs>
  <cellStyles count="1">
    <cellStyle name="Normal" xfId="0" builtinId="0" hidden="0"/>
  </cellStyles>
  <dxfs count="3">
    <dxf>
      <font>
        <b val="1"/>
        <color rgb="00006100"/>
      </font>
      <fill>
        <patternFill patternType="solid">
          <fgColor rgb="00C6EFCE"/>
          <bgColor rgb="00C6EFCE"/>
        </patternFill>
      </fill>
    </dxf>
    <dxf>
      <font>
        <b val="1"/>
        <color rgb="009C0006"/>
      </font>
      <fill>
        <patternFill patternType="solid">
          <fgColor rgb="00FFC7CE"/>
          <bgColor rgb="00FFC7CE"/>
        </patternFill>
      </fill>
    </dxf>
    <dxf>
      <font>
        <b val="1"/>
        <color rgb="009C65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8"/>
  <sheetViews>
    <sheetView workbookViewId="0">
      <selection activeCell="A1" sqref="A1"/>
    </sheetView>
  </sheetViews>
  <sheetFormatPr baseColWidth="8" defaultRowHeight="15"/>
  <cols>
    <col width="48" customWidth="1" min="1" max="1"/>
    <col width="16" customWidth="1" min="2" max="2"/>
    <col width="74" customWidth="1" min="3" max="3"/>
  </cols>
  <sheetData>
    <row r="1">
      <c r="A1" s="16" t="inlineStr">
        <is>
          <t>SUPUESTOS — aquí se teclean las TASAS y los DRIVERS del modelo</t>
        </is>
      </c>
    </row>
    <row r="2" ht="45" customHeight="1">
      <c r="A2" s="17" t="inlineStr">
        <is>
          <t>Cambia las celdas VERDES: el resto del libro se recalcula solo. Las partidas de gasto se teclean en su hoja (también en verde) y no se repiten aquí.</t>
        </is>
      </c>
    </row>
    <row r="3">
      <c r="A3" s="16" t="inlineStr">
        <is>
          <t>ACTIVIDAD</t>
        </is>
      </c>
    </row>
    <row r="4">
      <c r="A4" t="inlineStr">
        <is>
          <t>Comensales/día (media del año 1)</t>
        </is>
      </c>
      <c r="B4" s="18" t="n">
        <v>77</v>
      </c>
      <c r="C4" t="inlineStr">
        <is>
          <t>Comensales equivalentes al día, media del año: unos 57 en sala (la terraza incluida de abril a octubre) y unos 20 de para llevar y domicilio, que son los pedidos (unos 15 al día de unos 20,50 € sin IVA) divididos por el ticket. Un sábado, unos 125 con los pedidos; un martes, unos 55. Contrástalo con el paso de gente de tu calle un viernes por la noche y un martes a mediodía</t>
        </is>
      </c>
    </row>
    <row r="5">
      <c r="A5" t="inlineStr">
        <is>
          <t>Ticket medio SIN IVA (€)</t>
        </is>
      </c>
      <c r="B5" s="63" t="n">
        <v>15.5</v>
      </c>
      <c r="C5" t="inlineStr">
        <is>
          <t>SIN IVA, por comensal: una orden de 3 tacos (8,50 € con IVA), medio taco suelto, algo de gringa o quesadilla, algún entrante, 1,1 bebidas y algún postre suman unos 17,40 € con IVA en sala; el caso se queda en 15,50 € sin IVA por los combos de mediodía. El taco al pastor del caso cuesta 3,00 € con IVA, dentro de la franja de 2,50-3,50 € de las taquerías casuales de ciudad (cartas leídas en octubre de 2026). El precio con IVA está en la fila «PVP equivalente con IVA» de abajo</t>
        </is>
      </c>
    </row>
    <row r="6">
      <c r="A6" t="inlineStr">
        <is>
          <t>Días de apertura al año</t>
        </is>
      </c>
      <c r="B6" s="18" t="n">
        <v>300</v>
      </c>
      <c r="C6" t="inlineStr">
        <is>
          <t>365 días menos los 52 lunes de cierre, 12 días de cierre en enero (mantenimiento y vacaciones) y el 25 de diciembre. Es el MISMO dato para la cuenta de resultados, el punto de equilibrio, los escenarios y las horas de personal</t>
        </is>
      </c>
    </row>
    <row r="7">
      <c r="A7" t="inlineStr">
        <is>
          <t>Crecimiento de volumen del año 2</t>
        </is>
      </c>
      <c r="B7" s="64" t="n">
        <v>0.06</v>
      </c>
      <c r="C7" t="inlineStr">
        <is>
          <t>Clientela que repite y más pedidos para llevar el segundo año. Se aplica a los comensales con el mismo ticket; el personal NO sube con este porcentaje: sale de la hoja Personal</t>
        </is>
      </c>
    </row>
    <row r="8">
      <c r="A8" t="inlineStr">
        <is>
          <t>Crecimiento de volumen del año 3</t>
        </is>
      </c>
      <c r="B8" s="64" t="n">
        <v>0.04</v>
      </c>
      <c r="C8" t="inlineStr">
        <is>
          <t>Sobre el año 2. Conservador: el techo lo ponen el trompo, la plancha y las 32 plazas los viernes y los sábados por la noche</t>
        </is>
      </c>
    </row>
    <row r="9">
      <c r="A9" t="inlineStr">
        <is>
          <t>PVP equivalente con IVA (calculado)</t>
        </is>
      </c>
      <c r="B9" s="65">
        <f>IFERROR(IF($B$5="","",$B$5*(1+SUMPRODUCT('PyG 3 Años'!$E$10:$E$11,'PyG 3 Años'!$G$10:$G$11))),"")</f>
        <v>17.075575</v>
      </c>
      <c r="C9" t="str">
        <f>IFERROR("Ticket sin IVA más el IVA medio ponderado de tus líneas de venta: "&amp;TEXT(SUMPRODUCT('PyG 3 Años'!$E$10:$E$11,'PyG 3 Años'!$G$10:$G$11)*100,"0")&amp;" %. En sala todo va al 10 % (art. 91.Uno.2.2.º de la Ley 37/1992, alcohol incluido); la bebida que sale para llevar o a domicilio (columna H de su línea en el P&amp;L) mueve la media. Aquí va redondeado. Compáralo con el rango del sector, que va con IVA.","")</f>
        <v>Ticket sin IVA más el IVA medio ponderado de tus líneas de venta: 10 %. En sala todo va al 10 % (art. 91.Uno.2.2.º de la Ley 37/1992, alcohol incluido); la bebida que sale para llevar o a domicilio (columna H de su línea en el P&amp;L) mueve la media. Aquí va redondeado. Compáralo con el rango del sector, que va con IVA.</v>
      </c>
    </row>
    <row r="10">
      <c r="A10" s="16" t="inlineStr">
        <is>
          <t>MIX Y COSTE DE MERCANCÍA</t>
        </is>
      </c>
    </row>
    <row r="11">
      <c r="A11" t="inlineStr">
        <is>
          <t>Ventas de COMIDA sobre el total</t>
        </is>
      </c>
      <c r="B11" s="64" t="n">
        <v>0.8</v>
      </c>
      <c r="C11" t="inlineStr">
        <is>
          <t>Peso de la COMIDA sobre el total de ventas. Es un INPUT: cámbialo aquí y el P&amp;L, la tesorería y el IVA repercutido se recalculan solos</t>
        </is>
      </c>
    </row>
    <row r="12">
      <c r="A12" t="inlineStr">
        <is>
          <t>Ventas de BEBIDA sobre el total</t>
        </is>
      </c>
      <c r="B12" s="66">
        <f>IFERROR(IF(COUNT(B11)=0,"",1-B11),"")</f>
        <v>0.19999999999999996</v>
      </c>
      <c r="C12" t="inlineStr">
        <is>
          <t>Se calcula como el resto: comida + bebida = 100 %</t>
        </is>
      </c>
    </row>
    <row r="13">
      <c r="A13" t="inlineStr">
        <is>
          <t>Coste de mercancía sobre las ventas de COMIDA</t>
        </is>
      </c>
      <c r="B13" s="64" t="n">
        <v>0.27</v>
      </c>
      <c r="C13" t="inlineStr">
        <is>
          <t>Materia prima de la comida sobre sus ventas: el taco al pastor sale a un 22,5 % (un 24 % en la orden de 3), las carnitas, el suadero y la barbacoa a un 26-30 %, la gringa a un 23 % y el guacamole a un 22-28 % según el aguacate: un 25 % de media, más 1,5 puntos de merma (el sobrante del trompo y las salsas crudas que se tiran) y medio punto de prudencia, porque la carne y la tortilla son precios estimados por el kit. Escandalla cada taco con la calculadora del pack</t>
        </is>
      </c>
    </row>
    <row r="14">
      <c r="A14" t="inlineStr">
        <is>
          <t>Coste de mercancía sobre las ventas de BEBIDA</t>
        </is>
      </c>
      <c r="B14" s="64" t="n">
        <v>0.26</v>
      </c>
      <c r="C14" t="inlineStr">
        <is>
          <t>Aguas frescas al 12 %, cerveza mexicana al 33 %, mezcal y tequila al 28 % y refrescos y agua al 30 % de su precio de venta, en una mezcla de 30/45/10/15. Si la cervecera te cede el equipo de tiraje, pide el precio del barril por escrito</t>
        </is>
      </c>
    </row>
    <row r="15">
      <c r="A15" t="inlineStr">
        <is>
          <t>Consumibles sobre ventas</t>
        </is>
      </c>
      <c r="B15" s="64" t="n">
        <v>0.035</v>
      </c>
      <c r="C15" t="inlineStr">
        <is>
          <t>Envases para llevar y a domicilio, tarrinas de salsa, papel, servilletas, guantes y los envases para que el cliente se lleve lo que no consuma (Ley 1/2025, art. 8). El envase de plástico de un solo uso se cobra aparte en el tique (Ley 7/2022, art. 55)</t>
        </is>
      </c>
    </row>
    <row r="16">
      <c r="A16" t="inlineStr">
        <is>
          <t>Ventas por delivery sobre el total</t>
        </is>
      </c>
      <c r="B16" s="64" t="n">
        <v>0.12</v>
      </c>
      <c r="C16" t="inlineStr">
        <is>
          <t>Ventas por PLATAFORMA con su reparto (Glovo, Just Eat, Uber Eats) sobre el total. Lo que se recoge en el local NO paga comisión y no va aquí. La tortilla llega peor tras el viaje: la orden «para armar» lo aguanta, pero no subas de aquí sin probarlo</t>
        </is>
      </c>
    </row>
    <row r="17">
      <c r="A17" t="inlineStr">
        <is>
          <t>Comisión de la plataforma de delivery</t>
        </is>
      </c>
      <c r="B17" s="64" t="n">
        <v>0.3</v>
      </c>
      <c r="C17" t="inlineStr">
        <is>
          <t>Comisión de la plataforma con su reparto sobre lo que vende ese canal: el plan básico de Uber Eats ronda el 30 % más IVA, Glovo va del 15 al 35 % según la zona y Just Eat, del 25 al 35 % con su reparto. Compruébala en tu contrato. Si repartes tú, pon 0 y suma el repartidor, con contrato laboral, a la hoja Personal</t>
        </is>
      </c>
    </row>
    <row r="18">
      <c r="A18" t="inlineStr">
        <is>
          <t>Comisión de los medios de pago</t>
        </is>
      </c>
      <c r="B18" s="64" t="n">
        <v>0.008</v>
      </c>
      <c r="C18" t="inlineStr">
        <is>
          <t>Tarjeta y bizum sobre el total facturado</t>
        </is>
      </c>
    </row>
    <row r="19">
      <c r="A19" s="16" t="inlineStr">
        <is>
          <t>PERSONAL</t>
        </is>
      </c>
    </row>
    <row r="20">
      <c r="A20" t="inlineStr">
        <is>
          <t>Seguridad Social a cargo de la empresa</t>
        </is>
      </c>
      <c r="B20" s="64" t="n">
        <v>0.33</v>
      </c>
      <c r="C20" t="inlineStr">
        <is>
          <t>Contingencias comunes + AT/EP + desempleo + FOGASA + FP; ajusta a tu convenio y bonificaciones</t>
        </is>
      </c>
    </row>
    <row r="21">
      <c r="A21" t="inlineStr">
        <is>
          <t>Número de pagas anuales</t>
        </is>
      </c>
      <c r="B21" s="18" t="n">
        <v>14</v>
      </c>
      <c r="C21" t="inlineStr">
        <is>
          <t>Salario bruto anual = bruto mensual × pagas</t>
        </is>
      </c>
    </row>
    <row r="22">
      <c r="A22" t="inlineStr">
        <is>
          <t>SMI anual de referencia (€)</t>
        </is>
      </c>
      <c r="B22" s="23" t="n">
        <v>17094</v>
      </c>
      <c r="C22" t="inlineStr">
        <is>
          <t>SMI 2026: 17.094 € al año (1.221 €/mes en 14 pagas), suelo legal por jornada completa. Comprueba el importe vigente si presentas el plan en otro ejercicio</t>
        </is>
      </c>
    </row>
    <row r="23">
      <c r="A23" s="16" t="inlineStr">
        <is>
          <t>LOCAL Y FIJOS</t>
        </is>
      </c>
    </row>
    <row r="24">
      <c r="A24" t="inlineStr">
        <is>
          <t>Alquiler mensual del local (€)</t>
        </is>
      </c>
      <c r="B24" s="23" t="n">
        <v>1450</v>
      </c>
      <c r="C24" t="inlineStr">
        <is>
          <t>Local de 80 m² con salida de humos a cubierta posible (es el filtro del local): sala de 45 m² con 24 plazas en mesa y 8 en barra, cocina de 20 m² a la vista con el trompo, la plancha y el comal, aseos (uno adaptado) y almacén, en una calle con paso cerca de una zona universitaria o de ocio de una ciudad media, sin traspaso: unos 18 € el m². El peso sobre las ventas lo calcula el propio libro en la fila «Alquiler / Ventas» del P&amp;L</t>
        </is>
      </c>
    </row>
    <row r="25">
      <c r="A25" t="inlineStr">
        <is>
          <t>Fianza del alquiler (meses)</t>
        </is>
      </c>
      <c r="B25" s="18" t="n">
        <v>2</v>
      </c>
      <c r="C25" t="inlineStr">
        <is>
          <t>Dos meses de renta, lo habitual en un contrato de local de negocio: compruébalo con tu abogado</t>
        </is>
      </c>
    </row>
    <row r="26">
      <c r="A26" t="inlineStr">
        <is>
          <t>Suministros mensuales de luz, agua y gas (€)</t>
        </is>
      </c>
      <c r="B26" s="23" t="n">
        <v>850</v>
      </c>
      <c r="C26" t="inlineStr">
        <is>
          <t>Luz (frío, extracción, climatización y cafetera), el gas del trompo, la plancha, el comal y los fogones, y el agua. Pide el histórico del local</t>
        </is>
      </c>
    </row>
    <row r="27">
      <c r="A27" t="inlineStr">
        <is>
          <t>Seguros (€/año)</t>
        </is>
      </c>
      <c r="B27" s="23" t="n">
        <v>1400</v>
      </c>
      <c r="C27" t="inlineStr">
        <is>
          <t>Responsabilidad civil de al menos 300.000 € y multirriesgo con incendio y avería del frío. Dile a la aseguradora que trabajas con trompo, plancha y freidora a gas: cambia la prima y las condiciones</t>
        </is>
      </c>
    </row>
    <row r="28">
      <c r="A28" t="inlineStr">
        <is>
          <t>Varios e imprevistos sobre ventas</t>
        </is>
      </c>
      <c r="B28" s="64" t="n">
        <v>0.02</v>
      </c>
      <c r="C28" t="inlineStr">
        <is>
          <t>Colchón de gasto corriente no presupuestado (pequeñas reparaciones, utillaje que se rompe, pruebas de carta)</t>
        </is>
      </c>
    </row>
    <row r="29">
      <c r="A29" s="16" t="inlineStr">
        <is>
          <t>FINANCIACIÓN</t>
        </is>
      </c>
    </row>
    <row r="30">
      <c r="A30" t="inlineStr">
        <is>
          <t>Recursos propios aportados (€)</t>
        </is>
      </c>
      <c r="B30" s="23" t="n">
        <v>55000</v>
      </c>
      <c r="C30" t="inlineStr">
        <is>
          <t>Aportación de los socios. Un banco pide entre el 25 y el 30 % de la necesidad de caja con dinero propio</t>
        </is>
      </c>
    </row>
    <row r="31">
      <c r="A31" t="inlineStr">
        <is>
          <t>Préstamo bancario solicitado (€)</t>
        </is>
      </c>
      <c r="B31" s="23" t="n">
        <v>118000</v>
      </c>
      <c r="C31" t="inlineStr">
        <is>
          <t>Principal solicitado. La hoja de Financiación compara lo que aportas con la necesidad de caja de la hoja de inversión y te dice si sobra o falta: ajústalo con ese dato</t>
        </is>
      </c>
    </row>
    <row r="32">
      <c r="A32" t="inlineStr">
        <is>
          <t>Tipo de interés nominal anual</t>
        </is>
      </c>
      <c r="B32" s="64" t="n">
        <v>0.06</v>
      </c>
      <c r="C32" t="inlineStr">
        <is>
          <t>Tipo nominal anual. Pide oferta a dos entidades y a una línea ICO antes de fijarlo; el frío y el equipo de cocina se pueden pagar con leasing o renting: compáralo</t>
        </is>
      </c>
    </row>
    <row r="33">
      <c r="A33" t="inlineStr">
        <is>
          <t>Plazo del préstamo (años)</t>
        </is>
      </c>
      <c r="B33" s="18" t="n">
        <v>7</v>
      </c>
      <c r="C33" t="inlineStr">
        <is>
          <t>Años totales, carencia incluida</t>
        </is>
      </c>
    </row>
    <row r="34">
      <c r="A34" t="inlineStr">
        <is>
          <t>Carencia de principal (años)</t>
        </is>
      </c>
      <c r="B34" s="18" t="n">
        <v>1</v>
      </c>
      <c r="C34" t="inlineStr">
        <is>
          <t>El primer año sólo intereses: obra, conducto de humos y cocina antes de facturar. Desde el segundo año se devuelve el principal: mira la holgura de caja de ese año en el Punto de Equilibrio</t>
        </is>
      </c>
    </row>
    <row r="35">
      <c r="A35" t="inlineStr">
        <is>
          <t>Fondo de maniobra (meses de costes fijos)</t>
        </is>
      </c>
      <c r="B35" s="18" t="n">
        <v>3</v>
      </c>
      <c r="C35" t="inlineStr">
        <is>
          <t>Tres meses de costes fijos: el colchón para la rampa del arranque, que con el Mes 1 en enero cae sobre los meses más flojos del año (enero y febrero)</t>
        </is>
      </c>
    </row>
    <row r="36">
      <c r="A36" s="16" t="inlineStr">
        <is>
          <t>FISCAL</t>
        </is>
      </c>
    </row>
    <row r="37">
      <c r="A37" t="inlineStr">
        <is>
          <t>Impuesto de Sociedades, nueva creación</t>
        </is>
      </c>
      <c r="B37" s="64" t="n">
        <v>0.15</v>
      </c>
      <c r="C37" t="inlineStr">
        <is>
          <t>Art. 29.1 LIS: el PRIMER ejercicio con base imponible positiva y el SIGUIENTE. El libro lo aproxima contando los dos primeros ejercicios con base positiva: coincide con la ley salvo que entre ellos haya un ejercicio en pérdidas</t>
        </is>
      </c>
    </row>
    <row r="38">
      <c r="A38" t="inlineStr">
        <is>
          <t>Impuesto de Sociedades, tipo general</t>
        </is>
      </c>
      <c r="B38" s="64" t="n">
        <v>0.25</v>
      </c>
      <c r="C38" t="inlineStr">
        <is>
          <t>A partir del tercer ejercicio con base positiva. Es el tipo general del art. 29.1 LIS: si tu cifra de negocios queda por debajo de 1 M € (microempresa) o de 10 M € (reducida dimensión), desde 2025 hay tipos más bajos que se implantan de forma gradual; confirma el de tu ejercicio con tu asesor y cámbialo aquí</t>
        </is>
      </c>
    </row>
    <row r="39">
      <c r="A39" t="inlineStr">
        <is>
          <t>IVA repercutido de restauración</t>
        </is>
      </c>
      <c r="B39" s="64" t="n">
        <v>0.1</v>
      </c>
      <c r="C39" t="inlineStr">
        <is>
          <t>Tipo reducido de hostelería</t>
        </is>
      </c>
    </row>
    <row r="40">
      <c r="A40" t="inlineStr">
        <is>
          <t>IVA repercutido/soportado general</t>
        </is>
      </c>
      <c r="B40" s="64" t="n">
        <v>0.21</v>
      </c>
      <c r="C40" t="inlineStr">
        <is>
          <t>Tipo general. En este libro lo usan dos cosas: el IVA que soportas al comprar el alcohol (el proveedor lo factura al 21 %) y el que repercutes por la bebida que sale para llevar o a domicilio (es una entrega de bienes). El alcohol servido en sala va al reducido, como fija la línea de bebida del P&amp;L. Suministros, equipamiento y servicios tienen su tipo en la celda de abajo. En las compras, el libro manda al general la parte de la bebida que declara la celda «Bebida que compras al 21 %» de esta hoja: la cerveza, el mezcal, el tequila y los refrescos con azúcares o edulcorantes añadidos, cuya factura va al 21 % (art. 91.Uno.1.1.º de la Ley 37/1992)</t>
        </is>
      </c>
    </row>
    <row r="41">
      <c r="A41" t="inlineStr">
        <is>
          <t>IVA soportado en compras e inversión</t>
        </is>
      </c>
      <c r="B41" s="64" t="n">
        <v>0.21</v>
      </c>
      <c r="C41" t="inlineStr">
        <is>
          <t>Recuperable vía modelo 303, pero hay que adelantarlo</t>
        </is>
      </c>
    </row>
    <row r="42">
      <c r="A42" t="inlineStr">
        <is>
          <t>Bases negativas de ejercicios anteriores (€)</t>
        </is>
      </c>
      <c r="B42" s="23" t="n">
        <v>0</v>
      </c>
      <c r="C42" t="inlineStr">
        <is>
          <t>Pérdidas pendientes de compensar al empezar (art. 26 LIS)</t>
        </is>
      </c>
    </row>
    <row r="43">
      <c r="A43" s="16" t="inlineStr">
        <is>
          <t>AMORTIZACIÓN</t>
        </is>
      </c>
    </row>
    <row r="44">
      <c r="A44" t="inlineStr">
        <is>
          <t>Vida útil de obra e instalaciones (años)</t>
        </is>
      </c>
      <c r="B44" s="18" t="n">
        <v>10</v>
      </c>
      <c r="C44" t="inlineStr">
        <is>
          <t>Obra, conducto de extracción hasta cubierta, instalación eléctrica, fontanería, gas, climatización, rótulo y fachada. Coeficientes de la tabla del art. 12.1 de la Ley del Impuesto sobre Sociedades: confírmalo con tu asesor</t>
        </is>
      </c>
    </row>
    <row r="45">
      <c r="A45" t="inlineStr">
        <is>
          <t>Vida útil de maquinaria y mobiliario (años)</t>
        </is>
      </c>
      <c r="B45" s="18" t="n">
        <v>10</v>
      </c>
      <c r="C45" t="inlineStr">
        <is>
          <t>Trompo, plancha y comal, freidora, campana extractora, frío, lavavajillas, barra, mobiliario y TPV: un 10 % anual, dentro del coeficiente máximo de la tabla del art. 12.1 de la Ley del Impuesto sobre Sociedades para la maquinaria (12 %) y para el mobiliario (10 %). Confírmalo con tu asesor</t>
        </is>
      </c>
    </row>
    <row r="46"/>
    <row r="47">
      <c r="A47" s="16" t="inlineStr">
        <is>
          <t>CRECIMIENTO Y ACTUALIZACIÓN DE COSTES</t>
        </is>
      </c>
    </row>
    <row r="48">
      <c r="A48" t="inlineStr">
        <is>
          <t>Subida anual de los costes fijos</t>
        </is>
      </c>
      <c r="B48" s="64" t="n">
        <v>0</v>
      </c>
      <c r="C48" t="inlineStr">
        <is>
          <t>A CERO: las tres columnas están en euros del año 1 (términos reales). Súbela si quieres proyectar en euros corrientes</t>
        </is>
      </c>
    </row>
    <row r="49">
      <c r="A49" s="16" t="inlineStr">
        <is>
          <t>ARRANQUE Y AFORO</t>
        </is>
      </c>
    </row>
    <row r="50">
      <c r="A50" t="inlineStr">
        <is>
          <t>Rotaciones al día implícitas (calculado)</t>
        </is>
      </c>
      <c r="B50" s="24">
        <f>IFERROR($B$4/$B$51,"")</f>
        <v>2.40625</v>
      </c>
      <c r="C50" t="str">
        <f>IFERROR("Son "&amp;TEXT(INT(ROUND(B50,1)),"0")&amp;","&amp;TEXT(ROUND(MOD(ROUND(B50,1),1)*10,0),"0")&amp;" servicios por plaza y día sobre las "&amp;TEXT($B$51,"0")&amp;" plazas de la celda de arriba. Incluye a quien se lleva los tacos o los recibe en casa, que no ocupa mesa: la rotación real de tu sala es menor (en el caso, unos 57 comensales de sala, 1,8 por plaza y día).","")</f>
        <v>Son 2,4 servicios por plaza y día sobre las 32 plazas de la celda de arriba. Incluye a quien se lleva los tacos o los recibe en casa, que no ocupa mesa: la rotación real de tu sala es menor (en el caso, unos 57 comensales de sala, 1,8 por plaza y día).</v>
      </c>
    </row>
    <row r="51">
      <c r="A51" t="inlineStr">
        <is>
          <t>Aforo del local (plazas sentadas, sin la terraza)</t>
        </is>
      </c>
      <c r="B51" s="18" t="n">
        <v>32</v>
      </c>
      <c r="C51" t="inlineStr">
        <is>
          <t>Plazas interiores: 24 en mesa y 8 en barra. La terraza suma 16 plazas de abril a octubre, con su autorización municipal aparte, y quien se lleva los tacos o los recibe en casa no ocupa mesa: por eso la rotación de la fila de arriba es más alta que la real de tu sala</t>
        </is>
      </c>
    </row>
    <row r="52">
      <c r="A52" t="inlineStr">
        <is>
          <t>Actividad del mes 1 sobre la de crucero</t>
        </is>
      </c>
      <c r="B52" s="64" t="n">
        <v>0.75</v>
      </c>
      <c r="C52" t="inlineStr">
        <is>
          <t>Una taquería que abre trae curiosos el primer mes, pero la clientela fija tarda un trimestre: el Mes 1 (enero) factura un 75 % de lo que facturará a los cuatro meses. Con 100 % se elimina la rampa</t>
        </is>
      </c>
    </row>
    <row r="53">
      <c r="A53" t="inlineStr">
        <is>
          <t>Meses hasta alcanzar el régimen de crucero</t>
        </is>
      </c>
      <c r="B53" s="18" t="n">
        <v>4</v>
      </c>
      <c r="C53" t="inlineStr">
        <is>
          <t>Cuatro meses hasta el ritmo de crucero: de enero a abril, para llegar a la terraza de primavera con clientela</t>
        </is>
      </c>
    </row>
    <row r="54">
      <c r="A54" t="inlineStr">
        <is>
          <t>Meses de alquiler ANTES de abrir (obra y licencias)</t>
        </is>
      </c>
      <c r="B54" s="18" t="n">
        <v>2</v>
      </c>
      <c r="C54" t="inlineStr">
        <is>
          <t>Dos meses de renta antes de abrir: la obra, el conducto de humos y la licencia. Si el banco te da el préstamo al empezar la obra, súmale los intereses de esos meses, que este libro no cuenta, y ten en cuenta que la carencia corre desde la firma</t>
        </is>
      </c>
    </row>
    <row r="55">
      <c r="A55" t="inlineStr">
        <is>
          <t>Imprevistos sobre las partidas de OBRA del bloque de local (%)</t>
        </is>
      </c>
      <c r="B55" s="64" t="n">
        <v>0.1</v>
      </c>
      <c r="C55" t="inlineStr">
        <is>
          <t>Colchón sobre la obra y las instalaciones del local, que es donde aparecen las sorpresas (el conducto hasta cubierta, la instalación de gas, el separador de grasas). Un banco no financia una reforma sin él</t>
        </is>
      </c>
    </row>
    <row r="56"/>
    <row r="57">
      <c r="A57" s="16" t="inlineStr">
        <is>
          <t>COBROS, PAGOS Y DESGLOSE DEL IVA</t>
        </is>
      </c>
    </row>
    <row r="58">
      <c r="A58" t="inlineStr">
        <is>
          <t>Días medios de cobro</t>
        </is>
      </c>
      <c r="B58" s="18" t="n">
        <v>2</v>
      </c>
      <c r="C58" t="inlineStr">
        <is>
          <t>Media ponderada: la sala y lo que se recoge en el local cobran al momento y la plataforma liquida cada 7-15 días lo que vende por ella (un 12 % de las ventas)</t>
        </is>
      </c>
    </row>
    <row r="59">
      <c r="A59" t="inlineStr">
        <is>
          <t>Días medios de pago a proveedor</t>
        </is>
      </c>
      <c r="B59" s="18" t="n">
        <v>30</v>
      </c>
      <c r="C59" t="inlineStr">
        <is>
          <t>Plazo de pago a los proveedores de carne, tortilla, verdura y bebida: lo que te financian. Es lo primero que se pierde si te retrasas en un pago</t>
        </is>
      </c>
    </row>
    <row r="60">
      <c r="A60" t="inlineStr">
        <is>
          <t>Mes de la paga extra de verano</t>
        </is>
      </c>
      <c r="B60" s="18" t="n">
        <v>7</v>
      </c>
      <c r="C60" t="inlineStr">
        <is>
          <t>Mes de la TESORERÍA en el que sale la paga extra de verano: julio es el Mes 7, porque el Mes 1 del plan es enero</t>
        </is>
      </c>
    </row>
    <row r="61">
      <c r="A61" t="inlineStr">
        <is>
          <t>Mes de la paga extra de Navidad</t>
        </is>
      </c>
      <c r="B61" s="18" t="n">
        <v>12</v>
      </c>
      <c r="C61" t="inlineStr">
        <is>
          <t>Mes de la TESORERÍA en el que sale la paga extra de Navidad: diciembre es el Mes 12, porque el Mes 1 del plan es enero</t>
        </is>
      </c>
    </row>
    <row r="62">
      <c r="A62" t="inlineStr">
        <is>
          <t>Bebida que compras al 21 % (cerveza, mezcal, tequila y refrescos azucarados o edulcorados) sobre el total de bebida</t>
        </is>
      </c>
      <c r="B62" s="64" t="n">
        <v>0.75</v>
      </c>
      <c r="C62" t="inlineStr">
        <is>
          <t>Sólo mueve el IVA que SOPORTAS al comprar la bebida: la cerveza, el mezcal, el tequila y los refrescos con azúcares o edulcorantes añadidos te los facturan al 21 %; el agua y los ingredientes de las aguas frescas que preparas tú, al 10 % (la fruta fresca, al 4 %). Con un 75 % sale un 18,3 %. El IVA que REPERCUTES lo fija la línea de bebida del P&amp;L (columna H)</t>
        </is>
      </c>
    </row>
    <row r="63">
      <c r="A63" t="inlineStr">
        <is>
          <t>IVA de la bebida ALCOHÓLICA servida en sala</t>
        </is>
      </c>
      <c r="B63" s="64" t="n">
        <v>0.1</v>
      </c>
      <c r="C63" t="inlineStr">
        <is>
          <t>SIN EFECTO en este libro: el IVA que repercute la bebida lo fija su línea del P&amp;L. En sala, todo al 10 % (art. 91.Uno.2.2.º de la Ley 37/1992); para llevar o a domicilio, el alcohol y las aguas frescas y los refrescos con azúcares o edulcorantes añadidos, al 21 %, en la columna H de esa línea</t>
        </is>
      </c>
    </row>
    <row r="64">
      <c r="A64" s="16" t="inlineStr">
        <is>
          <t>UMBRALES Y SUELOS DE CONTROL</t>
        </is>
      </c>
    </row>
    <row r="65">
      <c r="A65" t="inlineStr">
        <is>
          <t>DSCR mínimo aceptable</t>
        </is>
      </c>
      <c r="B65" s="25" t="n">
        <v>1</v>
      </c>
      <c r="C65" t="inlineStr">
        <is>
          <t>Por debajo de 1 el negocio no genera para pagar el préstamo. Ponlo en el covenant que te exija tu banco</t>
        </is>
      </c>
    </row>
    <row r="66">
      <c r="A66" t="inlineStr">
        <is>
          <t>DSCR objetivo (verde)</t>
        </is>
      </c>
      <c r="B66" s="25" t="n">
        <v>1.25</v>
      </c>
      <c r="C66" t="inlineStr">
        <is>
          <t>Lo que suele pedir una entidad para dar el préstamo sin garantías adicionales</t>
        </is>
      </c>
    </row>
    <row r="67">
      <c r="A67" t="inlineStr">
        <is>
          <t>Holgura mínima sobre el punto de equilibrio</t>
        </is>
      </c>
      <c r="B67" s="64" t="n">
        <v>0.15</v>
      </c>
      <c r="C67" t="inlineStr">
        <is>
          <t>Cuánto puedes caer sobre lo previsto antes de entrar en pérdidas</t>
        </is>
      </c>
    </row>
    <row r="68">
      <c r="A68" t="inlineStr">
        <is>
          <t>Suelo salarial anual del convenio provincial (€)</t>
        </is>
      </c>
      <c r="B68" s="23" t="n">
        <v>0</v>
      </c>
      <c r="C68" t="inlineStr">
        <is>
          <t>Las taquerías van al convenio PROVINCIAL de hostelería: el art. 4 del VI Acuerdo Laboral de ámbito Estatal para el sector de Hostelería no nombra la palabra «taquería», pero incluye los restaurantes y el reparto de comidas preparadas. Copia aquí el salario base del grupo más bajo de la tabla de TU provincia. Con 0 el semáforo compara sólo contra el SMI</t>
        </is>
      </c>
    </row>
  </sheetData>
  <sheetProtection selectLockedCells="0" selectUnlockedCells="0" sheet="1" objects="0" insertRows="1" insertHyperlinks="1" autoFilter="1" scenarios="0" formatColumns="0" deleteColumns="1" insertColumns="1" pivotTables="1" deleteRows="1" formatCells="1" formatRows="0" sort="0"/>
  <dataValidations count="10">
    <dataValidation sqref="B5 B22 B24 B26 B27 B30 B31 B42 B65 B66 B68" showDropDown="0" showInputMessage="0" showErrorMessage="1" allowBlank="1" errorTitle="Importe no válido" error="Escribe un número mayor o igual que 0." type="decimal" operator="greaterThanOrEqual">
      <formula1>0</formula1>
    </dataValidation>
    <dataValidation sqref="B7 B8 B11 B13 B14 B15 B16 B17 B18 B20 B28 B32 B37 B38 B39 B40 B41 B48 B52 B55 B62 B63 B67" showDropDown="0" showInputMessage="0" showErrorMessage="1" allowBlank="1" errorTitle="Porcentaje no válido" error="Escribe un porcentaje entre 0 y 1 (0,35 = 35 %)." type="decimal" operator="between">
      <formula1>0</formula1>
      <formula2>1</formula2>
    </dataValidation>
    <dataValidation sqref="B6 B58 B59" showDropDown="0" showInputMessage="0" showErrorMessage="1" allowBlank="1" errorTitle="Días fuera de rango" error="Los días van de 1 a 365." type="whole" operator="between">
      <formula1>1</formula1>
      <formula2>365</formula2>
    </dataValidation>
    <dataValidation sqref="B34" showDropDown="0" showInputMessage="0" showErrorMessage="1" allowBlank="1" errorTitle="Recuento no válido" error="Años enteros de carencia, de 0 a 15. Si iguala o supera al plazo, la hoja la anula." type="whole" operator="between">
      <formula1>0</formula1>
      <formula2>15</formula2>
    </dataValidation>
    <dataValidation sqref="B53 B54" showDropDown="0" showInputMessage="0" showErrorMessage="1" allowBlank="1" errorTitle="Recuento no válido" error="Número entero de meses (0 a 24)." type="whole" operator="between">
      <formula1>0</formula1>
      <formula2>24</formula2>
    </dataValidation>
    <dataValidation sqref="B60 B61" showDropDown="0" showInputMessage="0" showErrorMessage="1" allowBlank="1" errorTitle="Recuento no válido" error="Mes del año, de 1 a 12." type="whole" operator="between">
      <formula1>1</formula1>
      <formula2>12</formula2>
    </dataValidation>
    <dataValidation sqref="B33" showDropDown="0" showInputMessage="0" showErrorMessage="1" allowBlank="1" errorTitle="Recuento no válido" error="Plazo en años enteros: el cuadro de amortización de este libro llega a 15 años." type="whole" operator="between">
      <formula1>1</formula1>
      <formula2>15</formula2>
    </dataValidation>
    <dataValidation sqref="B44 B45" showDropDown="0" showInputMessage="0" showErrorMessage="1" allowBlank="1" errorTitle="Recuento no válido" error="Vida útil en AÑOS ENTEROS (1 a 50). Los coeficientes máximos son los de la tabla del art. 12.1 LIS." type="whole" operator="between">
      <formula1>1</formula1>
      <formula2>50</formula2>
    </dataValidation>
    <dataValidation sqref="B4 B25 B35 B51" showDropDown="0" showInputMessage="0" showErrorMessage="1" allowBlank="1" errorTitle="Recuento no válido" error="Escribe un número ENTERO de 1 en adelante: esta celda es un recuento y varias fórmulas dividen entre ella." type="whole" operator="between">
      <formula1>1</formula1>
      <formula2>100000</formula2>
    </dataValidation>
    <dataValidation sqref="B21" showDropDown="0" showInputMessage="0" showErrorMessage="1" allowBlank="1" errorTitle="Recuento no válido" error="Número de pagas al año: 12, 14 o las que fije tu convenio (12 a 16)." type="whole" operator="between">
      <formula1>12</formula1>
      <formula2>16</formula2>
    </dataValidation>
  </dataValidations>
  <pageMargins left="0.59" right="0.59" top="0.59" bottom="0.59" header="0.3" footer="0.3"/>
  <pageSetup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37"/>
  <sheetViews>
    <sheetView workbookViewId="0">
      <pane ySplit="5" topLeftCell="A6" activePane="bottomLeft" state="frozen"/>
      <selection pane="bottomLeft" activeCell="A1" sqref="A1"/>
    </sheetView>
  </sheetViews>
  <sheetFormatPr baseColWidth="8" defaultRowHeight="15"/>
  <cols>
    <col width="46" customWidth="1" min="1" max="1"/>
    <col width="18" customWidth="1" min="2" max="2"/>
    <col width="45" customWidth="1" min="3" max="3"/>
    <col width="58" customWidth="1" min="4" max="4"/>
    <col width="13" customWidth="1" min="5" max="5"/>
  </cols>
  <sheetData>
    <row r="1">
      <c r="A1" s="1" t="inlineStr">
        <is>
          <t>PLAN DE NEGOCIO: TAQUERÍA</t>
        </is>
      </c>
    </row>
    <row r="2">
      <c r="A2" s="2" t="inlineStr">
        <is>
          <t>Inversión inicial estimada — taquería con trompo, barra de salsas, 32 plazas y terraza</t>
        </is>
      </c>
    </row>
    <row r="3">
      <c r="A3" s="3" t="inlineStr">
        <is>
          <t>Ajusta las cifras a tu proyecto: son las de un caso tipo en una ciudad media, sin traspaso. Pon tus presupuestos reales en las celdas de importe.</t>
        </is>
      </c>
    </row>
    <row r="4"/>
    <row r="5">
      <c r="A5" s="26" t="inlineStr">
        <is>
          <t>Concepto</t>
        </is>
      </c>
      <c r="B5" s="26" t="inlineStr">
        <is>
          <t>Importe</t>
        </is>
      </c>
      <c r="C5" s="26" t="inlineStr">
        <is>
          <t>% s/inversión</t>
        </is>
      </c>
      <c r="D5" s="26" t="inlineStr">
        <is>
          <t>Notas</t>
        </is>
      </c>
      <c r="E5" s="26" t="inlineStr">
        <is>
          <t>¿Lleva IVA?</t>
        </is>
      </c>
    </row>
    <row r="6">
      <c r="A6" s="26" t="inlineStr">
        <is>
          <t>INVERSIÓN</t>
        </is>
      </c>
      <c r="B6" s="27">
        <f>IFERROR(IF(COUNT(B7:B27)=0,"",SUM(B7:B27)),"")</f>
        <v>106150.0</v>
      </c>
      <c r="C6" s="67">
        <f>IFERROR(B6/$B$30,"")</f>
        <v>0.7029792944617682</v>
      </c>
      <c r="D6" s="29" t="n"/>
      <c r="E6" s="29" t="n"/>
    </row>
    <row r="7">
      <c r="A7" s="29" t="inlineStr">
        <is>
          <t>Proyecto técnico de actividad y de salida de humos, y dirección de obra</t>
        </is>
      </c>
      <c r="B7" s="30" t="n">
        <v>3500</v>
      </c>
      <c r="C7" s="68">
        <f>IFERROR(B7/$B$30,"")</f>
        <v>0.023178780316685715</v>
      </c>
      <c r="D7" s="29" t="inlineStr">
        <is>
          <t>Proyecto de la actividad y del conducto de humos, memoria para la licencia o la declaración responsable y certificado final de obra</t>
        </is>
      </c>
      <c r="E7" s="32" t="inlineStr">
        <is>
          <t>Sí</t>
        </is>
      </c>
    </row>
    <row r="8">
      <c r="A8" s="29" t="inlineStr">
        <is>
          <t>Obra y acondicionamiento del local, rótulo y fachada</t>
        </is>
      </c>
      <c r="B8" s="30" t="n">
        <v>26500</v>
      </c>
      <c r="C8" s="68">
        <f>IFERROR(B8/$B$30,"")</f>
        <v>0.17549647954062042</v>
      </c>
      <c r="D8" s="29" t="inlineStr">
        <is>
          <t>Cocina alicatada, suelo antideslizante, aseos (uno adaptado), falsos techos y aislamiento acústico, más el rótulo y la fachada (unos 2.500 €). Estimación del kit: pide dos presupuestos</t>
        </is>
      </c>
      <c r="E8" s="32" t="inlineStr">
        <is>
          <t>Sí</t>
        </is>
      </c>
    </row>
    <row r="9">
      <c r="A9" s="29" t="inlineStr">
        <is>
          <t>Conducto de extracción exclusivo hasta cubierta</t>
        </is>
      </c>
      <c r="B9" s="30" t="n">
        <v>6000</v>
      </c>
      <c r="C9" s="68">
        <f>IFERROR(B9/$B$30,"")</f>
        <v>0.03973505197146123</v>
      </c>
      <c r="D9" s="29" t="inlineStr">
        <is>
          <t>Conducto exclusivo hasta la cubierta para el trompo, la plancha, el comal y la freidora: Madrid pide superar en 1 m lo que haya en 15 m (Ordenanza 4/2021). Con trompo o parrilla de carbón, además, filtro de partículas. Ningún fabricante da precio por metro: pide oferta con tu proyecto</t>
        </is>
      </c>
      <c r="E9" s="32" t="inlineStr">
        <is>
          <t>Sí</t>
        </is>
      </c>
    </row>
    <row r="10">
      <c r="A10" s="29" t="inlineStr">
        <is>
          <t>Instalación eléctrica, cuadro y boletín</t>
        </is>
      </c>
      <c r="B10" s="30" t="n">
        <v>4500</v>
      </c>
      <c r="C10" s="68">
        <f>IFERROR(B10/$B$30,"")</f>
        <v>0.029801288978595922</v>
      </c>
      <c r="D10" s="29" t="inlineStr">
        <is>
          <t>Frío, extracción, climatización, lavavajillas y cafetera. Pregunta la potencia disponible ANTES de firmar: una acometida nueva tarda</t>
        </is>
      </c>
      <c r="E10" s="32" t="inlineStr">
        <is>
          <t>Sí</t>
        </is>
      </c>
    </row>
    <row r="11">
      <c r="A11" s="29" t="inlineStr">
        <is>
          <t>Fontanería, separador de grasas, climatización e instalación de gas</t>
        </is>
      </c>
      <c r="B11" s="30" t="n">
        <v>8000</v>
      </c>
      <c r="C11" s="68">
        <f>IFERROR(B11/$B$30,"")</f>
        <v>0.05298006929528164</v>
      </c>
      <c r="D11" s="29" t="inlineStr">
        <is>
          <t>Agua fría y caliente en la cocina, desagües con separador de grasas, climatización de la sala y la instalación de gas del trompo, la plancha, el comal y los fogones por empresa instaladora habilitada, con su certificado (RD 919/2006)</t>
        </is>
      </c>
      <c r="E11" s="32" t="inlineStr">
        <is>
          <t>Sí</t>
        </is>
      </c>
    </row>
    <row r="12">
      <c r="A12" s="29" t="inlineStr">
        <is>
          <t>Trompo: asador vertical de gas de cuatro quemadores</t>
        </is>
      </c>
      <c r="B12" s="30" t="n">
        <v>1800</v>
      </c>
      <c r="C12" s="68">
        <f>IFERROR(B12/$B$30,"")</f>
        <v>0.011920515591438368</v>
      </c>
      <c r="D12" s="29" t="inlineStr">
        <is>
          <t>Para conos de 30-35 kg, con bandeja, cuchillos de corte y base para la piña. En el catálogo de un distribuidor de hostelería, de 1.279 a 1.784 € sin IVA (octubre de 2026)</t>
        </is>
      </c>
      <c r="E12" s="32" t="inlineStr">
        <is>
          <t>Sí</t>
        </is>
      </c>
    </row>
    <row r="13">
      <c r="A13" s="29" t="inlineStr">
        <is>
          <t>Plancha de acero a gas y comal</t>
        </is>
      </c>
      <c r="B13" s="30" t="n">
        <v>3000</v>
      </c>
      <c r="C13" s="68">
        <f>IFERROR(B13/$B$30,"")</f>
        <v>0.019867525985730616</v>
      </c>
      <c r="D13" s="29" t="inlineStr">
        <is>
          <t>Plancha lisa de acero para las carnes y comal para calentar la tortilla. Una plancha a gas de 40 cm ronda los 1.040 €; la de 80 cm a gas no tiene precio de referencia: estimación del kit, pide oferta</t>
        </is>
      </c>
      <c r="E13" s="32" t="inlineStr">
        <is>
          <t>Sí</t>
        </is>
      </c>
    </row>
    <row r="14">
      <c r="A14" s="29" t="inlineStr">
        <is>
          <t>Freidora, fogón de carnitas, baño maría y mantenedor de tortillas</t>
        </is>
      </c>
      <c r="B14" s="30" t="n">
        <v>3700</v>
      </c>
      <c r="C14" s="68">
        <f>IFERROR(B14/$B$30,"")</f>
        <v>0.024503282049067758</v>
      </c>
      <c r="D14" s="29" t="inlineStr">
        <is>
          <t>Freidora para los totopos y los tacos dorados, fogón para las carnitas y los guisados, baño maría GN y mantenedor de tortillas. Estimación del kit</t>
        </is>
      </c>
      <c r="E14" s="32" t="inlineStr">
        <is>
          <t>Sí</t>
        </is>
      </c>
    </row>
    <row r="15">
      <c r="A15" s="29" t="inlineStr">
        <is>
          <t>Campana extractora con motor y filtros</t>
        </is>
      </c>
      <c r="B15" s="30" t="n">
        <v>1500</v>
      </c>
      <c r="C15" s="68">
        <f>IFERROR(B15/$B$30,"")</f>
        <v>0.009933762992865308</v>
      </c>
      <c r="D15" s="29" t="inlineStr">
        <is>
          <t>Campana extractora de 2,5 m con motor y filtros de grasa sobre el trompo, la plancha, el comal y la freidora (una de 1,5-2 m ronda los 815 € sin IVA)</t>
        </is>
      </c>
      <c r="E15" s="32" t="inlineStr">
        <is>
          <t>Sí</t>
        </is>
      </c>
    </row>
    <row r="16">
      <c r="A16" s="29" t="inlineStr">
        <is>
          <t>Frío: armarios, congelador y mesa refrigerada de salsas</t>
        </is>
      </c>
      <c r="B16" s="30" t="n">
        <v>4500</v>
      </c>
      <c r="C16" s="68">
        <f>IFERROR(B16/$B$30,"")</f>
        <v>0.029801288978595922</v>
      </c>
      <c r="D16" s="29" t="inlineStr">
        <is>
          <t>Armarios refrigerados (unos 900 € sin IVA el de 400 l), congelador y mesa refrigerada de granito para la barra de salsas y las guarniciones (de 1.180 a 1.950 € sin IVA)</t>
        </is>
      </c>
      <c r="E16" s="32" t="inlineStr">
        <is>
          <t>Sí</t>
        </is>
      </c>
    </row>
    <row r="17">
      <c r="A17" s="29" t="inlineStr">
        <is>
          <t>Lavavajillas de capota, fregaderos, lavamanos, mesas inox y estanterías</t>
        </is>
      </c>
      <c r="B17" s="30" t="n">
        <v>5500</v>
      </c>
      <c r="C17" s="68">
        <f>IFERROR(B17/$B$30,"")</f>
        <v>0.03642379764050613</v>
      </c>
      <c r="D17" s="29" t="inlineStr">
        <is>
          <t>Lavavajillas, fregaderos, lavamanos de accionamiento no manual, mesas de acero inoxidable y estanterías</t>
        </is>
      </c>
      <c r="E17" s="32" t="inlineStr">
        <is>
          <t>Sí</t>
        </is>
      </c>
    </row>
    <row r="18">
      <c r="A18" s="29" t="inlineStr">
        <is>
          <t>Utillaje y menaje: licuadora, molcajetes, sondas y prensa de tortillas</t>
        </is>
      </c>
      <c r="B18" s="30" t="n">
        <v>3500</v>
      </c>
      <c r="C18" s="68">
        <f>IFERROR(B18/$B$30,"")</f>
        <v>0.023178780316685715</v>
      </c>
      <c r="D18" s="29" t="inlineStr">
        <is>
          <t>Licuadora industrial para las salsas, molcajetes, termómetros sonda, básculas, recipientes GN, vajilla, cestas, vitroleros para las aguas frescas, una prensa de tortillas (unos 48 € con IVA) y la cartelería de alérgenos</t>
        </is>
      </c>
      <c r="E18" s="32" t="inlineStr">
        <is>
          <t>Sí</t>
        </is>
      </c>
    </row>
    <row r="19">
      <c r="A19" s="29" t="inlineStr">
        <is>
          <t>Barra: botellero frío, tirador de cerveza y cafetera</t>
        </is>
      </c>
      <c r="B19" s="30" t="n">
        <v>4000</v>
      </c>
      <c r="C19" s="68">
        <f>IFERROR(B19/$B$30,"")</f>
        <v>0.02649003464764082</v>
      </c>
      <c r="D19" s="29" t="inlineStr">
        <is>
          <t>Botellero frío, tirador de cerveza y una cafetera pequeña. Si la cervecera cede el equipo de tiraje, esta partida baja</t>
        </is>
      </c>
      <c r="E19" s="32" t="inlineStr">
        <is>
          <t>Sí</t>
        </is>
      </c>
    </row>
    <row r="20">
      <c r="A20" s="29" t="inlineStr">
        <is>
          <t>Mobiliario de sala, barra y terraza</t>
        </is>
      </c>
      <c r="B20" s="30" t="n">
        <v>6500</v>
      </c>
      <c r="C20" s="68">
        <f>IFERROR(B20/$B$30,"")</f>
        <v>0.04304630630241633</v>
      </c>
      <c r="D20" s="29" t="inlineStr">
        <is>
          <t>Mesas, sillas y taburetes para 24 plazas en mesa y 8 en barra, y 16 en la terraza de temporada</t>
        </is>
      </c>
      <c r="E20" s="32" t="inlineStr">
        <is>
          <t>Sí</t>
        </is>
      </c>
    </row>
    <row r="21">
      <c r="A21" s="29" t="inlineStr">
        <is>
          <t>TPV con Veri*factu, datáfonos, impresora de comandas y tablet</t>
        </is>
      </c>
      <c r="B21" s="30" t="n">
        <v>2000</v>
      </c>
      <c r="C21" s="68">
        <f>IFERROR(B21/$B$30,"")</f>
        <v>0.01324501732382041</v>
      </c>
      <c r="D21" s="29" t="inlineStr">
        <is>
          <t>Software de facturación conforme a Veri*factu, datáfonos, impresora de cocina y la tablet de las plataformas</t>
        </is>
      </c>
      <c r="E21" s="32" t="inlineStr">
        <is>
          <t>Sí</t>
        </is>
      </c>
    </row>
    <row r="22">
      <c r="A22" s="29" t="inlineStr">
        <is>
          <t>Constitución de la SL, licencia, tasas, registro sanitario y APPCC</t>
        </is>
      </c>
      <c r="B22" s="30" t="n">
        <v>3000</v>
      </c>
      <c r="C22" s="68">
        <f>IFERROR(B22/$B$30,"")</f>
        <v>0.019867525985730616</v>
      </c>
      <c r="D22" s="29" t="inlineStr">
        <is>
          <t>SL unipersonal, licencia o declaración responsable, tasas municipales, registro sanitario autonómico y redacción del plan APPCC. Las tasas no llevan IVA; los honorarios sí: cambia la columna de al lado si tu presupuesto es sobre todo de honorarios</t>
        </is>
      </c>
      <c r="E22" s="32" t="inlineStr">
        <is>
          <t>No</t>
        </is>
      </c>
    </row>
    <row r="23">
      <c r="A23" s="29" t="inlineStr">
        <is>
          <t>Marca, web, fotos y lanzamiento</t>
        </is>
      </c>
      <c r="B23" s="30" t="n">
        <v>4500</v>
      </c>
      <c r="C23" s="68">
        <f>IFERROR(B23/$B$30,"")</f>
        <v>0.029801288978595922</v>
      </c>
      <c r="D23" s="29" t="inlineStr">
        <is>
          <t>Identidad, web con la carta, sesión de fotos y campaña de apertura</t>
        </is>
      </c>
      <c r="E23" s="32" t="inlineStr">
        <is>
          <t>Sí</t>
        </is>
      </c>
    </row>
    <row r="24">
      <c r="A24" s="29" t="inlineStr">
        <is>
          <t>Stock inicial: carnes, chiles, tortillas, bebida y envases</t>
        </is>
      </c>
      <c r="B24" s="30" t="n">
        <v>3500</v>
      </c>
      <c r="C24" s="68">
        <f>IFERROR(B24/$B$30,"")</f>
        <v>0.023178780316685715</v>
      </c>
      <c r="D24" s="29" t="inlineStr">
        <is>
          <t>Carnes, chiles secos y producto mexicano importado (pídelo con su plazo de entrega: tarda semanas), tortillas, bebida, mezcal y envases para llevar</t>
        </is>
      </c>
      <c r="E24" s="32" t="inlineStr">
        <is>
          <t>Sí</t>
        </is>
      </c>
    </row>
    <row r="25">
      <c r="A25" s="29" t="inlineStr">
        <is>
          <t>Fianza del alquiler</t>
        </is>
      </c>
      <c r="B25" s="33">
        <f>IFERROR(IF('0. Supuestos'!$B$24="","",'0. Supuestos'!$B$24*'0. Supuestos'!$B$25),"")</f>
        <v>2900.0</v>
      </c>
      <c r="C25" s="68">
        <f>IFERROR(B25/$B$30,"")</f>
        <v>0.019205275119539594</v>
      </c>
      <c r="D25" s="29" t="str">
        <f>IFERROR(""&amp;TEXT('0. Supuestos'!$B$25,"0")&amp;" meses de renta, al tipo de la hoja de Supuestos. Es un activo recuperable al cerrar: ni se amortiza ni lleva IVA","")</f>
        <v>2 meses de renta, al tipo de la hoja de Supuestos. Es un activo recuperable al cerrar: ni se amortiza ni lleva IVA</v>
      </c>
      <c r="E25" s="29" t="inlineStr">
        <is>
          <t>No</t>
        </is>
      </c>
    </row>
    <row r="26">
      <c r="A26" s="29" t="inlineStr">
        <is>
          <t>Alquiler de los meses previos a la apertura</t>
        </is>
      </c>
      <c r="B26" s="33">
        <f>IFERROR(IF('0. Supuestos'!$B$24="","",'0. Supuestos'!$B$24*'0. Supuestos'!$B$54),"")</f>
        <v>2900.0</v>
      </c>
      <c r="C26" s="68">
        <f>IFERROR(B26/$B$30,"")</f>
        <v>0.019205275119539594</v>
      </c>
      <c r="D26" s="29" t="str">
        <f>IFERROR("Renta "&amp;IF('0. Supuestos'!$B$54=1,"del mes","de los "&amp;TEXT('0. Supuestos'!$B$54,"0")&amp;" meses")&amp;" de obra y licencias. NO se solapa con el P&amp;L, que arranca el día de la apertura: los doce meses del P&amp;L son los doce de explotación","")</f>
        <v>Renta de los 2 meses de obra y licencias. NO se solapa con el P&amp;L, que arranca el día de la apertura: los doce meses del P&amp;L son los doce de explotación</v>
      </c>
      <c r="E26" s="29" t="inlineStr">
        <is>
          <t>Sí</t>
        </is>
      </c>
    </row>
    <row r="27">
      <c r="A27" s="29" t="inlineStr">
        <is>
          <t>Imprevistos de obra y acondicionamiento</t>
        </is>
      </c>
      <c r="B27" s="33">
        <f>IFERROR(IF(COUNT(B7,B8,B9,B10,B11)=0,"",ROUND((B7+B8+B9+B10+B11)*'0. Supuestos'!$B$55,0)),"")</f>
        <v>4850.0</v>
      </c>
      <c r="C27" s="68">
        <f>IFERROR(B27/$B$30,"")</f>
        <v>0.032119167010264495</v>
      </c>
      <c r="D27" s="29" t="str">
        <f>IFERROR("Al "&amp;TEXT('0. Supuestos'!$B$55,"0%")&amp;" de las partidas de OBRA Y ACONDICIONAMIENTO de este bloque (Proyecto técnico de actividad y de salida de humos, y dirección de obra, Obra y acondicionamiento del local, rótulo y fachada, Conducto de extracción exclusivo hasta cubierta, Instalación eléctrica, cuadro y boletín y Fontanería, separador de grasas, climatización e instalación de gas), no del bloque entero: el resto de partidas del bloque quedan fuera. Un banco no financia una reforma sin colchón: el porcentaje está en la hoja de Supuestos","")</f>
        <v>Al 10% de las partidas de OBRA Y ACONDICIONAMIENTO de este bloque (Proyecto técnico de actividad y de salida de humos, y dirección de obra, Obra y acondicionamiento del local, rótulo y fachada, Conducto de extracción exclusivo hasta cubierta, Instalación eléctrica, cuadro y boletín y Fontanería, separador de grasas, climatización e instalación de gas), no del bloque entero: el resto de partidas del bloque quedan fuera. Un banco no financia una reforma sin colchón: el porcentaje está en la hoja de Supuestos</v>
      </c>
      <c r="E27" s="29" t="inlineStr">
        <is>
          <t>Sí</t>
        </is>
      </c>
    </row>
    <row r="28">
      <c r="A28" s="26" t="inlineStr">
        <is>
          <t>FONDO DE MANIOBRA</t>
        </is>
      </c>
      <c r="B28" s="27">
        <f>IFERROR(IF(B29="","",B29),"")</f>
        <v>44850.18</v>
      </c>
      <c r="C28" s="67">
        <f>IFERROR(B28/$B$30,"")</f>
        <v>0.29702070553823184</v>
      </c>
      <c r="D28" s="29" t="n"/>
      <c r="E28" s="29" t="n"/>
    </row>
    <row r="29">
      <c r="A29" s="29" t="inlineStr">
        <is>
          <t>Colchón operativo hasta alcanzar el equilibrio</t>
        </is>
      </c>
      <c r="B29" s="33">
        <f>IFERROR(IF('0. Supuestos'!$B$35*('PyG 3 Años'!$B$37-'PyG 3 Años'!$B$35)=0,"",'0. Supuestos'!$B$35*('PyG 3 Años'!$B$37-'PyG 3 Años'!$B$35)/12),"")</f>
        <v>44850.18</v>
      </c>
      <c r="C29" s="68">
        <f>IFERROR(B29/$B$30,"")</f>
        <v>0.29702070553823184</v>
      </c>
      <c r="D29" s="29" t="str">
        <f>IFERROR("Cubre "&amp;TEXT('0. Supuestos'!$B$35,"0")&amp;IF('0. Supuestos'!$B$35=1," mes"," meses")&amp;" de costes fijos DE CAJA del año 1 (los del P&amp;L menos la amortización, que no se paga), que es el mínimo que exigen las Instrucciones de este libro","")</f>
        <v>Cubre 3 meses de costes fijos DE CAJA del año 1 (los del P&amp;L menos la amortización, que no se paga), que es el mínimo que exigen las Instrucciones de este libro</v>
      </c>
      <c r="E29" s="29" t="inlineStr">
        <is>
          <t>No</t>
        </is>
      </c>
    </row>
    <row r="30">
      <c r="A30" s="26" t="inlineStr">
        <is>
          <t>INVERSIÓN TOTAL (suma de los bloques)</t>
        </is>
      </c>
      <c r="B30" s="27">
        <f>IFERROR(B6+B28,"")</f>
        <v>151000.18</v>
      </c>
      <c r="C30" s="29" t="n"/>
      <c r="D30" s="26" t="str">
        <f>IFERROR("Los porcentajes de la columna C se leen sobre esta cifra, que incluye el fondo de maniobra ("&amp;TEXT(C28,"0%")&amp;" del total). Para comparar el desglose con otro plan, usa la fila de CAPEX de abajo.","")</f>
        <v>Los porcentajes de la columna C se leen sobre esta cifra, que incluye el fondo de maniobra (30% del total). Para comparar el desglose con otro plan, usa la fila de CAPEX de abajo.</v>
      </c>
      <c r="E30" s="29" t="n"/>
    </row>
    <row r="31">
      <c r="A31" s="26" t="inlineStr">
        <is>
          <t>CAPEX (inversión sin el fondo de maniobra)</t>
        </is>
      </c>
      <c r="B31" s="27">
        <f>IFERROR(B30-B28,"")</f>
        <v>106150.0</v>
      </c>
      <c r="C31" s="29" t="n"/>
      <c r="D31" s="26" t="inlineStr">
        <is>
          <t>Es lo que se compra: obra, equipamiento, lanzamiento y gastos de constitución. El colchón de caja no es inversión, es circulante</t>
        </is>
      </c>
      <c r="E31" s="29" t="n"/>
    </row>
    <row r="32">
      <c r="A32" s="29" t="inlineStr">
        <is>
          <t>IVA soportado sobre la inversión (recuperable)</t>
        </is>
      </c>
      <c r="B32" s="33">
        <f>IFERROR(IF(B30="","",SUMIF($E$7:$E$27,"Sí",$B$7:$B$27)*'0. Supuestos'!$B$41),"")</f>
        <v>21052.5</v>
      </c>
      <c r="C32" s="29" t="n"/>
      <c r="D32" s="29" t="str">
        <f>IFERROR("Al "&amp;TEXT('0. Supuestos'!$B$41,"0%")&amp;" sobre las partidas marcadas con «Sí» en la columna de IVA. Las tasas y licencias no están sujetas y los seguros están exentos (art. 20.Uno.16 LIVA). Las tasas y aranceles registrales no llevan IVA; los honorarios de notaría y gestoría sí (21 %, deducible). Se recupera con el modelo 303, pero hay que adelantarlo","")</f>
        <v>Al 21% sobre las partidas marcadas con «Sí» en la columna de IVA. Las tasas y licencias no están sujetas y los seguros están exentos (art. 20.Uno.16 LIVA). Las tasas y aranceles registrales no llevan IVA; los honorarios de notaría y gestoría sí (21 %, deducible). Se recupera con el modelo 303, pero hay que adelantarlo</v>
      </c>
      <c r="E32" s="29" t="n"/>
    </row>
    <row r="33">
      <c r="A33" s="26" t="inlineStr">
        <is>
          <t>NECESIDAD TOTAL DE CAJA AL ARRANQUE</t>
        </is>
      </c>
      <c r="B33" s="27">
        <f>IFERROR(B30+B32,"")</f>
        <v>172052.68</v>
      </c>
      <c r="C33" s="29" t="n"/>
      <c r="D33" s="26" t="inlineStr">
        <is>
          <t>Es la cifra que tiene que cubrir la hoja de Financiación</t>
        </is>
      </c>
      <c r="E33" s="29" t="n"/>
    </row>
    <row r="34">
      <c r="A34" s="26" t="inlineStr">
        <is>
          <t>BASES DE AMORTIZACIÓN (no suman a la inversión)</t>
        </is>
      </c>
      <c r="B34" s="29" t="n"/>
      <c r="C34" s="29" t="n"/>
      <c r="D34" s="29" t="n"/>
      <c r="E34" s="29" t="n"/>
    </row>
    <row r="35">
      <c r="A35" s="29" t="inlineStr">
        <is>
          <t>Obra, instalaciones y acondicionamiento</t>
        </is>
      </c>
      <c r="B35" s="33">
        <f>IFERROR(IF(B7="","",B7+B8+B9+B10+B11+B27),"")</f>
        <v>53350.0</v>
      </c>
      <c r="C35" s="29" t="n"/>
      <c r="D35" s="29" t="str">
        <f>IFERROR("Se amortiza en "&amp;TEXT('0. Supuestos'!$B$44,"0")&amp;" años","")</f>
        <v>Se amortiza en 10 años</v>
      </c>
      <c r="E35" s="29" t="n"/>
    </row>
    <row r="36">
      <c r="A36" s="29" t="inlineStr">
        <is>
          <t>Maquinaria, mobiliario y equipos</t>
        </is>
      </c>
      <c r="B36" s="33">
        <f>IFERROR(IF(B12="","",B12+B13+B14+B15+B16+B17+B18+B19+B20+B21),"")</f>
        <v>36000.0</v>
      </c>
      <c r="C36" s="29" t="n"/>
      <c r="D36" s="29" t="str">
        <f>IFERROR("Se amortiza en "&amp;TEXT('0. Supuestos'!$B$45,"0")&amp;" años","")</f>
        <v>Se amortiza en 10 años</v>
      </c>
      <c r="E36" s="29" t="n"/>
    </row>
    <row r="37">
      <c r="A37" s="26" t="inlineStr">
        <is>
          <t>Amortización anual del inmovilizado</t>
        </is>
      </c>
      <c r="B37" s="27">
        <f>IFERROR(B35/MAX(1,'0. Supuestos'!$B$44)+B36/MAX(1,'0. Supuestos'!$B$45),"")</f>
        <v>8935.0</v>
      </c>
      <c r="C37" s="29" t="n"/>
      <c r="D37" s="26" t="str">
        <f>IFERROR("No se amortizan, por no ser inmovilizado, Constitución de la SL, licencia, tasas, registro sanitario y APPCC, Marca, web, fotos y lanzamiento, Stock inicial: carnes, chiles, tortillas, bebida y envases, Fianza del alquiler, Alquiler de los meses previos a la apertura ni Colchón operativo hasta alcanzar el equilibrio. Suman "&amp;TEXT(B30-B35-B36,"0")&amp;" € de los "&amp;TEXT(B30,"0")&amp;" € de inversión.","")</f>
        <v>No se amortizan, por no ser inmovilizado, Constitución de la SL, licencia, tasas, registro sanitario y APPCC, Marca, web, fotos y lanzamiento, Stock inicial: carnes, chiles, tortillas, bebida y envases, Fianza del alquiler, Alquiler de los meses previos a la apertura ni Colchón operativo hasta alcanzar el equilibrio. Suman 61650 € de los 151000 € de inversión.</v>
      </c>
      <c r="E37" s="29" t="n"/>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33">
    <cfRule type="expression" priority="1" dxfId="0" stopIfTrue="1">
      <formula>AND(ISNUMBER(B33),B33&gt;0)</formula>
    </cfRule>
  </conditionalFormatting>
  <dataValidations count="2">
    <dataValidation sqref="E7:E24" showDropDown="0" showInputMessage="0" showErrorMessage="1" allowBlank="1" errorTitle="Marca no válida" error="Escribe «Sí» o «No»: de esta columna sale el IVA soportado de la inversión." type="list">
      <formula1>"Sí,No"</formula1>
    </dataValidation>
    <dataValidation sqref="B7 B8 B9 B10 B11 B12 B13 B14 B15 B16 B17 B18 B19 B20 B21 B22 B23 B24" showDropDown="0" showInputMessage="0" showErrorMessage="1" allowBlank="1" errorTitle="Importe no válido" error="Escribe un número mayor o igual que 0." type="decimal" operator="greaterThanOrEqual">
      <formula1>0</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58"/>
  <sheetViews>
    <sheetView workbookViewId="0">
      <pane ySplit="4" topLeftCell="A5" activePane="bottomLeft" state="frozen"/>
      <selection pane="bottomLeft" activeCell="A1" sqref="A1"/>
    </sheetView>
  </sheetViews>
  <sheetFormatPr baseColWidth="8" defaultRowHeight="15"/>
  <cols>
    <col width="42" customWidth="1" min="1" max="1"/>
    <col width="16" customWidth="1" min="2" max="2"/>
    <col width="16" customWidth="1" min="3" max="3"/>
    <col width="16" customWidth="1" min="4" max="4"/>
    <col width="14" customWidth="1" min="5" max="5"/>
    <col width="60" customWidth="1" min="6" max="6"/>
    <col width="14" customWidth="1" min="7" max="7"/>
    <col width="16" customWidth="1" min="8" max="8"/>
  </cols>
  <sheetData>
    <row r="1" ht="15" customHeight="1">
      <c r="A1" s="39" t="inlineStr">
        <is>
          <t>CUENTA DE RESULTADOS PREVISIONAL — 3 AÑOS</t>
        </is>
      </c>
    </row>
    <row r="2">
      <c r="A2" s="3" t="inlineStr">
        <is>
          <t>Escenario realista — taquería con trompo, barra de salsas y para llevar</t>
        </is>
      </c>
    </row>
    <row r="3"/>
    <row r="4" ht="45" customHeight="1">
      <c r="A4" s="40" t="inlineStr">
        <is>
          <t>Concepto</t>
        </is>
      </c>
      <c r="B4" s="40" t="inlineStr">
        <is>
          <t>Año 1</t>
        </is>
      </c>
      <c r="C4" s="40" t="inlineStr">
        <is>
          <t>Año 2</t>
        </is>
      </c>
      <c r="D4" s="40" t="inlineStr">
        <is>
          <t>Año 3</t>
        </is>
      </c>
      <c r="E4" s="40" t="inlineStr">
        <is>
          <t>% s/ventas (año 1)</t>
        </is>
      </c>
      <c r="F4" s="40" t="inlineStr">
        <is>
          <t>Notas</t>
        </is>
      </c>
      <c r="G4" s="40" t="inlineStr">
        <is>
          <t>Tipo de IVA de la línea (%)</t>
        </is>
      </c>
      <c r="H4" s="40" t="inlineStr">
        <is>
          <t>Bebida para llevar o a domicilio al 21 % (%)</t>
        </is>
      </c>
    </row>
    <row r="5">
      <c r="A5" s="26" t="inlineStr">
        <is>
          <t>INGRESOS</t>
        </is>
      </c>
      <c r="B5" s="29" t="n"/>
      <c r="C5" s="29" t="n"/>
      <c r="D5" s="29" t="n"/>
      <c r="E5" s="29" t="n"/>
      <c r="F5" s="29" t="n"/>
      <c r="G5" s="29" t="n"/>
      <c r="H5" s="29" t="n"/>
    </row>
    <row r="6">
      <c r="A6" s="29" t="inlineStr">
        <is>
          <t>Comensales/día (media)</t>
        </is>
      </c>
      <c r="B6" s="41">
        <f>IFERROR(IF('0. Supuestos'!$B$4="","",'0. Supuestos'!$B$4),"")</f>
        <v>77.0</v>
      </c>
      <c r="C6" s="41">
        <f>IFERROR(B6*(1+'0. Supuestos'!$B$7),"")</f>
        <v>81.62</v>
      </c>
      <c r="D6" s="41">
        <f>IFERROR(C6*(1+'0. Supuestos'!$B$8),"")</f>
        <v>84.88480000000001</v>
      </c>
      <c r="E6" s="29" t="n"/>
      <c r="F6" s="29" t="inlineStr">
        <is>
          <t>El crecimiento de los años 2 y 3 está en la hoja de Supuestos</t>
        </is>
      </c>
      <c r="G6" s="29" t="n"/>
      <c r="H6" s="29" t="n"/>
    </row>
    <row r="7">
      <c r="A7" s="29" t="inlineStr">
        <is>
          <t>Ticket medio sin IVA</t>
        </is>
      </c>
      <c r="B7" s="70">
        <f>IFERROR(IF('0. Supuestos'!$B$5="","",'0. Supuestos'!$B$5),"")</f>
        <v>15.5</v>
      </c>
      <c r="C7" s="70">
        <f>IFERROR(IF(B7="","",B7),"")</f>
        <v>15.5</v>
      </c>
      <c r="D7" s="70">
        <f>IFERROR(IF(C7="","",C7),"")</f>
        <v>15.5</v>
      </c>
      <c r="E7" s="29" t="n"/>
      <c r="F7" s="29" t="inlineStr">
        <is>
          <t>Constante en euros del año 1: una subida de precios es una decisión aparte</t>
        </is>
      </c>
      <c r="G7" s="29" t="n"/>
      <c r="H7" s="29" t="n"/>
    </row>
    <row r="8">
      <c r="A8" s="29" t="inlineStr">
        <is>
          <t>Días de apertura al año</t>
        </is>
      </c>
      <c r="B8" s="41">
        <f>IFERROR(IF('0. Supuestos'!$B$6="","",'0. Supuestos'!$B$6),"")</f>
        <v>300.0</v>
      </c>
      <c r="C8" s="41">
        <f>IFERROR(IF(B8="","",B8),"")</f>
        <v>300.0</v>
      </c>
      <c r="D8" s="41">
        <f>IFERROR(IF(C8="","",C8),"")</f>
        <v>300.0</v>
      </c>
      <c r="E8" s="29" t="n"/>
      <c r="F8" s="29" t="n"/>
      <c r="G8" s="29" t="n"/>
      <c r="H8" s="29" t="n"/>
    </row>
    <row r="9">
      <c r="A9" s="26" t="inlineStr">
        <is>
          <t>INGRESOS TOTALES (sin IVA)</t>
        </is>
      </c>
      <c r="B9" s="27">
        <f>IFERROR(IF(B6*B7*B8=0,"",B6*B7*B8),"")</f>
        <v>358050.0</v>
      </c>
      <c r="C9" s="27">
        <f>IFERROR(IF(C6*C7*C8=0,"",C6*C7*C8),"")</f>
        <v>379533.00000000006</v>
      </c>
      <c r="D9" s="27">
        <f>IFERROR(IF(D6*D7*D8=0,"",D6*D7*D8),"")</f>
        <v>394714.32000000007</v>
      </c>
      <c r="E9" s="67">
        <f>IFERROR(IF(B9="","",1),"")</f>
        <v>1.0</v>
      </c>
      <c r="F9" s="29" t="n"/>
      <c r="G9" s="29" t="n"/>
      <c r="H9" s="29" t="n"/>
    </row>
    <row r="10">
      <c r="A10" s="29" t="inlineStr">
        <is>
          <t>Ventas de taquería y cocina (sala, para llevar y a domicilio)</t>
        </is>
      </c>
      <c r="B10" s="33">
        <f>IFERROR(IF(B9="","",B9*$E$10),"")</f>
        <v>286440.0</v>
      </c>
      <c r="C10" s="33">
        <f>IFERROR(IF(C9="","",C9*$E$10),"")</f>
        <v>303626.4000000001</v>
      </c>
      <c r="D10" s="33">
        <f>IFERROR(IF(D9="","",D9*$E$10),"")</f>
        <v>315771.45600000006</v>
      </c>
      <c r="E10" s="68">
        <f>IFERROR(IF('0. Supuestos'!$B$11="","",'0. Supuestos'!$B$11),"")</f>
        <v>0.8</v>
      </c>
      <c r="F10" s="29" t="inlineStr">
        <is>
          <t>Tacos, gringas y quesadillas, entrantes y postres: en sala unos 74 % de las ventas, para llevar unos 14 % y por plataforma un 12 %. Todo al 10 % de IVA, se coma en la mesa o salga del local (art. 91.Uno.1.1.º y 2.2.º de la Ley 37/1992)</t>
        </is>
      </c>
      <c r="G10" s="68">
        <f>IFERROR(IF(B9="","",'0. Supuestos'!$B$39),"")</f>
        <v>0.1</v>
      </c>
      <c r="H10" s="29" t="n"/>
    </row>
    <row r="11">
      <c r="A11" s="29" t="inlineStr">
        <is>
          <t>Ventas de bebida (aguas frescas, cerveza, mezcal y tequila, refrescos y agua)</t>
        </is>
      </c>
      <c r="B11" s="33">
        <f>IFERROR(IF(B9="","",B9*$E$11),"")</f>
        <v>71609.99999999999</v>
      </c>
      <c r="C11" s="33">
        <f>IFERROR(IF(C9="","",C9*$E$11),"")</f>
        <v>75906.59999999999</v>
      </c>
      <c r="D11" s="33">
        <f>IFERROR(IF(D9="","",D9*$E$11),"")</f>
        <v>78942.864</v>
      </c>
      <c r="E11" s="68">
        <f>IFERROR(IF('0. Supuestos'!$B$12="","",'0. Supuestos'!$B$12),"")</f>
        <v>0.19999999999999996</v>
      </c>
      <c r="F11" s="29" t="inlineStr">
        <is>
          <t>Bebida de sala y la que sale con los pedidos · La columna H es la parte de la bebida que sale del local y va al 21 %: el alcohol y las aguas frescas y los refrescos con azúcares o edulcorantes añadidos (art. 91.Uno.1.1.º a y b de la Ley 37/1992); el agua y lo que no lleve azúcares ni edulcorantes añadidos, y toda la bebida en sala, al 10 %. Un 7,5 % = un 1,5 % de las ventas</t>
        </is>
      </c>
      <c r="G11" s="68">
        <f>IFERROR(IF(B9="","",H11*0.21+(1-H11)*'0. Supuestos'!$B$39),"")</f>
        <v>0.10825000000000001</v>
      </c>
      <c r="H11" s="74" t="n">
        <v>0.075</v>
      </c>
    </row>
    <row r="12">
      <c r="A12" s="26" t="inlineStr">
        <is>
          <t>COSTES VARIABLES</t>
        </is>
      </c>
      <c r="B12" s="29" t="n"/>
      <c r="C12" s="29" t="n"/>
      <c r="D12" s="29" t="n"/>
      <c r="E12" s="29" t="n"/>
      <c r="F12" s="29" t="n"/>
      <c r="G12" s="29" t="n"/>
      <c r="H12" s="29" t="n"/>
    </row>
    <row r="13">
      <c r="A13" s="29" t="inlineStr">
        <is>
          <t>Coste de mercancía — comida</t>
        </is>
      </c>
      <c r="B13" s="33">
        <f>IFERROR(IF(B9="","",B9*'0. Supuestos'!$B$11*'0. Supuestos'!$B$13),"")</f>
        <v>77338.8</v>
      </c>
      <c r="C13" s="33">
        <f>IFERROR(IF(C9="","",C9*'0. Supuestos'!$B$11*'0. Supuestos'!$B$13),"")</f>
        <v>81979.12800000003</v>
      </c>
      <c r="D13" s="33">
        <f>IFERROR(IF(D9="","",D9*'0. Supuestos'!$B$11*'0. Supuestos'!$B$13),"")</f>
        <v>85258.29312000002</v>
      </c>
      <c r="E13" s="68">
        <f>IFERROR(B13/$B$9,"")</f>
        <v>0.216</v>
      </c>
      <c r="F13" s="29" t="str">
        <f>IFERROR("Al "&amp;TEXT('0. Supuestos'!$B$13,"0%")&amp;" de las ventas de COMIDA, no del total: la bebida tiene su propia línea · Carne, tortilla, chiles y especias al 10 %; verdura, fruta, aguacate y quesos al 4 % (art. 91.Dos.1.1.º de la Ley 37/1992). Ajústalo a tus facturas","")</f>
        <v>Al 27% de las ventas de COMIDA, no del total: la bebida tiene su propia línea · Carne, tortilla, chiles y especias al 10 %; verdura, fruta, aguacate y quesos al 4 % (art. 91.Dos.1.1.º de la Ley 37/1992). Ajústalo a tus facturas</v>
      </c>
      <c r="G13" s="74" t="n">
        <v>0.08500000000000001</v>
      </c>
      <c r="H13" s="29" t="n"/>
    </row>
    <row r="14">
      <c r="A14" s="29" t="inlineStr">
        <is>
          <t>Coste de mercancía — bebida</t>
        </is>
      </c>
      <c r="B14" s="33">
        <f>IFERROR(IF(B9="","",B9*'0. Supuestos'!$B$12*'0. Supuestos'!$B$14),"")</f>
        <v>18618.6</v>
      </c>
      <c r="C14" s="33">
        <f>IFERROR(IF(C9="","",C9*'0. Supuestos'!$B$12*'0. Supuestos'!$B$14),"")</f>
        <v>19735.715999999997</v>
      </c>
      <c r="D14" s="33">
        <f>IFERROR(IF(D9="","",D9*'0. Supuestos'!$B$12*'0. Supuestos'!$B$14),"")</f>
        <v>20525.144640000002</v>
      </c>
      <c r="E14" s="68">
        <f>IFERROR(B14/$B$9,"")</f>
        <v>0.052</v>
      </c>
      <c r="F14" s="29" t="str">
        <f>IFERROR("Al "&amp;TEXT('0. Supuestos'!$B$14,"0%")&amp;" de las ventas de BEBIDA","")</f>
        <v>Al 26% de las ventas de BEBIDA</v>
      </c>
      <c r="G14" s="68">
        <f>IFERROR(IF(B9="","",('0. Supuestos'!$B$62*'0. Supuestos'!$B$40+(1-'0. Supuestos'!$B$62)*'0. Supuestos'!$B$39)),"")</f>
        <v>0.1825</v>
      </c>
      <c r="H14" s="29" t="n"/>
    </row>
    <row r="15">
      <c r="A15" s="29" t="inlineStr">
        <is>
          <t>Consumibles y envases</t>
        </is>
      </c>
      <c r="B15" s="33">
        <f>IFERROR(IF(B9="","",B9*'0. Supuestos'!$B$15),"")</f>
        <v>12531.750000000002</v>
      </c>
      <c r="C15" s="33">
        <f>IFERROR(IF(C9="","",C9*'0. Supuestos'!$B$15),"")</f>
        <v>13283.655000000002</v>
      </c>
      <c r="D15" s="33">
        <f>IFERROR(IF(D9="","",D9*'0. Supuestos'!$B$15),"")</f>
        <v>13815.001200000004</v>
      </c>
      <c r="E15" s="68">
        <f>IFERROR(B15/$B$9,"")</f>
        <v>0.035</v>
      </c>
      <c r="F15" s="29" t="n"/>
      <c r="G15" s="68">
        <f>IFERROR(IF(B9="","",'0. Supuestos'!$B$41),"")</f>
        <v>0.21</v>
      </c>
      <c r="H15" s="29" t="n"/>
    </row>
    <row r="16">
      <c r="A16" s="29" t="inlineStr">
        <is>
          <t>Comisiones de delivery</t>
        </is>
      </c>
      <c r="B16" s="33">
        <f>IFERROR(IF(B9="","",B9*'0. Supuestos'!$B$16*'0. Supuestos'!$B$17),"")</f>
        <v>12889.8</v>
      </c>
      <c r="C16" s="33">
        <f>IFERROR(IF(C9="","",C9*'0. Supuestos'!$B$16*'0. Supuestos'!$B$17),"")</f>
        <v>13663.188000000002</v>
      </c>
      <c r="D16" s="33">
        <f>IFERROR(IF(D9="","",D9*'0. Supuestos'!$B$16*'0. Supuestos'!$B$17),"")</f>
        <v>14209.715520000002</v>
      </c>
      <c r="E16" s="68">
        <f>IFERROR(B16/$B$9,"")</f>
        <v>0.036</v>
      </c>
      <c r="F16" s="29" t="inlineStr">
        <is>
          <t>Sobre las ventas DEL CANAL. Con 0 % de delivery en Supuestos, esta línea vale cero</t>
        </is>
      </c>
      <c r="G16" s="68">
        <f>IFERROR(IF(B9="","",'0. Supuestos'!$B$41),"")</f>
        <v>0.21</v>
      </c>
      <c r="H16" s="29" t="n"/>
    </row>
    <row r="17">
      <c r="A17" s="29" t="inlineStr">
        <is>
          <t>Comisiones de los medios de pago</t>
        </is>
      </c>
      <c r="B17" s="33">
        <f>IFERROR(IF(B9="","",B9*'0. Supuestos'!$B$18),"")</f>
        <v>2864.4</v>
      </c>
      <c r="C17" s="33">
        <f>IFERROR(IF(C9="","",C9*'0. Supuestos'!$B$18),"")</f>
        <v>3036.2640000000006</v>
      </c>
      <c r="D17" s="33">
        <f>IFERROR(IF(D9="","",D9*'0. Supuestos'!$B$18),"")</f>
        <v>3157.714560000001</v>
      </c>
      <c r="E17" s="68">
        <f>IFERROR(B17/$B$9,"")</f>
        <v>0.008</v>
      </c>
      <c r="F17" s="29" t="inlineStr">
        <is>
          <t>Las comisiones de los medios de pago están EXENTAS de IVA (art. 20.Uno.18 LIVA): no se deduce nada por ellas</t>
        </is>
      </c>
      <c r="G17" s="68" t="n">
        <v>0</v>
      </c>
      <c r="H17" s="29" t="n"/>
    </row>
    <row r="18">
      <c r="A18" s="29" t="inlineStr">
        <is>
          <t>Varios e imprevistos</t>
        </is>
      </c>
      <c r="B18" s="33">
        <f>IFERROR(IF(B9="","",B9*'0. Supuestos'!$B$28),"")</f>
        <v>7161.0</v>
      </c>
      <c r="C18" s="33">
        <f>IFERROR(IF(C9="","",C9*'0. Supuestos'!$B$28),"")</f>
        <v>7590.660000000002</v>
      </c>
      <c r="D18" s="33">
        <f>IFERROR(IF(D9="","",D9*'0. Supuestos'!$B$28),"")</f>
        <v>7894.286400000002</v>
      </c>
      <c r="E18" s="68">
        <f>IFERROR(B18/$B$9,"")</f>
        <v>0.02</v>
      </c>
      <c r="F18" s="29" t="str">
        <f>IFERROR("Al "&amp;TEXT('0. Supuestos'!$B$28,"0%")&amp;" de las ventas. Es un coste VARIABLE: sube y baja con la facturación, así que no puede vivir en los costes fijos","")</f>
        <v>Al 2% de las ventas. Es un coste VARIABLE: sube y baja con la facturación, así que no puede vivir en los costes fijos</v>
      </c>
      <c r="G18" s="68">
        <f>IFERROR(IF(B9="","",'0. Supuestos'!$B$41),"")</f>
        <v>0.21</v>
      </c>
      <c r="H18" s="29" t="n"/>
    </row>
    <row r="19">
      <c r="A19" s="26" t="inlineStr">
        <is>
          <t>TOTAL COSTES VARIABLES</t>
        </is>
      </c>
      <c r="B19" s="27">
        <f>IFERROR(IF(B9="","",SUM(B13:B18)),"")</f>
        <v>131404.35</v>
      </c>
      <c r="C19" s="27">
        <f>IFERROR(IF(C9="","",SUM(C13:C18)),"")</f>
        <v>139288.61100000003</v>
      </c>
      <c r="D19" s="27">
        <f>IFERROR(IF(D9="","",SUM(D13:D18)),"")</f>
        <v>144860.15544000003</v>
      </c>
      <c r="E19" s="67">
        <f>IFERROR(B19/$B$9,"")</f>
        <v>0.367</v>
      </c>
      <c r="F19" s="29" t="n"/>
      <c r="G19" s="29" t="n"/>
      <c r="H19" s="29" t="n"/>
    </row>
    <row r="20">
      <c r="A20" s="26" t="inlineStr">
        <is>
          <t>MARGEN BRUTO</t>
        </is>
      </c>
      <c r="B20" s="27">
        <f>IFERROR(IF(B9="","",B9-B19),"")</f>
        <v>226645.65</v>
      </c>
      <c r="C20" s="27">
        <f>IFERROR(IF(C9="","",C9-C19),"")</f>
        <v>240244.38900000002</v>
      </c>
      <c r="D20" s="27">
        <f>IFERROR(IF(D9="","",D9-D19),"")</f>
        <v>249854.16456000003</v>
      </c>
      <c r="E20" s="67">
        <f>IFERROR(B20/$B$9,"")</f>
        <v>0.633</v>
      </c>
      <c r="F20" s="29" t="n"/>
      <c r="G20" s="29" t="n"/>
      <c r="H20" s="29" t="n"/>
    </row>
    <row r="21">
      <c r="A21" s="26" t="inlineStr">
        <is>
          <t>COSTES FIJOS</t>
        </is>
      </c>
      <c r="B21" s="29" t="n"/>
      <c r="C21" s="29" t="n"/>
      <c r="D21" s="29" t="n"/>
      <c r="E21" s="29" t="n"/>
      <c r="F21" s="29" t="n"/>
      <c r="G21" s="29" t="n"/>
      <c r="H21" s="29" t="n"/>
    </row>
    <row r="22">
      <c r="A22" s="29" t="inlineStr">
        <is>
          <t>Alquiler del local</t>
        </is>
      </c>
      <c r="B22" s="33">
        <f>IFERROR(IF(B9="","",'0. Supuestos'!$B$24*12),"")</f>
        <v>17400.0</v>
      </c>
      <c r="C22" s="33">
        <f>IFERROR(IF(C9="","",B22*(1+'0. Supuestos'!$B$48)),"")</f>
        <v>17400.0</v>
      </c>
      <c r="D22" s="33">
        <f>IFERROR(IF(D9="","",C22*(1+'0. Supuestos'!$B$48)),"")</f>
        <v>17400.0</v>
      </c>
      <c r="E22" s="68">
        <f>IFERROR(B22/$B$9,"")</f>
        <v>0.04859656472559699</v>
      </c>
      <c r="F22" s="29" t="inlineStr">
        <is>
          <t>El importe mensual está en la hoja de Supuestos; aquí se multiplica por doce. Los dos meses de renta previos a la apertura están en la hoja de Inversión y NO se cuentan dos veces</t>
        </is>
      </c>
      <c r="G22" s="68">
        <f>IFERROR(IF(B9="","",'0. Supuestos'!$B$41),"")</f>
        <v>0.21</v>
      </c>
      <c r="H22" s="29" t="n"/>
    </row>
    <row r="23">
      <c r="A23" s="29" t="inlineStr">
        <is>
          <t>Personal (nóminas + Seguridad Social)</t>
        </is>
      </c>
      <c r="B23" s="33">
        <f>IFERROR(IF(B9="","",'Personal'!$G$12),"")</f>
        <v>129520.72</v>
      </c>
      <c r="C23" s="33">
        <f>IFERROR(IF(C9="","",'Personal'!$B$16),"")</f>
        <v>135520.72</v>
      </c>
      <c r="D23" s="33">
        <f>IFERROR(IF(D9="","",'Personal'!$B$17),"")</f>
        <v>141520.72</v>
      </c>
      <c r="E23" s="68">
        <f>IFERROR(B23/$B$9,"")</f>
        <v>0.36173919843597263</v>
      </c>
      <c r="F23" s="29" t="inlineStr">
        <is>
          <t>Sale de la hoja de Personal: es el MISMO número, no una estimación aparte. Los años 2 y 3 suman las INCORPORACIONES declaradas en esa hoja, no un porcentaje de volumen</t>
        </is>
      </c>
      <c r="G23" s="68" t="n">
        <v>0</v>
      </c>
      <c r="H23" s="29" t="n"/>
    </row>
    <row r="24">
      <c r="A24" s="29" t="inlineStr">
        <is>
          <t>Suministros (luz, agua, gas)</t>
        </is>
      </c>
      <c r="B24" s="33">
        <f>IFERROR(IF(B9="","",'0. Supuestos'!$B$26*12),"")</f>
        <v>10200.0</v>
      </c>
      <c r="C24" s="33">
        <f>IFERROR(IF(C9="","",B24*(1+'0. Supuestos'!$B$48)),"")</f>
        <v>10200.0</v>
      </c>
      <c r="D24" s="33">
        <f>IFERROR(IF(D9="","",C24*(1+'0. Supuestos'!$B$48)),"")</f>
        <v>10200.0</v>
      </c>
      <c r="E24" s="68">
        <f>IFERROR(B24/$B$9,"")</f>
        <v>0.028487641390867197</v>
      </c>
      <c r="F24" s="29" t="inlineStr">
        <is>
          <t>Luz y gas van al 21 %; la factura del agua, al 10 %. El libro aplica a toda esta partida el tipo de la columna de al lado (21 %): si el agua pesa mucho en tu local, sepárala en su línea</t>
        </is>
      </c>
      <c r="G24" s="68">
        <f>IFERROR(IF(B9="","",'0. Supuestos'!$B$41),"")</f>
        <v>0.21</v>
      </c>
      <c r="H24" s="29" t="n"/>
    </row>
    <row r="25">
      <c r="A25" s="29" t="inlineStr">
        <is>
          <t>Seguros (RC + multirriesgo)</t>
        </is>
      </c>
      <c r="B25" s="33">
        <f>IFERROR(IF(B9="","",'0. Supuestos'!$B$27),"")</f>
        <v>1400.0</v>
      </c>
      <c r="C25" s="33">
        <f>IFERROR(IF(C9="","",B25*(1+'0. Supuestos'!$B$48)),"")</f>
        <v>1400.0</v>
      </c>
      <c r="D25" s="33">
        <f>IFERROR(IF(D9="","",C25*(1+'0. Supuestos'!$B$48)),"")</f>
        <v>1400.0</v>
      </c>
      <c r="E25" s="68">
        <f>IFERROR(B25/$B$9,"")</f>
        <v>0.0039100684261974585</v>
      </c>
      <c r="F25" s="29" t="inlineStr">
        <is>
          <t>Las operaciones de seguro están EXENTAS de IVA (art. 20.Uno.16 LIVA): la prima no lleva IVA deducible</t>
        </is>
      </c>
      <c r="G25" s="68" t="n">
        <v>0</v>
      </c>
      <c r="H25" s="29" t="n"/>
    </row>
    <row r="26">
      <c r="A26" s="29" t="inlineStr">
        <is>
          <t>Gestoría laboral, fiscal y contable</t>
        </is>
      </c>
      <c r="B26" s="30" t="n">
        <v>2400</v>
      </c>
      <c r="C26" s="33">
        <f>IFERROR(IF(C9="","",B26*(1+'0. Supuestos'!$B$48)),"")</f>
        <v>2400.0</v>
      </c>
      <c r="D26" s="33">
        <f>IFERROR(IF(D9="","",C26*(1+'0. Supuestos'!$B$48)),"")</f>
        <v>2400.0</v>
      </c>
      <c r="E26" s="68">
        <f>IFERROR(B26/$B$9,"")</f>
        <v>0.006702974444909929</v>
      </c>
      <c r="F26" s="29" t="inlineStr">
        <is>
          <t>Contabilidad, impuestos de la SL, nóminas y contratos de la plantilla</t>
        </is>
      </c>
      <c r="G26" s="68">
        <f>IFERROR(IF(B9="","",'0. Supuestos'!$B$41),"")</f>
        <v>0.21</v>
      </c>
      <c r="H26" s="29" t="n"/>
    </row>
    <row r="27">
      <c r="A27" s="29" t="inlineStr">
        <is>
          <t>Mantenimiento de la campana extractora, el gas y el frío</t>
        </is>
      </c>
      <c r="B27" s="30" t="n">
        <v>1800</v>
      </c>
      <c r="C27" s="33">
        <f>IFERROR(IF(C9="","",B27*(1+'0. Supuestos'!$B$48)),"")</f>
        <v>1800.0</v>
      </c>
      <c r="D27" s="33">
        <f>IFERROR(IF(D9="","",C27*(1+'0. Supuestos'!$B$48)),"")</f>
        <v>1800.0</v>
      </c>
      <c r="E27" s="68">
        <f>IFERROR(B27/$B$9,"")</f>
        <v>0.005027230833682447</v>
      </c>
      <c r="F27" s="29" t="inlineStr">
        <is>
          <t>Limpieza de la campana extractora y del conducto al menos una vez al año (Madrid lo exige en su Ordenanza 4/2021, art. 23; mira la de tu ayuntamiento), revisión del gas y del trompo y el frigorista</t>
        </is>
      </c>
      <c r="G27" s="68">
        <f>IFERROR(IF(B9="","",'0. Supuestos'!$B$41),"")</f>
        <v>0.21</v>
      </c>
      <c r="H27" s="29" t="n"/>
    </row>
    <row r="28">
      <c r="A28" s="29" t="inlineStr">
        <is>
          <t>Marketing y publicidad</t>
        </is>
      </c>
      <c r="B28" s="30" t="n">
        <v>3500</v>
      </c>
      <c r="C28" s="33">
        <f>IFERROR(IF(C9="","",B28*(1+'0. Supuestos'!$B$48)),"")</f>
        <v>3500.0</v>
      </c>
      <c r="D28" s="33">
        <f>IFERROR(IF(D9="","",C28*(1+'0. Supuestos'!$B$48)),"")</f>
        <v>3500.0</v>
      </c>
      <c r="E28" s="68">
        <f>IFERROR(B28/$B$9,"")</f>
        <v>0.009775171065493646</v>
      </c>
      <c r="F28" s="29" t="inlineStr">
        <is>
          <t>Ficha de Google Business, redes sociales, fotos y las fechas mexicanas (la Independencia en septiembre, el Día de Muertos en noviembre); la campaña de apertura va en la inversión</t>
        </is>
      </c>
      <c r="G28" s="68">
        <f>IFERROR(IF(B9="","",'0. Supuestos'!$B$41),"")</f>
        <v>0.21</v>
      </c>
      <c r="H28" s="29" t="n"/>
    </row>
    <row r="29">
      <c r="A29" s="29" t="inlineStr">
        <is>
          <t>Software, TPV, teléfono e internet</t>
        </is>
      </c>
      <c r="B29" s="30" t="n">
        <v>1500</v>
      </c>
      <c r="C29" s="33">
        <f>IFERROR(IF(C9="","",B29*(1+'0. Supuestos'!$B$48)),"")</f>
        <v>1500.0</v>
      </c>
      <c r="D29" s="33">
        <f>IFERROR(IF(D9="","",C29*(1+'0. Supuestos'!$B$48)),"")</f>
        <v>1500.0</v>
      </c>
      <c r="E29" s="68">
        <f>IFERROR(B29/$B$9,"")</f>
        <v>0.0041893590280687055</v>
      </c>
      <c r="F29" s="29" t="inlineStr">
        <is>
          <t>Cuota del TPV con Veri*factu, la tablet de las plataformas, teléfono e internet</t>
        </is>
      </c>
      <c r="G29" s="68">
        <f>IFERROR(IF(B9="","",'0. Supuestos'!$B$41),"")</f>
        <v>0.21</v>
      </c>
      <c r="H29" s="29" t="n"/>
    </row>
    <row r="30">
      <c r="A30" s="29" t="inlineStr">
        <is>
          <t>Limpieza, lavandería, EPI y análisis de autocontrol</t>
        </is>
      </c>
      <c r="B30" s="30" t="n">
        <v>1200</v>
      </c>
      <c r="C30" s="33">
        <f>IFERROR(IF(C9="","",B30*(1+'0. Supuestos'!$B$48)),"")</f>
        <v>1200.0</v>
      </c>
      <c r="D30" s="33">
        <f>IFERROR(IF(D9="","",C30*(1+'0. Supuestos'!$B$48)),"")</f>
        <v>1200.0</v>
      </c>
      <c r="E30" s="68">
        <f>IFERROR(B30/$B$9,"")</f>
        <v>0.0033514872224549644</v>
      </c>
      <c r="F30" s="29" t="inlineStr">
        <is>
          <t>Productos de limpieza, lavado de uniformes y paños, guantes y los análisis de autocontrol que fije tu APPCC</t>
        </is>
      </c>
      <c r="G30" s="68">
        <f>IFERROR(IF(B9="","",'0. Supuestos'!$B$41),"")</f>
        <v>0.21</v>
      </c>
      <c r="H30" s="29" t="n"/>
    </row>
    <row r="31">
      <c r="A31" s="29" t="inlineStr">
        <is>
          <t>Tasa de terraza y gestión de residuos (pon las de tu ayuntamiento)</t>
        </is>
      </c>
      <c r="B31" s="30" t="n">
        <v>1700</v>
      </c>
      <c r="C31" s="33">
        <f>IFERROR(IF(C9="","",B31*(1+'0. Supuestos'!$B$48)),"")</f>
        <v>1700.0</v>
      </c>
      <c r="D31" s="33">
        <f>IFERROR(IF(D9="","",C31*(1+'0. Supuestos'!$B$48)),"")</f>
        <v>1700.0</v>
      </c>
      <c r="E31" s="68">
        <f>IFERROR(B31/$B$9,"")</f>
        <v>0.0047479402318111995</v>
      </c>
      <c r="F31" s="29" t="inlineStr">
        <is>
          <t>La ocupación de la vía pública con 4 mesas de abril a octubre (unos 1.200 € de ejemplo: cada ayuntamiento tiene su ordenanza fiscal y este plan no ha leído ninguna) y la tasa de basuras, el cartón y el aceite y la grasa usados con gestor autorizado (unos 500 €). Pon las de tu ayuntamiento</t>
        </is>
      </c>
      <c r="G31" s="68">
        <f>IFERROR(IF(B9="","",'0. Supuestos'!$B$41),"")</f>
        <v>0.21</v>
      </c>
      <c r="H31" s="29" t="n"/>
    </row>
    <row r="32">
      <c r="A32" s="29" t="inlineStr">
        <is>
          <t>Desinsectación, desratización y desinfección (DDD)</t>
        </is>
      </c>
      <c r="B32" s="30" t="n">
        <v>450</v>
      </c>
      <c r="C32" s="33">
        <f>IFERROR(IF(C9="","",B32*(1+'0. Supuestos'!$B$48)),"")</f>
        <v>450.0</v>
      </c>
      <c r="D32" s="33">
        <f>IFERROR(IF(D9="","",C32*(1+'0. Supuestos'!$B$48)),"")</f>
        <v>450.0</v>
      </c>
      <c r="E32" s="68">
        <f>IFERROR(B32/$B$9,"")</f>
        <v>0.0012568077084206116</v>
      </c>
      <c r="F32" s="29" t="inlineStr">
        <is>
          <t>Contrato con una empresa inscrita en el ROESB: forma parte de los prerrequisitos del APPCC</t>
        </is>
      </c>
      <c r="G32" s="68">
        <f>IFERROR(IF(B9="","",'0. Supuestos'!$B$41),"")</f>
        <v>0.21</v>
      </c>
      <c r="H32" s="29" t="n"/>
    </row>
    <row r="33">
      <c r="A33" s="29" t="inlineStr">
        <is>
          <t>Derechos de autor por música ambiental (SGAE y AGEDI-AIE)</t>
        </is>
      </c>
      <c r="B33" s="30" t="n">
        <v>500</v>
      </c>
      <c r="C33" s="33">
        <f>IFERROR(IF(C9="","",B33*(1+'0. Supuestos'!$B$48)),"")</f>
        <v>500.0</v>
      </c>
      <c r="D33" s="33">
        <f>IFERROR(IF(D9="","",C33*(1+'0. Supuestos'!$B$48)),"")</f>
        <v>500.0</v>
      </c>
      <c r="E33" s="68">
        <f>IFERROR(B33/$B$9,"")</f>
        <v>0.0013964530093562352</v>
      </c>
      <c r="F33" s="29" t="inlineStr">
        <is>
          <t>SGAE y AGEDI-AIE son dos licencias distintas; el importe depende de los metros y del aforo de tu sala</t>
        </is>
      </c>
      <c r="G33" s="68">
        <f>IFERROR(IF(B9="","",'0. Supuestos'!$B$41),"")</f>
        <v>0.21</v>
      </c>
      <c r="H33" s="29" t="n"/>
    </row>
    <row r="34">
      <c r="A34" s="29" t="inlineStr">
        <is>
          <t>Prevención de riesgos laborales, vigilancia de la salud y formación</t>
        </is>
      </c>
      <c r="B34" s="30" t="n">
        <v>750</v>
      </c>
      <c r="C34" s="33">
        <f>IFERROR(IF(C9="","",B34*(1+'0. Supuestos'!$B$48)),"")</f>
        <v>750.0</v>
      </c>
      <c r="D34" s="33">
        <f>IFERROR(IF(D9="","",C34*(1+'0. Supuestos'!$B$48)),"")</f>
        <v>750.0</v>
      </c>
      <c r="E34" s="68">
        <f>IFERROR(B34/$B$9,"")</f>
        <v>0.0020946795140343527</v>
      </c>
      <c r="F34" s="29" t="inlineStr">
        <is>
          <t>El plan de prevención es obligatorio (Ley 31/1995): cortes en el trompo, quemaduras de la plancha y la freidora, gas y calor; los reconocimientos médicos de la plantilla y la formación en higiene y alérgenos</t>
        </is>
      </c>
      <c r="G34" s="68">
        <f>IFERROR(IF(B9="","",'0. Supuestos'!$B$41),"")</f>
        <v>0.21</v>
      </c>
      <c r="H34" s="29" t="n"/>
    </row>
    <row r="35">
      <c r="A35" s="29" t="inlineStr">
        <is>
          <t>Amortización del inmovilizado</t>
        </is>
      </c>
      <c r="B35" s="33">
        <f>IFERROR(IF(B9="","",'Inversión Inicial'!$B$37),"")</f>
        <v>8935.0</v>
      </c>
      <c r="C35" s="33">
        <f>IFERROR(IF(C9="","",B35),"")</f>
        <v>8935.0</v>
      </c>
      <c r="D35" s="33">
        <f>IFERROR(IF(D9="","",B35),"")</f>
        <v>8935.0</v>
      </c>
      <c r="E35" s="68">
        <f>IFERROR(B35/$B$9,"")</f>
        <v>0.024954615277195922</v>
      </c>
      <c r="F35" s="29" t="inlineStr">
        <is>
          <t>Sale de las bases de amortización de la hoja de Inversión: sólo inmovilizado real. NO sube con el IPC: es una cuota sobre el coste HISTÓRICO del inmovilizado</t>
        </is>
      </c>
      <c r="G35" s="68" t="n">
        <v>0</v>
      </c>
      <c r="H35" s="29" t="n"/>
    </row>
    <row r="36">
      <c r="A36" s="29" t="inlineStr">
        <is>
          <t>Gastos financieros (intereses del préstamo)</t>
        </is>
      </c>
      <c r="B36" s="33">
        <f>IFERROR(IF(B9="","",'Financiación'!$B$44),"")</f>
        <v>7080.0</v>
      </c>
      <c r="C36" s="33">
        <f>IFERROR(IF(C9="","",'Financiación'!$B$46),"")</f>
        <v>7080.0</v>
      </c>
      <c r="D36" s="33">
        <f>IFERROR(IF(D9="","",'Financiación'!$B$48),"")</f>
        <v>6064.992590397741</v>
      </c>
      <c r="E36" s="68">
        <f>IFERROR(B36/$B$9,"")</f>
        <v>0.01977377461248429</v>
      </c>
      <c r="F36" s="29" t="inlineStr">
        <is>
          <t>Sólo los INTERESES son gasto. La devolución del principal va en la hoja de Tesorería</t>
        </is>
      </c>
      <c r="G36" s="68" t="n">
        <v>0</v>
      </c>
      <c r="H36" s="29" t="n"/>
    </row>
    <row r="37">
      <c r="A37" s="26" t="inlineStr">
        <is>
          <t>TOTAL COSTES FIJOS</t>
        </is>
      </c>
      <c r="B37" s="27">
        <f>IFERROR(IF(B9="","",SUM(B22:B36)),"")</f>
        <v>188335.72</v>
      </c>
      <c r="C37" s="27">
        <f>IFERROR(IF(C9="","",SUM(C22:C36)),"")</f>
        <v>194335.72</v>
      </c>
      <c r="D37" s="27">
        <f>IFERROR(IF(D9="","",SUM(D22:D36)),"")</f>
        <v>199320.71259039774</v>
      </c>
      <c r="E37" s="67">
        <f>IFERROR(B37/$B$9,"")</f>
        <v>0.5260039659265465</v>
      </c>
      <c r="F37" s="29" t="n"/>
      <c r="G37" s="29" t="n"/>
      <c r="H37" s="29" t="n"/>
    </row>
    <row r="38">
      <c r="A38" s="29" t="inlineStr">
        <is>
          <t>IVA soportado de los costes variables</t>
        </is>
      </c>
      <c r="B38" s="33">
        <f>IFERROR(IF(B9="","",SUMPRODUCT(B13:B18,G13:G18)),"")</f>
        <v>16814.028000000002</v>
      </c>
      <c r="C38" s="33">
        <f>IFERROR(IF(C9="","",SUMPRODUCT(C13:C18,G13:G18)),"")</f>
        <v>17822.869680000003</v>
      </c>
      <c r="D38" s="33">
        <f>IFERROR(IF(D9="","",SUMPRODUCT(D13:D18,G13:G18)),"")</f>
        <v>18535.784467200003</v>
      </c>
      <c r="E38" s="29" t="n"/>
      <c r="F38" s="29" t="inlineStr">
        <is>
          <t>Cada línea a SU tipo, leído de la columna de al lado. Es lo que la hoja de Tesorería paga de más a los proveedores y luego se deduce</t>
        </is>
      </c>
      <c r="G38" s="29" t="n"/>
      <c r="H38" s="29" t="n"/>
    </row>
    <row r="39">
      <c r="A39" s="29" t="inlineStr">
        <is>
          <t>IVA soportado de los costes fijos</t>
        </is>
      </c>
      <c r="B39" s="33">
        <f>IFERROR(IF(B9="","",SUMPRODUCT(B22:B36,G22:G36)),"")</f>
        <v>8694.0</v>
      </c>
      <c r="C39" s="33">
        <f>IFERROR(IF(C9="","",SUMPRODUCT(C22:C36,G22:G36)),"")</f>
        <v>8694.0</v>
      </c>
      <c r="D39" s="33">
        <f>IFERROR(IF(D9="","",SUMPRODUCT(D22:D36,G22:G36)),"")</f>
        <v>8694.0</v>
      </c>
      <c r="E39" s="29" t="n"/>
      <c r="F39" s="29" t="n"/>
      <c r="G39" s="29" t="n"/>
      <c r="H39" s="29" t="n"/>
    </row>
    <row r="40">
      <c r="A40" s="26" t="inlineStr">
        <is>
          <t>RESULTADO ANTES DE IMPUESTOS</t>
        </is>
      </c>
      <c r="B40" s="27">
        <f>IFERROR(IF(B9="","",B20-B37),"")</f>
        <v>38309.92999999999</v>
      </c>
      <c r="C40" s="27">
        <f>IFERROR(IF(C9="","",C20-C37),"")</f>
        <v>45908.66900000002</v>
      </c>
      <c r="D40" s="27">
        <f>IFERROR(IF(D9="","",D20-D37),"")</f>
        <v>50533.45196960229</v>
      </c>
      <c r="E40" s="67">
        <f>IFERROR(B40/$B$9,"")</f>
        <v>0.10699603407345341</v>
      </c>
      <c r="F40" s="29" t="n"/>
      <c r="G40" s="29" t="n"/>
      <c r="H40" s="29" t="n"/>
    </row>
    <row r="41">
      <c r="A41" s="29" t="inlineStr">
        <is>
          <t>Bases negativas pendientes al inicio</t>
        </is>
      </c>
      <c r="B41" s="33">
        <f>IFERROR(IF(B9="","",'0. Supuestos'!$B$42),"")</f>
        <v>0.0</v>
      </c>
      <c r="C41" s="33">
        <f>IFERROR(IF(C9="","",B46),"")</f>
        <v>0.0</v>
      </c>
      <c r="D41" s="33">
        <f>IFERROR(IF(D9="","",C46),"")</f>
        <v>0.0</v>
      </c>
      <c r="E41" s="29" t="n"/>
      <c r="F41" s="29" t="inlineStr">
        <is>
          <t>Art. 26 LIS: las pérdidas de un ejercicio se compensan con los beneficios de los siguientes</t>
        </is>
      </c>
      <c r="G41" s="29" t="n"/>
      <c r="H41" s="29" t="n"/>
    </row>
    <row r="42">
      <c r="A42" s="29" t="inlineStr">
        <is>
          <t>Base imponible (después de compensar)</t>
        </is>
      </c>
      <c r="B42" s="33">
        <f>IFERROR(IF(B9="","",MAX(0,B40-B41)),"")</f>
        <v>38309.92999999999</v>
      </c>
      <c r="C42" s="33">
        <f>IFERROR(IF(C9="","",MAX(0,C40-C41)),"")</f>
        <v>45908.66900000002</v>
      </c>
      <c r="D42" s="33">
        <f>IFERROR(IF(D9="","",MAX(0,D40-D41)),"")</f>
        <v>50533.45196960229</v>
      </c>
      <c r="E42" s="29" t="n"/>
      <c r="F42" s="29" t="n"/>
      <c r="G42" s="29" t="n"/>
      <c r="H42" s="29" t="n"/>
    </row>
    <row r="43">
      <c r="A43" s="29" t="inlineStr">
        <is>
          <t>Ejercicios con base positiva (acumulado)</t>
        </is>
      </c>
      <c r="B43" s="41">
        <f>IFERROR(IF(B9="","",IF(B42&gt;0,1,0)),"")</f>
        <v>1.0</v>
      </c>
      <c r="C43" s="41">
        <f>IFERROR(IF(C9="","",B43+IF(C42&gt;0,1,0)),"")</f>
        <v>2.0</v>
      </c>
      <c r="D43" s="41">
        <f>IFERROR(IF(D9="","",C43+IF(D42&gt;0,1,0)),"")</f>
        <v>3.0</v>
      </c>
      <c r="E43" s="29" t="n"/>
      <c r="F43" s="29" t="n"/>
      <c r="G43" s="29" t="n"/>
      <c r="H43" s="29" t="n"/>
    </row>
    <row r="44">
      <c r="A44" s="29" t="inlineStr">
        <is>
          <t>Tipo de Impuesto de Sociedades aplicado</t>
        </is>
      </c>
      <c r="B44" s="68">
        <f>IFERROR(IF(B9="","",IF(B42&lt;=0,"",IF(B43&lt;=2,'0. Supuestos'!$B$37,'0. Supuestos'!$B$38))),"")</f>
        <v>0.15</v>
      </c>
      <c r="C44" s="68">
        <f>IFERROR(IF(C9="","",IF(C42&lt;=0,"",IF(C43&lt;=2,'0. Supuestos'!$B$37,'0. Supuestos'!$B$38))),"")</f>
        <v>0.15</v>
      </c>
      <c r="D44" s="68">
        <f>IFERROR(IF(D9="","",IF(D42&lt;=0,"",IF(D43&lt;=2,'0. Supuestos'!$B$37,'0. Supuestos'!$B$38))),"")</f>
        <v>0.25</v>
      </c>
      <c r="E44" s="29" t="n"/>
      <c r="F44" s="29" t="inlineStr">
        <is>
          <t>Art. 29.1 LIS: el 15 % de entidad de nueva creación se aplica al PRIMER ejercicio con base positiva y al SIGUIENTE, no al primer año de vida. El libro lo aproxima contando los dos primeros ejercicios con base positiva</t>
        </is>
      </c>
      <c r="G44" s="29" t="n"/>
      <c r="H44" s="29" t="n"/>
    </row>
    <row r="45">
      <c r="A45" s="29" t="inlineStr">
        <is>
          <t>Impuesto de Sociedades</t>
        </is>
      </c>
      <c r="B45" s="33">
        <f>IFERROR(IF(B9="","",IF(B44="",0,B42*B44)),"")</f>
        <v>5746.489499999999</v>
      </c>
      <c r="C45" s="33">
        <f>IFERROR(IF(C9="","",IF(C44="",0,C42*C44)),"")</f>
        <v>6886.300350000003</v>
      </c>
      <c r="D45" s="33">
        <f>IFERROR(IF(D9="","",IF(D44="",0,D42*D44)),"")</f>
        <v>12633.362992400573</v>
      </c>
      <c r="E45" s="29" t="n"/>
      <c r="F45" s="29" t="n"/>
      <c r="G45" s="29" t="n"/>
      <c r="H45" s="29" t="n"/>
    </row>
    <row r="46">
      <c r="A46" s="29" t="inlineStr">
        <is>
          <t>Bases negativas pendientes al cierre</t>
        </is>
      </c>
      <c r="B46" s="33">
        <f>IFERROR(IF(B9="","",MAX(0,B41-B40)),"")</f>
        <v>0.0</v>
      </c>
      <c r="C46" s="33">
        <f>IFERROR(IF(C9="","",MAX(0,C41-C40)),"")</f>
        <v>0.0</v>
      </c>
      <c r="D46" s="33">
        <f>IFERROR(IF(D9="","",MAX(0,D41-D40)),"")</f>
        <v>0.0</v>
      </c>
      <c r="E46" s="29" t="n"/>
      <c r="F46" s="29" t="n"/>
      <c r="G46" s="29" t="n"/>
      <c r="H46" s="29" t="n"/>
    </row>
    <row r="47">
      <c r="A47" s="26" t="inlineStr">
        <is>
          <t>RESULTADO NETO</t>
        </is>
      </c>
      <c r="B47" s="27">
        <f>IFERROR(IF(B9="","",B40-B45),"")</f>
        <v>32563.440499999993</v>
      </c>
      <c r="C47" s="27">
        <f>IFERROR(IF(C9="","",C40-C45),"")</f>
        <v>39022.36865000002</v>
      </c>
      <c r="D47" s="27">
        <f>IFERROR(IF(D9="","",D40-D45),"")</f>
        <v>37900.08897720172</v>
      </c>
      <c r="E47" s="67">
        <f>IFERROR(B47/$B$9,"")</f>
        <v>0.0909466289624354</v>
      </c>
      <c r="F47" s="29" t="n"/>
      <c r="G47" s="29" t="n"/>
      <c r="H47" s="29" t="n"/>
    </row>
    <row r="48">
      <c r="A48" s="26" t="inlineStr">
        <is>
          <t>RATIOS CLAVE</t>
        </is>
      </c>
      <c r="B48" s="29" t="n"/>
      <c r="C48" s="29" t="n"/>
      <c r="D48" s="29" t="n"/>
      <c r="E48" s="29" t="n"/>
      <c r="F48" s="29" t="n"/>
      <c r="G48" s="29" t="n"/>
      <c r="H48" s="29" t="n"/>
    </row>
    <row r="49">
      <c r="A49" s="26" t="inlineStr">
        <is>
          <t>Ratio</t>
        </is>
      </c>
      <c r="B49" s="26" t="inlineStr">
        <is>
          <t>Año 1</t>
        </is>
      </c>
      <c r="C49" s="26" t="inlineStr">
        <is>
          <t>Año 2</t>
        </is>
      </c>
      <c r="D49" s="26" t="inlineStr">
        <is>
          <t>Año 3</t>
        </is>
      </c>
      <c r="E49" s="26" t="inlineStr">
        <is>
          <t>Umbral</t>
        </is>
      </c>
      <c r="F49" s="26" t="inlineStr">
        <is>
          <t>Comentario</t>
        </is>
      </c>
      <c r="G49" s="29" t="n"/>
      <c r="H49" s="29" t="n"/>
    </row>
    <row r="50">
      <c r="A50" s="29" t="inlineStr">
        <is>
          <t>Margen bruto / Ventas</t>
        </is>
      </c>
      <c r="B50" s="68">
        <f>IFERROR(IF(B9="","",B20/B9),"")</f>
        <v>0.633</v>
      </c>
      <c r="C50" s="68">
        <f>IFERROR(IF(C9="","",C20/C9),"")</f>
        <v>0.633</v>
      </c>
      <c r="D50" s="68">
        <f>IFERROR(IF(D9="","",D20/D9),"")</f>
        <v>0.633</v>
      </c>
      <c r="E50" s="74" t="n">
        <v>0.6</v>
      </c>
      <c r="F50" s="29" t="inlineStr">
        <is>
          <t>Suelo del margen tras TODOS los costes variables (mercancía, envases, plataforma, medios de pago y varios). Sólo con la mercancía, una taquería deja en torno a un 73 %. Estimación del kit</t>
        </is>
      </c>
      <c r="G50" s="29" t="n"/>
      <c r="H50" s="29" t="n"/>
    </row>
    <row r="51">
      <c r="A51" s="29" t="inlineStr">
        <is>
          <t>Coste de mercancía (comida + bebida)</t>
        </is>
      </c>
      <c r="B51" s="33">
        <f>IFERROR(IF(B9="","",B13+B14),"")</f>
        <v>95957.4</v>
      </c>
      <c r="C51" s="33">
        <f>IFERROR(IF(C9="","",C13+C14),"")</f>
        <v>101714.84400000003</v>
      </c>
      <c r="D51" s="33">
        <f>IFERROR(IF(D9="","",D13+D14),"")</f>
        <v>105783.43776000002</v>
      </c>
      <c r="E51" s="29" t="n"/>
      <c r="F51" s="29" t="n"/>
      <c r="G51" s="29" t="n"/>
      <c r="H51" s="29" t="n"/>
    </row>
    <row r="52">
      <c r="A52" s="29" t="inlineStr">
        <is>
          <t>Coste de mercancía / Ventas</t>
        </is>
      </c>
      <c r="B52" s="68">
        <f>IFERROR(IF(B9="","",B51/B9),"")</f>
        <v>0.26799999999999996</v>
      </c>
      <c r="C52" s="68">
        <f>IFERROR(IF(C9="","",C51/C9),"")</f>
        <v>0.268</v>
      </c>
      <c r="D52" s="68">
        <f>IFERROR(IF(D9="","",D51/D9),"")</f>
        <v>0.268</v>
      </c>
      <c r="E52" s="74" t="n">
        <v>0.29</v>
      </c>
      <c r="F52" s="29" t="inlineStr">
        <is>
          <t>Techo de la materia prima sobre ventas: el taco al pastor sale a un 22,5 % y las carnitas, el suadero, la barbacoa y el aguacate la suben. Estimación del kit</t>
        </is>
      </c>
      <c r="G52" s="29" t="n"/>
      <c r="H52" s="29" t="n"/>
    </row>
    <row r="53">
      <c r="A53" s="29" t="inlineStr">
        <is>
          <t>Coste de personal / Ventas</t>
        </is>
      </c>
      <c r="B53" s="68">
        <f>IFERROR(IF(B9="","",B23/B9),"")</f>
        <v>0.36173919843597263</v>
      </c>
      <c r="C53" s="68">
        <f>IFERROR(IF(C9="","",C23/C9),"")</f>
        <v>0.3570722967436296</v>
      </c>
      <c r="D53" s="68">
        <f>IFERROR(IF(D9="","",D23/D9),"")</f>
        <v>0.3585396141695593</v>
      </c>
      <c r="E53" s="74" t="n">
        <v>0.38</v>
      </c>
      <c r="F53" s="29" t="inlineStr">
        <is>
          <t>Techo del personal sobre ventas con dos taqueros y una sala de dos servicios. Estimación del kit</t>
        </is>
      </c>
      <c r="G53" s="29" t="n"/>
      <c r="H53" s="29" t="n"/>
    </row>
    <row r="54">
      <c r="A54" s="29" t="inlineStr">
        <is>
          <t>Alquiler / Ventas</t>
        </is>
      </c>
      <c r="B54" s="68">
        <f>IFERROR(IF(B9="","",B22/B9),"")</f>
        <v>0.04859656472559699</v>
      </c>
      <c r="C54" s="68">
        <f>IFERROR(IF(C9="","",C22/C9),"")</f>
        <v>0.045845815778865075</v>
      </c>
      <c r="D54" s="68">
        <f>IFERROR(IF(D9="","",D22/D9),"")</f>
        <v>0.044082515171985644</v>
      </c>
      <c r="E54" s="74" t="n">
        <v>0.1</v>
      </c>
      <c r="F54" s="29" t="inlineStr">
        <is>
          <t>Techo del alquiler sobre ventas para un local con salida de humos a cubierta: estimación del kit</t>
        </is>
      </c>
      <c r="G54" s="29" t="n"/>
      <c r="H54" s="29" t="n"/>
    </row>
    <row r="55">
      <c r="A55" s="29" t="inlineStr">
        <is>
          <t>Resultado neto / Ventas</t>
        </is>
      </c>
      <c r="B55" s="68">
        <f>IFERROR(IF(B9="","",B47/B9),"")</f>
        <v>0.0909466289624354</v>
      </c>
      <c r="C55" s="68">
        <f>IFERROR(IF(C9="","",C47/C9),"")</f>
        <v>0.10281680025188854</v>
      </c>
      <c r="D55" s="68">
        <f>IFERROR(IF(D9="","",D47/D9),"")</f>
        <v>0.09601903720443107</v>
      </c>
      <c r="E55" s="74" t="n">
        <v>0.05</v>
      </c>
      <c r="F55" s="29" t="inlineStr">
        <is>
          <t>Suelo de resultado neto a régimen para que el plan se sostenga. Una taquería bien llevada deja en torno a un 9 %. Estimación del kit</t>
        </is>
      </c>
      <c r="G55" s="29" t="n"/>
      <c r="H55" s="29" t="n"/>
    </row>
    <row r="56">
      <c r="A56" s="29" t="inlineStr">
        <is>
          <t>Punto de equilibrio alcanzado</t>
        </is>
      </c>
      <c r="B56" s="29" t="str">
        <f>IFERROR(IF(B9="","",IF(B9&gt;='Punto Equilibrio'!$B$16,"Sí","No")),"")</f>
        <v>Sí</v>
      </c>
      <c r="C56" s="29" t="str">
        <f>IFERROR(IF(C9="","",IF(C9&gt;='Punto Equilibrio'!$C$16,"Sí","No")),"")</f>
        <v>Sí</v>
      </c>
      <c r="D56" s="29" t="str">
        <f>IFERROR(IF(D9="","",IF(D9&gt;='Punto Equilibrio'!$D$16,"Sí","No")),"")</f>
        <v>Sí</v>
      </c>
      <c r="E56" s="29" t="n"/>
      <c r="F56" s="29" t="inlineStr">
        <is>
          <t>Compara las ventas de CADA año con el umbral de ese mismo año, que calcula la hoja de Punto de Equilibrio con los costes fijos del año</t>
        </is>
      </c>
      <c r="G56" s="29" t="n"/>
      <c r="H56" s="29" t="n"/>
    </row>
    <row r="57">
      <c r="A57" s="29" t="n"/>
      <c r="B57" s="29" t="n"/>
      <c r="C57" s="29" t="n"/>
      <c r="D57" s="29" t="n"/>
      <c r="E57" s="29" t="n"/>
      <c r="F57" s="29" t="n"/>
      <c r="G57" s="29" t="n"/>
      <c r="H57" s="29" t="n"/>
    </row>
    <row r="58" ht="165" customHeight="1">
      <c r="A58" s="48" t="inlineStr">
        <is>
          <t>Todas las cifras van SIN IVA. Las columnas de los años 2 y 3 están en euros del año 1 salvo que subas la actualización de costes en la hoja de Supuestos. La columna «Tipo de IVA de la línea» dice, en las líneas de VENTA, a qué tipo se repercute cada una, y en las de COSTE a qué tipo se compra la partida. La lee la hoja de Tesorería: los seguros y las comisiones de los medios de pago están exentos, y las nóminas, la amortización y los intereses no llevan IVA.</t>
        </is>
      </c>
      <c r="B58" s="29" t="n"/>
      <c r="C58" s="29" t="n"/>
      <c r="D58" s="29" t="n"/>
      <c r="E58" s="29" t="n"/>
      <c r="F58" s="29" t="n"/>
      <c r="G58" s="29" t="n"/>
      <c r="H58" s="29" t="n"/>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B50:D50">
    <cfRule type="expression" priority="1" dxfId="1" stopIfTrue="1">
      <formula>AND(ISNUMBER(B50),B50&lt;$E$50)</formula>
    </cfRule>
    <cfRule type="expression" priority="2" dxfId="0" stopIfTrue="1">
      <formula>AND(ISNUMBER(B50),B50&gt;=$E$50)</formula>
    </cfRule>
  </conditionalFormatting>
  <conditionalFormatting sqref="B52:D52">
    <cfRule type="expression" priority="3" dxfId="1" stopIfTrue="1">
      <formula>AND(ISNUMBER(B52),B52&gt;$E$52)</formula>
    </cfRule>
    <cfRule type="expression" priority="4" dxfId="0" stopIfTrue="1">
      <formula>AND(ISNUMBER(B52),B52&lt;=$E$52)</formula>
    </cfRule>
  </conditionalFormatting>
  <conditionalFormatting sqref="B53:D53">
    <cfRule type="expression" priority="5" dxfId="1" stopIfTrue="1">
      <formula>AND(ISNUMBER(B53),B53&gt;$E$53)</formula>
    </cfRule>
    <cfRule type="expression" priority="6" dxfId="0" stopIfTrue="1">
      <formula>AND(ISNUMBER(B53),B53&lt;=$E$53)</formula>
    </cfRule>
  </conditionalFormatting>
  <conditionalFormatting sqref="B54:D54">
    <cfRule type="expression" priority="7" dxfId="1" stopIfTrue="1">
      <formula>AND(ISNUMBER(B54),B54&gt;$E$54)</formula>
    </cfRule>
    <cfRule type="expression" priority="8" dxfId="0" stopIfTrue="1">
      <formula>AND(ISNUMBER(B54),B54&lt;=$E$54)</formula>
    </cfRule>
  </conditionalFormatting>
  <conditionalFormatting sqref="B55:D55">
    <cfRule type="expression" priority="9" dxfId="1" stopIfTrue="1">
      <formula>AND(ISNUMBER(B55),B55&lt;$E$55)</formula>
    </cfRule>
    <cfRule type="expression" priority="10" dxfId="0" stopIfTrue="1">
      <formula>AND(ISNUMBER(B55),B55&gt;=$E$55)</formula>
    </cfRule>
  </conditionalFormatting>
  <conditionalFormatting sqref="B56:D56">
    <cfRule type="containsText" priority="11" operator="containsText" dxfId="0" stopIfTrue="1" text="Sí">
      <formula>NOT(ISERROR(SEARCH("Sí",B56)))</formula>
    </cfRule>
    <cfRule type="containsText" priority="12" operator="containsText" dxfId="1" stopIfTrue="1" text="No">
      <formula>NOT(ISERROR(SEARCH("No",B56)))</formula>
    </cfRule>
  </conditionalFormatting>
  <conditionalFormatting sqref="B40:E40">
    <cfRule type="expression" priority="13" dxfId="1" stopIfTrue="1">
      <formula>AND(ISNUMBER(B40),B40&lt;0)</formula>
    </cfRule>
    <cfRule type="expression" priority="14" dxfId="0" stopIfTrue="1">
      <formula>AND(ISNUMBER(B40),B40&gt;0)</formula>
    </cfRule>
  </conditionalFormatting>
  <conditionalFormatting sqref="B47:E47">
    <cfRule type="expression" priority="15" dxfId="1" stopIfTrue="1">
      <formula>AND(ISNUMBER(B47),B47&lt;0)</formula>
    </cfRule>
    <cfRule type="expression" priority="16" dxfId="0" stopIfTrue="1">
      <formula>AND(ISNUMBER(B47),B47&gt;0)</formula>
    </cfRule>
  </conditionalFormatting>
  <conditionalFormatting sqref="B55:E55">
    <cfRule type="expression" priority="17" dxfId="1" stopIfTrue="1">
      <formula>AND(ISNUMBER(B55),B55&lt;0)</formula>
    </cfRule>
    <cfRule type="expression" priority="18" dxfId="0" stopIfTrue="1">
      <formula>AND(ISNUMBER(B55),B55&gt;0)</formula>
    </cfRule>
  </conditionalFormatting>
  <dataValidations count="2">
    <dataValidation sqref="B26 B27 B28 B29 B30 B31 B32 B33 B34" showDropDown="0" showInputMessage="0" showErrorMessage="1" allowBlank="1" errorTitle="Importe no válido" error="Escribe un número mayor o igual que 0." type="decimal" operator="greaterThanOrEqual">
      <formula1>0</formula1>
    </dataValidation>
    <dataValidation sqref="E50 E52 E53 E54 E55 G13 H11"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78"/>
  <sheetViews>
    <sheetView workbookViewId="0">
      <pane ySplit="4" topLeftCell="A5" activePane="bottomLeft" state="frozen"/>
      <selection pane="bottomLeft" activeCell="A1" sqref="A1"/>
    </sheetView>
  </sheetViews>
  <sheetFormatPr baseColWidth="8" defaultRowHeight="15"/>
  <cols>
    <col width="44" customWidth="1" min="1" max="1"/>
    <col width="18" customWidth="1" min="2" max="2"/>
    <col width="40" customWidth="1" min="3" max="3"/>
    <col width="16" customWidth="1" min="4" max="4"/>
    <col width="52" customWidth="1" min="5" max="5"/>
    <col width="14" customWidth="1" min="6" max="6"/>
  </cols>
  <sheetData>
    <row r="1">
      <c r="A1" s="1" t="inlineStr">
        <is>
          <t>ANÁLISIS DE PUNTO DE EQUILIBRIO</t>
        </is>
      </c>
    </row>
    <row r="2">
      <c r="A2" s="3" t="inlineStr">
        <is>
          <t>Punto de equilibrio mensual y diario — taquería con trompo</t>
        </is>
      </c>
    </row>
    <row r="3"/>
    <row r="4">
      <c r="A4" s="26" t="inlineStr">
        <is>
          <t>Variable</t>
        </is>
      </c>
      <c r="B4" s="26" t="inlineStr">
        <is>
          <t>Año 1</t>
        </is>
      </c>
      <c r="C4" s="26" t="inlineStr">
        <is>
          <t>Año 2</t>
        </is>
      </c>
      <c r="D4" s="26" t="inlineStr">
        <is>
          <t>Año 3</t>
        </is>
      </c>
      <c r="E4" s="26" t="inlineStr">
        <is>
          <t>Notas</t>
        </is>
      </c>
      <c r="F4" s="29" t="n"/>
    </row>
    <row r="5">
      <c r="A5" s="26" t="inlineStr">
        <is>
          <t>DATOS BASE POR AÑO</t>
        </is>
      </c>
      <c r="B5" s="29" t="n"/>
      <c r="C5" s="29" t="n"/>
      <c r="D5" s="29" t="n"/>
      <c r="E5" s="29" t="n"/>
      <c r="F5" s="29" t="n"/>
    </row>
    <row r="6">
      <c r="A6" s="29" t="inlineStr">
        <is>
          <t>Costes fijos anuales</t>
        </is>
      </c>
      <c r="B6" s="70">
        <f>IFERROR(IF('PyG 3 Años'!$B$9="","",'PyG 3 Años'!$B$37),"")</f>
        <v>188335.72</v>
      </c>
      <c r="C6" s="70">
        <f>IFERROR(IF('PyG 3 Años'!$C$9="","",'PyG 3 Años'!$C$37),"")</f>
        <v>194335.72</v>
      </c>
      <c r="D6" s="70">
        <f>IFERROR(IF('PyG 3 Años'!$D$9="","",'PyG 3 Años'!$D$37),"")</f>
        <v>199320.71259039774</v>
      </c>
      <c r="E6" s="29" t="inlineStr">
        <is>
          <t>Los MISMOS costes fijos del P&amp;L. Cada año tiene los suyos: por eso el umbral no puede ser uno solo para los tres</t>
        </is>
      </c>
      <c r="F6" s="29" t="n"/>
    </row>
    <row r="7">
      <c r="A7" s="29" t="inlineStr">
        <is>
          <t>Costes fijos mensuales</t>
        </is>
      </c>
      <c r="B7" s="70">
        <f>IFERROR(IF('PyG 3 Años'!$B$9="","",B6/12),"")</f>
        <v>15694.643333333333</v>
      </c>
      <c r="C7" s="70">
        <f>IFERROR(IF('PyG 3 Años'!$C$9="","",C6/12),"")</f>
        <v>16194.643333333333</v>
      </c>
      <c r="D7" s="70">
        <f>IFERROR(IF('PyG 3 Años'!$D$9="","",D6/12),"")</f>
        <v>16610.059382533145</v>
      </c>
      <c r="E7" s="29" t="n"/>
      <c r="F7" s="29" t="n"/>
    </row>
    <row r="8">
      <c r="A8" s="29" t="inlineStr">
        <is>
          <t>Ticket medio sin IVA</t>
        </is>
      </c>
      <c r="B8" s="70">
        <f>IFERROR(IF('PyG 3 Años'!$B$9="","",'PyG 3 Años'!$B$7),"")</f>
        <v>15.5</v>
      </c>
      <c r="C8" s="70">
        <f>IFERROR(IF('PyG 3 Años'!$C$9="","",'PyG 3 Años'!$C$7),"")</f>
        <v>15.5</v>
      </c>
      <c r="D8" s="70">
        <f>IFERROR(IF('PyG 3 Años'!$D$9="","",'PyG 3 Años'!$D$7),"")</f>
        <v>15.5</v>
      </c>
      <c r="E8" s="29" t="n"/>
      <c r="F8" s="29" t="n"/>
    </row>
    <row r="9">
      <c r="A9" s="29" t="inlineStr">
        <is>
          <t>Coste variable por comensal</t>
        </is>
      </c>
      <c r="B9" s="70">
        <f>IFERROR(IF('PyG 3 Años'!$B$9="","",'PyG 3 Años'!$B$19/('PyG 3 Años'!$B$6*'PyG 3 Años'!$B$8)),"")</f>
        <v>5.6885</v>
      </c>
      <c r="C9" s="70">
        <f>IFERROR(IF('PyG 3 Años'!$C$9="","",'PyG 3 Años'!$C$19/('PyG 3 Años'!$C$6*'PyG 3 Años'!$C$8)),"")</f>
        <v>5.688500000000001</v>
      </c>
      <c r="D9" s="70">
        <f>IFERROR(IF('PyG 3 Años'!$D$9="","",'PyG 3 Años'!$D$19/('PyG 3 Años'!$D$6*'PyG 3 Años'!$D$8)),"")</f>
        <v>5.6885</v>
      </c>
      <c r="E9" s="29" t="inlineStr">
        <is>
          <t>Sale del total de costes variables del P&amp;L, no de una estimación aparte. Incluye los varios e imprevistos, que son un porcentaje de las ventas</t>
        </is>
      </c>
      <c r="F9" s="29" t="n"/>
    </row>
    <row r="10">
      <c r="A10" s="29" t="inlineStr">
        <is>
          <t>Margen de contribución por comensal</t>
        </is>
      </c>
      <c r="B10" s="70">
        <f>IFERROR(IF('PyG 3 Años'!$B$9="","",B8-B9),"")</f>
        <v>9.811499999999999</v>
      </c>
      <c r="C10" s="70">
        <f>IFERROR(IF('PyG 3 Años'!$C$9="","",C8-C9),"")</f>
        <v>9.811499999999999</v>
      </c>
      <c r="D10" s="70">
        <f>IFERROR(IF('PyG 3 Años'!$D$9="","",D8-D9),"")</f>
        <v>9.811499999999999</v>
      </c>
      <c r="E10" s="29" t="inlineStr">
        <is>
          <t>Ticket menos coste variable unitario</t>
        </is>
      </c>
      <c r="F10" s="29" t="n"/>
    </row>
    <row r="11">
      <c r="A11" s="29" t="inlineStr">
        <is>
          <t>Días de apertura al año</t>
        </is>
      </c>
      <c r="B11" s="41">
        <f>IFERROR(IF('PyG 3 Años'!$B$9="","",'PyG 3 Años'!$B$8),"")</f>
        <v>300.0</v>
      </c>
      <c r="C11" s="41">
        <f>IFERROR(IF('PyG 3 Años'!$C$9="","",'PyG 3 Años'!$C$8),"")</f>
        <v>300.0</v>
      </c>
      <c r="D11" s="41">
        <f>IFERROR(IF('PyG 3 Años'!$D$9="","",'PyG 3 Años'!$D$8),"")</f>
        <v>300.0</v>
      </c>
      <c r="E11" s="29" t="inlineStr">
        <is>
          <t>El mismo calendario que el P&amp;L y que los escenarios</t>
        </is>
      </c>
      <c r="F11" s="29" t="n"/>
    </row>
    <row r="12">
      <c r="A12" s="29" t="inlineStr">
        <is>
          <t>Devolución de principal del año (cuota)</t>
        </is>
      </c>
      <c r="B12" s="70">
        <f>IFERROR(IF('PyG 3 Años'!$B$9="","",'Financiación'!$B$45),"")</f>
        <v>0.0</v>
      </c>
      <c r="C12" s="70">
        <f>IFERROR(IF('PyG 3 Años'!$C$9="","",'Financiación'!$B$47),"")</f>
        <v>16916.79016003765</v>
      </c>
      <c r="D12" s="70">
        <f>IFERROR(IF('PyG 3 Años'!$D$9="","",'Financiación'!$B$49),"")</f>
        <v>17931.797569639908</v>
      </c>
      <c r="E12" s="29" t="inlineStr">
        <is>
          <t>El principal NO es gasto del P&amp;L, pero sale de la caja. Sin él, el umbral de equilibrio se publica por debajo del real</t>
        </is>
      </c>
      <c r="F12" s="29" t="n"/>
    </row>
    <row r="13">
      <c r="A13" s="26" t="inlineStr">
        <is>
          <t>PUNTO DE EQUILIBRIO CONTABLE (incluye amortización)</t>
        </is>
      </c>
      <c r="B13" s="29" t="n"/>
      <c r="C13" s="29" t="n"/>
      <c r="D13" s="29" t="n"/>
      <c r="E13" s="29" t="n"/>
      <c r="F13" s="29" t="n"/>
    </row>
    <row r="14">
      <c r="A14" s="29" t="inlineStr">
        <is>
          <t>Comensales necesarios al año</t>
        </is>
      </c>
      <c r="B14" s="41">
        <f>IFERROR(IF('PyG 3 Años'!$B$9="","",IF(B10&lt;=0,"",B6/B10)),"")</f>
        <v>19195.40539163227</v>
      </c>
      <c r="C14" s="41">
        <f>IFERROR(IF('PyG 3 Años'!$C$9="","",IF(C10&lt;=0,"",C6/C10)),"")</f>
        <v>19806.93268103756</v>
      </c>
      <c r="D14" s="41">
        <f>IFERROR(IF('PyG 3 Años'!$D$9="","",IF(D10&lt;=0,"",D6/D10)),"")</f>
        <v>20315.00918212279</v>
      </c>
      <c r="E14" s="29" t="n"/>
      <c r="F14" s="29" t="n"/>
    </row>
    <row r="15">
      <c r="A15" s="29" t="inlineStr">
        <is>
          <t>Comensales necesarios al día</t>
        </is>
      </c>
      <c r="B15" s="45">
        <f>IFERROR(IF('PyG 3 Años'!$B$9="","",B14/B11),"")</f>
        <v>63.98468463877423</v>
      </c>
      <c r="C15" s="45">
        <f>IFERROR(IF('PyG 3 Años'!$C$9="","",C14/C11),"")</f>
        <v>66.02310893679187</v>
      </c>
      <c r="D15" s="45">
        <f>IFERROR(IF('PyG 3 Años'!$D$9="","",D14/D11),"")</f>
        <v>67.71669727374264</v>
      </c>
      <c r="E15" s="29" t="n"/>
      <c r="F15" s="29" t="n"/>
    </row>
    <row r="16">
      <c r="A16" s="26" t="inlineStr">
        <is>
          <t>Ingresos necesarios al año</t>
        </is>
      </c>
      <c r="B16" s="27">
        <f>IFERROR(IF('PyG 3 Años'!$B$9="","",B14*B8),"")</f>
        <v>297528.7835703002</v>
      </c>
      <c r="C16" s="27">
        <f>IFERROR(IF('PyG 3 Años'!$C$9="","",C14*C8),"")</f>
        <v>307007.4565560822</v>
      </c>
      <c r="D16" s="27">
        <f>IFERROR(IF('PyG 3 Años'!$D$9="","",D14*D8),"")</f>
        <v>314882.64232290327</v>
      </c>
      <c r="E16" s="29" t="n"/>
      <c r="F16" s="29" t="n"/>
    </row>
    <row r="17">
      <c r="A17" s="26" t="inlineStr">
        <is>
          <t>PUNTO DE EQUILIBRIO DE CAJA (incluye la cuota del préstamo)</t>
        </is>
      </c>
      <c r="B17" s="29" t="n"/>
      <c r="C17" s="29" t="n"/>
      <c r="D17" s="29" t="n"/>
      <c r="E17" s="29" t="n"/>
      <c r="F17" s="29" t="n"/>
    </row>
    <row r="18">
      <c r="A18" s="29" t="inlineStr">
        <is>
          <t>Costes fijos de caja + principal del año</t>
        </is>
      </c>
      <c r="B18" s="70">
        <f>IFERROR(IF('PyG 3 Años'!$B$9="","",B6-'PyG 3 Años'!$B$35+B12),"")</f>
        <v>179400.72</v>
      </c>
      <c r="C18" s="70">
        <f>IFERROR(IF('PyG 3 Años'!$C$9="","",C6-'PyG 3 Años'!$C$35+C12),"")</f>
        <v>202317.51016003767</v>
      </c>
      <c r="D18" s="70">
        <f>IFERROR(IF('PyG 3 Años'!$D$9="","",D6-'PyG 3 Años'!$D$35+D12),"")</f>
        <v>208317.51016003767</v>
      </c>
      <c r="E18" s="29" t="inlineStr">
        <is>
          <t>Los fijos del P&amp;L sin la amortización (que no se paga) y CON la devolución de principal (que sí). Es el umbral que decide si la caja aguanta</t>
        </is>
      </c>
      <c r="F18" s="29" t="n"/>
    </row>
    <row r="19">
      <c r="A19" s="29" t="inlineStr">
        <is>
          <t>Comensales necesarios al año (caja)</t>
        </is>
      </c>
      <c r="B19" s="41">
        <f>IFERROR(IF('PyG 3 Años'!$B$9="","",IF(B10&lt;=0,"",B18/B10)),"")</f>
        <v>18284.739336492894</v>
      </c>
      <c r="C19" s="41">
        <f>IFERROR(IF('PyG 3 Años'!$C$9="","",IF(C10&lt;=0,"",C18/C10)),"")</f>
        <v>20620.446431232504</v>
      </c>
      <c r="D19" s="41">
        <f>IFERROR(IF('PyG 3 Años'!$D$9="","",IF(D10&lt;=0,"",D18/D10)),"")</f>
        <v>21231.97372063779</v>
      </c>
      <c r="E19" s="29" t="n"/>
      <c r="F19" s="29" t="n"/>
    </row>
    <row r="20">
      <c r="A20" s="26" t="inlineStr">
        <is>
          <t>Comensales necesarios al día (caja)</t>
        </is>
      </c>
      <c r="B20" s="46">
        <f>IFERROR(IF('PyG 3 Años'!$B$9="","",B19/B11),"")</f>
        <v>60.94913112164298</v>
      </c>
      <c r="C20" s="46">
        <f>IFERROR(IF('PyG 3 Años'!$C$9="","",C19/C11),"")</f>
        <v>68.73482143744168</v>
      </c>
      <c r="D20" s="46">
        <f>IFERROR(IF('PyG 3 Años'!$D$9="","",D19/D11),"")</f>
        <v>70.7732457354593</v>
      </c>
      <c r="E20" s="29" t="n"/>
      <c r="F20" s="29" t="n"/>
    </row>
    <row r="21">
      <c r="A21" s="29" t="inlineStr">
        <is>
          <t>Ingresos necesarios al año (caja)</t>
        </is>
      </c>
      <c r="B21" s="33">
        <f>IFERROR(IF('PyG 3 Años'!$B$9="","",B19*B8),"")</f>
        <v>283413.4597156399</v>
      </c>
      <c r="C21" s="33">
        <f>IFERROR(IF('PyG 3 Años'!$C$9="","",C19*C8),"")</f>
        <v>319616.9196841038</v>
      </c>
      <c r="D21" s="33">
        <f>IFERROR(IF('PyG 3 Años'!$D$9="","",D19*D8),"")</f>
        <v>329095.5926698857</v>
      </c>
      <c r="E21" s="29" t="n"/>
      <c r="F21" s="29" t="n"/>
    </row>
    <row r="22">
      <c r="A22" s="26" t="inlineStr">
        <is>
          <t>CONTRASTE CON EL PLAN</t>
        </is>
      </c>
      <c r="B22" s="29" t="n"/>
      <c r="C22" s="29" t="n"/>
      <c r="D22" s="29" t="n"/>
      <c r="E22" s="29" t="n"/>
      <c r="F22" s="29" t="n"/>
    </row>
    <row r="23">
      <c r="A23" s="29" t="inlineStr">
        <is>
          <t>Comensales/día previstos en el plan</t>
        </is>
      </c>
      <c r="B23" s="41">
        <f>IFERROR(IF('PyG 3 Años'!$B$9="","",'PyG 3 Años'!$B$6),"")</f>
        <v>77.0</v>
      </c>
      <c r="C23" s="41">
        <f>IFERROR(IF('PyG 3 Años'!$C$9="","",'PyG 3 Años'!$C$6),"")</f>
        <v>81.62</v>
      </c>
      <c r="D23" s="41">
        <f>IFERROR(IF('PyG 3 Años'!$D$9="","",'PyG 3 Años'!$D$6),"")</f>
        <v>84.88480000000001</v>
      </c>
      <c r="E23" s="29" t="n"/>
      <c r="F23" s="29" t="n"/>
    </row>
    <row r="24">
      <c r="A24" s="29" t="inlineStr">
        <is>
          <t>Holgura sobre el equilibrio de CAJA (%)</t>
        </is>
      </c>
      <c r="B24" s="68">
        <f>IFERROR(IF('PyG 3 Años'!$B$9="","",B23/B20-1),"")</f>
        <v>0.2633486086343464</v>
      </c>
      <c r="C24" s="68">
        <f>IFERROR(IF('PyG 3 Años'!$C$9="","",C23/C20-1),"")</f>
        <v>0.18746216681868644</v>
      </c>
      <c r="D24" s="68">
        <f>IFERROR(IF('PyG 3 Años'!$D$9="","",D23/D20-1),"")</f>
        <v>0.1993910851183478</v>
      </c>
      <c r="E24" s="29" t="inlineStr">
        <is>
          <t>Cuánto puedes caer antes de no poder pagar los costes fijos y la cuota. El mínimo exigible está en la hoja de Supuestos</t>
        </is>
      </c>
      <c r="F24" s="29" t="n"/>
    </row>
    <row r="25">
      <c r="A25" s="29" t="inlineStr">
        <is>
          <t>Rotaciones al día que da el local como máximo</t>
        </is>
      </c>
      <c r="B25" s="47" t="n">
        <v>3</v>
      </c>
      <c r="C25" s="29" t="n"/>
      <c r="D25" s="29" t="n"/>
      <c r="E25" s="29" t="inlineStr">
        <is>
          <t>Servicios completos por plaza y día que puedes hacer con comidas, cenas y un segundo turno de cena el sábado (estancias de 35-45 minutos). Es el techo físico del local, no un objetivo</t>
        </is>
      </c>
      <c r="F25" s="29" t="n"/>
    </row>
    <row r="26">
      <c r="A26" s="29" t="inlineStr">
        <is>
          <t>Rotaciones al día que exige el equilibrio de caja</t>
        </is>
      </c>
      <c r="B26" s="45">
        <f>IFERROR(IF('PyG 3 Años'!$B$9="","",B20/'0. Supuestos'!$B$51),"")</f>
        <v>1.904660347551343</v>
      </c>
      <c r="C26" s="45">
        <f>IFERROR(IF('PyG 3 Años'!$C$9="","",C20/'0. Supuestos'!$B$51),"")</f>
        <v>2.1479631699200525</v>
      </c>
      <c r="D26" s="45">
        <f>IFERROR(IF('PyG 3 Años'!$D$9="","",D20/'0. Supuestos'!$B$51),"")</f>
        <v>2.211663929233103</v>
      </c>
      <c r="E26" s="29" t="inlineStr">
        <is>
          <t>Comensales de equilibrio entre las plazas que declara la hoja de Supuestos. Por encima del techo de arriba, el punto de equilibrio está fuera del alcance del local</t>
        </is>
      </c>
      <c r="F26" s="29" t="n"/>
    </row>
    <row r="27">
      <c r="A27" s="26" t="inlineStr">
        <is>
          <t>INTERPRETACIÓN</t>
        </is>
      </c>
      <c r="B27" s="29" t="n"/>
      <c r="C27" s="29" t="n"/>
      <c r="D27" s="29" t="n"/>
      <c r="E27" s="29" t="n"/>
      <c r="F27" s="29" t="n"/>
    </row>
    <row r="28" ht="46" customHeight="1">
      <c r="A28" s="29" t="str">
        <f>IFERROR("Con el ticket medio sin IVA de la fila de arriba necesitas "&amp;TEXT(ROUNDUP(B15,0),"0")&amp;" comensales al día durante los "&amp;TEXT(B11,"0")&amp;" días que abres para no perder dinero (equilibrio contable, con la amortización dentro), y "&amp;TEXT(ROUNDUP(B20,0),"0")&amp;" para que la caja aguante (equilibrio de caja: sin la amortización, que no se paga, y con la cuota del préstamo del año"&amp;IF(B12=0,"; este año sólo intereses, porque el préstamo está en carencia","")&amp;"). En las filas «Ingresos necesarios al año» tienes esas mismas cifras en euros.","")</f>
        <v>Con el ticket medio sin IVA de la fila de arriba necesitas 64 comensales al día durante los 300 días que abres para no perder dinero (equilibrio contable, con la amortización dentro), y 61 para que la caja aguante (equilibrio de caja: sin la amortización, que no se paga, y con la cuota del préstamo del año; este año sólo intereses, porque el préstamo está en carencia). En las filas «Ingresos necesarios al año» tienes esas mismas cifras en euros.</v>
      </c>
      <c r="B28" s="29" t="n"/>
      <c r="C28" s="29" t="n"/>
      <c r="D28" s="29" t="n"/>
      <c r="E28" s="29" t="n"/>
      <c r="F28" s="29" t="n"/>
    </row>
    <row r="29">
      <c r="A29" s="29" t="n"/>
      <c r="B29" s="29" t="n"/>
      <c r="C29" s="29" t="n"/>
      <c r="D29" s="29" t="n"/>
      <c r="E29" s="29" t="n"/>
      <c r="F29" s="29" t="n"/>
    </row>
    <row r="30">
      <c r="A30" s="26" t="inlineStr">
        <is>
          <t>SENSIBILIDAD DEL PUNTO DE EQUILIBRIO</t>
        </is>
      </c>
      <c r="B30" s="29" t="n"/>
      <c r="C30" s="29" t="n"/>
      <c r="D30" s="29" t="n"/>
      <c r="E30" s="29" t="n"/>
      <c r="F30" s="29" t="n"/>
    </row>
    <row r="31" ht="75" customHeight="1">
      <c r="A31" s="48" t="inlineStr">
        <is>
          <t>Comensales/día necesarios para cubrir costes según el ticket medio (columnas) y el coste variable por comensal (filas). En verde, los que están por debajo de los comensales que prevé el plan.</t>
        </is>
      </c>
      <c r="B31" s="29" t="n"/>
      <c r="C31" s="29" t="n"/>
      <c r="D31" s="29" t="n"/>
      <c r="E31" s="29" t="n"/>
      <c r="F31" s="29" t="n"/>
    </row>
    <row r="32">
      <c r="A32" s="29" t="n"/>
      <c r="B32" s="29" t="n"/>
      <c r="C32" s="29" t="n"/>
      <c r="D32" s="29" t="n"/>
      <c r="E32" s="29" t="n"/>
      <c r="F32" s="29" t="n"/>
    </row>
    <row r="33" ht="45" customHeight="1">
      <c r="A33" s="40" t="inlineStr">
        <is>
          <t>Comensales/día necesarios: ticket medio sin IVA (columnas) × coste variable por comensal (filas)</t>
        </is>
      </c>
      <c r="B33" s="72">
        <f>IFERROR($B$8-2,"")</f>
        <v>13.5</v>
      </c>
      <c r="C33" s="72">
        <f>IFERROR(IF($B$8="","",$B$8),"")</f>
        <v>15.5</v>
      </c>
      <c r="D33" s="72">
        <f>IFERROR($B$8+2,"")</f>
        <v>17.5</v>
      </c>
      <c r="E33" s="72">
        <f>IFERROR($B$8+4,"")</f>
        <v>19.5</v>
      </c>
      <c r="F33" s="29" t="n"/>
    </row>
    <row r="34">
      <c r="A34" s="70">
        <f>IFERROR($B$9*0.85,"")</f>
        <v>4.835225</v>
      </c>
      <c r="B34" s="45">
        <f>IFERROR(IF($B$33-$A34&lt;=0,"",$B$6/($B$33-$A34)/$B$11),"")</f>
        <v>72.45262956433761</v>
      </c>
      <c r="C34" s="45">
        <f>IFERROR(IF($C$33-$A34&lt;=0,"",$B$6/($C$33-$A34)/$B$11),"")</f>
        <v>58.865351902251426</v>
      </c>
      <c r="D34" s="45">
        <f>IFERROR(IF($D$33-$A34&lt;=0,"",$B$6/($D$33-$A34)/$B$11),"")</f>
        <v>49.569434382634775</v>
      </c>
      <c r="E34" s="45">
        <f>IFERROR(IF($E$33-$A34&lt;=0,"",$B$6/($E$33-$A34)/$B$11),"")</f>
        <v>42.809094127481224</v>
      </c>
      <c r="F34" s="29" t="n"/>
    </row>
    <row r="35">
      <c r="A35" s="70">
        <f>IFERROR($B$9*0.925,"")</f>
        <v>5.2618625</v>
      </c>
      <c r="B35" s="45">
        <f>IFERROR(IF($B$33-$A35&lt;=0,"",$B$6/($B$33-$A35)/$B$11),"")</f>
        <v>76.20481368917832</v>
      </c>
      <c r="C35" s="45">
        <f>IFERROR(IF($C$33-$A35&lt;=0,"",$B$6/($C$33-$A35)/$B$11),"")</f>
        <v>61.31835339516912</v>
      </c>
      <c r="D35" s="45">
        <f>IFERROR(IF($D$33-$A35&lt;=0,"",$B$6/($D$33-$A35)/$B$11),"")</f>
        <v>51.297489780069334</v>
      </c>
      <c r="E35" s="45">
        <f>IFERROR(IF($E$33-$A35&lt;=0,"",$B$6/($E$33-$A35)/$B$11),"")</f>
        <v>44.0918437073201</v>
      </c>
      <c r="F35" s="29" t="n"/>
    </row>
    <row r="36">
      <c r="A36" s="70">
        <f>IFERROR($B$9*1.0,"")</f>
        <v>5.6885</v>
      </c>
      <c r="B36" s="45">
        <f>IFERROR(IF($B$33-$A36&lt;=0,"",$B$6/($B$33-$A36)/$B$11),"")</f>
        <v>80.36686082485225</v>
      </c>
      <c r="C36" s="45">
        <f>IFERROR(IF($C$33-$A36&lt;=0,"",$B$6/($C$33-$A36)/$B$11),"")</f>
        <v>63.98468463877423</v>
      </c>
      <c r="D36" s="45">
        <f>IFERROR(IF($D$33-$A36&lt;=0,"",$B$6/($D$33-$A36)/$B$11),"")</f>
        <v>53.15038169016073</v>
      </c>
      <c r="E36" s="45">
        <f>IFERROR(IF($E$33-$A36&lt;=0,"",$B$6/($E$33-$A36)/$B$11),"")</f>
        <v>45.45384160542544</v>
      </c>
      <c r="F36" s="29" t="n"/>
    </row>
    <row r="37">
      <c r="A37" s="70">
        <f>IFERROR($B$9*1.075,"")</f>
        <v>6.1151375</v>
      </c>
      <c r="B37" s="45">
        <f>IFERROR(IF($B$33-$A37&lt;=0,"",$B$6/($B$33-$A37)/$B$11),"")</f>
        <v>85.00980665968166</v>
      </c>
      <c r="C37" s="45">
        <f>IFERROR(IF($C$33-$A37&lt;=0,"",$B$6/($C$33-$A37)/$B$11),"")</f>
        <v>66.89343965703635</v>
      </c>
      <c r="D37" s="45">
        <f>IFERROR(IF($D$33-$A37&lt;=0,"",$B$6/($D$33-$A37)/$B$11),"")</f>
        <v>55.142144521581464</v>
      </c>
      <c r="E37" s="45">
        <f>IFERROR(IF($E$33-$A37&lt;=0,"",$B$6/($E$33-$A37)/$B$11),"")</f>
        <v>46.90266585355907</v>
      </c>
      <c r="F37" s="29" t="n"/>
    </row>
    <row r="38">
      <c r="A38" s="70">
        <f>IFERROR($B$9*1.15,"")</f>
        <v>6.5417749999999995</v>
      </c>
      <c r="B38" s="45">
        <f>IFERROR(IF($B$33-$A38&lt;=0,"",$B$6/($B$33-$A38)/$B$11),"")</f>
        <v>90.2221088472036</v>
      </c>
      <c r="C38" s="45">
        <f>IFERROR(IF($C$33-$A38&lt;=0,"",$B$6/($C$33-$A38)/$B$11),"")</f>
        <v>70.07925491191986</v>
      </c>
      <c r="D38" s="45">
        <f>IFERROR(IF($D$33-$A38&lt;=0,"",$B$6/($D$33-$A38)/$B$11),"")</f>
        <v>57.288998294279715</v>
      </c>
      <c r="E38" s="45">
        <f>IFERROR(IF($E$33-$A38&lt;=0,"",$B$6/($E$33-$A38)/$B$11),"")</f>
        <v>48.44689248205933</v>
      </c>
      <c r="F38" s="29" t="n"/>
    </row>
    <row r="39">
      <c r="A39" s="29" t="n"/>
      <c r="B39" s="29" t="n"/>
      <c r="C39" s="29" t="n"/>
      <c r="D39" s="29" t="n"/>
      <c r="E39" s="29" t="n"/>
      <c r="F39" s="29" t="n"/>
    </row>
    <row r="40">
      <c r="A40" s="29" t="n"/>
      <c r="B40" s="29" t="n"/>
      <c r="C40" s="29" t="n"/>
      <c r="D40" s="29" t="n"/>
      <c r="E40" s="29" t="n"/>
      <c r="F40" s="29" t="n"/>
    </row>
    <row r="41">
      <c r="A41" s="29" t="n"/>
      <c r="B41" s="29" t="n"/>
      <c r="C41" s="29" t="n"/>
      <c r="D41" s="29" t="n"/>
      <c r="E41" s="29" t="n"/>
      <c r="F41" s="29" t="n"/>
    </row>
    <row r="42">
      <c r="A42" s="29" t="n"/>
      <c r="B42" s="29" t="n"/>
      <c r="C42" s="29" t="n"/>
      <c r="D42" s="29" t="n"/>
      <c r="E42" s="29" t="n"/>
      <c r="F42" s="29" t="n"/>
    </row>
    <row r="43">
      <c r="A43" s="29" t="n"/>
      <c r="B43" s="29" t="n"/>
      <c r="C43" s="29" t="n"/>
      <c r="D43" s="29" t="n"/>
      <c r="E43" s="29" t="n"/>
      <c r="F43" s="29" t="n"/>
    </row>
    <row r="44">
      <c r="A44" s="29" t="n"/>
      <c r="B44" s="29" t="n"/>
      <c r="C44" s="29" t="n"/>
      <c r="D44" s="29" t="n"/>
      <c r="E44" s="29" t="n"/>
      <c r="F44" s="29" t="n"/>
    </row>
    <row r="45">
      <c r="A45" s="29" t="n"/>
      <c r="B45" s="29" t="n"/>
      <c r="C45" s="29" t="n"/>
      <c r="D45" s="29" t="n"/>
      <c r="E45" s="29" t="n"/>
      <c r="F45" s="29" t="n"/>
    </row>
    <row r="46">
      <c r="A46" s="29" t="n"/>
      <c r="B46" s="29" t="n"/>
      <c r="C46" s="29" t="n"/>
      <c r="D46" s="29" t="n"/>
      <c r="E46" s="29" t="n"/>
      <c r="F46" s="29" t="n"/>
    </row>
    <row r="47">
      <c r="A47" s="29" t="n"/>
      <c r="B47" s="29" t="n"/>
      <c r="C47" s="29" t="n"/>
      <c r="D47" s="29" t="n"/>
      <c r="E47" s="29" t="n"/>
      <c r="F47" s="29" t="n"/>
    </row>
    <row r="48">
      <c r="A48" s="29" t="n"/>
      <c r="B48" s="29" t="n"/>
      <c r="C48" s="29" t="n"/>
      <c r="D48" s="29" t="n"/>
      <c r="E48" s="29" t="n"/>
      <c r="F48" s="29" t="n"/>
    </row>
    <row r="49">
      <c r="A49" s="29" t="n"/>
      <c r="B49" s="29" t="n"/>
      <c r="C49" s="29" t="n"/>
      <c r="D49" s="29" t="n"/>
      <c r="E49" s="29" t="n"/>
      <c r="F49" s="29" t="n"/>
    </row>
    <row r="50">
      <c r="A50" s="29" t="n"/>
      <c r="B50" s="29" t="n"/>
      <c r="C50" s="29" t="n"/>
      <c r="D50" s="29" t="n"/>
      <c r="E50" s="29" t="n"/>
      <c r="F50" s="29" t="n"/>
    </row>
    <row r="51">
      <c r="A51" s="29" t="n"/>
      <c r="B51" s="29" t="n"/>
      <c r="C51" s="29" t="n"/>
      <c r="D51" s="29" t="n"/>
      <c r="E51" s="29" t="n"/>
      <c r="F51" s="29" t="n"/>
    </row>
    <row r="52">
      <c r="A52" s="29" t="n"/>
      <c r="B52" s="29" t="n"/>
      <c r="C52" s="29" t="n"/>
      <c r="D52" s="29" t="n"/>
      <c r="E52" s="29" t="n"/>
      <c r="F52" s="29" t="n"/>
    </row>
    <row r="53">
      <c r="A53" s="29" t="n"/>
      <c r="B53" s="29" t="n"/>
      <c r="C53" s="29" t="n"/>
      <c r="D53" s="29" t="n"/>
      <c r="E53" s="29" t="n"/>
      <c r="F53" s="29" t="n"/>
    </row>
    <row r="54">
      <c r="A54" s="29" t="n"/>
      <c r="B54" s="29" t="n"/>
      <c r="C54" s="29" t="n"/>
      <c r="D54" s="29" t="n"/>
      <c r="E54" s="29" t="n"/>
      <c r="F54" s="29" t="n"/>
    </row>
    <row r="55">
      <c r="A55" s="29" t="n"/>
      <c r="B55" s="29" t="n"/>
      <c r="C55" s="29" t="n"/>
      <c r="D55" s="29" t="n"/>
      <c r="E55" s="29" t="n"/>
      <c r="F55" s="29" t="n"/>
    </row>
    <row r="56">
      <c r="A56" s="29" t="n"/>
      <c r="B56" s="29" t="n"/>
      <c r="C56" s="29" t="n"/>
      <c r="D56" s="29" t="n"/>
      <c r="E56" s="29" t="n"/>
      <c r="F56" s="29" t="n"/>
    </row>
    <row r="57">
      <c r="A57" s="29" t="n"/>
      <c r="B57" s="29" t="n"/>
      <c r="C57" s="29" t="n"/>
      <c r="D57" s="29" t="n"/>
      <c r="E57" s="29" t="n"/>
      <c r="F57" s="29" t="n"/>
    </row>
    <row r="58">
      <c r="A58" s="29" t="n"/>
      <c r="B58" s="29" t="n"/>
      <c r="C58" s="29" t="n"/>
      <c r="D58" s="29" t="n"/>
      <c r="E58" s="29" t="n"/>
      <c r="F58" s="29" t="n"/>
    </row>
    <row r="59">
      <c r="A59" s="29" t="n"/>
      <c r="B59" s="29" t="n"/>
      <c r="C59" s="29" t="n"/>
      <c r="D59" s="29" t="n"/>
      <c r="E59" s="29" t="n"/>
      <c r="F59" s="29" t="n"/>
    </row>
    <row r="60">
      <c r="A60" s="29" t="n"/>
      <c r="B60" s="29" t="n"/>
      <c r="C60" s="29" t="n"/>
      <c r="D60" s="29" t="n"/>
      <c r="E60" s="29" t="n"/>
      <c r="F60" s="29" t="n"/>
    </row>
    <row r="61">
      <c r="A61" s="29" t="n"/>
      <c r="B61" s="29" t="n"/>
      <c r="C61" s="29" t="n"/>
      <c r="D61" s="29" t="n"/>
      <c r="E61" s="29" t="n"/>
      <c r="F61" s="29" t="n"/>
    </row>
    <row r="62">
      <c r="A62" s="29" t="n"/>
      <c r="B62" s="29" t="n"/>
      <c r="C62" s="29" t="n"/>
      <c r="D62" s="29" t="n"/>
      <c r="E62" s="29" t="n"/>
      <c r="F62" s="29" t="n"/>
    </row>
    <row r="63">
      <c r="A63" s="29" t="n"/>
      <c r="B63" s="29" t="n"/>
      <c r="C63" s="29" t="n"/>
      <c r="D63" s="29" t="n"/>
      <c r="E63" s="29" t="n"/>
      <c r="F63" s="29" t="n"/>
    </row>
    <row r="64">
      <c r="A64" s="29" t="n"/>
      <c r="B64" s="29" t="n"/>
      <c r="C64" s="29" t="n"/>
      <c r="D64" s="29" t="n"/>
      <c r="E64" s="29" t="n"/>
      <c r="F64" s="29" t="n"/>
    </row>
    <row r="65">
      <c r="A65" s="29" t="n"/>
      <c r="B65" s="29" t="n"/>
      <c r="C65" s="29" t="n"/>
      <c r="D65" s="29" t="n"/>
      <c r="E65" s="29" t="n"/>
      <c r="F65" s="29" t="n"/>
    </row>
    <row r="66">
      <c r="A66" s="29" t="n"/>
      <c r="B66" s="29" t="n"/>
      <c r="C66" s="29" t="n"/>
      <c r="D66" s="29" t="n"/>
      <c r="E66" s="29" t="n"/>
      <c r="F66" s="29" t="n"/>
    </row>
    <row r="67">
      <c r="A67" s="29" t="n"/>
      <c r="B67" s="29" t="n"/>
      <c r="C67" s="29" t="n"/>
      <c r="D67" s="29" t="n"/>
      <c r="E67" s="29" t="n"/>
      <c r="F67" s="29" t="n"/>
    </row>
    <row r="68">
      <c r="A68" s="29" t="n"/>
      <c r="B68" s="29" t="n"/>
      <c r="C68" s="29" t="n"/>
      <c r="D68" s="29" t="n"/>
      <c r="E68" s="29" t="n"/>
      <c r="F68" s="29" t="n"/>
    </row>
    <row r="69">
      <c r="A69" s="29" t="n"/>
      <c r="B69" s="29" t="n"/>
      <c r="C69" s="29" t="n"/>
      <c r="D69" s="29" t="n"/>
      <c r="E69" s="29" t="n"/>
      <c r="F69" s="29" t="n"/>
    </row>
    <row r="70">
      <c r="A70" s="29" t="n"/>
      <c r="B70" s="29" t="n"/>
      <c r="C70" s="29" t="n"/>
      <c r="D70" s="29" t="n"/>
      <c r="E70" s="29" t="n"/>
      <c r="F70" s="29" t="n"/>
    </row>
    <row r="71">
      <c r="A71" s="29" t="n"/>
      <c r="B71" s="29" t="n"/>
      <c r="C71" s="29" t="n"/>
      <c r="D71" s="29" t="n"/>
      <c r="E71" s="29" t="n"/>
      <c r="F71" s="29" t="n"/>
    </row>
    <row r="72">
      <c r="A72" s="29" t="n"/>
      <c r="B72" s="29" t="n"/>
      <c r="C72" s="29" t="n"/>
      <c r="D72" s="29" t="n"/>
      <c r="E72" s="29" t="n"/>
      <c r="F72" s="29" t="n"/>
    </row>
    <row r="73">
      <c r="A73" s="29" t="n"/>
      <c r="B73" s="29" t="n"/>
      <c r="C73" s="29" t="n"/>
      <c r="D73" s="29" t="n"/>
      <c r="E73" s="29" t="n"/>
      <c r="F73" s="29" t="n"/>
    </row>
    <row r="74">
      <c r="A74" s="29" t="n"/>
      <c r="B74" s="29" t="n"/>
      <c r="C74" s="29" t="n"/>
      <c r="D74" s="29" t="n"/>
      <c r="E74" s="29" t="n"/>
      <c r="F74" s="29" t="n"/>
    </row>
    <row r="75">
      <c r="A75" s="29" t="n"/>
      <c r="B75" s="29" t="n"/>
      <c r="C75" s="29" t="n"/>
      <c r="D75" s="29" t="n"/>
      <c r="E75" s="29" t="n"/>
      <c r="F75" s="29" t="n"/>
    </row>
    <row r="76">
      <c r="A76" s="29" t="n"/>
      <c r="B76" s="29" t="n"/>
      <c r="C76" s="29" t="n"/>
      <c r="D76" s="29" t="n"/>
      <c r="E76" s="29" t="n"/>
      <c r="F76" s="29" t="n"/>
    </row>
    <row r="77">
      <c r="A77" s="29" t="n"/>
      <c r="B77" s="29" t="n"/>
      <c r="C77" s="29" t="n"/>
      <c r="D77" s="29" t="n"/>
      <c r="E77" s="29" t="n"/>
      <c r="F77" s="29" t="n"/>
    </row>
    <row r="78">
      <c r="A78" s="29" t="n"/>
      <c r="B78" s="29" t="n"/>
      <c r="C78" s="29" t="n"/>
      <c r="D78" s="29" t="n"/>
      <c r="E78" s="29" t="n"/>
      <c r="F78" s="29" t="n"/>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24:D24">
    <cfRule type="expression" priority="1" dxfId="1" stopIfTrue="1">
      <formula>AND(ISNUMBER(B24),B24&lt;0)</formula>
    </cfRule>
    <cfRule type="expression" priority="2" dxfId="2" stopIfTrue="1">
      <formula>AND(ISNUMBER(B24),B24&gt;=0)</formula>
    </cfRule>
    <cfRule type="expression" priority="3" dxfId="0" stopIfTrue="1">
      <formula>AND(ISNUMBER(B24),B24&gt;='0. Supuestos'!$B$67)</formula>
    </cfRule>
  </conditionalFormatting>
  <conditionalFormatting sqref="B26:D26">
    <cfRule type="expression" priority="4" dxfId="1" stopIfTrue="1">
      <formula>AND(ISNUMBER(B26),B26&gt;$B$25)</formula>
    </cfRule>
    <cfRule type="expression" priority="5" dxfId="0" stopIfTrue="1">
      <formula>AND(ISNUMBER(B26),B26&lt;=$B$25)</formula>
    </cfRule>
  </conditionalFormatting>
  <conditionalFormatting sqref="B34:E38">
    <cfRule type="expression" priority="6" dxfId="1" stopIfTrue="1">
      <formula>AND(ISNUMBER(B34),B34&gt;$B$23)</formula>
    </cfRule>
    <cfRule type="expression" priority="7" dxfId="0" stopIfTrue="1">
      <formula>AND(ISNUMBER(B34),B34&lt;=$B$23)</formula>
    </cfRule>
  </conditionalFormatting>
  <dataValidations count="1">
    <dataValidation sqref="B25" showDropDown="0" showInputMessage="0" showErrorMessage="1" allowBlank="1" errorTitle="Importe no válido" error="Escribe un número mayor o igual que 0." type="decimal" operator="greaterThanOrEqual">
      <formula1>0</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28"/>
  <sheetViews>
    <sheetView workbookViewId="0">
      <pane ySplit="4" topLeftCell="A5" activePane="bottomLeft" state="frozen"/>
      <selection pane="bottomLeft" activeCell="A1" sqref="A1"/>
    </sheetView>
  </sheetViews>
  <sheetFormatPr baseColWidth="8" defaultRowHeight="15"/>
  <cols>
    <col width="40" customWidth="1" min="1" max="1"/>
    <col width="18" customWidth="1" min="2" max="2"/>
    <col width="18" customWidth="1" min="3" max="3"/>
    <col width="18" customWidth="1" min="4" max="4"/>
    <col width="52" customWidth="1" min="5" max="5"/>
  </cols>
  <sheetData>
    <row r="1">
      <c r="A1" s="1" t="inlineStr">
        <is>
          <t>ANÁLISIS DE ESCENARIOS</t>
        </is>
      </c>
    </row>
    <row r="2">
      <c r="A2" s="3" t="inlineStr">
        <is>
          <t>Pesimista / Realista / Optimista — Año 1</t>
        </is>
      </c>
    </row>
    <row r="3"/>
    <row r="4">
      <c r="A4" s="26" t="inlineStr">
        <is>
          <t>Métrica</t>
        </is>
      </c>
      <c r="B4" s="26" t="inlineStr">
        <is>
          <t>Pesimista</t>
        </is>
      </c>
      <c r="C4" s="26" t="inlineStr">
        <is>
          <t>Realista</t>
        </is>
      </c>
      <c r="D4" s="26" t="inlineStr">
        <is>
          <t>Optimista</t>
        </is>
      </c>
      <c r="E4" s="26" t="inlineStr">
        <is>
          <t>Notas</t>
        </is>
      </c>
      <c r="F4" s="29" t="n"/>
    </row>
    <row r="5">
      <c r="A5" s="29" t="inlineStr">
        <is>
          <t>Comensales/día</t>
        </is>
      </c>
      <c r="B5" s="51" t="n">
        <v>65</v>
      </c>
      <c r="C5" s="41">
        <f>IFERROR(IF('PyG 3 Años'!$B$6="","",'PyG 3 Años'!$B$6),"")</f>
        <v>77.0</v>
      </c>
      <c r="D5" s="51" t="n">
        <v>88</v>
      </c>
      <c r="E5" s="29" t="n"/>
      <c r="F5" s="29" t="n"/>
    </row>
    <row r="6">
      <c r="A6" s="29" t="inlineStr">
        <is>
          <t>Ticket medio sin IVA</t>
        </is>
      </c>
      <c r="B6" s="73" t="n">
        <v>14.75</v>
      </c>
      <c r="C6" s="70">
        <f>IFERROR(IF('PyG 3 Años'!$B$7="","",'PyG 3 Años'!$B$7),"")</f>
        <v>15.5</v>
      </c>
      <c r="D6" s="73" t="n">
        <v>16.5</v>
      </c>
      <c r="E6" s="29" t="n"/>
      <c r="F6" s="29" t="n"/>
    </row>
    <row r="7">
      <c r="A7" s="29" t="inlineStr">
        <is>
          <t>Días de apertura al año</t>
        </is>
      </c>
      <c r="B7" s="51" t="n">
        <v>295</v>
      </c>
      <c r="C7" s="41">
        <f>IFERROR(IF('PyG 3 Años'!$B$8="","",'PyG 3 Años'!$B$8),"")</f>
        <v>300.0</v>
      </c>
      <c r="D7" s="51" t="n">
        <v>305</v>
      </c>
      <c r="E7" s="29" t="n"/>
      <c r="F7" s="29" t="n"/>
    </row>
    <row r="8">
      <c r="A8" s="26" t="inlineStr">
        <is>
          <t>INGRESOS ANUALES (sin IVA)</t>
        </is>
      </c>
      <c r="B8" s="27">
        <f>IFERROR(IF(B5*B6*B7=0,"",B5*B6*B7),"")</f>
        <v>282831.25</v>
      </c>
      <c r="C8" s="27">
        <f>IFERROR(IF(C5*C6*C7=0,"",C5*C6*C7),"")</f>
        <v>358050.0</v>
      </c>
      <c r="D8" s="27">
        <f>IFERROR(IF(D5*D6*D7=0,"",D5*D6*D7),"")</f>
        <v>442860.0</v>
      </c>
      <c r="E8" s="29" t="n"/>
      <c r="F8" s="29" t="n"/>
    </row>
    <row r="9">
      <c r="A9" s="29" t="inlineStr">
        <is>
          <t>Coste de mercancía — comida</t>
        </is>
      </c>
      <c r="B9" s="33">
        <f>IFERROR(IF(B8="","",B8*'0. Supuestos'!$B$11*'0. Supuestos'!$B$13),"")</f>
        <v>61091.55</v>
      </c>
      <c r="C9" s="33">
        <f>IFERROR(IF(C8="","",C8*'0. Supuestos'!$B$11*'0. Supuestos'!$B$13),"")</f>
        <v>77338.8</v>
      </c>
      <c r="D9" s="33">
        <f>IFERROR(IF(D8="","",D8*'0. Supuestos'!$B$11*'0. Supuestos'!$B$13),"")</f>
        <v>95657.76000000001</v>
      </c>
      <c r="E9" s="29" t="n"/>
      <c r="F9" s="29" t="n"/>
    </row>
    <row r="10">
      <c r="A10" s="29" t="inlineStr">
        <is>
          <t>Coste de mercancía — bebida</t>
        </is>
      </c>
      <c r="B10" s="33">
        <f>IFERROR(IF(B8="","",B8*'0. Supuestos'!$B$12*'0. Supuestos'!$B$14),"")</f>
        <v>14707.224999999997</v>
      </c>
      <c r="C10" s="33">
        <f>IFERROR(IF(C8="","",C8*'0. Supuestos'!$B$12*'0. Supuestos'!$B$14),"")</f>
        <v>18618.6</v>
      </c>
      <c r="D10" s="33">
        <f>IFERROR(IF(D8="","",D8*'0. Supuestos'!$B$12*'0. Supuestos'!$B$14),"")</f>
        <v>23028.719999999998</v>
      </c>
      <c r="E10" s="29" t="n"/>
      <c r="F10" s="29" t="n"/>
    </row>
    <row r="11">
      <c r="A11" s="29" t="inlineStr">
        <is>
          <t>Consumibles y envases</t>
        </is>
      </c>
      <c r="B11" s="33">
        <f>IFERROR(IF(B8="","",B8*'0. Supuestos'!$B$15),"")</f>
        <v>9899.093750000002</v>
      </c>
      <c r="C11" s="33">
        <f>IFERROR(IF(C8="","",C8*'0. Supuestos'!$B$15),"")</f>
        <v>12531.750000000002</v>
      </c>
      <c r="D11" s="33">
        <f>IFERROR(IF(D8="","",D8*'0. Supuestos'!$B$15),"")</f>
        <v>15500.100000000002</v>
      </c>
      <c r="E11" s="29" t="n"/>
      <c r="F11" s="29" t="n"/>
    </row>
    <row r="12">
      <c r="A12" s="29" t="inlineStr">
        <is>
          <t>Comisiones de delivery</t>
        </is>
      </c>
      <c r="B12" s="33">
        <f>IFERROR(IF(B8="","",B8*'0. Supuestos'!$B$16*'0. Supuestos'!$B$17),"")</f>
        <v>10181.925</v>
      </c>
      <c r="C12" s="33">
        <f>IFERROR(IF(C8="","",C8*'0. Supuestos'!$B$16*'0. Supuestos'!$B$17),"")</f>
        <v>12889.8</v>
      </c>
      <c r="D12" s="33">
        <f>IFERROR(IF(D8="","",D8*'0. Supuestos'!$B$16*'0. Supuestos'!$B$17),"")</f>
        <v>15942.96</v>
      </c>
      <c r="E12" s="29" t="n"/>
      <c r="F12" s="29" t="n"/>
    </row>
    <row r="13">
      <c r="A13" s="29" t="inlineStr">
        <is>
          <t>Comisiones de los medios de pago</t>
        </is>
      </c>
      <c r="B13" s="33">
        <f>IFERROR(IF(B8="","",B8*'0. Supuestos'!$B$18),"")</f>
        <v>2262.65</v>
      </c>
      <c r="C13" s="33">
        <f>IFERROR(IF(C8="","",C8*'0. Supuestos'!$B$18),"")</f>
        <v>2864.4</v>
      </c>
      <c r="D13" s="33">
        <f>IFERROR(IF(D8="","",D8*'0. Supuestos'!$B$18),"")</f>
        <v>3542.88</v>
      </c>
      <c r="E13" s="29" t="n"/>
      <c r="F13" s="29" t="n"/>
    </row>
    <row r="14">
      <c r="A14" s="29" t="inlineStr">
        <is>
          <t>Varios e imprevistos</t>
        </is>
      </c>
      <c r="B14" s="33">
        <f>IFERROR(IF(B8="","",B8*'0. Supuestos'!$B$28),"")</f>
        <v>5656.625</v>
      </c>
      <c r="C14" s="33">
        <f>IFERROR(IF(C8="","",C8*'0. Supuestos'!$B$28),"")</f>
        <v>7161.0</v>
      </c>
      <c r="D14" s="33">
        <f>IFERROR(IF(D8="","",D8*'0. Supuestos'!$B$28),"")</f>
        <v>8857.2</v>
      </c>
      <c r="E14" s="29" t="n"/>
      <c r="F14" s="29" t="n"/>
    </row>
    <row r="15">
      <c r="A15" s="29" t="inlineStr">
        <is>
          <t>TOTAL COSTES VARIABLES</t>
        </is>
      </c>
      <c r="B15" s="33">
        <f>IFERROR(IF(B8="","",SUM(B9:B14)),"")</f>
        <v>103799.06875</v>
      </c>
      <c r="C15" s="33">
        <f>IFERROR(IF(C8="","",SUM(C9:C14)),"")</f>
        <v>131404.35</v>
      </c>
      <c r="D15" s="33">
        <f>IFERROR(IF(D8="","",SUM(D9:D14)),"")</f>
        <v>162529.62</v>
      </c>
      <c r="E15" s="29" t="n"/>
      <c r="F15" s="29" t="n"/>
    </row>
    <row r="16">
      <c r="A16" s="29" t="inlineStr">
        <is>
          <t>MARGEN BRUTO</t>
        </is>
      </c>
      <c r="B16" s="33">
        <f>IFERROR(IF(B8="","",B8-B15),"")</f>
        <v>179032.18125</v>
      </c>
      <c r="C16" s="33">
        <f>IFERROR(IF(C8="","",C8-C15),"")</f>
        <v>226645.65</v>
      </c>
      <c r="D16" s="33">
        <f>IFERROR(IF(D8="","",D8-D15),"")</f>
        <v>280330.38</v>
      </c>
      <c r="E16" s="29" t="n"/>
      <c r="F16" s="29" t="n"/>
    </row>
    <row r="17">
      <c r="A17" s="29" t="inlineStr">
        <is>
          <t>COSTES FIJOS (los del P&amp;L)</t>
        </is>
      </c>
      <c r="B17" s="33">
        <f>IFERROR(IF(B8="","",'PyG 3 Años'!$B$37),"")</f>
        <v>188335.72</v>
      </c>
      <c r="C17" s="33">
        <f>IFERROR(IF(C8="","",'PyG 3 Años'!$B$37),"")</f>
        <v>188335.72</v>
      </c>
      <c r="D17" s="33">
        <f>IFERROR(IF(D8="","",'PyG 3 Años'!$B$37),"")</f>
        <v>188335.72</v>
      </c>
      <c r="E17" s="29" t="inlineStr">
        <is>
          <t>Los costes fijos no cambian con el escenario: por eso son fijos</t>
        </is>
      </c>
      <c r="F17" s="29" t="n"/>
    </row>
    <row r="18">
      <c r="A18" s="26" t="inlineStr">
        <is>
          <t>RESULTADO ANTES DE IMPUESTOS</t>
        </is>
      </c>
      <c r="B18" s="27">
        <f>IFERROR(IF(B8="","",B16-B17),"")</f>
        <v>-9303.538750000007</v>
      </c>
      <c r="C18" s="27">
        <f>IFERROR(IF(C8="","",C16-C17),"")</f>
        <v>38309.92999999999</v>
      </c>
      <c r="D18" s="27">
        <f>IFERROR(IF(D8="","",D16-D17),"")</f>
        <v>91994.66</v>
      </c>
      <c r="E18" s="29" t="n"/>
      <c r="F18" s="29" t="n"/>
    </row>
    <row r="19">
      <c r="A19" s="29" t="inlineStr">
        <is>
          <t>Impuesto de Sociedades</t>
        </is>
      </c>
      <c r="B19" s="33">
        <f>IFERROR(IF(B8="","",MAX(0,B18-'0. Supuestos'!$B$42)*'0. Supuestos'!$B$37),"")</f>
        <v>0.0</v>
      </c>
      <c r="C19" s="33">
        <f>IFERROR(IF(C8="","",MAX(0,C18-'0. Supuestos'!$B$42)*'0. Supuestos'!$B$37),"")</f>
        <v>5746.489499999999</v>
      </c>
      <c r="D19" s="33">
        <f>IFERROR(IF(D8="","",MAX(0,D18-'0. Supuestos'!$B$42)*'0. Supuestos'!$B$37),"")</f>
        <v>13799.199</v>
      </c>
      <c r="E19" s="29" t="inlineStr">
        <is>
          <t>Al tipo de entidad de nueva creación, compensando las bases negativas anteriores</t>
        </is>
      </c>
      <c r="F19" s="29" t="n"/>
    </row>
    <row r="20">
      <c r="A20" s="26" t="inlineStr">
        <is>
          <t>RESULTADO NETO</t>
        </is>
      </c>
      <c r="B20" s="27">
        <f>IFERROR(IF(B8="","",B18-B19),"")</f>
        <v>-9303.538750000007</v>
      </c>
      <c r="C20" s="27">
        <f>IFERROR(IF(C8="","",C18-C19),"")</f>
        <v>32563.440499999993</v>
      </c>
      <c r="D20" s="27">
        <f>IFERROR(IF(D8="","",D18-D19),"")</f>
        <v>78195.46100000001</v>
      </c>
      <c r="E20" s="29" t="n"/>
      <c r="F20" s="29" t="n"/>
    </row>
    <row r="21">
      <c r="A21" s="29" t="inlineStr">
        <is>
          <t>Comensales/día para el equilibrio</t>
        </is>
      </c>
      <c r="B21" s="45">
        <f>IFERROR(IF(B8="","",IF(B6-B15/(B5*B7)&lt;=0,"",B17/(B6-B15/(B5*B7))/B7)),"")</f>
        <v>68.37777272514799</v>
      </c>
      <c r="C21" s="45">
        <f>IFERROR(IF(C8="","",IF(C6-C15/(C5*C7)&lt;=0,"",C17/(C6-C15/(C5*C7))/C7)),"")</f>
        <v>63.98468463877423</v>
      </c>
      <c r="D21" s="45">
        <f>IFERROR(IF(D8="","",IF(D6-D15/(D5*D7)&lt;=0,"",D17/(D6-D15/(D5*D7))/D7)),"")</f>
        <v>59.121467177406885</v>
      </c>
      <c r="E21" s="29" t="n"/>
      <c r="F21" s="29" t="n"/>
    </row>
    <row r="22">
      <c r="A22" s="26" t="inlineStr">
        <is>
          <t>LO QUE CADA ESCENARIO EXIGE</t>
        </is>
      </c>
      <c r="B22" s="29" t="n"/>
      <c r="C22" s="29" t="n"/>
      <c r="D22" s="29" t="n"/>
      <c r="E22" s="29" t="n"/>
      <c r="F22" s="29" t="n"/>
    </row>
    <row r="23">
      <c r="A23" s="29" t="inlineStr">
        <is>
          <t>Coste de personal / Ventas</t>
        </is>
      </c>
      <c r="B23" s="68">
        <f>IFERROR(IF(B8="","",'PyG 3 Años'!$B$23/B8),"")</f>
        <v>0.45794345568249617</v>
      </c>
      <c r="C23" s="68">
        <f>IFERROR(IF(C8="","",'PyG 3 Años'!$B$23/C8),"")</f>
        <v>0.36173919843597263</v>
      </c>
      <c r="D23" s="68">
        <f>IFERROR(IF(D8="","",'PyG 3 Años'!$B$23/D8),"")</f>
        <v>0.2924642550693221</v>
      </c>
      <c r="E23" s="29" t="inlineStr">
        <is>
          <t>La MISMA plantilla en los tres escenarios. Si en el pesimista se dispara, el ajuste hay que hacerlo en la hoja de Personal, no aquí</t>
        </is>
      </c>
      <c r="F23" s="29" t="n"/>
    </row>
    <row r="24">
      <c r="A24" s="29" t="inlineStr">
        <is>
          <t>Comensales al año por jornada equivalente</t>
        </is>
      </c>
      <c r="B24" s="41">
        <f>IFERROR(IF(B8="","",B5*B7/'Personal'!$C$12),"")</f>
        <v>4168.478260869566</v>
      </c>
      <c r="C24" s="41">
        <f>IFERROR(IF(C8="","",C5*C7/'Personal'!$C$12),"")</f>
        <v>5021.739130434783</v>
      </c>
      <c r="D24" s="41">
        <f>IFERROR(IF(D8="","",D5*D7/'Personal'!$C$12),"")</f>
        <v>5834.782608695653</v>
      </c>
      <c r="E24" s="29" t="inlineStr">
        <is>
          <t>Comensales que tendría que sacar cada jornada completa del cuadro de Personal. En el optimista dice si hace falta contratar</t>
        </is>
      </c>
      <c r="F24" s="29" t="n"/>
    </row>
    <row r="25">
      <c r="A25" s="26" t="inlineStr">
        <is>
          <t>Saldo de caja al cierre del año 1 (estimado, el mismo método en los tres escenarios)</t>
        </is>
      </c>
      <c r="B25" s="27">
        <f>IFERROR(IF(B8="","",'Inversión Inicial'!$B$29+B20+'PyG 3 Años'!$B$35-'Financiación'!$B$45),"")</f>
        <v>44481.64124999999</v>
      </c>
      <c r="C25" s="27">
        <f>IFERROR(IF(C8="","",'Inversión Inicial'!$B$29+C20+'PyG 3 Años'!$B$35-'Financiación'!$B$45),"")</f>
        <v>86348.62049999999</v>
      </c>
      <c r="D25" s="27">
        <f>IFERROR(IF(D8="","",'Inversión Inicial'!$B$29+D20+'PyG 3 Años'!$B$35-'Financiación'!$B$45),"")</f>
        <v>131980.641</v>
      </c>
      <c r="E25" s="26" t="inlineStr">
        <is>
          <t>Saldo ESTIMADO: fondo de maniobra más el resultado del año, devolviendo la amortización (que no se paga) y restando el principal del préstamo. No incluye el desfase de cobros y pagos ni la liquidación del IVA, así que las tres columnas se pueden comparar entre sí. En rojo, el escenario se queda sin caja</t>
        </is>
      </c>
      <c r="F25" s="29" t="n"/>
    </row>
    <row r="26">
      <c r="A26" s="29" t="inlineStr">
        <is>
          <t>Saldo real del mes 12 de la hoja de Tesorería (sólo realista)</t>
        </is>
      </c>
      <c r="B26" s="29" t="n"/>
      <c r="C26" s="33">
        <f>IFERROR(IF(C8="","",'Tesorería 12 meses'!$M$22),"")</f>
        <v>115132.8762093426</v>
      </c>
      <c r="D26" s="29" t="n"/>
      <c r="E26" s="29" t="inlineStr">
        <is>
          <t>El saldo REAL del caso base, con su desfase de cobros y pagos y su liquidación de IVA. Sólo existe para el escenario realista, que es el único con tesorería mensual propia: por eso no está en la fila de arriba, donde se compararía contra dos estimaciones</t>
        </is>
      </c>
      <c r="F26" s="29" t="n"/>
    </row>
    <row r="27">
      <c r="A27" s="29" t="n"/>
      <c r="B27" s="29" t="n"/>
      <c r="C27" s="29" t="n"/>
      <c r="D27" s="29" t="n"/>
      <c r="E27" s="29" t="n"/>
      <c r="F27" s="29" t="n"/>
    </row>
    <row r="28" ht="150" customHeight="1">
      <c r="A28" s="48" t="inlineStr">
        <is>
          <t>La columna «Realista» lee sus tres datos de la hoja de Supuestos, así que reproduce EXACTAMENTE el año 1 del P&amp;L. Los otros dos escenarios usan las mismas tasas de coste: lo único que cambia son los comensales, el ticket y los días. Los COSTES FIJOS sí son los mismos en los tres: los varios e imprevistos, que son un porcentaje de las ventas, van arriba con los variables y cada escenario carga los suyos.</t>
        </is>
      </c>
      <c r="B28" s="29" t="n"/>
      <c r="C28" s="29" t="n"/>
      <c r="D28" s="29" t="n"/>
      <c r="E28" s="29" t="n"/>
      <c r="F28" s="29" t="n"/>
    </row>
  </sheetData>
  <sheetProtection selectLockedCells="0" selectUnlockedCells="0" sheet="1" objects="0" insertRows="1" insertHyperlinks="1" autoFilter="1" scenarios="0" formatColumns="0" deleteColumns="1" insertColumns="1" pivotTables="1" deleteRows="1" formatCells="1" formatRows="0" sort="0"/>
  <mergeCells count="1">
    <mergeCell ref="A1:D1"/>
  </mergeCells>
  <conditionalFormatting sqref="B23:D23">
    <cfRule type="expression" priority="1" dxfId="1" stopIfTrue="1">
      <formula>AND(ISNUMBER(B23),B23&gt;'PyG 3 Años'!$E$53)</formula>
    </cfRule>
    <cfRule type="expression" priority="2" dxfId="0" stopIfTrue="1">
      <formula>AND(ISNUMBER(B23),B23&lt;='PyG 3 Años'!$E$53)</formula>
    </cfRule>
  </conditionalFormatting>
  <conditionalFormatting sqref="B25:D25">
    <cfRule type="expression" priority="3" dxfId="1" stopIfTrue="1">
      <formula>AND(ISNUMBER(B25),B25&lt;=0)</formula>
    </cfRule>
    <cfRule type="expression" priority="4" dxfId="0" stopIfTrue="1">
      <formula>AND(ISNUMBER(B25),B25&gt;0)</formula>
    </cfRule>
  </conditionalFormatting>
  <conditionalFormatting sqref="B18:D18">
    <cfRule type="expression" priority="5" dxfId="1" stopIfTrue="1">
      <formula>AND(ISNUMBER(B18),B18&lt;0)</formula>
    </cfRule>
    <cfRule type="expression" priority="6" dxfId="0" stopIfTrue="1">
      <formula>AND(ISNUMBER(B18),B18&gt;0)</formula>
    </cfRule>
  </conditionalFormatting>
  <conditionalFormatting sqref="B20:D20">
    <cfRule type="expression" priority="7" dxfId="1" stopIfTrue="1">
      <formula>AND(ISNUMBER(B20),B20&lt;0)</formula>
    </cfRule>
    <cfRule type="expression" priority="8" dxfId="0" stopIfTrue="1">
      <formula>AND(ISNUMBER(B20),B20&gt;0)</formula>
    </cfRule>
  </conditionalFormatting>
  <dataValidations count="3">
    <dataValidation sqref="B6 D6" showDropDown="0" showInputMessage="0" showErrorMessage="1" allowBlank="1" errorTitle="Importe no válido" error="Escribe un número mayor o igual que 0." type="decimal" operator="greaterThanOrEqual">
      <formula1>0</formula1>
    </dataValidation>
    <dataValidation sqref="B7 D7" showDropDown="0" showInputMessage="0" showErrorMessage="1" allowBlank="1" errorTitle="Días fuera de rango" error="Los días van de 1 a 365." type="whole" operator="between">
      <formula1>1</formula1>
      <formula2>365</formula2>
    </dataValidation>
    <dataValidation sqref="B5 D5" showDropDown="0" showInputMessage="0" showErrorMessage="1" allowBlank="1" errorTitle="Recuento no válido" error="Escribe un número ENTERO de 1 en adelante: esta celda es un recuento y varias fórmulas dividen entre ella." type="whole" operator="between">
      <formula1>1</formula1>
      <formula2>100000</formula2>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30"/>
  <sheetViews>
    <sheetView workbookViewId="0">
      <pane ySplit="4" topLeftCell="A5" activePane="bottomLeft" state="frozen"/>
      <selection pane="bottomLeft" activeCell="A1" sqref="A1"/>
    </sheetView>
  </sheetViews>
  <sheetFormatPr baseColWidth="8" defaultRowHeight="15"/>
  <cols>
    <col width="34" customWidth="1" min="1" max="1"/>
    <col width="14" customWidth="1" min="2" max="2"/>
    <col width="14" customWidth="1" min="3" max="3"/>
    <col width="16" customWidth="1" min="4" max="4"/>
    <col width="18" customWidth="1" min="5" max="5"/>
    <col width="30" customWidth="1" min="6" max="6"/>
    <col width="16" customWidth="1" min="7" max="7"/>
    <col width="14" customWidth="1" min="8" max="8"/>
    <col width="14" customWidth="1" min="9" max="9"/>
    <col width="40" customWidth="1" min="10" max="10"/>
  </cols>
  <sheetData>
    <row r="1">
      <c r="A1" s="1" t="inlineStr">
        <is>
          <t>ESTRUCTURA DE PERSONAL Y COSTES</t>
        </is>
      </c>
    </row>
    <row r="2">
      <c r="A2" s="3" t="str">
        <f>IFERROR("Convenio Hostelería — "&amp;TEXT('0. Supuestos'!$B$21,"0")&amp;" pagas + SS "&amp;TEXT('0. Supuestos'!$B$20*100,"0")&amp;" %","")</f>
        <v>Convenio Hostelería — 14 pagas + SS 33 %</v>
      </c>
    </row>
    <row r="3"/>
    <row r="4">
      <c r="A4" s="40" t="inlineStr">
        <is>
          <t>Puesto</t>
        </is>
      </c>
      <c r="B4" s="40" t="inlineStr">
        <is>
          <t>Personas</t>
        </is>
      </c>
      <c r="C4" s="40" t="inlineStr">
        <is>
          <t>Jornada</t>
        </is>
      </c>
      <c r="D4" s="40" t="inlineStr">
        <is>
          <t>Bruto mes (€, total del puesto)</t>
        </is>
      </c>
      <c r="E4" s="40" t="inlineStr">
        <is>
          <t>Seg. Social a cargo de la empresa (€)</t>
        </is>
      </c>
      <c r="F4" s="40" t="inlineStr">
        <is>
          <t>Coste mes (€, total del puesto)</t>
        </is>
      </c>
      <c r="G4" s="40" t="inlineStr">
        <is>
          <t>Coste año (€)</t>
        </is>
      </c>
      <c r="H4" s="40" t="inlineStr">
        <is>
          <t>Horas/semana por persona</t>
        </is>
      </c>
      <c r="I4" s="40" t="inlineStr">
        <is>
          <t>Horas/año del puesto</t>
        </is>
      </c>
      <c r="J4" s="40" t="inlineStr">
        <is>
          <t>Notas</t>
        </is>
      </c>
    </row>
    <row r="5">
      <c r="A5" s="29" t="inlineStr">
        <is>
          <t>Titular — taquero/a jefe: marinado, trompo, compras y gestión</t>
        </is>
      </c>
      <c r="B5" s="51" t="n">
        <v>1</v>
      </c>
      <c r="C5" s="53" t="n">
        <v>1</v>
      </c>
      <c r="D5" s="73" t="n">
        <v>1900</v>
      </c>
      <c r="E5" s="70">
        <f>IFERROR(IF(D5="","",D5*'0. Supuestos'!$B$20),"")</f>
        <v>627.0</v>
      </c>
      <c r="F5" s="70">
        <f>IFERROR(IF(D5="","",D5+E5),"")</f>
        <v>2527.0</v>
      </c>
      <c r="G5" s="70">
        <f>IFERROR(IF(D5="","",F5*MAX(12,'0. Supuestos'!$B$21)),"")</f>
        <v>35378.0</v>
      </c>
      <c r="H5" s="45">
        <f>IFERROR(IF(D5="","",C5*$B$19),"")</f>
        <v>40.0</v>
      </c>
      <c r="I5" s="41">
        <f>IFERROR(IF(D5="","",H5*B5*$B$20),"")</f>
        <v>1840.0</v>
      </c>
      <c r="J5" s="29" t="inlineStr">
        <is>
          <t>Marina y monta el trompo, lleva el corte en el turno fuerte, compra (el importador de chiles y producto mexicano incluido) y gestiona. Como administrador de la SL cotiza en el régimen de autónomos: el libro le imputa el 33 % de Seguridad Social sobre 14 pagas como si fuera nómina, que es el lado prudente. Confirma con tu gestoría la cuota real y si te aplica la reducida de inicio</t>
        </is>
      </c>
    </row>
    <row r="6">
      <c r="A6" s="29" t="inlineStr">
        <is>
          <t>Taquero/a de trompo, plancha y comal</t>
        </is>
      </c>
      <c r="B6" s="51" t="n">
        <v>1</v>
      </c>
      <c r="C6" s="53" t="n">
        <v>1</v>
      </c>
      <c r="D6" s="73" t="n">
        <v>1450</v>
      </c>
      <c r="E6" s="70">
        <f>IFERROR(IF(D6="","",D6*'0. Supuestos'!$B$20),"")</f>
        <v>478.5</v>
      </c>
      <c r="F6" s="70">
        <f>IFERROR(IF(D6="","",D6+E6),"")</f>
        <v>1928.5</v>
      </c>
      <c r="G6" s="70">
        <f>IFERROR(IF(D6="","",F6*MAX(12,'0. Supuestos'!$B$21)),"")</f>
        <v>26999.0</v>
      </c>
      <c r="H6" s="45">
        <f>IFERROR(IF(D6="","",C6*$B$19),"")</f>
        <v>40.0</v>
      </c>
      <c r="I6" s="41">
        <f>IFERROR(IF(D6="","",H6*B6*$B$20),"")</f>
        <v>1840.0</v>
      </c>
      <c r="J6" s="29" t="inlineStr">
        <is>
          <t>Corta el trompo, lleva la plancha y el comal y sabe marinar con el titular. Es inversión, no gasto: si sólo el titular sabe marinar y cortar el trompo, una baja cierra la taquería</t>
        </is>
      </c>
    </row>
    <row r="7">
      <c r="A7" s="29" t="inlineStr">
        <is>
          <t>Cocinero/a de producción y salsas</t>
        </is>
      </c>
      <c r="B7" s="51" t="n">
        <v>1</v>
      </c>
      <c r="C7" s="53" t="n">
        <v>0.75</v>
      </c>
      <c r="D7" s="73" t="n">
        <v>1013</v>
      </c>
      <c r="E7" s="70">
        <f>IFERROR(IF(D7="","",D7*'0. Supuestos'!$B$20),"")</f>
        <v>334.29</v>
      </c>
      <c r="F7" s="70">
        <f>IFERROR(IF(D7="","",D7+E7),"")</f>
        <v>1347.29</v>
      </c>
      <c r="G7" s="70">
        <f>IFERROR(IF(D7="","",F7*MAX(12,'0. Supuestos'!$B$21)),"")</f>
        <v>18862.059999999998</v>
      </c>
      <c r="H7" s="45">
        <f>IFERROR(IF(D7="","",C7*$B$19),"")</f>
        <v>30.0</v>
      </c>
      <c r="I7" s="41">
        <f>IFERROR(IF(D7="","",H7*B7*$B$20),"")</f>
        <v>1380.0</v>
      </c>
      <c r="J7" s="29" t="inlineStr">
        <is>
          <t>Carnitas y guisados, salsas, aguas frescas, mise en place y friegue, 30 horas a la semana</t>
        </is>
      </c>
    </row>
    <row r="8">
      <c r="A8" s="29" t="inlineStr">
        <is>
          <t>Encargado/a de sala, barra y mostrador</t>
        </is>
      </c>
      <c r="B8" s="51" t="n">
        <v>1</v>
      </c>
      <c r="C8" s="53" t="n">
        <v>1</v>
      </c>
      <c r="D8" s="73" t="n">
        <v>1450</v>
      </c>
      <c r="E8" s="70">
        <f>IFERROR(IF(D8="","",D8*'0. Supuestos'!$B$20),"")</f>
        <v>478.5</v>
      </c>
      <c r="F8" s="70">
        <f>IFERROR(IF(D8="","",D8+E8),"")</f>
        <v>1928.5</v>
      </c>
      <c r="G8" s="70">
        <f>IFERROR(IF(D8="","",F8*MAX(12,'0. Supuestos'!$B$21)),"")</f>
        <v>26999.0</v>
      </c>
      <c r="H8" s="45">
        <f>IFERROR(IF(D8="","",C8*$B$19),"")</f>
        <v>40.0</v>
      </c>
      <c r="I8" s="41">
        <f>IFERROR(IF(D8="","",H8*B8*$B$20),"")</f>
        <v>1840.0</v>
      </c>
      <c r="J8" s="29" t="inlineStr">
        <is>
          <t>Todo el año: sala, barra, caja, pedidos para llevar, la tablet de las plataformas y la información de alérgenos</t>
        </is>
      </c>
    </row>
    <row r="9">
      <c r="A9" s="29" t="inlineStr">
        <is>
          <t>Camarero/a de cenas y fines de semana</t>
        </is>
      </c>
      <c r="B9" s="51" t="n">
        <v>1</v>
      </c>
      <c r="C9" s="53" t="n">
        <v>0.5</v>
      </c>
      <c r="D9" s="73" t="n">
        <v>675</v>
      </c>
      <c r="E9" s="70">
        <f>IFERROR(IF(D9="","",D9*'0. Supuestos'!$B$20),"")</f>
        <v>222.75</v>
      </c>
      <c r="F9" s="70">
        <f>IFERROR(IF(D9="","",D9+E9),"")</f>
        <v>897.75</v>
      </c>
      <c r="G9" s="70">
        <f>IFERROR(IF(D9="","",F9*MAX(12,'0. Supuestos'!$B$21)),"")</f>
        <v>12568.5</v>
      </c>
      <c r="H9" s="45">
        <f>IFERROR(IF(D9="","",C9*$B$19),"")</f>
        <v>20.0</v>
      </c>
      <c r="I9" s="41">
        <f>IFERROR(IF(D9="","",H9*B9*$B$20),"")</f>
        <v>920.0</v>
      </c>
      <c r="J9" s="29" t="inlineStr">
        <is>
          <t>20 horas a la semana: las cenas y el fin de semana, cuando la sala se llena</t>
        </is>
      </c>
    </row>
    <row r="10">
      <c r="A10" s="29" t="inlineStr">
        <is>
          <t>Refuerzo de viernes a domingo: barra, terraza y recogidas</t>
        </is>
      </c>
      <c r="B10" s="51" t="n">
        <v>1</v>
      </c>
      <c r="C10" s="53" t="n">
        <v>0.25</v>
      </c>
      <c r="D10" s="73" t="n">
        <v>338</v>
      </c>
      <c r="E10" s="70">
        <f>IFERROR(IF(D10="","",D10*'0. Supuestos'!$B$20),"")</f>
        <v>111.54</v>
      </c>
      <c r="F10" s="70">
        <f>IFERROR(IF(D10="","",D10+E10),"")</f>
        <v>449.54</v>
      </c>
      <c r="G10" s="70">
        <f>IFERROR(IF(D10="","",F10*MAX(12,'0. Supuestos'!$B$21)),"")</f>
        <v>6293.56</v>
      </c>
      <c r="H10" s="45">
        <f>IFERROR(IF(D10="","",C10*$B$19),"")</f>
        <v>10.0</v>
      </c>
      <c r="I10" s="41">
        <f>IFERROR(IF(D10="","",H10*B10*$B$20),"")</f>
        <v>460.0</v>
      </c>
      <c r="J10" s="29" t="inlineStr">
        <is>
          <t>Barra y terraza en temporada y el mostrador de recogidas. Este plan NO tiene reparto propio: si lo pones, el repartidor va con contrato laboral del convenio de hostelería, nunca como autónomo</t>
        </is>
      </c>
    </row>
    <row r="11">
      <c r="A11" s="29" t="inlineStr">
        <is>
          <t>Suplencias de vacaciones y descansos</t>
        </is>
      </c>
      <c r="B11" s="51" t="n">
        <v>1</v>
      </c>
      <c r="C11" s="53" t="n">
        <v>0.1</v>
      </c>
      <c r="D11" s="73" t="n">
        <v>130</v>
      </c>
      <c r="E11" s="70">
        <f>IFERROR(IF(D11="","",D11*'0. Supuestos'!$B$20),"")</f>
        <v>42.9</v>
      </c>
      <c r="F11" s="70">
        <f>IFERROR(IF(D11="","",D11+E11),"")</f>
        <v>172.9</v>
      </c>
      <c r="G11" s="70">
        <f>IFERROR(IF(D11="","",F11*MAX(12,'0. Supuestos'!$B$21)),"")</f>
        <v>2420.6</v>
      </c>
      <c r="H11" s="45">
        <f>IFERROR(IF(D11="","",C11*$B$19),"")</f>
        <v>4.0</v>
      </c>
      <c r="I11" s="41">
        <f>IFERROR(IF(D11="","",H11*B11*$B$20),"")</f>
        <v>184.0</v>
      </c>
      <c r="J11" s="29" t="inlineStr">
        <is>
          <t>Cobertura de los 30 días de vacaciones (art. 38 ET) y del descanso semanal del equipo de todo el año</t>
        </is>
      </c>
    </row>
    <row r="12">
      <c r="A12" s="26" t="inlineStr">
        <is>
          <t>TOTAL PLANTILLA</t>
        </is>
      </c>
      <c r="B12" s="54">
        <f>IFERROR(IF(COUNT(D5:D11)=0,"",SUM(B5:B11)),"")</f>
        <v>7.0</v>
      </c>
      <c r="C12" s="55">
        <f>IFERROR(IF(COUNT(D5:D11)=0,"",SUM(C5:C11)),"")</f>
        <v>4.6</v>
      </c>
      <c r="D12" s="72">
        <f>IFERROR(IF(COUNT(D5:D11)=0,"",SUM(D5:D11)),"")</f>
        <v>6956.0</v>
      </c>
      <c r="E12" s="72">
        <f>IFERROR(IF(COUNT(D5:D11)=0,"",SUM(E5:E11)),"")</f>
        <v>2295.48</v>
      </c>
      <c r="F12" s="72">
        <f>IFERROR(IF(COUNT(D5:D11)=0,"",SUM(F5:F11)),"")</f>
        <v>9251.48</v>
      </c>
      <c r="G12" s="72">
        <f>IFERROR(IF(COUNT(D5:D11)=0,"",SUM(G5:G11)),"")</f>
        <v>129520.72</v>
      </c>
      <c r="H12" s="29" t="n"/>
      <c r="I12" s="54">
        <f>IFERROR(IF(COUNT(D5:D11)=0,"",SUM(I5:I11)),"")</f>
        <v>8464.0</v>
      </c>
      <c r="J12" s="29" t="n"/>
    </row>
    <row r="13">
      <c r="A13" s="26" t="inlineStr">
        <is>
          <t>CRECIMIENTO DE LA PLANTILLA (coste escalonado)</t>
        </is>
      </c>
      <c r="B13" s="29" t="n"/>
      <c r="C13" s="29" t="n"/>
      <c r="D13" s="29" t="n"/>
      <c r="E13" s="29" t="n"/>
      <c r="F13" s="29" t="n"/>
      <c r="G13" s="29" t="n"/>
      <c r="H13" s="29" t="n"/>
      <c r="I13" s="29" t="n"/>
      <c r="J13" s="29" t="n"/>
    </row>
    <row r="14">
      <c r="A14" s="29" t="inlineStr">
        <is>
          <t>Coste anual de las incorporaciones del año 2 (€)</t>
        </is>
      </c>
      <c r="B14" s="30" t="n">
        <v>6000</v>
      </c>
      <c r="C14" s="29" t="n"/>
      <c r="D14" s="29" t="n"/>
      <c r="E14" s="29" t="n"/>
      <c r="F14" s="29" t="n"/>
      <c r="G14" s="29" t="n"/>
      <c r="H14" s="29" t="n"/>
      <c r="I14" s="29" t="n"/>
      <c r="J14" s="29" t="inlineStr">
        <is>
          <t>Coste ANUAL completo (bruto + Seguridad Social × pagas) de lo que se contrate ese año. El P&amp;L lo suma al coste del año anterior: la plantilla no crece con un porcentaje, crece con personas</t>
        </is>
      </c>
    </row>
    <row r="15">
      <c r="A15" s="29" t="inlineStr">
        <is>
          <t>Coste anual de las incorporaciones del año 3 (€)</t>
        </is>
      </c>
      <c r="B15" s="30" t="n">
        <v>6000</v>
      </c>
      <c r="C15" s="29" t="n"/>
      <c r="D15" s="29" t="n"/>
      <c r="E15" s="29" t="n"/>
      <c r="F15" s="29" t="n"/>
      <c r="G15" s="29" t="n"/>
      <c r="H15" s="29" t="n"/>
      <c r="I15" s="29" t="n"/>
      <c r="J15" s="29" t="inlineStr">
        <is>
          <t>Coste ANUAL completo (bruto + Seguridad Social × pagas) de lo que se contrate ese año. El P&amp;L lo suma al coste del año anterior: la plantilla no crece con un porcentaje, crece con personas</t>
        </is>
      </c>
    </row>
    <row r="16">
      <c r="A16" s="29" t="inlineStr">
        <is>
          <t>Coste de personal del año 2</t>
        </is>
      </c>
      <c r="B16" s="33">
        <f>IFERROR(IF(G12="","",G12*(1+'0. Supuestos'!$B$48)+B14),"")</f>
        <v>135520.72</v>
      </c>
      <c r="C16" s="29" t="n"/>
      <c r="D16" s="29" t="n"/>
      <c r="E16" s="29" t="n"/>
      <c r="F16" s="29" t="n"/>
      <c r="G16" s="29" t="n"/>
      <c r="H16" s="29" t="n"/>
      <c r="I16" s="29" t="n"/>
      <c r="J16" s="29" t="n"/>
    </row>
    <row r="17">
      <c r="A17" s="29" t="inlineStr">
        <is>
          <t>Coste de personal del año 3</t>
        </is>
      </c>
      <c r="B17" s="33">
        <f>IFERROR(IF(B16="","",B16*(1+'0. Supuestos'!$B$48)+B15),"")</f>
        <v>141520.72</v>
      </c>
      <c r="C17" s="29" t="n"/>
      <c r="D17" s="29" t="n"/>
      <c r="E17" s="29" t="n"/>
      <c r="F17" s="29" t="n"/>
      <c r="G17" s="29" t="n"/>
      <c r="H17" s="29" t="n"/>
      <c r="I17" s="29" t="n"/>
      <c r="J17" s="29" t="n"/>
    </row>
    <row r="18">
      <c r="A18" s="26" t="inlineStr">
        <is>
          <t>COBERTURA POR HORAS DE SERVICIO</t>
        </is>
      </c>
      <c r="B18" s="29" t="n"/>
      <c r="C18" s="29" t="n"/>
      <c r="D18" s="29" t="n"/>
      <c r="E18" s="29" t="n"/>
      <c r="F18" s="29" t="n"/>
      <c r="G18" s="29" t="n"/>
      <c r="H18" s="29" t="n"/>
      <c r="I18" s="29" t="n"/>
      <c r="J18" s="29" t="n"/>
    </row>
    <row r="19">
      <c r="A19" s="29" t="inlineStr">
        <is>
          <t>Jornada completa del convenio (horas/semana)</t>
        </is>
      </c>
      <c r="B19" s="51" t="n">
        <v>40</v>
      </c>
      <c r="C19" s="29" t="n"/>
      <c r="D19" s="29" t="n"/>
      <c r="E19" s="29" t="n"/>
      <c r="F19" s="29" t="n"/>
      <c r="G19" s="29" t="n"/>
      <c r="H19" s="29" t="n"/>
      <c r="I19" s="29" t="n"/>
      <c r="J19" s="29" t="inlineStr">
        <is>
          <t>Art. 34.1 del Estatuto de los Trabajadores; tu convenio provincial puede fijar menos</t>
        </is>
      </c>
    </row>
    <row r="20">
      <c r="A20" s="29" t="inlineStr">
        <is>
          <t>Semanas trabajadas al año por persona</t>
        </is>
      </c>
      <c r="B20" s="51" t="n">
        <v>46</v>
      </c>
      <c r="C20" s="29" t="n"/>
      <c r="D20" s="29" t="n"/>
      <c r="E20" s="29" t="n"/>
      <c r="F20" s="29" t="n"/>
      <c r="G20" s="29" t="n"/>
      <c r="H20" s="29" t="n"/>
      <c r="I20" s="29" t="n"/>
      <c r="J20" s="29" t="inlineStr">
        <is>
          <t>46 semanas: 52 menos las vacaciones (30 días naturales, art. 38 ET), los festivos y las ausencias medias</t>
        </is>
      </c>
    </row>
    <row r="21">
      <c r="A21" s="29" t="inlineStr">
        <is>
          <t>Horas de servicio al día que hay que cubrir</t>
        </is>
      </c>
      <c r="B21" s="47" t="n">
        <v>8.5</v>
      </c>
      <c r="C21" s="29" t="n"/>
      <c r="D21" s="29" t="n"/>
      <c r="E21" s="29" t="n"/>
      <c r="F21" s="29" t="n"/>
      <c r="G21" s="29" t="n"/>
      <c r="H21" s="29" t="n"/>
      <c r="I21" s="29" t="n"/>
      <c r="J21" s="29" t="inlineStr">
        <is>
          <t>Horas con el local abierto al público, sumando las comidas (13:30-16:30) y las cenas (20:00-23:30) y la preparación de cada servicio. La tarde de cierre entre los dos no se cuenta</t>
        </is>
      </c>
    </row>
    <row r="22">
      <c r="A22" s="29" t="inlineStr">
        <is>
          <t>Personas necesarias a la vez en cada franja</t>
        </is>
      </c>
      <c r="B22" s="47" t="n">
        <v>2.7</v>
      </c>
      <c r="C22" s="29" t="n"/>
      <c r="D22" s="29" t="n"/>
      <c r="E22" s="29" t="n"/>
      <c r="F22" s="29" t="n"/>
      <c r="G22" s="29" t="n"/>
      <c r="H22" s="29" t="n"/>
      <c r="I22" s="29" t="n"/>
      <c r="J22" s="29" t="inlineStr">
        <is>
          <t>Presencia media a la vez entre el trompo, la plancha o el comal, la sala y el mostrador. El sábado por la noche hacen falta cinco: entran el refuerzo y el camarero de cenas (el cuadrante anual no lo ve: ponlo en el turno)</t>
        </is>
      </c>
    </row>
    <row r="23">
      <c r="A23" s="29" t="inlineStr">
        <is>
          <t>Horas de producción al día ANTES de abrir</t>
        </is>
      </c>
      <c r="B23" s="47" t="n">
        <v>2.5</v>
      </c>
      <c r="C23" s="29" t="n"/>
      <c r="D23" s="29" t="n"/>
      <c r="E23" s="29" t="n"/>
      <c r="F23" s="29" t="n"/>
      <c r="G23" s="29" t="n"/>
      <c r="H23" s="29" t="n"/>
      <c r="I23" s="29" t="n"/>
      <c r="J23" s="29" t="inlineStr">
        <is>
          <t>Marinado del día siguiente, montaje del cono, carnitas y guisados, salsas y mise en place antes de abrir</t>
        </is>
      </c>
    </row>
    <row r="24">
      <c r="A24" s="29" t="inlineStr">
        <is>
          <t>Personas en el turno de producción</t>
        </is>
      </c>
      <c r="B24" s="47" t="n">
        <v>1.5</v>
      </c>
      <c r="C24" s="29" t="n"/>
      <c r="D24" s="29" t="n"/>
      <c r="E24" s="29" t="n"/>
      <c r="F24" s="29" t="n"/>
      <c r="G24" s="29" t="n"/>
      <c r="H24" s="29" t="n"/>
      <c r="I24" s="29" t="n"/>
      <c r="J24" s="29" t="inlineStr">
        <is>
          <t>El titular con el cocinero de producción. El cierre, la limpieza y las compras quedan fuera de este cuadrante: son el margen entre las horas contratadas y las necesarias</t>
        </is>
      </c>
    </row>
    <row r="25">
      <c r="A25" s="29" t="inlineStr">
        <is>
          <t>Horas de servicio a cubrir al año</t>
        </is>
      </c>
      <c r="B25" s="41">
        <f>IFERROR(IF(OR(B21="",B22="",'0. Supuestos'!$B$6=""),"",B21*B22*'0. Supuestos'!$B$6+B23*B24*'0. Supuestos'!$B$6),"")</f>
        <v>8010.000000000001</v>
      </c>
      <c r="C25" s="29" t="n"/>
      <c r="D25" s="29" t="n"/>
      <c r="E25" s="29" t="n"/>
      <c r="F25" s="29" t="n"/>
      <c r="G25" s="29" t="n"/>
      <c r="H25" s="29" t="n"/>
      <c r="I25" s="29" t="n"/>
      <c r="J25" s="29" t="n"/>
    </row>
    <row r="26">
      <c r="A26" s="29" t="inlineStr">
        <is>
          <t>Horas contratadas al año</t>
        </is>
      </c>
      <c r="B26" s="41">
        <f>IFERROR(IF(I12="","",I12),"")</f>
        <v>8464.0</v>
      </c>
      <c r="C26" s="29" t="n"/>
      <c r="D26" s="29" t="n"/>
      <c r="E26" s="29" t="n"/>
      <c r="F26" s="29" t="n"/>
      <c r="G26" s="29" t="n"/>
      <c r="H26" s="29" t="n"/>
      <c r="I26" s="29" t="n"/>
      <c r="J26" s="29" t="n"/>
    </row>
    <row r="27">
      <c r="A27" s="26" t="inlineStr">
        <is>
          <t>Cobertura (contratadas / necesarias)</t>
        </is>
      </c>
      <c r="B27" s="67">
        <f>IFERROR(B26/B25,"")</f>
        <v>1.0566791510611735</v>
      </c>
      <c r="C27" s="29" t="n"/>
      <c r="D27" s="29" t="n"/>
      <c r="E27" s="29" t="n"/>
      <c r="F27" s="29" t="n"/>
      <c r="G27" s="29" t="n"/>
      <c r="H27" s="29" t="n"/>
      <c r="I27" s="29" t="n"/>
      <c r="J27" s="26" t="inlineStr">
        <is>
          <t>Por debajo del 100 % la plantilla no llega a cubrir el horario que declara el plan: o se contrata más o se recorta el horario</t>
        </is>
      </c>
    </row>
    <row r="28">
      <c r="A28" s="29" t="n"/>
      <c r="B28" s="29" t="n"/>
      <c r="C28" s="29" t="n"/>
      <c r="D28" s="29" t="n"/>
      <c r="E28" s="29" t="n"/>
      <c r="F28" s="29" t="n"/>
      <c r="G28" s="29" t="n"/>
      <c r="H28" s="29" t="n"/>
      <c r="I28" s="29" t="n"/>
      <c r="J28" s="29" t="n"/>
    </row>
    <row r="29" ht="150" customHeight="1">
      <c r="A29" s="48" t="inlineStr">
        <is>
          <t>Las columnas «Bruto mes», «Seg. Social», «Coste mes» y «Coste año» son TOTALES de la fila: en un puesto con dos personas incluyen a las dos. «Jornada» es el porcentaje sobre la jornada completa del convenio y sirve para comparar el salario con el suelo legal en proporción. El tipo de Seguridad Social y el número de pagas están en la hoja «0. Supuestos».</t>
        </is>
      </c>
      <c r="B29" s="29" t="n"/>
      <c r="C29" s="29" t="n"/>
      <c r="D29" s="29" t="n"/>
      <c r="E29" s="29" t="n"/>
      <c r="F29" s="29" t="n"/>
      <c r="G29" s="29" t="n"/>
      <c r="H29" s="29" t="n"/>
      <c r="I29" s="29" t="n"/>
      <c r="J29" s="29" t="n"/>
    </row>
    <row r="30" ht="150" customHeight="1">
      <c r="A30" s="48" t="inlineStr">
        <is>
          <t>El suelo salarial es el MAYOR entre el SMI y el salario de convenio, los dos en la hoja «0. Supuestos»; las jornadas parciales lo llevan en proporción. El convenio aplicable es el PROVINCIAL de hostelería: no existe una tabla salarial estatal única, así que la celda del convenio se entrega vacía para que copies la de tu provincia.</t>
        </is>
      </c>
      <c r="B30" s="29" t="n"/>
      <c r="C30" s="29" t="n"/>
      <c r="D30" s="29" t="n"/>
      <c r="E30" s="29" t="n"/>
      <c r="F30" s="29" t="n"/>
      <c r="G30" s="29" t="n"/>
      <c r="H30" s="29" t="n"/>
      <c r="I30" s="29" t="n"/>
      <c r="J30" s="29" t="n"/>
    </row>
  </sheetData>
  <sheetProtection selectLockedCells="0" selectUnlockedCells="0" sheet="1" objects="0" insertRows="1" insertHyperlinks="1" autoFilter="1" scenarios="0" formatColumns="0" deleteColumns="1" insertColumns="1" pivotTables="1" deleteRows="1" formatCells="1" formatRows="0" sort="0"/>
  <mergeCells count="1">
    <mergeCell ref="A1:F1"/>
  </mergeCells>
  <conditionalFormatting sqref="B27">
    <cfRule type="expression" priority="1" dxfId="1" stopIfTrue="1">
      <formula>AND(ISNUMBER(B27),B27&lt;0.9)</formula>
    </cfRule>
    <cfRule type="expression" priority="2" dxfId="2" stopIfTrue="1">
      <formula>AND(ISNUMBER(B27),B27&gt;=0.9)</formula>
    </cfRule>
    <cfRule type="expression" priority="3" dxfId="0" stopIfTrue="1">
      <formula>AND(ISNUMBER(B27),B27&gt;=1)</formula>
    </cfRule>
  </conditionalFormatting>
  <conditionalFormatting sqref="D5:D11">
    <cfRule type="expression" priority="4" dxfId="1" stopIfTrue="1">
      <formula>AND(ISNUMBER(D5),IFERROR(D5/B5,0)*'0. Supuestos'!$B$21&lt;MAX('0. Supuestos'!$B$22,'0. Supuestos'!$B$68)*C5)</formula>
    </cfRule>
  </conditionalFormatting>
  <dataValidations count="3">
    <dataValidation sqref="B5 B6 B7 B8 B9 B10 B11 B14 B15 B19 B20 B21 B23 D5 D6 D7 D8 D9 D10 D11" showDropDown="0" showInputMessage="0" showErrorMessage="1" allowBlank="1" errorTitle="Importe no válido" error="Escribe un número mayor o igual que 0." type="decimal" operator="greaterThanOrEqual">
      <formula1>0</formula1>
    </dataValidation>
    <dataValidation sqref="B22 B24" showDropDown="0" showInputMessage="0" showErrorMessage="1" allowBlank="1" errorTitle="Valor no válido" error="Escribe un número mayor o igual que 0; esta celda admite decimales (1,7 personas es una presencia media, no una persona y media)." type="decimal" operator="greaterThanOrEqual">
      <formula1>0</formula1>
    </dataValidation>
    <dataValidation sqref="C5 C6 C7 C8 C9 C10 C11"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E74"/>
  <sheetViews>
    <sheetView workbookViewId="0">
      <selection activeCell="A1" sqref="A1"/>
    </sheetView>
  </sheetViews>
  <sheetFormatPr baseColWidth="8" defaultRowHeight="15"/>
  <cols>
    <col width="62" customWidth="1" min="1" max="1"/>
    <col width="25" customWidth="1" min="2" max="2"/>
    <col width="35" customWidth="1" min="3" max="3"/>
    <col width="54" customWidth="1" min="4" max="4"/>
  </cols>
  <sheetData>
    <row r="1">
      <c r="A1" s="26" t="inlineStr">
        <is>
          <t>INSTRUCCIONES DE USO — Plan financiero Taquería</t>
        </is>
      </c>
      <c r="B1" s="29" t="n"/>
      <c r="C1" s="29" t="n"/>
      <c r="D1" s="29" t="n"/>
      <c r="E1" s="29" t="n"/>
    </row>
    <row r="2">
      <c r="A2" s="29" t="n"/>
      <c r="B2" s="29" t="n"/>
      <c r="C2" s="29" t="n"/>
      <c r="D2" s="29" t="n"/>
      <c r="E2" s="29" t="n"/>
    </row>
    <row r="3">
      <c r="A3" s="40" t="inlineStr">
        <is>
          <t>CÓMO SE USA ESTE LIBRO</t>
        </is>
      </c>
      <c r="B3" s="29" t="n"/>
      <c r="C3" s="29" t="n"/>
      <c r="D3" s="29" t="n"/>
      <c r="E3" s="29" t="n"/>
    </row>
    <row r="4" ht="30" customHeight="1">
      <c r="A4" s="48" t="inlineStr">
        <is>
          <t>Este plan financiero es un MODELO: sólo se teclea en las celdas VERDES y el resto se recalcula solo.</t>
        </is>
      </c>
      <c r="B4" s="29" t="n"/>
      <c r="C4" s="29" t="n"/>
      <c r="D4" s="29" t="n"/>
      <c r="E4" s="29" t="n"/>
    </row>
    <row r="5" ht="45" customHeight="1">
      <c r="A5" s="48" t="inlineStr">
        <is>
          <t>1. «0. Supuestos» es la hoja de mando: comensales, ticket sin IVA, días de apertura, mezcla de comida y bebida, coste de mercancía, alquiler, financiación e impuestos.</t>
        </is>
      </c>
      <c r="B5" s="29" t="n"/>
      <c r="C5" s="29" t="n"/>
      <c r="D5" s="29" t="n"/>
      <c r="E5" s="29" t="n"/>
    </row>
    <row r="6" ht="45" customHeight="1">
      <c r="A6" s="48" t="inlineStr">
        <is>
          <t>2. Las partidas de la inversión, los costes fijos y la plantilla se teclean en su propia hoja, también en verde. Ningún número se escribe dos veces.</t>
        </is>
      </c>
      <c r="B6" s="29" t="n"/>
      <c r="C6" s="29" t="n"/>
      <c r="D6" s="29" t="n"/>
      <c r="E6" s="29" t="n"/>
    </row>
    <row r="7" ht="105" customHeight="1">
      <c r="A7" s="48" t="inlineStr">
        <is>
          <t>3. En «Punto Equilibrio» sólo se teclea el techo de rotaciones que da tu local; todo lo demás se deriva de lo anterior. En las otras tres hojas también hay celdas verdes que puedes tocar: el escenario pesimista y el optimista en «Escenarios», la estacionalidad y la rampa de arranque en «Tesorería 12 meses», y las cuatro fuentes alternativas de financiación en «Financiación». Todo lo demás se calcula.</t>
        </is>
      </c>
      <c r="B7" s="29" t="n"/>
      <c r="C7" s="29" t="n"/>
      <c r="D7" s="29" t="n"/>
      <c r="E7" s="29" t="n"/>
    </row>
    <row r="8" ht="225" customHeight="1">
      <c r="A8" s="48" t="inlineStr">
        <is>
          <t>4. Todas las cifras van SIN IVA. Para pasar un PVP a precio sin IVA, divide por el tipo que le corresponda: entre 1,10 en sala (comida y bebida, alcohol incluido: art. 91.Uno.2.2.º de la Ley 37/1992 del IVA) y, cuando se venden para llevar, los alimentos —los tacos incluidos—, que son productos alimenticios al tipo reducido por el art. 91.Uno.1.1.º; y entre 1,21 el tipo general, que en hostelería sólo alcanza a lo que sale del local como entrega de bienes excluida del reducido: el alcohol y las aguas frescas, los refrescos o los zumos con azúcares o edulcorantes añadidos para llevar o a domicilio (la comida para llevar sigue al 10 %); el libro lo aplica a la parte de la bebida que declara la columna H de su línea en el P&amp;L. El tipo de cada línea de venta está en la columna «Tipo de IVA de la línea» del P&amp;L y de ahí salen los cobros, el IVA repercutido y el PVP equivalente. El IVA de la inversión se adelanta y se recupera con el modelo 303.</t>
        </is>
      </c>
      <c r="B8" s="29" t="n"/>
      <c r="C8" s="29" t="n"/>
      <c r="D8" s="29" t="n"/>
      <c r="E8" s="29" t="n"/>
    </row>
    <row r="9" ht="30" customHeight="1">
      <c r="A9" s="48" t="inlineStr">
        <is>
          <t>5. Si cambias la plantilla, el P&amp;L la lee sola: el coste de personal sale de la hoja «Personal», no de una estimación aparte.</t>
        </is>
      </c>
      <c r="B9" s="29" t="n"/>
      <c r="C9" s="29" t="n"/>
      <c r="D9" s="29" t="n"/>
      <c r="E9" s="29" t="n"/>
    </row>
    <row r="10" ht="90" customHeight="1">
      <c r="A10" s="48" t="inlineStr">
        <is>
          <t>6. La hoja «Tesorería 12 meses» responde la pregunta que decide una operación bancaria: en qué mes se agota la caja. Su Mes 1 es ENERO, en el orden del calendario: la rampa del arranque cae sobre enero y febrero, los meses más flojos, y por eso el fondo de maniobra cuenta. Si abres en otro mes, gira la fila de estacionalidad. El saldo mínimo del año nunca puede salir en rojo.</t>
        </is>
      </c>
      <c r="B10" s="29" t="n"/>
      <c r="C10" s="29" t="n"/>
      <c r="D10" s="29" t="n"/>
      <c r="E10" s="29" t="n"/>
    </row>
    <row r="11" ht="45" customHeight="1">
      <c r="A11" s="48" t="inlineStr">
        <is>
          <t>7. La hoja «Financiación» cuadra lo que hace falta con lo que se aporta y monta el cuadro de amortización del préstamo. Si la diferencia sale en rojo, el plan no está financiado.</t>
        </is>
      </c>
      <c r="B11" s="29" t="n"/>
      <c r="C11" s="29" t="n"/>
      <c r="D11" s="29" t="n"/>
      <c r="E11" s="29" t="n"/>
    </row>
    <row r="12" ht="150" customHeight="1">
      <c r="A12" s="48" t="inlineStr">
        <is>
          <t>8. El plan de negocio en Word de este pack cita las cifras de este Excel: si cambias una celda verde, el Excel manda. La calculadora del trompo y escandallo del pack va aparte y sirve para medir el rendimiento del cono y ESCANDALLAR cada taco: no copies el food cost de un taco en la hoja de Supuestos. La celda «Coste de mercancía sobre las ventas de COMIDA» es la media ponderada de TODA la carta (tacos, gringas, guisados, guacamole y postres, cada uno por lo que vende) más la merma, y por eso sale más alta que el food cost del taco al pastor. Con los escandallos de tu carta, comprueba que esa media cuadra.</t>
        </is>
      </c>
      <c r="B12" s="29" t="n"/>
      <c r="C12" s="29" t="n"/>
      <c r="D12" s="29" t="n"/>
      <c r="E12" s="29" t="n"/>
    </row>
    <row r="13">
      <c r="A13" s="29" t="n"/>
      <c r="B13" s="29" t="n"/>
      <c r="C13" s="29" t="n"/>
      <c r="D13" s="29" t="n"/>
      <c r="E13" s="29" t="n"/>
    </row>
    <row r="14">
      <c r="A14" s="26" t="inlineStr">
        <is>
          <t>RATIOS QUE AUDITA EL LIBRO</t>
        </is>
      </c>
      <c r="B14" s="29" t="n"/>
      <c r="C14" s="29" t="n"/>
      <c r="D14" s="29" t="n"/>
      <c r="E14" s="29" t="n"/>
    </row>
    <row r="15" ht="30" customHeight="1">
      <c r="A15" s="48" t="inlineStr">
        <is>
          <t>Los umbrales viven en la columna «Umbral» del bloque RATIOS CLAVE del P&amp;L: cámbialos ahí y el semáforo cambia con ellos.</t>
        </is>
      </c>
      <c r="B15" s="29" t="n"/>
      <c r="C15" s="29" t="n"/>
      <c r="D15" s="29" t="n"/>
      <c r="E15" s="29" t="n"/>
    </row>
    <row r="16">
      <c r="A16" s="29" t="n"/>
      <c r="B16" s="29" t="n"/>
      <c r="C16" s="29" t="n"/>
      <c r="D16" s="29" t="n"/>
      <c r="E16" s="29" t="n"/>
    </row>
    <row r="17">
      <c r="A17" s="26" t="inlineStr">
        <is>
          <t>Ratio</t>
        </is>
      </c>
      <c r="B17" s="26" t="inlineStr">
        <is>
          <t>Valor del año 1</t>
        </is>
      </c>
      <c r="C17" s="26" t="inlineStr">
        <is>
          <t>Umbral</t>
        </is>
      </c>
      <c r="D17" s="26" t="inlineStr">
        <is>
          <t>Estado</t>
        </is>
      </c>
      <c r="E17" s="29" t="n"/>
    </row>
    <row r="18">
      <c r="A18" s="29" t="inlineStr">
        <is>
          <t>Coste de mercancía / Ventas</t>
        </is>
      </c>
      <c r="B18" s="68">
        <f>IFERROR(IF('PyG 3 Años'!$B$52="","",'PyG 3 Años'!$B$52),"")</f>
        <v>0.26799999999999996</v>
      </c>
      <c r="C18" s="68">
        <f>IFERROR(IF('PyG 3 Años'!$E$52="","",'PyG 3 Años'!$E$52),"")</f>
        <v>0.29</v>
      </c>
      <c r="D18" s="29" t="str">
        <f>IFERROR(IF(OR(B18="",C18=""),"",IF(B18&lt;=C18,"CUMPLE","REVISAR")),"")</f>
        <v>CUMPLE</v>
      </c>
      <c r="E18" s="29" t="n"/>
    </row>
    <row r="19">
      <c r="A19" s="29" t="inlineStr">
        <is>
          <t>Coste de personal / Ventas</t>
        </is>
      </c>
      <c r="B19" s="68">
        <f>IFERROR(IF('PyG 3 Años'!$B$53="","",'PyG 3 Años'!$B$53),"")</f>
        <v>0.36173919843597263</v>
      </c>
      <c r="C19" s="68">
        <f>IFERROR(IF('PyG 3 Años'!$E$53="","",'PyG 3 Años'!$E$53),"")</f>
        <v>0.38</v>
      </c>
      <c r="D19" s="29" t="str">
        <f>IFERROR(IF(OR(B19="",C19=""),"",IF(B19&lt;=C19,"CUMPLE","REVISAR")),"")</f>
        <v>CUMPLE</v>
      </c>
      <c r="E19" s="29" t="n"/>
    </row>
    <row r="20">
      <c r="A20" s="29" t="inlineStr">
        <is>
          <t>Alquiler / Ventas</t>
        </is>
      </c>
      <c r="B20" s="68">
        <f>IFERROR(IF('PyG 3 Años'!$B$54="","",'PyG 3 Años'!$B$54),"")</f>
        <v>0.04859656472559699</v>
      </c>
      <c r="C20" s="68">
        <f>IFERROR(IF('PyG 3 Años'!$E$54="","",'PyG 3 Años'!$E$54),"")</f>
        <v>0.1</v>
      </c>
      <c r="D20" s="29" t="str">
        <f>IFERROR(IF(OR(B20="",C20=""),"",IF(B20&lt;=C20,"CUMPLE","REVISAR")),"")</f>
        <v>CUMPLE</v>
      </c>
      <c r="E20" s="29" t="n"/>
    </row>
    <row r="21">
      <c r="A21" s="29" t="inlineStr">
        <is>
          <t>Resultado neto / Ventas</t>
        </is>
      </c>
      <c r="B21" s="68">
        <f>IFERROR(IF('PyG 3 Años'!$B$55="","",'PyG 3 Años'!$B$55),"")</f>
        <v>0.0909466289624354</v>
      </c>
      <c r="C21" s="68">
        <f>IFERROR(IF('PyG 3 Años'!$E$55="","",'PyG 3 Años'!$E$55),"")</f>
        <v>0.05</v>
      </c>
      <c r="D21" s="29" t="str">
        <f>IFERROR(IF(OR(B21="",C21=""),"",IF(B21&gt;=C21,"CUMPLE","REVISAR")),"")</f>
        <v>CUMPLE</v>
      </c>
      <c r="E21" s="29" t="n"/>
    </row>
    <row r="22">
      <c r="A22" s="29" t="inlineStr">
        <is>
          <t>Margen bruto / Ventas</t>
        </is>
      </c>
      <c r="B22" s="68">
        <f>IFERROR(IF('PyG 3 Años'!$B$50="","",'PyG 3 Años'!$B$50),"")</f>
        <v>0.633</v>
      </c>
      <c r="C22" s="68">
        <f>IFERROR(IF('PyG 3 Años'!$E$50="","",'PyG 3 Años'!$E$50),"")</f>
        <v>0.6</v>
      </c>
      <c r="D22" s="29" t="str">
        <f>IFERROR(IF(OR(B22="",C22=""),"",IF(B22&gt;=C22,"CUMPLE","REVISAR")),"")</f>
        <v>CUMPLE</v>
      </c>
      <c r="E22" s="29" t="n"/>
    </row>
    <row r="23">
      <c r="A23" s="29" t="n"/>
      <c r="B23" s="29" t="n"/>
      <c r="C23" s="29" t="n"/>
      <c r="D23" s="29" t="n"/>
      <c r="E23" s="29" t="n"/>
    </row>
    <row r="24">
      <c r="A24" s="26" t="inlineStr">
        <is>
          <t>CIFRAS DE ESTE PLAN</t>
        </is>
      </c>
      <c r="B24" s="29" t="n"/>
      <c r="C24" s="29" t="n"/>
      <c r="D24" s="29" t="n"/>
      <c r="E24" s="29" t="n"/>
    </row>
    <row r="25">
      <c r="A25" s="29" t="inlineStr">
        <is>
          <t>Inversión total (suma de los bloques)</t>
        </is>
      </c>
      <c r="B25" s="33">
        <f>IFERROR(IF('Inversión Inicial'!$B$30="","",'Inversión Inicial'!$B$30),"")</f>
        <v>151000.18</v>
      </c>
      <c r="C25" s="29" t="n"/>
      <c r="D25" s="29" t="n"/>
      <c r="E25" s="29" t="n"/>
    </row>
    <row r="26">
      <c r="A26" s="29" t="inlineStr">
        <is>
          <t>Necesidad total de caja al arranque</t>
        </is>
      </c>
      <c r="B26" s="33">
        <f>IFERROR(IF('Inversión Inicial'!$B$33="","",'Inversión Inicial'!$B$33),"")</f>
        <v>172052.68</v>
      </c>
      <c r="C26" s="29" t="n"/>
      <c r="D26" s="29" t="n"/>
      <c r="E26" s="29" t="n"/>
    </row>
    <row r="27">
      <c r="A27" s="29" t="inlineStr">
        <is>
          <t>Fondo de maniobra dotado</t>
        </is>
      </c>
      <c r="B27" s="33">
        <f>IFERROR(IF('Inversión Inicial'!$B$29="","",'Inversión Inicial'!$B$29),"")</f>
        <v>44850.18</v>
      </c>
      <c r="C27" s="29" t="n"/>
      <c r="D27" s="29" t="n"/>
      <c r="E27" s="29" t="n"/>
    </row>
    <row r="28">
      <c r="A28" s="29" t="inlineStr">
        <is>
          <t>Facturación prevista del año 1</t>
        </is>
      </c>
      <c r="B28" s="33">
        <f>IFERROR(IF('PyG 3 Años'!$B$9="","",'PyG 3 Años'!$B$9),"")</f>
        <v>358050.0</v>
      </c>
      <c r="C28" s="29" t="n"/>
      <c r="D28" s="29" t="n"/>
      <c r="E28" s="29" t="n"/>
    </row>
    <row r="29">
      <c r="A29" s="29" t="inlineStr">
        <is>
          <t>Resultado neto del año 1</t>
        </is>
      </c>
      <c r="B29" s="33">
        <f>IFERROR(IF('PyG 3 Años'!$B$47="","",'PyG 3 Años'!$B$47),"")</f>
        <v>32563.440499999993</v>
      </c>
      <c r="C29" s="29" t="n"/>
      <c r="D29" s="29" t="n"/>
      <c r="E29" s="29" t="n"/>
    </row>
    <row r="30">
      <c r="A30" s="29" t="inlineStr">
        <is>
          <t>Comensales/día para el punto de equilibrio CONTABLE (con la amortización dentro)</t>
        </is>
      </c>
      <c r="B30" s="45">
        <f>IFERROR(IF('Punto Equilibrio'!$B$15="","",'Punto Equilibrio'!$B$15),"")</f>
        <v>63.98468463877423</v>
      </c>
      <c r="C30" s="29" t="n"/>
      <c r="D30" s="29" t="n"/>
      <c r="E30" s="29" t="n"/>
    </row>
    <row r="31">
      <c r="A31" s="29" t="inlineStr">
        <is>
          <t>Payback del proyecto (años), antes de la deuda</t>
        </is>
      </c>
      <c r="B31" s="29">
        <f>IFERROR(IF('Tesorería 12 meses'!$B$31="","",'Tesorería 12 meses'!$B$31),"")</f>
        <v>2.9</v>
      </c>
      <c r="C31" s="29" t="n"/>
      <c r="D31" s="29" t="n"/>
      <c r="E31" s="29" t="n"/>
    </row>
    <row r="32">
      <c r="A32" s="29" t="n"/>
      <c r="B32" s="29" t="n"/>
      <c r="C32" s="29" t="n"/>
      <c r="D32" s="29" t="n"/>
      <c r="E32" s="29" t="n"/>
    </row>
    <row r="33">
      <c r="A33" s="26" t="inlineStr">
        <is>
          <t>DATOS DE REFERENCIA DEL SECTOR</t>
        </is>
      </c>
      <c r="B33" s="29" t="n"/>
      <c r="C33" s="29" t="n"/>
      <c r="D33" s="29" t="n"/>
      <c r="E33" s="29" t="n"/>
    </row>
    <row r="34">
      <c r="A34" s="26" t="inlineStr">
        <is>
          <t>Referencia</t>
        </is>
      </c>
      <c r="B34" s="26" t="inlineStr">
        <is>
          <t>Valor</t>
        </is>
      </c>
      <c r="C34" s="26" t="inlineStr">
        <is>
          <t>Fuente</t>
        </is>
      </c>
      <c r="D34" s="26" t="inlineStr">
        <is>
          <t>Nota</t>
        </is>
      </c>
      <c r="E34" s="29" t="n"/>
    </row>
    <row r="35" ht="45" customHeight="1">
      <c r="A35" s="29" t="inlineStr">
        <is>
          <t>Mes 1 del plan</t>
        </is>
      </c>
      <c r="B35" s="29" t="inlineStr">
        <is>
          <t>Enero</t>
        </is>
      </c>
      <c r="C35" s="29" t="inlineStr">
        <is>
          <t>Decisión del plan</t>
        </is>
      </c>
      <c r="D35" s="48" t="inlineStr">
        <is>
          <t>En el orden del calendario: la rampa cae sobre los meses más flojos y el fondo de maniobra lo cubre. Si abres en otro mes, gira la fila de estacionalidad de la Tesorería</t>
        </is>
      </c>
      <c r="E35" s="29" t="n"/>
    </row>
    <row r="36" ht="45" customHeight="1">
      <c r="A36" s="29" t="inlineStr">
        <is>
          <t>Taco al pastor en carta</t>
        </is>
      </c>
      <c r="B36" s="29" t="inlineStr">
        <is>
          <t>2,50-3,50 € con IVA</t>
        </is>
      </c>
      <c r="C36" s="29" t="inlineStr">
        <is>
          <t>Cartas de taquerías casuales de Madrid, Valencia y Bilbao leídas en octubre de 2026</t>
        </is>
      </c>
      <c r="D36" s="48" t="inlineStr">
        <is>
          <t>El caso lo pone a 3,00 € (la orden de 3, a 8,50 €). La taquería de volumen baja a 1-1,50 € y la de autor sube a 7-8 €</t>
        </is>
      </c>
      <c r="E36" s="29" t="n"/>
    </row>
    <row r="37" ht="60" customHeight="1">
      <c r="A37" s="29" t="inlineStr">
        <is>
          <t>Coste del taco al pastor</t>
        </is>
      </c>
      <c r="B37" s="29" t="inlineStr">
        <is>
          <t>Un 22,5 % de su precio sin IVA (un 24 % en la orden de 3)</t>
        </is>
      </c>
      <c r="C37" s="29" t="inlineStr">
        <is>
          <t>Estimación del kit con los gramajes de la calculadora del pack (editables)</t>
        </is>
      </c>
      <c r="D37" s="48" t="inlineStr">
        <is>
          <t>Tortilla, 35 g de carne servida, piña, cebolla, cilantro, lima y salsa, con un 5 % de merma. La carne y la tortilla no tienen precio profesional publicado: pon los de tu proveedor</t>
        </is>
      </c>
      <c r="E37" s="29" t="n"/>
    </row>
    <row r="38" ht="45" customHeight="1">
      <c r="A38" s="29" t="inlineStr">
        <is>
          <t>Rendimiento del trompo</t>
        </is>
      </c>
      <c r="B38" s="29" t="inlineStr">
        <is>
          <t>Unos 25 tacos por kg de carne cruda</t>
        </is>
      </c>
      <c r="C38" s="29" t="inlineStr">
        <is>
          <t>Puesto de Ciudad de México citado por Milenio (prensa)</t>
        </is>
      </c>
      <c r="D38" s="48" t="inlineStr">
        <is>
          <t>Con 35 g servidos y un 65 % de rendimiento salen unos 18-19 tacos por kg crudo: mide el tuyo con la calculadora del pack</t>
        </is>
      </c>
      <c r="E38" s="29" t="n"/>
    </row>
    <row r="39" ht="30" customHeight="1">
      <c r="A39" s="29" t="inlineStr">
        <is>
          <t>Trompo: asador vertical de gas de cuatro quemadores</t>
        </is>
      </c>
      <c r="B39" s="29" t="inlineStr">
        <is>
          <t>1.279-1.784 € sin IVA</t>
        </is>
      </c>
      <c r="C39" s="29" t="inlineStr">
        <is>
          <t>Catálogo de asadores verticales de un distribuidor de hostelería, octubre de 2026</t>
        </is>
      </c>
      <c r="D39" s="48" t="inlineStr">
        <is>
          <t>Para conos de 30-35 kg. El caso cuenta 1.800 € con la bandeja, los cuchillos y la base de la piña</t>
        </is>
      </c>
      <c r="E39" s="29" t="n"/>
    </row>
    <row r="40" ht="30" customHeight="1">
      <c r="A40" s="29" t="inlineStr">
        <is>
          <t>Comisión de la plataforma con su reparto</t>
        </is>
      </c>
      <c r="B40" s="29" t="inlineStr">
        <is>
          <t>15-35 % más IVA</t>
        </is>
      </c>
      <c r="C40" s="29" t="inlineStr">
        <is>
          <t>Guías del sector, 2025-2026: compruébalo en tu contrato</t>
        </is>
      </c>
      <c r="D40" s="48" t="inlineStr">
        <is>
          <t>El plan básico de Uber Eats ronda el 30 %. Lo que se recoge en el local no paga comisión</t>
        </is>
      </c>
      <c r="E40" s="29" t="n"/>
    </row>
    <row r="41" ht="45" customHeight="1">
      <c r="A41" s="29" t="inlineStr">
        <is>
          <t>IVA de los tacos</t>
        </is>
      </c>
      <c r="B41" s="29" t="inlineStr">
        <is>
          <t>10 %</t>
        </is>
      </c>
      <c r="C41" s="29" t="inlineStr">
        <is>
          <t>Ley 37/1992, art. 91.Uno.1.1.º y 2.2.º</t>
        </is>
      </c>
      <c r="D41" s="48" t="inlineStr">
        <is>
          <t>En sala, para llevar y a domicilio. El alcohol y las aguas frescas y los refrescos con azúcares o edulcorantes añadidos que salen del local, al 21 %</t>
        </is>
      </c>
      <c r="E41" s="29" t="n"/>
    </row>
    <row r="42" ht="90" customHeight="1">
      <c r="A42" s="29" t="inlineStr">
        <is>
          <t>Comidas preparadas en caliente y en frío</t>
        </is>
      </c>
      <c r="B42" s="29" t="inlineStr">
        <is>
          <t>≥ 63 °C · 60 → 10 °C en &lt; 2 h · 74 °C 15 s</t>
        </is>
      </c>
      <c r="C42" s="29" t="inlineStr">
        <is>
          <t>Real Decreto 1086/2020, art. 30, en la redacción del Real Decreto 1021/2022</t>
        </is>
      </c>
      <c r="D42" s="48" t="inlineStr">
        <is>
          <t>Caliente a 63 °C o más; enfriado de 60 a 10 °C en menos de 2 h; recalentado a 74 °C durante 15 s en el centro, en la hora siguiente a sacarlo del frío; refrigeradas a 4 °C o menos (8 °C si duran menos de 24 h). El pastor marinado es preparado de carne: 4 °C o menos en cámara (Real Decreto 1021/2022, art. 4.1)</t>
        </is>
      </c>
      <c r="E42" s="29" t="n"/>
    </row>
    <row r="43">
      <c r="A43" s="29" t="inlineStr">
        <is>
          <t>Salario mínimo interprofesional 2026</t>
        </is>
      </c>
      <c r="B43" s="29" t="inlineStr">
        <is>
          <t>1.221 € al mes en 14 pagas</t>
        </is>
      </c>
      <c r="C43" s="29" t="inlineStr">
        <is>
          <t>Real Decreto 126/2026</t>
        </is>
      </c>
      <c r="D43" s="48" t="inlineStr">
        <is>
          <t>A prorrata en jornada parcial</t>
        </is>
      </c>
      <c r="E43" s="29" t="n"/>
    </row>
    <row r="44" ht="30" customHeight="1">
      <c r="A44" s="29" t="inlineStr">
        <is>
          <t>Coste de personal sobre ventas</t>
        </is>
      </c>
      <c r="B44" s="29" t="inlineStr">
        <is>
          <t>34-38 %</t>
        </is>
      </c>
      <c r="C44" s="29" t="inlineStr">
        <is>
          <t>Estimación del kit</t>
        </is>
      </c>
      <c r="D44" s="48" t="inlineStr">
        <is>
          <t>Con el titular de taquero jefe y un segundo taquero: el taquero único es un riesgo, no un ahorro</t>
        </is>
      </c>
      <c r="E44" s="29" t="n"/>
    </row>
    <row r="45" ht="30" customHeight="1">
      <c r="A45" s="29" t="inlineStr">
        <is>
          <t>Alquiler sobre ventas</t>
        </is>
      </c>
      <c r="B45" s="29" t="inlineStr">
        <is>
          <t>5-10 %</t>
        </is>
      </c>
      <c r="C45" s="29" t="inlineStr">
        <is>
          <t>Estimación del kit</t>
        </is>
      </c>
      <c r="D45" s="48" t="inlineStr">
        <is>
          <t>Un local con salida de humos a cubierta cuesta más encontrarlo que pagarlo</t>
        </is>
      </c>
      <c r="E45" s="29" t="n"/>
    </row>
    <row r="46" ht="30" customHeight="1">
      <c r="A46" s="29" t="inlineStr">
        <is>
          <t>Convenio colectivo aplicable</t>
        </is>
      </c>
      <c r="B46" s="29" t="inlineStr">
        <is>
          <t>Provincial de hostelería</t>
        </is>
      </c>
      <c r="C46" s="29" t="inlineStr">
        <is>
          <t>VI Acuerdo Laboral de ámbito Estatal para el sector de Hostelería, art. 4</t>
        </is>
      </c>
      <c r="D46" s="48" t="inlineStr">
        <is>
          <t>No nombra la «taquería»: entra como restaurante. Copia tu tabla salarial en la celda de Supuestos</t>
        </is>
      </c>
      <c r="E46" s="29" t="n"/>
    </row>
    <row r="47">
      <c r="A47" s="29" t="n"/>
      <c r="B47" s="29" t="n"/>
      <c r="C47" s="29" t="n"/>
      <c r="D47" s="29" t="n"/>
      <c r="E47" s="29" t="n"/>
    </row>
    <row r="48">
      <c r="A48" s="75" t="inlineStr">
        <is>
          <t>Para editar una celda que no esté en verde: Revisar → Desproteger hoja (no tiene contraseña).</t>
        </is>
      </c>
      <c r="B48" s="29" t="n"/>
      <c r="C48" s="29" t="n"/>
      <c r="D48" s="29" t="n"/>
      <c r="E48" s="29" t="n"/>
    </row>
    <row r="49">
      <c r="A49" s="75" t="inlineStr">
        <is>
          <t>Más plantillas y kits del catálogo en aichef.pro/productos-digitales</t>
        </is>
      </c>
      <c r="B49" s="29" t="n"/>
      <c r="C49" s="29" t="n"/>
      <c r="D49" s="29" t="n"/>
      <c r="E49" s="29" t="n"/>
    </row>
    <row r="50">
      <c r="A50" s="75" t="inlineStr">
        <is>
          <t>Diseñado por John Guerrero — chef y consultor gastronómico desde 2010, en cocina desde los 17 años · johnguerrero.es</t>
        </is>
      </c>
      <c r="B50" s="29" t="n"/>
      <c r="C50" s="29" t="n"/>
      <c r="D50" s="29" t="n"/>
      <c r="E50" s="29" t="n"/>
    </row>
    <row r="51">
      <c r="A51" s="75" t="inlineStr">
        <is>
          <t>Versión 1.0 · noviembre 2026 · aichef.pro/plan-negocio-taqueria · info@aichef.pro</t>
        </is>
      </c>
      <c r="B51" s="29" t="n"/>
      <c r="C51" s="29" t="n"/>
      <c r="D51" s="29" t="n"/>
      <c r="E51" s="29" t="n"/>
    </row>
    <row r="52">
      <c r="A52" s="29" t="n"/>
      <c r="B52" s="29" t="n"/>
      <c r="C52" s="29" t="n"/>
      <c r="D52" s="29" t="n"/>
      <c r="E52" s="29" t="n"/>
    </row>
    <row r="53">
      <c r="A53" s="29" t="n"/>
      <c r="B53" s="29" t="n"/>
      <c r="C53" s="29" t="n"/>
      <c r="D53" s="29" t="n"/>
      <c r="E53" s="29" t="n"/>
    </row>
    <row r="54">
      <c r="A54" s="29" t="n"/>
      <c r="B54" s="29" t="n"/>
      <c r="C54" s="29" t="n"/>
      <c r="D54" s="29" t="n"/>
      <c r="E54" s="29" t="n"/>
    </row>
    <row r="55">
      <c r="A55" s="29" t="n"/>
      <c r="B55" s="29" t="n"/>
      <c r="C55" s="29" t="n"/>
      <c r="D55" s="29" t="n"/>
      <c r="E55" s="29" t="n"/>
    </row>
    <row r="56">
      <c r="A56" s="29" t="n"/>
      <c r="B56" s="29" t="n"/>
      <c r="C56" s="29" t="n"/>
      <c r="D56" s="29" t="n"/>
      <c r="E56" s="29" t="n"/>
    </row>
    <row r="57">
      <c r="A57" s="29" t="n"/>
      <c r="B57" s="29" t="n"/>
      <c r="C57" s="29" t="n"/>
      <c r="D57" s="29" t="n"/>
      <c r="E57" s="29" t="n"/>
    </row>
    <row r="58">
      <c r="A58" s="29" t="n"/>
      <c r="B58" s="29" t="n"/>
      <c r="C58" s="29" t="n"/>
      <c r="D58" s="29" t="n"/>
      <c r="E58" s="29" t="n"/>
    </row>
    <row r="59">
      <c r="A59" s="29" t="n"/>
      <c r="B59" s="29" t="n"/>
      <c r="C59" s="29" t="n"/>
      <c r="D59" s="29" t="n"/>
      <c r="E59" s="29" t="n"/>
    </row>
    <row r="60">
      <c r="A60" s="29" t="n"/>
      <c r="B60" s="29" t="n"/>
      <c r="C60" s="29" t="n"/>
      <c r="D60" s="29" t="n"/>
      <c r="E60" s="29" t="n"/>
    </row>
    <row r="61">
      <c r="A61" s="29" t="n"/>
      <c r="B61" s="29" t="n"/>
      <c r="C61" s="29" t="n"/>
      <c r="D61" s="29" t="n"/>
      <c r="E61" s="29" t="n"/>
    </row>
    <row r="62">
      <c r="A62" s="29" t="n"/>
      <c r="B62" s="29" t="n"/>
      <c r="C62" s="29" t="n"/>
      <c r="D62" s="29" t="n"/>
      <c r="E62" s="29" t="n"/>
    </row>
    <row r="63">
      <c r="A63" s="29" t="n"/>
      <c r="B63" s="29" t="n"/>
      <c r="C63" s="29" t="n"/>
      <c r="D63" s="29" t="n"/>
      <c r="E63" s="29" t="n"/>
    </row>
    <row r="64">
      <c r="A64" s="29" t="n"/>
      <c r="B64" s="29" t="n"/>
      <c r="C64" s="29" t="n"/>
      <c r="D64" s="29" t="n"/>
      <c r="E64" s="29" t="n"/>
    </row>
    <row r="65">
      <c r="A65" s="29" t="n"/>
      <c r="B65" s="29" t="n"/>
      <c r="C65" s="29" t="n"/>
      <c r="D65" s="29" t="n"/>
      <c r="E65" s="29" t="n"/>
    </row>
    <row r="66">
      <c r="A66" s="29" t="n"/>
      <c r="B66" s="29" t="n"/>
      <c r="C66" s="29" t="n"/>
      <c r="D66" s="29" t="n"/>
      <c r="E66" s="29" t="n"/>
    </row>
    <row r="67">
      <c r="A67" s="29" t="n"/>
      <c r="B67" s="29" t="n"/>
      <c r="C67" s="29" t="n"/>
      <c r="D67" s="29" t="n"/>
      <c r="E67" s="29" t="n"/>
    </row>
    <row r="68">
      <c r="A68" s="29" t="n"/>
      <c r="B68" s="29" t="n"/>
      <c r="C68" s="29" t="n"/>
      <c r="D68" s="29" t="n"/>
      <c r="E68" s="29" t="n"/>
    </row>
    <row r="69">
      <c r="A69" s="29" t="n"/>
      <c r="B69" s="29" t="n"/>
      <c r="C69" s="29" t="n"/>
      <c r="D69" s="29" t="n"/>
      <c r="E69" s="29" t="n"/>
    </row>
    <row r="70">
      <c r="A70" s="29" t="n"/>
      <c r="B70" s="29" t="n"/>
      <c r="C70" s="29" t="n"/>
      <c r="D70" s="29" t="n"/>
      <c r="E70" s="29" t="n"/>
    </row>
    <row r="71">
      <c r="A71" s="29" t="n"/>
      <c r="B71" s="29" t="n"/>
      <c r="C71" s="29" t="n"/>
      <c r="D71" s="29" t="n"/>
      <c r="E71" s="29" t="n"/>
    </row>
    <row r="72">
      <c r="A72" s="29" t="n"/>
      <c r="B72" s="29" t="n"/>
      <c r="C72" s="29" t="n"/>
      <c r="D72" s="29" t="n"/>
      <c r="E72" s="29" t="n"/>
    </row>
    <row r="73">
      <c r="A73" s="29" t="n"/>
      <c r="B73" s="29" t="n"/>
      <c r="C73" s="29" t="n"/>
      <c r="D73" s="29" t="n"/>
      <c r="E73" s="29" t="n"/>
    </row>
    <row r="74">
      <c r="A74" s="29" t="n"/>
      <c r="B74" s="29" t="n"/>
      <c r="C74" s="29" t="n"/>
      <c r="D74" s="29" t="n"/>
      <c r="E74" s="29" t="n"/>
    </row>
  </sheetData>
  <sheetProtection selectLockedCells="0" selectUnlockedCells="0" sheet="1" objects="0" insertRows="1" insertHyperlinks="1" autoFilter="1" scenarios="0" formatColumns="0" deleteColumns="1" insertColumns="1" pivotTables="1" deleteRows="1" formatCells="1" formatRows="0" sort="0"/>
  <conditionalFormatting sqref="D18:D22">
    <cfRule type="containsText" priority="1" operator="containsText" dxfId="0" stopIfTrue="1" text="CUMPLE">
      <formula>NOT(ISERROR(SEARCH("CUMPLE",D18)))</formula>
    </cfRule>
    <cfRule type="containsText" priority="2" operator="containsText" dxfId="1" stopIfTrue="1" text="REVISAR">
      <formula>NOT(ISERROR(SEARCH("REVISAR",D18)))</formula>
    </cfRule>
  </conditionalFormatting>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O70"/>
  <sheetViews>
    <sheetView workbookViewId="0">
      <pane xSplit="1" ySplit="4" topLeftCell="B5"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4" customWidth="1" min="14" max="14"/>
    <col width="60" customWidth="1" min="15" max="15"/>
  </cols>
  <sheetData>
    <row r="1">
      <c r="A1" s="26" t="inlineStr">
        <is>
          <t>PREVISIÓN DE TESORERÍA — AÑO 1</t>
        </is>
      </c>
      <c r="B1" s="29" t="n"/>
      <c r="C1" s="29" t="n"/>
      <c r="D1" s="29" t="n"/>
      <c r="E1" s="29" t="n"/>
      <c r="F1" s="29" t="n"/>
      <c r="G1" s="29" t="n"/>
      <c r="H1" s="29" t="n"/>
      <c r="I1" s="29" t="n"/>
      <c r="J1" s="29" t="n"/>
      <c r="K1" s="29" t="n"/>
      <c r="L1" s="29" t="n"/>
      <c r="M1" s="29" t="n"/>
      <c r="N1" s="29" t="n"/>
      <c r="O1" s="29" t="n"/>
    </row>
    <row r="2" ht="45" customHeight="1">
      <c r="A2" s="48" t="inlineStr">
        <is>
          <t>El P&amp;L dice si el negocio gana dinero; esta hoja dice si le queda caja para llegar a fin de mes. Es la primera que mira un banco.</t>
        </is>
      </c>
      <c r="B2" s="29" t="n"/>
      <c r="C2" s="29" t="n"/>
      <c r="D2" s="29" t="n"/>
      <c r="E2" s="29" t="n"/>
      <c r="F2" s="29" t="n"/>
      <c r="G2" s="29" t="n"/>
      <c r="H2" s="29" t="n"/>
      <c r="I2" s="29" t="n"/>
      <c r="J2" s="29" t="n"/>
      <c r="K2" s="29" t="n"/>
      <c r="L2" s="29" t="n"/>
      <c r="M2" s="29" t="n"/>
      <c r="N2" s="29" t="n"/>
      <c r="O2" s="29" t="n"/>
    </row>
    <row r="3">
      <c r="A3" s="29" t="n"/>
      <c r="B3" s="29" t="n"/>
      <c r="C3" s="29" t="n"/>
      <c r="D3" s="29" t="n"/>
      <c r="E3" s="29" t="n"/>
      <c r="F3" s="29" t="n"/>
      <c r="G3" s="29" t="n"/>
      <c r="H3" s="29" t="n"/>
      <c r="I3" s="29" t="n"/>
      <c r="J3" s="29" t="n"/>
      <c r="K3" s="29" t="n"/>
      <c r="L3" s="29" t="n"/>
      <c r="M3" s="29" t="n"/>
      <c r="N3" s="29" t="n"/>
      <c r="O3" s="29" t="n"/>
    </row>
    <row r="4">
      <c r="A4" s="26" t="inlineStr">
        <is>
          <t>Concepto</t>
        </is>
      </c>
      <c r="B4" s="26" t="inlineStr">
        <is>
          <t>Mes 1 (€)</t>
        </is>
      </c>
      <c r="C4" s="26" t="inlineStr">
        <is>
          <t>Mes 2 (€)</t>
        </is>
      </c>
      <c r="D4" s="26" t="inlineStr">
        <is>
          <t>Mes 3 (€)</t>
        </is>
      </c>
      <c r="E4" s="26" t="inlineStr">
        <is>
          <t>Mes 4 (€)</t>
        </is>
      </c>
      <c r="F4" s="26" t="inlineStr">
        <is>
          <t>Mes 5 (€)</t>
        </is>
      </c>
      <c r="G4" s="26" t="inlineStr">
        <is>
          <t>Mes 6 (€)</t>
        </is>
      </c>
      <c r="H4" s="26" t="inlineStr">
        <is>
          <t>Mes 7 (€)</t>
        </is>
      </c>
      <c r="I4" s="26" t="inlineStr">
        <is>
          <t>Mes 8 (€)</t>
        </is>
      </c>
      <c r="J4" s="26" t="inlineStr">
        <is>
          <t>Mes 9 (€)</t>
        </is>
      </c>
      <c r="K4" s="26" t="inlineStr">
        <is>
          <t>Mes 10 (€)</t>
        </is>
      </c>
      <c r="L4" s="26" t="inlineStr">
        <is>
          <t>Mes 11 (€)</t>
        </is>
      </c>
      <c r="M4" s="26" t="inlineStr">
        <is>
          <t>Mes 12 (€)</t>
        </is>
      </c>
      <c r="N4" s="26" t="inlineStr">
        <is>
          <t>Año (€)</t>
        </is>
      </c>
      <c r="O4" s="29" t="n"/>
    </row>
    <row r="5">
      <c r="A5" s="29" t="inlineStr">
        <is>
          <t>Estacionalidad del mes (suma 100 %)</t>
        </is>
      </c>
      <c r="B5" s="74" t="n">
        <v>0.07000000000000001</v>
      </c>
      <c r="C5" s="74" t="n">
        <v>0.074</v>
      </c>
      <c r="D5" s="74" t="n">
        <v>0.082</v>
      </c>
      <c r="E5" s="74" t="n">
        <v>0.08599999999999999</v>
      </c>
      <c r="F5" s="74" t="n">
        <v>0.08799999999999999</v>
      </c>
      <c r="G5" s="74" t="n">
        <v>0.08799999999999999</v>
      </c>
      <c r="H5" s="74" t="n">
        <v>0.08400000000000001</v>
      </c>
      <c r="I5" s="74" t="n">
        <v>0.07000000000000001</v>
      </c>
      <c r="J5" s="74" t="n">
        <v>0.08799999999999999</v>
      </c>
      <c r="K5" s="74" t="n">
        <v>0.08799999999999999</v>
      </c>
      <c r="L5" s="74" t="n">
        <v>0.08599999999999999</v>
      </c>
      <c r="M5" s="74" t="n">
        <v>0.096</v>
      </c>
      <c r="N5" s="68">
        <f>IFERROR(IF('PyG 3 Años'!$B$9="","",SUM(B5:M5)),"")</f>
        <v>1.0</v>
      </c>
      <c r="O5" s="29" t="inlineStr">
        <is>
          <t>Mes 1 = ENERO, en el orden del calendario: enero y agosto son los meses más flojos y los picos llegan en septiembre (Independencia de México, 15 y 16), noviembre (Día de Muertos) y diciembre. Si abres en otro mes, gira la fila. Tiene que sumar 100 %</t>
        </is>
      </c>
    </row>
    <row r="6">
      <c r="A6" s="29" t="inlineStr">
        <is>
          <t>Rampa de arranque (% de la actividad de crucero)</t>
        </is>
      </c>
      <c r="B6" s="68">
        <f>IFERROR(IF('PyG 3 Años'!$B$9="","",MIN(1,'0. Supuestos'!$B$52+(1-'0. Supuestos'!$B$52)*0/MAX(1,'0. Supuestos'!$B$53-1))),"")</f>
        <v>0.75</v>
      </c>
      <c r="C6" s="68">
        <f>IFERROR(IF('PyG 3 Años'!$B$9="","",MIN(1,'0. Supuestos'!$B$52+(1-'0. Supuestos'!$B$52)*1/MAX(1,'0. Supuestos'!$B$53-1))),"")</f>
        <v>0.8333333333333334</v>
      </c>
      <c r="D6" s="68">
        <f>IFERROR(IF('PyG 3 Años'!$B$9="","",MIN(1,'0. Supuestos'!$B$52+(1-'0. Supuestos'!$B$52)*2/MAX(1,'0. Supuestos'!$B$53-1))),"")</f>
        <v>0.9166666666666666</v>
      </c>
      <c r="E6" s="68">
        <f>IFERROR(IF('PyG 3 Años'!$B$9="","",MIN(1,'0. Supuestos'!$B$52+(1-'0. Supuestos'!$B$52)*3/MAX(1,'0. Supuestos'!$B$53-1))),"")</f>
        <v>1.0</v>
      </c>
      <c r="F6" s="68">
        <f>IFERROR(IF('PyG 3 Años'!$B$9="","",MIN(1,'0. Supuestos'!$B$52+(1-'0. Supuestos'!$B$52)*4/MAX(1,'0. Supuestos'!$B$53-1))),"")</f>
        <v>1.0</v>
      </c>
      <c r="G6" s="68">
        <f>IFERROR(IF('PyG 3 Años'!$B$9="","",MIN(1,'0. Supuestos'!$B$52+(1-'0. Supuestos'!$B$52)*5/MAX(1,'0. Supuestos'!$B$53-1))),"")</f>
        <v>1.0</v>
      </c>
      <c r="H6" s="68">
        <f>IFERROR(IF('PyG 3 Años'!$B$9="","",MIN(1,'0. Supuestos'!$B$52+(1-'0. Supuestos'!$B$52)*6/MAX(1,'0. Supuestos'!$B$53-1))),"")</f>
        <v>1.0</v>
      </c>
      <c r="I6" s="68">
        <f>IFERROR(IF('PyG 3 Años'!$B$9="","",MIN(1,'0. Supuestos'!$B$52+(1-'0. Supuestos'!$B$52)*7/MAX(1,'0. Supuestos'!$B$53-1))),"")</f>
        <v>1.0</v>
      </c>
      <c r="J6" s="68">
        <f>IFERROR(IF('PyG 3 Años'!$B$9="","",MIN(1,'0. Supuestos'!$B$52+(1-'0. Supuestos'!$B$52)*8/MAX(1,'0. Supuestos'!$B$53-1))),"")</f>
        <v>1.0</v>
      </c>
      <c r="K6" s="68">
        <f>IFERROR(IF('PyG 3 Años'!$B$9="","",MIN(1,'0. Supuestos'!$B$52+(1-'0. Supuestos'!$B$52)*9/MAX(1,'0. Supuestos'!$B$53-1))),"")</f>
        <v>1.0</v>
      </c>
      <c r="L6" s="68">
        <f>IFERROR(IF('PyG 3 Años'!$B$9="","",MIN(1,'0. Supuestos'!$B$52+(1-'0. Supuestos'!$B$52)*10/MAX(1,'0. Supuestos'!$B$53-1))),"")</f>
        <v>1.0</v>
      </c>
      <c r="M6" s="68">
        <f>IFERROR(IF('PyG 3 Años'!$B$9="","",MIN(1,'0. Supuestos'!$B$52+(1-'0. Supuestos'!$B$52)*11/MAX(1,'0. Supuestos'!$B$53-1))),"")</f>
        <v>1.0</v>
      </c>
      <c r="N6" s="29" t="n"/>
      <c r="O6" s="29" t="inlineStr">
        <is>
          <t>Sube en línea recta desde el porcentaje del mes 1 hasta el 100 % en los meses que digas en Supuestos. Con el mes 1 al 100 % la rampa desaparece</t>
        </is>
      </c>
    </row>
    <row r="7">
      <c r="A7" s="29" t="inlineStr">
        <is>
          <t>Reparto de la actividad por mes (calculado)</t>
        </is>
      </c>
      <c r="B7" s="68">
        <f>IFERROR(IF('PyG 3 Años'!$B$9="","",B5*B6/SUMPRODUCT($B$5:$M$5,$B$6:$M$6)),"")</f>
        <v>0.05449826989619379</v>
      </c>
      <c r="C7" s="68">
        <f>IFERROR(IF('PyG 3 Años'!$B$9="","",C5*C6/SUMPRODUCT($B$5:$M$5,$B$6:$M$6)),"")</f>
        <v>0.06401384083044984</v>
      </c>
      <c r="D7" s="68">
        <f>IFERROR(IF('PyG 3 Años'!$B$9="","",D5*D6/SUMPRODUCT($B$5:$M$5,$B$6:$M$6)),"")</f>
        <v>0.07802768166089967</v>
      </c>
      <c r="E7" s="68">
        <f>IFERROR(IF('PyG 3 Años'!$B$9="","",E5*E6/SUMPRODUCT($B$5:$M$5,$B$6:$M$6)),"")</f>
        <v>0.08927335640138409</v>
      </c>
      <c r="F7" s="68">
        <f>IFERROR(IF('PyG 3 Años'!$B$9="","",F5*F6/SUMPRODUCT($B$5:$M$5,$B$6:$M$6)),"")</f>
        <v>0.09134948096885814</v>
      </c>
      <c r="G7" s="68">
        <f>IFERROR(IF('PyG 3 Años'!$B$9="","",G5*G6/SUMPRODUCT($B$5:$M$5,$B$6:$M$6)),"")</f>
        <v>0.09134948096885814</v>
      </c>
      <c r="H7" s="68">
        <f>IFERROR(IF('PyG 3 Años'!$B$9="","",H5*H6/SUMPRODUCT($B$5:$M$5,$B$6:$M$6)),"")</f>
        <v>0.08719723183391005</v>
      </c>
      <c r="I7" s="68">
        <f>IFERROR(IF('PyG 3 Años'!$B$9="","",I5*I6/SUMPRODUCT($B$5:$M$5,$B$6:$M$6)),"")</f>
        <v>0.07266435986159171</v>
      </c>
      <c r="J7" s="68">
        <f>IFERROR(IF('PyG 3 Años'!$B$9="","",J5*J6/SUMPRODUCT($B$5:$M$5,$B$6:$M$6)),"")</f>
        <v>0.09134948096885814</v>
      </c>
      <c r="K7" s="68">
        <f>IFERROR(IF('PyG 3 Años'!$B$9="","",K5*K6/SUMPRODUCT($B$5:$M$5,$B$6:$M$6)),"")</f>
        <v>0.09134948096885814</v>
      </c>
      <c r="L7" s="68">
        <f>IFERROR(IF('PyG 3 Años'!$B$9="","",L5*L6/SUMPRODUCT($B$5:$M$5,$B$6:$M$6)),"")</f>
        <v>0.08927335640138409</v>
      </c>
      <c r="M7" s="68">
        <f>IFERROR(IF('PyG 3 Años'!$B$9="","",M5*M6/SUMPRODUCT($B$5:$M$5,$B$6:$M$6)),"")</f>
        <v>0.09965397923875434</v>
      </c>
      <c r="N7" s="68">
        <f>IFERROR(IF('PyG 3 Años'!$B$9="","",SUM(B7:M7)),"")</f>
        <v>1.0000000000000002</v>
      </c>
      <c r="O7" s="29" t="inlineStr">
        <is>
          <t>Estacionalidad × rampa, normalizado a 100 %: el AÑO factura lo que dice el P&amp;L, pero repartido como lo reparte un local que acaba de abrir</t>
        </is>
      </c>
    </row>
    <row r="8">
      <c r="A8" s="26" t="inlineStr">
        <is>
          <t>COBROS</t>
        </is>
      </c>
      <c r="B8" s="29" t="n"/>
      <c r="C8" s="29" t="n"/>
      <c r="D8" s="29" t="n"/>
      <c r="E8" s="29" t="n"/>
      <c r="F8" s="29" t="n"/>
      <c r="G8" s="29" t="n"/>
      <c r="H8" s="29" t="n"/>
      <c r="I8" s="29" t="n"/>
      <c r="J8" s="29" t="n"/>
      <c r="K8" s="29" t="n"/>
      <c r="L8" s="29" t="n"/>
      <c r="M8" s="29" t="n"/>
      <c r="N8" s="29" t="n"/>
      <c r="O8" s="29" t="n"/>
    </row>
    <row r="9">
      <c r="A9" s="29" t="inlineStr">
        <is>
          <t>Ventas cobradas (con IVA repercutido)</t>
        </is>
      </c>
      <c r="B9" s="33">
        <f>IFERROR(IF('PyG 3 Años'!$B$9="","",('PyG 3 Años'!$B$9+'PyG 3 Años'!$B$9*SUMPRODUCT('PyG 3 Años'!$E$10:$E$11,'PyG 3 Años'!$G$10:$G$11))*B7*(1-MIN(30,'0. Supuestos'!$B$58)/30)),"")</f>
        <v>20063.505199826996</v>
      </c>
      <c r="C9" s="33">
        <f>IFERROR(IF('PyG 3 Años'!$B$9="","",('PyG 3 Años'!$B$9+'PyG 3 Años'!$B$9*SUMPRODUCT('PyG 3 Años'!$E$10:$E$11,'PyG 3 Años'!$G$10:$G$11))*(C7*(1-MIN(30,'0. Supuestos'!$B$58)/30)+B7*MIN(30,'0. Supuestos'!$B$58)/30)),"")</f>
        <v>24999.76441565745</v>
      </c>
      <c r="D9" s="33">
        <f>IFERROR(IF('PyG 3 Años'!$B$9="","",('PyG 3 Años'!$B$9+'PyG 3 Años'!$B$9*SUMPRODUCT('PyG 3 Años'!$E$10:$E$11,'PyG 3 Años'!$G$10:$G$11))*(D7*(1-MIN(30,'0. Supuestos'!$B$58)/30)+C7*MIN(30,'0. Supuestos'!$B$58)/30)),"")</f>
        <v>30409.176588581326</v>
      </c>
      <c r="E9" s="33">
        <f>IFERROR(IF('PyG 3 Años'!$B$9="","",('PyG 3 Años'!$B$9+'PyG 3 Años'!$B$9*SUMPRODUCT('PyG 3 Años'!$E$10:$E$11,'PyG 3 Años'!$G$10:$G$11))*(E7*(1-MIN(30,'0. Supuestos'!$B$58)/30)+D7*MIN(30,'0. Supuestos'!$B$58)/30)),"")</f>
        <v>34917.778323961946</v>
      </c>
      <c r="F9" s="33">
        <f>IFERROR(IF('PyG 3 Años'!$B$9="","",('PyG 3 Años'!$B$9+'PyG 3 Años'!$B$9*SUMPRODUCT('PyG 3 Años'!$E$10:$E$11,'PyG 3 Años'!$G$10:$G$11))*(F7*(1-MIN(30,'0. Supuestos'!$B$58)/30)+E7*MIN(30,'0. Supuestos'!$B$58)/30)),"")</f>
        <v>35977.82292975779</v>
      </c>
      <c r="G9" s="33">
        <f>IFERROR(IF('PyG 3 Años'!$B$9="","",('PyG 3 Años'!$B$9+'PyG 3 Años'!$B$9*SUMPRODUCT('PyG 3 Años'!$E$10:$E$11,'PyG 3 Años'!$G$10:$G$11))*(G7*(1-MIN(30,'0. Supuestos'!$B$58)/30)+F7*MIN(30,'0. Supuestos'!$B$58)/30)),"")</f>
        <v>36032.41750173011</v>
      </c>
      <c r="H9" s="33">
        <f>IFERROR(IF('PyG 3 Años'!$B$9="","",('PyG 3 Años'!$B$9+'PyG 3 Años'!$B$9*SUMPRODUCT('PyG 3 Años'!$E$10:$E$11,'PyG 3 Años'!$G$10:$G$11))*(H7*(1-MIN(30,'0. Supuestos'!$B$58)/30)+G7*MIN(30,'0. Supuestos'!$B$58)/30)),"")</f>
        <v>34503.7694865052</v>
      </c>
      <c r="I9" s="33">
        <f>IFERROR(IF('PyG 3 Años'!$B$9="","",('PyG 3 Años'!$B$9+'PyG 3 Años'!$B$9*SUMPRODUCT('PyG 3 Años'!$E$10:$E$11,'PyG 3 Años'!$G$10:$G$11))*(I7*(1-MIN(30,'0. Supuestos'!$B$58)/30)+H7*MIN(30,'0. Supuestos'!$B$58)/30)),"")</f>
        <v>29044.312289273363</v>
      </c>
      <c r="J9" s="33">
        <f>IFERROR(IF('PyG 3 Años'!$B$9="","",('PyG 3 Años'!$B$9+'PyG 3 Años'!$B$9*SUMPRODUCT('PyG 3 Años'!$E$10:$E$11,'PyG 3 Años'!$G$10:$G$11))*(J7*(1-MIN(30,'0. Supuestos'!$B$58)/30)+I7*MIN(30,'0. Supuestos'!$B$58)/30)),"")</f>
        <v>35541.066353979244</v>
      </c>
      <c r="K9" s="33">
        <f>IFERROR(IF('PyG 3 Años'!$B$9="","",('PyG 3 Años'!$B$9+'PyG 3 Años'!$B$9*SUMPRODUCT('PyG 3 Años'!$E$10:$E$11,'PyG 3 Años'!$G$10:$G$11))*(K7*(1-MIN(30,'0. Supuestos'!$B$58)/30)+J7*MIN(30,'0. Supuestos'!$B$58)/30)),"")</f>
        <v>36032.41750173011</v>
      </c>
      <c r="L9" s="33">
        <f>IFERROR(IF('PyG 3 Años'!$B$9="","",('PyG 3 Años'!$B$9+'PyG 3 Años'!$B$9*SUMPRODUCT('PyG 3 Años'!$E$10:$E$11,'PyG 3 Años'!$G$10:$G$11))*(L7*(1-MIN(30,'0. Supuestos'!$B$58)/30)+K7*MIN(30,'0. Supuestos'!$B$58)/30)),"")</f>
        <v>35268.09349411765</v>
      </c>
      <c r="M9" s="33">
        <f>IFERROR(IF('PyG 3 Años'!$B$9="","",('PyG 3 Años'!$B$9+'PyG 3 Años'!$B$9*SUMPRODUCT('PyG 3 Años'!$E$10:$E$11,'PyG 3 Años'!$G$10:$G$11))*(M7*(1-MIN(30,'0. Supuestos'!$B$58)/30)+L7*MIN(30,'0. Supuestos'!$B$58)/30)),"")</f>
        <v>39035.11896020762</v>
      </c>
      <c r="N9" s="33">
        <f>IFERROR(IF('PyG 3 Años'!$B$9="","",SUM(B9:M9)),"")</f>
        <v>391825.2430453288</v>
      </c>
      <c r="O9" s="29" t="inlineStr">
        <is>
          <t>Ventas del mes con el IVA repercutido, corregidas por los días medios de cobro de la hoja de Supuestos</t>
        </is>
      </c>
    </row>
    <row r="10">
      <c r="A10" s="26" t="inlineStr">
        <is>
          <t>PAGOS</t>
        </is>
      </c>
      <c r="B10" s="29" t="n"/>
      <c r="C10" s="29" t="n"/>
      <c r="D10" s="29" t="n"/>
      <c r="E10" s="29" t="n"/>
      <c r="F10" s="29" t="n"/>
      <c r="G10" s="29" t="n"/>
      <c r="H10" s="29" t="n"/>
      <c r="I10" s="29" t="n"/>
      <c r="J10" s="29" t="n"/>
      <c r="K10" s="29" t="n"/>
      <c r="L10" s="29" t="n"/>
      <c r="M10" s="29" t="n"/>
      <c r="N10" s="29" t="n"/>
      <c r="O10" s="29" t="n"/>
    </row>
    <row r="11">
      <c r="A11" s="29" t="inlineStr">
        <is>
          <t>Compras y costes variables (IVA incluido)</t>
        </is>
      </c>
      <c r="B11" s="33">
        <f>IFERROR(IF('PyG 3 Años'!$B$9="","",-('PyG 3 Años'!$B$13*(1+'PyG 3 Años'!$G$13)+'PyG 3 Años'!$B$14*(1+'PyG 3 Años'!$G$14)+'PyG 3 Años'!$B$15*(1+'PyG 3 Años'!$G$15)+'PyG 3 Años'!$B$16*(1+'PyG 3 Años'!$G$16)+'PyG 3 Años'!$B$17*(1+'PyG 3 Años'!$G$17)+'PyG 3 Años'!$B$18*(1+'PyG 3 Años'!$G$18))*B7*(1-MIN(30,'0. Supuestos'!$B$59)/30)),"")</f>
        <v>-0.0</v>
      </c>
      <c r="C11" s="33">
        <f>IFERROR(IF('PyG 3 Años'!$B$9="","",-('PyG 3 Años'!$B$13*(1+'PyG 3 Años'!$G$13)+'PyG 3 Años'!$B$14*(1+'PyG 3 Años'!$G$14)+'PyG 3 Años'!$B$15*(1+'PyG 3 Años'!$G$15)+'PyG 3 Años'!$B$16*(1+'PyG 3 Años'!$G$16)+'PyG 3 Años'!$B$17*(1+'PyG 3 Años'!$G$17)+'PyG 3 Años'!$B$18*(1+'PyG 3 Años'!$G$18))*(C7*(1-MIN(30,'0. Supuestos'!$B$59)/30)+B7*MIN(30,'0. Supuestos'!$B$59)/30)),"")</f>
        <v>-8077.645167820071</v>
      </c>
      <c r="D11" s="33">
        <f>IFERROR(IF('PyG 3 Años'!$B$9="","",-('PyG 3 Años'!$B$13*(1+'PyG 3 Años'!$G$13)+'PyG 3 Años'!$B$14*(1+'PyG 3 Años'!$G$14)+'PyG 3 Años'!$B$15*(1+'PyG 3 Años'!$G$15)+'PyG 3 Años'!$B$16*(1+'PyG 3 Años'!$G$16)+'PyG 3 Años'!$B$17*(1+'PyG 3 Años'!$G$17)+'PyG 3 Años'!$B$18*(1+'PyG 3 Años'!$G$18))*(D7*(1-MIN(30,'0. Supuestos'!$B$59)/30)+C7*MIN(30,'0. Supuestos'!$B$59)/30)),"")</f>
        <v>-9488.027657439448</v>
      </c>
      <c r="E11" s="33">
        <f>IFERROR(IF('PyG 3 Años'!$B$9="","",-('PyG 3 Años'!$B$13*(1+'PyG 3 Años'!$G$13)+'PyG 3 Años'!$B$14*(1+'PyG 3 Años'!$G$14)+'PyG 3 Años'!$B$15*(1+'PyG 3 Años'!$G$15)+'PyG 3 Años'!$B$16*(1+'PyG 3 Años'!$G$16)+'PyG 3 Años'!$B$17*(1+'PyG 3 Años'!$G$17)+'PyG 3 Años'!$B$18*(1+'PyG 3 Años'!$G$18))*(E7*(1-MIN(30,'0. Supuestos'!$B$59)/30)+D7*MIN(30,'0. Supuestos'!$B$59)/30)),"")</f>
        <v>-11565.136414878894</v>
      </c>
      <c r="F11" s="33">
        <f>IFERROR(IF('PyG 3 Años'!$B$9="","",-('PyG 3 Años'!$B$13*(1+'PyG 3 Años'!$G$13)+'PyG 3 Años'!$B$14*(1+'PyG 3 Años'!$G$14)+'PyG 3 Años'!$B$15*(1+'PyG 3 Años'!$G$15)+'PyG 3 Años'!$B$16*(1+'PyG 3 Años'!$G$16)+'PyG 3 Años'!$B$17*(1+'PyG 3 Años'!$G$17)+'PyG 3 Años'!$B$18*(1+'PyG 3 Años'!$G$18))*(F7*(1-MIN(30,'0. Supuestos'!$B$59)/30)+E7*MIN(30,'0. Supuestos'!$B$59)/30)),"")</f>
        <v>-13231.952084429067</v>
      </c>
      <c r="G11" s="33">
        <f>IFERROR(IF('PyG 3 Años'!$B$9="","",-('PyG 3 Años'!$B$13*(1+'PyG 3 Años'!$G$13)+'PyG 3 Años'!$B$14*(1+'PyG 3 Años'!$G$14)+'PyG 3 Años'!$B$15*(1+'PyG 3 Años'!$G$15)+'PyG 3 Años'!$B$16*(1+'PyG 3 Años'!$G$16)+'PyG 3 Años'!$B$17*(1+'PyG 3 Años'!$G$17)+'PyG 3 Años'!$B$18*(1+'PyG 3 Años'!$G$18))*(G7*(1-MIN(30,'0. Supuestos'!$B$59)/30)+F7*MIN(30,'0. Supuestos'!$B$59)/30)),"")</f>
        <v>-13539.671900346022</v>
      </c>
      <c r="H11" s="33">
        <f>IFERROR(IF('PyG 3 Años'!$B$9="","",-('PyG 3 Años'!$B$13*(1+'PyG 3 Años'!$G$13)+'PyG 3 Años'!$B$14*(1+'PyG 3 Años'!$G$14)+'PyG 3 Años'!$B$15*(1+'PyG 3 Años'!$G$15)+'PyG 3 Años'!$B$16*(1+'PyG 3 Años'!$G$16)+'PyG 3 Años'!$B$17*(1+'PyG 3 Años'!$G$17)+'PyG 3 Años'!$B$18*(1+'PyG 3 Años'!$G$18))*(H7*(1-MIN(30,'0. Supuestos'!$B$59)/30)+G7*MIN(30,'0. Supuestos'!$B$59)/30)),"")</f>
        <v>-13539.671900346022</v>
      </c>
      <c r="I11" s="33">
        <f>IFERROR(IF('PyG 3 Años'!$B$9="","",-('PyG 3 Años'!$B$13*(1+'PyG 3 Años'!$G$13)+'PyG 3 Años'!$B$14*(1+'PyG 3 Años'!$G$14)+'PyG 3 Años'!$B$15*(1+'PyG 3 Años'!$G$15)+'PyG 3 Años'!$B$16*(1+'PyG 3 Años'!$G$16)+'PyG 3 Años'!$B$17*(1+'PyG 3 Años'!$G$17)+'PyG 3 Años'!$B$18*(1+'PyG 3 Años'!$G$18))*(I7*(1-MIN(30,'0. Supuestos'!$B$59)/30)+H7*MIN(30,'0. Supuestos'!$B$59)/30)),"")</f>
        <v>-12924.232268512113</v>
      </c>
      <c r="J11" s="33">
        <f>IFERROR(IF('PyG 3 Años'!$B$9="","",-('PyG 3 Años'!$B$13*(1+'PyG 3 Años'!$G$13)+'PyG 3 Años'!$B$14*(1+'PyG 3 Años'!$G$14)+'PyG 3 Años'!$B$15*(1+'PyG 3 Años'!$G$15)+'PyG 3 Años'!$B$16*(1+'PyG 3 Años'!$G$16)+'PyG 3 Años'!$B$17*(1+'PyG 3 Años'!$G$17)+'PyG 3 Años'!$B$18*(1+'PyG 3 Años'!$G$18))*(J7*(1-MIN(30,'0. Supuestos'!$B$59)/30)+I7*MIN(30,'0. Supuestos'!$B$59)/30)),"")</f>
        <v>-10770.193557093427</v>
      </c>
      <c r="K11" s="33">
        <f>IFERROR(IF('PyG 3 Años'!$B$9="","",-('PyG 3 Años'!$B$13*(1+'PyG 3 Años'!$G$13)+'PyG 3 Años'!$B$14*(1+'PyG 3 Años'!$G$14)+'PyG 3 Años'!$B$15*(1+'PyG 3 Años'!$G$15)+'PyG 3 Años'!$B$16*(1+'PyG 3 Años'!$G$16)+'PyG 3 Años'!$B$17*(1+'PyG 3 Años'!$G$17)+'PyG 3 Años'!$B$18*(1+'PyG 3 Años'!$G$18))*(K7*(1-MIN(30,'0. Supuestos'!$B$59)/30)+J7*MIN(30,'0. Supuestos'!$B$59)/30)),"")</f>
        <v>-13539.671900346022</v>
      </c>
      <c r="L11" s="33">
        <f>IFERROR(IF('PyG 3 Años'!$B$9="","",-('PyG 3 Años'!$B$13*(1+'PyG 3 Años'!$G$13)+'PyG 3 Años'!$B$14*(1+'PyG 3 Años'!$G$14)+'PyG 3 Años'!$B$15*(1+'PyG 3 Años'!$G$15)+'PyG 3 Años'!$B$16*(1+'PyG 3 Años'!$G$16)+'PyG 3 Años'!$B$17*(1+'PyG 3 Años'!$G$17)+'PyG 3 Años'!$B$18*(1+'PyG 3 Años'!$G$18))*(L7*(1-MIN(30,'0. Supuestos'!$B$59)/30)+K7*MIN(30,'0. Supuestos'!$B$59)/30)),"")</f>
        <v>-13539.671900346022</v>
      </c>
      <c r="M11" s="33">
        <f>IFERROR(IF('PyG 3 Años'!$B$9="","",-('PyG 3 Años'!$B$13*(1+'PyG 3 Años'!$G$13)+'PyG 3 Años'!$B$14*(1+'PyG 3 Años'!$G$14)+'PyG 3 Años'!$B$15*(1+'PyG 3 Años'!$G$15)+'PyG 3 Años'!$B$16*(1+'PyG 3 Años'!$G$16)+'PyG 3 Años'!$B$17*(1+'PyG 3 Años'!$G$17)+'PyG 3 Años'!$B$18*(1+'PyG 3 Años'!$G$18))*(M7*(1-MIN(30,'0. Supuestos'!$B$59)/30)+L7*MIN(30,'0. Supuestos'!$B$59)/30)),"")</f>
        <v>-13231.952084429067</v>
      </c>
      <c r="N11" s="33">
        <f>IFERROR(IF('PyG 3 Años'!$B$9="","",SUM(B11:M11)),"")</f>
        <v>-133447.82683598617</v>
      </c>
      <c r="O11" s="29" t="str">
        <f>IFERROR("Materia prima, consumibles, comisiones e imprevistos, cada uno con SU tipo de IVA (la columna del P&amp;L) y con los días de pago a proveedor de Supuestos."&amp;IF('0. Supuestos'!$B$59=0,""," Con "&amp;TEXT('0. Supuestos'!$B$59,"0")&amp;" días de pago, las primeras compras se pagan ya en el año siguiente: la columna «Año» de esta fila recoge "&amp;TEXT(MAX(0,12-ROUNDUP('0. Supuestos'!$B$59/30,0)),"0")&amp;" mensualidades de compra, no el coste del ejercicio."),"")</f>
        <v>Materia prima, consumibles, comisiones e imprevistos, cada uno con SU tipo de IVA (la columna del P&amp;L) y con los días de pago a proveedor de Supuestos. Con 30 días de pago, las primeras compras se pagan ya en el año siguiente: la columna «Año» de esta fila recoge 11 mensualidades de compra, no el coste del ejercicio.</v>
      </c>
    </row>
    <row r="12">
      <c r="A12" s="29" t="inlineStr">
        <is>
          <t>Costes fijos de explotación (IVA incluido)</t>
        </is>
      </c>
      <c r="B12" s="33">
        <f>IFERROR(IF('PyG 3 Años'!$B$9="","",-('PyG 3 Años'!$B$37-'PyG 3 Años'!$B$23-'PyG 3 Años'!$B$35-'PyG 3 Años'!$B$36+'PyG 3 Años'!$B$39)/12),"")</f>
        <v>-4291.166666666667</v>
      </c>
      <c r="C12" s="33">
        <f>IFERROR(IF('PyG 3 Años'!$B$9="","",-('PyG 3 Años'!$B$37-'PyG 3 Años'!$B$23-'PyG 3 Años'!$B$35-'PyG 3 Años'!$B$36+'PyG 3 Años'!$B$39)/12),"")</f>
        <v>-4291.166666666667</v>
      </c>
      <c r="D12" s="33">
        <f>IFERROR(IF('PyG 3 Años'!$B$9="","",-('PyG 3 Años'!$B$37-'PyG 3 Años'!$B$23-'PyG 3 Años'!$B$35-'PyG 3 Años'!$B$36+'PyG 3 Años'!$B$39)/12),"")</f>
        <v>-4291.166666666667</v>
      </c>
      <c r="E12" s="33">
        <f>IFERROR(IF('PyG 3 Años'!$B$9="","",-('PyG 3 Años'!$B$37-'PyG 3 Años'!$B$23-'PyG 3 Años'!$B$35-'PyG 3 Años'!$B$36+'PyG 3 Años'!$B$39)/12),"")</f>
        <v>-4291.166666666667</v>
      </c>
      <c r="F12" s="33">
        <f>IFERROR(IF('PyG 3 Años'!$B$9="","",-('PyG 3 Años'!$B$37-'PyG 3 Años'!$B$23-'PyG 3 Años'!$B$35-'PyG 3 Años'!$B$36+'PyG 3 Años'!$B$39)/12),"")</f>
        <v>-4291.166666666667</v>
      </c>
      <c r="G12" s="33">
        <f>IFERROR(IF('PyG 3 Años'!$B$9="","",-('PyG 3 Años'!$B$37-'PyG 3 Años'!$B$23-'PyG 3 Años'!$B$35-'PyG 3 Años'!$B$36+'PyG 3 Años'!$B$39)/12),"")</f>
        <v>-4291.166666666667</v>
      </c>
      <c r="H12" s="33">
        <f>IFERROR(IF('PyG 3 Años'!$B$9="","",-('PyG 3 Años'!$B$37-'PyG 3 Años'!$B$23-'PyG 3 Años'!$B$35-'PyG 3 Años'!$B$36+'PyG 3 Años'!$B$39)/12),"")</f>
        <v>-4291.166666666667</v>
      </c>
      <c r="I12" s="33">
        <f>IFERROR(IF('PyG 3 Años'!$B$9="","",-('PyG 3 Años'!$B$37-'PyG 3 Años'!$B$23-'PyG 3 Años'!$B$35-'PyG 3 Años'!$B$36+'PyG 3 Años'!$B$39)/12),"")</f>
        <v>-4291.166666666667</v>
      </c>
      <c r="J12" s="33">
        <f>IFERROR(IF('PyG 3 Años'!$B$9="","",-('PyG 3 Años'!$B$37-'PyG 3 Años'!$B$23-'PyG 3 Años'!$B$35-'PyG 3 Años'!$B$36+'PyG 3 Años'!$B$39)/12),"")</f>
        <v>-4291.166666666667</v>
      </c>
      <c r="K12" s="33">
        <f>IFERROR(IF('PyG 3 Años'!$B$9="","",-('PyG 3 Años'!$B$37-'PyG 3 Años'!$B$23-'PyG 3 Años'!$B$35-'PyG 3 Años'!$B$36+'PyG 3 Años'!$B$39)/12),"")</f>
        <v>-4291.166666666667</v>
      </c>
      <c r="L12" s="33">
        <f>IFERROR(IF('PyG 3 Años'!$B$9="","",-('PyG 3 Años'!$B$37-'PyG 3 Años'!$B$23-'PyG 3 Años'!$B$35-'PyG 3 Años'!$B$36+'PyG 3 Años'!$B$39)/12),"")</f>
        <v>-4291.166666666667</v>
      </c>
      <c r="M12" s="33">
        <f>IFERROR(IF('PyG 3 Años'!$B$9="","",-('PyG 3 Años'!$B$37-'PyG 3 Años'!$B$23-'PyG 3 Años'!$B$35-'PyG 3 Años'!$B$36+'PyG 3 Años'!$B$39)/12),"")</f>
        <v>-4291.166666666667</v>
      </c>
      <c r="N12" s="33">
        <f>IFERROR(IF('PyG 3 Años'!$B$9="","",SUM(B12:M12)),"")</f>
        <v>-51494.0</v>
      </c>
      <c r="O12" s="29" t="inlineStr">
        <is>
          <t>Los fijos que salen de caja, cada uno con su tipo de IVA: los seguros están exentos y no llevan</t>
        </is>
      </c>
    </row>
    <row r="13">
      <c r="A13" s="29" t="inlineStr">
        <is>
          <t>Nóminas y Seguridad Social</t>
        </is>
      </c>
      <c r="B13" s="33">
        <f>IFERROR(IF('PyG 3 Años'!$B$9="","",-'PyG 3 Años'!$B$23/MAX(12,'0. Supuestos'!$B$21)*(1+IF(1='0. Supuestos'!$B$60,(MAX(12,'0. Supuestos'!$B$21)-12)/2,0)+IF(1='0. Supuestos'!$B$61,(MAX(12,'0. Supuestos'!$B$21)-12)/2,0))),"")</f>
        <v>-9251.48</v>
      </c>
      <c r="C13" s="33">
        <f>IFERROR(IF('PyG 3 Años'!$B$9="","",-'PyG 3 Años'!$B$23/MAX(12,'0. Supuestos'!$B$21)*(1+IF(2='0. Supuestos'!$B$60,(MAX(12,'0. Supuestos'!$B$21)-12)/2,0)+IF(2='0. Supuestos'!$B$61,(MAX(12,'0. Supuestos'!$B$21)-12)/2,0))),"")</f>
        <v>-9251.48</v>
      </c>
      <c r="D13" s="33">
        <f>IFERROR(IF('PyG 3 Años'!$B$9="","",-'PyG 3 Años'!$B$23/MAX(12,'0. Supuestos'!$B$21)*(1+IF(3='0. Supuestos'!$B$60,(MAX(12,'0. Supuestos'!$B$21)-12)/2,0)+IF(3='0. Supuestos'!$B$61,(MAX(12,'0. Supuestos'!$B$21)-12)/2,0))),"")</f>
        <v>-9251.48</v>
      </c>
      <c r="E13" s="33">
        <f>IFERROR(IF('PyG 3 Años'!$B$9="","",-'PyG 3 Años'!$B$23/MAX(12,'0. Supuestos'!$B$21)*(1+IF(4='0. Supuestos'!$B$60,(MAX(12,'0. Supuestos'!$B$21)-12)/2,0)+IF(4='0. Supuestos'!$B$61,(MAX(12,'0. Supuestos'!$B$21)-12)/2,0))),"")</f>
        <v>-9251.48</v>
      </c>
      <c r="F13" s="33">
        <f>IFERROR(IF('PyG 3 Años'!$B$9="","",-'PyG 3 Años'!$B$23/MAX(12,'0. Supuestos'!$B$21)*(1+IF(5='0. Supuestos'!$B$60,(MAX(12,'0. Supuestos'!$B$21)-12)/2,0)+IF(5='0. Supuestos'!$B$61,(MAX(12,'0. Supuestos'!$B$21)-12)/2,0))),"")</f>
        <v>-9251.48</v>
      </c>
      <c r="G13" s="33">
        <f>IFERROR(IF('PyG 3 Años'!$B$9="","",-'PyG 3 Años'!$B$23/MAX(12,'0. Supuestos'!$B$21)*(1+IF(6='0. Supuestos'!$B$60,(MAX(12,'0. Supuestos'!$B$21)-12)/2,0)+IF(6='0. Supuestos'!$B$61,(MAX(12,'0. Supuestos'!$B$21)-12)/2,0))),"")</f>
        <v>-9251.48</v>
      </c>
      <c r="H13" s="33">
        <f>IFERROR(IF('PyG 3 Años'!$B$9="","",-'PyG 3 Años'!$B$23/MAX(12,'0. Supuestos'!$B$21)*(1+IF(7='0. Supuestos'!$B$60,(MAX(12,'0. Supuestos'!$B$21)-12)/2,0)+IF(7='0. Supuestos'!$B$61,(MAX(12,'0. Supuestos'!$B$21)-12)/2,0))),"")</f>
        <v>-18502.96</v>
      </c>
      <c r="I13" s="33">
        <f>IFERROR(IF('PyG 3 Años'!$B$9="","",-'PyG 3 Años'!$B$23/MAX(12,'0. Supuestos'!$B$21)*(1+IF(8='0. Supuestos'!$B$60,(MAX(12,'0. Supuestos'!$B$21)-12)/2,0)+IF(8='0. Supuestos'!$B$61,(MAX(12,'0. Supuestos'!$B$21)-12)/2,0))),"")</f>
        <v>-9251.48</v>
      </c>
      <c r="J13" s="33">
        <f>IFERROR(IF('PyG 3 Años'!$B$9="","",-'PyG 3 Años'!$B$23/MAX(12,'0. Supuestos'!$B$21)*(1+IF(9='0. Supuestos'!$B$60,(MAX(12,'0. Supuestos'!$B$21)-12)/2,0)+IF(9='0. Supuestos'!$B$61,(MAX(12,'0. Supuestos'!$B$21)-12)/2,0))),"")</f>
        <v>-9251.48</v>
      </c>
      <c r="K13" s="33">
        <f>IFERROR(IF('PyG 3 Años'!$B$9="","",-'PyG 3 Años'!$B$23/MAX(12,'0. Supuestos'!$B$21)*(1+IF(10='0. Supuestos'!$B$60,(MAX(12,'0. Supuestos'!$B$21)-12)/2,0)+IF(10='0. Supuestos'!$B$61,(MAX(12,'0. Supuestos'!$B$21)-12)/2,0))),"")</f>
        <v>-9251.48</v>
      </c>
      <c r="L13" s="33">
        <f>IFERROR(IF('PyG 3 Años'!$B$9="","",-'PyG 3 Años'!$B$23/MAX(12,'0. Supuestos'!$B$21)*(1+IF(11='0. Supuestos'!$B$60,(MAX(12,'0. Supuestos'!$B$21)-12)/2,0)+IF(11='0. Supuestos'!$B$61,(MAX(12,'0. Supuestos'!$B$21)-12)/2,0))),"")</f>
        <v>-9251.48</v>
      </c>
      <c r="M13" s="33">
        <f>IFERROR(IF('PyG 3 Años'!$B$9="","",-'PyG 3 Años'!$B$23/MAX(12,'0. Supuestos'!$B$21)*(1+IF(12='0. Supuestos'!$B$60,(MAX(12,'0. Supuestos'!$B$21)-12)/2,0)+IF(12='0. Supuestos'!$B$61,(MAX(12,'0. Supuestos'!$B$21)-12)/2,0))),"")</f>
        <v>-18502.96</v>
      </c>
      <c r="N13" s="33">
        <f>IFERROR(IF('PyG 3 Años'!$B$9="","",SUM(B13:M13)),"")</f>
        <v>-129520.72</v>
      </c>
      <c r="O13" s="29" t="inlineStr">
        <is>
          <t>Doce mensualidades más las pagas extra en los meses que digas en Supuestos. La suma del año es la misma que la del P&amp;L</t>
        </is>
      </c>
    </row>
    <row r="14">
      <c r="A14" s="29" t="inlineStr">
        <is>
          <t>Intereses del préstamo</t>
        </is>
      </c>
      <c r="B14" s="33">
        <f>IFERROR(IF('PyG 3 Años'!$B$9="","",-'Financiación'!$B$44/12),"")</f>
        <v>-590.0</v>
      </c>
      <c r="C14" s="33">
        <f>IFERROR(IF('PyG 3 Años'!$B$9="","",-'Financiación'!$B$44/12),"")</f>
        <v>-590.0</v>
      </c>
      <c r="D14" s="33">
        <f>IFERROR(IF('PyG 3 Años'!$B$9="","",-'Financiación'!$B$44/12),"")</f>
        <v>-590.0</v>
      </c>
      <c r="E14" s="33">
        <f>IFERROR(IF('PyG 3 Años'!$B$9="","",-'Financiación'!$B$44/12),"")</f>
        <v>-590.0</v>
      </c>
      <c r="F14" s="33">
        <f>IFERROR(IF('PyG 3 Años'!$B$9="","",-'Financiación'!$B$44/12),"")</f>
        <v>-590.0</v>
      </c>
      <c r="G14" s="33">
        <f>IFERROR(IF('PyG 3 Años'!$B$9="","",-'Financiación'!$B$44/12),"")</f>
        <v>-590.0</v>
      </c>
      <c r="H14" s="33">
        <f>IFERROR(IF('PyG 3 Años'!$B$9="","",-'Financiación'!$B$44/12),"")</f>
        <v>-590.0</v>
      </c>
      <c r="I14" s="33">
        <f>IFERROR(IF('PyG 3 Años'!$B$9="","",-'Financiación'!$B$44/12),"")</f>
        <v>-590.0</v>
      </c>
      <c r="J14" s="33">
        <f>IFERROR(IF('PyG 3 Años'!$B$9="","",-'Financiación'!$B$44/12),"")</f>
        <v>-590.0</v>
      </c>
      <c r="K14" s="33">
        <f>IFERROR(IF('PyG 3 Años'!$B$9="","",-'Financiación'!$B$44/12),"")</f>
        <v>-590.0</v>
      </c>
      <c r="L14" s="33">
        <f>IFERROR(IF('PyG 3 Años'!$B$9="","",-'Financiación'!$B$44/12),"")</f>
        <v>-590.0</v>
      </c>
      <c r="M14" s="33">
        <f>IFERROR(IF('PyG 3 Años'!$B$9="","",-'Financiación'!$B$44/12),"")</f>
        <v>-590.0</v>
      </c>
      <c r="N14" s="33">
        <f>IFERROR(IF('PyG 3 Años'!$B$9="","",SUM(B14:M14)),"")</f>
        <v>-7080.0</v>
      </c>
      <c r="O14" s="29" t="n"/>
    </row>
    <row r="15">
      <c r="A15" s="29" t="inlineStr">
        <is>
          <t>Devolución de principal del préstamo</t>
        </is>
      </c>
      <c r="B15" s="33">
        <f>IFERROR(IF('PyG 3 Años'!$B$9="","",-'Financiación'!$B$45/12),"")</f>
        <v>0.0</v>
      </c>
      <c r="C15" s="33">
        <f>IFERROR(IF('PyG 3 Años'!$B$9="","",-'Financiación'!$B$45/12),"")</f>
        <v>0.0</v>
      </c>
      <c r="D15" s="33">
        <f>IFERROR(IF('PyG 3 Años'!$B$9="","",-'Financiación'!$B$45/12),"")</f>
        <v>0.0</v>
      </c>
      <c r="E15" s="33">
        <f>IFERROR(IF('PyG 3 Años'!$B$9="","",-'Financiación'!$B$45/12),"")</f>
        <v>0.0</v>
      </c>
      <c r="F15" s="33">
        <f>IFERROR(IF('PyG 3 Años'!$B$9="","",-'Financiación'!$B$45/12),"")</f>
        <v>0.0</v>
      </c>
      <c r="G15" s="33">
        <f>IFERROR(IF('PyG 3 Años'!$B$9="","",-'Financiación'!$B$45/12),"")</f>
        <v>0.0</v>
      </c>
      <c r="H15" s="33">
        <f>IFERROR(IF('PyG 3 Años'!$B$9="","",-'Financiación'!$B$45/12),"")</f>
        <v>0.0</v>
      </c>
      <c r="I15" s="33">
        <f>IFERROR(IF('PyG 3 Años'!$B$9="","",-'Financiación'!$B$45/12),"")</f>
        <v>0.0</v>
      </c>
      <c r="J15" s="33">
        <f>IFERROR(IF('PyG 3 Años'!$B$9="","",-'Financiación'!$B$45/12),"")</f>
        <v>0.0</v>
      </c>
      <c r="K15" s="33">
        <f>IFERROR(IF('PyG 3 Años'!$B$9="","",-'Financiación'!$B$45/12),"")</f>
        <v>0.0</v>
      </c>
      <c r="L15" s="33">
        <f>IFERROR(IF('PyG 3 Años'!$B$9="","",-'Financiación'!$B$45/12),"")</f>
        <v>0.0</v>
      </c>
      <c r="M15" s="33">
        <f>IFERROR(IF('PyG 3 Años'!$B$9="","",-'Financiación'!$B$45/12),"")</f>
        <v>0.0</v>
      </c>
      <c r="N15" s="33">
        <f>IFERROR(IF('PyG 3 Años'!$B$9="","",SUM(B15:M15)),"")</f>
        <v>0.0</v>
      </c>
      <c r="O15" s="29" t="n"/>
    </row>
    <row r="16">
      <c r="A16" s="29" t="inlineStr">
        <is>
          <t>IVA repercutido del mes (memoria)</t>
        </is>
      </c>
      <c r="B16" s="33">
        <f>IFERROR(IF('PyG 3 Años'!$B$9="","",'PyG 3 Años'!$B$9*B7*SUMPRODUCT('PyG 3 Años'!$E$10:$E$11,'PyG 3 Años'!$G$10:$G$11)),"")</f>
        <v>1983.5071777681671</v>
      </c>
      <c r="C16" s="33">
        <f>IFERROR(IF('PyG 3 Años'!$B$9="","",'PyG 3 Años'!$B$9*C7*SUMPRODUCT('PyG 3 Años'!$E$10:$E$11,'PyG 3 Años'!$G$10:$G$11)),"")</f>
        <v>2329.833827854672</v>
      </c>
      <c r="D16" s="33">
        <f>IFERROR(IF('PyG 3 Años'!$B$9="","",'PyG 3 Años'!$B$9*D7*SUMPRODUCT('PyG 3 Años'!$E$10:$E$11,'PyG 3 Años'!$G$10:$G$11)),"")</f>
        <v>2839.8785307093435</v>
      </c>
      <c r="E16" s="33">
        <f>IFERROR(IF('PyG 3 Años'!$B$9="","",'PyG 3 Años'!$B$9*E7*SUMPRODUCT('PyG 3 Años'!$E$10:$E$11,'PyG 3 Años'!$G$10:$G$11)),"")</f>
        <v>3249.173662629759</v>
      </c>
      <c r="F16" s="33">
        <f>IFERROR(IF('PyG 3 Años'!$B$9="","",'PyG 3 Años'!$B$9*F7*SUMPRODUCT('PyG 3 Años'!$E$10:$E$11,'PyG 3 Años'!$G$10:$G$11)),"")</f>
        <v>3324.735840830451</v>
      </c>
      <c r="G16" s="33">
        <f>IFERROR(IF('PyG 3 Años'!$B$9="","",'PyG 3 Años'!$B$9*G7*SUMPRODUCT('PyG 3 Años'!$E$10:$E$11,'PyG 3 Años'!$G$10:$G$11)),"")</f>
        <v>3324.735840830451</v>
      </c>
      <c r="H16" s="33">
        <f>IFERROR(IF('PyG 3 Años'!$B$9="","",'PyG 3 Años'!$B$9*H7*SUMPRODUCT('PyG 3 Años'!$E$10:$E$11,'PyG 3 Años'!$G$10:$G$11)),"")</f>
        <v>3173.611484429067</v>
      </c>
      <c r="I16" s="33">
        <f>IFERROR(IF('PyG 3 Años'!$B$9="","",'PyG 3 Años'!$B$9*I7*SUMPRODUCT('PyG 3 Años'!$E$10:$E$11,'PyG 3 Años'!$G$10:$G$11)),"")</f>
        <v>2644.6762370242227</v>
      </c>
      <c r="J16" s="33">
        <f>IFERROR(IF('PyG 3 Años'!$B$9="","",'PyG 3 Años'!$B$9*J7*SUMPRODUCT('PyG 3 Años'!$E$10:$E$11,'PyG 3 Años'!$G$10:$G$11)),"")</f>
        <v>3324.735840830451</v>
      </c>
      <c r="K16" s="33">
        <f>IFERROR(IF('PyG 3 Años'!$B$9="","",'PyG 3 Años'!$B$9*K7*SUMPRODUCT('PyG 3 Años'!$E$10:$E$11,'PyG 3 Años'!$G$10:$G$11)),"")</f>
        <v>3324.735840830451</v>
      </c>
      <c r="L16" s="33">
        <f>IFERROR(IF('PyG 3 Años'!$B$9="","",'PyG 3 Años'!$B$9*L7*SUMPRODUCT('PyG 3 Años'!$E$10:$E$11,'PyG 3 Años'!$G$10:$G$11)),"")</f>
        <v>3249.173662629759</v>
      </c>
      <c r="M16" s="33">
        <f>IFERROR(IF('PyG 3 Años'!$B$9="","",'PyG 3 Años'!$B$9*M7*SUMPRODUCT('PyG 3 Años'!$E$10:$E$11,'PyG 3 Años'!$G$10:$G$11)),"")</f>
        <v>3626.984553633219</v>
      </c>
      <c r="N16" s="33">
        <f>IFERROR(IF('PyG 3 Años'!$B$9="","",SUM(B16:M16)),"")</f>
        <v>36395.78250000001</v>
      </c>
      <c r="O16" s="29" t="inlineStr">
        <is>
          <t>Cada línea de venta a SU tipo, leído de la columna de IVA del P&amp;L: en sala, alcohol incluido, el reducido (art. 91.Uno.2.2.º de la Ley 37/1992 del IVA); la parte de la bebida que sale para llevar o a domicilio y declara la columna H de su línea (alcohol y aguas frescas o refrescos con azúcares o edulcorantes añadidos), al general (art. 91.Uno.1.1.º)</t>
        </is>
      </c>
    </row>
    <row r="17">
      <c r="A17" s="29" t="inlineStr">
        <is>
          <t>IVA soportado del mes (memoria)</t>
        </is>
      </c>
      <c r="B17" s="33">
        <f>IFERROR(IF('PyG 3 Años'!$B$9="","",'PyG 3 Años'!$B$38*B7+'PyG 3 Años'!$B$39/12),"")</f>
        <v>1640.8354359861596</v>
      </c>
      <c r="C17" s="33">
        <f>IFERROR(IF('PyG 3 Años'!$B$9="","",'PyG 3 Años'!$B$38*C7+'PyG 3 Años'!$B$39/12),"")</f>
        <v>1800.8305121107269</v>
      </c>
      <c r="D17" s="33">
        <f>IFERROR(IF('PyG 3 Años'!$B$9="","",'PyG 3 Años'!$B$38*D7+'PyG 3 Años'!$B$39/12),"")</f>
        <v>2036.4596242214536</v>
      </c>
      <c r="E17" s="33">
        <f>IFERROR(IF('PyG 3 Años'!$B$9="","",'PyG 3 Años'!$B$38*E7+'PyG 3 Años'!$B$39/12),"")</f>
        <v>2225.5447141868517</v>
      </c>
      <c r="F17" s="33">
        <f>IFERROR(IF('PyG 3 Años'!$B$9="","",'PyG 3 Años'!$B$38*F7+'PyG 3 Años'!$B$39/12),"")</f>
        <v>2260.452730795848</v>
      </c>
      <c r="G17" s="33">
        <f>IFERROR(IF('PyG 3 Años'!$B$9="","",'PyG 3 Años'!$B$38*G7+'PyG 3 Años'!$B$39/12),"")</f>
        <v>2260.452730795848</v>
      </c>
      <c r="H17" s="33">
        <f>IFERROR(IF('PyG 3 Años'!$B$9="","",'PyG 3 Años'!$B$38*H7+'PyG 3 Años'!$B$39/12),"")</f>
        <v>2190.636697577855</v>
      </c>
      <c r="I17" s="33">
        <f>IFERROR(IF('PyG 3 Años'!$B$9="","",'PyG 3 Años'!$B$38*I7+'PyG 3 Años'!$B$39/12),"")</f>
        <v>1946.2805813148793</v>
      </c>
      <c r="J17" s="33">
        <f>IFERROR(IF('PyG 3 Años'!$B$9="","",'PyG 3 Años'!$B$38*J7+'PyG 3 Años'!$B$39/12),"")</f>
        <v>2260.452730795848</v>
      </c>
      <c r="K17" s="33">
        <f>IFERROR(IF('PyG 3 Años'!$B$9="","",'PyG 3 Años'!$B$38*K7+'PyG 3 Años'!$B$39/12),"")</f>
        <v>2260.452730795848</v>
      </c>
      <c r="L17" s="33">
        <f>IFERROR(IF('PyG 3 Años'!$B$9="","",'PyG 3 Años'!$B$38*L7+'PyG 3 Años'!$B$39/12),"")</f>
        <v>2225.5447141868517</v>
      </c>
      <c r="M17" s="33">
        <f>IFERROR(IF('PyG 3 Años'!$B$9="","",'PyG 3 Años'!$B$38*M7+'PyG 3 Años'!$B$39/12),"")</f>
        <v>2400.0847972318343</v>
      </c>
      <c r="N17" s="33">
        <f>IFERROR(IF('PyG 3 Años'!$B$9="","",SUM(B17:M17)),"")</f>
        <v>25508.028000000002</v>
      </c>
      <c r="O17" s="29" t="inlineStr">
        <is>
          <t>Cada partida a su tipo, leído de la columna de IVA del P&amp;L: los seguros y las comisiones de los medios de pago están exentos</t>
        </is>
      </c>
    </row>
    <row r="18">
      <c r="A18" s="29" t="inlineStr">
        <is>
          <t>IVA a compensar arrastrado (inversión incluida)</t>
        </is>
      </c>
      <c r="B18" s="29" t="n"/>
      <c r="C18" s="29" t="n"/>
      <c r="D18" s="29" t="n"/>
      <c r="E18" s="33">
        <f>IFERROR(IF('PyG 3 Años'!$B$9="","",'Inversión Inicial'!$B$32),"")</f>
        <v>21052.5</v>
      </c>
      <c r="F18" s="29" t="n"/>
      <c r="G18" s="29" t="n"/>
      <c r="H18" s="33">
        <f>IFERROR(IF('PyG 3 Años'!$B$9="","",MAX(0,-E19)),"")</f>
        <v>19377.406035986158</v>
      </c>
      <c r="I18" s="29" t="n"/>
      <c r="J18" s="29" t="n"/>
      <c r="K18" s="33">
        <f>IFERROR(IF('PyG 3 Años'!$B$9="","",MAX(0,-H19)),"")</f>
        <v>16225.210867474045</v>
      </c>
      <c r="L18" s="29" t="n"/>
      <c r="M18" s="29" t="n"/>
      <c r="N18" s="29" t="n"/>
      <c r="O18" s="29" t="inlineStr">
        <is>
          <t>El IVA soportado de la INVERSIÓN entra aquí: se compensa contra el repercutido de los trimestres siguientes hasta agotarlo (modelo 303)</t>
        </is>
      </c>
    </row>
    <row r="19">
      <c r="A19" s="29" t="inlineStr">
        <is>
          <t>Resultado de la liquidación trimestral</t>
        </is>
      </c>
      <c r="B19" s="29" t="n"/>
      <c r="C19" s="29" t="n"/>
      <c r="D19" s="29" t="n"/>
      <c r="E19" s="33">
        <f>IFERROR(IF('PyG 3 Años'!$B$9="","",SUM(B16:D16)-SUM(B17:D17)-E18),"")</f>
        <v>-19377.406035986158</v>
      </c>
      <c r="F19" s="29" t="n"/>
      <c r="G19" s="29" t="n"/>
      <c r="H19" s="33">
        <f>IFERROR(IF('PyG 3 Años'!$B$9="","",SUM(E16:G16)-SUM(E17:G17)-H18),"")</f>
        <v>-16225.210867474045</v>
      </c>
      <c r="I19" s="29" t="n"/>
      <c r="J19" s="29" t="n"/>
      <c r="K19" s="33">
        <f>IFERROR(IF('PyG 3 Años'!$B$9="","",SUM(H16:J16)-SUM(H17:J17)-K18),"")</f>
        <v>-13479.557314878888</v>
      </c>
      <c r="L19" s="29" t="n"/>
      <c r="M19" s="29" t="n"/>
      <c r="N19" s="29" t="n"/>
      <c r="O19" s="29" t="inlineStr">
        <is>
          <t>Repercutido menos soportado del trimestre menos lo que venía arrastrado. En negativo NO se paga: se compensa en el trimestre siguiente</t>
        </is>
      </c>
    </row>
    <row r="20">
      <c r="A20" s="29" t="inlineStr">
        <is>
          <t>Pago del IVA (modelo 303)</t>
        </is>
      </c>
      <c r="B20" s="29" t="n"/>
      <c r="C20" s="29" t="n"/>
      <c r="D20" s="29" t="n"/>
      <c r="E20" s="33">
        <f>IFERROR(IF('PyG 3 Años'!$B$9="","",IF(E19&lt;=0,"",-E19)),"")</f>
        <v/>
      </c>
      <c r="F20" s="29" t="n"/>
      <c r="G20" s="29" t="n"/>
      <c r="H20" s="33">
        <f>IFERROR(IF('PyG 3 Años'!$B$9="","",IF(H19&lt;=0,"",-H19)),"")</f>
        <v/>
      </c>
      <c r="I20" s="29" t="n"/>
      <c r="J20" s="29" t="n"/>
      <c r="K20" s="33">
        <f>IFERROR(IF('PyG 3 Años'!$B$9="","",IF(K19&lt;=0,"",-K19)),"")</f>
        <v/>
      </c>
      <c r="L20" s="29" t="n"/>
      <c r="M20" s="29" t="n"/>
      <c r="N20" s="33">
        <f>IFERROR(IF('PyG 3 Años'!$B$9="","",SUM(B20:M20)),"")</f>
        <v>0.0</v>
      </c>
      <c r="O20" s="29" t="inlineStr">
        <is>
          <t>Sólo sale caja cuando el resultado del trimestre es positivo. Los meses sin liquidación van en blanco, no a cero. La celda se pinta en ROJO cuando el pago del 303 se lleva más caja de la que queda ese mes</t>
        </is>
      </c>
    </row>
    <row r="21">
      <c r="A21" s="26" t="inlineStr">
        <is>
          <t>FLUJO DEL MES</t>
        </is>
      </c>
      <c r="B21" s="27">
        <f>IFERROR(IF('PyG 3 Años'!$B$9="","",SUM(B9:B15)+IF(B20="",0,B20)),"")</f>
        <v>5930.858533160328</v>
      </c>
      <c r="C21" s="27">
        <f>IFERROR(IF('PyG 3 Años'!$B$9="","",SUM(C9:C15)+IF(C20="",0,C20)),"")</f>
        <v>2789.4725811707103</v>
      </c>
      <c r="D21" s="27">
        <f>IFERROR(IF('PyG 3 Años'!$B$9="","",SUM(D9:D15)+IF(D20="",0,D20)),"")</f>
        <v>6788.50226447521</v>
      </c>
      <c r="E21" s="27">
        <f>IFERROR(IF('PyG 3 Años'!$B$9="","",SUM(E9:E15)+IF(E20="",0,E20)),"")</f>
        <v>9219.995242416386</v>
      </c>
      <c r="F21" s="27">
        <f>IFERROR(IF('PyG 3 Años'!$B$9="","",SUM(F9:F15)+IF(F20="",0,F20)),"")</f>
        <v>8613.224178662058</v>
      </c>
      <c r="G21" s="27">
        <f>IFERROR(IF('PyG 3 Años'!$B$9="","",SUM(G9:G15)+IF(G20="",0,G20)),"")</f>
        <v>8360.098934717418</v>
      </c>
      <c r="H21" s="27">
        <f>IFERROR(IF('PyG 3 Años'!$B$9="","",SUM(H9:H15)+IF(H20="",0,H20)),"")</f>
        <v>-2420.0290805074874</v>
      </c>
      <c r="I21" s="27">
        <f>IFERROR(IF('PyG 3 Años'!$B$9="","",SUM(I9:I15)+IF(I20="",0,I20)),"")</f>
        <v>1987.4333540945845</v>
      </c>
      <c r="J21" s="27">
        <f>IFERROR(IF('PyG 3 Años'!$B$9="","",SUM(J9:J15)+IF(J20="",0,J20)),"")</f>
        <v>10638.226130219147</v>
      </c>
      <c r="K21" s="27">
        <f>IFERROR(IF('PyG 3 Años'!$B$9="","",SUM(K9:K15)+IF(K20="",0,K20)),"")</f>
        <v>8360.098934717418</v>
      </c>
      <c r="L21" s="27">
        <f>IFERROR(IF('PyG 3 Años'!$B$9="","",SUM(L9:L15)+IF(L20="",0,L20)),"")</f>
        <v>7595.7749271049615</v>
      </c>
      <c r="M21" s="27">
        <f>IFERROR(IF('PyG 3 Años'!$B$9="","",SUM(M9:M15)+IF(M20="",0,M20)),"")</f>
        <v>2419.040209111885</v>
      </c>
      <c r="N21" s="27">
        <f>IFERROR(IF('PyG 3 Años'!$B$9="","",SUM(B21:M21)),"")</f>
        <v>70282.69620934261</v>
      </c>
      <c r="O21" s="29" t="n"/>
    </row>
    <row r="22">
      <c r="A22" s="26" t="inlineStr">
        <is>
          <t>SALDO ACUMULADO DE CAJA</t>
        </is>
      </c>
      <c r="B22" s="27">
        <f>IFERROR(IF('PyG 3 Años'!$B$9="","",'Inversión Inicial'!$B$29+B21),"")</f>
        <v>50781.03853316033</v>
      </c>
      <c r="C22" s="27">
        <f>IFERROR(IF('PyG 3 Años'!$B$9="","",B22+C21),"")</f>
        <v>53570.51111433104</v>
      </c>
      <c r="D22" s="27">
        <f>IFERROR(IF('PyG 3 Años'!$B$9="","",C22+D21),"")</f>
        <v>60359.01337880625</v>
      </c>
      <c r="E22" s="27">
        <f>IFERROR(IF('PyG 3 Años'!$B$9="","",D22+E21),"")</f>
        <v>69579.00862122263</v>
      </c>
      <c r="F22" s="27">
        <f>IFERROR(IF('PyG 3 Años'!$B$9="","",E22+F21),"")</f>
        <v>78192.23279988469</v>
      </c>
      <c r="G22" s="27">
        <f>IFERROR(IF('PyG 3 Años'!$B$9="","",F22+G21),"")</f>
        <v>86552.3317346021</v>
      </c>
      <c r="H22" s="27">
        <f>IFERROR(IF('PyG 3 Años'!$B$9="","",G22+H21),"")</f>
        <v>84132.30265409462</v>
      </c>
      <c r="I22" s="27">
        <f>IFERROR(IF('PyG 3 Años'!$B$9="","",H22+I21),"")</f>
        <v>86119.7360081892</v>
      </c>
      <c r="J22" s="27">
        <f>IFERROR(IF('PyG 3 Años'!$B$9="","",I22+J21),"")</f>
        <v>96757.96213840834</v>
      </c>
      <c r="K22" s="27">
        <f>IFERROR(IF('PyG 3 Años'!$B$9="","",J22+K21),"")</f>
        <v>105118.06107312576</v>
      </c>
      <c r="L22" s="27">
        <f>IFERROR(IF('PyG 3 Años'!$B$9="","",K22+L21),"")</f>
        <v>112713.83600023072</v>
      </c>
      <c r="M22" s="27">
        <f>IFERROR(IF('PyG 3 Años'!$B$9="","",L22+M21),"")</f>
        <v>115132.8762093426</v>
      </c>
      <c r="N22" s="29" t="n"/>
      <c r="O22" s="29" t="n"/>
    </row>
    <row r="23">
      <c r="A23" s="29" t="inlineStr">
        <is>
          <t>Saldo mínimo del año</t>
        </is>
      </c>
      <c r="B23" s="33">
        <f>IFERROR(IF('PyG 3 Años'!$B$9="","",IF(COUNT(B22:M22)=0,"",MIN(B22:M22))),"")</f>
        <v>50781.03853316033</v>
      </c>
      <c r="C23" s="29" t="n"/>
      <c r="D23" s="29" t="inlineStr">
        <is>
          <t>Si es negativo, sube el fondo de maniobra o el préstamo: te quedas sin caja</t>
        </is>
      </c>
      <c r="E23" s="29" t="n"/>
      <c r="F23" s="29" t="n"/>
      <c r="G23" s="29" t="n"/>
      <c r="H23" s="29" t="n"/>
      <c r="I23" s="29" t="n"/>
      <c r="J23" s="29" t="n"/>
      <c r="K23" s="29" t="n"/>
      <c r="L23" s="29" t="n"/>
      <c r="M23" s="29" t="n"/>
      <c r="N23" s="29" t="n"/>
      <c r="O23" s="29" t="n"/>
    </row>
    <row r="24">
      <c r="A24" s="29" t="inlineStr">
        <is>
          <t>Mes en el que la caja toca fondo</t>
        </is>
      </c>
      <c r="B24" s="41">
        <f>IFERROR(IF('PyG 3 Años'!$B$9="","",IF(COUNT(B22:M22)=0,"",MATCH(MIN(B22:M22),B22:M22,0))),"")</f>
        <v>1.0</v>
      </c>
      <c r="C24" s="29" t="n"/>
      <c r="D24" s="29" t="inlineStr">
        <is>
          <t>Es la respuesta a la pregunta que decide una operación bancaria: en qué mes se agota la caja</t>
        </is>
      </c>
      <c r="E24" s="29" t="n"/>
      <c r="F24" s="29" t="n"/>
      <c r="G24" s="29" t="n"/>
      <c r="H24" s="29" t="n"/>
      <c r="I24" s="29" t="n"/>
      <c r="J24" s="29" t="n"/>
      <c r="K24" s="29" t="n"/>
      <c r="L24" s="29" t="n"/>
      <c r="M24" s="29" t="n"/>
      <c r="N24" s="29" t="n"/>
      <c r="O24" s="29" t="n"/>
    </row>
    <row r="25">
      <c r="A25" s="26" t="inlineStr">
        <is>
          <t>RETORNO DE LA INVERSIÓN</t>
        </is>
      </c>
      <c r="B25" s="29" t="n"/>
      <c r="C25" s="29" t="n"/>
      <c r="D25" s="29" t="n"/>
      <c r="E25" s="29" t="n"/>
      <c r="F25" s="29" t="n"/>
      <c r="G25" s="29" t="n"/>
      <c r="H25" s="29" t="n"/>
      <c r="I25" s="29" t="n"/>
      <c r="J25" s="29" t="n"/>
      <c r="K25" s="29" t="n"/>
      <c r="L25" s="29" t="n"/>
      <c r="M25" s="29" t="n"/>
      <c r="N25" s="29" t="n"/>
      <c r="O25" s="29" t="n"/>
    </row>
    <row r="26">
      <c r="A26" s="29" t="inlineStr">
        <is>
          <t>Flujo de caja libre antes de la deuda, año 1</t>
        </is>
      </c>
      <c r="B26" s="33">
        <f>IFERROR(IF('PyG 3 Años'!$B$9="","",'PyG 3 Años'!$B$47+'PyG 3 Años'!$B$35+'Financiación'!$B$44),"")</f>
        <v>48578.4405</v>
      </c>
      <c r="C26" s="29" t="n"/>
      <c r="D26" s="29" t="inlineStr">
        <is>
          <t>Resultado neto más amortización (que no se paga) más los intereses de ese año: el principal no se resta porque este flujo es ANTES de la deuda. La MISMA base que los años 2 y 3, para que el payback compare peras con peras</t>
        </is>
      </c>
      <c r="E26" s="29" t="n"/>
      <c r="F26" s="29" t="n"/>
      <c r="G26" s="29" t="n"/>
      <c r="H26" s="29" t="n"/>
      <c r="I26" s="29" t="n"/>
      <c r="J26" s="29" t="n"/>
      <c r="K26" s="29" t="n"/>
      <c r="L26" s="29" t="n"/>
      <c r="M26" s="29" t="n"/>
      <c r="N26" s="29" t="n"/>
      <c r="O26" s="29" t="n"/>
    </row>
    <row r="27">
      <c r="A27" s="29" t="inlineStr">
        <is>
          <t>Flujo de caja libre antes de la deuda, año 2</t>
        </is>
      </c>
      <c r="B27" s="33">
        <f>IFERROR(IF('PyG 3 Años'!$B$9="","",'PyG 3 Años'!$C$47+'PyG 3 Años'!$C$35+'Financiación'!$B$46),"")</f>
        <v>55037.36865000002</v>
      </c>
      <c r="C27" s="29" t="n"/>
      <c r="D27" s="29" t="inlineStr">
        <is>
          <t>Resultado neto más amortización (que no se paga) más los intereses de ese año: el principal no se resta porque este flujo es ANTES de la deuda. Sin tabla mensual, es una estimación</t>
        </is>
      </c>
      <c r="E27" s="29" t="n"/>
      <c r="F27" s="29" t="n"/>
      <c r="G27" s="29" t="n"/>
      <c r="H27" s="29" t="n"/>
      <c r="I27" s="29" t="n"/>
      <c r="J27" s="29" t="n"/>
      <c r="K27" s="29" t="n"/>
      <c r="L27" s="29" t="n"/>
      <c r="M27" s="29" t="n"/>
      <c r="N27" s="29" t="n"/>
      <c r="O27" s="29" t="n"/>
    </row>
    <row r="28">
      <c r="A28" s="29" t="inlineStr">
        <is>
          <t>Flujo de caja libre antes de la deuda, año 3</t>
        </is>
      </c>
      <c r="B28" s="33">
        <f>IFERROR(IF('PyG 3 Años'!$B$9="","",'PyG 3 Años'!$D$47+'PyG 3 Años'!$D$35+'Financiación'!$B$48),"")</f>
        <v>52900.08156759946</v>
      </c>
      <c r="C28" s="29" t="n"/>
      <c r="D28" s="29" t="inlineStr">
        <is>
          <t>Resultado neto más amortización (que no se paga) más los intereses de ese año: el principal no se resta porque este flujo es ANTES de la deuda. Sin tabla mensual, es una estimación</t>
        </is>
      </c>
      <c r="E28" s="29" t="n"/>
      <c r="F28" s="29" t="n"/>
      <c r="G28" s="29" t="n"/>
      <c r="H28" s="29" t="n"/>
      <c r="I28" s="29" t="n"/>
      <c r="J28" s="29" t="n"/>
      <c r="K28" s="29" t="n"/>
      <c r="L28" s="29" t="n"/>
      <c r="M28" s="29" t="n"/>
      <c r="N28" s="29" t="n"/>
      <c r="O28" s="29" t="n"/>
    </row>
    <row r="29">
      <c r="A29" s="29" t="inlineStr">
        <is>
          <t>Informativo: flujo REAL de caja del año 1 (tabla mensual, antes de la deuda)</t>
        </is>
      </c>
      <c r="B29" s="33">
        <f>IFERROR(IF('PyG 3 Años'!$B$9="","",N21+'Financiación'!$B$44+'Financiación'!$B$45),"")</f>
        <v>77362.69620934261</v>
      </c>
      <c r="C29" s="29" t="n"/>
      <c r="D29" s="29" t="inlineStr">
        <is>
          <t>La suma de los doce FLUJO DEL MES de arriba, devolviéndole los intereses y el principal que se pagaron ese año. NO es la que usa el payback: lleva dentro el IVA que todavía no se ha liquidado y el crédito del proveedor, dos cosas que hay que devolver y que los años 2 y 3 no tienen</t>
        </is>
      </c>
      <c r="E29" s="29" t="n"/>
      <c r="F29" s="29" t="n"/>
      <c r="G29" s="29" t="n"/>
      <c r="H29" s="29" t="n"/>
      <c r="I29" s="29" t="n"/>
      <c r="J29" s="29" t="n"/>
      <c r="K29" s="29" t="n"/>
      <c r="L29" s="29" t="n"/>
      <c r="M29" s="29" t="n"/>
      <c r="N29" s="29" t="n"/>
      <c r="O29" s="29" t="n"/>
    </row>
    <row r="30">
      <c r="A30" s="29" t="inlineStr">
        <is>
          <t>Inversión a recuperar (sin el IVA, que se recupera por el 303)</t>
        </is>
      </c>
      <c r="B30" s="33">
        <f>IFERROR(IF('PyG 3 Años'!$B$9="","",'Inversión Inicial'!$B$33-'Inversión Inicial'!$B$32),"")</f>
        <v>151000.18</v>
      </c>
      <c r="C30" s="29" t="n"/>
      <c r="D30" s="29" t="inlineStr">
        <is>
          <t>CAPEX más fondo de maniobra: la necesidad total de caja MENOS el IVA soportado de la inversión, que no se pierde (se recupera con el modelo 303 y esta misma hoja lo compensa trimestre a trimestre). El fondo de maniobra sí se recupera al cerrar, pero hasta entonces está inmovilizado</t>
        </is>
      </c>
      <c r="E30" s="29" t="n"/>
      <c r="F30" s="29" t="n"/>
      <c r="G30" s="29" t="n"/>
      <c r="H30" s="29" t="n"/>
      <c r="I30" s="29" t="n"/>
      <c r="J30" s="29" t="n"/>
      <c r="K30" s="29" t="n"/>
      <c r="L30" s="29" t="n"/>
      <c r="M30" s="29" t="n"/>
      <c r="N30" s="29" t="n"/>
      <c r="O30" s="29" t="n"/>
    </row>
    <row r="31">
      <c r="A31" s="26" t="inlineStr">
        <is>
          <t>Payback del proyecto (años), antes de la deuda</t>
        </is>
      </c>
      <c r="B31" s="26">
        <f>IFERROR(IF('PyG 3 Años'!$B$9="","",IF(B26&gt;=B30,ROUND(B30/B26,1),IF(B26+B27&gt;=B30,ROUND(1+(B30-B26)/B27,1),IF(B26+B27+B28&gt;=B30,ROUND(2+(B30-B26-B27)/B28,1),"Más de 3 años")))),"")</f>
        <v>2.9</v>
      </c>
      <c r="C31" s="29" t="n"/>
      <c r="D31" s="26" t="inlineStr">
        <is>
          <t>Mide cuánto tarda el negocio en devolver la inversión con lo que genera ANTES de pagar al banco, con la MISMA base de flujo en los tres años; si puedes pagar la cuota lo dice el DSCR de la hoja de Financiación. El plan de negocio en Word cita esta cifra; si cambias una celda verde, manda este libro</t>
        </is>
      </c>
      <c r="E31" s="29" t="n"/>
      <c r="F31" s="29" t="n"/>
      <c r="G31" s="29" t="n"/>
      <c r="H31" s="29" t="n"/>
      <c r="I31" s="29" t="n"/>
      <c r="J31" s="29" t="n"/>
      <c r="K31" s="29" t="n"/>
      <c r="L31" s="29" t="n"/>
      <c r="M31" s="29" t="n"/>
      <c r="N31" s="29" t="n"/>
      <c r="O31" s="29" t="n"/>
    </row>
    <row r="32">
      <c r="A32" s="29" t="inlineStr">
        <is>
          <t>Payback sobre el CAPEX, sin fondo de maniobra (años)</t>
        </is>
      </c>
      <c r="B32" s="29">
        <f>IFERROR(IF('PyG 3 Años'!$B$9="","",IF(B26&gt;='Inversión Inicial'!$B$31,ROUND('Inversión Inicial'!$B$31/B26,1),IF(B26+B27&gt;='Inversión Inicial'!$B$31,ROUND(1+('Inversión Inicial'!$B$31-B26)/B27,1),IF(B26+B27+B28&gt;='Inversión Inicial'!$B$31,ROUND(2+('Inversión Inicial'!$B$31-B26-B27)/B28,1),"Más de 3 años")))),"")</f>
        <v>2.0</v>
      </c>
      <c r="C32" s="29" t="n"/>
      <c r="D32" s="29" t="inlineStr">
        <is>
          <t>El mismo cálculo sobre lo que se COMPRA (obra, equipamiento, lanzamiento y constitución), sin el fondo de maniobra: ese dinero no se gasta, se inmoviliza y vuelve al cerrar el negocio. Informativo: el payback que se publica es el de arriba</t>
        </is>
      </c>
      <c r="E32" s="29" t="n"/>
      <c r="F32" s="29" t="n"/>
      <c r="G32" s="29" t="n"/>
      <c r="H32" s="29" t="n"/>
      <c r="I32" s="29" t="n"/>
      <c r="J32" s="29" t="n"/>
      <c r="K32" s="29" t="n"/>
      <c r="L32" s="29" t="n"/>
      <c r="M32" s="29" t="n"/>
      <c r="N32" s="29" t="n"/>
      <c r="O32" s="29" t="n"/>
    </row>
    <row r="33">
      <c r="A33" s="29" t="n"/>
      <c r="B33" s="29" t="n"/>
      <c r="C33" s="29" t="n"/>
      <c r="D33" s="29" t="n"/>
      <c r="E33" s="29" t="n"/>
      <c r="F33" s="29" t="n"/>
      <c r="G33" s="29" t="n"/>
      <c r="H33" s="29" t="n"/>
      <c r="I33" s="29" t="n"/>
      <c r="J33" s="29" t="n"/>
      <c r="K33" s="29" t="n"/>
      <c r="L33" s="29" t="n"/>
      <c r="M33" s="29" t="n"/>
      <c r="N33" s="29" t="n"/>
      <c r="O33" s="29" t="n"/>
    </row>
    <row r="34" ht="120" customHeight="1">
      <c r="A34" s="48" t="inlineStr">
        <is>
          <t>El IVA del cuarto trimestre se liquida en enero del año siguiente, así que no aparece en este cuadro. El Impuesto de Sociedades del año 1 se paga en julio del año 2. La cuota del préstamo se reparte en doce partes iguales siguiendo el cuadro ANUAL de la hoja de Financiación, y las nóminas en doce mensualidades más las dos pagas extra en su mes.</t>
        </is>
      </c>
      <c r="B34" s="29" t="n"/>
      <c r="C34" s="29" t="n"/>
      <c r="D34" s="29" t="n"/>
      <c r="E34" s="29" t="n"/>
      <c r="F34" s="29" t="n"/>
      <c r="G34" s="29" t="n"/>
      <c r="H34" s="29" t="n"/>
      <c r="I34" s="29" t="n"/>
      <c r="J34" s="29" t="n"/>
      <c r="K34" s="29" t="n"/>
      <c r="L34" s="29" t="n"/>
      <c r="M34" s="29" t="n"/>
      <c r="N34" s="29" t="n"/>
      <c r="O34" s="29" t="n"/>
    </row>
    <row r="35">
      <c r="A35" s="29" t="n"/>
      <c r="B35" s="29" t="n"/>
      <c r="C35" s="29" t="n"/>
      <c r="D35" s="29" t="n"/>
      <c r="E35" s="29" t="n"/>
      <c r="F35" s="29" t="n"/>
      <c r="G35" s="29" t="n"/>
      <c r="H35" s="29" t="n"/>
      <c r="I35" s="29" t="n"/>
      <c r="J35" s="29" t="n"/>
      <c r="K35" s="29" t="n"/>
      <c r="L35" s="29" t="n"/>
      <c r="M35" s="29" t="n"/>
      <c r="N35" s="29" t="n"/>
      <c r="O35" s="29" t="n"/>
    </row>
    <row r="36">
      <c r="A36" s="29" t="n"/>
      <c r="B36" s="29" t="n"/>
      <c r="C36" s="29" t="n"/>
      <c r="D36" s="29" t="n"/>
      <c r="E36" s="29" t="n"/>
      <c r="F36" s="29" t="n"/>
      <c r="G36" s="29" t="n"/>
      <c r="H36" s="29" t="n"/>
      <c r="I36" s="29" t="n"/>
      <c r="J36" s="29" t="n"/>
      <c r="K36" s="29" t="n"/>
      <c r="L36" s="29" t="n"/>
      <c r="M36" s="29" t="n"/>
      <c r="N36" s="29" t="n"/>
      <c r="O36" s="29" t="n"/>
    </row>
    <row r="37">
      <c r="A37" s="29" t="n"/>
      <c r="B37" s="29" t="n"/>
      <c r="C37" s="29" t="n"/>
      <c r="D37" s="29" t="n"/>
      <c r="E37" s="29" t="n"/>
      <c r="F37" s="29" t="n"/>
      <c r="G37" s="29" t="n"/>
      <c r="H37" s="29" t="n"/>
      <c r="I37" s="29" t="n"/>
      <c r="J37" s="29" t="n"/>
      <c r="K37" s="29" t="n"/>
      <c r="L37" s="29" t="n"/>
      <c r="M37" s="29" t="n"/>
      <c r="N37" s="29" t="n"/>
      <c r="O37" s="29" t="n"/>
    </row>
    <row r="38">
      <c r="A38" s="29" t="n"/>
      <c r="B38" s="29" t="n"/>
      <c r="C38" s="29" t="n"/>
      <c r="D38" s="29" t="n"/>
      <c r="E38" s="29" t="n"/>
      <c r="F38" s="29" t="n"/>
      <c r="G38" s="29" t="n"/>
      <c r="H38" s="29" t="n"/>
      <c r="I38" s="29" t="n"/>
      <c r="J38" s="29" t="n"/>
      <c r="K38" s="29" t="n"/>
      <c r="L38" s="29" t="n"/>
      <c r="M38" s="29" t="n"/>
      <c r="N38" s="29" t="n"/>
      <c r="O38" s="29" t="n"/>
    </row>
    <row r="39">
      <c r="A39" s="29" t="n"/>
      <c r="B39" s="29" t="n"/>
      <c r="C39" s="29" t="n"/>
      <c r="D39" s="29" t="n"/>
      <c r="E39" s="29" t="n"/>
      <c r="F39" s="29" t="n"/>
      <c r="G39" s="29" t="n"/>
      <c r="H39" s="29" t="n"/>
      <c r="I39" s="29" t="n"/>
      <c r="J39" s="29" t="n"/>
      <c r="K39" s="29" t="n"/>
      <c r="L39" s="29" t="n"/>
      <c r="M39" s="29" t="n"/>
      <c r="N39" s="29" t="n"/>
      <c r="O39" s="29" t="n"/>
    </row>
    <row r="40">
      <c r="A40" s="29" t="n"/>
      <c r="B40" s="29" t="n"/>
      <c r="C40" s="29" t="n"/>
      <c r="D40" s="29" t="n"/>
      <c r="E40" s="29" t="n"/>
      <c r="F40" s="29" t="n"/>
      <c r="G40" s="29" t="n"/>
      <c r="H40" s="29" t="n"/>
      <c r="I40" s="29" t="n"/>
      <c r="J40" s="29" t="n"/>
      <c r="K40" s="29" t="n"/>
      <c r="L40" s="29" t="n"/>
      <c r="M40" s="29" t="n"/>
      <c r="N40" s="29" t="n"/>
      <c r="O40" s="29" t="n"/>
    </row>
    <row r="41">
      <c r="A41" s="29" t="n"/>
      <c r="B41" s="29" t="n"/>
      <c r="C41" s="29" t="n"/>
      <c r="D41" s="29" t="n"/>
      <c r="E41" s="29" t="n"/>
      <c r="F41" s="29" t="n"/>
      <c r="G41" s="29" t="n"/>
      <c r="H41" s="29" t="n"/>
      <c r="I41" s="29" t="n"/>
      <c r="J41" s="29" t="n"/>
      <c r="K41" s="29" t="n"/>
      <c r="L41" s="29" t="n"/>
      <c r="M41" s="29" t="n"/>
      <c r="N41" s="29" t="n"/>
      <c r="O41" s="29" t="n"/>
    </row>
    <row r="42">
      <c r="A42" s="29" t="n"/>
      <c r="B42" s="29" t="n"/>
      <c r="C42" s="29" t="n"/>
      <c r="D42" s="29" t="n"/>
      <c r="E42" s="29" t="n"/>
      <c r="F42" s="29" t="n"/>
      <c r="G42" s="29" t="n"/>
      <c r="H42" s="29" t="n"/>
      <c r="I42" s="29" t="n"/>
      <c r="J42" s="29" t="n"/>
      <c r="K42" s="29" t="n"/>
      <c r="L42" s="29" t="n"/>
      <c r="M42" s="29" t="n"/>
      <c r="N42" s="29" t="n"/>
      <c r="O42" s="29" t="n"/>
    </row>
    <row r="43">
      <c r="A43" s="29" t="n"/>
      <c r="B43" s="29" t="n"/>
      <c r="C43" s="29" t="n"/>
      <c r="D43" s="29" t="n"/>
      <c r="E43" s="29" t="n"/>
      <c r="F43" s="29" t="n"/>
      <c r="G43" s="29" t="n"/>
      <c r="H43" s="29" t="n"/>
      <c r="I43" s="29" t="n"/>
      <c r="J43" s="29" t="n"/>
      <c r="K43" s="29" t="n"/>
      <c r="L43" s="29" t="n"/>
      <c r="M43" s="29" t="n"/>
      <c r="N43" s="29" t="n"/>
      <c r="O43" s="29" t="n"/>
    </row>
    <row r="44">
      <c r="A44" s="29" t="n"/>
      <c r="B44" s="29" t="n"/>
      <c r="C44" s="29" t="n"/>
      <c r="D44" s="29" t="n"/>
      <c r="E44" s="29" t="n"/>
      <c r="F44" s="29" t="n"/>
      <c r="G44" s="29" t="n"/>
      <c r="H44" s="29" t="n"/>
      <c r="I44" s="29" t="n"/>
      <c r="J44" s="29" t="n"/>
      <c r="K44" s="29" t="n"/>
      <c r="L44" s="29" t="n"/>
      <c r="M44" s="29" t="n"/>
      <c r="N44" s="29" t="n"/>
      <c r="O44" s="29" t="n"/>
    </row>
    <row r="45">
      <c r="A45" s="29" t="n"/>
      <c r="B45" s="29" t="n"/>
      <c r="C45" s="29" t="n"/>
      <c r="D45" s="29" t="n"/>
      <c r="E45" s="29" t="n"/>
      <c r="F45" s="29" t="n"/>
      <c r="G45" s="29" t="n"/>
      <c r="H45" s="29" t="n"/>
      <c r="I45" s="29" t="n"/>
      <c r="J45" s="29" t="n"/>
      <c r="K45" s="29" t="n"/>
      <c r="L45" s="29" t="n"/>
      <c r="M45" s="29" t="n"/>
      <c r="N45" s="29" t="n"/>
      <c r="O45" s="29" t="n"/>
    </row>
    <row r="46">
      <c r="A46" s="29" t="n"/>
      <c r="B46" s="29" t="n"/>
      <c r="C46" s="29" t="n"/>
      <c r="D46" s="29" t="n"/>
      <c r="E46" s="29" t="n"/>
      <c r="F46" s="29" t="n"/>
      <c r="G46" s="29" t="n"/>
      <c r="H46" s="29" t="n"/>
      <c r="I46" s="29" t="n"/>
      <c r="J46" s="29" t="n"/>
      <c r="K46" s="29" t="n"/>
      <c r="L46" s="29" t="n"/>
      <c r="M46" s="29" t="n"/>
      <c r="N46" s="29" t="n"/>
      <c r="O46" s="29" t="n"/>
    </row>
    <row r="47">
      <c r="A47" s="29" t="n"/>
      <c r="B47" s="29" t="n"/>
      <c r="C47" s="29" t="n"/>
      <c r="D47" s="29" t="n"/>
      <c r="E47" s="29" t="n"/>
      <c r="F47" s="29" t="n"/>
      <c r="G47" s="29" t="n"/>
      <c r="H47" s="29" t="n"/>
      <c r="I47" s="29" t="n"/>
      <c r="J47" s="29" t="n"/>
      <c r="K47" s="29" t="n"/>
      <c r="L47" s="29" t="n"/>
      <c r="M47" s="29" t="n"/>
      <c r="N47" s="29" t="n"/>
      <c r="O47" s="29" t="n"/>
    </row>
    <row r="48">
      <c r="A48" s="29" t="n"/>
      <c r="B48" s="29" t="n"/>
      <c r="C48" s="29" t="n"/>
      <c r="D48" s="29" t="n"/>
      <c r="E48" s="29" t="n"/>
      <c r="F48" s="29" t="n"/>
      <c r="G48" s="29" t="n"/>
      <c r="H48" s="29" t="n"/>
      <c r="I48" s="29" t="n"/>
      <c r="J48" s="29" t="n"/>
      <c r="K48" s="29" t="n"/>
      <c r="L48" s="29" t="n"/>
      <c r="M48" s="29" t="n"/>
      <c r="N48" s="29" t="n"/>
      <c r="O48" s="29" t="n"/>
    </row>
    <row r="49">
      <c r="A49" s="29" t="n"/>
      <c r="B49" s="29" t="n"/>
      <c r="C49" s="29" t="n"/>
      <c r="D49" s="29" t="n"/>
      <c r="E49" s="29" t="n"/>
      <c r="F49" s="29" t="n"/>
      <c r="G49" s="29" t="n"/>
      <c r="H49" s="29" t="n"/>
      <c r="I49" s="29" t="n"/>
      <c r="J49" s="29" t="n"/>
      <c r="K49" s="29" t="n"/>
      <c r="L49" s="29" t="n"/>
      <c r="M49" s="29" t="n"/>
      <c r="N49" s="29" t="n"/>
      <c r="O49" s="29" t="n"/>
    </row>
    <row r="50">
      <c r="A50" s="29" t="n"/>
      <c r="B50" s="29" t="n"/>
      <c r="C50" s="29" t="n"/>
      <c r="D50" s="29" t="n"/>
      <c r="E50" s="29" t="n"/>
      <c r="F50" s="29" t="n"/>
      <c r="G50" s="29" t="n"/>
      <c r="H50" s="29" t="n"/>
      <c r="I50" s="29" t="n"/>
      <c r="J50" s="29" t="n"/>
      <c r="K50" s="29" t="n"/>
      <c r="L50" s="29" t="n"/>
      <c r="M50" s="29" t="n"/>
      <c r="N50" s="29" t="n"/>
      <c r="O50" s="29" t="n"/>
    </row>
    <row r="51">
      <c r="A51" s="29" t="n"/>
      <c r="B51" s="29" t="n"/>
      <c r="C51" s="29" t="n"/>
      <c r="D51" s="29" t="n"/>
      <c r="E51" s="29" t="n"/>
      <c r="F51" s="29" t="n"/>
      <c r="G51" s="29" t="n"/>
      <c r="H51" s="29" t="n"/>
      <c r="I51" s="29" t="n"/>
      <c r="J51" s="29" t="n"/>
      <c r="K51" s="29" t="n"/>
      <c r="L51" s="29" t="n"/>
      <c r="M51" s="29" t="n"/>
      <c r="N51" s="29" t="n"/>
      <c r="O51" s="29" t="n"/>
    </row>
    <row r="52">
      <c r="A52" s="29" t="n"/>
      <c r="B52" s="29" t="n"/>
      <c r="C52" s="29" t="n"/>
      <c r="D52" s="29" t="n"/>
      <c r="E52" s="29" t="n"/>
      <c r="F52" s="29" t="n"/>
      <c r="G52" s="29" t="n"/>
      <c r="H52" s="29" t="n"/>
      <c r="I52" s="29" t="n"/>
      <c r="J52" s="29" t="n"/>
      <c r="K52" s="29" t="n"/>
      <c r="L52" s="29" t="n"/>
      <c r="M52" s="29" t="n"/>
      <c r="N52" s="29" t="n"/>
      <c r="O52" s="29" t="n"/>
    </row>
    <row r="53">
      <c r="A53" s="29" t="n"/>
      <c r="B53" s="29" t="n"/>
      <c r="C53" s="29" t="n"/>
      <c r="D53" s="29" t="n"/>
      <c r="E53" s="29" t="n"/>
      <c r="F53" s="29" t="n"/>
      <c r="G53" s="29" t="n"/>
      <c r="H53" s="29" t="n"/>
      <c r="I53" s="29" t="n"/>
      <c r="J53" s="29" t="n"/>
      <c r="K53" s="29" t="n"/>
      <c r="L53" s="29" t="n"/>
      <c r="M53" s="29" t="n"/>
      <c r="N53" s="29" t="n"/>
      <c r="O53" s="29" t="n"/>
    </row>
    <row r="54">
      <c r="A54" s="29" t="n"/>
      <c r="B54" s="29" t="n"/>
      <c r="C54" s="29" t="n"/>
      <c r="D54" s="29" t="n"/>
      <c r="E54" s="29" t="n"/>
      <c r="F54" s="29" t="n"/>
      <c r="G54" s="29" t="n"/>
      <c r="H54" s="29" t="n"/>
      <c r="I54" s="29" t="n"/>
      <c r="J54" s="29" t="n"/>
      <c r="K54" s="29" t="n"/>
      <c r="L54" s="29" t="n"/>
      <c r="M54" s="29" t="n"/>
      <c r="N54" s="29" t="n"/>
      <c r="O54" s="29" t="n"/>
    </row>
    <row r="55">
      <c r="A55" s="29" t="n"/>
      <c r="B55" s="29" t="n"/>
      <c r="C55" s="29" t="n"/>
      <c r="D55" s="29" t="n"/>
      <c r="E55" s="29" t="n"/>
      <c r="F55" s="29" t="n"/>
      <c r="G55" s="29" t="n"/>
      <c r="H55" s="29" t="n"/>
      <c r="I55" s="29" t="n"/>
      <c r="J55" s="29" t="n"/>
      <c r="K55" s="29" t="n"/>
      <c r="L55" s="29" t="n"/>
      <c r="M55" s="29" t="n"/>
      <c r="N55" s="29" t="n"/>
      <c r="O55" s="29" t="n"/>
    </row>
    <row r="56">
      <c r="A56" s="29" t="n"/>
      <c r="B56" s="29" t="n"/>
      <c r="C56" s="29" t="n"/>
      <c r="D56" s="29" t="n"/>
      <c r="E56" s="29" t="n"/>
      <c r="F56" s="29" t="n"/>
      <c r="G56" s="29" t="n"/>
      <c r="H56" s="29" t="n"/>
      <c r="I56" s="29" t="n"/>
      <c r="J56" s="29" t="n"/>
      <c r="K56" s="29" t="n"/>
      <c r="L56" s="29" t="n"/>
      <c r="M56" s="29" t="n"/>
      <c r="N56" s="29" t="n"/>
      <c r="O56" s="29" t="n"/>
    </row>
    <row r="57">
      <c r="A57" s="29" t="n"/>
      <c r="B57" s="29" t="n"/>
      <c r="C57" s="29" t="n"/>
      <c r="D57" s="29" t="n"/>
      <c r="E57" s="29" t="n"/>
      <c r="F57" s="29" t="n"/>
      <c r="G57" s="29" t="n"/>
      <c r="H57" s="29" t="n"/>
      <c r="I57" s="29" t="n"/>
      <c r="J57" s="29" t="n"/>
      <c r="K57" s="29" t="n"/>
      <c r="L57" s="29" t="n"/>
      <c r="M57" s="29" t="n"/>
      <c r="N57" s="29" t="n"/>
      <c r="O57" s="29" t="n"/>
    </row>
    <row r="58">
      <c r="A58" s="29" t="n"/>
      <c r="B58" s="29" t="n"/>
      <c r="C58" s="29" t="n"/>
      <c r="D58" s="29" t="n"/>
      <c r="E58" s="29" t="n"/>
      <c r="F58" s="29" t="n"/>
      <c r="G58" s="29" t="n"/>
      <c r="H58" s="29" t="n"/>
      <c r="I58" s="29" t="n"/>
      <c r="J58" s="29" t="n"/>
      <c r="K58" s="29" t="n"/>
      <c r="L58" s="29" t="n"/>
      <c r="M58" s="29" t="n"/>
      <c r="N58" s="29" t="n"/>
      <c r="O58" s="29" t="n"/>
    </row>
    <row r="59">
      <c r="A59" s="29" t="n"/>
      <c r="B59" s="29" t="n"/>
      <c r="C59" s="29" t="n"/>
      <c r="D59" s="29" t="n"/>
      <c r="E59" s="29" t="n"/>
      <c r="F59" s="29" t="n"/>
      <c r="G59" s="29" t="n"/>
      <c r="H59" s="29" t="n"/>
      <c r="I59" s="29" t="n"/>
      <c r="J59" s="29" t="n"/>
      <c r="K59" s="29" t="n"/>
      <c r="L59" s="29" t="n"/>
      <c r="M59" s="29" t="n"/>
      <c r="N59" s="29" t="n"/>
      <c r="O59" s="29" t="n"/>
    </row>
    <row r="60">
      <c r="A60" s="29" t="n"/>
      <c r="B60" s="29" t="n"/>
      <c r="C60" s="29" t="n"/>
      <c r="D60" s="29" t="n"/>
      <c r="E60" s="29" t="n"/>
      <c r="F60" s="29" t="n"/>
      <c r="G60" s="29" t="n"/>
      <c r="H60" s="29" t="n"/>
      <c r="I60" s="29" t="n"/>
      <c r="J60" s="29" t="n"/>
      <c r="K60" s="29" t="n"/>
      <c r="L60" s="29" t="n"/>
      <c r="M60" s="29" t="n"/>
      <c r="N60" s="29" t="n"/>
      <c r="O60" s="29" t="n"/>
    </row>
    <row r="61">
      <c r="A61" s="29" t="n"/>
      <c r="B61" s="29" t="n"/>
      <c r="C61" s="29" t="n"/>
      <c r="D61" s="29" t="n"/>
      <c r="E61" s="29" t="n"/>
      <c r="F61" s="29" t="n"/>
      <c r="G61" s="29" t="n"/>
      <c r="H61" s="29" t="n"/>
      <c r="I61" s="29" t="n"/>
      <c r="J61" s="29" t="n"/>
      <c r="K61" s="29" t="n"/>
      <c r="L61" s="29" t="n"/>
      <c r="M61" s="29" t="n"/>
      <c r="N61" s="29" t="n"/>
      <c r="O61" s="29" t="n"/>
    </row>
    <row r="62">
      <c r="A62" s="29" t="n"/>
      <c r="B62" s="29" t="n"/>
      <c r="C62" s="29" t="n"/>
      <c r="D62" s="29" t="n"/>
      <c r="E62" s="29" t="n"/>
      <c r="F62" s="29" t="n"/>
      <c r="G62" s="29" t="n"/>
      <c r="H62" s="29" t="n"/>
      <c r="I62" s="29" t="n"/>
      <c r="J62" s="29" t="n"/>
      <c r="K62" s="29" t="n"/>
      <c r="L62" s="29" t="n"/>
      <c r="M62" s="29" t="n"/>
      <c r="N62" s="29" t="n"/>
      <c r="O62" s="29" t="n"/>
    </row>
    <row r="63">
      <c r="A63" s="29" t="n"/>
      <c r="B63" s="29" t="n"/>
      <c r="C63" s="29" t="n"/>
      <c r="D63" s="29" t="n"/>
      <c r="E63" s="29" t="n"/>
      <c r="F63" s="29" t="n"/>
      <c r="G63" s="29" t="n"/>
      <c r="H63" s="29" t="n"/>
      <c r="I63" s="29" t="n"/>
      <c r="J63" s="29" t="n"/>
      <c r="K63" s="29" t="n"/>
      <c r="L63" s="29" t="n"/>
      <c r="M63" s="29" t="n"/>
      <c r="N63" s="29" t="n"/>
      <c r="O63" s="29" t="n"/>
    </row>
    <row r="64">
      <c r="A64" s="29" t="n"/>
      <c r="B64" s="29" t="n"/>
      <c r="C64" s="29" t="n"/>
      <c r="D64" s="29" t="n"/>
      <c r="E64" s="29" t="n"/>
      <c r="F64" s="29" t="n"/>
      <c r="G64" s="29" t="n"/>
      <c r="H64" s="29" t="n"/>
      <c r="I64" s="29" t="n"/>
      <c r="J64" s="29" t="n"/>
      <c r="K64" s="29" t="n"/>
      <c r="L64" s="29" t="n"/>
      <c r="M64" s="29" t="n"/>
      <c r="N64" s="29" t="n"/>
      <c r="O64" s="29" t="n"/>
    </row>
    <row r="65">
      <c r="A65" s="29" t="n"/>
      <c r="B65" s="29" t="n"/>
      <c r="C65" s="29" t="n"/>
      <c r="D65" s="29" t="n"/>
      <c r="E65" s="29" t="n"/>
      <c r="F65" s="29" t="n"/>
      <c r="G65" s="29" t="n"/>
      <c r="H65" s="29" t="n"/>
      <c r="I65" s="29" t="n"/>
      <c r="J65" s="29" t="n"/>
      <c r="K65" s="29" t="n"/>
      <c r="L65" s="29" t="n"/>
      <c r="M65" s="29" t="n"/>
      <c r="N65" s="29" t="n"/>
      <c r="O65" s="29" t="n"/>
    </row>
    <row r="66">
      <c r="A66" s="29" t="n"/>
      <c r="B66" s="29" t="n"/>
      <c r="C66" s="29" t="n"/>
      <c r="D66" s="29" t="n"/>
      <c r="E66" s="29" t="n"/>
      <c r="F66" s="29" t="n"/>
      <c r="G66" s="29" t="n"/>
      <c r="H66" s="29" t="n"/>
      <c r="I66" s="29" t="n"/>
      <c r="J66" s="29" t="n"/>
      <c r="K66" s="29" t="n"/>
      <c r="L66" s="29" t="n"/>
      <c r="M66" s="29" t="n"/>
      <c r="N66" s="29" t="n"/>
      <c r="O66" s="29" t="n"/>
    </row>
    <row r="67">
      <c r="A67" s="29" t="n"/>
      <c r="B67" s="29" t="n"/>
      <c r="C67" s="29" t="n"/>
      <c r="D67" s="29" t="n"/>
      <c r="E67" s="29" t="n"/>
      <c r="F67" s="29" t="n"/>
      <c r="G67" s="29" t="n"/>
      <c r="H67" s="29" t="n"/>
      <c r="I67" s="29" t="n"/>
      <c r="J67" s="29" t="n"/>
      <c r="K67" s="29" t="n"/>
      <c r="L67" s="29" t="n"/>
      <c r="M67" s="29" t="n"/>
      <c r="N67" s="29" t="n"/>
      <c r="O67" s="29" t="n"/>
    </row>
    <row r="68">
      <c r="A68" s="29" t="n"/>
      <c r="B68" s="29" t="n"/>
      <c r="C68" s="29" t="n"/>
      <c r="D68" s="29" t="n"/>
      <c r="E68" s="29" t="n"/>
      <c r="F68" s="29" t="n"/>
      <c r="G68" s="29" t="n"/>
      <c r="H68" s="29" t="n"/>
      <c r="I68" s="29" t="n"/>
      <c r="J68" s="29" t="n"/>
      <c r="K68" s="29" t="n"/>
      <c r="L68" s="29" t="n"/>
      <c r="M68" s="29" t="n"/>
      <c r="N68" s="29" t="n"/>
      <c r="O68" s="29" t="n"/>
    </row>
    <row r="69">
      <c r="A69" s="29" t="n"/>
      <c r="B69" s="29" t="n"/>
      <c r="C69" s="29" t="n"/>
      <c r="D69" s="29" t="n"/>
      <c r="E69" s="29" t="n"/>
      <c r="F69" s="29" t="n"/>
      <c r="G69" s="29" t="n"/>
      <c r="H69" s="29" t="n"/>
      <c r="I69" s="29" t="n"/>
      <c r="J69" s="29" t="n"/>
      <c r="K69" s="29" t="n"/>
      <c r="L69" s="29" t="n"/>
      <c r="M69" s="29" t="n"/>
      <c r="N69" s="29" t="n"/>
      <c r="O69" s="29" t="n"/>
    </row>
    <row r="70">
      <c r="A70" s="29" t="n"/>
      <c r="B70" s="29" t="n"/>
      <c r="C70" s="29" t="n"/>
      <c r="D70" s="29" t="n"/>
      <c r="E70" s="29" t="n"/>
      <c r="F70" s="29" t="n"/>
      <c r="G70" s="29" t="n"/>
      <c r="H70" s="29" t="n"/>
      <c r="I70" s="29" t="n"/>
      <c r="J70" s="29" t="n"/>
      <c r="K70" s="29" t="n"/>
      <c r="L70" s="29" t="n"/>
      <c r="M70" s="29" t="n"/>
      <c r="N70" s="29" t="n"/>
      <c r="O70" s="29" t="n"/>
    </row>
  </sheetData>
  <sheetProtection selectLockedCells="0" selectUnlockedCells="0" sheet="1" objects="0" insertRows="1" insertHyperlinks="1" autoFilter="1" scenarios="0" formatColumns="0" deleteColumns="1" insertColumns="1" pivotTables="1" deleteRows="1" formatCells="1" formatRows="0" sort="0"/>
  <conditionalFormatting sqref="N5">
    <cfRule type="expression" priority="1" dxfId="1" stopIfTrue="1">
      <formula>AND(ISNUMBER(N5),ABS(N5-1)&gt;=0.005)</formula>
    </cfRule>
    <cfRule type="expression" priority="2" dxfId="0" stopIfTrue="1">
      <formula>AND(ISNUMBER(N5),ABS(N5-1)&lt;0.005)</formula>
    </cfRule>
  </conditionalFormatting>
  <conditionalFormatting sqref="B22:M22">
    <cfRule type="expression" priority="3" dxfId="1" stopIfTrue="1">
      <formula>AND(ISNUMBER(B22),B22&lt;0)</formula>
    </cfRule>
    <cfRule type="expression" priority="4" dxfId="0" stopIfTrue="1">
      <formula>AND(ISNUMBER(B22),B22&gt;0)</formula>
    </cfRule>
  </conditionalFormatting>
  <conditionalFormatting sqref="B20:M20">
    <cfRule type="expression" priority="5" dxfId="1" stopIfTrue="1">
      <formula>AND(ISNUMBER(B20),-B20&gt;B22)</formula>
    </cfRule>
  </conditionalFormatting>
  <conditionalFormatting sqref="B23">
    <cfRule type="expression" priority="6" dxfId="1" stopIfTrue="1">
      <formula>AND(ISNUMBER(B23),B23&lt;0)</formula>
    </cfRule>
    <cfRule type="expression" priority="7" dxfId="0" stopIfTrue="1">
      <formula>AND(ISNUMBER(B23),B23&gt;=0)</formula>
    </cfRule>
  </conditionalFormatting>
  <conditionalFormatting sqref="B26">
    <cfRule type="expression" priority="8" dxfId="1" stopIfTrue="1">
      <formula>AND(ISNUMBER(B26),B26&lt;0)</formula>
    </cfRule>
    <cfRule type="expression" priority="9" dxfId="0" stopIfTrue="1">
      <formula>AND(ISNUMBER(B26),B26&gt;0)</formula>
    </cfRule>
  </conditionalFormatting>
  <conditionalFormatting sqref="B27">
    <cfRule type="expression" priority="10" dxfId="1" stopIfTrue="1">
      <formula>AND(ISNUMBER(B27),B27&lt;0)</formula>
    </cfRule>
    <cfRule type="expression" priority="11" dxfId="0" stopIfTrue="1">
      <formula>AND(ISNUMBER(B27),B27&gt;0)</formula>
    </cfRule>
  </conditionalFormatting>
  <conditionalFormatting sqref="B28">
    <cfRule type="expression" priority="12" dxfId="1" stopIfTrue="1">
      <formula>AND(ISNUMBER(B28),B28&lt;0)</formula>
    </cfRule>
    <cfRule type="expression" priority="13" dxfId="0" stopIfTrue="1">
      <formula>AND(ISNUMBER(B28),B28&gt;0)</formula>
    </cfRule>
  </conditionalFormatting>
  <dataValidations count="1">
    <dataValidation sqref="B5 C5 D5 E5 F5 G5 H5 I5 J5 K5 L5 M5"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H80"/>
  <sheetViews>
    <sheetView workbookViewId="0">
      <selection activeCell="A1" sqref="A1"/>
    </sheetView>
  </sheetViews>
  <sheetFormatPr baseColWidth="8" defaultRowHeight="15"/>
  <cols>
    <col width="46" customWidth="1" min="1" max="1"/>
    <col width="18" customWidth="1" min="2" max="2"/>
    <col width="52" customWidth="1" min="3" max="3"/>
    <col width="22" customWidth="1" min="4" max="4"/>
    <col width="16" customWidth="1" min="5" max="5"/>
    <col width="18" customWidth="1" min="6" max="6"/>
    <col width="20" customWidth="1" min="7" max="7"/>
    <col width="14" customWidth="1" min="8" max="8"/>
  </cols>
  <sheetData>
    <row r="1">
      <c r="A1" s="26" t="inlineStr">
        <is>
          <t>PLAN DE FINANCIACIÓN</t>
        </is>
      </c>
      <c r="B1" s="29" t="n"/>
      <c r="C1" s="29" t="n"/>
      <c r="D1" s="29" t="n"/>
      <c r="E1" s="29" t="n"/>
      <c r="F1" s="29" t="n"/>
      <c r="G1" s="29" t="n"/>
      <c r="H1" s="29" t="n"/>
    </row>
    <row r="2" ht="45" customHeight="1">
      <c r="A2" s="48" t="inlineStr">
        <is>
          <t>Qué hace falta, de dónde sale y cuánto cuesta devolverlo. Es la hoja que el banco pide junto con el P&amp;L.</t>
        </is>
      </c>
      <c r="B2" s="29" t="n"/>
      <c r="C2" s="29" t="n"/>
      <c r="D2" s="29" t="n"/>
      <c r="E2" s="29" t="n"/>
      <c r="F2" s="29" t="n"/>
      <c r="G2" s="29" t="n"/>
      <c r="H2" s="29" t="n"/>
    </row>
    <row r="3">
      <c r="A3" s="29" t="n"/>
      <c r="B3" s="29" t="n"/>
      <c r="C3" s="29" t="n"/>
      <c r="D3" s="29" t="n"/>
      <c r="E3" s="29" t="n"/>
      <c r="F3" s="29" t="n"/>
      <c r="G3" s="29" t="n"/>
      <c r="H3" s="29" t="n"/>
    </row>
    <row r="4">
      <c r="A4" s="26" t="inlineStr">
        <is>
          <t>Concepto</t>
        </is>
      </c>
      <c r="B4" s="26" t="inlineStr">
        <is>
          <t>Importe</t>
        </is>
      </c>
      <c r="C4" s="26" t="inlineStr">
        <is>
          <t>Notas</t>
        </is>
      </c>
      <c r="D4" s="29" t="n"/>
      <c r="E4" s="29" t="n"/>
      <c r="F4" s="29" t="n"/>
      <c r="G4" s="29" t="n"/>
      <c r="H4" s="29" t="n"/>
    </row>
    <row r="5">
      <c r="A5" s="26" t="inlineStr">
        <is>
          <t>ORIGEN DE FONDOS</t>
        </is>
      </c>
      <c r="B5" s="29" t="n"/>
      <c r="C5" s="29" t="n"/>
      <c r="D5" s="29" t="n"/>
      <c r="E5" s="29" t="n"/>
      <c r="F5" s="29" t="n"/>
      <c r="G5" s="29" t="n"/>
      <c r="H5" s="29" t="n"/>
    </row>
    <row r="6">
      <c r="A6" s="29" t="inlineStr">
        <is>
          <t>Recursos propios de los socios</t>
        </is>
      </c>
      <c r="B6" s="33">
        <f>IFERROR(IF('0. Supuestos'!$B$30="","",'0. Supuestos'!$B$30),"")</f>
        <v>55000.0</v>
      </c>
      <c r="C6" s="29" t="n"/>
      <c r="D6" s="29" t="n"/>
      <c r="E6" s="29" t="n"/>
      <c r="F6" s="29" t="n"/>
      <c r="G6" s="29" t="n"/>
      <c r="H6" s="29" t="n"/>
    </row>
    <row r="7">
      <c r="A7" s="29" t="inlineStr">
        <is>
          <t>Préstamo bancario</t>
        </is>
      </c>
      <c r="B7" s="33">
        <f>IFERROR(IF('0. Supuestos'!$B$31="","",'0. Supuestos'!$B$31),"")</f>
        <v>118000.0</v>
      </c>
      <c r="C7" s="29" t="n"/>
      <c r="D7" s="29" t="n"/>
      <c r="E7" s="29" t="n"/>
      <c r="F7" s="29" t="n"/>
      <c r="G7" s="29" t="n"/>
      <c r="H7" s="29" t="n"/>
    </row>
    <row r="8">
      <c r="A8" s="29" t="inlineStr">
        <is>
          <t>Línea ICO (avalada por el ICO, la concede tu banco)</t>
        </is>
      </c>
      <c r="B8" s="30" t="n">
        <v>0</v>
      </c>
      <c r="C8" s="29" t="inlineStr">
        <is>
          <t>Consulta las líneas del ejercicio en curso en ico.es</t>
        </is>
      </c>
      <c r="D8" s="29" t="n"/>
      <c r="E8" s="29" t="n"/>
      <c r="F8" s="29" t="n"/>
      <c r="G8" s="29" t="n"/>
      <c r="H8" s="29" t="n"/>
    </row>
    <row r="9">
      <c r="A9" s="29" t="inlineStr">
        <is>
          <t>Préstamo participativo ENISA</t>
        </is>
      </c>
      <c r="B9" s="30" t="n">
        <v>0</v>
      </c>
      <c r="C9" s="29" t="inlineStr">
        <is>
          <t>Para sociedades; sin garantías personales</t>
        </is>
      </c>
      <c r="D9" s="29" t="n"/>
      <c r="E9" s="29" t="n"/>
      <c r="F9" s="29" t="n"/>
      <c r="G9" s="29" t="n"/>
      <c r="H9" s="29" t="n"/>
    </row>
    <row r="10">
      <c r="A10" s="29" t="inlineStr">
        <is>
          <t>Business angels o socios inversores</t>
        </is>
      </c>
      <c r="B10" s="30" t="n">
        <v>0</v>
      </c>
      <c r="C10" s="29" t="inlineStr">
        <is>
          <t>Entra en el capital: diluye, no se devuelve</t>
        </is>
      </c>
      <c r="D10" s="29" t="n"/>
      <c r="E10" s="29" t="n"/>
      <c r="F10" s="29" t="n"/>
      <c r="G10" s="29" t="n"/>
      <c r="H10" s="29" t="n"/>
    </row>
    <row r="11">
      <c r="A11" s="29" t="inlineStr">
        <is>
          <t>Subvenciones autonómicas o locales</t>
        </is>
      </c>
      <c r="B11" s="30" t="n">
        <v>0</v>
      </c>
      <c r="C11" s="29" t="inlineStr">
        <is>
          <t>Suelen cobrarse DESPUÉS de justificar el gasto</t>
        </is>
      </c>
      <c r="D11" s="29" t="n"/>
      <c r="E11" s="29" t="n"/>
      <c r="F11" s="29" t="n"/>
      <c r="G11" s="29" t="n"/>
      <c r="H11" s="29" t="n"/>
    </row>
    <row r="12">
      <c r="A12" s="26" t="inlineStr">
        <is>
          <t>TOTAL ORIGEN DE FONDOS</t>
        </is>
      </c>
      <c r="B12" s="27">
        <f>IFERROR(IF(COUNT(B6:B11)=0,"",SUM(B6:B11)),"")</f>
        <v>173000.0</v>
      </c>
      <c r="C12" s="29" t="n"/>
      <c r="D12" s="29" t="n"/>
      <c r="E12" s="29" t="n"/>
      <c r="F12" s="29" t="n"/>
      <c r="G12" s="29" t="n"/>
      <c r="H12" s="29" t="n"/>
    </row>
    <row r="13">
      <c r="A13" s="26" t="inlineStr">
        <is>
          <t>USOS</t>
        </is>
      </c>
      <c r="B13" s="29" t="n"/>
      <c r="C13" s="29" t="n"/>
      <c r="D13" s="29" t="n"/>
      <c r="E13" s="29" t="n"/>
      <c r="F13" s="29" t="n"/>
      <c r="G13" s="29" t="n"/>
      <c r="H13" s="29" t="n"/>
    </row>
    <row r="14">
      <c r="A14" s="29" t="inlineStr">
        <is>
          <t>Necesidad total de caja al arranque</t>
        </is>
      </c>
      <c r="B14" s="33">
        <f>IFERROR(IF('Inversión Inicial'!$B$33="","",'Inversión Inicial'!$B$33),"")</f>
        <v>172052.68</v>
      </c>
      <c r="C14" s="29" t="inlineStr">
        <is>
          <t>Inversión más el IVA que hay que adelantar</t>
        </is>
      </c>
      <c r="D14" s="29" t="n"/>
      <c r="E14" s="29" t="n"/>
      <c r="F14" s="29" t="n"/>
      <c r="G14" s="29" t="n"/>
      <c r="H14" s="29" t="n"/>
    </row>
    <row r="15">
      <c r="A15" s="26" t="inlineStr">
        <is>
          <t>Diferencia (origen - usos)</t>
        </is>
      </c>
      <c r="B15" s="27">
        <f>IFERROR(B12-B14,"")</f>
        <v>947.320000000007</v>
      </c>
      <c r="C15" s="26" t="inlineStr">
        <is>
          <t>En rojo (negativa) el plan NO está financiado. Muy por encima de cero tampoco es gratis: se pagan intereses por un dinero que no se usa</t>
        </is>
      </c>
      <c r="D15" s="29" t="n"/>
      <c r="E15" s="29" t="n"/>
      <c r="F15" s="29" t="n"/>
      <c r="G15" s="29" t="n"/>
      <c r="H15" s="29" t="n"/>
    </row>
    <row r="16">
      <c r="A16" s="29" t="inlineStr">
        <is>
          <t>Diferencia sobre los usos (%)</t>
        </is>
      </c>
      <c r="B16" s="68">
        <f>IFERROR(B15/B14,"")</f>
        <v>0.005505988049706677</v>
      </c>
      <c r="C16" s="29" t="inlineStr">
        <is>
          <t>Ámbar por encima del margen que fijes: es deuda que pagas sin necesitarla</t>
        </is>
      </c>
      <c r="D16" s="29" t="n"/>
      <c r="E16" s="29" t="n"/>
      <c r="F16" s="29" t="n"/>
      <c r="G16" s="29" t="n"/>
      <c r="H16" s="29" t="n"/>
    </row>
    <row r="17">
      <c r="A17" s="29" t="inlineStr">
        <is>
          <t>Exceso de financiación admisible (%)</t>
        </is>
      </c>
      <c r="B17" s="74" t="n">
        <v>0.05</v>
      </c>
      <c r="C17" s="29" t="inlineStr">
        <is>
          <t>Un pequeño colchón sobre la necesidad es sano; un 20 % de más son intereses tirados</t>
        </is>
      </c>
      <c r="D17" s="29" t="n"/>
      <c r="E17" s="29" t="n"/>
      <c r="F17" s="29" t="n"/>
      <c r="G17" s="29" t="n"/>
      <c r="H17" s="29" t="n"/>
    </row>
    <row r="18">
      <c r="A18" s="29" t="inlineStr">
        <is>
          <t>Préstamo que ajustaría el origen a la necesidad</t>
        </is>
      </c>
      <c r="B18" s="33">
        <f>IFERROR(MAX(0,B14-B12+B7),"")</f>
        <v>117052.68</v>
      </c>
      <c r="C18" s="29" t="inlineStr">
        <is>
          <t>Cópialo en «Préstamo bancario solicitado» de la hoja de Supuestos y la diferencia se pone a cero</t>
        </is>
      </c>
      <c r="D18" s="29" t="n"/>
      <c r="E18" s="29" t="n"/>
      <c r="F18" s="29" t="n"/>
      <c r="G18" s="29" t="n"/>
      <c r="H18" s="29" t="n"/>
    </row>
    <row r="19">
      <c r="A19" s="26" t="inlineStr">
        <is>
          <t>CONDICIONES DEL PRÉSTAMO</t>
        </is>
      </c>
      <c r="B19" s="29" t="n"/>
      <c r="C19" s="29" t="n"/>
      <c r="D19" s="29" t="n"/>
      <c r="E19" s="29" t="n"/>
      <c r="F19" s="29" t="n"/>
      <c r="G19" s="29" t="n"/>
      <c r="H19" s="29" t="n"/>
    </row>
    <row r="20">
      <c r="A20" s="29" t="inlineStr">
        <is>
          <t>Importe del principal</t>
        </is>
      </c>
      <c r="B20" s="33">
        <f>IFERROR(IF('0. Supuestos'!$B$31=0,"",'0. Supuestos'!$B$31),"")</f>
        <v>118000.0</v>
      </c>
      <c r="C20" s="29" t="n"/>
      <c r="D20" s="29" t="n"/>
      <c r="E20" s="29" t="n"/>
      <c r="F20" s="29" t="n"/>
      <c r="G20" s="29" t="n"/>
      <c r="H20" s="29" t="n"/>
    </row>
    <row r="21">
      <c r="A21" s="29" t="inlineStr">
        <is>
          <t>Tipo de interés nominal anual</t>
        </is>
      </c>
      <c r="B21" s="68">
        <f>IFERROR(IF('0. Supuestos'!$B$32="","",'0. Supuestos'!$B$32),"")</f>
        <v>0.06</v>
      </c>
      <c r="C21" s="29" t="n"/>
      <c r="D21" s="29" t="n"/>
      <c r="E21" s="29" t="n"/>
      <c r="F21" s="29" t="n"/>
      <c r="G21" s="29" t="n"/>
      <c r="H21" s="29" t="n"/>
    </row>
    <row r="22">
      <c r="A22" s="29" t="inlineStr">
        <is>
          <t>Plazo total (años)</t>
        </is>
      </c>
      <c r="B22" s="41">
        <f>IFERROR(IF('0. Supuestos'!$B$33="","",'0. Supuestos'!$B$33),"")</f>
        <v>7.0</v>
      </c>
      <c r="C22" s="29" t="n"/>
      <c r="D22" s="29" t="n"/>
      <c r="E22" s="29" t="n"/>
      <c r="F22" s="29" t="n"/>
      <c r="G22" s="29" t="n"/>
      <c r="H22" s="29" t="n"/>
    </row>
    <row r="23">
      <c r="A23" s="29" t="inlineStr">
        <is>
          <t>Carencia de principal aplicada (años)</t>
        </is>
      </c>
      <c r="B23" s="41">
        <f>IFERROR(IF(OR('0. Supuestos'!$B$34="",'0. Supuestos'!$B$33=""),"",IF('0. Supuestos'!$B$34&gt;='0. Supuestos'!$B$33,0,'0. Supuestos'!$B$34)),"")</f>
        <v>1.0</v>
      </c>
      <c r="C23" s="29" t="inlineStr">
        <is>
          <t>Una carencia igual o mayor que el plazo no existe: la hoja la anula en origen</t>
        </is>
      </c>
      <c r="D23" s="29" t="n"/>
      <c r="E23" s="29" t="n"/>
      <c r="F23" s="29" t="n"/>
      <c r="G23" s="29" t="n"/>
      <c r="H23" s="29" t="n"/>
    </row>
    <row r="24">
      <c r="A24" s="26" t="inlineStr">
        <is>
          <t>Cuota anual durante la amortización</t>
        </is>
      </c>
      <c r="B24" s="72">
        <f>IFERROR(IF(B22-B23&lt;=0,"",IF(B21=0,B20/(B22-B23),B20*B21/(1-(1+B21)^-(B22-B23)))),"")</f>
        <v>23996.79016003765</v>
      </c>
      <c r="C24" s="26" t="inlineStr">
        <is>
          <t>Sistema francés, anualidad algebraica. Con el tipo al 0 % es el principal entre los años de amortización: sin esa rama el cuadro se apagaba entero</t>
        </is>
      </c>
      <c r="D24" s="29" t="n"/>
      <c r="E24" s="29" t="n"/>
      <c r="F24" s="29" t="n"/>
      <c r="G24" s="29" t="n"/>
      <c r="H24" s="29" t="n"/>
    </row>
    <row r="25">
      <c r="A25" s="26" t="inlineStr">
        <is>
          <t>CUADRO DE AMORTIZACIÓN</t>
        </is>
      </c>
      <c r="B25" s="29" t="n"/>
      <c r="C25" s="29" t="n"/>
      <c r="D25" s="29" t="n"/>
      <c r="E25" s="29" t="n"/>
      <c r="F25" s="29" t="n"/>
      <c r="G25" s="29" t="n"/>
      <c r="H25" s="29" t="n"/>
    </row>
    <row r="26">
      <c r="A26" s="26" t="inlineStr">
        <is>
          <t>Año</t>
        </is>
      </c>
      <c r="B26" s="26" t="inlineStr">
        <is>
          <t>Capital pendiente</t>
        </is>
      </c>
      <c r="C26" s="26" t="inlineStr">
        <is>
          <t>Intereses</t>
        </is>
      </c>
      <c r="D26" s="26" t="inlineStr">
        <is>
          <t>Amortización de principal</t>
        </is>
      </c>
      <c r="E26" s="26" t="inlineStr">
        <is>
          <t>Cuota total</t>
        </is>
      </c>
      <c r="F26" s="26" t="inlineStr">
        <is>
          <t>Capital al cierre</t>
        </is>
      </c>
      <c r="G26" s="26" t="inlineStr">
        <is>
          <t>Flujo disponible para la deuda (después de impuestos; del año 4 en adelante, el del año 3 mantenido)</t>
        </is>
      </c>
      <c r="H26" s="26" t="inlineStr">
        <is>
          <t>DSCR del año</t>
        </is>
      </c>
    </row>
    <row r="27">
      <c r="A27" s="41" t="n">
        <v>1</v>
      </c>
      <c r="B27" s="70">
        <f>IFERROR(IF(B20="","",B20),"")</f>
        <v>118000.0</v>
      </c>
      <c r="C27" s="70">
        <f>IFERROR(IF(OR(1&gt;B22,B27=""),"",B27*B21),"")</f>
        <v>7080.0</v>
      </c>
      <c r="D27" s="70">
        <f>IFERROR(IF(OR(1&gt;B22,B27=""),"",IF(1&lt;=B23,0,MIN(B27,B24-C27))),"")</f>
        <v>0.0</v>
      </c>
      <c r="E27" s="70">
        <f>IFERROR(IF(C27="","",C27+D27),"")</f>
        <v>7080.0</v>
      </c>
      <c r="F27" s="70">
        <f>IFERROR(IF(D27="","",B27-D27),"")</f>
        <v>118000.0</v>
      </c>
      <c r="G27" s="70">
        <f>IFERROR(IF(E27="","",'PyG 3 Años'!$B$40-'PyG 3 Años'!$B$45+'PyG 3 Años'!$B$35+'PyG 3 Años'!$B$36),"")</f>
        <v>48578.4405</v>
      </c>
      <c r="H27" s="62">
        <f>IFERROR(IF(OR(E27="",E27=0),"",G27/E27),"")</f>
        <v>6.861361652542373</v>
      </c>
    </row>
    <row r="28">
      <c r="A28" s="41" t="n">
        <v>2</v>
      </c>
      <c r="B28" s="70">
        <f>IFERROR(IF(OR(2&gt;B22,F27=""),"",F27),"")</f>
        <v>118000.0</v>
      </c>
      <c r="C28" s="70">
        <f>IFERROR(IF(OR(2&gt;B22,B28=""),"",B28*B21),"")</f>
        <v>7080.0</v>
      </c>
      <c r="D28" s="70">
        <f>IFERROR(IF(OR(2&gt;B22,B28=""),"",IF(2&lt;=B23,0,MIN(B28,B24-C28))),"")</f>
        <v>16916.79016003765</v>
      </c>
      <c r="E28" s="70">
        <f>IFERROR(IF(C28="","",C28+D28),"")</f>
        <v>23996.79016003765</v>
      </c>
      <c r="F28" s="70">
        <f>IFERROR(IF(D28="","",B28-D28),"")</f>
        <v>101083.20983996235</v>
      </c>
      <c r="G28" s="70">
        <f>IFERROR(IF(E28="","",'PyG 3 Años'!$C$40-'PyG 3 Años'!$C$45+'PyG 3 Años'!$C$35+'PyG 3 Años'!$C$36),"")</f>
        <v>55037.36865000002</v>
      </c>
      <c r="H28" s="62">
        <f>IFERROR(IF(OR(E28="",E28=0),"",G28/E28),"")</f>
        <v>2.293530438152303</v>
      </c>
    </row>
    <row r="29">
      <c r="A29" s="41" t="n">
        <v>3</v>
      </c>
      <c r="B29" s="70">
        <f>IFERROR(IF(OR(3&gt;B22,F28=""),"",F28),"")</f>
        <v>101083.20983996235</v>
      </c>
      <c r="C29" s="70">
        <f>IFERROR(IF(OR(3&gt;B22,B29=""),"",B29*B21),"")</f>
        <v>6064.992590397741</v>
      </c>
      <c r="D29" s="70">
        <f>IFERROR(IF(OR(3&gt;B22,B29=""),"",IF(3&lt;=B23,0,MIN(B29,B24-C29))),"")</f>
        <v>17931.797569639908</v>
      </c>
      <c r="E29" s="70">
        <f>IFERROR(IF(C29="","",C29+D29),"")</f>
        <v>23996.79016003765</v>
      </c>
      <c r="F29" s="70">
        <f>IFERROR(IF(D29="","",B29-D29),"")</f>
        <v>83151.41227032244</v>
      </c>
      <c r="G29" s="70">
        <f>IFERROR(IF(E29="","",'PyG 3 Años'!$D$40-'PyG 3 Años'!$D$45+'PyG 3 Años'!$D$35+'PyG 3 Años'!$D$36),"")</f>
        <v>52900.08156759946</v>
      </c>
      <c r="H29" s="62">
        <f>IFERROR(IF(OR(E29="",E29=0),"",G29/E29),"")</f>
        <v>2.2044648977968335</v>
      </c>
    </row>
    <row r="30">
      <c r="A30" s="41" t="n">
        <v>4</v>
      </c>
      <c r="B30" s="70">
        <f>IFERROR(IF(OR(4&gt;B22,F29=""),"",F29),"")</f>
        <v>83151.41227032244</v>
      </c>
      <c r="C30" s="70">
        <f>IFERROR(IF(OR(4&gt;B22,B30=""),"",B30*B21),"")</f>
        <v>4989.084736219346</v>
      </c>
      <c r="D30" s="70">
        <f>IFERROR(IF(OR(4&gt;B22,B30=""),"",IF(4&lt;=B23,0,MIN(B30,B24-C30))),"")</f>
        <v>19007.705423818305</v>
      </c>
      <c r="E30" s="70">
        <f>IFERROR(IF(C30="","",C30+D30),"")</f>
        <v>23996.79016003765</v>
      </c>
      <c r="F30" s="70">
        <f>IFERROR(IF(D30="","",B30-D30),"")</f>
        <v>64143.70684650414</v>
      </c>
      <c r="G30" s="70">
        <f>IFERROR(IF(E30="","",'PyG 3 Años'!$D$40-'PyG 3 Años'!$D$45+'PyG 3 Años'!$D$35+'PyG 3 Años'!$D$36),"")</f>
        <v>52900.08156759946</v>
      </c>
      <c r="H30" s="62">
        <f>IFERROR(IF(OR(E30="",E30=0),"",G30/E30),"")</f>
        <v>2.2044648977968335</v>
      </c>
    </row>
    <row r="31">
      <c r="A31" s="41" t="n">
        <v>5</v>
      </c>
      <c r="B31" s="70">
        <f>IFERROR(IF(OR(5&gt;B22,F30=""),"",F30),"")</f>
        <v>64143.70684650414</v>
      </c>
      <c r="C31" s="70">
        <f>IFERROR(IF(OR(5&gt;B22,B31=""),"",B31*B21),"")</f>
        <v>3848.622410790248</v>
      </c>
      <c r="D31" s="70">
        <f>IFERROR(IF(OR(5&gt;B22,B31=""),"",IF(5&lt;=B23,0,MIN(B31,B24-C31))),"")</f>
        <v>20148.1677492474</v>
      </c>
      <c r="E31" s="70">
        <f>IFERROR(IF(C31="","",C31+D31),"")</f>
        <v>23996.79016003765</v>
      </c>
      <c r="F31" s="70">
        <f>IFERROR(IF(D31="","",B31-D31),"")</f>
        <v>43995.53909725674</v>
      </c>
      <c r="G31" s="70">
        <f>IFERROR(IF(E31="","",'PyG 3 Años'!$D$40-'PyG 3 Años'!$D$45+'PyG 3 Años'!$D$35+'PyG 3 Años'!$D$36),"")</f>
        <v>52900.08156759946</v>
      </c>
      <c r="H31" s="62">
        <f>IFERROR(IF(OR(E31="",E31=0),"",G31/E31),"")</f>
        <v>2.2044648977968335</v>
      </c>
    </row>
    <row r="32">
      <c r="A32" s="41" t="n">
        <v>6</v>
      </c>
      <c r="B32" s="70">
        <f>IFERROR(IF(OR(6&gt;B22,F31=""),"",F31),"")</f>
        <v>43995.53909725674</v>
      </c>
      <c r="C32" s="70">
        <f>IFERROR(IF(OR(6&gt;B22,B32=""),"",B32*B21),"")</f>
        <v>2639.7323458354044</v>
      </c>
      <c r="D32" s="70">
        <f>IFERROR(IF(OR(6&gt;B22,B32=""),"",IF(6&lt;=B23,0,MIN(B32,B24-C32))),"")</f>
        <v>21357.057814202246</v>
      </c>
      <c r="E32" s="70">
        <f>IFERROR(IF(C32="","",C32+D32),"")</f>
        <v>23996.79016003765</v>
      </c>
      <c r="F32" s="70">
        <f>IFERROR(IF(D32="","",B32-D32),"")</f>
        <v>22638.481283054494</v>
      </c>
      <c r="G32" s="70">
        <f>IFERROR(IF(E32="","",'PyG 3 Años'!$D$40-'PyG 3 Años'!$D$45+'PyG 3 Años'!$D$35+'PyG 3 Años'!$D$36),"")</f>
        <v>52900.08156759946</v>
      </c>
      <c r="H32" s="62">
        <f>IFERROR(IF(OR(E32="",E32=0),"",G32/E32),"")</f>
        <v>2.2044648977968335</v>
      </c>
    </row>
    <row r="33">
      <c r="A33" s="41" t="n">
        <v>7</v>
      </c>
      <c r="B33" s="70">
        <f>IFERROR(IF(OR(7&gt;B22,F32=""),"",F32),"")</f>
        <v>22638.481283054494</v>
      </c>
      <c r="C33" s="70">
        <f>IFERROR(IF(OR(7&gt;B22,B33=""),"",B33*B21),"")</f>
        <v>1358.3088769832696</v>
      </c>
      <c r="D33" s="70">
        <f>IFERROR(IF(OR(7&gt;B22,B33=""),"",IF(7&lt;=B23,0,MIN(B33,B24-C33))),"")</f>
        <v>22638.48128305438</v>
      </c>
      <c r="E33" s="70">
        <f>IFERROR(IF(C33="","",C33+D33),"")</f>
        <v>23996.79016003765</v>
      </c>
      <c r="F33" s="70">
        <f>IFERROR(IF(D33="","",B33-D33),"")</f>
        <v>1.127773430198431e-10</v>
      </c>
      <c r="G33" s="70">
        <f>IFERROR(IF(E33="","",'PyG 3 Años'!$D$40-'PyG 3 Años'!$D$45+'PyG 3 Años'!$D$35+'PyG 3 Años'!$D$36),"")</f>
        <v>52900.08156759946</v>
      </c>
      <c r="H33" s="62">
        <f>IFERROR(IF(OR(E33="",E33=0),"",G33/E33),"")</f>
        <v>2.2044648977968335</v>
      </c>
    </row>
    <row r="34">
      <c r="A34" s="41" t="n">
        <v>8</v>
      </c>
      <c r="B34" s="70">
        <f>IFERROR(IF(OR(8&gt;B22,F33=""),"",F33),"")</f>
        <v/>
      </c>
      <c r="C34" s="70">
        <f>IFERROR(IF(OR(8&gt;B22,B34=""),"",B34*B21),"")</f>
        <v/>
      </c>
      <c r="D34" s="70">
        <f>IFERROR(IF(OR(8&gt;B22,B34=""),"",IF(8&lt;=B23,0,MIN(B34,B24-C34))),"")</f>
        <v/>
      </c>
      <c r="E34" s="70">
        <f>IFERROR(IF(C34="","",C34+D34),"")</f>
        <v/>
      </c>
      <c r="F34" s="70">
        <f>IFERROR(IF(D34="","",B34-D34),"")</f>
        <v/>
      </c>
      <c r="G34" s="70">
        <f>IFERROR(IF(E34="","",'PyG 3 Años'!$D$40-'PyG 3 Años'!$D$45+'PyG 3 Años'!$D$35+'PyG 3 Años'!$D$36),"")</f>
        <v/>
      </c>
      <c r="H34" s="62">
        <f>IFERROR(IF(OR(E34="",E34=0),"",G34/E34),"")</f>
        <v/>
      </c>
    </row>
    <row r="35">
      <c r="A35" s="41" t="n">
        <v>9</v>
      </c>
      <c r="B35" s="70">
        <f>IFERROR(IF(OR(9&gt;B22,F34=""),"",F34),"")</f>
        <v/>
      </c>
      <c r="C35" s="70">
        <f>IFERROR(IF(OR(9&gt;B22,B35=""),"",B35*B21),"")</f>
        <v/>
      </c>
      <c r="D35" s="70">
        <f>IFERROR(IF(OR(9&gt;B22,B35=""),"",IF(9&lt;=B23,0,MIN(B35,B24-C35))),"")</f>
        <v/>
      </c>
      <c r="E35" s="70">
        <f>IFERROR(IF(C35="","",C35+D35),"")</f>
        <v/>
      </c>
      <c r="F35" s="70">
        <f>IFERROR(IF(D35="","",B35-D35),"")</f>
        <v/>
      </c>
      <c r="G35" s="70">
        <f>IFERROR(IF(E35="","",'PyG 3 Años'!$D$40-'PyG 3 Años'!$D$45+'PyG 3 Años'!$D$35+'PyG 3 Años'!$D$36),"")</f>
        <v/>
      </c>
      <c r="H35" s="62">
        <f>IFERROR(IF(OR(E35="",E35=0),"",G35/E35),"")</f>
        <v/>
      </c>
    </row>
    <row r="36">
      <c r="A36" s="41" t="n">
        <v>10</v>
      </c>
      <c r="B36" s="70">
        <f>IFERROR(IF(OR(10&gt;B22,F35=""),"",F35),"")</f>
        <v/>
      </c>
      <c r="C36" s="70">
        <f>IFERROR(IF(OR(10&gt;B22,B36=""),"",B36*B21),"")</f>
        <v/>
      </c>
      <c r="D36" s="70">
        <f>IFERROR(IF(OR(10&gt;B22,B36=""),"",IF(10&lt;=B23,0,MIN(B36,B24-C36))),"")</f>
        <v/>
      </c>
      <c r="E36" s="70">
        <f>IFERROR(IF(C36="","",C36+D36),"")</f>
        <v/>
      </c>
      <c r="F36" s="70">
        <f>IFERROR(IF(D36="","",B36-D36),"")</f>
        <v/>
      </c>
      <c r="G36" s="70">
        <f>IFERROR(IF(E36="","",'PyG 3 Años'!$D$40-'PyG 3 Años'!$D$45+'PyG 3 Años'!$D$35+'PyG 3 Años'!$D$36),"")</f>
        <v/>
      </c>
      <c r="H36" s="62">
        <f>IFERROR(IF(OR(E36="",E36=0),"",G36/E36),"")</f>
        <v/>
      </c>
    </row>
    <row r="37">
      <c r="A37" s="41" t="n">
        <v>11</v>
      </c>
      <c r="B37" s="70">
        <f>IFERROR(IF(OR(11&gt;B22,F36=""),"",F36),"")</f>
        <v/>
      </c>
      <c r="C37" s="70">
        <f>IFERROR(IF(OR(11&gt;B22,B37=""),"",B37*B21),"")</f>
        <v/>
      </c>
      <c r="D37" s="70">
        <f>IFERROR(IF(OR(11&gt;B22,B37=""),"",IF(11&lt;=B23,0,MIN(B37,B24-C37))),"")</f>
        <v/>
      </c>
      <c r="E37" s="70">
        <f>IFERROR(IF(C37="","",C37+D37),"")</f>
        <v/>
      </c>
      <c r="F37" s="70">
        <f>IFERROR(IF(D37="","",B37-D37),"")</f>
        <v/>
      </c>
      <c r="G37" s="70">
        <f>IFERROR(IF(E37="","",'PyG 3 Años'!$D$40-'PyG 3 Años'!$D$45+'PyG 3 Años'!$D$35+'PyG 3 Años'!$D$36),"")</f>
        <v/>
      </c>
      <c r="H37" s="62">
        <f>IFERROR(IF(OR(E37="",E37=0),"",G37/E37),"")</f>
        <v/>
      </c>
    </row>
    <row r="38">
      <c r="A38" s="41" t="n">
        <v>12</v>
      </c>
      <c r="B38" s="70">
        <f>IFERROR(IF(OR(12&gt;B22,F37=""),"",F37),"")</f>
        <v/>
      </c>
      <c r="C38" s="70">
        <f>IFERROR(IF(OR(12&gt;B22,B38=""),"",B38*B21),"")</f>
        <v/>
      </c>
      <c r="D38" s="70">
        <f>IFERROR(IF(OR(12&gt;B22,B38=""),"",IF(12&lt;=B23,0,MIN(B38,B24-C38))),"")</f>
        <v/>
      </c>
      <c r="E38" s="70">
        <f>IFERROR(IF(C38="","",C38+D38),"")</f>
        <v/>
      </c>
      <c r="F38" s="70">
        <f>IFERROR(IF(D38="","",B38-D38),"")</f>
        <v/>
      </c>
      <c r="G38" s="70">
        <f>IFERROR(IF(E38="","",'PyG 3 Años'!$D$40-'PyG 3 Años'!$D$45+'PyG 3 Años'!$D$35+'PyG 3 Años'!$D$36),"")</f>
        <v/>
      </c>
      <c r="H38" s="62">
        <f>IFERROR(IF(OR(E38="",E38=0),"",G38/E38),"")</f>
        <v/>
      </c>
    </row>
    <row r="39">
      <c r="A39" s="41" t="n">
        <v>13</v>
      </c>
      <c r="B39" s="70">
        <f>IFERROR(IF(OR(13&gt;B22,F38=""),"",F38),"")</f>
        <v/>
      </c>
      <c r="C39" s="70">
        <f>IFERROR(IF(OR(13&gt;B22,B39=""),"",B39*B21),"")</f>
        <v/>
      </c>
      <c r="D39" s="70">
        <f>IFERROR(IF(OR(13&gt;B22,B39=""),"",IF(13&lt;=B23,0,MIN(B39,B24-C39))),"")</f>
        <v/>
      </c>
      <c r="E39" s="70">
        <f>IFERROR(IF(C39="","",C39+D39),"")</f>
        <v/>
      </c>
      <c r="F39" s="70">
        <f>IFERROR(IF(D39="","",B39-D39),"")</f>
        <v/>
      </c>
      <c r="G39" s="70">
        <f>IFERROR(IF(E39="","",'PyG 3 Años'!$D$40-'PyG 3 Años'!$D$45+'PyG 3 Años'!$D$35+'PyG 3 Años'!$D$36),"")</f>
        <v/>
      </c>
      <c r="H39" s="62">
        <f>IFERROR(IF(OR(E39="",E39=0),"",G39/E39),"")</f>
        <v/>
      </c>
    </row>
    <row r="40">
      <c r="A40" s="41" t="n">
        <v>14</v>
      </c>
      <c r="B40" s="70">
        <f>IFERROR(IF(OR(14&gt;B22,F39=""),"",F39),"")</f>
        <v/>
      </c>
      <c r="C40" s="70">
        <f>IFERROR(IF(OR(14&gt;B22,B40=""),"",B40*B21),"")</f>
        <v/>
      </c>
      <c r="D40" s="70">
        <f>IFERROR(IF(OR(14&gt;B22,B40=""),"",IF(14&lt;=B23,0,MIN(B40,B24-C40))),"")</f>
        <v/>
      </c>
      <c r="E40" s="70">
        <f>IFERROR(IF(C40="","",C40+D40),"")</f>
        <v/>
      </c>
      <c r="F40" s="70">
        <f>IFERROR(IF(D40="","",B40-D40),"")</f>
        <v/>
      </c>
      <c r="G40" s="70">
        <f>IFERROR(IF(E40="","",'PyG 3 Años'!$D$40-'PyG 3 Años'!$D$45+'PyG 3 Años'!$D$35+'PyG 3 Años'!$D$36),"")</f>
        <v/>
      </c>
      <c r="H40" s="62">
        <f>IFERROR(IF(OR(E40="",E40=0),"",G40/E40),"")</f>
        <v/>
      </c>
    </row>
    <row r="41">
      <c r="A41" s="41" t="n">
        <v>15</v>
      </c>
      <c r="B41" s="70">
        <f>IFERROR(IF(OR(15&gt;B22,F40=""),"",F40),"")</f>
        <v/>
      </c>
      <c r="C41" s="70">
        <f>IFERROR(IF(OR(15&gt;B22,B41=""),"",B41*B21),"")</f>
        <v/>
      </c>
      <c r="D41" s="70">
        <f>IFERROR(IF(OR(15&gt;B22,B41=""),"",IF(15&lt;=B23,0,MIN(B41,B24-C41))),"")</f>
        <v/>
      </c>
      <c r="E41" s="70">
        <f>IFERROR(IF(C41="","",C41+D41),"")</f>
        <v/>
      </c>
      <c r="F41" s="70">
        <f>IFERROR(IF(D41="","",B41-D41),"")</f>
        <v/>
      </c>
      <c r="G41" s="70">
        <f>IFERROR(IF(E41="","",'PyG 3 Años'!$D$40-'PyG 3 Años'!$D$45+'PyG 3 Años'!$D$35+'PyG 3 Años'!$D$36),"")</f>
        <v/>
      </c>
      <c r="H41" s="62">
        <f>IFERROR(IF(OR(E41="",E41=0),"",G41/E41),"")</f>
        <v/>
      </c>
    </row>
    <row r="42">
      <c r="A42" s="29" t="inlineStr">
        <is>
          <t>Tolerancia de cierre del cuadro (€)</t>
        </is>
      </c>
      <c r="B42" s="73" t="n">
        <v>0.01</v>
      </c>
      <c r="C42" s="29" t="inlineStr">
        <is>
          <t>Margen por redondeo. Por encima, el cuadro no cierra y hay capital sin devolver</t>
        </is>
      </c>
      <c r="D42" s="29" t="n"/>
      <c r="E42" s="29" t="n"/>
      <c r="F42" s="29" t="n"/>
      <c r="G42" s="29" t="n"/>
      <c r="H42" s="29" t="n"/>
    </row>
    <row r="43">
      <c r="A43" s="29" t="inlineStr">
        <is>
          <t>Capital pendiente al vencimiento</t>
        </is>
      </c>
      <c r="B43" s="70">
        <f>IFERROR(IF(B20="","",ROUND(B20-SUM(D27:D41),2)),"")</f>
        <v>0.0</v>
      </c>
      <c r="C43" s="29" t="inlineStr">
        <is>
          <t>Tiene que ser cero: el principal devuelto en el cuadro tiene que ser el prestado. Si sale positivo, el plazo no llega</t>
        </is>
      </c>
      <c r="D43" s="29" t="n"/>
      <c r="E43" s="29" t="n"/>
      <c r="F43" s="29" t="n"/>
      <c r="G43" s="29" t="n"/>
      <c r="H43" s="29" t="n"/>
    </row>
    <row r="44">
      <c r="A44" s="29" t="inlineStr">
        <is>
          <t>Intereses del año 1</t>
        </is>
      </c>
      <c r="B44" s="33">
        <f>IFERROR(IF(B20="","",IF(C27="",0,C27)),"")</f>
        <v>7080.0</v>
      </c>
      <c r="C44" s="29" t="n"/>
      <c r="D44" s="29" t="n"/>
      <c r="E44" s="29" t="n"/>
      <c r="F44" s="29" t="n"/>
      <c r="G44" s="29" t="n"/>
      <c r="H44" s="29" t="n"/>
    </row>
    <row r="45">
      <c r="A45" s="29" t="inlineStr">
        <is>
          <t>Devolución de principal del año 1</t>
        </is>
      </c>
      <c r="B45" s="33">
        <f>IFERROR(IF(B20="","",IF(D27="",0,D27)),"")</f>
        <v>0.0</v>
      </c>
      <c r="C45" s="29" t="n"/>
      <c r="D45" s="29" t="n"/>
      <c r="E45" s="29" t="n"/>
      <c r="F45" s="29" t="n"/>
      <c r="G45" s="29" t="n"/>
      <c r="H45" s="29" t="n"/>
    </row>
    <row r="46">
      <c r="A46" s="29" t="inlineStr">
        <is>
          <t>Intereses del año 2</t>
        </is>
      </c>
      <c r="B46" s="33">
        <f>IFERROR(IF(B20="","",IF(C28="",0,C28)),"")</f>
        <v>7080.0</v>
      </c>
      <c r="C46" s="29" t="n"/>
      <c r="D46" s="29" t="n"/>
      <c r="E46" s="29" t="n"/>
      <c r="F46" s="29" t="n"/>
      <c r="G46" s="29" t="n"/>
      <c r="H46" s="29" t="n"/>
    </row>
    <row r="47">
      <c r="A47" s="29" t="inlineStr">
        <is>
          <t>Devolución de principal del año 2</t>
        </is>
      </c>
      <c r="B47" s="33">
        <f>IFERROR(IF(B20="","",IF(D28="",0,D28)),"")</f>
        <v>16916.79016003765</v>
      </c>
      <c r="C47" s="29" t="n"/>
      <c r="D47" s="29" t="n"/>
      <c r="E47" s="29" t="n"/>
      <c r="F47" s="29" t="n"/>
      <c r="G47" s="29" t="n"/>
      <c r="H47" s="29" t="n"/>
    </row>
    <row r="48">
      <c r="A48" s="29" t="inlineStr">
        <is>
          <t>Intereses del año 3</t>
        </is>
      </c>
      <c r="B48" s="33">
        <f>IFERROR(IF(B20="","",IF(C29="",0,C29)),"")</f>
        <v>6064.992590397741</v>
      </c>
      <c r="C48" s="29" t="n"/>
      <c r="D48" s="29" t="n"/>
      <c r="E48" s="29" t="n"/>
      <c r="F48" s="29" t="n"/>
      <c r="G48" s="29" t="n"/>
      <c r="H48" s="29" t="n"/>
    </row>
    <row r="49">
      <c r="A49" s="29" t="inlineStr">
        <is>
          <t>Devolución de principal del año 3</t>
        </is>
      </c>
      <c r="B49" s="33">
        <f>IFERROR(IF(B20="","",IF(D29="",0,D29)),"")</f>
        <v>17931.797569639908</v>
      </c>
      <c r="C49" s="29" t="n"/>
      <c r="D49" s="29" t="n"/>
      <c r="E49" s="29" t="n"/>
      <c r="F49" s="29" t="n"/>
      <c r="G49" s="29" t="n"/>
      <c r="H49" s="29" t="n"/>
    </row>
    <row r="50">
      <c r="A50" s="26" t="inlineStr">
        <is>
          <t>COBERTURA DEL SERVICIO DE LA DEUDA (DSCR)</t>
        </is>
      </c>
      <c r="B50" s="29" t="n"/>
      <c r="C50" s="29" t="n"/>
      <c r="D50" s="29" t="n"/>
      <c r="E50" s="29" t="n"/>
      <c r="F50" s="29" t="n"/>
      <c r="G50" s="29" t="n"/>
      <c r="H50" s="29" t="n"/>
    </row>
    <row r="51">
      <c r="A51" s="29" t="inlineStr">
        <is>
          <t>DSCR del año 1</t>
        </is>
      </c>
      <c r="B51" s="62">
        <f>IFERROR(('PyG 3 Años'!$B$40-'PyG 3 Años'!$B$45+'PyG 3 Años'!$B$35+B44)/(B44+B45),"")</f>
        <v>6.861361652542373</v>
      </c>
      <c r="C51" s="29" t="inlineStr">
        <is>
          <t>Año de CARENCIA si la hay: con sólo intereses en el denominador el ratio se dispara y no mide el negocio</t>
        </is>
      </c>
      <c r="D51" s="29" t="n"/>
      <c r="E51" s="29" t="n"/>
      <c r="F51" s="29" t="n"/>
      <c r="G51" s="29" t="n"/>
      <c r="H51" s="29" t="n"/>
    </row>
    <row r="52">
      <c r="A52" s="29" t="inlineStr">
        <is>
          <t>DSCR del año 2</t>
        </is>
      </c>
      <c r="B52" s="62">
        <f>IFERROR(('PyG 3 Años'!$C$40-'PyG 3 Años'!$C$45+'PyG 3 Años'!$C$35+B46)/(B46+B47),"")</f>
        <v>2.293530438152303</v>
      </c>
      <c r="C52" s="29" t="n"/>
      <c r="D52" s="29" t="n"/>
      <c r="E52" s="29" t="n"/>
      <c r="F52" s="29" t="n"/>
      <c r="G52" s="29" t="n"/>
      <c r="H52" s="29" t="n"/>
    </row>
    <row r="53">
      <c r="A53" s="29" t="inlineStr">
        <is>
          <t>DSCR del año 3</t>
        </is>
      </c>
      <c r="B53" s="62">
        <f>IFERROR(('PyG 3 Años'!$D$40-'PyG 3 Años'!$D$45+'PyG 3 Años'!$D$35+B48)/(B48+B49),"")</f>
        <v>2.2044648977968335</v>
      </c>
      <c r="C53" s="29" t="n"/>
      <c r="D53" s="29" t="n"/>
      <c r="E53" s="29" t="n"/>
      <c r="F53" s="29" t="n"/>
      <c r="G53" s="29" t="n"/>
      <c r="H53" s="29" t="n"/>
    </row>
    <row r="54">
      <c r="A54" s="26" t="inlineStr">
        <is>
          <t>DSCR mínimo de todo el cuadro</t>
        </is>
      </c>
      <c r="B54" s="55">
        <f>IFERROR(IF(COUNT(H27:H41)=0,"",MIN(H27:H41)),"")</f>
        <v>2.2044648977968335</v>
      </c>
      <c r="C54" s="26" t="inlineStr">
        <is>
          <t>El peor año de los que dura el préstamo, no el mejor de los tres que proyecta el P&amp;L. Es el número que decide una operación. Ojo al alcance: los años 1 a 3 salen del P&amp;L y del año 4 en adelante el cuadro MANTIENE el flujo del año 3, así que el mínimo de esos años es una proyección sostenida, no un año calculado. El flujo va después de impuestos</t>
        </is>
      </c>
      <c r="D54" s="29" t="n"/>
      <c r="E54" s="29" t="n"/>
      <c r="F54" s="29" t="n"/>
      <c r="G54" s="29" t="n"/>
      <c r="H54" s="29" t="n"/>
    </row>
    <row r="55">
      <c r="A55" s="29" t="n"/>
      <c r="B55" s="29" t="n"/>
      <c r="C55" s="29" t="n"/>
      <c r="D55" s="29" t="n"/>
      <c r="E55" s="29" t="n"/>
      <c r="F55" s="29" t="n"/>
      <c r="G55" s="29" t="n"/>
      <c r="H55" s="29" t="n"/>
    </row>
    <row r="56" ht="165" customHeight="1">
      <c r="A56" s="48" t="inlineStr">
        <is>
          <t>El DSCR se calcula ANTES de la deuda y DESPUÉS de impuestos: al resultado antes de impuestos se le resta el Impuesto de Sociedades y se le devuelven la amortización contable y los intereses; el resultado se divide entre lo que hay que pagar ese año. Por debajo del mínimo de la hoja de Supuestos, el negocio no genera para pagar el préstamo. En el cuadro, el flujo de caja disponible de los años 4 en adelante se mantiene en el del año 3: el P&amp;L sólo proyecta tres, y aquí no se inventa un crecimiento que no está calculado.</t>
        </is>
      </c>
      <c r="B56" s="29" t="n"/>
      <c r="C56" s="29" t="n"/>
      <c r="D56" s="29" t="n"/>
      <c r="E56" s="29" t="n"/>
      <c r="F56" s="29" t="n"/>
      <c r="G56" s="29" t="n"/>
      <c r="H56" s="29" t="n"/>
    </row>
    <row r="57">
      <c r="A57" s="29" t="n"/>
      <c r="B57" s="29" t="n"/>
      <c r="C57" s="29" t="n"/>
      <c r="D57" s="29" t="n"/>
      <c r="E57" s="29" t="n"/>
      <c r="F57" s="29" t="n"/>
      <c r="G57" s="29" t="n"/>
      <c r="H57" s="29" t="n"/>
    </row>
    <row r="58">
      <c r="A58" s="29" t="n"/>
      <c r="B58" s="29" t="n"/>
      <c r="C58" s="29" t="n"/>
      <c r="D58" s="29" t="n"/>
      <c r="E58" s="29" t="n"/>
      <c r="F58" s="29" t="n"/>
      <c r="G58" s="29" t="n"/>
      <c r="H58" s="29" t="n"/>
    </row>
    <row r="59">
      <c r="A59" s="29" t="n"/>
      <c r="B59" s="29" t="n"/>
      <c r="C59" s="29" t="n"/>
      <c r="D59" s="29" t="n"/>
      <c r="E59" s="29" t="n"/>
      <c r="F59" s="29" t="n"/>
      <c r="G59" s="29" t="n"/>
      <c r="H59" s="29" t="n"/>
    </row>
    <row r="60">
      <c r="A60" s="29" t="n"/>
      <c r="B60" s="29" t="n"/>
      <c r="C60" s="29" t="n"/>
      <c r="D60" s="29" t="n"/>
      <c r="E60" s="29" t="n"/>
      <c r="F60" s="29" t="n"/>
      <c r="G60" s="29" t="n"/>
      <c r="H60" s="29" t="n"/>
    </row>
    <row r="61">
      <c r="A61" s="29" t="n"/>
      <c r="B61" s="29" t="n"/>
      <c r="C61" s="29" t="n"/>
      <c r="D61" s="29" t="n"/>
      <c r="E61" s="29" t="n"/>
      <c r="F61" s="29" t="n"/>
      <c r="G61" s="29" t="n"/>
      <c r="H61" s="29" t="n"/>
    </row>
    <row r="62">
      <c r="A62" s="29" t="n"/>
      <c r="B62" s="29" t="n"/>
      <c r="C62" s="29" t="n"/>
      <c r="D62" s="29" t="n"/>
      <c r="E62" s="29" t="n"/>
      <c r="F62" s="29" t="n"/>
      <c r="G62" s="29" t="n"/>
      <c r="H62" s="29" t="n"/>
    </row>
    <row r="63">
      <c r="A63" s="29" t="n"/>
      <c r="B63" s="29" t="n"/>
      <c r="C63" s="29" t="n"/>
      <c r="D63" s="29" t="n"/>
      <c r="E63" s="29" t="n"/>
      <c r="F63" s="29" t="n"/>
      <c r="G63" s="29" t="n"/>
      <c r="H63" s="29" t="n"/>
    </row>
    <row r="64">
      <c r="A64" s="29" t="n"/>
      <c r="B64" s="29" t="n"/>
      <c r="C64" s="29" t="n"/>
      <c r="D64" s="29" t="n"/>
      <c r="E64" s="29" t="n"/>
      <c r="F64" s="29" t="n"/>
      <c r="G64" s="29" t="n"/>
      <c r="H64" s="29" t="n"/>
    </row>
    <row r="65">
      <c r="A65" s="29" t="n"/>
      <c r="B65" s="29" t="n"/>
      <c r="C65" s="29" t="n"/>
      <c r="D65" s="29" t="n"/>
      <c r="E65" s="29" t="n"/>
      <c r="F65" s="29" t="n"/>
      <c r="G65" s="29" t="n"/>
      <c r="H65" s="29" t="n"/>
    </row>
    <row r="66">
      <c r="A66" s="29" t="n"/>
      <c r="B66" s="29" t="n"/>
      <c r="C66" s="29" t="n"/>
      <c r="D66" s="29" t="n"/>
      <c r="E66" s="29" t="n"/>
      <c r="F66" s="29" t="n"/>
      <c r="G66" s="29" t="n"/>
      <c r="H66" s="29" t="n"/>
    </row>
    <row r="67">
      <c r="A67" s="29" t="n"/>
      <c r="B67" s="29" t="n"/>
      <c r="C67" s="29" t="n"/>
      <c r="D67" s="29" t="n"/>
      <c r="E67" s="29" t="n"/>
      <c r="F67" s="29" t="n"/>
      <c r="G67" s="29" t="n"/>
      <c r="H67" s="29" t="n"/>
    </row>
    <row r="68">
      <c r="A68" s="29" t="n"/>
      <c r="B68" s="29" t="n"/>
      <c r="C68" s="29" t="n"/>
      <c r="D68" s="29" t="n"/>
      <c r="E68" s="29" t="n"/>
      <c r="F68" s="29" t="n"/>
      <c r="G68" s="29" t="n"/>
      <c r="H68" s="29" t="n"/>
    </row>
    <row r="69">
      <c r="A69" s="29" t="n"/>
      <c r="B69" s="29" t="n"/>
      <c r="C69" s="29" t="n"/>
      <c r="D69" s="29" t="n"/>
      <c r="E69" s="29" t="n"/>
      <c r="F69" s="29" t="n"/>
      <c r="G69" s="29" t="n"/>
      <c r="H69" s="29" t="n"/>
    </row>
    <row r="70">
      <c r="A70" s="29" t="n"/>
      <c r="B70" s="29" t="n"/>
      <c r="C70" s="29" t="n"/>
      <c r="D70" s="29" t="n"/>
      <c r="E70" s="29" t="n"/>
      <c r="F70" s="29" t="n"/>
      <c r="G70" s="29" t="n"/>
      <c r="H70" s="29" t="n"/>
    </row>
    <row r="71">
      <c r="A71" s="29" t="n"/>
      <c r="B71" s="29" t="n"/>
      <c r="C71" s="29" t="n"/>
      <c r="D71" s="29" t="n"/>
      <c r="E71" s="29" t="n"/>
      <c r="F71" s="29" t="n"/>
      <c r="G71" s="29" t="n"/>
      <c r="H71" s="29" t="n"/>
    </row>
    <row r="72">
      <c r="A72" s="29" t="n"/>
      <c r="B72" s="29" t="n"/>
      <c r="C72" s="29" t="n"/>
      <c r="D72" s="29" t="n"/>
      <c r="E72" s="29" t="n"/>
      <c r="F72" s="29" t="n"/>
      <c r="G72" s="29" t="n"/>
      <c r="H72" s="29" t="n"/>
    </row>
    <row r="73">
      <c r="A73" s="29" t="n"/>
      <c r="B73" s="29" t="n"/>
      <c r="C73" s="29" t="n"/>
      <c r="D73" s="29" t="n"/>
      <c r="E73" s="29" t="n"/>
      <c r="F73" s="29" t="n"/>
      <c r="G73" s="29" t="n"/>
      <c r="H73" s="29" t="n"/>
    </row>
    <row r="74">
      <c r="A74" s="29" t="n"/>
      <c r="B74" s="29" t="n"/>
      <c r="C74" s="29" t="n"/>
      <c r="D74" s="29" t="n"/>
      <c r="E74" s="29" t="n"/>
      <c r="F74" s="29" t="n"/>
      <c r="G74" s="29" t="n"/>
      <c r="H74" s="29" t="n"/>
    </row>
    <row r="75">
      <c r="A75" s="29" t="n"/>
      <c r="B75" s="29" t="n"/>
      <c r="C75" s="29" t="n"/>
      <c r="D75" s="29" t="n"/>
      <c r="E75" s="29" t="n"/>
      <c r="F75" s="29" t="n"/>
      <c r="G75" s="29" t="n"/>
      <c r="H75" s="29" t="n"/>
    </row>
    <row r="76">
      <c r="A76" s="29" t="n"/>
      <c r="B76" s="29" t="n"/>
      <c r="C76" s="29" t="n"/>
      <c r="D76" s="29" t="n"/>
      <c r="E76" s="29" t="n"/>
      <c r="F76" s="29" t="n"/>
      <c r="G76" s="29" t="n"/>
      <c r="H76" s="29" t="n"/>
    </row>
    <row r="77">
      <c r="A77" s="29" t="n"/>
      <c r="B77" s="29" t="n"/>
      <c r="C77" s="29" t="n"/>
      <c r="D77" s="29" t="n"/>
      <c r="E77" s="29" t="n"/>
      <c r="F77" s="29" t="n"/>
      <c r="G77" s="29" t="n"/>
      <c r="H77" s="29" t="n"/>
    </row>
    <row r="78">
      <c r="A78" s="29" t="n"/>
      <c r="B78" s="29" t="n"/>
      <c r="C78" s="29" t="n"/>
      <c r="D78" s="29" t="n"/>
      <c r="E78" s="29" t="n"/>
      <c r="F78" s="29" t="n"/>
      <c r="G78" s="29" t="n"/>
      <c r="H78" s="29" t="n"/>
    </row>
    <row r="79">
      <c r="A79" s="29" t="n"/>
      <c r="B79" s="29" t="n"/>
      <c r="C79" s="29" t="n"/>
      <c r="D79" s="29" t="n"/>
      <c r="E79" s="29" t="n"/>
      <c r="F79" s="29" t="n"/>
      <c r="G79" s="29" t="n"/>
      <c r="H79" s="29" t="n"/>
    </row>
    <row r="80">
      <c r="A80" s="29" t="n"/>
      <c r="B80" s="29" t="n"/>
      <c r="C80" s="29" t="n"/>
      <c r="D80" s="29" t="n"/>
      <c r="E80" s="29" t="n"/>
      <c r="F80" s="29" t="n"/>
      <c r="G80" s="29" t="n"/>
      <c r="H80" s="29" t="n"/>
    </row>
  </sheetData>
  <sheetProtection selectLockedCells="0" selectUnlockedCells="0" sheet="1" objects="0" insertRows="1" insertHyperlinks="1" autoFilter="1" scenarios="0" formatColumns="0" deleteColumns="1" insertColumns="1" pivotTables="1" deleteRows="1" formatCells="1" formatRows="0" sort="0"/>
  <conditionalFormatting sqref="B16">
    <cfRule type="expression" priority="1" dxfId="1" stopIfTrue="1">
      <formula>AND(ISNUMBER(B16),B16&lt;0)</formula>
    </cfRule>
    <cfRule type="expression" priority="2" dxfId="2" stopIfTrue="1">
      <formula>AND(ISNUMBER(B16),B16&gt;$B$17)</formula>
    </cfRule>
    <cfRule type="expression" priority="3" dxfId="0" stopIfTrue="1">
      <formula>AND(ISNUMBER(B16),B16&gt;=0)</formula>
    </cfRule>
  </conditionalFormatting>
  <conditionalFormatting sqref="B43">
    <cfRule type="expression" priority="4" dxfId="1" stopIfTrue="1">
      <formula>AND(ISNUMBER(B43),ABS(B43)&gt;$B$42)</formula>
    </cfRule>
    <cfRule type="expression" priority="5" dxfId="0" stopIfTrue="1">
      <formula>AND(ISNUMBER(B43),ABS(B43)&lt;=$B$42)</formula>
    </cfRule>
  </conditionalFormatting>
  <conditionalFormatting sqref="B51">
    <cfRule type="expression" priority="6" dxfId="1" stopIfTrue="1">
      <formula>AND(ISNUMBER(B51),B51&lt;'0. Supuestos'!$B$65)</formula>
    </cfRule>
    <cfRule type="expression" priority="7" dxfId="2" stopIfTrue="1">
      <formula>AND(ISNUMBER(B51),B51&gt;='0. Supuestos'!$B$65)</formula>
    </cfRule>
    <cfRule type="expression" priority="8" dxfId="0" stopIfTrue="1">
      <formula>AND(ISNUMBER(B51),B51&gt;='0. Supuestos'!$B$66)</formula>
    </cfRule>
  </conditionalFormatting>
  <conditionalFormatting sqref="B52">
    <cfRule type="expression" priority="9" dxfId="1" stopIfTrue="1">
      <formula>AND(ISNUMBER(B52),B52&lt;'0. Supuestos'!$B$65)</formula>
    </cfRule>
    <cfRule type="expression" priority="10" dxfId="2" stopIfTrue="1">
      <formula>AND(ISNUMBER(B52),B52&gt;='0. Supuestos'!$B$65)</formula>
    </cfRule>
    <cfRule type="expression" priority="11" dxfId="0" stopIfTrue="1">
      <formula>AND(ISNUMBER(B52),B52&gt;='0. Supuestos'!$B$66)</formula>
    </cfRule>
  </conditionalFormatting>
  <conditionalFormatting sqref="B53">
    <cfRule type="expression" priority="12" dxfId="1" stopIfTrue="1">
      <formula>AND(ISNUMBER(B53),B53&lt;'0. Supuestos'!$B$65)</formula>
    </cfRule>
    <cfRule type="expression" priority="13" dxfId="2" stopIfTrue="1">
      <formula>AND(ISNUMBER(B53),B53&gt;='0. Supuestos'!$B$65)</formula>
    </cfRule>
    <cfRule type="expression" priority="14" dxfId="0" stopIfTrue="1">
      <formula>AND(ISNUMBER(B53),B53&gt;='0. Supuestos'!$B$66)</formula>
    </cfRule>
  </conditionalFormatting>
  <conditionalFormatting sqref="B54">
    <cfRule type="expression" priority="15" dxfId="1" stopIfTrue="1">
      <formula>AND(ISNUMBER(B54),B54&lt;'0. Supuestos'!$B$65)</formula>
    </cfRule>
    <cfRule type="expression" priority="16" dxfId="2" stopIfTrue="1">
      <formula>AND(ISNUMBER(B54),B54&gt;='0. Supuestos'!$B$65)</formula>
    </cfRule>
    <cfRule type="expression" priority="17" dxfId="0" stopIfTrue="1">
      <formula>AND(ISNUMBER(B54),B54&gt;='0. Supuestos'!$B$66)</formula>
    </cfRule>
  </conditionalFormatting>
  <dataValidations count="2">
    <dataValidation sqref="B8 B9 B10 B11 B42" showDropDown="0" showInputMessage="0" showErrorMessage="1" allowBlank="1" errorTitle="Importe no válido" error="Escribe un número mayor o igual que 0." type="decimal" operator="greaterThanOrEqual">
      <formula1>0</formula1>
    </dataValidation>
    <dataValidation sqref="B17"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Plan financiero — Taquería · v1.0</dc:title>
  <dc:description xmlns:dc="http://purl.org/dc/elements/1.1/">aichef.pro/plan-negocio-taqueria</dc:description>
  <dc:subject xmlns:dc="http://purl.org/dc/elements/1.1/">Plan financiero — Taquería · v1.0</dc:subject>
  <dcterms:created xmlns:dcterms="http://purl.org/dc/terms/" xmlns:xsi="http://www.w3.org/2001/XMLSchema-instance" xsi:type="dcterms:W3CDTF">2026-03-26T14:15:52Z</dcterms:created>
  <dcterms:modified xmlns:dcterms="http://purl.org/dc/terms/" xmlns:xsi="http://www.w3.org/2001/XMLSchema-instance" xsi:type="dcterms:W3CDTF">2026-10-29T07:03:45Z</dcterms:modified>
  <cp:lastModifiedBy>AI Chef Pro</cp:lastModifiedBy>
  <cp:category>AI Chef Pro · Productos digitales</cp:category>
  <cp:keywords>plan de negocio taquería, taqueria, trompo al pastor, AI Chef Pro</cp:keywords>
</cp:coreProperties>
</file>