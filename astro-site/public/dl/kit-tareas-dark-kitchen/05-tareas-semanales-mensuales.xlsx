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ventario Diario" sheetId="2" state="visible" r:id="rId2"/>
    <sheet xmlns:r="http://schemas.openxmlformats.org/officeDocument/2006/relationships" name="Limpieza Semanal" sheetId="3" state="visible" r:id="rId3"/>
    <sheet xmlns:r="http://schemas.openxmlformats.org/officeDocument/2006/relationships" name="FIFO Semanal" sheetId="4" state="visible" r:id="rId4"/>
    <sheet xmlns:r="http://schemas.openxmlformats.org/officeDocument/2006/relationships" name="Mantenimiento Mensual" sheetId="5" state="visible" r:id="rId5"/>
    <sheet xmlns:r="http://schemas.openxmlformats.org/officeDocument/2006/relationships" name="Trimestral y Anual" sheetId="6" state="visible" r:id="rId6"/>
  </sheets>
  <definedNames>
    <definedName name="_xlnm.Print_Area" localSheetId="0">'Instrucciones'!$A$1:$B$39</definedName>
    <definedName name="_xlnm.Print_Titles" localSheetId="1">'Inventario Diario'!$4:$4</definedName>
    <definedName name="_xlnm.Print_Area" localSheetId="1">'Inventario Diario'!$A$1:$F$45</definedName>
    <definedName name="_xlnm.Print_Titles" localSheetId="2">'Limpieza Semanal'!$4:$4</definedName>
    <definedName name="_xlnm.Print_Area" localSheetId="2">'Limpieza Semanal'!$A$1:$G$26</definedName>
    <definedName name="_xlnm.Print_Titles" localSheetId="3">'FIFO Semanal'!$4:$4</definedName>
    <definedName name="_xlnm.Print_Area" localSheetId="3">'FIFO Semanal'!$A$1:$G$36</definedName>
    <definedName name="_xlnm.Print_Titles" localSheetId="4">'Mantenimiento Mensual'!$4:$4</definedName>
    <definedName name="_xlnm.Print_Area" localSheetId="4">'Mantenimiento Mensual'!$A$1:$G$29</definedName>
    <definedName name="_xlnm.Print_Titles" localSheetId="5">'Trimestral y Anual'!$4:$4</definedName>
    <definedName name="_xlnm.Print_Area" localSheetId="5">'Trimestral y Anual'!$A$1:$G$29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name val="Calibri"/>
      <sz val="10"/>
    </font>
    <font>
      <b val="1"/>
      <sz val="9"/>
    </font>
    <font>
      <name val="Calibri"/>
      <i val="1"/>
      <color rgb="00888888"/>
      <sz val="8"/>
    </font>
    <font>
      <sz val="10"/>
    </font>
    <font>
      <b val="1"/>
      <sz val="10"/>
    </font>
    <font>
      <b val="1"/>
      <color rgb="00228B22"/>
      <sz val="10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pivotButton="0" quotePrefix="0" xfId="0"/>
    <xf numFmtId="0" fontId="0" fillId="4" borderId="1" pivotButton="0" quotePrefix="0" xfId="0"/>
    <xf numFmtId="0" fontId="4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6" fillId="5" borderId="1" pivotButton="0" quotePrefix="0" xfId="0"/>
    <xf numFmtId="0" fontId="0" fillId="5" borderId="1" pivotButton="0" quotePrefix="0" xfId="0"/>
    <xf numFmtId="0" fontId="4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12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3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2" fillId="4" borderId="1" applyAlignment="1" applyProtection="1" pivotButton="0" quotePrefix="0" xfId="0">
      <alignment horizontal="center" vertical="center"/>
      <protection locked="0" hidden="0"/>
    </xf>
    <xf numFmtId="0" fontId="6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2" fillId="5" borderId="1" applyAlignment="1" applyProtection="1" pivotButton="0" quotePrefix="0" xfId="0">
      <alignment horizontal="center" vertical="center"/>
      <protection locked="0" hidden="0"/>
    </xf>
    <xf numFmtId="0" fontId="6" fillId="5" borderId="1" applyProtection="1" pivotButton="0" quotePrefix="0" xfId="0">
      <protection locked="0" hidden="0"/>
    </xf>
    <xf numFmtId="0" fontId="12" fillId="6" borderId="1" applyAlignment="1" applyProtection="1" pivotButton="0" quotePrefix="0" xfId="0">
      <alignment horizontal="center" vertical="center"/>
      <protection locked="0" hidden="0"/>
    </xf>
    <xf numFmtId="0" fontId="6" fillId="6" borderId="1" applyProtection="1" pivotButton="0" quotePrefix="0" xfId="0"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39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22" t="inlineStr">
        <is>
          <t>Tareas Semanales, Mensuales e Inventarios — Dark Kitchen</t>
        </is>
      </c>
    </row>
    <row r="3"/>
    <row r="4" ht="18" customHeight="1">
      <c r="B4" s="23" t="inlineStr">
        <is>
          <t>Trimestral, anual y vida útil en congelación</t>
        </is>
      </c>
    </row>
    <row r="5"/>
    <row r="6" ht="48" customHeight="1">
      <c r="B6" s="24" t="inlineStr">
        <is>
          <t>▸ La hoja «Trimestral y Anual» recoge el mantenimiento que se CONTRATA y que se pide en una inspección: DDD, conductos de extracción, extintores y BIE, instalación de gas, legionela, frigorista, retirada del aceite usado y del cartón de packaging, seguro y facturación.</t>
        </is>
      </c>
    </row>
    <row r="7" ht="32" customHeight="1">
      <c r="B7" s="24" t="inlineStr">
        <is>
          <t>▸ Anota el número de parte en la columna verde y firma cuando la empresa haya venido; en la columna «Cadencia» tienes cada cuánto toca cada revisión.</t>
        </is>
      </c>
    </row>
    <row r="8" ht="32" customHeight="1">
      <c r="B8" s="24" t="inlineStr">
        <is>
          <t>▸ Al pie de «FIFO Semanal» tienes una tabla editable de vida útil en congelación por familia: una regla única para todo el congelador o tiras producto bueno o das por bueno producto pasado.</t>
        </is>
      </c>
    </row>
    <row r="9">
      <c r="B9" s="3" t="n"/>
    </row>
    <row r="10" ht="18" customHeight="1">
      <c r="B10" s="23" t="inlineStr">
        <is>
          <t>Cómo cuenta el contador</t>
        </is>
      </c>
    </row>
    <row r="11">
      <c r="B11" s="3" t="n"/>
    </row>
    <row r="12" ht="32" customHeight="1">
      <c r="B12" s="24" t="inlineStr">
        <is>
          <t>▸ Marca con ✓ en la columna «✓ Completada» (desplegable): es la que cuenta el total de tareas completadas.</t>
        </is>
      </c>
    </row>
    <row r="13" ht="32" customHeight="1">
      <c r="B13" s="24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14" ht="32" customHeight="1">
      <c r="B14" s="24" t="inlineStr">
        <is>
          <t>▸ El denominador cuenta las tareas escritas en la columna «Tarea», no un número fijo: si añades o borras tareas, el total se ajusta solo.</t>
        </is>
      </c>
    </row>
    <row r="15"/>
    <row r="16" ht="18" customHeight="1">
      <c r="B16" s="23" t="inlineStr">
        <is>
          <t>Filas libres</t>
        </is>
      </c>
    </row>
    <row r="17"/>
    <row r="18" ht="32" customHeight="1">
      <c r="B18" s="24" t="inlineStr">
        <is>
          <t>▸ Al final de cada tabla hay 5 filas verdes libres DENTRO del rango que cuenta el contador: escribe ahí tus tareas propias.</t>
        </is>
      </c>
    </row>
    <row r="19" ht="32" customHeight="1">
      <c r="B19" s="24" t="inlineStr">
        <is>
          <t>▸ Si necesitas más, inserta filas DENTRO de la tabla (clic derecho → Insertar), nunca por debajo de la última: lo que se escriba fuera del rango no lo cuenta nadie.</t>
        </is>
      </c>
    </row>
    <row r="20"/>
    <row r="21" ht="18" customHeight="1">
      <c r="B21" s="23" t="inlineStr">
        <is>
          <t>Protección de la hoja</t>
        </is>
      </c>
    </row>
    <row r="22"/>
    <row r="23" ht="32" customHeight="1">
      <c r="B23" s="24" t="inlineStr">
        <is>
          <t>▸ Las hojas con fórmulas van protegidas SIN contraseña: las celdas de entrada (las verdes) están desbloqueadas y los cálculos no se pisan por accidente.</t>
        </is>
      </c>
    </row>
    <row r="24" ht="32" customHeight="1">
      <c r="B24" s="24" t="inlineStr">
        <is>
          <t>▸ Puedes insertar y borrar filas con la protección puesta. Para cambiar la estructura: Revisar → Desproteger hoja.</t>
        </is>
      </c>
    </row>
    <row r="25"/>
    <row r="26" ht="18" customHeight="1">
      <c r="B26" s="23" t="inlineStr">
        <is>
          <t>Se conecta con</t>
        </is>
      </c>
    </row>
    <row r="27"/>
    <row r="28" ht="16" customHeight="1">
      <c r="B28" s="24" t="inlineStr">
        <is>
          <t>▸ 08-apertura-cierre-negocio.xlsx — checklist del LOCAL completo: es el MARCO del día.</t>
        </is>
      </c>
    </row>
    <row r="29" ht="16" customHeight="1">
      <c r="B29" s="24" t="inlineStr">
        <is>
          <t>▸ 01-apertura-cierre.xlsx — el mismo día con el DETALLE por área (cocina).</t>
        </is>
      </c>
    </row>
    <row r="30" ht="16" customHeight="1">
      <c r="B30" s="24" t="inlineStr">
        <is>
          <t>▸ 09-apertura-cierre-caja.xlsx — la CAJA: fondo, recuento por denominaciones, Z del TPV y descuadre.</t>
        </is>
      </c>
    </row>
    <row r="31" ht="48" customHeight="1">
      <c r="B31" s="24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32" ht="32" customHeight="1">
      <c r="B32" s="24" t="inlineStr">
        <is>
          <t>▸ Estás en 05-tareas-semanales-mensuales.xlsx: lo que NO es diario (semanal, mensual, trimestral y anual). El día a día está en 08-apertura-cierre-negocio.xlsx y 01-apertura-cierre.xlsx.</t>
        </is>
      </c>
    </row>
    <row r="33"/>
    <row r="34" ht="18" customHeight="1">
      <c r="B34" s="23" t="inlineStr">
        <is>
          <t>— Kit de Tareas Recurrentes · Dark Kitchen · AI Chef Pro · aichef.pro</t>
        </is>
      </c>
    </row>
    <row r="35"/>
    <row r="36" ht="35" customHeight="1">
      <c r="B36" s="23" t="inlineStr">
        <is>
          <t>Diseñado por John Guerrero — chef y consultor gastronómico desde 2010, en cocina desde los 17 años · johnguerrero.es</t>
        </is>
      </c>
    </row>
    <row r="37" ht="18" customHeight="1">
      <c r="B37" s="23" t="inlineStr">
        <is>
          <t>Contacto: info@aichef.pro</t>
        </is>
      </c>
    </row>
    <row r="38"/>
    <row r="39" ht="18" customHeight="1">
      <c r="B39" s="23" t="inlineStr">
        <is>
          <t>Versión 2.0 · agosto 2026 · aichef.pro/kit-tareas-dark-kitchen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 fitToPage="1"/>
  </sheetPr>
  <dimension ref="A1:F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4" customWidth="1" min="5" max="5"/>
    <col width="20" customWidth="1" min="6" max="6"/>
  </cols>
  <sheetData>
    <row r="1" ht="30" customHeight="1">
      <c r="A1" s="1" t="inlineStr">
        <is>
          <t>Inventario Diario — Dark Kitchen Multi-Marca</t>
        </is>
      </c>
    </row>
    <row r="2">
      <c r="A2" s="4" t="inlineStr">
        <is>
          <t>Fecha: ___/___/______    Turno: ☐ Mañana  ☐ Noche    Responsable: ________________</t>
        </is>
      </c>
    </row>
    <row r="3"/>
    <row r="4">
      <c r="A4" s="5" t="inlineStr">
        <is>
          <t>Producto</t>
        </is>
      </c>
      <c r="B4" s="5" t="inlineStr">
        <is>
          <t>Stock</t>
        </is>
      </c>
      <c r="C4" s="5" t="inlineStr">
        <is>
          <t>Unidad</t>
        </is>
      </c>
      <c r="D4" s="5" t="inlineStr">
        <is>
          <t>Mínimo</t>
        </is>
      </c>
      <c r="E4" s="5" t="inlineStr">
        <is>
          <t>Estado</t>
        </is>
      </c>
      <c r="F4" s="5" t="inlineStr">
        <is>
          <t>Pedido</t>
        </is>
      </c>
    </row>
    <row r="5">
      <c r="A5" s="6" t="inlineStr">
        <is>
          <t xml:space="preserve">  PROTEÍNAS</t>
        </is>
      </c>
    </row>
    <row r="6">
      <c r="A6" s="7" t="inlineStr">
        <is>
          <t>Pollo (pechuga, muslo)</t>
        </is>
      </c>
      <c r="B6" s="8" t="n"/>
      <c r="C6" s="9" t="inlineStr">
        <is>
          <t>kg</t>
        </is>
      </c>
      <c r="D6" s="9" t="n">
        <v>5</v>
      </c>
      <c r="E6" s="10">
        <f>IF(B6="","",IF(B6&lt;D6,"⚠️ PEDIR","OK"))</f>
        <v/>
      </c>
      <c r="F6" s="8" t="n"/>
    </row>
    <row r="7">
      <c r="A7" s="11" t="inlineStr">
        <is>
          <t>Carne picada / patties</t>
        </is>
      </c>
      <c r="B7" s="12" t="n"/>
      <c r="C7" s="13" t="inlineStr">
        <is>
          <t>kg</t>
        </is>
      </c>
      <c r="D7" s="13" t="n">
        <v>3</v>
      </c>
      <c r="E7" s="14">
        <f>IF(B7="","",IF(B7&lt;D7,"⚠️ PEDIR","OK"))</f>
        <v/>
      </c>
      <c r="F7" s="12" t="n"/>
    </row>
    <row r="8">
      <c r="A8" s="7" t="inlineStr">
        <is>
          <t>Salmón / pescado</t>
        </is>
      </c>
      <c r="B8" s="8" t="n"/>
      <c r="C8" s="9" t="inlineStr">
        <is>
          <t>kg</t>
        </is>
      </c>
      <c r="D8" s="9" t="n">
        <v>2</v>
      </c>
      <c r="E8" s="10">
        <f>IF(B8="","",IF(B8&lt;D8,"⚠️ PEDIR","OK"))</f>
        <v/>
      </c>
      <c r="F8" s="8" t="n"/>
    </row>
    <row r="9">
      <c r="A9" s="11" t="inlineStr">
        <is>
          <t>Tofu / proteína vegetal</t>
        </is>
      </c>
      <c r="B9" s="12" t="n"/>
      <c r="C9" s="13" t="inlineStr">
        <is>
          <t>kg</t>
        </is>
      </c>
      <c r="D9" s="13" t="n">
        <v>1</v>
      </c>
      <c r="E9" s="14">
        <f>IF(B9="","",IF(B9&lt;D9,"⚠️ PEDIR","OK"))</f>
        <v/>
      </c>
      <c r="F9" s="12" t="n"/>
    </row>
    <row r="10">
      <c r="A10" s="6" t="inlineStr">
        <is>
          <t xml:space="preserve">  BASES Y CARBOHIDRATOS</t>
        </is>
      </c>
    </row>
    <row r="11">
      <c r="A11" s="11" t="inlineStr">
        <is>
          <t>Arroz (blanco, sushi, integral)</t>
        </is>
      </c>
      <c r="B11" s="12" t="n"/>
      <c r="C11" s="13" t="inlineStr">
        <is>
          <t>kg</t>
        </is>
      </c>
      <c r="D11" s="13" t="n">
        <v>5</v>
      </c>
      <c r="E11" s="14">
        <f>IF(B11="","",IF(B11&lt;D11,"⚠️ PEDIR","OK"))</f>
        <v/>
      </c>
      <c r="F11" s="12" t="n"/>
    </row>
    <row r="12">
      <c r="A12" s="7" t="inlineStr">
        <is>
          <t>Pasta (spaghetti, penne)</t>
        </is>
      </c>
      <c r="B12" s="8" t="n"/>
      <c r="C12" s="9" t="inlineStr">
        <is>
          <t>kg</t>
        </is>
      </c>
      <c r="D12" s="9" t="n">
        <v>3</v>
      </c>
      <c r="E12" s="10">
        <f>IF(B12="","",IF(B12&lt;D12,"⚠️ PEDIR","OK"))</f>
        <v/>
      </c>
      <c r="F12" s="8" t="n"/>
    </row>
    <row r="13">
      <c r="A13" s="11" t="inlineStr">
        <is>
          <t>Pan burger / wraps / pita</t>
        </is>
      </c>
      <c r="B13" s="12" t="n"/>
      <c r="C13" s="13" t="inlineStr">
        <is>
          <t>uds</t>
        </is>
      </c>
      <c r="D13" s="13" t="n">
        <v>30</v>
      </c>
      <c r="E13" s="14">
        <f>IF(B13="","",IF(B13&lt;D13,"⚠️ PEDIR","OK"))</f>
        <v/>
      </c>
      <c r="F13" s="12" t="n"/>
    </row>
    <row r="14">
      <c r="A14" s="7" t="inlineStr">
        <is>
          <t>Quinoa</t>
        </is>
      </c>
      <c r="B14" s="8" t="n"/>
      <c r="C14" s="9" t="inlineStr">
        <is>
          <t>kg</t>
        </is>
      </c>
      <c r="D14" s="9" t="n">
        <v>1</v>
      </c>
      <c r="E14" s="10">
        <f>IF(B14="","",IF(B14&lt;D14,"⚠️ PEDIR","OK"))</f>
        <v/>
      </c>
      <c r="F14" s="8" t="n"/>
    </row>
    <row r="15">
      <c r="A15" s="6" t="inlineStr">
        <is>
          <t xml:space="preserve">  VEGETALES Y FRESCOS</t>
        </is>
      </c>
    </row>
    <row r="16">
      <c r="A16" s="7" t="inlineStr">
        <is>
          <t>Lechuga / mix hojas</t>
        </is>
      </c>
      <c r="B16" s="8" t="n"/>
      <c r="C16" s="9" t="inlineStr">
        <is>
          <t>kg</t>
        </is>
      </c>
      <c r="D16" s="9" t="n">
        <v>2</v>
      </c>
      <c r="E16" s="10">
        <f>IF(B16="","",IF(B16&lt;D16,"⚠️ PEDIR","OK"))</f>
        <v/>
      </c>
      <c r="F16" s="8" t="n"/>
    </row>
    <row r="17">
      <c r="A17" s="11" t="inlineStr">
        <is>
          <t>Tomate</t>
        </is>
      </c>
      <c r="B17" s="12" t="n"/>
      <c r="C17" s="13" t="inlineStr">
        <is>
          <t>kg</t>
        </is>
      </c>
      <c r="D17" s="13" t="n">
        <v>2</v>
      </c>
      <c r="E17" s="14">
        <f>IF(B17="","",IF(B17&lt;D17,"⚠️ PEDIR","OK"))</f>
        <v/>
      </c>
      <c r="F17" s="12" t="n"/>
    </row>
    <row r="18">
      <c r="A18" s="7" t="inlineStr">
        <is>
          <t>Cebolla</t>
        </is>
      </c>
      <c r="B18" s="8" t="n"/>
      <c r="C18" s="9" t="inlineStr">
        <is>
          <t>kg</t>
        </is>
      </c>
      <c r="D18" s="9" t="n">
        <v>2</v>
      </c>
      <c r="E18" s="10">
        <f>IF(B18="","",IF(B18&lt;D18,"⚠️ PEDIR","OK"))</f>
        <v/>
      </c>
      <c r="F18" s="8" t="n"/>
    </row>
    <row r="19">
      <c r="A19" s="11" t="inlineStr">
        <is>
          <t>Aguacate</t>
        </is>
      </c>
      <c r="B19" s="12" t="n"/>
      <c r="C19" s="13" t="inlineStr">
        <is>
          <t>uds</t>
        </is>
      </c>
      <c r="D19" s="13" t="n">
        <v>8</v>
      </c>
      <c r="E19" s="14">
        <f>IF(B19="","",IF(B19&lt;D19,"⚠️ PEDIR","OK"))</f>
        <v/>
      </c>
      <c r="F19" s="12" t="n"/>
    </row>
    <row r="20">
      <c r="A20" s="7" t="inlineStr">
        <is>
          <t>Pepino</t>
        </is>
      </c>
      <c r="B20" s="8" t="n"/>
      <c r="C20" s="9" t="inlineStr">
        <is>
          <t>kg</t>
        </is>
      </c>
      <c r="D20" s="9" t="n">
        <v>1</v>
      </c>
      <c r="E20" s="10">
        <f>IF(B20="","",IF(B20&lt;D20,"⚠️ PEDIR","OK"))</f>
        <v/>
      </c>
      <c r="F20" s="8" t="n"/>
    </row>
    <row r="21">
      <c r="A21" s="11" t="inlineStr">
        <is>
          <t>Edamame</t>
        </is>
      </c>
      <c r="B21" s="12" t="n"/>
      <c r="C21" s="13" t="inlineStr">
        <is>
          <t>kg</t>
        </is>
      </c>
      <c r="D21" s="13" t="n">
        <v>0.5</v>
      </c>
      <c r="E21" s="14">
        <f>IF(B21="","",IF(B21&lt;D21,"⚠️ PEDIR","OK"))</f>
        <v/>
      </c>
      <c r="F21" s="12" t="n"/>
    </row>
    <row r="22">
      <c r="A22" s="6" t="inlineStr">
        <is>
          <t xml:space="preserve">  SALSAS Y CONDIMENTOS</t>
        </is>
      </c>
    </row>
    <row r="23">
      <c r="A23" s="11" t="inlineStr">
        <is>
          <t>Salsa soja</t>
        </is>
      </c>
      <c r="B23" s="12" t="n"/>
      <c r="C23" s="13" t="inlineStr">
        <is>
          <t>L</t>
        </is>
      </c>
      <c r="D23" s="13" t="n">
        <v>1</v>
      </c>
      <c r="E23" s="14">
        <f>IF(B23="","",IF(B23&lt;D23,"⚠️ PEDIR","OK"))</f>
        <v/>
      </c>
      <c r="F23" s="12" t="n"/>
    </row>
    <row r="24">
      <c r="A24" s="7" t="inlineStr">
        <is>
          <t>Teriyaki</t>
        </is>
      </c>
      <c r="B24" s="8" t="n"/>
      <c r="C24" s="9" t="inlineStr">
        <is>
          <t>L</t>
        </is>
      </c>
      <c r="D24" s="9" t="n">
        <v>0.5</v>
      </c>
      <c r="E24" s="10">
        <f>IF(B24="","",IF(B24&lt;D24,"⚠️ PEDIR","OK"))</f>
        <v/>
      </c>
      <c r="F24" s="8" t="n"/>
    </row>
    <row r="25">
      <c r="A25" s="11" t="inlineStr">
        <is>
          <t>Sriracha</t>
        </is>
      </c>
      <c r="B25" s="12" t="n"/>
      <c r="C25" s="13" t="inlineStr">
        <is>
          <t>L</t>
        </is>
      </c>
      <c r="D25" s="13" t="n">
        <v>0.5</v>
      </c>
      <c r="E25" s="14">
        <f>IF(B25="","",IF(B25&lt;D25,"⚠️ PEDIR","OK"))</f>
        <v/>
      </c>
      <c r="F25" s="12" t="n"/>
    </row>
    <row r="26">
      <c r="A26" s="7" t="inlineStr">
        <is>
          <t>Mayo casera</t>
        </is>
      </c>
      <c r="B26" s="8" t="n"/>
      <c r="C26" s="9" t="inlineStr">
        <is>
          <t>L</t>
        </is>
      </c>
      <c r="D26" s="9" t="n">
        <v>1</v>
      </c>
      <c r="E26" s="10">
        <f>IF(B26="","",IF(B26&lt;D26,"⚠️ PEDIR","OK"))</f>
        <v/>
      </c>
      <c r="F26" s="8" t="n"/>
    </row>
    <row r="27">
      <c r="A27" s="11" t="inlineStr">
        <is>
          <t>Salsa BBQ</t>
        </is>
      </c>
      <c r="B27" s="12" t="n"/>
      <c r="C27" s="13" t="inlineStr">
        <is>
          <t>L</t>
        </is>
      </c>
      <c r="D27" s="13" t="n">
        <v>0.5</v>
      </c>
      <c r="E27" s="14">
        <f>IF(B27="","",IF(B27&lt;D27,"⚠️ PEDIR","OK"))</f>
        <v/>
      </c>
      <c r="F27" s="12" t="n"/>
    </row>
    <row r="28">
      <c r="A28" s="7" t="inlineStr">
        <is>
          <t>Aceite oliva</t>
        </is>
      </c>
      <c r="B28" s="8" t="n"/>
      <c r="C28" s="9" t="inlineStr">
        <is>
          <t>L</t>
        </is>
      </c>
      <c r="D28" s="9" t="n">
        <v>2</v>
      </c>
      <c r="E28" s="10">
        <f>IF(B28="","",IF(B28&lt;D28,"⚠️ PEDIR","OK"))</f>
        <v/>
      </c>
      <c r="F28" s="8" t="n"/>
    </row>
    <row r="29">
      <c r="A29" s="6" t="inlineStr">
        <is>
          <t xml:space="preserve">  PACKAGING — MARCA 1</t>
        </is>
      </c>
    </row>
    <row r="30">
      <c r="A30" s="7" t="inlineStr">
        <is>
          <t>Envases principales (bowls/cajas)</t>
        </is>
      </c>
      <c r="B30" s="8" t="n"/>
      <c r="C30" s="9" t="inlineStr">
        <is>
          <t>uds</t>
        </is>
      </c>
      <c r="D30" s="9" t="n">
        <v>50</v>
      </c>
      <c r="E30" s="10">
        <f>IF(B30="","",IF(B30&lt;D30,"⚠️ PEDIR","OK"))</f>
        <v/>
      </c>
      <c r="F30" s="8" t="n"/>
    </row>
    <row r="31">
      <c r="A31" s="11" t="inlineStr">
        <is>
          <t>Bolsas con logo</t>
        </is>
      </c>
      <c r="B31" s="12" t="n"/>
      <c r="C31" s="13" t="inlineStr">
        <is>
          <t>uds</t>
        </is>
      </c>
      <c r="D31" s="13" t="n">
        <v>50</v>
      </c>
      <c r="E31" s="14">
        <f>IF(B31="","",IF(B31&lt;D31,"⚠️ PEDIR","OK"))</f>
        <v/>
      </c>
      <c r="F31" s="12" t="n"/>
    </row>
    <row r="32">
      <c r="A32" s="7" t="inlineStr">
        <is>
          <t>Stickers marca</t>
        </is>
      </c>
      <c r="B32" s="8" t="n"/>
      <c r="C32" s="9" t="inlineStr">
        <is>
          <t>uds</t>
        </is>
      </c>
      <c r="D32" s="9" t="n">
        <v>50</v>
      </c>
      <c r="E32" s="10">
        <f>IF(B32="","",IF(B32&lt;D32,"⚠️ PEDIR","OK"))</f>
        <v/>
      </c>
      <c r="F32" s="8" t="n"/>
    </row>
    <row r="33">
      <c r="A33" s="11" t="inlineStr">
        <is>
          <t>Precintos seguridad</t>
        </is>
      </c>
      <c r="B33" s="12" t="n"/>
      <c r="C33" s="13" t="inlineStr">
        <is>
          <t>uds</t>
        </is>
      </c>
      <c r="D33" s="13" t="n">
        <v>50</v>
      </c>
      <c r="E33" s="14">
        <f>IF(B33="","",IF(B33&lt;D33,"⚠️ PEDIR","OK"))</f>
        <v/>
      </c>
      <c r="F33" s="12" t="n"/>
    </row>
    <row r="34">
      <c r="A34" s="6" t="inlineStr">
        <is>
          <t xml:space="preserve">  PACKAGING — MARCA 2</t>
        </is>
      </c>
    </row>
    <row r="35">
      <c r="A35" s="11" t="inlineStr">
        <is>
          <t>Envases principales</t>
        </is>
      </c>
      <c r="B35" s="12" t="n"/>
      <c r="C35" s="13" t="inlineStr">
        <is>
          <t>uds</t>
        </is>
      </c>
      <c r="D35" s="13" t="n">
        <v>40</v>
      </c>
      <c r="E35" s="14">
        <f>IF(B35="","",IF(B35&lt;D35,"⚠️ PEDIR","OK"))</f>
        <v/>
      </c>
      <c r="F35" s="12" t="n"/>
    </row>
    <row r="36">
      <c r="A36" s="7" t="inlineStr">
        <is>
          <t>Bolsas con logo</t>
        </is>
      </c>
      <c r="B36" s="8" t="n"/>
      <c r="C36" s="9" t="inlineStr">
        <is>
          <t>uds</t>
        </is>
      </c>
      <c r="D36" s="9" t="n">
        <v>40</v>
      </c>
      <c r="E36" s="10">
        <f>IF(B36="","",IF(B36&lt;D36,"⚠️ PEDIR","OK"))</f>
        <v/>
      </c>
      <c r="F36" s="8" t="n"/>
    </row>
    <row r="37">
      <c r="A37" s="11" t="inlineStr">
        <is>
          <t>Stickers marca</t>
        </is>
      </c>
      <c r="B37" s="12" t="n"/>
      <c r="C37" s="13" t="inlineStr">
        <is>
          <t>uds</t>
        </is>
      </c>
      <c r="D37" s="13" t="n">
        <v>40</v>
      </c>
      <c r="E37" s="14">
        <f>IF(B37="","",IF(B37&lt;D37,"⚠️ PEDIR","OK"))</f>
        <v/>
      </c>
      <c r="F37" s="12" t="n"/>
    </row>
    <row r="38">
      <c r="A38" s="7" t="inlineStr">
        <is>
          <t>Precintos seguridad</t>
        </is>
      </c>
      <c r="B38" s="8" t="n"/>
      <c r="C38" s="9" t="inlineStr">
        <is>
          <t>uds</t>
        </is>
      </c>
      <c r="D38" s="9" t="n">
        <v>40</v>
      </c>
      <c r="E38" s="10">
        <f>IF(B38="","",IF(B38&lt;D38,"⚠️ PEDIR","OK"))</f>
        <v/>
      </c>
      <c r="F38" s="8" t="n"/>
    </row>
    <row r="39">
      <c r="A39" s="6" t="inlineStr">
        <is>
          <t xml:space="preserve">  PACKAGING GENÉRICO</t>
        </is>
      </c>
    </row>
    <row r="40">
      <c r="A40" s="7" t="inlineStr">
        <is>
          <t>Cubiertos desechables</t>
        </is>
      </c>
      <c r="B40" s="8" t="n"/>
      <c r="C40" s="9" t="inlineStr">
        <is>
          <t>sets</t>
        </is>
      </c>
      <c r="D40" s="9" t="n">
        <v>60</v>
      </c>
      <c r="E40" s="10">
        <f>IF(B40="","",IF(B40&lt;D40,"⚠️ PEDIR","OK"))</f>
        <v/>
      </c>
      <c r="F40" s="8" t="n"/>
    </row>
    <row r="41">
      <c r="A41" s="11" t="inlineStr">
        <is>
          <t>Servilletas</t>
        </is>
      </c>
      <c r="B41" s="12" t="n"/>
      <c r="C41" s="13" t="inlineStr">
        <is>
          <t>uds</t>
        </is>
      </c>
      <c r="D41" s="13" t="n">
        <v>100</v>
      </c>
      <c r="E41" s="14">
        <f>IF(B41="","",IF(B41&lt;D41,"⚠️ PEDIR","OK"))</f>
        <v/>
      </c>
      <c r="F41" s="12" t="n"/>
    </row>
    <row r="42">
      <c r="A42" s="7" t="inlineStr">
        <is>
          <t>Salsas en sobre</t>
        </is>
      </c>
      <c r="B42" s="8" t="n"/>
      <c r="C42" s="9" t="inlineStr">
        <is>
          <t>uds</t>
        </is>
      </c>
      <c r="D42" s="9" t="n">
        <v>60</v>
      </c>
      <c r="E42" s="10">
        <f>IF(B42="","",IF(B42&lt;D42,"⚠️ PEDIR","OK"))</f>
        <v/>
      </c>
      <c r="F42" s="8" t="n"/>
    </row>
    <row r="43">
      <c r="A43" s="11" t="inlineStr">
        <is>
          <t>Bolsas extra grandes</t>
        </is>
      </c>
      <c r="B43" s="12" t="n"/>
      <c r="C43" s="13" t="inlineStr">
        <is>
          <t>uds</t>
        </is>
      </c>
      <c r="D43" s="13" t="n">
        <v>20</v>
      </c>
      <c r="E43" s="14">
        <f>IF(B43="","",IF(B43&lt;D43,"⚠️ PEDIR","OK"))</f>
        <v/>
      </c>
      <c r="F43" s="12" t="n"/>
    </row>
    <row r="44"/>
    <row r="45">
      <c r="A45" s="15" t="inlineStr">
        <is>
          <t>— Kit de Tareas Recurrentes: Dark Kitchen · AI Chef Pro · aichef.pro —</t>
        </is>
      </c>
    </row>
  </sheetData>
  <mergeCells count="10">
    <mergeCell ref="A2:F2"/>
    <mergeCell ref="A10:F10"/>
    <mergeCell ref="A45:F45"/>
    <mergeCell ref="A1:F1"/>
    <mergeCell ref="A5:F5"/>
    <mergeCell ref="A29:F29"/>
    <mergeCell ref="A22:F22"/>
    <mergeCell ref="A34:F34"/>
    <mergeCell ref="A39:F39"/>
    <mergeCell ref="A15:F15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Limpieza Profunda Semanal</t>
        </is>
      </c>
    </row>
    <row r="2">
      <c r="A2" s="4" t="inlineStr">
        <is>
          <t>Semana del ___/___/______ al ___/___/______    Responsable: _________________________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Día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5" t="inlineStr">
        <is>
          <t xml:space="preserve">  COCINA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Limpiar interior cámaras frigoríficas</t>
        </is>
      </c>
      <c r="C6" s="29" t="inlineStr">
        <is>
          <t>Cámara</t>
        </is>
      </c>
      <c r="D6" s="29" t="inlineStr">
        <is>
          <t>Auxiliar</t>
        </is>
      </c>
      <c r="E6" s="29" t="inlineStr">
        <is>
          <t>Lunes</t>
        </is>
      </c>
      <c r="F6" s="30" t="n"/>
      <c r="G6" s="30" t="n"/>
    </row>
    <row r="7">
      <c r="A7" s="31" t="n">
        <v>2</v>
      </c>
      <c r="B7" s="32" t="inlineStr">
        <is>
          <t>Desmontar y limpiar campana y filtros</t>
        </is>
      </c>
      <c r="C7" s="29" t="inlineStr">
        <is>
          <t>Cocina</t>
        </is>
      </c>
      <c r="D7" s="29" t="inlineStr">
        <is>
          <t>Auxiliar</t>
        </is>
      </c>
      <c r="E7" s="29" t="inlineStr">
        <is>
          <t>Lunes</t>
        </is>
      </c>
      <c r="F7" s="30" t="n"/>
      <c r="G7" s="30" t="n"/>
    </row>
    <row r="8">
      <c r="A8" s="27" t="n">
        <v>3</v>
      </c>
      <c r="B8" s="28" t="inlineStr">
        <is>
          <t>Limpiar detrás y debajo de equipos</t>
        </is>
      </c>
      <c r="C8" s="29" t="inlineStr">
        <is>
          <t>Cocina</t>
        </is>
      </c>
      <c r="D8" s="29" t="inlineStr">
        <is>
          <t>Auxiliar</t>
        </is>
      </c>
      <c r="E8" s="29" t="inlineStr">
        <is>
          <t>Lunes</t>
        </is>
      </c>
      <c r="F8" s="30" t="n"/>
      <c r="G8" s="30" t="n"/>
    </row>
    <row r="9">
      <c r="A9" s="31" t="n">
        <v>4</v>
      </c>
      <c r="B9" s="32" t="inlineStr">
        <is>
          <t>Desinfectar tablas de corte</t>
        </is>
      </c>
      <c r="C9" s="29" t="inlineStr">
        <is>
          <t>Cocina</t>
        </is>
      </c>
      <c r="D9" s="29" t="inlineStr">
        <is>
          <t>Auxiliar</t>
        </is>
      </c>
      <c r="E9" s="29" t="inlineStr">
        <is>
          <t>Lunes</t>
        </is>
      </c>
      <c r="F9" s="30" t="n"/>
      <c r="G9" s="30" t="n"/>
    </row>
    <row r="10">
      <c r="A10" s="27" t="n">
        <v>5</v>
      </c>
      <c r="B10" s="28" t="inlineStr">
        <is>
          <t>Limpiar freidora a fondo</t>
        </is>
      </c>
      <c r="C10" s="29" t="inlineStr">
        <is>
          <t>Cocina</t>
        </is>
      </c>
      <c r="D10" s="29" t="inlineStr">
        <is>
          <t>Auxiliar</t>
        </is>
      </c>
      <c r="E10" s="29" t="inlineStr">
        <is>
          <t>Lunes</t>
        </is>
      </c>
      <c r="F10" s="30" t="n"/>
      <c r="G10" s="30" t="n"/>
    </row>
    <row r="11">
      <c r="A11" s="31" t="n">
        <v>6</v>
      </c>
      <c r="B11" s="32" t="inlineStr">
        <is>
          <t>Fregar suelos con desengrasante</t>
        </is>
      </c>
      <c r="C11" s="29" t="inlineStr">
        <is>
          <t>Cocina</t>
        </is>
      </c>
      <c r="D11" s="29" t="inlineStr">
        <is>
          <t>Auxiliar</t>
        </is>
      </c>
      <c r="E11" s="29" t="inlineStr">
        <is>
          <t>Lunes</t>
        </is>
      </c>
      <c r="F11" s="30" t="n"/>
      <c r="G11" s="30" t="n"/>
    </row>
    <row r="12">
      <c r="A12" s="25" t="inlineStr">
        <is>
          <t xml:space="preserve">  PACKAGING Y ALMACÉN</t>
        </is>
      </c>
      <c r="B12" s="26" t="n"/>
      <c r="C12" s="26" t="n"/>
      <c r="D12" s="26" t="n"/>
      <c r="E12" s="26" t="n"/>
      <c r="F12" s="26" t="n"/>
      <c r="G12" s="26" t="n"/>
    </row>
    <row r="13">
      <c r="A13" s="31" t="n">
        <v>7</v>
      </c>
      <c r="B13" s="32" t="inlineStr">
        <is>
          <t>Organizar almacén de packaging por marca</t>
        </is>
      </c>
      <c r="C13" s="29" t="inlineStr">
        <is>
          <t>Almacén</t>
        </is>
      </c>
      <c r="D13" s="29" t="inlineStr">
        <is>
          <t>Auxiliar</t>
        </is>
      </c>
      <c r="E13" s="29" t="inlineStr">
        <is>
          <t>Lunes</t>
        </is>
      </c>
      <c r="F13" s="30" t="n"/>
      <c r="G13" s="30" t="n"/>
    </row>
    <row r="14">
      <c r="A14" s="27" t="n">
        <v>8</v>
      </c>
      <c r="B14" s="28" t="inlineStr">
        <is>
          <t>Limpiar estanterías de expedición</t>
        </is>
      </c>
      <c r="C14" s="29" t="inlineStr">
        <is>
          <t>Packaging</t>
        </is>
      </c>
      <c r="D14" s="29" t="inlineStr">
        <is>
          <t>Auxiliar</t>
        </is>
      </c>
      <c r="E14" s="29" t="inlineStr">
        <is>
          <t>Lunes</t>
        </is>
      </c>
      <c r="F14" s="30" t="n"/>
      <c r="G14" s="30" t="n"/>
    </row>
    <row r="15">
      <c r="A15" s="31" t="n">
        <v>9</v>
      </c>
      <c r="B15" s="32" t="inlineStr">
        <is>
          <t>Verificar que no hay packaging dañado o caducado</t>
        </is>
      </c>
      <c r="C15" s="29" t="inlineStr">
        <is>
          <t>Almacén</t>
        </is>
      </c>
      <c r="D15" s="29" t="inlineStr">
        <is>
          <t>Manager</t>
        </is>
      </c>
      <c r="E15" s="29" t="inlineStr">
        <is>
          <t>Lunes</t>
        </is>
      </c>
      <c r="F15" s="30" t="n"/>
      <c r="G15" s="30" t="n"/>
    </row>
    <row r="16">
      <c r="A16" s="33" t="n"/>
      <c r="B16" s="34" t="n"/>
      <c r="C16" s="29" t="n"/>
      <c r="D16" s="29" t="n"/>
      <c r="E16" s="29" t="n"/>
      <c r="F16" s="30" t="n"/>
      <c r="G16" s="30" t="n"/>
    </row>
    <row r="17">
      <c r="A17" s="33" t="n"/>
      <c r="B17" s="34" t="n"/>
      <c r="C17" s="29" t="n"/>
      <c r="D17" s="29" t="n"/>
      <c r="E17" s="29" t="n"/>
      <c r="F17" s="30" t="n"/>
      <c r="G17" s="30" t="n"/>
    </row>
    <row r="18">
      <c r="A18" s="33" t="n"/>
      <c r="B18" s="34" t="n"/>
      <c r="C18" s="29" t="n"/>
      <c r="D18" s="29" t="n"/>
      <c r="E18" s="29" t="n"/>
      <c r="F18" s="30" t="n"/>
      <c r="G18" s="30" t="n"/>
    </row>
    <row r="19">
      <c r="A19" s="33" t="n"/>
      <c r="B19" s="34" t="n"/>
      <c r="C19" s="29" t="n"/>
      <c r="D19" s="29" t="n"/>
      <c r="E19" s="29" t="n"/>
      <c r="F19" s="30" t="n"/>
      <c r="G19" s="30" t="n"/>
    </row>
    <row r="20">
      <c r="A20" s="33" t="n"/>
      <c r="B20" s="34" t="n"/>
      <c r="C20" s="29" t="n"/>
      <c r="D20" s="29" t="n"/>
      <c r="E20" s="29" t="n"/>
      <c r="F20" s="30" t="n"/>
      <c r="G20" s="30" t="n"/>
    </row>
    <row r="21"/>
    <row r="22">
      <c r="A22" s="18" t="inlineStr">
        <is>
          <t>Tareas completadas:</t>
        </is>
      </c>
      <c r="D22" s="19">
        <f>COUNTIFS(B5:B20,"?*",F5:F20,"✓")</f>
        <v/>
      </c>
      <c r="E22" s="18" t="inlineStr">
        <is>
          <t>de</t>
        </is>
      </c>
      <c r="F22">
        <f>COUNTIF(B5:B20,"?*")-COUNTIF(F5:F20,"N/A")</f>
        <v/>
      </c>
    </row>
    <row r="23"/>
    <row r="24">
      <c r="A24" s="4" t="inlineStr">
        <is>
          <t>Firma encargado/a: _________________________    Hora: _________</t>
        </is>
      </c>
    </row>
    <row r="25"/>
    <row r="26">
      <c r="A26" s="15" t="inlineStr">
        <is>
          <t>— Kit de Tareas Recurrentes · Dark Kitchen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12:G12"/>
    <mergeCell ref="A22:C22"/>
    <mergeCell ref="A26:G26"/>
    <mergeCell ref="A24:G24"/>
    <mergeCell ref="A2:G2"/>
    <mergeCell ref="A5:G5"/>
  </mergeCells>
  <conditionalFormatting sqref="A5:G20">
    <cfRule type="expression" priority="1" dxfId="0">
      <formula>$F5="✓"</formula>
    </cfRule>
  </conditionalFormatting>
  <dataValidations count="1">
    <dataValidation sqref="F6 F7 F8 F9 F10 F11 F13 F14 F15 F16 F17 F18 F19 F20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Revisión FIFO — Caducidades</t>
        </is>
      </c>
    </row>
    <row r="2">
      <c r="A2" s="4" t="inlineStr">
        <is>
          <t>Semana del ___/___/______ al ___/___/______    Responsable: _________________________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Día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5" t="inlineStr">
        <is>
          <t xml:space="preserve">  CÁMARAS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Verificar fechas de proteínas (fresco max 3 días)</t>
        </is>
      </c>
      <c r="C6" s="29" t="inlineStr">
        <is>
          <t>Cámara</t>
        </is>
      </c>
      <c r="D6" s="29" t="inlineStr">
        <is>
          <t>Cocinero</t>
        </is>
      </c>
      <c r="E6" s="29" t="inlineStr">
        <is>
          <t>Lunes</t>
        </is>
      </c>
      <c r="F6" s="30" t="n"/>
      <c r="G6" s="30" t="n"/>
    </row>
    <row r="7">
      <c r="A7" s="31" t="n">
        <v>2</v>
      </c>
      <c r="B7" s="32" t="inlineStr">
        <is>
          <t>Revisar salsas caseras abiertas (max 5 días)</t>
        </is>
      </c>
      <c r="C7" s="29" t="inlineStr">
        <is>
          <t>Cámara</t>
        </is>
      </c>
      <c r="D7" s="29" t="inlineStr">
        <is>
          <t>Cocinero</t>
        </is>
      </c>
      <c r="E7" s="29" t="inlineStr">
        <is>
          <t>Lunes</t>
        </is>
      </c>
      <c r="F7" s="30" t="n"/>
      <c r="G7" s="30" t="n"/>
    </row>
    <row r="8">
      <c r="A8" s="27" t="n">
        <v>3</v>
      </c>
      <c r="B8" s="28" t="inlineStr">
        <is>
          <t>Revisar vegetales cortados (max 2 días)</t>
        </is>
      </c>
      <c r="C8" s="29" t="inlineStr">
        <is>
          <t>Cámara</t>
        </is>
      </c>
      <c r="D8" s="29" t="inlineStr">
        <is>
          <t>Cocinero</t>
        </is>
      </c>
      <c r="E8" s="29" t="inlineStr">
        <is>
          <t>Lunes</t>
        </is>
      </c>
      <c r="F8" s="30" t="n"/>
      <c r="G8" s="30" t="n"/>
    </row>
    <row r="9">
      <c r="A9" s="31" t="n">
        <v>4</v>
      </c>
      <c r="B9" s="32" t="inlineStr">
        <is>
          <t>Rotar: antiguo delante</t>
        </is>
      </c>
      <c r="C9" s="29" t="inlineStr">
        <is>
          <t>Cámara</t>
        </is>
      </c>
      <c r="D9" s="29" t="inlineStr">
        <is>
          <t>Cocinero</t>
        </is>
      </c>
      <c r="E9" s="29" t="inlineStr">
        <is>
          <t>Lunes</t>
        </is>
      </c>
      <c r="F9" s="30" t="n"/>
      <c r="G9" s="30" t="n"/>
    </row>
    <row r="10">
      <c r="A10" s="27" t="n">
        <v>5</v>
      </c>
      <c r="B10" s="28" t="inlineStr">
        <is>
          <t>Desechar caducado</t>
        </is>
      </c>
      <c r="C10" s="29" t="inlineStr">
        <is>
          <t>Cámara</t>
        </is>
      </c>
      <c r="D10" s="29" t="inlineStr">
        <is>
          <t>Cocinero</t>
        </is>
      </c>
      <c r="E10" s="29" t="inlineStr">
        <is>
          <t>Lunes</t>
        </is>
      </c>
      <c r="F10" s="30" t="n"/>
      <c r="G10" s="30" t="n"/>
    </row>
    <row r="11">
      <c r="A11" s="25" t="inlineStr">
        <is>
          <t xml:space="preserve">  ALMACÉN</t>
        </is>
      </c>
      <c r="B11" s="26" t="n"/>
      <c r="C11" s="26" t="n"/>
      <c r="D11" s="26" t="n"/>
      <c r="E11" s="26" t="n"/>
      <c r="F11" s="26" t="n"/>
      <c r="G11" s="26" t="n"/>
    </row>
    <row r="12">
      <c r="A12" s="27" t="n">
        <v>6</v>
      </c>
      <c r="B12" s="28" t="inlineStr">
        <is>
          <t>Revisar arroces y pasta: fecha, humedad</t>
        </is>
      </c>
      <c r="C12" s="29" t="inlineStr">
        <is>
          <t>Almacén</t>
        </is>
      </c>
      <c r="D12" s="29" t="inlineStr">
        <is>
          <t>Cocinero</t>
        </is>
      </c>
      <c r="E12" s="29" t="inlineStr">
        <is>
          <t>Lunes</t>
        </is>
      </c>
      <c r="F12" s="30" t="n"/>
      <c r="G12" s="30" t="n"/>
    </row>
    <row r="13">
      <c r="A13" s="31" t="n">
        <v>7</v>
      </c>
      <c r="B13" s="32" t="inlineStr">
        <is>
          <t>Revisar salsas industriales: fecha</t>
        </is>
      </c>
      <c r="C13" s="29" t="inlineStr">
        <is>
          <t>Almacén</t>
        </is>
      </c>
      <c r="D13" s="29" t="inlineStr">
        <is>
          <t>Cocinero</t>
        </is>
      </c>
      <c r="E13" s="29" t="inlineStr">
        <is>
          <t>Lunes</t>
        </is>
      </c>
      <c r="F13" s="30" t="n"/>
      <c r="G13" s="30" t="n"/>
    </row>
    <row r="14">
      <c r="A14" s="27" t="n">
        <v>8</v>
      </c>
      <c r="B14" s="28" t="inlineStr">
        <is>
          <t>Verificar el estado del aceite de la freidora (color, olor, humo) y anotar la fecha del último cambio; si hay que cambiarlo, en frío: por debajo de 40 °C, nunca en caliente</t>
        </is>
      </c>
      <c r="C14" s="29" t="inlineStr">
        <is>
          <t>Cocina</t>
        </is>
      </c>
      <c r="D14" s="29" t="inlineStr">
        <is>
          <t>Manager</t>
        </is>
      </c>
      <c r="E14" s="29" t="inlineStr">
        <is>
          <t>Lunes</t>
        </is>
      </c>
      <c r="F14" s="30" t="n"/>
      <c r="G14" s="30" t="n"/>
    </row>
    <row r="15">
      <c r="A15" s="33" t="n"/>
      <c r="B15" s="34" t="n"/>
      <c r="C15" s="29" t="n"/>
      <c r="D15" s="29" t="n"/>
      <c r="E15" s="29" t="n"/>
      <c r="F15" s="30" t="n"/>
      <c r="G15" s="30" t="n"/>
    </row>
    <row r="16">
      <c r="A16" s="33" t="n"/>
      <c r="B16" s="34" t="n"/>
      <c r="C16" s="29" t="n"/>
      <c r="D16" s="29" t="n"/>
      <c r="E16" s="29" t="n"/>
      <c r="F16" s="30" t="n"/>
      <c r="G16" s="30" t="n"/>
    </row>
    <row r="17">
      <c r="A17" s="33" t="n"/>
      <c r="B17" s="34" t="n"/>
      <c r="C17" s="29" t="n"/>
      <c r="D17" s="29" t="n"/>
      <c r="E17" s="29" t="n"/>
      <c r="F17" s="30" t="n"/>
      <c r="G17" s="30" t="n"/>
    </row>
    <row r="18">
      <c r="A18" s="33" t="n"/>
      <c r="B18" s="34" t="n"/>
      <c r="C18" s="29" t="n"/>
      <c r="D18" s="29" t="n"/>
      <c r="E18" s="29" t="n"/>
      <c r="F18" s="30" t="n"/>
      <c r="G18" s="30" t="n"/>
    </row>
    <row r="19">
      <c r="A19" s="33" t="n"/>
      <c r="B19" s="34" t="n"/>
      <c r="C19" s="29" t="n"/>
      <c r="D19" s="29" t="n"/>
      <c r="E19" s="29" t="n"/>
      <c r="F19" s="30" t="n"/>
      <c r="G19" s="30" t="n"/>
    </row>
    <row r="20"/>
    <row r="21">
      <c r="A21" s="18" t="inlineStr">
        <is>
          <t>Tareas completadas:</t>
        </is>
      </c>
      <c r="D21" s="19">
        <f>COUNTIFS(B5:B19,"?*",F5:F19,"✓")</f>
        <v/>
      </c>
      <c r="E21" s="18" t="inlineStr">
        <is>
          <t>de</t>
        </is>
      </c>
      <c r="F21">
        <f>COUNTIF(B5:B19,"?*")-COUNTIF(F5:F19,"N/A")</f>
        <v/>
      </c>
    </row>
    <row r="22"/>
    <row r="23">
      <c r="A23" s="4" t="inlineStr">
        <is>
          <t>Firma encargado/a: _________________________    Hora: _________</t>
        </is>
      </c>
    </row>
    <row r="24"/>
    <row r="25">
      <c r="A25" s="6" t="inlineStr">
        <is>
          <t>VIDA ÚTIL ORIENTATIVA EN CONGELACIÓN A −18 °C — ajústala a tu producto y a tu proveedor</t>
        </is>
      </c>
    </row>
    <row r="26">
      <c r="A26" s="5" t="n"/>
      <c r="B26" s="5" t="inlineStr">
        <is>
          <t>Familia</t>
        </is>
      </c>
      <c r="C26" s="5" t="inlineStr">
        <is>
          <t>Vida útil</t>
        </is>
      </c>
      <c r="D26" s="5" t="inlineStr">
        <is>
          <t>Notas</t>
        </is>
      </c>
      <c r="E26" s="35" t="n"/>
      <c r="F26" s="35" t="n"/>
      <c r="G26" s="36" t="n"/>
    </row>
    <row r="27">
      <c r="A27" s="20" t="n"/>
      <c r="B27" s="34" t="inlineStr">
        <is>
          <t>Pollo y pavo crudos en piezas</t>
        </is>
      </c>
      <c r="C27" s="29" t="inlineStr">
        <is>
          <t>6-9 meses</t>
        </is>
      </c>
      <c r="D27" s="29" t="inlineStr">
        <is>
          <t>Congélalos el día que llegan, no el día que caducan en fresco</t>
        </is>
      </c>
      <c r="E27" s="37" t="n"/>
      <c r="F27" s="37" t="n"/>
      <c r="G27" s="38" t="n"/>
    </row>
    <row r="28">
      <c r="A28" s="20" t="n"/>
      <c r="B28" s="34" t="inlineStr">
        <is>
          <t>Carne picada y patties de hamburguesa</t>
        </is>
      </c>
      <c r="C28" s="29" t="inlineStr">
        <is>
          <t>2-3 meses</t>
        </is>
      </c>
      <c r="D28" s="29" t="inlineStr">
        <is>
          <t>Toda la superficie está expuesta: se enrancia mucho antes que una pieza entera</t>
        </is>
      </c>
      <c r="E28" s="37" t="n"/>
      <c r="F28" s="37" t="n"/>
      <c r="G28" s="38" t="n"/>
    </row>
    <row r="29">
      <c r="A29" s="20" t="n"/>
      <c r="B29" s="34" t="inlineStr">
        <is>
          <t>Pescado azul (salmón, atún)</t>
        </is>
      </c>
      <c r="C29" s="29" t="inlineStr">
        <is>
          <t>2-3 meses</t>
        </is>
      </c>
      <c r="D29" s="29" t="inlineStr">
        <is>
          <t>La grasa se enrancia aunque esté congelado; si es para servir crudo, la congelación cuenta además como tratamiento anti-ANISAKIS</t>
        </is>
      </c>
      <c r="E29" s="37" t="n"/>
      <c r="F29" s="37" t="n"/>
      <c r="G29" s="38" t="n"/>
    </row>
    <row r="30">
      <c r="A30" s="20" t="n"/>
      <c r="B30" s="34" t="inlineStr">
        <is>
          <t>Pescado blanco y marisco ya cocido</t>
        </is>
      </c>
      <c r="C30" s="29" t="inlineStr">
        <is>
          <t>3-6 meses</t>
        </is>
      </c>
      <c r="D30" s="29" t="inlineStr">
        <is>
          <t>Congélalo en porciones planas: se descongela antes y con menos pérdida</t>
        </is>
      </c>
      <c r="E30" s="37" t="n"/>
      <c r="F30" s="37" t="n"/>
      <c r="G30" s="38" t="n"/>
    </row>
    <row r="31">
      <c r="A31" s="20" t="n"/>
      <c r="B31" s="34" t="inlineStr">
        <is>
          <t>Salsas, fondos y caldos propios</t>
        </is>
      </c>
      <c r="C31" s="29" t="inlineStr">
        <is>
          <t>3 meses</t>
        </is>
      </c>
      <c r="D31" s="29" t="inlineStr">
        <is>
          <t>Etiquetar con fecha de producción Y de congelación: la vida útil de esta tabla se cuenta desde la de congelación</t>
        </is>
      </c>
      <c r="E31" s="37" t="n"/>
      <c r="F31" s="37" t="n"/>
      <c r="G31" s="38" t="n"/>
    </row>
    <row r="32">
      <c r="A32" s="20" t="n"/>
      <c r="B32" s="34" t="inlineStr">
        <is>
          <t>Arroz y pasta ya cocidos</t>
        </is>
      </c>
      <c r="C32" s="29" t="inlineStr">
        <is>
          <t>1 mes</t>
        </is>
      </c>
      <c r="D32" s="29" t="inlineStr">
        <is>
          <t>Congelar el mismo día en porciones planas y regenerar por encima de 75 °C: el arroz cocido templado es el clásico de la toxiinfección</t>
        </is>
      </c>
      <c r="E32" s="37" t="n"/>
      <c r="F32" s="37" t="n"/>
      <c r="G32" s="38" t="n"/>
    </row>
    <row r="33">
      <c r="A33" s="20" t="n"/>
      <c r="B33" s="34" t="inlineStr">
        <is>
          <t>Pan de burger, wraps y pita</t>
        </is>
      </c>
      <c r="C33" s="29" t="inlineStr">
        <is>
          <t>1-3 meses</t>
        </is>
      </c>
      <c r="D33" s="29" t="inlineStr">
        <is>
          <t>Pierde textura antes que seguridad; descongela y regenera en horno</t>
        </is>
      </c>
      <c r="E33" s="37" t="n"/>
      <c r="F33" s="37" t="n"/>
      <c r="G33" s="38" t="n"/>
    </row>
    <row r="34">
      <c r="A34" s="20" t="n"/>
      <c r="B34" s="34" t="inlineStr">
        <is>
          <t>Vegetales que se sirven crudos (aguacate, pepino, lechuga)</t>
        </is>
      </c>
      <c r="C34" s="29" t="inlineStr">
        <is>
          <t>No congelar</t>
        </is>
      </c>
      <c r="D34" s="29" t="inlineStr">
        <is>
          <t>Se deshacen al descongelar: en un bowl se ven, así que se piden frescos y se rota con FIFO</t>
        </is>
      </c>
      <c r="E34" s="37" t="n"/>
      <c r="F34" s="37" t="n"/>
      <c r="G34" s="38" t="n"/>
    </row>
    <row r="35"/>
    <row r="36">
      <c r="A36" s="15" t="inlineStr">
        <is>
          <t>— Kit de Tareas Recurrentes · Dark Kitchen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7">
    <mergeCell ref="A36:G36"/>
    <mergeCell ref="D31:G31"/>
    <mergeCell ref="A1:G1"/>
    <mergeCell ref="D26:G26"/>
    <mergeCell ref="D29:G29"/>
    <mergeCell ref="D30:G30"/>
    <mergeCell ref="A2:G2"/>
    <mergeCell ref="D33:G33"/>
    <mergeCell ref="D34:G34"/>
    <mergeCell ref="A25:G25"/>
    <mergeCell ref="D27:G27"/>
    <mergeCell ref="A21:C21"/>
    <mergeCell ref="D32:G32"/>
    <mergeCell ref="A11:G11"/>
    <mergeCell ref="D28:G28"/>
    <mergeCell ref="A5:G5"/>
    <mergeCell ref="A23:G23"/>
  </mergeCells>
  <conditionalFormatting sqref="A5:G19">
    <cfRule type="expression" priority="1" dxfId="0">
      <formula>$F5="✓"</formula>
    </cfRule>
  </conditionalFormatting>
  <dataValidations count="1">
    <dataValidation sqref="F6 F7 F8 F9 F10 F12 F13 F14 F15 F16 F17 F18 F1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Mantenimiento Mensual</t>
        </is>
      </c>
    </row>
    <row r="2">
      <c r="A2" s="4" t="inlineStr">
        <is>
          <t>Mes: ________________   Año: ______    Responsable: _________________________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Cadencia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5" t="inlineStr">
        <is>
          <t xml:space="preserve">  EQUIPOS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Revisión plancha/grill</t>
        </is>
      </c>
      <c r="C6" s="29" t="inlineStr">
        <is>
          <t>Cocina</t>
        </is>
      </c>
      <c r="D6" s="29" t="inlineStr">
        <is>
          <t>Técnico</t>
        </is>
      </c>
      <c r="E6" s="29" t="inlineStr">
        <is>
          <t>Mensual</t>
        </is>
      </c>
      <c r="F6" s="30" t="n"/>
      <c r="G6" s="30" t="n"/>
    </row>
    <row r="7">
      <c r="A7" s="31" t="n">
        <v>2</v>
      </c>
      <c r="B7" s="32" t="inlineStr">
        <is>
          <t>Cambio completo del aceite de la freidora, SIEMPRE por debajo de 40 °C y nunca en caliente; el usado se entrega al gestor autorizado y se archiva el documento</t>
        </is>
      </c>
      <c r="C7" s="29" t="inlineStr">
        <is>
          <t>Cocina</t>
        </is>
      </c>
      <c r="D7" s="29" t="inlineStr">
        <is>
          <t>Manager</t>
        </is>
      </c>
      <c r="E7" s="29" t="inlineStr">
        <is>
          <t>Mensual</t>
        </is>
      </c>
      <c r="F7" s="30" t="n"/>
      <c r="G7" s="30" t="n"/>
    </row>
    <row r="8">
      <c r="A8" s="27" t="n">
        <v>3</v>
      </c>
      <c r="B8" s="28" t="inlineStr">
        <is>
          <t>Lavavajillas: filtros, sal</t>
        </is>
      </c>
      <c r="C8" s="29" t="inlineStr">
        <is>
          <t>Cocina</t>
        </is>
      </c>
      <c r="D8" s="29" t="inlineStr">
        <is>
          <t>Manager</t>
        </is>
      </c>
      <c r="E8" s="29" t="inlineStr">
        <is>
          <t>Mensual</t>
        </is>
      </c>
      <c r="F8" s="30" t="n"/>
      <c r="G8" s="30" t="n"/>
    </row>
    <row r="9">
      <c r="A9" s="31" t="n">
        <v>4</v>
      </c>
      <c r="B9" s="32" t="inlineStr">
        <is>
          <t>Campana: motor, filtros</t>
        </is>
      </c>
      <c r="C9" s="29" t="inlineStr">
        <is>
          <t>Cocina</t>
        </is>
      </c>
      <c r="D9" s="29" t="inlineStr">
        <is>
          <t>Técnico</t>
        </is>
      </c>
      <c r="E9" s="29" t="inlineStr">
        <is>
          <t>Mensual</t>
        </is>
      </c>
      <c r="F9" s="30" t="n"/>
      <c r="G9" s="30" t="n"/>
    </row>
    <row r="10">
      <c r="A10" s="27" t="n">
        <v>5</v>
      </c>
      <c r="B10" s="28" t="inlineStr">
        <is>
          <t>Cámaras: juntas, termostato</t>
        </is>
      </c>
      <c r="C10" s="29" t="inlineStr">
        <is>
          <t>Cocina</t>
        </is>
      </c>
      <c r="D10" s="29" t="inlineStr">
        <is>
          <t>Técnico</t>
        </is>
      </c>
      <c r="E10" s="29" t="inlineStr">
        <is>
          <t>Mensual</t>
        </is>
      </c>
      <c r="F10" s="30" t="n"/>
      <c r="G10" s="30" t="n"/>
    </row>
    <row r="11">
      <c r="A11" s="25" t="inlineStr">
        <is>
          <t xml:space="preserve">  TECNOLOGÍA</t>
        </is>
      </c>
      <c r="B11" s="26" t="n"/>
      <c r="C11" s="26" t="n"/>
      <c r="D11" s="26" t="n"/>
      <c r="E11" s="26" t="n"/>
      <c r="F11" s="26" t="n"/>
      <c r="G11" s="26" t="n"/>
    </row>
    <row r="12">
      <c r="A12" s="27" t="n">
        <v>6</v>
      </c>
      <c r="B12" s="28" t="inlineStr">
        <is>
          <t>Actualizar apps de plataformas en tablets</t>
        </is>
      </c>
      <c r="C12" s="29" t="inlineStr">
        <is>
          <t>Office</t>
        </is>
      </c>
      <c r="D12" s="29" t="inlineStr">
        <is>
          <t>Manager</t>
        </is>
      </c>
      <c r="E12" s="29" t="inlineStr">
        <is>
          <t>Mensual</t>
        </is>
      </c>
      <c r="F12" s="30" t="n"/>
      <c r="G12" s="30" t="n"/>
    </row>
    <row r="13">
      <c r="A13" s="31" t="n">
        <v>7</v>
      </c>
      <c r="B13" s="32" t="inlineStr">
        <is>
          <t>Verificar estado de tablets (batería, pantalla)</t>
        </is>
      </c>
      <c r="C13" s="29" t="inlineStr">
        <is>
          <t>Office</t>
        </is>
      </c>
      <c r="D13" s="29" t="inlineStr">
        <is>
          <t>Manager</t>
        </is>
      </c>
      <c r="E13" s="29" t="inlineStr">
        <is>
          <t>Mensual</t>
        </is>
      </c>
      <c r="F13" s="30" t="n"/>
      <c r="G13" s="30" t="n"/>
    </row>
    <row r="14">
      <c r="A14" s="27" t="n">
        <v>8</v>
      </c>
      <c r="B14" s="28" t="inlineStr">
        <is>
          <t>Verificar impresora de tickets (tinta, papel)</t>
        </is>
      </c>
      <c r="C14" s="29" t="inlineStr">
        <is>
          <t>Office</t>
        </is>
      </c>
      <c r="D14" s="29" t="inlineStr">
        <is>
          <t>Manager</t>
        </is>
      </c>
      <c r="E14" s="29" t="inlineStr">
        <is>
          <t>Mensual</t>
        </is>
      </c>
      <c r="F14" s="30" t="n"/>
      <c r="G14" s="30" t="n"/>
    </row>
    <row r="15">
      <c r="A15" s="31" t="n">
        <v>9</v>
      </c>
      <c r="B15" s="32" t="inlineStr">
        <is>
          <t>Verificar wifi: velocidad, estabilidad</t>
        </is>
      </c>
      <c r="C15" s="29" t="inlineStr">
        <is>
          <t>Office</t>
        </is>
      </c>
      <c r="D15" s="29" t="inlineStr">
        <is>
          <t>Manager</t>
        </is>
      </c>
      <c r="E15" s="29" t="inlineStr">
        <is>
          <t>Mensual</t>
        </is>
      </c>
      <c r="F15" s="30" t="n"/>
      <c r="G15" s="30" t="n"/>
    </row>
    <row r="16">
      <c r="A16" s="25" t="inlineStr">
        <is>
          <t xml:space="preserve">  SEGURIDAD</t>
        </is>
      </c>
      <c r="B16" s="26" t="n"/>
      <c r="C16" s="26" t="n"/>
      <c r="D16" s="26" t="n"/>
      <c r="E16" s="26" t="n"/>
      <c r="F16" s="26" t="n"/>
      <c r="G16" s="26" t="n"/>
    </row>
    <row r="17">
      <c r="A17" s="31" t="n">
        <v>10</v>
      </c>
      <c r="B17" s="32" t="inlineStr">
        <is>
          <t>Extintor: presión, caducidad</t>
        </is>
      </c>
      <c r="C17" s="29" t="inlineStr">
        <is>
          <t>General</t>
        </is>
      </c>
      <c r="D17" s="29" t="inlineStr">
        <is>
          <t>Manager</t>
        </is>
      </c>
      <c r="E17" s="29" t="inlineStr">
        <is>
          <t>Mensual</t>
        </is>
      </c>
      <c r="F17" s="30" t="n"/>
      <c r="G17" s="30" t="n"/>
    </row>
    <row r="18">
      <c r="A18" s="27" t="n">
        <v>11</v>
      </c>
      <c r="B18" s="28" t="inlineStr">
        <is>
          <t>Botiquín: stock, caducidades</t>
        </is>
      </c>
      <c r="C18" s="29" t="inlineStr">
        <is>
          <t>General</t>
        </is>
      </c>
      <c r="D18" s="29" t="inlineStr">
        <is>
          <t>Manager</t>
        </is>
      </c>
      <c r="E18" s="29" t="inlineStr">
        <is>
          <t>Mensual</t>
        </is>
      </c>
      <c r="F18" s="30" t="n"/>
      <c r="G18" s="30" t="n"/>
    </row>
    <row r="19">
      <c r="A19" s="33" t="n"/>
      <c r="B19" s="34" t="n"/>
      <c r="C19" s="29" t="n"/>
      <c r="D19" s="29" t="n"/>
      <c r="E19" s="29" t="n"/>
      <c r="F19" s="30" t="n"/>
      <c r="G19" s="30" t="n"/>
    </row>
    <row r="20">
      <c r="A20" s="33" t="n"/>
      <c r="B20" s="34" t="n"/>
      <c r="C20" s="29" t="n"/>
      <c r="D20" s="29" t="n"/>
      <c r="E20" s="29" t="n"/>
      <c r="F20" s="30" t="n"/>
      <c r="G20" s="30" t="n"/>
    </row>
    <row r="21">
      <c r="A21" s="33" t="n"/>
      <c r="B21" s="34" t="n"/>
      <c r="C21" s="29" t="n"/>
      <c r="D21" s="29" t="n"/>
      <c r="E21" s="29" t="n"/>
      <c r="F21" s="30" t="n"/>
      <c r="G21" s="30" t="n"/>
    </row>
    <row r="22">
      <c r="A22" s="33" t="n"/>
      <c r="B22" s="34" t="n"/>
      <c r="C22" s="29" t="n"/>
      <c r="D22" s="29" t="n"/>
      <c r="E22" s="29" t="n"/>
      <c r="F22" s="30" t="n"/>
      <c r="G22" s="30" t="n"/>
    </row>
    <row r="23">
      <c r="A23" s="33" t="n"/>
      <c r="B23" s="34" t="n"/>
      <c r="C23" s="29" t="n"/>
      <c r="D23" s="29" t="n"/>
      <c r="E23" s="29" t="n"/>
      <c r="F23" s="30" t="n"/>
      <c r="G23" s="30" t="n"/>
    </row>
    <row r="24"/>
    <row r="25">
      <c r="A25" s="18" t="inlineStr">
        <is>
          <t>Tareas completadas:</t>
        </is>
      </c>
      <c r="D25" s="19">
        <f>COUNTIFS(B5:B23,"?*",F5:F23,"✓")</f>
        <v/>
      </c>
      <c r="E25" s="18" t="inlineStr">
        <is>
          <t>de</t>
        </is>
      </c>
      <c r="F25">
        <f>COUNTIF(B5:B23,"?*")-COUNTIF(F5:F23,"N/A")</f>
        <v/>
      </c>
    </row>
    <row r="26"/>
    <row r="27">
      <c r="A27" s="4" t="inlineStr">
        <is>
          <t>Firma encargado/a: _________________________    Hora: _________</t>
        </is>
      </c>
    </row>
    <row r="28"/>
    <row r="29">
      <c r="A29" s="15" t="inlineStr">
        <is>
          <t>— Kit de Tareas Recurrentes · Dark Kitchen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25:C25"/>
    <mergeCell ref="A1:G1"/>
    <mergeCell ref="A27:G27"/>
    <mergeCell ref="A16:G16"/>
    <mergeCell ref="A2:G2"/>
    <mergeCell ref="A29:G29"/>
    <mergeCell ref="A11:G11"/>
    <mergeCell ref="A5:G5"/>
  </mergeCells>
  <conditionalFormatting sqref="A5:G23">
    <cfRule type="expression" priority="1" dxfId="0">
      <formula>$F5="✓"</formula>
    </cfRule>
  </conditionalFormatting>
  <dataValidations count="1">
    <dataValidation sqref="F6 F7 F8 F9 F10 F12 F13 F14 F15 F17 F18 F19 F20 F21 F22 F23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Mantenimiento Trimestral y Anual — Revisiones Contratadas</t>
        </is>
      </c>
    </row>
    <row r="2">
      <c r="A2" s="4" t="inlineStr">
        <is>
          <t>Mes: ________________   Año: ______    Responsable: _________________________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Nº de parte</t>
        </is>
      </c>
      <c r="D4" s="5" t="inlineStr">
        <is>
          <t>Responsable</t>
        </is>
      </c>
      <c r="E4" s="5" t="inlineStr">
        <is>
          <t>Cadencia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25" t="inlineStr">
        <is>
          <t xml:space="preserve">  CONTRATADO — EMPRESA AUTORIZADA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Control de plagas (DDD): visita de la empresa autorizada, parte firmado y certificado en vigor</t>
        </is>
      </c>
      <c r="C6" s="29" t="n"/>
      <c r="D6" s="29" t="inlineStr">
        <is>
          <t>Empresa DDD</t>
        </is>
      </c>
      <c r="E6" s="29" t="inlineStr">
        <is>
          <t>Trimestral</t>
        </is>
      </c>
      <c r="F6" s="30" t="n"/>
      <c r="G6" s="30" t="n"/>
    </row>
    <row r="7">
      <c r="A7" s="31" t="n">
        <v>2</v>
      </c>
      <c r="B7" s="32" t="inlineStr">
        <is>
          <t>Limpieza de campana y conductos de extracción por empresa homologada</t>
        </is>
      </c>
      <c r="C7" s="29" t="n"/>
      <c r="D7" s="29" t="inlineStr">
        <is>
          <t>Empresa externa</t>
        </is>
      </c>
      <c r="E7" s="29" t="inlineStr">
        <is>
          <t>Anual</t>
        </is>
      </c>
      <c r="F7" s="30" t="n"/>
      <c r="G7" s="30" t="n"/>
    </row>
    <row r="8">
      <c r="A8" s="27" t="n">
        <v>3</v>
      </c>
      <c r="B8" s="28" t="inlineStr">
        <is>
          <t>Revisión de extintores y BIE por empresa mantenedora (etiqueta y acta de revisión)</t>
        </is>
      </c>
      <c r="C8" s="29" t="n"/>
      <c r="D8" s="29" t="inlineStr">
        <is>
          <t>Mantenedor</t>
        </is>
      </c>
      <c r="E8" s="29" t="inlineStr">
        <is>
          <t>Anual</t>
        </is>
      </c>
      <c r="F8" s="30" t="n"/>
      <c r="G8" s="30" t="n"/>
    </row>
    <row r="9">
      <c r="A9" s="31" t="n">
        <v>4</v>
      </c>
      <c r="B9" s="32" t="inlineStr">
        <is>
          <t>Revisión periódica de la instalación de gas por empresa habilitada, si el local tiene gas</t>
        </is>
      </c>
      <c r="C9" s="29" t="n"/>
      <c r="D9" s="29" t="inlineStr">
        <is>
          <t>Instalador gas</t>
        </is>
      </c>
      <c r="E9" s="29" t="inlineStr">
        <is>
          <t>Cada 5 años</t>
        </is>
      </c>
      <c r="F9" s="30" t="n"/>
      <c r="G9" s="30" t="n"/>
    </row>
    <row r="10">
      <c r="A10" s="27" t="n">
        <v>5</v>
      </c>
      <c r="B10" s="28" t="inlineStr">
        <is>
          <t>Prevención de legionela si hay agua caliente sanitaria de riesgo o torre de refrigeración</t>
        </is>
      </c>
      <c r="C10" s="29" t="n"/>
      <c r="D10" s="29" t="inlineStr">
        <is>
          <t>Empresa autorizada</t>
        </is>
      </c>
      <c r="E10" s="29" t="inlineStr">
        <is>
          <t>Anual</t>
        </is>
      </c>
      <c r="F10" s="30" t="n"/>
      <c r="G10" s="30" t="n"/>
    </row>
    <row r="11">
      <c r="A11" s="25" t="inlineStr">
        <is>
          <t xml:space="preserve">  FRÍO, ACEITE Y RESIDUOS</t>
        </is>
      </c>
      <c r="B11" s="26" t="n"/>
      <c r="C11" s="26" t="n"/>
      <c r="D11" s="26" t="n"/>
      <c r="E11" s="26" t="n"/>
      <c r="F11" s="26" t="n"/>
      <c r="G11" s="26" t="n"/>
    </row>
    <row r="12">
      <c r="A12" s="27" t="n">
        <v>6</v>
      </c>
      <c r="B12" s="28" t="inlineStr">
        <is>
          <t>Revisión de cámaras y abatidor por frigorista: estanqueidad, juntas y gas refrigerante</t>
        </is>
      </c>
      <c r="C12" s="29" t="n"/>
      <c r="D12" s="29" t="inlineStr">
        <is>
          <t>Frigorista</t>
        </is>
      </c>
      <c r="E12" s="29" t="inlineStr">
        <is>
          <t>Anual</t>
        </is>
      </c>
      <c r="F12" s="30" t="n"/>
      <c r="G12" s="30" t="n"/>
    </row>
    <row r="13">
      <c r="A13" s="31" t="n">
        <v>7</v>
      </c>
      <c r="B13" s="32" t="inlineStr">
        <is>
          <t>Retirada del aceite usado de la freidora por gestor autorizado y archivo del documento de entrega</t>
        </is>
      </c>
      <c r="C13" s="29" t="n"/>
      <c r="D13" s="29" t="inlineStr">
        <is>
          <t>Gestor autorizado</t>
        </is>
      </c>
      <c r="E13" s="29" t="inlineStr">
        <is>
          <t>Trimestral</t>
        </is>
      </c>
      <c r="F13" s="30" t="n"/>
      <c r="G13" s="30" t="n"/>
    </row>
    <row r="14">
      <c r="A14" s="27" t="n">
        <v>8</v>
      </c>
      <c r="B14" s="28" t="inlineStr">
        <is>
          <t>Retirada de cartón y plástico de packaging por gestor autorizado: contrato en vigor y albaranes archivados (un dark kitchen genera más envase que un restaurante de sala)</t>
        </is>
      </c>
      <c r="C14" s="29" t="n"/>
      <c r="D14" s="29" t="inlineStr">
        <is>
          <t>Gestor autorizado</t>
        </is>
      </c>
      <c r="E14" s="29" t="inlineStr">
        <is>
          <t>Trimestral</t>
        </is>
      </c>
      <c r="F14" s="30" t="n"/>
      <c r="G14" s="30" t="n"/>
    </row>
    <row r="15">
      <c r="A15" s="31" t="n">
        <v>9</v>
      </c>
      <c r="B15" s="32" t="inlineStr">
        <is>
          <t>Calibrar los termómetros y las sondas contra un patrón conocido (agua con hielo, 0 °C)</t>
        </is>
      </c>
      <c r="C15" s="29" t="n"/>
      <c r="D15" s="29" t="inlineStr">
        <is>
          <t>Manager</t>
        </is>
      </c>
      <c r="E15" s="29" t="inlineStr">
        <is>
          <t>Anual</t>
        </is>
      </c>
      <c r="F15" s="30" t="n"/>
      <c r="G15" s="30" t="n"/>
    </row>
    <row r="16">
      <c r="A16" s="25" t="inlineStr">
        <is>
          <t xml:space="preserve">  ADMINISTRACIÓN Y PLATAFORMAS</t>
        </is>
      </c>
      <c r="B16" s="26" t="n"/>
      <c r="C16" s="26" t="n"/>
      <c r="D16" s="26" t="n"/>
      <c r="E16" s="26" t="n"/>
      <c r="F16" s="26" t="n"/>
      <c r="G16" s="26" t="n"/>
    </row>
    <row r="17">
      <c r="A17" s="31" t="n">
        <v>10</v>
      </c>
      <c r="B17" s="32" t="inlineStr">
        <is>
          <t>Revisar la póliza del local y la responsabilidad civil POR PRODUCTO: en delivery el plato se consume fuera y el seguro de sala no siempre lo cubre</t>
        </is>
      </c>
      <c r="C17" s="29" t="n"/>
      <c r="D17" s="29" t="inlineStr">
        <is>
          <t>Manager</t>
        </is>
      </c>
      <c r="E17" s="29" t="inlineStr">
        <is>
          <t>Anual</t>
        </is>
      </c>
      <c r="F17" s="30" t="n"/>
      <c r="G17" s="30" t="n"/>
    </row>
    <row r="18">
      <c r="A18" s="27" t="n">
        <v>11</v>
      </c>
      <c r="B18" s="28" t="inlineStr">
        <is>
          <t>Revisar los contratos y las comisiones de cada plataforma y el software de facturación (requisitos antifraude / Verifactu)</t>
        </is>
      </c>
      <c r="C18" s="29" t="n"/>
      <c r="D18" s="29" t="inlineStr">
        <is>
          <t>Manager</t>
        </is>
      </c>
      <c r="E18" s="29" t="inlineStr">
        <is>
          <t>Anual</t>
        </is>
      </c>
      <c r="F18" s="30" t="n"/>
      <c r="G18" s="30" t="n"/>
    </row>
    <row r="19">
      <c r="A19" s="33" t="n"/>
      <c r="B19" s="34" t="n"/>
      <c r="C19" s="29" t="n"/>
      <c r="D19" s="29" t="n"/>
      <c r="E19" s="29" t="n"/>
      <c r="F19" s="30" t="n"/>
      <c r="G19" s="30" t="n"/>
    </row>
    <row r="20">
      <c r="A20" s="33" t="n"/>
      <c r="B20" s="34" t="n"/>
      <c r="C20" s="29" t="n"/>
      <c r="D20" s="29" t="n"/>
      <c r="E20" s="29" t="n"/>
      <c r="F20" s="30" t="n"/>
      <c r="G20" s="30" t="n"/>
    </row>
    <row r="21">
      <c r="A21" s="33" t="n"/>
      <c r="B21" s="34" t="n"/>
      <c r="C21" s="29" t="n"/>
      <c r="D21" s="29" t="n"/>
      <c r="E21" s="29" t="n"/>
      <c r="F21" s="30" t="n"/>
      <c r="G21" s="30" t="n"/>
    </row>
    <row r="22">
      <c r="A22" s="33" t="n"/>
      <c r="B22" s="34" t="n"/>
      <c r="C22" s="29" t="n"/>
      <c r="D22" s="29" t="n"/>
      <c r="E22" s="29" t="n"/>
      <c r="F22" s="30" t="n"/>
      <c r="G22" s="30" t="n"/>
    </row>
    <row r="23">
      <c r="A23" s="33" t="n"/>
      <c r="B23" s="34" t="n"/>
      <c r="C23" s="29" t="n"/>
      <c r="D23" s="29" t="n"/>
      <c r="E23" s="29" t="n"/>
      <c r="F23" s="30" t="n"/>
      <c r="G23" s="30" t="n"/>
    </row>
    <row r="24"/>
    <row r="25">
      <c r="A25" s="18" t="inlineStr">
        <is>
          <t>Tareas completadas:</t>
        </is>
      </c>
      <c r="D25" s="19">
        <f>COUNTIFS(B5:B23,"?*",F5:F23,"✓")</f>
        <v/>
      </c>
      <c r="E25" s="18" t="inlineStr">
        <is>
          <t>de</t>
        </is>
      </c>
      <c r="F25">
        <f>COUNTIF(B5:B23,"?*")-COUNTIF(F5:F23,"N/A")</f>
        <v/>
      </c>
    </row>
    <row r="26"/>
    <row r="27">
      <c r="A27" s="4" t="inlineStr">
        <is>
          <t>Firma encargado/a: _________________________    Hora: _________</t>
        </is>
      </c>
    </row>
    <row r="28"/>
    <row r="29">
      <c r="A29" s="15" t="inlineStr">
        <is>
          <t>— Kit de Tareas Recurrentes · Dark Kitchen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25:C25"/>
    <mergeCell ref="A1:G1"/>
    <mergeCell ref="A27:G27"/>
    <mergeCell ref="A16:G16"/>
    <mergeCell ref="A2:G2"/>
    <mergeCell ref="A29:G29"/>
    <mergeCell ref="A11:G11"/>
    <mergeCell ref="A5:G5"/>
  </mergeCells>
  <conditionalFormatting sqref="A5:G23">
    <cfRule type="expression" priority="1" dxfId="0">
      <formula>$F5="✓"</formula>
    </cfRule>
  </conditionalFormatting>
  <dataValidations count="1">
    <dataValidation sqref="F6 F7 F8 F9 F10 F12 F13 F14 F15 F17 F18 F19 F20 F21 F22 F23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Semanales, Mensuales e Inventarios — Dark Kitchen · Kit de Tareas Recurrentes — Checklists Operativos para Dark Kitchen</dc:title>
  <dc:description xmlns:dc="http://purl.org/dc/elements/1.1/">aichef.pro/kit-tareas-dark-kitchen</dc:description>
  <dc:subject xmlns:dc="http://purl.org/dc/elements/1.1/">Kit de Tareas Recurrentes — Checklists Operativos para Dark Kitchen · v2.0</dc:subject>
  <dcterms:created xmlns:dcterms="http://purl.org/dc/terms/" xmlns:xsi="http://www.w3.org/2001/XMLSchema-instance" xsi:type="dcterms:W3CDTF">2026-03-20T00:11:53Z</dcterms:created>
  <dcterms:modified xmlns:dcterms="http://purl.org/dc/terms/" xmlns:xsi="http://www.w3.org/2001/XMLSchema-instance" xsi:type="dcterms:W3CDTF">2026-10-18T12:12:55Z</dcterms:modified>
  <cp:lastModifiedBy>AI Chef Pro</cp:lastModifiedBy>
  <cp:category>AI Chef Pro · Productos digitales</cp:category>
  <cp:keywords>kit tareas dark kitchen, AI Chef Pro</cp:keywords>
</cp:coreProperties>
</file>